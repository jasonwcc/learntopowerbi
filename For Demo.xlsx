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kid-my.sharepoint.com/personal/jason_wong_trainocate_com/Documents/TOD - Training Related/Training Materials/Microsoft/PL-300T00A/Exercise files/CSVs SQLs XLSx/"/>
    </mc:Choice>
  </mc:AlternateContent>
  <xr:revisionPtr revIDLastSave="2747" documentId="11_F25DC773A252ABDACC1048FEA11A75FA5BDE58E9" xr6:coauthVersionLast="47" xr6:coauthVersionMax="47" xr10:uidLastSave="{447C377A-AAA0-4BDA-88D3-B0120CE2F184}"/>
  <bookViews>
    <workbookView xWindow="-28920" yWindow="-120" windowWidth="29040" windowHeight="15720" firstSheet="3" activeTab="3" xr2:uid="{00000000-000D-0000-FFFF-FFFF00000000}"/>
  </bookViews>
  <sheets>
    <sheet name="AI-related" sheetId="7" r:id="rId1"/>
    <sheet name="Calendar" sheetId="12" r:id="rId2"/>
    <sheet name="Countries" sheetId="14" r:id="rId3"/>
    <sheet name="Customers" sheetId="1" r:id="rId4"/>
    <sheet name="Employees" sheetId="15" r:id="rId5"/>
    <sheet name="jsonxml" sheetId="20" r:id="rId6"/>
    <sheet name="Orders" sheetId="5" r:id="rId7"/>
    <sheet name="OrderDetails" sheetId="6" r:id="rId8"/>
    <sheet name="Products" sheetId="4" r:id="rId9"/>
    <sheet name="Cloud-AWS" sheetId="18" r:id="rId10"/>
    <sheet name="Cloud-Azure" sheetId="16" r:id="rId11"/>
    <sheet name="Cloud-Google" sheetId="17" r:id="rId12"/>
    <sheet name="K8s Resources" sheetId="19" r:id="rId13"/>
    <sheet name="SalesByCountry" sheetId="13" r:id="rId14"/>
    <sheet name="SalesByRegion" sheetId="8" r:id="rId15"/>
    <sheet name="Shippers" sheetId="10" r:id="rId16"/>
    <sheet name="Suppliers" sheetId="2" r:id="rId17"/>
    <sheet name="RandomNList" sheetId="9" r:id="rId18"/>
    <sheet name="For_Math_operation" sheetId="11" r:id="rId19"/>
  </sheets>
  <definedNames>
    <definedName name="_xlnm._FilterDatabase" localSheetId="14" hidden="1">SalesByRegion!$A$1:$F$2197</definedName>
    <definedName name="customers">Customers!$A$2:$F$12</definedName>
    <definedName name="Products">Products!$A$2:$H$11</definedName>
    <definedName name="rnlcountry">RandomNList!$N$3:$O$39</definedName>
    <definedName name="rnlsalesperson">RandomNList!$V$3:$X$13</definedName>
    <definedName name="rnlsegment">RandomNList!$S$2:$T$7</definedName>
    <definedName name="rnlunitsold">RandomNList!$O$3:$Q$39</definedName>
    <definedName name="Shippers">Shippers!$A$2:$H$6</definedName>
    <definedName name="Suppliers">Suppliers!$A$2:$E$4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98" i="8" l="1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2" i="1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2" i="12"/>
  <c r="G1185" i="13"/>
  <c r="I1185" i="13" s="1"/>
  <c r="K1185" i="13" s="1"/>
  <c r="G1249" i="13"/>
  <c r="I1249" i="13" s="1"/>
  <c r="K1249" i="13" s="1"/>
  <c r="G1377" i="13"/>
  <c r="I1377" i="13" s="1"/>
  <c r="K1377" i="13" s="1"/>
  <c r="G1489" i="13"/>
  <c r="I1489" i="13" s="1"/>
  <c r="K1489" i="13" s="1"/>
  <c r="G1697" i="13"/>
  <c r="I1697" i="13" s="1"/>
  <c r="K1697" i="13" s="1"/>
  <c r="G2017" i="13"/>
  <c r="I2017" i="13" s="1"/>
  <c r="K2017" i="13" s="1"/>
  <c r="G2033" i="13"/>
  <c r="I2033" i="13" s="1"/>
  <c r="K2033" i="13" s="1"/>
  <c r="G2177" i="13"/>
  <c r="I2177" i="13" s="1"/>
  <c r="K2177" i="13" s="1"/>
  <c r="G2289" i="13"/>
  <c r="I2289" i="13" s="1"/>
  <c r="K2289" i="13" s="1"/>
  <c r="G2433" i="13"/>
  <c r="I2433" i="13" s="1"/>
  <c r="K2433" i="13" s="1"/>
  <c r="G2465" i="13"/>
  <c r="I2465" i="13" s="1"/>
  <c r="K2465" i="13" s="1"/>
  <c r="G2561" i="13"/>
  <c r="I2561" i="13" s="1"/>
  <c r="K2561" i="13" s="1"/>
  <c r="G2801" i="13"/>
  <c r="I2801" i="13" s="1"/>
  <c r="K2801" i="13" s="1"/>
  <c r="G2929" i="13"/>
  <c r="I2929" i="13" s="1"/>
  <c r="K2929" i="13" s="1"/>
  <c r="G2977" i="13"/>
  <c r="I2977" i="13" s="1"/>
  <c r="K2977" i="13" s="1"/>
  <c r="G3009" i="13"/>
  <c r="I3009" i="13" s="1"/>
  <c r="K3009" i="13" s="1"/>
  <c r="G3121" i="13"/>
  <c r="I3121" i="13" s="1"/>
  <c r="K3121" i="13" s="1"/>
  <c r="G3137" i="13"/>
  <c r="I3137" i="13" s="1"/>
  <c r="K3137" i="13" s="1"/>
  <c r="G3313" i="13"/>
  <c r="I3313" i="13" s="1"/>
  <c r="K3313" i="13" s="1"/>
  <c r="G3345" i="13"/>
  <c r="I3345" i="13" s="1"/>
  <c r="K3345" i="13" s="1"/>
  <c r="G3473" i="13"/>
  <c r="I3473" i="13" s="1"/>
  <c r="K3473" i="13" s="1"/>
  <c r="G3489" i="13"/>
  <c r="I3489" i="13" s="1"/>
  <c r="K3489" i="13" s="1"/>
  <c r="G3649" i="13"/>
  <c r="I3649" i="13" s="1"/>
  <c r="K3649" i="13" s="1"/>
  <c r="G3809" i="13"/>
  <c r="I3809" i="13" s="1"/>
  <c r="K3809" i="13" s="1"/>
  <c r="G3825" i="13"/>
  <c r="G3985" i="13"/>
  <c r="G4113" i="13"/>
  <c r="I4113" i="13" s="1"/>
  <c r="K4113" i="13" s="1"/>
  <c r="G4177" i="13"/>
  <c r="I4177" i="13" s="1"/>
  <c r="K4177" i="13" s="1"/>
  <c r="G4193" i="13"/>
  <c r="I4193" i="13" s="1"/>
  <c r="K4193" i="13" s="1"/>
  <c r="G4257" i="13"/>
  <c r="I4257" i="13" s="1"/>
  <c r="K4257" i="13" s="1"/>
  <c r="G4289" i="13"/>
  <c r="I4289" i="13" s="1"/>
  <c r="K4289" i="13" s="1"/>
  <c r="G4433" i="13"/>
  <c r="I4433" i="13" s="1"/>
  <c r="K4433" i="13" s="1"/>
  <c r="G4449" i="13"/>
  <c r="I4449" i="13" s="1"/>
  <c r="K4449" i="13" s="1"/>
  <c r="G4465" i="13"/>
  <c r="I4465" i="13" s="1"/>
  <c r="K4465" i="13" s="1"/>
  <c r="G4561" i="13"/>
  <c r="I4561" i="13" s="1"/>
  <c r="K4561" i="13" s="1"/>
  <c r="G4625" i="13"/>
  <c r="G16" i="13"/>
  <c r="J3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F1630" i="13"/>
  <c r="F1631" i="13"/>
  <c r="F1632" i="13"/>
  <c r="F1633" i="13"/>
  <c r="F1634" i="13"/>
  <c r="F1635" i="13"/>
  <c r="F1636" i="13"/>
  <c r="F1637" i="13"/>
  <c r="F1638" i="13"/>
  <c r="F1639" i="13"/>
  <c r="F1640" i="13"/>
  <c r="F1641" i="13"/>
  <c r="F1642" i="13"/>
  <c r="F1643" i="13"/>
  <c r="F1644" i="13"/>
  <c r="F1645" i="13"/>
  <c r="F1646" i="13"/>
  <c r="F1647" i="13"/>
  <c r="F1648" i="13"/>
  <c r="F1649" i="13"/>
  <c r="F1650" i="13"/>
  <c r="F1651" i="13"/>
  <c r="F1652" i="13"/>
  <c r="F1653" i="13"/>
  <c r="F1654" i="13"/>
  <c r="F1655" i="13"/>
  <c r="F1656" i="13"/>
  <c r="F1657" i="13"/>
  <c r="F1658" i="13"/>
  <c r="F1659" i="13"/>
  <c r="F1660" i="13"/>
  <c r="F1661" i="13"/>
  <c r="F1662" i="13"/>
  <c r="F1663" i="13"/>
  <c r="F1664" i="13"/>
  <c r="F1665" i="13"/>
  <c r="F1666" i="13"/>
  <c r="F1667" i="13"/>
  <c r="F1668" i="13"/>
  <c r="F1669" i="13"/>
  <c r="F1670" i="13"/>
  <c r="F1671" i="13"/>
  <c r="F1672" i="13"/>
  <c r="F1673" i="13"/>
  <c r="F1674" i="13"/>
  <c r="F1675" i="13"/>
  <c r="F1676" i="13"/>
  <c r="F1677" i="13"/>
  <c r="F1678" i="13"/>
  <c r="F1679" i="13"/>
  <c r="F1680" i="13"/>
  <c r="F1681" i="13"/>
  <c r="F1682" i="13"/>
  <c r="F1683" i="13"/>
  <c r="F1684" i="13"/>
  <c r="F1685" i="13"/>
  <c r="F1686" i="13"/>
  <c r="F1687" i="13"/>
  <c r="F1688" i="13"/>
  <c r="F1689" i="13"/>
  <c r="F1690" i="13"/>
  <c r="F1691" i="13"/>
  <c r="F1692" i="13"/>
  <c r="F1693" i="13"/>
  <c r="F1694" i="13"/>
  <c r="F1695" i="13"/>
  <c r="F1696" i="13"/>
  <c r="F1697" i="13"/>
  <c r="F1698" i="13"/>
  <c r="F1699" i="13"/>
  <c r="F1700" i="13"/>
  <c r="F1701" i="13"/>
  <c r="F1702" i="13"/>
  <c r="F1703" i="13"/>
  <c r="F1704" i="13"/>
  <c r="F1705" i="13"/>
  <c r="F1706" i="13"/>
  <c r="F1707" i="13"/>
  <c r="F1708" i="13"/>
  <c r="F1709" i="13"/>
  <c r="F1710" i="13"/>
  <c r="F1711" i="13"/>
  <c r="F1712" i="13"/>
  <c r="F1713" i="13"/>
  <c r="F1714" i="13"/>
  <c r="F1715" i="13"/>
  <c r="F1716" i="13"/>
  <c r="F1717" i="13"/>
  <c r="F1718" i="13"/>
  <c r="F1719" i="13"/>
  <c r="F1720" i="13"/>
  <c r="F1721" i="13"/>
  <c r="F1722" i="13"/>
  <c r="F1723" i="13"/>
  <c r="F1724" i="13"/>
  <c r="F1725" i="13"/>
  <c r="F1726" i="13"/>
  <c r="F1727" i="13"/>
  <c r="F1728" i="13"/>
  <c r="F1729" i="13"/>
  <c r="F1730" i="13"/>
  <c r="F1731" i="13"/>
  <c r="F1732" i="13"/>
  <c r="F1733" i="13"/>
  <c r="F1734" i="13"/>
  <c r="F1735" i="13"/>
  <c r="F1736" i="13"/>
  <c r="F1737" i="13"/>
  <c r="F1738" i="13"/>
  <c r="F1739" i="13"/>
  <c r="F1740" i="13"/>
  <c r="F1741" i="13"/>
  <c r="F1742" i="13"/>
  <c r="F1743" i="13"/>
  <c r="F1744" i="13"/>
  <c r="F1745" i="13"/>
  <c r="F1746" i="13"/>
  <c r="F1747" i="13"/>
  <c r="F1748" i="13"/>
  <c r="F1749" i="13"/>
  <c r="F1750" i="13"/>
  <c r="F1751" i="13"/>
  <c r="F1752" i="13"/>
  <c r="F1753" i="13"/>
  <c r="F1754" i="13"/>
  <c r="F1755" i="13"/>
  <c r="F1756" i="13"/>
  <c r="F1757" i="13"/>
  <c r="F1758" i="13"/>
  <c r="F1759" i="13"/>
  <c r="F1760" i="13"/>
  <c r="F1761" i="13"/>
  <c r="F1762" i="13"/>
  <c r="F1763" i="13"/>
  <c r="F1764" i="13"/>
  <c r="F1765" i="13"/>
  <c r="F1766" i="13"/>
  <c r="F1767" i="13"/>
  <c r="F1768" i="13"/>
  <c r="F1769" i="13"/>
  <c r="F1770" i="13"/>
  <c r="F1771" i="13"/>
  <c r="F1772" i="13"/>
  <c r="F1773" i="13"/>
  <c r="F1774" i="13"/>
  <c r="F1775" i="13"/>
  <c r="F1776" i="13"/>
  <c r="F1777" i="13"/>
  <c r="F1778" i="13"/>
  <c r="F1779" i="13"/>
  <c r="F1780" i="13"/>
  <c r="F1781" i="13"/>
  <c r="F1782" i="13"/>
  <c r="F1783" i="13"/>
  <c r="F1784" i="13"/>
  <c r="F1785" i="13"/>
  <c r="F1786" i="13"/>
  <c r="F1787" i="13"/>
  <c r="F1788" i="13"/>
  <c r="F1789" i="13"/>
  <c r="F1790" i="13"/>
  <c r="F1791" i="13"/>
  <c r="F1792" i="13"/>
  <c r="F1793" i="13"/>
  <c r="F1794" i="13"/>
  <c r="F1795" i="13"/>
  <c r="F1796" i="13"/>
  <c r="F1797" i="13"/>
  <c r="F1798" i="13"/>
  <c r="F1799" i="13"/>
  <c r="F1800" i="13"/>
  <c r="F1801" i="13"/>
  <c r="F1802" i="13"/>
  <c r="F1803" i="13"/>
  <c r="F1804" i="13"/>
  <c r="F1805" i="13"/>
  <c r="F1806" i="13"/>
  <c r="F1807" i="13"/>
  <c r="F1808" i="13"/>
  <c r="F1809" i="13"/>
  <c r="F1810" i="13"/>
  <c r="F1811" i="13"/>
  <c r="F1812" i="13"/>
  <c r="F1813" i="13"/>
  <c r="F1814" i="13"/>
  <c r="F1815" i="13"/>
  <c r="F1816" i="13"/>
  <c r="F1817" i="13"/>
  <c r="F1818" i="13"/>
  <c r="F1819" i="13"/>
  <c r="F1820" i="13"/>
  <c r="F1821" i="13"/>
  <c r="F1822" i="13"/>
  <c r="F1823" i="13"/>
  <c r="F1824" i="13"/>
  <c r="F1825" i="13"/>
  <c r="F1826" i="13"/>
  <c r="F1827" i="13"/>
  <c r="F1828" i="13"/>
  <c r="F1829" i="13"/>
  <c r="F1830" i="13"/>
  <c r="F1831" i="13"/>
  <c r="F1832" i="13"/>
  <c r="F1833" i="13"/>
  <c r="F1834" i="13"/>
  <c r="F1835" i="13"/>
  <c r="F1836" i="13"/>
  <c r="F1837" i="13"/>
  <c r="F1838" i="13"/>
  <c r="F1839" i="13"/>
  <c r="F1840" i="13"/>
  <c r="F1841" i="13"/>
  <c r="F1842" i="13"/>
  <c r="F1843" i="13"/>
  <c r="F1844" i="13"/>
  <c r="F1845" i="13"/>
  <c r="F1846" i="13"/>
  <c r="F1847" i="13"/>
  <c r="F1848" i="13"/>
  <c r="F1849" i="13"/>
  <c r="F1850" i="13"/>
  <c r="F1851" i="13"/>
  <c r="F1852" i="13"/>
  <c r="F1853" i="13"/>
  <c r="F1854" i="13"/>
  <c r="F1855" i="13"/>
  <c r="F1856" i="13"/>
  <c r="F1857" i="13"/>
  <c r="F1858" i="13"/>
  <c r="F1859" i="13"/>
  <c r="F1860" i="13"/>
  <c r="F1861" i="13"/>
  <c r="F1862" i="13"/>
  <c r="F1863" i="13"/>
  <c r="F1864" i="13"/>
  <c r="F1865" i="13"/>
  <c r="F1866" i="13"/>
  <c r="F1867" i="13"/>
  <c r="F1868" i="13"/>
  <c r="F1869" i="13"/>
  <c r="F1870" i="13"/>
  <c r="F1871" i="13"/>
  <c r="F1872" i="13"/>
  <c r="F1873" i="13"/>
  <c r="F1874" i="13"/>
  <c r="F1875" i="13"/>
  <c r="F1876" i="13"/>
  <c r="F1877" i="13"/>
  <c r="F1878" i="13"/>
  <c r="F1879" i="13"/>
  <c r="F1880" i="13"/>
  <c r="F1881" i="13"/>
  <c r="F1882" i="13"/>
  <c r="F1883" i="13"/>
  <c r="F1884" i="13"/>
  <c r="F1885" i="13"/>
  <c r="F1886" i="13"/>
  <c r="F1887" i="13"/>
  <c r="F1888" i="13"/>
  <c r="F1889" i="13"/>
  <c r="F1890" i="13"/>
  <c r="F1891" i="13"/>
  <c r="F1892" i="13"/>
  <c r="F1893" i="13"/>
  <c r="F1894" i="13"/>
  <c r="F1895" i="13"/>
  <c r="F1896" i="13"/>
  <c r="F1897" i="13"/>
  <c r="F1898" i="13"/>
  <c r="F1899" i="13"/>
  <c r="F1900" i="13"/>
  <c r="F1901" i="13"/>
  <c r="F1902" i="13"/>
  <c r="F1903" i="13"/>
  <c r="F1904" i="13"/>
  <c r="F1905" i="13"/>
  <c r="F1906" i="13"/>
  <c r="F1907" i="13"/>
  <c r="F1908" i="13"/>
  <c r="F1909" i="13"/>
  <c r="F1910" i="13"/>
  <c r="F1911" i="13"/>
  <c r="F1912" i="13"/>
  <c r="F1913" i="13"/>
  <c r="F1914" i="13"/>
  <c r="F1915" i="13"/>
  <c r="F1916" i="13"/>
  <c r="F1917" i="13"/>
  <c r="F1918" i="13"/>
  <c r="F1919" i="13"/>
  <c r="F1920" i="13"/>
  <c r="F1921" i="13"/>
  <c r="F1922" i="13"/>
  <c r="F1923" i="13"/>
  <c r="F1924" i="13"/>
  <c r="F1925" i="13"/>
  <c r="F1926" i="13"/>
  <c r="F1927" i="13"/>
  <c r="F1928" i="13"/>
  <c r="F1929" i="13"/>
  <c r="F1930" i="13"/>
  <c r="F1931" i="13"/>
  <c r="F1932" i="13"/>
  <c r="F1933" i="13"/>
  <c r="F1934" i="13"/>
  <c r="F1935" i="13"/>
  <c r="F1936" i="13"/>
  <c r="F1937" i="13"/>
  <c r="F1938" i="13"/>
  <c r="F1939" i="13"/>
  <c r="F1940" i="13"/>
  <c r="F1941" i="13"/>
  <c r="F1942" i="13"/>
  <c r="F1943" i="13"/>
  <c r="F1944" i="13"/>
  <c r="F1945" i="13"/>
  <c r="F1946" i="13"/>
  <c r="F1947" i="13"/>
  <c r="F1948" i="13"/>
  <c r="F1949" i="13"/>
  <c r="F1950" i="13"/>
  <c r="F1951" i="13"/>
  <c r="F1952" i="13"/>
  <c r="F1953" i="13"/>
  <c r="F1954" i="13"/>
  <c r="F1955" i="13"/>
  <c r="F1956" i="13"/>
  <c r="F1957" i="13"/>
  <c r="F1958" i="13"/>
  <c r="F1959" i="13"/>
  <c r="F1960" i="13"/>
  <c r="F1961" i="13"/>
  <c r="F1962" i="13"/>
  <c r="F1963" i="13"/>
  <c r="F1964" i="13"/>
  <c r="F1965" i="13"/>
  <c r="F1966" i="13"/>
  <c r="F1967" i="13"/>
  <c r="F1968" i="13"/>
  <c r="F1969" i="13"/>
  <c r="F1970" i="13"/>
  <c r="F1971" i="13"/>
  <c r="F1972" i="13"/>
  <c r="F1973" i="13"/>
  <c r="F1974" i="13"/>
  <c r="F1975" i="13"/>
  <c r="F1976" i="13"/>
  <c r="F1977" i="13"/>
  <c r="F1978" i="13"/>
  <c r="F1979" i="13"/>
  <c r="F1980" i="13"/>
  <c r="F1981" i="13"/>
  <c r="F1982" i="13"/>
  <c r="F1983" i="13"/>
  <c r="F1984" i="13"/>
  <c r="F1985" i="13"/>
  <c r="F1986" i="13"/>
  <c r="F1987" i="13"/>
  <c r="F1988" i="13"/>
  <c r="F1989" i="13"/>
  <c r="F1990" i="13"/>
  <c r="F1991" i="13"/>
  <c r="F1992" i="13"/>
  <c r="F1993" i="13"/>
  <c r="F1994" i="13"/>
  <c r="F1995" i="13"/>
  <c r="F1996" i="13"/>
  <c r="F1997" i="13"/>
  <c r="F1998" i="13"/>
  <c r="F1999" i="13"/>
  <c r="F2000" i="13"/>
  <c r="F2001" i="13"/>
  <c r="F2002" i="13"/>
  <c r="F2003" i="13"/>
  <c r="F2004" i="13"/>
  <c r="F2005" i="13"/>
  <c r="F2006" i="13"/>
  <c r="F2007" i="13"/>
  <c r="F2008" i="13"/>
  <c r="F2009" i="13"/>
  <c r="F2010" i="13"/>
  <c r="F2011" i="13"/>
  <c r="F2012" i="13"/>
  <c r="F2013" i="13"/>
  <c r="F2014" i="13"/>
  <c r="F2015" i="13"/>
  <c r="F2016" i="13"/>
  <c r="F2017" i="13"/>
  <c r="F2018" i="13"/>
  <c r="F2019" i="13"/>
  <c r="F2020" i="13"/>
  <c r="F2021" i="13"/>
  <c r="F2022" i="13"/>
  <c r="F2023" i="13"/>
  <c r="F2024" i="13"/>
  <c r="F2025" i="13"/>
  <c r="F2026" i="13"/>
  <c r="F2027" i="13"/>
  <c r="F2028" i="13"/>
  <c r="F2029" i="13"/>
  <c r="F2030" i="13"/>
  <c r="F2031" i="13"/>
  <c r="F2032" i="13"/>
  <c r="F2033" i="13"/>
  <c r="F2034" i="13"/>
  <c r="F2035" i="13"/>
  <c r="F2036" i="13"/>
  <c r="F2037" i="13"/>
  <c r="F2038" i="13"/>
  <c r="F2039" i="13"/>
  <c r="F2040" i="13"/>
  <c r="F2041" i="13"/>
  <c r="F2042" i="13"/>
  <c r="F2043" i="13"/>
  <c r="F2044" i="13"/>
  <c r="F2045" i="13"/>
  <c r="F2046" i="13"/>
  <c r="F2047" i="13"/>
  <c r="F2048" i="13"/>
  <c r="F2049" i="13"/>
  <c r="F2050" i="13"/>
  <c r="F2051" i="13"/>
  <c r="F2052" i="13"/>
  <c r="F2053" i="13"/>
  <c r="F2054" i="13"/>
  <c r="F2055" i="13"/>
  <c r="F2056" i="13"/>
  <c r="F2057" i="13"/>
  <c r="F2058" i="13"/>
  <c r="F2059" i="13"/>
  <c r="F2060" i="13"/>
  <c r="F2061" i="13"/>
  <c r="F2062" i="13"/>
  <c r="F2063" i="13"/>
  <c r="F2064" i="13"/>
  <c r="F2065" i="13"/>
  <c r="F2066" i="13"/>
  <c r="F2067" i="13"/>
  <c r="F2068" i="13"/>
  <c r="F2069" i="13"/>
  <c r="F2070" i="13"/>
  <c r="F2071" i="13"/>
  <c r="F2072" i="13"/>
  <c r="F2073" i="13"/>
  <c r="F2074" i="13"/>
  <c r="F2075" i="13"/>
  <c r="F2076" i="13"/>
  <c r="F2077" i="13"/>
  <c r="F2078" i="13"/>
  <c r="F2079" i="13"/>
  <c r="F2080" i="13"/>
  <c r="F2081" i="13"/>
  <c r="F2082" i="13"/>
  <c r="F2083" i="13"/>
  <c r="F2084" i="13"/>
  <c r="F2085" i="13"/>
  <c r="F2086" i="13"/>
  <c r="F2087" i="13"/>
  <c r="F2088" i="13"/>
  <c r="F2089" i="13"/>
  <c r="F2090" i="13"/>
  <c r="F2091" i="13"/>
  <c r="F2092" i="13"/>
  <c r="F2093" i="13"/>
  <c r="F2094" i="13"/>
  <c r="F2095" i="13"/>
  <c r="F2096" i="13"/>
  <c r="F2097" i="13"/>
  <c r="F2098" i="13"/>
  <c r="F2099" i="13"/>
  <c r="F2100" i="13"/>
  <c r="F2101" i="13"/>
  <c r="F2102" i="13"/>
  <c r="F2103" i="13"/>
  <c r="F2104" i="13"/>
  <c r="F2105" i="13"/>
  <c r="F2106" i="13"/>
  <c r="F2107" i="13"/>
  <c r="F2108" i="13"/>
  <c r="F2109" i="13"/>
  <c r="F2110" i="13"/>
  <c r="F2111" i="13"/>
  <c r="F2112" i="13"/>
  <c r="F2113" i="13"/>
  <c r="F2114" i="13"/>
  <c r="F2115" i="13"/>
  <c r="F2116" i="13"/>
  <c r="F2117" i="13"/>
  <c r="F2118" i="13"/>
  <c r="F2119" i="13"/>
  <c r="F2120" i="13"/>
  <c r="F2121" i="13"/>
  <c r="F2122" i="13"/>
  <c r="F2123" i="13"/>
  <c r="F2124" i="13"/>
  <c r="F2125" i="13"/>
  <c r="F2126" i="13"/>
  <c r="F2127" i="13"/>
  <c r="F2128" i="13"/>
  <c r="F2129" i="13"/>
  <c r="F2130" i="13"/>
  <c r="F2131" i="13"/>
  <c r="F2132" i="13"/>
  <c r="F2133" i="13"/>
  <c r="F2134" i="13"/>
  <c r="F2135" i="13"/>
  <c r="F2136" i="13"/>
  <c r="F2137" i="13"/>
  <c r="F2138" i="13"/>
  <c r="F2139" i="13"/>
  <c r="F2140" i="13"/>
  <c r="F2141" i="13"/>
  <c r="F2142" i="13"/>
  <c r="F2143" i="13"/>
  <c r="F2144" i="13"/>
  <c r="F2145" i="13"/>
  <c r="F2146" i="13"/>
  <c r="F2147" i="13"/>
  <c r="F2148" i="13"/>
  <c r="F2149" i="13"/>
  <c r="F2150" i="13"/>
  <c r="F2151" i="13"/>
  <c r="F2152" i="13"/>
  <c r="F2153" i="13"/>
  <c r="F2154" i="13"/>
  <c r="F2155" i="13"/>
  <c r="F2156" i="13"/>
  <c r="F2157" i="13"/>
  <c r="F2158" i="13"/>
  <c r="F2159" i="13"/>
  <c r="F2160" i="13"/>
  <c r="F2161" i="13"/>
  <c r="F2162" i="13"/>
  <c r="F2163" i="13"/>
  <c r="F2164" i="13"/>
  <c r="F2165" i="13"/>
  <c r="F2166" i="13"/>
  <c r="F2167" i="13"/>
  <c r="F2168" i="13"/>
  <c r="F2169" i="13"/>
  <c r="F2170" i="13"/>
  <c r="F2171" i="13"/>
  <c r="F2172" i="13"/>
  <c r="F2173" i="13"/>
  <c r="F2174" i="13"/>
  <c r="F2175" i="13"/>
  <c r="F2176" i="13"/>
  <c r="F2177" i="13"/>
  <c r="F2178" i="13"/>
  <c r="F2179" i="13"/>
  <c r="F2180" i="13"/>
  <c r="F2181" i="13"/>
  <c r="F2182" i="13"/>
  <c r="F2183" i="13"/>
  <c r="F2184" i="13"/>
  <c r="F2185" i="13"/>
  <c r="F2186" i="13"/>
  <c r="F2187" i="13"/>
  <c r="F2188" i="13"/>
  <c r="F2189" i="13"/>
  <c r="F2190" i="13"/>
  <c r="F2191" i="13"/>
  <c r="F2192" i="13"/>
  <c r="F2193" i="13"/>
  <c r="F2194" i="13"/>
  <c r="F2195" i="13"/>
  <c r="F2196" i="13"/>
  <c r="F2197" i="13"/>
  <c r="F2198" i="13"/>
  <c r="F2199" i="13"/>
  <c r="F2200" i="13"/>
  <c r="F2201" i="13"/>
  <c r="F2202" i="13"/>
  <c r="F2203" i="13"/>
  <c r="F2204" i="13"/>
  <c r="F2205" i="13"/>
  <c r="F2206" i="13"/>
  <c r="F2207" i="13"/>
  <c r="F2208" i="13"/>
  <c r="F2209" i="13"/>
  <c r="F2210" i="13"/>
  <c r="F2211" i="13"/>
  <c r="F2212" i="13"/>
  <c r="F2213" i="13"/>
  <c r="F2214" i="13"/>
  <c r="F2215" i="13"/>
  <c r="F2216" i="13"/>
  <c r="F2217" i="13"/>
  <c r="F2218" i="13"/>
  <c r="F2219" i="13"/>
  <c r="F2220" i="13"/>
  <c r="F2221" i="13"/>
  <c r="F2222" i="13"/>
  <c r="F2223" i="13"/>
  <c r="F2224" i="13"/>
  <c r="F2225" i="13"/>
  <c r="F2226" i="13"/>
  <c r="F2227" i="13"/>
  <c r="F2228" i="13"/>
  <c r="F2229" i="13"/>
  <c r="F2230" i="13"/>
  <c r="F2231" i="13"/>
  <c r="F2232" i="13"/>
  <c r="F2233" i="13"/>
  <c r="F2234" i="13"/>
  <c r="F2235" i="13"/>
  <c r="F2236" i="13"/>
  <c r="F2237" i="13"/>
  <c r="F2238" i="13"/>
  <c r="F2239" i="13"/>
  <c r="F2240" i="13"/>
  <c r="F2241" i="13"/>
  <c r="F2242" i="13"/>
  <c r="F2243" i="13"/>
  <c r="F2244" i="13"/>
  <c r="F2245" i="13"/>
  <c r="F2246" i="13"/>
  <c r="F2247" i="13"/>
  <c r="F2248" i="13"/>
  <c r="F2249" i="13"/>
  <c r="F2250" i="13"/>
  <c r="F2251" i="13"/>
  <c r="F2252" i="13"/>
  <c r="F2253" i="13"/>
  <c r="F2254" i="13"/>
  <c r="F2255" i="13"/>
  <c r="F2256" i="13"/>
  <c r="F2257" i="13"/>
  <c r="F2258" i="13"/>
  <c r="F2259" i="13"/>
  <c r="F2260" i="13"/>
  <c r="F2261" i="13"/>
  <c r="F2262" i="13"/>
  <c r="F2263" i="13"/>
  <c r="F2264" i="13"/>
  <c r="F2265" i="13"/>
  <c r="F2266" i="13"/>
  <c r="F2267" i="13"/>
  <c r="F2268" i="13"/>
  <c r="F2269" i="13"/>
  <c r="F2270" i="13"/>
  <c r="F2271" i="13"/>
  <c r="F2272" i="13"/>
  <c r="F2273" i="13"/>
  <c r="F2274" i="13"/>
  <c r="F2275" i="13"/>
  <c r="F2276" i="13"/>
  <c r="F2277" i="13"/>
  <c r="F2278" i="13"/>
  <c r="F2279" i="13"/>
  <c r="F2280" i="13"/>
  <c r="F2281" i="13"/>
  <c r="F2282" i="13"/>
  <c r="F2283" i="13"/>
  <c r="F2284" i="13"/>
  <c r="F2285" i="13"/>
  <c r="F2286" i="13"/>
  <c r="F2287" i="13"/>
  <c r="F2288" i="13"/>
  <c r="F2289" i="13"/>
  <c r="F2290" i="13"/>
  <c r="F2291" i="13"/>
  <c r="F2292" i="13"/>
  <c r="F2293" i="13"/>
  <c r="F2294" i="13"/>
  <c r="F2295" i="13"/>
  <c r="F2296" i="13"/>
  <c r="F2297" i="13"/>
  <c r="F2298" i="13"/>
  <c r="F2299" i="13"/>
  <c r="F2300" i="13"/>
  <c r="F2301" i="13"/>
  <c r="F2302" i="13"/>
  <c r="F2303" i="13"/>
  <c r="F2304" i="13"/>
  <c r="F2305" i="13"/>
  <c r="F2306" i="13"/>
  <c r="F2307" i="13"/>
  <c r="F2308" i="13"/>
  <c r="F2309" i="13"/>
  <c r="F2310" i="13"/>
  <c r="F2311" i="13"/>
  <c r="F2312" i="13"/>
  <c r="F2313" i="13"/>
  <c r="F2314" i="13"/>
  <c r="F2315" i="13"/>
  <c r="F2316" i="13"/>
  <c r="F2317" i="13"/>
  <c r="F2318" i="13"/>
  <c r="F2319" i="13"/>
  <c r="F2320" i="13"/>
  <c r="F2321" i="13"/>
  <c r="F2322" i="13"/>
  <c r="F2323" i="13"/>
  <c r="F2324" i="13"/>
  <c r="F2325" i="13"/>
  <c r="F2326" i="13"/>
  <c r="F2327" i="13"/>
  <c r="F2328" i="13"/>
  <c r="F2329" i="13"/>
  <c r="F2330" i="13"/>
  <c r="F2331" i="13"/>
  <c r="F2332" i="13"/>
  <c r="F2333" i="13"/>
  <c r="F2334" i="13"/>
  <c r="F2335" i="13"/>
  <c r="F2336" i="13"/>
  <c r="F2337" i="13"/>
  <c r="F2338" i="13"/>
  <c r="F2339" i="13"/>
  <c r="F2340" i="13"/>
  <c r="F2341" i="13"/>
  <c r="F2342" i="13"/>
  <c r="F2343" i="13"/>
  <c r="F2344" i="13"/>
  <c r="F2345" i="13"/>
  <c r="F2346" i="13"/>
  <c r="F2347" i="13"/>
  <c r="F2348" i="13"/>
  <c r="F2349" i="13"/>
  <c r="F2350" i="13"/>
  <c r="F2351" i="13"/>
  <c r="F2352" i="13"/>
  <c r="F2353" i="13"/>
  <c r="F2354" i="13"/>
  <c r="F2355" i="13"/>
  <c r="F2356" i="13"/>
  <c r="F2357" i="13"/>
  <c r="F2358" i="13"/>
  <c r="F2359" i="13"/>
  <c r="F2360" i="13"/>
  <c r="F2361" i="13"/>
  <c r="F2362" i="13"/>
  <c r="F2363" i="13"/>
  <c r="F2364" i="13"/>
  <c r="F2365" i="13"/>
  <c r="F2366" i="13"/>
  <c r="F2367" i="13"/>
  <c r="F2368" i="13"/>
  <c r="F2369" i="13"/>
  <c r="F2370" i="13"/>
  <c r="F2371" i="13"/>
  <c r="F2372" i="13"/>
  <c r="F2373" i="13"/>
  <c r="F2374" i="13"/>
  <c r="F2375" i="13"/>
  <c r="F2376" i="13"/>
  <c r="F2377" i="13"/>
  <c r="F2378" i="13"/>
  <c r="F2379" i="13"/>
  <c r="F2380" i="13"/>
  <c r="F2381" i="13"/>
  <c r="F2382" i="13"/>
  <c r="F2383" i="13"/>
  <c r="F2384" i="13"/>
  <c r="F2385" i="13"/>
  <c r="F2386" i="13"/>
  <c r="F2387" i="13"/>
  <c r="F2388" i="13"/>
  <c r="F2389" i="13"/>
  <c r="F2390" i="13"/>
  <c r="F2391" i="13"/>
  <c r="F2392" i="13"/>
  <c r="F2393" i="13"/>
  <c r="F2394" i="13"/>
  <c r="F2395" i="13"/>
  <c r="F2396" i="13"/>
  <c r="F2397" i="13"/>
  <c r="F2398" i="13"/>
  <c r="F2399" i="13"/>
  <c r="F2400" i="13"/>
  <c r="F2401" i="13"/>
  <c r="F2402" i="13"/>
  <c r="F2403" i="13"/>
  <c r="F2404" i="13"/>
  <c r="F2405" i="13"/>
  <c r="F2406" i="13"/>
  <c r="F2407" i="13"/>
  <c r="F2408" i="13"/>
  <c r="F2409" i="13"/>
  <c r="F2410" i="13"/>
  <c r="F2411" i="13"/>
  <c r="F2412" i="13"/>
  <c r="F2413" i="13"/>
  <c r="F2414" i="13"/>
  <c r="F2415" i="13"/>
  <c r="F2416" i="13"/>
  <c r="F2417" i="13"/>
  <c r="F2418" i="13"/>
  <c r="F2419" i="13"/>
  <c r="F2420" i="13"/>
  <c r="F2421" i="13"/>
  <c r="F2422" i="13"/>
  <c r="F2423" i="13"/>
  <c r="F2424" i="13"/>
  <c r="F2425" i="13"/>
  <c r="F2426" i="13"/>
  <c r="F2427" i="13"/>
  <c r="F2428" i="13"/>
  <c r="F2429" i="13"/>
  <c r="F2430" i="13"/>
  <c r="F2431" i="13"/>
  <c r="F2432" i="13"/>
  <c r="F2433" i="13"/>
  <c r="F2434" i="13"/>
  <c r="F2435" i="13"/>
  <c r="F2436" i="13"/>
  <c r="F2437" i="13"/>
  <c r="F2438" i="13"/>
  <c r="F2439" i="13"/>
  <c r="F2440" i="13"/>
  <c r="F2441" i="13"/>
  <c r="F2442" i="13"/>
  <c r="F2443" i="13"/>
  <c r="F2444" i="13"/>
  <c r="F2445" i="13"/>
  <c r="F2446" i="13"/>
  <c r="F2447" i="13"/>
  <c r="F2448" i="13"/>
  <c r="F2449" i="13"/>
  <c r="F2450" i="13"/>
  <c r="F2451" i="13"/>
  <c r="F2452" i="13"/>
  <c r="F2453" i="13"/>
  <c r="F2454" i="13"/>
  <c r="F2455" i="13"/>
  <c r="F2456" i="13"/>
  <c r="F2457" i="13"/>
  <c r="F2458" i="13"/>
  <c r="F2459" i="13"/>
  <c r="F2460" i="13"/>
  <c r="F2461" i="13"/>
  <c r="F2462" i="13"/>
  <c r="F2463" i="13"/>
  <c r="F2464" i="13"/>
  <c r="F2465" i="13"/>
  <c r="F2466" i="13"/>
  <c r="F2467" i="13"/>
  <c r="F2468" i="13"/>
  <c r="F2469" i="13"/>
  <c r="F2470" i="13"/>
  <c r="F2471" i="13"/>
  <c r="F2472" i="13"/>
  <c r="F2473" i="13"/>
  <c r="F2474" i="13"/>
  <c r="F2475" i="13"/>
  <c r="F2476" i="13"/>
  <c r="F2477" i="13"/>
  <c r="F2478" i="13"/>
  <c r="F2479" i="13"/>
  <c r="F2480" i="13"/>
  <c r="F2481" i="13"/>
  <c r="F2482" i="13"/>
  <c r="F2483" i="13"/>
  <c r="F2484" i="13"/>
  <c r="F2485" i="13"/>
  <c r="F2486" i="13"/>
  <c r="F2487" i="13"/>
  <c r="F2488" i="13"/>
  <c r="F2489" i="13"/>
  <c r="F2490" i="13"/>
  <c r="F2491" i="13"/>
  <c r="F2492" i="13"/>
  <c r="F2493" i="13"/>
  <c r="F2494" i="13"/>
  <c r="F2495" i="13"/>
  <c r="F2496" i="13"/>
  <c r="F2497" i="13"/>
  <c r="F2498" i="13"/>
  <c r="F2499" i="13"/>
  <c r="F2500" i="13"/>
  <c r="F2501" i="13"/>
  <c r="F2502" i="13"/>
  <c r="F2503" i="13"/>
  <c r="F2504" i="13"/>
  <c r="F2505" i="13"/>
  <c r="F2506" i="13"/>
  <c r="F2507" i="13"/>
  <c r="F2508" i="13"/>
  <c r="F2509" i="13"/>
  <c r="F2510" i="13"/>
  <c r="F2511" i="13"/>
  <c r="F2512" i="13"/>
  <c r="F2513" i="13"/>
  <c r="F2514" i="13"/>
  <c r="F2515" i="13"/>
  <c r="F2516" i="13"/>
  <c r="F2517" i="13"/>
  <c r="F2518" i="13"/>
  <c r="F2519" i="13"/>
  <c r="F2520" i="13"/>
  <c r="F2521" i="13"/>
  <c r="F2522" i="13"/>
  <c r="F2523" i="13"/>
  <c r="F2524" i="13"/>
  <c r="F2525" i="13"/>
  <c r="F2526" i="13"/>
  <c r="F2527" i="13"/>
  <c r="F2528" i="13"/>
  <c r="F2529" i="13"/>
  <c r="F2530" i="13"/>
  <c r="F2531" i="13"/>
  <c r="F2532" i="13"/>
  <c r="F2533" i="13"/>
  <c r="F2534" i="13"/>
  <c r="F2535" i="13"/>
  <c r="F2536" i="13"/>
  <c r="F2537" i="13"/>
  <c r="F2538" i="13"/>
  <c r="F2539" i="13"/>
  <c r="F2540" i="13"/>
  <c r="F2541" i="13"/>
  <c r="F2542" i="13"/>
  <c r="F2543" i="13"/>
  <c r="F2544" i="13"/>
  <c r="F2545" i="13"/>
  <c r="F2546" i="13"/>
  <c r="F2547" i="13"/>
  <c r="F2548" i="13"/>
  <c r="F2549" i="13"/>
  <c r="F2550" i="13"/>
  <c r="F2551" i="13"/>
  <c r="F2552" i="13"/>
  <c r="F2553" i="13"/>
  <c r="F2554" i="13"/>
  <c r="F2555" i="13"/>
  <c r="F2556" i="13"/>
  <c r="F2557" i="13"/>
  <c r="F2558" i="13"/>
  <c r="F2559" i="13"/>
  <c r="F2560" i="13"/>
  <c r="F2561" i="13"/>
  <c r="F2562" i="13"/>
  <c r="F2563" i="13"/>
  <c r="F2564" i="13"/>
  <c r="F2565" i="13"/>
  <c r="F2566" i="13"/>
  <c r="F2567" i="13"/>
  <c r="F2568" i="13"/>
  <c r="F2569" i="13"/>
  <c r="F2570" i="13"/>
  <c r="F2571" i="13"/>
  <c r="F2572" i="13"/>
  <c r="F2573" i="13"/>
  <c r="F2574" i="13"/>
  <c r="F2575" i="13"/>
  <c r="F2576" i="13"/>
  <c r="F2577" i="13"/>
  <c r="F2578" i="13"/>
  <c r="F2579" i="13"/>
  <c r="F2580" i="13"/>
  <c r="F2581" i="13"/>
  <c r="F2582" i="13"/>
  <c r="F2583" i="13"/>
  <c r="F2584" i="13"/>
  <c r="F2585" i="13"/>
  <c r="F2586" i="13"/>
  <c r="F2587" i="13"/>
  <c r="F2588" i="13"/>
  <c r="F2589" i="13"/>
  <c r="F2590" i="13"/>
  <c r="F2591" i="13"/>
  <c r="F2592" i="13"/>
  <c r="F2593" i="13"/>
  <c r="F2594" i="13"/>
  <c r="F2595" i="13"/>
  <c r="F2596" i="13"/>
  <c r="F2597" i="13"/>
  <c r="F2598" i="13"/>
  <c r="F2599" i="13"/>
  <c r="F2600" i="13"/>
  <c r="F2601" i="13"/>
  <c r="F2602" i="13"/>
  <c r="F2603" i="13"/>
  <c r="F2604" i="13"/>
  <c r="F2605" i="13"/>
  <c r="F2606" i="13"/>
  <c r="F2607" i="13"/>
  <c r="F2608" i="13"/>
  <c r="F2609" i="13"/>
  <c r="F2610" i="13"/>
  <c r="F2611" i="13"/>
  <c r="F2612" i="13"/>
  <c r="F2613" i="13"/>
  <c r="F2614" i="13"/>
  <c r="F2615" i="13"/>
  <c r="F2616" i="13"/>
  <c r="F2617" i="13"/>
  <c r="F2618" i="13"/>
  <c r="F2619" i="13"/>
  <c r="F2620" i="13"/>
  <c r="F2621" i="13"/>
  <c r="F2622" i="13"/>
  <c r="F2623" i="13"/>
  <c r="F2624" i="13"/>
  <c r="F2625" i="13"/>
  <c r="F2626" i="13"/>
  <c r="F2627" i="13"/>
  <c r="F2628" i="13"/>
  <c r="F2629" i="13"/>
  <c r="F2630" i="13"/>
  <c r="F2631" i="13"/>
  <c r="F2632" i="13"/>
  <c r="F2633" i="13"/>
  <c r="F2634" i="13"/>
  <c r="F2635" i="13"/>
  <c r="F2636" i="13"/>
  <c r="F2637" i="13"/>
  <c r="F2638" i="13"/>
  <c r="F2639" i="13"/>
  <c r="F2640" i="13"/>
  <c r="F2641" i="13"/>
  <c r="F2642" i="13"/>
  <c r="F2643" i="13"/>
  <c r="F2644" i="13"/>
  <c r="F2645" i="13"/>
  <c r="F2646" i="13"/>
  <c r="F2647" i="13"/>
  <c r="F2648" i="13"/>
  <c r="F2649" i="13"/>
  <c r="F2650" i="13"/>
  <c r="F2651" i="13"/>
  <c r="F2652" i="13"/>
  <c r="F2653" i="13"/>
  <c r="F2654" i="13"/>
  <c r="F2655" i="13"/>
  <c r="F2656" i="13"/>
  <c r="F2657" i="13"/>
  <c r="F2658" i="13"/>
  <c r="F2659" i="13"/>
  <c r="F2660" i="13"/>
  <c r="F2661" i="13"/>
  <c r="F2662" i="13"/>
  <c r="F2663" i="13"/>
  <c r="F2664" i="13"/>
  <c r="F2665" i="13"/>
  <c r="F2666" i="13"/>
  <c r="F2667" i="13"/>
  <c r="F2668" i="13"/>
  <c r="F2669" i="13"/>
  <c r="F2670" i="13"/>
  <c r="F2671" i="13"/>
  <c r="F2672" i="13"/>
  <c r="F2673" i="13"/>
  <c r="F2674" i="13"/>
  <c r="F2675" i="13"/>
  <c r="F2676" i="13"/>
  <c r="F2677" i="13"/>
  <c r="F2678" i="13"/>
  <c r="F2679" i="13"/>
  <c r="F2680" i="13"/>
  <c r="F2681" i="13"/>
  <c r="F2682" i="13"/>
  <c r="F2683" i="13"/>
  <c r="F2684" i="13"/>
  <c r="F2685" i="13"/>
  <c r="F2686" i="13"/>
  <c r="F2687" i="13"/>
  <c r="F2688" i="13"/>
  <c r="F2689" i="13"/>
  <c r="F2690" i="13"/>
  <c r="F2691" i="13"/>
  <c r="F2692" i="13"/>
  <c r="F2693" i="13"/>
  <c r="F2694" i="13"/>
  <c r="F2695" i="13"/>
  <c r="F2696" i="13"/>
  <c r="F2697" i="13"/>
  <c r="F2698" i="13"/>
  <c r="F2699" i="13"/>
  <c r="F2700" i="13"/>
  <c r="F2701" i="13"/>
  <c r="F2702" i="13"/>
  <c r="F2703" i="13"/>
  <c r="F2704" i="13"/>
  <c r="F2705" i="13"/>
  <c r="F2706" i="13"/>
  <c r="F2707" i="13"/>
  <c r="F2708" i="13"/>
  <c r="F2709" i="13"/>
  <c r="F2710" i="13"/>
  <c r="F2711" i="13"/>
  <c r="F2712" i="13"/>
  <c r="F2713" i="13"/>
  <c r="F2714" i="13"/>
  <c r="F2715" i="13"/>
  <c r="F2716" i="13"/>
  <c r="F2717" i="13"/>
  <c r="F2718" i="13"/>
  <c r="F2719" i="13"/>
  <c r="F2720" i="13"/>
  <c r="F2721" i="13"/>
  <c r="F2722" i="13"/>
  <c r="F2723" i="13"/>
  <c r="F2724" i="13"/>
  <c r="F2725" i="13"/>
  <c r="F2726" i="13"/>
  <c r="F2727" i="13"/>
  <c r="F2728" i="13"/>
  <c r="F2729" i="13"/>
  <c r="F2730" i="13"/>
  <c r="F2731" i="13"/>
  <c r="F2732" i="13"/>
  <c r="F2733" i="13"/>
  <c r="F2734" i="13"/>
  <c r="F2735" i="13"/>
  <c r="F2736" i="13"/>
  <c r="F2737" i="13"/>
  <c r="F2738" i="13"/>
  <c r="F2739" i="13"/>
  <c r="F2740" i="13"/>
  <c r="F2741" i="13"/>
  <c r="F2742" i="13"/>
  <c r="F2743" i="13"/>
  <c r="F2744" i="13"/>
  <c r="F2745" i="13"/>
  <c r="F2746" i="13"/>
  <c r="F2747" i="13"/>
  <c r="F2748" i="13"/>
  <c r="F2749" i="13"/>
  <c r="F2750" i="13"/>
  <c r="F2751" i="13"/>
  <c r="F2752" i="13"/>
  <c r="F2753" i="13"/>
  <c r="F2754" i="13"/>
  <c r="F2755" i="13"/>
  <c r="F2756" i="13"/>
  <c r="F2757" i="13"/>
  <c r="F2758" i="13"/>
  <c r="F2759" i="13"/>
  <c r="F2760" i="13"/>
  <c r="F2761" i="13"/>
  <c r="F2762" i="13"/>
  <c r="F2763" i="13"/>
  <c r="F2764" i="13"/>
  <c r="F2765" i="13"/>
  <c r="F2766" i="13"/>
  <c r="F2767" i="13"/>
  <c r="F2768" i="13"/>
  <c r="F2769" i="13"/>
  <c r="F2770" i="13"/>
  <c r="F2771" i="13"/>
  <c r="F2772" i="13"/>
  <c r="F2773" i="13"/>
  <c r="F2774" i="13"/>
  <c r="F2775" i="13"/>
  <c r="F2776" i="13"/>
  <c r="F2777" i="13"/>
  <c r="F2778" i="13"/>
  <c r="F2779" i="13"/>
  <c r="F2780" i="13"/>
  <c r="F2781" i="13"/>
  <c r="F2782" i="13"/>
  <c r="F2783" i="13"/>
  <c r="F2784" i="13"/>
  <c r="F2785" i="13"/>
  <c r="F2786" i="13"/>
  <c r="F2787" i="13"/>
  <c r="F2788" i="13"/>
  <c r="F2789" i="13"/>
  <c r="F2790" i="13"/>
  <c r="F2791" i="13"/>
  <c r="F2792" i="13"/>
  <c r="F2793" i="13"/>
  <c r="F2794" i="13"/>
  <c r="F2795" i="13"/>
  <c r="F2796" i="13"/>
  <c r="F2797" i="13"/>
  <c r="F2798" i="13"/>
  <c r="F2799" i="13"/>
  <c r="F2800" i="13"/>
  <c r="F2801" i="13"/>
  <c r="F2802" i="13"/>
  <c r="F2803" i="13"/>
  <c r="F2804" i="13"/>
  <c r="F2805" i="13"/>
  <c r="F2806" i="13"/>
  <c r="F2807" i="13"/>
  <c r="F2808" i="13"/>
  <c r="F2809" i="13"/>
  <c r="F2810" i="13"/>
  <c r="F2811" i="13"/>
  <c r="F2812" i="13"/>
  <c r="F2813" i="13"/>
  <c r="F2814" i="13"/>
  <c r="F2815" i="13"/>
  <c r="F2816" i="13"/>
  <c r="F2817" i="13"/>
  <c r="F2818" i="13"/>
  <c r="F2819" i="13"/>
  <c r="F2820" i="13"/>
  <c r="F2821" i="13"/>
  <c r="F2822" i="13"/>
  <c r="F2823" i="13"/>
  <c r="F2824" i="13"/>
  <c r="F2825" i="13"/>
  <c r="F2826" i="13"/>
  <c r="F2827" i="13"/>
  <c r="F2828" i="13"/>
  <c r="F2829" i="13"/>
  <c r="F2830" i="13"/>
  <c r="F2831" i="13"/>
  <c r="F2832" i="13"/>
  <c r="F2833" i="13"/>
  <c r="F2834" i="13"/>
  <c r="F2835" i="13"/>
  <c r="F2836" i="13"/>
  <c r="F2837" i="13"/>
  <c r="F2838" i="13"/>
  <c r="F2839" i="13"/>
  <c r="F2840" i="13"/>
  <c r="F2841" i="13"/>
  <c r="F2842" i="13"/>
  <c r="F2843" i="13"/>
  <c r="F2844" i="13"/>
  <c r="F2845" i="13"/>
  <c r="F2846" i="13"/>
  <c r="F2847" i="13"/>
  <c r="F2848" i="13"/>
  <c r="F2849" i="13"/>
  <c r="F2850" i="13"/>
  <c r="F2851" i="13"/>
  <c r="F2852" i="13"/>
  <c r="F2853" i="13"/>
  <c r="F2854" i="13"/>
  <c r="F2855" i="13"/>
  <c r="F2856" i="13"/>
  <c r="F2857" i="13"/>
  <c r="F2858" i="13"/>
  <c r="F2859" i="13"/>
  <c r="F2860" i="13"/>
  <c r="F2861" i="13"/>
  <c r="F2862" i="13"/>
  <c r="F2863" i="13"/>
  <c r="F2864" i="13"/>
  <c r="F2865" i="13"/>
  <c r="F2866" i="13"/>
  <c r="F2867" i="13"/>
  <c r="F2868" i="13"/>
  <c r="F2869" i="13"/>
  <c r="F2870" i="13"/>
  <c r="F2871" i="13"/>
  <c r="F2872" i="13"/>
  <c r="F2873" i="13"/>
  <c r="F2874" i="13"/>
  <c r="F2875" i="13"/>
  <c r="F2876" i="13"/>
  <c r="F2877" i="13"/>
  <c r="F2878" i="13"/>
  <c r="F2879" i="13"/>
  <c r="F2880" i="13"/>
  <c r="F2881" i="13"/>
  <c r="F2882" i="13"/>
  <c r="F2883" i="13"/>
  <c r="F2884" i="13"/>
  <c r="F2885" i="13"/>
  <c r="F2886" i="13"/>
  <c r="F2887" i="13"/>
  <c r="F2888" i="13"/>
  <c r="F2889" i="13"/>
  <c r="F2890" i="13"/>
  <c r="F2891" i="13"/>
  <c r="F2892" i="13"/>
  <c r="F2893" i="13"/>
  <c r="F2894" i="13"/>
  <c r="F2895" i="13"/>
  <c r="F2896" i="13"/>
  <c r="F2897" i="13"/>
  <c r="F2898" i="13"/>
  <c r="F2899" i="13"/>
  <c r="F2900" i="13"/>
  <c r="F2901" i="13"/>
  <c r="F2902" i="13"/>
  <c r="F2903" i="13"/>
  <c r="F2904" i="13"/>
  <c r="F2905" i="13"/>
  <c r="F2906" i="13"/>
  <c r="F2907" i="13"/>
  <c r="F2908" i="13"/>
  <c r="F2909" i="13"/>
  <c r="F2910" i="13"/>
  <c r="F2911" i="13"/>
  <c r="F2912" i="13"/>
  <c r="F2913" i="13"/>
  <c r="F2914" i="13"/>
  <c r="F2915" i="13"/>
  <c r="F2916" i="13"/>
  <c r="F2917" i="13"/>
  <c r="F2918" i="13"/>
  <c r="F2919" i="13"/>
  <c r="F2920" i="13"/>
  <c r="F2921" i="13"/>
  <c r="F2922" i="13"/>
  <c r="F2923" i="13"/>
  <c r="F2924" i="13"/>
  <c r="F2925" i="13"/>
  <c r="F2926" i="13"/>
  <c r="F2927" i="13"/>
  <c r="F2928" i="13"/>
  <c r="F2929" i="13"/>
  <c r="F2930" i="13"/>
  <c r="F2931" i="13"/>
  <c r="F2932" i="13"/>
  <c r="F2933" i="13"/>
  <c r="F2934" i="13"/>
  <c r="F2935" i="13"/>
  <c r="F2936" i="13"/>
  <c r="F2937" i="13"/>
  <c r="F2938" i="13"/>
  <c r="F2939" i="13"/>
  <c r="F2940" i="13"/>
  <c r="F2941" i="13"/>
  <c r="F2942" i="13"/>
  <c r="F2943" i="13"/>
  <c r="F2944" i="13"/>
  <c r="F2945" i="13"/>
  <c r="F2946" i="13"/>
  <c r="F2947" i="13"/>
  <c r="F2948" i="13"/>
  <c r="F2949" i="13"/>
  <c r="F2950" i="13"/>
  <c r="F2951" i="13"/>
  <c r="F2952" i="13"/>
  <c r="F2953" i="13"/>
  <c r="F2954" i="13"/>
  <c r="F2955" i="13"/>
  <c r="F2956" i="13"/>
  <c r="F2957" i="13"/>
  <c r="F2958" i="13"/>
  <c r="F2959" i="13"/>
  <c r="F2960" i="13"/>
  <c r="F2961" i="13"/>
  <c r="F2962" i="13"/>
  <c r="F2963" i="13"/>
  <c r="F2964" i="13"/>
  <c r="F2965" i="13"/>
  <c r="F2966" i="13"/>
  <c r="F2967" i="13"/>
  <c r="F2968" i="13"/>
  <c r="F2969" i="13"/>
  <c r="F2970" i="13"/>
  <c r="F2971" i="13"/>
  <c r="F2972" i="13"/>
  <c r="F2973" i="13"/>
  <c r="F2974" i="13"/>
  <c r="F2975" i="13"/>
  <c r="F2976" i="13"/>
  <c r="F2977" i="13"/>
  <c r="F2978" i="13"/>
  <c r="F2979" i="13"/>
  <c r="F2980" i="13"/>
  <c r="F2981" i="13"/>
  <c r="F2982" i="13"/>
  <c r="F2983" i="13"/>
  <c r="F2984" i="13"/>
  <c r="F2985" i="13"/>
  <c r="F2986" i="13"/>
  <c r="F2987" i="13"/>
  <c r="F2988" i="13"/>
  <c r="F2989" i="13"/>
  <c r="F2990" i="13"/>
  <c r="F2991" i="13"/>
  <c r="F2992" i="13"/>
  <c r="F2993" i="13"/>
  <c r="F2994" i="13"/>
  <c r="F2995" i="13"/>
  <c r="F2996" i="13"/>
  <c r="F2997" i="13"/>
  <c r="F2998" i="13"/>
  <c r="F2999" i="13"/>
  <c r="F3000" i="13"/>
  <c r="F3001" i="13"/>
  <c r="F3002" i="13"/>
  <c r="F3003" i="13"/>
  <c r="F3004" i="13"/>
  <c r="F3005" i="13"/>
  <c r="F3006" i="13"/>
  <c r="F3007" i="13"/>
  <c r="F3008" i="13"/>
  <c r="F3009" i="13"/>
  <c r="F3010" i="13"/>
  <c r="F3011" i="13"/>
  <c r="F3012" i="13"/>
  <c r="F3013" i="13"/>
  <c r="F3014" i="13"/>
  <c r="F3015" i="13"/>
  <c r="F3016" i="13"/>
  <c r="F3017" i="13"/>
  <c r="F3018" i="13"/>
  <c r="F3019" i="13"/>
  <c r="F3020" i="13"/>
  <c r="F3021" i="13"/>
  <c r="F3022" i="13"/>
  <c r="F3023" i="13"/>
  <c r="F3024" i="13"/>
  <c r="F3025" i="13"/>
  <c r="F3026" i="13"/>
  <c r="F3027" i="13"/>
  <c r="F3028" i="13"/>
  <c r="F3029" i="13"/>
  <c r="F3030" i="13"/>
  <c r="F3031" i="13"/>
  <c r="F3032" i="13"/>
  <c r="F3033" i="13"/>
  <c r="F3034" i="13"/>
  <c r="F3035" i="13"/>
  <c r="F3036" i="13"/>
  <c r="F3037" i="13"/>
  <c r="F3038" i="13"/>
  <c r="F3039" i="13"/>
  <c r="F3040" i="13"/>
  <c r="F3041" i="13"/>
  <c r="F3042" i="13"/>
  <c r="F3043" i="13"/>
  <c r="F3044" i="13"/>
  <c r="F3045" i="13"/>
  <c r="F3046" i="13"/>
  <c r="F3047" i="13"/>
  <c r="F3048" i="13"/>
  <c r="F3049" i="13"/>
  <c r="F3050" i="13"/>
  <c r="F3051" i="13"/>
  <c r="F3052" i="13"/>
  <c r="F3053" i="13"/>
  <c r="F3054" i="13"/>
  <c r="F3055" i="13"/>
  <c r="F3056" i="13"/>
  <c r="F3057" i="13"/>
  <c r="F3058" i="13"/>
  <c r="F3059" i="13"/>
  <c r="F3060" i="13"/>
  <c r="F3061" i="13"/>
  <c r="F3062" i="13"/>
  <c r="F3063" i="13"/>
  <c r="F3064" i="13"/>
  <c r="F3065" i="13"/>
  <c r="F3066" i="13"/>
  <c r="F3067" i="13"/>
  <c r="F3068" i="13"/>
  <c r="F3069" i="13"/>
  <c r="F3070" i="13"/>
  <c r="F3071" i="13"/>
  <c r="F3072" i="13"/>
  <c r="F3073" i="13"/>
  <c r="F3074" i="13"/>
  <c r="F3075" i="13"/>
  <c r="F3076" i="13"/>
  <c r="F3077" i="13"/>
  <c r="F3078" i="13"/>
  <c r="F3079" i="13"/>
  <c r="F3080" i="13"/>
  <c r="F3081" i="13"/>
  <c r="F3082" i="13"/>
  <c r="F3083" i="13"/>
  <c r="F3084" i="13"/>
  <c r="F3085" i="13"/>
  <c r="F3086" i="13"/>
  <c r="F3087" i="13"/>
  <c r="F3088" i="13"/>
  <c r="F3089" i="13"/>
  <c r="F3090" i="13"/>
  <c r="F3091" i="13"/>
  <c r="F3092" i="13"/>
  <c r="F3093" i="13"/>
  <c r="F3094" i="13"/>
  <c r="F3095" i="13"/>
  <c r="F3096" i="13"/>
  <c r="F3097" i="13"/>
  <c r="F3098" i="13"/>
  <c r="F3099" i="13"/>
  <c r="F3100" i="13"/>
  <c r="F3101" i="13"/>
  <c r="F3102" i="13"/>
  <c r="F3103" i="13"/>
  <c r="F3104" i="13"/>
  <c r="F3105" i="13"/>
  <c r="F3106" i="13"/>
  <c r="F3107" i="13"/>
  <c r="F3108" i="13"/>
  <c r="F3109" i="13"/>
  <c r="F3110" i="13"/>
  <c r="F3111" i="13"/>
  <c r="F3112" i="13"/>
  <c r="F3113" i="13"/>
  <c r="F3114" i="13"/>
  <c r="F3115" i="13"/>
  <c r="F3116" i="13"/>
  <c r="F3117" i="13"/>
  <c r="F3118" i="13"/>
  <c r="F3119" i="13"/>
  <c r="F3120" i="13"/>
  <c r="F3121" i="13"/>
  <c r="F3122" i="13"/>
  <c r="F3123" i="13"/>
  <c r="F3124" i="13"/>
  <c r="F3125" i="13"/>
  <c r="F3126" i="13"/>
  <c r="F3127" i="13"/>
  <c r="F3128" i="13"/>
  <c r="F3129" i="13"/>
  <c r="F3130" i="13"/>
  <c r="F3131" i="13"/>
  <c r="F3132" i="13"/>
  <c r="F3133" i="13"/>
  <c r="F3134" i="13"/>
  <c r="F3135" i="13"/>
  <c r="F3136" i="13"/>
  <c r="F3137" i="13"/>
  <c r="F3138" i="13"/>
  <c r="F3139" i="13"/>
  <c r="F3140" i="13"/>
  <c r="F3141" i="13"/>
  <c r="F3142" i="13"/>
  <c r="F3143" i="13"/>
  <c r="F3144" i="13"/>
  <c r="F3145" i="13"/>
  <c r="F3146" i="13"/>
  <c r="F3147" i="13"/>
  <c r="F3148" i="13"/>
  <c r="F3149" i="13"/>
  <c r="F3150" i="13"/>
  <c r="F3151" i="13"/>
  <c r="F3152" i="13"/>
  <c r="F3153" i="13"/>
  <c r="F3154" i="13"/>
  <c r="F3155" i="13"/>
  <c r="F3156" i="13"/>
  <c r="F3157" i="13"/>
  <c r="F3158" i="13"/>
  <c r="F3159" i="13"/>
  <c r="F3160" i="13"/>
  <c r="F3161" i="13"/>
  <c r="F3162" i="13"/>
  <c r="F3163" i="13"/>
  <c r="F3164" i="13"/>
  <c r="F3165" i="13"/>
  <c r="F3166" i="13"/>
  <c r="F3167" i="13"/>
  <c r="F3168" i="13"/>
  <c r="F3169" i="13"/>
  <c r="F3170" i="13"/>
  <c r="F3171" i="13"/>
  <c r="F3172" i="13"/>
  <c r="F3173" i="13"/>
  <c r="F3174" i="13"/>
  <c r="F3175" i="13"/>
  <c r="F3176" i="13"/>
  <c r="F3177" i="13"/>
  <c r="F3178" i="13"/>
  <c r="F3179" i="13"/>
  <c r="F3180" i="13"/>
  <c r="F3181" i="13"/>
  <c r="F3182" i="13"/>
  <c r="F3183" i="13"/>
  <c r="F3184" i="13"/>
  <c r="F3185" i="13"/>
  <c r="F3186" i="13"/>
  <c r="F3187" i="13"/>
  <c r="F3188" i="13"/>
  <c r="F3189" i="13"/>
  <c r="F3190" i="13"/>
  <c r="F3191" i="13"/>
  <c r="F3192" i="13"/>
  <c r="F3193" i="13"/>
  <c r="F3194" i="13"/>
  <c r="F3195" i="13"/>
  <c r="F3196" i="13"/>
  <c r="F3197" i="13"/>
  <c r="F3198" i="13"/>
  <c r="F3199" i="13"/>
  <c r="F3200" i="13"/>
  <c r="F3201" i="13"/>
  <c r="F3202" i="13"/>
  <c r="F3203" i="13"/>
  <c r="F3204" i="13"/>
  <c r="F3205" i="13"/>
  <c r="F3206" i="13"/>
  <c r="F3207" i="13"/>
  <c r="F3208" i="13"/>
  <c r="F3209" i="13"/>
  <c r="F3210" i="13"/>
  <c r="F3211" i="13"/>
  <c r="F3212" i="13"/>
  <c r="F3213" i="13"/>
  <c r="F3214" i="13"/>
  <c r="F3215" i="13"/>
  <c r="F3216" i="13"/>
  <c r="F3217" i="13"/>
  <c r="F3218" i="13"/>
  <c r="F3219" i="13"/>
  <c r="F3220" i="13"/>
  <c r="F3221" i="13"/>
  <c r="F3222" i="13"/>
  <c r="F3223" i="13"/>
  <c r="F3224" i="13"/>
  <c r="F3225" i="13"/>
  <c r="F3226" i="13"/>
  <c r="F3227" i="13"/>
  <c r="F3228" i="13"/>
  <c r="F3229" i="13"/>
  <c r="F3230" i="13"/>
  <c r="F3231" i="13"/>
  <c r="F3232" i="13"/>
  <c r="F3233" i="13"/>
  <c r="F3234" i="13"/>
  <c r="F3235" i="13"/>
  <c r="F3236" i="13"/>
  <c r="F3237" i="13"/>
  <c r="F3238" i="13"/>
  <c r="F3239" i="13"/>
  <c r="F3240" i="13"/>
  <c r="F3241" i="13"/>
  <c r="F3242" i="13"/>
  <c r="F3243" i="13"/>
  <c r="F3244" i="13"/>
  <c r="F3245" i="13"/>
  <c r="F3246" i="13"/>
  <c r="F3247" i="13"/>
  <c r="F3248" i="13"/>
  <c r="F3249" i="13"/>
  <c r="F3250" i="13"/>
  <c r="F3251" i="13"/>
  <c r="F3252" i="13"/>
  <c r="F3253" i="13"/>
  <c r="F3254" i="13"/>
  <c r="F3255" i="13"/>
  <c r="F3256" i="13"/>
  <c r="F3257" i="13"/>
  <c r="F3258" i="13"/>
  <c r="F3259" i="13"/>
  <c r="F3260" i="13"/>
  <c r="F3261" i="13"/>
  <c r="F3262" i="13"/>
  <c r="F3263" i="13"/>
  <c r="F3264" i="13"/>
  <c r="F3265" i="13"/>
  <c r="F3266" i="13"/>
  <c r="F3267" i="13"/>
  <c r="F3268" i="13"/>
  <c r="F3269" i="13"/>
  <c r="F3270" i="13"/>
  <c r="F3271" i="13"/>
  <c r="F3272" i="13"/>
  <c r="F3273" i="13"/>
  <c r="F3274" i="13"/>
  <c r="F3275" i="13"/>
  <c r="F3276" i="13"/>
  <c r="F3277" i="13"/>
  <c r="F3278" i="13"/>
  <c r="F3279" i="13"/>
  <c r="F3280" i="13"/>
  <c r="F3281" i="13"/>
  <c r="F3282" i="13"/>
  <c r="F3283" i="13"/>
  <c r="F3284" i="13"/>
  <c r="F3285" i="13"/>
  <c r="F3286" i="13"/>
  <c r="F3287" i="13"/>
  <c r="F3288" i="13"/>
  <c r="F3289" i="13"/>
  <c r="F3290" i="13"/>
  <c r="F3291" i="13"/>
  <c r="F3292" i="13"/>
  <c r="F3293" i="13"/>
  <c r="F3294" i="13"/>
  <c r="F3295" i="13"/>
  <c r="F3296" i="13"/>
  <c r="F3297" i="13"/>
  <c r="F3298" i="13"/>
  <c r="F3299" i="13"/>
  <c r="F3300" i="13"/>
  <c r="F3301" i="13"/>
  <c r="F3302" i="13"/>
  <c r="F3303" i="13"/>
  <c r="F3304" i="13"/>
  <c r="F3305" i="13"/>
  <c r="F3306" i="13"/>
  <c r="F3307" i="13"/>
  <c r="F3308" i="13"/>
  <c r="F3309" i="13"/>
  <c r="F3310" i="13"/>
  <c r="F3311" i="13"/>
  <c r="F3312" i="13"/>
  <c r="F3313" i="13"/>
  <c r="F3314" i="13"/>
  <c r="F3315" i="13"/>
  <c r="F3316" i="13"/>
  <c r="F3317" i="13"/>
  <c r="F3318" i="13"/>
  <c r="F3319" i="13"/>
  <c r="F3320" i="13"/>
  <c r="F3321" i="13"/>
  <c r="F3322" i="13"/>
  <c r="F3323" i="13"/>
  <c r="F3324" i="13"/>
  <c r="F3325" i="13"/>
  <c r="F3326" i="13"/>
  <c r="F3327" i="13"/>
  <c r="F3328" i="13"/>
  <c r="F3329" i="13"/>
  <c r="F3330" i="13"/>
  <c r="F3331" i="13"/>
  <c r="F3332" i="13"/>
  <c r="F3333" i="13"/>
  <c r="F3334" i="13"/>
  <c r="F3335" i="13"/>
  <c r="F3336" i="13"/>
  <c r="F3337" i="13"/>
  <c r="F3338" i="13"/>
  <c r="F3339" i="13"/>
  <c r="F3340" i="13"/>
  <c r="F3341" i="13"/>
  <c r="F3342" i="13"/>
  <c r="F3343" i="13"/>
  <c r="F3344" i="13"/>
  <c r="F3345" i="13"/>
  <c r="F3346" i="13"/>
  <c r="F3347" i="13"/>
  <c r="F3348" i="13"/>
  <c r="F3349" i="13"/>
  <c r="F3350" i="13"/>
  <c r="F3351" i="13"/>
  <c r="F3352" i="13"/>
  <c r="F3353" i="13"/>
  <c r="F3354" i="13"/>
  <c r="F3355" i="13"/>
  <c r="F3356" i="13"/>
  <c r="F3357" i="13"/>
  <c r="F3358" i="13"/>
  <c r="F3359" i="13"/>
  <c r="F3360" i="13"/>
  <c r="F3361" i="13"/>
  <c r="F3362" i="13"/>
  <c r="F3363" i="13"/>
  <c r="F3364" i="13"/>
  <c r="F3365" i="13"/>
  <c r="F3366" i="13"/>
  <c r="F3367" i="13"/>
  <c r="F3368" i="13"/>
  <c r="F3369" i="13"/>
  <c r="F3370" i="13"/>
  <c r="F3371" i="13"/>
  <c r="F3372" i="13"/>
  <c r="F3373" i="13"/>
  <c r="F3374" i="13"/>
  <c r="F3375" i="13"/>
  <c r="F3376" i="13"/>
  <c r="F3377" i="13"/>
  <c r="F3378" i="13"/>
  <c r="F3379" i="13"/>
  <c r="F3380" i="13"/>
  <c r="F3381" i="13"/>
  <c r="F3382" i="13"/>
  <c r="F3383" i="13"/>
  <c r="F3384" i="13"/>
  <c r="F3385" i="13"/>
  <c r="F3386" i="13"/>
  <c r="F3387" i="13"/>
  <c r="F3388" i="13"/>
  <c r="F3389" i="13"/>
  <c r="F3390" i="13"/>
  <c r="F3391" i="13"/>
  <c r="F3392" i="13"/>
  <c r="F3393" i="13"/>
  <c r="F3394" i="13"/>
  <c r="F3395" i="13"/>
  <c r="F3396" i="13"/>
  <c r="F3397" i="13"/>
  <c r="F3398" i="13"/>
  <c r="F3399" i="13"/>
  <c r="F3400" i="13"/>
  <c r="F3401" i="13"/>
  <c r="F3402" i="13"/>
  <c r="F3403" i="13"/>
  <c r="F3404" i="13"/>
  <c r="F3405" i="13"/>
  <c r="F3406" i="13"/>
  <c r="F3407" i="13"/>
  <c r="F3408" i="13"/>
  <c r="F3409" i="13"/>
  <c r="F3410" i="13"/>
  <c r="F3411" i="13"/>
  <c r="F3412" i="13"/>
  <c r="F3413" i="13"/>
  <c r="F3414" i="13"/>
  <c r="F3415" i="13"/>
  <c r="F3416" i="13"/>
  <c r="F3417" i="13"/>
  <c r="F3418" i="13"/>
  <c r="F3419" i="13"/>
  <c r="F3420" i="13"/>
  <c r="F3421" i="13"/>
  <c r="F3422" i="13"/>
  <c r="F3423" i="13"/>
  <c r="F3424" i="13"/>
  <c r="F3425" i="13"/>
  <c r="F3426" i="13"/>
  <c r="F3427" i="13"/>
  <c r="F3428" i="13"/>
  <c r="F3429" i="13"/>
  <c r="F3430" i="13"/>
  <c r="F3431" i="13"/>
  <c r="F3432" i="13"/>
  <c r="F3433" i="13"/>
  <c r="F3434" i="13"/>
  <c r="F3435" i="13"/>
  <c r="F3436" i="13"/>
  <c r="F3437" i="13"/>
  <c r="F3438" i="13"/>
  <c r="F3439" i="13"/>
  <c r="F3440" i="13"/>
  <c r="F3441" i="13"/>
  <c r="F3442" i="13"/>
  <c r="F3443" i="13"/>
  <c r="F3444" i="13"/>
  <c r="F3445" i="13"/>
  <c r="F3446" i="13"/>
  <c r="F3447" i="13"/>
  <c r="F3448" i="13"/>
  <c r="F3449" i="13"/>
  <c r="F3450" i="13"/>
  <c r="F3451" i="13"/>
  <c r="F3452" i="13"/>
  <c r="F3453" i="13"/>
  <c r="F3454" i="13"/>
  <c r="F3455" i="13"/>
  <c r="F3456" i="13"/>
  <c r="F3457" i="13"/>
  <c r="F3458" i="13"/>
  <c r="F3459" i="13"/>
  <c r="F3460" i="13"/>
  <c r="F3461" i="13"/>
  <c r="F3462" i="13"/>
  <c r="F3463" i="13"/>
  <c r="F3464" i="13"/>
  <c r="F3465" i="13"/>
  <c r="F3466" i="13"/>
  <c r="F3467" i="13"/>
  <c r="F3468" i="13"/>
  <c r="F3469" i="13"/>
  <c r="F3470" i="13"/>
  <c r="F3471" i="13"/>
  <c r="F3472" i="13"/>
  <c r="F3473" i="13"/>
  <c r="F3474" i="13"/>
  <c r="F3475" i="13"/>
  <c r="F3476" i="13"/>
  <c r="F3477" i="13"/>
  <c r="F3478" i="13"/>
  <c r="F3479" i="13"/>
  <c r="F3480" i="13"/>
  <c r="F3481" i="13"/>
  <c r="F3482" i="13"/>
  <c r="F3483" i="13"/>
  <c r="F3484" i="13"/>
  <c r="F3485" i="13"/>
  <c r="F3486" i="13"/>
  <c r="F3487" i="13"/>
  <c r="F3488" i="13"/>
  <c r="F3489" i="13"/>
  <c r="F3490" i="13"/>
  <c r="F3491" i="13"/>
  <c r="F3492" i="13"/>
  <c r="F3493" i="13"/>
  <c r="F3494" i="13"/>
  <c r="F3495" i="13"/>
  <c r="F3496" i="13"/>
  <c r="F3497" i="13"/>
  <c r="F3498" i="13"/>
  <c r="F3499" i="13"/>
  <c r="F3500" i="13"/>
  <c r="F3501" i="13"/>
  <c r="F3502" i="13"/>
  <c r="F3503" i="13"/>
  <c r="F3504" i="13"/>
  <c r="F3505" i="13"/>
  <c r="F3506" i="13"/>
  <c r="F3507" i="13"/>
  <c r="F3508" i="13"/>
  <c r="F3509" i="13"/>
  <c r="F3510" i="13"/>
  <c r="F3511" i="13"/>
  <c r="F3512" i="13"/>
  <c r="F3513" i="13"/>
  <c r="F3514" i="13"/>
  <c r="F3515" i="13"/>
  <c r="F3516" i="13"/>
  <c r="F3517" i="13"/>
  <c r="F3518" i="13"/>
  <c r="F3519" i="13"/>
  <c r="F3520" i="13"/>
  <c r="F3521" i="13"/>
  <c r="F3522" i="13"/>
  <c r="F3523" i="13"/>
  <c r="F3524" i="13"/>
  <c r="F3525" i="13"/>
  <c r="F3526" i="13"/>
  <c r="F3527" i="13"/>
  <c r="F3528" i="13"/>
  <c r="F3529" i="13"/>
  <c r="F3530" i="13"/>
  <c r="F3531" i="13"/>
  <c r="F3532" i="13"/>
  <c r="F3533" i="13"/>
  <c r="F3534" i="13"/>
  <c r="F3535" i="13"/>
  <c r="F3536" i="13"/>
  <c r="F3537" i="13"/>
  <c r="F3538" i="13"/>
  <c r="F3539" i="13"/>
  <c r="F3540" i="13"/>
  <c r="F3541" i="13"/>
  <c r="F3542" i="13"/>
  <c r="F3543" i="13"/>
  <c r="F3544" i="13"/>
  <c r="F3545" i="13"/>
  <c r="F3546" i="13"/>
  <c r="F3547" i="13"/>
  <c r="F3548" i="13"/>
  <c r="F3549" i="13"/>
  <c r="F3550" i="13"/>
  <c r="F3551" i="13"/>
  <c r="F3552" i="13"/>
  <c r="F3553" i="13"/>
  <c r="F3554" i="13"/>
  <c r="F3555" i="13"/>
  <c r="F3556" i="13"/>
  <c r="F3557" i="13"/>
  <c r="F3558" i="13"/>
  <c r="F3559" i="13"/>
  <c r="F3560" i="13"/>
  <c r="F3561" i="13"/>
  <c r="F3562" i="13"/>
  <c r="F3563" i="13"/>
  <c r="F3564" i="13"/>
  <c r="F3565" i="13"/>
  <c r="F3566" i="13"/>
  <c r="F3567" i="13"/>
  <c r="F3568" i="13"/>
  <c r="F3569" i="13"/>
  <c r="F3570" i="13"/>
  <c r="F3571" i="13"/>
  <c r="F3572" i="13"/>
  <c r="F3573" i="13"/>
  <c r="F3574" i="13"/>
  <c r="F3575" i="13"/>
  <c r="F3576" i="13"/>
  <c r="F3577" i="13"/>
  <c r="F3578" i="13"/>
  <c r="F3579" i="13"/>
  <c r="F3580" i="13"/>
  <c r="F3581" i="13"/>
  <c r="F3582" i="13"/>
  <c r="F3583" i="13"/>
  <c r="F3584" i="13"/>
  <c r="F3585" i="13"/>
  <c r="F3586" i="13"/>
  <c r="F3587" i="13"/>
  <c r="F3588" i="13"/>
  <c r="F3589" i="13"/>
  <c r="F3590" i="13"/>
  <c r="F3591" i="13"/>
  <c r="F3592" i="13"/>
  <c r="F3593" i="13"/>
  <c r="F3594" i="13"/>
  <c r="F3595" i="13"/>
  <c r="F3596" i="13"/>
  <c r="F3597" i="13"/>
  <c r="F3598" i="13"/>
  <c r="F3599" i="13"/>
  <c r="F3600" i="13"/>
  <c r="F3601" i="13"/>
  <c r="F3602" i="13"/>
  <c r="F3603" i="13"/>
  <c r="F3604" i="13"/>
  <c r="F3605" i="13"/>
  <c r="F3606" i="13"/>
  <c r="F3607" i="13"/>
  <c r="F3608" i="13"/>
  <c r="F3609" i="13"/>
  <c r="F3610" i="13"/>
  <c r="F3611" i="13"/>
  <c r="F3612" i="13"/>
  <c r="F3613" i="13"/>
  <c r="F3614" i="13"/>
  <c r="F3615" i="13"/>
  <c r="F3616" i="13"/>
  <c r="F3617" i="13"/>
  <c r="F3618" i="13"/>
  <c r="F3619" i="13"/>
  <c r="F3620" i="13"/>
  <c r="F3621" i="13"/>
  <c r="F3622" i="13"/>
  <c r="F3623" i="13"/>
  <c r="F3624" i="13"/>
  <c r="F3625" i="13"/>
  <c r="F3626" i="13"/>
  <c r="F3627" i="13"/>
  <c r="F3628" i="13"/>
  <c r="F3629" i="13"/>
  <c r="F3630" i="13"/>
  <c r="F3631" i="13"/>
  <c r="F3632" i="13"/>
  <c r="F3633" i="13"/>
  <c r="F3634" i="13"/>
  <c r="F3635" i="13"/>
  <c r="F3636" i="13"/>
  <c r="F3637" i="13"/>
  <c r="F3638" i="13"/>
  <c r="F3639" i="13"/>
  <c r="F3640" i="13"/>
  <c r="F3641" i="13"/>
  <c r="F3642" i="13"/>
  <c r="F3643" i="13"/>
  <c r="F3644" i="13"/>
  <c r="F3645" i="13"/>
  <c r="F3646" i="13"/>
  <c r="F3647" i="13"/>
  <c r="F3648" i="13"/>
  <c r="F3649" i="13"/>
  <c r="F3650" i="13"/>
  <c r="F3651" i="13"/>
  <c r="F3652" i="13"/>
  <c r="F3653" i="13"/>
  <c r="F3654" i="13"/>
  <c r="F3655" i="13"/>
  <c r="F3656" i="13"/>
  <c r="F3657" i="13"/>
  <c r="F3658" i="13"/>
  <c r="F3659" i="13"/>
  <c r="F3660" i="13"/>
  <c r="F3661" i="13"/>
  <c r="F3662" i="13"/>
  <c r="F3663" i="13"/>
  <c r="F3664" i="13"/>
  <c r="F3665" i="13"/>
  <c r="F3666" i="13"/>
  <c r="F3667" i="13"/>
  <c r="F3668" i="13"/>
  <c r="F3669" i="13"/>
  <c r="F3670" i="13"/>
  <c r="F3671" i="13"/>
  <c r="F3672" i="13"/>
  <c r="F3673" i="13"/>
  <c r="F3674" i="13"/>
  <c r="F3675" i="13"/>
  <c r="F3676" i="13"/>
  <c r="F3677" i="13"/>
  <c r="F3678" i="13"/>
  <c r="F3679" i="13"/>
  <c r="F3680" i="13"/>
  <c r="F3681" i="13"/>
  <c r="F3682" i="13"/>
  <c r="F3683" i="13"/>
  <c r="F3684" i="13"/>
  <c r="F3685" i="13"/>
  <c r="F3686" i="13"/>
  <c r="F3687" i="13"/>
  <c r="F3688" i="13"/>
  <c r="F3689" i="13"/>
  <c r="F3690" i="13"/>
  <c r="F3691" i="13"/>
  <c r="F3692" i="13"/>
  <c r="F3693" i="13"/>
  <c r="F3694" i="13"/>
  <c r="F3695" i="13"/>
  <c r="F3696" i="13"/>
  <c r="F3697" i="13"/>
  <c r="F3698" i="13"/>
  <c r="F3699" i="13"/>
  <c r="F3700" i="13"/>
  <c r="F3701" i="13"/>
  <c r="F3702" i="13"/>
  <c r="F3703" i="13"/>
  <c r="F3704" i="13"/>
  <c r="F3705" i="13"/>
  <c r="F3706" i="13"/>
  <c r="F3707" i="13"/>
  <c r="F3708" i="13"/>
  <c r="F3709" i="13"/>
  <c r="F3710" i="13"/>
  <c r="F3711" i="13"/>
  <c r="F3712" i="13"/>
  <c r="F3713" i="13"/>
  <c r="F3714" i="13"/>
  <c r="F3715" i="13"/>
  <c r="F3716" i="13"/>
  <c r="F3717" i="13"/>
  <c r="F3718" i="13"/>
  <c r="F3719" i="13"/>
  <c r="F3720" i="13"/>
  <c r="F3721" i="13"/>
  <c r="F3722" i="13"/>
  <c r="F3723" i="13"/>
  <c r="F3724" i="13"/>
  <c r="F3725" i="13"/>
  <c r="F3726" i="13"/>
  <c r="F3727" i="13"/>
  <c r="F3728" i="13"/>
  <c r="F3729" i="13"/>
  <c r="F3730" i="13"/>
  <c r="F3731" i="13"/>
  <c r="F3732" i="13"/>
  <c r="F3733" i="13"/>
  <c r="F3734" i="13"/>
  <c r="F3735" i="13"/>
  <c r="F3736" i="13"/>
  <c r="F3737" i="13"/>
  <c r="F3738" i="13"/>
  <c r="F3739" i="13"/>
  <c r="F3740" i="13"/>
  <c r="F3741" i="13"/>
  <c r="F3742" i="13"/>
  <c r="F3743" i="13"/>
  <c r="F3744" i="13"/>
  <c r="F3745" i="13"/>
  <c r="F3746" i="13"/>
  <c r="F3747" i="13"/>
  <c r="F3748" i="13"/>
  <c r="F3749" i="13"/>
  <c r="F3750" i="13"/>
  <c r="F3751" i="13"/>
  <c r="F3752" i="13"/>
  <c r="F3753" i="13"/>
  <c r="F3754" i="13"/>
  <c r="F3755" i="13"/>
  <c r="F3756" i="13"/>
  <c r="F3757" i="13"/>
  <c r="F3758" i="13"/>
  <c r="F3759" i="13"/>
  <c r="F3760" i="13"/>
  <c r="F3761" i="13"/>
  <c r="F3762" i="13"/>
  <c r="F3763" i="13"/>
  <c r="F3764" i="13"/>
  <c r="F3765" i="13"/>
  <c r="F3766" i="13"/>
  <c r="F3767" i="13"/>
  <c r="F3768" i="13"/>
  <c r="F3769" i="13"/>
  <c r="F3770" i="13"/>
  <c r="F3771" i="13"/>
  <c r="F3772" i="13"/>
  <c r="F3773" i="13"/>
  <c r="F3774" i="13"/>
  <c r="F3775" i="13"/>
  <c r="F3776" i="13"/>
  <c r="F3777" i="13"/>
  <c r="F3778" i="13"/>
  <c r="F3779" i="13"/>
  <c r="F3780" i="13"/>
  <c r="F3781" i="13"/>
  <c r="F3782" i="13"/>
  <c r="F3783" i="13"/>
  <c r="F3784" i="13"/>
  <c r="F3785" i="13"/>
  <c r="F3786" i="13"/>
  <c r="F3787" i="13"/>
  <c r="F3788" i="13"/>
  <c r="F3789" i="13"/>
  <c r="F3790" i="13"/>
  <c r="F3791" i="13"/>
  <c r="F3792" i="13"/>
  <c r="F3793" i="13"/>
  <c r="F3794" i="13"/>
  <c r="F3795" i="13"/>
  <c r="F3796" i="13"/>
  <c r="F3797" i="13"/>
  <c r="F3798" i="13"/>
  <c r="F3799" i="13"/>
  <c r="F3800" i="13"/>
  <c r="F3801" i="13"/>
  <c r="F3802" i="13"/>
  <c r="F3803" i="13"/>
  <c r="F3804" i="13"/>
  <c r="F3805" i="13"/>
  <c r="F3806" i="13"/>
  <c r="F3807" i="13"/>
  <c r="F3808" i="13"/>
  <c r="F3809" i="13"/>
  <c r="F3810" i="13"/>
  <c r="F3811" i="13"/>
  <c r="F3812" i="13"/>
  <c r="F3813" i="13"/>
  <c r="F3814" i="13"/>
  <c r="F3815" i="13"/>
  <c r="F3816" i="13"/>
  <c r="F3817" i="13"/>
  <c r="F3818" i="13"/>
  <c r="F3819" i="13"/>
  <c r="F3820" i="13"/>
  <c r="F3821" i="13"/>
  <c r="F3822" i="13"/>
  <c r="F3823" i="13"/>
  <c r="F3824" i="13"/>
  <c r="F3825" i="13"/>
  <c r="F3826" i="13"/>
  <c r="F3827" i="13"/>
  <c r="F3828" i="13"/>
  <c r="F3829" i="13"/>
  <c r="F3830" i="13"/>
  <c r="F3831" i="13"/>
  <c r="F3832" i="13"/>
  <c r="F3833" i="13"/>
  <c r="F3834" i="13"/>
  <c r="F3835" i="13"/>
  <c r="F3836" i="13"/>
  <c r="F3837" i="13"/>
  <c r="F3838" i="13"/>
  <c r="F3839" i="13"/>
  <c r="F3840" i="13"/>
  <c r="F3841" i="13"/>
  <c r="F3842" i="13"/>
  <c r="F3843" i="13"/>
  <c r="F3844" i="13"/>
  <c r="F3845" i="13"/>
  <c r="F3846" i="13"/>
  <c r="F3847" i="13"/>
  <c r="F3848" i="13"/>
  <c r="F3849" i="13"/>
  <c r="F3850" i="13"/>
  <c r="F3851" i="13"/>
  <c r="F3852" i="13"/>
  <c r="F3853" i="13"/>
  <c r="F3854" i="13"/>
  <c r="F3855" i="13"/>
  <c r="F3856" i="13"/>
  <c r="F3857" i="13"/>
  <c r="F3858" i="13"/>
  <c r="F3859" i="13"/>
  <c r="F3860" i="13"/>
  <c r="F3861" i="13"/>
  <c r="F3862" i="13"/>
  <c r="F3863" i="13"/>
  <c r="F3864" i="13"/>
  <c r="F3865" i="13"/>
  <c r="F3866" i="13"/>
  <c r="F3867" i="13"/>
  <c r="F3868" i="13"/>
  <c r="F3869" i="13"/>
  <c r="F3870" i="13"/>
  <c r="F3871" i="13"/>
  <c r="F3872" i="13"/>
  <c r="F3873" i="13"/>
  <c r="F3874" i="13"/>
  <c r="F3875" i="13"/>
  <c r="F3876" i="13"/>
  <c r="F3877" i="13"/>
  <c r="F3878" i="13"/>
  <c r="F3879" i="13"/>
  <c r="F3880" i="13"/>
  <c r="F3881" i="13"/>
  <c r="F3882" i="13"/>
  <c r="F3883" i="13"/>
  <c r="F3884" i="13"/>
  <c r="F3885" i="13"/>
  <c r="F3886" i="13"/>
  <c r="F3887" i="13"/>
  <c r="F3888" i="13"/>
  <c r="F3889" i="13"/>
  <c r="F3890" i="13"/>
  <c r="F3891" i="13"/>
  <c r="F3892" i="13"/>
  <c r="F3893" i="13"/>
  <c r="F3894" i="13"/>
  <c r="F3895" i="13"/>
  <c r="F3896" i="13"/>
  <c r="F3897" i="13"/>
  <c r="F3898" i="13"/>
  <c r="F3899" i="13"/>
  <c r="F3900" i="13"/>
  <c r="F3901" i="13"/>
  <c r="F3902" i="13"/>
  <c r="F3903" i="13"/>
  <c r="F3904" i="13"/>
  <c r="F3905" i="13"/>
  <c r="F3906" i="13"/>
  <c r="F3907" i="13"/>
  <c r="F3908" i="13"/>
  <c r="F3909" i="13"/>
  <c r="F3910" i="13"/>
  <c r="F3911" i="13"/>
  <c r="F3912" i="13"/>
  <c r="F3913" i="13"/>
  <c r="F3914" i="13"/>
  <c r="F3915" i="13"/>
  <c r="F3916" i="13"/>
  <c r="F3917" i="13"/>
  <c r="F3918" i="13"/>
  <c r="F3919" i="13"/>
  <c r="F3920" i="13"/>
  <c r="F3921" i="13"/>
  <c r="F3922" i="13"/>
  <c r="F3923" i="13"/>
  <c r="F3924" i="13"/>
  <c r="F3925" i="13"/>
  <c r="F3926" i="13"/>
  <c r="F3927" i="13"/>
  <c r="F3928" i="13"/>
  <c r="F3929" i="13"/>
  <c r="F3930" i="13"/>
  <c r="F3931" i="13"/>
  <c r="F3932" i="13"/>
  <c r="F3933" i="13"/>
  <c r="F3934" i="13"/>
  <c r="F3935" i="13"/>
  <c r="F3936" i="13"/>
  <c r="F3937" i="13"/>
  <c r="F3938" i="13"/>
  <c r="F3939" i="13"/>
  <c r="F3940" i="13"/>
  <c r="F3941" i="13"/>
  <c r="F3942" i="13"/>
  <c r="F3943" i="13"/>
  <c r="F3944" i="13"/>
  <c r="F3945" i="13"/>
  <c r="F3946" i="13"/>
  <c r="F3947" i="13"/>
  <c r="F3948" i="13"/>
  <c r="F3949" i="13"/>
  <c r="F3950" i="13"/>
  <c r="F3951" i="13"/>
  <c r="F3952" i="13"/>
  <c r="F3953" i="13"/>
  <c r="F3954" i="13"/>
  <c r="F3955" i="13"/>
  <c r="F3956" i="13"/>
  <c r="F3957" i="13"/>
  <c r="F3958" i="13"/>
  <c r="F3959" i="13"/>
  <c r="F3960" i="13"/>
  <c r="F3961" i="13"/>
  <c r="F3962" i="13"/>
  <c r="F3963" i="13"/>
  <c r="F3964" i="13"/>
  <c r="F3965" i="13"/>
  <c r="F3966" i="13"/>
  <c r="F3967" i="13"/>
  <c r="F3968" i="13"/>
  <c r="F3969" i="13"/>
  <c r="F3970" i="13"/>
  <c r="F3971" i="13"/>
  <c r="F3972" i="13"/>
  <c r="F3973" i="13"/>
  <c r="F3974" i="13"/>
  <c r="F3975" i="13"/>
  <c r="F3976" i="13"/>
  <c r="F3977" i="13"/>
  <c r="F3978" i="13"/>
  <c r="F3979" i="13"/>
  <c r="F3980" i="13"/>
  <c r="F3981" i="13"/>
  <c r="F3982" i="13"/>
  <c r="F3983" i="13"/>
  <c r="F3984" i="13"/>
  <c r="F3985" i="13"/>
  <c r="F3986" i="13"/>
  <c r="F3987" i="13"/>
  <c r="F3988" i="13"/>
  <c r="F3989" i="13"/>
  <c r="F3990" i="13"/>
  <c r="F3991" i="13"/>
  <c r="F3992" i="13"/>
  <c r="F3993" i="13"/>
  <c r="F3994" i="13"/>
  <c r="F3995" i="13"/>
  <c r="F3996" i="13"/>
  <c r="F3997" i="13"/>
  <c r="F3998" i="13"/>
  <c r="F3999" i="13"/>
  <c r="F4000" i="13"/>
  <c r="F4001" i="13"/>
  <c r="F4002" i="13"/>
  <c r="F4003" i="13"/>
  <c r="F4004" i="13"/>
  <c r="F4005" i="13"/>
  <c r="F4006" i="13"/>
  <c r="F4007" i="13"/>
  <c r="F4008" i="13"/>
  <c r="F4009" i="13"/>
  <c r="F4010" i="13"/>
  <c r="F4011" i="13"/>
  <c r="F4012" i="13"/>
  <c r="F4013" i="13"/>
  <c r="F4014" i="13"/>
  <c r="F4015" i="13"/>
  <c r="F4016" i="13"/>
  <c r="F4017" i="13"/>
  <c r="F4018" i="13"/>
  <c r="F4019" i="13"/>
  <c r="F4020" i="13"/>
  <c r="F4021" i="13"/>
  <c r="F4022" i="13"/>
  <c r="F4023" i="13"/>
  <c r="F4024" i="13"/>
  <c r="F4025" i="13"/>
  <c r="F4026" i="13"/>
  <c r="F4027" i="13"/>
  <c r="F4028" i="13"/>
  <c r="F4029" i="13"/>
  <c r="F4030" i="13"/>
  <c r="F4031" i="13"/>
  <c r="F4032" i="13"/>
  <c r="F4033" i="13"/>
  <c r="F4034" i="13"/>
  <c r="F4035" i="13"/>
  <c r="F4036" i="13"/>
  <c r="F4037" i="13"/>
  <c r="F4038" i="13"/>
  <c r="F4039" i="13"/>
  <c r="F4040" i="13"/>
  <c r="F4041" i="13"/>
  <c r="F4042" i="13"/>
  <c r="F4043" i="13"/>
  <c r="F4044" i="13"/>
  <c r="F4045" i="13"/>
  <c r="F4046" i="13"/>
  <c r="F4047" i="13"/>
  <c r="F4048" i="13"/>
  <c r="F4049" i="13"/>
  <c r="F4050" i="13"/>
  <c r="F4051" i="13"/>
  <c r="F4052" i="13"/>
  <c r="F4053" i="13"/>
  <c r="F4054" i="13"/>
  <c r="F4055" i="13"/>
  <c r="F4056" i="13"/>
  <c r="F4057" i="13"/>
  <c r="F4058" i="13"/>
  <c r="F4059" i="13"/>
  <c r="F4060" i="13"/>
  <c r="F4061" i="13"/>
  <c r="F4062" i="13"/>
  <c r="F4063" i="13"/>
  <c r="F4064" i="13"/>
  <c r="F4065" i="13"/>
  <c r="F4066" i="13"/>
  <c r="F4067" i="13"/>
  <c r="F4068" i="13"/>
  <c r="F4069" i="13"/>
  <c r="F4070" i="13"/>
  <c r="F4071" i="13"/>
  <c r="F4072" i="13"/>
  <c r="F4073" i="13"/>
  <c r="F4074" i="13"/>
  <c r="F4075" i="13"/>
  <c r="F4076" i="13"/>
  <c r="F4077" i="13"/>
  <c r="F4078" i="13"/>
  <c r="F4079" i="13"/>
  <c r="F4080" i="13"/>
  <c r="F4081" i="13"/>
  <c r="F4082" i="13"/>
  <c r="F4083" i="13"/>
  <c r="F4084" i="13"/>
  <c r="F4085" i="13"/>
  <c r="F4086" i="13"/>
  <c r="F4087" i="13"/>
  <c r="F4088" i="13"/>
  <c r="F4089" i="13"/>
  <c r="F4090" i="13"/>
  <c r="F4091" i="13"/>
  <c r="F4092" i="13"/>
  <c r="F4093" i="13"/>
  <c r="F4094" i="13"/>
  <c r="F4095" i="13"/>
  <c r="F4096" i="13"/>
  <c r="F4097" i="13"/>
  <c r="F4098" i="13"/>
  <c r="F4099" i="13"/>
  <c r="F4100" i="13"/>
  <c r="F4101" i="13"/>
  <c r="F4102" i="13"/>
  <c r="F4103" i="13"/>
  <c r="F4104" i="13"/>
  <c r="F4105" i="13"/>
  <c r="F4106" i="13"/>
  <c r="F4107" i="13"/>
  <c r="F4108" i="13"/>
  <c r="F4109" i="13"/>
  <c r="F4110" i="13"/>
  <c r="F4111" i="13"/>
  <c r="F4112" i="13"/>
  <c r="F4113" i="13"/>
  <c r="F4114" i="13"/>
  <c r="F4115" i="13"/>
  <c r="F4116" i="13"/>
  <c r="F4117" i="13"/>
  <c r="F4118" i="13"/>
  <c r="F4119" i="13"/>
  <c r="F4120" i="13"/>
  <c r="F4121" i="13"/>
  <c r="F4122" i="13"/>
  <c r="F4123" i="13"/>
  <c r="F4124" i="13"/>
  <c r="F4125" i="13"/>
  <c r="F4126" i="13"/>
  <c r="F4127" i="13"/>
  <c r="F4128" i="13"/>
  <c r="F4129" i="13"/>
  <c r="F4130" i="13"/>
  <c r="F4131" i="13"/>
  <c r="F4132" i="13"/>
  <c r="F4133" i="13"/>
  <c r="F4134" i="13"/>
  <c r="F4135" i="13"/>
  <c r="F4136" i="13"/>
  <c r="F4137" i="13"/>
  <c r="F4138" i="13"/>
  <c r="F4139" i="13"/>
  <c r="F4140" i="13"/>
  <c r="F4141" i="13"/>
  <c r="F4142" i="13"/>
  <c r="F4143" i="13"/>
  <c r="F4144" i="13"/>
  <c r="F4145" i="13"/>
  <c r="F4146" i="13"/>
  <c r="F4147" i="13"/>
  <c r="F4148" i="13"/>
  <c r="F4149" i="13"/>
  <c r="F4150" i="13"/>
  <c r="F4151" i="13"/>
  <c r="F4152" i="13"/>
  <c r="F4153" i="13"/>
  <c r="F4154" i="13"/>
  <c r="F4155" i="13"/>
  <c r="F4156" i="13"/>
  <c r="F4157" i="13"/>
  <c r="F4158" i="13"/>
  <c r="F4159" i="13"/>
  <c r="F4160" i="13"/>
  <c r="F4161" i="13"/>
  <c r="F4162" i="13"/>
  <c r="F4163" i="13"/>
  <c r="F4164" i="13"/>
  <c r="F4165" i="13"/>
  <c r="F4166" i="13"/>
  <c r="F4167" i="13"/>
  <c r="F4168" i="13"/>
  <c r="F4169" i="13"/>
  <c r="F4170" i="13"/>
  <c r="F4171" i="13"/>
  <c r="F4172" i="13"/>
  <c r="F4173" i="13"/>
  <c r="F4174" i="13"/>
  <c r="F4175" i="13"/>
  <c r="F4176" i="13"/>
  <c r="F4177" i="13"/>
  <c r="F4178" i="13"/>
  <c r="F4179" i="13"/>
  <c r="F4180" i="13"/>
  <c r="F4181" i="13"/>
  <c r="F4182" i="13"/>
  <c r="F4183" i="13"/>
  <c r="F4184" i="13"/>
  <c r="F4185" i="13"/>
  <c r="F4186" i="13"/>
  <c r="F4187" i="13"/>
  <c r="F4188" i="13"/>
  <c r="F4189" i="13"/>
  <c r="F4190" i="13"/>
  <c r="F4191" i="13"/>
  <c r="F4192" i="13"/>
  <c r="F4193" i="13"/>
  <c r="F4194" i="13"/>
  <c r="F4195" i="13"/>
  <c r="F4196" i="13"/>
  <c r="F4197" i="13"/>
  <c r="F4198" i="13"/>
  <c r="F4199" i="13"/>
  <c r="F4200" i="13"/>
  <c r="F4201" i="13"/>
  <c r="F4202" i="13"/>
  <c r="F4203" i="13"/>
  <c r="F4204" i="13"/>
  <c r="F4205" i="13"/>
  <c r="F4206" i="13"/>
  <c r="F4207" i="13"/>
  <c r="F4208" i="13"/>
  <c r="F4209" i="13"/>
  <c r="F4210" i="13"/>
  <c r="F4211" i="13"/>
  <c r="F4212" i="13"/>
  <c r="F4213" i="13"/>
  <c r="F4214" i="13"/>
  <c r="F4215" i="13"/>
  <c r="F4216" i="13"/>
  <c r="F4217" i="13"/>
  <c r="F4218" i="13"/>
  <c r="F4219" i="13"/>
  <c r="F4220" i="13"/>
  <c r="F4221" i="13"/>
  <c r="F4222" i="13"/>
  <c r="F4223" i="13"/>
  <c r="F4224" i="13"/>
  <c r="F4225" i="13"/>
  <c r="F4226" i="13"/>
  <c r="F4227" i="13"/>
  <c r="F4228" i="13"/>
  <c r="F4229" i="13"/>
  <c r="F4230" i="13"/>
  <c r="F4231" i="13"/>
  <c r="F4232" i="13"/>
  <c r="F4233" i="13"/>
  <c r="F4234" i="13"/>
  <c r="F4235" i="13"/>
  <c r="F4236" i="13"/>
  <c r="F4237" i="13"/>
  <c r="F4238" i="13"/>
  <c r="F4239" i="13"/>
  <c r="F4240" i="13"/>
  <c r="F4241" i="13"/>
  <c r="F4242" i="13"/>
  <c r="F4243" i="13"/>
  <c r="F4244" i="13"/>
  <c r="F4245" i="13"/>
  <c r="F4246" i="13"/>
  <c r="F4247" i="13"/>
  <c r="F4248" i="13"/>
  <c r="F4249" i="13"/>
  <c r="F4250" i="13"/>
  <c r="F4251" i="13"/>
  <c r="F4252" i="13"/>
  <c r="F4253" i="13"/>
  <c r="F4254" i="13"/>
  <c r="F4255" i="13"/>
  <c r="F4256" i="13"/>
  <c r="F4257" i="13"/>
  <c r="F4258" i="13"/>
  <c r="F4259" i="13"/>
  <c r="F4260" i="13"/>
  <c r="F4261" i="13"/>
  <c r="F4262" i="13"/>
  <c r="F4263" i="13"/>
  <c r="F4264" i="13"/>
  <c r="F4265" i="13"/>
  <c r="F4266" i="13"/>
  <c r="F4267" i="13"/>
  <c r="F4268" i="13"/>
  <c r="F4269" i="13"/>
  <c r="F4270" i="13"/>
  <c r="F4271" i="13"/>
  <c r="F4272" i="13"/>
  <c r="F4273" i="13"/>
  <c r="F4274" i="13"/>
  <c r="F4275" i="13"/>
  <c r="F4276" i="13"/>
  <c r="F4277" i="13"/>
  <c r="F4278" i="13"/>
  <c r="F4279" i="13"/>
  <c r="F4280" i="13"/>
  <c r="F4281" i="13"/>
  <c r="F4282" i="13"/>
  <c r="F4283" i="13"/>
  <c r="F4284" i="13"/>
  <c r="F4285" i="13"/>
  <c r="F4286" i="13"/>
  <c r="F4287" i="13"/>
  <c r="F4288" i="13"/>
  <c r="F4289" i="13"/>
  <c r="F4290" i="13"/>
  <c r="F4291" i="13"/>
  <c r="F4292" i="13"/>
  <c r="F4293" i="13"/>
  <c r="F4294" i="13"/>
  <c r="F4295" i="13"/>
  <c r="F4296" i="13"/>
  <c r="F4297" i="13"/>
  <c r="F4298" i="13"/>
  <c r="F4299" i="13"/>
  <c r="F4300" i="13"/>
  <c r="F4301" i="13"/>
  <c r="F4302" i="13"/>
  <c r="F4303" i="13"/>
  <c r="F4304" i="13"/>
  <c r="F4305" i="13"/>
  <c r="F4306" i="13"/>
  <c r="F4307" i="13"/>
  <c r="F4308" i="13"/>
  <c r="F4309" i="13"/>
  <c r="F4310" i="13"/>
  <c r="F4311" i="13"/>
  <c r="F4312" i="13"/>
  <c r="F4313" i="13"/>
  <c r="F4314" i="13"/>
  <c r="F4315" i="13"/>
  <c r="F4316" i="13"/>
  <c r="F4317" i="13"/>
  <c r="F4318" i="13"/>
  <c r="F4319" i="13"/>
  <c r="F4320" i="13"/>
  <c r="F4321" i="13"/>
  <c r="F4322" i="13"/>
  <c r="F4323" i="13"/>
  <c r="F4324" i="13"/>
  <c r="F4325" i="13"/>
  <c r="F4326" i="13"/>
  <c r="F4327" i="13"/>
  <c r="F4328" i="13"/>
  <c r="F4329" i="13"/>
  <c r="F4330" i="13"/>
  <c r="F4331" i="13"/>
  <c r="F4332" i="13"/>
  <c r="F4333" i="13"/>
  <c r="F4334" i="13"/>
  <c r="F4335" i="13"/>
  <c r="F4336" i="13"/>
  <c r="F4337" i="13"/>
  <c r="F4338" i="13"/>
  <c r="F4339" i="13"/>
  <c r="F4340" i="13"/>
  <c r="F4341" i="13"/>
  <c r="F4342" i="13"/>
  <c r="F4343" i="13"/>
  <c r="F4344" i="13"/>
  <c r="F4345" i="13"/>
  <c r="F4346" i="13"/>
  <c r="F4347" i="13"/>
  <c r="F4348" i="13"/>
  <c r="F4349" i="13"/>
  <c r="F4350" i="13"/>
  <c r="F4351" i="13"/>
  <c r="F4352" i="13"/>
  <c r="F4353" i="13"/>
  <c r="F4354" i="13"/>
  <c r="F4355" i="13"/>
  <c r="F4356" i="13"/>
  <c r="F4357" i="13"/>
  <c r="F4358" i="13"/>
  <c r="F4359" i="13"/>
  <c r="F4360" i="13"/>
  <c r="F4361" i="13"/>
  <c r="F4362" i="13"/>
  <c r="F4363" i="13"/>
  <c r="F4364" i="13"/>
  <c r="F4365" i="13"/>
  <c r="F4366" i="13"/>
  <c r="F4367" i="13"/>
  <c r="F4368" i="13"/>
  <c r="F4369" i="13"/>
  <c r="F4370" i="13"/>
  <c r="F4371" i="13"/>
  <c r="F4372" i="13"/>
  <c r="F4373" i="13"/>
  <c r="F4374" i="13"/>
  <c r="F4375" i="13"/>
  <c r="F4376" i="13"/>
  <c r="F4377" i="13"/>
  <c r="F4378" i="13"/>
  <c r="F4379" i="13"/>
  <c r="F4380" i="13"/>
  <c r="F4381" i="13"/>
  <c r="F4382" i="13"/>
  <c r="F4383" i="13"/>
  <c r="F4384" i="13"/>
  <c r="F4385" i="13"/>
  <c r="F4386" i="13"/>
  <c r="F4387" i="13"/>
  <c r="F4388" i="13"/>
  <c r="F4389" i="13"/>
  <c r="F4390" i="13"/>
  <c r="F4391" i="13"/>
  <c r="F4392" i="13"/>
  <c r="F4393" i="13"/>
  <c r="F4394" i="13"/>
  <c r="F4395" i="13"/>
  <c r="F4396" i="13"/>
  <c r="F4397" i="13"/>
  <c r="F4398" i="13"/>
  <c r="F4399" i="13"/>
  <c r="F4400" i="13"/>
  <c r="F4401" i="13"/>
  <c r="F4402" i="13"/>
  <c r="F4403" i="13"/>
  <c r="F4404" i="13"/>
  <c r="F4405" i="13"/>
  <c r="F4406" i="13"/>
  <c r="F4407" i="13"/>
  <c r="F4408" i="13"/>
  <c r="F4409" i="13"/>
  <c r="F4410" i="13"/>
  <c r="F4411" i="13"/>
  <c r="F4412" i="13"/>
  <c r="F4413" i="13"/>
  <c r="F4414" i="13"/>
  <c r="F4415" i="13"/>
  <c r="F4416" i="13"/>
  <c r="F4417" i="13"/>
  <c r="F4418" i="13"/>
  <c r="F4419" i="13"/>
  <c r="F4420" i="13"/>
  <c r="F4421" i="13"/>
  <c r="F4422" i="13"/>
  <c r="F4423" i="13"/>
  <c r="F4424" i="13"/>
  <c r="F4425" i="13"/>
  <c r="F4426" i="13"/>
  <c r="F4427" i="13"/>
  <c r="F4428" i="13"/>
  <c r="F4429" i="13"/>
  <c r="F4430" i="13"/>
  <c r="F4431" i="13"/>
  <c r="F4432" i="13"/>
  <c r="F4433" i="13"/>
  <c r="F4434" i="13"/>
  <c r="F4435" i="13"/>
  <c r="F4436" i="13"/>
  <c r="F4437" i="13"/>
  <c r="F4438" i="13"/>
  <c r="F4439" i="13"/>
  <c r="F4440" i="13"/>
  <c r="F4441" i="13"/>
  <c r="F4442" i="13"/>
  <c r="F4443" i="13"/>
  <c r="F4444" i="13"/>
  <c r="F4445" i="13"/>
  <c r="F4446" i="13"/>
  <c r="F4447" i="13"/>
  <c r="F4448" i="13"/>
  <c r="F4449" i="13"/>
  <c r="F4450" i="13"/>
  <c r="F4451" i="13"/>
  <c r="F4452" i="13"/>
  <c r="F4453" i="13"/>
  <c r="F4454" i="13"/>
  <c r="F4455" i="13"/>
  <c r="F4456" i="13"/>
  <c r="F4457" i="13"/>
  <c r="F4458" i="13"/>
  <c r="F4459" i="13"/>
  <c r="F4460" i="13"/>
  <c r="F4461" i="13"/>
  <c r="F4462" i="13"/>
  <c r="F4463" i="13"/>
  <c r="F4464" i="13"/>
  <c r="F4465" i="13"/>
  <c r="F4466" i="13"/>
  <c r="F4467" i="13"/>
  <c r="F4468" i="13"/>
  <c r="F4469" i="13"/>
  <c r="F4470" i="13"/>
  <c r="F4471" i="13"/>
  <c r="F4472" i="13"/>
  <c r="F4473" i="13"/>
  <c r="F4474" i="13"/>
  <c r="F4475" i="13"/>
  <c r="F4476" i="13"/>
  <c r="F4477" i="13"/>
  <c r="F4478" i="13"/>
  <c r="F4479" i="13"/>
  <c r="F4480" i="13"/>
  <c r="F4481" i="13"/>
  <c r="F4482" i="13"/>
  <c r="F4483" i="13"/>
  <c r="F4484" i="13"/>
  <c r="F4485" i="13"/>
  <c r="F4486" i="13"/>
  <c r="F4487" i="13"/>
  <c r="F4488" i="13"/>
  <c r="F4489" i="13"/>
  <c r="F4490" i="13"/>
  <c r="F4491" i="13"/>
  <c r="F4492" i="13"/>
  <c r="F4493" i="13"/>
  <c r="F4494" i="13"/>
  <c r="F4495" i="13"/>
  <c r="F4496" i="13"/>
  <c r="F4497" i="13"/>
  <c r="F4498" i="13"/>
  <c r="F4499" i="13"/>
  <c r="F4500" i="13"/>
  <c r="F4501" i="13"/>
  <c r="F4502" i="13"/>
  <c r="F4503" i="13"/>
  <c r="F4504" i="13"/>
  <c r="F4505" i="13"/>
  <c r="F4506" i="13"/>
  <c r="F4507" i="13"/>
  <c r="F4508" i="13"/>
  <c r="F4509" i="13"/>
  <c r="F4510" i="13"/>
  <c r="F4511" i="13"/>
  <c r="F4512" i="13"/>
  <c r="F4513" i="13"/>
  <c r="F4514" i="13"/>
  <c r="F4515" i="13"/>
  <c r="F4516" i="13"/>
  <c r="F4517" i="13"/>
  <c r="F4518" i="13"/>
  <c r="F4519" i="13"/>
  <c r="F4520" i="13"/>
  <c r="F4521" i="13"/>
  <c r="F4522" i="13"/>
  <c r="F4523" i="13"/>
  <c r="F4524" i="13"/>
  <c r="F4525" i="13"/>
  <c r="F4526" i="13"/>
  <c r="F4527" i="13"/>
  <c r="F4528" i="13"/>
  <c r="F4529" i="13"/>
  <c r="F4530" i="13"/>
  <c r="F4531" i="13"/>
  <c r="F4532" i="13"/>
  <c r="F4533" i="13"/>
  <c r="F4534" i="13"/>
  <c r="F4535" i="13"/>
  <c r="F4536" i="13"/>
  <c r="F4537" i="13"/>
  <c r="F4538" i="13"/>
  <c r="F4539" i="13"/>
  <c r="F4540" i="13"/>
  <c r="F4541" i="13"/>
  <c r="F4542" i="13"/>
  <c r="F4543" i="13"/>
  <c r="F4544" i="13"/>
  <c r="F4545" i="13"/>
  <c r="F4546" i="13"/>
  <c r="F4547" i="13"/>
  <c r="F4548" i="13"/>
  <c r="F4549" i="13"/>
  <c r="F4550" i="13"/>
  <c r="F4551" i="13"/>
  <c r="F4552" i="13"/>
  <c r="F4553" i="13"/>
  <c r="F4554" i="13"/>
  <c r="F4555" i="13"/>
  <c r="F4556" i="13"/>
  <c r="F4557" i="13"/>
  <c r="F4558" i="13"/>
  <c r="F4559" i="13"/>
  <c r="F4560" i="13"/>
  <c r="F4561" i="13"/>
  <c r="F4562" i="13"/>
  <c r="F4563" i="13"/>
  <c r="F4564" i="13"/>
  <c r="F4565" i="13"/>
  <c r="F4566" i="13"/>
  <c r="F4567" i="13"/>
  <c r="F4568" i="13"/>
  <c r="F4569" i="13"/>
  <c r="F4570" i="13"/>
  <c r="F4571" i="13"/>
  <c r="F4572" i="13"/>
  <c r="F4573" i="13"/>
  <c r="F4574" i="13"/>
  <c r="F4575" i="13"/>
  <c r="F4576" i="13"/>
  <c r="F4577" i="13"/>
  <c r="F4578" i="13"/>
  <c r="F4579" i="13"/>
  <c r="F4580" i="13"/>
  <c r="F4581" i="13"/>
  <c r="F4582" i="13"/>
  <c r="F4583" i="13"/>
  <c r="F4584" i="13"/>
  <c r="F4585" i="13"/>
  <c r="F4586" i="13"/>
  <c r="F4587" i="13"/>
  <c r="F4588" i="13"/>
  <c r="F4589" i="13"/>
  <c r="F4590" i="13"/>
  <c r="F4591" i="13"/>
  <c r="F4592" i="13"/>
  <c r="F4593" i="13"/>
  <c r="F4594" i="13"/>
  <c r="F4595" i="13"/>
  <c r="F4596" i="13"/>
  <c r="F4597" i="13"/>
  <c r="F4598" i="13"/>
  <c r="F4599" i="13"/>
  <c r="F4600" i="13"/>
  <c r="F4601" i="13"/>
  <c r="F4602" i="13"/>
  <c r="F4603" i="13"/>
  <c r="F4604" i="13"/>
  <c r="F4605" i="13"/>
  <c r="F4606" i="13"/>
  <c r="F4607" i="13"/>
  <c r="F4608" i="13"/>
  <c r="F4609" i="13"/>
  <c r="F4610" i="13"/>
  <c r="F4611" i="13"/>
  <c r="F4612" i="13"/>
  <c r="F4613" i="13"/>
  <c r="F4614" i="13"/>
  <c r="F4615" i="13"/>
  <c r="F4616" i="13"/>
  <c r="F4617" i="13"/>
  <c r="F4618" i="13"/>
  <c r="F4619" i="13"/>
  <c r="F4620" i="13"/>
  <c r="F4621" i="13"/>
  <c r="F4622" i="13"/>
  <c r="F4623" i="13"/>
  <c r="F4624" i="13"/>
  <c r="F4625" i="13"/>
  <c r="F4626" i="13"/>
  <c r="F4627" i="13"/>
  <c r="F4628" i="13"/>
  <c r="F4629" i="13"/>
  <c r="F4630" i="13"/>
  <c r="F4631" i="13"/>
  <c r="F4632" i="13"/>
  <c r="F4633" i="13"/>
  <c r="F4634" i="13"/>
  <c r="F4635" i="13"/>
  <c r="F4636" i="13"/>
  <c r="F4637" i="13"/>
  <c r="F4638" i="13"/>
  <c r="F4639" i="13"/>
  <c r="F4640" i="13"/>
  <c r="F4641" i="13"/>
  <c r="F4642" i="13"/>
  <c r="F4643" i="13"/>
  <c r="F4644" i="13"/>
  <c r="F4645" i="13"/>
  <c r="F4646" i="13"/>
  <c r="F4647" i="13"/>
  <c r="F4648" i="13"/>
  <c r="F4649" i="13"/>
  <c r="F4650" i="13"/>
  <c r="F4651" i="13"/>
  <c r="F4652" i="13"/>
  <c r="F4653" i="13"/>
  <c r="F4654" i="13"/>
  <c r="F4655" i="13"/>
  <c r="F4656" i="13"/>
  <c r="F4657" i="13"/>
  <c r="F4658" i="13"/>
  <c r="F4659" i="13"/>
  <c r="F4660" i="13"/>
  <c r="F4661" i="13"/>
  <c r="F4662" i="13"/>
  <c r="F4663" i="13"/>
  <c r="F4664" i="13"/>
  <c r="F4665" i="13"/>
  <c r="F4666" i="13"/>
  <c r="F4667" i="13"/>
  <c r="F4668" i="13"/>
  <c r="F4669" i="13"/>
  <c r="F4670" i="13"/>
  <c r="F4671" i="13"/>
  <c r="F4672" i="13"/>
  <c r="F4673" i="13"/>
  <c r="F4674" i="13"/>
  <c r="F4675" i="13"/>
  <c r="F4676" i="13"/>
  <c r="F4677" i="13"/>
  <c r="F4678" i="13"/>
  <c r="F4679" i="13"/>
  <c r="F4680" i="13"/>
  <c r="F4681" i="13"/>
  <c r="F4682" i="13"/>
  <c r="F4683" i="13"/>
  <c r="F4684" i="13"/>
  <c r="F4685" i="13"/>
  <c r="F4686" i="13"/>
  <c r="F4687" i="13"/>
  <c r="F4688" i="13"/>
  <c r="F4689" i="13"/>
  <c r="F4690" i="13"/>
  <c r="F4691" i="13"/>
  <c r="F4692" i="13"/>
  <c r="F4693" i="13"/>
  <c r="F4694" i="13"/>
  <c r="F4695" i="13"/>
  <c r="F4696" i="13"/>
  <c r="F4697" i="13"/>
  <c r="F4698" i="13"/>
  <c r="F4699" i="13"/>
  <c r="F4700" i="13"/>
  <c r="F4701" i="13"/>
  <c r="F4702" i="13"/>
  <c r="F4703" i="13"/>
  <c r="F4704" i="13"/>
  <c r="F4705" i="13"/>
  <c r="F4706" i="13"/>
  <c r="F4707" i="13"/>
  <c r="F4708" i="13"/>
  <c r="F4709" i="13"/>
  <c r="F4710" i="13"/>
  <c r="F4711" i="13"/>
  <c r="F4712" i="13"/>
  <c r="F4713" i="13"/>
  <c r="F4714" i="13"/>
  <c r="F4715" i="13"/>
  <c r="F4716" i="13"/>
  <c r="F4717" i="13"/>
  <c r="F4718" i="13"/>
  <c r="F4719" i="13"/>
  <c r="F4720" i="13"/>
  <c r="F4721" i="13"/>
  <c r="F4722" i="13"/>
  <c r="F4723" i="13"/>
  <c r="F4724" i="13"/>
  <c r="F4725" i="13"/>
  <c r="F4726" i="13"/>
  <c r="F4727" i="13"/>
  <c r="F4728" i="13"/>
  <c r="F4729" i="13"/>
  <c r="F4730" i="13"/>
  <c r="F4731" i="13"/>
  <c r="F4732" i="13"/>
  <c r="F4733" i="13"/>
  <c r="F4734" i="13"/>
  <c r="F4735" i="13"/>
  <c r="F4736" i="13"/>
  <c r="F4737" i="13"/>
  <c r="F4738" i="13"/>
  <c r="F4739" i="13"/>
  <c r="F4740" i="13"/>
  <c r="F4741" i="13"/>
  <c r="F4742" i="13"/>
  <c r="F4743" i="13"/>
  <c r="F4744" i="13"/>
  <c r="F4745" i="13"/>
  <c r="F4746" i="13"/>
  <c r="F4747" i="13"/>
  <c r="F4748" i="13"/>
  <c r="F4749" i="13"/>
  <c r="F4750" i="13"/>
  <c r="F4751" i="13"/>
  <c r="F4752" i="13"/>
  <c r="F4753" i="13"/>
  <c r="F4754" i="13"/>
  <c r="F4755" i="13"/>
  <c r="F4756" i="13"/>
  <c r="F4757" i="13"/>
  <c r="F4758" i="13"/>
  <c r="F4759" i="13"/>
  <c r="F4760" i="13"/>
  <c r="F4761" i="13"/>
  <c r="F4762" i="13"/>
  <c r="F4763" i="13"/>
  <c r="F4764" i="13"/>
  <c r="F4765" i="13"/>
  <c r="F4766" i="13"/>
  <c r="F4767" i="13"/>
  <c r="F4768" i="13"/>
  <c r="F4769" i="13"/>
  <c r="F4770" i="13"/>
  <c r="F4771" i="13"/>
  <c r="F4772" i="13"/>
  <c r="F4773" i="13"/>
  <c r="F4774" i="13"/>
  <c r="F4775" i="13"/>
  <c r="F4776" i="13"/>
  <c r="F4777" i="13"/>
  <c r="F4778" i="13"/>
  <c r="F4779" i="13"/>
  <c r="F4780" i="13"/>
  <c r="F4781" i="13"/>
  <c r="F4782" i="13"/>
  <c r="F4783" i="13"/>
  <c r="F4784" i="13"/>
  <c r="F4785" i="13"/>
  <c r="F4786" i="13"/>
  <c r="F4787" i="13"/>
  <c r="F4788" i="13"/>
  <c r="F4789" i="13"/>
  <c r="F4790" i="13"/>
  <c r="F4791" i="13"/>
  <c r="F4792" i="13"/>
  <c r="F4793" i="13"/>
  <c r="F4794" i="13"/>
  <c r="F4795" i="13"/>
  <c r="F4796" i="13"/>
  <c r="F4797" i="13"/>
  <c r="F4798" i="13"/>
  <c r="F4799" i="13"/>
  <c r="F4800" i="13"/>
  <c r="F4801" i="13"/>
  <c r="F4802" i="13"/>
  <c r="F4803" i="13"/>
  <c r="F4804" i="13"/>
  <c r="F4805" i="13"/>
  <c r="F4806" i="13"/>
  <c r="F4807" i="13"/>
  <c r="F4808" i="13"/>
  <c r="F4809" i="13"/>
  <c r="F4810" i="13"/>
  <c r="F4811" i="13"/>
  <c r="F4812" i="13"/>
  <c r="F4813" i="13"/>
  <c r="F4814" i="13"/>
  <c r="F4815" i="13"/>
  <c r="F4816" i="13"/>
  <c r="F4817" i="13"/>
  <c r="F4818" i="13"/>
  <c r="F4819" i="13"/>
  <c r="F4820" i="13"/>
  <c r="F4821" i="13"/>
  <c r="F4822" i="13"/>
  <c r="F4823" i="13"/>
  <c r="F4824" i="13"/>
  <c r="F4825" i="13"/>
  <c r="F4826" i="13"/>
  <c r="F4827" i="13"/>
  <c r="F4828" i="13"/>
  <c r="F4829" i="13"/>
  <c r="F4830" i="13"/>
  <c r="F4831" i="13"/>
  <c r="F4832" i="13"/>
  <c r="F4833" i="13"/>
  <c r="F4834" i="13"/>
  <c r="F4835" i="13"/>
  <c r="F4836" i="13"/>
  <c r="F4837" i="13"/>
  <c r="F4838" i="13"/>
  <c r="F4839" i="13"/>
  <c r="F4840" i="13"/>
  <c r="F4841" i="13"/>
  <c r="F4842" i="13"/>
  <c r="F4843" i="13"/>
  <c r="F4844" i="13"/>
  <c r="F4845" i="13"/>
  <c r="F4846" i="13"/>
  <c r="F4847" i="13"/>
  <c r="F4848" i="13"/>
  <c r="F4849" i="13"/>
  <c r="F4850" i="13"/>
  <c r="F4851" i="13"/>
  <c r="F4852" i="13"/>
  <c r="F4853" i="13"/>
  <c r="F4854" i="13"/>
  <c r="F4855" i="13"/>
  <c r="F4856" i="13"/>
  <c r="F4857" i="13"/>
  <c r="F4858" i="13"/>
  <c r="F4859" i="13"/>
  <c r="F4860" i="13"/>
  <c r="F4861" i="13"/>
  <c r="F4862" i="13"/>
  <c r="F4863" i="13"/>
  <c r="F4864" i="13"/>
  <c r="F4865" i="13"/>
  <c r="F4866" i="13"/>
  <c r="F4867" i="13"/>
  <c r="F4868" i="13"/>
  <c r="F4869" i="13"/>
  <c r="F4870" i="13"/>
  <c r="F4871" i="13"/>
  <c r="F4872" i="13"/>
  <c r="F4873" i="13"/>
  <c r="F4874" i="13"/>
  <c r="F4875" i="13"/>
  <c r="F4876" i="13"/>
  <c r="F4877" i="13"/>
  <c r="F4878" i="13"/>
  <c r="F4879" i="13"/>
  <c r="F4880" i="13"/>
  <c r="F4881" i="13"/>
  <c r="F4882" i="13"/>
  <c r="F4883" i="13"/>
  <c r="F4884" i="13"/>
  <c r="F4885" i="13"/>
  <c r="F4886" i="13"/>
  <c r="F4887" i="13"/>
  <c r="F4888" i="13"/>
  <c r="F4889" i="13"/>
  <c r="F4890" i="13"/>
  <c r="F4891" i="13"/>
  <c r="F4892" i="13"/>
  <c r="F4893" i="13"/>
  <c r="F4894" i="13"/>
  <c r="F4895" i="13"/>
  <c r="F4896" i="13"/>
  <c r="F4897" i="13"/>
  <c r="F4898" i="13"/>
  <c r="F4899" i="13"/>
  <c r="F4900" i="13"/>
  <c r="F4901" i="13"/>
  <c r="J2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J952" i="13"/>
  <c r="J953" i="13"/>
  <c r="J954" i="13"/>
  <c r="J955" i="13"/>
  <c r="J956" i="13"/>
  <c r="J957" i="13"/>
  <c r="J958" i="13"/>
  <c r="J959" i="13"/>
  <c r="J960" i="13"/>
  <c r="J961" i="13"/>
  <c r="J962" i="13"/>
  <c r="J963" i="13"/>
  <c r="J964" i="13"/>
  <c r="J965" i="13"/>
  <c r="J966" i="13"/>
  <c r="J967" i="13"/>
  <c r="J968" i="13"/>
  <c r="J969" i="13"/>
  <c r="J970" i="13"/>
  <c r="J971" i="13"/>
  <c r="J972" i="13"/>
  <c r="J973" i="13"/>
  <c r="J974" i="13"/>
  <c r="J975" i="13"/>
  <c r="J976" i="13"/>
  <c r="J977" i="13"/>
  <c r="J978" i="13"/>
  <c r="J979" i="13"/>
  <c r="J980" i="13"/>
  <c r="J981" i="13"/>
  <c r="J982" i="13"/>
  <c r="J983" i="13"/>
  <c r="J984" i="13"/>
  <c r="J985" i="13"/>
  <c r="J986" i="13"/>
  <c r="J987" i="13"/>
  <c r="J988" i="13"/>
  <c r="J989" i="13"/>
  <c r="J990" i="13"/>
  <c r="J991" i="13"/>
  <c r="J992" i="13"/>
  <c r="J993" i="13"/>
  <c r="J994" i="13"/>
  <c r="J995" i="13"/>
  <c r="J996" i="13"/>
  <c r="J997" i="13"/>
  <c r="J998" i="13"/>
  <c r="J999" i="13"/>
  <c r="J1000" i="13"/>
  <c r="J1001" i="13"/>
  <c r="J1002" i="13"/>
  <c r="J1003" i="13"/>
  <c r="J1004" i="13"/>
  <c r="J1005" i="13"/>
  <c r="J1006" i="13"/>
  <c r="J1007" i="13"/>
  <c r="J1008" i="13"/>
  <c r="J1009" i="13"/>
  <c r="J1010" i="13"/>
  <c r="J1011" i="13"/>
  <c r="J1012" i="13"/>
  <c r="J1013" i="13"/>
  <c r="J1014" i="13"/>
  <c r="J1015" i="13"/>
  <c r="J1016" i="13"/>
  <c r="J1017" i="13"/>
  <c r="J1018" i="13"/>
  <c r="J1019" i="13"/>
  <c r="J1020" i="13"/>
  <c r="J1021" i="13"/>
  <c r="J1022" i="13"/>
  <c r="J1023" i="13"/>
  <c r="J1024" i="13"/>
  <c r="J1025" i="13"/>
  <c r="J1026" i="13"/>
  <c r="J1027" i="13"/>
  <c r="J1028" i="13"/>
  <c r="J1029" i="13"/>
  <c r="J1030" i="13"/>
  <c r="J1031" i="13"/>
  <c r="J1032" i="13"/>
  <c r="J1033" i="13"/>
  <c r="J1034" i="13"/>
  <c r="J1035" i="13"/>
  <c r="J1036" i="13"/>
  <c r="J1037" i="13"/>
  <c r="J1038" i="13"/>
  <c r="J1039" i="13"/>
  <c r="J1040" i="13"/>
  <c r="J1041" i="13"/>
  <c r="J1042" i="13"/>
  <c r="J1043" i="13"/>
  <c r="J1044" i="13"/>
  <c r="J1045" i="13"/>
  <c r="J1046" i="13"/>
  <c r="J1047" i="13"/>
  <c r="J1048" i="13"/>
  <c r="J1049" i="13"/>
  <c r="J1050" i="13"/>
  <c r="J1051" i="13"/>
  <c r="J1052" i="13"/>
  <c r="J1053" i="13"/>
  <c r="J1054" i="13"/>
  <c r="J1055" i="13"/>
  <c r="J1056" i="13"/>
  <c r="J1057" i="13"/>
  <c r="J1058" i="13"/>
  <c r="J1059" i="13"/>
  <c r="J1060" i="13"/>
  <c r="J1061" i="13"/>
  <c r="J1062" i="13"/>
  <c r="J1063" i="13"/>
  <c r="J1064" i="13"/>
  <c r="J1065" i="13"/>
  <c r="J1066" i="13"/>
  <c r="J1067" i="13"/>
  <c r="J1068" i="13"/>
  <c r="J1069" i="13"/>
  <c r="J1070" i="13"/>
  <c r="J1071" i="13"/>
  <c r="J1072" i="13"/>
  <c r="J1073" i="13"/>
  <c r="J1074" i="13"/>
  <c r="J1075" i="13"/>
  <c r="J1076" i="13"/>
  <c r="J1077" i="13"/>
  <c r="J1078" i="13"/>
  <c r="J1079" i="13"/>
  <c r="J1080" i="13"/>
  <c r="J1081" i="13"/>
  <c r="J1082" i="13"/>
  <c r="J1083" i="13"/>
  <c r="J1084" i="13"/>
  <c r="J1085" i="13"/>
  <c r="J1086" i="13"/>
  <c r="J1087" i="13"/>
  <c r="J1088" i="13"/>
  <c r="J1089" i="13"/>
  <c r="J1090" i="13"/>
  <c r="J1091" i="13"/>
  <c r="J1092" i="13"/>
  <c r="J1093" i="13"/>
  <c r="J1094" i="13"/>
  <c r="J1095" i="13"/>
  <c r="J1096" i="13"/>
  <c r="J1097" i="13"/>
  <c r="J1098" i="13"/>
  <c r="J1099" i="13"/>
  <c r="J1100" i="13"/>
  <c r="J1101" i="13"/>
  <c r="J1102" i="13"/>
  <c r="J1103" i="13"/>
  <c r="J1104" i="13"/>
  <c r="J1105" i="13"/>
  <c r="J1106" i="13"/>
  <c r="J1107" i="13"/>
  <c r="J1108" i="13"/>
  <c r="J1109" i="13"/>
  <c r="J1110" i="13"/>
  <c r="J1111" i="13"/>
  <c r="J1112" i="13"/>
  <c r="J1113" i="13"/>
  <c r="J1114" i="13"/>
  <c r="J1115" i="13"/>
  <c r="J1116" i="13"/>
  <c r="J1117" i="13"/>
  <c r="J1118" i="13"/>
  <c r="J1119" i="13"/>
  <c r="J1120" i="13"/>
  <c r="J1121" i="13"/>
  <c r="J1122" i="13"/>
  <c r="J1123" i="13"/>
  <c r="J1124" i="13"/>
  <c r="J1125" i="13"/>
  <c r="J1126" i="13"/>
  <c r="J1127" i="13"/>
  <c r="J1128" i="13"/>
  <c r="J1129" i="13"/>
  <c r="J1130" i="13"/>
  <c r="J1131" i="13"/>
  <c r="J1132" i="13"/>
  <c r="J1133" i="13"/>
  <c r="J1134" i="13"/>
  <c r="J1135" i="13"/>
  <c r="J1136" i="13"/>
  <c r="J1137" i="13"/>
  <c r="J1138" i="13"/>
  <c r="J1139" i="13"/>
  <c r="J1140" i="13"/>
  <c r="J1141" i="13"/>
  <c r="J1142" i="13"/>
  <c r="J1143" i="13"/>
  <c r="J1144" i="13"/>
  <c r="J1145" i="13"/>
  <c r="J1146" i="13"/>
  <c r="J1147" i="13"/>
  <c r="J1148" i="13"/>
  <c r="J1149" i="13"/>
  <c r="J1150" i="13"/>
  <c r="J1151" i="13"/>
  <c r="J1152" i="13"/>
  <c r="J1153" i="13"/>
  <c r="J1154" i="13"/>
  <c r="J1155" i="13"/>
  <c r="J1156" i="13"/>
  <c r="J1157" i="13"/>
  <c r="J1158" i="13"/>
  <c r="J1159" i="13"/>
  <c r="J1160" i="13"/>
  <c r="J1161" i="13"/>
  <c r="J1162" i="13"/>
  <c r="J1163" i="13"/>
  <c r="J1164" i="13"/>
  <c r="J1165" i="13"/>
  <c r="J1166" i="13"/>
  <c r="J1167" i="13"/>
  <c r="J1168" i="13"/>
  <c r="J1169" i="13"/>
  <c r="J1170" i="13"/>
  <c r="J1171" i="13"/>
  <c r="J1172" i="13"/>
  <c r="J1173" i="13"/>
  <c r="J1174" i="13"/>
  <c r="J1175" i="13"/>
  <c r="J1176" i="13"/>
  <c r="J1177" i="13"/>
  <c r="J1178" i="13"/>
  <c r="J1179" i="13"/>
  <c r="J1180" i="13"/>
  <c r="J1181" i="13"/>
  <c r="J1182" i="13"/>
  <c r="J1183" i="13"/>
  <c r="J1184" i="13"/>
  <c r="J1185" i="13"/>
  <c r="J1186" i="13"/>
  <c r="J1187" i="13"/>
  <c r="J1188" i="13"/>
  <c r="J1189" i="13"/>
  <c r="J1190" i="13"/>
  <c r="J1191" i="13"/>
  <c r="J1192" i="13"/>
  <c r="J1193" i="13"/>
  <c r="J1194" i="13"/>
  <c r="J1195" i="13"/>
  <c r="J1196" i="13"/>
  <c r="J1197" i="13"/>
  <c r="J1198" i="13"/>
  <c r="J1199" i="13"/>
  <c r="J1200" i="13"/>
  <c r="J1201" i="13"/>
  <c r="J1202" i="13"/>
  <c r="J1203" i="13"/>
  <c r="J1204" i="13"/>
  <c r="J1205" i="13"/>
  <c r="J1206" i="13"/>
  <c r="J1207" i="13"/>
  <c r="J1208" i="13"/>
  <c r="J1209" i="13"/>
  <c r="J1210" i="13"/>
  <c r="J1211" i="13"/>
  <c r="J1212" i="13"/>
  <c r="J1213" i="13"/>
  <c r="J1214" i="13"/>
  <c r="J1215" i="13"/>
  <c r="J1216" i="13"/>
  <c r="J1217" i="13"/>
  <c r="J1218" i="13"/>
  <c r="J1219" i="13"/>
  <c r="J1220" i="13"/>
  <c r="J1221" i="13"/>
  <c r="J1222" i="13"/>
  <c r="J1223" i="13"/>
  <c r="J1224" i="13"/>
  <c r="J1225" i="13"/>
  <c r="J1226" i="13"/>
  <c r="J1227" i="13"/>
  <c r="J1228" i="13"/>
  <c r="J1229" i="13"/>
  <c r="J1230" i="13"/>
  <c r="J1231" i="13"/>
  <c r="J1232" i="13"/>
  <c r="J1233" i="13"/>
  <c r="J1234" i="13"/>
  <c r="J1235" i="13"/>
  <c r="J1236" i="13"/>
  <c r="J1237" i="13"/>
  <c r="J1238" i="13"/>
  <c r="J1239" i="13"/>
  <c r="J1240" i="13"/>
  <c r="J1241" i="13"/>
  <c r="J1242" i="13"/>
  <c r="J1243" i="13"/>
  <c r="J1244" i="13"/>
  <c r="J1245" i="13"/>
  <c r="J1246" i="13"/>
  <c r="J1247" i="13"/>
  <c r="J1248" i="13"/>
  <c r="J1249" i="13"/>
  <c r="J1250" i="13"/>
  <c r="J1251" i="13"/>
  <c r="J1252" i="13"/>
  <c r="J1253" i="13"/>
  <c r="J1254" i="13"/>
  <c r="J1255" i="13"/>
  <c r="J1256" i="13"/>
  <c r="J1257" i="13"/>
  <c r="J1258" i="13"/>
  <c r="J1259" i="13"/>
  <c r="J1260" i="13"/>
  <c r="J1261" i="13"/>
  <c r="J1262" i="13"/>
  <c r="J1263" i="13"/>
  <c r="J1264" i="13"/>
  <c r="J1265" i="13"/>
  <c r="J1266" i="13"/>
  <c r="J1267" i="13"/>
  <c r="J1268" i="13"/>
  <c r="J1269" i="13"/>
  <c r="J1270" i="13"/>
  <c r="J1271" i="13"/>
  <c r="J1272" i="13"/>
  <c r="J1273" i="13"/>
  <c r="J1274" i="13"/>
  <c r="J1275" i="13"/>
  <c r="J1276" i="13"/>
  <c r="J1277" i="13"/>
  <c r="J1278" i="13"/>
  <c r="J1279" i="13"/>
  <c r="J1280" i="13"/>
  <c r="J1281" i="13"/>
  <c r="J1282" i="13"/>
  <c r="J1283" i="13"/>
  <c r="J1284" i="13"/>
  <c r="J1285" i="13"/>
  <c r="J1286" i="13"/>
  <c r="J1287" i="13"/>
  <c r="J1288" i="13"/>
  <c r="J1289" i="13"/>
  <c r="J1290" i="13"/>
  <c r="J1291" i="13"/>
  <c r="J1292" i="13"/>
  <c r="J1293" i="13"/>
  <c r="J1294" i="13"/>
  <c r="J1295" i="13"/>
  <c r="J1296" i="13"/>
  <c r="J1297" i="13"/>
  <c r="J1298" i="13"/>
  <c r="J1299" i="13"/>
  <c r="J1300" i="13"/>
  <c r="J1301" i="13"/>
  <c r="J1302" i="13"/>
  <c r="J1303" i="13"/>
  <c r="J1304" i="13"/>
  <c r="J1305" i="13"/>
  <c r="J1306" i="13"/>
  <c r="J1307" i="13"/>
  <c r="J1308" i="13"/>
  <c r="J1309" i="13"/>
  <c r="J1310" i="13"/>
  <c r="J1311" i="13"/>
  <c r="J1312" i="13"/>
  <c r="J1313" i="13"/>
  <c r="J1314" i="13"/>
  <c r="J1315" i="13"/>
  <c r="J1316" i="13"/>
  <c r="J1317" i="13"/>
  <c r="J1318" i="13"/>
  <c r="J1319" i="13"/>
  <c r="J1320" i="13"/>
  <c r="J1321" i="13"/>
  <c r="J1322" i="13"/>
  <c r="J1323" i="13"/>
  <c r="J1324" i="13"/>
  <c r="J1325" i="13"/>
  <c r="J1326" i="13"/>
  <c r="J1327" i="13"/>
  <c r="J1328" i="13"/>
  <c r="J1329" i="13"/>
  <c r="J1330" i="13"/>
  <c r="J1331" i="13"/>
  <c r="J1332" i="13"/>
  <c r="J1333" i="13"/>
  <c r="J1334" i="13"/>
  <c r="J1335" i="13"/>
  <c r="J1336" i="13"/>
  <c r="J1337" i="13"/>
  <c r="J1338" i="13"/>
  <c r="J1339" i="13"/>
  <c r="J1340" i="13"/>
  <c r="J1341" i="13"/>
  <c r="J1342" i="13"/>
  <c r="J1343" i="13"/>
  <c r="J1344" i="13"/>
  <c r="J1345" i="13"/>
  <c r="J1346" i="13"/>
  <c r="J1347" i="13"/>
  <c r="J1348" i="13"/>
  <c r="J1349" i="13"/>
  <c r="J1350" i="13"/>
  <c r="J1351" i="13"/>
  <c r="J1352" i="13"/>
  <c r="J1353" i="13"/>
  <c r="J1354" i="13"/>
  <c r="J1355" i="13"/>
  <c r="J1356" i="13"/>
  <c r="J1357" i="13"/>
  <c r="J1358" i="13"/>
  <c r="J1359" i="13"/>
  <c r="J1360" i="13"/>
  <c r="J1361" i="13"/>
  <c r="J1362" i="13"/>
  <c r="J1363" i="13"/>
  <c r="J1364" i="13"/>
  <c r="J1365" i="13"/>
  <c r="J1366" i="13"/>
  <c r="J1367" i="13"/>
  <c r="J1368" i="13"/>
  <c r="J1369" i="13"/>
  <c r="J1370" i="13"/>
  <c r="J1371" i="13"/>
  <c r="J1372" i="13"/>
  <c r="J1373" i="13"/>
  <c r="J1374" i="13"/>
  <c r="J1375" i="13"/>
  <c r="J1376" i="13"/>
  <c r="J1377" i="13"/>
  <c r="J1378" i="13"/>
  <c r="J1379" i="13"/>
  <c r="J1380" i="13"/>
  <c r="J1381" i="13"/>
  <c r="J1382" i="13"/>
  <c r="J1383" i="13"/>
  <c r="J1384" i="13"/>
  <c r="J1385" i="13"/>
  <c r="J1386" i="13"/>
  <c r="J1387" i="13"/>
  <c r="J1388" i="13"/>
  <c r="J1389" i="13"/>
  <c r="J1390" i="13"/>
  <c r="J1391" i="13"/>
  <c r="J1392" i="13"/>
  <c r="J1393" i="13"/>
  <c r="J1394" i="13"/>
  <c r="J1395" i="13"/>
  <c r="J1396" i="13"/>
  <c r="J1397" i="13"/>
  <c r="J1398" i="13"/>
  <c r="J1399" i="13"/>
  <c r="J1400" i="13"/>
  <c r="J1401" i="13"/>
  <c r="J1402" i="13"/>
  <c r="J1403" i="13"/>
  <c r="J1404" i="13"/>
  <c r="J1405" i="13"/>
  <c r="J1406" i="13"/>
  <c r="J1407" i="13"/>
  <c r="J1408" i="13"/>
  <c r="J1409" i="13"/>
  <c r="J1410" i="13"/>
  <c r="J1411" i="13"/>
  <c r="J1412" i="13"/>
  <c r="J1413" i="13"/>
  <c r="J1414" i="13"/>
  <c r="J1415" i="13"/>
  <c r="J1416" i="13"/>
  <c r="J1417" i="13"/>
  <c r="J1418" i="13"/>
  <c r="J1419" i="13"/>
  <c r="J1420" i="13"/>
  <c r="J1421" i="13"/>
  <c r="J1422" i="13"/>
  <c r="J1423" i="13"/>
  <c r="J1424" i="13"/>
  <c r="J1425" i="13"/>
  <c r="J1426" i="13"/>
  <c r="J1427" i="13"/>
  <c r="J1428" i="13"/>
  <c r="J1429" i="13"/>
  <c r="J1430" i="13"/>
  <c r="J1431" i="13"/>
  <c r="J1432" i="13"/>
  <c r="J1433" i="13"/>
  <c r="J1434" i="13"/>
  <c r="J1435" i="13"/>
  <c r="J1436" i="13"/>
  <c r="J1437" i="13"/>
  <c r="J1438" i="13"/>
  <c r="J1439" i="13"/>
  <c r="J1440" i="13"/>
  <c r="J1441" i="13"/>
  <c r="J1442" i="13"/>
  <c r="J1443" i="13"/>
  <c r="J1444" i="13"/>
  <c r="J1445" i="13"/>
  <c r="J1446" i="13"/>
  <c r="J1447" i="13"/>
  <c r="J1448" i="13"/>
  <c r="J1449" i="13"/>
  <c r="J1450" i="13"/>
  <c r="J1451" i="13"/>
  <c r="J1452" i="13"/>
  <c r="J1453" i="13"/>
  <c r="J1454" i="13"/>
  <c r="J1455" i="13"/>
  <c r="J1456" i="13"/>
  <c r="J1457" i="13"/>
  <c r="J1458" i="13"/>
  <c r="J1459" i="13"/>
  <c r="J1460" i="13"/>
  <c r="J1461" i="13"/>
  <c r="J1462" i="13"/>
  <c r="J1463" i="13"/>
  <c r="J1464" i="13"/>
  <c r="J1465" i="13"/>
  <c r="J1466" i="13"/>
  <c r="J1467" i="13"/>
  <c r="J1468" i="13"/>
  <c r="J1469" i="13"/>
  <c r="J1470" i="13"/>
  <c r="J1471" i="13"/>
  <c r="J1472" i="13"/>
  <c r="J1473" i="13"/>
  <c r="J1474" i="13"/>
  <c r="J1475" i="13"/>
  <c r="J1476" i="13"/>
  <c r="J1477" i="13"/>
  <c r="J1478" i="13"/>
  <c r="J1479" i="13"/>
  <c r="J1480" i="13"/>
  <c r="J1481" i="13"/>
  <c r="J1482" i="13"/>
  <c r="J1483" i="13"/>
  <c r="J1484" i="13"/>
  <c r="J1485" i="13"/>
  <c r="J1486" i="13"/>
  <c r="J1487" i="13"/>
  <c r="J1488" i="13"/>
  <c r="J1489" i="13"/>
  <c r="J1490" i="13"/>
  <c r="J1491" i="13"/>
  <c r="J1492" i="13"/>
  <c r="J1493" i="13"/>
  <c r="J1494" i="13"/>
  <c r="J1495" i="13"/>
  <c r="J1496" i="13"/>
  <c r="J1497" i="13"/>
  <c r="J1498" i="13"/>
  <c r="J1499" i="13"/>
  <c r="J1500" i="13"/>
  <c r="J1501" i="13"/>
  <c r="J1502" i="13"/>
  <c r="J1503" i="13"/>
  <c r="J1504" i="13"/>
  <c r="J1505" i="13"/>
  <c r="J1506" i="13"/>
  <c r="J1507" i="13"/>
  <c r="J1508" i="13"/>
  <c r="J1509" i="13"/>
  <c r="J1510" i="13"/>
  <c r="J1511" i="13"/>
  <c r="J1512" i="13"/>
  <c r="J1513" i="13"/>
  <c r="J1514" i="13"/>
  <c r="J1515" i="13"/>
  <c r="J1516" i="13"/>
  <c r="J1517" i="13"/>
  <c r="J1518" i="13"/>
  <c r="J1519" i="13"/>
  <c r="J1520" i="13"/>
  <c r="J1521" i="13"/>
  <c r="J1522" i="13"/>
  <c r="J1523" i="13"/>
  <c r="J1524" i="13"/>
  <c r="J1525" i="13"/>
  <c r="J1526" i="13"/>
  <c r="J1527" i="13"/>
  <c r="J1528" i="13"/>
  <c r="J1529" i="13"/>
  <c r="J1530" i="13"/>
  <c r="J1531" i="13"/>
  <c r="J1532" i="13"/>
  <c r="J1533" i="13"/>
  <c r="J1534" i="13"/>
  <c r="J1535" i="13"/>
  <c r="J1536" i="13"/>
  <c r="J1537" i="13"/>
  <c r="J1538" i="13"/>
  <c r="J1539" i="13"/>
  <c r="J1540" i="13"/>
  <c r="J1541" i="13"/>
  <c r="J1542" i="13"/>
  <c r="J1543" i="13"/>
  <c r="J1544" i="13"/>
  <c r="J1545" i="13"/>
  <c r="J1546" i="13"/>
  <c r="J1547" i="13"/>
  <c r="J1548" i="13"/>
  <c r="J1549" i="13"/>
  <c r="J1550" i="13"/>
  <c r="J1551" i="13"/>
  <c r="J1552" i="13"/>
  <c r="J1553" i="13"/>
  <c r="J1554" i="13"/>
  <c r="J1555" i="13"/>
  <c r="J1556" i="13"/>
  <c r="J1557" i="13"/>
  <c r="J1558" i="13"/>
  <c r="J1559" i="13"/>
  <c r="J1560" i="13"/>
  <c r="J1561" i="13"/>
  <c r="J1562" i="13"/>
  <c r="J1563" i="13"/>
  <c r="J1564" i="13"/>
  <c r="J1565" i="13"/>
  <c r="J1566" i="13"/>
  <c r="J1567" i="13"/>
  <c r="J1568" i="13"/>
  <c r="J1569" i="13"/>
  <c r="J1570" i="13"/>
  <c r="J1571" i="13"/>
  <c r="J1572" i="13"/>
  <c r="J1573" i="13"/>
  <c r="J1574" i="13"/>
  <c r="J1575" i="13"/>
  <c r="J1576" i="13"/>
  <c r="J1577" i="13"/>
  <c r="J1578" i="13"/>
  <c r="J1579" i="13"/>
  <c r="J1580" i="13"/>
  <c r="J1581" i="13"/>
  <c r="J1582" i="13"/>
  <c r="J1583" i="13"/>
  <c r="J1584" i="13"/>
  <c r="J1585" i="13"/>
  <c r="J1586" i="13"/>
  <c r="J1587" i="13"/>
  <c r="J1588" i="13"/>
  <c r="J1589" i="13"/>
  <c r="J1590" i="13"/>
  <c r="J1591" i="13"/>
  <c r="J1592" i="13"/>
  <c r="J1593" i="13"/>
  <c r="J1594" i="13"/>
  <c r="J1595" i="13"/>
  <c r="J1596" i="13"/>
  <c r="J1597" i="13"/>
  <c r="J1598" i="13"/>
  <c r="J1599" i="13"/>
  <c r="J1600" i="13"/>
  <c r="J1601" i="13"/>
  <c r="J1602" i="13"/>
  <c r="J1603" i="13"/>
  <c r="J1604" i="13"/>
  <c r="J1605" i="13"/>
  <c r="J1606" i="13"/>
  <c r="J1607" i="13"/>
  <c r="J1608" i="13"/>
  <c r="J1609" i="13"/>
  <c r="J1610" i="13"/>
  <c r="J1611" i="13"/>
  <c r="J1612" i="13"/>
  <c r="J1613" i="13"/>
  <c r="J1614" i="13"/>
  <c r="J1615" i="13"/>
  <c r="J1616" i="13"/>
  <c r="J1617" i="13"/>
  <c r="J1618" i="13"/>
  <c r="J1619" i="13"/>
  <c r="J1620" i="13"/>
  <c r="J1621" i="13"/>
  <c r="J1622" i="13"/>
  <c r="J1623" i="13"/>
  <c r="J1624" i="13"/>
  <c r="J1625" i="13"/>
  <c r="J1626" i="13"/>
  <c r="J1627" i="13"/>
  <c r="J1628" i="13"/>
  <c r="J1629" i="13"/>
  <c r="J1630" i="13"/>
  <c r="J1631" i="13"/>
  <c r="J1632" i="13"/>
  <c r="J1633" i="13"/>
  <c r="J1634" i="13"/>
  <c r="J1635" i="13"/>
  <c r="J1636" i="13"/>
  <c r="J1637" i="13"/>
  <c r="J1638" i="13"/>
  <c r="J1639" i="13"/>
  <c r="J1640" i="13"/>
  <c r="J1641" i="13"/>
  <c r="J1642" i="13"/>
  <c r="J1643" i="13"/>
  <c r="J1644" i="13"/>
  <c r="J1645" i="13"/>
  <c r="J1646" i="13"/>
  <c r="J1647" i="13"/>
  <c r="J1648" i="13"/>
  <c r="J1649" i="13"/>
  <c r="J1650" i="13"/>
  <c r="J1651" i="13"/>
  <c r="J1652" i="13"/>
  <c r="J1653" i="13"/>
  <c r="J1654" i="13"/>
  <c r="J1655" i="13"/>
  <c r="J1656" i="13"/>
  <c r="J1657" i="13"/>
  <c r="J1658" i="13"/>
  <c r="J1659" i="13"/>
  <c r="J1660" i="13"/>
  <c r="J1661" i="13"/>
  <c r="J1662" i="13"/>
  <c r="J1663" i="13"/>
  <c r="J1664" i="13"/>
  <c r="J1665" i="13"/>
  <c r="J1666" i="13"/>
  <c r="J1667" i="13"/>
  <c r="J1668" i="13"/>
  <c r="J1669" i="13"/>
  <c r="J1670" i="13"/>
  <c r="J1671" i="13"/>
  <c r="J1672" i="13"/>
  <c r="J1673" i="13"/>
  <c r="J1674" i="13"/>
  <c r="J1675" i="13"/>
  <c r="J1676" i="13"/>
  <c r="J1677" i="13"/>
  <c r="J1678" i="13"/>
  <c r="J1679" i="13"/>
  <c r="J1680" i="13"/>
  <c r="J1681" i="13"/>
  <c r="J1682" i="13"/>
  <c r="J1683" i="13"/>
  <c r="J1684" i="13"/>
  <c r="J1685" i="13"/>
  <c r="J1686" i="13"/>
  <c r="J1687" i="13"/>
  <c r="J1688" i="13"/>
  <c r="J1689" i="13"/>
  <c r="J1690" i="13"/>
  <c r="J1691" i="13"/>
  <c r="J1692" i="13"/>
  <c r="J1693" i="13"/>
  <c r="J1694" i="13"/>
  <c r="J1695" i="13"/>
  <c r="J1696" i="13"/>
  <c r="J1697" i="13"/>
  <c r="J1698" i="13"/>
  <c r="J1699" i="13"/>
  <c r="J1700" i="13"/>
  <c r="J1701" i="13"/>
  <c r="J1702" i="13"/>
  <c r="J1703" i="13"/>
  <c r="J1704" i="13"/>
  <c r="J1705" i="13"/>
  <c r="J1706" i="13"/>
  <c r="J1707" i="13"/>
  <c r="J1708" i="13"/>
  <c r="J1709" i="13"/>
  <c r="J1710" i="13"/>
  <c r="J1711" i="13"/>
  <c r="J1712" i="13"/>
  <c r="J1713" i="13"/>
  <c r="J1714" i="13"/>
  <c r="J1715" i="13"/>
  <c r="J1716" i="13"/>
  <c r="J1717" i="13"/>
  <c r="J1718" i="13"/>
  <c r="J1719" i="13"/>
  <c r="J1720" i="13"/>
  <c r="J1721" i="13"/>
  <c r="J1722" i="13"/>
  <c r="J1723" i="13"/>
  <c r="J1724" i="13"/>
  <c r="J1725" i="13"/>
  <c r="J1726" i="13"/>
  <c r="J1727" i="13"/>
  <c r="J1728" i="13"/>
  <c r="J1729" i="13"/>
  <c r="J1730" i="13"/>
  <c r="J1731" i="13"/>
  <c r="J1732" i="13"/>
  <c r="J1733" i="13"/>
  <c r="J1734" i="13"/>
  <c r="J1735" i="13"/>
  <c r="J1736" i="13"/>
  <c r="J1737" i="13"/>
  <c r="J1738" i="13"/>
  <c r="J1739" i="13"/>
  <c r="J1740" i="13"/>
  <c r="J1741" i="13"/>
  <c r="J1742" i="13"/>
  <c r="J1743" i="13"/>
  <c r="J1744" i="13"/>
  <c r="J1745" i="13"/>
  <c r="J1746" i="13"/>
  <c r="J1747" i="13"/>
  <c r="J1748" i="13"/>
  <c r="J1749" i="13"/>
  <c r="J1750" i="13"/>
  <c r="J1751" i="13"/>
  <c r="J1752" i="13"/>
  <c r="J1753" i="13"/>
  <c r="J1754" i="13"/>
  <c r="J1755" i="13"/>
  <c r="J1756" i="13"/>
  <c r="J1757" i="13"/>
  <c r="J1758" i="13"/>
  <c r="J1759" i="13"/>
  <c r="J1760" i="13"/>
  <c r="J1761" i="13"/>
  <c r="J1762" i="13"/>
  <c r="J1763" i="13"/>
  <c r="J1764" i="13"/>
  <c r="J1765" i="13"/>
  <c r="J1766" i="13"/>
  <c r="J1767" i="13"/>
  <c r="J1768" i="13"/>
  <c r="J1769" i="13"/>
  <c r="J1770" i="13"/>
  <c r="J1771" i="13"/>
  <c r="J1772" i="13"/>
  <c r="J1773" i="13"/>
  <c r="J1774" i="13"/>
  <c r="J1775" i="13"/>
  <c r="J1776" i="13"/>
  <c r="J1777" i="13"/>
  <c r="J1778" i="13"/>
  <c r="J1779" i="13"/>
  <c r="J1780" i="13"/>
  <c r="J1781" i="13"/>
  <c r="J1782" i="13"/>
  <c r="J1783" i="13"/>
  <c r="J1784" i="13"/>
  <c r="J1785" i="13"/>
  <c r="J1786" i="13"/>
  <c r="J1787" i="13"/>
  <c r="J1788" i="13"/>
  <c r="J1789" i="13"/>
  <c r="J1790" i="13"/>
  <c r="J1791" i="13"/>
  <c r="J1792" i="13"/>
  <c r="J1793" i="13"/>
  <c r="J1794" i="13"/>
  <c r="J1795" i="13"/>
  <c r="J1796" i="13"/>
  <c r="J1797" i="13"/>
  <c r="J1798" i="13"/>
  <c r="J1799" i="13"/>
  <c r="J1800" i="13"/>
  <c r="J1801" i="13"/>
  <c r="J1802" i="13"/>
  <c r="J1803" i="13"/>
  <c r="J1804" i="13"/>
  <c r="J1805" i="13"/>
  <c r="J1806" i="13"/>
  <c r="J1807" i="13"/>
  <c r="J1808" i="13"/>
  <c r="J1809" i="13"/>
  <c r="J1810" i="13"/>
  <c r="J1811" i="13"/>
  <c r="J1812" i="13"/>
  <c r="J1813" i="13"/>
  <c r="J1814" i="13"/>
  <c r="J1815" i="13"/>
  <c r="J1816" i="13"/>
  <c r="J1817" i="13"/>
  <c r="J1818" i="13"/>
  <c r="J1819" i="13"/>
  <c r="J1820" i="13"/>
  <c r="J1821" i="13"/>
  <c r="J1822" i="13"/>
  <c r="J1823" i="13"/>
  <c r="J1824" i="13"/>
  <c r="J1825" i="13"/>
  <c r="J1826" i="13"/>
  <c r="J1827" i="13"/>
  <c r="J1828" i="13"/>
  <c r="J1829" i="13"/>
  <c r="J1830" i="13"/>
  <c r="J1831" i="13"/>
  <c r="J1832" i="13"/>
  <c r="J1833" i="13"/>
  <c r="J1834" i="13"/>
  <c r="J1835" i="13"/>
  <c r="J1836" i="13"/>
  <c r="J1837" i="13"/>
  <c r="J1838" i="13"/>
  <c r="J1839" i="13"/>
  <c r="J1840" i="13"/>
  <c r="J1841" i="13"/>
  <c r="J1842" i="13"/>
  <c r="J1843" i="13"/>
  <c r="J1844" i="13"/>
  <c r="J1845" i="13"/>
  <c r="J1846" i="13"/>
  <c r="J1847" i="13"/>
  <c r="J1848" i="13"/>
  <c r="J1849" i="13"/>
  <c r="J1850" i="13"/>
  <c r="J1851" i="13"/>
  <c r="J1852" i="13"/>
  <c r="J1853" i="13"/>
  <c r="J1854" i="13"/>
  <c r="J1855" i="13"/>
  <c r="J1856" i="13"/>
  <c r="J1857" i="13"/>
  <c r="J1858" i="13"/>
  <c r="J1859" i="13"/>
  <c r="J1860" i="13"/>
  <c r="J1861" i="13"/>
  <c r="J1862" i="13"/>
  <c r="J1863" i="13"/>
  <c r="J1864" i="13"/>
  <c r="J1865" i="13"/>
  <c r="J1866" i="13"/>
  <c r="J1867" i="13"/>
  <c r="J1868" i="13"/>
  <c r="J1869" i="13"/>
  <c r="J1870" i="13"/>
  <c r="J1871" i="13"/>
  <c r="J1872" i="13"/>
  <c r="J1873" i="13"/>
  <c r="J1874" i="13"/>
  <c r="J1875" i="13"/>
  <c r="J1876" i="13"/>
  <c r="J1877" i="13"/>
  <c r="J1878" i="13"/>
  <c r="J1879" i="13"/>
  <c r="J1880" i="13"/>
  <c r="J1881" i="13"/>
  <c r="J1882" i="13"/>
  <c r="J1883" i="13"/>
  <c r="J1884" i="13"/>
  <c r="J1885" i="13"/>
  <c r="J1886" i="13"/>
  <c r="J1887" i="13"/>
  <c r="J1888" i="13"/>
  <c r="J1889" i="13"/>
  <c r="J1890" i="13"/>
  <c r="J1891" i="13"/>
  <c r="J1892" i="13"/>
  <c r="J1893" i="13"/>
  <c r="J1894" i="13"/>
  <c r="J1895" i="13"/>
  <c r="J1896" i="13"/>
  <c r="J1897" i="13"/>
  <c r="J1898" i="13"/>
  <c r="J1899" i="13"/>
  <c r="J1900" i="13"/>
  <c r="J1901" i="13"/>
  <c r="J1902" i="13"/>
  <c r="J1903" i="13"/>
  <c r="J1904" i="13"/>
  <c r="J1905" i="13"/>
  <c r="J1906" i="13"/>
  <c r="J1907" i="13"/>
  <c r="J1908" i="13"/>
  <c r="J1909" i="13"/>
  <c r="J1910" i="13"/>
  <c r="J1911" i="13"/>
  <c r="J1912" i="13"/>
  <c r="J1913" i="13"/>
  <c r="J1914" i="13"/>
  <c r="J1915" i="13"/>
  <c r="J1916" i="13"/>
  <c r="J1917" i="13"/>
  <c r="J1918" i="13"/>
  <c r="J1919" i="13"/>
  <c r="J1920" i="13"/>
  <c r="J1921" i="13"/>
  <c r="J1922" i="13"/>
  <c r="J1923" i="13"/>
  <c r="J1924" i="13"/>
  <c r="J1925" i="13"/>
  <c r="J1926" i="13"/>
  <c r="J1927" i="13"/>
  <c r="J1928" i="13"/>
  <c r="J1929" i="13"/>
  <c r="J1930" i="13"/>
  <c r="J1931" i="13"/>
  <c r="J1932" i="13"/>
  <c r="J1933" i="13"/>
  <c r="J1934" i="13"/>
  <c r="J1935" i="13"/>
  <c r="J1936" i="13"/>
  <c r="J1937" i="13"/>
  <c r="J1938" i="13"/>
  <c r="J1939" i="13"/>
  <c r="J1940" i="13"/>
  <c r="J1941" i="13"/>
  <c r="J1942" i="13"/>
  <c r="J1943" i="13"/>
  <c r="J1944" i="13"/>
  <c r="J1945" i="13"/>
  <c r="J1946" i="13"/>
  <c r="J1947" i="13"/>
  <c r="J1948" i="13"/>
  <c r="J1949" i="13"/>
  <c r="J1950" i="13"/>
  <c r="J1951" i="13"/>
  <c r="J1952" i="13"/>
  <c r="J1953" i="13"/>
  <c r="J1954" i="13"/>
  <c r="J1955" i="13"/>
  <c r="J1956" i="13"/>
  <c r="J1957" i="13"/>
  <c r="J1958" i="13"/>
  <c r="J1959" i="13"/>
  <c r="J1960" i="13"/>
  <c r="J1961" i="13"/>
  <c r="J1962" i="13"/>
  <c r="J1963" i="13"/>
  <c r="J1964" i="13"/>
  <c r="J1965" i="13"/>
  <c r="J1966" i="13"/>
  <c r="J1967" i="13"/>
  <c r="J1968" i="13"/>
  <c r="J1969" i="13"/>
  <c r="J1970" i="13"/>
  <c r="J1971" i="13"/>
  <c r="J1972" i="13"/>
  <c r="J1973" i="13"/>
  <c r="J1974" i="13"/>
  <c r="J1975" i="13"/>
  <c r="J1976" i="13"/>
  <c r="J1977" i="13"/>
  <c r="J1978" i="13"/>
  <c r="J1979" i="13"/>
  <c r="J1980" i="13"/>
  <c r="J1981" i="13"/>
  <c r="J1982" i="13"/>
  <c r="J1983" i="13"/>
  <c r="J1984" i="13"/>
  <c r="J1985" i="13"/>
  <c r="J1986" i="13"/>
  <c r="J1987" i="13"/>
  <c r="J1988" i="13"/>
  <c r="J1989" i="13"/>
  <c r="J1990" i="13"/>
  <c r="J1991" i="13"/>
  <c r="J1992" i="13"/>
  <c r="J1993" i="13"/>
  <c r="J1994" i="13"/>
  <c r="J1995" i="13"/>
  <c r="J1996" i="13"/>
  <c r="J1997" i="13"/>
  <c r="J1998" i="13"/>
  <c r="J1999" i="13"/>
  <c r="J2000" i="13"/>
  <c r="J2001" i="13"/>
  <c r="J2002" i="13"/>
  <c r="J2003" i="13"/>
  <c r="J2004" i="13"/>
  <c r="J2005" i="13"/>
  <c r="J2006" i="13"/>
  <c r="J2007" i="13"/>
  <c r="J2008" i="13"/>
  <c r="J2009" i="13"/>
  <c r="J2010" i="13"/>
  <c r="J2011" i="13"/>
  <c r="J2012" i="13"/>
  <c r="J2013" i="13"/>
  <c r="J2014" i="13"/>
  <c r="J2015" i="13"/>
  <c r="J2016" i="13"/>
  <c r="J2017" i="13"/>
  <c r="J2018" i="13"/>
  <c r="J2019" i="13"/>
  <c r="J2020" i="13"/>
  <c r="J2021" i="13"/>
  <c r="J2022" i="13"/>
  <c r="J2023" i="13"/>
  <c r="J2024" i="13"/>
  <c r="J2025" i="13"/>
  <c r="J2026" i="13"/>
  <c r="J2027" i="13"/>
  <c r="J2028" i="13"/>
  <c r="J2029" i="13"/>
  <c r="J2030" i="13"/>
  <c r="J2031" i="13"/>
  <c r="J2032" i="13"/>
  <c r="J2033" i="13"/>
  <c r="J2034" i="13"/>
  <c r="J2035" i="13"/>
  <c r="J2036" i="13"/>
  <c r="J2037" i="13"/>
  <c r="J2038" i="13"/>
  <c r="J2039" i="13"/>
  <c r="J2040" i="13"/>
  <c r="J2041" i="13"/>
  <c r="J2042" i="13"/>
  <c r="J2043" i="13"/>
  <c r="J2044" i="13"/>
  <c r="J2045" i="13"/>
  <c r="J2046" i="13"/>
  <c r="J2047" i="13"/>
  <c r="J2048" i="13"/>
  <c r="J2049" i="13"/>
  <c r="J2050" i="13"/>
  <c r="J2051" i="13"/>
  <c r="J2052" i="13"/>
  <c r="J2053" i="13"/>
  <c r="J2054" i="13"/>
  <c r="J2055" i="13"/>
  <c r="J2056" i="13"/>
  <c r="J2057" i="13"/>
  <c r="J2058" i="13"/>
  <c r="J2059" i="13"/>
  <c r="J2060" i="13"/>
  <c r="J2061" i="13"/>
  <c r="J2062" i="13"/>
  <c r="J2063" i="13"/>
  <c r="J2064" i="13"/>
  <c r="J2065" i="13"/>
  <c r="J2066" i="13"/>
  <c r="J2067" i="13"/>
  <c r="J2068" i="13"/>
  <c r="J2069" i="13"/>
  <c r="J2070" i="13"/>
  <c r="J2071" i="13"/>
  <c r="J2072" i="13"/>
  <c r="J2073" i="13"/>
  <c r="J2074" i="13"/>
  <c r="J2075" i="13"/>
  <c r="J2076" i="13"/>
  <c r="J2077" i="13"/>
  <c r="J2078" i="13"/>
  <c r="J2079" i="13"/>
  <c r="J2080" i="13"/>
  <c r="J2081" i="13"/>
  <c r="J2082" i="13"/>
  <c r="J2083" i="13"/>
  <c r="J2084" i="13"/>
  <c r="J2085" i="13"/>
  <c r="J2086" i="13"/>
  <c r="J2087" i="13"/>
  <c r="J2088" i="13"/>
  <c r="J2089" i="13"/>
  <c r="J2090" i="13"/>
  <c r="J2091" i="13"/>
  <c r="J2092" i="13"/>
  <c r="J2093" i="13"/>
  <c r="J2094" i="13"/>
  <c r="J2095" i="13"/>
  <c r="J2096" i="13"/>
  <c r="J2097" i="13"/>
  <c r="J2098" i="13"/>
  <c r="J2099" i="13"/>
  <c r="J2100" i="13"/>
  <c r="J2101" i="13"/>
  <c r="J2102" i="13"/>
  <c r="J2103" i="13"/>
  <c r="J2104" i="13"/>
  <c r="J2105" i="13"/>
  <c r="J2106" i="13"/>
  <c r="J2107" i="13"/>
  <c r="J2108" i="13"/>
  <c r="J2109" i="13"/>
  <c r="J2110" i="13"/>
  <c r="J2111" i="13"/>
  <c r="J2112" i="13"/>
  <c r="J2113" i="13"/>
  <c r="J2114" i="13"/>
  <c r="J2115" i="13"/>
  <c r="J2116" i="13"/>
  <c r="J2117" i="13"/>
  <c r="J2118" i="13"/>
  <c r="J2119" i="13"/>
  <c r="J2120" i="13"/>
  <c r="J2121" i="13"/>
  <c r="J2122" i="13"/>
  <c r="J2123" i="13"/>
  <c r="J2124" i="13"/>
  <c r="J2125" i="13"/>
  <c r="J2126" i="13"/>
  <c r="J2127" i="13"/>
  <c r="J2128" i="13"/>
  <c r="J2129" i="13"/>
  <c r="J2130" i="13"/>
  <c r="J2131" i="13"/>
  <c r="J2132" i="13"/>
  <c r="J2133" i="13"/>
  <c r="J2134" i="13"/>
  <c r="J2135" i="13"/>
  <c r="J2136" i="13"/>
  <c r="J2137" i="13"/>
  <c r="J2138" i="13"/>
  <c r="J2139" i="13"/>
  <c r="J2140" i="13"/>
  <c r="J2141" i="13"/>
  <c r="J2142" i="13"/>
  <c r="J2143" i="13"/>
  <c r="J2144" i="13"/>
  <c r="J2145" i="13"/>
  <c r="J2146" i="13"/>
  <c r="J2147" i="13"/>
  <c r="J2148" i="13"/>
  <c r="J2149" i="13"/>
  <c r="J2150" i="13"/>
  <c r="J2151" i="13"/>
  <c r="J2152" i="13"/>
  <c r="J2153" i="13"/>
  <c r="J2154" i="13"/>
  <c r="J2155" i="13"/>
  <c r="J2156" i="13"/>
  <c r="J2157" i="13"/>
  <c r="J2158" i="13"/>
  <c r="J2159" i="13"/>
  <c r="J2160" i="13"/>
  <c r="J2161" i="13"/>
  <c r="J2162" i="13"/>
  <c r="J2163" i="13"/>
  <c r="J2164" i="13"/>
  <c r="J2165" i="13"/>
  <c r="J2166" i="13"/>
  <c r="J2167" i="13"/>
  <c r="J2168" i="13"/>
  <c r="J2169" i="13"/>
  <c r="J2170" i="13"/>
  <c r="J2171" i="13"/>
  <c r="J2172" i="13"/>
  <c r="J2173" i="13"/>
  <c r="J2174" i="13"/>
  <c r="J2175" i="13"/>
  <c r="J2176" i="13"/>
  <c r="J2177" i="13"/>
  <c r="J2178" i="13"/>
  <c r="J2179" i="13"/>
  <c r="J2180" i="13"/>
  <c r="J2181" i="13"/>
  <c r="J2182" i="13"/>
  <c r="J2183" i="13"/>
  <c r="J2184" i="13"/>
  <c r="J2185" i="13"/>
  <c r="J2186" i="13"/>
  <c r="J2187" i="13"/>
  <c r="J2188" i="13"/>
  <c r="J2189" i="13"/>
  <c r="J2190" i="13"/>
  <c r="J2191" i="13"/>
  <c r="J2192" i="13"/>
  <c r="J2193" i="13"/>
  <c r="J2194" i="13"/>
  <c r="J2195" i="13"/>
  <c r="J2196" i="13"/>
  <c r="J2197" i="13"/>
  <c r="J2198" i="13"/>
  <c r="J2199" i="13"/>
  <c r="J2200" i="13"/>
  <c r="J2201" i="13"/>
  <c r="J2202" i="13"/>
  <c r="J2203" i="13"/>
  <c r="J2204" i="13"/>
  <c r="J2205" i="13"/>
  <c r="J2206" i="13"/>
  <c r="J2207" i="13"/>
  <c r="J2208" i="13"/>
  <c r="J2209" i="13"/>
  <c r="J2210" i="13"/>
  <c r="J2211" i="13"/>
  <c r="J2212" i="13"/>
  <c r="J2213" i="13"/>
  <c r="J2214" i="13"/>
  <c r="J2215" i="13"/>
  <c r="J2216" i="13"/>
  <c r="J2217" i="13"/>
  <c r="J2218" i="13"/>
  <c r="J2219" i="13"/>
  <c r="J2220" i="13"/>
  <c r="J2221" i="13"/>
  <c r="J2222" i="13"/>
  <c r="J2223" i="13"/>
  <c r="J2224" i="13"/>
  <c r="J2225" i="13"/>
  <c r="J2226" i="13"/>
  <c r="J2227" i="13"/>
  <c r="J2228" i="13"/>
  <c r="J2229" i="13"/>
  <c r="J2230" i="13"/>
  <c r="J2231" i="13"/>
  <c r="J2232" i="13"/>
  <c r="J2233" i="13"/>
  <c r="J2234" i="13"/>
  <c r="J2235" i="13"/>
  <c r="J2236" i="13"/>
  <c r="J2237" i="13"/>
  <c r="J2238" i="13"/>
  <c r="J2239" i="13"/>
  <c r="J2240" i="13"/>
  <c r="J2241" i="13"/>
  <c r="J2242" i="13"/>
  <c r="J2243" i="13"/>
  <c r="J2244" i="13"/>
  <c r="J2245" i="13"/>
  <c r="J2246" i="13"/>
  <c r="J2247" i="13"/>
  <c r="J2248" i="13"/>
  <c r="J2249" i="13"/>
  <c r="J2250" i="13"/>
  <c r="J2251" i="13"/>
  <c r="J2252" i="13"/>
  <c r="J2253" i="13"/>
  <c r="J2254" i="13"/>
  <c r="J2255" i="13"/>
  <c r="J2256" i="13"/>
  <c r="J2257" i="13"/>
  <c r="J2258" i="13"/>
  <c r="J2259" i="13"/>
  <c r="J2260" i="13"/>
  <c r="J2261" i="13"/>
  <c r="J2262" i="13"/>
  <c r="J2263" i="13"/>
  <c r="J2264" i="13"/>
  <c r="J2265" i="13"/>
  <c r="J2266" i="13"/>
  <c r="J2267" i="13"/>
  <c r="J2268" i="13"/>
  <c r="J2269" i="13"/>
  <c r="J2270" i="13"/>
  <c r="J2271" i="13"/>
  <c r="J2272" i="13"/>
  <c r="J2273" i="13"/>
  <c r="J2274" i="13"/>
  <c r="J2275" i="13"/>
  <c r="J2276" i="13"/>
  <c r="J2277" i="13"/>
  <c r="J2278" i="13"/>
  <c r="J2279" i="13"/>
  <c r="J2280" i="13"/>
  <c r="J2281" i="13"/>
  <c r="J2282" i="13"/>
  <c r="J2283" i="13"/>
  <c r="J2284" i="13"/>
  <c r="J2285" i="13"/>
  <c r="J2286" i="13"/>
  <c r="J2287" i="13"/>
  <c r="J2288" i="13"/>
  <c r="J2289" i="13"/>
  <c r="J2290" i="13"/>
  <c r="J2291" i="13"/>
  <c r="J2292" i="13"/>
  <c r="J2293" i="13"/>
  <c r="J2294" i="13"/>
  <c r="J2295" i="13"/>
  <c r="J2296" i="13"/>
  <c r="J2297" i="13"/>
  <c r="J2298" i="13"/>
  <c r="J2299" i="13"/>
  <c r="J2300" i="13"/>
  <c r="J2301" i="13"/>
  <c r="J2302" i="13"/>
  <c r="J2303" i="13"/>
  <c r="J2304" i="13"/>
  <c r="J2305" i="13"/>
  <c r="J2306" i="13"/>
  <c r="J2307" i="13"/>
  <c r="J2308" i="13"/>
  <c r="J2309" i="13"/>
  <c r="J2310" i="13"/>
  <c r="J2311" i="13"/>
  <c r="J2312" i="13"/>
  <c r="J2313" i="13"/>
  <c r="J2314" i="13"/>
  <c r="J2315" i="13"/>
  <c r="J2316" i="13"/>
  <c r="J2317" i="13"/>
  <c r="J2318" i="13"/>
  <c r="J2319" i="13"/>
  <c r="J2320" i="13"/>
  <c r="J2321" i="13"/>
  <c r="J2322" i="13"/>
  <c r="J2323" i="13"/>
  <c r="J2324" i="13"/>
  <c r="J2325" i="13"/>
  <c r="J2326" i="13"/>
  <c r="J2327" i="13"/>
  <c r="J2328" i="13"/>
  <c r="J2329" i="13"/>
  <c r="J2330" i="13"/>
  <c r="J2331" i="13"/>
  <c r="J2332" i="13"/>
  <c r="J2333" i="13"/>
  <c r="J2334" i="13"/>
  <c r="J2335" i="13"/>
  <c r="J2336" i="13"/>
  <c r="J2337" i="13"/>
  <c r="J2338" i="13"/>
  <c r="J2339" i="13"/>
  <c r="J2340" i="13"/>
  <c r="J2341" i="13"/>
  <c r="J2342" i="13"/>
  <c r="J2343" i="13"/>
  <c r="J2344" i="13"/>
  <c r="J2345" i="13"/>
  <c r="J2346" i="13"/>
  <c r="J2347" i="13"/>
  <c r="J2348" i="13"/>
  <c r="J2349" i="13"/>
  <c r="J2350" i="13"/>
  <c r="J2351" i="13"/>
  <c r="J2352" i="13"/>
  <c r="J2353" i="13"/>
  <c r="J2354" i="13"/>
  <c r="J2355" i="13"/>
  <c r="J2356" i="13"/>
  <c r="J2357" i="13"/>
  <c r="J2358" i="13"/>
  <c r="J2359" i="13"/>
  <c r="J2360" i="13"/>
  <c r="J2361" i="13"/>
  <c r="J2362" i="13"/>
  <c r="J2363" i="13"/>
  <c r="J2364" i="13"/>
  <c r="J2365" i="13"/>
  <c r="J2366" i="13"/>
  <c r="J2367" i="13"/>
  <c r="J2368" i="13"/>
  <c r="J2369" i="13"/>
  <c r="J2370" i="13"/>
  <c r="J2371" i="13"/>
  <c r="J2372" i="13"/>
  <c r="J2373" i="13"/>
  <c r="J2374" i="13"/>
  <c r="J2375" i="13"/>
  <c r="J2376" i="13"/>
  <c r="J2377" i="13"/>
  <c r="J2378" i="13"/>
  <c r="J2379" i="13"/>
  <c r="J2380" i="13"/>
  <c r="J2381" i="13"/>
  <c r="J2382" i="13"/>
  <c r="J2383" i="13"/>
  <c r="J2384" i="13"/>
  <c r="J2385" i="13"/>
  <c r="J2386" i="13"/>
  <c r="J2387" i="13"/>
  <c r="J2388" i="13"/>
  <c r="J2389" i="13"/>
  <c r="J2390" i="13"/>
  <c r="J2391" i="13"/>
  <c r="J2392" i="13"/>
  <c r="J2393" i="13"/>
  <c r="J2394" i="13"/>
  <c r="J2395" i="13"/>
  <c r="J2396" i="13"/>
  <c r="J2397" i="13"/>
  <c r="J2398" i="13"/>
  <c r="J2399" i="13"/>
  <c r="J2400" i="13"/>
  <c r="J2401" i="13"/>
  <c r="J2402" i="13"/>
  <c r="J2403" i="13"/>
  <c r="J2404" i="13"/>
  <c r="J2405" i="13"/>
  <c r="J2406" i="13"/>
  <c r="J2407" i="13"/>
  <c r="J2408" i="13"/>
  <c r="J2409" i="13"/>
  <c r="J2410" i="13"/>
  <c r="J2411" i="13"/>
  <c r="J2412" i="13"/>
  <c r="J2413" i="13"/>
  <c r="J2414" i="13"/>
  <c r="J2415" i="13"/>
  <c r="J2416" i="13"/>
  <c r="J2417" i="13"/>
  <c r="J2418" i="13"/>
  <c r="J2419" i="13"/>
  <c r="J2420" i="13"/>
  <c r="J2421" i="13"/>
  <c r="J2422" i="13"/>
  <c r="J2423" i="13"/>
  <c r="J2424" i="13"/>
  <c r="J2425" i="13"/>
  <c r="J2426" i="13"/>
  <c r="J2427" i="13"/>
  <c r="J2428" i="13"/>
  <c r="J2429" i="13"/>
  <c r="J2430" i="13"/>
  <c r="J2431" i="13"/>
  <c r="J2432" i="13"/>
  <c r="J2433" i="13"/>
  <c r="J2434" i="13"/>
  <c r="J2435" i="13"/>
  <c r="J2436" i="13"/>
  <c r="J2437" i="13"/>
  <c r="J2438" i="13"/>
  <c r="J2439" i="13"/>
  <c r="J2440" i="13"/>
  <c r="J2441" i="13"/>
  <c r="J2442" i="13"/>
  <c r="J2443" i="13"/>
  <c r="J2444" i="13"/>
  <c r="J2445" i="13"/>
  <c r="J2446" i="13"/>
  <c r="J2447" i="13"/>
  <c r="J2448" i="13"/>
  <c r="J2449" i="13"/>
  <c r="J2450" i="13"/>
  <c r="J2451" i="13"/>
  <c r="J2452" i="13"/>
  <c r="J2453" i="13"/>
  <c r="J2454" i="13"/>
  <c r="J2455" i="13"/>
  <c r="J2456" i="13"/>
  <c r="J2457" i="13"/>
  <c r="J2458" i="13"/>
  <c r="J2459" i="13"/>
  <c r="J2460" i="13"/>
  <c r="J2461" i="13"/>
  <c r="J2462" i="13"/>
  <c r="J2463" i="13"/>
  <c r="J2464" i="13"/>
  <c r="J2465" i="13"/>
  <c r="J2466" i="13"/>
  <c r="J2467" i="13"/>
  <c r="J2468" i="13"/>
  <c r="J2469" i="13"/>
  <c r="J2470" i="13"/>
  <c r="J2471" i="13"/>
  <c r="J2472" i="13"/>
  <c r="J2473" i="13"/>
  <c r="J2474" i="13"/>
  <c r="J2475" i="13"/>
  <c r="J2476" i="13"/>
  <c r="J2477" i="13"/>
  <c r="J2478" i="13"/>
  <c r="J2479" i="13"/>
  <c r="J2480" i="13"/>
  <c r="J2481" i="13"/>
  <c r="J2482" i="13"/>
  <c r="J2483" i="13"/>
  <c r="J2484" i="13"/>
  <c r="J2485" i="13"/>
  <c r="J2486" i="13"/>
  <c r="J2487" i="13"/>
  <c r="J2488" i="13"/>
  <c r="J2489" i="13"/>
  <c r="J2490" i="13"/>
  <c r="J2491" i="13"/>
  <c r="J2492" i="13"/>
  <c r="J2493" i="13"/>
  <c r="J2494" i="13"/>
  <c r="J2495" i="13"/>
  <c r="J2496" i="13"/>
  <c r="J2497" i="13"/>
  <c r="J2498" i="13"/>
  <c r="J2499" i="13"/>
  <c r="J2500" i="13"/>
  <c r="J2501" i="13"/>
  <c r="J2502" i="13"/>
  <c r="J2503" i="13"/>
  <c r="J2504" i="13"/>
  <c r="J2505" i="13"/>
  <c r="J2506" i="13"/>
  <c r="J2507" i="13"/>
  <c r="J2508" i="13"/>
  <c r="J2509" i="13"/>
  <c r="J2510" i="13"/>
  <c r="J2511" i="13"/>
  <c r="J2512" i="13"/>
  <c r="J2513" i="13"/>
  <c r="J2514" i="13"/>
  <c r="J2515" i="13"/>
  <c r="J2516" i="13"/>
  <c r="J2517" i="13"/>
  <c r="J2518" i="13"/>
  <c r="J2519" i="13"/>
  <c r="J2520" i="13"/>
  <c r="J2521" i="13"/>
  <c r="J2522" i="13"/>
  <c r="J2523" i="13"/>
  <c r="J2524" i="13"/>
  <c r="J2525" i="13"/>
  <c r="J2526" i="13"/>
  <c r="J2527" i="13"/>
  <c r="J2528" i="13"/>
  <c r="J2529" i="13"/>
  <c r="J2530" i="13"/>
  <c r="J2531" i="13"/>
  <c r="J2532" i="13"/>
  <c r="J2533" i="13"/>
  <c r="J2534" i="13"/>
  <c r="J2535" i="13"/>
  <c r="J2536" i="13"/>
  <c r="J2537" i="13"/>
  <c r="J2538" i="13"/>
  <c r="J2539" i="13"/>
  <c r="J2540" i="13"/>
  <c r="J2541" i="13"/>
  <c r="J2542" i="13"/>
  <c r="J2543" i="13"/>
  <c r="J2544" i="13"/>
  <c r="J2545" i="13"/>
  <c r="J2546" i="13"/>
  <c r="J2547" i="13"/>
  <c r="J2548" i="13"/>
  <c r="J2549" i="13"/>
  <c r="J2550" i="13"/>
  <c r="J2551" i="13"/>
  <c r="J2552" i="13"/>
  <c r="J2553" i="13"/>
  <c r="J2554" i="13"/>
  <c r="J2555" i="13"/>
  <c r="J2556" i="13"/>
  <c r="J2557" i="13"/>
  <c r="J2558" i="13"/>
  <c r="J2559" i="13"/>
  <c r="J2560" i="13"/>
  <c r="J2561" i="13"/>
  <c r="J2562" i="13"/>
  <c r="J2563" i="13"/>
  <c r="J2564" i="13"/>
  <c r="J2565" i="13"/>
  <c r="J2566" i="13"/>
  <c r="J2567" i="13"/>
  <c r="J2568" i="13"/>
  <c r="J2569" i="13"/>
  <c r="J2570" i="13"/>
  <c r="J2571" i="13"/>
  <c r="J2572" i="13"/>
  <c r="J2573" i="13"/>
  <c r="J2574" i="13"/>
  <c r="J2575" i="13"/>
  <c r="J2576" i="13"/>
  <c r="J2577" i="13"/>
  <c r="J2578" i="13"/>
  <c r="J2579" i="13"/>
  <c r="J2580" i="13"/>
  <c r="J2581" i="13"/>
  <c r="J2582" i="13"/>
  <c r="J2583" i="13"/>
  <c r="J2584" i="13"/>
  <c r="J2585" i="13"/>
  <c r="J2586" i="13"/>
  <c r="J2587" i="13"/>
  <c r="J2588" i="13"/>
  <c r="J2589" i="13"/>
  <c r="J2590" i="13"/>
  <c r="J2591" i="13"/>
  <c r="J2592" i="13"/>
  <c r="J2593" i="13"/>
  <c r="J2594" i="13"/>
  <c r="J2595" i="13"/>
  <c r="J2596" i="13"/>
  <c r="J2597" i="13"/>
  <c r="J2598" i="13"/>
  <c r="J2599" i="13"/>
  <c r="J2600" i="13"/>
  <c r="J2601" i="13"/>
  <c r="J2602" i="13"/>
  <c r="J2603" i="13"/>
  <c r="J2604" i="13"/>
  <c r="J2605" i="13"/>
  <c r="J2606" i="13"/>
  <c r="J2607" i="13"/>
  <c r="J2608" i="13"/>
  <c r="J2609" i="13"/>
  <c r="J2610" i="13"/>
  <c r="J2611" i="13"/>
  <c r="J2612" i="13"/>
  <c r="J2613" i="13"/>
  <c r="J2614" i="13"/>
  <c r="J2615" i="13"/>
  <c r="J2616" i="13"/>
  <c r="J2617" i="13"/>
  <c r="J2618" i="13"/>
  <c r="J2619" i="13"/>
  <c r="J2620" i="13"/>
  <c r="J2621" i="13"/>
  <c r="J2622" i="13"/>
  <c r="J2623" i="13"/>
  <c r="J2624" i="13"/>
  <c r="J2625" i="13"/>
  <c r="J2626" i="13"/>
  <c r="J2627" i="13"/>
  <c r="J2628" i="13"/>
  <c r="J2629" i="13"/>
  <c r="J2630" i="13"/>
  <c r="J2631" i="13"/>
  <c r="J2632" i="13"/>
  <c r="J2633" i="13"/>
  <c r="J2634" i="13"/>
  <c r="J2635" i="13"/>
  <c r="J2636" i="13"/>
  <c r="J2637" i="13"/>
  <c r="J2638" i="13"/>
  <c r="J2639" i="13"/>
  <c r="J2640" i="13"/>
  <c r="J2641" i="13"/>
  <c r="J2642" i="13"/>
  <c r="J2643" i="13"/>
  <c r="J2644" i="13"/>
  <c r="J2645" i="13"/>
  <c r="J2646" i="13"/>
  <c r="J2647" i="13"/>
  <c r="J2648" i="13"/>
  <c r="J2649" i="13"/>
  <c r="J2650" i="13"/>
  <c r="J2651" i="13"/>
  <c r="J2652" i="13"/>
  <c r="J2653" i="13"/>
  <c r="J2654" i="13"/>
  <c r="J2655" i="13"/>
  <c r="J2656" i="13"/>
  <c r="J2657" i="13"/>
  <c r="J2658" i="13"/>
  <c r="J2659" i="13"/>
  <c r="J2660" i="13"/>
  <c r="J2661" i="13"/>
  <c r="J2662" i="13"/>
  <c r="J2663" i="13"/>
  <c r="J2664" i="13"/>
  <c r="J2665" i="13"/>
  <c r="J2666" i="13"/>
  <c r="J2667" i="13"/>
  <c r="J2668" i="13"/>
  <c r="J2669" i="13"/>
  <c r="J2670" i="13"/>
  <c r="J2671" i="13"/>
  <c r="J2672" i="13"/>
  <c r="J2673" i="13"/>
  <c r="J2674" i="13"/>
  <c r="J2675" i="13"/>
  <c r="J2676" i="13"/>
  <c r="J2677" i="13"/>
  <c r="J2678" i="13"/>
  <c r="J2679" i="13"/>
  <c r="J2680" i="13"/>
  <c r="J2681" i="13"/>
  <c r="J2682" i="13"/>
  <c r="J2683" i="13"/>
  <c r="J2684" i="13"/>
  <c r="J2685" i="13"/>
  <c r="J2686" i="13"/>
  <c r="J2687" i="13"/>
  <c r="J2688" i="13"/>
  <c r="J2689" i="13"/>
  <c r="J2690" i="13"/>
  <c r="J2691" i="13"/>
  <c r="J2692" i="13"/>
  <c r="J2693" i="13"/>
  <c r="J2694" i="13"/>
  <c r="J2695" i="13"/>
  <c r="J2696" i="13"/>
  <c r="J2697" i="13"/>
  <c r="J2698" i="13"/>
  <c r="J2699" i="13"/>
  <c r="J2700" i="13"/>
  <c r="J2701" i="13"/>
  <c r="J2702" i="13"/>
  <c r="J2703" i="13"/>
  <c r="J2704" i="13"/>
  <c r="J2705" i="13"/>
  <c r="J2706" i="13"/>
  <c r="J2707" i="13"/>
  <c r="J2708" i="13"/>
  <c r="J2709" i="13"/>
  <c r="J2710" i="13"/>
  <c r="J2711" i="13"/>
  <c r="J2712" i="13"/>
  <c r="J2713" i="13"/>
  <c r="J2714" i="13"/>
  <c r="J2715" i="13"/>
  <c r="J2716" i="13"/>
  <c r="J2717" i="13"/>
  <c r="J2718" i="13"/>
  <c r="J2719" i="13"/>
  <c r="J2720" i="13"/>
  <c r="J2721" i="13"/>
  <c r="J2722" i="13"/>
  <c r="J2723" i="13"/>
  <c r="J2724" i="13"/>
  <c r="J2725" i="13"/>
  <c r="J2726" i="13"/>
  <c r="J2727" i="13"/>
  <c r="J2728" i="13"/>
  <c r="J2729" i="13"/>
  <c r="J2730" i="13"/>
  <c r="J2731" i="13"/>
  <c r="J2732" i="13"/>
  <c r="J2733" i="13"/>
  <c r="J2734" i="13"/>
  <c r="J2735" i="13"/>
  <c r="J2736" i="13"/>
  <c r="J2737" i="13"/>
  <c r="J2738" i="13"/>
  <c r="J2739" i="13"/>
  <c r="J2740" i="13"/>
  <c r="J2741" i="13"/>
  <c r="J2742" i="13"/>
  <c r="J2743" i="13"/>
  <c r="J2744" i="13"/>
  <c r="J2745" i="13"/>
  <c r="J2746" i="13"/>
  <c r="J2747" i="13"/>
  <c r="J2748" i="13"/>
  <c r="J2749" i="13"/>
  <c r="J2750" i="13"/>
  <c r="J2751" i="13"/>
  <c r="J2752" i="13"/>
  <c r="J2753" i="13"/>
  <c r="J2754" i="13"/>
  <c r="J2755" i="13"/>
  <c r="J2756" i="13"/>
  <c r="J2757" i="13"/>
  <c r="J2758" i="13"/>
  <c r="J2759" i="13"/>
  <c r="J2760" i="13"/>
  <c r="J2761" i="13"/>
  <c r="J2762" i="13"/>
  <c r="J2763" i="13"/>
  <c r="J2764" i="13"/>
  <c r="J2765" i="13"/>
  <c r="J2766" i="13"/>
  <c r="J2767" i="13"/>
  <c r="J2768" i="13"/>
  <c r="J2769" i="13"/>
  <c r="J2770" i="13"/>
  <c r="J2771" i="13"/>
  <c r="J2772" i="13"/>
  <c r="J2773" i="13"/>
  <c r="J2774" i="13"/>
  <c r="J2775" i="13"/>
  <c r="J2776" i="13"/>
  <c r="J2777" i="13"/>
  <c r="J2778" i="13"/>
  <c r="J2779" i="13"/>
  <c r="J2780" i="13"/>
  <c r="J2781" i="13"/>
  <c r="J2782" i="13"/>
  <c r="J2783" i="13"/>
  <c r="J2784" i="13"/>
  <c r="J2785" i="13"/>
  <c r="J2786" i="13"/>
  <c r="J2787" i="13"/>
  <c r="J2788" i="13"/>
  <c r="J2789" i="13"/>
  <c r="J2790" i="13"/>
  <c r="J2791" i="13"/>
  <c r="J2792" i="13"/>
  <c r="J2793" i="13"/>
  <c r="J2794" i="13"/>
  <c r="J2795" i="13"/>
  <c r="J2796" i="13"/>
  <c r="J2797" i="13"/>
  <c r="J2798" i="13"/>
  <c r="J2799" i="13"/>
  <c r="J2800" i="13"/>
  <c r="J2801" i="13"/>
  <c r="J2802" i="13"/>
  <c r="J2803" i="13"/>
  <c r="J2804" i="13"/>
  <c r="J2805" i="13"/>
  <c r="J2806" i="13"/>
  <c r="J2807" i="13"/>
  <c r="J2808" i="13"/>
  <c r="J2809" i="13"/>
  <c r="J2810" i="13"/>
  <c r="J2811" i="13"/>
  <c r="J2812" i="13"/>
  <c r="J2813" i="13"/>
  <c r="J2814" i="13"/>
  <c r="J2815" i="13"/>
  <c r="J2816" i="13"/>
  <c r="J2817" i="13"/>
  <c r="J2818" i="13"/>
  <c r="J2819" i="13"/>
  <c r="J2820" i="13"/>
  <c r="J2821" i="13"/>
  <c r="J2822" i="13"/>
  <c r="J2823" i="13"/>
  <c r="J2824" i="13"/>
  <c r="J2825" i="13"/>
  <c r="J2826" i="13"/>
  <c r="J2827" i="13"/>
  <c r="J2828" i="13"/>
  <c r="J2829" i="13"/>
  <c r="J2830" i="13"/>
  <c r="J2831" i="13"/>
  <c r="J2832" i="13"/>
  <c r="J2833" i="13"/>
  <c r="J2834" i="13"/>
  <c r="J2835" i="13"/>
  <c r="J2836" i="13"/>
  <c r="J2837" i="13"/>
  <c r="J2838" i="13"/>
  <c r="J2839" i="13"/>
  <c r="J2840" i="13"/>
  <c r="J2841" i="13"/>
  <c r="J2842" i="13"/>
  <c r="J2843" i="13"/>
  <c r="J2844" i="13"/>
  <c r="J2845" i="13"/>
  <c r="J2846" i="13"/>
  <c r="J2847" i="13"/>
  <c r="J2848" i="13"/>
  <c r="J2849" i="13"/>
  <c r="J2850" i="13"/>
  <c r="J2851" i="13"/>
  <c r="J2852" i="13"/>
  <c r="J2853" i="13"/>
  <c r="J2854" i="13"/>
  <c r="J2855" i="13"/>
  <c r="J2856" i="13"/>
  <c r="J2857" i="13"/>
  <c r="J2858" i="13"/>
  <c r="J2859" i="13"/>
  <c r="J2860" i="13"/>
  <c r="J2861" i="13"/>
  <c r="J2862" i="13"/>
  <c r="J2863" i="13"/>
  <c r="J2864" i="13"/>
  <c r="J2865" i="13"/>
  <c r="J2866" i="13"/>
  <c r="J2867" i="13"/>
  <c r="J2868" i="13"/>
  <c r="J2869" i="13"/>
  <c r="J2870" i="13"/>
  <c r="J2871" i="13"/>
  <c r="J2872" i="13"/>
  <c r="J2873" i="13"/>
  <c r="J2874" i="13"/>
  <c r="J2875" i="13"/>
  <c r="J2876" i="13"/>
  <c r="J2877" i="13"/>
  <c r="J2878" i="13"/>
  <c r="J2879" i="13"/>
  <c r="J2880" i="13"/>
  <c r="J2881" i="13"/>
  <c r="J2882" i="13"/>
  <c r="J2883" i="13"/>
  <c r="J2884" i="13"/>
  <c r="J2885" i="13"/>
  <c r="J2886" i="13"/>
  <c r="J2887" i="13"/>
  <c r="J2888" i="13"/>
  <c r="J2889" i="13"/>
  <c r="J2890" i="13"/>
  <c r="J2891" i="13"/>
  <c r="J2892" i="13"/>
  <c r="J2893" i="13"/>
  <c r="J2894" i="13"/>
  <c r="J2895" i="13"/>
  <c r="J2896" i="13"/>
  <c r="J2897" i="13"/>
  <c r="J2898" i="13"/>
  <c r="J2899" i="13"/>
  <c r="J2900" i="13"/>
  <c r="J2901" i="13"/>
  <c r="J2902" i="13"/>
  <c r="J2903" i="13"/>
  <c r="J2904" i="13"/>
  <c r="J2905" i="13"/>
  <c r="J2906" i="13"/>
  <c r="J2907" i="13"/>
  <c r="J2908" i="13"/>
  <c r="J2909" i="13"/>
  <c r="J2910" i="13"/>
  <c r="J2911" i="13"/>
  <c r="J2912" i="13"/>
  <c r="J2913" i="13"/>
  <c r="J2914" i="13"/>
  <c r="J2915" i="13"/>
  <c r="J2916" i="13"/>
  <c r="J2917" i="13"/>
  <c r="J2918" i="13"/>
  <c r="J2919" i="13"/>
  <c r="J2920" i="13"/>
  <c r="J2921" i="13"/>
  <c r="J2922" i="13"/>
  <c r="J2923" i="13"/>
  <c r="J2924" i="13"/>
  <c r="J2925" i="13"/>
  <c r="J2926" i="13"/>
  <c r="J2927" i="13"/>
  <c r="J2928" i="13"/>
  <c r="J2929" i="13"/>
  <c r="J2930" i="13"/>
  <c r="J2931" i="13"/>
  <c r="J2932" i="13"/>
  <c r="J2933" i="13"/>
  <c r="J2934" i="13"/>
  <c r="J2935" i="13"/>
  <c r="J2936" i="13"/>
  <c r="J2937" i="13"/>
  <c r="J2938" i="13"/>
  <c r="J2939" i="13"/>
  <c r="J2940" i="13"/>
  <c r="J2941" i="13"/>
  <c r="J2942" i="13"/>
  <c r="J2943" i="13"/>
  <c r="J2944" i="13"/>
  <c r="J2945" i="13"/>
  <c r="J2946" i="13"/>
  <c r="J2947" i="13"/>
  <c r="J2948" i="13"/>
  <c r="J2949" i="13"/>
  <c r="J2950" i="13"/>
  <c r="J2951" i="13"/>
  <c r="J2952" i="13"/>
  <c r="J2953" i="13"/>
  <c r="J2954" i="13"/>
  <c r="J2955" i="13"/>
  <c r="J2956" i="13"/>
  <c r="J2957" i="13"/>
  <c r="J2958" i="13"/>
  <c r="J2959" i="13"/>
  <c r="J2960" i="13"/>
  <c r="J2961" i="13"/>
  <c r="J2962" i="13"/>
  <c r="J2963" i="13"/>
  <c r="J2964" i="13"/>
  <c r="J2965" i="13"/>
  <c r="J2966" i="13"/>
  <c r="J2967" i="13"/>
  <c r="J2968" i="13"/>
  <c r="J2969" i="13"/>
  <c r="J2970" i="13"/>
  <c r="J2971" i="13"/>
  <c r="J2972" i="13"/>
  <c r="J2973" i="13"/>
  <c r="J2974" i="13"/>
  <c r="J2975" i="13"/>
  <c r="J2976" i="13"/>
  <c r="J2977" i="13"/>
  <c r="J2978" i="13"/>
  <c r="J2979" i="13"/>
  <c r="J2980" i="13"/>
  <c r="J2981" i="13"/>
  <c r="J2982" i="13"/>
  <c r="J2983" i="13"/>
  <c r="J2984" i="13"/>
  <c r="J2985" i="13"/>
  <c r="J2986" i="13"/>
  <c r="J2987" i="13"/>
  <c r="J2988" i="13"/>
  <c r="J2989" i="13"/>
  <c r="J2990" i="13"/>
  <c r="J2991" i="13"/>
  <c r="J2992" i="13"/>
  <c r="J2993" i="13"/>
  <c r="J2994" i="13"/>
  <c r="J2995" i="13"/>
  <c r="J2996" i="13"/>
  <c r="J2997" i="13"/>
  <c r="J2998" i="13"/>
  <c r="J2999" i="13"/>
  <c r="J3000" i="13"/>
  <c r="J3001" i="13"/>
  <c r="J3002" i="13"/>
  <c r="J3003" i="13"/>
  <c r="J3004" i="13"/>
  <c r="J3005" i="13"/>
  <c r="J3006" i="13"/>
  <c r="J3007" i="13"/>
  <c r="J3008" i="13"/>
  <c r="J3009" i="13"/>
  <c r="J3010" i="13"/>
  <c r="J3011" i="13"/>
  <c r="J3012" i="13"/>
  <c r="J3013" i="13"/>
  <c r="J3014" i="13"/>
  <c r="J3015" i="13"/>
  <c r="J3016" i="13"/>
  <c r="J3017" i="13"/>
  <c r="J3018" i="13"/>
  <c r="J3019" i="13"/>
  <c r="J3020" i="13"/>
  <c r="J3021" i="13"/>
  <c r="J3022" i="13"/>
  <c r="J3023" i="13"/>
  <c r="J3024" i="13"/>
  <c r="J3025" i="13"/>
  <c r="J3026" i="13"/>
  <c r="J3027" i="13"/>
  <c r="J3028" i="13"/>
  <c r="J3029" i="13"/>
  <c r="J3030" i="13"/>
  <c r="J3031" i="13"/>
  <c r="J3032" i="13"/>
  <c r="J3033" i="13"/>
  <c r="J3034" i="13"/>
  <c r="J3035" i="13"/>
  <c r="J3036" i="13"/>
  <c r="J3037" i="13"/>
  <c r="J3038" i="13"/>
  <c r="J3039" i="13"/>
  <c r="J3040" i="13"/>
  <c r="J3041" i="13"/>
  <c r="J3042" i="13"/>
  <c r="J3043" i="13"/>
  <c r="J3044" i="13"/>
  <c r="J3045" i="13"/>
  <c r="J3046" i="13"/>
  <c r="J3047" i="13"/>
  <c r="J3048" i="13"/>
  <c r="J3049" i="13"/>
  <c r="J3050" i="13"/>
  <c r="J3051" i="13"/>
  <c r="J3052" i="13"/>
  <c r="J3053" i="13"/>
  <c r="J3054" i="13"/>
  <c r="J3055" i="13"/>
  <c r="J3056" i="13"/>
  <c r="J3057" i="13"/>
  <c r="J3058" i="13"/>
  <c r="J3059" i="13"/>
  <c r="J3060" i="13"/>
  <c r="J3061" i="13"/>
  <c r="J3062" i="13"/>
  <c r="J3063" i="13"/>
  <c r="J3064" i="13"/>
  <c r="J3065" i="13"/>
  <c r="J3066" i="13"/>
  <c r="J3067" i="13"/>
  <c r="J3068" i="13"/>
  <c r="J3069" i="13"/>
  <c r="J3070" i="13"/>
  <c r="J3071" i="13"/>
  <c r="J3072" i="13"/>
  <c r="J3073" i="13"/>
  <c r="J3074" i="13"/>
  <c r="J3075" i="13"/>
  <c r="J3076" i="13"/>
  <c r="J3077" i="13"/>
  <c r="J3078" i="13"/>
  <c r="J3079" i="13"/>
  <c r="J3080" i="13"/>
  <c r="J3081" i="13"/>
  <c r="J3082" i="13"/>
  <c r="J3083" i="13"/>
  <c r="J3084" i="13"/>
  <c r="J3085" i="13"/>
  <c r="J3086" i="13"/>
  <c r="J3087" i="13"/>
  <c r="J3088" i="13"/>
  <c r="J3089" i="13"/>
  <c r="J3090" i="13"/>
  <c r="J3091" i="13"/>
  <c r="J3092" i="13"/>
  <c r="J3093" i="13"/>
  <c r="J3094" i="13"/>
  <c r="J3095" i="13"/>
  <c r="J3096" i="13"/>
  <c r="J3097" i="13"/>
  <c r="J3098" i="13"/>
  <c r="J3099" i="13"/>
  <c r="J3100" i="13"/>
  <c r="J3101" i="13"/>
  <c r="J3102" i="13"/>
  <c r="J3103" i="13"/>
  <c r="J3104" i="13"/>
  <c r="J3105" i="13"/>
  <c r="J3106" i="13"/>
  <c r="J3107" i="13"/>
  <c r="J3108" i="13"/>
  <c r="J3109" i="13"/>
  <c r="J3110" i="13"/>
  <c r="J3111" i="13"/>
  <c r="J3112" i="13"/>
  <c r="J3113" i="13"/>
  <c r="J3114" i="13"/>
  <c r="J3115" i="13"/>
  <c r="J3116" i="13"/>
  <c r="J3117" i="13"/>
  <c r="J3118" i="13"/>
  <c r="J3119" i="13"/>
  <c r="J3120" i="13"/>
  <c r="J3121" i="13"/>
  <c r="J3122" i="13"/>
  <c r="J3123" i="13"/>
  <c r="J3124" i="13"/>
  <c r="J3125" i="13"/>
  <c r="J3126" i="13"/>
  <c r="J3127" i="13"/>
  <c r="J3128" i="13"/>
  <c r="J3129" i="13"/>
  <c r="J3130" i="13"/>
  <c r="J3131" i="13"/>
  <c r="J3132" i="13"/>
  <c r="J3133" i="13"/>
  <c r="J3134" i="13"/>
  <c r="J3135" i="13"/>
  <c r="J3136" i="13"/>
  <c r="J3137" i="13"/>
  <c r="J3138" i="13"/>
  <c r="J3139" i="13"/>
  <c r="J3140" i="13"/>
  <c r="J3141" i="13"/>
  <c r="J3142" i="13"/>
  <c r="J3143" i="13"/>
  <c r="J3144" i="13"/>
  <c r="J3145" i="13"/>
  <c r="J3146" i="13"/>
  <c r="J3147" i="13"/>
  <c r="J3148" i="13"/>
  <c r="J3149" i="13"/>
  <c r="J3150" i="13"/>
  <c r="J3151" i="13"/>
  <c r="J3152" i="13"/>
  <c r="J3153" i="13"/>
  <c r="J3154" i="13"/>
  <c r="J3155" i="13"/>
  <c r="J3156" i="13"/>
  <c r="J3157" i="13"/>
  <c r="J3158" i="13"/>
  <c r="J3159" i="13"/>
  <c r="J3160" i="13"/>
  <c r="J3161" i="13"/>
  <c r="J3162" i="13"/>
  <c r="J3163" i="13"/>
  <c r="J3164" i="13"/>
  <c r="J3165" i="13"/>
  <c r="J3166" i="13"/>
  <c r="J3167" i="13"/>
  <c r="J3168" i="13"/>
  <c r="J3169" i="13"/>
  <c r="J3170" i="13"/>
  <c r="J3171" i="13"/>
  <c r="J3172" i="13"/>
  <c r="J3173" i="13"/>
  <c r="J3174" i="13"/>
  <c r="J3175" i="13"/>
  <c r="J3176" i="13"/>
  <c r="J3177" i="13"/>
  <c r="J3178" i="13"/>
  <c r="J3179" i="13"/>
  <c r="J3180" i="13"/>
  <c r="J3181" i="13"/>
  <c r="J3182" i="13"/>
  <c r="J3183" i="13"/>
  <c r="J3184" i="13"/>
  <c r="J3185" i="13"/>
  <c r="J3186" i="13"/>
  <c r="J3187" i="13"/>
  <c r="J3188" i="13"/>
  <c r="J3189" i="13"/>
  <c r="J3190" i="13"/>
  <c r="J3191" i="13"/>
  <c r="J3192" i="13"/>
  <c r="J3193" i="13"/>
  <c r="J3194" i="13"/>
  <c r="J3195" i="13"/>
  <c r="J3196" i="13"/>
  <c r="J3197" i="13"/>
  <c r="J3198" i="13"/>
  <c r="J3199" i="13"/>
  <c r="J3200" i="13"/>
  <c r="J3201" i="13"/>
  <c r="J3202" i="13"/>
  <c r="J3203" i="13"/>
  <c r="J3204" i="13"/>
  <c r="J3205" i="13"/>
  <c r="J3206" i="13"/>
  <c r="J3207" i="13"/>
  <c r="J3208" i="13"/>
  <c r="J3209" i="13"/>
  <c r="J3210" i="13"/>
  <c r="J3211" i="13"/>
  <c r="J3212" i="13"/>
  <c r="J3213" i="13"/>
  <c r="J3214" i="13"/>
  <c r="J3215" i="13"/>
  <c r="J3216" i="13"/>
  <c r="J3217" i="13"/>
  <c r="J3218" i="13"/>
  <c r="J3219" i="13"/>
  <c r="J3220" i="13"/>
  <c r="J3221" i="13"/>
  <c r="J3222" i="13"/>
  <c r="J3223" i="13"/>
  <c r="J3224" i="13"/>
  <c r="J3225" i="13"/>
  <c r="J3226" i="13"/>
  <c r="J3227" i="13"/>
  <c r="J3228" i="13"/>
  <c r="J3229" i="13"/>
  <c r="J3230" i="13"/>
  <c r="J3231" i="13"/>
  <c r="J3232" i="13"/>
  <c r="J3233" i="13"/>
  <c r="J3234" i="13"/>
  <c r="J3235" i="13"/>
  <c r="J3236" i="13"/>
  <c r="J3237" i="13"/>
  <c r="J3238" i="13"/>
  <c r="J3239" i="13"/>
  <c r="J3240" i="13"/>
  <c r="J3241" i="13"/>
  <c r="J3242" i="13"/>
  <c r="J3243" i="13"/>
  <c r="J3244" i="13"/>
  <c r="J3245" i="13"/>
  <c r="J3246" i="13"/>
  <c r="J3247" i="13"/>
  <c r="J3248" i="13"/>
  <c r="J3249" i="13"/>
  <c r="J3250" i="13"/>
  <c r="J3251" i="13"/>
  <c r="J3252" i="13"/>
  <c r="J3253" i="13"/>
  <c r="J3254" i="13"/>
  <c r="J3255" i="13"/>
  <c r="J3256" i="13"/>
  <c r="J3257" i="13"/>
  <c r="J3258" i="13"/>
  <c r="J3259" i="13"/>
  <c r="J3260" i="13"/>
  <c r="J3261" i="13"/>
  <c r="J3262" i="13"/>
  <c r="J3263" i="13"/>
  <c r="J3264" i="13"/>
  <c r="J3265" i="13"/>
  <c r="J3266" i="13"/>
  <c r="J3267" i="13"/>
  <c r="J3268" i="13"/>
  <c r="J3269" i="13"/>
  <c r="J3270" i="13"/>
  <c r="J3271" i="13"/>
  <c r="J3272" i="13"/>
  <c r="J3273" i="13"/>
  <c r="J3274" i="13"/>
  <c r="J3275" i="13"/>
  <c r="J3276" i="13"/>
  <c r="J3277" i="13"/>
  <c r="J3278" i="13"/>
  <c r="J3279" i="13"/>
  <c r="J3280" i="13"/>
  <c r="J3281" i="13"/>
  <c r="J3282" i="13"/>
  <c r="J3283" i="13"/>
  <c r="J3284" i="13"/>
  <c r="J3285" i="13"/>
  <c r="J3286" i="13"/>
  <c r="J3287" i="13"/>
  <c r="J3288" i="13"/>
  <c r="J3289" i="13"/>
  <c r="J3290" i="13"/>
  <c r="J3291" i="13"/>
  <c r="J3292" i="13"/>
  <c r="J3293" i="13"/>
  <c r="J3294" i="13"/>
  <c r="J3295" i="13"/>
  <c r="J3296" i="13"/>
  <c r="J3297" i="13"/>
  <c r="J3298" i="13"/>
  <c r="J3299" i="13"/>
  <c r="J3300" i="13"/>
  <c r="J3301" i="13"/>
  <c r="J3302" i="13"/>
  <c r="J3303" i="13"/>
  <c r="J3304" i="13"/>
  <c r="J3305" i="13"/>
  <c r="J3306" i="13"/>
  <c r="J3307" i="13"/>
  <c r="J3308" i="13"/>
  <c r="J3309" i="13"/>
  <c r="J3310" i="13"/>
  <c r="J3311" i="13"/>
  <c r="J3312" i="13"/>
  <c r="J3313" i="13"/>
  <c r="J3314" i="13"/>
  <c r="J3315" i="13"/>
  <c r="J3316" i="13"/>
  <c r="J3317" i="13"/>
  <c r="J3318" i="13"/>
  <c r="J3319" i="13"/>
  <c r="J3320" i="13"/>
  <c r="J3321" i="13"/>
  <c r="J3322" i="13"/>
  <c r="J3323" i="13"/>
  <c r="J3324" i="13"/>
  <c r="J3325" i="13"/>
  <c r="J3326" i="13"/>
  <c r="J3327" i="13"/>
  <c r="J3328" i="13"/>
  <c r="J3329" i="13"/>
  <c r="J3330" i="13"/>
  <c r="J3331" i="13"/>
  <c r="J3332" i="13"/>
  <c r="J3333" i="13"/>
  <c r="J3334" i="13"/>
  <c r="J3335" i="13"/>
  <c r="J3336" i="13"/>
  <c r="J3337" i="13"/>
  <c r="J3338" i="13"/>
  <c r="J3339" i="13"/>
  <c r="J3340" i="13"/>
  <c r="J3341" i="13"/>
  <c r="J3342" i="13"/>
  <c r="J3343" i="13"/>
  <c r="J3344" i="13"/>
  <c r="J3345" i="13"/>
  <c r="J3346" i="13"/>
  <c r="J3347" i="13"/>
  <c r="J3348" i="13"/>
  <c r="J3349" i="13"/>
  <c r="J3350" i="13"/>
  <c r="J3351" i="13"/>
  <c r="J3352" i="13"/>
  <c r="J3353" i="13"/>
  <c r="J3354" i="13"/>
  <c r="J3355" i="13"/>
  <c r="J3356" i="13"/>
  <c r="J3357" i="13"/>
  <c r="J3358" i="13"/>
  <c r="J3359" i="13"/>
  <c r="J3360" i="13"/>
  <c r="J3361" i="13"/>
  <c r="J3362" i="13"/>
  <c r="J3363" i="13"/>
  <c r="J3364" i="13"/>
  <c r="J3365" i="13"/>
  <c r="J3366" i="13"/>
  <c r="J3367" i="13"/>
  <c r="J3368" i="13"/>
  <c r="J3369" i="13"/>
  <c r="J3370" i="13"/>
  <c r="J3371" i="13"/>
  <c r="J3372" i="13"/>
  <c r="J3373" i="13"/>
  <c r="J3374" i="13"/>
  <c r="J3375" i="13"/>
  <c r="J3376" i="13"/>
  <c r="J3377" i="13"/>
  <c r="J3378" i="13"/>
  <c r="J3379" i="13"/>
  <c r="J3380" i="13"/>
  <c r="J3381" i="13"/>
  <c r="J3382" i="13"/>
  <c r="J3383" i="13"/>
  <c r="J3384" i="13"/>
  <c r="J3385" i="13"/>
  <c r="J3386" i="13"/>
  <c r="J3387" i="13"/>
  <c r="J3388" i="13"/>
  <c r="J3389" i="13"/>
  <c r="J3390" i="13"/>
  <c r="J3391" i="13"/>
  <c r="J3392" i="13"/>
  <c r="J3393" i="13"/>
  <c r="J3394" i="13"/>
  <c r="J3395" i="13"/>
  <c r="J3396" i="13"/>
  <c r="J3397" i="13"/>
  <c r="J3398" i="13"/>
  <c r="J3399" i="13"/>
  <c r="J3400" i="13"/>
  <c r="J3401" i="13"/>
  <c r="J3402" i="13"/>
  <c r="J3403" i="13"/>
  <c r="J3404" i="13"/>
  <c r="J3405" i="13"/>
  <c r="J3406" i="13"/>
  <c r="J3407" i="13"/>
  <c r="J3408" i="13"/>
  <c r="J3409" i="13"/>
  <c r="J3410" i="13"/>
  <c r="J3411" i="13"/>
  <c r="J3412" i="13"/>
  <c r="J3413" i="13"/>
  <c r="J3414" i="13"/>
  <c r="J3415" i="13"/>
  <c r="J3416" i="13"/>
  <c r="J3417" i="13"/>
  <c r="J3418" i="13"/>
  <c r="J3419" i="13"/>
  <c r="J3420" i="13"/>
  <c r="J3421" i="13"/>
  <c r="J3422" i="13"/>
  <c r="J3423" i="13"/>
  <c r="J3424" i="13"/>
  <c r="J3425" i="13"/>
  <c r="J3426" i="13"/>
  <c r="J3427" i="13"/>
  <c r="J3428" i="13"/>
  <c r="J3429" i="13"/>
  <c r="J3430" i="13"/>
  <c r="J3431" i="13"/>
  <c r="J3432" i="13"/>
  <c r="J3433" i="13"/>
  <c r="J3434" i="13"/>
  <c r="J3435" i="13"/>
  <c r="J3436" i="13"/>
  <c r="J3437" i="13"/>
  <c r="J3438" i="13"/>
  <c r="J3439" i="13"/>
  <c r="J3440" i="13"/>
  <c r="J3441" i="13"/>
  <c r="J3442" i="13"/>
  <c r="J3443" i="13"/>
  <c r="J3444" i="13"/>
  <c r="J3445" i="13"/>
  <c r="J3446" i="13"/>
  <c r="J3447" i="13"/>
  <c r="J3448" i="13"/>
  <c r="J3449" i="13"/>
  <c r="J3450" i="13"/>
  <c r="J3451" i="13"/>
  <c r="J3452" i="13"/>
  <c r="J3453" i="13"/>
  <c r="J3454" i="13"/>
  <c r="J3455" i="13"/>
  <c r="J3456" i="13"/>
  <c r="J3457" i="13"/>
  <c r="J3458" i="13"/>
  <c r="J3459" i="13"/>
  <c r="J3460" i="13"/>
  <c r="J3461" i="13"/>
  <c r="J3462" i="13"/>
  <c r="J3463" i="13"/>
  <c r="J3464" i="13"/>
  <c r="J3465" i="13"/>
  <c r="J3466" i="13"/>
  <c r="J3467" i="13"/>
  <c r="J3468" i="13"/>
  <c r="J3469" i="13"/>
  <c r="J3470" i="13"/>
  <c r="J3471" i="13"/>
  <c r="J3472" i="13"/>
  <c r="J3473" i="13"/>
  <c r="J3474" i="13"/>
  <c r="J3475" i="13"/>
  <c r="J3476" i="13"/>
  <c r="J3477" i="13"/>
  <c r="J3478" i="13"/>
  <c r="J3479" i="13"/>
  <c r="J3480" i="13"/>
  <c r="J3481" i="13"/>
  <c r="J3482" i="13"/>
  <c r="J3483" i="13"/>
  <c r="J3484" i="13"/>
  <c r="J3485" i="13"/>
  <c r="J3486" i="13"/>
  <c r="J3487" i="13"/>
  <c r="J3488" i="13"/>
  <c r="J3489" i="13"/>
  <c r="J3490" i="13"/>
  <c r="J3491" i="13"/>
  <c r="J3492" i="13"/>
  <c r="J3493" i="13"/>
  <c r="J3494" i="13"/>
  <c r="J3495" i="13"/>
  <c r="J3496" i="13"/>
  <c r="J3497" i="13"/>
  <c r="J3498" i="13"/>
  <c r="J3499" i="13"/>
  <c r="J3500" i="13"/>
  <c r="J3501" i="13"/>
  <c r="J3502" i="13"/>
  <c r="J3503" i="13"/>
  <c r="J3504" i="13"/>
  <c r="J3505" i="13"/>
  <c r="J3506" i="13"/>
  <c r="J3507" i="13"/>
  <c r="J3508" i="13"/>
  <c r="J3509" i="13"/>
  <c r="J3510" i="13"/>
  <c r="J3511" i="13"/>
  <c r="J3512" i="13"/>
  <c r="J3513" i="13"/>
  <c r="J3514" i="13"/>
  <c r="J3515" i="13"/>
  <c r="J3516" i="13"/>
  <c r="J3517" i="13"/>
  <c r="J3518" i="13"/>
  <c r="J3519" i="13"/>
  <c r="J3520" i="13"/>
  <c r="J3521" i="13"/>
  <c r="J3522" i="13"/>
  <c r="J3523" i="13"/>
  <c r="J3524" i="13"/>
  <c r="J3525" i="13"/>
  <c r="J3526" i="13"/>
  <c r="J3527" i="13"/>
  <c r="J3528" i="13"/>
  <c r="J3529" i="13"/>
  <c r="J3530" i="13"/>
  <c r="J3531" i="13"/>
  <c r="J3532" i="13"/>
  <c r="J3533" i="13"/>
  <c r="J3534" i="13"/>
  <c r="J3535" i="13"/>
  <c r="J3536" i="13"/>
  <c r="J3537" i="13"/>
  <c r="J3538" i="13"/>
  <c r="J3539" i="13"/>
  <c r="J3540" i="13"/>
  <c r="J3541" i="13"/>
  <c r="J3542" i="13"/>
  <c r="J3543" i="13"/>
  <c r="J3544" i="13"/>
  <c r="J3545" i="13"/>
  <c r="J3546" i="13"/>
  <c r="J3547" i="13"/>
  <c r="J3548" i="13"/>
  <c r="J3549" i="13"/>
  <c r="J3550" i="13"/>
  <c r="J3551" i="13"/>
  <c r="J3552" i="13"/>
  <c r="J3553" i="13"/>
  <c r="J3554" i="13"/>
  <c r="J3555" i="13"/>
  <c r="J3556" i="13"/>
  <c r="J3557" i="13"/>
  <c r="J3558" i="13"/>
  <c r="J3559" i="13"/>
  <c r="J3560" i="13"/>
  <c r="J3561" i="13"/>
  <c r="J3562" i="13"/>
  <c r="J3563" i="13"/>
  <c r="J3564" i="13"/>
  <c r="J3565" i="13"/>
  <c r="J3566" i="13"/>
  <c r="J3567" i="13"/>
  <c r="J3568" i="13"/>
  <c r="J3569" i="13"/>
  <c r="J3570" i="13"/>
  <c r="J3571" i="13"/>
  <c r="J3572" i="13"/>
  <c r="J3573" i="13"/>
  <c r="J3574" i="13"/>
  <c r="J3575" i="13"/>
  <c r="J3576" i="13"/>
  <c r="J3577" i="13"/>
  <c r="J3578" i="13"/>
  <c r="J3579" i="13"/>
  <c r="J3580" i="13"/>
  <c r="J3581" i="13"/>
  <c r="J3582" i="13"/>
  <c r="J3583" i="13"/>
  <c r="J3584" i="13"/>
  <c r="J3585" i="13"/>
  <c r="J3586" i="13"/>
  <c r="J3587" i="13"/>
  <c r="J3588" i="13"/>
  <c r="J3589" i="13"/>
  <c r="J3590" i="13"/>
  <c r="J3591" i="13"/>
  <c r="J3592" i="13"/>
  <c r="J3593" i="13"/>
  <c r="J3594" i="13"/>
  <c r="J3595" i="13"/>
  <c r="J3596" i="13"/>
  <c r="J3597" i="13"/>
  <c r="J3598" i="13"/>
  <c r="J3599" i="13"/>
  <c r="J3600" i="13"/>
  <c r="J3601" i="13"/>
  <c r="J3602" i="13"/>
  <c r="J3603" i="13"/>
  <c r="J3604" i="13"/>
  <c r="J3605" i="13"/>
  <c r="J3606" i="13"/>
  <c r="J3607" i="13"/>
  <c r="J3608" i="13"/>
  <c r="J3609" i="13"/>
  <c r="J3610" i="13"/>
  <c r="J3611" i="13"/>
  <c r="J3612" i="13"/>
  <c r="J3613" i="13"/>
  <c r="J3614" i="13"/>
  <c r="J3615" i="13"/>
  <c r="J3616" i="13"/>
  <c r="J3617" i="13"/>
  <c r="J3618" i="13"/>
  <c r="J3619" i="13"/>
  <c r="J3620" i="13"/>
  <c r="J3621" i="13"/>
  <c r="J3622" i="13"/>
  <c r="J3623" i="13"/>
  <c r="J3624" i="13"/>
  <c r="J3625" i="13"/>
  <c r="J3626" i="13"/>
  <c r="J3627" i="13"/>
  <c r="J3628" i="13"/>
  <c r="J3629" i="13"/>
  <c r="J3630" i="13"/>
  <c r="J3631" i="13"/>
  <c r="J3632" i="13"/>
  <c r="J3633" i="13"/>
  <c r="J3634" i="13"/>
  <c r="J3635" i="13"/>
  <c r="J3636" i="13"/>
  <c r="J3637" i="13"/>
  <c r="J3638" i="13"/>
  <c r="J3639" i="13"/>
  <c r="J3640" i="13"/>
  <c r="J3641" i="13"/>
  <c r="J3642" i="13"/>
  <c r="J3643" i="13"/>
  <c r="J3644" i="13"/>
  <c r="J3645" i="13"/>
  <c r="J3646" i="13"/>
  <c r="J3647" i="13"/>
  <c r="J3648" i="13"/>
  <c r="J3649" i="13"/>
  <c r="J3650" i="13"/>
  <c r="J3651" i="13"/>
  <c r="J3652" i="13"/>
  <c r="J3653" i="13"/>
  <c r="J3654" i="13"/>
  <c r="J3655" i="13"/>
  <c r="J3656" i="13"/>
  <c r="J3657" i="13"/>
  <c r="J3658" i="13"/>
  <c r="J3659" i="13"/>
  <c r="J3660" i="13"/>
  <c r="J3661" i="13"/>
  <c r="J3662" i="13"/>
  <c r="J3663" i="13"/>
  <c r="J3664" i="13"/>
  <c r="J3665" i="13"/>
  <c r="J3666" i="13"/>
  <c r="J3667" i="13"/>
  <c r="J3668" i="13"/>
  <c r="J3669" i="13"/>
  <c r="J3670" i="13"/>
  <c r="J3671" i="13"/>
  <c r="J3672" i="13"/>
  <c r="J3673" i="13"/>
  <c r="J3674" i="13"/>
  <c r="J3675" i="13"/>
  <c r="J3676" i="13"/>
  <c r="J3677" i="13"/>
  <c r="J3678" i="13"/>
  <c r="J3679" i="13"/>
  <c r="J3680" i="13"/>
  <c r="J3681" i="13"/>
  <c r="J3682" i="13"/>
  <c r="J3683" i="13"/>
  <c r="J3684" i="13"/>
  <c r="J3685" i="13"/>
  <c r="J3686" i="13"/>
  <c r="J3687" i="13"/>
  <c r="J3688" i="13"/>
  <c r="J3689" i="13"/>
  <c r="J3690" i="13"/>
  <c r="J3691" i="13"/>
  <c r="J3692" i="13"/>
  <c r="J3693" i="13"/>
  <c r="J3694" i="13"/>
  <c r="J3695" i="13"/>
  <c r="J3696" i="13"/>
  <c r="J3697" i="13"/>
  <c r="J3698" i="13"/>
  <c r="J3699" i="13"/>
  <c r="J3700" i="13"/>
  <c r="J3701" i="13"/>
  <c r="J3702" i="13"/>
  <c r="J3703" i="13"/>
  <c r="J3704" i="13"/>
  <c r="J3705" i="13"/>
  <c r="J3706" i="13"/>
  <c r="J3707" i="13"/>
  <c r="J3708" i="13"/>
  <c r="J3709" i="13"/>
  <c r="J3710" i="13"/>
  <c r="J3711" i="13"/>
  <c r="J3712" i="13"/>
  <c r="J3713" i="13"/>
  <c r="J3714" i="13"/>
  <c r="J3715" i="13"/>
  <c r="J3716" i="13"/>
  <c r="J3717" i="13"/>
  <c r="J3718" i="13"/>
  <c r="J3719" i="13"/>
  <c r="J3720" i="13"/>
  <c r="J3721" i="13"/>
  <c r="J3722" i="13"/>
  <c r="J3723" i="13"/>
  <c r="J3724" i="13"/>
  <c r="J3725" i="13"/>
  <c r="J3726" i="13"/>
  <c r="J3727" i="13"/>
  <c r="J3728" i="13"/>
  <c r="J3729" i="13"/>
  <c r="J3730" i="13"/>
  <c r="J3731" i="13"/>
  <c r="J3732" i="13"/>
  <c r="J3733" i="13"/>
  <c r="J3734" i="13"/>
  <c r="J3735" i="13"/>
  <c r="J3736" i="13"/>
  <c r="J3737" i="13"/>
  <c r="J3738" i="13"/>
  <c r="J3739" i="13"/>
  <c r="J3740" i="13"/>
  <c r="J3741" i="13"/>
  <c r="J3742" i="13"/>
  <c r="J3743" i="13"/>
  <c r="J3744" i="13"/>
  <c r="J3745" i="13"/>
  <c r="J3746" i="13"/>
  <c r="J3747" i="13"/>
  <c r="J3748" i="13"/>
  <c r="J3749" i="13"/>
  <c r="J3750" i="13"/>
  <c r="J3751" i="13"/>
  <c r="J3752" i="13"/>
  <c r="J3753" i="13"/>
  <c r="J3754" i="13"/>
  <c r="J3755" i="13"/>
  <c r="J3756" i="13"/>
  <c r="J3757" i="13"/>
  <c r="J3758" i="13"/>
  <c r="J3759" i="13"/>
  <c r="J3760" i="13"/>
  <c r="J3761" i="13"/>
  <c r="J3762" i="13"/>
  <c r="J3763" i="13"/>
  <c r="J3764" i="13"/>
  <c r="J3765" i="13"/>
  <c r="J3766" i="13"/>
  <c r="J3767" i="13"/>
  <c r="J3768" i="13"/>
  <c r="J3769" i="13"/>
  <c r="J3770" i="13"/>
  <c r="J3771" i="13"/>
  <c r="J3772" i="13"/>
  <c r="J3773" i="13"/>
  <c r="J3774" i="13"/>
  <c r="J3775" i="13"/>
  <c r="J3776" i="13"/>
  <c r="J3777" i="13"/>
  <c r="J3778" i="13"/>
  <c r="J3779" i="13"/>
  <c r="J3780" i="13"/>
  <c r="J3781" i="13"/>
  <c r="J3782" i="13"/>
  <c r="J3783" i="13"/>
  <c r="J3784" i="13"/>
  <c r="J3785" i="13"/>
  <c r="J3786" i="13"/>
  <c r="J3787" i="13"/>
  <c r="J3788" i="13"/>
  <c r="J3789" i="13"/>
  <c r="J3790" i="13"/>
  <c r="J3791" i="13"/>
  <c r="J3792" i="13"/>
  <c r="J3793" i="13"/>
  <c r="J3794" i="13"/>
  <c r="J3795" i="13"/>
  <c r="J3796" i="13"/>
  <c r="J3797" i="13"/>
  <c r="J3798" i="13"/>
  <c r="J3799" i="13"/>
  <c r="J3800" i="13"/>
  <c r="J3801" i="13"/>
  <c r="J3802" i="13"/>
  <c r="J3803" i="13"/>
  <c r="J3804" i="13"/>
  <c r="J3805" i="13"/>
  <c r="J3806" i="13"/>
  <c r="J3807" i="13"/>
  <c r="J3808" i="13"/>
  <c r="J3809" i="13"/>
  <c r="J3810" i="13"/>
  <c r="J3811" i="13"/>
  <c r="J3812" i="13"/>
  <c r="J3813" i="13"/>
  <c r="J3814" i="13"/>
  <c r="J3815" i="13"/>
  <c r="J3816" i="13"/>
  <c r="J3817" i="13"/>
  <c r="J3818" i="13"/>
  <c r="J3819" i="13"/>
  <c r="J3820" i="13"/>
  <c r="J3821" i="13"/>
  <c r="J3822" i="13"/>
  <c r="J3823" i="13"/>
  <c r="J3824" i="13"/>
  <c r="J3825" i="13"/>
  <c r="J3826" i="13"/>
  <c r="J3827" i="13"/>
  <c r="J3828" i="13"/>
  <c r="J3829" i="13"/>
  <c r="J3830" i="13"/>
  <c r="J3831" i="13"/>
  <c r="J3832" i="13"/>
  <c r="J3833" i="13"/>
  <c r="J3834" i="13"/>
  <c r="J3835" i="13"/>
  <c r="J3836" i="13"/>
  <c r="J3837" i="13"/>
  <c r="J3838" i="13"/>
  <c r="J3839" i="13"/>
  <c r="J3840" i="13"/>
  <c r="J3841" i="13"/>
  <c r="J3842" i="13"/>
  <c r="J3843" i="13"/>
  <c r="J3844" i="13"/>
  <c r="J3845" i="13"/>
  <c r="J3846" i="13"/>
  <c r="J3847" i="13"/>
  <c r="J3848" i="13"/>
  <c r="J3849" i="13"/>
  <c r="J3850" i="13"/>
  <c r="J3851" i="13"/>
  <c r="J3852" i="13"/>
  <c r="J3853" i="13"/>
  <c r="J3854" i="13"/>
  <c r="J3855" i="13"/>
  <c r="J3856" i="13"/>
  <c r="J3857" i="13"/>
  <c r="J3858" i="13"/>
  <c r="J3859" i="13"/>
  <c r="J3860" i="13"/>
  <c r="J3861" i="13"/>
  <c r="J3862" i="13"/>
  <c r="J3863" i="13"/>
  <c r="J3864" i="13"/>
  <c r="J3865" i="13"/>
  <c r="J3866" i="13"/>
  <c r="J3867" i="13"/>
  <c r="J3868" i="13"/>
  <c r="J3869" i="13"/>
  <c r="J3870" i="13"/>
  <c r="J3871" i="13"/>
  <c r="J3872" i="13"/>
  <c r="J3873" i="13"/>
  <c r="J3874" i="13"/>
  <c r="J3875" i="13"/>
  <c r="J3876" i="13"/>
  <c r="J3877" i="13"/>
  <c r="J3878" i="13"/>
  <c r="J3879" i="13"/>
  <c r="J3880" i="13"/>
  <c r="J3881" i="13"/>
  <c r="J3882" i="13"/>
  <c r="J3883" i="13"/>
  <c r="J3884" i="13"/>
  <c r="J3885" i="13"/>
  <c r="J3886" i="13"/>
  <c r="J3887" i="13"/>
  <c r="J3888" i="13"/>
  <c r="J3889" i="13"/>
  <c r="J3890" i="13"/>
  <c r="J3891" i="13"/>
  <c r="J3892" i="13"/>
  <c r="J3893" i="13"/>
  <c r="J3894" i="13"/>
  <c r="J3895" i="13"/>
  <c r="J3896" i="13"/>
  <c r="J3897" i="13"/>
  <c r="J3898" i="13"/>
  <c r="J3899" i="13"/>
  <c r="J3900" i="13"/>
  <c r="J3901" i="13"/>
  <c r="J3902" i="13"/>
  <c r="J3903" i="13"/>
  <c r="J3904" i="13"/>
  <c r="J3905" i="13"/>
  <c r="J3906" i="13"/>
  <c r="J3907" i="13"/>
  <c r="J3908" i="13"/>
  <c r="J3909" i="13"/>
  <c r="J3910" i="13"/>
  <c r="J3911" i="13"/>
  <c r="J3912" i="13"/>
  <c r="J3913" i="13"/>
  <c r="J3914" i="13"/>
  <c r="J3915" i="13"/>
  <c r="J3916" i="13"/>
  <c r="J3917" i="13"/>
  <c r="J3918" i="13"/>
  <c r="J3919" i="13"/>
  <c r="J3920" i="13"/>
  <c r="J3921" i="13"/>
  <c r="J3922" i="13"/>
  <c r="J3923" i="13"/>
  <c r="J3924" i="13"/>
  <c r="J3925" i="13"/>
  <c r="J3926" i="13"/>
  <c r="J3927" i="13"/>
  <c r="J3928" i="13"/>
  <c r="J3929" i="13"/>
  <c r="J3930" i="13"/>
  <c r="J3931" i="13"/>
  <c r="J3932" i="13"/>
  <c r="J3933" i="13"/>
  <c r="J3934" i="13"/>
  <c r="J3935" i="13"/>
  <c r="J3936" i="13"/>
  <c r="J3937" i="13"/>
  <c r="J3938" i="13"/>
  <c r="J3939" i="13"/>
  <c r="J3940" i="13"/>
  <c r="J3941" i="13"/>
  <c r="J3942" i="13"/>
  <c r="J3943" i="13"/>
  <c r="J3944" i="13"/>
  <c r="J3945" i="13"/>
  <c r="J3946" i="13"/>
  <c r="J3947" i="13"/>
  <c r="J3948" i="13"/>
  <c r="J3949" i="13"/>
  <c r="J3950" i="13"/>
  <c r="J3951" i="13"/>
  <c r="J3952" i="13"/>
  <c r="J3953" i="13"/>
  <c r="J3954" i="13"/>
  <c r="J3955" i="13"/>
  <c r="J3956" i="13"/>
  <c r="J3957" i="13"/>
  <c r="J3958" i="13"/>
  <c r="J3959" i="13"/>
  <c r="J3960" i="13"/>
  <c r="J3961" i="13"/>
  <c r="J3962" i="13"/>
  <c r="J3963" i="13"/>
  <c r="J3964" i="13"/>
  <c r="J3965" i="13"/>
  <c r="J3966" i="13"/>
  <c r="J3967" i="13"/>
  <c r="J3968" i="13"/>
  <c r="J3969" i="13"/>
  <c r="J3970" i="13"/>
  <c r="J3971" i="13"/>
  <c r="J3972" i="13"/>
  <c r="J3973" i="13"/>
  <c r="J3974" i="13"/>
  <c r="J3975" i="13"/>
  <c r="J3976" i="13"/>
  <c r="J3977" i="13"/>
  <c r="J3978" i="13"/>
  <c r="J3979" i="13"/>
  <c r="J3980" i="13"/>
  <c r="J3981" i="13"/>
  <c r="J3982" i="13"/>
  <c r="J3983" i="13"/>
  <c r="J3984" i="13"/>
  <c r="J3985" i="13"/>
  <c r="J3986" i="13"/>
  <c r="J3987" i="13"/>
  <c r="J3988" i="13"/>
  <c r="J3989" i="13"/>
  <c r="J3990" i="13"/>
  <c r="J3991" i="13"/>
  <c r="J3992" i="13"/>
  <c r="J3993" i="13"/>
  <c r="J3994" i="13"/>
  <c r="J3995" i="13"/>
  <c r="J3996" i="13"/>
  <c r="J3997" i="13"/>
  <c r="J3998" i="13"/>
  <c r="J3999" i="13"/>
  <c r="J4000" i="13"/>
  <c r="J4001" i="13"/>
  <c r="J4002" i="13"/>
  <c r="J4003" i="13"/>
  <c r="J4004" i="13"/>
  <c r="J4005" i="13"/>
  <c r="J4006" i="13"/>
  <c r="J4007" i="13"/>
  <c r="J4008" i="13"/>
  <c r="J4009" i="13"/>
  <c r="J4010" i="13"/>
  <c r="J4011" i="13"/>
  <c r="J4012" i="13"/>
  <c r="J4013" i="13"/>
  <c r="J4014" i="13"/>
  <c r="J4015" i="13"/>
  <c r="J4016" i="13"/>
  <c r="J4017" i="13"/>
  <c r="J4018" i="13"/>
  <c r="J4019" i="13"/>
  <c r="J4020" i="13"/>
  <c r="J4021" i="13"/>
  <c r="J4022" i="13"/>
  <c r="J4023" i="13"/>
  <c r="J4024" i="13"/>
  <c r="J4025" i="13"/>
  <c r="J4026" i="13"/>
  <c r="J4027" i="13"/>
  <c r="J4028" i="13"/>
  <c r="J4029" i="13"/>
  <c r="J4030" i="13"/>
  <c r="J4031" i="13"/>
  <c r="J4032" i="13"/>
  <c r="J4033" i="13"/>
  <c r="J4034" i="13"/>
  <c r="J4035" i="13"/>
  <c r="J4036" i="13"/>
  <c r="J4037" i="13"/>
  <c r="J4038" i="13"/>
  <c r="J4039" i="13"/>
  <c r="J4040" i="13"/>
  <c r="J4041" i="13"/>
  <c r="J4042" i="13"/>
  <c r="J4043" i="13"/>
  <c r="J4044" i="13"/>
  <c r="J4045" i="13"/>
  <c r="J4046" i="13"/>
  <c r="J4047" i="13"/>
  <c r="J4048" i="13"/>
  <c r="J4049" i="13"/>
  <c r="J4050" i="13"/>
  <c r="J4051" i="13"/>
  <c r="J4052" i="13"/>
  <c r="J4053" i="13"/>
  <c r="J4054" i="13"/>
  <c r="J4055" i="13"/>
  <c r="J4056" i="13"/>
  <c r="J4057" i="13"/>
  <c r="J4058" i="13"/>
  <c r="J4059" i="13"/>
  <c r="J4060" i="13"/>
  <c r="J4061" i="13"/>
  <c r="J4062" i="13"/>
  <c r="J4063" i="13"/>
  <c r="J4064" i="13"/>
  <c r="J4065" i="13"/>
  <c r="J4066" i="13"/>
  <c r="J4067" i="13"/>
  <c r="J4068" i="13"/>
  <c r="J4069" i="13"/>
  <c r="J4070" i="13"/>
  <c r="J4071" i="13"/>
  <c r="J4072" i="13"/>
  <c r="J4073" i="13"/>
  <c r="J4074" i="13"/>
  <c r="J4075" i="13"/>
  <c r="J4076" i="13"/>
  <c r="J4077" i="13"/>
  <c r="J4078" i="13"/>
  <c r="J4079" i="13"/>
  <c r="J4080" i="13"/>
  <c r="J4081" i="13"/>
  <c r="J4082" i="13"/>
  <c r="J4083" i="13"/>
  <c r="J4084" i="13"/>
  <c r="J4085" i="13"/>
  <c r="J4086" i="13"/>
  <c r="J4087" i="13"/>
  <c r="J4088" i="13"/>
  <c r="J4089" i="13"/>
  <c r="J4090" i="13"/>
  <c r="J4091" i="13"/>
  <c r="J4092" i="13"/>
  <c r="J4093" i="13"/>
  <c r="J4094" i="13"/>
  <c r="J4095" i="13"/>
  <c r="J4096" i="13"/>
  <c r="J4097" i="13"/>
  <c r="J4098" i="13"/>
  <c r="J4099" i="13"/>
  <c r="J4100" i="13"/>
  <c r="J4101" i="13"/>
  <c r="J4102" i="13"/>
  <c r="J4103" i="13"/>
  <c r="J4104" i="13"/>
  <c r="J4105" i="13"/>
  <c r="J4106" i="13"/>
  <c r="J4107" i="13"/>
  <c r="J4108" i="13"/>
  <c r="J4109" i="13"/>
  <c r="J4110" i="13"/>
  <c r="J4111" i="13"/>
  <c r="J4112" i="13"/>
  <c r="J4113" i="13"/>
  <c r="J4114" i="13"/>
  <c r="J4115" i="13"/>
  <c r="J4116" i="13"/>
  <c r="J4117" i="13"/>
  <c r="J4118" i="13"/>
  <c r="J4119" i="13"/>
  <c r="J4120" i="13"/>
  <c r="J4121" i="13"/>
  <c r="J4122" i="13"/>
  <c r="J4123" i="13"/>
  <c r="J4124" i="13"/>
  <c r="J4125" i="13"/>
  <c r="J4126" i="13"/>
  <c r="J4127" i="13"/>
  <c r="J4128" i="13"/>
  <c r="J4129" i="13"/>
  <c r="J4130" i="13"/>
  <c r="J4131" i="13"/>
  <c r="J4132" i="13"/>
  <c r="J4133" i="13"/>
  <c r="J4134" i="13"/>
  <c r="J4135" i="13"/>
  <c r="J4136" i="13"/>
  <c r="J4137" i="13"/>
  <c r="J4138" i="13"/>
  <c r="J4139" i="13"/>
  <c r="J4140" i="13"/>
  <c r="J4141" i="13"/>
  <c r="J4142" i="13"/>
  <c r="J4143" i="13"/>
  <c r="J4144" i="13"/>
  <c r="J4145" i="13"/>
  <c r="J4146" i="13"/>
  <c r="J4147" i="13"/>
  <c r="J4148" i="13"/>
  <c r="J4149" i="13"/>
  <c r="J4150" i="13"/>
  <c r="J4151" i="13"/>
  <c r="J4152" i="13"/>
  <c r="J4153" i="13"/>
  <c r="J4154" i="13"/>
  <c r="J4155" i="13"/>
  <c r="J4156" i="13"/>
  <c r="J4157" i="13"/>
  <c r="J4158" i="13"/>
  <c r="J4159" i="13"/>
  <c r="J4160" i="13"/>
  <c r="J4161" i="13"/>
  <c r="J4162" i="13"/>
  <c r="J4163" i="13"/>
  <c r="J4164" i="13"/>
  <c r="J4165" i="13"/>
  <c r="J4166" i="13"/>
  <c r="J4167" i="13"/>
  <c r="J4168" i="13"/>
  <c r="J4169" i="13"/>
  <c r="J4170" i="13"/>
  <c r="J4171" i="13"/>
  <c r="J4172" i="13"/>
  <c r="J4173" i="13"/>
  <c r="J4174" i="13"/>
  <c r="J4175" i="13"/>
  <c r="J4176" i="13"/>
  <c r="J4177" i="13"/>
  <c r="J4178" i="13"/>
  <c r="J4179" i="13"/>
  <c r="J4180" i="13"/>
  <c r="J4181" i="13"/>
  <c r="J4182" i="13"/>
  <c r="J4183" i="13"/>
  <c r="J4184" i="13"/>
  <c r="J4185" i="13"/>
  <c r="J4186" i="13"/>
  <c r="J4187" i="13"/>
  <c r="J4188" i="13"/>
  <c r="J4189" i="13"/>
  <c r="J4190" i="13"/>
  <c r="J4191" i="13"/>
  <c r="J4192" i="13"/>
  <c r="J4193" i="13"/>
  <c r="J4194" i="13"/>
  <c r="J4195" i="13"/>
  <c r="J4196" i="13"/>
  <c r="J4197" i="13"/>
  <c r="J4198" i="13"/>
  <c r="J4199" i="13"/>
  <c r="J4200" i="13"/>
  <c r="J4201" i="13"/>
  <c r="J4202" i="13"/>
  <c r="J4203" i="13"/>
  <c r="J4204" i="13"/>
  <c r="J4205" i="13"/>
  <c r="J4206" i="13"/>
  <c r="J4207" i="13"/>
  <c r="J4208" i="13"/>
  <c r="J4209" i="13"/>
  <c r="J4210" i="13"/>
  <c r="J4211" i="13"/>
  <c r="J4212" i="13"/>
  <c r="J4213" i="13"/>
  <c r="J4214" i="13"/>
  <c r="J4215" i="13"/>
  <c r="J4216" i="13"/>
  <c r="J4217" i="13"/>
  <c r="J4218" i="13"/>
  <c r="J4219" i="13"/>
  <c r="J4220" i="13"/>
  <c r="J4221" i="13"/>
  <c r="J4222" i="13"/>
  <c r="J4223" i="13"/>
  <c r="J4224" i="13"/>
  <c r="J4225" i="13"/>
  <c r="J4226" i="13"/>
  <c r="J4227" i="13"/>
  <c r="J4228" i="13"/>
  <c r="J4229" i="13"/>
  <c r="J4230" i="13"/>
  <c r="J4231" i="13"/>
  <c r="J4232" i="13"/>
  <c r="J4233" i="13"/>
  <c r="J4234" i="13"/>
  <c r="J4235" i="13"/>
  <c r="J4236" i="13"/>
  <c r="J4237" i="13"/>
  <c r="J4238" i="13"/>
  <c r="J4239" i="13"/>
  <c r="J4240" i="13"/>
  <c r="J4241" i="13"/>
  <c r="J4242" i="13"/>
  <c r="J4243" i="13"/>
  <c r="J4244" i="13"/>
  <c r="J4245" i="13"/>
  <c r="J4246" i="13"/>
  <c r="J4247" i="13"/>
  <c r="J4248" i="13"/>
  <c r="J4249" i="13"/>
  <c r="J4250" i="13"/>
  <c r="J4251" i="13"/>
  <c r="J4252" i="13"/>
  <c r="J4253" i="13"/>
  <c r="J4254" i="13"/>
  <c r="J4255" i="13"/>
  <c r="J4256" i="13"/>
  <c r="J4257" i="13"/>
  <c r="J4258" i="13"/>
  <c r="J4259" i="13"/>
  <c r="J4260" i="13"/>
  <c r="J4261" i="13"/>
  <c r="J4262" i="13"/>
  <c r="J4263" i="13"/>
  <c r="J4264" i="13"/>
  <c r="J4265" i="13"/>
  <c r="J4266" i="13"/>
  <c r="J4267" i="13"/>
  <c r="J4268" i="13"/>
  <c r="J4269" i="13"/>
  <c r="J4270" i="13"/>
  <c r="J4271" i="13"/>
  <c r="J4272" i="13"/>
  <c r="J4273" i="13"/>
  <c r="J4274" i="13"/>
  <c r="J4275" i="13"/>
  <c r="J4276" i="13"/>
  <c r="J4277" i="13"/>
  <c r="J4278" i="13"/>
  <c r="J4279" i="13"/>
  <c r="J4280" i="13"/>
  <c r="J4281" i="13"/>
  <c r="J4282" i="13"/>
  <c r="J4283" i="13"/>
  <c r="J4284" i="13"/>
  <c r="J4285" i="13"/>
  <c r="J4286" i="13"/>
  <c r="J4287" i="13"/>
  <c r="J4288" i="13"/>
  <c r="J4289" i="13"/>
  <c r="J4290" i="13"/>
  <c r="J4291" i="13"/>
  <c r="J4292" i="13"/>
  <c r="J4293" i="13"/>
  <c r="J4294" i="13"/>
  <c r="J4295" i="13"/>
  <c r="J4296" i="13"/>
  <c r="J4297" i="13"/>
  <c r="J4298" i="13"/>
  <c r="J4299" i="13"/>
  <c r="J4300" i="13"/>
  <c r="J4301" i="13"/>
  <c r="J4302" i="13"/>
  <c r="J4303" i="13"/>
  <c r="J4304" i="13"/>
  <c r="J4305" i="13"/>
  <c r="J4306" i="13"/>
  <c r="J4307" i="13"/>
  <c r="J4308" i="13"/>
  <c r="J4309" i="13"/>
  <c r="J4310" i="13"/>
  <c r="J4311" i="13"/>
  <c r="J4312" i="13"/>
  <c r="J4313" i="13"/>
  <c r="J4314" i="13"/>
  <c r="J4315" i="13"/>
  <c r="J4316" i="13"/>
  <c r="J4317" i="13"/>
  <c r="J4318" i="13"/>
  <c r="J4319" i="13"/>
  <c r="J4320" i="13"/>
  <c r="J4321" i="13"/>
  <c r="J4322" i="13"/>
  <c r="J4323" i="13"/>
  <c r="J4324" i="13"/>
  <c r="J4325" i="13"/>
  <c r="J4326" i="13"/>
  <c r="J4327" i="13"/>
  <c r="J4328" i="13"/>
  <c r="J4329" i="13"/>
  <c r="J4330" i="13"/>
  <c r="J4331" i="13"/>
  <c r="J4332" i="13"/>
  <c r="J4333" i="13"/>
  <c r="J4334" i="13"/>
  <c r="J4335" i="13"/>
  <c r="J4336" i="13"/>
  <c r="J4337" i="13"/>
  <c r="J4338" i="13"/>
  <c r="J4339" i="13"/>
  <c r="J4340" i="13"/>
  <c r="J4341" i="13"/>
  <c r="J4342" i="13"/>
  <c r="J4343" i="13"/>
  <c r="J4344" i="13"/>
  <c r="J4345" i="13"/>
  <c r="J4346" i="13"/>
  <c r="J4347" i="13"/>
  <c r="J4348" i="13"/>
  <c r="J4349" i="13"/>
  <c r="J4350" i="13"/>
  <c r="J4351" i="13"/>
  <c r="J4352" i="13"/>
  <c r="J4353" i="13"/>
  <c r="J4354" i="13"/>
  <c r="J4355" i="13"/>
  <c r="J4356" i="13"/>
  <c r="J4357" i="13"/>
  <c r="J4358" i="13"/>
  <c r="J4359" i="13"/>
  <c r="J4360" i="13"/>
  <c r="J4361" i="13"/>
  <c r="J4362" i="13"/>
  <c r="J4363" i="13"/>
  <c r="J4364" i="13"/>
  <c r="J4365" i="13"/>
  <c r="J4366" i="13"/>
  <c r="J4367" i="13"/>
  <c r="J4368" i="13"/>
  <c r="J4369" i="13"/>
  <c r="J4370" i="13"/>
  <c r="J4371" i="13"/>
  <c r="J4372" i="13"/>
  <c r="J4373" i="13"/>
  <c r="J4374" i="13"/>
  <c r="J4375" i="13"/>
  <c r="J4376" i="13"/>
  <c r="J4377" i="13"/>
  <c r="J4378" i="13"/>
  <c r="J4379" i="13"/>
  <c r="J4380" i="13"/>
  <c r="J4381" i="13"/>
  <c r="J4382" i="13"/>
  <c r="J4383" i="13"/>
  <c r="J4384" i="13"/>
  <c r="J4385" i="13"/>
  <c r="J4386" i="13"/>
  <c r="J4387" i="13"/>
  <c r="J4388" i="13"/>
  <c r="J4389" i="13"/>
  <c r="J4390" i="13"/>
  <c r="J4391" i="13"/>
  <c r="J4392" i="13"/>
  <c r="J4393" i="13"/>
  <c r="J4394" i="13"/>
  <c r="J4395" i="13"/>
  <c r="J4396" i="13"/>
  <c r="J4397" i="13"/>
  <c r="J4398" i="13"/>
  <c r="J4399" i="13"/>
  <c r="J4400" i="13"/>
  <c r="J4401" i="13"/>
  <c r="J4402" i="13"/>
  <c r="J4403" i="13"/>
  <c r="J4404" i="13"/>
  <c r="J4405" i="13"/>
  <c r="J4406" i="13"/>
  <c r="J4407" i="13"/>
  <c r="J4408" i="13"/>
  <c r="J4409" i="13"/>
  <c r="J4410" i="13"/>
  <c r="J4411" i="13"/>
  <c r="J4412" i="13"/>
  <c r="J4413" i="13"/>
  <c r="J4414" i="13"/>
  <c r="J4415" i="13"/>
  <c r="J4416" i="13"/>
  <c r="J4417" i="13"/>
  <c r="J4418" i="13"/>
  <c r="J4419" i="13"/>
  <c r="J4420" i="13"/>
  <c r="J4421" i="13"/>
  <c r="J4422" i="13"/>
  <c r="J4423" i="13"/>
  <c r="J4424" i="13"/>
  <c r="J4425" i="13"/>
  <c r="J4426" i="13"/>
  <c r="J4427" i="13"/>
  <c r="J4428" i="13"/>
  <c r="J4429" i="13"/>
  <c r="J4430" i="13"/>
  <c r="J4431" i="13"/>
  <c r="J4432" i="13"/>
  <c r="J4433" i="13"/>
  <c r="J4434" i="13"/>
  <c r="J4435" i="13"/>
  <c r="J4436" i="13"/>
  <c r="J4437" i="13"/>
  <c r="J4438" i="13"/>
  <c r="J4439" i="13"/>
  <c r="J4440" i="13"/>
  <c r="J4441" i="13"/>
  <c r="J4442" i="13"/>
  <c r="J4443" i="13"/>
  <c r="J4444" i="13"/>
  <c r="J4445" i="13"/>
  <c r="J4446" i="13"/>
  <c r="J4447" i="13"/>
  <c r="J4448" i="13"/>
  <c r="J4449" i="13"/>
  <c r="J4450" i="13"/>
  <c r="J4451" i="13"/>
  <c r="J4452" i="13"/>
  <c r="J4453" i="13"/>
  <c r="J4454" i="13"/>
  <c r="J4455" i="13"/>
  <c r="J4456" i="13"/>
  <c r="J4457" i="13"/>
  <c r="J4458" i="13"/>
  <c r="J4459" i="13"/>
  <c r="J4460" i="13"/>
  <c r="J4461" i="13"/>
  <c r="J4462" i="13"/>
  <c r="J4463" i="13"/>
  <c r="J4464" i="13"/>
  <c r="J4465" i="13"/>
  <c r="J4466" i="13"/>
  <c r="J4467" i="13"/>
  <c r="J4468" i="13"/>
  <c r="J4469" i="13"/>
  <c r="J4470" i="13"/>
  <c r="J4471" i="13"/>
  <c r="J4472" i="13"/>
  <c r="J4473" i="13"/>
  <c r="J4474" i="13"/>
  <c r="J4475" i="13"/>
  <c r="J4476" i="13"/>
  <c r="J4477" i="13"/>
  <c r="J4478" i="13"/>
  <c r="J4479" i="13"/>
  <c r="J4480" i="13"/>
  <c r="J4481" i="13"/>
  <c r="J4482" i="13"/>
  <c r="J4483" i="13"/>
  <c r="J4484" i="13"/>
  <c r="J4485" i="13"/>
  <c r="J4486" i="13"/>
  <c r="J4487" i="13"/>
  <c r="J4488" i="13"/>
  <c r="J4489" i="13"/>
  <c r="J4490" i="13"/>
  <c r="J4491" i="13"/>
  <c r="J4492" i="13"/>
  <c r="J4493" i="13"/>
  <c r="J4494" i="13"/>
  <c r="J4495" i="13"/>
  <c r="J4496" i="13"/>
  <c r="J4497" i="13"/>
  <c r="J4498" i="13"/>
  <c r="J4499" i="13"/>
  <c r="J4500" i="13"/>
  <c r="J4501" i="13"/>
  <c r="J4502" i="13"/>
  <c r="J4503" i="13"/>
  <c r="J4504" i="13"/>
  <c r="J4505" i="13"/>
  <c r="J4506" i="13"/>
  <c r="J4507" i="13"/>
  <c r="J4508" i="13"/>
  <c r="J4509" i="13"/>
  <c r="J4510" i="13"/>
  <c r="J4511" i="13"/>
  <c r="J4512" i="13"/>
  <c r="J4513" i="13"/>
  <c r="J4514" i="13"/>
  <c r="J4515" i="13"/>
  <c r="J4516" i="13"/>
  <c r="J4517" i="13"/>
  <c r="J4518" i="13"/>
  <c r="J4519" i="13"/>
  <c r="J4520" i="13"/>
  <c r="J4521" i="13"/>
  <c r="J4522" i="13"/>
  <c r="J4523" i="13"/>
  <c r="J4524" i="13"/>
  <c r="J4525" i="13"/>
  <c r="J4526" i="13"/>
  <c r="J4527" i="13"/>
  <c r="J4528" i="13"/>
  <c r="J4529" i="13"/>
  <c r="J4530" i="13"/>
  <c r="J4531" i="13"/>
  <c r="J4532" i="13"/>
  <c r="J4533" i="13"/>
  <c r="J4534" i="13"/>
  <c r="J4535" i="13"/>
  <c r="J4536" i="13"/>
  <c r="J4537" i="13"/>
  <c r="J4538" i="13"/>
  <c r="J4539" i="13"/>
  <c r="J4540" i="13"/>
  <c r="J4541" i="13"/>
  <c r="J4542" i="13"/>
  <c r="J4543" i="13"/>
  <c r="J4544" i="13"/>
  <c r="J4545" i="13"/>
  <c r="J4546" i="13"/>
  <c r="J4547" i="13"/>
  <c r="J4548" i="13"/>
  <c r="J4549" i="13"/>
  <c r="J4550" i="13"/>
  <c r="J4551" i="13"/>
  <c r="J4552" i="13"/>
  <c r="J4553" i="13"/>
  <c r="J4554" i="13"/>
  <c r="J4555" i="13"/>
  <c r="J4556" i="13"/>
  <c r="J4557" i="13"/>
  <c r="J4558" i="13"/>
  <c r="J4559" i="13"/>
  <c r="J4560" i="13"/>
  <c r="J4561" i="13"/>
  <c r="J4562" i="13"/>
  <c r="J4563" i="13"/>
  <c r="J4564" i="13"/>
  <c r="J4565" i="13"/>
  <c r="J4566" i="13"/>
  <c r="J4567" i="13"/>
  <c r="J4568" i="13"/>
  <c r="J4569" i="13"/>
  <c r="J4570" i="13"/>
  <c r="J4571" i="13"/>
  <c r="J4572" i="13"/>
  <c r="J4573" i="13"/>
  <c r="J4574" i="13"/>
  <c r="J4575" i="13"/>
  <c r="J4576" i="13"/>
  <c r="J4577" i="13"/>
  <c r="J4578" i="13"/>
  <c r="J4579" i="13"/>
  <c r="J4580" i="13"/>
  <c r="J4581" i="13"/>
  <c r="J4582" i="13"/>
  <c r="J4583" i="13"/>
  <c r="J4584" i="13"/>
  <c r="J4585" i="13"/>
  <c r="J4586" i="13"/>
  <c r="J4587" i="13"/>
  <c r="J4588" i="13"/>
  <c r="J4589" i="13"/>
  <c r="J4590" i="13"/>
  <c r="J4591" i="13"/>
  <c r="J4592" i="13"/>
  <c r="J4593" i="13"/>
  <c r="J4594" i="13"/>
  <c r="J4595" i="13"/>
  <c r="J4596" i="13"/>
  <c r="J4597" i="13"/>
  <c r="J4598" i="13"/>
  <c r="J4599" i="13"/>
  <c r="J4600" i="13"/>
  <c r="J4601" i="13"/>
  <c r="J4602" i="13"/>
  <c r="J4603" i="13"/>
  <c r="J4604" i="13"/>
  <c r="J4605" i="13"/>
  <c r="J4606" i="13"/>
  <c r="J4607" i="13"/>
  <c r="J4608" i="13"/>
  <c r="J4609" i="13"/>
  <c r="J4610" i="13"/>
  <c r="J4611" i="13"/>
  <c r="J4612" i="13"/>
  <c r="J4613" i="13"/>
  <c r="J4614" i="13"/>
  <c r="J4615" i="13"/>
  <c r="J4616" i="13"/>
  <c r="J4617" i="13"/>
  <c r="J4618" i="13"/>
  <c r="J4619" i="13"/>
  <c r="J4620" i="13"/>
  <c r="J4621" i="13"/>
  <c r="J4622" i="13"/>
  <c r="J4623" i="13"/>
  <c r="J4624" i="13"/>
  <c r="J4625" i="13"/>
  <c r="J4626" i="13"/>
  <c r="J4627" i="13"/>
  <c r="J4628" i="13"/>
  <c r="J4629" i="13"/>
  <c r="J4630" i="13"/>
  <c r="J4631" i="13"/>
  <c r="J4632" i="13"/>
  <c r="J4633" i="13"/>
  <c r="J4634" i="13"/>
  <c r="J4635" i="13"/>
  <c r="J4636" i="13"/>
  <c r="J4637" i="13"/>
  <c r="J4638" i="13"/>
  <c r="J4639" i="13"/>
  <c r="J4640" i="13"/>
  <c r="J4641" i="13"/>
  <c r="J4642" i="13"/>
  <c r="J4643" i="13"/>
  <c r="J4644" i="13"/>
  <c r="J4645" i="13"/>
  <c r="J4646" i="13"/>
  <c r="J4647" i="13"/>
  <c r="J4648" i="13"/>
  <c r="J4649" i="13"/>
  <c r="J4650" i="13"/>
  <c r="J4651" i="13"/>
  <c r="J4652" i="13"/>
  <c r="J4653" i="13"/>
  <c r="J4654" i="13"/>
  <c r="J4655" i="13"/>
  <c r="J4656" i="13"/>
  <c r="J4657" i="13"/>
  <c r="J4658" i="13"/>
  <c r="J4659" i="13"/>
  <c r="J4660" i="13"/>
  <c r="J4661" i="13"/>
  <c r="J4662" i="13"/>
  <c r="J4663" i="13"/>
  <c r="J4664" i="13"/>
  <c r="J4665" i="13"/>
  <c r="J4666" i="13"/>
  <c r="J4667" i="13"/>
  <c r="J4668" i="13"/>
  <c r="J4669" i="13"/>
  <c r="J4670" i="13"/>
  <c r="J4671" i="13"/>
  <c r="J4672" i="13"/>
  <c r="J4673" i="13"/>
  <c r="J4674" i="13"/>
  <c r="J4675" i="13"/>
  <c r="J4676" i="13"/>
  <c r="J4677" i="13"/>
  <c r="J4678" i="13"/>
  <c r="J4679" i="13"/>
  <c r="J4680" i="13"/>
  <c r="J4681" i="13"/>
  <c r="J4682" i="13"/>
  <c r="J4683" i="13"/>
  <c r="J4684" i="13"/>
  <c r="J4685" i="13"/>
  <c r="J4686" i="13"/>
  <c r="J4687" i="13"/>
  <c r="J4688" i="13"/>
  <c r="J4689" i="13"/>
  <c r="J4690" i="13"/>
  <c r="J4691" i="13"/>
  <c r="J4692" i="13"/>
  <c r="J4693" i="13"/>
  <c r="J4694" i="13"/>
  <c r="J4695" i="13"/>
  <c r="J4696" i="13"/>
  <c r="J4697" i="13"/>
  <c r="J4698" i="13"/>
  <c r="J4699" i="13"/>
  <c r="J4700" i="13"/>
  <c r="J4701" i="13"/>
  <c r="J4702" i="13"/>
  <c r="J4703" i="13"/>
  <c r="J4704" i="13"/>
  <c r="J4705" i="13"/>
  <c r="J4706" i="13"/>
  <c r="J4707" i="13"/>
  <c r="J4708" i="13"/>
  <c r="J4709" i="13"/>
  <c r="J4710" i="13"/>
  <c r="J4711" i="13"/>
  <c r="J4712" i="13"/>
  <c r="J4713" i="13"/>
  <c r="J4714" i="13"/>
  <c r="J4715" i="13"/>
  <c r="J4716" i="13"/>
  <c r="J4717" i="13"/>
  <c r="J4718" i="13"/>
  <c r="J4719" i="13"/>
  <c r="J4720" i="13"/>
  <c r="J4721" i="13"/>
  <c r="J4722" i="13"/>
  <c r="J4723" i="13"/>
  <c r="J4724" i="13"/>
  <c r="J4725" i="13"/>
  <c r="J4726" i="13"/>
  <c r="J4727" i="13"/>
  <c r="J4728" i="13"/>
  <c r="J4729" i="13"/>
  <c r="J4730" i="13"/>
  <c r="J4731" i="13"/>
  <c r="J4732" i="13"/>
  <c r="J4733" i="13"/>
  <c r="J4734" i="13"/>
  <c r="J4735" i="13"/>
  <c r="J4736" i="13"/>
  <c r="J4737" i="13"/>
  <c r="J4738" i="13"/>
  <c r="J4739" i="13"/>
  <c r="J4740" i="13"/>
  <c r="J4741" i="13"/>
  <c r="J4742" i="13"/>
  <c r="J4743" i="13"/>
  <c r="J4744" i="13"/>
  <c r="J4745" i="13"/>
  <c r="J4746" i="13"/>
  <c r="J4747" i="13"/>
  <c r="J4748" i="13"/>
  <c r="J4749" i="13"/>
  <c r="J4750" i="13"/>
  <c r="J4751" i="13"/>
  <c r="J4752" i="13"/>
  <c r="J4753" i="13"/>
  <c r="J4754" i="13"/>
  <c r="J4755" i="13"/>
  <c r="J4756" i="13"/>
  <c r="J4757" i="13"/>
  <c r="J4758" i="13"/>
  <c r="J4759" i="13"/>
  <c r="J4760" i="13"/>
  <c r="J4761" i="13"/>
  <c r="J4762" i="13"/>
  <c r="J4763" i="13"/>
  <c r="J4764" i="13"/>
  <c r="J4765" i="13"/>
  <c r="J4766" i="13"/>
  <c r="J4767" i="13"/>
  <c r="J4768" i="13"/>
  <c r="J4769" i="13"/>
  <c r="J4770" i="13"/>
  <c r="J4771" i="13"/>
  <c r="J4772" i="13"/>
  <c r="J4773" i="13"/>
  <c r="J4774" i="13"/>
  <c r="J4775" i="13"/>
  <c r="J4776" i="13"/>
  <c r="J4777" i="13"/>
  <c r="J4778" i="13"/>
  <c r="J4779" i="13"/>
  <c r="J4780" i="13"/>
  <c r="J4781" i="13"/>
  <c r="J4782" i="13"/>
  <c r="J4783" i="13"/>
  <c r="J4784" i="13"/>
  <c r="J4785" i="13"/>
  <c r="J4786" i="13"/>
  <c r="J4787" i="13"/>
  <c r="J4788" i="13"/>
  <c r="J4789" i="13"/>
  <c r="J4790" i="13"/>
  <c r="J4791" i="13"/>
  <c r="J4792" i="13"/>
  <c r="J4793" i="13"/>
  <c r="J4794" i="13"/>
  <c r="J4795" i="13"/>
  <c r="J4796" i="13"/>
  <c r="J4797" i="13"/>
  <c r="J4798" i="13"/>
  <c r="J4799" i="13"/>
  <c r="J4800" i="13"/>
  <c r="J4801" i="13"/>
  <c r="J4802" i="13"/>
  <c r="J4803" i="13"/>
  <c r="J4804" i="13"/>
  <c r="J4805" i="13"/>
  <c r="J4806" i="13"/>
  <c r="J4807" i="13"/>
  <c r="J4808" i="13"/>
  <c r="J4809" i="13"/>
  <c r="J4810" i="13"/>
  <c r="J4811" i="13"/>
  <c r="J4812" i="13"/>
  <c r="J4813" i="13"/>
  <c r="J4814" i="13"/>
  <c r="J4815" i="13"/>
  <c r="J4816" i="13"/>
  <c r="J4817" i="13"/>
  <c r="J4818" i="13"/>
  <c r="J4819" i="13"/>
  <c r="J4820" i="13"/>
  <c r="J4821" i="13"/>
  <c r="J4822" i="13"/>
  <c r="J4823" i="13"/>
  <c r="J4824" i="13"/>
  <c r="J4825" i="13"/>
  <c r="J4826" i="13"/>
  <c r="J4827" i="13"/>
  <c r="J4828" i="13"/>
  <c r="J4829" i="13"/>
  <c r="J4830" i="13"/>
  <c r="J4831" i="13"/>
  <c r="J4832" i="13"/>
  <c r="J4833" i="13"/>
  <c r="J4834" i="13"/>
  <c r="J4835" i="13"/>
  <c r="J4836" i="13"/>
  <c r="J4837" i="13"/>
  <c r="J4838" i="13"/>
  <c r="J4839" i="13"/>
  <c r="J4840" i="13"/>
  <c r="J4841" i="13"/>
  <c r="J4842" i="13"/>
  <c r="J4843" i="13"/>
  <c r="J4844" i="13"/>
  <c r="J4845" i="13"/>
  <c r="J4846" i="13"/>
  <c r="J4847" i="13"/>
  <c r="J4848" i="13"/>
  <c r="J4849" i="13"/>
  <c r="J4850" i="13"/>
  <c r="J4851" i="13"/>
  <c r="J4852" i="13"/>
  <c r="J4853" i="13"/>
  <c r="J4854" i="13"/>
  <c r="J4855" i="13"/>
  <c r="J4856" i="13"/>
  <c r="J4857" i="13"/>
  <c r="J4858" i="13"/>
  <c r="J4859" i="13"/>
  <c r="J4860" i="13"/>
  <c r="J4861" i="13"/>
  <c r="J4862" i="13"/>
  <c r="J4863" i="13"/>
  <c r="J4864" i="13"/>
  <c r="J4865" i="13"/>
  <c r="J4866" i="13"/>
  <c r="J4867" i="13"/>
  <c r="J4868" i="13"/>
  <c r="J4869" i="13"/>
  <c r="J4870" i="13"/>
  <c r="J4871" i="13"/>
  <c r="J4872" i="13"/>
  <c r="J4873" i="13"/>
  <c r="J4874" i="13"/>
  <c r="J4875" i="13"/>
  <c r="J4876" i="13"/>
  <c r="J4877" i="13"/>
  <c r="J4878" i="13"/>
  <c r="J4879" i="13"/>
  <c r="J4880" i="13"/>
  <c r="J4881" i="13"/>
  <c r="J4882" i="13"/>
  <c r="J4883" i="13"/>
  <c r="J4884" i="13"/>
  <c r="J4885" i="13"/>
  <c r="J4886" i="13"/>
  <c r="J4887" i="13"/>
  <c r="J4888" i="13"/>
  <c r="J4889" i="13"/>
  <c r="J4890" i="13"/>
  <c r="J4891" i="13"/>
  <c r="J4892" i="13"/>
  <c r="J4893" i="13"/>
  <c r="J4894" i="13"/>
  <c r="J4895" i="13"/>
  <c r="J4896" i="13"/>
  <c r="J4897" i="13"/>
  <c r="J4898" i="13"/>
  <c r="J4899" i="13"/>
  <c r="J4900" i="13"/>
  <c r="J4901" i="13"/>
  <c r="F2" i="13"/>
  <c r="M70" i="18"/>
  <c r="L70" i="18"/>
  <c r="F70" i="18"/>
  <c r="E70" i="18"/>
  <c r="B70" i="18"/>
  <c r="A70" i="18" s="1"/>
  <c r="M12" i="18"/>
  <c r="L12" i="18"/>
  <c r="F12" i="18"/>
  <c r="E12" i="18"/>
  <c r="B12" i="18"/>
  <c r="A12" i="18" s="1"/>
  <c r="M44" i="18"/>
  <c r="L44" i="18"/>
  <c r="F44" i="18"/>
  <c r="E44" i="18"/>
  <c r="B44" i="18"/>
  <c r="A44" i="18" s="1"/>
  <c r="M57" i="18"/>
  <c r="L57" i="18"/>
  <c r="F57" i="18"/>
  <c r="E57" i="18"/>
  <c r="B57" i="18"/>
  <c r="A57" i="18" s="1"/>
  <c r="M25" i="18"/>
  <c r="L25" i="18"/>
  <c r="F25" i="18"/>
  <c r="E25" i="18"/>
  <c r="B25" i="18"/>
  <c r="A25" i="18" s="1"/>
  <c r="M30" i="18"/>
  <c r="L30" i="18"/>
  <c r="F30" i="18"/>
  <c r="E30" i="18"/>
  <c r="B30" i="18"/>
  <c r="A30" i="18" s="1"/>
  <c r="M11" i="18"/>
  <c r="L11" i="18"/>
  <c r="F11" i="18"/>
  <c r="E11" i="18"/>
  <c r="B11" i="18"/>
  <c r="A11" i="18" s="1"/>
  <c r="M56" i="18"/>
  <c r="L56" i="18"/>
  <c r="F56" i="18"/>
  <c r="E56" i="18"/>
  <c r="B56" i="18"/>
  <c r="A56" i="18" s="1"/>
  <c r="M24" i="18"/>
  <c r="L24" i="18"/>
  <c r="F24" i="18"/>
  <c r="E24" i="18"/>
  <c r="B24" i="18"/>
  <c r="A24" i="18" s="1"/>
  <c r="M69" i="18"/>
  <c r="L69" i="18"/>
  <c r="F69" i="18"/>
  <c r="E69" i="18"/>
  <c r="B69" i="18"/>
  <c r="A69" i="18" s="1"/>
  <c r="M29" i="18"/>
  <c r="L29" i="18"/>
  <c r="F29" i="18"/>
  <c r="E29" i="18"/>
  <c r="B29" i="18"/>
  <c r="A29" i="18" s="1"/>
  <c r="M68" i="18"/>
  <c r="L68" i="18"/>
  <c r="F68" i="18"/>
  <c r="E68" i="18"/>
  <c r="B68" i="18"/>
  <c r="A68" i="18" s="1"/>
  <c r="M10" i="18"/>
  <c r="L10" i="18"/>
  <c r="F10" i="18"/>
  <c r="E10" i="18"/>
  <c r="B10" i="18"/>
  <c r="A10" i="18" s="1"/>
  <c r="M43" i="18"/>
  <c r="L43" i="18"/>
  <c r="F43" i="18"/>
  <c r="E43" i="18"/>
  <c r="B43" i="18"/>
  <c r="A43" i="18" s="1"/>
  <c r="M55" i="18"/>
  <c r="L55" i="18"/>
  <c r="F55" i="18"/>
  <c r="E55" i="18"/>
  <c r="B55" i="18"/>
  <c r="A55" i="18" s="1"/>
  <c r="M23" i="18"/>
  <c r="L23" i="18"/>
  <c r="F23" i="18"/>
  <c r="E23" i="18"/>
  <c r="B23" i="18"/>
  <c r="A23" i="18" s="1"/>
  <c r="M67" i="18"/>
  <c r="L67" i="18"/>
  <c r="F67" i="18"/>
  <c r="E67" i="18"/>
  <c r="B67" i="18"/>
  <c r="A67" i="18" s="1"/>
  <c r="M9" i="18"/>
  <c r="L9" i="18"/>
  <c r="F9" i="18"/>
  <c r="E9" i="18"/>
  <c r="B9" i="18"/>
  <c r="A9" i="18" s="1"/>
  <c r="M42" i="18"/>
  <c r="L42" i="18"/>
  <c r="F42" i="18"/>
  <c r="E42" i="18"/>
  <c r="B42" i="18"/>
  <c r="A42" i="18" s="1"/>
  <c r="M54" i="18"/>
  <c r="L54" i="18"/>
  <c r="F54" i="18"/>
  <c r="E54" i="18"/>
  <c r="B54" i="18"/>
  <c r="A54" i="18" s="1"/>
  <c r="M22" i="18"/>
  <c r="L22" i="18"/>
  <c r="F22" i="18"/>
  <c r="E22" i="18"/>
  <c r="B22" i="18"/>
  <c r="A22" i="18" s="1"/>
  <c r="M66" i="18"/>
  <c r="L66" i="18"/>
  <c r="F66" i="18"/>
  <c r="E66" i="18"/>
  <c r="B66" i="18"/>
  <c r="A66" i="18" s="1"/>
  <c r="M8" i="18"/>
  <c r="L8" i="18"/>
  <c r="F8" i="18"/>
  <c r="E8" i="18"/>
  <c r="B8" i="18"/>
  <c r="A8" i="18" s="1"/>
  <c r="M41" i="18"/>
  <c r="L41" i="18"/>
  <c r="F41" i="18"/>
  <c r="E41" i="18"/>
  <c r="B41" i="18"/>
  <c r="A41" i="18" s="1"/>
  <c r="M53" i="18"/>
  <c r="L53" i="18"/>
  <c r="F53" i="18"/>
  <c r="E53" i="18"/>
  <c r="B53" i="18"/>
  <c r="A53" i="18" s="1"/>
  <c r="M21" i="18"/>
  <c r="L21" i="18"/>
  <c r="F21" i="18"/>
  <c r="E21" i="18"/>
  <c r="B21" i="18"/>
  <c r="A21" i="18" s="1"/>
  <c r="M40" i="18"/>
  <c r="L40" i="18"/>
  <c r="F40" i="18"/>
  <c r="E40" i="18"/>
  <c r="B40" i="18"/>
  <c r="A40" i="18" s="1"/>
  <c r="M39" i="18"/>
  <c r="L39" i="18"/>
  <c r="F39" i="18"/>
  <c r="E39" i="18"/>
  <c r="B39" i="18"/>
  <c r="A39" i="18" s="1"/>
  <c r="M65" i="18"/>
  <c r="L65" i="18"/>
  <c r="F65" i="18"/>
  <c r="E65" i="18"/>
  <c r="B65" i="18"/>
  <c r="A65" i="18" s="1"/>
  <c r="M7" i="18"/>
  <c r="L7" i="18"/>
  <c r="F7" i="18"/>
  <c r="E7" i="18"/>
  <c r="B7" i="18"/>
  <c r="A7" i="18" s="1"/>
  <c r="M38" i="18"/>
  <c r="L38" i="18"/>
  <c r="F38" i="18"/>
  <c r="E38" i="18"/>
  <c r="B38" i="18"/>
  <c r="A38" i="18" s="1"/>
  <c r="M52" i="18"/>
  <c r="L52" i="18"/>
  <c r="F52" i="18"/>
  <c r="E52" i="18"/>
  <c r="B52" i="18"/>
  <c r="A52" i="18" s="1"/>
  <c r="M20" i="18"/>
  <c r="L20" i="18"/>
  <c r="F20" i="18"/>
  <c r="E20" i="18"/>
  <c r="B20" i="18"/>
  <c r="A20" i="18" s="1"/>
  <c r="M64" i="18"/>
  <c r="L64" i="18"/>
  <c r="F64" i="18"/>
  <c r="E64" i="18"/>
  <c r="B64" i="18"/>
  <c r="A64" i="18" s="1"/>
  <c r="M6" i="18"/>
  <c r="L6" i="18"/>
  <c r="F6" i="18"/>
  <c r="E6" i="18"/>
  <c r="B6" i="18"/>
  <c r="A6" i="18" s="1"/>
  <c r="M37" i="18"/>
  <c r="L37" i="18"/>
  <c r="F37" i="18"/>
  <c r="E37" i="18"/>
  <c r="B37" i="18"/>
  <c r="A37" i="18" s="1"/>
  <c r="M51" i="18"/>
  <c r="L51" i="18"/>
  <c r="F51" i="18"/>
  <c r="E51" i="18"/>
  <c r="B51" i="18"/>
  <c r="A51" i="18" s="1"/>
  <c r="M19" i="18"/>
  <c r="L19" i="18"/>
  <c r="F19" i="18"/>
  <c r="E19" i="18"/>
  <c r="B19" i="18"/>
  <c r="A19" i="18" s="1"/>
  <c r="M50" i="18"/>
  <c r="L50" i="18"/>
  <c r="F50" i="18"/>
  <c r="E50" i="18"/>
  <c r="B50" i="18"/>
  <c r="A50" i="18" s="1"/>
  <c r="M18" i="18"/>
  <c r="L18" i="18"/>
  <c r="F18" i="18"/>
  <c r="E18" i="18"/>
  <c r="B18" i="18"/>
  <c r="A18" i="18" s="1"/>
  <c r="M63" i="18"/>
  <c r="L63" i="18"/>
  <c r="F63" i="18"/>
  <c r="E63" i="18"/>
  <c r="B63" i="18"/>
  <c r="A63" i="18" s="1"/>
  <c r="M28" i="18"/>
  <c r="L28" i="18"/>
  <c r="F28" i="18"/>
  <c r="E28" i="18"/>
  <c r="B28" i="18"/>
  <c r="A28" i="18" s="1"/>
  <c r="M36" i="18"/>
  <c r="L36" i="18"/>
  <c r="F36" i="18"/>
  <c r="E36" i="18"/>
  <c r="B36" i="18"/>
  <c r="A36" i="18" s="1"/>
  <c r="M17" i="18"/>
  <c r="L17" i="18"/>
  <c r="F17" i="18"/>
  <c r="E17" i="18"/>
  <c r="B17" i="18"/>
  <c r="A17" i="18" s="1"/>
  <c r="M49" i="18"/>
  <c r="L49" i="18"/>
  <c r="F49" i="18"/>
  <c r="E49" i="18"/>
  <c r="B49" i="18"/>
  <c r="A49" i="18" s="1"/>
  <c r="M62" i="18"/>
  <c r="L62" i="18"/>
  <c r="F62" i="18"/>
  <c r="E62" i="18"/>
  <c r="B62" i="18"/>
  <c r="A62" i="18" s="1"/>
  <c r="M5" i="18"/>
  <c r="L5" i="18"/>
  <c r="F5" i="18"/>
  <c r="E5" i="18"/>
  <c r="B5" i="18"/>
  <c r="A5" i="18" s="1"/>
  <c r="M35" i="18"/>
  <c r="L35" i="18"/>
  <c r="F35" i="18"/>
  <c r="E35" i="18"/>
  <c r="B35" i="18"/>
  <c r="A35" i="18" s="1"/>
  <c r="M48" i="18"/>
  <c r="L48" i="18"/>
  <c r="F48" i="18"/>
  <c r="E48" i="18"/>
  <c r="B48" i="18"/>
  <c r="A48" i="18" s="1"/>
  <c r="M16" i="18"/>
  <c r="L16" i="18"/>
  <c r="F16" i="18"/>
  <c r="E16" i="18"/>
  <c r="B16" i="18"/>
  <c r="A16" i="18" s="1"/>
  <c r="M61" i="18"/>
  <c r="L61" i="18"/>
  <c r="F61" i="18"/>
  <c r="E61" i="18"/>
  <c r="B61" i="18"/>
  <c r="A61" i="18" s="1"/>
  <c r="M27" i="18"/>
  <c r="L27" i="18"/>
  <c r="F27" i="18"/>
  <c r="E27" i="18"/>
  <c r="B27" i="18"/>
  <c r="A27" i="18" s="1"/>
  <c r="M34" i="18"/>
  <c r="L34" i="18"/>
  <c r="F34" i="18"/>
  <c r="E34" i="18"/>
  <c r="B34" i="18"/>
  <c r="A34" i="18"/>
  <c r="M15" i="18"/>
  <c r="L15" i="18"/>
  <c r="F15" i="18"/>
  <c r="E15" i="18"/>
  <c r="B15" i="18"/>
  <c r="A15" i="18" s="1"/>
  <c r="M60" i="18"/>
  <c r="L60" i="18"/>
  <c r="F60" i="18"/>
  <c r="E60" i="18"/>
  <c r="B60" i="18"/>
  <c r="A60" i="18" s="1"/>
  <c r="M4" i="18"/>
  <c r="L4" i="18"/>
  <c r="F4" i="18"/>
  <c r="E4" i="18"/>
  <c r="B4" i="18"/>
  <c r="A4" i="18" s="1"/>
  <c r="M33" i="18"/>
  <c r="L33" i="18"/>
  <c r="F33" i="18"/>
  <c r="E33" i="18"/>
  <c r="B33" i="18"/>
  <c r="A33" i="18" s="1"/>
  <c r="M47" i="18"/>
  <c r="L47" i="18"/>
  <c r="F47" i="18"/>
  <c r="E47" i="18"/>
  <c r="B47" i="18"/>
  <c r="A47" i="18" s="1"/>
  <c r="M14" i="18"/>
  <c r="L14" i="18"/>
  <c r="F14" i="18"/>
  <c r="E14" i="18"/>
  <c r="B14" i="18"/>
  <c r="A14" i="18" s="1"/>
  <c r="M59" i="18"/>
  <c r="L59" i="18"/>
  <c r="F59" i="18"/>
  <c r="E59" i="18"/>
  <c r="B59" i="18"/>
  <c r="A59" i="18" s="1"/>
  <c r="M3" i="18"/>
  <c r="L3" i="18"/>
  <c r="F3" i="18"/>
  <c r="E3" i="18"/>
  <c r="B3" i="18"/>
  <c r="A3" i="18" s="1"/>
  <c r="M32" i="18"/>
  <c r="L32" i="18"/>
  <c r="F32" i="18"/>
  <c r="E32" i="18"/>
  <c r="B32" i="18"/>
  <c r="A32" i="18" s="1"/>
  <c r="M46" i="18"/>
  <c r="L46" i="18"/>
  <c r="F46" i="18"/>
  <c r="E46" i="18"/>
  <c r="B46" i="18"/>
  <c r="A46" i="18" s="1"/>
  <c r="M13" i="18"/>
  <c r="L13" i="18"/>
  <c r="F13" i="18"/>
  <c r="E13" i="18"/>
  <c r="B13" i="18"/>
  <c r="A13" i="18" s="1"/>
  <c r="M58" i="18"/>
  <c r="L58" i="18"/>
  <c r="F58" i="18"/>
  <c r="E58" i="18"/>
  <c r="B58" i="18"/>
  <c r="A58" i="18" s="1"/>
  <c r="M2" i="18"/>
  <c r="L2" i="18"/>
  <c r="F2" i="18"/>
  <c r="E2" i="18"/>
  <c r="B2" i="18"/>
  <c r="A2" i="18" s="1"/>
  <c r="M31" i="18"/>
  <c r="L31" i="18"/>
  <c r="F31" i="18"/>
  <c r="E31" i="18"/>
  <c r="B31" i="18"/>
  <c r="A31" i="18" s="1"/>
  <c r="M45" i="18"/>
  <c r="L45" i="18"/>
  <c r="F45" i="18"/>
  <c r="E45" i="18"/>
  <c r="B45" i="18"/>
  <c r="A45" i="18" s="1"/>
  <c r="M26" i="18"/>
  <c r="L26" i="18"/>
  <c r="F26" i="18"/>
  <c r="E26" i="18"/>
  <c r="B26" i="18"/>
  <c r="A26" i="18" s="1"/>
  <c r="B18" i="17"/>
  <c r="B19" i="17"/>
  <c r="A19" i="17" s="1"/>
  <c r="B20" i="17"/>
  <c r="B26" i="17"/>
  <c r="A26" i="17" s="1"/>
  <c r="B31" i="17"/>
  <c r="B32" i="17"/>
  <c r="A32" i="17" s="1"/>
  <c r="B38" i="17"/>
  <c r="B39" i="17"/>
  <c r="A39" i="17" s="1"/>
  <c r="B40" i="17"/>
  <c r="A40" i="17" s="1"/>
  <c r="B41" i="17"/>
  <c r="B42" i="17"/>
  <c r="B45" i="17"/>
  <c r="B46" i="17"/>
  <c r="B47" i="17"/>
  <c r="B48" i="17"/>
  <c r="B49" i="17"/>
  <c r="A49" i="17" s="1"/>
  <c r="B43" i="17"/>
  <c r="B60" i="17"/>
  <c r="A60" i="17" s="1"/>
  <c r="B61" i="17"/>
  <c r="A61" i="17" s="1"/>
  <c r="B27" i="17"/>
  <c r="A27" i="17" s="1"/>
  <c r="B28" i="17"/>
  <c r="B29" i="17"/>
  <c r="A29" i="17" s="1"/>
  <c r="B30" i="17"/>
  <c r="B21" i="17"/>
  <c r="A21" i="17" s="1"/>
  <c r="B22" i="17"/>
  <c r="B23" i="17"/>
  <c r="A23" i="17" s="1"/>
  <c r="B24" i="17"/>
  <c r="B25" i="17"/>
  <c r="B50" i="17"/>
  <c r="A50" i="17" s="1"/>
  <c r="B51" i="17"/>
  <c r="B52" i="17"/>
  <c r="B53" i="17"/>
  <c r="A53" i="17" s="1"/>
  <c r="B54" i="17"/>
  <c r="B12" i="17"/>
  <c r="A12" i="17" s="1"/>
  <c r="B13" i="17"/>
  <c r="B14" i="17"/>
  <c r="A14" i="17" s="1"/>
  <c r="B15" i="17"/>
  <c r="B16" i="17"/>
  <c r="A16" i="17" s="1"/>
  <c r="B33" i="17"/>
  <c r="B34" i="17"/>
  <c r="A34" i="17" s="1"/>
  <c r="B35" i="17"/>
  <c r="A35" i="17" s="1"/>
  <c r="B36" i="17"/>
  <c r="A36" i="17" s="1"/>
  <c r="B37" i="17"/>
  <c r="B55" i="17"/>
  <c r="B56" i="17"/>
  <c r="B57" i="17"/>
  <c r="A57" i="17" s="1"/>
  <c r="B58" i="17"/>
  <c r="B59" i="17"/>
  <c r="A59" i="17" s="1"/>
  <c r="B2" i="17"/>
  <c r="B3" i="17"/>
  <c r="A3" i="17" s="1"/>
  <c r="B4" i="17"/>
  <c r="A4" i="17" s="1"/>
  <c r="B5" i="17"/>
  <c r="A5" i="17" s="1"/>
  <c r="B6" i="17"/>
  <c r="B7" i="17"/>
  <c r="A7" i="17" s="1"/>
  <c r="B8" i="17"/>
  <c r="B9" i="17"/>
  <c r="A9" i="17" s="1"/>
  <c r="B10" i="17"/>
  <c r="A10" i="17" s="1"/>
  <c r="B11" i="17"/>
  <c r="A11" i="17" s="1"/>
  <c r="B62" i="17"/>
  <c r="B63" i="17"/>
  <c r="A63" i="17" s="1"/>
  <c r="B44" i="17"/>
  <c r="B64" i="17"/>
  <c r="A64" i="17" s="1"/>
  <c r="B65" i="17"/>
  <c r="B66" i="17"/>
  <c r="A66" i="17" s="1"/>
  <c r="B67" i="17"/>
  <c r="B68" i="17"/>
  <c r="A68" i="17" s="1"/>
  <c r="B69" i="17"/>
  <c r="A69" i="17" s="1"/>
  <c r="B70" i="17"/>
  <c r="A70" i="17" s="1"/>
  <c r="B17" i="17"/>
  <c r="A17" i="17" s="1"/>
  <c r="M70" i="17"/>
  <c r="L70" i="17"/>
  <c r="F70" i="17"/>
  <c r="E70" i="17"/>
  <c r="M69" i="17"/>
  <c r="L69" i="17"/>
  <c r="F69" i="17"/>
  <c r="E69" i="17"/>
  <c r="M68" i="17"/>
  <c r="L68" i="17"/>
  <c r="F68" i="17"/>
  <c r="E68" i="17"/>
  <c r="M67" i="17"/>
  <c r="L67" i="17"/>
  <c r="F67" i="17"/>
  <c r="E67" i="17"/>
  <c r="A67" i="17"/>
  <c r="M66" i="17"/>
  <c r="L66" i="17"/>
  <c r="F66" i="17"/>
  <c r="E66" i="17"/>
  <c r="M65" i="17"/>
  <c r="L65" i="17"/>
  <c r="F65" i="17"/>
  <c r="E65" i="17"/>
  <c r="A65" i="17"/>
  <c r="M64" i="17"/>
  <c r="L64" i="17"/>
  <c r="F64" i="17"/>
  <c r="E64" i="17"/>
  <c r="M44" i="17"/>
  <c r="L44" i="17"/>
  <c r="F44" i="17"/>
  <c r="E44" i="17"/>
  <c r="A44" i="17"/>
  <c r="M63" i="17"/>
  <c r="L63" i="17"/>
  <c r="F63" i="17"/>
  <c r="E63" i="17"/>
  <c r="M62" i="17"/>
  <c r="L62" i="17"/>
  <c r="F62" i="17"/>
  <c r="E62" i="17"/>
  <c r="A62" i="17"/>
  <c r="M11" i="17"/>
  <c r="L11" i="17"/>
  <c r="F11" i="17"/>
  <c r="E11" i="17"/>
  <c r="M10" i="17"/>
  <c r="L10" i="17"/>
  <c r="F10" i="17"/>
  <c r="E10" i="17"/>
  <c r="M9" i="17"/>
  <c r="L9" i="17"/>
  <c r="F9" i="17"/>
  <c r="E9" i="17"/>
  <c r="M8" i="17"/>
  <c r="L8" i="17"/>
  <c r="F8" i="17"/>
  <c r="E8" i="17"/>
  <c r="A8" i="17"/>
  <c r="M7" i="17"/>
  <c r="L7" i="17"/>
  <c r="F7" i="17"/>
  <c r="E7" i="17"/>
  <c r="M6" i="17"/>
  <c r="L6" i="17"/>
  <c r="F6" i="17"/>
  <c r="E6" i="17"/>
  <c r="A6" i="17"/>
  <c r="M5" i="17"/>
  <c r="L5" i="17"/>
  <c r="F5" i="17"/>
  <c r="E5" i="17"/>
  <c r="M4" i="17"/>
  <c r="L4" i="17"/>
  <c r="F4" i="17"/>
  <c r="E4" i="17"/>
  <c r="M3" i="17"/>
  <c r="L3" i="17"/>
  <c r="F3" i="17"/>
  <c r="E3" i="17"/>
  <c r="M2" i="17"/>
  <c r="L2" i="17"/>
  <c r="F2" i="17"/>
  <c r="E2" i="17"/>
  <c r="A2" i="17"/>
  <c r="M59" i="17"/>
  <c r="L59" i="17"/>
  <c r="F59" i="17"/>
  <c r="E59" i="17"/>
  <c r="M58" i="17"/>
  <c r="L58" i="17"/>
  <c r="F58" i="17"/>
  <c r="E58" i="17"/>
  <c r="A58" i="17"/>
  <c r="M57" i="17"/>
  <c r="L57" i="17"/>
  <c r="F57" i="17"/>
  <c r="E57" i="17"/>
  <c r="M56" i="17"/>
  <c r="L56" i="17"/>
  <c r="F56" i="17"/>
  <c r="E56" i="17"/>
  <c r="A56" i="17"/>
  <c r="M55" i="17"/>
  <c r="L55" i="17"/>
  <c r="F55" i="17"/>
  <c r="E55" i="17"/>
  <c r="A55" i="17"/>
  <c r="M37" i="17"/>
  <c r="L37" i="17"/>
  <c r="F37" i="17"/>
  <c r="E37" i="17"/>
  <c r="A37" i="17"/>
  <c r="M36" i="17"/>
  <c r="L36" i="17"/>
  <c r="F36" i="17"/>
  <c r="E36" i="17"/>
  <c r="M35" i="17"/>
  <c r="L35" i="17"/>
  <c r="F35" i="17"/>
  <c r="E35" i="17"/>
  <c r="M34" i="17"/>
  <c r="L34" i="17"/>
  <c r="F34" i="17"/>
  <c r="E34" i="17"/>
  <c r="M33" i="17"/>
  <c r="L33" i="17"/>
  <c r="F33" i="17"/>
  <c r="E33" i="17"/>
  <c r="A33" i="17"/>
  <c r="M16" i="17"/>
  <c r="L16" i="17"/>
  <c r="F16" i="17"/>
  <c r="E16" i="17"/>
  <c r="M15" i="17"/>
  <c r="L15" i="17"/>
  <c r="F15" i="17"/>
  <c r="E15" i="17"/>
  <c r="A15" i="17"/>
  <c r="M14" i="17"/>
  <c r="L14" i="17"/>
  <c r="F14" i="17"/>
  <c r="E14" i="17"/>
  <c r="M13" i="17"/>
  <c r="L13" i="17"/>
  <c r="F13" i="17"/>
  <c r="E13" i="17"/>
  <c r="A13" i="17"/>
  <c r="M12" i="17"/>
  <c r="L12" i="17"/>
  <c r="F12" i="17"/>
  <c r="E12" i="17"/>
  <c r="M54" i="17"/>
  <c r="L54" i="17"/>
  <c r="F54" i="17"/>
  <c r="E54" i="17"/>
  <c r="A54" i="17"/>
  <c r="M53" i="17"/>
  <c r="L53" i="17"/>
  <c r="F53" i="17"/>
  <c r="E53" i="17"/>
  <c r="M52" i="17"/>
  <c r="L52" i="17"/>
  <c r="F52" i="17"/>
  <c r="E52" i="17"/>
  <c r="A52" i="17"/>
  <c r="M51" i="17"/>
  <c r="L51" i="17"/>
  <c r="F51" i="17"/>
  <c r="E51" i="17"/>
  <c r="A51" i="17"/>
  <c r="M50" i="17"/>
  <c r="L50" i="17"/>
  <c r="F50" i="17"/>
  <c r="E50" i="17"/>
  <c r="M25" i="17"/>
  <c r="L25" i="17"/>
  <c r="F25" i="17"/>
  <c r="E25" i="17"/>
  <c r="A25" i="17"/>
  <c r="M24" i="17"/>
  <c r="L24" i="17"/>
  <c r="F24" i="17"/>
  <c r="E24" i="17"/>
  <c r="A24" i="17"/>
  <c r="M23" i="17"/>
  <c r="L23" i="17"/>
  <c r="F23" i="17"/>
  <c r="E23" i="17"/>
  <c r="M22" i="17"/>
  <c r="L22" i="17"/>
  <c r="F22" i="17"/>
  <c r="E22" i="17"/>
  <c r="A22" i="17"/>
  <c r="M21" i="17"/>
  <c r="L21" i="17"/>
  <c r="F21" i="17"/>
  <c r="E21" i="17"/>
  <c r="M30" i="17"/>
  <c r="L30" i="17"/>
  <c r="F30" i="17"/>
  <c r="E30" i="17"/>
  <c r="A30" i="17"/>
  <c r="M29" i="17"/>
  <c r="L29" i="17"/>
  <c r="F29" i="17"/>
  <c r="E29" i="17"/>
  <c r="M28" i="17"/>
  <c r="L28" i="17"/>
  <c r="F28" i="17"/>
  <c r="E28" i="17"/>
  <c r="A28" i="17"/>
  <c r="M27" i="17"/>
  <c r="L27" i="17"/>
  <c r="F27" i="17"/>
  <c r="E27" i="17"/>
  <c r="M61" i="17"/>
  <c r="L61" i="17"/>
  <c r="F61" i="17"/>
  <c r="E61" i="17"/>
  <c r="M60" i="17"/>
  <c r="L60" i="17"/>
  <c r="F60" i="17"/>
  <c r="E60" i="17"/>
  <c r="M43" i="17"/>
  <c r="L43" i="17"/>
  <c r="F43" i="17"/>
  <c r="E43" i="17"/>
  <c r="A43" i="17"/>
  <c r="M49" i="17"/>
  <c r="L49" i="17"/>
  <c r="F49" i="17"/>
  <c r="E49" i="17"/>
  <c r="M48" i="17"/>
  <c r="L48" i="17"/>
  <c r="F48" i="17"/>
  <c r="E48" i="17"/>
  <c r="A48" i="17"/>
  <c r="M47" i="17"/>
  <c r="L47" i="17"/>
  <c r="F47" i="17"/>
  <c r="E47" i="17"/>
  <c r="A47" i="17"/>
  <c r="M46" i="17"/>
  <c r="L46" i="17"/>
  <c r="F46" i="17"/>
  <c r="E46" i="17"/>
  <c r="A46" i="17"/>
  <c r="M45" i="17"/>
  <c r="L45" i="17"/>
  <c r="F45" i="17"/>
  <c r="E45" i="17"/>
  <c r="A45" i="17"/>
  <c r="M42" i="17"/>
  <c r="L42" i="17"/>
  <c r="F42" i="17"/>
  <c r="E42" i="17"/>
  <c r="A42" i="17"/>
  <c r="M41" i="17"/>
  <c r="L41" i="17"/>
  <c r="F41" i="17"/>
  <c r="E41" i="17"/>
  <c r="A41" i="17"/>
  <c r="M40" i="17"/>
  <c r="L40" i="17"/>
  <c r="F40" i="17"/>
  <c r="E40" i="17"/>
  <c r="M39" i="17"/>
  <c r="L39" i="17"/>
  <c r="F39" i="17"/>
  <c r="E39" i="17"/>
  <c r="M38" i="17"/>
  <c r="L38" i="17"/>
  <c r="F38" i="17"/>
  <c r="E38" i="17"/>
  <c r="A38" i="17"/>
  <c r="M32" i="17"/>
  <c r="L32" i="17"/>
  <c r="F32" i="17"/>
  <c r="E32" i="17"/>
  <c r="M31" i="17"/>
  <c r="L31" i="17"/>
  <c r="F31" i="17"/>
  <c r="E31" i="17"/>
  <c r="A31" i="17"/>
  <c r="M26" i="17"/>
  <c r="L26" i="17"/>
  <c r="F26" i="17"/>
  <c r="E26" i="17"/>
  <c r="M20" i="17"/>
  <c r="L20" i="17"/>
  <c r="F20" i="17"/>
  <c r="E20" i="17"/>
  <c r="A20" i="17"/>
  <c r="M19" i="17"/>
  <c r="L19" i="17"/>
  <c r="F19" i="17"/>
  <c r="E19" i="17"/>
  <c r="M18" i="17"/>
  <c r="L18" i="17"/>
  <c r="F18" i="17"/>
  <c r="E18" i="17"/>
  <c r="A18" i="17"/>
  <c r="M17" i="17"/>
  <c r="L17" i="17"/>
  <c r="F17" i="17"/>
  <c r="E17" i="17"/>
  <c r="M70" i="16"/>
  <c r="L70" i="16"/>
  <c r="F70" i="16"/>
  <c r="E70" i="16"/>
  <c r="A70" i="16"/>
  <c r="M69" i="16"/>
  <c r="L69" i="16"/>
  <c r="F69" i="16"/>
  <c r="E69" i="16"/>
  <c r="A69" i="16"/>
  <c r="M68" i="16"/>
  <c r="L68" i="16"/>
  <c r="F68" i="16"/>
  <c r="E68" i="16"/>
  <c r="A68" i="16"/>
  <c r="M67" i="16"/>
  <c r="L67" i="16"/>
  <c r="F67" i="16"/>
  <c r="E67" i="16"/>
  <c r="A67" i="16"/>
  <c r="M66" i="16"/>
  <c r="L66" i="16"/>
  <c r="F66" i="16"/>
  <c r="E66" i="16"/>
  <c r="A66" i="16"/>
  <c r="M65" i="16"/>
  <c r="L65" i="16"/>
  <c r="F65" i="16"/>
  <c r="E65" i="16"/>
  <c r="A65" i="16"/>
  <c r="M64" i="16"/>
  <c r="L64" i="16"/>
  <c r="F64" i="16"/>
  <c r="E64" i="16"/>
  <c r="A64" i="16"/>
  <c r="M63" i="16"/>
  <c r="L63" i="16"/>
  <c r="F63" i="16"/>
  <c r="E63" i="16"/>
  <c r="A63" i="16"/>
  <c r="M62" i="16"/>
  <c r="L62" i="16"/>
  <c r="F62" i="16"/>
  <c r="E62" i="16"/>
  <c r="A62" i="16"/>
  <c r="M61" i="16"/>
  <c r="L61" i="16"/>
  <c r="F61" i="16"/>
  <c r="E61" i="16"/>
  <c r="A61" i="16"/>
  <c r="M60" i="16"/>
  <c r="L60" i="16"/>
  <c r="F60" i="16"/>
  <c r="E60" i="16"/>
  <c r="A60" i="16"/>
  <c r="M59" i="16"/>
  <c r="L59" i="16"/>
  <c r="F59" i="16"/>
  <c r="E59" i="16"/>
  <c r="A59" i="16"/>
  <c r="M58" i="16"/>
  <c r="L58" i="16"/>
  <c r="F58" i="16"/>
  <c r="E58" i="16"/>
  <c r="A58" i="16"/>
  <c r="M57" i="16"/>
  <c r="L57" i="16"/>
  <c r="F57" i="16"/>
  <c r="E57" i="16"/>
  <c r="A57" i="16"/>
  <c r="M56" i="16"/>
  <c r="L56" i="16"/>
  <c r="F56" i="16"/>
  <c r="E56" i="16"/>
  <c r="A56" i="16"/>
  <c r="M55" i="16"/>
  <c r="L55" i="16"/>
  <c r="F55" i="16"/>
  <c r="E55" i="16"/>
  <c r="A55" i="16"/>
  <c r="M54" i="16"/>
  <c r="L54" i="16"/>
  <c r="F54" i="16"/>
  <c r="E54" i="16"/>
  <c r="A54" i="16"/>
  <c r="M53" i="16"/>
  <c r="L53" i="16"/>
  <c r="F53" i="16"/>
  <c r="E53" i="16"/>
  <c r="A53" i="16"/>
  <c r="M52" i="16"/>
  <c r="L52" i="16"/>
  <c r="F52" i="16"/>
  <c r="E52" i="16"/>
  <c r="A52" i="16"/>
  <c r="M51" i="16"/>
  <c r="L51" i="16"/>
  <c r="F51" i="16"/>
  <c r="E51" i="16"/>
  <c r="A51" i="16"/>
  <c r="M50" i="16"/>
  <c r="L50" i="16"/>
  <c r="F50" i="16"/>
  <c r="E50" i="16"/>
  <c r="A50" i="16"/>
  <c r="M49" i="16"/>
  <c r="L49" i="16"/>
  <c r="F49" i="16"/>
  <c r="E49" i="16"/>
  <c r="A49" i="16"/>
  <c r="M48" i="16"/>
  <c r="L48" i="16"/>
  <c r="F48" i="16"/>
  <c r="E48" i="16"/>
  <c r="A48" i="16"/>
  <c r="M47" i="16"/>
  <c r="L47" i="16"/>
  <c r="F47" i="16"/>
  <c r="E47" i="16"/>
  <c r="A47" i="16"/>
  <c r="M46" i="16"/>
  <c r="L46" i="16"/>
  <c r="F46" i="16"/>
  <c r="E46" i="16"/>
  <c r="A46" i="16"/>
  <c r="M45" i="16"/>
  <c r="L45" i="16"/>
  <c r="F45" i="16"/>
  <c r="E45" i="16"/>
  <c r="A45" i="16"/>
  <c r="M44" i="16"/>
  <c r="L44" i="16"/>
  <c r="F44" i="16"/>
  <c r="E44" i="16"/>
  <c r="A44" i="16"/>
  <c r="M43" i="16"/>
  <c r="L43" i="16"/>
  <c r="F43" i="16"/>
  <c r="E43" i="16"/>
  <c r="A43" i="16"/>
  <c r="M42" i="16"/>
  <c r="L42" i="16"/>
  <c r="F42" i="16"/>
  <c r="E42" i="16"/>
  <c r="A42" i="16"/>
  <c r="M41" i="16"/>
  <c r="L41" i="16"/>
  <c r="F41" i="16"/>
  <c r="E41" i="16"/>
  <c r="A41" i="16"/>
  <c r="E31" i="16"/>
  <c r="M40" i="16"/>
  <c r="L40" i="16"/>
  <c r="F40" i="16"/>
  <c r="E40" i="16"/>
  <c r="A40" i="16"/>
  <c r="M39" i="16"/>
  <c r="L39" i="16"/>
  <c r="F39" i="16"/>
  <c r="E39" i="16"/>
  <c r="A39" i="16"/>
  <c r="M38" i="16"/>
  <c r="L38" i="16"/>
  <c r="F38" i="16"/>
  <c r="E38" i="16"/>
  <c r="A38" i="16"/>
  <c r="M37" i="16"/>
  <c r="L37" i="16"/>
  <c r="F37" i="16"/>
  <c r="E37" i="16"/>
  <c r="A37" i="16"/>
  <c r="M36" i="16"/>
  <c r="L36" i="16"/>
  <c r="F36" i="16"/>
  <c r="E36" i="16"/>
  <c r="A36" i="16"/>
  <c r="M35" i="16"/>
  <c r="L35" i="16"/>
  <c r="F35" i="16"/>
  <c r="E35" i="16"/>
  <c r="A35" i="16"/>
  <c r="M34" i="16"/>
  <c r="L34" i="16"/>
  <c r="F34" i="16"/>
  <c r="E34" i="16"/>
  <c r="A34" i="16"/>
  <c r="M33" i="16"/>
  <c r="L33" i="16"/>
  <c r="F33" i="16"/>
  <c r="E33" i="16"/>
  <c r="A33" i="16"/>
  <c r="M32" i="16"/>
  <c r="L32" i="16"/>
  <c r="F32" i="16"/>
  <c r="E32" i="16"/>
  <c r="A32" i="16"/>
  <c r="M31" i="16"/>
  <c r="L31" i="16"/>
  <c r="F31" i="16"/>
  <c r="A31" i="16"/>
  <c r="M30" i="16"/>
  <c r="L30" i="16"/>
  <c r="F30" i="16"/>
  <c r="E30" i="16"/>
  <c r="A30" i="16"/>
  <c r="M29" i="16"/>
  <c r="L29" i="16"/>
  <c r="F29" i="16"/>
  <c r="E29" i="16"/>
  <c r="A29" i="16"/>
  <c r="M28" i="16"/>
  <c r="L28" i="16"/>
  <c r="F28" i="16"/>
  <c r="E28" i="16"/>
  <c r="A28" i="16"/>
  <c r="M27" i="16"/>
  <c r="L27" i="16"/>
  <c r="F27" i="16"/>
  <c r="E27" i="16"/>
  <c r="A27" i="16"/>
  <c r="M26" i="16"/>
  <c r="L26" i="16"/>
  <c r="F26" i="16"/>
  <c r="E26" i="16"/>
  <c r="A26" i="16"/>
  <c r="M25" i="16"/>
  <c r="L25" i="16"/>
  <c r="F25" i="16"/>
  <c r="E25" i="16"/>
  <c r="A25" i="16"/>
  <c r="M24" i="16"/>
  <c r="L24" i="16"/>
  <c r="F24" i="16"/>
  <c r="E24" i="16"/>
  <c r="A24" i="16"/>
  <c r="M23" i="16"/>
  <c r="L23" i="16"/>
  <c r="F23" i="16"/>
  <c r="E23" i="16"/>
  <c r="A23" i="16"/>
  <c r="M22" i="16"/>
  <c r="L22" i="16"/>
  <c r="F22" i="16"/>
  <c r="E22" i="16"/>
  <c r="A22" i="16"/>
  <c r="F7" i="16"/>
  <c r="F9" i="16"/>
  <c r="F14" i="16"/>
  <c r="F6" i="16"/>
  <c r="F8" i="16"/>
  <c r="F10" i="16"/>
  <c r="F15" i="16"/>
  <c r="F11" i="16"/>
  <c r="F16" i="16"/>
  <c r="F12" i="16"/>
  <c r="F17" i="16"/>
  <c r="F4" i="16"/>
  <c r="F20" i="16"/>
  <c r="F5" i="16"/>
  <c r="F13" i="16"/>
  <c r="F18" i="16"/>
  <c r="F21" i="16"/>
  <c r="F19" i="16"/>
  <c r="F3" i="16"/>
  <c r="F2" i="16"/>
  <c r="E7" i="16"/>
  <c r="E9" i="16"/>
  <c r="E14" i="16"/>
  <c r="E6" i="16"/>
  <c r="E8" i="16"/>
  <c r="E10" i="16"/>
  <c r="E15" i="16"/>
  <c r="E11" i="16"/>
  <c r="E16" i="16"/>
  <c r="E12" i="16"/>
  <c r="E17" i="16"/>
  <c r="E4" i="16"/>
  <c r="E20" i="16"/>
  <c r="E5" i="16"/>
  <c r="E13" i="16"/>
  <c r="E18" i="16"/>
  <c r="E21" i="16"/>
  <c r="E19" i="16"/>
  <c r="E3" i="16"/>
  <c r="E2" i="16"/>
  <c r="M3" i="16"/>
  <c r="L3" i="16"/>
  <c r="A3" i="16"/>
  <c r="M19" i="16"/>
  <c r="L19" i="16"/>
  <c r="A19" i="16"/>
  <c r="M6" i="16"/>
  <c r="L6" i="16"/>
  <c r="A6" i="16"/>
  <c r="M8" i="16"/>
  <c r="L8" i="16"/>
  <c r="A8" i="16"/>
  <c r="M7" i="16"/>
  <c r="L7" i="16"/>
  <c r="A7" i="16"/>
  <c r="M2" i="16"/>
  <c r="L2" i="16"/>
  <c r="A2" i="16"/>
  <c r="L15" i="16"/>
  <c r="M15" i="16"/>
  <c r="L11" i="16"/>
  <c r="M11" i="16"/>
  <c r="L16" i="16"/>
  <c r="M16" i="16"/>
  <c r="L12" i="16"/>
  <c r="M12" i="16"/>
  <c r="L17" i="16"/>
  <c r="M17" i="16"/>
  <c r="L4" i="16"/>
  <c r="M4" i="16"/>
  <c r="L20" i="16"/>
  <c r="M20" i="16"/>
  <c r="L21" i="16"/>
  <c r="M21" i="16"/>
  <c r="L5" i="16"/>
  <c r="M5" i="16"/>
  <c r="L13" i="16"/>
  <c r="M13" i="16"/>
  <c r="L18" i="16"/>
  <c r="M18" i="16"/>
  <c r="L9" i="16"/>
  <c r="M9" i="16"/>
  <c r="L14" i="16"/>
  <c r="M14" i="16"/>
  <c r="M10" i="16"/>
  <c r="L10" i="16"/>
  <c r="A18" i="16"/>
  <c r="A13" i="16"/>
  <c r="A5" i="16"/>
  <c r="A20" i="16"/>
  <c r="A17" i="16"/>
  <c r="A16" i="16"/>
  <c r="A10" i="16"/>
  <c r="A14" i="16"/>
  <c r="A21" i="16"/>
  <c r="A4" i="16"/>
  <c r="A12" i="16"/>
  <c r="A11" i="16"/>
  <c r="A15" i="16"/>
  <c r="A9" i="16"/>
  <c r="H2" i="6"/>
  <c r="H725" i="6"/>
  <c r="H370" i="6"/>
  <c r="H534" i="6"/>
  <c r="H726" i="6"/>
  <c r="H3" i="6"/>
  <c r="H371" i="6"/>
  <c r="H4" i="6"/>
  <c r="H727" i="6"/>
  <c r="H185" i="6"/>
  <c r="H372" i="6"/>
  <c r="H5" i="6"/>
  <c r="H535" i="6"/>
  <c r="H728" i="6"/>
  <c r="H536" i="6"/>
  <c r="H6" i="6"/>
  <c r="H186" i="6"/>
  <c r="H537" i="6"/>
  <c r="H7" i="6"/>
  <c r="H8" i="6"/>
  <c r="H373" i="6"/>
  <c r="H538" i="6"/>
  <c r="H374" i="6"/>
  <c r="H539" i="6"/>
  <c r="H375" i="6"/>
  <c r="H9" i="6"/>
  <c r="H729" i="6"/>
  <c r="H730" i="6"/>
  <c r="H540" i="6"/>
  <c r="H541" i="6"/>
  <c r="H376" i="6"/>
  <c r="H187" i="6"/>
  <c r="H542" i="6"/>
  <c r="H10" i="6"/>
  <c r="H188" i="6"/>
  <c r="H189" i="6"/>
  <c r="H731" i="6"/>
  <c r="H543" i="6"/>
  <c r="H11" i="6"/>
  <c r="H377" i="6"/>
  <c r="H378" i="6"/>
  <c r="H732" i="6"/>
  <c r="H379" i="6"/>
  <c r="H733" i="6"/>
  <c r="H12" i="6"/>
  <c r="H544" i="6"/>
  <c r="H545" i="6"/>
  <c r="H734" i="6"/>
  <c r="H190" i="6"/>
  <c r="H191" i="6"/>
  <c r="H735" i="6"/>
  <c r="H13" i="6"/>
  <c r="H192" i="6"/>
  <c r="H14" i="6"/>
  <c r="H736" i="6"/>
  <c r="H737" i="6"/>
  <c r="H546" i="6"/>
  <c r="H15" i="6"/>
  <c r="H547" i="6"/>
  <c r="H548" i="6"/>
  <c r="H549" i="6"/>
  <c r="H16" i="6"/>
  <c r="H380" i="6"/>
  <c r="H193" i="6"/>
  <c r="H194" i="6"/>
  <c r="H195" i="6"/>
  <c r="H17" i="6"/>
  <c r="H738" i="6"/>
  <c r="H18" i="6"/>
  <c r="H19" i="6"/>
  <c r="H550" i="6"/>
  <c r="H381" i="6"/>
  <c r="H20" i="6"/>
  <c r="H21" i="6"/>
  <c r="H196" i="6"/>
  <c r="H382" i="6"/>
  <c r="H197" i="6"/>
  <c r="H383" i="6"/>
  <c r="H198" i="6"/>
  <c r="H551" i="6"/>
  <c r="H22" i="6"/>
  <c r="H739" i="6"/>
  <c r="H384" i="6"/>
  <c r="H385" i="6"/>
  <c r="H23" i="6"/>
  <c r="H199" i="6"/>
  <c r="H386" i="6"/>
  <c r="H740" i="6"/>
  <c r="H552" i="6"/>
  <c r="H24" i="6"/>
  <c r="H200" i="6"/>
  <c r="H387" i="6"/>
  <c r="H388" i="6"/>
  <c r="H25" i="6"/>
  <c r="H741" i="6"/>
  <c r="H742" i="6"/>
  <c r="H201" i="6"/>
  <c r="H26" i="6"/>
  <c r="H27" i="6"/>
  <c r="H743" i="6"/>
  <c r="H553" i="6"/>
  <c r="H28" i="6"/>
  <c r="H554" i="6"/>
  <c r="H202" i="6"/>
  <c r="H389" i="6"/>
  <c r="H555" i="6"/>
  <c r="H29" i="6"/>
  <c r="H30" i="6"/>
  <c r="H203" i="6"/>
  <c r="H31" i="6"/>
  <c r="H744" i="6"/>
  <c r="H32" i="6"/>
  <c r="H33" i="6"/>
  <c r="H390" i="6"/>
  <c r="H391" i="6"/>
  <c r="H392" i="6"/>
  <c r="H556" i="6"/>
  <c r="H745" i="6"/>
  <c r="H204" i="6"/>
  <c r="H746" i="6"/>
  <c r="H34" i="6"/>
  <c r="H35" i="6"/>
  <c r="H557" i="6"/>
  <c r="H393" i="6"/>
  <c r="H36" i="6"/>
  <c r="H747" i="6"/>
  <c r="H558" i="6"/>
  <c r="H559" i="6"/>
  <c r="H37" i="6"/>
  <c r="H748" i="6"/>
  <c r="H560" i="6"/>
  <c r="H561" i="6"/>
  <c r="H205" i="6"/>
  <c r="H394" i="6"/>
  <c r="H395" i="6"/>
  <c r="H562" i="6"/>
  <c r="H749" i="6"/>
  <c r="H396" i="6"/>
  <c r="H206" i="6"/>
  <c r="H207" i="6"/>
  <c r="H397" i="6"/>
  <c r="H750" i="6"/>
  <c r="H208" i="6"/>
  <c r="H38" i="6"/>
  <c r="H563" i="6"/>
  <c r="H398" i="6"/>
  <c r="H399" i="6"/>
  <c r="H751" i="6"/>
  <c r="H39" i="6"/>
  <c r="H752" i="6"/>
  <c r="H209" i="6"/>
  <c r="H40" i="6"/>
  <c r="H753" i="6"/>
  <c r="H41" i="6"/>
  <c r="H210" i="6"/>
  <c r="H400" i="6"/>
  <c r="H754" i="6"/>
  <c r="H211" i="6"/>
  <c r="H42" i="6"/>
  <c r="H401" i="6"/>
  <c r="H755" i="6"/>
  <c r="H212" i="6"/>
  <c r="H564" i="6"/>
  <c r="H213" i="6"/>
  <c r="H43" i="6"/>
  <c r="H402" i="6"/>
  <c r="H756" i="6"/>
  <c r="H44" i="6"/>
  <c r="H757" i="6"/>
  <c r="H45" i="6"/>
  <c r="H214" i="6"/>
  <c r="H215" i="6"/>
  <c r="H216" i="6"/>
  <c r="H565" i="6"/>
  <c r="H46" i="6"/>
  <c r="H758" i="6"/>
  <c r="H403" i="6"/>
  <c r="H217" i="6"/>
  <c r="H218" i="6"/>
  <c r="H47" i="6"/>
  <c r="H404" i="6"/>
  <c r="H566" i="6"/>
  <c r="H48" i="6"/>
  <c r="H405" i="6"/>
  <c r="H567" i="6"/>
  <c r="H406" i="6"/>
  <c r="H219" i="6"/>
  <c r="H407" i="6"/>
  <c r="H220" i="6"/>
  <c r="H759" i="6"/>
  <c r="H221" i="6"/>
  <c r="H408" i="6"/>
  <c r="H222" i="6"/>
  <c r="H568" i="6"/>
  <c r="H223" i="6"/>
  <c r="H49" i="6"/>
  <c r="H50" i="6"/>
  <c r="H409" i="6"/>
  <c r="H224" i="6"/>
  <c r="H225" i="6"/>
  <c r="H410" i="6"/>
  <c r="H760" i="6"/>
  <c r="H226" i="6"/>
  <c r="H411" i="6"/>
  <c r="H412" i="6"/>
  <c r="H227" i="6"/>
  <c r="H569" i="6"/>
  <c r="H228" i="6"/>
  <c r="H229" i="6"/>
  <c r="H413" i="6"/>
  <c r="H761" i="6"/>
  <c r="H414" i="6"/>
  <c r="H570" i="6"/>
  <c r="H51" i="6"/>
  <c r="H52" i="6"/>
  <c r="H762" i="6"/>
  <c r="H763" i="6"/>
  <c r="H230" i="6"/>
  <c r="H415" i="6"/>
  <c r="H764" i="6"/>
  <c r="H53" i="6"/>
  <c r="H765" i="6"/>
  <c r="H231" i="6"/>
  <c r="H416" i="6"/>
  <c r="H417" i="6"/>
  <c r="H232" i="6"/>
  <c r="H54" i="6"/>
  <c r="H418" i="6"/>
  <c r="H55" i="6"/>
  <c r="H766" i="6"/>
  <c r="H571" i="6"/>
  <c r="H56" i="6"/>
  <c r="H767" i="6"/>
  <c r="H57" i="6"/>
  <c r="H233" i="6"/>
  <c r="H572" i="6"/>
  <c r="H419" i="6"/>
  <c r="H420" i="6"/>
  <c r="H768" i="6"/>
  <c r="H769" i="6"/>
  <c r="H573" i="6"/>
  <c r="H421" i="6"/>
  <c r="H234" i="6"/>
  <c r="H770" i="6"/>
  <c r="H58" i="6"/>
  <c r="H771" i="6"/>
  <c r="H59" i="6"/>
  <c r="H235" i="6"/>
  <c r="H772" i="6"/>
  <c r="H574" i="6"/>
  <c r="H773" i="6"/>
  <c r="H422" i="6"/>
  <c r="H575" i="6"/>
  <c r="H423" i="6"/>
  <c r="H424" i="6"/>
  <c r="H236" i="6"/>
  <c r="H425" i="6"/>
  <c r="H426" i="6"/>
  <c r="H60" i="6"/>
  <c r="H576" i="6"/>
  <c r="H237" i="6"/>
  <c r="H427" i="6"/>
  <c r="H238" i="6"/>
  <c r="H239" i="6"/>
  <c r="H577" i="6"/>
  <c r="H774" i="6"/>
  <c r="H578" i="6"/>
  <c r="H579" i="6"/>
  <c r="H580" i="6"/>
  <c r="H61" i="6"/>
  <c r="H62" i="6"/>
  <c r="H581" i="6"/>
  <c r="H775" i="6"/>
  <c r="H240" i="6"/>
  <c r="H428" i="6"/>
  <c r="H582" i="6"/>
  <c r="H63" i="6"/>
  <c r="H776" i="6"/>
  <c r="H241" i="6"/>
  <c r="H777" i="6"/>
  <c r="H64" i="6"/>
  <c r="H778" i="6"/>
  <c r="H65" i="6"/>
  <c r="H583" i="6"/>
  <c r="H584" i="6"/>
  <c r="H66" i="6"/>
  <c r="H67" i="6"/>
  <c r="H68" i="6"/>
  <c r="H242" i="6"/>
  <c r="H429" i="6"/>
  <c r="H430" i="6"/>
  <c r="H243" i="6"/>
  <c r="H585" i="6"/>
  <c r="H244" i="6"/>
  <c r="H69" i="6"/>
  <c r="H586" i="6"/>
  <c r="H431" i="6"/>
  <c r="H432" i="6"/>
  <c r="H587" i="6"/>
  <c r="H433" i="6"/>
  <c r="H434" i="6"/>
  <c r="H435" i="6"/>
  <c r="H588" i="6"/>
  <c r="H436" i="6"/>
  <c r="H589" i="6"/>
  <c r="H245" i="6"/>
  <c r="H437" i="6"/>
  <c r="H246" i="6"/>
  <c r="H590" i="6"/>
  <c r="H247" i="6"/>
  <c r="H438" i="6"/>
  <c r="H591" i="6"/>
  <c r="H248" i="6"/>
  <c r="H779" i="6"/>
  <c r="H780" i="6"/>
  <c r="H781" i="6"/>
  <c r="H592" i="6"/>
  <c r="H70" i="6"/>
  <c r="H593" i="6"/>
  <c r="H782" i="6"/>
  <c r="H71" i="6"/>
  <c r="H72" i="6"/>
  <c r="H439" i="6"/>
  <c r="H73" i="6"/>
  <c r="H783" i="6"/>
  <c r="H440" i="6"/>
  <c r="H594" i="6"/>
  <c r="H441" i="6"/>
  <c r="H784" i="6"/>
  <c r="H595" i="6"/>
  <c r="H596" i="6"/>
  <c r="H249" i="6"/>
  <c r="H785" i="6"/>
  <c r="H250" i="6"/>
  <c r="H597" i="6"/>
  <c r="H598" i="6"/>
  <c r="H786" i="6"/>
  <c r="H251" i="6"/>
  <c r="H442" i="6"/>
  <c r="H787" i="6"/>
  <c r="H252" i="6"/>
  <c r="H443" i="6"/>
  <c r="H74" i="6"/>
  <c r="H253" i="6"/>
  <c r="H599" i="6"/>
  <c r="H600" i="6"/>
  <c r="H75" i="6"/>
  <c r="H76" i="6"/>
  <c r="H77" i="6"/>
  <c r="H444" i="6"/>
  <c r="H78" i="6"/>
  <c r="H601" i="6"/>
  <c r="H445" i="6"/>
  <c r="H788" i="6"/>
  <c r="H446" i="6"/>
  <c r="H447" i="6"/>
  <c r="H602" i="6"/>
  <c r="H603" i="6"/>
  <c r="H448" i="6"/>
  <c r="H789" i="6"/>
  <c r="H790" i="6"/>
  <c r="H449" i="6"/>
  <c r="H450" i="6"/>
  <c r="H791" i="6"/>
  <c r="H79" i="6"/>
  <c r="H451" i="6"/>
  <c r="H80" i="6"/>
  <c r="H792" i="6"/>
  <c r="H793" i="6"/>
  <c r="H604" i="6"/>
  <c r="H605" i="6"/>
  <c r="H81" i="6"/>
  <c r="H254" i="6"/>
  <c r="H794" i="6"/>
  <c r="H255" i="6"/>
  <c r="H452" i="6"/>
  <c r="H606" i="6"/>
  <c r="H607" i="6"/>
  <c r="H608" i="6"/>
  <c r="H795" i="6"/>
  <c r="H796" i="6"/>
  <c r="H453" i="6"/>
  <c r="H82" i="6"/>
  <c r="H256" i="6"/>
  <c r="H609" i="6"/>
  <c r="H610" i="6"/>
  <c r="H83" i="6"/>
  <c r="H257" i="6"/>
  <c r="H454" i="6"/>
  <c r="H611" i="6"/>
  <c r="H258" i="6"/>
  <c r="H259" i="6"/>
  <c r="H797" i="6"/>
  <c r="H455" i="6"/>
  <c r="H84" i="6"/>
  <c r="H456" i="6"/>
  <c r="H85" i="6"/>
  <c r="H260" i="6"/>
  <c r="H798" i="6"/>
  <c r="H799" i="6"/>
  <c r="H457" i="6"/>
  <c r="H612" i="6"/>
  <c r="H613" i="6"/>
  <c r="H458" i="6"/>
  <c r="H614" i="6"/>
  <c r="H261" i="6"/>
  <c r="H800" i="6"/>
  <c r="H262" i="6"/>
  <c r="H459" i="6"/>
  <c r="H263" i="6"/>
  <c r="H615" i="6"/>
  <c r="H616" i="6"/>
  <c r="H801" i="6"/>
  <c r="H264" i="6"/>
  <c r="H617" i="6"/>
  <c r="H265" i="6"/>
  <c r="H266" i="6"/>
  <c r="H267" i="6"/>
  <c r="H268" i="6"/>
  <c r="H618" i="6"/>
  <c r="H86" i="6"/>
  <c r="H802" i="6"/>
  <c r="H619" i="6"/>
  <c r="H269" i="6"/>
  <c r="H87" i="6"/>
  <c r="H460" i="6"/>
  <c r="H88" i="6"/>
  <c r="H270" i="6"/>
  <c r="H803" i="6"/>
  <c r="H271" i="6"/>
  <c r="H804" i="6"/>
  <c r="H805" i="6"/>
  <c r="H620" i="6"/>
  <c r="H461" i="6"/>
  <c r="H806" i="6"/>
  <c r="H621" i="6"/>
  <c r="H462" i="6"/>
  <c r="H89" i="6"/>
  <c r="H90" i="6"/>
  <c r="H622" i="6"/>
  <c r="H91" i="6"/>
  <c r="H92" i="6"/>
  <c r="H463" i="6"/>
  <c r="H272" i="6"/>
  <c r="H807" i="6"/>
  <c r="H273" i="6"/>
  <c r="H274" i="6"/>
  <c r="H93" i="6"/>
  <c r="H464" i="6"/>
  <c r="H275" i="6"/>
  <c r="H276" i="6"/>
  <c r="H465" i="6"/>
  <c r="H277" i="6"/>
  <c r="H278" i="6"/>
  <c r="H94" i="6"/>
  <c r="H808" i="6"/>
  <c r="H466" i="6"/>
  <c r="H623" i="6"/>
  <c r="H467" i="6"/>
  <c r="H279" i="6"/>
  <c r="H624" i="6"/>
  <c r="H280" i="6"/>
  <c r="H95" i="6"/>
  <c r="H625" i="6"/>
  <c r="H281" i="6"/>
  <c r="H626" i="6"/>
  <c r="H468" i="6"/>
  <c r="H809" i="6"/>
  <c r="H627" i="6"/>
  <c r="H810" i="6"/>
  <c r="H628" i="6"/>
  <c r="H629" i="6"/>
  <c r="H469" i="6"/>
  <c r="H282" i="6"/>
  <c r="H630" i="6"/>
  <c r="H631" i="6"/>
  <c r="H632" i="6"/>
  <c r="H811" i="6"/>
  <c r="H633" i="6"/>
  <c r="H96" i="6"/>
  <c r="H97" i="6"/>
  <c r="H812" i="6"/>
  <c r="H98" i="6"/>
  <c r="H470" i="6"/>
  <c r="H283" i="6"/>
  <c r="H99" i="6"/>
  <c r="H813" i="6"/>
  <c r="H284" i="6"/>
  <c r="H285" i="6"/>
  <c r="H634" i="6"/>
  <c r="H814" i="6"/>
  <c r="H635" i="6"/>
  <c r="H636" i="6"/>
  <c r="H815" i="6"/>
  <c r="H100" i="6"/>
  <c r="H101" i="6"/>
  <c r="H102" i="6"/>
  <c r="H816" i="6"/>
  <c r="H817" i="6"/>
  <c r="H818" i="6"/>
  <c r="H471" i="6"/>
  <c r="H286" i="6"/>
  <c r="H103" i="6"/>
  <c r="H287" i="6"/>
  <c r="H288" i="6"/>
  <c r="H104" i="6"/>
  <c r="H105" i="6"/>
  <c r="H106" i="6"/>
  <c r="H819" i="6"/>
  <c r="H107" i="6"/>
  <c r="H472" i="6"/>
  <c r="H473" i="6"/>
  <c r="H289" i="6"/>
  <c r="H637" i="6"/>
  <c r="H638" i="6"/>
  <c r="H639" i="6"/>
  <c r="H640" i="6"/>
  <c r="H474" i="6"/>
  <c r="H820" i="6"/>
  <c r="H108" i="6"/>
  <c r="H475" i="6"/>
  <c r="H476" i="6"/>
  <c r="H290" i="6"/>
  <c r="H821" i="6"/>
  <c r="H291" i="6"/>
  <c r="H822" i="6"/>
  <c r="H292" i="6"/>
  <c r="H641" i="6"/>
  <c r="H109" i="6"/>
  <c r="H642" i="6"/>
  <c r="H823" i="6"/>
  <c r="H824" i="6"/>
  <c r="H477" i="6"/>
  <c r="H643" i="6"/>
  <c r="H110" i="6"/>
  <c r="H111" i="6"/>
  <c r="H825" i="6"/>
  <c r="H478" i="6"/>
  <c r="H826" i="6"/>
  <c r="H827" i="6"/>
  <c r="H112" i="6"/>
  <c r="H113" i="6"/>
  <c r="H114" i="6"/>
  <c r="H644" i="6"/>
  <c r="H645" i="6"/>
  <c r="H828" i="6"/>
  <c r="H293" i="6"/>
  <c r="H829" i="6"/>
  <c r="H115" i="6"/>
  <c r="H646" i="6"/>
  <c r="H647" i="6"/>
  <c r="H830" i="6"/>
  <c r="H831" i="6"/>
  <c r="H116" i="6"/>
  <c r="H648" i="6"/>
  <c r="H649" i="6"/>
  <c r="H294" i="6"/>
  <c r="H832" i="6"/>
  <c r="H650" i="6"/>
  <c r="H117" i="6"/>
  <c r="H651" i="6"/>
  <c r="H833" i="6"/>
  <c r="H479" i="6"/>
  <c r="H480" i="6"/>
  <c r="H295" i="6"/>
  <c r="H652" i="6"/>
  <c r="H481" i="6"/>
  <c r="H653" i="6"/>
  <c r="H654" i="6"/>
  <c r="H655" i="6"/>
  <c r="H656" i="6"/>
  <c r="H118" i="6"/>
  <c r="H482" i="6"/>
  <c r="H296" i="6"/>
  <c r="H483" i="6"/>
  <c r="H119" i="6"/>
  <c r="H834" i="6"/>
  <c r="H657" i="6"/>
  <c r="H297" i="6"/>
  <c r="H658" i="6"/>
  <c r="H484" i="6"/>
  <c r="H835" i="6"/>
  <c r="H120" i="6"/>
  <c r="H659" i="6"/>
  <c r="H660" i="6"/>
  <c r="H485" i="6"/>
  <c r="H661" i="6"/>
  <c r="H121" i="6"/>
  <c r="H662" i="6"/>
  <c r="H836" i="6"/>
  <c r="H122" i="6"/>
  <c r="H486" i="6"/>
  <c r="H837" i="6"/>
  <c r="H298" i="6"/>
  <c r="H838" i="6"/>
  <c r="H123" i="6"/>
  <c r="H299" i="6"/>
  <c r="H839" i="6"/>
  <c r="H663" i="6"/>
  <c r="H300" i="6"/>
  <c r="H664" i="6"/>
  <c r="H487" i="6"/>
  <c r="H301" i="6"/>
  <c r="H124" i="6"/>
  <c r="H665" i="6"/>
  <c r="H666" i="6"/>
  <c r="H840" i="6"/>
  <c r="H667" i="6"/>
  <c r="H125" i="6"/>
  <c r="H668" i="6"/>
  <c r="H669" i="6"/>
  <c r="H126" i="6"/>
  <c r="H841" i="6"/>
  <c r="H302" i="6"/>
  <c r="H842" i="6"/>
  <c r="H670" i="6"/>
  <c r="H843" i="6"/>
  <c r="H303" i="6"/>
  <c r="H671" i="6"/>
  <c r="H127" i="6"/>
  <c r="H128" i="6"/>
  <c r="H844" i="6"/>
  <c r="H129" i="6"/>
  <c r="H845" i="6"/>
  <c r="H488" i="6"/>
  <c r="H846" i="6"/>
  <c r="H130" i="6"/>
  <c r="H131" i="6"/>
  <c r="H847" i="6"/>
  <c r="H848" i="6"/>
  <c r="H849" i="6"/>
  <c r="H850" i="6"/>
  <c r="H304" i="6"/>
  <c r="H851" i="6"/>
  <c r="H852" i="6"/>
  <c r="H132" i="6"/>
  <c r="H133" i="6"/>
  <c r="H489" i="6"/>
  <c r="H672" i="6"/>
  <c r="H673" i="6"/>
  <c r="H853" i="6"/>
  <c r="H674" i="6"/>
  <c r="H854" i="6"/>
  <c r="H305" i="6"/>
  <c r="H306" i="6"/>
  <c r="H490" i="6"/>
  <c r="H491" i="6"/>
  <c r="H675" i="6"/>
  <c r="H855" i="6"/>
  <c r="H676" i="6"/>
  <c r="H677" i="6"/>
  <c r="H678" i="6"/>
  <c r="H307" i="6"/>
  <c r="H856" i="6"/>
  <c r="H134" i="6"/>
  <c r="H492" i="6"/>
  <c r="H308" i="6"/>
  <c r="H493" i="6"/>
  <c r="H679" i="6"/>
  <c r="H135" i="6"/>
  <c r="H494" i="6"/>
  <c r="H309" i="6"/>
  <c r="H310" i="6"/>
  <c r="H680" i="6"/>
  <c r="H136" i="6"/>
  <c r="H495" i="6"/>
  <c r="H496" i="6"/>
  <c r="H681" i="6"/>
  <c r="H497" i="6"/>
  <c r="H857" i="6"/>
  <c r="H311" i="6"/>
  <c r="H498" i="6"/>
  <c r="H858" i="6"/>
  <c r="H312" i="6"/>
  <c r="H682" i="6"/>
  <c r="H683" i="6"/>
  <c r="H313" i="6"/>
  <c r="H314" i="6"/>
  <c r="H684" i="6"/>
  <c r="H315" i="6"/>
  <c r="H316" i="6"/>
  <c r="H137" i="6"/>
  <c r="H499" i="6"/>
  <c r="H685" i="6"/>
  <c r="H317" i="6"/>
  <c r="H318" i="6"/>
  <c r="H686" i="6"/>
  <c r="H500" i="6"/>
  <c r="H138" i="6"/>
  <c r="H501" i="6"/>
  <c r="H502" i="6"/>
  <c r="H503" i="6"/>
  <c r="H319" i="6"/>
  <c r="H320" i="6"/>
  <c r="H504" i="6"/>
  <c r="H859" i="6"/>
  <c r="H687" i="6"/>
  <c r="H688" i="6"/>
  <c r="H505" i="6"/>
  <c r="H139" i="6"/>
  <c r="H860" i="6"/>
  <c r="H506" i="6"/>
  <c r="H507" i="6"/>
  <c r="H140" i="6"/>
  <c r="H141" i="6"/>
  <c r="H861" i="6"/>
  <c r="H862" i="6"/>
  <c r="H863" i="6"/>
  <c r="H689" i="6"/>
  <c r="H864" i="6"/>
  <c r="H865" i="6"/>
  <c r="H508" i="6"/>
  <c r="H142" i="6"/>
  <c r="H321" i="6"/>
  <c r="H322" i="6"/>
  <c r="H323" i="6"/>
  <c r="H509" i="6"/>
  <c r="H324" i="6"/>
  <c r="H325" i="6"/>
  <c r="H326" i="6"/>
  <c r="H690" i="6"/>
  <c r="H143" i="6"/>
  <c r="H691" i="6"/>
  <c r="H510" i="6"/>
  <c r="H692" i="6"/>
  <c r="H144" i="6"/>
  <c r="H511" i="6"/>
  <c r="H693" i="6"/>
  <c r="H327" i="6"/>
  <c r="H145" i="6"/>
  <c r="H328" i="6"/>
  <c r="H329" i="6"/>
  <c r="H512" i="6"/>
  <c r="H513" i="6"/>
  <c r="H330" i="6"/>
  <c r="H866" i="6"/>
  <c r="H694" i="6"/>
  <c r="H867" i="6"/>
  <c r="H146" i="6"/>
  <c r="H147" i="6"/>
  <c r="H868" i="6"/>
  <c r="H331" i="6"/>
  <c r="H148" i="6"/>
  <c r="H332" i="6"/>
  <c r="H149" i="6"/>
  <c r="H514" i="6"/>
  <c r="H515" i="6"/>
  <c r="H150" i="6"/>
  <c r="H869" i="6"/>
  <c r="H870" i="6"/>
  <c r="H333" i="6"/>
  <c r="H334" i="6"/>
  <c r="H516" i="6"/>
  <c r="H151" i="6"/>
  <c r="H152" i="6"/>
  <c r="H335" i="6"/>
  <c r="H336" i="6"/>
  <c r="H337" i="6"/>
  <c r="H338" i="6"/>
  <c r="H695" i="6"/>
  <c r="H871" i="6"/>
  <c r="H872" i="6"/>
  <c r="H873" i="6"/>
  <c r="H153" i="6"/>
  <c r="H339" i="6"/>
  <c r="H696" i="6"/>
  <c r="H517" i="6"/>
  <c r="H874" i="6"/>
  <c r="H340" i="6"/>
  <c r="H154" i="6"/>
  <c r="H875" i="6"/>
  <c r="H876" i="6"/>
  <c r="H877" i="6"/>
  <c r="H878" i="6"/>
  <c r="H341" i="6"/>
  <c r="H879" i="6"/>
  <c r="H697" i="6"/>
  <c r="H155" i="6"/>
  <c r="H156" i="6"/>
  <c r="H342" i="6"/>
  <c r="H343" i="6"/>
  <c r="H698" i="6"/>
  <c r="H157" i="6"/>
  <c r="H880" i="6"/>
  <c r="H158" i="6"/>
  <c r="H159" i="6"/>
  <c r="H699" i="6"/>
  <c r="H700" i="6"/>
  <c r="H160" i="6"/>
  <c r="H161" i="6"/>
  <c r="H881" i="6"/>
  <c r="H882" i="6"/>
  <c r="H518" i="6"/>
  <c r="H883" i="6"/>
  <c r="H344" i="6"/>
  <c r="H701" i="6"/>
  <c r="H702" i="6"/>
  <c r="H519" i="6"/>
  <c r="H884" i="6"/>
  <c r="H162" i="6"/>
  <c r="H885" i="6"/>
  <c r="H886" i="6"/>
  <c r="H163" i="6"/>
  <c r="H164" i="6"/>
  <c r="H520" i="6"/>
  <c r="H521" i="6"/>
  <c r="H887" i="6"/>
  <c r="H345" i="6"/>
  <c r="H165" i="6"/>
  <c r="H166" i="6"/>
  <c r="H346" i="6"/>
  <c r="H167" i="6"/>
  <c r="H703" i="6"/>
  <c r="H704" i="6"/>
  <c r="H888" i="6"/>
  <c r="H168" i="6"/>
  <c r="H169" i="6"/>
  <c r="H170" i="6"/>
  <c r="H171" i="6"/>
  <c r="H705" i="6"/>
  <c r="H889" i="6"/>
  <c r="H172" i="6"/>
  <c r="H347" i="6"/>
  <c r="H173" i="6"/>
  <c r="H706" i="6"/>
  <c r="H348" i="6"/>
  <c r="H522" i="6"/>
  <c r="H174" i="6"/>
  <c r="H890" i="6"/>
  <c r="H707" i="6"/>
  <c r="H523" i="6"/>
  <c r="H708" i="6"/>
  <c r="H891" i="6"/>
  <c r="H175" i="6"/>
  <c r="H349" i="6"/>
  <c r="H524" i="6"/>
  <c r="H525" i="6"/>
  <c r="H709" i="6"/>
  <c r="H892" i="6"/>
  <c r="H893" i="6"/>
  <c r="H350" i="6"/>
  <c r="H526" i="6"/>
  <c r="H894" i="6"/>
  <c r="H895" i="6"/>
  <c r="H176" i="6"/>
  <c r="H710" i="6"/>
  <c r="H711" i="6"/>
  <c r="H177" i="6"/>
  <c r="H178" i="6"/>
  <c r="H712" i="6"/>
  <c r="H713" i="6"/>
  <c r="H351" i="6"/>
  <c r="H714" i="6"/>
  <c r="H715" i="6"/>
  <c r="H352" i="6"/>
  <c r="H716" i="6"/>
  <c r="H896" i="6"/>
  <c r="H179" i="6"/>
  <c r="H353" i="6"/>
  <c r="H354" i="6"/>
  <c r="H897" i="6"/>
  <c r="H717" i="6"/>
  <c r="H180" i="6"/>
  <c r="H898" i="6"/>
  <c r="H355" i="6"/>
  <c r="H356" i="6"/>
  <c r="H357" i="6"/>
  <c r="H527" i="6"/>
  <c r="H899" i="6"/>
  <c r="H718" i="6"/>
  <c r="H528" i="6"/>
  <c r="H719" i="6"/>
  <c r="H720" i="6"/>
  <c r="H900" i="6"/>
  <c r="H181" i="6"/>
  <c r="H358" i="6"/>
  <c r="H359" i="6"/>
  <c r="H721" i="6"/>
  <c r="H360" i="6"/>
  <c r="H901" i="6"/>
  <c r="H902" i="6"/>
  <c r="H361" i="6"/>
  <c r="H529" i="6"/>
  <c r="H182" i="6"/>
  <c r="H362" i="6"/>
  <c r="H363" i="6"/>
  <c r="H903" i="6"/>
  <c r="H183" i="6"/>
  <c r="H904" i="6"/>
  <c r="H364" i="6"/>
  <c r="H365" i="6"/>
  <c r="H530" i="6"/>
  <c r="H722" i="6"/>
  <c r="H366" i="6"/>
  <c r="H723" i="6"/>
  <c r="H905" i="6"/>
  <c r="H367" i="6"/>
  <c r="H184" i="6"/>
  <c r="H531" i="6"/>
  <c r="H368" i="6"/>
  <c r="H532" i="6"/>
  <c r="H533" i="6"/>
  <c r="H724" i="6"/>
  <c r="F12" i="9"/>
  <c r="G369" i="6"/>
  <c r="F369" i="6"/>
  <c r="H369" i="6" s="1"/>
  <c r="D369" i="6"/>
  <c r="C369" i="6"/>
  <c r="A369" i="6"/>
  <c r="F11" i="9"/>
  <c r="F19" i="9"/>
  <c r="F17" i="9"/>
  <c r="F18" i="9"/>
  <c r="F13" i="9"/>
  <c r="F16" i="9"/>
  <c r="E16" i="9"/>
  <c r="D16" i="9"/>
  <c r="F14" i="9"/>
  <c r="E14" i="9"/>
  <c r="D14" i="9"/>
  <c r="C7" i="5"/>
  <c r="D7" i="5" s="1"/>
  <c r="F15" i="9"/>
  <c r="F10" i="9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1252" i="13"/>
  <c r="H1253" i="13"/>
  <c r="H1254" i="13"/>
  <c r="H1255" i="13"/>
  <c r="H1256" i="13"/>
  <c r="H1257" i="13"/>
  <c r="H1258" i="13"/>
  <c r="H1259" i="13"/>
  <c r="H1260" i="13"/>
  <c r="H1261" i="13"/>
  <c r="H1262" i="13"/>
  <c r="H1263" i="13"/>
  <c r="H1264" i="13"/>
  <c r="H1265" i="13"/>
  <c r="H1266" i="13"/>
  <c r="H1267" i="13"/>
  <c r="H1268" i="13"/>
  <c r="H1269" i="13"/>
  <c r="H1270" i="13"/>
  <c r="H1271" i="13"/>
  <c r="H1272" i="13"/>
  <c r="H1273" i="13"/>
  <c r="H1274" i="13"/>
  <c r="H1275" i="13"/>
  <c r="H1276" i="13"/>
  <c r="H1277" i="13"/>
  <c r="H1278" i="13"/>
  <c r="H1279" i="13"/>
  <c r="H1280" i="13"/>
  <c r="H1281" i="13"/>
  <c r="H1282" i="13"/>
  <c r="H1283" i="13"/>
  <c r="H1284" i="13"/>
  <c r="H1285" i="13"/>
  <c r="H1286" i="13"/>
  <c r="H1287" i="13"/>
  <c r="H1288" i="13"/>
  <c r="H1289" i="13"/>
  <c r="H1290" i="13"/>
  <c r="H1291" i="13"/>
  <c r="H1292" i="13"/>
  <c r="H1293" i="13"/>
  <c r="H1294" i="13"/>
  <c r="H1295" i="13"/>
  <c r="H1296" i="13"/>
  <c r="H1297" i="13"/>
  <c r="H1298" i="13"/>
  <c r="H1299" i="13"/>
  <c r="H1300" i="13"/>
  <c r="H1301" i="13"/>
  <c r="H1302" i="13"/>
  <c r="H1303" i="13"/>
  <c r="H1304" i="13"/>
  <c r="H1305" i="13"/>
  <c r="H1306" i="13"/>
  <c r="H1307" i="13"/>
  <c r="H1308" i="13"/>
  <c r="H1309" i="13"/>
  <c r="H1310" i="13"/>
  <c r="H1311" i="13"/>
  <c r="H1312" i="13"/>
  <c r="H1313" i="13"/>
  <c r="H1314" i="13"/>
  <c r="H1315" i="13"/>
  <c r="H1316" i="13"/>
  <c r="H1317" i="13"/>
  <c r="H1318" i="13"/>
  <c r="H1319" i="13"/>
  <c r="H1320" i="13"/>
  <c r="H1321" i="13"/>
  <c r="H1322" i="13"/>
  <c r="H1323" i="13"/>
  <c r="H1324" i="13"/>
  <c r="H1325" i="13"/>
  <c r="H1326" i="13"/>
  <c r="H1327" i="13"/>
  <c r="H1328" i="13"/>
  <c r="H1329" i="13"/>
  <c r="H1330" i="13"/>
  <c r="H1331" i="13"/>
  <c r="H1332" i="13"/>
  <c r="H1333" i="13"/>
  <c r="H1334" i="13"/>
  <c r="H1335" i="13"/>
  <c r="H1336" i="13"/>
  <c r="H1337" i="13"/>
  <c r="H1338" i="13"/>
  <c r="H1339" i="13"/>
  <c r="H1340" i="13"/>
  <c r="H1341" i="13"/>
  <c r="H1342" i="13"/>
  <c r="H1343" i="13"/>
  <c r="H1344" i="13"/>
  <c r="H1345" i="13"/>
  <c r="H1346" i="13"/>
  <c r="H1347" i="13"/>
  <c r="H1348" i="13"/>
  <c r="H1349" i="13"/>
  <c r="H1350" i="13"/>
  <c r="H1351" i="13"/>
  <c r="H1352" i="13"/>
  <c r="H1353" i="13"/>
  <c r="H1354" i="13"/>
  <c r="H1355" i="13"/>
  <c r="H1356" i="13"/>
  <c r="H1357" i="13"/>
  <c r="H1358" i="13"/>
  <c r="H1359" i="13"/>
  <c r="H1360" i="13"/>
  <c r="H1361" i="13"/>
  <c r="H1362" i="13"/>
  <c r="H1363" i="13"/>
  <c r="H1364" i="13"/>
  <c r="H1365" i="13"/>
  <c r="H1366" i="13"/>
  <c r="H1367" i="13"/>
  <c r="H1368" i="13"/>
  <c r="H1369" i="13"/>
  <c r="H1370" i="13"/>
  <c r="H1371" i="13"/>
  <c r="H1372" i="13"/>
  <c r="H1373" i="13"/>
  <c r="H1374" i="13"/>
  <c r="H1375" i="13"/>
  <c r="H1376" i="13"/>
  <c r="H1377" i="13"/>
  <c r="H1378" i="13"/>
  <c r="H1379" i="13"/>
  <c r="H1380" i="13"/>
  <c r="H1381" i="13"/>
  <c r="H1382" i="13"/>
  <c r="H1383" i="13"/>
  <c r="H1384" i="13"/>
  <c r="H1385" i="13"/>
  <c r="H1386" i="13"/>
  <c r="H1387" i="13"/>
  <c r="H1388" i="13"/>
  <c r="H1389" i="13"/>
  <c r="H1390" i="13"/>
  <c r="H1391" i="13"/>
  <c r="H1392" i="13"/>
  <c r="H1393" i="13"/>
  <c r="H1394" i="13"/>
  <c r="H1395" i="13"/>
  <c r="H1396" i="13"/>
  <c r="H1397" i="13"/>
  <c r="H1398" i="13"/>
  <c r="H1399" i="13"/>
  <c r="H1400" i="13"/>
  <c r="H1401" i="13"/>
  <c r="H1402" i="13"/>
  <c r="H1403" i="13"/>
  <c r="H1404" i="13"/>
  <c r="H1405" i="13"/>
  <c r="H1406" i="13"/>
  <c r="H1407" i="13"/>
  <c r="H1408" i="13"/>
  <c r="H1409" i="13"/>
  <c r="H1410" i="13"/>
  <c r="H1411" i="13"/>
  <c r="H1412" i="13"/>
  <c r="H1413" i="13"/>
  <c r="H1414" i="13"/>
  <c r="H1415" i="13"/>
  <c r="H1416" i="13"/>
  <c r="H1417" i="13"/>
  <c r="H1418" i="13"/>
  <c r="H1419" i="13"/>
  <c r="H1420" i="13"/>
  <c r="H1421" i="13"/>
  <c r="H1422" i="13"/>
  <c r="H1423" i="13"/>
  <c r="H1424" i="13"/>
  <c r="H1425" i="13"/>
  <c r="H1426" i="13"/>
  <c r="H1427" i="13"/>
  <c r="H1428" i="13"/>
  <c r="H1429" i="13"/>
  <c r="H1430" i="13"/>
  <c r="H1431" i="13"/>
  <c r="H1432" i="13"/>
  <c r="H1433" i="13"/>
  <c r="H1434" i="13"/>
  <c r="H1435" i="13"/>
  <c r="H1436" i="13"/>
  <c r="H1437" i="13"/>
  <c r="H1438" i="13"/>
  <c r="H1439" i="13"/>
  <c r="H1440" i="13"/>
  <c r="H1441" i="13"/>
  <c r="H1442" i="13"/>
  <c r="H1443" i="13"/>
  <c r="H1444" i="13"/>
  <c r="H1445" i="13"/>
  <c r="H1446" i="13"/>
  <c r="H1447" i="13"/>
  <c r="H1448" i="13"/>
  <c r="H1449" i="13"/>
  <c r="H1450" i="13"/>
  <c r="H1451" i="13"/>
  <c r="H1452" i="13"/>
  <c r="H1453" i="13"/>
  <c r="H1454" i="13"/>
  <c r="H1455" i="13"/>
  <c r="H1456" i="13"/>
  <c r="H1457" i="13"/>
  <c r="H1458" i="13"/>
  <c r="H1459" i="13"/>
  <c r="H1460" i="13"/>
  <c r="H1461" i="13"/>
  <c r="H1462" i="13"/>
  <c r="H1463" i="13"/>
  <c r="H1464" i="13"/>
  <c r="H1465" i="13"/>
  <c r="H1466" i="13"/>
  <c r="H1467" i="13"/>
  <c r="H1468" i="13"/>
  <c r="H1469" i="13"/>
  <c r="H1470" i="13"/>
  <c r="H1471" i="13"/>
  <c r="H1472" i="13"/>
  <c r="H1473" i="13"/>
  <c r="H1474" i="13"/>
  <c r="H1475" i="13"/>
  <c r="H1476" i="13"/>
  <c r="H1477" i="13"/>
  <c r="H1478" i="13"/>
  <c r="H1479" i="13"/>
  <c r="H1480" i="13"/>
  <c r="H1481" i="13"/>
  <c r="H1482" i="13"/>
  <c r="H1483" i="13"/>
  <c r="H1484" i="13"/>
  <c r="H1485" i="13"/>
  <c r="H1486" i="13"/>
  <c r="H1487" i="13"/>
  <c r="H1488" i="13"/>
  <c r="H1489" i="13"/>
  <c r="H1490" i="13"/>
  <c r="H1491" i="13"/>
  <c r="H1492" i="13"/>
  <c r="H1493" i="13"/>
  <c r="H1494" i="13"/>
  <c r="H1495" i="13"/>
  <c r="H1496" i="13"/>
  <c r="H1497" i="13"/>
  <c r="H1498" i="13"/>
  <c r="H1499" i="13"/>
  <c r="H1500" i="13"/>
  <c r="H1501" i="13"/>
  <c r="H1502" i="13"/>
  <c r="H1503" i="13"/>
  <c r="H1504" i="13"/>
  <c r="H1505" i="13"/>
  <c r="H1506" i="13"/>
  <c r="H1507" i="13"/>
  <c r="H1508" i="13"/>
  <c r="H1509" i="13"/>
  <c r="H1510" i="13"/>
  <c r="H1511" i="13"/>
  <c r="H1512" i="13"/>
  <c r="H1513" i="13"/>
  <c r="H1514" i="13"/>
  <c r="H1515" i="13"/>
  <c r="H1516" i="13"/>
  <c r="H1517" i="13"/>
  <c r="H1518" i="13"/>
  <c r="H1519" i="13"/>
  <c r="H1520" i="13"/>
  <c r="H1521" i="13"/>
  <c r="H1522" i="13"/>
  <c r="H1523" i="13"/>
  <c r="H1524" i="13"/>
  <c r="H1525" i="13"/>
  <c r="H1526" i="13"/>
  <c r="H1527" i="13"/>
  <c r="H1528" i="13"/>
  <c r="H1529" i="13"/>
  <c r="H1530" i="13"/>
  <c r="H1531" i="13"/>
  <c r="H1532" i="13"/>
  <c r="H1533" i="13"/>
  <c r="H1534" i="13"/>
  <c r="H1535" i="13"/>
  <c r="H1536" i="13"/>
  <c r="H1537" i="13"/>
  <c r="H1538" i="13"/>
  <c r="H1539" i="13"/>
  <c r="H1540" i="13"/>
  <c r="H1541" i="13"/>
  <c r="H1542" i="13"/>
  <c r="H1543" i="13"/>
  <c r="H1544" i="13"/>
  <c r="H1545" i="13"/>
  <c r="H1546" i="13"/>
  <c r="H1547" i="13"/>
  <c r="H1548" i="13"/>
  <c r="H1549" i="13"/>
  <c r="H1550" i="13"/>
  <c r="H1551" i="13"/>
  <c r="H1552" i="13"/>
  <c r="H1553" i="13"/>
  <c r="H1554" i="13"/>
  <c r="H1555" i="13"/>
  <c r="H1556" i="13"/>
  <c r="H1557" i="13"/>
  <c r="H1558" i="13"/>
  <c r="H1559" i="13"/>
  <c r="H1560" i="13"/>
  <c r="H1561" i="13"/>
  <c r="H1562" i="13"/>
  <c r="H1563" i="13"/>
  <c r="H1564" i="13"/>
  <c r="H1565" i="13"/>
  <c r="H1566" i="13"/>
  <c r="H1567" i="13"/>
  <c r="H1568" i="13"/>
  <c r="H1569" i="13"/>
  <c r="H1570" i="13"/>
  <c r="H1571" i="13"/>
  <c r="H1572" i="13"/>
  <c r="H1573" i="13"/>
  <c r="H1574" i="13"/>
  <c r="H1575" i="13"/>
  <c r="H1576" i="13"/>
  <c r="H1577" i="13"/>
  <c r="H1578" i="13"/>
  <c r="H1579" i="13"/>
  <c r="H1580" i="13"/>
  <c r="H1581" i="13"/>
  <c r="H1582" i="13"/>
  <c r="H1583" i="13"/>
  <c r="H1584" i="13"/>
  <c r="H1585" i="13"/>
  <c r="H1586" i="13"/>
  <c r="H1587" i="13"/>
  <c r="H1588" i="13"/>
  <c r="H1589" i="13"/>
  <c r="H1590" i="13"/>
  <c r="H1591" i="13"/>
  <c r="H1592" i="13"/>
  <c r="H1593" i="13"/>
  <c r="H1594" i="13"/>
  <c r="H1595" i="13"/>
  <c r="H1596" i="13"/>
  <c r="H1597" i="13"/>
  <c r="H1598" i="13"/>
  <c r="H1599" i="13"/>
  <c r="H1600" i="13"/>
  <c r="H1601" i="13"/>
  <c r="H1602" i="13"/>
  <c r="H1603" i="13"/>
  <c r="H1604" i="13"/>
  <c r="H1605" i="13"/>
  <c r="H1606" i="13"/>
  <c r="H1607" i="13"/>
  <c r="H1608" i="13"/>
  <c r="H1609" i="13"/>
  <c r="H1610" i="13"/>
  <c r="H1611" i="13"/>
  <c r="H1612" i="13"/>
  <c r="H1613" i="13"/>
  <c r="H1614" i="13"/>
  <c r="H1615" i="13"/>
  <c r="H1616" i="13"/>
  <c r="H1617" i="13"/>
  <c r="H1618" i="13"/>
  <c r="H1619" i="13"/>
  <c r="H1620" i="13"/>
  <c r="H1621" i="13"/>
  <c r="H1622" i="13"/>
  <c r="H1623" i="13"/>
  <c r="H1624" i="13"/>
  <c r="H1625" i="13"/>
  <c r="H1626" i="13"/>
  <c r="H1627" i="13"/>
  <c r="H1628" i="13"/>
  <c r="H1629" i="13"/>
  <c r="H1630" i="13"/>
  <c r="H1631" i="13"/>
  <c r="H1632" i="13"/>
  <c r="H1633" i="13"/>
  <c r="H1634" i="13"/>
  <c r="H1635" i="13"/>
  <c r="H1636" i="13"/>
  <c r="H1637" i="13"/>
  <c r="H1638" i="13"/>
  <c r="H1639" i="13"/>
  <c r="H1640" i="13"/>
  <c r="H1641" i="13"/>
  <c r="H1642" i="13"/>
  <c r="H1643" i="13"/>
  <c r="H1644" i="13"/>
  <c r="H1645" i="13"/>
  <c r="H1646" i="13"/>
  <c r="H1647" i="13"/>
  <c r="H1648" i="13"/>
  <c r="H1649" i="13"/>
  <c r="H1650" i="13"/>
  <c r="H1651" i="13"/>
  <c r="H1652" i="13"/>
  <c r="H1653" i="13"/>
  <c r="H1654" i="13"/>
  <c r="H1655" i="13"/>
  <c r="H1656" i="13"/>
  <c r="H1657" i="13"/>
  <c r="H1658" i="13"/>
  <c r="H1659" i="13"/>
  <c r="H1660" i="13"/>
  <c r="H1661" i="13"/>
  <c r="H1662" i="13"/>
  <c r="H1663" i="13"/>
  <c r="H1664" i="13"/>
  <c r="H1665" i="13"/>
  <c r="H1666" i="13"/>
  <c r="H1667" i="13"/>
  <c r="H1668" i="13"/>
  <c r="H1669" i="13"/>
  <c r="H1670" i="13"/>
  <c r="H1671" i="13"/>
  <c r="H1672" i="13"/>
  <c r="H1673" i="13"/>
  <c r="H1674" i="13"/>
  <c r="H1675" i="13"/>
  <c r="H1676" i="13"/>
  <c r="H1677" i="13"/>
  <c r="H1678" i="13"/>
  <c r="H1679" i="13"/>
  <c r="H1680" i="13"/>
  <c r="H1681" i="13"/>
  <c r="H1682" i="13"/>
  <c r="H1683" i="13"/>
  <c r="H1684" i="13"/>
  <c r="H1685" i="13"/>
  <c r="H1686" i="13"/>
  <c r="H1687" i="13"/>
  <c r="H1688" i="13"/>
  <c r="H1689" i="13"/>
  <c r="H1690" i="13"/>
  <c r="H1691" i="13"/>
  <c r="H1692" i="13"/>
  <c r="H1693" i="13"/>
  <c r="H1694" i="13"/>
  <c r="H1695" i="13"/>
  <c r="H1696" i="13"/>
  <c r="H1697" i="13"/>
  <c r="H1698" i="13"/>
  <c r="H1699" i="13"/>
  <c r="H1700" i="13"/>
  <c r="H1701" i="13"/>
  <c r="H1702" i="13"/>
  <c r="H1703" i="13"/>
  <c r="H1704" i="13"/>
  <c r="H1705" i="13"/>
  <c r="H1706" i="13"/>
  <c r="H1707" i="13"/>
  <c r="H1708" i="13"/>
  <c r="H1709" i="13"/>
  <c r="H1710" i="13"/>
  <c r="H1711" i="13"/>
  <c r="H1712" i="13"/>
  <c r="H1713" i="13"/>
  <c r="H1714" i="13"/>
  <c r="H1715" i="13"/>
  <c r="H1716" i="13"/>
  <c r="H1717" i="13"/>
  <c r="H1718" i="13"/>
  <c r="H1719" i="13"/>
  <c r="H1720" i="13"/>
  <c r="H1721" i="13"/>
  <c r="H1722" i="13"/>
  <c r="H1723" i="13"/>
  <c r="H1724" i="13"/>
  <c r="H1725" i="13"/>
  <c r="H1726" i="13"/>
  <c r="H1727" i="13"/>
  <c r="H1728" i="13"/>
  <c r="H1729" i="13"/>
  <c r="H1730" i="13"/>
  <c r="H1731" i="13"/>
  <c r="H1732" i="13"/>
  <c r="H1733" i="13"/>
  <c r="H1734" i="13"/>
  <c r="H1735" i="13"/>
  <c r="H1736" i="13"/>
  <c r="H1737" i="13"/>
  <c r="H1738" i="13"/>
  <c r="H1739" i="13"/>
  <c r="H1740" i="13"/>
  <c r="H1741" i="13"/>
  <c r="H1742" i="13"/>
  <c r="H1743" i="13"/>
  <c r="H1744" i="13"/>
  <c r="H1745" i="13"/>
  <c r="H1746" i="13"/>
  <c r="H1747" i="13"/>
  <c r="H1748" i="13"/>
  <c r="H1749" i="13"/>
  <c r="H1750" i="13"/>
  <c r="H1751" i="13"/>
  <c r="H1752" i="13"/>
  <c r="H1753" i="13"/>
  <c r="H1754" i="13"/>
  <c r="H1755" i="13"/>
  <c r="H1756" i="13"/>
  <c r="H1757" i="13"/>
  <c r="H1758" i="13"/>
  <c r="H1759" i="13"/>
  <c r="H1760" i="13"/>
  <c r="H1761" i="13"/>
  <c r="H1762" i="13"/>
  <c r="H1763" i="13"/>
  <c r="H1764" i="13"/>
  <c r="H1765" i="13"/>
  <c r="H1766" i="13"/>
  <c r="H1767" i="13"/>
  <c r="H1768" i="13"/>
  <c r="H1769" i="13"/>
  <c r="H1770" i="13"/>
  <c r="H1771" i="13"/>
  <c r="H1772" i="13"/>
  <c r="H1773" i="13"/>
  <c r="H1774" i="13"/>
  <c r="H1775" i="13"/>
  <c r="H1776" i="13"/>
  <c r="H1777" i="13"/>
  <c r="H1778" i="13"/>
  <c r="H1779" i="13"/>
  <c r="H1780" i="13"/>
  <c r="H1781" i="13"/>
  <c r="H1782" i="13"/>
  <c r="H1783" i="13"/>
  <c r="H1784" i="13"/>
  <c r="H1785" i="13"/>
  <c r="H1786" i="13"/>
  <c r="H1787" i="13"/>
  <c r="H1788" i="13"/>
  <c r="H1789" i="13"/>
  <c r="H1790" i="13"/>
  <c r="H1791" i="13"/>
  <c r="H1792" i="13"/>
  <c r="H1793" i="13"/>
  <c r="H1794" i="13"/>
  <c r="H1795" i="13"/>
  <c r="H1796" i="13"/>
  <c r="H1797" i="13"/>
  <c r="H1798" i="13"/>
  <c r="H1799" i="13"/>
  <c r="H1800" i="13"/>
  <c r="H1801" i="13"/>
  <c r="H1802" i="13"/>
  <c r="H1803" i="13"/>
  <c r="H1804" i="13"/>
  <c r="H1805" i="13"/>
  <c r="H1806" i="13"/>
  <c r="H1807" i="13"/>
  <c r="H1808" i="13"/>
  <c r="H1809" i="13"/>
  <c r="H1810" i="13"/>
  <c r="H1811" i="13"/>
  <c r="H1812" i="13"/>
  <c r="H1813" i="13"/>
  <c r="H1814" i="13"/>
  <c r="H1815" i="13"/>
  <c r="H1816" i="13"/>
  <c r="H1817" i="13"/>
  <c r="H1818" i="13"/>
  <c r="H1819" i="13"/>
  <c r="H1820" i="13"/>
  <c r="H1821" i="13"/>
  <c r="H1822" i="13"/>
  <c r="H1823" i="13"/>
  <c r="H1824" i="13"/>
  <c r="H1825" i="13"/>
  <c r="H1826" i="13"/>
  <c r="H1827" i="13"/>
  <c r="H1828" i="13"/>
  <c r="H1829" i="13"/>
  <c r="H1830" i="13"/>
  <c r="H1831" i="13"/>
  <c r="H1832" i="13"/>
  <c r="H1833" i="13"/>
  <c r="H1834" i="13"/>
  <c r="H1835" i="13"/>
  <c r="H1836" i="13"/>
  <c r="H1837" i="13"/>
  <c r="H1838" i="13"/>
  <c r="H1839" i="13"/>
  <c r="H1840" i="13"/>
  <c r="H1841" i="13"/>
  <c r="H1842" i="13"/>
  <c r="H1843" i="13"/>
  <c r="H1844" i="13"/>
  <c r="H1845" i="13"/>
  <c r="H1846" i="13"/>
  <c r="H1847" i="13"/>
  <c r="H1848" i="13"/>
  <c r="H1849" i="13"/>
  <c r="H1850" i="13"/>
  <c r="H1851" i="13"/>
  <c r="H1852" i="13"/>
  <c r="H1853" i="13"/>
  <c r="H1854" i="13"/>
  <c r="H1855" i="13"/>
  <c r="H1856" i="13"/>
  <c r="H1857" i="13"/>
  <c r="H1858" i="13"/>
  <c r="H1859" i="13"/>
  <c r="H1860" i="13"/>
  <c r="H1861" i="13"/>
  <c r="H1862" i="13"/>
  <c r="H1863" i="13"/>
  <c r="H1864" i="13"/>
  <c r="H1865" i="13"/>
  <c r="H1866" i="13"/>
  <c r="H1867" i="13"/>
  <c r="H1868" i="13"/>
  <c r="H1869" i="13"/>
  <c r="H1870" i="13"/>
  <c r="H1871" i="13"/>
  <c r="H1872" i="13"/>
  <c r="H1873" i="13"/>
  <c r="H1874" i="13"/>
  <c r="H1875" i="13"/>
  <c r="H1876" i="13"/>
  <c r="H1877" i="13"/>
  <c r="H1878" i="13"/>
  <c r="H1879" i="13"/>
  <c r="H1880" i="13"/>
  <c r="H1881" i="13"/>
  <c r="H1882" i="13"/>
  <c r="H1883" i="13"/>
  <c r="H1884" i="13"/>
  <c r="H1885" i="13"/>
  <c r="H1886" i="13"/>
  <c r="H1887" i="13"/>
  <c r="H1888" i="13"/>
  <c r="H1889" i="13"/>
  <c r="H1890" i="13"/>
  <c r="H1891" i="13"/>
  <c r="H1892" i="13"/>
  <c r="H1893" i="13"/>
  <c r="H1894" i="13"/>
  <c r="H1895" i="13"/>
  <c r="H1896" i="13"/>
  <c r="H1897" i="13"/>
  <c r="H1898" i="13"/>
  <c r="H1899" i="13"/>
  <c r="H1900" i="13"/>
  <c r="H1901" i="13"/>
  <c r="H1902" i="13"/>
  <c r="H1903" i="13"/>
  <c r="H1904" i="13"/>
  <c r="H1905" i="13"/>
  <c r="H1906" i="13"/>
  <c r="H1907" i="13"/>
  <c r="H1908" i="13"/>
  <c r="H1909" i="13"/>
  <c r="H1910" i="13"/>
  <c r="H1911" i="13"/>
  <c r="H1912" i="13"/>
  <c r="H1913" i="13"/>
  <c r="H1914" i="13"/>
  <c r="H1915" i="13"/>
  <c r="H1916" i="13"/>
  <c r="H1917" i="13"/>
  <c r="H1918" i="13"/>
  <c r="H1919" i="13"/>
  <c r="H1920" i="13"/>
  <c r="H1921" i="13"/>
  <c r="H1922" i="13"/>
  <c r="H1923" i="13"/>
  <c r="H1924" i="13"/>
  <c r="H1925" i="13"/>
  <c r="H1926" i="13"/>
  <c r="H1927" i="13"/>
  <c r="H1928" i="13"/>
  <c r="H1929" i="13"/>
  <c r="H1930" i="13"/>
  <c r="H1931" i="13"/>
  <c r="H1932" i="13"/>
  <c r="H1933" i="13"/>
  <c r="H1934" i="13"/>
  <c r="H1935" i="13"/>
  <c r="H1936" i="13"/>
  <c r="H1937" i="13"/>
  <c r="H1938" i="13"/>
  <c r="H1939" i="13"/>
  <c r="H1940" i="13"/>
  <c r="H1941" i="13"/>
  <c r="H1942" i="13"/>
  <c r="H1943" i="13"/>
  <c r="H1944" i="13"/>
  <c r="H1945" i="13"/>
  <c r="H1946" i="13"/>
  <c r="H1947" i="13"/>
  <c r="H1948" i="13"/>
  <c r="H1949" i="13"/>
  <c r="H1950" i="13"/>
  <c r="H1951" i="13"/>
  <c r="H1952" i="13"/>
  <c r="H1953" i="13"/>
  <c r="H1954" i="13"/>
  <c r="H1955" i="13"/>
  <c r="H1956" i="13"/>
  <c r="H1957" i="13"/>
  <c r="H1958" i="13"/>
  <c r="H1959" i="13"/>
  <c r="H1960" i="13"/>
  <c r="H1961" i="13"/>
  <c r="H1962" i="13"/>
  <c r="H1963" i="13"/>
  <c r="H1964" i="13"/>
  <c r="H1965" i="13"/>
  <c r="H1966" i="13"/>
  <c r="H1967" i="13"/>
  <c r="H1968" i="13"/>
  <c r="H1969" i="13"/>
  <c r="H1970" i="13"/>
  <c r="H1971" i="13"/>
  <c r="H1972" i="13"/>
  <c r="H1973" i="13"/>
  <c r="H1974" i="13"/>
  <c r="H1975" i="13"/>
  <c r="H1976" i="13"/>
  <c r="H1977" i="13"/>
  <c r="H1978" i="13"/>
  <c r="H1979" i="13"/>
  <c r="H1980" i="13"/>
  <c r="H1981" i="13"/>
  <c r="H1982" i="13"/>
  <c r="H1983" i="13"/>
  <c r="H1984" i="13"/>
  <c r="H1985" i="13"/>
  <c r="H1986" i="13"/>
  <c r="H1987" i="13"/>
  <c r="H1988" i="13"/>
  <c r="H1989" i="13"/>
  <c r="H1990" i="13"/>
  <c r="H1991" i="13"/>
  <c r="H1992" i="13"/>
  <c r="H1993" i="13"/>
  <c r="H1994" i="13"/>
  <c r="H1995" i="13"/>
  <c r="H1996" i="13"/>
  <c r="H1997" i="13"/>
  <c r="H1998" i="13"/>
  <c r="H1999" i="13"/>
  <c r="H2000" i="13"/>
  <c r="H2001" i="13"/>
  <c r="H2002" i="13"/>
  <c r="H2003" i="13"/>
  <c r="H2004" i="13"/>
  <c r="H2005" i="13"/>
  <c r="H2006" i="13"/>
  <c r="H2007" i="13"/>
  <c r="H2008" i="13"/>
  <c r="H2009" i="13"/>
  <c r="H2010" i="13"/>
  <c r="H2011" i="13"/>
  <c r="H2012" i="13"/>
  <c r="H2013" i="13"/>
  <c r="H2014" i="13"/>
  <c r="H2015" i="13"/>
  <c r="H2016" i="13"/>
  <c r="H2017" i="13"/>
  <c r="H2018" i="13"/>
  <c r="H2019" i="13"/>
  <c r="H2020" i="13"/>
  <c r="H2021" i="13"/>
  <c r="H2022" i="13"/>
  <c r="H2023" i="13"/>
  <c r="H2024" i="13"/>
  <c r="H2025" i="13"/>
  <c r="H2026" i="13"/>
  <c r="H2027" i="13"/>
  <c r="H2028" i="13"/>
  <c r="H2029" i="13"/>
  <c r="H2030" i="13"/>
  <c r="H2031" i="13"/>
  <c r="H2032" i="13"/>
  <c r="H2033" i="13"/>
  <c r="H2034" i="13"/>
  <c r="H2035" i="13"/>
  <c r="H2036" i="13"/>
  <c r="H2037" i="13"/>
  <c r="H2038" i="13"/>
  <c r="H2039" i="13"/>
  <c r="H2040" i="13"/>
  <c r="H2041" i="13"/>
  <c r="H2042" i="13"/>
  <c r="H2043" i="13"/>
  <c r="H2044" i="13"/>
  <c r="H2045" i="13"/>
  <c r="H2046" i="13"/>
  <c r="H2047" i="13"/>
  <c r="H2048" i="13"/>
  <c r="H2049" i="13"/>
  <c r="H2050" i="13"/>
  <c r="H2051" i="13"/>
  <c r="H2052" i="13"/>
  <c r="H2053" i="13"/>
  <c r="H2054" i="13"/>
  <c r="H2055" i="13"/>
  <c r="H2056" i="13"/>
  <c r="H2057" i="13"/>
  <c r="H2058" i="13"/>
  <c r="H2059" i="13"/>
  <c r="H2060" i="13"/>
  <c r="H2061" i="13"/>
  <c r="H2062" i="13"/>
  <c r="H2063" i="13"/>
  <c r="H2064" i="13"/>
  <c r="H2065" i="13"/>
  <c r="H2066" i="13"/>
  <c r="H2067" i="13"/>
  <c r="H2068" i="13"/>
  <c r="H2069" i="13"/>
  <c r="H2070" i="13"/>
  <c r="H2071" i="13"/>
  <c r="H2072" i="13"/>
  <c r="H2073" i="13"/>
  <c r="H2074" i="13"/>
  <c r="H2075" i="13"/>
  <c r="H2076" i="13"/>
  <c r="H2077" i="13"/>
  <c r="H2078" i="13"/>
  <c r="H2079" i="13"/>
  <c r="H2080" i="13"/>
  <c r="H2081" i="13"/>
  <c r="H2082" i="13"/>
  <c r="H2083" i="13"/>
  <c r="H2084" i="13"/>
  <c r="H2085" i="13"/>
  <c r="H2086" i="13"/>
  <c r="H2087" i="13"/>
  <c r="H2088" i="13"/>
  <c r="H2089" i="13"/>
  <c r="H2090" i="13"/>
  <c r="H2091" i="13"/>
  <c r="H2092" i="13"/>
  <c r="H2093" i="13"/>
  <c r="H2094" i="13"/>
  <c r="H2095" i="13"/>
  <c r="H2096" i="13"/>
  <c r="H2097" i="13"/>
  <c r="H2098" i="13"/>
  <c r="H2099" i="13"/>
  <c r="H2100" i="13"/>
  <c r="H2101" i="13"/>
  <c r="H2102" i="13"/>
  <c r="H2103" i="13"/>
  <c r="H2104" i="13"/>
  <c r="H2105" i="13"/>
  <c r="H2106" i="13"/>
  <c r="H2107" i="13"/>
  <c r="H2108" i="13"/>
  <c r="H2109" i="13"/>
  <c r="H2110" i="13"/>
  <c r="H2111" i="13"/>
  <c r="H2112" i="13"/>
  <c r="H2113" i="13"/>
  <c r="H2114" i="13"/>
  <c r="H2115" i="13"/>
  <c r="H2116" i="13"/>
  <c r="H2117" i="13"/>
  <c r="H2118" i="13"/>
  <c r="H2119" i="13"/>
  <c r="H2120" i="13"/>
  <c r="H2121" i="13"/>
  <c r="H2122" i="13"/>
  <c r="H2123" i="13"/>
  <c r="H2124" i="13"/>
  <c r="H2125" i="13"/>
  <c r="H2126" i="13"/>
  <c r="H2127" i="13"/>
  <c r="H2128" i="13"/>
  <c r="H2129" i="13"/>
  <c r="H2130" i="13"/>
  <c r="H2131" i="13"/>
  <c r="H2132" i="13"/>
  <c r="H2133" i="13"/>
  <c r="H2134" i="13"/>
  <c r="H2135" i="13"/>
  <c r="H2136" i="13"/>
  <c r="H2137" i="13"/>
  <c r="H2138" i="13"/>
  <c r="H2139" i="13"/>
  <c r="H2140" i="13"/>
  <c r="H2141" i="13"/>
  <c r="H2142" i="13"/>
  <c r="H2143" i="13"/>
  <c r="H2144" i="13"/>
  <c r="H2145" i="13"/>
  <c r="H2146" i="13"/>
  <c r="H2147" i="13"/>
  <c r="H2148" i="13"/>
  <c r="H2149" i="13"/>
  <c r="H2150" i="13"/>
  <c r="H2151" i="13"/>
  <c r="H2152" i="13"/>
  <c r="H2153" i="13"/>
  <c r="H2154" i="13"/>
  <c r="H2155" i="13"/>
  <c r="H2156" i="13"/>
  <c r="H2157" i="13"/>
  <c r="H2158" i="13"/>
  <c r="H2159" i="13"/>
  <c r="H2160" i="13"/>
  <c r="H2161" i="13"/>
  <c r="H2162" i="13"/>
  <c r="H2163" i="13"/>
  <c r="H2164" i="13"/>
  <c r="H2165" i="13"/>
  <c r="H2166" i="13"/>
  <c r="H2167" i="13"/>
  <c r="H2168" i="13"/>
  <c r="H2169" i="13"/>
  <c r="H2170" i="13"/>
  <c r="H2171" i="13"/>
  <c r="H2172" i="13"/>
  <c r="H2173" i="13"/>
  <c r="H2174" i="13"/>
  <c r="H2175" i="13"/>
  <c r="H2176" i="13"/>
  <c r="H2177" i="13"/>
  <c r="H2178" i="13"/>
  <c r="H2179" i="13"/>
  <c r="H2180" i="13"/>
  <c r="H2181" i="13"/>
  <c r="H2182" i="13"/>
  <c r="H2183" i="13"/>
  <c r="H2184" i="13"/>
  <c r="H2185" i="13"/>
  <c r="H2186" i="13"/>
  <c r="H2187" i="13"/>
  <c r="H2188" i="13"/>
  <c r="H2189" i="13"/>
  <c r="H2190" i="13"/>
  <c r="H2191" i="13"/>
  <c r="H2192" i="13"/>
  <c r="H2193" i="13"/>
  <c r="H2194" i="13"/>
  <c r="H2195" i="13"/>
  <c r="H2196" i="13"/>
  <c r="H2197" i="13"/>
  <c r="H2198" i="13"/>
  <c r="H2199" i="13"/>
  <c r="H2200" i="13"/>
  <c r="H2201" i="13"/>
  <c r="H2202" i="13"/>
  <c r="H2203" i="13"/>
  <c r="H2204" i="13"/>
  <c r="H2205" i="13"/>
  <c r="H2206" i="13"/>
  <c r="H2207" i="13"/>
  <c r="H2208" i="13"/>
  <c r="H2209" i="13"/>
  <c r="H2210" i="13"/>
  <c r="H2211" i="13"/>
  <c r="H2212" i="13"/>
  <c r="H2213" i="13"/>
  <c r="H2214" i="13"/>
  <c r="H2215" i="13"/>
  <c r="H2216" i="13"/>
  <c r="H2217" i="13"/>
  <c r="H2218" i="13"/>
  <c r="H2219" i="13"/>
  <c r="H2220" i="13"/>
  <c r="H2221" i="13"/>
  <c r="H2222" i="13"/>
  <c r="H2223" i="13"/>
  <c r="H2224" i="13"/>
  <c r="H2225" i="13"/>
  <c r="H2226" i="13"/>
  <c r="H2227" i="13"/>
  <c r="H2228" i="13"/>
  <c r="H2229" i="13"/>
  <c r="H2230" i="13"/>
  <c r="H2231" i="13"/>
  <c r="H2232" i="13"/>
  <c r="H2233" i="13"/>
  <c r="H2234" i="13"/>
  <c r="H2235" i="13"/>
  <c r="H2236" i="13"/>
  <c r="H2237" i="13"/>
  <c r="H2238" i="13"/>
  <c r="H2239" i="13"/>
  <c r="H2240" i="13"/>
  <c r="H2241" i="13"/>
  <c r="H2242" i="13"/>
  <c r="H2243" i="13"/>
  <c r="H2244" i="13"/>
  <c r="H2245" i="13"/>
  <c r="H2246" i="13"/>
  <c r="H2247" i="13"/>
  <c r="H2248" i="13"/>
  <c r="H2249" i="13"/>
  <c r="H2250" i="13"/>
  <c r="H2251" i="13"/>
  <c r="H2252" i="13"/>
  <c r="H2253" i="13"/>
  <c r="H2254" i="13"/>
  <c r="H2255" i="13"/>
  <c r="H2256" i="13"/>
  <c r="H2257" i="13"/>
  <c r="H2258" i="13"/>
  <c r="H2259" i="13"/>
  <c r="H2260" i="13"/>
  <c r="H2261" i="13"/>
  <c r="H2262" i="13"/>
  <c r="H2263" i="13"/>
  <c r="H2264" i="13"/>
  <c r="H2265" i="13"/>
  <c r="H2266" i="13"/>
  <c r="H2267" i="13"/>
  <c r="H2268" i="13"/>
  <c r="H2269" i="13"/>
  <c r="H2270" i="13"/>
  <c r="H2271" i="13"/>
  <c r="H2272" i="13"/>
  <c r="H2273" i="13"/>
  <c r="H2274" i="13"/>
  <c r="H2275" i="13"/>
  <c r="H2276" i="13"/>
  <c r="H2277" i="13"/>
  <c r="H2278" i="13"/>
  <c r="H2279" i="13"/>
  <c r="H2280" i="13"/>
  <c r="H2281" i="13"/>
  <c r="H2282" i="13"/>
  <c r="H2283" i="13"/>
  <c r="H2284" i="13"/>
  <c r="H2285" i="13"/>
  <c r="H2286" i="13"/>
  <c r="H2287" i="13"/>
  <c r="H2288" i="13"/>
  <c r="H2289" i="13"/>
  <c r="H2290" i="13"/>
  <c r="H2291" i="13"/>
  <c r="H2292" i="13"/>
  <c r="H2293" i="13"/>
  <c r="H2294" i="13"/>
  <c r="H2295" i="13"/>
  <c r="H2296" i="13"/>
  <c r="H2297" i="13"/>
  <c r="H2298" i="13"/>
  <c r="H2299" i="13"/>
  <c r="H2300" i="13"/>
  <c r="H2301" i="13"/>
  <c r="H2302" i="13"/>
  <c r="H2303" i="13"/>
  <c r="H2304" i="13"/>
  <c r="H2305" i="13"/>
  <c r="H2306" i="13"/>
  <c r="H2307" i="13"/>
  <c r="H2308" i="13"/>
  <c r="H2309" i="13"/>
  <c r="H2310" i="13"/>
  <c r="H2311" i="13"/>
  <c r="H2312" i="13"/>
  <c r="H2313" i="13"/>
  <c r="H2314" i="13"/>
  <c r="H2315" i="13"/>
  <c r="H2316" i="13"/>
  <c r="H2317" i="13"/>
  <c r="H2318" i="13"/>
  <c r="H2319" i="13"/>
  <c r="H2320" i="13"/>
  <c r="H2321" i="13"/>
  <c r="H2322" i="13"/>
  <c r="H2323" i="13"/>
  <c r="H2324" i="13"/>
  <c r="H2325" i="13"/>
  <c r="H2326" i="13"/>
  <c r="H2327" i="13"/>
  <c r="H2328" i="13"/>
  <c r="H2329" i="13"/>
  <c r="H2330" i="13"/>
  <c r="H2331" i="13"/>
  <c r="H2332" i="13"/>
  <c r="H2333" i="13"/>
  <c r="H2334" i="13"/>
  <c r="H2335" i="13"/>
  <c r="H2336" i="13"/>
  <c r="H2337" i="13"/>
  <c r="H2338" i="13"/>
  <c r="H2339" i="13"/>
  <c r="H2340" i="13"/>
  <c r="H2341" i="13"/>
  <c r="H2342" i="13"/>
  <c r="H2343" i="13"/>
  <c r="H2344" i="13"/>
  <c r="H2345" i="13"/>
  <c r="H2346" i="13"/>
  <c r="H2347" i="13"/>
  <c r="H2348" i="13"/>
  <c r="H2349" i="13"/>
  <c r="H2350" i="13"/>
  <c r="H2351" i="13"/>
  <c r="H2352" i="13"/>
  <c r="H2353" i="13"/>
  <c r="H2354" i="13"/>
  <c r="H2355" i="13"/>
  <c r="H2356" i="13"/>
  <c r="H2357" i="13"/>
  <c r="H2358" i="13"/>
  <c r="H2359" i="13"/>
  <c r="H2360" i="13"/>
  <c r="H2361" i="13"/>
  <c r="H2362" i="13"/>
  <c r="H2363" i="13"/>
  <c r="H2364" i="13"/>
  <c r="H2365" i="13"/>
  <c r="H2366" i="13"/>
  <c r="H2367" i="13"/>
  <c r="H2368" i="13"/>
  <c r="H2369" i="13"/>
  <c r="H2370" i="13"/>
  <c r="H2371" i="13"/>
  <c r="H2372" i="13"/>
  <c r="H2373" i="13"/>
  <c r="H2374" i="13"/>
  <c r="H2375" i="13"/>
  <c r="H2376" i="13"/>
  <c r="H2377" i="13"/>
  <c r="H2378" i="13"/>
  <c r="H2379" i="13"/>
  <c r="H2380" i="13"/>
  <c r="H2381" i="13"/>
  <c r="H2382" i="13"/>
  <c r="H2383" i="13"/>
  <c r="H2384" i="13"/>
  <c r="H2385" i="13"/>
  <c r="H2386" i="13"/>
  <c r="H2387" i="13"/>
  <c r="H2388" i="13"/>
  <c r="H2389" i="13"/>
  <c r="H2390" i="13"/>
  <c r="H2391" i="13"/>
  <c r="H2392" i="13"/>
  <c r="H2393" i="13"/>
  <c r="H2394" i="13"/>
  <c r="H2395" i="13"/>
  <c r="H2396" i="13"/>
  <c r="H2397" i="13"/>
  <c r="H2398" i="13"/>
  <c r="H2399" i="13"/>
  <c r="H2400" i="13"/>
  <c r="H2401" i="13"/>
  <c r="H2402" i="13"/>
  <c r="H2403" i="13"/>
  <c r="H2404" i="13"/>
  <c r="H2405" i="13"/>
  <c r="H2406" i="13"/>
  <c r="H2407" i="13"/>
  <c r="H2408" i="13"/>
  <c r="H2409" i="13"/>
  <c r="H2410" i="13"/>
  <c r="H2411" i="13"/>
  <c r="H2412" i="13"/>
  <c r="H2413" i="13"/>
  <c r="H2414" i="13"/>
  <c r="H2415" i="13"/>
  <c r="H2416" i="13"/>
  <c r="H2417" i="13"/>
  <c r="H2418" i="13"/>
  <c r="H2419" i="13"/>
  <c r="H2420" i="13"/>
  <c r="H2421" i="13"/>
  <c r="H2422" i="13"/>
  <c r="H2423" i="13"/>
  <c r="H2424" i="13"/>
  <c r="H2425" i="13"/>
  <c r="H2426" i="13"/>
  <c r="H2427" i="13"/>
  <c r="H2428" i="13"/>
  <c r="H2429" i="13"/>
  <c r="H2430" i="13"/>
  <c r="H2431" i="13"/>
  <c r="H2432" i="13"/>
  <c r="H2433" i="13"/>
  <c r="H2434" i="13"/>
  <c r="H2435" i="13"/>
  <c r="H2436" i="13"/>
  <c r="H2437" i="13"/>
  <c r="H2438" i="13"/>
  <c r="H2439" i="13"/>
  <c r="H2440" i="13"/>
  <c r="H2441" i="13"/>
  <c r="H2442" i="13"/>
  <c r="H2443" i="13"/>
  <c r="H2444" i="13"/>
  <c r="H2445" i="13"/>
  <c r="H2446" i="13"/>
  <c r="H2447" i="13"/>
  <c r="H2448" i="13"/>
  <c r="H2449" i="13"/>
  <c r="H2450" i="13"/>
  <c r="H2451" i="13"/>
  <c r="H2452" i="13"/>
  <c r="H2453" i="13"/>
  <c r="H2454" i="13"/>
  <c r="H2455" i="13"/>
  <c r="H2456" i="13"/>
  <c r="H2457" i="13"/>
  <c r="H2458" i="13"/>
  <c r="H2459" i="13"/>
  <c r="H2460" i="13"/>
  <c r="H2461" i="13"/>
  <c r="H2462" i="13"/>
  <c r="H2463" i="13"/>
  <c r="H2464" i="13"/>
  <c r="H2465" i="13"/>
  <c r="H2466" i="13"/>
  <c r="H2467" i="13"/>
  <c r="H2468" i="13"/>
  <c r="H2469" i="13"/>
  <c r="H2470" i="13"/>
  <c r="H2471" i="13"/>
  <c r="H2472" i="13"/>
  <c r="H2473" i="13"/>
  <c r="H2474" i="13"/>
  <c r="H2475" i="13"/>
  <c r="H2476" i="13"/>
  <c r="H2477" i="13"/>
  <c r="H2478" i="13"/>
  <c r="H2479" i="13"/>
  <c r="H2480" i="13"/>
  <c r="H2481" i="13"/>
  <c r="H2482" i="13"/>
  <c r="H2483" i="13"/>
  <c r="H2484" i="13"/>
  <c r="H2485" i="13"/>
  <c r="H2486" i="13"/>
  <c r="H2487" i="13"/>
  <c r="H2488" i="13"/>
  <c r="H2489" i="13"/>
  <c r="H2490" i="13"/>
  <c r="H2491" i="13"/>
  <c r="H2492" i="13"/>
  <c r="H2493" i="13"/>
  <c r="H2494" i="13"/>
  <c r="H2495" i="13"/>
  <c r="H2496" i="13"/>
  <c r="H2497" i="13"/>
  <c r="H2498" i="13"/>
  <c r="H2499" i="13"/>
  <c r="H2500" i="13"/>
  <c r="H2501" i="13"/>
  <c r="H2502" i="13"/>
  <c r="H2503" i="13"/>
  <c r="H2504" i="13"/>
  <c r="H2505" i="13"/>
  <c r="H2506" i="13"/>
  <c r="H2507" i="13"/>
  <c r="H2508" i="13"/>
  <c r="H2509" i="13"/>
  <c r="H2510" i="13"/>
  <c r="H2511" i="13"/>
  <c r="H2512" i="13"/>
  <c r="H2513" i="13"/>
  <c r="H2514" i="13"/>
  <c r="H2515" i="13"/>
  <c r="H2516" i="13"/>
  <c r="H2517" i="13"/>
  <c r="H2518" i="13"/>
  <c r="H2519" i="13"/>
  <c r="H2520" i="13"/>
  <c r="H2521" i="13"/>
  <c r="H2522" i="13"/>
  <c r="H2523" i="13"/>
  <c r="H2524" i="13"/>
  <c r="H2525" i="13"/>
  <c r="H2526" i="13"/>
  <c r="H2527" i="13"/>
  <c r="H2528" i="13"/>
  <c r="H2529" i="13"/>
  <c r="H2530" i="13"/>
  <c r="H2531" i="13"/>
  <c r="H2532" i="13"/>
  <c r="H2533" i="13"/>
  <c r="H2534" i="13"/>
  <c r="H2535" i="13"/>
  <c r="H2536" i="13"/>
  <c r="H2537" i="13"/>
  <c r="H2538" i="13"/>
  <c r="H2539" i="13"/>
  <c r="H2540" i="13"/>
  <c r="H2541" i="13"/>
  <c r="H2542" i="13"/>
  <c r="H2543" i="13"/>
  <c r="H2544" i="13"/>
  <c r="H2545" i="13"/>
  <c r="H2546" i="13"/>
  <c r="H2547" i="13"/>
  <c r="H2548" i="13"/>
  <c r="H2549" i="13"/>
  <c r="H2550" i="13"/>
  <c r="H2551" i="13"/>
  <c r="H2552" i="13"/>
  <c r="H2553" i="13"/>
  <c r="H2554" i="13"/>
  <c r="H2555" i="13"/>
  <c r="H2556" i="13"/>
  <c r="H2557" i="13"/>
  <c r="H2558" i="13"/>
  <c r="H2559" i="13"/>
  <c r="H2560" i="13"/>
  <c r="H2561" i="13"/>
  <c r="H2562" i="13"/>
  <c r="H2563" i="13"/>
  <c r="H2564" i="13"/>
  <c r="H2565" i="13"/>
  <c r="H2566" i="13"/>
  <c r="H2567" i="13"/>
  <c r="H2568" i="13"/>
  <c r="H2569" i="13"/>
  <c r="H2570" i="13"/>
  <c r="H2571" i="13"/>
  <c r="H2572" i="13"/>
  <c r="H2573" i="13"/>
  <c r="H2574" i="13"/>
  <c r="H2575" i="13"/>
  <c r="H2576" i="13"/>
  <c r="H2577" i="13"/>
  <c r="H2578" i="13"/>
  <c r="H2579" i="13"/>
  <c r="H2580" i="13"/>
  <c r="H2581" i="13"/>
  <c r="H2582" i="13"/>
  <c r="H2583" i="13"/>
  <c r="H2584" i="13"/>
  <c r="H2585" i="13"/>
  <c r="H2586" i="13"/>
  <c r="H2587" i="13"/>
  <c r="H2588" i="13"/>
  <c r="H2589" i="13"/>
  <c r="H2590" i="13"/>
  <c r="H2591" i="13"/>
  <c r="H2592" i="13"/>
  <c r="H2593" i="13"/>
  <c r="H2594" i="13"/>
  <c r="H2595" i="13"/>
  <c r="H2596" i="13"/>
  <c r="H2597" i="13"/>
  <c r="H2598" i="13"/>
  <c r="H2599" i="13"/>
  <c r="H2600" i="13"/>
  <c r="H2601" i="13"/>
  <c r="H2602" i="13"/>
  <c r="H2603" i="13"/>
  <c r="H2604" i="13"/>
  <c r="H2605" i="13"/>
  <c r="H2606" i="13"/>
  <c r="H2607" i="13"/>
  <c r="H2608" i="13"/>
  <c r="H2609" i="13"/>
  <c r="H2610" i="13"/>
  <c r="H2611" i="13"/>
  <c r="H2612" i="13"/>
  <c r="H2613" i="13"/>
  <c r="H2614" i="13"/>
  <c r="H2615" i="13"/>
  <c r="H2616" i="13"/>
  <c r="H2617" i="13"/>
  <c r="H2618" i="13"/>
  <c r="H2619" i="13"/>
  <c r="H2620" i="13"/>
  <c r="H2621" i="13"/>
  <c r="H2622" i="13"/>
  <c r="H2623" i="13"/>
  <c r="H2624" i="13"/>
  <c r="H2625" i="13"/>
  <c r="H2626" i="13"/>
  <c r="H2627" i="13"/>
  <c r="H2628" i="13"/>
  <c r="H2629" i="13"/>
  <c r="H2630" i="13"/>
  <c r="H2631" i="13"/>
  <c r="H2632" i="13"/>
  <c r="H2633" i="13"/>
  <c r="H2634" i="13"/>
  <c r="H2635" i="13"/>
  <c r="H2636" i="13"/>
  <c r="H2637" i="13"/>
  <c r="H2638" i="13"/>
  <c r="H2639" i="13"/>
  <c r="H2640" i="13"/>
  <c r="H2641" i="13"/>
  <c r="H2642" i="13"/>
  <c r="H2643" i="13"/>
  <c r="H2644" i="13"/>
  <c r="H2645" i="13"/>
  <c r="H2646" i="13"/>
  <c r="H2647" i="13"/>
  <c r="H2648" i="13"/>
  <c r="H2649" i="13"/>
  <c r="H2650" i="13"/>
  <c r="H2651" i="13"/>
  <c r="H2652" i="13"/>
  <c r="H2653" i="13"/>
  <c r="H2654" i="13"/>
  <c r="H2655" i="13"/>
  <c r="H2656" i="13"/>
  <c r="H2657" i="13"/>
  <c r="H2658" i="13"/>
  <c r="H2659" i="13"/>
  <c r="H2660" i="13"/>
  <c r="H2661" i="13"/>
  <c r="H2662" i="13"/>
  <c r="H2663" i="13"/>
  <c r="H2664" i="13"/>
  <c r="H2665" i="13"/>
  <c r="H2666" i="13"/>
  <c r="H2667" i="13"/>
  <c r="H2668" i="13"/>
  <c r="H2669" i="13"/>
  <c r="H2670" i="13"/>
  <c r="H2671" i="13"/>
  <c r="H2672" i="13"/>
  <c r="H2673" i="13"/>
  <c r="H2674" i="13"/>
  <c r="H2675" i="13"/>
  <c r="H2676" i="13"/>
  <c r="H2677" i="13"/>
  <c r="H2678" i="13"/>
  <c r="H2679" i="13"/>
  <c r="H2680" i="13"/>
  <c r="H2681" i="13"/>
  <c r="H2682" i="13"/>
  <c r="H2683" i="13"/>
  <c r="H2684" i="13"/>
  <c r="H2685" i="13"/>
  <c r="H2686" i="13"/>
  <c r="H2687" i="13"/>
  <c r="H2688" i="13"/>
  <c r="H2689" i="13"/>
  <c r="H2690" i="13"/>
  <c r="H2691" i="13"/>
  <c r="H2692" i="13"/>
  <c r="H2693" i="13"/>
  <c r="H2694" i="13"/>
  <c r="H2695" i="13"/>
  <c r="H2696" i="13"/>
  <c r="H2697" i="13"/>
  <c r="H2698" i="13"/>
  <c r="H2699" i="13"/>
  <c r="H2700" i="13"/>
  <c r="H2701" i="13"/>
  <c r="H2702" i="13"/>
  <c r="H2703" i="13"/>
  <c r="H2704" i="13"/>
  <c r="H2705" i="13"/>
  <c r="H2706" i="13"/>
  <c r="H2707" i="13"/>
  <c r="H2708" i="13"/>
  <c r="H2709" i="13"/>
  <c r="H2710" i="13"/>
  <c r="H2711" i="13"/>
  <c r="H2712" i="13"/>
  <c r="H2713" i="13"/>
  <c r="H2714" i="13"/>
  <c r="H2715" i="13"/>
  <c r="H2716" i="13"/>
  <c r="H2717" i="13"/>
  <c r="H2718" i="13"/>
  <c r="H2719" i="13"/>
  <c r="H2720" i="13"/>
  <c r="H2721" i="13"/>
  <c r="H2722" i="13"/>
  <c r="H2723" i="13"/>
  <c r="H2724" i="13"/>
  <c r="H2725" i="13"/>
  <c r="H2726" i="13"/>
  <c r="H2727" i="13"/>
  <c r="H2728" i="13"/>
  <c r="H2729" i="13"/>
  <c r="H2730" i="13"/>
  <c r="H2731" i="13"/>
  <c r="H2732" i="13"/>
  <c r="H2733" i="13"/>
  <c r="H2734" i="13"/>
  <c r="H2735" i="13"/>
  <c r="H2736" i="13"/>
  <c r="H2737" i="13"/>
  <c r="H2738" i="13"/>
  <c r="H2739" i="13"/>
  <c r="H2740" i="13"/>
  <c r="H2741" i="13"/>
  <c r="H2742" i="13"/>
  <c r="H2743" i="13"/>
  <c r="H2744" i="13"/>
  <c r="H2745" i="13"/>
  <c r="H2746" i="13"/>
  <c r="H2747" i="13"/>
  <c r="H2748" i="13"/>
  <c r="H2749" i="13"/>
  <c r="H2750" i="13"/>
  <c r="H2751" i="13"/>
  <c r="H2752" i="13"/>
  <c r="H2753" i="13"/>
  <c r="H2754" i="13"/>
  <c r="H2755" i="13"/>
  <c r="H2756" i="13"/>
  <c r="H2757" i="13"/>
  <c r="H2758" i="13"/>
  <c r="H2759" i="13"/>
  <c r="H2760" i="13"/>
  <c r="H2761" i="13"/>
  <c r="H2762" i="13"/>
  <c r="H2763" i="13"/>
  <c r="H2764" i="13"/>
  <c r="H2765" i="13"/>
  <c r="H2766" i="13"/>
  <c r="H2767" i="13"/>
  <c r="H2768" i="13"/>
  <c r="H2769" i="13"/>
  <c r="H2770" i="13"/>
  <c r="H2771" i="13"/>
  <c r="H2772" i="13"/>
  <c r="H2773" i="13"/>
  <c r="H2774" i="13"/>
  <c r="H2775" i="13"/>
  <c r="H2776" i="13"/>
  <c r="H2777" i="13"/>
  <c r="H2778" i="13"/>
  <c r="H2779" i="13"/>
  <c r="H2780" i="13"/>
  <c r="H2781" i="13"/>
  <c r="H2782" i="13"/>
  <c r="H2783" i="13"/>
  <c r="H2784" i="13"/>
  <c r="H2785" i="13"/>
  <c r="H2786" i="13"/>
  <c r="H2787" i="13"/>
  <c r="H2788" i="13"/>
  <c r="H2789" i="13"/>
  <c r="H2790" i="13"/>
  <c r="H2791" i="13"/>
  <c r="H2792" i="13"/>
  <c r="H2793" i="13"/>
  <c r="H2794" i="13"/>
  <c r="H2795" i="13"/>
  <c r="H2796" i="13"/>
  <c r="H2797" i="13"/>
  <c r="H2798" i="13"/>
  <c r="H2799" i="13"/>
  <c r="H2800" i="13"/>
  <c r="H2801" i="13"/>
  <c r="H2802" i="13"/>
  <c r="H2803" i="13"/>
  <c r="H2804" i="13"/>
  <c r="H2805" i="13"/>
  <c r="H2806" i="13"/>
  <c r="H2807" i="13"/>
  <c r="H2808" i="13"/>
  <c r="H2809" i="13"/>
  <c r="H2810" i="13"/>
  <c r="H2811" i="13"/>
  <c r="H2812" i="13"/>
  <c r="H2813" i="13"/>
  <c r="H2814" i="13"/>
  <c r="H2815" i="13"/>
  <c r="H2816" i="13"/>
  <c r="H2817" i="13"/>
  <c r="H2818" i="13"/>
  <c r="H2819" i="13"/>
  <c r="H2820" i="13"/>
  <c r="H2821" i="13"/>
  <c r="H2822" i="13"/>
  <c r="H2823" i="13"/>
  <c r="H2824" i="13"/>
  <c r="H2825" i="13"/>
  <c r="H2826" i="13"/>
  <c r="H2827" i="13"/>
  <c r="H2828" i="13"/>
  <c r="H2829" i="13"/>
  <c r="H2830" i="13"/>
  <c r="H2831" i="13"/>
  <c r="H2832" i="13"/>
  <c r="H2833" i="13"/>
  <c r="H2834" i="13"/>
  <c r="H2835" i="13"/>
  <c r="H2836" i="13"/>
  <c r="H2837" i="13"/>
  <c r="H2838" i="13"/>
  <c r="H2839" i="13"/>
  <c r="H2840" i="13"/>
  <c r="H2841" i="13"/>
  <c r="H2842" i="13"/>
  <c r="H2843" i="13"/>
  <c r="H2844" i="13"/>
  <c r="H2845" i="13"/>
  <c r="H2846" i="13"/>
  <c r="H2847" i="13"/>
  <c r="H2848" i="13"/>
  <c r="H2849" i="13"/>
  <c r="H2850" i="13"/>
  <c r="H2851" i="13"/>
  <c r="H2852" i="13"/>
  <c r="H2853" i="13"/>
  <c r="H2854" i="13"/>
  <c r="H2855" i="13"/>
  <c r="H2856" i="13"/>
  <c r="H2857" i="13"/>
  <c r="H2858" i="13"/>
  <c r="H2859" i="13"/>
  <c r="H2860" i="13"/>
  <c r="H2861" i="13"/>
  <c r="H2862" i="13"/>
  <c r="H2863" i="13"/>
  <c r="H2864" i="13"/>
  <c r="H2865" i="13"/>
  <c r="H2866" i="13"/>
  <c r="H2867" i="13"/>
  <c r="H2868" i="13"/>
  <c r="H2869" i="13"/>
  <c r="H2870" i="13"/>
  <c r="H2871" i="13"/>
  <c r="H2872" i="13"/>
  <c r="H2873" i="13"/>
  <c r="H2874" i="13"/>
  <c r="H2875" i="13"/>
  <c r="H2876" i="13"/>
  <c r="H2877" i="13"/>
  <c r="H2878" i="13"/>
  <c r="H2879" i="13"/>
  <c r="H2880" i="13"/>
  <c r="H2881" i="13"/>
  <c r="H2882" i="13"/>
  <c r="H2883" i="13"/>
  <c r="H2884" i="13"/>
  <c r="H2885" i="13"/>
  <c r="H2886" i="13"/>
  <c r="H2887" i="13"/>
  <c r="H2888" i="13"/>
  <c r="H2889" i="13"/>
  <c r="H2890" i="13"/>
  <c r="H2891" i="13"/>
  <c r="H2892" i="13"/>
  <c r="H2893" i="13"/>
  <c r="H2894" i="13"/>
  <c r="H2895" i="13"/>
  <c r="H2896" i="13"/>
  <c r="H2897" i="13"/>
  <c r="H2898" i="13"/>
  <c r="H2899" i="13"/>
  <c r="H2900" i="13"/>
  <c r="H2901" i="13"/>
  <c r="H2902" i="13"/>
  <c r="H2903" i="13"/>
  <c r="H2904" i="13"/>
  <c r="H2905" i="13"/>
  <c r="H2906" i="13"/>
  <c r="H2907" i="13"/>
  <c r="H2908" i="13"/>
  <c r="H2909" i="13"/>
  <c r="H2910" i="13"/>
  <c r="H2911" i="13"/>
  <c r="H2912" i="13"/>
  <c r="H2913" i="13"/>
  <c r="H2914" i="13"/>
  <c r="H2915" i="13"/>
  <c r="H2916" i="13"/>
  <c r="H2917" i="13"/>
  <c r="H2918" i="13"/>
  <c r="H2919" i="13"/>
  <c r="H2920" i="13"/>
  <c r="H2921" i="13"/>
  <c r="H2922" i="13"/>
  <c r="H2923" i="13"/>
  <c r="H2924" i="13"/>
  <c r="H2925" i="13"/>
  <c r="H2926" i="13"/>
  <c r="H2927" i="13"/>
  <c r="H2928" i="13"/>
  <c r="H2929" i="13"/>
  <c r="H2930" i="13"/>
  <c r="H2931" i="13"/>
  <c r="H2932" i="13"/>
  <c r="H2933" i="13"/>
  <c r="H2934" i="13"/>
  <c r="H2935" i="13"/>
  <c r="H2936" i="13"/>
  <c r="H2937" i="13"/>
  <c r="H2938" i="13"/>
  <c r="H2939" i="13"/>
  <c r="H2940" i="13"/>
  <c r="H2941" i="13"/>
  <c r="H2942" i="13"/>
  <c r="H2943" i="13"/>
  <c r="H2944" i="13"/>
  <c r="H2945" i="13"/>
  <c r="H2946" i="13"/>
  <c r="H2947" i="13"/>
  <c r="H2948" i="13"/>
  <c r="H2949" i="13"/>
  <c r="H2950" i="13"/>
  <c r="H2951" i="13"/>
  <c r="H2952" i="13"/>
  <c r="H2953" i="13"/>
  <c r="H2954" i="13"/>
  <c r="H2955" i="13"/>
  <c r="H2956" i="13"/>
  <c r="H2957" i="13"/>
  <c r="H2958" i="13"/>
  <c r="H2959" i="13"/>
  <c r="H2960" i="13"/>
  <c r="H2961" i="13"/>
  <c r="H2962" i="13"/>
  <c r="H2963" i="13"/>
  <c r="H2964" i="13"/>
  <c r="H2965" i="13"/>
  <c r="H2966" i="13"/>
  <c r="H2967" i="13"/>
  <c r="H2968" i="13"/>
  <c r="H2969" i="13"/>
  <c r="H2970" i="13"/>
  <c r="H2971" i="13"/>
  <c r="H2972" i="13"/>
  <c r="H2973" i="13"/>
  <c r="H2974" i="13"/>
  <c r="H2975" i="13"/>
  <c r="H2976" i="13"/>
  <c r="H2977" i="13"/>
  <c r="H2978" i="13"/>
  <c r="H2979" i="13"/>
  <c r="H2980" i="13"/>
  <c r="H2981" i="13"/>
  <c r="H2982" i="13"/>
  <c r="H2983" i="13"/>
  <c r="H2984" i="13"/>
  <c r="H2985" i="13"/>
  <c r="H2986" i="13"/>
  <c r="H2987" i="13"/>
  <c r="H2988" i="13"/>
  <c r="H2989" i="13"/>
  <c r="H2990" i="13"/>
  <c r="H2991" i="13"/>
  <c r="H2992" i="13"/>
  <c r="H2993" i="13"/>
  <c r="H2994" i="13"/>
  <c r="H2995" i="13"/>
  <c r="H2996" i="13"/>
  <c r="H2997" i="13"/>
  <c r="H2998" i="13"/>
  <c r="H2999" i="13"/>
  <c r="H3000" i="13"/>
  <c r="H3001" i="13"/>
  <c r="H3002" i="13"/>
  <c r="H3003" i="13"/>
  <c r="H3004" i="13"/>
  <c r="H3005" i="13"/>
  <c r="H3006" i="13"/>
  <c r="H3007" i="13"/>
  <c r="H3008" i="13"/>
  <c r="H3009" i="13"/>
  <c r="H3010" i="13"/>
  <c r="H3011" i="13"/>
  <c r="H3012" i="13"/>
  <c r="H3013" i="13"/>
  <c r="H3014" i="13"/>
  <c r="H3015" i="13"/>
  <c r="H3016" i="13"/>
  <c r="H3017" i="13"/>
  <c r="H3018" i="13"/>
  <c r="H3019" i="13"/>
  <c r="H3020" i="13"/>
  <c r="H3021" i="13"/>
  <c r="H3022" i="13"/>
  <c r="H3023" i="13"/>
  <c r="H3024" i="13"/>
  <c r="H3025" i="13"/>
  <c r="H3026" i="13"/>
  <c r="H3027" i="13"/>
  <c r="H3028" i="13"/>
  <c r="H3029" i="13"/>
  <c r="H3030" i="13"/>
  <c r="H3031" i="13"/>
  <c r="H3032" i="13"/>
  <c r="H3033" i="13"/>
  <c r="H3034" i="13"/>
  <c r="H3035" i="13"/>
  <c r="H3036" i="13"/>
  <c r="H3037" i="13"/>
  <c r="H3038" i="13"/>
  <c r="H3039" i="13"/>
  <c r="H3040" i="13"/>
  <c r="H3041" i="13"/>
  <c r="H3042" i="13"/>
  <c r="H3043" i="13"/>
  <c r="H3044" i="13"/>
  <c r="H3045" i="13"/>
  <c r="H3046" i="13"/>
  <c r="H3047" i="13"/>
  <c r="H3048" i="13"/>
  <c r="H3049" i="13"/>
  <c r="H3050" i="13"/>
  <c r="H3051" i="13"/>
  <c r="H3052" i="13"/>
  <c r="H3053" i="13"/>
  <c r="H3054" i="13"/>
  <c r="H3055" i="13"/>
  <c r="H3056" i="13"/>
  <c r="H3057" i="13"/>
  <c r="H3058" i="13"/>
  <c r="H3059" i="13"/>
  <c r="H3060" i="13"/>
  <c r="H3061" i="13"/>
  <c r="H3062" i="13"/>
  <c r="H3063" i="13"/>
  <c r="H3064" i="13"/>
  <c r="H3065" i="13"/>
  <c r="H3066" i="13"/>
  <c r="H3067" i="13"/>
  <c r="H3068" i="13"/>
  <c r="H3069" i="13"/>
  <c r="H3070" i="13"/>
  <c r="H3071" i="13"/>
  <c r="H3072" i="13"/>
  <c r="H3073" i="13"/>
  <c r="H3074" i="13"/>
  <c r="H3075" i="13"/>
  <c r="H3076" i="13"/>
  <c r="H3077" i="13"/>
  <c r="H3078" i="13"/>
  <c r="H3079" i="13"/>
  <c r="H3080" i="13"/>
  <c r="H3081" i="13"/>
  <c r="H3082" i="13"/>
  <c r="H3083" i="13"/>
  <c r="H3084" i="13"/>
  <c r="H3085" i="13"/>
  <c r="H3086" i="13"/>
  <c r="H3087" i="13"/>
  <c r="H3088" i="13"/>
  <c r="H3089" i="13"/>
  <c r="H3090" i="13"/>
  <c r="H3091" i="13"/>
  <c r="H3092" i="13"/>
  <c r="H3093" i="13"/>
  <c r="H3094" i="13"/>
  <c r="H3095" i="13"/>
  <c r="H3096" i="13"/>
  <c r="H3097" i="13"/>
  <c r="H3098" i="13"/>
  <c r="H3099" i="13"/>
  <c r="H3100" i="13"/>
  <c r="H3101" i="13"/>
  <c r="H3102" i="13"/>
  <c r="H3103" i="13"/>
  <c r="H3104" i="13"/>
  <c r="H3105" i="13"/>
  <c r="H3106" i="13"/>
  <c r="H3107" i="13"/>
  <c r="H3108" i="13"/>
  <c r="H3109" i="13"/>
  <c r="H3110" i="13"/>
  <c r="H3111" i="13"/>
  <c r="H3112" i="13"/>
  <c r="H3113" i="13"/>
  <c r="H3114" i="13"/>
  <c r="H3115" i="13"/>
  <c r="H3116" i="13"/>
  <c r="H3117" i="13"/>
  <c r="H3118" i="13"/>
  <c r="H3119" i="13"/>
  <c r="H3120" i="13"/>
  <c r="H3121" i="13"/>
  <c r="H3122" i="13"/>
  <c r="H3123" i="13"/>
  <c r="H3124" i="13"/>
  <c r="H3125" i="13"/>
  <c r="H3126" i="13"/>
  <c r="H3127" i="13"/>
  <c r="H3128" i="13"/>
  <c r="H3129" i="13"/>
  <c r="H3130" i="13"/>
  <c r="H3131" i="13"/>
  <c r="H3132" i="13"/>
  <c r="H3133" i="13"/>
  <c r="H3134" i="13"/>
  <c r="H3135" i="13"/>
  <c r="H3136" i="13"/>
  <c r="H3137" i="13"/>
  <c r="H3138" i="13"/>
  <c r="H3139" i="13"/>
  <c r="H3140" i="13"/>
  <c r="H3141" i="13"/>
  <c r="H3142" i="13"/>
  <c r="H3143" i="13"/>
  <c r="H3144" i="13"/>
  <c r="H3145" i="13"/>
  <c r="H3146" i="13"/>
  <c r="H3147" i="13"/>
  <c r="H3148" i="13"/>
  <c r="H3149" i="13"/>
  <c r="H3150" i="13"/>
  <c r="H3151" i="13"/>
  <c r="H3152" i="13"/>
  <c r="H3153" i="13"/>
  <c r="H3154" i="13"/>
  <c r="H3155" i="13"/>
  <c r="H3156" i="13"/>
  <c r="H3157" i="13"/>
  <c r="H3158" i="13"/>
  <c r="H3159" i="13"/>
  <c r="H3160" i="13"/>
  <c r="H3161" i="13"/>
  <c r="H3162" i="13"/>
  <c r="H3163" i="13"/>
  <c r="H3164" i="13"/>
  <c r="H3165" i="13"/>
  <c r="H3166" i="13"/>
  <c r="H3167" i="13"/>
  <c r="H3168" i="13"/>
  <c r="H3169" i="13"/>
  <c r="H3170" i="13"/>
  <c r="H3171" i="13"/>
  <c r="H3172" i="13"/>
  <c r="H3173" i="13"/>
  <c r="H3174" i="13"/>
  <c r="H3175" i="13"/>
  <c r="H3176" i="13"/>
  <c r="H3177" i="13"/>
  <c r="H3178" i="13"/>
  <c r="H3179" i="13"/>
  <c r="H3180" i="13"/>
  <c r="H3181" i="13"/>
  <c r="H3182" i="13"/>
  <c r="H3183" i="13"/>
  <c r="H3184" i="13"/>
  <c r="H3185" i="13"/>
  <c r="H3186" i="13"/>
  <c r="H3187" i="13"/>
  <c r="H3188" i="13"/>
  <c r="H3189" i="13"/>
  <c r="H3190" i="13"/>
  <c r="H3191" i="13"/>
  <c r="H3192" i="13"/>
  <c r="H3193" i="13"/>
  <c r="H3194" i="13"/>
  <c r="H3195" i="13"/>
  <c r="H3196" i="13"/>
  <c r="H3197" i="13"/>
  <c r="H3198" i="13"/>
  <c r="H3199" i="13"/>
  <c r="H3200" i="13"/>
  <c r="H3201" i="13"/>
  <c r="H3202" i="13"/>
  <c r="H3203" i="13"/>
  <c r="H3204" i="13"/>
  <c r="H3205" i="13"/>
  <c r="H3206" i="13"/>
  <c r="H3207" i="13"/>
  <c r="H3208" i="13"/>
  <c r="H3209" i="13"/>
  <c r="H3210" i="13"/>
  <c r="H3211" i="13"/>
  <c r="H3212" i="13"/>
  <c r="H3213" i="13"/>
  <c r="H3214" i="13"/>
  <c r="H3215" i="13"/>
  <c r="H3216" i="13"/>
  <c r="H3217" i="13"/>
  <c r="H3218" i="13"/>
  <c r="H3219" i="13"/>
  <c r="H3220" i="13"/>
  <c r="H3221" i="13"/>
  <c r="H3222" i="13"/>
  <c r="H3223" i="13"/>
  <c r="H3224" i="13"/>
  <c r="H3225" i="13"/>
  <c r="H3226" i="13"/>
  <c r="H3227" i="13"/>
  <c r="H3228" i="13"/>
  <c r="H3229" i="13"/>
  <c r="H3230" i="13"/>
  <c r="H3231" i="13"/>
  <c r="H3232" i="13"/>
  <c r="H3233" i="13"/>
  <c r="H3234" i="13"/>
  <c r="H3235" i="13"/>
  <c r="H3236" i="13"/>
  <c r="H3237" i="13"/>
  <c r="H3238" i="13"/>
  <c r="H3239" i="13"/>
  <c r="H3240" i="13"/>
  <c r="H3241" i="13"/>
  <c r="H3242" i="13"/>
  <c r="H3243" i="13"/>
  <c r="H3244" i="13"/>
  <c r="H3245" i="13"/>
  <c r="H3246" i="13"/>
  <c r="H3247" i="13"/>
  <c r="H3248" i="13"/>
  <c r="H3249" i="13"/>
  <c r="H3250" i="13"/>
  <c r="H3251" i="13"/>
  <c r="H3252" i="13"/>
  <c r="H3253" i="13"/>
  <c r="H3254" i="13"/>
  <c r="H3255" i="13"/>
  <c r="H3256" i="13"/>
  <c r="H3257" i="13"/>
  <c r="H3258" i="13"/>
  <c r="H3259" i="13"/>
  <c r="H3260" i="13"/>
  <c r="H3261" i="13"/>
  <c r="H3262" i="13"/>
  <c r="H3263" i="13"/>
  <c r="H3264" i="13"/>
  <c r="H3265" i="13"/>
  <c r="H3266" i="13"/>
  <c r="H3267" i="13"/>
  <c r="H3268" i="13"/>
  <c r="H3269" i="13"/>
  <c r="H3270" i="13"/>
  <c r="H3271" i="13"/>
  <c r="H3272" i="13"/>
  <c r="H3273" i="13"/>
  <c r="H3274" i="13"/>
  <c r="H3275" i="13"/>
  <c r="H3276" i="13"/>
  <c r="H3277" i="13"/>
  <c r="H3278" i="13"/>
  <c r="H3279" i="13"/>
  <c r="H3280" i="13"/>
  <c r="H3281" i="13"/>
  <c r="H3282" i="13"/>
  <c r="H3283" i="13"/>
  <c r="H3284" i="13"/>
  <c r="H3285" i="13"/>
  <c r="H3286" i="13"/>
  <c r="H3287" i="13"/>
  <c r="H3288" i="13"/>
  <c r="H3289" i="13"/>
  <c r="H3290" i="13"/>
  <c r="H3291" i="13"/>
  <c r="H3292" i="13"/>
  <c r="H3293" i="13"/>
  <c r="H3294" i="13"/>
  <c r="H3295" i="13"/>
  <c r="H3296" i="13"/>
  <c r="H3297" i="13"/>
  <c r="H3298" i="13"/>
  <c r="H3299" i="13"/>
  <c r="H3300" i="13"/>
  <c r="H3301" i="13"/>
  <c r="H3302" i="13"/>
  <c r="H3303" i="13"/>
  <c r="H3304" i="13"/>
  <c r="H3305" i="13"/>
  <c r="H3306" i="13"/>
  <c r="H3307" i="13"/>
  <c r="H3308" i="13"/>
  <c r="H3309" i="13"/>
  <c r="H3310" i="13"/>
  <c r="H3311" i="13"/>
  <c r="H3312" i="13"/>
  <c r="H3313" i="13"/>
  <c r="H3314" i="13"/>
  <c r="H3315" i="13"/>
  <c r="H3316" i="13"/>
  <c r="H3317" i="13"/>
  <c r="H3318" i="13"/>
  <c r="H3319" i="13"/>
  <c r="H3320" i="13"/>
  <c r="H3321" i="13"/>
  <c r="H3322" i="13"/>
  <c r="H3323" i="13"/>
  <c r="H3324" i="13"/>
  <c r="H3325" i="13"/>
  <c r="H3326" i="13"/>
  <c r="H3327" i="13"/>
  <c r="H3328" i="13"/>
  <c r="H3329" i="13"/>
  <c r="H3330" i="13"/>
  <c r="H3331" i="13"/>
  <c r="H3332" i="13"/>
  <c r="H3333" i="13"/>
  <c r="H3334" i="13"/>
  <c r="H3335" i="13"/>
  <c r="H3336" i="13"/>
  <c r="H3337" i="13"/>
  <c r="H3338" i="13"/>
  <c r="H3339" i="13"/>
  <c r="H3340" i="13"/>
  <c r="H3341" i="13"/>
  <c r="H3342" i="13"/>
  <c r="H3343" i="13"/>
  <c r="H3344" i="13"/>
  <c r="H3345" i="13"/>
  <c r="H3346" i="13"/>
  <c r="H3347" i="13"/>
  <c r="H3348" i="13"/>
  <c r="H3349" i="13"/>
  <c r="H3350" i="13"/>
  <c r="H3351" i="13"/>
  <c r="H3352" i="13"/>
  <c r="H3353" i="13"/>
  <c r="H3354" i="13"/>
  <c r="H3355" i="13"/>
  <c r="H3356" i="13"/>
  <c r="H3357" i="13"/>
  <c r="H3358" i="13"/>
  <c r="H3359" i="13"/>
  <c r="H3360" i="13"/>
  <c r="H3361" i="13"/>
  <c r="H3362" i="13"/>
  <c r="H3363" i="13"/>
  <c r="H3364" i="13"/>
  <c r="H3365" i="13"/>
  <c r="H3366" i="13"/>
  <c r="H3367" i="13"/>
  <c r="H3368" i="13"/>
  <c r="H3369" i="13"/>
  <c r="H3370" i="13"/>
  <c r="H3371" i="13"/>
  <c r="H3372" i="13"/>
  <c r="H3373" i="13"/>
  <c r="H3374" i="13"/>
  <c r="H3375" i="13"/>
  <c r="H3376" i="13"/>
  <c r="H3377" i="13"/>
  <c r="H3378" i="13"/>
  <c r="H3379" i="13"/>
  <c r="H3380" i="13"/>
  <c r="H3381" i="13"/>
  <c r="H3382" i="13"/>
  <c r="H3383" i="13"/>
  <c r="H3384" i="13"/>
  <c r="H3385" i="13"/>
  <c r="H3386" i="13"/>
  <c r="H3387" i="13"/>
  <c r="H3388" i="13"/>
  <c r="H3389" i="13"/>
  <c r="H3390" i="13"/>
  <c r="H3391" i="13"/>
  <c r="H3392" i="13"/>
  <c r="H3393" i="13"/>
  <c r="H3394" i="13"/>
  <c r="H3395" i="13"/>
  <c r="H3396" i="13"/>
  <c r="H3397" i="13"/>
  <c r="H3398" i="13"/>
  <c r="H3399" i="13"/>
  <c r="H3400" i="13"/>
  <c r="H3401" i="13"/>
  <c r="H3402" i="13"/>
  <c r="H3403" i="13"/>
  <c r="H3404" i="13"/>
  <c r="H3405" i="13"/>
  <c r="H3406" i="13"/>
  <c r="H3407" i="13"/>
  <c r="H3408" i="13"/>
  <c r="H3409" i="13"/>
  <c r="H3410" i="13"/>
  <c r="H3411" i="13"/>
  <c r="H3412" i="13"/>
  <c r="H3413" i="13"/>
  <c r="H3414" i="13"/>
  <c r="H3415" i="13"/>
  <c r="H3416" i="13"/>
  <c r="H3417" i="13"/>
  <c r="H3418" i="13"/>
  <c r="H3419" i="13"/>
  <c r="H3420" i="13"/>
  <c r="H3421" i="13"/>
  <c r="H3422" i="13"/>
  <c r="H3423" i="13"/>
  <c r="H3424" i="13"/>
  <c r="H3425" i="13"/>
  <c r="H3426" i="13"/>
  <c r="H3427" i="13"/>
  <c r="H3428" i="13"/>
  <c r="H3429" i="13"/>
  <c r="H3430" i="13"/>
  <c r="H3431" i="13"/>
  <c r="H3432" i="13"/>
  <c r="H3433" i="13"/>
  <c r="H3434" i="13"/>
  <c r="H3435" i="13"/>
  <c r="H3436" i="13"/>
  <c r="H3437" i="13"/>
  <c r="H3438" i="13"/>
  <c r="H3439" i="13"/>
  <c r="H3440" i="13"/>
  <c r="H3441" i="13"/>
  <c r="H3442" i="13"/>
  <c r="H3443" i="13"/>
  <c r="H3444" i="13"/>
  <c r="H3445" i="13"/>
  <c r="H3446" i="13"/>
  <c r="H3447" i="13"/>
  <c r="H3448" i="13"/>
  <c r="H3449" i="13"/>
  <c r="H3450" i="13"/>
  <c r="H3451" i="13"/>
  <c r="H3452" i="13"/>
  <c r="H3453" i="13"/>
  <c r="H3454" i="13"/>
  <c r="H3455" i="13"/>
  <c r="H3456" i="13"/>
  <c r="H3457" i="13"/>
  <c r="H3458" i="13"/>
  <c r="H3459" i="13"/>
  <c r="H3460" i="13"/>
  <c r="H3461" i="13"/>
  <c r="H3462" i="13"/>
  <c r="H3463" i="13"/>
  <c r="H3464" i="13"/>
  <c r="H3465" i="13"/>
  <c r="H3466" i="13"/>
  <c r="H3467" i="13"/>
  <c r="H3468" i="13"/>
  <c r="H3469" i="13"/>
  <c r="H3470" i="13"/>
  <c r="H3471" i="13"/>
  <c r="H3472" i="13"/>
  <c r="H3473" i="13"/>
  <c r="H3474" i="13"/>
  <c r="H3475" i="13"/>
  <c r="H3476" i="13"/>
  <c r="H3477" i="13"/>
  <c r="H3478" i="13"/>
  <c r="H3479" i="13"/>
  <c r="H3480" i="13"/>
  <c r="H3481" i="13"/>
  <c r="H3482" i="13"/>
  <c r="H3483" i="13"/>
  <c r="H3484" i="13"/>
  <c r="H3485" i="13"/>
  <c r="H3486" i="13"/>
  <c r="H3487" i="13"/>
  <c r="H3488" i="13"/>
  <c r="H3489" i="13"/>
  <c r="H3490" i="13"/>
  <c r="H3491" i="13"/>
  <c r="H3492" i="13"/>
  <c r="H3493" i="13"/>
  <c r="H3494" i="13"/>
  <c r="H3495" i="13"/>
  <c r="H3496" i="13"/>
  <c r="H3497" i="13"/>
  <c r="H3498" i="13"/>
  <c r="H3499" i="13"/>
  <c r="H3500" i="13"/>
  <c r="H3501" i="13"/>
  <c r="H3502" i="13"/>
  <c r="H3503" i="13"/>
  <c r="H3504" i="13"/>
  <c r="H3505" i="13"/>
  <c r="H3506" i="13"/>
  <c r="H3507" i="13"/>
  <c r="H3508" i="13"/>
  <c r="H3509" i="13"/>
  <c r="H3510" i="13"/>
  <c r="H3511" i="13"/>
  <c r="H3512" i="13"/>
  <c r="H3513" i="13"/>
  <c r="H3514" i="13"/>
  <c r="H3515" i="13"/>
  <c r="H3516" i="13"/>
  <c r="H3517" i="13"/>
  <c r="H3518" i="13"/>
  <c r="H3519" i="13"/>
  <c r="H3520" i="13"/>
  <c r="H3521" i="13"/>
  <c r="H3522" i="13"/>
  <c r="H3523" i="13"/>
  <c r="H3524" i="13"/>
  <c r="H3525" i="13"/>
  <c r="H3526" i="13"/>
  <c r="H3527" i="13"/>
  <c r="H3528" i="13"/>
  <c r="H3529" i="13"/>
  <c r="H3530" i="13"/>
  <c r="H3531" i="13"/>
  <c r="H3532" i="13"/>
  <c r="H3533" i="13"/>
  <c r="H3534" i="13"/>
  <c r="H3535" i="13"/>
  <c r="H3536" i="13"/>
  <c r="H3537" i="13"/>
  <c r="H3538" i="13"/>
  <c r="H3539" i="13"/>
  <c r="H3540" i="13"/>
  <c r="H3541" i="13"/>
  <c r="H3542" i="13"/>
  <c r="H3543" i="13"/>
  <c r="H3544" i="13"/>
  <c r="H3545" i="13"/>
  <c r="H3546" i="13"/>
  <c r="H3547" i="13"/>
  <c r="H3548" i="13"/>
  <c r="H3549" i="13"/>
  <c r="H3550" i="13"/>
  <c r="H3551" i="13"/>
  <c r="H3552" i="13"/>
  <c r="H3553" i="13"/>
  <c r="H3554" i="13"/>
  <c r="H3555" i="13"/>
  <c r="H3556" i="13"/>
  <c r="H3557" i="13"/>
  <c r="H3558" i="13"/>
  <c r="H3559" i="13"/>
  <c r="H3560" i="13"/>
  <c r="H3561" i="13"/>
  <c r="H3562" i="13"/>
  <c r="H3563" i="13"/>
  <c r="H3564" i="13"/>
  <c r="H3565" i="13"/>
  <c r="H3566" i="13"/>
  <c r="H3567" i="13"/>
  <c r="H3568" i="13"/>
  <c r="H3569" i="13"/>
  <c r="H3570" i="13"/>
  <c r="H3571" i="13"/>
  <c r="H3572" i="13"/>
  <c r="H3573" i="13"/>
  <c r="H3574" i="13"/>
  <c r="H3575" i="13"/>
  <c r="H3576" i="13"/>
  <c r="H3577" i="13"/>
  <c r="H3578" i="13"/>
  <c r="H3579" i="13"/>
  <c r="H3580" i="13"/>
  <c r="H3581" i="13"/>
  <c r="H3582" i="13"/>
  <c r="H3583" i="13"/>
  <c r="H3584" i="13"/>
  <c r="H3585" i="13"/>
  <c r="H3586" i="13"/>
  <c r="H3587" i="13"/>
  <c r="H3588" i="13"/>
  <c r="H3589" i="13"/>
  <c r="H3590" i="13"/>
  <c r="H3591" i="13"/>
  <c r="H3592" i="13"/>
  <c r="H3593" i="13"/>
  <c r="H3594" i="13"/>
  <c r="H3595" i="13"/>
  <c r="H3596" i="13"/>
  <c r="H3597" i="13"/>
  <c r="H3598" i="13"/>
  <c r="H3599" i="13"/>
  <c r="H3600" i="13"/>
  <c r="H3601" i="13"/>
  <c r="H3602" i="13"/>
  <c r="H3603" i="13"/>
  <c r="H3604" i="13"/>
  <c r="H3605" i="13"/>
  <c r="H3606" i="13"/>
  <c r="H3607" i="13"/>
  <c r="H3608" i="13"/>
  <c r="H3609" i="13"/>
  <c r="H3610" i="13"/>
  <c r="H3611" i="13"/>
  <c r="H3612" i="13"/>
  <c r="H3613" i="13"/>
  <c r="H3614" i="13"/>
  <c r="H3615" i="13"/>
  <c r="H3616" i="13"/>
  <c r="H3617" i="13"/>
  <c r="H3618" i="13"/>
  <c r="H3619" i="13"/>
  <c r="H3620" i="13"/>
  <c r="H3621" i="13"/>
  <c r="H3622" i="13"/>
  <c r="H3623" i="13"/>
  <c r="H3624" i="13"/>
  <c r="H3625" i="13"/>
  <c r="H3626" i="13"/>
  <c r="H3627" i="13"/>
  <c r="H3628" i="13"/>
  <c r="H3629" i="13"/>
  <c r="H3630" i="13"/>
  <c r="H3631" i="13"/>
  <c r="H3632" i="13"/>
  <c r="H3633" i="13"/>
  <c r="H3634" i="13"/>
  <c r="H3635" i="13"/>
  <c r="H3636" i="13"/>
  <c r="H3637" i="13"/>
  <c r="H3638" i="13"/>
  <c r="H3639" i="13"/>
  <c r="H3640" i="13"/>
  <c r="H3641" i="13"/>
  <c r="H3642" i="13"/>
  <c r="H3643" i="13"/>
  <c r="H3644" i="13"/>
  <c r="H3645" i="13"/>
  <c r="H3646" i="13"/>
  <c r="H3647" i="13"/>
  <c r="H3648" i="13"/>
  <c r="H3649" i="13"/>
  <c r="H3650" i="13"/>
  <c r="H3651" i="13"/>
  <c r="H3652" i="13"/>
  <c r="H3653" i="13"/>
  <c r="H3654" i="13"/>
  <c r="H3655" i="13"/>
  <c r="H3656" i="13"/>
  <c r="H3657" i="13"/>
  <c r="H3658" i="13"/>
  <c r="H3659" i="13"/>
  <c r="H3660" i="13"/>
  <c r="H3661" i="13"/>
  <c r="H3662" i="13"/>
  <c r="H3663" i="13"/>
  <c r="H3664" i="13"/>
  <c r="H3665" i="13"/>
  <c r="H3666" i="13"/>
  <c r="H3667" i="13"/>
  <c r="H3668" i="13"/>
  <c r="H3669" i="13"/>
  <c r="H3670" i="13"/>
  <c r="H3671" i="13"/>
  <c r="H3672" i="13"/>
  <c r="H3673" i="13"/>
  <c r="H3674" i="13"/>
  <c r="H3675" i="13"/>
  <c r="H3676" i="13"/>
  <c r="H3677" i="13"/>
  <c r="H3678" i="13"/>
  <c r="H3679" i="13"/>
  <c r="H3680" i="13"/>
  <c r="H3681" i="13"/>
  <c r="H3682" i="13"/>
  <c r="H3683" i="13"/>
  <c r="H3684" i="13"/>
  <c r="H3685" i="13"/>
  <c r="H3686" i="13"/>
  <c r="H3687" i="13"/>
  <c r="H3688" i="13"/>
  <c r="H3689" i="13"/>
  <c r="H3690" i="13"/>
  <c r="H3691" i="13"/>
  <c r="H3692" i="13"/>
  <c r="H3693" i="13"/>
  <c r="H3694" i="13"/>
  <c r="H3695" i="13"/>
  <c r="H3696" i="13"/>
  <c r="H3697" i="13"/>
  <c r="H3698" i="13"/>
  <c r="H3699" i="13"/>
  <c r="H3700" i="13"/>
  <c r="H3701" i="13"/>
  <c r="H3702" i="13"/>
  <c r="H3703" i="13"/>
  <c r="H3704" i="13"/>
  <c r="H3705" i="13"/>
  <c r="H3706" i="13"/>
  <c r="H3707" i="13"/>
  <c r="H3708" i="13"/>
  <c r="H3709" i="13"/>
  <c r="H3710" i="13"/>
  <c r="H3711" i="13"/>
  <c r="H3712" i="13"/>
  <c r="H3713" i="13"/>
  <c r="H3714" i="13"/>
  <c r="H3715" i="13"/>
  <c r="H3716" i="13"/>
  <c r="H3717" i="13"/>
  <c r="H3718" i="13"/>
  <c r="H3719" i="13"/>
  <c r="H3720" i="13"/>
  <c r="H3721" i="13"/>
  <c r="H3722" i="13"/>
  <c r="H3723" i="13"/>
  <c r="H3724" i="13"/>
  <c r="H3725" i="13"/>
  <c r="H3726" i="13"/>
  <c r="H3727" i="13"/>
  <c r="H3728" i="13"/>
  <c r="H3729" i="13"/>
  <c r="H3730" i="13"/>
  <c r="H3731" i="13"/>
  <c r="H3732" i="13"/>
  <c r="H3733" i="13"/>
  <c r="H3734" i="13"/>
  <c r="H3735" i="13"/>
  <c r="H3736" i="13"/>
  <c r="H3737" i="13"/>
  <c r="H3738" i="13"/>
  <c r="H3739" i="13"/>
  <c r="H3740" i="13"/>
  <c r="H3741" i="13"/>
  <c r="H3742" i="13"/>
  <c r="H3743" i="13"/>
  <c r="H3744" i="13"/>
  <c r="H3745" i="13"/>
  <c r="H3746" i="13"/>
  <c r="H3747" i="13"/>
  <c r="H3748" i="13"/>
  <c r="H3749" i="13"/>
  <c r="H3750" i="13"/>
  <c r="H3751" i="13"/>
  <c r="H3752" i="13"/>
  <c r="H3753" i="13"/>
  <c r="H3754" i="13"/>
  <c r="H3755" i="13"/>
  <c r="H3756" i="13"/>
  <c r="H3757" i="13"/>
  <c r="H3758" i="13"/>
  <c r="H3759" i="13"/>
  <c r="H3760" i="13"/>
  <c r="H3761" i="13"/>
  <c r="H3762" i="13"/>
  <c r="H3763" i="13"/>
  <c r="H3764" i="13"/>
  <c r="H3765" i="13"/>
  <c r="H3766" i="13"/>
  <c r="H3767" i="13"/>
  <c r="H3768" i="13"/>
  <c r="H3769" i="13"/>
  <c r="H3770" i="13"/>
  <c r="H3771" i="13"/>
  <c r="H3772" i="13"/>
  <c r="H3773" i="13"/>
  <c r="H3774" i="13"/>
  <c r="H3775" i="13"/>
  <c r="H3776" i="13"/>
  <c r="H3777" i="13"/>
  <c r="H3778" i="13"/>
  <c r="H3779" i="13"/>
  <c r="H3780" i="13"/>
  <c r="H3781" i="13"/>
  <c r="H3782" i="13"/>
  <c r="H3783" i="13"/>
  <c r="H3784" i="13"/>
  <c r="H3785" i="13"/>
  <c r="H3786" i="13"/>
  <c r="H3787" i="13"/>
  <c r="H3788" i="13"/>
  <c r="H3789" i="13"/>
  <c r="H3790" i="13"/>
  <c r="H3791" i="13"/>
  <c r="H3792" i="13"/>
  <c r="H3793" i="13"/>
  <c r="H3794" i="13"/>
  <c r="H3795" i="13"/>
  <c r="H3796" i="13"/>
  <c r="H3797" i="13"/>
  <c r="H3798" i="13"/>
  <c r="H3799" i="13"/>
  <c r="H3800" i="13"/>
  <c r="H3801" i="13"/>
  <c r="H3802" i="13"/>
  <c r="H3803" i="13"/>
  <c r="H3804" i="13"/>
  <c r="H3805" i="13"/>
  <c r="H3806" i="13"/>
  <c r="H3807" i="13"/>
  <c r="H3808" i="13"/>
  <c r="H3809" i="13"/>
  <c r="H3810" i="13"/>
  <c r="H3811" i="13"/>
  <c r="H3812" i="13"/>
  <c r="H3813" i="13"/>
  <c r="H3814" i="13"/>
  <c r="H3815" i="13"/>
  <c r="H3816" i="13"/>
  <c r="H3817" i="13"/>
  <c r="H3818" i="13"/>
  <c r="H3819" i="13"/>
  <c r="H3820" i="13"/>
  <c r="H3821" i="13"/>
  <c r="H3822" i="13"/>
  <c r="H3823" i="13"/>
  <c r="H3824" i="13"/>
  <c r="H3825" i="13"/>
  <c r="H3826" i="13"/>
  <c r="H3827" i="13"/>
  <c r="H3828" i="13"/>
  <c r="H3829" i="13"/>
  <c r="H3830" i="13"/>
  <c r="H3831" i="13"/>
  <c r="H3832" i="13"/>
  <c r="H3833" i="13"/>
  <c r="H3834" i="13"/>
  <c r="H3835" i="13"/>
  <c r="H3836" i="13"/>
  <c r="H3837" i="13"/>
  <c r="H3838" i="13"/>
  <c r="H3839" i="13"/>
  <c r="H3840" i="13"/>
  <c r="H3841" i="13"/>
  <c r="H3842" i="13"/>
  <c r="H3843" i="13"/>
  <c r="H3844" i="13"/>
  <c r="H3845" i="13"/>
  <c r="H3846" i="13"/>
  <c r="H3847" i="13"/>
  <c r="H3848" i="13"/>
  <c r="H3849" i="13"/>
  <c r="H3850" i="13"/>
  <c r="H3851" i="13"/>
  <c r="H3852" i="13"/>
  <c r="H3853" i="13"/>
  <c r="H3854" i="13"/>
  <c r="H3855" i="13"/>
  <c r="H3856" i="13"/>
  <c r="H3857" i="13"/>
  <c r="H3858" i="13"/>
  <c r="H3859" i="13"/>
  <c r="H3860" i="13"/>
  <c r="H3861" i="13"/>
  <c r="H3862" i="13"/>
  <c r="H3863" i="13"/>
  <c r="H3864" i="13"/>
  <c r="H3865" i="13"/>
  <c r="H3866" i="13"/>
  <c r="H3867" i="13"/>
  <c r="H3868" i="13"/>
  <c r="H3869" i="13"/>
  <c r="H3870" i="13"/>
  <c r="H3871" i="13"/>
  <c r="H3872" i="13"/>
  <c r="H3873" i="13"/>
  <c r="H3874" i="13"/>
  <c r="H3875" i="13"/>
  <c r="H3876" i="13"/>
  <c r="H3877" i="13"/>
  <c r="H3878" i="13"/>
  <c r="H3879" i="13"/>
  <c r="H3880" i="13"/>
  <c r="H3881" i="13"/>
  <c r="H3882" i="13"/>
  <c r="H3883" i="13"/>
  <c r="H3884" i="13"/>
  <c r="H3885" i="13"/>
  <c r="H3886" i="13"/>
  <c r="H3887" i="13"/>
  <c r="H3888" i="13"/>
  <c r="H3889" i="13"/>
  <c r="H3890" i="13"/>
  <c r="H3891" i="13"/>
  <c r="H3892" i="13"/>
  <c r="H3893" i="13"/>
  <c r="H3894" i="13"/>
  <c r="H3895" i="13"/>
  <c r="H3896" i="13"/>
  <c r="H3897" i="13"/>
  <c r="H3898" i="13"/>
  <c r="H3899" i="13"/>
  <c r="H3900" i="13"/>
  <c r="H3901" i="13"/>
  <c r="H3902" i="13"/>
  <c r="H3903" i="13"/>
  <c r="H3904" i="13"/>
  <c r="H3905" i="13"/>
  <c r="H3906" i="13"/>
  <c r="H3907" i="13"/>
  <c r="H3908" i="13"/>
  <c r="H3909" i="13"/>
  <c r="H3910" i="13"/>
  <c r="H3911" i="13"/>
  <c r="H3912" i="13"/>
  <c r="H3913" i="13"/>
  <c r="H3914" i="13"/>
  <c r="H3915" i="13"/>
  <c r="H3916" i="13"/>
  <c r="H3917" i="13"/>
  <c r="H3918" i="13"/>
  <c r="H3919" i="13"/>
  <c r="H3920" i="13"/>
  <c r="H3921" i="13"/>
  <c r="H3922" i="13"/>
  <c r="H3923" i="13"/>
  <c r="H3924" i="13"/>
  <c r="H3925" i="13"/>
  <c r="H3926" i="13"/>
  <c r="H3927" i="13"/>
  <c r="H3928" i="13"/>
  <c r="H3929" i="13"/>
  <c r="H3930" i="13"/>
  <c r="H3931" i="13"/>
  <c r="H3932" i="13"/>
  <c r="H3933" i="13"/>
  <c r="H3934" i="13"/>
  <c r="H3935" i="13"/>
  <c r="H3936" i="13"/>
  <c r="H3937" i="13"/>
  <c r="H3938" i="13"/>
  <c r="H3939" i="13"/>
  <c r="H3940" i="13"/>
  <c r="H3941" i="13"/>
  <c r="H3942" i="13"/>
  <c r="H3943" i="13"/>
  <c r="H3944" i="13"/>
  <c r="H3945" i="13"/>
  <c r="H3946" i="13"/>
  <c r="H3947" i="13"/>
  <c r="H3948" i="13"/>
  <c r="H3949" i="13"/>
  <c r="H3950" i="13"/>
  <c r="H3951" i="13"/>
  <c r="H3952" i="13"/>
  <c r="H3953" i="13"/>
  <c r="H3954" i="13"/>
  <c r="H3955" i="13"/>
  <c r="H3956" i="13"/>
  <c r="H3957" i="13"/>
  <c r="H3958" i="13"/>
  <c r="H3959" i="13"/>
  <c r="H3960" i="13"/>
  <c r="H3961" i="13"/>
  <c r="H3962" i="13"/>
  <c r="H3963" i="13"/>
  <c r="H3964" i="13"/>
  <c r="H3965" i="13"/>
  <c r="H3966" i="13"/>
  <c r="H3967" i="13"/>
  <c r="H3968" i="13"/>
  <c r="H3969" i="13"/>
  <c r="H3970" i="13"/>
  <c r="H3971" i="13"/>
  <c r="H3972" i="13"/>
  <c r="H3973" i="13"/>
  <c r="H3974" i="13"/>
  <c r="H3975" i="13"/>
  <c r="H3976" i="13"/>
  <c r="H3977" i="13"/>
  <c r="H3978" i="13"/>
  <c r="H3979" i="13"/>
  <c r="H3980" i="13"/>
  <c r="H3981" i="13"/>
  <c r="H3982" i="13"/>
  <c r="H3983" i="13"/>
  <c r="H3984" i="13"/>
  <c r="H3985" i="13"/>
  <c r="H3986" i="13"/>
  <c r="H3987" i="13"/>
  <c r="H3988" i="13"/>
  <c r="H3989" i="13"/>
  <c r="H3990" i="13"/>
  <c r="H3991" i="13"/>
  <c r="H3992" i="13"/>
  <c r="H3993" i="13"/>
  <c r="H3994" i="13"/>
  <c r="H3995" i="13"/>
  <c r="H3996" i="13"/>
  <c r="H3997" i="13"/>
  <c r="H3998" i="13"/>
  <c r="H3999" i="13"/>
  <c r="H4000" i="13"/>
  <c r="H4001" i="13"/>
  <c r="H4002" i="13"/>
  <c r="H4003" i="13"/>
  <c r="H4004" i="13"/>
  <c r="H4005" i="13"/>
  <c r="H4006" i="13"/>
  <c r="H4007" i="13"/>
  <c r="H4008" i="13"/>
  <c r="H4009" i="13"/>
  <c r="H4010" i="13"/>
  <c r="H4011" i="13"/>
  <c r="H4012" i="13"/>
  <c r="H4013" i="13"/>
  <c r="H4014" i="13"/>
  <c r="H4015" i="13"/>
  <c r="H4016" i="13"/>
  <c r="H4017" i="13"/>
  <c r="H4018" i="13"/>
  <c r="H4019" i="13"/>
  <c r="H4020" i="13"/>
  <c r="H4021" i="13"/>
  <c r="H4022" i="13"/>
  <c r="H4023" i="13"/>
  <c r="H4024" i="13"/>
  <c r="H4025" i="13"/>
  <c r="H4026" i="13"/>
  <c r="H4027" i="13"/>
  <c r="H4028" i="13"/>
  <c r="H4029" i="13"/>
  <c r="H4030" i="13"/>
  <c r="H4031" i="13"/>
  <c r="H4032" i="13"/>
  <c r="H4033" i="13"/>
  <c r="H4034" i="13"/>
  <c r="H4035" i="13"/>
  <c r="H4036" i="13"/>
  <c r="H4037" i="13"/>
  <c r="H4038" i="13"/>
  <c r="H4039" i="13"/>
  <c r="H4040" i="13"/>
  <c r="H4041" i="13"/>
  <c r="H4042" i="13"/>
  <c r="H4043" i="13"/>
  <c r="H4044" i="13"/>
  <c r="H4045" i="13"/>
  <c r="H4046" i="13"/>
  <c r="H4047" i="13"/>
  <c r="H4048" i="13"/>
  <c r="H4049" i="13"/>
  <c r="H4050" i="13"/>
  <c r="H4051" i="13"/>
  <c r="H4052" i="13"/>
  <c r="H4053" i="13"/>
  <c r="H4054" i="13"/>
  <c r="H4055" i="13"/>
  <c r="H4056" i="13"/>
  <c r="H4057" i="13"/>
  <c r="H4058" i="13"/>
  <c r="H4059" i="13"/>
  <c r="H4060" i="13"/>
  <c r="H4061" i="13"/>
  <c r="H4062" i="13"/>
  <c r="H4063" i="13"/>
  <c r="H4064" i="13"/>
  <c r="H4065" i="13"/>
  <c r="H4066" i="13"/>
  <c r="H4067" i="13"/>
  <c r="H4068" i="13"/>
  <c r="H4069" i="13"/>
  <c r="H4070" i="13"/>
  <c r="H4071" i="13"/>
  <c r="H4072" i="13"/>
  <c r="H4073" i="13"/>
  <c r="H4074" i="13"/>
  <c r="H4075" i="13"/>
  <c r="H4076" i="13"/>
  <c r="H4077" i="13"/>
  <c r="H4078" i="13"/>
  <c r="H4079" i="13"/>
  <c r="H4080" i="13"/>
  <c r="H4081" i="13"/>
  <c r="H4082" i="13"/>
  <c r="H4083" i="13"/>
  <c r="H4084" i="13"/>
  <c r="H4085" i="13"/>
  <c r="H4086" i="13"/>
  <c r="H4087" i="13"/>
  <c r="H4088" i="13"/>
  <c r="H4089" i="13"/>
  <c r="H4090" i="13"/>
  <c r="H4091" i="13"/>
  <c r="H4092" i="13"/>
  <c r="H4093" i="13"/>
  <c r="H4094" i="13"/>
  <c r="H4095" i="13"/>
  <c r="H4096" i="13"/>
  <c r="H4097" i="13"/>
  <c r="H4098" i="13"/>
  <c r="H4099" i="13"/>
  <c r="H4100" i="13"/>
  <c r="H4101" i="13"/>
  <c r="H4102" i="13"/>
  <c r="H4103" i="13"/>
  <c r="H4104" i="13"/>
  <c r="H4105" i="13"/>
  <c r="H4106" i="13"/>
  <c r="H4107" i="13"/>
  <c r="H4108" i="13"/>
  <c r="H4109" i="13"/>
  <c r="H4110" i="13"/>
  <c r="H4111" i="13"/>
  <c r="H4112" i="13"/>
  <c r="H4113" i="13"/>
  <c r="H4114" i="13"/>
  <c r="H4115" i="13"/>
  <c r="H4116" i="13"/>
  <c r="H4117" i="13"/>
  <c r="H4118" i="13"/>
  <c r="H4119" i="13"/>
  <c r="H4120" i="13"/>
  <c r="H4121" i="13"/>
  <c r="H4122" i="13"/>
  <c r="H4123" i="13"/>
  <c r="H4124" i="13"/>
  <c r="H4125" i="13"/>
  <c r="H4126" i="13"/>
  <c r="H4127" i="13"/>
  <c r="H4128" i="13"/>
  <c r="H4129" i="13"/>
  <c r="H4130" i="13"/>
  <c r="H4131" i="13"/>
  <c r="H4132" i="13"/>
  <c r="H4133" i="13"/>
  <c r="H4134" i="13"/>
  <c r="H4135" i="13"/>
  <c r="H4136" i="13"/>
  <c r="H4137" i="13"/>
  <c r="H4138" i="13"/>
  <c r="H4139" i="13"/>
  <c r="H4140" i="13"/>
  <c r="H4141" i="13"/>
  <c r="H4142" i="13"/>
  <c r="H4143" i="13"/>
  <c r="H4144" i="13"/>
  <c r="H4145" i="13"/>
  <c r="H4146" i="13"/>
  <c r="H4147" i="13"/>
  <c r="H4148" i="13"/>
  <c r="H4149" i="13"/>
  <c r="H4150" i="13"/>
  <c r="H4151" i="13"/>
  <c r="H4152" i="13"/>
  <c r="H4153" i="13"/>
  <c r="H4154" i="13"/>
  <c r="H4155" i="13"/>
  <c r="H4156" i="13"/>
  <c r="H4157" i="13"/>
  <c r="H4158" i="13"/>
  <c r="H4159" i="13"/>
  <c r="H4160" i="13"/>
  <c r="H4161" i="13"/>
  <c r="H4162" i="13"/>
  <c r="H4163" i="13"/>
  <c r="H4164" i="13"/>
  <c r="H4165" i="13"/>
  <c r="H4166" i="13"/>
  <c r="H4167" i="13"/>
  <c r="H4168" i="13"/>
  <c r="H4169" i="13"/>
  <c r="H4170" i="13"/>
  <c r="H4171" i="13"/>
  <c r="H4172" i="13"/>
  <c r="H4173" i="13"/>
  <c r="H4174" i="13"/>
  <c r="H4175" i="13"/>
  <c r="H4176" i="13"/>
  <c r="H4177" i="13"/>
  <c r="H4178" i="13"/>
  <c r="H4179" i="13"/>
  <c r="H4180" i="13"/>
  <c r="H4181" i="13"/>
  <c r="H4182" i="13"/>
  <c r="H4183" i="13"/>
  <c r="H4184" i="13"/>
  <c r="H4185" i="13"/>
  <c r="H4186" i="13"/>
  <c r="H4187" i="13"/>
  <c r="H4188" i="13"/>
  <c r="H4189" i="13"/>
  <c r="H4190" i="13"/>
  <c r="H4191" i="13"/>
  <c r="H4192" i="13"/>
  <c r="H4193" i="13"/>
  <c r="H4194" i="13"/>
  <c r="H4195" i="13"/>
  <c r="H4196" i="13"/>
  <c r="H4197" i="13"/>
  <c r="H4198" i="13"/>
  <c r="H4199" i="13"/>
  <c r="H4200" i="13"/>
  <c r="H4201" i="13"/>
  <c r="H4202" i="13"/>
  <c r="H4203" i="13"/>
  <c r="H4204" i="13"/>
  <c r="H4205" i="13"/>
  <c r="H4206" i="13"/>
  <c r="H4207" i="13"/>
  <c r="H4208" i="13"/>
  <c r="H4209" i="13"/>
  <c r="H4210" i="13"/>
  <c r="H4211" i="13"/>
  <c r="H4212" i="13"/>
  <c r="H4213" i="13"/>
  <c r="H4214" i="13"/>
  <c r="H4215" i="13"/>
  <c r="H4216" i="13"/>
  <c r="H4217" i="13"/>
  <c r="H4218" i="13"/>
  <c r="H4219" i="13"/>
  <c r="H4220" i="13"/>
  <c r="H4221" i="13"/>
  <c r="H4222" i="13"/>
  <c r="H4223" i="13"/>
  <c r="H4224" i="13"/>
  <c r="H4225" i="13"/>
  <c r="H4226" i="13"/>
  <c r="H4227" i="13"/>
  <c r="H4228" i="13"/>
  <c r="H4229" i="13"/>
  <c r="H4230" i="13"/>
  <c r="H4231" i="13"/>
  <c r="H4232" i="13"/>
  <c r="H4233" i="13"/>
  <c r="H4234" i="13"/>
  <c r="H4235" i="13"/>
  <c r="H4236" i="13"/>
  <c r="H4237" i="13"/>
  <c r="H4238" i="13"/>
  <c r="H4239" i="13"/>
  <c r="H4240" i="13"/>
  <c r="H4241" i="13"/>
  <c r="H4242" i="13"/>
  <c r="H4243" i="13"/>
  <c r="H4244" i="13"/>
  <c r="H4245" i="13"/>
  <c r="H4246" i="13"/>
  <c r="H4247" i="13"/>
  <c r="H4248" i="13"/>
  <c r="H4249" i="13"/>
  <c r="H4250" i="13"/>
  <c r="H4251" i="13"/>
  <c r="H4252" i="13"/>
  <c r="H4253" i="13"/>
  <c r="H4254" i="13"/>
  <c r="H4255" i="13"/>
  <c r="H4256" i="13"/>
  <c r="H4257" i="13"/>
  <c r="H4258" i="13"/>
  <c r="H4259" i="13"/>
  <c r="H4260" i="13"/>
  <c r="H4261" i="13"/>
  <c r="H4262" i="13"/>
  <c r="H4263" i="13"/>
  <c r="H4264" i="13"/>
  <c r="H4265" i="13"/>
  <c r="H4266" i="13"/>
  <c r="H4267" i="13"/>
  <c r="H4268" i="13"/>
  <c r="H4269" i="13"/>
  <c r="H4270" i="13"/>
  <c r="H4271" i="13"/>
  <c r="H4272" i="13"/>
  <c r="H4273" i="13"/>
  <c r="H4274" i="13"/>
  <c r="H4275" i="13"/>
  <c r="H4276" i="13"/>
  <c r="H4277" i="13"/>
  <c r="H4278" i="13"/>
  <c r="H4279" i="13"/>
  <c r="H4280" i="13"/>
  <c r="H4281" i="13"/>
  <c r="H4282" i="13"/>
  <c r="H4283" i="13"/>
  <c r="H4284" i="13"/>
  <c r="H4285" i="13"/>
  <c r="H4286" i="13"/>
  <c r="H4287" i="13"/>
  <c r="H4288" i="13"/>
  <c r="H4289" i="13"/>
  <c r="H4290" i="13"/>
  <c r="H4291" i="13"/>
  <c r="H4292" i="13"/>
  <c r="H4293" i="13"/>
  <c r="H4294" i="13"/>
  <c r="H4295" i="13"/>
  <c r="H4296" i="13"/>
  <c r="H4297" i="13"/>
  <c r="H4298" i="13"/>
  <c r="H4299" i="13"/>
  <c r="H4300" i="13"/>
  <c r="H4301" i="13"/>
  <c r="H4302" i="13"/>
  <c r="H4303" i="13"/>
  <c r="H4304" i="13"/>
  <c r="H4305" i="13"/>
  <c r="H4306" i="13"/>
  <c r="H4307" i="13"/>
  <c r="H4308" i="13"/>
  <c r="H4309" i="13"/>
  <c r="H4310" i="13"/>
  <c r="H4311" i="13"/>
  <c r="H4312" i="13"/>
  <c r="H4313" i="13"/>
  <c r="H4314" i="13"/>
  <c r="H4315" i="13"/>
  <c r="H4316" i="13"/>
  <c r="H4317" i="13"/>
  <c r="H4318" i="13"/>
  <c r="H4319" i="13"/>
  <c r="H4320" i="13"/>
  <c r="H4321" i="13"/>
  <c r="H4322" i="13"/>
  <c r="H4323" i="13"/>
  <c r="H4324" i="13"/>
  <c r="H4325" i="13"/>
  <c r="H4326" i="13"/>
  <c r="H4327" i="13"/>
  <c r="H4328" i="13"/>
  <c r="H4329" i="13"/>
  <c r="H4330" i="13"/>
  <c r="H4331" i="13"/>
  <c r="H4332" i="13"/>
  <c r="H4333" i="13"/>
  <c r="H4334" i="13"/>
  <c r="H4335" i="13"/>
  <c r="H4336" i="13"/>
  <c r="H4337" i="13"/>
  <c r="H4338" i="13"/>
  <c r="H4339" i="13"/>
  <c r="H4340" i="13"/>
  <c r="H4341" i="13"/>
  <c r="H4342" i="13"/>
  <c r="H4343" i="13"/>
  <c r="H4344" i="13"/>
  <c r="H4345" i="13"/>
  <c r="H4346" i="13"/>
  <c r="H4347" i="13"/>
  <c r="H4348" i="13"/>
  <c r="H4349" i="13"/>
  <c r="H4350" i="13"/>
  <c r="H4351" i="13"/>
  <c r="H4352" i="13"/>
  <c r="H4353" i="13"/>
  <c r="H4354" i="13"/>
  <c r="H4355" i="13"/>
  <c r="H4356" i="13"/>
  <c r="H4357" i="13"/>
  <c r="H4358" i="13"/>
  <c r="H4359" i="13"/>
  <c r="H4360" i="13"/>
  <c r="H4361" i="13"/>
  <c r="H4362" i="13"/>
  <c r="H4363" i="13"/>
  <c r="H4364" i="13"/>
  <c r="H4365" i="13"/>
  <c r="H4366" i="13"/>
  <c r="H4367" i="13"/>
  <c r="H4368" i="13"/>
  <c r="H4369" i="13"/>
  <c r="H4370" i="13"/>
  <c r="H4371" i="13"/>
  <c r="H4372" i="13"/>
  <c r="H4373" i="13"/>
  <c r="H4374" i="13"/>
  <c r="H4375" i="13"/>
  <c r="H4376" i="13"/>
  <c r="H4377" i="13"/>
  <c r="H4378" i="13"/>
  <c r="H4379" i="13"/>
  <c r="H4380" i="13"/>
  <c r="H4381" i="13"/>
  <c r="H4382" i="13"/>
  <c r="H4383" i="13"/>
  <c r="H4384" i="13"/>
  <c r="H4385" i="13"/>
  <c r="H4386" i="13"/>
  <c r="H4387" i="13"/>
  <c r="H4388" i="13"/>
  <c r="H4389" i="13"/>
  <c r="H4390" i="13"/>
  <c r="H4391" i="13"/>
  <c r="H4392" i="13"/>
  <c r="H4393" i="13"/>
  <c r="H4394" i="13"/>
  <c r="H4395" i="13"/>
  <c r="H4396" i="13"/>
  <c r="H4397" i="13"/>
  <c r="H4398" i="13"/>
  <c r="H4399" i="13"/>
  <c r="H4400" i="13"/>
  <c r="H4401" i="13"/>
  <c r="H4402" i="13"/>
  <c r="H4403" i="13"/>
  <c r="H4404" i="13"/>
  <c r="H4405" i="13"/>
  <c r="H4406" i="13"/>
  <c r="H4407" i="13"/>
  <c r="H4408" i="13"/>
  <c r="H4409" i="13"/>
  <c r="H4410" i="13"/>
  <c r="H4411" i="13"/>
  <c r="H4412" i="13"/>
  <c r="H4413" i="13"/>
  <c r="H4414" i="13"/>
  <c r="H4415" i="13"/>
  <c r="H4416" i="13"/>
  <c r="H4417" i="13"/>
  <c r="H4418" i="13"/>
  <c r="H4419" i="13"/>
  <c r="H4420" i="13"/>
  <c r="H4421" i="13"/>
  <c r="H4422" i="13"/>
  <c r="H4423" i="13"/>
  <c r="H4424" i="13"/>
  <c r="H4425" i="13"/>
  <c r="H4426" i="13"/>
  <c r="H4427" i="13"/>
  <c r="H4428" i="13"/>
  <c r="H4429" i="13"/>
  <c r="H4430" i="13"/>
  <c r="H4431" i="13"/>
  <c r="H4432" i="13"/>
  <c r="H4433" i="13"/>
  <c r="H4434" i="13"/>
  <c r="H4435" i="13"/>
  <c r="H4436" i="13"/>
  <c r="H4437" i="13"/>
  <c r="H4438" i="13"/>
  <c r="H4439" i="13"/>
  <c r="H4440" i="13"/>
  <c r="H4441" i="13"/>
  <c r="H4442" i="13"/>
  <c r="H4443" i="13"/>
  <c r="H4444" i="13"/>
  <c r="H4445" i="13"/>
  <c r="H4446" i="13"/>
  <c r="H4447" i="13"/>
  <c r="H4448" i="13"/>
  <c r="H4449" i="13"/>
  <c r="H4450" i="13"/>
  <c r="H4451" i="13"/>
  <c r="H4452" i="13"/>
  <c r="H4453" i="13"/>
  <c r="H4454" i="13"/>
  <c r="H4455" i="13"/>
  <c r="H4456" i="13"/>
  <c r="H4457" i="13"/>
  <c r="H4458" i="13"/>
  <c r="H4459" i="13"/>
  <c r="H4460" i="13"/>
  <c r="H4461" i="13"/>
  <c r="H4462" i="13"/>
  <c r="H4463" i="13"/>
  <c r="H4464" i="13"/>
  <c r="H4465" i="13"/>
  <c r="H4466" i="13"/>
  <c r="H4467" i="13"/>
  <c r="H4468" i="13"/>
  <c r="H4469" i="13"/>
  <c r="H4470" i="13"/>
  <c r="H4471" i="13"/>
  <c r="H4472" i="13"/>
  <c r="H4473" i="13"/>
  <c r="H4474" i="13"/>
  <c r="H4475" i="13"/>
  <c r="H4476" i="13"/>
  <c r="H4477" i="13"/>
  <c r="H4478" i="13"/>
  <c r="H4479" i="13"/>
  <c r="H4480" i="13"/>
  <c r="H4481" i="13"/>
  <c r="H4482" i="13"/>
  <c r="H4483" i="13"/>
  <c r="H4484" i="13"/>
  <c r="H4485" i="13"/>
  <c r="H4486" i="13"/>
  <c r="H4487" i="13"/>
  <c r="H4488" i="13"/>
  <c r="H4489" i="13"/>
  <c r="H4490" i="13"/>
  <c r="H4491" i="13"/>
  <c r="H4492" i="13"/>
  <c r="H4493" i="13"/>
  <c r="H4494" i="13"/>
  <c r="H4495" i="13"/>
  <c r="H4496" i="13"/>
  <c r="H4497" i="13"/>
  <c r="H4498" i="13"/>
  <c r="H4499" i="13"/>
  <c r="H4500" i="13"/>
  <c r="H4501" i="13"/>
  <c r="H4502" i="13"/>
  <c r="H4503" i="13"/>
  <c r="H4504" i="13"/>
  <c r="H4505" i="13"/>
  <c r="H4506" i="13"/>
  <c r="H4507" i="13"/>
  <c r="H4508" i="13"/>
  <c r="H4509" i="13"/>
  <c r="H4510" i="13"/>
  <c r="H4511" i="13"/>
  <c r="H4512" i="13"/>
  <c r="H4513" i="13"/>
  <c r="H4514" i="13"/>
  <c r="H4515" i="13"/>
  <c r="H4516" i="13"/>
  <c r="H4517" i="13"/>
  <c r="H4518" i="13"/>
  <c r="H4519" i="13"/>
  <c r="H4520" i="13"/>
  <c r="H4521" i="13"/>
  <c r="H4522" i="13"/>
  <c r="H4523" i="13"/>
  <c r="H4524" i="13"/>
  <c r="H4525" i="13"/>
  <c r="H4526" i="13"/>
  <c r="H4527" i="13"/>
  <c r="H4528" i="13"/>
  <c r="H4529" i="13"/>
  <c r="H4530" i="13"/>
  <c r="H4531" i="13"/>
  <c r="H4532" i="13"/>
  <c r="H4533" i="13"/>
  <c r="H4534" i="13"/>
  <c r="H4535" i="13"/>
  <c r="H4536" i="13"/>
  <c r="H4537" i="13"/>
  <c r="H4538" i="13"/>
  <c r="H4539" i="13"/>
  <c r="H4540" i="13"/>
  <c r="H4541" i="13"/>
  <c r="H4542" i="13"/>
  <c r="H4543" i="13"/>
  <c r="H4544" i="13"/>
  <c r="H4545" i="13"/>
  <c r="H4546" i="13"/>
  <c r="H4547" i="13"/>
  <c r="H4548" i="13"/>
  <c r="H4549" i="13"/>
  <c r="H4550" i="13"/>
  <c r="H4551" i="13"/>
  <c r="H4552" i="13"/>
  <c r="H4553" i="13"/>
  <c r="H4554" i="13"/>
  <c r="H4555" i="13"/>
  <c r="H4556" i="13"/>
  <c r="H4557" i="13"/>
  <c r="H4558" i="13"/>
  <c r="H4559" i="13"/>
  <c r="H4560" i="13"/>
  <c r="H4561" i="13"/>
  <c r="H4562" i="13"/>
  <c r="H4563" i="13"/>
  <c r="H4564" i="13"/>
  <c r="H4565" i="13"/>
  <c r="H4566" i="13"/>
  <c r="H4567" i="13"/>
  <c r="H4568" i="13"/>
  <c r="H4569" i="13"/>
  <c r="H4570" i="13"/>
  <c r="H4571" i="13"/>
  <c r="H4572" i="13"/>
  <c r="H4573" i="13"/>
  <c r="H4574" i="13"/>
  <c r="H4575" i="13"/>
  <c r="H4576" i="13"/>
  <c r="H4577" i="13"/>
  <c r="H4578" i="13"/>
  <c r="H4579" i="13"/>
  <c r="H4580" i="13"/>
  <c r="H4581" i="13"/>
  <c r="H4582" i="13"/>
  <c r="H4583" i="13"/>
  <c r="H4584" i="13"/>
  <c r="H4585" i="13"/>
  <c r="H4586" i="13"/>
  <c r="H4587" i="13"/>
  <c r="H4588" i="13"/>
  <c r="H4589" i="13"/>
  <c r="H4590" i="13"/>
  <c r="H4591" i="13"/>
  <c r="H4592" i="13"/>
  <c r="H4593" i="13"/>
  <c r="H4594" i="13"/>
  <c r="H4595" i="13"/>
  <c r="H4596" i="13"/>
  <c r="H4597" i="13"/>
  <c r="H4598" i="13"/>
  <c r="H4599" i="13"/>
  <c r="H4600" i="13"/>
  <c r="H4601" i="13"/>
  <c r="H4602" i="13"/>
  <c r="H4603" i="13"/>
  <c r="H4604" i="13"/>
  <c r="H4605" i="13"/>
  <c r="H4606" i="13"/>
  <c r="H4607" i="13"/>
  <c r="H4608" i="13"/>
  <c r="H4609" i="13"/>
  <c r="H4610" i="13"/>
  <c r="H4611" i="13"/>
  <c r="H4612" i="13"/>
  <c r="H4613" i="13"/>
  <c r="H4614" i="13"/>
  <c r="H4615" i="13"/>
  <c r="H4616" i="13"/>
  <c r="H4617" i="13"/>
  <c r="H4618" i="13"/>
  <c r="H4619" i="13"/>
  <c r="H4620" i="13"/>
  <c r="H4621" i="13"/>
  <c r="H4622" i="13"/>
  <c r="H4623" i="13"/>
  <c r="H4624" i="13"/>
  <c r="H4625" i="13"/>
  <c r="H4626" i="13"/>
  <c r="H4627" i="13"/>
  <c r="H4628" i="13"/>
  <c r="H4629" i="13"/>
  <c r="H4630" i="13"/>
  <c r="H4631" i="13"/>
  <c r="H4632" i="13"/>
  <c r="H4633" i="13"/>
  <c r="H4634" i="13"/>
  <c r="H4635" i="13"/>
  <c r="H4636" i="13"/>
  <c r="H4637" i="13"/>
  <c r="H4638" i="13"/>
  <c r="H4639" i="13"/>
  <c r="H4640" i="13"/>
  <c r="H4641" i="13"/>
  <c r="H4642" i="13"/>
  <c r="H4643" i="13"/>
  <c r="H4644" i="13"/>
  <c r="H4645" i="13"/>
  <c r="H4646" i="13"/>
  <c r="H4647" i="13"/>
  <c r="H4648" i="13"/>
  <c r="H4649" i="13"/>
  <c r="H4650" i="13"/>
  <c r="H4651" i="13"/>
  <c r="H4652" i="13"/>
  <c r="H4653" i="13"/>
  <c r="H4654" i="13"/>
  <c r="H4655" i="13"/>
  <c r="H4656" i="13"/>
  <c r="H4657" i="13"/>
  <c r="H4658" i="13"/>
  <c r="H4659" i="13"/>
  <c r="H4660" i="13"/>
  <c r="H4661" i="13"/>
  <c r="H4662" i="13"/>
  <c r="H4663" i="13"/>
  <c r="H4664" i="13"/>
  <c r="H4665" i="13"/>
  <c r="H4666" i="13"/>
  <c r="H4667" i="13"/>
  <c r="H4668" i="13"/>
  <c r="H4669" i="13"/>
  <c r="H4670" i="13"/>
  <c r="H4671" i="13"/>
  <c r="H4672" i="13"/>
  <c r="H4673" i="13"/>
  <c r="H4674" i="13"/>
  <c r="H4675" i="13"/>
  <c r="H4676" i="13"/>
  <c r="H4677" i="13"/>
  <c r="H4678" i="13"/>
  <c r="H4679" i="13"/>
  <c r="H4680" i="13"/>
  <c r="H4681" i="13"/>
  <c r="H4682" i="13"/>
  <c r="H4683" i="13"/>
  <c r="H4684" i="13"/>
  <c r="H4685" i="13"/>
  <c r="H4686" i="13"/>
  <c r="H4687" i="13"/>
  <c r="H4688" i="13"/>
  <c r="H4689" i="13"/>
  <c r="H4690" i="13"/>
  <c r="H4691" i="13"/>
  <c r="H4692" i="13"/>
  <c r="H4693" i="13"/>
  <c r="H4694" i="13"/>
  <c r="H4695" i="13"/>
  <c r="H4696" i="13"/>
  <c r="H4697" i="13"/>
  <c r="H4698" i="13"/>
  <c r="H4699" i="13"/>
  <c r="H4700" i="13"/>
  <c r="H4701" i="13"/>
  <c r="H4702" i="13"/>
  <c r="H4703" i="13"/>
  <c r="H4704" i="13"/>
  <c r="H4705" i="13"/>
  <c r="H4706" i="13"/>
  <c r="H4707" i="13"/>
  <c r="H4708" i="13"/>
  <c r="H4709" i="13"/>
  <c r="H4710" i="13"/>
  <c r="H4711" i="13"/>
  <c r="H4712" i="13"/>
  <c r="H4713" i="13"/>
  <c r="H4714" i="13"/>
  <c r="H4715" i="13"/>
  <c r="H4716" i="13"/>
  <c r="H4717" i="13"/>
  <c r="H4718" i="13"/>
  <c r="H4719" i="13"/>
  <c r="H4720" i="13"/>
  <c r="H4721" i="13"/>
  <c r="H4722" i="13"/>
  <c r="H4723" i="13"/>
  <c r="H4724" i="13"/>
  <c r="H4725" i="13"/>
  <c r="H4726" i="13"/>
  <c r="H4727" i="13"/>
  <c r="H4728" i="13"/>
  <c r="H4729" i="13"/>
  <c r="H4730" i="13"/>
  <c r="H4731" i="13"/>
  <c r="H4732" i="13"/>
  <c r="H4733" i="13"/>
  <c r="H4734" i="13"/>
  <c r="H4735" i="13"/>
  <c r="H4736" i="13"/>
  <c r="H4737" i="13"/>
  <c r="H4738" i="13"/>
  <c r="H4739" i="13"/>
  <c r="H4740" i="13"/>
  <c r="H4741" i="13"/>
  <c r="H4742" i="13"/>
  <c r="H4743" i="13"/>
  <c r="H4744" i="13"/>
  <c r="H4745" i="13"/>
  <c r="H4746" i="13"/>
  <c r="H4747" i="13"/>
  <c r="H4748" i="13"/>
  <c r="H4749" i="13"/>
  <c r="H4750" i="13"/>
  <c r="H4751" i="13"/>
  <c r="H4752" i="13"/>
  <c r="H4753" i="13"/>
  <c r="H4754" i="13"/>
  <c r="H4755" i="13"/>
  <c r="H4756" i="13"/>
  <c r="H4757" i="13"/>
  <c r="H4758" i="13"/>
  <c r="H4759" i="13"/>
  <c r="H4760" i="13"/>
  <c r="H4761" i="13"/>
  <c r="H4762" i="13"/>
  <c r="H4763" i="13"/>
  <c r="H4764" i="13"/>
  <c r="H4765" i="13"/>
  <c r="H4766" i="13"/>
  <c r="H4767" i="13"/>
  <c r="H4768" i="13"/>
  <c r="H4769" i="13"/>
  <c r="H4770" i="13"/>
  <c r="H4771" i="13"/>
  <c r="H4772" i="13"/>
  <c r="H4773" i="13"/>
  <c r="H4774" i="13"/>
  <c r="H4775" i="13"/>
  <c r="H4776" i="13"/>
  <c r="H4777" i="13"/>
  <c r="H4778" i="13"/>
  <c r="H4779" i="13"/>
  <c r="H4780" i="13"/>
  <c r="H4781" i="13"/>
  <c r="H4782" i="13"/>
  <c r="H4783" i="13"/>
  <c r="H4784" i="13"/>
  <c r="H4785" i="13"/>
  <c r="H4786" i="13"/>
  <c r="H4787" i="13"/>
  <c r="H4788" i="13"/>
  <c r="H4789" i="13"/>
  <c r="H4790" i="13"/>
  <c r="H4791" i="13"/>
  <c r="H4792" i="13"/>
  <c r="H4793" i="13"/>
  <c r="H4794" i="13"/>
  <c r="H4795" i="13"/>
  <c r="H4796" i="13"/>
  <c r="H4797" i="13"/>
  <c r="H4798" i="13"/>
  <c r="H4799" i="13"/>
  <c r="H4800" i="13"/>
  <c r="H4801" i="13"/>
  <c r="H4802" i="13"/>
  <c r="H4803" i="13"/>
  <c r="H4804" i="13"/>
  <c r="H4805" i="13"/>
  <c r="H4806" i="13"/>
  <c r="H4807" i="13"/>
  <c r="H4808" i="13"/>
  <c r="H4809" i="13"/>
  <c r="H4810" i="13"/>
  <c r="H4811" i="13"/>
  <c r="H4812" i="13"/>
  <c r="H4813" i="13"/>
  <c r="H4814" i="13"/>
  <c r="H4815" i="13"/>
  <c r="H4816" i="13"/>
  <c r="H4817" i="13"/>
  <c r="H4818" i="13"/>
  <c r="H4819" i="13"/>
  <c r="H4820" i="13"/>
  <c r="H4821" i="13"/>
  <c r="H4822" i="13"/>
  <c r="H4823" i="13"/>
  <c r="H4824" i="13"/>
  <c r="H4825" i="13"/>
  <c r="H4826" i="13"/>
  <c r="H4827" i="13"/>
  <c r="H4828" i="13"/>
  <c r="H4829" i="13"/>
  <c r="H4830" i="13"/>
  <c r="H4831" i="13"/>
  <c r="H4832" i="13"/>
  <c r="H4833" i="13"/>
  <c r="H4834" i="13"/>
  <c r="H4835" i="13"/>
  <c r="H4836" i="13"/>
  <c r="H4837" i="13"/>
  <c r="H4838" i="13"/>
  <c r="H4839" i="13"/>
  <c r="H4840" i="13"/>
  <c r="H4841" i="13"/>
  <c r="H4842" i="13"/>
  <c r="H4843" i="13"/>
  <c r="H4844" i="13"/>
  <c r="H4845" i="13"/>
  <c r="H4846" i="13"/>
  <c r="H4847" i="13"/>
  <c r="H4848" i="13"/>
  <c r="H4849" i="13"/>
  <c r="H4850" i="13"/>
  <c r="H4851" i="13"/>
  <c r="H4852" i="13"/>
  <c r="H4853" i="13"/>
  <c r="H4854" i="13"/>
  <c r="H4855" i="13"/>
  <c r="H4856" i="13"/>
  <c r="H4857" i="13"/>
  <c r="H4858" i="13"/>
  <c r="H4859" i="13"/>
  <c r="H4860" i="13"/>
  <c r="H4861" i="13"/>
  <c r="H4862" i="13"/>
  <c r="H4863" i="13"/>
  <c r="H4864" i="13"/>
  <c r="H4865" i="13"/>
  <c r="H4866" i="13"/>
  <c r="H4867" i="13"/>
  <c r="H4868" i="13"/>
  <c r="H4869" i="13"/>
  <c r="H4870" i="13"/>
  <c r="H4871" i="13"/>
  <c r="H4872" i="13"/>
  <c r="H4873" i="13"/>
  <c r="H4874" i="13"/>
  <c r="H4875" i="13"/>
  <c r="H4876" i="13"/>
  <c r="H4877" i="13"/>
  <c r="H4878" i="13"/>
  <c r="H4879" i="13"/>
  <c r="H4880" i="13"/>
  <c r="H4881" i="13"/>
  <c r="H4882" i="13"/>
  <c r="H4883" i="13"/>
  <c r="H4884" i="13"/>
  <c r="H4885" i="13"/>
  <c r="H4886" i="13"/>
  <c r="H4887" i="13"/>
  <c r="H4888" i="13"/>
  <c r="H4889" i="13"/>
  <c r="H4890" i="13"/>
  <c r="H4891" i="13"/>
  <c r="H4892" i="13"/>
  <c r="H4893" i="13"/>
  <c r="H4894" i="13"/>
  <c r="H4895" i="13"/>
  <c r="H4896" i="13"/>
  <c r="H4897" i="13"/>
  <c r="H4898" i="13"/>
  <c r="H4899" i="13"/>
  <c r="H4900" i="13"/>
  <c r="H4901" i="13"/>
  <c r="H2" i="13"/>
  <c r="G2088" i="13"/>
  <c r="G2437" i="13"/>
  <c r="G2783" i="13"/>
  <c r="I2783" i="13" s="1"/>
  <c r="K2783" i="13" s="1"/>
  <c r="G3134" i="13"/>
  <c r="I3134" i="13" s="1"/>
  <c r="K3134" i="13" s="1"/>
  <c r="G2335" i="13"/>
  <c r="I2335" i="13" s="1"/>
  <c r="K2335" i="13" s="1"/>
  <c r="G4804" i="13"/>
  <c r="G2320" i="13"/>
  <c r="I2320" i="13" s="1"/>
  <c r="G1076" i="13"/>
  <c r="I1076" i="13" s="1"/>
  <c r="G3640" i="13"/>
  <c r="I3640" i="13" s="1"/>
  <c r="G3874" i="13"/>
  <c r="I3874" i="13" s="1"/>
  <c r="G355" i="13"/>
  <c r="I355" i="13" s="1"/>
  <c r="G2598" i="13"/>
  <c r="I2598" i="13" s="1"/>
  <c r="G1901" i="13"/>
  <c r="I1901" i="13" s="1"/>
  <c r="K1901" i="13" s="1"/>
  <c r="G2810" i="13"/>
  <c r="I2810" i="13" s="1"/>
  <c r="G237" i="13"/>
  <c r="I237" i="13" s="1"/>
  <c r="K237" i="13" s="1"/>
  <c r="G4430" i="13"/>
  <c r="G4432" i="13"/>
  <c r="I4432" i="13" s="1"/>
  <c r="G614" i="13"/>
  <c r="I614" i="13" s="1"/>
  <c r="G3744" i="13"/>
  <c r="I3744" i="13" s="1"/>
  <c r="G3302" i="13"/>
  <c r="I3302" i="13" s="1"/>
  <c r="G446" i="13"/>
  <c r="I446" i="13" s="1"/>
  <c r="K446" i="13" s="1"/>
  <c r="G4844" i="13"/>
  <c r="I4844" i="13" s="1"/>
  <c r="G3148" i="13"/>
  <c r="I3148" i="13" s="1"/>
  <c r="G4281" i="13"/>
  <c r="I4281" i="13" s="1"/>
  <c r="G2204" i="13"/>
  <c r="I2204" i="13" s="1"/>
  <c r="G3919" i="13"/>
  <c r="I3919" i="13" s="1"/>
  <c r="G722" i="13"/>
  <c r="I722" i="13" s="1"/>
  <c r="G4378" i="13"/>
  <c r="I4378" i="13" s="1"/>
  <c r="K4378" i="13" s="1"/>
  <c r="G2363" i="13"/>
  <c r="I2363" i="13" s="1"/>
  <c r="G2143" i="13"/>
  <c r="I2143" i="13" s="1"/>
  <c r="K2143" i="13" s="1"/>
  <c r="G3254" i="13"/>
  <c r="I3254" i="13" s="1"/>
  <c r="G1454" i="13"/>
  <c r="I1454" i="13" s="1"/>
  <c r="K1454" i="13" s="1"/>
  <c r="G432" i="13"/>
  <c r="I432" i="13" s="1"/>
  <c r="G311" i="13"/>
  <c r="I311" i="13" s="1"/>
  <c r="K311" i="13" s="1"/>
  <c r="G120" i="13"/>
  <c r="G2333" i="13"/>
  <c r="I2333" i="13" s="1"/>
  <c r="K2333" i="13" s="1"/>
  <c r="G2413" i="13"/>
  <c r="I2413" i="13" s="1"/>
  <c r="K2413" i="13" s="1"/>
  <c r="G1247" i="13"/>
  <c r="I1247" i="13" s="1"/>
  <c r="K1247" i="13" s="1"/>
  <c r="G2742" i="13"/>
  <c r="I2742" i="13" s="1"/>
  <c r="K2742" i="13" s="1"/>
  <c r="G3460" i="13"/>
  <c r="I3460" i="13" s="1"/>
  <c r="G2174" i="13"/>
  <c r="I2174" i="13" s="1"/>
  <c r="K2174" i="13" s="1"/>
  <c r="G1228" i="13"/>
  <c r="I1228" i="13" s="1"/>
  <c r="K1228" i="13" s="1"/>
  <c r="G574" i="13"/>
  <c r="I574" i="13" s="1"/>
  <c r="K574" i="13" s="1"/>
  <c r="G3934" i="13"/>
  <c r="I3934" i="13" s="1"/>
  <c r="K3934" i="13" s="1"/>
  <c r="G1731" i="13"/>
  <c r="I1731" i="13" s="1"/>
  <c r="G3791" i="13"/>
  <c r="I3791" i="13" s="1"/>
  <c r="G1751" i="13"/>
  <c r="I1751" i="13" s="1"/>
  <c r="K1751" i="13" s="1"/>
  <c r="G4006" i="13"/>
  <c r="I4006" i="13" s="1"/>
  <c r="G3622" i="13"/>
  <c r="I3622" i="13" s="1"/>
  <c r="G1854" i="13"/>
  <c r="I1854" i="13" s="1"/>
  <c r="K1854" i="13" s="1"/>
  <c r="G2960" i="13"/>
  <c r="I2960" i="13" s="1"/>
  <c r="G648" i="13"/>
  <c r="G1662" i="13"/>
  <c r="I1662" i="13" s="1"/>
  <c r="K1662" i="13" s="1"/>
  <c r="G3332" i="13"/>
  <c r="I3332" i="13" s="1"/>
  <c r="G4853" i="13"/>
  <c r="G2757" i="13"/>
  <c r="G1444" i="13"/>
  <c r="I1444" i="13" s="1"/>
  <c r="G243" i="13"/>
  <c r="I243" i="13" s="1"/>
  <c r="G1827" i="13"/>
  <c r="I1827" i="13" s="1"/>
  <c r="G2066" i="13"/>
  <c r="I2066" i="13" s="1"/>
  <c r="G2114" i="13"/>
  <c r="I2114" i="13" s="1"/>
  <c r="G3667" i="13"/>
  <c r="G4559" i="13"/>
  <c r="I4559" i="13" s="1"/>
  <c r="G2128" i="13"/>
  <c r="I2128" i="13" s="1"/>
  <c r="G2836" i="13"/>
  <c r="I2836" i="13" s="1"/>
  <c r="G1521" i="13"/>
  <c r="I1521" i="13" s="1"/>
  <c r="K1521" i="13" s="1"/>
  <c r="G2122" i="13"/>
  <c r="I2122" i="13" s="1"/>
  <c r="K2122" i="13" s="1"/>
  <c r="G621" i="13"/>
  <c r="I621" i="13" s="1"/>
  <c r="K621" i="13" s="1"/>
  <c r="G2723" i="13"/>
  <c r="I2723" i="13" s="1"/>
  <c r="G4084" i="13"/>
  <c r="G2312" i="13"/>
  <c r="I2312" i="13" s="1"/>
  <c r="G4056" i="13"/>
  <c r="I4056" i="13" s="1"/>
  <c r="G1294" i="13"/>
  <c r="I1294" i="13" s="1"/>
  <c r="K1294" i="13" s="1"/>
  <c r="G4377" i="13"/>
  <c r="I4377" i="13" s="1"/>
  <c r="K4377" i="13" s="1"/>
  <c r="G3718" i="13"/>
  <c r="I3718" i="13" s="1"/>
  <c r="G1092" i="13"/>
  <c r="I1092" i="13" s="1"/>
  <c r="G2327" i="13"/>
  <c r="I2327" i="13" s="1"/>
  <c r="G4708" i="13"/>
  <c r="G4079" i="13"/>
  <c r="I4079" i="13" s="1"/>
  <c r="G2559" i="13"/>
  <c r="I2559" i="13" s="1"/>
  <c r="K2559" i="13" s="1"/>
  <c r="G3612" i="13"/>
  <c r="I3612" i="13" s="1"/>
  <c r="K3612" i="13" s="1"/>
  <c r="G3750" i="13"/>
  <c r="I3750" i="13" s="1"/>
  <c r="G542" i="13"/>
  <c r="I542" i="13" s="1"/>
  <c r="K542" i="13" s="1"/>
  <c r="G1530" i="13"/>
  <c r="I1530" i="13" s="1"/>
  <c r="G3327" i="13"/>
  <c r="I3327" i="13" s="1"/>
  <c r="G4382" i="13"/>
  <c r="G4828" i="13"/>
  <c r="I4828" i="13" s="1"/>
  <c r="K4828" i="13" s="1"/>
  <c r="G1177" i="13"/>
  <c r="G3265" i="13"/>
  <c r="I3265" i="13" s="1"/>
  <c r="K3265" i="13" s="1"/>
  <c r="G800" i="13"/>
  <c r="I800" i="13" s="1"/>
  <c r="G3668" i="13"/>
  <c r="I3668" i="13" s="1"/>
  <c r="G3469" i="13"/>
  <c r="I3469" i="13" s="1"/>
  <c r="K3469" i="13" s="1"/>
  <c r="G1248" i="13"/>
  <c r="I1248" i="13" s="1"/>
  <c r="G4574" i="13"/>
  <c r="G2027" i="13"/>
  <c r="I2027" i="13" s="1"/>
  <c r="G1782" i="13"/>
  <c r="I1782" i="13" s="1"/>
  <c r="G2197" i="13"/>
  <c r="G1194" i="13"/>
  <c r="I1194" i="13" s="1"/>
  <c r="K1194" i="13" s="1"/>
  <c r="G325" i="13"/>
  <c r="G2158" i="13"/>
  <c r="I2158" i="13" s="1"/>
  <c r="K2158" i="13" s="1"/>
  <c r="G4810" i="13"/>
  <c r="I4810" i="13" s="1"/>
  <c r="G2090" i="13"/>
  <c r="I2090" i="13" s="1"/>
  <c r="G1995" i="13"/>
  <c r="I1995" i="13" s="1"/>
  <c r="G4522" i="13"/>
  <c r="I4522" i="13" s="1"/>
  <c r="K4522" i="13" s="1"/>
  <c r="G1912" i="13"/>
  <c r="I1912" i="13" s="1"/>
  <c r="G4648" i="13"/>
  <c r="I4648" i="13" s="1"/>
  <c r="G2254" i="13"/>
  <c r="I2254" i="13" s="1"/>
  <c r="K2254" i="13" s="1"/>
  <c r="G1158" i="13"/>
  <c r="I1158" i="13" s="1"/>
  <c r="G2582" i="13"/>
  <c r="I2582" i="13" s="1"/>
  <c r="G4754" i="13"/>
  <c r="I4754" i="13" s="1"/>
  <c r="G4164" i="13"/>
  <c r="G1613" i="13"/>
  <c r="I1613" i="13" s="1"/>
  <c r="K1613" i="13" s="1"/>
  <c r="G4043" i="13"/>
  <c r="I4043" i="13" s="1"/>
  <c r="G907" i="13"/>
  <c r="I907" i="13" s="1"/>
  <c r="G4119" i="13"/>
  <c r="I4119" i="13" s="1"/>
  <c r="G1685" i="13"/>
  <c r="G4539" i="13"/>
  <c r="I4539" i="13" s="1"/>
  <c r="G3775" i="13"/>
  <c r="I3775" i="13" s="1"/>
  <c r="G2187" i="13"/>
  <c r="I2187" i="13" s="1"/>
  <c r="G215" i="13"/>
  <c r="I215" i="13" s="1"/>
  <c r="K215" i="13" s="1"/>
  <c r="G1508" i="13"/>
  <c r="I1508" i="13" s="1"/>
  <c r="G1315" i="13"/>
  <c r="I1315" i="13" s="1"/>
  <c r="G3523" i="13"/>
  <c r="I3523" i="13" s="1"/>
  <c r="G2263" i="13"/>
  <c r="I2263" i="13" s="1"/>
  <c r="G3391" i="13"/>
  <c r="I3391" i="13" s="1"/>
  <c r="K3391" i="13" s="1"/>
  <c r="G3292" i="13"/>
  <c r="I3292" i="13" s="1"/>
  <c r="K3292" i="13" s="1"/>
  <c r="G4340" i="13"/>
  <c r="G4470" i="13"/>
  <c r="I4470" i="13" s="1"/>
  <c r="G579" i="13"/>
  <c r="I579" i="13" s="1"/>
  <c r="K579" i="13" s="1"/>
  <c r="G1811" i="13"/>
  <c r="I1811" i="13" s="1"/>
  <c r="G850" i="13"/>
  <c r="I850" i="13" s="1"/>
  <c r="G2568" i="13"/>
  <c r="I2568" i="13" s="1"/>
  <c r="G1799" i="13"/>
  <c r="I1799" i="13" s="1"/>
  <c r="K1799" i="13" s="1"/>
  <c r="G2130" i="13"/>
  <c r="I2130" i="13" s="1"/>
  <c r="G1021" i="13"/>
  <c r="I1021" i="13" s="1"/>
  <c r="K1021" i="13" s="1"/>
  <c r="G3454" i="13"/>
  <c r="I3454" i="13" s="1"/>
  <c r="K3454" i="13" s="1"/>
  <c r="G2029" i="13"/>
  <c r="I2029" i="13" s="1"/>
  <c r="K2029" i="13" s="1"/>
  <c r="G2927" i="13"/>
  <c r="I2927" i="13" s="1"/>
  <c r="K2927" i="13" s="1"/>
  <c r="G1660" i="13"/>
  <c r="I1660" i="13" s="1"/>
  <c r="K1660" i="13" s="1"/>
  <c r="G3229" i="13"/>
  <c r="I3229" i="13" s="1"/>
  <c r="K3229" i="13" s="1"/>
  <c r="G3738" i="13"/>
  <c r="I3738" i="13" s="1"/>
  <c r="G1329" i="13"/>
  <c r="I1329" i="13" s="1"/>
  <c r="K1329" i="13" s="1"/>
  <c r="G2076" i="13"/>
  <c r="I2076" i="13" s="1"/>
  <c r="K2076" i="13" s="1"/>
  <c r="G1186" i="13"/>
  <c r="I1186" i="13" s="1"/>
  <c r="G1008" i="13"/>
  <c r="I1008" i="13" s="1"/>
  <c r="G2379" i="13"/>
  <c r="I2379" i="13" s="1"/>
  <c r="G530" i="13"/>
  <c r="I530" i="13" s="1"/>
  <c r="G4016" i="13"/>
  <c r="I4016" i="13" s="1"/>
  <c r="G1708" i="13"/>
  <c r="I1708" i="13" s="1"/>
  <c r="K1708" i="13" s="1"/>
  <c r="G4820" i="13"/>
  <c r="I4820" i="13" s="1"/>
  <c r="G1614" i="13"/>
  <c r="I1614" i="13" s="1"/>
  <c r="K1614" i="13" s="1"/>
  <c r="G4234" i="13"/>
  <c r="I4234" i="13" s="1"/>
  <c r="G3067" i="13"/>
  <c r="I3067" i="13" s="1"/>
  <c r="G597" i="13"/>
  <c r="G2056" i="13"/>
  <c r="G4528" i="13"/>
  <c r="G675" i="13"/>
  <c r="I675" i="13" s="1"/>
  <c r="G2352" i="13"/>
  <c r="I2352" i="13" s="1"/>
  <c r="G347" i="13"/>
  <c r="I347" i="13" s="1"/>
  <c r="G3124" i="13"/>
  <c r="I3124" i="13" s="1"/>
  <c r="G811" i="13"/>
  <c r="I811" i="13" s="1"/>
  <c r="G2075" i="13"/>
  <c r="I2075" i="13" s="1"/>
  <c r="G1910" i="13"/>
  <c r="I1910" i="13" s="1"/>
  <c r="G2648" i="13"/>
  <c r="I2648" i="13" s="1"/>
  <c r="K2648" i="13" s="1"/>
  <c r="G3730" i="13"/>
  <c r="I3730" i="13" s="1"/>
  <c r="G422" i="13"/>
  <c r="I422" i="13" s="1"/>
  <c r="G2575" i="13"/>
  <c r="I2575" i="13" s="1"/>
  <c r="K2575" i="13" s="1"/>
  <c r="G2859" i="13"/>
  <c r="I2859" i="13" s="1"/>
  <c r="G2776" i="13"/>
  <c r="G3704" i="13"/>
  <c r="I3704" i="13" s="1"/>
  <c r="G1581" i="13"/>
  <c r="I1581" i="13" s="1"/>
  <c r="K1581" i="13" s="1"/>
  <c r="G4766" i="13"/>
  <c r="G744" i="13"/>
  <c r="G2901" i="13"/>
  <c r="G33" i="13"/>
  <c r="I33" i="13" s="1"/>
  <c r="K33" i="13" s="1"/>
  <c r="G4562" i="13"/>
  <c r="I4562" i="13" s="1"/>
  <c r="G1541" i="13"/>
  <c r="G4420" i="13"/>
  <c r="I4420" i="13" s="1"/>
  <c r="G661" i="13"/>
  <c r="G3106" i="13"/>
  <c r="I3106" i="13" s="1"/>
  <c r="G761" i="13"/>
  <c r="G3418" i="13"/>
  <c r="I3418" i="13" s="1"/>
  <c r="K3418" i="13" s="1"/>
  <c r="G4434" i="13"/>
  <c r="I4434" i="13" s="1"/>
  <c r="G1391" i="13"/>
  <c r="I1391" i="13" s="1"/>
  <c r="K1391" i="13" s="1"/>
  <c r="G543" i="13"/>
  <c r="I543" i="13" s="1"/>
  <c r="K543" i="13" s="1"/>
  <c r="G851" i="13"/>
  <c r="I851" i="13" s="1"/>
  <c r="G2078" i="13"/>
  <c r="I2078" i="13" s="1"/>
  <c r="K2078" i="13" s="1"/>
  <c r="G3626" i="13"/>
  <c r="I3626" i="13" s="1"/>
  <c r="G3582" i="13"/>
  <c r="I3582" i="13" s="1"/>
  <c r="K3582" i="13" s="1"/>
  <c r="G4500" i="13"/>
  <c r="G4089" i="13"/>
  <c r="G4014" i="13"/>
  <c r="I4014" i="13" s="1"/>
  <c r="K4014" i="13" s="1"/>
  <c r="G4077" i="13"/>
  <c r="I4077" i="13" s="1"/>
  <c r="K4077" i="13" s="1"/>
  <c r="G2063" i="13"/>
  <c r="I2063" i="13" s="1"/>
  <c r="K2063" i="13" s="1"/>
  <c r="G3419" i="13"/>
  <c r="I3419" i="13" s="1"/>
  <c r="G2722" i="13"/>
  <c r="I2722" i="13" s="1"/>
  <c r="G3072" i="13"/>
  <c r="I3072" i="13" s="1"/>
  <c r="G394" i="13"/>
  <c r="I394" i="13" s="1"/>
  <c r="K394" i="13" s="1"/>
  <c r="G2380" i="13"/>
  <c r="I2380" i="13" s="1"/>
  <c r="K2380" i="13" s="1"/>
  <c r="G2166" i="13"/>
  <c r="I2166" i="13" s="1"/>
  <c r="G3111" i="13"/>
  <c r="I3111" i="13" s="1"/>
  <c r="G4541" i="13"/>
  <c r="I4541" i="13" s="1"/>
  <c r="K4541" i="13" s="1"/>
  <c r="G604" i="13"/>
  <c r="I604" i="13" s="1"/>
  <c r="K604" i="13" s="1"/>
  <c r="G4171" i="13"/>
  <c r="I4171" i="13" s="1"/>
  <c r="G3606" i="13"/>
  <c r="I3606" i="13" s="1"/>
  <c r="G1148" i="13"/>
  <c r="I1148" i="13" s="1"/>
  <c r="K1148" i="13" s="1"/>
  <c r="G1093" i="13"/>
  <c r="G3675" i="13"/>
  <c r="I3675" i="13" s="1"/>
  <c r="G2484" i="13"/>
  <c r="I2484" i="13" s="1"/>
  <c r="G3324" i="13"/>
  <c r="I3324" i="13" s="1"/>
  <c r="K3324" i="13" s="1"/>
  <c r="G4412" i="13"/>
  <c r="I4412" i="13" s="1"/>
  <c r="G772" i="13"/>
  <c r="I772" i="13" s="1"/>
  <c r="G1042" i="13"/>
  <c r="I1042" i="13" s="1"/>
  <c r="G3325" i="13"/>
  <c r="I3325" i="13" s="1"/>
  <c r="K3325" i="13" s="1"/>
  <c r="G4087" i="13"/>
  <c r="I4087" i="13" s="1"/>
  <c r="G3395" i="13"/>
  <c r="I3395" i="13" s="1"/>
  <c r="G4530" i="13"/>
  <c r="I4530" i="13" s="1"/>
  <c r="G3504" i="13"/>
  <c r="I3504" i="13" s="1"/>
  <c r="G3755" i="13"/>
  <c r="I3755" i="13" s="1"/>
  <c r="G933" i="13"/>
  <c r="G4646" i="13"/>
  <c r="I4646" i="13" s="1"/>
  <c r="G2083" i="13"/>
  <c r="I2083" i="13" s="1"/>
  <c r="K2083" i="13" s="1"/>
  <c r="G2996" i="13"/>
  <c r="I2996" i="13" s="1"/>
  <c r="G479" i="13"/>
  <c r="I479" i="13" s="1"/>
  <c r="K479" i="13" s="1"/>
  <c r="G3243" i="13"/>
  <c r="I3243" i="13" s="1"/>
  <c r="G1175" i="13"/>
  <c r="I1175" i="13" s="1"/>
  <c r="K1175" i="13" s="1"/>
  <c r="G3060" i="13"/>
  <c r="I3060" i="13" s="1"/>
  <c r="G1756" i="13"/>
  <c r="I1756" i="13" s="1"/>
  <c r="K1756" i="13" s="1"/>
  <c r="G2747" i="13"/>
  <c r="I2747" i="13" s="1"/>
  <c r="G3311" i="13"/>
  <c r="I3311" i="13" s="1"/>
  <c r="K3311" i="13" s="1"/>
  <c r="G4036" i="13"/>
  <c r="I4036" i="13" s="1"/>
  <c r="G3739" i="13"/>
  <c r="I3739" i="13" s="1"/>
  <c r="G469" i="13"/>
  <c r="G2581" i="13"/>
  <c r="G3641" i="13"/>
  <c r="G2178" i="13"/>
  <c r="I2178" i="13" s="1"/>
  <c r="G2215" i="13"/>
  <c r="I2215" i="13" s="1"/>
  <c r="G2319" i="13"/>
  <c r="I2319" i="13" s="1"/>
  <c r="K2319" i="13" s="1"/>
  <c r="G710" i="13"/>
  <c r="I710" i="13" s="1"/>
  <c r="G4002" i="13"/>
  <c r="I4002" i="13" s="1"/>
  <c r="G3422" i="13"/>
  <c r="I3422" i="13" s="1"/>
  <c r="K3422" i="13" s="1"/>
  <c r="G1306" i="13"/>
  <c r="I1306" i="13" s="1"/>
  <c r="G4311" i="13"/>
  <c r="I4311" i="13" s="1"/>
  <c r="G1992" i="13"/>
  <c r="G3203" i="13"/>
  <c r="I3203" i="13" s="1"/>
  <c r="G4867" i="13"/>
  <c r="G3236" i="13"/>
  <c r="I3236" i="13" s="1"/>
  <c r="G3388" i="13"/>
  <c r="I3388" i="13" s="1"/>
  <c r="G217" i="13"/>
  <c r="G2855" i="13"/>
  <c r="I2855" i="13" s="1"/>
  <c r="G117" i="13"/>
  <c r="G2512" i="13"/>
  <c r="I2512" i="13" s="1"/>
  <c r="G622" i="13"/>
  <c r="I622" i="13" s="1"/>
  <c r="K622" i="13" s="1"/>
  <c r="G2313" i="13"/>
  <c r="I2313" i="13" s="1"/>
  <c r="K2313" i="13" s="1"/>
  <c r="G313" i="13"/>
  <c r="G632" i="13"/>
  <c r="G1760" i="13"/>
  <c r="I1760" i="13" s="1"/>
  <c r="G2485" i="13"/>
  <c r="G141" i="13"/>
  <c r="I141" i="13" s="1"/>
  <c r="K141" i="13" s="1"/>
  <c r="G3499" i="13"/>
  <c r="I3499" i="13" s="1"/>
  <c r="G4116" i="13"/>
  <c r="I4116" i="13" s="1"/>
  <c r="G1082" i="13"/>
  <c r="I1082" i="13" s="1"/>
  <c r="K1082" i="13" s="1"/>
  <c r="G123" i="13"/>
  <c r="I123" i="13" s="1"/>
  <c r="G2368" i="13"/>
  <c r="I2368" i="13" s="1"/>
  <c r="G1000" i="13"/>
  <c r="G1487" i="13"/>
  <c r="I1487" i="13" s="1"/>
  <c r="K1487" i="13" s="1"/>
  <c r="G3077" i="13"/>
  <c r="G1720" i="13"/>
  <c r="G4734" i="13"/>
  <c r="I4734" i="13" s="1"/>
  <c r="G2135" i="13"/>
  <c r="I2135" i="13" s="1"/>
  <c r="K2135" i="13" s="1"/>
  <c r="G4074" i="13"/>
  <c r="I4074" i="13" s="1"/>
  <c r="G1216" i="13"/>
  <c r="I1216" i="13" s="1"/>
  <c r="G1612" i="13"/>
  <c r="I1612" i="13" s="1"/>
  <c r="K1612" i="13" s="1"/>
  <c r="G794" i="13"/>
  <c r="I794" i="13" s="1"/>
  <c r="K794" i="13" s="1"/>
  <c r="G4894" i="13"/>
  <c r="I4894" i="13" s="1"/>
  <c r="G2441" i="13"/>
  <c r="I2441" i="13" s="1"/>
  <c r="K2441" i="13" s="1"/>
  <c r="G3948" i="13"/>
  <c r="I3948" i="13" s="1"/>
  <c r="G615" i="13"/>
  <c r="I615" i="13" s="1"/>
  <c r="K615" i="13" s="1"/>
  <c r="G4772" i="13"/>
  <c r="I4772" i="13" s="1"/>
  <c r="G1562" i="13"/>
  <c r="I1562" i="13" s="1"/>
  <c r="G330" i="13"/>
  <c r="I330" i="13" s="1"/>
  <c r="K330" i="13" s="1"/>
  <c r="G616" i="13"/>
  <c r="G2920" i="13"/>
  <c r="G724" i="13"/>
  <c r="I724" i="13" s="1"/>
  <c r="G1605" i="13"/>
  <c r="G1424" i="13"/>
  <c r="I1424" i="13" s="1"/>
  <c r="G852" i="13"/>
  <c r="I852" i="13" s="1"/>
  <c r="G1870" i="13"/>
  <c r="I1870" i="13" s="1"/>
  <c r="K1870" i="13" s="1"/>
  <c r="G3572" i="13"/>
  <c r="I3572" i="13" s="1"/>
  <c r="G4104" i="13"/>
  <c r="I4104" i="13" s="1"/>
  <c r="G4802" i="13"/>
  <c r="I4802" i="13" s="1"/>
  <c r="G4269" i="13"/>
  <c r="I4269" i="13" s="1"/>
  <c r="K4269" i="13" s="1"/>
  <c r="G4424" i="13"/>
  <c r="I4424" i="13" s="1"/>
  <c r="G4706" i="13"/>
  <c r="I4706" i="13" s="1"/>
  <c r="G2962" i="13"/>
  <c r="I2962" i="13" s="1"/>
  <c r="G4350" i="13"/>
  <c r="I4350" i="13" s="1"/>
  <c r="G3185" i="13"/>
  <c r="I3185" i="13" s="1"/>
  <c r="K3185" i="13" s="1"/>
  <c r="G3592" i="13"/>
  <c r="I3592" i="13" s="1"/>
  <c r="G864" i="13"/>
  <c r="I864" i="13" s="1"/>
  <c r="G124" i="13"/>
  <c r="I124" i="13" s="1"/>
  <c r="K124" i="13" s="1"/>
  <c r="G4900" i="13"/>
  <c r="G3152" i="13"/>
  <c r="I3152" i="13" s="1"/>
  <c r="G4329" i="13"/>
  <c r="I4329" i="13" s="1"/>
  <c r="G885" i="13"/>
  <c r="G4267" i="13"/>
  <c r="I4267" i="13" s="1"/>
  <c r="G2780" i="13"/>
  <c r="I2780" i="13" s="1"/>
  <c r="G2159" i="13"/>
  <c r="I2159" i="13" s="1"/>
  <c r="K2159" i="13" s="1"/>
  <c r="G3038" i="13"/>
  <c r="I3038" i="13" s="1"/>
  <c r="K3038" i="13" s="1"/>
  <c r="G3787" i="13"/>
  <c r="I3787" i="13" s="1"/>
  <c r="G4069" i="13"/>
  <c r="G2712" i="13"/>
  <c r="G3423" i="13"/>
  <c r="I3423" i="13" s="1"/>
  <c r="K3423" i="13" s="1"/>
  <c r="G2054" i="13"/>
  <c r="I2054" i="13" s="1"/>
  <c r="G2735" i="13"/>
  <c r="I2735" i="13" s="1"/>
  <c r="K2735" i="13" s="1"/>
  <c r="G522" i="13"/>
  <c r="I522" i="13" s="1"/>
  <c r="K522" i="13" s="1"/>
  <c r="G2944" i="13"/>
  <c r="I2944" i="13" s="1"/>
  <c r="G2458" i="13"/>
  <c r="I2458" i="13" s="1"/>
  <c r="G15" i="13"/>
  <c r="I15" i="13" s="1"/>
  <c r="K15" i="13" s="1"/>
  <c r="G1568" i="13"/>
  <c r="I1568" i="13" s="1"/>
  <c r="G4243" i="13"/>
  <c r="G4630" i="13"/>
  <c r="I4630" i="13" s="1"/>
  <c r="G1787" i="13"/>
  <c r="I1787" i="13" s="1"/>
  <c r="G4622" i="13"/>
  <c r="I4622" i="13" s="1"/>
  <c r="G3661" i="13"/>
  <c r="I3661" i="13" s="1"/>
  <c r="K3661" i="13" s="1"/>
  <c r="G2503" i="13"/>
  <c r="I2503" i="13" s="1"/>
  <c r="G3445" i="13"/>
  <c r="G2912" i="13"/>
  <c r="I2912" i="13" s="1"/>
  <c r="G676" i="13"/>
  <c r="I676" i="13" s="1"/>
  <c r="G693" i="13"/>
  <c r="G701" i="13"/>
  <c r="I701" i="13" s="1"/>
  <c r="K701" i="13" s="1"/>
  <c r="G2519" i="13"/>
  <c r="I2519" i="13" s="1"/>
  <c r="G2726" i="13"/>
  <c r="I2726" i="13" s="1"/>
  <c r="G3986" i="13"/>
  <c r="I3986" i="13" s="1"/>
  <c r="G2184" i="13"/>
  <c r="I2184" i="13" s="1"/>
  <c r="G4096" i="13"/>
  <c r="I4096" i="13" s="1"/>
  <c r="G1048" i="13"/>
  <c r="I1048" i="13" s="1"/>
  <c r="G2031" i="13"/>
  <c r="I2031" i="13" s="1"/>
  <c r="K2031" i="13" s="1"/>
  <c r="G3896" i="13"/>
  <c r="I3896" i="13" s="1"/>
  <c r="G1250" i="13"/>
  <c r="I1250" i="13" s="1"/>
  <c r="G456" i="13"/>
  <c r="G1978" i="13"/>
  <c r="I1978" i="13" s="1"/>
  <c r="G1522" i="13"/>
  <c r="I1522" i="13" s="1"/>
  <c r="G249" i="13"/>
  <c r="G1411" i="13"/>
  <c r="I1411" i="13" s="1"/>
  <c r="G3936" i="13"/>
  <c r="I3936" i="13" s="1"/>
  <c r="G323" i="13"/>
  <c r="I323" i="13" s="1"/>
  <c r="G982" i="13"/>
  <c r="I982" i="13" s="1"/>
  <c r="G4003" i="13"/>
  <c r="I4003" i="13" s="1"/>
  <c r="G1036" i="13"/>
  <c r="I1036" i="13" s="1"/>
  <c r="K1036" i="13" s="1"/>
  <c r="G3092" i="13"/>
  <c r="I3092" i="13" s="1"/>
  <c r="G1727" i="13"/>
  <c r="I1727" i="13" s="1"/>
  <c r="K1727" i="13" s="1"/>
  <c r="G196" i="13"/>
  <c r="I196" i="13" s="1"/>
  <c r="G4869" i="13"/>
  <c r="G3547" i="13"/>
  <c r="I3547" i="13" s="1"/>
  <c r="G2065" i="13"/>
  <c r="I2065" i="13" s="1"/>
  <c r="K2065" i="13" s="1"/>
  <c r="G807" i="13"/>
  <c r="I807" i="13" s="1"/>
  <c r="K807" i="13" s="1"/>
  <c r="G804" i="13"/>
  <c r="I804" i="13" s="1"/>
  <c r="G1896" i="13"/>
  <c r="G893" i="13"/>
  <c r="I893" i="13" s="1"/>
  <c r="K893" i="13" s="1"/>
  <c r="G1755" i="13"/>
  <c r="I1755" i="13" s="1"/>
  <c r="G1449" i="13"/>
  <c r="G2472" i="13"/>
  <c r="I2472" i="13" s="1"/>
  <c r="G1570" i="13"/>
  <c r="I1570" i="13" s="1"/>
  <c r="G786" i="13"/>
  <c r="I786" i="13" s="1"/>
  <c r="G3648" i="13"/>
  <c r="I3648" i="13" s="1"/>
  <c r="G2638" i="13"/>
  <c r="I2638" i="13" s="1"/>
  <c r="K2638" i="13" s="1"/>
  <c r="G1563" i="13"/>
  <c r="I1563" i="13" s="1"/>
  <c r="G878" i="13"/>
  <c r="I878" i="13" s="1"/>
  <c r="K878" i="13" s="1"/>
  <c r="G4767" i="13"/>
  <c r="I4767" i="13" s="1"/>
  <c r="G3870" i="13"/>
  <c r="I3870" i="13" s="1"/>
  <c r="K3870" i="13" s="1"/>
  <c r="G2916" i="13"/>
  <c r="I2916" i="13" s="1"/>
  <c r="G1519" i="13"/>
  <c r="I1519" i="13" s="1"/>
  <c r="K1519" i="13" s="1"/>
  <c r="G1455" i="13"/>
  <c r="I1455" i="13" s="1"/>
  <c r="K1455" i="13" s="1"/>
  <c r="G2290" i="13"/>
  <c r="I2290" i="13" s="1"/>
  <c r="G3788" i="13"/>
  <c r="I3788" i="13" s="1"/>
  <c r="G1654" i="13"/>
  <c r="I1654" i="13" s="1"/>
  <c r="G3764" i="13"/>
  <c r="I3764" i="13" s="1"/>
  <c r="G2797" i="13"/>
  <c r="I2797" i="13" s="1"/>
  <c r="K2797" i="13" s="1"/>
  <c r="G3880" i="13"/>
  <c r="I3880" i="13" s="1"/>
  <c r="G613" i="13"/>
  <c r="G3897" i="13"/>
  <c r="G960" i="13"/>
  <c r="I960" i="13" s="1"/>
  <c r="G3246" i="13"/>
  <c r="I3246" i="13" s="1"/>
  <c r="K3246" i="13" s="1"/>
  <c r="G2618" i="13"/>
  <c r="I2618" i="13" s="1"/>
  <c r="G2633" i="13"/>
  <c r="G94" i="13"/>
  <c r="I94" i="13" s="1"/>
  <c r="K94" i="13" s="1"/>
  <c r="G2566" i="13"/>
  <c r="I2566" i="13" s="1"/>
  <c r="G134" i="13"/>
  <c r="I134" i="13" s="1"/>
  <c r="G1230" i="13"/>
  <c r="I1230" i="13" s="1"/>
  <c r="K1230" i="13" s="1"/>
  <c r="G4760" i="13"/>
  <c r="I4760" i="13" s="1"/>
  <c r="G3349" i="13"/>
  <c r="G4198" i="13"/>
  <c r="I4198" i="13" s="1"/>
  <c r="G2829" i="13"/>
  <c r="I2829" i="13" s="1"/>
  <c r="K2829" i="13" s="1"/>
  <c r="G1576" i="13"/>
  <c r="I1576" i="13" s="1"/>
  <c r="G2459" i="13"/>
  <c r="I2459" i="13" s="1"/>
  <c r="G699" i="13"/>
  <c r="I699" i="13" s="1"/>
  <c r="G1094" i="13"/>
  <c r="I1094" i="13" s="1"/>
  <c r="G2579" i="13"/>
  <c r="I2579" i="13" s="1"/>
  <c r="G4211" i="13"/>
  <c r="G2053" i="13"/>
  <c r="G2195" i="13"/>
  <c r="I2195" i="13" s="1"/>
  <c r="G3125" i="13"/>
  <c r="G2175" i="13"/>
  <c r="I2175" i="13" s="1"/>
  <c r="K2175" i="13" s="1"/>
  <c r="G2137" i="13"/>
  <c r="I2137" i="13" s="1"/>
  <c r="K2137" i="13" s="1"/>
  <c r="G4770" i="13"/>
  <c r="I4770" i="13" s="1"/>
  <c r="G354" i="13"/>
  <c r="I354" i="13" s="1"/>
  <c r="G873" i="13"/>
  <c r="G3812" i="13"/>
  <c r="I3812" i="13" s="1"/>
  <c r="G4713" i="13"/>
  <c r="I4713" i="13" s="1"/>
  <c r="G3631" i="13"/>
  <c r="I3631" i="13" s="1"/>
  <c r="G2316" i="13"/>
  <c r="I2316" i="13" s="1"/>
  <c r="K2316" i="13" s="1"/>
  <c r="G2377" i="13"/>
  <c r="G406" i="13"/>
  <c r="I406" i="13" s="1"/>
  <c r="G4687" i="13"/>
  <c r="I4687" i="13" s="1"/>
  <c r="K4687" i="13" s="1"/>
  <c r="G3285" i="13"/>
  <c r="G4371" i="13"/>
  <c r="G2003" i="13"/>
  <c r="I2003" i="13" s="1"/>
  <c r="K2003" i="13" s="1"/>
  <c r="G4507" i="13"/>
  <c r="I4507" i="13" s="1"/>
  <c r="G839" i="13"/>
  <c r="I839" i="13" s="1"/>
  <c r="K839" i="13" s="1"/>
  <c r="G4260" i="13"/>
  <c r="I4260" i="13" s="1"/>
  <c r="G1311" i="13"/>
  <c r="I1311" i="13" s="1"/>
  <c r="K1311" i="13" s="1"/>
  <c r="G1369" i="13"/>
  <c r="G4223" i="13"/>
  <c r="I4223" i="13" s="1"/>
  <c r="G3941" i="13"/>
  <c r="G4313" i="13"/>
  <c r="I4313" i="13" s="1"/>
  <c r="G641" i="13"/>
  <c r="I641" i="13" s="1"/>
  <c r="K641" i="13" s="1"/>
  <c r="G4127" i="13"/>
  <c r="I4127" i="13" s="1"/>
  <c r="G1746" i="13"/>
  <c r="I1746" i="13" s="1"/>
  <c r="G1122" i="13"/>
  <c r="I1122" i="13" s="1"/>
  <c r="G1759" i="13"/>
  <c r="I1759" i="13" s="1"/>
  <c r="K1759" i="13" s="1"/>
  <c r="G4301" i="13"/>
  <c r="I4301" i="13" s="1"/>
  <c r="K4301" i="13" s="1"/>
  <c r="G1327" i="13"/>
  <c r="I1327" i="13" s="1"/>
  <c r="K1327" i="13" s="1"/>
  <c r="G2329" i="13"/>
  <c r="G2468" i="13"/>
  <c r="I2468" i="13" s="1"/>
  <c r="G1936" i="13"/>
  <c r="I1936" i="13" s="1"/>
  <c r="G2423" i="13"/>
  <c r="I2423" i="13" s="1"/>
  <c r="K2423" i="13" s="1"/>
  <c r="G318" i="13"/>
  <c r="I318" i="13" s="1"/>
  <c r="K318" i="13" s="1"/>
  <c r="G1862" i="13"/>
  <c r="I1862" i="13" s="1"/>
  <c r="G1970" i="13"/>
  <c r="I1970" i="13" s="1"/>
  <c r="G2893" i="13"/>
  <c r="I2893" i="13" s="1"/>
  <c r="K2893" i="13" s="1"/>
  <c r="G629" i="13"/>
  <c r="I629" i="13" s="1"/>
  <c r="K629" i="13" s="1"/>
  <c r="G3910" i="13"/>
  <c r="I3910" i="13" s="1"/>
  <c r="G4467" i="13"/>
  <c r="G2464" i="13"/>
  <c r="I2464" i="13" s="1"/>
  <c r="G3042" i="13"/>
  <c r="I3042" i="13" s="1"/>
  <c r="G633" i="13"/>
  <c r="G4481" i="13"/>
  <c r="G630" i="13"/>
  <c r="I630" i="13" s="1"/>
  <c r="G1794" i="13"/>
  <c r="I1794" i="13" s="1"/>
  <c r="G1408" i="13"/>
  <c r="I1408" i="13" s="1"/>
  <c r="G4040" i="13"/>
  <c r="I4040" i="13" s="1"/>
  <c r="G443" i="13"/>
  <c r="I443" i="13" s="1"/>
  <c r="G197" i="13"/>
  <c r="G2665" i="13"/>
  <c r="I2665" i="13" s="1"/>
  <c r="K2665" i="13" s="1"/>
  <c r="G1502" i="13"/>
  <c r="I1502" i="13" s="1"/>
  <c r="K1502" i="13" s="1"/>
  <c r="G1065" i="13"/>
  <c r="G1480" i="13"/>
  <c r="I1480" i="13" s="1"/>
  <c r="G3760" i="13"/>
  <c r="I3760" i="13" s="1"/>
  <c r="G2615" i="13"/>
  <c r="I2615" i="13" s="1"/>
  <c r="G3837" i="13"/>
  <c r="I3837" i="13" s="1"/>
  <c r="K3837" i="13" s="1"/>
  <c r="G856" i="13"/>
  <c r="G2004" i="13"/>
  <c r="I2004" i="13" s="1"/>
  <c r="G952" i="13"/>
  <c r="G275" i="13"/>
  <c r="I275" i="13" s="1"/>
  <c r="G4027" i="13"/>
  <c r="I4027" i="13" s="1"/>
  <c r="G3664" i="13"/>
  <c r="I3664" i="13" s="1"/>
  <c r="G4611" i="13"/>
  <c r="G2585" i="13"/>
  <c r="I2585" i="13" s="1"/>
  <c r="K2585" i="13" s="1"/>
  <c r="G3642" i="13"/>
  <c r="I3642" i="13" s="1"/>
  <c r="G37" i="13"/>
  <c r="G4576" i="13"/>
  <c r="I4576" i="13" s="1"/>
  <c r="G4437" i="13"/>
  <c r="G1582" i="13"/>
  <c r="I1582" i="13" s="1"/>
  <c r="K1582" i="13" s="1"/>
  <c r="G1263" i="13"/>
  <c r="I1263" i="13" s="1"/>
  <c r="K1263" i="13" s="1"/>
  <c r="G2546" i="13"/>
  <c r="I2546" i="13" s="1"/>
  <c r="G2622" i="13"/>
  <c r="I2622" i="13" s="1"/>
  <c r="K2622" i="13" s="1"/>
  <c r="G56" i="13"/>
  <c r="G551" i="13"/>
  <c r="I551" i="13" s="1"/>
  <c r="K551" i="13" s="1"/>
  <c r="G1669" i="13"/>
  <c r="G2402" i="13"/>
  <c r="I2402" i="13" s="1"/>
  <c r="G156" i="13"/>
  <c r="I156" i="13" s="1"/>
  <c r="K156" i="13" s="1"/>
  <c r="G1587" i="13"/>
  <c r="I1587" i="13" s="1"/>
  <c r="G4635" i="13"/>
  <c r="I4635" i="13" s="1"/>
  <c r="G2278" i="13"/>
  <c r="I2278" i="13" s="1"/>
  <c r="G1845" i="13"/>
  <c r="G1577" i="13"/>
  <c r="G595" i="13"/>
  <c r="I595" i="13" s="1"/>
  <c r="G1165" i="13"/>
  <c r="I1165" i="13" s="1"/>
  <c r="K1165" i="13" s="1"/>
  <c r="G2515" i="13"/>
  <c r="I2515" i="13" s="1"/>
  <c r="G2838" i="13"/>
  <c r="I2838" i="13" s="1"/>
  <c r="G3877" i="13"/>
  <c r="G4254" i="13"/>
  <c r="I4254" i="13" s="1"/>
  <c r="K4254" i="13" s="1"/>
  <c r="G2426" i="13"/>
  <c r="I2426" i="13" s="1"/>
  <c r="K2426" i="13" s="1"/>
  <c r="G2123" i="13"/>
  <c r="I2123" i="13" s="1"/>
  <c r="G4237" i="13"/>
  <c r="I4237" i="13" s="1"/>
  <c r="K4237" i="13" s="1"/>
  <c r="G1603" i="13"/>
  <c r="I1603" i="13" s="1"/>
  <c r="G4808" i="13"/>
  <c r="I4808" i="13" s="1"/>
  <c r="G2983" i="13"/>
  <c r="I2983" i="13" s="1"/>
  <c r="K2983" i="13" s="1"/>
  <c r="G186" i="13"/>
  <c r="I186" i="13" s="1"/>
  <c r="K186" i="13" s="1"/>
  <c r="G1762" i="13"/>
  <c r="I1762" i="13" s="1"/>
  <c r="G4716" i="13"/>
  <c r="I4716" i="13" s="1"/>
  <c r="G2205" i="13"/>
  <c r="I2205" i="13" s="1"/>
  <c r="K2205" i="13" s="1"/>
  <c r="G2736" i="13"/>
  <c r="I2736" i="13" s="1"/>
  <c r="G953" i="13"/>
  <c r="G4811" i="13"/>
  <c r="I4811" i="13" s="1"/>
  <c r="G3898" i="13"/>
  <c r="I3898" i="13" s="1"/>
  <c r="G1897" i="13"/>
  <c r="G1891" i="13"/>
  <c r="I1891" i="13" s="1"/>
  <c r="G3882" i="13"/>
  <c r="I3882" i="13" s="1"/>
  <c r="K3882" i="13" s="1"/>
  <c r="G2392" i="13"/>
  <c r="I2392" i="13" s="1"/>
  <c r="G163" i="13"/>
  <c r="I163" i="13" s="1"/>
  <c r="G2101" i="13"/>
  <c r="G1621" i="13"/>
  <c r="G2646" i="13"/>
  <c r="I2646" i="13" s="1"/>
  <c r="G29" i="13"/>
  <c r="I29" i="13" s="1"/>
  <c r="K29" i="13" s="1"/>
  <c r="G589" i="13"/>
  <c r="I589" i="13" s="1"/>
  <c r="K589" i="13" s="1"/>
  <c r="G3397" i="13"/>
  <c r="I3397" i="13" s="1"/>
  <c r="G537" i="13"/>
  <c r="I537" i="13" s="1"/>
  <c r="K537" i="13" s="1"/>
  <c r="G1208" i="13"/>
  <c r="G2896" i="13"/>
  <c r="I2896" i="13" s="1"/>
  <c r="G4163" i="13"/>
  <c r="G204" i="13"/>
  <c r="I204" i="13" s="1"/>
  <c r="K204" i="13" s="1"/>
  <c r="G3054" i="13"/>
  <c r="I3054" i="13" s="1"/>
  <c r="K3054" i="13" s="1"/>
  <c r="G4453" i="13"/>
  <c r="G753" i="13"/>
  <c r="I753" i="13" s="1"/>
  <c r="K753" i="13" s="1"/>
  <c r="G2687" i="13"/>
  <c r="I2687" i="13" s="1"/>
  <c r="K2687" i="13" s="1"/>
  <c r="G781" i="13"/>
  <c r="I781" i="13" s="1"/>
  <c r="K781" i="13" s="1"/>
  <c r="G3997" i="13"/>
  <c r="I3997" i="13" s="1"/>
  <c r="K3997" i="13" s="1"/>
  <c r="G168" i="13"/>
  <c r="G4791" i="13"/>
  <c r="I4791" i="13" s="1"/>
  <c r="G4751" i="13"/>
  <c r="I4751" i="13" s="1"/>
  <c r="G2624" i="13"/>
  <c r="I2624" i="13" s="1"/>
  <c r="G4680" i="13"/>
  <c r="I4680" i="13" s="1"/>
  <c r="G362" i="13"/>
  <c r="I362" i="13" s="1"/>
  <c r="K362" i="13" s="1"/>
  <c r="G160" i="13"/>
  <c r="I160" i="13" s="1"/>
  <c r="G199" i="13"/>
  <c r="I199" i="13" s="1"/>
  <c r="K199" i="13" s="1"/>
  <c r="G2147" i="13"/>
  <c r="I2147" i="13" s="1"/>
  <c r="G4232" i="13"/>
  <c r="I4232" i="13" s="1"/>
  <c r="G1217" i="13"/>
  <c r="I1217" i="13" s="1"/>
  <c r="K1217" i="13" s="1"/>
  <c r="G1453" i="13"/>
  <c r="I1453" i="13" s="1"/>
  <c r="K1453" i="13" s="1"/>
  <c r="G1749" i="13"/>
  <c r="G2257" i="13"/>
  <c r="I2257" i="13" s="1"/>
  <c r="K2257" i="13" s="1"/>
  <c r="G1445" i="13"/>
  <c r="G1966" i="13"/>
  <c r="I1966" i="13" s="1"/>
  <c r="K1966" i="13" s="1"/>
  <c r="G2730" i="13"/>
  <c r="I2730" i="13" s="1"/>
  <c r="G2041" i="13"/>
  <c r="G3126" i="13"/>
  <c r="I3126" i="13" s="1"/>
  <c r="G4448" i="13"/>
  <c r="I4448" i="13" s="1"/>
  <c r="G886" i="13"/>
  <c r="I886" i="13" s="1"/>
  <c r="G301" i="13"/>
  <c r="I301" i="13" s="1"/>
  <c r="K301" i="13" s="1"/>
  <c r="G4083" i="13"/>
  <c r="G3816" i="13"/>
  <c r="I3816" i="13" s="1"/>
  <c r="G2691" i="13"/>
  <c r="I2691" i="13" s="1"/>
  <c r="G3047" i="13"/>
  <c r="I3047" i="13" s="1"/>
  <c r="G610" i="13"/>
  <c r="I610" i="13" s="1"/>
  <c r="G492" i="13"/>
  <c r="I492" i="13" s="1"/>
  <c r="K492" i="13" s="1"/>
  <c r="G3305" i="13"/>
  <c r="G2448" i="13"/>
  <c r="I2448" i="13" s="1"/>
  <c r="G820" i="13"/>
  <c r="I820" i="13" s="1"/>
  <c r="G82" i="13"/>
  <c r="I82" i="13" s="1"/>
  <c r="G1571" i="13"/>
  <c r="I1571" i="13" s="1"/>
  <c r="G4124" i="13"/>
  <c r="I4124" i="13" s="1"/>
  <c r="G1899" i="13"/>
  <c r="I1899" i="13" s="1"/>
  <c r="G1620" i="13"/>
  <c r="I1620" i="13" s="1"/>
  <c r="G173" i="13"/>
  <c r="I173" i="13" s="1"/>
  <c r="K173" i="13" s="1"/>
  <c r="G4675" i="13"/>
  <c r="G1856" i="13"/>
  <c r="I1856" i="13" s="1"/>
  <c r="G3834" i="13"/>
  <c r="I3834" i="13" s="1"/>
  <c r="G3006" i="13"/>
  <c r="I3006" i="13" s="1"/>
  <c r="K3006" i="13" s="1"/>
  <c r="G3903" i="13"/>
  <c r="I3903" i="13" s="1"/>
  <c r="G250" i="13"/>
  <c r="I250" i="13" s="1"/>
  <c r="K250" i="13" s="1"/>
  <c r="G2055" i="13"/>
  <c r="I2055" i="13" s="1"/>
  <c r="K2055" i="13" s="1"/>
  <c r="G3306" i="13"/>
  <c r="I3306" i="13" s="1"/>
  <c r="G892" i="13"/>
  <c r="I892" i="13" s="1"/>
  <c r="K892" i="13" s="1"/>
  <c r="G3373" i="13"/>
  <c r="I3373" i="13" s="1"/>
  <c r="K3373" i="13" s="1"/>
  <c r="G1129" i="13"/>
  <c r="G4676" i="13"/>
  <c r="I4676" i="13" s="1"/>
  <c r="G87" i="13"/>
  <c r="I87" i="13" s="1"/>
  <c r="K87" i="13" s="1"/>
  <c r="G2635" i="13"/>
  <c r="I2635" i="13" s="1"/>
  <c r="G4295" i="13"/>
  <c r="I4295" i="13" s="1"/>
  <c r="G88" i="13"/>
  <c r="I88" i="13" s="1"/>
  <c r="G4512" i="13"/>
  <c r="I4512" i="13" s="1"/>
  <c r="G4485" i="13"/>
  <c r="G2206" i="13"/>
  <c r="I2206" i="13" s="1"/>
  <c r="K2206" i="13" s="1"/>
  <c r="G1199" i="13"/>
  <c r="I1199" i="13" s="1"/>
  <c r="K1199" i="13" s="1"/>
  <c r="G2442" i="13"/>
  <c r="I2442" i="13" s="1"/>
  <c r="G3587" i="13"/>
  <c r="G1265" i="13"/>
  <c r="I1265" i="13" s="1"/>
  <c r="K1265" i="13" s="1"/>
  <c r="G3204" i="13"/>
  <c r="I3204" i="13" s="1"/>
  <c r="G1384" i="13"/>
  <c r="I1384" i="13" s="1"/>
  <c r="G3268" i="13"/>
  <c r="I3268" i="13" s="1"/>
  <c r="G379" i="13"/>
  <c r="I379" i="13" s="1"/>
  <c r="G3907" i="13"/>
  <c r="G955" i="13"/>
  <c r="I955" i="13" s="1"/>
  <c r="G150" i="13"/>
  <c r="I150" i="13" s="1"/>
  <c r="G73" i="13"/>
  <c r="G3698" i="13"/>
  <c r="I3698" i="13" s="1"/>
  <c r="G4478" i="13"/>
  <c r="I4478" i="13" s="1"/>
  <c r="K4478" i="13" s="1"/>
  <c r="G3835" i="13"/>
  <c r="I3835" i="13" s="1"/>
  <c r="G506" i="13"/>
  <c r="I506" i="13" s="1"/>
  <c r="K506" i="13" s="1"/>
  <c r="G1285" i="13"/>
  <c r="G1022" i="13"/>
  <c r="I1022" i="13" s="1"/>
  <c r="K1022" i="13" s="1"/>
  <c r="G331" i="13"/>
  <c r="I331" i="13" s="1"/>
  <c r="G3931" i="13"/>
  <c r="I3931" i="13" s="1"/>
  <c r="G601" i="13"/>
  <c r="G1823" i="13"/>
  <c r="I1823" i="13" s="1"/>
  <c r="K1823" i="13" s="1"/>
  <c r="G3508" i="13"/>
  <c r="I3508" i="13" s="1"/>
  <c r="G3398" i="13"/>
  <c r="I3398" i="13" s="1"/>
  <c r="K3398" i="13" s="1"/>
  <c r="G1375" i="13"/>
  <c r="I1375" i="13" s="1"/>
  <c r="K1375" i="13" s="1"/>
  <c r="G1281" i="13"/>
  <c r="I1281" i="13" s="1"/>
  <c r="K1281" i="13" s="1"/>
  <c r="G1977" i="13"/>
  <c r="G6" i="13"/>
  <c r="I6" i="13" s="1"/>
  <c r="G3385" i="13"/>
  <c r="G233" i="13"/>
  <c r="I233" i="13" s="1"/>
  <c r="K233" i="13" s="1"/>
  <c r="G945" i="13"/>
  <c r="I945" i="13" s="1"/>
  <c r="K945" i="13" s="1"/>
  <c r="G2802" i="13"/>
  <c r="I2802" i="13" s="1"/>
  <c r="G700" i="13"/>
  <c r="I700" i="13" s="1"/>
  <c r="K700" i="13" s="1"/>
  <c r="G4262" i="13"/>
  <c r="I4262" i="13" s="1"/>
  <c r="G390" i="13"/>
  <c r="I390" i="13" s="1"/>
  <c r="G3891" i="13"/>
  <c r="G4816" i="13"/>
  <c r="I4816" i="13" s="1"/>
  <c r="G1754" i="13"/>
  <c r="I1754" i="13" s="1"/>
  <c r="K1754" i="13" s="1"/>
  <c r="G22" i="13"/>
  <c r="I22" i="13" s="1"/>
  <c r="G2237" i="13"/>
  <c r="I2237" i="13" s="1"/>
  <c r="K2237" i="13" s="1"/>
  <c r="G1779" i="13"/>
  <c r="I1779" i="13" s="1"/>
  <c r="G898" i="13"/>
  <c r="I898" i="13" s="1"/>
  <c r="G2181" i="13"/>
  <c r="G3656" i="13"/>
  <c r="I3656" i="13" s="1"/>
  <c r="G2586" i="13"/>
  <c r="I2586" i="13" s="1"/>
  <c r="G1567" i="13"/>
  <c r="I1567" i="13" s="1"/>
  <c r="K1567" i="13" s="1"/>
  <c r="G2015" i="13"/>
  <c r="I2015" i="13" s="1"/>
  <c r="K2015" i="13" s="1"/>
  <c r="G3797" i="13"/>
  <c r="G3259" i="13"/>
  <c r="I3259" i="13" s="1"/>
  <c r="G2164" i="13"/>
  <c r="I2164" i="13" s="1"/>
  <c r="G3565" i="13"/>
  <c r="I3565" i="13" s="1"/>
  <c r="K3565" i="13" s="1"/>
  <c r="G673" i="13"/>
  <c r="I673" i="13" s="1"/>
  <c r="K673" i="13" s="1"/>
  <c r="G1852" i="13"/>
  <c r="I1852" i="13" s="1"/>
  <c r="K1852" i="13" s="1"/>
  <c r="G285" i="13"/>
  <c r="I285" i="13" s="1"/>
  <c r="K285" i="13" s="1"/>
  <c r="G92" i="13"/>
  <c r="I92" i="13" s="1"/>
  <c r="K92" i="13" s="1"/>
  <c r="G4327" i="13"/>
  <c r="I4327" i="13" s="1"/>
  <c r="K4327" i="13" s="1"/>
  <c r="G4655" i="13"/>
  <c r="I4655" i="13" s="1"/>
  <c r="G3100" i="13"/>
  <c r="I3100" i="13" s="1"/>
  <c r="G3693" i="13"/>
  <c r="I3693" i="13" s="1"/>
  <c r="K3693" i="13" s="1"/>
  <c r="G1722" i="13"/>
  <c r="I1722" i="13" s="1"/>
  <c r="G1023" i="13"/>
  <c r="I1023" i="13" s="1"/>
  <c r="K1023" i="13" s="1"/>
  <c r="G1745" i="13"/>
  <c r="I1745" i="13" s="1"/>
  <c r="K1745" i="13" s="1"/>
  <c r="G4389" i="13"/>
  <c r="G135" i="13"/>
  <c r="I135" i="13" s="1"/>
  <c r="K135" i="13" s="1"/>
  <c r="G1944" i="13"/>
  <c r="G1001" i="13"/>
  <c r="G2549" i="13"/>
  <c r="G258" i="13"/>
  <c r="I258" i="13" s="1"/>
  <c r="G97" i="13"/>
  <c r="I97" i="13" s="1"/>
  <c r="K97" i="13" s="1"/>
  <c r="G1324" i="13"/>
  <c r="I1324" i="13" s="1"/>
  <c r="K1324" i="13" s="1"/>
  <c r="G2946" i="13"/>
  <c r="I2946" i="13" s="1"/>
  <c r="G4441" i="13"/>
  <c r="I4441" i="13" s="1"/>
  <c r="K4441" i="13" s="1"/>
  <c r="G3296" i="13"/>
  <c r="I3296" i="13" s="1"/>
  <c r="G3838" i="13"/>
  <c r="I3838" i="13" s="1"/>
  <c r="K3838" i="13" s="1"/>
  <c r="G1894" i="13"/>
  <c r="I1894" i="13" s="1"/>
  <c r="G3854" i="13"/>
  <c r="I3854" i="13" s="1"/>
  <c r="K3854" i="13" s="1"/>
  <c r="G3792" i="13"/>
  <c r="I3792" i="13" s="1"/>
  <c r="G3632" i="13"/>
  <c r="I3632" i="13" s="1"/>
  <c r="G2527" i="13"/>
  <c r="I2527" i="13" s="1"/>
  <c r="K2527" i="13" s="1"/>
  <c r="G2210" i="13"/>
  <c r="I2210" i="13" s="1"/>
  <c r="G1658" i="13"/>
  <c r="I1658" i="13" s="1"/>
  <c r="G4800" i="13"/>
  <c r="I4800" i="13" s="1"/>
  <c r="G1083" i="13"/>
  <c r="I1083" i="13" s="1"/>
  <c r="G4454" i="13"/>
  <c r="I4454" i="13" s="1"/>
  <c r="G4567" i="13"/>
  <c r="I4567" i="13" s="1"/>
  <c r="G1024" i="13"/>
  <c r="I1024" i="13" s="1"/>
  <c r="G1393" i="13"/>
  <c r="I1393" i="13" s="1"/>
  <c r="K1393" i="13" s="1"/>
  <c r="G2887" i="13"/>
  <c r="I2887" i="13" s="1"/>
  <c r="G1277" i="13"/>
  <c r="I1277" i="13" s="1"/>
  <c r="K1277" i="13" s="1"/>
  <c r="G2710" i="13"/>
  <c r="I2710" i="13" s="1"/>
  <c r="G3028" i="13"/>
  <c r="I3028" i="13" s="1"/>
  <c r="G2811" i="13"/>
  <c r="I2811" i="13" s="1"/>
  <c r="G1672" i="13"/>
  <c r="G2160" i="13"/>
  <c r="I2160" i="13" s="1"/>
  <c r="G4536" i="13"/>
  <c r="I4536" i="13" s="1"/>
  <c r="G1644" i="13"/>
  <c r="I1644" i="13" s="1"/>
  <c r="K1644" i="13" s="1"/>
  <c r="G3863" i="13"/>
  <c r="I3863" i="13" s="1"/>
  <c r="G3375" i="13"/>
  <c r="I3375" i="13" s="1"/>
  <c r="K3375" i="13" s="1"/>
  <c r="G3871" i="13"/>
  <c r="I3871" i="13" s="1"/>
  <c r="K3871" i="13" s="1"/>
  <c r="G348" i="13"/>
  <c r="I348" i="13" s="1"/>
  <c r="K348" i="13" s="1"/>
  <c r="G83" i="13"/>
  <c r="I83" i="13" s="1"/>
  <c r="G2105" i="13"/>
  <c r="G202" i="13"/>
  <c r="I202" i="13" s="1"/>
  <c r="K202" i="13" s="1"/>
  <c r="G2713" i="13"/>
  <c r="G728" i="13"/>
  <c r="G3684" i="13"/>
  <c r="I3684" i="13" s="1"/>
  <c r="G4294" i="13"/>
  <c r="I4294" i="13" s="1"/>
  <c r="G2595" i="13"/>
  <c r="I2595" i="13" s="1"/>
  <c r="G4550" i="13"/>
  <c r="I4550" i="13" s="1"/>
  <c r="G2994" i="13"/>
  <c r="I2994" i="13" s="1"/>
  <c r="G1126" i="13"/>
  <c r="I1126" i="13" s="1"/>
  <c r="G3671" i="13"/>
  <c r="I3671" i="13" s="1"/>
  <c r="G4572" i="13"/>
  <c r="I4572" i="13" s="1"/>
  <c r="G2532" i="13"/>
  <c r="I2532" i="13" s="1"/>
  <c r="G2837" i="13"/>
  <c r="G3740" i="13"/>
  <c r="I3740" i="13" s="1"/>
  <c r="G4612" i="13"/>
  <c r="I4612" i="13" s="1"/>
  <c r="G2342" i="13"/>
  <c r="I2342" i="13" s="1"/>
  <c r="G2590" i="13"/>
  <c r="I2590" i="13" s="1"/>
  <c r="K2590" i="13" s="1"/>
  <c r="G4359" i="13"/>
  <c r="I4359" i="13" s="1"/>
  <c r="G1270" i="13"/>
  <c r="I1270" i="13" s="1"/>
  <c r="G1531" i="13"/>
  <c r="I1531" i="13" s="1"/>
  <c r="K1531" i="13" s="1"/>
  <c r="G240" i="13"/>
  <c r="I240" i="13" s="1"/>
  <c r="G2787" i="13"/>
  <c r="I2787" i="13" s="1"/>
  <c r="G1795" i="13"/>
  <c r="I1795" i="13" s="1"/>
  <c r="G1926" i="13"/>
  <c r="I1926" i="13" s="1"/>
  <c r="G625" i="13"/>
  <c r="I625" i="13" s="1"/>
  <c r="K625" i="13" s="1"/>
  <c r="G3597" i="13"/>
  <c r="I3597" i="13" s="1"/>
  <c r="K3597" i="13" s="1"/>
  <c r="G1839" i="13"/>
  <c r="I1839" i="13" s="1"/>
  <c r="K1839" i="13" s="1"/>
  <c r="G4207" i="13"/>
  <c r="I4207" i="13" s="1"/>
  <c r="K4207" i="13" s="1"/>
  <c r="G279" i="13"/>
  <c r="I279" i="13" s="1"/>
  <c r="K279" i="13" s="1"/>
  <c r="G756" i="13"/>
  <c r="I756" i="13" s="1"/>
  <c r="G3035" i="13"/>
  <c r="I3035" i="13" s="1"/>
  <c r="G3635" i="13"/>
  <c r="G2447" i="13"/>
  <c r="I2447" i="13" s="1"/>
  <c r="K2447" i="13" s="1"/>
  <c r="G2247" i="13"/>
  <c r="I2247" i="13" s="1"/>
  <c r="K2247" i="13" s="1"/>
  <c r="G1599" i="13"/>
  <c r="I1599" i="13" s="1"/>
  <c r="K1599" i="13" s="1"/>
  <c r="G4829" i="13"/>
  <c r="I4829" i="13" s="1"/>
  <c r="K4829" i="13" s="1"/>
  <c r="G4515" i="13"/>
  <c r="G618" i="13"/>
  <c r="I618" i="13" s="1"/>
  <c r="K618" i="13" s="1"/>
  <c r="G1013" i="13"/>
  <c r="G2614" i="13"/>
  <c r="I2614" i="13" s="1"/>
  <c r="G2300" i="13"/>
  <c r="I2300" i="13" s="1"/>
  <c r="K2300" i="13" s="1"/>
  <c r="G908" i="13"/>
  <c r="I908" i="13" s="1"/>
  <c r="K908" i="13" s="1"/>
  <c r="G4085" i="13"/>
  <c r="G2227" i="13"/>
  <c r="I2227" i="13" s="1"/>
  <c r="K2227" i="13" s="1"/>
  <c r="G3223" i="13"/>
  <c r="I3223" i="13" s="1"/>
  <c r="G464" i="13"/>
  <c r="I464" i="13" s="1"/>
  <c r="G640" i="13"/>
  <c r="I640" i="13" s="1"/>
  <c r="G2133" i="13"/>
  <c r="G54" i="13"/>
  <c r="I54" i="13" s="1"/>
  <c r="G3801" i="13"/>
  <c r="G4798" i="13"/>
  <c r="I4798" i="13" s="1"/>
  <c r="K4798" i="13" s="1"/>
  <c r="G2416" i="13"/>
  <c r="I2416" i="13" s="1"/>
  <c r="G1788" i="13"/>
  <c r="I1788" i="13" s="1"/>
  <c r="K1788" i="13" s="1"/>
  <c r="G571" i="13"/>
  <c r="I571" i="13" s="1"/>
  <c r="G2146" i="13"/>
  <c r="I2146" i="13" s="1"/>
  <c r="G1861" i="13"/>
  <c r="G4070" i="13"/>
  <c r="I4070" i="13" s="1"/>
  <c r="G816" i="13"/>
  <c r="I816" i="13" s="1"/>
  <c r="G4314" i="13"/>
  <c r="I4314" i="13" s="1"/>
  <c r="G1378" i="13"/>
  <c r="I1378" i="13" s="1"/>
  <c r="G2569" i="13"/>
  <c r="I2569" i="13" s="1"/>
  <c r="K2569" i="13" s="1"/>
  <c r="G4120" i="13"/>
  <c r="I4120" i="13" s="1"/>
  <c r="G2404" i="13"/>
  <c r="I2404" i="13" s="1"/>
  <c r="G2084" i="13"/>
  <c r="I2084" i="13" s="1"/>
  <c r="G4416" i="13"/>
  <c r="I4416" i="13" s="1"/>
  <c r="G4585" i="13"/>
  <c r="I4585" i="13" s="1"/>
  <c r="G4479" i="13"/>
  <c r="I4479" i="13" s="1"/>
  <c r="G4710" i="13"/>
  <c r="I4710" i="13" s="1"/>
  <c r="G4012" i="13"/>
  <c r="I4012" i="13" s="1"/>
  <c r="G35" i="13"/>
  <c r="I35" i="13" s="1"/>
  <c r="G1334" i="13"/>
  <c r="I1334" i="13" s="1"/>
  <c r="G4476" i="13"/>
  <c r="I4476" i="13" s="1"/>
  <c r="K4476" i="13" s="1"/>
  <c r="G2533" i="13"/>
  <c r="G4167" i="13"/>
  <c r="I4167" i="13" s="1"/>
  <c r="G1564" i="13"/>
  <c r="I1564" i="13" s="1"/>
  <c r="K1564" i="13" s="1"/>
  <c r="G4691" i="13"/>
  <c r="I4691" i="13" s="1"/>
  <c r="G3438" i="13"/>
  <c r="I3438" i="13" s="1"/>
  <c r="K3438" i="13" s="1"/>
  <c r="G1726" i="13"/>
  <c r="I1726" i="13" s="1"/>
  <c r="K1726" i="13" s="1"/>
  <c r="G1130" i="13"/>
  <c r="I1130" i="13" s="1"/>
  <c r="G3532" i="13"/>
  <c r="I3532" i="13" s="1"/>
  <c r="K3532" i="13" s="1"/>
  <c r="G4692" i="13"/>
  <c r="I4692" i="13" s="1"/>
  <c r="G2501" i="13"/>
  <c r="G1826" i="13"/>
  <c r="I1826" i="13" s="1"/>
  <c r="G3867" i="13"/>
  <c r="I3867" i="13" s="1"/>
  <c r="G246" i="13"/>
  <c r="I246" i="13" s="1"/>
  <c r="G1420" i="13"/>
  <c r="I1420" i="13" s="1"/>
  <c r="K1420" i="13" s="1"/>
  <c r="G3437" i="13"/>
  <c r="I3437" i="13" s="1"/>
  <c r="K3437" i="13" s="1"/>
  <c r="G2677" i="13"/>
  <c r="G159" i="13"/>
  <c r="I159" i="13" s="1"/>
  <c r="K159" i="13" s="1"/>
  <c r="G797" i="13"/>
  <c r="I797" i="13" s="1"/>
  <c r="K797" i="13" s="1"/>
  <c r="G4731" i="13"/>
  <c r="I4731" i="13" s="1"/>
  <c r="G683" i="13"/>
  <c r="I683" i="13" s="1"/>
  <c r="G1737" i="13"/>
  <c r="G4891" i="13"/>
  <c r="I4891" i="13" s="1"/>
  <c r="G1503" i="13"/>
  <c r="I1503" i="13" s="1"/>
  <c r="K1503" i="13" s="1"/>
  <c r="G3699" i="13"/>
  <c r="G3182" i="13"/>
  <c r="I3182" i="13" s="1"/>
  <c r="K3182" i="13" s="1"/>
  <c r="G812" i="13"/>
  <c r="I812" i="13" s="1"/>
  <c r="K812" i="13" s="1"/>
  <c r="G1495" i="13"/>
  <c r="I1495" i="13" s="1"/>
  <c r="K1495" i="13" s="1"/>
  <c r="G4446" i="13"/>
  <c r="I4446" i="13" s="1"/>
  <c r="K4446" i="13" s="1"/>
  <c r="G3050" i="13"/>
  <c r="I3050" i="13" s="1"/>
  <c r="G63" i="13"/>
  <c r="I63" i="13" s="1"/>
  <c r="K63" i="13" s="1"/>
  <c r="G4436" i="13"/>
  <c r="I4436" i="13" s="1"/>
  <c r="G3772" i="13"/>
  <c r="I3772" i="13" s="1"/>
  <c r="K3772" i="13" s="1"/>
  <c r="G4568" i="13"/>
  <c r="I4568" i="13" s="1"/>
  <c r="G2800" i="13"/>
  <c r="I2800" i="13" s="1"/>
  <c r="G4055" i="13"/>
  <c r="I4055" i="13" s="1"/>
  <c r="G4658" i="13"/>
  <c r="I4658" i="13" s="1"/>
  <c r="G208" i="13"/>
  <c r="I208" i="13" s="1"/>
  <c r="G1543" i="13"/>
  <c r="I1543" i="13" s="1"/>
  <c r="K1543" i="13" s="1"/>
  <c r="G1309" i="13"/>
  <c r="I1309" i="13" s="1"/>
  <c r="K1309" i="13" s="1"/>
  <c r="G1025" i="13"/>
  <c r="I1025" i="13" s="1"/>
  <c r="K1025" i="13" s="1"/>
  <c r="G2907" i="13"/>
  <c r="I2907" i="13" s="1"/>
  <c r="G3819" i="13"/>
  <c r="I3819" i="13" s="1"/>
  <c r="G4236" i="13"/>
  <c r="I4236" i="13" s="1"/>
  <c r="G1459" i="13"/>
  <c r="I1459" i="13" s="1"/>
  <c r="G1178" i="13"/>
  <c r="I1178" i="13" s="1"/>
  <c r="G1307" i="13"/>
  <c r="I1307" i="13" s="1"/>
  <c r="G1316" i="13"/>
  <c r="I1316" i="13" s="1"/>
  <c r="G1049" i="13"/>
  <c r="G2683" i="13"/>
  <c r="I2683" i="13" s="1"/>
  <c r="G2007" i="13"/>
  <c r="I2007" i="13" s="1"/>
  <c r="K2007" i="13" s="1"/>
  <c r="G1696" i="13"/>
  <c r="I1696" i="13" s="1"/>
  <c r="G1269" i="13"/>
  <c r="G2841" i="13"/>
  <c r="I2841" i="13" s="1"/>
  <c r="K2841" i="13" s="1"/>
  <c r="G1404" i="13"/>
  <c r="I1404" i="13" s="1"/>
  <c r="K1404" i="13" s="1"/>
  <c r="G3949" i="13"/>
  <c r="I3949" i="13" s="1"/>
  <c r="K3949" i="13" s="1"/>
  <c r="G2021" i="13"/>
  <c r="I2021" i="13" s="1"/>
  <c r="G2584" i="13"/>
  <c r="I2584" i="13" s="1"/>
  <c r="G2287" i="13"/>
  <c r="I2287" i="13" s="1"/>
  <c r="K2287" i="13" s="1"/>
  <c r="G253" i="13"/>
  <c r="I253" i="13" s="1"/>
  <c r="K253" i="13" s="1"/>
  <c r="G801" i="13"/>
  <c r="I801" i="13" s="1"/>
  <c r="K801" i="13" s="1"/>
  <c r="G268" i="13"/>
  <c r="I268" i="13" s="1"/>
  <c r="K268" i="13" s="1"/>
  <c r="G203" i="13"/>
  <c r="I203" i="13" s="1"/>
  <c r="G2808" i="13"/>
  <c r="I2808" i="13" s="1"/>
  <c r="G3657" i="13"/>
  <c r="G954" i="13"/>
  <c r="I954" i="13" s="1"/>
  <c r="K954" i="13" s="1"/>
  <c r="G2830" i="13"/>
  <c r="I2830" i="13" s="1"/>
  <c r="K2830" i="13" s="1"/>
  <c r="G4634" i="13"/>
  <c r="I4634" i="13" s="1"/>
  <c r="G1534" i="13"/>
  <c r="I1534" i="13" s="1"/>
  <c r="K1534" i="13" s="1"/>
  <c r="G2671" i="13"/>
  <c r="I2671" i="13" s="1"/>
  <c r="K2671" i="13" s="1"/>
  <c r="G2293" i="13"/>
  <c r="G782" i="13"/>
  <c r="I782" i="13" s="1"/>
  <c r="K782" i="13" s="1"/>
  <c r="G2676" i="13"/>
  <c r="I2676" i="13" s="1"/>
  <c r="G3955" i="13"/>
  <c r="G3043" i="13"/>
  <c r="I3043" i="13" s="1"/>
  <c r="G970" i="13"/>
  <c r="I970" i="13" s="1"/>
  <c r="K970" i="13" s="1"/>
  <c r="G2089" i="13"/>
  <c r="G1699" i="13"/>
  <c r="I1699" i="13" s="1"/>
  <c r="K1699" i="13" s="1"/>
  <c r="G4220" i="13"/>
  <c r="I4220" i="13" s="1"/>
  <c r="G798" i="13"/>
  <c r="I798" i="13" s="1"/>
  <c r="K798" i="13" s="1"/>
  <c r="G2016" i="13"/>
  <c r="I2016" i="13" s="1"/>
  <c r="G2466" i="13"/>
  <c r="I2466" i="13" s="1"/>
  <c r="G3274" i="13"/>
  <c r="I3274" i="13" s="1"/>
  <c r="G995" i="13"/>
  <c r="I995" i="13" s="1"/>
  <c r="G2759" i="13"/>
  <c r="I2759" i="13" s="1"/>
  <c r="K2759" i="13" s="1"/>
  <c r="G1547" i="13"/>
  <c r="I1547" i="13" s="1"/>
  <c r="G2520" i="13"/>
  <c r="G4865" i="13"/>
  <c r="I4865" i="13" s="1"/>
  <c r="K4865" i="13" s="1"/>
  <c r="G2006" i="13"/>
  <c r="I2006" i="13" s="1"/>
  <c r="G3402" i="13"/>
  <c r="I3402" i="13" s="1"/>
  <c r="G3232" i="13"/>
  <c r="I3232" i="13" s="1"/>
  <c r="G1237" i="13"/>
  <c r="G2688" i="13"/>
  <c r="I2688" i="13" s="1"/>
  <c r="G3462" i="13"/>
  <c r="I3462" i="13" s="1"/>
  <c r="G2540" i="13"/>
  <c r="I2540" i="13" s="1"/>
  <c r="K2540" i="13" s="1"/>
  <c r="G1712" i="13"/>
  <c r="I1712" i="13" s="1"/>
  <c r="G1162" i="13"/>
  <c r="I1162" i="13" s="1"/>
  <c r="G3663" i="13"/>
  <c r="I3663" i="13" s="1"/>
  <c r="K3663" i="13" s="1"/>
  <c r="G547" i="13"/>
  <c r="I547" i="13" s="1"/>
  <c r="G3448" i="13"/>
  <c r="I3448" i="13" s="1"/>
  <c r="G4640" i="13"/>
  <c r="I4640" i="13" s="1"/>
  <c r="G1873" i="13"/>
  <c r="I1873" i="13" s="1"/>
  <c r="K1873" i="13" s="1"/>
  <c r="G1961" i="13"/>
  <c r="G3173" i="13"/>
  <c r="G415" i="13"/>
  <c r="I415" i="13" s="1"/>
  <c r="K415" i="13" s="1"/>
  <c r="G4170" i="13"/>
  <c r="I4170" i="13" s="1"/>
  <c r="G4600" i="13"/>
  <c r="I4600" i="13" s="1"/>
  <c r="G4216" i="13"/>
  <c r="I4216" i="13" s="1"/>
  <c r="G4075" i="13"/>
  <c r="I4075" i="13" s="1"/>
  <c r="G4642" i="13"/>
  <c r="I4642" i="13" s="1"/>
  <c r="G1940" i="13"/>
  <c r="I1940" i="13" s="1"/>
  <c r="G465" i="13"/>
  <c r="I465" i="13" s="1"/>
  <c r="K465" i="13" s="1"/>
  <c r="G4803" i="13"/>
  <c r="G1425" i="13"/>
  <c r="I1425" i="13" s="1"/>
  <c r="K1425" i="13" s="1"/>
  <c r="G1808" i="13"/>
  <c r="I1808" i="13" s="1"/>
  <c r="G2909" i="13"/>
  <c r="I2909" i="13" s="1"/>
  <c r="K2909" i="13" s="1"/>
  <c r="G211" i="13"/>
  <c r="I211" i="13" s="1"/>
  <c r="G310" i="13"/>
  <c r="I310" i="13" s="1"/>
  <c r="G4845" i="13"/>
  <c r="I4845" i="13" s="1"/>
  <c r="K4845" i="13" s="1"/>
  <c r="G4511" i="13"/>
  <c r="I4511" i="13" s="1"/>
  <c r="G978" i="13"/>
  <c r="I978" i="13" s="1"/>
  <c r="G4181" i="13"/>
  <c r="G4621" i="13"/>
  <c r="I4621" i="13" s="1"/>
  <c r="K4621" i="13" s="1"/>
  <c r="G1851" i="13"/>
  <c r="I1851" i="13" s="1"/>
  <c r="G1948" i="13"/>
  <c r="I1948" i="13" s="1"/>
  <c r="K1948" i="13" s="1"/>
  <c r="G4794" i="13"/>
  <c r="I4794" i="13" s="1"/>
  <c r="G1467" i="13"/>
  <c r="I1467" i="13" s="1"/>
  <c r="G3574" i="13"/>
  <c r="I3574" i="13" s="1"/>
  <c r="G3959" i="13"/>
  <c r="I3959" i="13" s="1"/>
  <c r="G1179" i="13"/>
  <c r="I1179" i="13" s="1"/>
  <c r="G1103" i="13"/>
  <c r="I1103" i="13" s="1"/>
  <c r="K1103" i="13" s="1"/>
  <c r="G4355" i="13"/>
  <c r="G4711" i="13"/>
  <c r="I4711" i="13" s="1"/>
  <c r="K4711" i="13" s="1"/>
  <c r="G4898" i="13"/>
  <c r="I4898" i="13" s="1"/>
  <c r="G3784" i="13"/>
  <c r="I3784" i="13" s="1"/>
  <c r="G3096" i="13"/>
  <c r="I3096" i="13" s="1"/>
  <c r="G3340" i="13"/>
  <c r="I3340" i="13" s="1"/>
  <c r="K3340" i="13" s="1"/>
  <c r="G4633" i="13"/>
  <c r="I4633" i="13" s="1"/>
  <c r="G1864" i="13"/>
  <c r="G4403" i="13"/>
  <c r="G1318" i="13"/>
  <c r="I1318" i="13" s="1"/>
  <c r="G1885" i="13"/>
  <c r="I1885" i="13" s="1"/>
  <c r="K1885" i="13" s="1"/>
  <c r="G1642" i="13"/>
  <c r="I1642" i="13" s="1"/>
  <c r="G1877" i="13"/>
  <c r="G1348" i="13"/>
  <c r="I1348" i="13" s="1"/>
  <c r="G3210" i="13"/>
  <c r="I3210" i="13" s="1"/>
  <c r="K3210" i="13" s="1"/>
  <c r="G1168" i="13"/>
  <c r="I1168" i="13" s="1"/>
  <c r="G1923" i="13"/>
  <c r="I1923" i="13" s="1"/>
  <c r="G3076" i="13"/>
  <c r="I3076" i="13" s="1"/>
  <c r="G3723" i="13"/>
  <c r="I3723" i="13" s="1"/>
  <c r="G3509" i="13"/>
  <c r="G1735" i="13"/>
  <c r="I1735" i="13" s="1"/>
  <c r="K1735" i="13" s="1"/>
  <c r="G1565" i="13"/>
  <c r="I1565" i="13" s="1"/>
  <c r="K1565" i="13" s="1"/>
  <c r="G3127" i="13"/>
  <c r="I3127" i="13" s="1"/>
  <c r="G1544" i="13"/>
  <c r="G1841" i="13"/>
  <c r="I1841" i="13" s="1"/>
  <c r="K1841" i="13" s="1"/>
  <c r="G2678" i="13"/>
  <c r="I2678" i="13" s="1"/>
  <c r="G2154" i="13"/>
  <c r="I2154" i="13" s="1"/>
  <c r="G2698" i="13"/>
  <c r="I2698" i="13" s="1"/>
  <c r="G3186" i="13"/>
  <c r="I3186" i="13" s="1"/>
  <c r="G2223" i="13"/>
  <c r="I2223" i="13" s="1"/>
  <c r="K2223" i="13" s="1"/>
  <c r="G2265" i="13"/>
  <c r="G4444" i="13"/>
  <c r="I4444" i="13" s="1"/>
  <c r="G3601" i="13"/>
  <c r="I3601" i="13" s="1"/>
  <c r="K3601" i="13" s="1"/>
  <c r="G3884" i="13"/>
  <c r="I3884" i="13" s="1"/>
  <c r="G3869" i="13"/>
  <c r="I3869" i="13" s="1"/>
  <c r="K3869" i="13" s="1"/>
  <c r="G3168" i="13"/>
  <c r="I3168" i="13" s="1"/>
  <c r="G113" i="13"/>
  <c r="I113" i="13" s="1"/>
  <c r="K113" i="13" s="1"/>
  <c r="G1266" i="13"/>
  <c r="I1266" i="13" s="1"/>
  <c r="G157" i="13"/>
  <c r="I157" i="13" s="1"/>
  <c r="K157" i="13" s="1"/>
  <c r="G3766" i="13"/>
  <c r="I3766" i="13" s="1"/>
  <c r="G1241" i="13"/>
  <c r="G2594" i="13"/>
  <c r="I2594" i="13" s="1"/>
  <c r="G110" i="13"/>
  <c r="I110" i="13" s="1"/>
  <c r="K110" i="13" s="1"/>
  <c r="G780" i="13"/>
  <c r="I780" i="13" s="1"/>
  <c r="K780" i="13" s="1"/>
  <c r="G293" i="13"/>
  <c r="G1510" i="13"/>
  <c r="I1510" i="13" s="1"/>
  <c r="G2058" i="13"/>
  <c r="I2058" i="13" s="1"/>
  <c r="K2058" i="13" s="1"/>
  <c r="G2450" i="13"/>
  <c r="I2450" i="13" s="1"/>
  <c r="G2476" i="13"/>
  <c r="I2476" i="13" s="1"/>
  <c r="K2476" i="13" s="1"/>
  <c r="G2067" i="13"/>
  <c r="I2067" i="13" s="1"/>
  <c r="G4725" i="13"/>
  <c r="G1590" i="13"/>
  <c r="I1590" i="13" s="1"/>
  <c r="G339" i="13"/>
  <c r="I339" i="13" s="1"/>
  <c r="G2444" i="13"/>
  <c r="I2444" i="13" s="1"/>
  <c r="K2444" i="13" s="1"/>
  <c r="G3703" i="13"/>
  <c r="I3703" i="13" s="1"/>
  <c r="G1792" i="13"/>
  <c r="I1792" i="13" s="1"/>
  <c r="G2658" i="13"/>
  <c r="I2658" i="13" s="1"/>
  <c r="G1456" i="13"/>
  <c r="I1456" i="13" s="1"/>
  <c r="G4714" i="13"/>
  <c r="I4714" i="13" s="1"/>
  <c r="G1312" i="13"/>
  <c r="I1312" i="13" s="1"/>
  <c r="G1099" i="13"/>
  <c r="I1099" i="13" s="1"/>
  <c r="G3337" i="13"/>
  <c r="G605" i="13"/>
  <c r="I605" i="13" s="1"/>
  <c r="K605" i="13" s="1"/>
  <c r="G2127" i="13"/>
  <c r="I2127" i="13" s="1"/>
  <c r="K2127" i="13" s="1"/>
  <c r="G416" i="13"/>
  <c r="I416" i="13" s="1"/>
  <c r="G4192" i="13"/>
  <c r="I4192" i="13" s="1"/>
  <c r="G669" i="13"/>
  <c r="I669" i="13" s="1"/>
  <c r="K669" i="13" s="1"/>
  <c r="G4555" i="13"/>
  <c r="I4555" i="13" s="1"/>
  <c r="G2049" i="13"/>
  <c r="I2049" i="13" s="1"/>
  <c r="K2049" i="13" s="1"/>
  <c r="G3780" i="13"/>
  <c r="I3780" i="13" s="1"/>
  <c r="G1258" i="13"/>
  <c r="I1258" i="13" s="1"/>
  <c r="G670" i="13"/>
  <c r="I670" i="13" s="1"/>
  <c r="K670" i="13" s="1"/>
  <c r="G2110" i="13"/>
  <c r="I2110" i="13" s="1"/>
  <c r="K2110" i="13" s="1"/>
  <c r="G4025" i="13"/>
  <c r="I4025" i="13" s="1"/>
  <c r="G254" i="13"/>
  <c r="I254" i="13" s="1"/>
  <c r="K254" i="13" s="1"/>
  <c r="G231" i="13"/>
  <c r="I231" i="13" s="1"/>
  <c r="K231" i="13" s="1"/>
  <c r="G2303" i="13"/>
  <c r="I2303" i="13" s="1"/>
  <c r="K2303" i="13" s="1"/>
  <c r="G2013" i="13"/>
  <c r="I2013" i="13" s="1"/>
  <c r="K2013" i="13" s="1"/>
  <c r="G270" i="13"/>
  <c r="I270" i="13" s="1"/>
  <c r="K270" i="13" s="1"/>
  <c r="G3620" i="13"/>
  <c r="I3620" i="13" s="1"/>
  <c r="G3669" i="13"/>
  <c r="G4678" i="13"/>
  <c r="I4678" i="13" s="1"/>
  <c r="G2198" i="13"/>
  <c r="I2198" i="13" s="1"/>
  <c r="G4532" i="13"/>
  <c r="I4532" i="13" s="1"/>
  <c r="G3598" i="13"/>
  <c r="I3598" i="13" s="1"/>
  <c r="K3598" i="13" s="1"/>
  <c r="G3088" i="13"/>
  <c r="I3088" i="13" s="1"/>
  <c r="G4347" i="13"/>
  <c r="I4347" i="13" s="1"/>
  <c r="G3956" i="13"/>
  <c r="I3956" i="13" s="1"/>
  <c r="G4830" i="13"/>
  <c r="I4830" i="13" s="1"/>
  <c r="K4830" i="13" s="1"/>
  <c r="G4306" i="13"/>
  <c r="I4306" i="13" s="1"/>
  <c r="G2923" i="13"/>
  <c r="I2923" i="13" s="1"/>
  <c r="G67" i="13"/>
  <c r="I67" i="13" s="1"/>
  <c r="G4410" i="13"/>
  <c r="I4410" i="13" s="1"/>
  <c r="K4410" i="13" s="1"/>
  <c r="G727" i="13"/>
  <c r="I727" i="13" s="1"/>
  <c r="K727" i="13" s="1"/>
  <c r="G4168" i="13"/>
  <c r="I4168" i="13" s="1"/>
  <c r="G2583" i="13"/>
  <c r="I2583" i="13" s="1"/>
  <c r="G4566" i="13"/>
  <c r="I4566" i="13" s="1"/>
  <c r="K4566" i="13" s="1"/>
  <c r="G4165" i="13"/>
  <c r="G2518" i="13"/>
  <c r="I2518" i="13" s="1"/>
  <c r="G1499" i="13"/>
  <c r="I1499" i="13" s="1"/>
  <c r="G2534" i="13"/>
  <c r="I2534" i="13" s="1"/>
  <c r="G1213" i="13"/>
  <c r="I1213" i="13" s="1"/>
  <c r="K1213" i="13" s="1"/>
  <c r="G867" i="13"/>
  <c r="I867" i="13" s="1"/>
  <c r="G4610" i="13"/>
  <c r="I4610" i="13" s="1"/>
  <c r="G3793" i="13"/>
  <c r="I3793" i="13" s="1"/>
  <c r="K3793" i="13" s="1"/>
  <c r="G4543" i="13"/>
  <c r="I4543" i="13" s="1"/>
  <c r="K4543" i="13" s="1"/>
  <c r="G2235" i="13"/>
  <c r="I2235" i="13" s="1"/>
  <c r="G4488" i="13"/>
  <c r="I4488" i="13" s="1"/>
  <c r="G1159" i="13"/>
  <c r="I1159" i="13" s="1"/>
  <c r="K1159" i="13" s="1"/>
  <c r="G324" i="13"/>
  <c r="I324" i="13" s="1"/>
  <c r="G306" i="13"/>
  <c r="I306" i="13" s="1"/>
  <c r="G1496" i="13"/>
  <c r="I1496" i="13" s="1"/>
  <c r="G356" i="13"/>
  <c r="I356" i="13" s="1"/>
  <c r="G1203" i="13"/>
  <c r="I1203" i="13" s="1"/>
  <c r="G1686" i="13"/>
  <c r="I1686" i="13" s="1"/>
  <c r="G1416" i="13"/>
  <c r="G2869" i="13"/>
  <c r="I2869" i="13" s="1"/>
  <c r="G2708" i="13"/>
  <c r="I2708" i="13" s="1"/>
  <c r="G1037" i="13"/>
  <c r="I1037" i="13" s="1"/>
  <c r="K1037" i="13" s="1"/>
  <c r="G4556" i="13"/>
  <c r="I4556" i="13" s="1"/>
  <c r="G3810" i="13"/>
  <c r="I3810" i="13" s="1"/>
  <c r="G932" i="13"/>
  <c r="I932" i="13" s="1"/>
  <c r="G1131" i="13"/>
  <c r="I1131" i="13" s="1"/>
  <c r="G1002" i="13"/>
  <c r="I1002" i="13" s="1"/>
  <c r="K1002" i="13" s="1"/>
  <c r="G85" i="13"/>
  <c r="G4266" i="13"/>
  <c r="I4266" i="13" s="1"/>
  <c r="G3230" i="13"/>
  <c r="I3230" i="13" s="1"/>
  <c r="K3230" i="13" s="1"/>
  <c r="G2988" i="13"/>
  <c r="I2988" i="13" s="1"/>
  <c r="G221" i="13"/>
  <c r="I221" i="13" s="1"/>
  <c r="K221" i="13" s="1"/>
  <c r="G4580" i="13"/>
  <c r="I4580" i="13" s="1"/>
  <c r="G909" i="13"/>
  <c r="I909" i="13" s="1"/>
  <c r="K909" i="13" s="1"/>
  <c r="G3426" i="13"/>
  <c r="I3426" i="13" s="1"/>
  <c r="G1200" i="13"/>
  <c r="I1200" i="13" s="1"/>
  <c r="G927" i="13"/>
  <c r="I927" i="13" s="1"/>
  <c r="K927" i="13" s="1"/>
  <c r="G857" i="13"/>
  <c r="G193" i="13"/>
  <c r="I193" i="13" s="1"/>
  <c r="K193" i="13" s="1"/>
  <c r="G1595" i="13"/>
  <c r="I1595" i="13" s="1"/>
  <c r="G2619" i="13"/>
  <c r="I2619" i="13" s="1"/>
  <c r="G1883" i="13"/>
  <c r="I1883" i="13" s="1"/>
  <c r="G2819" i="13"/>
  <c r="I2819" i="13" s="1"/>
  <c r="K2819" i="13" s="1"/>
  <c r="G4613" i="13"/>
  <c r="G1955" i="13"/>
  <c r="I1955" i="13" s="1"/>
  <c r="G2371" i="13"/>
  <c r="I2371" i="13" s="1"/>
  <c r="G3627" i="13"/>
  <c r="I3627" i="13" s="1"/>
  <c r="G2340" i="13"/>
  <c r="I2340" i="13" s="1"/>
  <c r="G1440" i="13"/>
  <c r="I1440" i="13" s="1"/>
  <c r="G2470" i="13"/>
  <c r="I2470" i="13" s="1"/>
  <c r="G3828" i="13"/>
  <c r="I3828" i="13" s="1"/>
  <c r="G2640" i="13"/>
  <c r="I2640" i="13" s="1"/>
  <c r="G3201" i="13"/>
  <c r="I3201" i="13" s="1"/>
  <c r="K3201" i="13" s="1"/>
  <c r="G3155" i="13"/>
  <c r="I3155" i="13" s="1"/>
  <c r="G1448" i="13"/>
  <c r="G2987" i="13"/>
  <c r="I2987" i="13" s="1"/>
  <c r="G1286" i="13"/>
  <c r="I1286" i="13" s="1"/>
  <c r="G1032" i="13"/>
  <c r="G91" i="13"/>
  <c r="I91" i="13" s="1"/>
  <c r="G2481" i="13"/>
  <c r="I2481" i="13" s="1"/>
  <c r="K2481" i="13" s="1"/>
  <c r="G1356" i="13"/>
  <c r="I1356" i="13" s="1"/>
  <c r="K1356" i="13" s="1"/>
  <c r="G2908" i="13"/>
  <c r="I2908" i="13" s="1"/>
  <c r="K2908" i="13" s="1"/>
  <c r="G2858" i="13"/>
  <c r="I2858" i="13" s="1"/>
  <c r="G1538" i="13"/>
  <c r="I1538" i="13" s="1"/>
  <c r="G1916" i="13"/>
  <c r="I1916" i="13" s="1"/>
  <c r="K1916" i="13" s="1"/>
  <c r="G4575" i="13"/>
  <c r="I4575" i="13" s="1"/>
  <c r="G1569" i="13"/>
  <c r="I1569" i="13" s="1"/>
  <c r="K1569" i="13" s="1"/>
  <c r="G590" i="13"/>
  <c r="I590" i="13" s="1"/>
  <c r="K590" i="13" s="1"/>
  <c r="G1370" i="13"/>
  <c r="I1370" i="13" s="1"/>
  <c r="G2019" i="13"/>
  <c r="I2019" i="13" s="1"/>
  <c r="G4456" i="13"/>
  <c r="I4456" i="13" s="1"/>
  <c r="G3751" i="13"/>
  <c r="I3751" i="13" s="1"/>
  <c r="G1326" i="13"/>
  <c r="I1326" i="13" s="1"/>
  <c r="K1326" i="13" s="1"/>
  <c r="G1426" i="13"/>
  <c r="I1426" i="13" s="1"/>
  <c r="G2731" i="13"/>
  <c r="I2731" i="13" s="1"/>
  <c r="G3952" i="13"/>
  <c r="I3952" i="13" s="1"/>
  <c r="G1535" i="13"/>
  <c r="I1535" i="13" s="1"/>
  <c r="K1535" i="13" s="1"/>
  <c r="G2697" i="13"/>
  <c r="G1886" i="13"/>
  <c r="I1886" i="13" s="1"/>
  <c r="K1886" i="13" s="1"/>
  <c r="G3701" i="13"/>
  <c r="G3105" i="13"/>
  <c r="I3105" i="13" s="1"/>
  <c r="K3105" i="13" s="1"/>
  <c r="G3781" i="13"/>
  <c r="G642" i="13"/>
  <c r="I642" i="13" s="1"/>
  <c r="G2279" i="13"/>
  <c r="I2279" i="13" s="1"/>
  <c r="K2279" i="13" s="1"/>
  <c r="G868" i="13"/>
  <c r="I868" i="13" s="1"/>
  <c r="G1450" i="13"/>
  <c r="I1450" i="13" s="1"/>
  <c r="G1957" i="13"/>
  <c r="G1214" i="13"/>
  <c r="I1214" i="13" s="1"/>
  <c r="K1214" i="13" s="1"/>
  <c r="G121" i="13"/>
  <c r="G1396" i="13"/>
  <c r="I1396" i="13" s="1"/>
  <c r="G3512" i="13"/>
  <c r="G4545" i="13"/>
  <c r="I4545" i="13" s="1"/>
  <c r="K4545" i="13" s="1"/>
  <c r="G2963" i="13"/>
  <c r="I2963" i="13" s="1"/>
  <c r="G4240" i="13"/>
  <c r="I4240" i="13" s="1"/>
  <c r="G1385" i="13"/>
  <c r="G2940" i="13"/>
  <c r="I2940" i="13" s="1"/>
  <c r="K2940" i="13" s="1"/>
  <c r="G2455" i="13"/>
  <c r="I2455" i="13" s="1"/>
  <c r="G3319" i="13"/>
  <c r="I3319" i="13" s="1"/>
  <c r="G2399" i="13"/>
  <c r="I2399" i="13" s="1"/>
  <c r="K2399" i="13" s="1"/>
  <c r="G2411" i="13"/>
  <c r="I2411" i="13" s="1"/>
  <c r="G3180" i="13"/>
  <c r="I3180" i="13" s="1"/>
  <c r="G662" i="13"/>
  <c r="I662" i="13" s="1"/>
  <c r="G3030" i="13"/>
  <c r="I3030" i="13" s="1"/>
  <c r="G3389" i="13"/>
  <c r="I3389" i="13" s="1"/>
  <c r="K3389" i="13" s="1"/>
  <c r="G2234" i="13"/>
  <c r="I2234" i="13" s="1"/>
  <c r="G3013" i="13"/>
  <c r="G667" i="13"/>
  <c r="I667" i="13" s="1"/>
  <c r="G169" i="13"/>
  <c r="G2864" i="13"/>
  <c r="I2864" i="13" s="1"/>
  <c r="G3083" i="13"/>
  <c r="I3083" i="13" s="1"/>
  <c r="G4866" i="13"/>
  <c r="I4866" i="13" s="1"/>
  <c r="G612" i="13"/>
  <c r="I612" i="13" s="1"/>
  <c r="G4533" i="13"/>
  <c r="G712" i="13"/>
  <c r="G4546" i="13"/>
  <c r="I4546" i="13" s="1"/>
  <c r="G4397" i="13"/>
  <c r="I4397" i="13" s="1"/>
  <c r="K4397" i="13" s="1"/>
  <c r="G2454" i="13"/>
  <c r="I2454" i="13" s="1"/>
  <c r="G3269" i="13"/>
  <c r="G4214" i="13"/>
  <c r="I4214" i="13" s="1"/>
  <c r="G4606" i="13"/>
  <c r="I4606" i="13" s="1"/>
  <c r="K4606" i="13" s="1"/>
  <c r="G770" i="13"/>
  <c r="I770" i="13" s="1"/>
  <c r="G4270" i="13"/>
  <c r="I4270" i="13" s="1"/>
  <c r="K4270" i="13" s="1"/>
  <c r="G3075" i="13"/>
  <c r="I3075" i="13" s="1"/>
  <c r="K3075" i="13" s="1"/>
  <c r="G2926" i="13"/>
  <c r="I2926" i="13" s="1"/>
  <c r="K2926" i="13" s="1"/>
  <c r="G3643" i="13"/>
  <c r="I3643" i="13" s="1"/>
  <c r="G4697" i="13"/>
  <c r="I4697" i="13" s="1"/>
  <c r="G1427" i="13"/>
  <c r="I1427" i="13" s="1"/>
  <c r="G3557" i="13"/>
  <c r="G768" i="13"/>
  <c r="I768" i="13" s="1"/>
  <c r="G904" i="13"/>
  <c r="I904" i="13" s="1"/>
  <c r="G558" i="13"/>
  <c r="I558" i="13" s="1"/>
  <c r="K558" i="13" s="1"/>
  <c r="G4302" i="13"/>
  <c r="I4302" i="13" s="1"/>
  <c r="K4302" i="13" s="1"/>
  <c r="G2036" i="13"/>
  <c r="I2036" i="13" s="1"/>
  <c r="G2291" i="13"/>
  <c r="I2291" i="13" s="1"/>
  <c r="G974" i="13"/>
  <c r="I974" i="13" s="1"/>
  <c r="K974" i="13" s="1"/>
  <c r="G3974" i="13"/>
  <c r="I3974" i="13" s="1"/>
  <c r="G3061" i="13"/>
  <c r="G2751" i="13"/>
  <c r="I2751" i="13" s="1"/>
  <c r="K2751" i="13" s="1"/>
  <c r="G1322" i="13"/>
  <c r="I1322" i="13" s="1"/>
  <c r="K1322" i="13" s="1"/>
  <c r="G1757" i="13"/>
  <c r="I1757" i="13" s="1"/>
  <c r="K1757" i="13" s="1"/>
  <c r="G183" i="13"/>
  <c r="I183" i="13" s="1"/>
  <c r="K183" i="13" s="1"/>
  <c r="G1134" i="13"/>
  <c r="I1134" i="13" s="1"/>
  <c r="K1134" i="13" s="1"/>
  <c r="G4817" i="13"/>
  <c r="I4817" i="13" s="1"/>
  <c r="K4817" i="13" s="1"/>
  <c r="G2954" i="13"/>
  <c r="I2954" i="13" s="1"/>
  <c r="G4777" i="13"/>
  <c r="I4777" i="13" s="1"/>
  <c r="G1831" i="13"/>
  <c r="I1831" i="13" s="1"/>
  <c r="K1831" i="13" s="1"/>
  <c r="G2847" i="13"/>
  <c r="I2847" i="13" s="1"/>
  <c r="K2847" i="13" s="1"/>
  <c r="G3776" i="13"/>
  <c r="I3776" i="13" s="1"/>
  <c r="G226" i="13"/>
  <c r="I226" i="13" s="1"/>
  <c r="G238" i="13"/>
  <c r="I238" i="13" s="1"/>
  <c r="K238" i="13" s="1"/>
  <c r="G2739" i="13"/>
  <c r="I2739" i="13" s="1"/>
  <c r="K2739" i="13" s="1"/>
  <c r="G4846" i="13"/>
  <c r="I4846" i="13" s="1"/>
  <c r="G587" i="13"/>
  <c r="I587" i="13" s="1"/>
  <c r="G400" i="13"/>
  <c r="I400" i="13" s="1"/>
  <c r="G1748" i="13"/>
  <c r="I1748" i="13" s="1"/>
  <c r="G1058" i="13"/>
  <c r="I1058" i="13" s="1"/>
  <c r="G910" i="13"/>
  <c r="I910" i="13" s="1"/>
  <c r="K910" i="13" s="1"/>
  <c r="G3573" i="13"/>
  <c r="G3541" i="13"/>
  <c r="G4053" i="13"/>
  <c r="G3542" i="13"/>
  <c r="I3542" i="13" s="1"/>
  <c r="G1663" i="13"/>
  <c r="I1663" i="13" s="1"/>
  <c r="K1663" i="13" s="1"/>
  <c r="G3596" i="13"/>
  <c r="I3596" i="13" s="1"/>
  <c r="K3596" i="13" s="1"/>
  <c r="G164" i="13"/>
  <c r="I164" i="13" s="1"/>
  <c r="G1733" i="13"/>
  <c r="G4722" i="13"/>
  <c r="I4722" i="13" s="1"/>
  <c r="G3439" i="13"/>
  <c r="I3439" i="13" s="1"/>
  <c r="K3439" i="13" s="1"/>
  <c r="G4882" i="13"/>
  <c r="I4882" i="13" s="1"/>
  <c r="G1591" i="13"/>
  <c r="I1591" i="13" s="1"/>
  <c r="K1591" i="13" s="1"/>
  <c r="G4876" i="13"/>
  <c r="I4876" i="13" s="1"/>
  <c r="G1761" i="13"/>
  <c r="I1761" i="13" s="1"/>
  <c r="K1761" i="13" s="1"/>
  <c r="G3484" i="13"/>
  <c r="I3484" i="13" s="1"/>
  <c r="G4134" i="13"/>
  <c r="I4134" i="13" s="1"/>
  <c r="K4134" i="13" s="1"/>
  <c r="G1349" i="13"/>
  <c r="G1372" i="13"/>
  <c r="I1372" i="13" s="1"/>
  <c r="K1372" i="13" s="1"/>
  <c r="G4398" i="13"/>
  <c r="I4398" i="13" s="1"/>
  <c r="K4398" i="13" s="1"/>
  <c r="G4351" i="13"/>
  <c r="I4351" i="13" s="1"/>
  <c r="G1588" i="13"/>
  <c r="I1588" i="13" s="1"/>
  <c r="G179" i="13"/>
  <c r="I179" i="13" s="1"/>
  <c r="G3164" i="13"/>
  <c r="I3164" i="13" s="1"/>
  <c r="G1492" i="13"/>
  <c r="I1492" i="13" s="1"/>
  <c r="G684" i="13"/>
  <c r="I684" i="13" s="1"/>
  <c r="K684" i="13" s="1"/>
  <c r="G3639" i="13"/>
  <c r="I3639" i="13" s="1"/>
  <c r="G4741" i="13"/>
  <c r="G3183" i="13"/>
  <c r="I3183" i="13" s="1"/>
  <c r="K3183" i="13" s="1"/>
  <c r="G2492" i="13"/>
  <c r="I2492" i="13" s="1"/>
  <c r="K2492" i="13" s="1"/>
  <c r="G3510" i="13"/>
  <c r="I3510" i="13" s="1"/>
  <c r="G763" i="13"/>
  <c r="I763" i="13" s="1"/>
  <c r="G649" i="13"/>
  <c r="G282" i="13"/>
  <c r="I282" i="13" s="1"/>
  <c r="K282" i="13" s="1"/>
  <c r="G1088" i="13"/>
  <c r="I1088" i="13" s="1"/>
  <c r="G1344" i="13"/>
  <c r="I1344" i="13" s="1"/>
  <c r="G922" i="13"/>
  <c r="I922" i="13" s="1"/>
  <c r="K922" i="13" s="1"/>
  <c r="G1104" i="13"/>
  <c r="I1104" i="13" s="1"/>
  <c r="G4008" i="13"/>
  <c r="I4008" i="13" s="1"/>
  <c r="G3366" i="13"/>
  <c r="I3366" i="13" s="1"/>
  <c r="G1752" i="13"/>
  <c r="G2321" i="13"/>
  <c r="I2321" i="13" s="1"/>
  <c r="K2321" i="13" s="1"/>
  <c r="G3085" i="13"/>
  <c r="I3085" i="13" s="1"/>
  <c r="K3085" i="13" s="1"/>
  <c r="G93" i="13"/>
  <c r="I93" i="13" s="1"/>
  <c r="K93" i="13" s="1"/>
  <c r="G4548" i="13"/>
  <c r="I4548" i="13" s="1"/>
  <c r="G2508" i="13"/>
  <c r="I2508" i="13" s="1"/>
  <c r="K2508" i="13" s="1"/>
  <c r="G1927" i="13"/>
  <c r="I1927" i="13" s="1"/>
  <c r="K1927" i="13" s="1"/>
  <c r="G3765" i="13"/>
  <c r="G3403" i="13"/>
  <c r="I3403" i="13" s="1"/>
  <c r="G3519" i="13"/>
  <c r="I3519" i="13" s="1"/>
  <c r="K3519" i="13" s="1"/>
  <c r="G2253" i="13"/>
  <c r="I2253" i="13" s="1"/>
  <c r="K2253" i="13" s="1"/>
  <c r="G2686" i="13"/>
  <c r="I2686" i="13" s="1"/>
  <c r="K2686" i="13" s="1"/>
  <c r="G3140" i="13"/>
  <c r="I3140" i="13" s="1"/>
  <c r="G3731" i="13"/>
  <c r="I3731" i="13" s="1"/>
  <c r="G1127" i="13"/>
  <c r="I1127" i="13" s="1"/>
  <c r="K1127" i="13" s="1"/>
  <c r="G1627" i="13"/>
  <c r="I1627" i="13" s="1"/>
  <c r="G4629" i="13"/>
  <c r="G3564" i="13"/>
  <c r="I3564" i="13" s="1"/>
  <c r="G2628" i="13"/>
  <c r="I2628" i="13" s="1"/>
  <c r="G1014" i="13"/>
  <c r="I1014" i="13" s="1"/>
  <c r="G677" i="13"/>
  <c r="G1667" i="13"/>
  <c r="I1667" i="13" s="1"/>
  <c r="K1667" i="13" s="1"/>
  <c r="G509" i="13"/>
  <c r="I509" i="13" s="1"/>
  <c r="K509" i="13" s="1"/>
  <c r="G598" i="13"/>
  <c r="I598" i="13" s="1"/>
  <c r="G2844" i="13"/>
  <c r="I2844" i="13" s="1"/>
  <c r="K2844" i="13" s="1"/>
  <c r="G4787" i="13"/>
  <c r="G847" i="13"/>
  <c r="I847" i="13" s="1"/>
  <c r="K847" i="13" s="1"/>
  <c r="G1709" i="13"/>
  <c r="I1709" i="13" s="1"/>
  <c r="K1709" i="13" s="1"/>
  <c r="G3633" i="13"/>
  <c r="I3633" i="13" s="1"/>
  <c r="K3633" i="13" s="1"/>
  <c r="G4337" i="13"/>
  <c r="I4337" i="13" s="1"/>
  <c r="K4337" i="13" s="1"/>
  <c r="G218" i="13"/>
  <c r="I218" i="13" s="1"/>
  <c r="K218" i="13" s="1"/>
  <c r="G1243" i="13"/>
  <c r="I1243" i="13" s="1"/>
  <c r="G3323" i="13"/>
  <c r="I3323" i="13" s="1"/>
  <c r="G139" i="13"/>
  <c r="I139" i="13" s="1"/>
  <c r="G190" i="13"/>
  <c r="I190" i="13" s="1"/>
  <c r="K190" i="13" s="1"/>
  <c r="G1646" i="13"/>
  <c r="I1646" i="13" s="1"/>
  <c r="K1646" i="13" s="1"/>
  <c r="G3839" i="13"/>
  <c r="I3839" i="13" s="1"/>
  <c r="K3839" i="13" s="1"/>
  <c r="G572" i="13"/>
  <c r="I572" i="13" s="1"/>
  <c r="K572" i="13" s="1"/>
  <c r="G3289" i="13"/>
  <c r="G4196" i="13"/>
  <c r="I4196" i="13" s="1"/>
  <c r="G787" i="13"/>
  <c r="I787" i="13" s="1"/>
  <c r="G4166" i="13"/>
  <c r="I4166" i="13" s="1"/>
  <c r="G538" i="13"/>
  <c r="I538" i="13" s="1"/>
  <c r="K538" i="13" s="1"/>
  <c r="G1114" i="13"/>
  <c r="I1114" i="13" s="1"/>
  <c r="G2758" i="13"/>
  <c r="I2758" i="13" s="1"/>
  <c r="G1738" i="13"/>
  <c r="I1738" i="13" s="1"/>
  <c r="G1335" i="13"/>
  <c r="I1335" i="13" s="1"/>
  <c r="K1335" i="13" s="1"/>
  <c r="G1765" i="13"/>
  <c r="G2109" i="13"/>
  <c r="I2109" i="13" s="1"/>
  <c r="K2109" i="13" s="1"/>
  <c r="G86" i="13"/>
  <c r="I86" i="13" s="1"/>
  <c r="G60" i="13"/>
  <c r="I60" i="13" s="1"/>
  <c r="K60" i="13" s="1"/>
  <c r="G2221" i="13"/>
  <c r="I2221" i="13" s="1"/>
  <c r="K2221" i="13" s="1"/>
  <c r="G384" i="13"/>
  <c r="I384" i="13" s="1"/>
  <c r="G2948" i="13"/>
  <c r="I2948" i="13" s="1"/>
  <c r="G4499" i="13"/>
  <c r="I4499" i="13" s="1"/>
  <c r="G3516" i="13"/>
  <c r="I3516" i="13" s="1"/>
  <c r="G3585" i="13"/>
  <c r="I3585" i="13" s="1"/>
  <c r="K3585" i="13" s="1"/>
  <c r="G2934" i="13"/>
  <c r="I2934" i="13" s="1"/>
  <c r="G294" i="13"/>
  <c r="I294" i="13" s="1"/>
  <c r="G3406" i="13"/>
  <c r="I3406" i="13" s="1"/>
  <c r="K3406" i="13" s="1"/>
  <c r="G3836" i="13"/>
  <c r="I3836" i="13" s="1"/>
  <c r="G2672" i="13"/>
  <c r="I2672" i="13" s="1"/>
  <c r="G1153" i="13"/>
  <c r="I1153" i="13" s="1"/>
  <c r="K1153" i="13" s="1"/>
  <c r="G2770" i="13"/>
  <c r="I2770" i="13" s="1"/>
  <c r="G737" i="13"/>
  <c r="I737" i="13" s="1"/>
  <c r="K737" i="13" s="1"/>
  <c r="G1635" i="13"/>
  <c r="I1635" i="13" s="1"/>
  <c r="G2457" i="13"/>
  <c r="G1766" i="13"/>
  <c r="I1766" i="13" s="1"/>
  <c r="G609" i="13"/>
  <c r="I609" i="13" s="1"/>
  <c r="K609" i="13" s="1"/>
  <c r="G1062" i="13"/>
  <c r="I1062" i="13" s="1"/>
  <c r="G4778" i="13"/>
  <c r="I4778" i="13" s="1"/>
  <c r="G775" i="13"/>
  <c r="I775" i="13" s="1"/>
  <c r="K775" i="13" s="1"/>
  <c r="G788" i="13"/>
  <c r="I788" i="13" s="1"/>
  <c r="G2456" i="13"/>
  <c r="G3215" i="13"/>
  <c r="I3215" i="13" s="1"/>
  <c r="K3215" i="13" s="1"/>
  <c r="G1297" i="13"/>
  <c r="I1297" i="13" s="1"/>
  <c r="K1297" i="13" s="1"/>
  <c r="G3813" i="13"/>
  <c r="G2280" i="13"/>
  <c r="I2280" i="13" s="1"/>
  <c r="G4473" i="13"/>
  <c r="I4473" i="13" s="1"/>
  <c r="G979" i="13"/>
  <c r="I979" i="13" s="1"/>
  <c r="G1043" i="13"/>
  <c r="I1043" i="13" s="1"/>
  <c r="G4843" i="13"/>
  <c r="I4843" i="13" s="1"/>
  <c r="G76" i="13"/>
  <c r="I76" i="13" s="1"/>
  <c r="K76" i="13" s="1"/>
  <c r="G4826" i="13"/>
  <c r="I4826" i="13" s="1"/>
  <c r="G860" i="13"/>
  <c r="I860" i="13" s="1"/>
  <c r="K860" i="13" s="1"/>
  <c r="G3957" i="13"/>
  <c r="G562" i="13"/>
  <c r="I562" i="13" s="1"/>
  <c r="G4379" i="13"/>
  <c r="I4379" i="13" s="1"/>
  <c r="G4637" i="13"/>
  <c r="I4637" i="13" s="1"/>
  <c r="K4637" i="13" s="1"/>
  <c r="G2260" i="13"/>
  <c r="I2260" i="13" s="1"/>
  <c r="G3490" i="13"/>
  <c r="I3490" i="13" s="1"/>
  <c r="G2388" i="13"/>
  <c r="I2388" i="13" s="1"/>
  <c r="G4182" i="13"/>
  <c r="I4182" i="13" s="1"/>
  <c r="G3239" i="13"/>
  <c r="I3239" i="13" s="1"/>
  <c r="G3081" i="13"/>
  <c r="I3081" i="13" s="1"/>
  <c r="K3081" i="13" s="1"/>
  <c r="G1980" i="13"/>
  <c r="I1980" i="13" s="1"/>
  <c r="K1980" i="13" s="1"/>
  <c r="G1583" i="13"/>
  <c r="I1583" i="13" s="1"/>
  <c r="K1583" i="13" s="1"/>
  <c r="G4365" i="13"/>
  <c r="I4365" i="13" s="1"/>
  <c r="K4365" i="13" s="1"/>
  <c r="G1532" i="13"/>
  <c r="I1532" i="13" s="1"/>
  <c r="K1532" i="13" s="1"/>
  <c r="G1817" i="13"/>
  <c r="G286" i="13"/>
  <c r="I286" i="13" s="1"/>
  <c r="K286" i="13" s="1"/>
  <c r="G357" i="13"/>
  <c r="G281" i="13"/>
  <c r="G999" i="13"/>
  <c r="I999" i="13" s="1"/>
  <c r="K999" i="13" s="1"/>
  <c r="G711" i="13"/>
  <c r="I711" i="13" s="1"/>
  <c r="K711" i="13" s="1"/>
  <c r="G3966" i="13"/>
  <c r="I3966" i="13" s="1"/>
  <c r="K3966" i="13" s="1"/>
  <c r="G2803" i="13"/>
  <c r="I2803" i="13" s="1"/>
  <c r="G3969" i="13"/>
  <c r="I3969" i="13" s="1"/>
  <c r="K3969" i="13" s="1"/>
  <c r="G956" i="13"/>
  <c r="I956" i="13" s="1"/>
  <c r="K956" i="13" s="1"/>
  <c r="G1319" i="13"/>
  <c r="I1319" i="13" s="1"/>
  <c r="K1319" i="13" s="1"/>
  <c r="G1474" i="13"/>
  <c r="I1474" i="13" s="1"/>
  <c r="G396" i="13"/>
  <c r="I396" i="13" s="1"/>
  <c r="K396" i="13" s="1"/>
  <c r="G3992" i="13"/>
  <c r="I3992" i="13" s="1"/>
  <c r="G1055" i="13"/>
  <c r="I1055" i="13" s="1"/>
  <c r="K1055" i="13" s="1"/>
  <c r="G3528" i="13"/>
  <c r="I3528" i="13" s="1"/>
  <c r="G4385" i="13"/>
  <c r="I4385" i="13" s="1"/>
  <c r="K4385" i="13" s="1"/>
  <c r="G3561" i="13"/>
  <c r="G2949" i="13"/>
  <c r="G3283" i="13"/>
  <c r="I3283" i="13" s="1"/>
  <c r="G1972" i="13"/>
  <c r="I1972" i="13" s="1"/>
  <c r="G248" i="13"/>
  <c r="G3240" i="13"/>
  <c r="I3240" i="13" s="1"/>
  <c r="G2274" i="13"/>
  <c r="I2274" i="13" s="1"/>
  <c r="G1633" i="13"/>
  <c r="I1633" i="13" s="1"/>
  <c r="K1633" i="13" s="1"/>
  <c r="G2024" i="13"/>
  <c r="G2362" i="13"/>
  <c r="I2362" i="13" s="1"/>
  <c r="G4033" i="13"/>
  <c r="I4033" i="13" s="1"/>
  <c r="K4033" i="13" s="1"/>
  <c r="G66" i="13"/>
  <c r="I66" i="13" s="1"/>
  <c r="G4527" i="13"/>
  <c r="I4527" i="13" s="1"/>
  <c r="G4335" i="13"/>
  <c r="I4335" i="13" s="1"/>
  <c r="K4335" i="13" s="1"/>
  <c r="G3921" i="13"/>
  <c r="I3921" i="13" s="1"/>
  <c r="K3921" i="13" s="1"/>
  <c r="G1431" i="13"/>
  <c r="I1431" i="13" s="1"/>
  <c r="K1431" i="13" s="1"/>
  <c r="G1077" i="13"/>
  <c r="G2115" i="13"/>
  <c r="I2115" i="13" s="1"/>
  <c r="K2115" i="13" s="1"/>
  <c r="G1040" i="13"/>
  <c r="I1040" i="13" s="1"/>
  <c r="G4296" i="13"/>
  <c r="I4296" i="13" s="1"/>
  <c r="G3551" i="13"/>
  <c r="I3551" i="13" s="1"/>
  <c r="K3551" i="13" s="1"/>
  <c r="G3120" i="13"/>
  <c r="I3120" i="13" s="1"/>
  <c r="G1840" i="13"/>
  <c r="I1840" i="13" s="1"/>
  <c r="G2451" i="13"/>
  <c r="I2451" i="13" s="1"/>
  <c r="G3840" i="13"/>
  <c r="I3840" i="13" s="1"/>
  <c r="G3470" i="13"/>
  <c r="I3470" i="13" s="1"/>
  <c r="K3470" i="13" s="1"/>
  <c r="G4677" i="13"/>
  <c r="G4241" i="13"/>
  <c r="I4241" i="13" s="1"/>
  <c r="K4241" i="13" s="1"/>
  <c r="G3014" i="13"/>
  <c r="I3014" i="13" s="1"/>
  <c r="G2391" i="13"/>
  <c r="I2391" i="13" s="1"/>
  <c r="G200" i="13"/>
  <c r="G140" i="13"/>
  <c r="I140" i="13" s="1"/>
  <c r="K140" i="13" s="1"/>
  <c r="G2356" i="13"/>
  <c r="I2356" i="13" s="1"/>
  <c r="G4346" i="13"/>
  <c r="I4346" i="13" s="1"/>
  <c r="G4135" i="13"/>
  <c r="I4135" i="13" s="1"/>
  <c r="G4819" i="13"/>
  <c r="G2653" i="13"/>
  <c r="I2653" i="13" s="1"/>
  <c r="K2653" i="13" s="1"/>
  <c r="G4143" i="13"/>
  <c r="I4143" i="13" s="1"/>
  <c r="K4143" i="13" s="1"/>
  <c r="G1734" i="13"/>
  <c r="I1734" i="13" s="1"/>
  <c r="G1793" i="13"/>
  <c r="I1793" i="13" s="1"/>
  <c r="K1793" i="13" s="1"/>
  <c r="G1283" i="13"/>
  <c r="I1283" i="13" s="1"/>
  <c r="G4851" i="13"/>
  <c r="I4851" i="13" s="1"/>
  <c r="G371" i="13"/>
  <c r="I371" i="13" s="1"/>
  <c r="G874" i="13"/>
  <c r="I874" i="13" s="1"/>
  <c r="K874" i="13" s="1"/>
  <c r="G23" i="13"/>
  <c r="I23" i="13" s="1"/>
  <c r="K23" i="13" s="1"/>
  <c r="G1763" i="13"/>
  <c r="I1763" i="13" s="1"/>
  <c r="G1963" i="13"/>
  <c r="I1963" i="13" s="1"/>
  <c r="G241" i="13"/>
  <c r="I241" i="13" s="1"/>
  <c r="K241" i="13" s="1"/>
  <c r="G1174" i="13"/>
  <c r="I1174" i="13" s="1"/>
  <c r="G990" i="13"/>
  <c r="I990" i="13" s="1"/>
  <c r="K990" i="13" s="1"/>
  <c r="G3156" i="13"/>
  <c r="I3156" i="13" s="1"/>
  <c r="G809" i="13"/>
  <c r="G4486" i="13"/>
  <c r="I4486" i="13" s="1"/>
  <c r="K4486" i="13" s="1"/>
  <c r="G1643" i="13"/>
  <c r="I1643" i="13" s="1"/>
  <c r="G3555" i="13"/>
  <c r="I3555" i="13" s="1"/>
  <c r="G4813" i="13"/>
  <c r="I4813" i="13" s="1"/>
  <c r="K4813" i="13" s="1"/>
  <c r="G4795" i="13"/>
  <c r="I4795" i="13" s="1"/>
  <c r="G4304" i="13"/>
  <c r="I4304" i="13" s="1"/>
  <c r="G2307" i="13"/>
  <c r="I2307" i="13" s="1"/>
  <c r="G1711" i="13"/>
  <c r="I1711" i="13" s="1"/>
  <c r="K1711" i="13" s="1"/>
  <c r="G3989" i="13"/>
  <c r="G986" i="13"/>
  <c r="I986" i="13" s="1"/>
  <c r="K986" i="13" s="1"/>
  <c r="G4111" i="13"/>
  <c r="I4111" i="13" s="1"/>
  <c r="G1863" i="13"/>
  <c r="I1863" i="13" s="1"/>
  <c r="K1863" i="13" s="1"/>
  <c r="G2200" i="13"/>
  <c r="G2390" i="13"/>
  <c r="I2390" i="13" s="1"/>
  <c r="G552" i="13"/>
  <c r="G2826" i="13"/>
  <c r="I2826" i="13" s="1"/>
  <c r="G495" i="13"/>
  <c r="I495" i="13" s="1"/>
  <c r="K495" i="13" s="1"/>
  <c r="G4414" i="13"/>
  <c r="I4414" i="13" s="1"/>
  <c r="K4414" i="13" s="1"/>
  <c r="G4050" i="13"/>
  <c r="I4050" i="13" s="1"/>
  <c r="G1890" i="13"/>
  <c r="I1890" i="13" s="1"/>
  <c r="G174" i="13"/>
  <c r="I174" i="13" s="1"/>
  <c r="K174" i="13" s="1"/>
  <c r="G4789" i="13"/>
  <c r="I4789" i="13" s="1"/>
  <c r="G3317" i="13"/>
  <c r="G2791" i="13"/>
  <c r="I2791" i="13" s="1"/>
  <c r="G3244" i="13"/>
  <c r="I3244" i="13" s="1"/>
  <c r="K3244" i="13" s="1"/>
  <c r="G4666" i="13"/>
  <c r="I4666" i="13" s="1"/>
  <c r="G1898" i="13"/>
  <c r="I1898" i="13" s="1"/>
  <c r="G1997" i="13"/>
  <c r="I1997" i="13" s="1"/>
  <c r="K1997" i="13" s="1"/>
  <c r="G359" i="13"/>
  <c r="I359" i="13" s="1"/>
  <c r="K359" i="13" s="1"/>
  <c r="G185" i="13"/>
  <c r="G4018" i="13"/>
  <c r="I4018" i="13" s="1"/>
  <c r="G128" i="13"/>
  <c r="I128" i="13" s="1"/>
  <c r="G3970" i="13"/>
  <c r="I3970" i="13" s="1"/>
  <c r="G2424" i="13"/>
  <c r="G2214" i="13"/>
  <c r="I2214" i="13" s="1"/>
  <c r="G3298" i="13"/>
  <c r="I3298" i="13" s="1"/>
  <c r="G7" i="13"/>
  <c r="I7" i="13" s="1"/>
  <c r="K7" i="13" s="1"/>
  <c r="G654" i="13"/>
  <c r="I654" i="13" s="1"/>
  <c r="K654" i="13" s="1"/>
  <c r="G2169" i="13"/>
  <c r="I2169" i="13" s="1"/>
  <c r="K2169" i="13" s="1"/>
  <c r="G3923" i="13"/>
  <c r="G2407" i="13"/>
  <c r="I2407" i="13" s="1"/>
  <c r="K2407" i="13" s="1"/>
  <c r="G2932" i="13"/>
  <c r="I2932" i="13" s="1"/>
  <c r="G3089" i="13"/>
  <c r="I3089" i="13" s="1"/>
  <c r="K3089" i="13" s="1"/>
  <c r="G939" i="13"/>
  <c r="I939" i="13" s="1"/>
  <c r="G3250" i="13"/>
  <c r="I3250" i="13" s="1"/>
  <c r="G3252" i="13"/>
  <c r="I3252" i="13" s="1"/>
  <c r="G2189" i="13"/>
  <c r="I2189" i="13" s="1"/>
  <c r="K2189" i="13" s="1"/>
  <c r="G3975" i="13"/>
  <c r="I3975" i="13" s="1"/>
  <c r="G1251" i="13"/>
  <c r="I1251" i="13" s="1"/>
  <c r="G1804" i="13"/>
  <c r="I1804" i="13" s="1"/>
  <c r="K1804" i="13" s="1"/>
  <c r="G1860" i="13"/>
  <c r="I1860" i="13" s="1"/>
  <c r="G1706" i="13"/>
  <c r="I1706" i="13" s="1"/>
  <c r="G100" i="13"/>
  <c r="I100" i="13" s="1"/>
  <c r="G412" i="13"/>
  <c r="I412" i="13" s="1"/>
  <c r="K412" i="13" s="1"/>
  <c r="G2606" i="13"/>
  <c r="I2606" i="13" s="1"/>
  <c r="K2606" i="13" s="1"/>
  <c r="G1304" i="13"/>
  <c r="G1320" i="13"/>
  <c r="G4376" i="13"/>
  <c r="I4376" i="13" s="1"/>
  <c r="G158" i="13"/>
  <c r="I158" i="13" s="1"/>
  <c r="K158" i="13" s="1"/>
  <c r="G504" i="13"/>
  <c r="G2246" i="13"/>
  <c r="I2246" i="13" s="1"/>
  <c r="G4503" i="13"/>
  <c r="I4503" i="13" s="1"/>
  <c r="G1481" i="13"/>
  <c r="G2905" i="13"/>
  <c r="I2905" i="13" s="1"/>
  <c r="K2905" i="13" s="1"/>
  <c r="G1321" i="13"/>
  <c r="I1321" i="13" s="1"/>
  <c r="K1321" i="13" s="1"/>
  <c r="G3672" i="13"/>
  <c r="G3823" i="13"/>
  <c r="I3823" i="13" s="1"/>
  <c r="K3823" i="13" s="1"/>
  <c r="G2326" i="13"/>
  <c r="I2326" i="13" s="1"/>
  <c r="G55" i="13"/>
  <c r="I55" i="13" s="1"/>
  <c r="K55" i="13" s="1"/>
  <c r="G2249" i="13"/>
  <c r="G2848" i="13"/>
  <c r="I2848" i="13" s="1"/>
  <c r="G3119" i="13"/>
  <c r="I3119" i="13" s="1"/>
  <c r="K3119" i="13" s="1"/>
  <c r="G3165" i="13"/>
  <c r="I3165" i="13" s="1"/>
  <c r="K3165" i="13" s="1"/>
  <c r="G1087" i="13"/>
  <c r="I1087" i="13" s="1"/>
  <c r="K1087" i="13" s="1"/>
  <c r="G1537" i="13"/>
  <c r="I1537" i="13" s="1"/>
  <c r="K1537" i="13" s="1"/>
  <c r="G58" i="13"/>
  <c r="I58" i="13" s="1"/>
  <c r="K58" i="13" s="1"/>
  <c r="G274" i="13"/>
  <c r="I274" i="13" s="1"/>
  <c r="K274" i="13" s="1"/>
  <c r="G2314" i="13"/>
  <c r="I2314" i="13" s="1"/>
  <c r="G2250" i="13"/>
  <c r="I2250" i="13" s="1"/>
  <c r="K2250" i="13" s="1"/>
  <c r="G2975" i="13"/>
  <c r="I2975" i="13" s="1"/>
  <c r="K2975" i="13" s="1"/>
  <c r="G4670" i="13"/>
  <c r="I4670" i="13" s="1"/>
  <c r="K4670" i="13" s="1"/>
  <c r="G810" i="13"/>
  <c r="I810" i="13" s="1"/>
  <c r="K810" i="13" s="1"/>
  <c r="G2649" i="13"/>
  <c r="I2649" i="13" s="1"/>
  <c r="K2649" i="13" s="1"/>
  <c r="G1853" i="13"/>
  <c r="I1853" i="13" s="1"/>
  <c r="K1853" i="13" s="1"/>
  <c r="G2449" i="13"/>
  <c r="I2449" i="13" s="1"/>
  <c r="K2449" i="13" s="1"/>
  <c r="G1982" i="13"/>
  <c r="I1982" i="13" s="1"/>
  <c r="K1982" i="13" s="1"/>
  <c r="G1457" i="13"/>
  <c r="I1457" i="13" s="1"/>
  <c r="K1457" i="13" s="1"/>
  <c r="G3286" i="13"/>
  <c r="I3286" i="13" s="1"/>
  <c r="G2325" i="13"/>
  <c r="G4105" i="13"/>
  <c r="I4105" i="13" s="1"/>
  <c r="G580" i="13"/>
  <c r="I580" i="13" s="1"/>
  <c r="G1783" i="13"/>
  <c r="I1783" i="13" s="1"/>
  <c r="K1783" i="13" s="1"/>
  <c r="G4312" i="13"/>
  <c r="I4312" i="13" s="1"/>
  <c r="G484" i="13"/>
  <c r="I484" i="13" s="1"/>
  <c r="G129" i="13"/>
  <c r="I129" i="13" s="1"/>
  <c r="K129" i="13" s="1"/>
  <c r="G3615" i="13"/>
  <c r="I3615" i="13" s="1"/>
  <c r="K3615" i="13" s="1"/>
  <c r="G3430" i="13"/>
  <c r="I3430" i="13" s="1"/>
  <c r="K3430" i="13" s="1"/>
  <c r="G2764" i="13"/>
  <c r="I2764" i="13" s="1"/>
  <c r="K2764" i="13" s="1"/>
  <c r="G3678" i="13"/>
  <c r="I3678" i="13" s="1"/>
  <c r="K3678" i="13" s="1"/>
  <c r="G3543" i="13"/>
  <c r="I3543" i="13" s="1"/>
  <c r="G989" i="13"/>
  <c r="I989" i="13" s="1"/>
  <c r="K989" i="13" s="1"/>
  <c r="G1059" i="13"/>
  <c r="I1059" i="13" s="1"/>
  <c r="G1780" i="13"/>
  <c r="I1780" i="13" s="1"/>
  <c r="G2689" i="13"/>
  <c r="I2689" i="13" s="1"/>
  <c r="K2689" i="13" s="1"/>
  <c r="G4752" i="13"/>
  <c r="I4752" i="13" s="1"/>
  <c r="G947" i="13"/>
  <c r="I947" i="13" s="1"/>
  <c r="G4631" i="13"/>
  <c r="I4631" i="13" s="1"/>
  <c r="G1381" i="13"/>
  <c r="G2097" i="13"/>
  <c r="I2097" i="13" s="1"/>
  <c r="K2097" i="13" s="1"/>
  <c r="G1089" i="13"/>
  <c r="I1089" i="13" s="1"/>
  <c r="K1089" i="13" s="1"/>
  <c r="G3196" i="13"/>
  <c r="I3196" i="13" s="1"/>
  <c r="K3196" i="13" s="1"/>
  <c r="G3505" i="13"/>
  <c r="I3505" i="13" s="1"/>
  <c r="K3505" i="13" s="1"/>
  <c r="G1428" i="13"/>
  <c r="I1428" i="13" s="1"/>
  <c r="G1548" i="13"/>
  <c r="I1548" i="13" s="1"/>
  <c r="K1548" i="13" s="1"/>
  <c r="G4814" i="13"/>
  <c r="I4814" i="13" s="1"/>
  <c r="K4814" i="13" s="1"/>
  <c r="G312" i="13"/>
  <c r="G1504" i="13"/>
  <c r="I1504" i="13" s="1"/>
  <c r="G2792" i="13"/>
  <c r="I2792" i="13" s="1"/>
  <c r="G2048" i="13"/>
  <c r="I2048" i="13" s="1"/>
  <c r="G647" i="13"/>
  <c r="I647" i="13" s="1"/>
  <c r="K647" i="13" s="1"/>
  <c r="I16" i="13"/>
  <c r="G3999" i="13"/>
  <c r="I3999" i="13" s="1"/>
  <c r="K3999" i="13" s="1"/>
  <c r="G319" i="13"/>
  <c r="I319" i="13" s="1"/>
  <c r="K319" i="13" s="1"/>
  <c r="G1690" i="13"/>
  <c r="I1690" i="13" s="1"/>
  <c r="G4821" i="13"/>
  <c r="G1801" i="13"/>
  <c r="G3189" i="13"/>
  <c r="G4475" i="13"/>
  <c r="I4475" i="13" s="1"/>
  <c r="G1584" i="13"/>
  <c r="I1584" i="13" s="1"/>
  <c r="G2860" i="13"/>
  <c r="I2860" i="13" s="1"/>
  <c r="K2860" i="13" s="1"/>
  <c r="G4616" i="13"/>
  <c r="I4616" i="13" s="1"/>
  <c r="K4616" i="13" s="1"/>
  <c r="G4588" i="13"/>
  <c r="I4588" i="13" s="1"/>
  <c r="G1405" i="13"/>
  <c r="I1405" i="13" s="1"/>
  <c r="K1405" i="13" s="1"/>
  <c r="G4504" i="13"/>
  <c r="I4504" i="13" s="1"/>
  <c r="G708" i="13"/>
  <c r="I708" i="13" s="1"/>
  <c r="G4172" i="13"/>
  <c r="I4172" i="13" s="1"/>
  <c r="G1629" i="13"/>
  <c r="I1629" i="13" s="1"/>
  <c r="K1629" i="13" s="1"/>
  <c r="G3307" i="13"/>
  <c r="I3307" i="13" s="1"/>
  <c r="G3996" i="13"/>
  <c r="I3996" i="13" s="1"/>
  <c r="K3996" i="13" s="1"/>
  <c r="G126" i="13"/>
  <c r="I126" i="13" s="1"/>
  <c r="K126" i="13" s="1"/>
  <c r="G1169" i="13"/>
  <c r="I1169" i="13" s="1"/>
  <c r="K1169" i="13" s="1"/>
  <c r="G2421" i="13"/>
  <c r="G527" i="13"/>
  <c r="I527" i="13" s="1"/>
  <c r="K527" i="13" s="1"/>
  <c r="G4185" i="13"/>
  <c r="I4185" i="13" s="1"/>
  <c r="G296" i="13"/>
  <c r="G3228" i="13"/>
  <c r="I3228" i="13" s="1"/>
  <c r="G4482" i="13"/>
  <c r="I4482" i="13" s="1"/>
  <c r="G4569" i="13"/>
  <c r="I4569" i="13" s="1"/>
  <c r="K4569" i="13" s="1"/>
  <c r="G3177" i="13"/>
  <c r="G2032" i="13"/>
  <c r="I2032" i="13" s="1"/>
  <c r="G742" i="13"/>
  <c r="I742" i="13" s="1"/>
  <c r="G2979" i="13"/>
  <c r="I2979" i="13" s="1"/>
  <c r="G1184" i="13"/>
  <c r="I1184" i="13" s="1"/>
  <c r="G3167" i="13"/>
  <c r="I3167" i="13" s="1"/>
  <c r="K3167" i="13" s="1"/>
  <c r="G1968" i="13"/>
  <c r="I1968" i="13" s="1"/>
  <c r="G501" i="13"/>
  <c r="G1618" i="13"/>
  <c r="I1618" i="13" s="1"/>
  <c r="G1488" i="13"/>
  <c r="I1488" i="13" s="1"/>
  <c r="G3315" i="13"/>
  <c r="I3315" i="13" s="1"/>
  <c r="G1060" i="13"/>
  <c r="I1060" i="13" s="1"/>
  <c r="G3899" i="13"/>
  <c r="I3899" i="13" s="1"/>
  <c r="G4442" i="13"/>
  <c r="I4442" i="13" s="1"/>
  <c r="G3777" i="13"/>
  <c r="I3777" i="13" s="1"/>
  <c r="K3777" i="13" s="1"/>
  <c r="G3363" i="13"/>
  <c r="I3363" i="13" s="1"/>
  <c r="G229" i="13"/>
  <c r="G36" i="13"/>
  <c r="I36" i="13" s="1"/>
  <c r="G251" i="13"/>
  <c r="I251" i="13" s="1"/>
  <c r="G303" i="13"/>
  <c r="I303" i="13" s="1"/>
  <c r="K303" i="13" s="1"/>
  <c r="G309" i="13"/>
  <c r="G3097" i="13"/>
  <c r="G1619" i="13"/>
  <c r="I1619" i="13" s="1"/>
  <c r="K1619" i="13" s="1"/>
  <c r="G4010" i="13"/>
  <c r="I4010" i="13" s="1"/>
  <c r="G3735" i="13"/>
  <c r="I3735" i="13" s="1"/>
  <c r="G2229" i="13"/>
  <c r="G2207" i="13"/>
  <c r="I2207" i="13" s="1"/>
  <c r="K2207" i="13" s="1"/>
  <c r="G723" i="13"/>
  <c r="I723" i="13" s="1"/>
  <c r="G2400" i="13"/>
  <c r="I2400" i="13" s="1"/>
  <c r="G72" i="13"/>
  <c r="G4517" i="13"/>
  <c r="G2631" i="13"/>
  <c r="I2631" i="13" s="1"/>
  <c r="G707" i="13"/>
  <c r="I707" i="13" s="1"/>
  <c r="G442" i="13"/>
  <c r="I442" i="13" s="1"/>
  <c r="K442" i="13" s="1"/>
  <c r="G1832" i="13"/>
  <c r="I1832" i="13" s="1"/>
  <c r="G4209" i="13"/>
  <c r="I4209" i="13" s="1"/>
  <c r="K4209" i="13" s="1"/>
  <c r="G1556" i="13"/>
  <c r="I1556" i="13" s="1"/>
  <c r="G688" i="13"/>
  <c r="I688" i="13" s="1"/>
  <c r="G2427" i="13"/>
  <c r="I2427" i="13" s="1"/>
  <c r="G4682" i="13"/>
  <c r="I4682" i="13" s="1"/>
  <c r="G1276" i="13"/>
  <c r="I1276" i="13" s="1"/>
  <c r="K1276" i="13" s="1"/>
  <c r="G2650" i="13"/>
  <c r="I2650" i="13" s="1"/>
  <c r="G1068" i="13"/>
  <c r="I1068" i="13" s="1"/>
  <c r="K1068" i="13" s="1"/>
  <c r="G2547" i="13"/>
  <c r="I2547" i="13" s="1"/>
  <c r="G3694" i="13"/>
  <c r="I3694" i="13" s="1"/>
  <c r="K3694" i="13" s="1"/>
  <c r="G757" i="13"/>
  <c r="G3149" i="13"/>
  <c r="I3149" i="13" s="1"/>
  <c r="K3149" i="13" s="1"/>
  <c r="G3015" i="13"/>
  <c r="I3015" i="13" s="1"/>
  <c r="G2560" i="13"/>
  <c r="I2560" i="13" s="1"/>
  <c r="G470" i="13"/>
  <c r="I470" i="13" s="1"/>
  <c r="G4837" i="13"/>
  <c r="G1887" i="13"/>
  <c r="I1887" i="13" s="1"/>
  <c r="K1887" i="13" s="1"/>
  <c r="G3159" i="13"/>
  <c r="I3159" i="13" s="1"/>
  <c r="G1728" i="13"/>
  <c r="I1728" i="13" s="1"/>
  <c r="G1835" i="13"/>
  <c r="I1835" i="13" s="1"/>
  <c r="G14" i="13"/>
  <c r="I14" i="13" s="1"/>
  <c r="K14" i="13" s="1"/>
  <c r="G2652" i="13"/>
  <c r="I2652" i="13" s="1"/>
  <c r="K2652" i="13" s="1"/>
  <c r="G4248" i="13"/>
  <c r="I4248" i="13" s="1"/>
  <c r="G3055" i="13"/>
  <c r="I3055" i="13" s="1"/>
  <c r="K3055" i="13" s="1"/>
  <c r="G1919" i="13"/>
  <c r="I1919" i="13" s="1"/>
  <c r="K1919" i="13" s="1"/>
  <c r="G619" i="13"/>
  <c r="I619" i="13" s="1"/>
  <c r="G142" i="13"/>
  <c r="I142" i="13" s="1"/>
  <c r="K142" i="13" s="1"/>
  <c r="G4157" i="13"/>
  <c r="I4157" i="13" s="1"/>
  <c r="K4157" i="13" s="1"/>
  <c r="G4781" i="13"/>
  <c r="I4781" i="13" s="1"/>
  <c r="K4781" i="13" s="1"/>
  <c r="G2976" i="13"/>
  <c r="I2976" i="13" s="1"/>
  <c r="G3478" i="13"/>
  <c r="I3478" i="13" s="1"/>
  <c r="G3963" i="13"/>
  <c r="I3963" i="13" s="1"/>
  <c r="G4322" i="13"/>
  <c r="I4322" i="13" s="1"/>
  <c r="G287" i="13"/>
  <c r="I287" i="13" s="1"/>
  <c r="K287" i="13" s="1"/>
  <c r="G4818" i="13"/>
  <c r="I4818" i="13" s="1"/>
  <c r="G2899" i="13"/>
  <c r="I2899" i="13" s="1"/>
  <c r="K2899" i="13" s="1"/>
  <c r="G2432" i="13"/>
  <c r="I2432" i="13" s="1"/>
  <c r="G869" i="13"/>
  <c r="G210" i="13"/>
  <c r="I210" i="13" s="1"/>
  <c r="G1106" i="13"/>
  <c r="I1106" i="13" s="1"/>
  <c r="G3676" i="13"/>
  <c r="I3676" i="13" s="1"/>
  <c r="G4501" i="13"/>
  <c r="G514" i="13"/>
  <c r="I514" i="13" s="1"/>
  <c r="G3031" i="13"/>
  <c r="I3031" i="13" s="1"/>
  <c r="G4477" i="13"/>
  <c r="I4477" i="13" s="1"/>
  <c r="K4477" i="13" s="1"/>
  <c r="G1500" i="13"/>
  <c r="I1500" i="13" s="1"/>
  <c r="K1500" i="13" s="1"/>
  <c r="G3322" i="13"/>
  <c r="I3322" i="13" s="1"/>
  <c r="G3287" i="13"/>
  <c r="I3287" i="13" s="1"/>
  <c r="G1683" i="13"/>
  <c r="I1683" i="13" s="1"/>
  <c r="G3427" i="13"/>
  <c r="I3427" i="13" s="1"/>
  <c r="G4392" i="13"/>
  <c r="I4392" i="13" s="1"/>
  <c r="G1026" i="13"/>
  <c r="I1026" i="13" s="1"/>
  <c r="G3151" i="13"/>
  <c r="I3151" i="13" s="1"/>
  <c r="K3151" i="13" s="1"/>
  <c r="G3946" i="13"/>
  <c r="I3946" i="13" s="1"/>
  <c r="K3946" i="13" s="1"/>
  <c r="G4428" i="13"/>
  <c r="I4428" i="13" s="1"/>
  <c r="G4860" i="13"/>
  <c r="I4860" i="13" s="1"/>
  <c r="G4809" i="13"/>
  <c r="I4809" i="13" s="1"/>
  <c r="G4614" i="13"/>
  <c r="I4614" i="13" s="1"/>
  <c r="K4614" i="13" s="1"/>
  <c r="G4815" i="13"/>
  <c r="I4815" i="13" s="1"/>
  <c r="K4815" i="13" s="1"/>
  <c r="G4256" i="13"/>
  <c r="I4256" i="13" s="1"/>
  <c r="G2163" i="13"/>
  <c r="I2163" i="13" s="1"/>
  <c r="G2856" i="13"/>
  <c r="G2866" i="13"/>
  <c r="I2866" i="13" s="1"/>
  <c r="G2445" i="13"/>
  <c r="I2445" i="13" s="1"/>
  <c r="K2445" i="13" s="1"/>
  <c r="G1596" i="13"/>
  <c r="I1596" i="13" s="1"/>
  <c r="K1596" i="13" s="1"/>
  <c r="G2405" i="13"/>
  <c r="G45" i="13"/>
  <c r="I45" i="13" s="1"/>
  <c r="K45" i="13" s="1"/>
  <c r="G4282" i="13"/>
  <c r="I4282" i="13" s="1"/>
  <c r="G3525" i="13"/>
  <c r="G3737" i="13"/>
  <c r="G1575" i="13"/>
  <c r="I1575" i="13" s="1"/>
  <c r="K1575" i="13" s="1"/>
  <c r="G3724" i="13"/>
  <c r="I3724" i="13" s="1"/>
  <c r="G4324" i="13"/>
  <c r="I4324" i="13" s="1"/>
  <c r="G3078" i="13"/>
  <c r="I3078" i="13" s="1"/>
  <c r="K3078" i="13" s="1"/>
  <c r="G3342" i="13"/>
  <c r="I3342" i="13" s="1"/>
  <c r="K3342" i="13" s="1"/>
  <c r="G4024" i="13"/>
  <c r="I4024" i="13" s="1"/>
  <c r="K4024" i="13" s="1"/>
  <c r="G532" i="13"/>
  <c r="I532" i="13" s="1"/>
  <c r="G2000" i="13"/>
  <c r="I2000" i="13" s="1"/>
  <c r="G698" i="13"/>
  <c r="I698" i="13" s="1"/>
  <c r="K698" i="13" s="1"/>
  <c r="G4001" i="13"/>
  <c r="I4001" i="13" s="1"/>
  <c r="K4001" i="13" s="1"/>
  <c r="G2900" i="13"/>
  <c r="I2900" i="13" s="1"/>
  <c r="G4188" i="13"/>
  <c r="I4188" i="13" s="1"/>
  <c r="G3348" i="13"/>
  <c r="I3348" i="13" s="1"/>
  <c r="G1460" i="13"/>
  <c r="I1460" i="13" s="1"/>
  <c r="G2460" i="13"/>
  <c r="I2460" i="13" s="1"/>
  <c r="K2460" i="13" s="1"/>
  <c r="G4068" i="13"/>
  <c r="I4068" i="13" s="1"/>
  <c r="G3733" i="13"/>
  <c r="G4901" i="13"/>
  <c r="G378" i="13"/>
  <c r="I378" i="13" s="1"/>
  <c r="K378" i="13" s="1"/>
  <c r="G664" i="13"/>
  <c r="G1287" i="13"/>
  <c r="I1287" i="13" s="1"/>
  <c r="K1287" i="13" s="1"/>
  <c r="G1183" i="13"/>
  <c r="I1183" i="13" s="1"/>
  <c r="K1183" i="13" s="1"/>
  <c r="G3887" i="13"/>
  <c r="I3887" i="13" s="1"/>
  <c r="K3887" i="13" s="1"/>
  <c r="G774" i="13"/>
  <c r="I774" i="13" s="1"/>
  <c r="G3071" i="13"/>
  <c r="I3071" i="13" s="1"/>
  <c r="K3071" i="13" s="1"/>
  <c r="G385" i="13"/>
  <c r="I385" i="13" s="1"/>
  <c r="K385" i="13" s="1"/>
  <c r="G896" i="13"/>
  <c r="I896" i="13" s="1"/>
  <c r="G791" i="13"/>
  <c r="I791" i="13" s="1"/>
  <c r="K791" i="13" s="1"/>
  <c r="G559" i="13"/>
  <c r="I559" i="13" s="1"/>
  <c r="K559" i="13" s="1"/>
  <c r="G1655" i="13"/>
  <c r="I1655" i="13" s="1"/>
  <c r="K1655" i="13" s="1"/>
  <c r="G2516" i="13"/>
  <c r="I2516" i="13" s="1"/>
  <c r="G713" i="13"/>
  <c r="G4048" i="13"/>
  <c r="I4048" i="13" s="1"/>
  <c r="G4564" i="13"/>
  <c r="I4564" i="13" s="1"/>
  <c r="G703" i="13"/>
  <c r="I703" i="13" s="1"/>
  <c r="K703" i="13" s="1"/>
  <c r="G271" i="13"/>
  <c r="I271" i="13" s="1"/>
  <c r="K271" i="13" s="1"/>
  <c r="G2928" i="13"/>
  <c r="I2928" i="13" s="1"/>
  <c r="G1559" i="13"/>
  <c r="I1559" i="13" s="1"/>
  <c r="K1559" i="13" s="1"/>
  <c r="G1703" i="13"/>
  <c r="I1703" i="13" s="1"/>
  <c r="K1703" i="13" s="1"/>
  <c r="G4459" i="13"/>
  <c r="I4459" i="13" s="1"/>
  <c r="G1497" i="13"/>
  <c r="I1497" i="13" s="1"/>
  <c r="K1497" i="13" s="1"/>
  <c r="G2955" i="13"/>
  <c r="I2955" i="13" s="1"/>
  <c r="G1539" i="13"/>
  <c r="I1539" i="13" s="1"/>
  <c r="G1743" i="13"/>
  <c r="I1743" i="13" s="1"/>
  <c r="K1743" i="13" s="1"/>
  <c r="G4896" i="13"/>
  <c r="I4896" i="13" s="1"/>
  <c r="G3172" i="13"/>
  <c r="I3172" i="13" s="1"/>
  <c r="G3040" i="13"/>
  <c r="I3040" i="13" s="1"/>
  <c r="G191" i="13"/>
  <c r="I191" i="13" s="1"/>
  <c r="K191" i="13" s="1"/>
  <c r="G4037" i="13"/>
  <c r="G180" i="13"/>
  <c r="I180" i="13" s="1"/>
  <c r="G4049" i="13"/>
  <c r="I4049" i="13" s="1"/>
  <c r="K4049" i="13" s="1"/>
  <c r="G2367" i="13"/>
  <c r="I2367" i="13" s="1"/>
  <c r="K2367" i="13" s="1"/>
  <c r="G4563" i="13"/>
  <c r="G2825" i="13"/>
  <c r="I2825" i="13" s="1"/>
  <c r="K2825" i="13" s="1"/>
  <c r="G758" i="13"/>
  <c r="I758" i="13" s="1"/>
  <c r="G2401" i="13"/>
  <c r="I2401" i="13" s="1"/>
  <c r="K2401" i="13" s="1"/>
  <c r="G2266" i="13"/>
  <c r="I2266" i="13" s="1"/>
  <c r="G925" i="13"/>
  <c r="I925" i="13" s="1"/>
  <c r="K925" i="13" s="1"/>
  <c r="G43" i="13"/>
  <c r="I43" i="13" s="1"/>
  <c r="G1674" i="13"/>
  <c r="I1674" i="13" s="1"/>
  <c r="K1674" i="13" s="1"/>
  <c r="G911" i="13"/>
  <c r="I911" i="13" s="1"/>
  <c r="K911" i="13" s="1"/>
  <c r="G578" i="13"/>
  <c r="I578" i="13" s="1"/>
  <c r="G3197" i="13"/>
  <c r="I3197" i="13" s="1"/>
  <c r="K3197" i="13" s="1"/>
  <c r="G3761" i="13"/>
  <c r="I3761" i="13" s="1"/>
  <c r="K3761" i="13" s="1"/>
  <c r="G3950" i="13"/>
  <c r="I3950" i="13" s="1"/>
  <c r="K3950" i="13" s="1"/>
  <c r="G4264" i="13"/>
  <c r="I4264" i="13" s="1"/>
  <c r="G1925" i="13"/>
  <c r="G3852" i="13"/>
  <c r="I3852" i="13" s="1"/>
  <c r="K3852" i="13" s="1"/>
  <c r="G3376" i="13"/>
  <c r="I3376" i="13" s="1"/>
  <c r="G3741" i="13"/>
  <c r="I3741" i="13" s="1"/>
  <c r="K3741" i="13" s="1"/>
  <c r="G3404" i="13"/>
  <c r="I3404" i="13" s="1"/>
  <c r="G3902" i="13"/>
  <c r="I3902" i="13" s="1"/>
  <c r="K3902" i="13" s="1"/>
  <c r="G2821" i="13"/>
  <c r="I2821" i="13" s="1"/>
  <c r="G3785" i="13"/>
  <c r="I3785" i="13" s="1"/>
  <c r="K3785" i="13" s="1"/>
  <c r="G934" i="13"/>
  <c r="I934" i="13" s="1"/>
  <c r="G3112" i="13"/>
  <c r="I3112" i="13" s="1"/>
  <c r="G266" i="13"/>
  <c r="I266" i="13" s="1"/>
  <c r="K266" i="13" s="1"/>
  <c r="G4604" i="13"/>
  <c r="I4604" i="13" s="1"/>
  <c r="K4604" i="13" s="1"/>
  <c r="G4230" i="13"/>
  <c r="I4230" i="13" s="1"/>
  <c r="G3386" i="13"/>
  <c r="I3386" i="13" s="1"/>
  <c r="K3386" i="13" s="1"/>
  <c r="G2680" i="13"/>
  <c r="G1009" i="13"/>
  <c r="I1009" i="13" s="1"/>
  <c r="K1009" i="13" s="1"/>
  <c r="G4283" i="13"/>
  <c r="I4283" i="13" s="1"/>
  <c r="G4523" i="13"/>
  <c r="I4523" i="13" s="1"/>
  <c r="G1412" i="13"/>
  <c r="I1412" i="13" s="1"/>
  <c r="G1167" i="13"/>
  <c r="I1167" i="13" s="1"/>
  <c r="K1167" i="13" s="1"/>
  <c r="G4153" i="13"/>
  <c r="I4153" i="13" s="1"/>
  <c r="K4153" i="13" s="1"/>
  <c r="G4874" i="13"/>
  <c r="I4874" i="13" s="1"/>
  <c r="K4874" i="13" s="1"/>
  <c r="G4386" i="13"/>
  <c r="I4386" i="13" s="1"/>
  <c r="G2393" i="13"/>
  <c r="I2393" i="13" s="1"/>
  <c r="K2393" i="13" s="1"/>
  <c r="G4526" i="13"/>
  <c r="I4526" i="13" s="1"/>
  <c r="K4526" i="13" s="1"/>
  <c r="G3855" i="13"/>
  <c r="I3855" i="13" s="1"/>
  <c r="K3855" i="13" s="1"/>
  <c r="G59" i="13"/>
  <c r="I59" i="13" s="1"/>
  <c r="G475" i="13"/>
  <c r="I475" i="13" s="1"/>
  <c r="G427" i="13"/>
  <c r="I427" i="13" s="1"/>
  <c r="G928" i="13"/>
  <c r="I928" i="13" s="1"/>
  <c r="G2045" i="13"/>
  <c r="I2045" i="13" s="1"/>
  <c r="K2045" i="13" s="1"/>
  <c r="G643" i="13"/>
  <c r="I643" i="13" s="1"/>
  <c r="G3441" i="13"/>
  <c r="I3441" i="13" s="1"/>
  <c r="K3441" i="13" s="1"/>
  <c r="G4274" i="13"/>
  <c r="I4274" i="13" s="1"/>
  <c r="G3767" i="13"/>
  <c r="I3767" i="13" s="1"/>
  <c r="K3767" i="13" s="1"/>
  <c r="G1523" i="13"/>
  <c r="I1523" i="13" s="1"/>
  <c r="G3379" i="13"/>
  <c r="I3379" i="13" s="1"/>
  <c r="G4455" i="13"/>
  <c r="I4455" i="13" s="1"/>
  <c r="G2301" i="13"/>
  <c r="I2301" i="13" s="1"/>
  <c r="K2301" i="13" s="1"/>
  <c r="G3849" i="13"/>
  <c r="I3849" i="13" s="1"/>
  <c r="K3849" i="13" s="1"/>
  <c r="G2596" i="13"/>
  <c r="I2596" i="13" s="1"/>
  <c r="G1336" i="13"/>
  <c r="G2324" i="13"/>
  <c r="I2324" i="13" s="1"/>
  <c r="G2358" i="13"/>
  <c r="I2358" i="13" s="1"/>
  <c r="G4121" i="13"/>
  <c r="I4121" i="13" s="1"/>
  <c r="K4121" i="13" s="1"/>
  <c r="G2720" i="13"/>
  <c r="I2720" i="13" s="1"/>
  <c r="G3990" i="13"/>
  <c r="I3990" i="13" s="1"/>
  <c r="G165" i="13"/>
  <c r="G4352" i="13"/>
  <c r="I4352" i="13" s="1"/>
  <c r="G1777" i="13"/>
  <c r="I1777" i="13" s="1"/>
  <c r="K1777" i="13" s="1"/>
  <c r="G3998" i="13"/>
  <c r="I3998" i="13" s="1"/>
  <c r="K3998" i="13" s="1"/>
  <c r="G1637" i="13"/>
  <c r="G2086" i="13"/>
  <c r="I2086" i="13" s="1"/>
  <c r="G343" i="13"/>
  <c r="I343" i="13" s="1"/>
  <c r="K343" i="13" s="1"/>
  <c r="G304" i="13"/>
  <c r="I304" i="13" s="1"/>
  <c r="G1552" i="13"/>
  <c r="I1552" i="13" s="1"/>
  <c r="G239" i="13"/>
  <c r="I239" i="13" s="1"/>
  <c r="K239" i="13" s="1"/>
  <c r="G1905" i="13"/>
  <c r="I1905" i="13" s="1"/>
  <c r="K1905" i="13" s="1"/>
  <c r="G2935" i="13"/>
  <c r="I2935" i="13" s="1"/>
  <c r="G4671" i="13"/>
  <c r="I4671" i="13" s="1"/>
  <c r="G49" i="13"/>
  <c r="I49" i="13" s="1"/>
  <c r="K49" i="13" s="1"/>
  <c r="G2417" i="13"/>
  <c r="I2417" i="13" s="1"/>
  <c r="K2417" i="13" s="1"/>
  <c r="G3953" i="13"/>
  <c r="I3953" i="13" s="1"/>
  <c r="K3953" i="13" s="1"/>
  <c r="G366" i="13"/>
  <c r="I366" i="13" s="1"/>
  <c r="K366" i="13" s="1"/>
  <c r="G2854" i="13"/>
  <c r="I2854" i="13" s="1"/>
  <c r="G1132" i="13"/>
  <c r="I1132" i="13" s="1"/>
  <c r="K1132" i="13" s="1"/>
  <c r="G1921" i="13"/>
  <c r="I1921" i="13" s="1"/>
  <c r="K1921" i="13" s="1"/>
  <c r="G2786" i="13"/>
  <c r="I2786" i="13" s="1"/>
  <c r="G2121" i="13"/>
  <c r="G3218" i="13"/>
  <c r="I3218" i="13" s="1"/>
  <c r="G328" i="13"/>
  <c r="I328" i="13" s="1"/>
  <c r="K328" i="13" s="1"/>
  <c r="G2601" i="13"/>
  <c r="I2601" i="13" s="1"/>
  <c r="K2601" i="13" s="1"/>
  <c r="G2589" i="13"/>
  <c r="I2589" i="13" s="1"/>
  <c r="K2589" i="13" s="1"/>
  <c r="G377" i="13"/>
  <c r="G166" i="13"/>
  <c r="I166" i="13" s="1"/>
  <c r="G222" i="13"/>
  <c r="I222" i="13" s="1"/>
  <c r="K222" i="13" s="1"/>
  <c r="G367" i="13"/>
  <c r="I367" i="13" s="1"/>
  <c r="K367" i="13" s="1"/>
  <c r="G3488" i="13"/>
  <c r="I3488" i="13" s="1"/>
  <c r="G2397" i="13"/>
  <c r="I2397" i="13" s="1"/>
  <c r="K2397" i="13" s="1"/>
  <c r="G1432" i="13"/>
  <c r="G596" i="13"/>
  <c r="I596" i="13" s="1"/>
  <c r="G4664" i="13"/>
  <c r="I4664" i="13" s="1"/>
  <c r="G1470" i="13"/>
  <c r="I1470" i="13" s="1"/>
  <c r="K1470" i="13" s="1"/>
  <c r="G505" i="13"/>
  <c r="G71" i="13"/>
  <c r="I71" i="13" s="1"/>
  <c r="K71" i="13" s="1"/>
  <c r="G3960" i="13"/>
  <c r="I3960" i="13" s="1"/>
  <c r="G4101" i="13"/>
  <c r="I4101" i="13" s="1"/>
  <c r="G3517" i="13"/>
  <c r="I3517" i="13" s="1"/>
  <c r="K3517" i="13" s="1"/>
  <c r="G1909" i="13"/>
  <c r="G452" i="13"/>
  <c r="I452" i="13" s="1"/>
  <c r="G3082" i="13"/>
  <c r="I3082" i="13" s="1"/>
  <c r="G3548" i="13"/>
  <c r="I3548" i="13" s="1"/>
  <c r="K3548" i="13" s="1"/>
  <c r="G1888" i="13"/>
  <c r="I1888" i="13" s="1"/>
  <c r="G2724" i="13"/>
  <c r="I2724" i="13" s="1"/>
  <c r="G1798" i="13"/>
  <c r="I1798" i="13" s="1"/>
  <c r="G3549" i="13"/>
  <c r="I3549" i="13" s="1"/>
  <c r="K3549" i="13" s="1"/>
  <c r="G3610" i="13"/>
  <c r="I3610" i="13" s="1"/>
  <c r="G4723" i="13"/>
  <c r="G1390" i="13"/>
  <c r="I1390" i="13" s="1"/>
  <c r="K1390" i="13" s="1"/>
  <c r="G2939" i="13"/>
  <c r="I2939" i="13" s="1"/>
  <c r="G879" i="13"/>
  <c r="I879" i="13" s="1"/>
  <c r="K879" i="13" s="1"/>
  <c r="G291" i="13"/>
  <c r="I291" i="13" s="1"/>
  <c r="G777" i="13"/>
  <c r="G1772" i="13"/>
  <c r="I1772" i="13" s="1"/>
  <c r="K1772" i="13" s="1"/>
  <c r="G702" i="13"/>
  <c r="I702" i="13" s="1"/>
  <c r="K702" i="13" s="1"/>
  <c r="G257" i="13"/>
  <c r="I257" i="13" s="1"/>
  <c r="K257" i="13" s="1"/>
  <c r="G3211" i="13"/>
  <c r="I3211" i="13" s="1"/>
  <c r="G4599" i="13"/>
  <c r="I4599" i="13" s="1"/>
  <c r="G4019" i="13"/>
  <c r="G2239" i="13"/>
  <c r="I2239" i="13" s="1"/>
  <c r="K2239" i="13" s="1"/>
  <c r="G3886" i="13"/>
  <c r="I3886" i="13" s="1"/>
  <c r="K3886" i="13" s="1"/>
  <c r="G4463" i="13"/>
  <c r="I4463" i="13" s="1"/>
  <c r="G690" i="13"/>
  <c r="I690" i="13" s="1"/>
  <c r="G3181" i="13"/>
  <c r="I3181" i="13" s="1"/>
  <c r="K3181" i="13" s="1"/>
  <c r="G1193" i="13"/>
  <c r="G2419" i="13"/>
  <c r="I2419" i="13" s="1"/>
  <c r="G1607" i="13"/>
  <c r="I1607" i="13" s="1"/>
  <c r="K1607" i="13" s="1"/>
  <c r="G875" i="13"/>
  <c r="I875" i="13" s="1"/>
  <c r="G4409" i="13"/>
  <c r="I4409" i="13" s="1"/>
  <c r="G1271" i="13"/>
  <c r="I1271" i="13" s="1"/>
  <c r="K1271" i="13" s="1"/>
  <c r="G108" i="13"/>
  <c r="I108" i="13" s="1"/>
  <c r="K108" i="13" s="1"/>
  <c r="G2989" i="13"/>
  <c r="I2989" i="13" s="1"/>
  <c r="K2989" i="13" s="1"/>
  <c r="G393" i="13"/>
  <c r="G655" i="13"/>
  <c r="I655" i="13" s="1"/>
  <c r="K655" i="13" s="1"/>
  <c r="G3662" i="13"/>
  <c r="I3662" i="13" s="1"/>
  <c r="K3662" i="13" s="1"/>
  <c r="G2812" i="13"/>
  <c r="I2812" i="13" s="1"/>
  <c r="K2812" i="13" s="1"/>
  <c r="G4835" i="13"/>
  <c r="G1516" i="13"/>
  <c r="I1516" i="13" s="1"/>
  <c r="K1516" i="13" s="1"/>
  <c r="G2550" i="13"/>
  <c r="I2550" i="13" s="1"/>
  <c r="G477" i="13"/>
  <c r="I477" i="13" s="1"/>
  <c r="K477" i="13" s="1"/>
  <c r="G3367" i="13"/>
  <c r="I3367" i="13" s="1"/>
  <c r="K3367" i="13" s="1"/>
  <c r="G4273" i="13"/>
  <c r="I4273" i="13" s="1"/>
  <c r="K4273" i="13" s="1"/>
  <c r="G581" i="13"/>
  <c r="G4316" i="13"/>
  <c r="I4316" i="13" s="1"/>
  <c r="G2565" i="13"/>
  <c r="I2565" i="13" s="1"/>
  <c r="G3779" i="13"/>
  <c r="G832" i="13"/>
  <c r="I832" i="13" s="1"/>
  <c r="G4345" i="13"/>
  <c r="I4345" i="13" s="1"/>
  <c r="G1785" i="13"/>
  <c r="G738" i="13"/>
  <c r="I738" i="13" s="1"/>
  <c r="G4263" i="13"/>
  <c r="I4263" i="13" s="1"/>
  <c r="G4395" i="13"/>
  <c r="I4395" i="13" s="1"/>
  <c r="G3727" i="13"/>
  <c r="I3727" i="13" s="1"/>
  <c r="K3727" i="13" s="1"/>
  <c r="G407" i="13"/>
  <c r="I407" i="13" s="1"/>
  <c r="K407" i="13" s="1"/>
  <c r="G3623" i="13"/>
  <c r="I3623" i="13" s="1"/>
  <c r="G2299" i="13"/>
  <c r="I2299" i="13" s="1"/>
  <c r="G1100" i="13"/>
  <c r="I1100" i="13" s="1"/>
  <c r="K1100" i="13" s="1"/>
  <c r="G2043" i="13"/>
  <c r="I2043" i="13" s="1"/>
  <c r="G2394" i="13"/>
  <c r="I2394" i="13" s="1"/>
  <c r="G1447" i="13"/>
  <c r="I1447" i="13" s="1"/>
  <c r="K1447" i="13" s="1"/>
  <c r="G4293" i="13"/>
  <c r="I4293" i="13" s="1"/>
  <c r="G3407" i="13"/>
  <c r="I3407" i="13" s="1"/>
  <c r="K3407" i="13" s="1"/>
  <c r="G4502" i="13"/>
  <c r="I4502" i="13" s="1"/>
  <c r="G2892" i="13"/>
  <c r="I2892" i="13" s="1"/>
  <c r="K2892" i="13" s="1"/>
  <c r="G232" i="13"/>
  <c r="G187" i="13"/>
  <c r="I187" i="13" s="1"/>
  <c r="G267" i="13"/>
  <c r="I267" i="13" s="1"/>
  <c r="G1659" i="13"/>
  <c r="I1659" i="13" s="1"/>
  <c r="G861" i="13"/>
  <c r="I861" i="13" s="1"/>
  <c r="K861" i="13" s="1"/>
  <c r="G4895" i="13"/>
  <c r="I4895" i="13" s="1"/>
  <c r="G3219" i="13"/>
  <c r="I3219" i="13" s="1"/>
  <c r="G2637" i="13"/>
  <c r="I2637" i="13" s="1"/>
  <c r="K2637" i="13" s="1"/>
  <c r="G1139" i="13"/>
  <c r="I1139" i="13" s="1"/>
  <c r="G591" i="13"/>
  <c r="I591" i="13" s="1"/>
  <c r="K591" i="13" s="1"/>
  <c r="G3803" i="13"/>
  <c r="I3803" i="13" s="1"/>
  <c r="G1983" i="13"/>
  <c r="I1983" i="13" s="1"/>
  <c r="K1983" i="13" s="1"/>
  <c r="G151" i="13"/>
  <c r="I151" i="13" s="1"/>
  <c r="K151" i="13" s="1"/>
  <c r="G1145" i="13"/>
  <c r="I1145" i="13" s="1"/>
  <c r="K1145" i="13" s="1"/>
  <c r="G3688" i="13"/>
  <c r="I3688" i="13" s="1"/>
  <c r="G399" i="13"/>
  <c r="I399" i="13" s="1"/>
  <c r="K399" i="13" s="1"/>
  <c r="G2984" i="13"/>
  <c r="G1526" i="13"/>
  <c r="I1526" i="13" s="1"/>
  <c r="G107" i="13"/>
  <c r="I107" i="13" s="1"/>
  <c r="G487" i="13"/>
  <c r="I487" i="13" s="1"/>
  <c r="K487" i="13" s="1"/>
  <c r="G1549" i="13"/>
  <c r="I1549" i="13" s="1"/>
  <c r="K1549" i="13" s="1"/>
  <c r="G3463" i="13"/>
  <c r="I3463" i="13" s="1"/>
  <c r="G4277" i="13"/>
  <c r="G4840" i="13"/>
  <c r="I4840" i="13" s="1"/>
  <c r="G3417" i="13"/>
  <c r="G4624" i="13"/>
  <c r="I4624" i="13" s="1"/>
  <c r="G1482" i="13"/>
  <c r="I1482" i="13" s="1"/>
  <c r="G2439" i="13"/>
  <c r="I2439" i="13" s="1"/>
  <c r="G3524" i="13"/>
  <c r="I3524" i="13" s="1"/>
  <c r="G3682" i="13"/>
  <c r="I3682" i="13" s="1"/>
  <c r="G2886" i="13"/>
  <c r="I2886" i="13" s="1"/>
  <c r="G2103" i="13"/>
  <c r="I2103" i="13" s="1"/>
  <c r="K2103" i="13" s="1"/>
  <c r="G4715" i="13"/>
  <c r="I4715" i="13" s="1"/>
  <c r="G3247" i="13"/>
  <c r="I3247" i="13" s="1"/>
  <c r="K3247" i="13" s="1"/>
  <c r="G4092" i="13"/>
  <c r="I4092" i="13" s="1"/>
  <c r="G4780" i="13"/>
  <c r="I4780" i="13" s="1"/>
  <c r="G2809" i="13"/>
  <c r="G2605" i="13"/>
  <c r="I2605" i="13" s="1"/>
  <c r="K2605" i="13" s="1"/>
  <c r="G2139" i="13"/>
  <c r="I2139" i="13" s="1"/>
  <c r="G4498" i="13"/>
  <c r="I4498" i="13" s="1"/>
  <c r="G1684" i="13"/>
  <c r="I1684" i="13" s="1"/>
  <c r="G900" i="13"/>
  <c r="I900" i="13" s="1"/>
  <c r="G1078" i="13"/>
  <c r="I1078" i="13" s="1"/>
  <c r="G773" i="13"/>
  <c r="G1933" i="13"/>
  <c r="I1933" i="13" s="1"/>
  <c r="K1933" i="13" s="1"/>
  <c r="G2252" i="13"/>
  <c r="I2252" i="13" s="1"/>
  <c r="K2252" i="13" s="1"/>
  <c r="G4489" i="13"/>
  <c r="I4489" i="13" s="1"/>
  <c r="G2176" i="13"/>
  <c r="I2176" i="13" s="1"/>
  <c r="G2895" i="13"/>
  <c r="I2895" i="13" s="1"/>
  <c r="K2895" i="13" s="1"/>
  <c r="G4537" i="13"/>
  <c r="I4537" i="13" s="1"/>
  <c r="K4537" i="13" s="1"/>
  <c r="G3783" i="13"/>
  <c r="I3783" i="13" s="1"/>
  <c r="G725" i="13"/>
  <c r="G2037" i="13"/>
  <c r="G77" i="13"/>
  <c r="I77" i="13" s="1"/>
  <c r="K77" i="13" s="1"/>
  <c r="G2272" i="13"/>
  <c r="I2272" i="13" s="1"/>
  <c r="G678" i="13"/>
  <c r="I678" i="13" s="1"/>
  <c r="K678" i="13" s="1"/>
  <c r="G984" i="13"/>
  <c r="G3308" i="13"/>
  <c r="I3308" i="13" s="1"/>
  <c r="K3308" i="13" s="1"/>
  <c r="G2849" i="13"/>
  <c r="I2849" i="13" s="1"/>
  <c r="K2849" i="13" s="1"/>
  <c r="G1520" i="13"/>
  <c r="I1520" i="13" s="1"/>
  <c r="G1561" i="13"/>
  <c r="I1561" i="13" s="1"/>
  <c r="K1561" i="13" s="1"/>
  <c r="G3599" i="13"/>
  <c r="I3599" i="13" s="1"/>
  <c r="K3599" i="13" s="1"/>
  <c r="G2679" i="13"/>
  <c r="I2679" i="13" s="1"/>
  <c r="G3338" i="13"/>
  <c r="I3338" i="13" s="1"/>
  <c r="G4078" i="13"/>
  <c r="I4078" i="13" s="1"/>
  <c r="K4078" i="13" s="1"/>
  <c r="G404" i="13"/>
  <c r="I404" i="13" s="1"/>
  <c r="G1725" i="13"/>
  <c r="I1725" i="13" s="1"/>
  <c r="K1725" i="13" s="1"/>
  <c r="G3593" i="13"/>
  <c r="G2477" i="13"/>
  <c r="I2477" i="13" s="1"/>
  <c r="K2477" i="13" s="1"/>
  <c r="G1063" i="13"/>
  <c r="I1063" i="13" s="1"/>
  <c r="K1063" i="13" s="1"/>
  <c r="G1345" i="13"/>
  <c r="I1345" i="13" s="1"/>
  <c r="K1345" i="13" s="1"/>
  <c r="G4370" i="13"/>
  <c r="I4370" i="13" s="1"/>
  <c r="G4763" i="13"/>
  <c r="I4763" i="13" s="1"/>
  <c r="G3372" i="13"/>
  <c r="I3372" i="13" s="1"/>
  <c r="K3372" i="13" s="1"/>
  <c r="G3659" i="13"/>
  <c r="I3659" i="13" s="1"/>
  <c r="G3947" i="13"/>
  <c r="I3947" i="13" s="1"/>
  <c r="G842" i="13"/>
  <c r="I842" i="13" s="1"/>
  <c r="K842" i="13" s="1"/>
  <c r="G2744" i="13"/>
  <c r="I2744" i="13" s="1"/>
  <c r="G1592" i="13"/>
  <c r="G1700" i="13"/>
  <c r="I1700" i="13" s="1"/>
  <c r="G2574" i="13"/>
  <c r="I2574" i="13" s="1"/>
  <c r="K2574" i="13" s="1"/>
  <c r="G2153" i="13"/>
  <c r="G638" i="13"/>
  <c r="I638" i="13" s="1"/>
  <c r="K638" i="13" s="1"/>
  <c r="G704" i="13"/>
  <c r="I704" i="13" s="1"/>
  <c r="G4191" i="13"/>
  <c r="I4191" i="13" s="1"/>
  <c r="K4191" i="13" s="1"/>
  <c r="G510" i="13"/>
  <c r="I510" i="13" s="1"/>
  <c r="K510" i="13" s="1"/>
  <c r="G1871" i="13"/>
  <c r="I1871" i="13" s="1"/>
  <c r="K1871" i="13" s="1"/>
  <c r="G4374" i="13"/>
  <c r="I4374" i="13" s="1"/>
  <c r="K4374" i="13" s="1"/>
  <c r="G4081" i="13"/>
  <c r="I4081" i="13" s="1"/>
  <c r="K4081" i="13" s="1"/>
  <c r="G214" i="13"/>
  <c r="I214" i="13" s="1"/>
  <c r="G2357" i="13"/>
  <c r="G2322" i="13"/>
  <c r="I2322" i="13" s="1"/>
  <c r="G372" i="13"/>
  <c r="I372" i="13" s="1"/>
  <c r="G494" i="13"/>
  <c r="I494" i="13" s="1"/>
  <c r="K494" i="13" s="1"/>
  <c r="G99" i="13"/>
  <c r="I99" i="13" s="1"/>
  <c r="G4695" i="13"/>
  <c r="I4695" i="13" s="1"/>
  <c r="G277" i="13"/>
  <c r="G3979" i="13"/>
  <c r="I3979" i="13" s="1"/>
  <c r="G3904" i="13"/>
  <c r="I3904" i="13" s="1"/>
  <c r="G2020" i="13"/>
  <c r="I2020" i="13" s="1"/>
  <c r="G4755" i="13"/>
  <c r="G413" i="13"/>
  <c r="I413" i="13" s="1"/>
  <c r="K413" i="13" s="1"/>
  <c r="G2047" i="13"/>
  <c r="I2047" i="13" s="1"/>
  <c r="K2047" i="13" s="1"/>
  <c r="G2331" i="13"/>
  <c r="I2331" i="13" s="1"/>
  <c r="G626" i="13"/>
  <c r="I626" i="13" s="1"/>
  <c r="G2349" i="13"/>
  <c r="I2349" i="13" s="1"/>
  <c r="K2349" i="13" s="1"/>
  <c r="G2173" i="13"/>
  <c r="I2173" i="13" s="1"/>
  <c r="K2173" i="13" s="1"/>
  <c r="G295" i="13"/>
  <c r="I295" i="13" s="1"/>
  <c r="K295" i="13" s="1"/>
  <c r="G143" i="13"/>
  <c r="I143" i="13" s="1"/>
  <c r="K143" i="13" s="1"/>
  <c r="G2530" i="13"/>
  <c r="I2530" i="13" s="1"/>
  <c r="G2353" i="13"/>
  <c r="I2353" i="13" s="1"/>
  <c r="K2353" i="13" s="1"/>
  <c r="G1953" i="13"/>
  <c r="I1953" i="13" s="1"/>
  <c r="K1953" i="13" s="1"/>
  <c r="G2968" i="13"/>
  <c r="G4513" i="13"/>
  <c r="I4513" i="13" s="1"/>
  <c r="K4513" i="13" s="1"/>
  <c r="G3496" i="13"/>
  <c r="I3496" i="13" s="1"/>
  <c r="G3101" i="13"/>
  <c r="I3101" i="13" s="1"/>
  <c r="K3101" i="13" s="1"/>
  <c r="G714" i="13"/>
  <c r="I714" i="13" s="1"/>
  <c r="K714" i="13" s="1"/>
  <c r="G244" i="13"/>
  <c r="I244" i="13" s="1"/>
  <c r="G4151" i="13"/>
  <c r="I4151" i="13" s="1"/>
  <c r="G3686" i="13"/>
  <c r="I3686" i="13" s="1"/>
  <c r="K3686" i="13" s="1"/>
  <c r="G4221" i="13"/>
  <c r="I4221" i="13" s="1"/>
  <c r="K4221" i="13" s="1"/>
  <c r="G2261" i="13"/>
  <c r="G2741" i="13"/>
  <c r="G401" i="13"/>
  <c r="I401" i="13" s="1"/>
  <c r="K401" i="13" s="1"/>
  <c r="G3531" i="13"/>
  <c r="I3531" i="13" s="1"/>
  <c r="G2398" i="13"/>
  <c r="I2398" i="13" s="1"/>
  <c r="K2398" i="13" s="1"/>
  <c r="G2119" i="13"/>
  <c r="I2119" i="13" s="1"/>
  <c r="K2119" i="13" s="1"/>
  <c r="G2046" i="13"/>
  <c r="I2046" i="13" s="1"/>
  <c r="K2046" i="13" s="1"/>
  <c r="G1560" i="13"/>
  <c r="G4649" i="13"/>
  <c r="I4649" i="13" s="1"/>
  <c r="K4649" i="13" s="1"/>
  <c r="G3295" i="13"/>
  <c r="I3295" i="13" s="1"/>
  <c r="K3295" i="13" s="1"/>
  <c r="G2993" i="13"/>
  <c r="I2993" i="13" s="1"/>
  <c r="K2993" i="13" s="1"/>
  <c r="G2701" i="13"/>
  <c r="I2701" i="13" s="1"/>
  <c r="K2701" i="13" s="1"/>
  <c r="G4147" i="13"/>
  <c r="I4147" i="13" s="1"/>
  <c r="G980" i="13"/>
  <c r="I980" i="13" s="1"/>
  <c r="G3937" i="13"/>
  <c r="I3937" i="13" s="1"/>
  <c r="K3937" i="13" s="1"/>
  <c r="G3116" i="13"/>
  <c r="I3116" i="13" s="1"/>
  <c r="K3116" i="13" s="1"/>
  <c r="G4109" i="13"/>
  <c r="I4109" i="13" s="1"/>
  <c r="K4109" i="13" s="1"/>
  <c r="G349" i="13"/>
  <c r="I349" i="13" s="1"/>
  <c r="K349" i="13" s="1"/>
  <c r="G1677" i="13"/>
  <c r="I1677" i="13" s="1"/>
  <c r="K1677" i="13" s="1"/>
  <c r="G4483" i="13"/>
  <c r="I4483" i="13" s="1"/>
  <c r="G833" i="13"/>
  <c r="I833" i="13" s="1"/>
  <c r="K833" i="13" s="1"/>
  <c r="G3212" i="13"/>
  <c r="I3212" i="13" s="1"/>
  <c r="K3212" i="13" s="1"/>
  <c r="G2700" i="13"/>
  <c r="I2700" i="13" s="1"/>
  <c r="K2700" i="13" s="1"/>
  <c r="G3768" i="13"/>
  <c r="I3768" i="13" s="1"/>
  <c r="G1096" i="13"/>
  <c r="G2104" i="13"/>
  <c r="G3110" i="13"/>
  <c r="I3110" i="13" s="1"/>
  <c r="G219" i="13"/>
  <c r="I219" i="13" s="1"/>
  <c r="G3205" i="13"/>
  <c r="G3709" i="13"/>
  <c r="I3709" i="13" s="1"/>
  <c r="K3709" i="13" s="1"/>
  <c r="G1881" i="13"/>
  <c r="I1881" i="13" s="1"/>
  <c r="K1881" i="13" s="1"/>
  <c r="G1232" i="13"/>
  <c r="I1232" i="13" s="1"/>
  <c r="G2085" i="13"/>
  <c r="G4197" i="13"/>
  <c r="G3866" i="13"/>
  <c r="I3866" i="13" s="1"/>
  <c r="K3866" i="13" s="1"/>
  <c r="G2224" i="13"/>
  <c r="I2224" i="13" s="1"/>
  <c r="G1505" i="13"/>
  <c r="I1505" i="13" s="1"/>
  <c r="K1505" i="13" s="1"/>
  <c r="G1064" i="13"/>
  <c r="G1121" i="13"/>
  <c r="I1121" i="13" s="1"/>
  <c r="K1121" i="13" s="1"/>
  <c r="G2537" i="13"/>
  <c r="G1252" i="13"/>
  <c r="I1252" i="13" s="1"/>
  <c r="G2145" i="13"/>
  <c r="I2145" i="13" s="1"/>
  <c r="K2145" i="13" s="1"/>
  <c r="G729" i="13"/>
  <c r="G3736" i="13"/>
  <c r="G3467" i="13"/>
  <c r="I3467" i="13" s="1"/>
  <c r="G3098" i="13"/>
  <c r="I3098" i="13" s="1"/>
  <c r="G1317" i="13"/>
  <c r="G1290" i="13"/>
  <c r="I1290" i="13" s="1"/>
  <c r="K1290" i="13" s="1"/>
  <c r="G3297" i="13"/>
  <c r="I3297" i="13" s="1"/>
  <c r="K3297" i="13" s="1"/>
  <c r="G1962" i="13"/>
  <c r="I1962" i="13" s="1"/>
  <c r="G4831" i="13"/>
  <c r="I4831" i="13" s="1"/>
  <c r="G1149" i="13"/>
  <c r="I1149" i="13" s="1"/>
  <c r="K1149" i="13" s="1"/>
  <c r="G78" i="13"/>
  <c r="I78" i="13" s="1"/>
  <c r="K78" i="13" s="1"/>
  <c r="G3368" i="13"/>
  <c r="I3368" i="13" s="1"/>
  <c r="G2956" i="13"/>
  <c r="I2956" i="13" s="1"/>
  <c r="K2956" i="13" s="1"/>
  <c r="G3138" i="13"/>
  <c r="I3138" i="13" s="1"/>
  <c r="G1461" i="13"/>
  <c r="G340" i="13"/>
  <c r="I340" i="13" s="1"/>
  <c r="G75" i="13"/>
  <c r="I75" i="13" s="1"/>
  <c r="G3178" i="13"/>
  <c r="I3178" i="13" s="1"/>
  <c r="G50" i="13"/>
  <c r="I50" i="13" s="1"/>
  <c r="G1784" i="13"/>
  <c r="G3722" i="13"/>
  <c r="I3722" i="13" s="1"/>
  <c r="G1233" i="13"/>
  <c r="I1233" i="13" s="1"/>
  <c r="K1233" i="13" s="1"/>
  <c r="G2535" i="13"/>
  <c r="I2535" i="13" s="1"/>
  <c r="G929" i="13"/>
  <c r="I929" i="13" s="1"/>
  <c r="K929" i="13" s="1"/>
  <c r="G4360" i="13"/>
  <c r="I4360" i="13" s="1"/>
  <c r="G4740" i="13"/>
  <c r="I4740" i="13" s="1"/>
  <c r="G3131" i="13"/>
  <c r="I3131" i="13" s="1"/>
  <c r="G3278" i="13"/>
  <c r="I3278" i="13" s="1"/>
  <c r="K3278" i="13" s="1"/>
  <c r="G1053" i="13"/>
  <c r="I1053" i="13" s="1"/>
  <c r="K1053" i="13" s="1"/>
  <c r="G603" i="13"/>
  <c r="I603" i="13" s="1"/>
  <c r="G884" i="13"/>
  <c r="I884" i="13" s="1"/>
  <c r="G4275" i="13"/>
  <c r="G4832" i="13"/>
  <c r="I4832" i="13" s="1"/>
  <c r="G2469" i="13"/>
  <c r="G42" i="13"/>
  <c r="I42" i="13" s="1"/>
  <c r="K42" i="13" s="1"/>
  <c r="G3051" i="13"/>
  <c r="I3051" i="13" s="1"/>
  <c r="G3382" i="13"/>
  <c r="I3382" i="13" s="1"/>
  <c r="K3382" i="13" s="1"/>
  <c r="G4023" i="13"/>
  <c r="I4023" i="13" s="1"/>
  <c r="K4023" i="13" s="1"/>
  <c r="G3369" i="13"/>
  <c r="G2383" i="13"/>
  <c r="I2383" i="13" s="1"/>
  <c r="K2383" i="13" s="1"/>
  <c r="G3802" i="13"/>
  <c r="I3802" i="13" s="1"/>
  <c r="K3802" i="13" s="1"/>
  <c r="G1907" i="13"/>
  <c r="I1907" i="13" s="1"/>
  <c r="G2064" i="13"/>
  <c r="I2064" i="13" s="1"/>
  <c r="G674" i="13"/>
  <c r="I674" i="13" s="1"/>
  <c r="G3176" i="13"/>
  <c r="I3176" i="13" s="1"/>
  <c r="G2666" i="13"/>
  <c r="I2666" i="13" s="1"/>
  <c r="G4029" i="13"/>
  <c r="I4029" i="13" s="1"/>
  <c r="K4029" i="13" s="1"/>
  <c r="G4897" i="13"/>
  <c r="I4897" i="13" s="1"/>
  <c r="K4897" i="13" s="1"/>
  <c r="G2384" i="13"/>
  <c r="I2384" i="13" s="1"/>
  <c r="G3981" i="13"/>
  <c r="I3981" i="13" s="1"/>
  <c r="K3981" i="13" s="1"/>
  <c r="G1342" i="13"/>
  <c r="I1342" i="13" s="1"/>
  <c r="K1342" i="13" s="1"/>
  <c r="G1299" i="13"/>
  <c r="I1299" i="13" s="1"/>
  <c r="G560" i="13"/>
  <c r="I560" i="13" s="1"/>
  <c r="G3745" i="13"/>
  <c r="I3745" i="13" s="1"/>
  <c r="K3745" i="13" s="1"/>
  <c r="G245" i="13"/>
  <c r="G769" i="13"/>
  <c r="I769" i="13" s="1"/>
  <c r="K769" i="13" s="1"/>
  <c r="G1433" i="13"/>
  <c r="I1433" i="13" s="1"/>
  <c r="K1433" i="13" s="1"/>
  <c r="G2657" i="13"/>
  <c r="I2657" i="13" s="1"/>
  <c r="K2657" i="13" s="1"/>
  <c r="G1971" i="13"/>
  <c r="I1971" i="13" s="1"/>
  <c r="G170" i="13"/>
  <c r="I170" i="13" s="1"/>
  <c r="K170" i="13" s="1"/>
  <c r="G828" i="13"/>
  <c r="I828" i="13" s="1"/>
  <c r="K828" i="13" s="1"/>
  <c r="G1359" i="13"/>
  <c r="I1359" i="13" s="1"/>
  <c r="K1359" i="13" s="1"/>
  <c r="G3500" i="13"/>
  <c r="I3500" i="13" s="1"/>
  <c r="K3500" i="13" s="1"/>
  <c r="G3267" i="13"/>
  <c r="I3267" i="13" s="1"/>
  <c r="G3933" i="13"/>
  <c r="I3933" i="13" s="1"/>
  <c r="K3933" i="13" s="1"/>
  <c r="G3759" i="13"/>
  <c r="I3759" i="13" s="1"/>
  <c r="K3759" i="13" s="1"/>
  <c r="G4320" i="13"/>
  <c r="I4320" i="13" s="1"/>
  <c r="G4317" i="13"/>
  <c r="I4317" i="13" s="1"/>
  <c r="K4317" i="13" s="1"/>
  <c r="G4487" i="13"/>
  <c r="I4487" i="13" s="1"/>
  <c r="K4487" i="13" s="1"/>
  <c r="G4206" i="13"/>
  <c r="I4206" i="13" s="1"/>
  <c r="K4206" i="13" s="1"/>
  <c r="G1033" i="13"/>
  <c r="G843" i="13"/>
  <c r="I843" i="13" s="1"/>
  <c r="G1501" i="13"/>
  <c r="I1501" i="13" s="1"/>
  <c r="K1501" i="13" s="1"/>
  <c r="G2881" i="13"/>
  <c r="I2881" i="13" s="1"/>
  <c r="K2881" i="13" s="1"/>
  <c r="G4685" i="13"/>
  <c r="I4685" i="13" s="1"/>
  <c r="K4685" i="13" s="1"/>
  <c r="G4201" i="13"/>
  <c r="I4201" i="13" s="1"/>
  <c r="K4201" i="13" s="1"/>
  <c r="G611" i="13"/>
  <c r="I611" i="13" s="1"/>
  <c r="G844" i="13"/>
  <c r="I844" i="13" s="1"/>
  <c r="K844" i="13" s="1"/>
  <c r="G2970" i="13"/>
  <c r="I2970" i="13" s="1"/>
  <c r="G2634" i="13"/>
  <c r="I2634" i="13" s="1"/>
  <c r="G627" i="13"/>
  <c r="I627" i="13" s="1"/>
  <c r="G2850" i="13"/>
  <c r="I2850" i="13" s="1"/>
  <c r="G2310" i="13"/>
  <c r="I2310" i="13" s="1"/>
  <c r="G460" i="13"/>
  <c r="I460" i="13" s="1"/>
  <c r="K460" i="13" s="1"/>
  <c r="G1631" i="13"/>
  <c r="I1631" i="13" s="1"/>
  <c r="K1631" i="13" s="1"/>
  <c r="G4139" i="13"/>
  <c r="I4139" i="13" s="1"/>
  <c r="G2418" i="13"/>
  <c r="I2418" i="13" s="1"/>
  <c r="G3833" i="13"/>
  <c r="G2625" i="13"/>
  <c r="I2625" i="13" s="1"/>
  <c r="K2625" i="13" s="1"/>
  <c r="G3636" i="13"/>
  <c r="I3636" i="13" s="1"/>
  <c r="G1679" i="13"/>
  <c r="I1679" i="13" s="1"/>
  <c r="K1679" i="13" s="1"/>
  <c r="G1010" i="13"/>
  <c r="I1010" i="13" s="1"/>
  <c r="G730" i="13"/>
  <c r="I730" i="13" s="1"/>
  <c r="K730" i="13" s="1"/>
  <c r="G344" i="13"/>
  <c r="G4297" i="13"/>
  <c r="I4297" i="13" s="1"/>
  <c r="K4297" i="13" s="1"/>
  <c r="G188" i="13"/>
  <c r="I188" i="13" s="1"/>
  <c r="K188" i="13" s="1"/>
  <c r="G3613" i="13"/>
  <c r="I3613" i="13" s="1"/>
  <c r="K3613" i="13" s="1"/>
  <c r="G2190" i="13"/>
  <c r="I2190" i="13" s="1"/>
  <c r="K2190" i="13" s="1"/>
  <c r="G3069" i="13"/>
  <c r="I3069" i="13" s="1"/>
  <c r="K3069" i="13" s="1"/>
  <c r="G3914" i="13"/>
  <c r="I3914" i="13" s="1"/>
  <c r="G2930" i="13"/>
  <c r="I2930" i="13" s="1"/>
  <c r="G2149" i="13"/>
  <c r="G3890" i="13"/>
  <c r="I3890" i="13" s="1"/>
  <c r="G3864" i="13"/>
  <c r="I3864" i="13" s="1"/>
  <c r="G3710" i="13"/>
  <c r="I3710" i="13" s="1"/>
  <c r="K3710" i="13" s="1"/>
  <c r="G4247" i="13"/>
  <c r="I4247" i="13" s="1"/>
  <c r="G3713" i="13"/>
  <c r="I3713" i="13" s="1"/>
  <c r="K3713" i="13" s="1"/>
  <c r="G1606" i="13"/>
  <c r="I1606" i="13" s="1"/>
  <c r="G2642" i="13"/>
  <c r="I2642" i="13" s="1"/>
  <c r="G4279" i="13"/>
  <c r="I4279" i="13" s="1"/>
  <c r="G2395" i="13"/>
  <c r="I2395" i="13" s="1"/>
  <c r="G3056" i="13"/>
  <c r="I3056" i="13" s="1"/>
  <c r="G813" i="13"/>
  <c r="I813" i="13" s="1"/>
  <c r="K813" i="13" s="1"/>
  <c r="G3263" i="13"/>
  <c r="I3263" i="13" s="1"/>
  <c r="K3263" i="13" s="1"/>
  <c r="G397" i="13"/>
  <c r="I397" i="13" s="1"/>
  <c r="K397" i="13" s="1"/>
  <c r="G1143" i="13"/>
  <c r="I1143" i="13" s="1"/>
  <c r="K1143" i="13" s="1"/>
  <c r="G498" i="13"/>
  <c r="I498" i="13" s="1"/>
  <c r="G1834" i="13"/>
  <c r="I1834" i="13" s="1"/>
  <c r="G1764" i="13"/>
  <c r="I1764" i="13" s="1"/>
  <c r="G515" i="13"/>
  <c r="I515" i="13" s="1"/>
  <c r="G935" i="13"/>
  <c r="I935" i="13" s="1"/>
  <c r="K935" i="13" s="1"/>
  <c r="G4222" i="13"/>
  <c r="I4222" i="13" s="1"/>
  <c r="K4222" i="13" s="1"/>
  <c r="G2756" i="13"/>
  <c r="I2756" i="13" s="1"/>
  <c r="G3193" i="13"/>
  <c r="G671" i="13"/>
  <c r="I671" i="13" s="1"/>
  <c r="K671" i="13" s="1"/>
  <c r="G4102" i="13"/>
  <c r="I4102" i="13" s="1"/>
  <c r="G1739" i="13"/>
  <c r="I1739" i="13" s="1"/>
  <c r="G1634" i="13"/>
  <c r="I1634" i="13" s="1"/>
  <c r="G2919" i="13"/>
  <c r="I2919" i="13" s="1"/>
  <c r="G4552" i="13"/>
  <c r="I4552" i="13" s="1"/>
  <c r="G3746" i="13"/>
  <c r="I3746" i="13" s="1"/>
  <c r="G1111" i="13"/>
  <c r="I1111" i="13" s="1"/>
  <c r="K1111" i="13" s="1"/>
  <c r="G2248" i="13"/>
  <c r="G634" i="13"/>
  <c r="I634" i="13" s="1"/>
  <c r="K634" i="13" s="1"/>
  <c r="G2602" i="13"/>
  <c r="I2602" i="13" s="1"/>
  <c r="G1187" i="13"/>
  <c r="I1187" i="13" s="1"/>
  <c r="G4632" i="13"/>
  <c r="I4632" i="13" s="1"/>
  <c r="G2355" i="13"/>
  <c r="I2355" i="13" s="1"/>
  <c r="G1069" i="13"/>
  <c r="I1069" i="13" s="1"/>
  <c r="K1069" i="13" s="1"/>
  <c r="G2483" i="13"/>
  <c r="I2483" i="13" s="1"/>
  <c r="G269" i="13"/>
  <c r="I269" i="13" s="1"/>
  <c r="K269" i="13" s="1"/>
  <c r="G1730" i="13"/>
  <c r="I1730" i="13" s="1"/>
  <c r="G212" i="13"/>
  <c r="I212" i="13" s="1"/>
  <c r="G2734" i="13"/>
  <c r="I2734" i="13" s="1"/>
  <c r="K2734" i="13" s="1"/>
  <c r="G4825" i="13"/>
  <c r="I4825" i="13" s="1"/>
  <c r="K4825" i="13" s="1"/>
  <c r="G181" i="13"/>
  <c r="G2408" i="13"/>
  <c r="G1693" i="13"/>
  <c r="I1693" i="13" s="1"/>
  <c r="K1693" i="13" s="1"/>
  <c r="G2001" i="13"/>
  <c r="I2001" i="13" s="1"/>
  <c r="K2001" i="13" s="1"/>
  <c r="G454" i="13"/>
  <c r="I454" i="13" s="1"/>
  <c r="G1313" i="13"/>
  <c r="I1313" i="13" s="1"/>
  <c r="K1313" i="13" s="1"/>
  <c r="G4689" i="13"/>
  <c r="I4689" i="13" s="1"/>
  <c r="K4689" i="13" s="1"/>
  <c r="G2699" i="13"/>
  <c r="I2699" i="13" s="1"/>
  <c r="G3428" i="13"/>
  <c r="I3428" i="13" s="1"/>
  <c r="G1156" i="13"/>
  <c r="I1156" i="13" s="1"/>
  <c r="G4705" i="13"/>
  <c r="I4705" i="13" s="1"/>
  <c r="K4705" i="13" s="1"/>
  <c r="G2613" i="13"/>
  <c r="G497" i="13"/>
  <c r="I497" i="13" s="1"/>
  <c r="K497" i="13" s="1"/>
  <c r="G332" i="13"/>
  <c r="I332" i="13" s="1"/>
  <c r="K332" i="13" s="1"/>
  <c r="G4796" i="13"/>
  <c r="I4796" i="13" s="1"/>
  <c r="G3360" i="13"/>
  <c r="I3360" i="13" s="1"/>
  <c r="G2576" i="13"/>
  <c r="I2576" i="13" s="1"/>
  <c r="G3977" i="13"/>
  <c r="I3977" i="13" s="1"/>
  <c r="K3977" i="13" s="1"/>
  <c r="G3752" i="13"/>
  <c r="I3752" i="13" s="1"/>
  <c r="G1920" i="13"/>
  <c r="I1920" i="13" s="1"/>
  <c r="G1061" i="13"/>
  <c r="G2654" i="13"/>
  <c r="I2654" i="13" s="1"/>
  <c r="K2654" i="13" s="1"/>
  <c r="G2269" i="13"/>
  <c r="I2269" i="13" s="1"/>
  <c r="K2269" i="13" s="1"/>
  <c r="G3650" i="13"/>
  <c r="I3650" i="13" s="1"/>
  <c r="G747" i="13"/>
  <c r="I747" i="13" s="1"/>
  <c r="K747" i="13" s="1"/>
  <c r="G3273" i="13"/>
  <c r="I3273" i="13" s="1"/>
  <c r="K3273" i="13" s="1"/>
  <c r="G997" i="13"/>
  <c r="G480" i="13"/>
  <c r="I480" i="13" s="1"/>
  <c r="G567" i="13"/>
  <c r="I567" i="13" s="1"/>
  <c r="K567" i="13" s="1"/>
  <c r="G4091" i="13"/>
  <c r="I4091" i="13" s="1"/>
  <c r="G3824" i="13"/>
  <c r="I3824" i="13" s="1"/>
  <c r="G665" i="13"/>
  <c r="G2436" i="13"/>
  <c r="I2436" i="13" s="1"/>
  <c r="G3090" i="13"/>
  <c r="I3090" i="13" s="1"/>
  <c r="G314" i="13"/>
  <c r="I314" i="13" s="1"/>
  <c r="K314" i="13" s="1"/>
  <c r="G79" i="13"/>
  <c r="I79" i="13" s="1"/>
  <c r="K79" i="13" s="1"/>
  <c r="G1191" i="13"/>
  <c r="I1191" i="13" s="1"/>
  <c r="K1191" i="13" s="1"/>
  <c r="G2521" i="13"/>
  <c r="G321" i="13"/>
  <c r="I321" i="13" s="1"/>
  <c r="K321" i="13" s="1"/>
  <c r="G1511" i="13"/>
  <c r="I1511" i="13" s="1"/>
  <c r="K1511" i="13" s="1"/>
  <c r="G3925" i="13"/>
  <c r="I3925" i="13" s="1"/>
  <c r="G262" i="13"/>
  <c r="I262" i="13" s="1"/>
  <c r="G1056" i="13"/>
  <c r="I1056" i="13" s="1"/>
  <c r="G4726" i="13"/>
  <c r="I4726" i="13" s="1"/>
  <c r="G3328" i="13"/>
  <c r="I3328" i="13" s="1"/>
  <c r="G4388" i="13"/>
  <c r="I4388" i="13" s="1"/>
  <c r="G2461" i="13"/>
  <c r="I2461" i="13" s="1"/>
  <c r="K2461" i="13" s="1"/>
  <c r="G2052" i="13"/>
  <c r="I2052" i="13" s="1"/>
  <c r="G3685" i="13"/>
  <c r="G4842" i="13"/>
  <c r="I4842" i="13" s="1"/>
  <c r="G4393" i="13"/>
  <c r="I4393" i="13" s="1"/>
  <c r="G1585" i="13"/>
  <c r="I1585" i="13" s="1"/>
  <c r="K1585" i="13" s="1"/>
  <c r="G2369" i="13"/>
  <c r="I2369" i="13" s="1"/>
  <c r="K2369" i="13" s="1"/>
  <c r="G1172" i="13"/>
  <c r="I1172" i="13" s="1"/>
  <c r="G4859" i="13"/>
  <c r="I4859" i="13" s="1"/>
  <c r="G3277" i="13"/>
  <c r="I3277" i="13" s="1"/>
  <c r="K3277" i="13" s="1"/>
  <c r="G3624" i="13"/>
  <c r="I3624" i="13" s="1"/>
  <c r="G4571" i="13"/>
  <c r="I4571" i="13" s="1"/>
  <c r="G2136" i="13"/>
  <c r="G1291" i="13"/>
  <c r="I1291" i="13" s="1"/>
  <c r="G216" i="13"/>
  <c r="G2702" i="13"/>
  <c r="I2702" i="13" s="1"/>
  <c r="K2702" i="13" s="1"/>
  <c r="G3558" i="13"/>
  <c r="I3558" i="13" s="1"/>
  <c r="G2872" i="13"/>
  <c r="I2872" i="13" s="1"/>
  <c r="G3357" i="13"/>
  <c r="I3357" i="13" s="1"/>
  <c r="K3357" i="13" s="1"/>
  <c r="G4644" i="13"/>
  <c r="I4644" i="13" s="1"/>
  <c r="G3762" i="13"/>
  <c r="I3762" i="13" s="1"/>
  <c r="G3773" i="13"/>
  <c r="I3773" i="13" s="1"/>
  <c r="K3773" i="13" s="1"/>
  <c r="G2098" i="13"/>
  <c r="I2098" i="13" s="1"/>
  <c r="G2082" i="13"/>
  <c r="I2082" i="13" s="1"/>
  <c r="G573" i="13"/>
  <c r="I573" i="13" s="1"/>
  <c r="K573" i="13" s="1"/>
  <c r="G1458" i="13"/>
  <c r="I1458" i="13" s="1"/>
  <c r="G4460" i="13"/>
  <c r="I4460" i="13" s="1"/>
  <c r="G130" i="13"/>
  <c r="I130" i="13" s="1"/>
  <c r="G3018" i="13"/>
  <c r="I3018" i="13" s="1"/>
  <c r="G1142" i="13"/>
  <c r="I1142" i="13" s="1"/>
  <c r="G1091" i="13"/>
  <c r="I1091" i="13" s="1"/>
  <c r="G2771" i="13"/>
  <c r="I2771" i="13" s="1"/>
  <c r="K2771" i="13" s="1"/>
  <c r="G715" i="13"/>
  <c r="I715" i="13" s="1"/>
  <c r="G3856" i="13"/>
  <c r="I3856" i="13" s="1"/>
  <c r="G3616" i="13"/>
  <c r="I3616" i="13" s="1"/>
  <c r="G3420" i="13"/>
  <c r="I3420" i="13" s="1"/>
  <c r="K3420" i="13" s="1"/>
  <c r="G1506" i="13"/>
  <c r="I1506" i="13" s="1"/>
  <c r="G450" i="13"/>
  <c r="I450" i="13" s="1"/>
  <c r="G236" i="13"/>
  <c r="I236" i="13" s="1"/>
  <c r="K236" i="13" s="1"/>
  <c r="G2188" i="13"/>
  <c r="I2188" i="13" s="1"/>
  <c r="K2188" i="13" s="1"/>
  <c r="G101" i="13"/>
  <c r="G1259" i="13"/>
  <c r="I1259" i="13" s="1"/>
  <c r="G3700" i="13"/>
  <c r="I3700" i="13" s="1"/>
  <c r="G1136" i="13"/>
  <c r="I1136" i="13" s="1"/>
  <c r="G3361" i="13"/>
  <c r="I3361" i="13" s="1"/>
  <c r="K3361" i="13" s="1"/>
  <c r="G3494" i="13"/>
  <c r="I3494" i="13" s="1"/>
  <c r="G1838" i="13"/>
  <c r="I1838" i="13" s="1"/>
  <c r="K1838" i="13" s="1"/>
  <c r="G4173" i="13"/>
  <c r="I4173" i="13" s="1"/>
  <c r="K4173" i="13" s="1"/>
  <c r="G2240" i="13"/>
  <c r="I2240" i="13" s="1"/>
  <c r="G2493" i="13"/>
  <c r="I2493" i="13" s="1"/>
  <c r="K2493" i="13" s="1"/>
  <c r="G259" i="13"/>
  <c r="I259" i="13" s="1"/>
  <c r="K259" i="13" s="1"/>
  <c r="G3575" i="13"/>
  <c r="I3575" i="13" s="1"/>
  <c r="G431" i="13"/>
  <c r="I431" i="13" s="1"/>
  <c r="K431" i="13" s="1"/>
  <c r="G1999" i="13"/>
  <c r="I1999" i="13" s="1"/>
  <c r="K1999" i="13" s="1"/>
  <c r="G735" i="13"/>
  <c r="I735" i="13" s="1"/>
  <c r="K735" i="13" s="1"/>
  <c r="G2805" i="13"/>
  <c r="G4288" i="13"/>
  <c r="I4288" i="13" s="1"/>
  <c r="G1005" i="13"/>
  <c r="I1005" i="13" s="1"/>
  <c r="K1005" i="13" s="1"/>
  <c r="G1984" i="13"/>
  <c r="I1984" i="13" s="1"/>
  <c r="G4303" i="13"/>
  <c r="I4303" i="13" s="1"/>
  <c r="K4303" i="13" s="1"/>
  <c r="G3343" i="13"/>
  <c r="I3343" i="13" s="1"/>
  <c r="K3343" i="13" s="1"/>
  <c r="G520" i="13"/>
  <c r="G1903" i="13"/>
  <c r="I1903" i="13" s="1"/>
  <c r="K1903" i="13" s="1"/>
  <c r="G2194" i="13"/>
  <c r="I2194" i="13" s="1"/>
  <c r="G2673" i="13"/>
  <c r="I2673" i="13" s="1"/>
  <c r="K2673" i="13" s="1"/>
  <c r="G3908" i="13"/>
  <c r="I3908" i="13" s="1"/>
  <c r="G548" i="13"/>
  <c r="I548" i="13" s="1"/>
  <c r="G4189" i="13"/>
  <c r="I4189" i="13" s="1"/>
  <c r="K4189" i="13" s="1"/>
  <c r="G1807" i="13"/>
  <c r="I1807" i="13" s="1"/>
  <c r="K1807" i="13" s="1"/>
  <c r="G1330" i="13"/>
  <c r="I1330" i="13" s="1"/>
  <c r="G503" i="13"/>
  <c r="I503" i="13" s="1"/>
  <c r="K503" i="13" s="1"/>
  <c r="G3544" i="13"/>
  <c r="I3544" i="13" s="1"/>
  <c r="K3544" i="13" s="1"/>
  <c r="G2788" i="13"/>
  <c r="I2788" i="13" s="1"/>
  <c r="G2212" i="13"/>
  <c r="I2212" i="13" s="1"/>
  <c r="G950" i="13"/>
  <c r="I950" i="13" s="1"/>
  <c r="G4427" i="13"/>
  <c r="I4427" i="13" s="1"/>
  <c r="G482" i="13"/>
  <c r="I482" i="13" s="1"/>
  <c r="G3862" i="13"/>
  <c r="I3862" i="13" s="1"/>
  <c r="G3052" i="13"/>
  <c r="I3052" i="13" s="1"/>
  <c r="K3052" i="13" s="1"/>
  <c r="G1394" i="13"/>
  <c r="I1394" i="13" s="1"/>
  <c r="G628" i="13"/>
  <c r="I628" i="13" s="1"/>
  <c r="G951" i="13"/>
  <c r="I951" i="13" s="1"/>
  <c r="K951" i="13" s="1"/>
  <c r="G1242" i="13"/>
  <c r="I1242" i="13" s="1"/>
  <c r="K1242" i="13" s="1"/>
  <c r="G3872" i="13"/>
  <c r="I3872" i="13" s="1"/>
  <c r="G4461" i="13"/>
  <c r="I4461" i="13" s="1"/>
  <c r="K4461" i="13" s="1"/>
  <c r="G3980" i="13"/>
  <c r="I3980" i="13" s="1"/>
  <c r="K3980" i="13" s="1"/>
  <c r="G3769" i="13"/>
  <c r="G4779" i="13"/>
  <c r="I4779" i="13" s="1"/>
  <c r="G4005" i="13"/>
  <c r="G656" i="13"/>
  <c r="I656" i="13" s="1"/>
  <c r="G3464" i="13"/>
  <c r="I3464" i="13" s="1"/>
  <c r="G1201" i="13"/>
  <c r="I1201" i="13" s="1"/>
  <c r="K1201" i="13" s="1"/>
  <c r="G1397" i="13"/>
  <c r="G1988" i="13"/>
  <c r="I1988" i="13" s="1"/>
  <c r="G2636" i="13"/>
  <c r="I2636" i="13" s="1"/>
  <c r="K2636" i="13" s="1"/>
  <c r="G2275" i="13"/>
  <c r="I2275" i="13" s="1"/>
  <c r="K2275" i="13" s="1"/>
  <c r="G4169" i="13"/>
  <c r="I4169" i="13" s="1"/>
  <c r="K4169" i="13" s="1"/>
  <c r="G3965" i="13"/>
  <c r="I3965" i="13" s="1"/>
  <c r="K3965" i="13" s="1"/>
  <c r="G853" i="13"/>
  <c r="G3826" i="13"/>
  <c r="I3826" i="13" s="1"/>
  <c r="G3830" i="13"/>
  <c r="I3830" i="13" s="1"/>
  <c r="G3000" i="13"/>
  <c r="I3000" i="13" s="1"/>
  <c r="G1437" i="13"/>
  <c r="I1437" i="13" s="1"/>
  <c r="K1437" i="13" s="1"/>
  <c r="G4071" i="13"/>
  <c r="I4071" i="13" s="1"/>
  <c r="G694" i="13"/>
  <c r="I694" i="13" s="1"/>
  <c r="G3984" i="13"/>
  <c r="I3984" i="13" s="1"/>
  <c r="G4356" i="13"/>
  <c r="I4356" i="13" s="1"/>
  <c r="G3409" i="13"/>
  <c r="I3409" i="13" s="1"/>
  <c r="K3409" i="13" s="1"/>
  <c r="G778" i="13"/>
  <c r="I778" i="13" s="1"/>
  <c r="K778" i="13" s="1"/>
  <c r="G3972" i="13"/>
  <c r="I3972" i="13" s="1"/>
  <c r="G3987" i="13"/>
  <c r="G4180" i="13"/>
  <c r="I4180" i="13" s="1"/>
  <c r="G4067" i="13"/>
  <c r="G4718" i="13"/>
  <c r="I4718" i="13" s="1"/>
  <c r="K4718" i="13" s="1"/>
  <c r="G2870" i="13"/>
  <c r="I2870" i="13" s="1"/>
  <c r="G4521" i="13"/>
  <c r="I4521" i="13" s="1"/>
  <c r="G748" i="13"/>
  <c r="I748" i="13" s="1"/>
  <c r="K748" i="13" s="1"/>
  <c r="G3683" i="13"/>
  <c r="G805" i="13"/>
  <c r="G2116" i="13"/>
  <c r="I2116" i="13" s="1"/>
  <c r="G1998" i="13"/>
  <c r="I1998" i="13" s="1"/>
  <c r="K1998" i="13" s="1"/>
  <c r="G1719" i="13"/>
  <c r="I1719" i="13" s="1"/>
  <c r="K1719" i="13" s="1"/>
  <c r="G2002" i="13"/>
  <c r="I2002" i="13" s="1"/>
  <c r="G1913" i="13"/>
  <c r="I1913" i="13" s="1"/>
  <c r="K1913" i="13" s="1"/>
  <c r="G1848" i="13"/>
  <c r="G1721" i="13"/>
  <c r="G2431" i="13"/>
  <c r="I2431" i="13" s="1"/>
  <c r="K2431" i="13" s="1"/>
  <c r="G3518" i="13"/>
  <c r="I3518" i="13" s="1"/>
  <c r="K3518" i="13" s="1"/>
  <c r="G3721" i="13"/>
  <c r="G2281" i="13"/>
  <c r="G322" i="13"/>
  <c r="I322" i="13" s="1"/>
  <c r="G4596" i="13"/>
  <c r="I4596" i="13" s="1"/>
  <c r="G617" i="13"/>
  <c r="G111" i="13"/>
  <c r="I111" i="13" s="1"/>
  <c r="K111" i="13" s="1"/>
  <c r="G3064" i="13"/>
  <c r="I3064" i="13" s="1"/>
  <c r="G1388" i="13"/>
  <c r="I1388" i="13" s="1"/>
  <c r="K1388" i="13" s="1"/>
  <c r="G3070" i="13"/>
  <c r="I3070" i="13" s="1"/>
  <c r="K3070" i="13" s="1"/>
  <c r="G4525" i="13"/>
  <c r="I4525" i="13" s="1"/>
  <c r="K4525" i="13" s="1"/>
  <c r="G2709" i="13"/>
  <c r="I2709" i="13" s="1"/>
  <c r="G657" i="13"/>
  <c r="I657" i="13" s="1"/>
  <c r="K657" i="13" s="1"/>
  <c r="G2573" i="13"/>
  <c r="I2573" i="13" s="1"/>
  <c r="K2573" i="13" s="1"/>
  <c r="G4508" i="13"/>
  <c r="I4508" i="13" s="1"/>
  <c r="G4321" i="13"/>
  <c r="I4321" i="13" s="1"/>
  <c r="K4321" i="13" s="1"/>
  <c r="G3588" i="13"/>
  <c r="I3588" i="13" s="1"/>
  <c r="G2511" i="13"/>
  <c r="I2511" i="13" s="1"/>
  <c r="K2511" i="13" s="1"/>
  <c r="G451" i="13"/>
  <c r="I451" i="13" s="1"/>
  <c r="G2341" i="13"/>
  <c r="G529" i="13"/>
  <c r="I529" i="13" s="1"/>
  <c r="K529" i="13" s="1"/>
  <c r="G3720" i="13"/>
  <c r="I3720" i="13" s="1"/>
  <c r="G2273" i="13"/>
  <c r="I2273" i="13" s="1"/>
  <c r="K2273" i="13" s="1"/>
  <c r="G3511" i="13"/>
  <c r="I3511" i="13" s="1"/>
  <c r="K3511" i="13" s="1"/>
  <c r="G588" i="13"/>
  <c r="I588" i="13" s="1"/>
  <c r="K588" i="13" s="1"/>
  <c r="G1876" i="13"/>
  <c r="I1876" i="13" s="1"/>
  <c r="G131" i="13"/>
  <c r="I131" i="13" s="1"/>
  <c r="G2937" i="13"/>
  <c r="G20" i="13"/>
  <c r="I20" i="13" s="1"/>
  <c r="G4554" i="13"/>
  <c r="I4554" i="13" s="1"/>
  <c r="G1031" i="13"/>
  <c r="I1031" i="13" s="1"/>
  <c r="K1031" i="13" s="1"/>
  <c r="G3945" i="13"/>
  <c r="I3945" i="13" s="1"/>
  <c r="K3945" i="13" s="1"/>
  <c r="G4856" i="13"/>
  <c r="I4856" i="13" s="1"/>
  <c r="G821" i="13"/>
  <c r="G1805" i="13"/>
  <c r="I1805" i="13" s="1"/>
  <c r="K1805" i="13" s="1"/>
  <c r="G4520" i="13"/>
  <c r="I4520" i="13" s="1"/>
  <c r="G2506" i="13"/>
  <c r="I2506" i="13" s="1"/>
  <c r="K2506" i="13" s="1"/>
  <c r="G1846" i="13"/>
  <c r="I1846" i="13" s="1"/>
  <c r="G2270" i="13"/>
  <c r="I2270" i="13" s="1"/>
  <c r="K2270" i="13" s="1"/>
  <c r="G2839" i="13"/>
  <c r="I2839" i="13" s="1"/>
  <c r="K2839" i="13" s="1"/>
  <c r="G4161" i="13"/>
  <c r="I4161" i="13" s="1"/>
  <c r="K4161" i="13" s="1"/>
  <c r="G1357" i="13"/>
  <c r="I1357" i="13" s="1"/>
  <c r="K1357" i="13" s="1"/>
  <c r="G975" i="13"/>
  <c r="I975" i="13" s="1"/>
  <c r="K975" i="13" s="1"/>
  <c r="G4431" i="13"/>
  <c r="I4431" i="13" s="1"/>
  <c r="K4431" i="13" s="1"/>
  <c r="G38" i="13"/>
  <c r="I38" i="13" s="1"/>
  <c r="G61" i="13"/>
  <c r="I61" i="13" s="1"/>
  <c r="K61" i="13" s="1"/>
  <c r="G1152" i="13"/>
  <c r="I1152" i="13" s="1"/>
  <c r="G3991" i="13"/>
  <c r="I3991" i="13" s="1"/>
  <c r="G731" i="13"/>
  <c r="I731" i="13" s="1"/>
  <c r="G4601" i="13"/>
  <c r="I4601" i="13" s="1"/>
  <c r="K4601" i="13" s="1"/>
  <c r="G1540" i="13"/>
  <c r="I1540" i="13" s="1"/>
  <c r="G4653" i="13"/>
  <c r="I4653" i="13" s="1"/>
  <c r="K4653" i="13" s="1"/>
  <c r="G940" i="13"/>
  <c r="I940" i="13" s="1"/>
  <c r="K940" i="13" s="1"/>
  <c r="G2874" i="13"/>
  <c r="I2874" i="13" s="1"/>
  <c r="G679" i="13"/>
  <c r="I679" i="13" s="1"/>
  <c r="K679" i="13" s="1"/>
  <c r="G3016" i="13"/>
  <c r="I3016" i="13" s="1"/>
  <c r="G2022" i="13"/>
  <c r="I2022" i="13" s="1"/>
  <c r="G2245" i="13"/>
  <c r="G2415" i="13"/>
  <c r="I2415" i="13" s="1"/>
  <c r="K2415" i="13" s="1"/>
  <c r="G899" i="13"/>
  <c r="I899" i="13" s="1"/>
  <c r="G1791" i="13"/>
  <c r="I1791" i="13" s="1"/>
  <c r="K1791" i="13" s="1"/>
  <c r="G3520" i="13"/>
  <c r="I3520" i="13" s="1"/>
  <c r="G3449" i="13"/>
  <c r="G4785" i="13"/>
  <c r="I4785" i="13" s="1"/>
  <c r="K4785" i="13" s="1"/>
  <c r="G2522" i="13"/>
  <c r="I2522" i="13" s="1"/>
  <c r="G4072" i="13"/>
  <c r="G3412" i="13"/>
  <c r="I3412" i="13" s="1"/>
  <c r="G2655" i="13"/>
  <c r="I2655" i="13" s="1"/>
  <c r="K2655" i="13" s="1"/>
  <c r="G4593" i="13"/>
  <c r="I4593" i="13" s="1"/>
  <c r="K4593" i="13" s="1"/>
  <c r="G4618" i="13"/>
  <c r="I4618" i="13" s="1"/>
  <c r="G2443" i="13"/>
  <c r="I2443" i="13" s="1"/>
  <c r="G4309" i="13"/>
  <c r="G3804" i="13"/>
  <c r="I3804" i="13" s="1"/>
  <c r="K3804" i="13" s="1"/>
  <c r="G1800" i="13"/>
  <c r="G3044" i="13"/>
  <c r="I3044" i="13" s="1"/>
  <c r="G1018" i="13"/>
  <c r="I1018" i="13" s="1"/>
  <c r="K1018" i="13" s="1"/>
  <c r="G3421" i="13"/>
  <c r="I3421" i="13" s="1"/>
  <c r="K3421" i="13" s="1"/>
  <c r="G3371" i="13"/>
  <c r="I3371" i="13" s="1"/>
  <c r="G3450" i="13"/>
  <c r="I3450" i="13" s="1"/>
  <c r="G4300" i="13"/>
  <c r="I4300" i="13" s="1"/>
  <c r="G1163" i="13"/>
  <c r="I1163" i="13" s="1"/>
  <c r="G2818" i="13"/>
  <c r="I2818" i="13" s="1"/>
  <c r="G2199" i="13"/>
  <c r="I2199" i="13" s="1"/>
  <c r="K2199" i="13" s="1"/>
  <c r="G1011" i="13"/>
  <c r="I1011" i="13" s="1"/>
  <c r="K1011" i="13" s="1"/>
  <c r="G549" i="13"/>
  <c r="G3333" i="13"/>
  <c r="G4881" i="13"/>
  <c r="I4881" i="13" s="1"/>
  <c r="K4881" i="13" s="1"/>
  <c r="G3695" i="13"/>
  <c r="I3695" i="13" s="1"/>
  <c r="K3695" i="13" s="1"/>
  <c r="G3221" i="13"/>
  <c r="G4115" i="13"/>
  <c r="I4115" i="13" s="1"/>
  <c r="G4627" i="13"/>
  <c r="G102" i="13"/>
  <c r="I102" i="13" s="1"/>
  <c r="G2623" i="13"/>
  <c r="I2623" i="13" s="1"/>
  <c r="K2623" i="13" s="1"/>
  <c r="G1942" i="13"/>
  <c r="I1942" i="13" s="1"/>
  <c r="G2131" i="13"/>
  <c r="I2131" i="13" s="1"/>
  <c r="G1019" i="13"/>
  <c r="I1019" i="13" s="1"/>
  <c r="G1355" i="13"/>
  <c r="I1355" i="13" s="1"/>
  <c r="G912" i="13"/>
  <c r="I912" i="13" s="1"/>
  <c r="G4497" i="13"/>
  <c r="I4497" i="13" s="1"/>
  <c r="K4497" i="13" s="1"/>
  <c r="G4672" i="13"/>
  <c r="I4672" i="13" s="1"/>
  <c r="G1922" i="13"/>
  <c r="I1922" i="13" s="1"/>
  <c r="G4156" i="13"/>
  <c r="I4156" i="13" s="1"/>
  <c r="G3350" i="13"/>
  <c r="I3350" i="13" s="1"/>
  <c r="K3350" i="13" s="1"/>
  <c r="G4186" i="13"/>
  <c r="I4186" i="13" s="1"/>
  <c r="G3753" i="13"/>
  <c r="G1675" i="13"/>
  <c r="I1675" i="13" s="1"/>
  <c r="G2947" i="13"/>
  <c r="I2947" i="13" s="1"/>
  <c r="G1421" i="13"/>
  <c r="I1421" i="13" s="1"/>
  <c r="K1421" i="13" s="1"/>
  <c r="G2201" i="13"/>
  <c r="I2201" i="13" s="1"/>
  <c r="K2201" i="13" s="1"/>
  <c r="G1994" i="13"/>
  <c r="I1994" i="13" s="1"/>
  <c r="G2995" i="13"/>
  <c r="I2995" i="13" s="1"/>
  <c r="G3976" i="13"/>
  <c r="I3976" i="13" s="1"/>
  <c r="G586" i="13"/>
  <c r="I586" i="13" s="1"/>
  <c r="K586" i="13" s="1"/>
  <c r="G3216" i="13"/>
  <c r="I3216" i="13" s="1"/>
  <c r="G1166" i="13"/>
  <c r="I1166" i="13" s="1"/>
  <c r="K1166" i="13" s="1"/>
  <c r="G2311" i="13"/>
  <c r="I2311" i="13" s="1"/>
  <c r="K2311" i="13" s="1"/>
  <c r="G3354" i="13"/>
  <c r="I3354" i="13" s="1"/>
  <c r="K3354" i="13" s="1"/>
  <c r="G3225" i="13"/>
  <c r="G2161" i="13"/>
  <c r="I2161" i="13" s="1"/>
  <c r="K2161" i="13" s="1"/>
  <c r="G930" i="13"/>
  <c r="I930" i="13" s="1"/>
  <c r="G1267" i="13"/>
  <c r="I1267" i="13" s="1"/>
  <c r="G2737" i="13"/>
  <c r="I2737" i="13" s="1"/>
  <c r="K2737" i="13" s="1"/>
  <c r="G209" i="13"/>
  <c r="I209" i="13" s="1"/>
  <c r="K209" i="13" s="1"/>
  <c r="G1475" i="13"/>
  <c r="I1475" i="13" s="1"/>
  <c r="G4768" i="13"/>
  <c r="I4768" i="13" s="1"/>
  <c r="G2414" i="13"/>
  <c r="I2414" i="13" s="1"/>
  <c r="K2414" i="13" s="1"/>
  <c r="G51" i="13"/>
  <c r="I51" i="13" s="1"/>
  <c r="G4761" i="13"/>
  <c r="I4761" i="13" s="1"/>
  <c r="G435" i="13"/>
  <c r="I435" i="13" s="1"/>
  <c r="K435" i="13" s="1"/>
  <c r="G3370" i="13"/>
  <c r="I3370" i="13" s="1"/>
  <c r="G1128" i="13"/>
  <c r="G3742" i="13"/>
  <c r="I3742" i="13" s="1"/>
  <c r="K3742" i="13" s="1"/>
  <c r="G461" i="13"/>
  <c r="I461" i="13" s="1"/>
  <c r="K461" i="13" s="1"/>
  <c r="G4608" i="13"/>
  <c r="I4608" i="13" s="1"/>
  <c r="G4484" i="13"/>
  <c r="I4484" i="13" s="1"/>
  <c r="G3001" i="13"/>
  <c r="G802" i="13"/>
  <c r="I802" i="13" s="1"/>
  <c r="G1253" i="13"/>
  <c r="G792" i="13"/>
  <c r="G2499" i="13"/>
  <c r="I2499" i="13" s="1"/>
  <c r="G18" i="13"/>
  <c r="I18" i="13" s="1"/>
  <c r="G2999" i="13"/>
  <c r="I2999" i="13" s="1"/>
  <c r="G3447" i="13"/>
  <c r="I3447" i="13" s="1"/>
  <c r="K3447" i="13" s="1"/>
  <c r="G3136" i="13"/>
  <c r="I3136" i="13" s="1"/>
  <c r="G1173" i="13"/>
  <c r="G2216" i="13"/>
  <c r="I2216" i="13" s="1"/>
  <c r="G3798" i="13"/>
  <c r="I3798" i="13" s="1"/>
  <c r="G3214" i="13"/>
  <c r="I3214" i="13" s="1"/>
  <c r="K3214" i="13" s="1"/>
  <c r="G417" i="13"/>
  <c r="I417" i="13" s="1"/>
  <c r="K417" i="13" s="1"/>
  <c r="G658" i="13"/>
  <c r="I658" i="13" s="1"/>
  <c r="G4418" i="13"/>
  <c r="I4418" i="13" s="1"/>
  <c r="G4060" i="13"/>
  <c r="I4060" i="13" s="1"/>
  <c r="G4052" i="13"/>
  <c r="I4052" i="13" s="1"/>
  <c r="G3335" i="13"/>
  <c r="I3335" i="13" s="1"/>
  <c r="G3647" i="13"/>
  <c r="I3647" i="13" s="1"/>
  <c r="K3647" i="13" s="1"/>
  <c r="G1473" i="13"/>
  <c r="I1473" i="13" s="1"/>
  <c r="K1473" i="13" s="1"/>
  <c r="G4133" i="13"/>
  <c r="G2745" i="13"/>
  <c r="G1108" i="13"/>
  <c r="I1108" i="13" s="1"/>
  <c r="G2857" i="13"/>
  <c r="I2857" i="13" s="1"/>
  <c r="K2857" i="13" s="1"/>
  <c r="G3128" i="13"/>
  <c r="I3128" i="13" s="1"/>
  <c r="G2885" i="13"/>
  <c r="G3942" i="13"/>
  <c r="I3942" i="13" s="1"/>
  <c r="G1066" i="13"/>
  <c r="I1066" i="13" s="1"/>
  <c r="K1066" i="13" s="1"/>
  <c r="G1272" i="13"/>
  <c r="G2268" i="13"/>
  <c r="I2268" i="13" s="1"/>
  <c r="K2268" i="13" s="1"/>
  <c r="G502" i="13"/>
  <c r="I502" i="13" s="1"/>
  <c r="K502" i="13" s="1"/>
  <c r="G533" i="13"/>
  <c r="G517" i="13"/>
  <c r="G25" i="13"/>
  <c r="G528" i="13"/>
  <c r="I528" i="13" s="1"/>
  <c r="G3814" i="13"/>
  <c r="I3814" i="13" s="1"/>
  <c r="G4065" i="13"/>
  <c r="I4065" i="13" s="1"/>
  <c r="K4065" i="13" s="1"/>
  <c r="G4331" i="13"/>
  <c r="I4331" i="13" s="1"/>
  <c r="G4276" i="13"/>
  <c r="I4276" i="13" s="1"/>
  <c r="G1589" i="13"/>
  <c r="G4215" i="13"/>
  <c r="I4215" i="13" s="1"/>
  <c r="G1227" i="13"/>
  <c r="I1227" i="13" s="1"/>
  <c r="G1115" i="13"/>
  <c r="I1115" i="13" s="1"/>
  <c r="G1239" i="13"/>
  <c r="I1239" i="13" s="1"/>
  <c r="K1239" i="13" s="1"/>
  <c r="G2117" i="13"/>
  <c r="G2639" i="13"/>
  <c r="I2639" i="13" s="1"/>
  <c r="K2639" i="13" s="1"/>
  <c r="G1687" i="13"/>
  <c r="I1687" i="13" s="1"/>
  <c r="K1687" i="13" s="1"/>
  <c r="G4538" i="13"/>
  <c r="I4538" i="13" s="1"/>
  <c r="G52" i="13"/>
  <c r="I52" i="13" s="1"/>
  <c r="G736" i="13"/>
  <c r="I736" i="13" s="1"/>
  <c r="G3362" i="13"/>
  <c r="I3362" i="13" s="1"/>
  <c r="G876" i="13"/>
  <c r="I876" i="13" s="1"/>
  <c r="K876" i="13" s="1"/>
  <c r="G1057" i="13"/>
  <c r="I1057" i="13" s="1"/>
  <c r="K1057" i="13" s="1"/>
  <c r="G4421" i="13"/>
  <c r="G3842" i="13"/>
  <c r="I3842" i="13" s="1"/>
  <c r="G4645" i="13"/>
  <c r="G507" i="13"/>
  <c r="I507" i="13" s="1"/>
  <c r="G4364" i="13"/>
  <c r="I4364" i="13" s="1"/>
  <c r="G1928" i="13"/>
  <c r="G4082" i="13"/>
  <c r="I4082" i="13" s="1"/>
  <c r="G4129" i="13"/>
  <c r="I4129" i="13" s="1"/>
  <c r="K4129" i="13" s="1"/>
  <c r="G2203" i="13"/>
  <c r="I2203" i="13" s="1"/>
  <c r="G4278" i="13"/>
  <c r="I4278" i="13" s="1"/>
  <c r="K4278" i="13" s="1"/>
  <c r="G2294" i="13"/>
  <c r="I2294" i="13" s="1"/>
  <c r="G3378" i="13"/>
  <c r="I3378" i="13" s="1"/>
  <c r="G2242" i="13"/>
  <c r="I2242" i="13" s="1"/>
  <c r="G3222" i="13"/>
  <c r="I3222" i="13" s="1"/>
  <c r="G2782" i="13"/>
  <c r="I2782" i="13" s="1"/>
  <c r="K2782" i="13" s="1"/>
  <c r="G745" i="13"/>
  <c r="I745" i="13" s="1"/>
  <c r="K745" i="13" s="1"/>
  <c r="G4199" i="13"/>
  <c r="I4199" i="13" s="1"/>
  <c r="G2875" i="13"/>
  <c r="I2875" i="13" s="1"/>
  <c r="G3621" i="13"/>
  <c r="G2051" i="13"/>
  <c r="I2051" i="13" s="1"/>
  <c r="K2051" i="13" s="1"/>
  <c r="G1882" i="13"/>
  <c r="I1882" i="13" s="1"/>
  <c r="G1517" i="13"/>
  <c r="I1517" i="13" s="1"/>
  <c r="K1517" i="13" s="1"/>
  <c r="G976" i="13"/>
  <c r="I976" i="13" s="1"/>
  <c r="G4353" i="13"/>
  <c r="I4353" i="13" s="1"/>
  <c r="K4353" i="13" s="1"/>
  <c r="G2061" i="13"/>
  <c r="I2061" i="13" s="1"/>
  <c r="K2061" i="13" s="1"/>
  <c r="G4255" i="13"/>
  <c r="I4255" i="13" s="1"/>
  <c r="K4255" i="13" s="1"/>
  <c r="G1273" i="13"/>
  <c r="G4827" i="13"/>
  <c r="I4827" i="13" s="1"/>
  <c r="G2551" i="13"/>
  <c r="I2551" i="13" s="1"/>
  <c r="G1789" i="13"/>
  <c r="I1789" i="13" s="1"/>
  <c r="K1789" i="13" s="1"/>
  <c r="G4" i="13"/>
  <c r="I4" i="13" s="1"/>
  <c r="G818" i="13"/>
  <c r="I818" i="13" s="1"/>
  <c r="G848" i="13"/>
  <c r="I848" i="13" s="1"/>
  <c r="G2256" i="13"/>
  <c r="I2256" i="13" s="1"/>
  <c r="G4122" i="13"/>
  <c r="I4122" i="13" s="1"/>
  <c r="G4850" i="13"/>
  <c r="I4850" i="13" s="1"/>
  <c r="G4639" i="13"/>
  <c r="I4639" i="13" s="1"/>
  <c r="K4639" i="13" s="1"/>
  <c r="G877" i="13"/>
  <c r="I877" i="13" s="1"/>
  <c r="K877" i="13" s="1"/>
  <c r="G941" i="13"/>
  <c r="I941" i="13" s="1"/>
  <c r="K941" i="13" s="1"/>
  <c r="G4883" i="13"/>
  <c r="I4883" i="13" s="1"/>
  <c r="G1932" i="13"/>
  <c r="I1932" i="13" s="1"/>
  <c r="K1932" i="13" s="1"/>
  <c r="G2599" i="13"/>
  <c r="I2599" i="13" s="1"/>
  <c r="K2599" i="13" s="1"/>
  <c r="G1572" i="13"/>
  <c r="I1572" i="13" s="1"/>
  <c r="G4179" i="13"/>
  <c r="G373" i="13"/>
  <c r="G1545" i="13"/>
  <c r="G1528" i="13"/>
  <c r="I1528" i="13" s="1"/>
  <c r="G2768" i="13"/>
  <c r="I2768" i="13" s="1"/>
  <c r="G592" i="13"/>
  <c r="I592" i="13" s="1"/>
  <c r="G17" i="13"/>
  <c r="I17" i="13" s="1"/>
  <c r="K17" i="13" s="1"/>
  <c r="G3706" i="13"/>
  <c r="I3706" i="13" s="1"/>
  <c r="G2959" i="13"/>
  <c r="I2959" i="13" s="1"/>
  <c r="K2959" i="13" s="1"/>
  <c r="G3651" i="13"/>
  <c r="G2951" i="13"/>
  <c r="I2951" i="13" s="1"/>
  <c r="G3691" i="13"/>
  <c r="I3691" i="13" s="1"/>
  <c r="G1869" i="13"/>
  <c r="I1869" i="13" s="1"/>
  <c r="K1869" i="13" s="1"/>
  <c r="G380" i="13"/>
  <c r="I380" i="13" s="1"/>
  <c r="K380" i="13" s="1"/>
  <c r="G4615" i="13"/>
  <c r="I4615" i="13" s="1"/>
  <c r="K4615" i="13" s="1"/>
  <c r="G4619" i="13"/>
  <c r="I4619" i="13" s="1"/>
  <c r="G4123" i="13"/>
  <c r="I4123" i="13" s="1"/>
  <c r="G1398" i="13"/>
  <c r="I1398" i="13" s="1"/>
  <c r="G3334" i="13"/>
  <c r="I3334" i="13" s="1"/>
  <c r="G1566" i="13"/>
  <c r="I1566" i="13" s="1"/>
  <c r="K1566" i="13" s="1"/>
  <c r="G4738" i="13"/>
  <c r="I4738" i="13" s="1"/>
  <c r="G3939" i="13"/>
  <c r="G575" i="13"/>
  <c r="I575" i="13" s="1"/>
  <c r="K575" i="13" s="1"/>
  <c r="G1300" i="13"/>
  <c r="I1300" i="13" s="1"/>
  <c r="G4339" i="13"/>
  <c r="G2662" i="13"/>
  <c r="I2662" i="13" s="1"/>
  <c r="G2884" i="13"/>
  <c r="I2884" i="13" s="1"/>
  <c r="G3" i="13"/>
  <c r="I3" i="13" s="1"/>
  <c r="K3" i="13" s="1"/>
  <c r="G2412" i="13"/>
  <c r="I2412" i="13" s="1"/>
  <c r="K2412" i="13" s="1"/>
  <c r="G1622" i="13"/>
  <c r="I1622" i="13" s="1"/>
  <c r="G511" i="13"/>
  <c r="I511" i="13" s="1"/>
  <c r="K511" i="13" s="1"/>
  <c r="G1609" i="13"/>
  <c r="I1609" i="13" s="1"/>
  <c r="K1609" i="13" s="1"/>
  <c r="G3696" i="13"/>
  <c r="I3696" i="13" s="1"/>
  <c r="G2241" i="13"/>
  <c r="I2241" i="13" s="1"/>
  <c r="K2241" i="13" s="1"/>
  <c r="G1280" i="13"/>
  <c r="I1280" i="13" s="1"/>
  <c r="G2813" i="13"/>
  <c r="I2813" i="13" s="1"/>
  <c r="K2813" i="13" s="1"/>
  <c r="G1665" i="13"/>
  <c r="I1665" i="13" s="1"/>
  <c r="K1665" i="13" s="1"/>
  <c r="G2553" i="13"/>
  <c r="G352" i="13"/>
  <c r="I352" i="13" s="1"/>
  <c r="G3029" i="13"/>
  <c r="G2750" i="13"/>
  <c r="I2750" i="13" s="1"/>
  <c r="K2750" i="13" s="1"/>
  <c r="G1150" i="13"/>
  <c r="I1150" i="13" s="1"/>
  <c r="K1150" i="13" s="1"/>
  <c r="G2107" i="13"/>
  <c r="I2107" i="13" s="1"/>
  <c r="G4873" i="13"/>
  <c r="I4873" i="13" s="1"/>
  <c r="K4873" i="13" s="1"/>
  <c r="G2462" i="13"/>
  <c r="I2462" i="13" s="1"/>
  <c r="K2462" i="13" s="1"/>
  <c r="G2643" i="13"/>
  <c r="I2643" i="13" s="1"/>
  <c r="G4280" i="13"/>
  <c r="I4280" i="13" s="1"/>
  <c r="G4020" i="13"/>
  <c r="I4020" i="13" s="1"/>
  <c r="G2563" i="13"/>
  <c r="I2563" i="13" s="1"/>
  <c r="G3943" i="13"/>
  <c r="I3943" i="13" s="1"/>
  <c r="G4584" i="13"/>
  <c r="I4584" i="13" s="1"/>
  <c r="G1951" i="13"/>
  <c r="I1951" i="13" s="1"/>
  <c r="K1951" i="13" s="1"/>
  <c r="G338" i="13"/>
  <c r="I338" i="13" s="1"/>
  <c r="G4701" i="13"/>
  <c r="I4701" i="13" s="1"/>
  <c r="K4701" i="13" s="1"/>
  <c r="G4097" i="13"/>
  <c r="I4097" i="13" s="1"/>
  <c r="K4097" i="13" s="1"/>
  <c r="G1915" i="13"/>
  <c r="I1915" i="13" s="1"/>
  <c r="G3493" i="13"/>
  <c r="G4581" i="13"/>
  <c r="G3628" i="13"/>
  <c r="I3628" i="13" s="1"/>
  <c r="K3628" i="13" s="1"/>
  <c r="G2080" i="13"/>
  <c r="I2080" i="13" s="1"/>
  <c r="G2627" i="13"/>
  <c r="I2627" i="13" s="1"/>
  <c r="G3495" i="13"/>
  <c r="I3495" i="13" s="1"/>
  <c r="G963" i="13"/>
  <c r="I963" i="13" s="1"/>
  <c r="G11" i="13"/>
  <c r="I11" i="13" s="1"/>
  <c r="G1220" i="13"/>
  <c r="I1220" i="13" s="1"/>
  <c r="G1513" i="13"/>
  <c r="G8" i="13"/>
  <c r="G659" i="13"/>
  <c r="I659" i="13" s="1"/>
  <c r="G776" i="13"/>
  <c r="I776" i="13" s="1"/>
  <c r="K776" i="13" s="1"/>
  <c r="G2074" i="13"/>
  <c r="I2074" i="13" s="1"/>
  <c r="G4591" i="13"/>
  <c r="I4591" i="13" s="1"/>
  <c r="K4591" i="13" s="1"/>
  <c r="G650" i="13"/>
  <c r="I650" i="13" s="1"/>
  <c r="K650" i="13" s="1"/>
  <c r="G1441" i="13"/>
  <c r="I1441" i="13" s="1"/>
  <c r="K1441" i="13" s="1"/>
  <c r="G3702" i="13"/>
  <c r="I3702" i="13" s="1"/>
  <c r="G4258" i="13"/>
  <c r="I4258" i="13" s="1"/>
  <c r="G89" i="13"/>
  <c r="G1829" i="13"/>
  <c r="G3209" i="13"/>
  <c r="G762" i="13"/>
  <c r="I762" i="13" s="1"/>
  <c r="K762" i="13" s="1"/>
  <c r="G62" i="13"/>
  <c r="I62" i="13" s="1"/>
  <c r="K62" i="13" s="1"/>
  <c r="G2502" i="13"/>
  <c r="I2502" i="13" s="1"/>
  <c r="G3808" i="13"/>
  <c r="I3808" i="13" s="1"/>
  <c r="G1967" i="13"/>
  <c r="I1967" i="13" s="1"/>
  <c r="K1967" i="13" s="1"/>
  <c r="G3900" i="13"/>
  <c r="I3900" i="13" s="1"/>
  <c r="K3900" i="13" s="1"/>
  <c r="G3705" i="13"/>
  <c r="I3705" i="13" s="1"/>
  <c r="K3705" i="13" s="1"/>
  <c r="G2180" i="13"/>
  <c r="I2180" i="13" s="1"/>
  <c r="G3526" i="13"/>
  <c r="I3526" i="13" s="1"/>
  <c r="G358" i="13"/>
  <c r="I358" i="13" s="1"/>
  <c r="G3553" i="13"/>
  <c r="I3553" i="13" s="1"/>
  <c r="K3553" i="13" s="1"/>
  <c r="G119" i="13"/>
  <c r="I119" i="13" s="1"/>
  <c r="K119" i="13" s="1"/>
  <c r="G1034" i="13"/>
  <c r="I1034" i="13" s="1"/>
  <c r="K1034" i="13" s="1"/>
  <c r="G2703" i="13"/>
  <c r="I2703" i="13" s="1"/>
  <c r="K2703" i="13" s="1"/>
  <c r="G570" i="13"/>
  <c r="I570" i="13" s="1"/>
  <c r="K570" i="13" s="1"/>
  <c r="G1586" i="13"/>
  <c r="I1586" i="13" s="1"/>
  <c r="G1934" i="13"/>
  <c r="I1934" i="13" s="1"/>
  <c r="K1934" i="13" s="1"/>
  <c r="G1044" i="13"/>
  <c r="I1044" i="13" s="1"/>
  <c r="G1054" i="13"/>
  <c r="I1054" i="13" s="1"/>
  <c r="K1054" i="13" s="1"/>
  <c r="G280" i="13"/>
  <c r="G2517" i="13"/>
  <c r="G3851" i="13"/>
  <c r="I3851" i="13" s="1"/>
  <c r="G4093" i="13"/>
  <c r="I4093" i="13" s="1"/>
  <c r="K4093" i="13" s="1"/>
  <c r="G2170" i="13"/>
  <c r="I2170" i="13" s="1"/>
  <c r="G1630" i="13"/>
  <c r="I1630" i="13" s="1"/>
  <c r="K1630" i="13" s="1"/>
  <c r="G1012" i="13"/>
  <c r="I1012" i="13" s="1"/>
  <c r="G3226" i="13"/>
  <c r="I3226" i="13" s="1"/>
  <c r="G4031" i="13"/>
  <c r="I4031" i="13" s="1"/>
  <c r="K4031" i="13" s="1"/>
  <c r="G4291" i="13"/>
  <c r="G4391" i="13"/>
  <c r="I4391" i="13" s="1"/>
  <c r="G771" i="13"/>
  <c r="I771" i="13" s="1"/>
  <c r="G402" i="13"/>
  <c r="I402" i="13" s="1"/>
  <c r="G2957" i="13"/>
  <c r="I2957" i="13" s="1"/>
  <c r="K2957" i="13" s="1"/>
  <c r="G971" i="13"/>
  <c r="I971" i="13" s="1"/>
  <c r="G943" i="13"/>
  <c r="I943" i="13" s="1"/>
  <c r="K943" i="13" s="1"/>
  <c r="G471" i="13"/>
  <c r="I471" i="13" s="1"/>
  <c r="K471" i="13" s="1"/>
  <c r="G913" i="13"/>
  <c r="I913" i="13" s="1"/>
  <c r="K913" i="13" s="1"/>
  <c r="G4045" i="13"/>
  <c r="I4045" i="13" s="1"/>
  <c r="K4045" i="13" s="1"/>
  <c r="G1282" i="13"/>
  <c r="I1282" i="13" s="1"/>
  <c r="G2578" i="13"/>
  <c r="I2578" i="13" s="1"/>
  <c r="G40" i="13"/>
  <c r="G3562" i="13"/>
  <c r="I3562" i="13" s="1"/>
  <c r="G3458" i="13"/>
  <c r="I3458" i="13" s="1"/>
  <c r="G4712" i="13"/>
  <c r="I4712" i="13" s="1"/>
  <c r="G4348" i="13"/>
  <c r="I4348" i="13" s="1"/>
  <c r="G4834" i="13"/>
  <c r="I4834" i="13" s="1"/>
  <c r="G2804" i="13"/>
  <c r="I2804" i="13" s="1"/>
  <c r="G2093" i="13"/>
  <c r="I2093" i="13" s="1"/>
  <c r="K2093" i="13" s="1"/>
  <c r="G3405" i="13"/>
  <c r="I3405" i="13" s="1"/>
  <c r="K3405" i="13" s="1"/>
  <c r="G2282" i="13"/>
  <c r="I2282" i="13" s="1"/>
  <c r="G3859" i="13"/>
  <c r="G606" i="13"/>
  <c r="I606" i="13" s="1"/>
  <c r="K606" i="13" s="1"/>
  <c r="G4117" i="13"/>
  <c r="G822" i="13"/>
  <c r="I822" i="13" s="1"/>
  <c r="G3356" i="13"/>
  <c r="I3356" i="13" s="1"/>
  <c r="K3356" i="13" s="1"/>
  <c r="G4015" i="13"/>
  <c r="I4015" i="13" s="1"/>
  <c r="K4015" i="13" s="1"/>
  <c r="G1830" i="13"/>
  <c r="I1830" i="13" s="1"/>
  <c r="G3795" i="13"/>
  <c r="I3795" i="13" s="1"/>
  <c r="G4875" i="13"/>
  <c r="I4875" i="13" s="1"/>
  <c r="G1949" i="13"/>
  <c r="I1949" i="13" s="1"/>
  <c r="K1949" i="13" s="1"/>
  <c r="G1484" i="13"/>
  <c r="I1484" i="13" s="1"/>
  <c r="K1484" i="13" s="1"/>
  <c r="G1558" i="13"/>
  <c r="I1558" i="13" s="1"/>
  <c r="G3479" i="13"/>
  <c r="I3479" i="13" s="1"/>
  <c r="K3479" i="13" s="1"/>
  <c r="G155" i="13"/>
  <c r="I155" i="13" s="1"/>
  <c r="G2129" i="13"/>
  <c r="I2129" i="13" s="1"/>
  <c r="K2129" i="13" s="1"/>
  <c r="G1536" i="13"/>
  <c r="I1536" i="13" s="1"/>
  <c r="G3284" i="13"/>
  <c r="I3284" i="13" s="1"/>
  <c r="G255" i="13"/>
  <c r="I255" i="13" s="1"/>
  <c r="K255" i="13" s="1"/>
  <c r="G1670" i="13"/>
  <c r="I1670" i="13" s="1"/>
  <c r="G652" i="13"/>
  <c r="I652" i="13" s="1"/>
  <c r="K652" i="13" s="1"/>
  <c r="G489" i="13"/>
  <c r="I489" i="13" s="1"/>
  <c r="K489" i="13" s="1"/>
  <c r="G759" i="13"/>
  <c r="I759" i="13" s="1"/>
  <c r="K759" i="13" s="1"/>
  <c r="G4103" i="13"/>
  <c r="I4103" i="13" s="1"/>
  <c r="G3466" i="13"/>
  <c r="I3466" i="13" s="1"/>
  <c r="G3888" i="13"/>
  <c r="I3888" i="13" s="1"/>
  <c r="G862" i="13"/>
  <c r="I862" i="13" s="1"/>
  <c r="K862" i="13" s="1"/>
  <c r="G68" i="13"/>
  <c r="I68" i="13" s="1"/>
  <c r="G341" i="13"/>
  <c r="G360" i="13"/>
  <c r="G4098" i="13"/>
  <c r="I4098" i="13" s="1"/>
  <c r="G944" i="13"/>
  <c r="I944" i="13" s="1"/>
  <c r="G1653" i="13"/>
  <c r="G4155" i="13"/>
  <c r="I4155" i="13" s="1"/>
  <c r="G4059" i="13"/>
  <c r="I4059" i="13" s="1"/>
  <c r="G1514" i="13"/>
  <c r="I1514" i="13" s="1"/>
  <c r="K1514" i="13" s="1"/>
  <c r="G3459" i="13"/>
  <c r="I3459" i="13" s="1"/>
  <c r="G1035" i="13"/>
  <c r="I1035" i="13" s="1"/>
  <c r="G2386" i="13"/>
  <c r="I2386" i="13" s="1"/>
  <c r="G3491" i="13"/>
  <c r="I3491" i="13" s="1"/>
  <c r="G1824" i="13"/>
  <c r="I1824" i="13" s="1"/>
  <c r="G1434" i="13"/>
  <c r="I1434" i="13" s="1"/>
  <c r="K1434" i="13" s="1"/>
  <c r="G2714" i="13"/>
  <c r="I2714" i="13" s="1"/>
  <c r="G789" i="13"/>
  <c r="G2641" i="13"/>
  <c r="I2641" i="13" s="1"/>
  <c r="K2641" i="13" s="1"/>
  <c r="G2571" i="13"/>
  <c r="I2571" i="13" s="1"/>
  <c r="G4623" i="13"/>
  <c r="I4623" i="13" s="1"/>
  <c r="K4623" i="13" s="1"/>
  <c r="G4419" i="13"/>
  <c r="I4419" i="13" s="1"/>
  <c r="G4724" i="13"/>
  <c r="I4724" i="13" s="1"/>
  <c r="G2748" i="13"/>
  <c r="I2748" i="13" s="1"/>
  <c r="K2748" i="13" s="1"/>
  <c r="G829" i="13"/>
  <c r="I829" i="13" s="1"/>
  <c r="K829" i="13" s="1"/>
  <c r="G2406" i="13"/>
  <c r="I2406" i="13" s="1"/>
  <c r="G2862" i="13"/>
  <c r="I2862" i="13" s="1"/>
  <c r="K2862" i="13" s="1"/>
  <c r="G2350" i="13"/>
  <c r="I2350" i="13" s="1"/>
  <c r="K2350" i="13" s="1"/>
  <c r="G3794" i="13"/>
  <c r="I3794" i="13" s="1"/>
  <c r="G4390" i="13"/>
  <c r="I4390" i="13" s="1"/>
  <c r="G1325" i="13"/>
  <c r="I1325" i="13" s="1"/>
  <c r="K1325" i="13" s="1"/>
  <c r="G3355" i="13"/>
  <c r="I3355" i="13" s="1"/>
  <c r="G4667" i="13"/>
  <c r="I4667" i="13" s="1"/>
  <c r="G4148" i="13"/>
  <c r="I4148" i="13" s="1"/>
  <c r="G4702" i="13"/>
  <c r="I4702" i="13" s="1"/>
  <c r="K4702" i="13" s="1"/>
  <c r="G4229" i="13"/>
  <c r="G2871" i="13"/>
  <c r="I2871" i="13" s="1"/>
  <c r="G554" i="13"/>
  <c r="I554" i="13" s="1"/>
  <c r="K554" i="13" s="1"/>
  <c r="G3282" i="13"/>
  <c r="I3282" i="13" s="1"/>
  <c r="G171" i="13"/>
  <c r="I171" i="13" s="1"/>
  <c r="G2081" i="13"/>
  <c r="I2081" i="13" s="1"/>
  <c r="K2081" i="13" s="1"/>
  <c r="G3654" i="13"/>
  <c r="I3654" i="13" s="1"/>
  <c r="G3652" i="13"/>
  <c r="I3652" i="13" s="1"/>
  <c r="G4663" i="13"/>
  <c r="I4663" i="13" s="1"/>
  <c r="G4224" i="13"/>
  <c r="I4224" i="13" s="1"/>
  <c r="G4699" i="13"/>
  <c r="I4699" i="13" s="1"/>
  <c r="G3251" i="13"/>
  <c r="I3251" i="13" s="1"/>
  <c r="G3019" i="13"/>
  <c r="I3019" i="13" s="1"/>
  <c r="G544" i="13"/>
  <c r="I544" i="13" s="1"/>
  <c r="G3115" i="13"/>
  <c r="I3115" i="13" s="1"/>
  <c r="G1146" i="13"/>
  <c r="I1146" i="13" s="1"/>
  <c r="K1146" i="13" s="1"/>
  <c r="G2144" i="13"/>
  <c r="I2144" i="13" s="1"/>
  <c r="G3660" i="13"/>
  <c r="I3660" i="13" s="1"/>
  <c r="K3660" i="13" s="1"/>
  <c r="G2973" i="13"/>
  <c r="I2973" i="13" s="1"/>
  <c r="K2973" i="13" s="1"/>
  <c r="G1196" i="13"/>
  <c r="I1196" i="13" s="1"/>
  <c r="K1196" i="13" s="1"/>
  <c r="G2018" i="13"/>
  <c r="I2018" i="13" s="1"/>
  <c r="G1231" i="13"/>
  <c r="I1231" i="13" s="1"/>
  <c r="K1231" i="13" s="1"/>
  <c r="G3194" i="13"/>
  <c r="I3194" i="13" s="1"/>
  <c r="K3194" i="13" s="1"/>
  <c r="G4773" i="13"/>
  <c r="I4773" i="13" s="1"/>
  <c r="G2185" i="13"/>
  <c r="I2185" i="13" s="1"/>
  <c r="K2185" i="13" s="1"/>
  <c r="G3883" i="13"/>
  <c r="I3883" i="13" s="1"/>
  <c r="G1371" i="13"/>
  <c r="I1371" i="13" s="1"/>
  <c r="G3341" i="13"/>
  <c r="I3341" i="13" s="1"/>
  <c r="K3341" i="13" s="1"/>
  <c r="G4822" i="13"/>
  <c r="I4822" i="13" s="1"/>
  <c r="G3563" i="13"/>
  <c r="I3563" i="13" s="1"/>
  <c r="G2777" i="13"/>
  <c r="I2777" i="13" s="1"/>
  <c r="K2777" i="13" s="1"/>
  <c r="G1729" i="13"/>
  <c r="I1729" i="13" s="1"/>
  <c r="K1729" i="13" s="1"/>
  <c r="G3346" i="13"/>
  <c r="I3346" i="13" s="1"/>
  <c r="G4176" i="13"/>
  <c r="I4176" i="13" s="1"/>
  <c r="G2612" i="13"/>
  <c r="I2612" i="13" s="1"/>
  <c r="G3570" i="13"/>
  <c r="I3570" i="13" s="1"/>
  <c r="G2692" i="13"/>
  <c r="I2692" i="13" s="1"/>
  <c r="G576" i="13"/>
  <c r="I576" i="13" s="1"/>
  <c r="G3681" i="13"/>
  <c r="I3681" i="13" s="1"/>
  <c r="K3681" i="13" s="1"/>
  <c r="G90" i="13"/>
  <c r="I90" i="13" s="1"/>
  <c r="K90" i="13" s="1"/>
  <c r="G1778" i="13"/>
  <c r="I1778" i="13" s="1"/>
  <c r="G942" i="13"/>
  <c r="I942" i="13" s="1"/>
  <c r="K942" i="13" s="1"/>
  <c r="G4445" i="13"/>
  <c r="I4445" i="13" s="1"/>
  <c r="K4445" i="13" s="1"/>
  <c r="G3540" i="13"/>
  <c r="I3540" i="13" s="1"/>
  <c r="G1796" i="13"/>
  <c r="I1796" i="13" s="1"/>
  <c r="G764" i="13"/>
  <c r="I764" i="13" s="1"/>
  <c r="K764" i="13" s="1"/>
  <c r="G3878" i="13"/>
  <c r="I3878" i="13" s="1"/>
  <c r="G696" i="13"/>
  <c r="G1542" i="13"/>
  <c r="I1542" i="13" s="1"/>
  <c r="G2752" i="13"/>
  <c r="I2752" i="13" s="1"/>
  <c r="G4558" i="13"/>
  <c r="I4558" i="13" s="1"/>
  <c r="K4558" i="13" s="1"/>
  <c r="G2876" i="13"/>
  <c r="I2876" i="13" s="1"/>
  <c r="K2876" i="13" s="1"/>
  <c r="G184" i="13"/>
  <c r="G961" i="13"/>
  <c r="I961" i="13" s="1"/>
  <c r="K961" i="13" s="1"/>
  <c r="G112" i="13"/>
  <c r="I112" i="13" s="1"/>
  <c r="G2292" i="13"/>
  <c r="I2292" i="13" s="1"/>
  <c r="G2396" i="13"/>
  <c r="I2396" i="13" s="1"/>
  <c r="K2396" i="13" s="1"/>
  <c r="G4130" i="13"/>
  <c r="I4130" i="13" s="1"/>
  <c r="G2374" i="13"/>
  <c r="I2374" i="13" s="1"/>
  <c r="G3034" i="13"/>
  <c r="I3034" i="13" s="1"/>
  <c r="G4805" i="13"/>
  <c r="G1045" i="13"/>
  <c r="G1279" i="13"/>
  <c r="I1279" i="13" s="1"/>
  <c r="K1279" i="13" s="1"/>
  <c r="G4399" i="13"/>
  <c r="I4399" i="13" s="1"/>
  <c r="K4399" i="13" s="1"/>
  <c r="G3471" i="13"/>
  <c r="I3471" i="13" s="1"/>
  <c r="K3471" i="13" s="1"/>
  <c r="G4284" i="13"/>
  <c r="I4284" i="13" s="1"/>
  <c r="G2785" i="13"/>
  <c r="I2785" i="13" s="1"/>
  <c r="K2785" i="13" s="1"/>
  <c r="G4719" i="13"/>
  <c r="I4719" i="13" s="1"/>
  <c r="K4719" i="13" s="1"/>
  <c r="G1288" i="13"/>
  <c r="G2463" i="13"/>
  <c r="I2463" i="13" s="1"/>
  <c r="K2463" i="13" s="1"/>
  <c r="G2765" i="13"/>
  <c r="I2765" i="13" s="1"/>
  <c r="K2765" i="13" s="1"/>
  <c r="G3139" i="13"/>
  <c r="I3139" i="13" s="1"/>
  <c r="G3707" i="13"/>
  <c r="I3707" i="13" s="1"/>
  <c r="G1818" i="13"/>
  <c r="I1818" i="13" s="1"/>
  <c r="K1818" i="13" s="1"/>
  <c r="G1821" i="13"/>
  <c r="I1821" i="13" s="1"/>
  <c r="K1821" i="13" s="1"/>
  <c r="G260" i="13"/>
  <c r="I260" i="13" s="1"/>
  <c r="G1112" i="13"/>
  <c r="G1858" i="13"/>
  <c r="I1858" i="13" s="1"/>
  <c r="G1810" i="13"/>
  <c r="I1810" i="13" s="1"/>
  <c r="G490" i="13"/>
  <c r="I490" i="13" s="1"/>
  <c r="K490" i="13" s="1"/>
  <c r="G2834" i="13"/>
  <c r="I2834" i="13" s="1"/>
  <c r="G2833" i="13"/>
  <c r="I2833" i="13" s="1"/>
  <c r="K2833" i="13" s="1"/>
  <c r="G4425" i="13"/>
  <c r="I4425" i="13" s="1"/>
  <c r="K4425" i="13" s="1"/>
  <c r="G182" i="13"/>
  <c r="I182" i="13" s="1"/>
  <c r="G3053" i="13"/>
  <c r="I3053" i="13" s="1"/>
  <c r="K3053" i="13" s="1"/>
  <c r="G1462" i="13"/>
  <c r="I1462" i="13" s="1"/>
  <c r="G4586" i="13"/>
  <c r="I4586" i="13" s="1"/>
  <c r="K4586" i="13" s="1"/>
  <c r="G2820" i="13"/>
  <c r="I2820" i="13" s="1"/>
  <c r="G2784" i="13"/>
  <c r="I2784" i="13" s="1"/>
  <c r="G1050" i="13"/>
  <c r="I1050" i="13" s="1"/>
  <c r="K1050" i="13" s="1"/>
  <c r="G3673" i="13"/>
  <c r="G3143" i="13"/>
  <c r="I3143" i="13" s="1"/>
  <c r="G2077" i="13"/>
  <c r="I2077" i="13" s="1"/>
  <c r="K2077" i="13" s="1"/>
  <c r="G474" i="13"/>
  <c r="I474" i="13" s="1"/>
  <c r="K474" i="13" s="1"/>
  <c r="G2719" i="13"/>
  <c r="I2719" i="13" s="1"/>
  <c r="K2719" i="13" s="1"/>
  <c r="G4233" i="13"/>
  <c r="I4233" i="13" s="1"/>
  <c r="K4233" i="13" s="1"/>
  <c r="G2038" i="13"/>
  <c r="I2038" i="13" s="1"/>
  <c r="G4700" i="13"/>
  <c r="I4700" i="13" s="1"/>
  <c r="G2196" i="13"/>
  <c r="I2196" i="13" s="1"/>
  <c r="G1553" i="13"/>
  <c r="I1553" i="13" s="1"/>
  <c r="K1553" i="13" s="1"/>
  <c r="G263" i="13"/>
  <c r="I263" i="13" s="1"/>
  <c r="K263" i="13" s="1"/>
  <c r="G363" i="13"/>
  <c r="I363" i="13" s="1"/>
  <c r="G27" i="13"/>
  <c r="I27" i="13" s="1"/>
  <c r="G751" i="13"/>
  <c r="I751" i="13" s="1"/>
  <c r="K751" i="13" s="1"/>
  <c r="G3763" i="13"/>
  <c r="I3763" i="13" s="1"/>
  <c r="G4871" i="13"/>
  <c r="I4871" i="13" s="1"/>
  <c r="G2971" i="13"/>
  <c r="I2971" i="13" s="1"/>
  <c r="G2504" i="13"/>
  <c r="G284" i="13"/>
  <c r="I284" i="13" s="1"/>
  <c r="K284" i="13" s="1"/>
  <c r="G1952" i="13"/>
  <c r="I1952" i="13" s="1"/>
  <c r="G342" i="13"/>
  <c r="I342" i="13" s="1"/>
  <c r="G1868" i="13"/>
  <c r="I1868" i="13" s="1"/>
  <c r="K1868" i="13" s="1"/>
  <c r="G3918" i="13"/>
  <c r="I3918" i="13" s="1"/>
  <c r="K3918" i="13" s="1"/>
  <c r="G64" i="13"/>
  <c r="I64" i="13" s="1"/>
  <c r="G4739" i="13"/>
  <c r="I4739" i="13" s="1"/>
  <c r="G1463" i="13"/>
  <c r="I1463" i="13" s="1"/>
  <c r="K1463" i="13" s="1"/>
  <c r="G3102" i="13"/>
  <c r="I3102" i="13" s="1"/>
  <c r="K3102" i="13" s="1"/>
  <c r="G4696" i="13"/>
  <c r="I4696" i="13" s="1"/>
  <c r="G987" i="13"/>
  <c r="I987" i="13" s="1"/>
  <c r="G1046" i="13"/>
  <c r="I1046" i="13" s="1"/>
  <c r="G4544" i="13"/>
  <c r="I4544" i="13" s="1"/>
  <c r="G3602" i="13"/>
  <c r="I3602" i="13" s="1"/>
  <c r="G4210" i="13"/>
  <c r="I4210" i="13" s="1"/>
  <c r="G4226" i="13"/>
  <c r="I4226" i="13" s="1"/>
  <c r="G3644" i="13"/>
  <c r="I3644" i="13" s="1"/>
  <c r="K3644" i="13" s="1"/>
  <c r="G189" i="13"/>
  <c r="I189" i="13" s="1"/>
  <c r="K189" i="13" s="1"/>
  <c r="G716" i="13"/>
  <c r="I716" i="13" s="1"/>
  <c r="K716" i="13" s="1"/>
  <c r="G2921" i="13"/>
  <c r="I2921" i="13" s="1"/>
  <c r="K2921" i="13" s="1"/>
  <c r="G4195" i="13"/>
  <c r="I4195" i="13" s="1"/>
  <c r="G4674" i="13"/>
  <c r="I4674" i="13" s="1"/>
  <c r="G1382" i="13"/>
  <c r="I1382" i="13" s="1"/>
  <c r="K1382" i="13" s="1"/>
  <c r="G4038" i="13"/>
  <c r="I4038" i="13" s="1"/>
  <c r="G1164" i="13"/>
  <c r="I1164" i="13" s="1"/>
  <c r="K1164" i="13" s="1"/>
  <c r="G1015" i="13"/>
  <c r="I1015" i="13" s="1"/>
  <c r="K1015" i="13" s="1"/>
  <c r="G1004" i="13"/>
  <c r="I1004" i="13" s="1"/>
  <c r="K1004" i="13" s="1"/>
  <c r="G3962" i="13"/>
  <c r="I3962" i="13" s="1"/>
  <c r="G4208" i="13"/>
  <c r="I4208" i="13" s="1"/>
  <c r="G1323" i="13"/>
  <c r="I1323" i="13" s="1"/>
  <c r="G2715" i="13"/>
  <c r="I2715" i="13" s="1"/>
  <c r="G3843" i="13"/>
  <c r="I3843" i="13" s="1"/>
  <c r="G1097" i="13"/>
  <c r="G1874" i="13"/>
  <c r="I1874" i="13" s="1"/>
  <c r="G2108" i="13"/>
  <c r="I2108" i="13" s="1"/>
  <c r="K2108" i="13" s="1"/>
  <c r="G2213" i="13"/>
  <c r="G127" i="13"/>
  <c r="I127" i="13" s="1"/>
  <c r="K127" i="13" s="1"/>
  <c r="G2660" i="13"/>
  <c r="I2660" i="13" s="1"/>
  <c r="G3202" i="13"/>
  <c r="I3202" i="13" s="1"/>
  <c r="G476" i="13"/>
  <c r="I476" i="13" s="1"/>
  <c r="K476" i="13" s="1"/>
  <c r="G1976" i="13"/>
  <c r="G3754" i="13"/>
  <c r="I3754" i="13" s="1"/>
  <c r="G1847" i="13"/>
  <c r="I1847" i="13" s="1"/>
  <c r="K1847" i="13" s="1"/>
  <c r="G4341" i="13"/>
  <c r="I4341" i="13" s="1"/>
  <c r="G2693" i="13"/>
  <c r="G65" i="13"/>
  <c r="I65" i="13" s="1"/>
  <c r="K65" i="13" s="1"/>
  <c r="G1409" i="13"/>
  <c r="I1409" i="13" s="1"/>
  <c r="K1409" i="13" s="1"/>
  <c r="G3594" i="13"/>
  <c r="I3594" i="13" s="1"/>
  <c r="G2659" i="13"/>
  <c r="I2659" i="13" s="1"/>
  <c r="K2659" i="13" s="1"/>
  <c r="G894" i="13"/>
  <c r="I894" i="13" s="1"/>
  <c r="K894" i="13" s="1"/>
  <c r="G4344" i="13"/>
  <c r="I4344" i="13" s="1"/>
  <c r="G1600" i="13"/>
  <c r="I1600" i="13" s="1"/>
  <c r="G3255" i="13"/>
  <c r="I3255" i="13" s="1"/>
  <c r="K3255" i="13" s="1"/>
  <c r="G2179" i="13"/>
  <c r="I2179" i="13" s="1"/>
  <c r="G3482" i="13"/>
  <c r="I3482" i="13" s="1"/>
  <c r="G3860" i="13"/>
  <c r="I3860" i="13" s="1"/>
  <c r="G175" i="13"/>
  <c r="I175" i="13" s="1"/>
  <c r="K175" i="13" s="1"/>
  <c r="G2162" i="13"/>
  <c r="I2162" i="13" s="1"/>
  <c r="G2525" i="13"/>
  <c r="I2525" i="13" s="1"/>
  <c r="K2525" i="13" s="1"/>
  <c r="G2958" i="13"/>
  <c r="I2958" i="13" s="1"/>
  <c r="K2958" i="13" s="1"/>
  <c r="G4531" i="13"/>
  <c r="G2186" i="13"/>
  <c r="I2186" i="13" s="1"/>
  <c r="G3607" i="13"/>
  <c r="I3607" i="13" s="1"/>
  <c r="K3607" i="13" s="1"/>
  <c r="G2360" i="13"/>
  <c r="G4573" i="13"/>
  <c r="I4573" i="13" s="1"/>
  <c r="K4573" i="13" s="1"/>
  <c r="G4326" i="13"/>
  <c r="I4326" i="13" s="1"/>
  <c r="G1376" i="13"/>
  <c r="I1376" i="13" s="1"/>
  <c r="G1551" i="13"/>
  <c r="I1551" i="13" s="1"/>
  <c r="K1551" i="13" s="1"/>
  <c r="G2302" i="13"/>
  <c r="I2302" i="13" s="1"/>
  <c r="K2302" i="13" s="1"/>
  <c r="G3158" i="13"/>
  <c r="I3158" i="13" s="1"/>
  <c r="G4582" i="13"/>
  <c r="I4582" i="13" s="1"/>
  <c r="K4582" i="13" s="1"/>
  <c r="G84" i="13"/>
  <c r="I84" i="13" s="1"/>
  <c r="G1123" i="13"/>
  <c r="I1123" i="13" s="1"/>
  <c r="G1365" i="13"/>
  <c r="G3472" i="13"/>
  <c r="I3472" i="13" s="1"/>
  <c r="G2478" i="13"/>
  <c r="I2478" i="13" s="1"/>
  <c r="K2478" i="13" s="1"/>
  <c r="G2873" i="13"/>
  <c r="I2873" i="13" s="1"/>
  <c r="K2873" i="13" s="1"/>
  <c r="G3786" i="13"/>
  <c r="I3786" i="13" s="1"/>
  <c r="G4150" i="13"/>
  <c r="I4150" i="13" s="1"/>
  <c r="G3583" i="13"/>
  <c r="I3583" i="13" s="1"/>
  <c r="K3583" i="13" s="1"/>
  <c r="G3169" i="13"/>
  <c r="I3169" i="13" s="1"/>
  <c r="K3169" i="13" s="1"/>
  <c r="G26" i="13"/>
  <c r="G3318" i="13"/>
  <c r="I3318" i="13" s="1"/>
  <c r="G1098" i="13"/>
  <c r="I1098" i="13" s="1"/>
  <c r="K1098" i="13" s="1"/>
  <c r="G512" i="13"/>
  <c r="I512" i="13" s="1"/>
  <c r="G2151" i="13"/>
  <c r="I2151" i="13" s="1"/>
  <c r="K2151" i="13" s="1"/>
  <c r="G1875" i="13"/>
  <c r="I1875" i="13" s="1"/>
  <c r="G1740" i="13"/>
  <c r="I1740" i="13" s="1"/>
  <c r="K1740" i="13" s="1"/>
  <c r="G3174" i="13"/>
  <c r="I3174" i="13" s="1"/>
  <c r="G4553" i="13"/>
  <c r="I4553" i="13" s="1"/>
  <c r="K4553" i="13" s="1"/>
  <c r="G2494" i="13"/>
  <c r="I2494" i="13" s="1"/>
  <c r="K2494" i="13" s="1"/>
  <c r="G1623" i="13"/>
  <c r="I1623" i="13" s="1"/>
  <c r="K1623" i="13" s="1"/>
  <c r="G2182" i="13"/>
  <c r="I2182" i="13" s="1"/>
  <c r="G1116" i="13"/>
  <c r="I1116" i="13" s="1"/>
  <c r="K1116" i="13" s="1"/>
  <c r="G289" i="13"/>
  <c r="I289" i="13" s="1"/>
  <c r="K289" i="13" s="1"/>
  <c r="G4330" i="13"/>
  <c r="I4330" i="13" s="1"/>
  <c r="G964" i="13"/>
  <c r="I964" i="13" s="1"/>
  <c r="G2890" i="13"/>
  <c r="I2890" i="13" s="1"/>
  <c r="G685" i="13"/>
  <c r="I685" i="13" s="1"/>
  <c r="K685" i="13" s="1"/>
  <c r="G2667" i="13"/>
  <c r="I2667" i="13" s="1"/>
  <c r="G2727" i="13"/>
  <c r="I2727" i="13" s="1"/>
  <c r="K2727" i="13" s="1"/>
  <c r="G623" i="13"/>
  <c r="I623" i="13" s="1"/>
  <c r="K623" i="13" s="1"/>
  <c r="G115" i="13"/>
  <c r="I115" i="13" s="1"/>
  <c r="G4491" i="13"/>
  <c r="I4491" i="13" s="1"/>
  <c r="G4872" i="13"/>
  <c r="I4872" i="13" s="1"/>
  <c r="K4872" i="13" s="1"/>
  <c r="G1578" i="13"/>
  <c r="I1578" i="13" s="1"/>
  <c r="K1578" i="13" s="1"/>
  <c r="G4609" i="13"/>
  <c r="I4609" i="13" s="1"/>
  <c r="K4609" i="13" s="1"/>
  <c r="G3175" i="13"/>
  <c r="I3175" i="13" s="1"/>
  <c r="G4411" i="13"/>
  <c r="I4411" i="13" s="1"/>
  <c r="G3876" i="13"/>
  <c r="I3876" i="13" s="1"/>
  <c r="G122" i="13"/>
  <c r="I122" i="13" s="1"/>
  <c r="K122" i="13" s="1"/>
  <c r="G2865" i="13"/>
  <c r="I2865" i="13" s="1"/>
  <c r="K2865" i="13" s="1"/>
  <c r="G2011" i="13"/>
  <c r="I2011" i="13" s="1"/>
  <c r="G1842" i="13"/>
  <c r="I1842" i="13" s="1"/>
  <c r="G2140" i="13"/>
  <c r="I2140" i="13" s="1"/>
  <c r="K2140" i="13" s="1"/>
  <c r="G4861" i="13"/>
  <c r="I4861" i="13" s="1"/>
  <c r="K4861" i="13" s="1"/>
  <c r="G814" i="13"/>
  <c r="I814" i="13" s="1"/>
  <c r="K814" i="13" s="1"/>
  <c r="G4261" i="13"/>
  <c r="G854" i="13"/>
  <c r="I854" i="13" s="1"/>
  <c r="K854" i="13" s="1"/>
  <c r="G2230" i="13"/>
  <c r="I2230" i="13" s="1"/>
  <c r="G483" i="13"/>
  <c r="I483" i="13" s="1"/>
  <c r="G1386" i="13"/>
  <c r="I1386" i="13" s="1"/>
  <c r="K1386" i="13" s="1"/>
  <c r="G4590" i="13"/>
  <c r="I4590" i="13" s="1"/>
  <c r="K4590" i="13" s="1"/>
  <c r="G3571" i="13"/>
  <c r="I3571" i="13" s="1"/>
  <c r="G666" i="13"/>
  <c r="I666" i="13" s="1"/>
  <c r="K666" i="13" s="1"/>
  <c r="G838" i="13"/>
  <c r="I838" i="13" s="1"/>
  <c r="G1975" i="13"/>
  <c r="I1975" i="13" s="1"/>
  <c r="K1975" i="13" s="1"/>
  <c r="G4801" i="13"/>
  <c r="I4801" i="13" s="1"/>
  <c r="K4801" i="13" s="1"/>
  <c r="G4650" i="13"/>
  <c r="I4650" i="13" s="1"/>
  <c r="G4137" i="13"/>
  <c r="I4137" i="13" s="1"/>
  <c r="K4137" i="13" s="1"/>
  <c r="G3679" i="13"/>
  <c r="I3679" i="13" s="1"/>
  <c r="K3679" i="13" s="1"/>
  <c r="G3719" i="13"/>
  <c r="I3719" i="13" s="1"/>
  <c r="G4570" i="13"/>
  <c r="I4570" i="13" s="1"/>
  <c r="K4570" i="13" s="1"/>
  <c r="G2226" i="13"/>
  <c r="I2226" i="13" s="1"/>
  <c r="G3715" i="13"/>
  <c r="I3715" i="13" s="1"/>
  <c r="G1209" i="13"/>
  <c r="G1442" i="13"/>
  <c r="I1442" i="13" s="1"/>
  <c r="G3002" i="13"/>
  <c r="I3002" i="13" s="1"/>
  <c r="G1946" i="13"/>
  <c r="I1946" i="13" s="1"/>
  <c r="K1946" i="13" s="1"/>
  <c r="G1399" i="13"/>
  <c r="I1399" i="13" s="1"/>
  <c r="K1399" i="13" s="1"/>
  <c r="G3844" i="13"/>
  <c r="I3844" i="13" s="1"/>
  <c r="G4307" i="13"/>
  <c r="I4307" i="13" s="1"/>
  <c r="G1422" i="13"/>
  <c r="I1422" i="13" s="1"/>
  <c r="K1422" i="13" s="1"/>
  <c r="G4863" i="13"/>
  <c r="I4863" i="13" s="1"/>
  <c r="K4863" i="13" s="1"/>
  <c r="G4472" i="13"/>
  <c r="I4472" i="13" s="1"/>
  <c r="G1221" i="13"/>
  <c r="G2843" i="13"/>
  <c r="I2843" i="13" s="1"/>
  <c r="G3533" i="13"/>
  <c r="I3533" i="13" s="1"/>
  <c r="K3533" i="13" s="1"/>
  <c r="G991" i="13"/>
  <c r="I991" i="13" s="1"/>
  <c r="K991" i="13" s="1"/>
  <c r="G3982" i="13"/>
  <c r="I3982" i="13" s="1"/>
  <c r="K3982" i="13" s="1"/>
  <c r="G3358" i="13"/>
  <c r="I3358" i="13" s="1"/>
  <c r="K3358" i="13" s="1"/>
  <c r="G1647" i="13"/>
  <c r="I1647" i="13" s="1"/>
  <c r="K1647" i="13" s="1"/>
  <c r="G965" i="13"/>
  <c r="G4415" i="13"/>
  <c r="I4415" i="13" s="1"/>
  <c r="K4415" i="13" s="1"/>
  <c r="G3674" i="13"/>
  <c r="I3674" i="13" s="1"/>
  <c r="K3674" i="13" s="1"/>
  <c r="G3815" i="13"/>
  <c r="I3815" i="13" s="1"/>
  <c r="G4784" i="13"/>
  <c r="I4784" i="13" s="1"/>
  <c r="G4807" i="13"/>
  <c r="I4807" i="13" s="1"/>
  <c r="G3497" i="13"/>
  <c r="G2079" i="13"/>
  <c r="I2079" i="13" s="1"/>
  <c r="K2079" i="13" s="1"/>
  <c r="G1222" i="13"/>
  <c r="I1222" i="13" s="1"/>
  <c r="G4090" i="13"/>
  <c r="I4090" i="13" s="1"/>
  <c r="G1141" i="13"/>
  <c r="G1244" i="13"/>
  <c r="I1244" i="13" s="1"/>
  <c r="K1244" i="13" s="1"/>
  <c r="G2094" i="13"/>
  <c r="I2094" i="13" s="1"/>
  <c r="K2094" i="13" s="1"/>
  <c r="G1866" i="13"/>
  <c r="I1866" i="13" s="1"/>
  <c r="K1866" i="13" s="1"/>
  <c r="G297" i="13"/>
  <c r="G3065" i="13"/>
  <c r="G1295" i="13"/>
  <c r="I1295" i="13" s="1"/>
  <c r="K1295" i="13" s="1"/>
  <c r="G1101" i="13"/>
  <c r="I1101" i="13" s="1"/>
  <c r="K1101" i="13" s="1"/>
  <c r="G1554" i="13"/>
  <c r="I1554" i="13" s="1"/>
  <c r="G4660" i="13"/>
  <c r="I4660" i="13" s="1"/>
  <c r="G1254" i="13"/>
  <c r="I1254" i="13" s="1"/>
  <c r="G1849" i="13"/>
  <c r="G1117" i="13"/>
  <c r="I1117" i="13" s="1"/>
  <c r="K1117" i="13" s="1"/>
  <c r="G3424" i="13"/>
  <c r="I3424" i="13" s="1"/>
  <c r="G138" i="13"/>
  <c r="I138" i="13" s="1"/>
  <c r="K138" i="13" s="1"/>
  <c r="G438" i="13"/>
  <c r="I438" i="13" s="1"/>
  <c r="G988" i="13"/>
  <c r="I988" i="13" s="1"/>
  <c r="K988" i="13" s="1"/>
  <c r="G4636" i="13"/>
  <c r="I4636" i="13" s="1"/>
  <c r="G2012" i="13"/>
  <c r="I2012" i="13" s="1"/>
  <c r="K2012" i="13" s="1"/>
  <c r="G2428" i="13"/>
  <c r="I2428" i="13" s="1"/>
  <c r="K2428" i="13" s="1"/>
  <c r="G1814" i="13"/>
  <c r="I1814" i="13" s="1"/>
  <c r="K1814" i="13" s="1"/>
  <c r="G521" i="13"/>
  <c r="G2283" i="13"/>
  <c r="I2283" i="13" s="1"/>
  <c r="G3451" i="13"/>
  <c r="I3451" i="13" s="1"/>
  <c r="G4509" i="13"/>
  <c r="I4509" i="13" s="1"/>
  <c r="K4509" i="13" s="1"/>
  <c r="G4892" i="13"/>
  <c r="I4892" i="13" s="1"/>
  <c r="G536" i="13"/>
  <c r="I536" i="13" s="1"/>
  <c r="K536" i="13" s="1"/>
  <c r="G1020" i="13"/>
  <c r="I1020" i="13" s="1"/>
  <c r="K1020" i="13" s="1"/>
  <c r="G2489" i="13"/>
  <c r="G144" i="13"/>
  <c r="I144" i="13" s="1"/>
  <c r="G4765" i="13"/>
  <c r="I4765" i="13" s="1"/>
  <c r="K4765" i="13" s="1"/>
  <c r="G201" i="13"/>
  <c r="G3330" i="13"/>
  <c r="I3330" i="13" s="1"/>
  <c r="G472" i="13"/>
  <c r="G983" i="13"/>
  <c r="I983" i="13" s="1"/>
  <c r="K983" i="13" s="1"/>
  <c r="G2100" i="13"/>
  <c r="I2100" i="13" s="1"/>
  <c r="G1305" i="13"/>
  <c r="G1471" i="13"/>
  <c r="I1471" i="13" s="1"/>
  <c r="K1471" i="13" s="1"/>
  <c r="G3068" i="13"/>
  <c r="I3068" i="13" s="1"/>
  <c r="K3068" i="13" s="1"/>
  <c r="G1867" i="13"/>
  <c r="I1867" i="13" s="1"/>
  <c r="G3320" i="13"/>
  <c r="I3320" i="13" s="1"/>
  <c r="G4228" i="13"/>
  <c r="I4228" i="13" s="1"/>
  <c r="G1993" i="13"/>
  <c r="I1993" i="13" s="1"/>
  <c r="K1993" i="13" s="1"/>
  <c r="G19" i="13"/>
  <c r="I19" i="13" s="1"/>
  <c r="G3257" i="13"/>
  <c r="G1255" i="13"/>
  <c r="I1255" i="13" s="1"/>
  <c r="K1255" i="13" s="1"/>
  <c r="G966" i="13"/>
  <c r="I966" i="13" s="1"/>
  <c r="G4315" i="13"/>
  <c r="I4315" i="13" s="1"/>
  <c r="G1601" i="13"/>
  <c r="I1601" i="13" s="1"/>
  <c r="K1601" i="13" s="1"/>
  <c r="G4730" i="13"/>
  <c r="I4730" i="13" s="1"/>
  <c r="G2217" i="13"/>
  <c r="I2217" i="13" s="1"/>
  <c r="K2217" i="13" s="1"/>
  <c r="G523" i="13"/>
  <c r="I523" i="13" s="1"/>
  <c r="G3911" i="13"/>
  <c r="I3911" i="13" s="1"/>
  <c r="K3911" i="13" s="1"/>
  <c r="G3079" i="13"/>
  <c r="I3079" i="13" s="1"/>
  <c r="K3079" i="13" s="1"/>
  <c r="G2861" i="13"/>
  <c r="I2861" i="13" s="1"/>
  <c r="K2861" i="13" s="1"/>
  <c r="G2696" i="13"/>
  <c r="G4641" i="13"/>
  <c r="I4641" i="13" s="1"/>
  <c r="K4641" i="13" s="1"/>
  <c r="G316" i="13"/>
  <c r="I316" i="13" s="1"/>
  <c r="K316" i="13" s="1"/>
  <c r="G4149" i="13"/>
  <c r="G1352" i="13"/>
  <c r="I1352" i="13" s="1"/>
  <c r="G3220" i="13"/>
  <c r="I3220" i="13" s="1"/>
  <c r="G624" i="13"/>
  <c r="I624" i="13" s="1"/>
  <c r="G1981" i="13"/>
  <c r="I1981" i="13" s="1"/>
  <c r="K1981" i="13" s="1"/>
  <c r="G2572" i="13"/>
  <c r="I2572" i="13" s="1"/>
  <c r="K2572" i="13" s="1"/>
  <c r="G1828" i="13"/>
  <c r="I1828" i="13" s="1"/>
  <c r="G346" i="13"/>
  <c r="I346" i="13" s="1"/>
  <c r="K346" i="13" s="1"/>
  <c r="G1645" i="13"/>
  <c r="I1645" i="13" s="1"/>
  <c r="K1645" i="13" s="1"/>
  <c r="G1292" i="13"/>
  <c r="I1292" i="13" s="1"/>
  <c r="K1292" i="13" s="1"/>
  <c r="G3027" i="13"/>
  <c r="I3027" i="13" s="1"/>
  <c r="G2167" i="13"/>
  <c r="I2167" i="13" s="1"/>
  <c r="K2167" i="13" s="1"/>
  <c r="G4638" i="13"/>
  <c r="I4638" i="13" s="1"/>
  <c r="K4638" i="13" s="1"/>
  <c r="G4114" i="13"/>
  <c r="I4114" i="13" s="1"/>
  <c r="G3474" i="13"/>
  <c r="I3474" i="13" s="1"/>
  <c r="G2644" i="13"/>
  <c r="I2644" i="13" s="1"/>
  <c r="G4694" i="13"/>
  <c r="I4694" i="13" s="1"/>
  <c r="G3938" i="13"/>
  <c r="I3938" i="13" s="1"/>
  <c r="G3476" i="13"/>
  <c r="I3476" i="13" s="1"/>
  <c r="G2914" i="13"/>
  <c r="I2914" i="13" s="1"/>
  <c r="G3971" i="13"/>
  <c r="I3971" i="13" s="1"/>
  <c r="G3805" i="13"/>
  <c r="I3805" i="13" s="1"/>
  <c r="K3805" i="13" s="1"/>
  <c r="G2941" i="13"/>
  <c r="I2941" i="13" s="1"/>
  <c r="K2941" i="13" s="1"/>
  <c r="G3799" i="13"/>
  <c r="I3799" i="13" s="1"/>
  <c r="G1007" i="13"/>
  <c r="I1007" i="13" s="1"/>
  <c r="K1007" i="13" s="1"/>
  <c r="G3858" i="13"/>
  <c r="I3858" i="13" s="1"/>
  <c r="G827" i="13"/>
  <c r="I827" i="13" s="1"/>
  <c r="G4452" i="13"/>
  <c r="I4452" i="13" s="1"/>
  <c r="G2831" i="13"/>
  <c r="I2831" i="13" s="1"/>
  <c r="K2831" i="13" s="1"/>
  <c r="G4332" i="13"/>
  <c r="I4332" i="13" s="1"/>
  <c r="G2597" i="13"/>
  <c r="G1289" i="13"/>
  <c r="I1289" i="13" s="1"/>
  <c r="K1289" i="13" s="1"/>
  <c r="G2707" i="13"/>
  <c r="I2707" i="13" s="1"/>
  <c r="G4285" i="13"/>
  <c r="I4285" i="13" s="1"/>
  <c r="K4285" i="13" s="1"/>
  <c r="G2577" i="13"/>
  <c r="I2577" i="13" s="1"/>
  <c r="K2577" i="13" s="1"/>
  <c r="G732" i="13"/>
  <c r="I732" i="13" s="1"/>
  <c r="K732" i="13" s="1"/>
  <c r="G4305" i="13"/>
  <c r="I4305" i="13" s="1"/>
  <c r="K4305" i="13" s="1"/>
  <c r="G4727" i="13"/>
  <c r="I4727" i="13" s="1"/>
  <c r="G3007" i="13"/>
  <c r="I3007" i="13" s="1"/>
  <c r="K3007" i="13" s="1"/>
  <c r="G2883" i="13"/>
  <c r="I2883" i="13" s="1"/>
  <c r="K2883" i="13" s="1"/>
  <c r="G4790" i="13"/>
  <c r="I4790" i="13" s="1"/>
  <c r="G3233" i="13"/>
  <c r="I3233" i="13" s="1"/>
  <c r="K3233" i="13" s="1"/>
  <c r="G408" i="13"/>
  <c r="G2008" i="13"/>
  <c r="G1850" i="13"/>
  <c r="I1850" i="13" s="1"/>
  <c r="K1850" i="13" s="1"/>
  <c r="G1262" i="13"/>
  <c r="I1262" i="13" s="1"/>
  <c r="K1262" i="13" s="1"/>
  <c r="G2763" i="13"/>
  <c r="I2763" i="13" s="1"/>
  <c r="G2238" i="13"/>
  <c r="I2238" i="13" s="1"/>
  <c r="K2238" i="13" s="1"/>
  <c r="G697" i="13"/>
  <c r="I697" i="13" s="1"/>
  <c r="K697" i="13" s="1"/>
  <c r="G2370" i="13"/>
  <c r="I2370" i="13" s="1"/>
  <c r="G3436" i="13"/>
  <c r="I3436" i="13" s="1"/>
  <c r="K3436" i="13" s="1"/>
  <c r="G1443" i="13"/>
  <c r="I1443" i="13" s="1"/>
  <c r="G4774" i="13"/>
  <c r="I4774" i="13" s="1"/>
  <c r="G4107" i="13"/>
  <c r="I4107" i="13" s="1"/>
  <c r="G4407" i="13"/>
  <c r="I4407" i="13" s="1"/>
  <c r="G2134" i="13"/>
  <c r="I2134" i="13" s="1"/>
  <c r="G3554" i="13"/>
  <c r="I3554" i="13" s="1"/>
  <c r="G3507" i="13"/>
  <c r="I3507" i="13" s="1"/>
  <c r="G3629" i="13"/>
  <c r="I3629" i="13" s="1"/>
  <c r="K3629" i="13" s="1"/>
  <c r="G2346" i="13"/>
  <c r="I2346" i="13" s="1"/>
  <c r="K2346" i="13" s="1"/>
  <c r="G2284" i="13"/>
  <c r="I2284" i="13" s="1"/>
  <c r="K2284" i="13" s="1"/>
  <c r="G4367" i="13"/>
  <c r="I4367" i="13" s="1"/>
  <c r="K4367" i="13" s="1"/>
  <c r="G3881" i="13"/>
  <c r="G227" i="13"/>
  <c r="I227" i="13" s="1"/>
  <c r="G2295" i="13"/>
  <c r="I2295" i="13" s="1"/>
  <c r="K2295" i="13" s="1"/>
  <c r="G1833" i="13"/>
  <c r="G4249" i="13"/>
  <c r="I4249" i="13" s="1"/>
  <c r="K4249" i="13" s="1"/>
  <c r="G2332" i="13"/>
  <c r="I2332" i="13" s="1"/>
  <c r="K2332" i="13" s="1"/>
  <c r="G2799" i="13"/>
  <c r="I2799" i="13" s="1"/>
  <c r="K2799" i="13" s="1"/>
  <c r="G145" i="13"/>
  <c r="I145" i="13" s="1"/>
  <c r="K145" i="13" s="1"/>
  <c r="G439" i="13"/>
  <c r="I439" i="13" s="1"/>
  <c r="K439" i="13" s="1"/>
  <c r="G1261" i="13"/>
  <c r="I1261" i="13" s="1"/>
  <c r="K1261" i="13" s="1"/>
  <c r="G2099" i="13"/>
  <c r="I2099" i="13" s="1"/>
  <c r="G2192" i="13"/>
  <c r="I2192" i="13" s="1"/>
  <c r="G1555" i="13"/>
  <c r="I1555" i="13" s="1"/>
  <c r="G4756" i="13"/>
  <c r="I4756" i="13" s="1"/>
  <c r="G2728" i="13"/>
  <c r="G300" i="13"/>
  <c r="I300" i="13" s="1"/>
  <c r="K300" i="13" s="1"/>
  <c r="G3487" i="13"/>
  <c r="I3487" i="13" s="1"/>
  <c r="K3487" i="13" s="1"/>
  <c r="G2997" i="13"/>
  <c r="I2997" i="13" s="1"/>
  <c r="G2897" i="13"/>
  <c r="I2897" i="13" s="1"/>
  <c r="K2897" i="13" s="1"/>
  <c r="G765" i="13"/>
  <c r="I765" i="13" s="1"/>
  <c r="K765" i="13" s="1"/>
  <c r="G3994" i="13"/>
  <c r="I3994" i="13" s="1"/>
  <c r="G1732" i="13"/>
  <c r="I1732" i="13" s="1"/>
  <c r="G3299" i="13"/>
  <c r="I3299" i="13" s="1"/>
  <c r="K3299" i="13" s="1"/>
  <c r="G4004" i="13"/>
  <c r="I4004" i="13" s="1"/>
  <c r="G2554" i="13"/>
  <c r="I2554" i="13" s="1"/>
  <c r="K2554" i="13" s="1"/>
  <c r="G1392" i="13"/>
  <c r="I1392" i="13" s="1"/>
  <c r="G1102" i="13"/>
  <c r="I1102" i="13" s="1"/>
  <c r="K1102" i="13" s="1"/>
  <c r="G1337" i="13"/>
  <c r="G2347" i="13"/>
  <c r="I2347" i="13" s="1"/>
  <c r="G114" i="13"/>
  <c r="I114" i="13" s="1"/>
  <c r="G2488" i="13"/>
  <c r="G680" i="13"/>
  <c r="G1747" i="13"/>
  <c r="I1747" i="13" s="1"/>
  <c r="G1358" i="13"/>
  <c r="I1358" i="13" s="1"/>
  <c r="K1358" i="13" s="1"/>
  <c r="G409" i="13"/>
  <c r="I409" i="13" s="1"/>
  <c r="K409" i="13" s="1"/>
  <c r="G3915" i="13"/>
  <c r="I3915" i="13" s="1"/>
  <c r="G566" i="13"/>
  <c r="I566" i="13" s="1"/>
  <c r="G3288" i="13"/>
  <c r="I3288" i="13" s="1"/>
  <c r="G539" i="13"/>
  <c r="I539" i="13" s="1"/>
  <c r="G4565" i="13"/>
  <c r="G4112" i="13"/>
  <c r="I4112" i="13" s="1"/>
  <c r="G3584" i="13"/>
  <c r="I3584" i="13" s="1"/>
  <c r="G741" i="13"/>
  <c r="G1476" i="13"/>
  <c r="I1476" i="13" s="1"/>
  <c r="G2343" i="13"/>
  <c r="I2343" i="13" s="1"/>
  <c r="K2343" i="13" s="1"/>
  <c r="G3145" i="13"/>
  <c r="G1485" i="13"/>
  <c r="I1485" i="13" s="1"/>
  <c r="K1485" i="13" s="1"/>
  <c r="G3063" i="13"/>
  <c r="I3063" i="13" s="1"/>
  <c r="G766" i="13"/>
  <c r="I766" i="13" s="1"/>
  <c r="K766" i="13" s="1"/>
  <c r="G3431" i="13"/>
  <c r="I3431" i="13" s="1"/>
  <c r="G1452" i="13"/>
  <c r="I1452" i="13" s="1"/>
  <c r="K1452" i="13" s="1"/>
  <c r="G3537" i="13"/>
  <c r="I3537" i="13" s="1"/>
  <c r="K3537" i="13" s="1"/>
  <c r="G3008" i="13"/>
  <c r="I3008" i="13" s="1"/>
  <c r="G887" i="13"/>
  <c r="I887" i="13" s="1"/>
  <c r="K887" i="13" s="1"/>
  <c r="G1073" i="13"/>
  <c r="I1073" i="13" s="1"/>
  <c r="K1073" i="13" s="1"/>
  <c r="G1195" i="13"/>
  <c r="I1195" i="13" s="1"/>
  <c r="G2661" i="13"/>
  <c r="G273" i="13"/>
  <c r="I273" i="13" s="1"/>
  <c r="K273" i="13" s="1"/>
  <c r="G95" i="13"/>
  <c r="I95" i="13" s="1"/>
  <c r="K95" i="13" s="1"/>
  <c r="G1079" i="13"/>
  <c r="I1079" i="13" s="1"/>
  <c r="K1079" i="13" s="1"/>
  <c r="G3380" i="13"/>
  <c r="I3380" i="13" s="1"/>
  <c r="G4017" i="13"/>
  <c r="I4017" i="13" s="1"/>
  <c r="K4017" i="13" s="1"/>
  <c r="G4265" i="13"/>
  <c r="I4265" i="13" s="1"/>
  <c r="K4265" i="13" s="1"/>
  <c r="G4132" i="13"/>
  <c r="I4132" i="13" s="1"/>
  <c r="G1124" i="13"/>
  <c r="I1124" i="13" s="1"/>
  <c r="G3206" i="13"/>
  <c r="I3206" i="13" s="1"/>
  <c r="G2209" i="13"/>
  <c r="I2209" i="13" s="1"/>
  <c r="K2209" i="13" s="1"/>
  <c r="G2945" i="13"/>
  <c r="I2945" i="13" s="1"/>
  <c r="K2945" i="13" s="1"/>
  <c r="G161" i="13"/>
  <c r="I161" i="13" s="1"/>
  <c r="K161" i="13" s="1"/>
  <c r="G2917" i="13"/>
  <c r="G2336" i="13"/>
  <c r="I2336" i="13" s="1"/>
  <c r="G824" i="13"/>
  <c r="G3995" i="13"/>
  <c r="I3995" i="13" s="1"/>
  <c r="G905" i="13"/>
  <c r="G104" i="13"/>
  <c r="G4466" i="13"/>
  <c r="I4466" i="13" s="1"/>
  <c r="G2961" i="13"/>
  <c r="I2961" i="13" s="1"/>
  <c r="K2961" i="13" s="1"/>
  <c r="G24" i="13"/>
  <c r="G4496" i="13"/>
  <c r="I4496" i="13" s="1"/>
  <c r="G4707" i="13"/>
  <c r="I4707" i="13" s="1"/>
  <c r="G3122" i="13"/>
  <c r="I3122" i="13" s="1"/>
  <c r="G2867" i="13"/>
  <c r="I2867" i="13" s="1"/>
  <c r="G4494" i="13"/>
  <c r="I4494" i="13" s="1"/>
  <c r="K4494" i="13" s="1"/>
  <c r="G242" i="13"/>
  <c r="I242" i="13" s="1"/>
  <c r="G3841" i="13"/>
  <c r="I3841" i="13" s="1"/>
  <c r="K3841" i="13" s="1"/>
  <c r="G4587" i="13"/>
  <c r="I4587" i="13" s="1"/>
  <c r="G826" i="13"/>
  <c r="I826" i="13" s="1"/>
  <c r="K826" i="13" s="1"/>
  <c r="G4286" i="13"/>
  <c r="I4286" i="13" s="1"/>
  <c r="K4286" i="13" s="1"/>
  <c r="G2663" i="13"/>
  <c r="I2663" i="13" s="1"/>
  <c r="G4495" i="13"/>
  <c r="I4495" i="13" s="1"/>
  <c r="K4495" i="13" s="1"/>
  <c r="G2879" i="13"/>
  <c r="I2879" i="13" s="1"/>
  <c r="K2879" i="13" s="1"/>
  <c r="G2191" i="13"/>
  <c r="I2191" i="13" s="1"/>
  <c r="K2191" i="13" s="1"/>
  <c r="G1950" i="13"/>
  <c r="I1950" i="13" s="1"/>
  <c r="K1950" i="13" s="1"/>
  <c r="G1047" i="13"/>
  <c r="I1047" i="13" s="1"/>
  <c r="K1047" i="13" s="1"/>
  <c r="G2942" i="13"/>
  <c r="I2942" i="13" s="1"/>
  <c r="K2942" i="13" s="1"/>
  <c r="G3144" i="13"/>
  <c r="I3144" i="13" s="1"/>
  <c r="G3831" i="13"/>
  <c r="I3831" i="13" s="1"/>
  <c r="G1415" i="13"/>
  <c r="I1415" i="13" s="1"/>
  <c r="K1415" i="13" s="1"/>
  <c r="G3658" i="13"/>
  <c r="I3658" i="13" s="1"/>
  <c r="G116" i="13"/>
  <c r="I116" i="13" s="1"/>
  <c r="G1640" i="13"/>
  <c r="G2318" i="13"/>
  <c r="I2318" i="13" s="1"/>
  <c r="K2318" i="13" s="1"/>
  <c r="G2541" i="13"/>
  <c r="I2541" i="13" s="1"/>
  <c r="K2541" i="13" s="1"/>
  <c r="G2600" i="13"/>
  <c r="G4259" i="13"/>
  <c r="I4259" i="13" s="1"/>
  <c r="G1710" i="13"/>
  <c r="I1710" i="13" s="1"/>
  <c r="K1710" i="13" s="1"/>
  <c r="G3309" i="13"/>
  <c r="I3309" i="13" s="1"/>
  <c r="K3309" i="13" s="1"/>
  <c r="G4225" i="13"/>
  <c r="I4225" i="13" s="1"/>
  <c r="K4225" i="13" s="1"/>
  <c r="G252" i="13"/>
  <c r="I252" i="13" s="1"/>
  <c r="K252" i="13" s="1"/>
  <c r="G2373" i="13"/>
  <c r="G32" i="13"/>
  <c r="I32" i="13" s="1"/>
  <c r="G1776" i="13"/>
  <c r="I1776" i="13" s="1"/>
  <c r="G957" i="13"/>
  <c r="I957" i="13" s="1"/>
  <c r="K957" i="13" s="1"/>
  <c r="G4401" i="13"/>
  <c r="I4401" i="13" s="1"/>
  <c r="K4401" i="13" s="1"/>
  <c r="G4749" i="13"/>
  <c r="I4749" i="13" s="1"/>
  <c r="K4749" i="13" s="1"/>
  <c r="G4358" i="13"/>
  <c r="I4358" i="13" s="1"/>
  <c r="G895" i="13"/>
  <c r="I895" i="13" s="1"/>
  <c r="K895" i="13" s="1"/>
  <c r="G3057" i="13"/>
  <c r="I3057" i="13" s="1"/>
  <c r="K3057" i="13" s="1"/>
  <c r="G2095" i="13"/>
  <c r="I2095" i="13" s="1"/>
  <c r="K2095" i="13" s="1"/>
  <c r="G228" i="13"/>
  <c r="I228" i="13" s="1"/>
  <c r="G795" i="13"/>
  <c r="I795" i="13" s="1"/>
  <c r="G1331" i="13"/>
  <c r="I1331" i="13" s="1"/>
  <c r="K1331" i="13" s="1"/>
  <c r="G4235" i="13"/>
  <c r="I4235" i="13" s="1"/>
  <c r="G2057" i="13"/>
  <c r="G333" i="13"/>
  <c r="I333" i="13" s="1"/>
  <c r="K333" i="13" s="1"/>
  <c r="G1314" i="13"/>
  <c r="I1314" i="13" s="1"/>
  <c r="G2473" i="13"/>
  <c r="G819" i="13"/>
  <c r="I819" i="13" s="1"/>
  <c r="G3188" i="13"/>
  <c r="I3188" i="13" s="1"/>
  <c r="G3930" i="13"/>
  <c r="I3930" i="13" s="1"/>
  <c r="G3336" i="13"/>
  <c r="I3336" i="13" s="1"/>
  <c r="G4657" i="13"/>
  <c r="I4657" i="13" s="1"/>
  <c r="K4657" i="13" s="1"/>
  <c r="G4338" i="13"/>
  <c r="I4338" i="13" s="1"/>
  <c r="G3020" i="13"/>
  <c r="I3020" i="13" s="1"/>
  <c r="K3020" i="13" s="1"/>
  <c r="G936" i="13"/>
  <c r="G146" i="13"/>
  <c r="I146" i="13" s="1"/>
  <c r="G4518" i="13"/>
  <c r="I4518" i="13" s="1"/>
  <c r="G3310" i="13"/>
  <c r="I3310" i="13" s="1"/>
  <c r="K3310" i="13" s="1"/>
  <c r="G3909" i="13"/>
  <c r="G3231" i="13"/>
  <c r="I3231" i="13" s="1"/>
  <c r="K3231" i="13" s="1"/>
  <c r="G3485" i="13"/>
  <c r="I3485" i="13" s="1"/>
  <c r="K3485" i="13" s="1"/>
  <c r="G1573" i="13"/>
  <c r="G2775" i="13"/>
  <c r="I2775" i="13" s="1"/>
  <c r="G3951" i="13"/>
  <c r="I3951" i="13" s="1"/>
  <c r="K3951" i="13" s="1"/>
  <c r="G2548" i="13"/>
  <c r="I2548" i="13" s="1"/>
  <c r="G2172" i="13"/>
  <c r="I2172" i="13" s="1"/>
  <c r="K2172" i="13" s="1"/>
  <c r="G2542" i="13"/>
  <c r="I2542" i="13" s="1"/>
  <c r="K2542" i="13" s="1"/>
  <c r="G2832" i="13"/>
  <c r="I2832" i="13" s="1"/>
  <c r="G1468" i="13"/>
  <c r="I1468" i="13" s="1"/>
  <c r="K1468" i="13" s="1"/>
  <c r="G447" i="13"/>
  <c r="I447" i="13" s="1"/>
  <c r="K447" i="13" s="1"/>
  <c r="G2729" i="13"/>
  <c r="G2232" i="13"/>
  <c r="G28" i="13"/>
  <c r="I28" i="13" s="1"/>
  <c r="K28" i="13" s="1"/>
  <c r="G3605" i="13"/>
  <c r="G3091" i="13"/>
  <c r="I3091" i="13" s="1"/>
  <c r="G2694" i="13"/>
  <c r="I2694" i="13" s="1"/>
  <c r="G3224" i="13"/>
  <c r="I3224" i="13" s="1"/>
  <c r="G4535" i="13"/>
  <c r="I4535" i="13" s="1"/>
  <c r="K4535" i="13" s="1"/>
  <c r="G3394" i="13"/>
  <c r="I3394" i="13" s="1"/>
  <c r="G1171" i="13"/>
  <c r="I1171" i="13" s="1"/>
  <c r="G220" i="13"/>
  <c r="I220" i="13" s="1"/>
  <c r="K220" i="13" s="1"/>
  <c r="G1364" i="13"/>
  <c r="I1364" i="13" s="1"/>
  <c r="G207" i="13"/>
  <c r="I207" i="13" s="1"/>
  <c r="K207" i="13" s="1"/>
  <c r="G315" i="13"/>
  <c r="I315" i="13" s="1"/>
  <c r="G835" i="13"/>
  <c r="I835" i="13" s="1"/>
  <c r="G2903" i="13"/>
  <c r="I2903" i="13" s="1"/>
  <c r="G2621" i="13"/>
  <c r="I2621" i="13" s="1"/>
  <c r="K2621" i="13" s="1"/>
  <c r="G2925" i="13"/>
  <c r="I2925" i="13" s="1"/>
  <c r="K2925" i="13" s="1"/>
  <c r="G4474" i="13"/>
  <c r="I4474" i="13" s="1"/>
  <c r="K4474" i="13" s="1"/>
  <c r="G3912" i="13"/>
  <c r="I3912" i="13" s="1"/>
  <c r="G1533" i="13"/>
  <c r="I1533" i="13" s="1"/>
  <c r="K1533" i="13" s="1"/>
  <c r="G3865" i="13"/>
  <c r="G2806" i="13"/>
  <c r="I2806" i="13" s="1"/>
  <c r="K2806" i="13" s="1"/>
  <c r="G2042" i="13"/>
  <c r="I2042" i="13" s="1"/>
  <c r="K2042" i="13" s="1"/>
  <c r="G3782" i="13"/>
  <c r="I3782" i="13" s="1"/>
  <c r="G3916" i="13"/>
  <c r="I3916" i="13" s="1"/>
  <c r="K3916" i="13" s="1"/>
  <c r="G4318" i="13"/>
  <c r="I4318" i="13" s="1"/>
  <c r="K4318" i="13" s="1"/>
  <c r="G1223" i="13"/>
  <c r="I1223" i="13" s="1"/>
  <c r="K1223" i="13" s="1"/>
  <c r="G1360" i="13"/>
  <c r="I1360" i="13" s="1"/>
  <c r="G3734" i="13"/>
  <c r="I3734" i="13" s="1"/>
  <c r="G3861" i="13"/>
  <c r="G3184" i="13"/>
  <c r="I3184" i="13" s="1"/>
  <c r="G1979" i="13"/>
  <c r="I1979" i="13" s="1"/>
  <c r="G4426" i="13"/>
  <c r="I4426" i="13" s="1"/>
  <c r="G1546" i="13"/>
  <c r="I1546" i="13" s="1"/>
  <c r="K1546" i="13" s="1"/>
  <c r="G754" i="13"/>
  <c r="I754" i="13" s="1"/>
  <c r="G2296" i="13"/>
  <c r="I2296" i="13" s="1"/>
  <c r="G2403" i="13"/>
  <c r="I2403" i="13" s="1"/>
  <c r="G1400" i="13"/>
  <c r="G513" i="13"/>
  <c r="I513" i="13" s="1"/>
  <c r="K513" i="13" s="1"/>
  <c r="G2142" i="13"/>
  <c r="I2142" i="13" s="1"/>
  <c r="K2142" i="13" s="1"/>
  <c r="G3010" i="13"/>
  <c r="I3010" i="13" s="1"/>
  <c r="G3732" i="13"/>
  <c r="I3732" i="13" s="1"/>
  <c r="G298" i="13"/>
  <c r="I298" i="13" s="1"/>
  <c r="K298" i="13" s="1"/>
  <c r="G1689" i="13"/>
  <c r="I1689" i="13" s="1"/>
  <c r="K1689" i="13" s="1"/>
  <c r="G4579" i="13"/>
  <c r="I4579" i="13" s="1"/>
  <c r="G2233" i="13"/>
  <c r="G290" i="13"/>
  <c r="I290" i="13" s="1"/>
  <c r="G1202" i="13"/>
  <c r="I1202" i="13" s="1"/>
  <c r="G2616" i="13"/>
  <c r="G565" i="13"/>
  <c r="G2491" i="13"/>
  <c r="I2491" i="13" s="1"/>
  <c r="G717" i="13"/>
  <c r="I717" i="13" s="1"/>
  <c r="K717" i="13" s="1"/>
  <c r="G3503" i="13"/>
  <c r="I3503" i="13" s="1"/>
  <c r="K3503" i="13" s="1"/>
  <c r="G1774" i="13"/>
  <c r="I1774" i="13" s="1"/>
  <c r="K1774" i="13" s="1"/>
  <c r="G2918" i="13"/>
  <c r="I2918" i="13" s="1"/>
  <c r="G3935" i="13"/>
  <c r="I3935" i="13" s="1"/>
  <c r="K3935" i="13" s="1"/>
  <c r="G74" i="13"/>
  <c r="I74" i="13" s="1"/>
  <c r="K74" i="13" s="1"/>
  <c r="G3129" i="13"/>
  <c r="G1904" i="13"/>
  <c r="I1904" i="13" s="1"/>
  <c r="G1296" i="13"/>
  <c r="I1296" i="13" s="1"/>
  <c r="G305" i="13"/>
  <c r="I305" i="13" s="1"/>
  <c r="K305" i="13" s="1"/>
  <c r="G1284" i="13"/>
  <c r="I1284" i="13" s="1"/>
  <c r="G4205" i="13"/>
  <c r="I4205" i="13" s="1"/>
  <c r="K4205" i="13" s="1"/>
  <c r="G3036" i="13"/>
  <c r="I3036" i="13" s="1"/>
  <c r="K3036" i="13" s="1"/>
  <c r="G2985" i="13"/>
  <c r="G645" i="13"/>
  <c r="G1260" i="13"/>
  <c r="I1260" i="13" s="1"/>
  <c r="K1260" i="13" s="1"/>
  <c r="G1525" i="13"/>
  <c r="G433" i="13"/>
  <c r="I433" i="13" s="1"/>
  <c r="K433" i="13" s="1"/>
  <c r="G2704" i="13"/>
  <c r="I2704" i="13" s="1"/>
  <c r="G3170" i="13"/>
  <c r="I3170" i="13" s="1"/>
  <c r="G3521" i="13"/>
  <c r="I3521" i="13" s="1"/>
  <c r="K3521" i="13" s="1"/>
  <c r="G4202" i="13"/>
  <c r="I4202" i="13" s="1"/>
  <c r="G555" i="13"/>
  <c r="I555" i="13" s="1"/>
  <c r="G837" i="13"/>
  <c r="I837" i="13" s="1"/>
  <c r="K837" i="13" s="1"/>
  <c r="G2753" i="13"/>
  <c r="I2753" i="13" s="1"/>
  <c r="K2753" i="13" s="1"/>
  <c r="G3486" i="13"/>
  <c r="I3486" i="13" s="1"/>
  <c r="K3486" i="13" s="1"/>
  <c r="G2155" i="13"/>
  <c r="I2155" i="13" s="1"/>
  <c r="G4292" i="13"/>
  <c r="I4292" i="13" s="1"/>
  <c r="G1465" i="13"/>
  <c r="G1494" i="13"/>
  <c r="I1494" i="13" s="1"/>
  <c r="G1410" i="13"/>
  <c r="I1410" i="13" s="1"/>
  <c r="K1410" i="13" s="1"/>
  <c r="G1207" i="13"/>
  <c r="I1207" i="13" s="1"/>
  <c r="K1207" i="13" s="1"/>
  <c r="G967" i="13"/>
  <c r="I967" i="13" s="1"/>
  <c r="K967" i="13" s="1"/>
  <c r="G1941" i="13"/>
  <c r="G1681" i="13"/>
  <c r="I1681" i="13" s="1"/>
  <c r="K1681" i="13" s="1"/>
  <c r="G2815" i="13"/>
  <c r="I2815" i="13" s="1"/>
  <c r="K2815" i="13" s="1"/>
  <c r="G1332" i="13"/>
  <c r="I1332" i="13" s="1"/>
  <c r="G1229" i="13"/>
  <c r="I1229" i="13" s="1"/>
  <c r="K1229" i="13" s="1"/>
  <c r="G1070" i="13"/>
  <c r="I1070" i="13" s="1"/>
  <c r="K1070" i="13" s="1"/>
  <c r="G3885" i="13"/>
  <c r="I3885" i="13" s="1"/>
  <c r="K3885" i="13" s="1"/>
  <c r="G1610" i="13"/>
  <c r="I1610" i="13" s="1"/>
  <c r="K1610" i="13" s="1"/>
  <c r="G4187" i="13"/>
  <c r="I4187" i="13" s="1"/>
  <c r="G4328" i="13"/>
  <c r="I4328" i="13" s="1"/>
  <c r="G3625" i="13"/>
  <c r="G2840" i="13"/>
  <c r="I2840" i="13" s="1"/>
  <c r="K2840" i="13" s="1"/>
  <c r="G2277" i="13"/>
  <c r="G3961" i="13"/>
  <c r="I3961" i="13" s="1"/>
  <c r="K3961" i="13" s="1"/>
  <c r="G1016" i="13"/>
  <c r="G3757" i="13"/>
  <c r="I3757" i="13" s="1"/>
  <c r="K3757" i="13" s="1"/>
  <c r="G1704" i="13"/>
  <c r="G3714" i="13"/>
  <c r="I3714" i="13" s="1"/>
  <c r="G276" i="13"/>
  <c r="I276" i="13" s="1"/>
  <c r="G977" i="13"/>
  <c r="I977" i="13" s="1"/>
  <c r="K977" i="13" s="1"/>
  <c r="G4290" i="13"/>
  <c r="I4290" i="13" s="1"/>
  <c r="G1188" i="13"/>
  <c r="I1188" i="13" s="1"/>
  <c r="G2112" i="13"/>
  <c r="I2112" i="13" s="1"/>
  <c r="G1147" i="13"/>
  <c r="I1147" i="13" s="1"/>
  <c r="G2497" i="13"/>
  <c r="I2497" i="13" s="1"/>
  <c r="K2497" i="13" s="1"/>
  <c r="G2267" i="13"/>
  <c r="I2267" i="13" s="1"/>
  <c r="G1084" i="13"/>
  <c r="I1084" i="13" s="1"/>
  <c r="K1084" i="13" s="1"/>
  <c r="G4736" i="13"/>
  <c r="I4736" i="13" s="1"/>
  <c r="G3316" i="13"/>
  <c r="I3316" i="13" s="1"/>
  <c r="G2536" i="13"/>
  <c r="G1602" i="13"/>
  <c r="I1602" i="13" s="1"/>
  <c r="G1723" i="13"/>
  <c r="I1723" i="13" s="1"/>
  <c r="G721" i="13"/>
  <c r="I721" i="13" s="1"/>
  <c r="K721" i="13" s="1"/>
  <c r="G3758" i="13"/>
  <c r="I3758" i="13" s="1"/>
  <c r="K3758" i="13" s="1"/>
  <c r="G1676" i="13"/>
  <c r="I1676" i="13" s="1"/>
  <c r="K1676" i="13" s="1"/>
  <c r="G2507" i="13"/>
  <c r="I2507" i="13" s="1"/>
  <c r="G948" i="13"/>
  <c r="I948" i="13" s="1"/>
  <c r="G4464" i="13"/>
  <c r="I4464" i="13" s="1"/>
  <c r="G4252" i="13"/>
  <c r="I4252" i="13" s="1"/>
  <c r="K4252" i="13" s="1"/>
  <c r="G2967" i="13"/>
  <c r="I2967" i="13" s="1"/>
  <c r="K2967" i="13" s="1"/>
  <c r="G2124" i="13"/>
  <c r="I2124" i="13" s="1"/>
  <c r="K2124" i="13" s="1"/>
  <c r="G1651" i="13"/>
  <c r="I1651" i="13" s="1"/>
  <c r="G1758" i="13"/>
  <c r="I1758" i="13" s="1"/>
  <c r="K1758" i="13" s="1"/>
  <c r="G1987" i="13"/>
  <c r="I1987" i="13" s="1"/>
  <c r="K1987" i="13" s="1"/>
  <c r="G4737" i="13"/>
  <c r="I4737" i="13" s="1"/>
  <c r="K4737" i="13" s="1"/>
  <c r="G636" i="13"/>
  <c r="I636" i="13" s="1"/>
  <c r="K636" i="13" s="1"/>
  <c r="G1753" i="13"/>
  <c r="G2922" i="13"/>
  <c r="I2922" i="13" s="1"/>
  <c r="K2922" i="13" s="1"/>
  <c r="G3021" i="13"/>
  <c r="I3021" i="13" s="1"/>
  <c r="K3021" i="13" s="1"/>
  <c r="G3468" i="13"/>
  <c r="I3468" i="13" s="1"/>
  <c r="K3468" i="13" s="1"/>
  <c r="G2716" i="13"/>
  <c r="I2716" i="13" s="1"/>
  <c r="K2716" i="13" s="1"/>
  <c r="G1176" i="13"/>
  <c r="G434" i="13"/>
  <c r="I434" i="13" s="1"/>
  <c r="G3893" i="13"/>
  <c r="G386" i="13"/>
  <c r="I386" i="13" s="1"/>
  <c r="G1716" i="13"/>
  <c r="I1716" i="13" s="1"/>
  <c r="G2528" i="13"/>
  <c r="I2528" i="13" s="1"/>
  <c r="G2453" i="13"/>
  <c r="G4578" i="13"/>
  <c r="I4578" i="13" s="1"/>
  <c r="G1274" i="13"/>
  <c r="I1274" i="13" s="1"/>
  <c r="K1274" i="13" s="1"/>
  <c r="G4204" i="13"/>
  <c r="I4204" i="13" s="1"/>
  <c r="K4204" i="13" s="1"/>
  <c r="G3293" i="13"/>
  <c r="I3293" i="13" s="1"/>
  <c r="K3293" i="13" s="1"/>
  <c r="G3132" i="13"/>
  <c r="I3132" i="13" s="1"/>
  <c r="K3132" i="13" s="1"/>
  <c r="G1661" i="13"/>
  <c r="I1661" i="13" s="1"/>
  <c r="K1661" i="13" s="1"/>
  <c r="G1368" i="13"/>
  <c r="G1902" i="13"/>
  <c r="I1902" i="13" s="1"/>
  <c r="K1902" i="13" s="1"/>
  <c r="G880" i="13"/>
  <c r="I880" i="13" s="1"/>
  <c r="G436" i="13"/>
  <c r="I436" i="13" s="1"/>
  <c r="G4888" i="13"/>
  <c r="I4888" i="13" s="1"/>
  <c r="G3153" i="13"/>
  <c r="I3153" i="13" s="1"/>
  <c r="K3153" i="13" s="1"/>
  <c r="G1338" i="13"/>
  <c r="I1338" i="13" s="1"/>
  <c r="K1338" i="13" s="1"/>
  <c r="G2664" i="13"/>
  <c r="I2664" i="13" s="1"/>
  <c r="G4457" i="13"/>
  <c r="I4457" i="13" s="1"/>
  <c r="K4457" i="13" s="1"/>
  <c r="G3107" i="13"/>
  <c r="I3107" i="13" s="1"/>
  <c r="G2014" i="13"/>
  <c r="I2014" i="13" s="1"/>
  <c r="K2014" i="13" s="1"/>
  <c r="G2132" i="13"/>
  <c r="I2132" i="13" s="1"/>
  <c r="G3452" i="13"/>
  <c r="I3452" i="13" s="1"/>
  <c r="K3452" i="13" s="1"/>
  <c r="G2339" i="13"/>
  <c r="I2339" i="13" s="1"/>
  <c r="G2978" i="13"/>
  <c r="I2978" i="13" s="1"/>
  <c r="G534" i="13"/>
  <c r="I534" i="13" s="1"/>
  <c r="G3039" i="13"/>
  <c r="I3039" i="13" s="1"/>
  <c r="K3039" i="13" s="1"/>
  <c r="G4242" i="13"/>
  <c r="I4242" i="13" s="1"/>
  <c r="G3889" i="13"/>
  <c r="I3889" i="13" s="1"/>
  <c r="K3889" i="13" s="1"/>
  <c r="G3258" i="13"/>
  <c r="I3258" i="13" s="1"/>
  <c r="G2509" i="13"/>
  <c r="I2509" i="13" s="1"/>
  <c r="K2509" i="13" s="1"/>
  <c r="G3552" i="13"/>
  <c r="I3552" i="13" s="1"/>
  <c r="G1218" i="13"/>
  <c r="I1218" i="13" s="1"/>
  <c r="G2761" i="13"/>
  <c r="I2761" i="13" s="1"/>
  <c r="K2761" i="13" s="1"/>
  <c r="G668" i="13"/>
  <c r="I668" i="13" s="1"/>
  <c r="K668" i="13" s="1"/>
  <c r="G4661" i="13"/>
  <c r="G234" i="13"/>
  <c r="I234" i="13" s="1"/>
  <c r="K234" i="13" s="1"/>
  <c r="G2009" i="13"/>
  <c r="I2009" i="13" s="1"/>
  <c r="K2009" i="13" s="1"/>
  <c r="G1118" i="13"/>
  <c r="I1118" i="13" s="1"/>
  <c r="K1118" i="13" s="1"/>
  <c r="G2682" i="13"/>
  <c r="I2682" i="13" s="1"/>
  <c r="K2682" i="13" s="1"/>
  <c r="G499" i="13"/>
  <c r="I499" i="13" s="1"/>
  <c r="K499" i="13" s="1"/>
  <c r="G466" i="13"/>
  <c r="I466" i="13" s="1"/>
  <c r="G1095" i="13"/>
  <c r="I1095" i="13" s="1"/>
  <c r="K1095" i="13" s="1"/>
  <c r="G336" i="13"/>
  <c r="I336" i="13" s="1"/>
  <c r="G4747" i="13"/>
  <c r="I4747" i="13" s="1"/>
  <c r="G2773" i="13"/>
  <c r="G3359" i="13"/>
  <c r="I3359" i="13" s="1"/>
  <c r="K3359" i="13" s="1"/>
  <c r="G3747" i="13"/>
  <c r="I3747" i="13" s="1"/>
  <c r="G3387" i="13"/>
  <c r="I3387" i="13" s="1"/>
  <c r="K3387" i="13" s="1"/>
  <c r="G3964" i="13"/>
  <c r="I3964" i="13" s="1"/>
  <c r="K3964" i="13" s="1"/>
  <c r="G3399" i="13"/>
  <c r="I3399" i="13" s="1"/>
  <c r="G2889" i="13"/>
  <c r="G3304" i="13"/>
  <c r="I3304" i="13" s="1"/>
  <c r="G3857" i="13"/>
  <c r="I3857" i="13" s="1"/>
  <c r="K3857" i="13" s="1"/>
  <c r="G2376" i="13"/>
  <c r="I2376" i="13" s="1"/>
  <c r="G2796" i="13"/>
  <c r="I2796" i="13" s="1"/>
  <c r="K2796" i="13" s="1"/>
  <c r="G4402" i="13"/>
  <c r="I4402" i="13" s="1"/>
  <c r="G3048" i="13"/>
  <c r="I3048" i="13" s="1"/>
  <c r="G70" i="13"/>
  <c r="I70" i="13" s="1"/>
  <c r="G3411" i="13"/>
  <c r="I3411" i="13" s="1"/>
  <c r="G457" i="13"/>
  <c r="G1125" i="13"/>
  <c r="G1666" i="13"/>
  <c r="I1666" i="13" s="1"/>
  <c r="G3200" i="13"/>
  <c r="I3200" i="13" s="1"/>
  <c r="G3312" i="13"/>
  <c r="I3312" i="13" s="1"/>
  <c r="G3690" i="13"/>
  <c r="I3690" i="13" s="1"/>
  <c r="G2846" i="13"/>
  <c r="I2846" i="13" s="1"/>
  <c r="K2846" i="13" s="1"/>
  <c r="G3253" i="13"/>
  <c r="G1597" i="13"/>
  <c r="I1597" i="13" s="1"/>
  <c r="K1597" i="13" s="1"/>
  <c r="G2529" i="13"/>
  <c r="I2529" i="13" s="1"/>
  <c r="K2529" i="13" s="1"/>
  <c r="G2877" i="13"/>
  <c r="I2877" i="13" s="1"/>
  <c r="K2877" i="13" s="1"/>
  <c r="G1767" i="13"/>
  <c r="I1767" i="13" s="1"/>
  <c r="K1767" i="13" s="1"/>
  <c r="G1636" i="13"/>
  <c r="I1636" i="13" s="1"/>
  <c r="G109" i="13"/>
  <c r="I109" i="13" s="1"/>
  <c r="K109" i="13" s="1"/>
  <c r="G1067" i="13"/>
  <c r="I1067" i="13" s="1"/>
  <c r="G467" i="13"/>
  <c r="I467" i="13" s="1"/>
  <c r="G3245" i="13"/>
  <c r="I3245" i="13" s="1"/>
  <c r="K3245" i="13" s="1"/>
  <c r="G535" i="13"/>
  <c r="I535" i="13" s="1"/>
  <c r="K535" i="13" s="1"/>
  <c r="G3086" i="13"/>
  <c r="I3086" i="13" s="1"/>
  <c r="K3086" i="13" s="1"/>
  <c r="G2842" i="13"/>
  <c r="I2842" i="13" s="1"/>
  <c r="K2842" i="13" s="1"/>
  <c r="G1107" i="13"/>
  <c r="I1107" i="13" s="1"/>
  <c r="G3529" i="13"/>
  <c r="I3529" i="13" s="1"/>
  <c r="K3529" i="13" s="1"/>
  <c r="G968" i="13"/>
  <c r="G462" i="13"/>
  <c r="I462" i="13" s="1"/>
  <c r="K462" i="13" s="1"/>
  <c r="G4542" i="13"/>
  <c r="I4542" i="13" s="1"/>
  <c r="K4542" i="13" s="1"/>
  <c r="G3300" i="13"/>
  <c r="I3300" i="13" s="1"/>
  <c r="G4126" i="13"/>
  <c r="I4126" i="13" s="1"/>
  <c r="K4126" i="13" s="1"/>
  <c r="G2774" i="13"/>
  <c r="I2774" i="13" s="1"/>
  <c r="G4319" i="13"/>
  <c r="I4319" i="13" s="1"/>
  <c r="K4319" i="13" s="1"/>
  <c r="G1027" i="13"/>
  <c r="I1027" i="13" s="1"/>
  <c r="G2317" i="13"/>
  <c r="I2317" i="13" s="1"/>
  <c r="K2317" i="13" s="1"/>
  <c r="G4287" i="13"/>
  <c r="I4287" i="13" s="1"/>
  <c r="K4287" i="13" s="1"/>
  <c r="G4099" i="13"/>
  <c r="I4099" i="13" s="1"/>
  <c r="G3351" i="13"/>
  <c r="I3351" i="13" s="1"/>
  <c r="G823" i="13"/>
  <c r="I823" i="13" s="1"/>
  <c r="K823" i="13" s="1"/>
  <c r="G3609" i="13"/>
  <c r="G225" i="13"/>
  <c r="I225" i="13" s="1"/>
  <c r="K225" i="13" s="1"/>
  <c r="G888" i="13"/>
  <c r="I888" i="13" s="1"/>
  <c r="K888" i="13" s="1"/>
  <c r="G326" i="13"/>
  <c r="I326" i="13" s="1"/>
  <c r="G1929" i="13"/>
  <c r="G568" i="13"/>
  <c r="G2779" i="13"/>
  <c r="I2779" i="13" s="1"/>
  <c r="G3123" i="13"/>
  <c r="I3123" i="13" s="1"/>
  <c r="G3279" i="13"/>
  <c r="I3279" i="13" s="1"/>
  <c r="K3279" i="13" s="1"/>
  <c r="G327" i="13"/>
  <c r="I327" i="13" s="1"/>
  <c r="K327" i="13" s="1"/>
  <c r="G3033" i="13"/>
  <c r="G660" i="13"/>
  <c r="I660" i="13" s="1"/>
  <c r="G3978" i="13"/>
  <c r="I3978" i="13" s="1"/>
  <c r="G1843" i="13"/>
  <c r="I1843" i="13" s="1"/>
  <c r="G914" i="13"/>
  <c r="I914" i="13" s="1"/>
  <c r="G1451" i="13"/>
  <c r="I1451" i="13" s="1"/>
  <c r="G3506" i="13"/>
  <c r="I3506" i="13" s="1"/>
  <c r="G2762" i="13"/>
  <c r="I2762" i="13" s="1"/>
  <c r="K2762" i="13" s="1"/>
  <c r="G1160" i="13"/>
  <c r="I1160" i="13" s="1"/>
  <c r="K1160" i="13" s="1"/>
  <c r="G2435" i="13"/>
  <c r="I2435" i="13" s="1"/>
  <c r="G1527" i="13"/>
  <c r="I1527" i="13" s="1"/>
  <c r="K1527" i="13" s="1"/>
  <c r="G4154" i="13"/>
  <c r="I4154" i="13" s="1"/>
  <c r="G48" i="13"/>
  <c r="I48" i="13" s="1"/>
  <c r="G4349" i="13"/>
  <c r="I4349" i="13" s="1"/>
  <c r="K4349" i="13" s="1"/>
  <c r="G746" i="13"/>
  <c r="I746" i="13" s="1"/>
  <c r="K746" i="13" s="1"/>
  <c r="G149" i="13"/>
  <c r="G1816" i="13"/>
  <c r="G2102" i="13"/>
  <c r="I2102" i="13" s="1"/>
  <c r="G1930" i="13"/>
  <c r="I1930" i="13" s="1"/>
  <c r="K1930" i="13" s="1"/>
  <c r="G136" i="13"/>
  <c r="G4704" i="13"/>
  <c r="I4704" i="13" s="1"/>
  <c r="G3074" i="13"/>
  <c r="I3074" i="13" s="1"/>
  <c r="G639" i="13"/>
  <c r="I639" i="13" s="1"/>
  <c r="K639" i="13" s="1"/>
  <c r="G4108" i="13"/>
  <c r="I4108" i="13" s="1"/>
  <c r="K4108" i="13" s="1"/>
  <c r="G1354" i="13"/>
  <c r="I1354" i="13" s="1"/>
  <c r="K1354" i="13" s="1"/>
  <c r="G689" i="13"/>
  <c r="I689" i="13" s="1"/>
  <c r="K689" i="13" s="1"/>
  <c r="G34" i="13"/>
  <c r="I34" i="13" s="1"/>
  <c r="G3026" i="13"/>
  <c r="I3026" i="13" s="1"/>
  <c r="G4793" i="13"/>
  <c r="I4793" i="13" s="1"/>
  <c r="K4793" i="13" s="1"/>
  <c r="G3146" i="13"/>
  <c r="I3146" i="13" s="1"/>
  <c r="G4757" i="13"/>
  <c r="G1879" i="13"/>
  <c r="I1879" i="13" s="1"/>
  <c r="K1879" i="13" s="1"/>
  <c r="G3756" i="13"/>
  <c r="I3756" i="13" s="1"/>
  <c r="K3756" i="13" s="1"/>
  <c r="G4792" i="13"/>
  <c r="I4792" i="13" s="1"/>
  <c r="G752" i="13"/>
  <c r="I752" i="13" s="1"/>
  <c r="G132" i="13"/>
  <c r="I132" i="13" s="1"/>
  <c r="G4769" i="13"/>
  <c r="I4769" i="13" s="1"/>
  <c r="K4769" i="13" s="1"/>
  <c r="G4106" i="13"/>
  <c r="I4106" i="13" s="1"/>
  <c r="G4310" i="13"/>
  <c r="I4310" i="13" s="1"/>
  <c r="G4885" i="13"/>
  <c r="I4885" i="13" s="1"/>
  <c r="G4551" i="13"/>
  <c r="I4551" i="13" s="1"/>
  <c r="G10" i="13"/>
  <c r="I10" i="13" s="1"/>
  <c r="K10" i="13" s="1"/>
  <c r="G691" i="13"/>
  <c r="I691" i="13" s="1"/>
  <c r="G4028" i="13"/>
  <c r="I4028" i="13" s="1"/>
  <c r="K4028" i="13" s="1"/>
  <c r="G2952" i="13"/>
  <c r="G4506" i="13"/>
  <c r="I4506" i="13" s="1"/>
  <c r="G1649" i="13"/>
  <c r="I1649" i="13" s="1"/>
  <c r="K1649" i="13" s="1"/>
  <c r="G3932" i="13"/>
  <c r="I3932" i="13" s="1"/>
  <c r="K3932" i="13" s="1"/>
  <c r="G808" i="13"/>
  <c r="G2030" i="13"/>
  <c r="I2030" i="13" s="1"/>
  <c r="K2030" i="13" s="1"/>
  <c r="G3321" i="13"/>
  <c r="G3117" i="13"/>
  <c r="I3117" i="13" s="1"/>
  <c r="K3117" i="13" s="1"/>
  <c r="G4162" i="13"/>
  <c r="I4162" i="13" s="1"/>
  <c r="G686" i="13"/>
  <c r="I686" i="13" s="1"/>
  <c r="K686" i="13" s="1"/>
  <c r="G3807" i="13"/>
  <c r="I3807" i="13" s="1"/>
  <c r="K3807" i="13" s="1"/>
  <c r="G4759" i="13"/>
  <c r="I4759" i="13" s="1"/>
  <c r="G392" i="13"/>
  <c r="I392" i="13" s="1"/>
  <c r="K392" i="13" s="1"/>
  <c r="G449" i="13"/>
  <c r="I449" i="13" s="1"/>
  <c r="K449" i="13" s="1"/>
  <c r="G4246" i="13"/>
  <c r="I4246" i="13" s="1"/>
  <c r="G299" i="13"/>
  <c r="I299" i="13" s="1"/>
  <c r="G368" i="13"/>
  <c r="I368" i="13" s="1"/>
  <c r="G2070" i="13"/>
  <c r="I2070" i="13" s="1"/>
  <c r="G2790" i="13"/>
  <c r="I2790" i="13" s="1"/>
  <c r="G96" i="13"/>
  <c r="I96" i="13" s="1"/>
  <c r="G949" i="13"/>
  <c r="G4878" i="13"/>
  <c r="I4878" i="13" s="1"/>
  <c r="K4878" i="13" s="1"/>
  <c r="G1080" i="13"/>
  <c r="G4659" i="13"/>
  <c r="I4659" i="13" s="1"/>
  <c r="G4516" i="13"/>
  <c r="I4516" i="13" s="1"/>
  <c r="G53" i="13"/>
  <c r="G1947" i="13"/>
  <c r="I1947" i="13" s="1"/>
  <c r="G4833" i="13"/>
  <c r="I4833" i="13" s="1"/>
  <c r="K4833" i="13" s="1"/>
  <c r="G2523" i="13"/>
  <c r="I2523" i="13" s="1"/>
  <c r="G992" i="13"/>
  <c r="I992" i="13" s="1"/>
  <c r="G3577" i="13"/>
  <c r="G3453" i="13"/>
  <c r="I3453" i="13" s="1"/>
  <c r="K3453" i="13" s="1"/>
  <c r="G4368" i="13"/>
  <c r="I4368" i="13" s="1"/>
  <c r="G845" i="13"/>
  <c r="I845" i="13" s="1"/>
  <c r="K845" i="13" s="1"/>
  <c r="G4799" i="13"/>
  <c r="I4799" i="13" s="1"/>
  <c r="K4799" i="13" s="1"/>
  <c r="G3917" i="13"/>
  <c r="I3917" i="13" s="1"/>
  <c r="K3917" i="13" s="1"/>
  <c r="G381" i="13"/>
  <c r="I381" i="13" s="1"/>
  <c r="K381" i="13" s="1"/>
  <c r="G1741" i="13"/>
  <c r="I1741" i="13" s="1"/>
  <c r="K1741" i="13" s="1"/>
  <c r="G889" i="13"/>
  <c r="G485" i="13"/>
  <c r="G4729" i="13"/>
  <c r="I4729" i="13" s="1"/>
  <c r="K4729" i="13" s="1"/>
  <c r="G720" i="13"/>
  <c r="I720" i="13" s="1"/>
  <c r="G4849" i="13"/>
  <c r="I4849" i="13" s="1"/>
  <c r="K4849" i="13" s="1"/>
  <c r="G4547" i="13"/>
  <c r="I4547" i="13" s="1"/>
  <c r="G3748" i="13"/>
  <c r="I3748" i="13" s="1"/>
  <c r="G4797" i="13"/>
  <c r="I4797" i="13" s="1"/>
  <c r="K4797" i="13" s="1"/>
  <c r="G1197" i="13"/>
  <c r="I1197" i="13" s="1"/>
  <c r="K1197" i="13" s="1"/>
  <c r="G1786" i="13"/>
  <c r="I1786" i="13" s="1"/>
  <c r="K1786" i="13" s="1"/>
  <c r="G915" i="13"/>
  <c r="I915" i="13" s="1"/>
  <c r="K915" i="13" s="1"/>
  <c r="G1900" i="13"/>
  <c r="I1900" i="13" s="1"/>
  <c r="K1900" i="13" s="1"/>
  <c r="G4218" i="13"/>
  <c r="I4218" i="13" s="1"/>
  <c r="K4218" i="13" s="1"/>
  <c r="G278" i="13"/>
  <c r="I278" i="13" s="1"/>
  <c r="G1198" i="13"/>
  <c r="I1198" i="13" s="1"/>
  <c r="K1198" i="13" s="1"/>
  <c r="G1809" i="13"/>
  <c r="I1809" i="13" s="1"/>
  <c r="K1809" i="13" s="1"/>
  <c r="G1550" i="13"/>
  <c r="I1550" i="13" s="1"/>
  <c r="K1550" i="13" s="1"/>
  <c r="G2743" i="13"/>
  <c r="I2743" i="13" s="1"/>
  <c r="K2743" i="13" s="1"/>
  <c r="G890" i="13"/>
  <c r="I890" i="13" s="1"/>
  <c r="K890" i="13" s="1"/>
  <c r="G4758" i="13"/>
  <c r="I4758" i="13" s="1"/>
  <c r="G4880" i="13"/>
  <c r="I4880" i="13" s="1"/>
  <c r="G3892" i="13"/>
  <c r="I3892" i="13" s="1"/>
  <c r="G1671" i="13"/>
  <c r="I1671" i="13" s="1"/>
  <c r="K1671" i="13" s="1"/>
  <c r="G440" i="13"/>
  <c r="G1707" i="13"/>
  <c r="I1707" i="13" s="1"/>
  <c r="G176" i="13"/>
  <c r="I176" i="13" s="1"/>
  <c r="G815" i="13"/>
  <c r="I815" i="13" s="1"/>
  <c r="K815" i="13" s="1"/>
  <c r="G577" i="13"/>
  <c r="I577" i="13" s="1"/>
  <c r="K577" i="13" s="1"/>
  <c r="G4709" i="13"/>
  <c r="G2902" i="13"/>
  <c r="I2902" i="13" s="1"/>
  <c r="G3498" i="13"/>
  <c r="I3498" i="13" s="1"/>
  <c r="K3498" i="13" s="1"/>
  <c r="G4651" i="13"/>
  <c r="I4651" i="13" s="1"/>
  <c r="G1003" i="13"/>
  <c r="I1003" i="13" s="1"/>
  <c r="G4268" i="13"/>
  <c r="I4268" i="13" s="1"/>
  <c r="K4268" i="13" s="1"/>
  <c r="G2208" i="13"/>
  <c r="I2208" i="13" s="1"/>
  <c r="G3331" i="13"/>
  <c r="I3331" i="13" s="1"/>
  <c r="G428" i="13"/>
  <c r="I428" i="13" s="1"/>
  <c r="K428" i="13" s="1"/>
  <c r="G4406" i="13"/>
  <c r="I4406" i="13" s="1"/>
  <c r="G418" i="13"/>
  <c r="I418" i="13" s="1"/>
  <c r="G1074" i="13"/>
  <c r="I1074" i="13" s="1"/>
  <c r="G1373" i="13"/>
  <c r="I1373" i="13" s="1"/>
  <c r="K1373" i="13" s="1"/>
  <c r="G2717" i="13"/>
  <c r="I2717" i="13" s="1"/>
  <c r="K2717" i="13" s="1"/>
  <c r="G3339" i="13"/>
  <c r="I3339" i="13" s="1"/>
  <c r="G2389" i="13"/>
  <c r="G1945" i="13"/>
  <c r="I1945" i="13" s="1"/>
  <c r="K1945" i="13" s="1"/>
  <c r="G3227" i="13"/>
  <c r="I3227" i="13" s="1"/>
  <c r="G4138" i="13"/>
  <c r="I4138" i="13" s="1"/>
  <c r="K4138" i="13" s="1"/>
  <c r="G2286" i="13"/>
  <c r="I2286" i="13" s="1"/>
  <c r="K2286" i="13" s="1"/>
  <c r="G2262" i="13"/>
  <c r="I2262" i="13" s="1"/>
  <c r="K2262" i="13" s="1"/>
  <c r="G2557" i="13"/>
  <c r="I2557" i="13" s="1"/>
  <c r="K2557" i="13" s="1"/>
  <c r="G2351" i="13"/>
  <c r="I2351" i="13" s="1"/>
  <c r="K2351" i="13" s="1"/>
  <c r="G4342" i="13"/>
  <c r="I4342" i="13" s="1"/>
  <c r="G463" i="13"/>
  <c r="I463" i="13" s="1"/>
  <c r="K463" i="13" s="1"/>
  <c r="G3381" i="13"/>
  <c r="I3381" i="13" s="1"/>
  <c r="G2496" i="13"/>
  <c r="I2496" i="13" s="1"/>
  <c r="G2588" i="13"/>
  <c r="I2588" i="13" s="1"/>
  <c r="K2588" i="13" s="1"/>
  <c r="G1956" i="13"/>
  <c r="I1956" i="13" s="1"/>
  <c r="G3576" i="13"/>
  <c r="I3576" i="13" s="1"/>
  <c r="G1469" i="13"/>
  <c r="I1469" i="13" s="1"/>
  <c r="K1469" i="13" s="1"/>
  <c r="G2479" i="13"/>
  <c r="I2479" i="13" s="1"/>
  <c r="K2479" i="13" s="1"/>
  <c r="G1170" i="13"/>
  <c r="I1170" i="13" s="1"/>
  <c r="K1170" i="13" s="1"/>
  <c r="G2933" i="13"/>
  <c r="G1836" i="13"/>
  <c r="I1836" i="13" s="1"/>
  <c r="K1836" i="13" s="1"/>
  <c r="G3567" i="13"/>
  <c r="I3567" i="13" s="1"/>
  <c r="K3567" i="13" s="1"/>
  <c r="G4540" i="13"/>
  <c r="I4540" i="13" s="1"/>
  <c r="K4540" i="13" s="1"/>
  <c r="G1038" i="13"/>
  <c r="I1038" i="13" s="1"/>
  <c r="K1038" i="13" s="1"/>
  <c r="G556" i="13"/>
  <c r="I556" i="13" s="1"/>
  <c r="K556" i="13" s="1"/>
  <c r="G620" i="13"/>
  <c r="I620" i="13" s="1"/>
  <c r="K620" i="13" s="1"/>
  <c r="G2111" i="13"/>
  <c r="I2111" i="13" s="1"/>
  <c r="K2111" i="13" s="1"/>
  <c r="G4118" i="13"/>
  <c r="I4118" i="13" s="1"/>
  <c r="G4110" i="13"/>
  <c r="I4110" i="13" s="1"/>
  <c r="K4110" i="13" s="1"/>
  <c r="G3820" i="13"/>
  <c r="I3820" i="13" s="1"/>
  <c r="K3820" i="13" s="1"/>
  <c r="G4141" i="13"/>
  <c r="I4141" i="13" s="1"/>
  <c r="K4141" i="13" s="1"/>
  <c r="G3538" i="13"/>
  <c r="I3538" i="13" s="1"/>
  <c r="G2440" i="13"/>
  <c r="G1892" i="13"/>
  <c r="I1892" i="13" s="1"/>
  <c r="G4062" i="13"/>
  <c r="I4062" i="13" s="1"/>
  <c r="K4062" i="13" s="1"/>
  <c r="G1512" i="13"/>
  <c r="G1812" i="13"/>
  <c r="I1812" i="13" s="1"/>
  <c r="G2328" i="13"/>
  <c r="G118" i="13"/>
  <c r="I118" i="13" s="1"/>
  <c r="K118" i="13" s="1"/>
  <c r="G1071" i="13"/>
  <c r="I1071" i="13" s="1"/>
  <c r="K1071" i="13" s="1"/>
  <c r="G3241" i="13"/>
  <c r="G4643" i="13"/>
  <c r="I4643" i="13" s="1"/>
  <c r="G1790" i="13"/>
  <c r="I1790" i="13" s="1"/>
  <c r="K1790" i="13" s="1"/>
  <c r="G4333" i="13"/>
  <c r="I4333" i="13" s="1"/>
  <c r="K4333" i="13" s="1"/>
  <c r="G3429" i="13"/>
  <c r="G2072" i="13"/>
  <c r="G1652" i="13"/>
  <c r="I1652" i="13" s="1"/>
  <c r="G3697" i="13"/>
  <c r="I3697" i="13" s="1"/>
  <c r="K3697" i="13" s="1"/>
  <c r="G891" i="13"/>
  <c r="I891" i="13" s="1"/>
  <c r="G4440" i="13"/>
  <c r="I4440" i="13" s="1"/>
  <c r="G4607" i="13"/>
  <c r="I4607" i="13" s="1"/>
  <c r="K4607" i="13" s="1"/>
  <c r="G3005" i="13"/>
  <c r="I3005" i="13" s="1"/>
  <c r="K3005" i="13" s="1"/>
  <c r="G508" i="13"/>
  <c r="I508" i="13" s="1"/>
  <c r="K508" i="13" s="1"/>
  <c r="G4720" i="13"/>
  <c r="I4720" i="13" s="1"/>
  <c r="G3550" i="13"/>
  <c r="I3550" i="13" s="1"/>
  <c r="K3550" i="13" s="1"/>
  <c r="G4605" i="13"/>
  <c r="I4605" i="13" s="1"/>
  <c r="K4605" i="13" s="1"/>
  <c r="G3569" i="13"/>
  <c r="I3569" i="13" s="1"/>
  <c r="K3569" i="13" s="1"/>
  <c r="G3032" i="13"/>
  <c r="I3032" i="13" s="1"/>
  <c r="G3603" i="13"/>
  <c r="I3603" i="13" s="1"/>
  <c r="G2225" i="13"/>
  <c r="I2225" i="13" s="1"/>
  <c r="K2225" i="13" s="1"/>
  <c r="G2244" i="13"/>
  <c r="I2244" i="13" s="1"/>
  <c r="G4836" i="13"/>
  <c r="I4836" i="13" s="1"/>
  <c r="G871" i="13"/>
  <c r="I871" i="13" s="1"/>
  <c r="K871" i="13" s="1"/>
  <c r="G1350" i="13"/>
  <c r="I1350" i="13" s="1"/>
  <c r="G1028" i="13"/>
  <c r="I1028" i="13" s="1"/>
  <c r="G2231" i="13"/>
  <c r="I2231" i="13" s="1"/>
  <c r="K2231" i="13" s="1"/>
  <c r="G524" i="13"/>
  <c r="I524" i="13" s="1"/>
  <c r="K524" i="13" s="1"/>
  <c r="G2607" i="13"/>
  <c r="I2607" i="13" s="1"/>
  <c r="K2607" i="13" s="1"/>
  <c r="G3208" i="13"/>
  <c r="I3208" i="13" s="1"/>
  <c r="G1714" i="13"/>
  <c r="I1714" i="13" s="1"/>
  <c r="G1401" i="13"/>
  <c r="G4183" i="13"/>
  <c r="I4183" i="13" s="1"/>
  <c r="K4183" i="13" s="1"/>
  <c r="G3875" i="13"/>
  <c r="I3875" i="13" s="1"/>
  <c r="G3045" i="13"/>
  <c r="G1493" i="13"/>
  <c r="G4824" i="13"/>
  <c r="I4824" i="13" s="1"/>
  <c r="G2695" i="13"/>
  <c r="I2695" i="13" s="1"/>
  <c r="K2695" i="13" s="1"/>
  <c r="G374" i="13"/>
  <c r="I374" i="13" s="1"/>
  <c r="G607" i="13"/>
  <c r="I607" i="13" s="1"/>
  <c r="K607" i="13" s="1"/>
  <c r="G4238" i="13"/>
  <c r="I4238" i="13" s="1"/>
  <c r="K4238" i="13" s="1"/>
  <c r="G2315" i="13"/>
  <c r="I2315" i="13" s="1"/>
  <c r="G1857" i="13"/>
  <c r="I1857" i="13" s="1"/>
  <c r="K1857" i="13" s="1"/>
  <c r="G3242" i="13"/>
  <c r="I3242" i="13" s="1"/>
  <c r="K3242" i="13" s="1"/>
  <c r="G2183" i="13"/>
  <c r="I2183" i="13" s="1"/>
  <c r="K2183" i="13" s="1"/>
  <c r="G2721" i="13"/>
  <c r="I2721" i="13" s="1"/>
  <c r="K2721" i="13" s="1"/>
  <c r="G4753" i="13"/>
  <c r="I4753" i="13" s="1"/>
  <c r="K4753" i="13" s="1"/>
  <c r="G3141" i="13"/>
  <c r="G3954" i="13"/>
  <c r="I3954" i="13" s="1"/>
  <c r="G2446" i="13"/>
  <c r="I2446" i="13" s="1"/>
  <c r="K2446" i="13" s="1"/>
  <c r="G382" i="13"/>
  <c r="I382" i="13" s="1"/>
  <c r="K382" i="13" s="1"/>
  <c r="G3237" i="13"/>
  <c r="G387" i="13"/>
  <c r="I387" i="13" s="1"/>
  <c r="G3940" i="13"/>
  <c r="I3940" i="13" s="1"/>
  <c r="G458" i="13"/>
  <c r="I458" i="13" s="1"/>
  <c r="K458" i="13" s="1"/>
  <c r="G2366" i="13"/>
  <c r="I2366" i="13" s="1"/>
  <c r="K2366" i="13" s="1"/>
  <c r="G1935" i="13"/>
  <c r="I1935" i="13" s="1"/>
  <c r="K1935" i="13" s="1"/>
  <c r="G81" i="13"/>
  <c r="I81" i="13" s="1"/>
  <c r="K81" i="13" s="1"/>
  <c r="G1797" i="13"/>
  <c r="G410" i="13"/>
  <c r="I410" i="13" s="1"/>
  <c r="K410" i="13" s="1"/>
  <c r="G1724" i="13"/>
  <c r="I1724" i="13" s="1"/>
  <c r="K1724" i="13" s="1"/>
  <c r="G3080" i="13"/>
  <c r="I3080" i="13" s="1"/>
  <c r="G194" i="13"/>
  <c r="I194" i="13" s="1"/>
  <c r="G3637" i="13"/>
  <c r="G3108" i="13"/>
  <c r="I3108" i="13" s="1"/>
  <c r="G3093" i="13"/>
  <c r="G13" i="13"/>
  <c r="I13" i="13" s="1"/>
  <c r="K13" i="13" s="1"/>
  <c r="G4250" i="13"/>
  <c r="I4250" i="13" s="1"/>
  <c r="K4250" i="13" s="1"/>
  <c r="G1402" i="13"/>
  <c r="I1402" i="13" s="1"/>
  <c r="K1402" i="13" s="1"/>
  <c r="G1771" i="13"/>
  <c r="I1771" i="13" s="1"/>
  <c r="G3025" i="13"/>
  <c r="I3025" i="13" s="1"/>
  <c r="K3025" i="13" s="1"/>
  <c r="G1379" i="13"/>
  <c r="I1379" i="13" s="1"/>
  <c r="G3590" i="13"/>
  <c r="I3590" i="13" s="1"/>
  <c r="G3262" i="13"/>
  <c r="I3262" i="13" s="1"/>
  <c r="K3262" i="13" s="1"/>
  <c r="G1105" i="13"/>
  <c r="I1105" i="13" s="1"/>
  <c r="K1105" i="13" s="1"/>
  <c r="G4775" i="13"/>
  <c r="I4775" i="13" s="1"/>
  <c r="G2092" i="13"/>
  <c r="I2092" i="13" s="1"/>
  <c r="K2092" i="13" s="1"/>
  <c r="G1628" i="13"/>
  <c r="I1628" i="13" s="1"/>
  <c r="K1628" i="13" s="1"/>
  <c r="G858" i="13"/>
  <c r="I858" i="13" s="1"/>
  <c r="K858" i="13" s="1"/>
  <c r="G4244" i="13"/>
  <c r="I4244" i="13" s="1"/>
  <c r="G2924" i="13"/>
  <c r="I2924" i="13" s="1"/>
  <c r="K2924" i="13" s="1"/>
  <c r="G3501" i="13"/>
  <c r="I3501" i="13" s="1"/>
  <c r="K3501" i="13" s="1"/>
  <c r="G1006" i="13"/>
  <c r="I1006" i="13" s="1"/>
  <c r="K1006" i="13" s="1"/>
  <c r="G3845" i="13"/>
  <c r="G3023" i="13"/>
  <c r="I3023" i="13" s="1"/>
  <c r="K3023" i="13" s="1"/>
  <c r="G872" i="13"/>
  <c r="I872" i="13" s="1"/>
  <c r="K872" i="13" s="1"/>
  <c r="G1256" i="13"/>
  <c r="G4363" i="13"/>
  <c r="I4363" i="13" s="1"/>
  <c r="G98" i="13"/>
  <c r="I98" i="13" s="1"/>
  <c r="G840" i="13"/>
  <c r="G3037" i="13"/>
  <c r="I3037" i="13" s="1"/>
  <c r="K3037" i="13" s="1"/>
  <c r="G582" i="13"/>
  <c r="I582" i="13" s="1"/>
  <c r="G106" i="13"/>
  <c r="I106" i="13" s="1"/>
  <c r="K106" i="13" s="1"/>
  <c r="G4066" i="13"/>
  <c r="I4066" i="13" s="1"/>
  <c r="G3275" i="13"/>
  <c r="I3275" i="13" s="1"/>
  <c r="G4693" i="13"/>
  <c r="G3264" i="13"/>
  <c r="I3264" i="13" s="1"/>
  <c r="G3150" i="13"/>
  <c r="I3150" i="13" s="1"/>
  <c r="K3150" i="13" s="1"/>
  <c r="G4743" i="13"/>
  <c r="I4743" i="13" s="1"/>
  <c r="G2255" i="13"/>
  <c r="I2255" i="13" s="1"/>
  <c r="K2255" i="13" s="1"/>
  <c r="G3522" i="13"/>
  <c r="I3522" i="13" s="1"/>
  <c r="G3600" i="13"/>
  <c r="I3600" i="13" s="1"/>
  <c r="G3677" i="13"/>
  <c r="I3677" i="13" s="1"/>
  <c r="K3677" i="13" s="1"/>
  <c r="G3073" i="13"/>
  <c r="I3073" i="13" s="1"/>
  <c r="K3073" i="13" s="1"/>
  <c r="G3944" i="13"/>
  <c r="I3944" i="13" s="1"/>
  <c r="G1574" i="13"/>
  <c r="I1574" i="13" s="1"/>
  <c r="G4733" i="13"/>
  <c r="I4733" i="13" s="1"/>
  <c r="K4733" i="13" s="1"/>
  <c r="G1990" i="13"/>
  <c r="I1990" i="13" s="1"/>
  <c r="G3290" i="13"/>
  <c r="I3290" i="13" s="1"/>
  <c r="G4271" i="13"/>
  <c r="I4271" i="13" s="1"/>
  <c r="K4271" i="13" s="1"/>
  <c r="G4375" i="13"/>
  <c r="I4375" i="13" s="1"/>
  <c r="G2793" i="13"/>
  <c r="G1301" i="13"/>
  <c r="G3235" i="13"/>
  <c r="I3235" i="13" s="1"/>
  <c r="G3303" i="13"/>
  <c r="I3303" i="13" s="1"/>
  <c r="G569" i="13"/>
  <c r="G681" i="13"/>
  <c r="G3922" i="13"/>
  <c r="I3922" i="13" s="1"/>
  <c r="G3821" i="13"/>
  <c r="I3821" i="13" s="1"/>
  <c r="K3821" i="13" s="1"/>
  <c r="G4408" i="13"/>
  <c r="I4408" i="13" s="1"/>
  <c r="G4480" i="13"/>
  <c r="I4480" i="13" s="1"/>
  <c r="G4384" i="13"/>
  <c r="I4384" i="13" s="1"/>
  <c r="G4064" i="13"/>
  <c r="I4064" i="13" s="1"/>
  <c r="G1914" i="13"/>
  <c r="I1914" i="13" s="1"/>
  <c r="K1914" i="13" s="1"/>
  <c r="G709" i="13"/>
  <c r="G491" i="13"/>
  <c r="I491" i="13" s="1"/>
  <c r="G3017" i="13"/>
  <c r="G526" i="13"/>
  <c r="I526" i="13" s="1"/>
  <c r="K526" i="13" s="1"/>
  <c r="G44" i="13"/>
  <c r="I44" i="13" s="1"/>
  <c r="K44" i="13" s="1"/>
  <c r="G734" i="13"/>
  <c r="I734" i="13" s="1"/>
  <c r="K734" i="13" s="1"/>
  <c r="G4583" i="13"/>
  <c r="I4583" i="13" s="1"/>
  <c r="G4684" i="13"/>
  <c r="I4684" i="13" s="1"/>
  <c r="G1694" i="13"/>
  <c r="I1694" i="13" s="1"/>
  <c r="K1694" i="13" s="1"/>
  <c r="G4735" i="13"/>
  <c r="I4735" i="13" s="1"/>
  <c r="K4735" i="13" s="1"/>
  <c r="G2113" i="13"/>
  <c r="I2113" i="13" s="1"/>
  <c r="K2113" i="13" s="1"/>
  <c r="G4422" i="13"/>
  <c r="I4422" i="13" s="1"/>
  <c r="G4380" i="13"/>
  <c r="I4380" i="13" s="1"/>
  <c r="K4380" i="13" s="1"/>
  <c r="G545" i="13"/>
  <c r="I545" i="13" s="1"/>
  <c r="K545" i="13" s="1"/>
  <c r="G1135" i="13"/>
  <c r="I1135" i="13" s="1"/>
  <c r="K1135" i="13" s="1"/>
  <c r="G1803" i="13"/>
  <c r="I1803" i="13" s="1"/>
  <c r="G2938" i="13"/>
  <c r="I2938" i="13" s="1"/>
  <c r="G2668" i="13"/>
  <c r="I2668" i="13" s="1"/>
  <c r="K2668" i="13" s="1"/>
  <c r="G4372" i="13"/>
  <c r="I4372" i="13" s="1"/>
  <c r="G4762" i="13"/>
  <c r="I4762" i="13" s="1"/>
  <c r="G334" i="13"/>
  <c r="I334" i="13" s="1"/>
  <c r="K334" i="13" s="1"/>
  <c r="G2438" i="13"/>
  <c r="I2438" i="13" s="1"/>
  <c r="G1939" i="13"/>
  <c r="I1939" i="13" s="1"/>
  <c r="G2943" i="13"/>
  <c r="I2943" i="13" s="1"/>
  <c r="K2943" i="13" s="1"/>
  <c r="G1498" i="13"/>
  <c r="I1498" i="13" s="1"/>
  <c r="K1498" i="13" s="1"/>
  <c r="G958" i="13"/>
  <c r="I958" i="13" s="1"/>
  <c r="K958" i="13" s="1"/>
  <c r="G1893" i="13"/>
  <c r="G307" i="13"/>
  <c r="I307" i="13" s="1"/>
  <c r="G1958" i="13"/>
  <c r="I1958" i="13" s="1"/>
  <c r="G1155" i="13"/>
  <c r="I1155" i="13" s="1"/>
  <c r="K1155" i="13" s="1"/>
  <c r="G1192" i="13"/>
  <c r="G3515" i="13"/>
  <c r="I3515" i="13" s="1"/>
  <c r="G4493" i="13"/>
  <c r="I4493" i="13" s="1"/>
  <c r="K4493" i="13" s="1"/>
  <c r="G1906" i="13"/>
  <c r="I1906" i="13" s="1"/>
  <c r="G1190" i="13"/>
  <c r="I1190" i="13" s="1"/>
  <c r="G4862" i="13"/>
  <c r="I4862" i="13" s="1"/>
  <c r="K4862" i="13" s="1"/>
  <c r="G3619" i="13"/>
  <c r="I3619" i="13" s="1"/>
  <c r="G2878" i="13"/>
  <c r="I2878" i="13" s="1"/>
  <c r="K2878" i="13" s="1"/>
  <c r="G2972" i="13"/>
  <c r="I2972" i="13" s="1"/>
  <c r="K2972" i="13" s="1"/>
  <c r="G3822" i="13"/>
  <c r="I3822" i="13" s="1"/>
  <c r="K3822" i="13" s="1"/>
  <c r="G2096" i="13"/>
  <c r="I2096" i="13" s="1"/>
  <c r="G3513" i="13"/>
  <c r="I3513" i="13" s="1"/>
  <c r="K3513" i="13" s="1"/>
  <c r="G4076" i="13"/>
  <c r="I4076" i="13" s="1"/>
  <c r="K4076" i="13" s="1"/>
  <c r="G1974" i="13"/>
  <c r="I1974" i="13" s="1"/>
  <c r="G1235" i="13"/>
  <c r="I1235" i="13" s="1"/>
  <c r="G1238" i="13"/>
  <c r="I1238" i="13" s="1"/>
  <c r="G906" i="13"/>
  <c r="I906" i="13" s="1"/>
  <c r="K906" i="13" s="1"/>
  <c r="G192" i="13"/>
  <c r="I192" i="13" s="1"/>
  <c r="G320" i="13"/>
  <c r="I320" i="13" s="1"/>
  <c r="G1477" i="13"/>
  <c r="G1351" i="13"/>
  <c r="I1351" i="13" s="1"/>
  <c r="K1351" i="13" s="1"/>
  <c r="G2118" i="13"/>
  <c r="I2118" i="13" s="1"/>
  <c r="K2118" i="13" s="1"/>
  <c r="G1435" i="13"/>
  <c r="I1435" i="13" s="1"/>
  <c r="G897" i="13"/>
  <c r="I897" i="13" s="1"/>
  <c r="K897" i="13" s="1"/>
  <c r="G4854" i="13"/>
  <c r="I4854" i="13" s="1"/>
  <c r="G1594" i="13"/>
  <c r="I1594" i="13" s="1"/>
  <c r="K1594" i="13" s="1"/>
  <c r="G1996" i="13"/>
  <c r="I1996" i="13" s="1"/>
  <c r="K1996" i="13" s="1"/>
  <c r="G1215" i="13"/>
  <c r="I1215" i="13" s="1"/>
  <c r="K1215" i="13" s="1"/>
  <c r="G3926" i="13"/>
  <c r="I3926" i="13" s="1"/>
  <c r="G3475" i="13"/>
  <c r="I3475" i="13" s="1"/>
  <c r="G2746" i="13"/>
  <c r="I2746" i="13" s="1"/>
  <c r="K2746" i="13" s="1"/>
  <c r="G981" i="13"/>
  <c r="G2467" i="13"/>
  <c r="I2467" i="13" s="1"/>
  <c r="G1339" i="13"/>
  <c r="I1339" i="13" s="1"/>
  <c r="G3920" i="13"/>
  <c r="I3920" i="13" s="1"/>
  <c r="G329" i="13"/>
  <c r="G1210" i="13"/>
  <c r="I1210" i="13" s="1"/>
  <c r="K1210" i="13" s="1"/>
  <c r="G3847" i="13"/>
  <c r="I3847" i="13" s="1"/>
  <c r="K3847" i="13" s="1"/>
  <c r="G4746" i="13"/>
  <c r="I4746" i="13" s="1"/>
  <c r="G3630" i="13"/>
  <c r="I3630" i="13" s="1"/>
  <c r="K3630" i="13" s="1"/>
  <c r="G3680" i="13"/>
  <c r="I3680" i="13" s="1"/>
  <c r="G972" i="13"/>
  <c r="I972" i="13" s="1"/>
  <c r="K972" i="13" s="1"/>
  <c r="G2904" i="13"/>
  <c r="I2904" i="13" s="1"/>
  <c r="G2632" i="13"/>
  <c r="I2632" i="13" s="1"/>
  <c r="G3191" i="13"/>
  <c r="I3191" i="13" s="1"/>
  <c r="G230" i="13"/>
  <c r="I230" i="13" s="1"/>
  <c r="G1310" i="13"/>
  <c r="I1310" i="13" s="1"/>
  <c r="K1310" i="13" s="1"/>
  <c r="G553" i="13"/>
  <c r="G2531" i="13"/>
  <c r="I2531" i="13" s="1"/>
  <c r="G3545" i="13"/>
  <c r="G3440" i="13"/>
  <c r="I3440" i="13" s="1"/>
  <c r="G2610" i="13"/>
  <c r="I2610" i="13" s="1"/>
  <c r="G4051" i="13"/>
  <c r="I4051" i="13" s="1"/>
  <c r="G1705" i="13"/>
  <c r="G2705" i="13"/>
  <c r="I2705" i="13" s="1"/>
  <c r="K2705" i="13" s="1"/>
  <c r="G998" i="13"/>
  <c r="I998" i="13" s="1"/>
  <c r="G3535" i="13"/>
  <c r="I3535" i="13" s="1"/>
  <c r="K3535" i="13" s="1"/>
  <c r="G3256" i="13"/>
  <c r="I3256" i="13" s="1"/>
  <c r="G3049" i="13"/>
  <c r="G1151" i="13"/>
  <c r="I1151" i="13" s="1"/>
  <c r="K1151" i="13" s="1"/>
  <c r="G1664" i="13"/>
  <c r="I1664" i="13" s="1"/>
  <c r="G3207" i="13"/>
  <c r="I3207" i="13" s="1"/>
  <c r="K3207" i="13" s="1"/>
  <c r="G1333" i="13"/>
  <c r="G345" i="13"/>
  <c r="G3392" i="13"/>
  <c r="I3392" i="13" s="1"/>
  <c r="G2564" i="13"/>
  <c r="I2564" i="13" s="1"/>
  <c r="G706" i="13"/>
  <c r="I706" i="13" s="1"/>
  <c r="G3645" i="13"/>
  <c r="I3645" i="13" s="1"/>
  <c r="K3645" i="13" s="1"/>
  <c r="G3617" i="13"/>
  <c r="I3617" i="13" s="1"/>
  <c r="K3617" i="13" s="1"/>
  <c r="G3712" i="13"/>
  <c r="I3712" i="13" s="1"/>
  <c r="G743" i="13"/>
  <c r="I743" i="13" s="1"/>
  <c r="K743" i="13" s="1"/>
  <c r="G4239" i="13"/>
  <c r="I4239" i="13" s="1"/>
  <c r="K4239" i="13" s="1"/>
  <c r="G337" i="13"/>
  <c r="I337" i="13" s="1"/>
  <c r="K337" i="13" s="1"/>
  <c r="G2570" i="13"/>
  <c r="I2570" i="13" s="1"/>
  <c r="K2570" i="13" s="1"/>
  <c r="G2681" i="13"/>
  <c r="G2538" i="13"/>
  <c r="I2538" i="13" s="1"/>
  <c r="K2538" i="13" s="1"/>
  <c r="G2039" i="13"/>
  <c r="I2039" i="13" s="1"/>
  <c r="K2039" i="13" s="1"/>
  <c r="G4227" i="13"/>
  <c r="I4227" i="13" s="1"/>
  <c r="G2425" i="13"/>
  <c r="G152" i="13"/>
  <c r="G4174" i="13"/>
  <c r="I4174" i="13" s="1"/>
  <c r="K4174" i="13" s="1"/>
  <c r="G3442" i="13"/>
  <c r="I3442" i="13" s="1"/>
  <c r="G1383" i="13"/>
  <c r="I1383" i="13" s="1"/>
  <c r="K1383" i="13" s="1"/>
  <c r="G2434" i="13"/>
  <c r="I2434" i="13" s="1"/>
  <c r="G3811" i="13"/>
  <c r="I3811" i="13" s="1"/>
  <c r="G3066" i="13"/>
  <c r="I3066" i="13" s="1"/>
  <c r="G2005" i="13"/>
  <c r="G4721" i="13"/>
  <c r="I4721" i="13" s="1"/>
  <c r="K4721" i="13" s="1"/>
  <c r="G750" i="13"/>
  <c r="I750" i="13" s="1"/>
  <c r="K750" i="13" s="1"/>
  <c r="G583" i="13"/>
  <c r="I583" i="13" s="1"/>
  <c r="K583" i="13" s="1"/>
  <c r="G1688" i="13"/>
  <c r="I1688" i="13" s="1"/>
  <c r="K1688" i="13" s="1"/>
  <c r="G2378" i="13"/>
  <c r="I2378" i="13" s="1"/>
  <c r="K2378" i="13" s="1"/>
  <c r="G3238" i="13"/>
  <c r="I3238" i="13" s="1"/>
  <c r="G2344" i="13"/>
  <c r="G2539" i="13"/>
  <c r="I2539" i="13" s="1"/>
  <c r="G4884" i="13"/>
  <c r="I4884" i="13" s="1"/>
  <c r="G4044" i="13"/>
  <c r="I4044" i="13" s="1"/>
  <c r="K4044" i="13" s="1"/>
  <c r="G177" i="13"/>
  <c r="I177" i="13" s="1"/>
  <c r="K177" i="13" s="1"/>
  <c r="G2087" i="13"/>
  <c r="I2087" i="13" s="1"/>
  <c r="K2087" i="13" s="1"/>
  <c r="G2171" i="13"/>
  <c r="I2171" i="13" s="1"/>
  <c r="G2069" i="13"/>
  <c r="G916" i="13"/>
  <c r="I916" i="13" s="1"/>
  <c r="G3109" i="13"/>
  <c r="G4524" i="13"/>
  <c r="I4524" i="13" s="1"/>
  <c r="K4524" i="13" s="1"/>
  <c r="G4668" i="13"/>
  <c r="I4668" i="13" s="1"/>
  <c r="K4668" i="13" s="1"/>
  <c r="G1624" i="13"/>
  <c r="G1264" i="13"/>
  <c r="I1264" i="13" s="1"/>
  <c r="G4589" i="13"/>
  <c r="I4589" i="13" s="1"/>
  <c r="K4589" i="13" s="1"/>
  <c r="G1985" i="13"/>
  <c r="I1985" i="13" s="1"/>
  <c r="K1985" i="13" s="1"/>
  <c r="G2354" i="13"/>
  <c r="I2354" i="13" s="1"/>
  <c r="G3314" i="13"/>
  <c r="I3314" i="13" s="1"/>
  <c r="G3689" i="13"/>
  <c r="G473" i="13"/>
  <c r="G2911" i="13"/>
  <c r="I2911" i="13" s="1"/>
  <c r="K2911" i="13" s="1"/>
  <c r="G2685" i="13"/>
  <c r="I2685" i="13" s="1"/>
  <c r="K2685" i="13" s="1"/>
  <c r="G2026" i="13"/>
  <c r="I2026" i="13" s="1"/>
  <c r="K2026" i="13" s="1"/>
  <c r="G749" i="13"/>
  <c r="I749" i="13" s="1"/>
  <c r="K749" i="13" s="1"/>
  <c r="G1478" i="13"/>
  <c r="I1478" i="13" s="1"/>
  <c r="K1478" i="13" s="1"/>
  <c r="G2982" i="13"/>
  <c r="I2982" i="13" s="1"/>
  <c r="G1638" i="13"/>
  <c r="I1638" i="13" s="1"/>
  <c r="G4887" i="13"/>
  <c r="I4887" i="13" s="1"/>
  <c r="G4142" i="13"/>
  <c r="I4142" i="13" s="1"/>
  <c r="K4142" i="13" s="1"/>
  <c r="G3873" i="13"/>
  <c r="I3873" i="13" s="1"/>
  <c r="K3873" i="13" s="1"/>
  <c r="G2487" i="13"/>
  <c r="I2487" i="13" s="1"/>
  <c r="K2487" i="13" s="1"/>
  <c r="G718" i="13"/>
  <c r="I718" i="13" s="1"/>
  <c r="K718" i="13" s="1"/>
  <c r="G3514" i="13"/>
  <c r="I3514" i="13" s="1"/>
  <c r="K3514" i="13" s="1"/>
  <c r="G3171" i="13"/>
  <c r="I3171" i="13" s="1"/>
  <c r="G4665" i="13"/>
  <c r="I4665" i="13" s="1"/>
  <c r="K4665" i="13" s="1"/>
  <c r="G2365" i="13"/>
  <c r="I2365" i="13" s="1"/>
  <c r="K2365" i="13" s="1"/>
  <c r="G4429" i="13"/>
  <c r="I4429" i="13" s="1"/>
  <c r="K4429" i="13" s="1"/>
  <c r="G1346" i="13"/>
  <c r="I1346" i="13" s="1"/>
  <c r="G4007" i="13"/>
  <c r="I4007" i="13" s="1"/>
  <c r="K4007" i="13" s="1"/>
  <c r="G3817" i="13"/>
  <c r="G2120" i="13"/>
  <c r="G1245" i="13"/>
  <c r="I1245" i="13" s="1"/>
  <c r="K1245" i="13" s="1"/>
  <c r="G2778" i="13"/>
  <c r="I2778" i="13" s="1"/>
  <c r="K2778" i="13" s="1"/>
  <c r="G4383" i="13"/>
  <c r="I4383" i="13" s="1"/>
  <c r="K4383" i="13" s="1"/>
  <c r="G3003" i="13"/>
  <c r="I3003" i="13" s="1"/>
  <c r="G448" i="13"/>
  <c r="I448" i="13" s="1"/>
  <c r="G3461" i="13"/>
  <c r="G2264" i="13"/>
  <c r="G563" i="13"/>
  <c r="I563" i="13" s="1"/>
  <c r="G350" i="13"/>
  <c r="I350" i="13" s="1"/>
  <c r="K350" i="13" s="1"/>
  <c r="G4728" i="13"/>
  <c r="I4728" i="13" s="1"/>
  <c r="G4253" i="13"/>
  <c r="I4253" i="13" s="1"/>
  <c r="K4253" i="13" s="1"/>
  <c r="G2222" i="13"/>
  <c r="I2222" i="13" s="1"/>
  <c r="K2222" i="13" s="1"/>
  <c r="G3894" i="13"/>
  <c r="I3894" i="13" s="1"/>
  <c r="G830" i="13"/>
  <c r="I830" i="13" s="1"/>
  <c r="K830" i="13" s="1"/>
  <c r="G2936" i="13"/>
  <c r="G2348" i="13"/>
  <c r="I2348" i="13" s="1"/>
  <c r="K2348" i="13" s="1"/>
  <c r="G1407" i="13"/>
  <c r="I1407" i="13" s="1"/>
  <c r="K1407" i="13" s="1"/>
  <c r="G1446" i="13"/>
  <c r="I1446" i="13" s="1"/>
  <c r="G2141" i="13"/>
  <c r="I2141" i="13" s="1"/>
  <c r="K2141" i="13" s="1"/>
  <c r="G1691" i="13"/>
  <c r="I1691" i="13" s="1"/>
  <c r="G4620" i="13"/>
  <c r="I4620" i="13" s="1"/>
  <c r="K4620" i="13" s="1"/>
  <c r="G3062" i="13"/>
  <c r="I3062" i="13" s="1"/>
  <c r="G3579" i="13"/>
  <c r="I3579" i="13" s="1"/>
  <c r="G2591" i="13"/>
  <c r="I2591" i="13" s="1"/>
  <c r="K2591" i="13" s="1"/>
  <c r="G3848" i="13"/>
  <c r="I3848" i="13" s="1"/>
  <c r="G2986" i="13"/>
  <c r="I2986" i="13" s="1"/>
  <c r="K2986" i="13" s="1"/>
  <c r="G4405" i="13"/>
  <c r="G2706" i="13"/>
  <c r="I2706" i="13" s="1"/>
  <c r="G1819" i="13"/>
  <c r="I1819" i="13" s="1"/>
  <c r="G2513" i="13"/>
  <c r="I2513" i="13" s="1"/>
  <c r="K2513" i="13" s="1"/>
  <c r="G3589" i="13"/>
  <c r="G4325" i="13"/>
  <c r="G1211" i="13"/>
  <c r="I1211" i="13" s="1"/>
  <c r="G1366" i="13"/>
  <c r="I1366" i="13" s="1"/>
  <c r="G3456" i="13"/>
  <c r="I3456" i="13" s="1"/>
  <c r="G4594" i="13"/>
  <c r="I4594" i="13" s="1"/>
  <c r="G2410" i="13"/>
  <c r="I2410" i="13" s="1"/>
  <c r="K2410" i="13" s="1"/>
  <c r="G901" i="13"/>
  <c r="G3266" i="13"/>
  <c r="I3266" i="13" s="1"/>
  <c r="G2915" i="13"/>
  <c r="I2915" i="13" s="1"/>
  <c r="G2482" i="13"/>
  <c r="I2482" i="13" s="1"/>
  <c r="G859" i="13"/>
  <c r="I859" i="13" s="1"/>
  <c r="G2044" i="13"/>
  <c r="I2044" i="13" s="1"/>
  <c r="K2044" i="13" s="1"/>
  <c r="G865" i="13"/>
  <c r="I865" i="13" s="1"/>
  <c r="K865" i="13" s="1"/>
  <c r="G335" i="13"/>
  <c r="I335" i="13" s="1"/>
  <c r="K335" i="13" s="1"/>
  <c r="G1438" i="13"/>
  <c r="I1438" i="13" s="1"/>
  <c r="K1438" i="13" s="1"/>
  <c r="G481" i="13"/>
  <c r="I481" i="13" s="1"/>
  <c r="K481" i="13" s="1"/>
  <c r="G4042" i="13"/>
  <c r="I4042" i="13" s="1"/>
  <c r="G1579" i="13"/>
  <c r="I1579" i="13" s="1"/>
  <c r="G1423" i="13"/>
  <c r="I1423" i="13" s="1"/>
  <c r="K1423" i="13" s="1"/>
  <c r="G2966" i="13"/>
  <c r="I2966" i="13" s="1"/>
  <c r="G3011" i="13"/>
  <c r="I3011" i="13" s="1"/>
  <c r="G459" i="13"/>
  <c r="I459" i="13" s="1"/>
  <c r="K459" i="13" s="1"/>
  <c r="G1090" i="13"/>
  <c r="I1090" i="13" s="1"/>
  <c r="G2603" i="13"/>
  <c r="I2603" i="13" s="1"/>
  <c r="G80" i="13"/>
  <c r="I80" i="13" s="1"/>
  <c r="G125" i="13"/>
  <c r="I125" i="13" s="1"/>
  <c r="K125" i="13" s="1"/>
  <c r="G2471" i="13"/>
  <c r="I2471" i="13" s="1"/>
  <c r="K2471" i="13" s="1"/>
  <c r="G4745" i="13"/>
  <c r="I4745" i="13" s="1"/>
  <c r="K4745" i="13" s="1"/>
  <c r="G564" i="13"/>
  <c r="I564" i="13" s="1"/>
  <c r="G4750" i="13"/>
  <c r="I4750" i="13" s="1"/>
  <c r="K4750" i="13" s="1"/>
  <c r="G3530" i="13"/>
  <c r="I3530" i="13" s="1"/>
  <c r="K3530" i="13" s="1"/>
  <c r="G2034" i="13"/>
  <c r="I2034" i="13" s="1"/>
  <c r="G3973" i="13"/>
  <c r="G468" i="13"/>
  <c r="I468" i="13" s="1"/>
  <c r="G1219" i="13"/>
  <c r="I1219" i="13" s="1"/>
  <c r="G441" i="13"/>
  <c r="G926" i="13"/>
  <c r="I926" i="13" s="1"/>
  <c r="K926" i="13" s="1"/>
  <c r="G4400" i="13"/>
  <c r="I4400" i="13" s="1"/>
  <c r="G1616" i="13"/>
  <c r="I1616" i="13" s="1"/>
  <c r="G1072" i="13"/>
  <c r="I1072" i="13" s="1"/>
  <c r="G2152" i="13"/>
  <c r="G855" i="13"/>
  <c r="I855" i="13" s="1"/>
  <c r="K855" i="13" s="1"/>
  <c r="G1341" i="13"/>
  <c r="I1341" i="13" s="1"/>
  <c r="K1341" i="13" s="1"/>
  <c r="G1924" i="13"/>
  <c r="I1924" i="13" s="1"/>
  <c r="G4212" i="13"/>
  <c r="I4212" i="13" s="1"/>
  <c r="G4688" i="13"/>
  <c r="I4688" i="13" s="1"/>
  <c r="G4047" i="13"/>
  <c r="I4047" i="13" s="1"/>
  <c r="K4047" i="13" s="1"/>
  <c r="G2236" i="13"/>
  <c r="I2236" i="13" s="1"/>
  <c r="K2236" i="13" s="1"/>
  <c r="G719" i="13"/>
  <c r="I719" i="13" s="1"/>
  <c r="K719" i="13" s="1"/>
  <c r="G288" i="13"/>
  <c r="I288" i="13" s="1"/>
  <c r="G4035" i="13"/>
  <c r="I4035" i="13" s="1"/>
  <c r="G3670" i="13"/>
  <c r="I3670" i="13" s="1"/>
  <c r="G2754" i="13"/>
  <c r="I2754" i="13" s="1"/>
  <c r="G2823" i="13"/>
  <c r="I2823" i="13" s="1"/>
  <c r="G705" i="13"/>
  <c r="I705" i="13" s="1"/>
  <c r="K705" i="13" s="1"/>
  <c r="G593" i="13"/>
  <c r="I593" i="13" s="1"/>
  <c r="K593" i="13" s="1"/>
  <c r="G3581" i="13"/>
  <c r="I3581" i="13" s="1"/>
  <c r="K3581" i="13" s="1"/>
  <c r="G2258" i="13"/>
  <c r="I2258" i="13" s="1"/>
  <c r="G3260" i="13"/>
  <c r="I3260" i="13" s="1"/>
  <c r="K3260" i="13" s="1"/>
  <c r="G364" i="13"/>
  <c r="I364" i="13" s="1"/>
  <c r="K364" i="13" s="1"/>
  <c r="G3687" i="13"/>
  <c r="I3687" i="13" s="1"/>
  <c r="G4686" i="13"/>
  <c r="I4686" i="13" s="1"/>
  <c r="K4686" i="13" s="1"/>
  <c r="G3248" i="13"/>
  <c r="I3248" i="13" s="1"/>
  <c r="G1204" i="13"/>
  <c r="I1204" i="13" s="1"/>
  <c r="G644" i="13"/>
  <c r="I644" i="13" s="1"/>
  <c r="G4404" i="13"/>
  <c r="I4404" i="13" s="1"/>
  <c r="G1770" i="13"/>
  <c r="I1770" i="13" s="1"/>
  <c r="K1770" i="13" s="1"/>
  <c r="G3413" i="13"/>
  <c r="G3415" i="13"/>
  <c r="I3415" i="13" s="1"/>
  <c r="G3905" i="13"/>
  <c r="I3905" i="13" s="1"/>
  <c r="K3905" i="13" s="1"/>
  <c r="G1361" i="13"/>
  <c r="I1361" i="13" s="1"/>
  <c r="K1361" i="13" s="1"/>
  <c r="G2138" i="13"/>
  <c r="I2138" i="13" s="1"/>
  <c r="K2138" i="13" s="1"/>
  <c r="G3967" i="13"/>
  <c r="I3967" i="13" s="1"/>
  <c r="K3967" i="13" s="1"/>
  <c r="G3281" i="13"/>
  <c r="I3281" i="13" s="1"/>
  <c r="K3281" i="13" s="1"/>
  <c r="G4549" i="13"/>
  <c r="G1678" i="13"/>
  <c r="I1678" i="13" s="1"/>
  <c r="K1678" i="13" s="1"/>
  <c r="G3432" i="13"/>
  <c r="G2382" i="13"/>
  <c r="I2382" i="13" s="1"/>
  <c r="K2382" i="13" s="1"/>
  <c r="G2749" i="13"/>
  <c r="I2749" i="13" s="1"/>
  <c r="K2749" i="13" s="1"/>
  <c r="G2669" i="13"/>
  <c r="I2669" i="13" s="1"/>
  <c r="K2669" i="13" s="1"/>
  <c r="G1246" i="13"/>
  <c r="I1246" i="13" s="1"/>
  <c r="K1246" i="13" s="1"/>
  <c r="G4366" i="13"/>
  <c r="I4366" i="13" s="1"/>
  <c r="K4366" i="13" s="1"/>
  <c r="G3396" i="13"/>
  <c r="I3396" i="13" s="1"/>
  <c r="G3179" i="13"/>
  <c r="I3179" i="13" s="1"/>
  <c r="G2894" i="13"/>
  <c r="I2894" i="13" s="1"/>
  <c r="K2894" i="13" s="1"/>
  <c r="G1240" i="13"/>
  <c r="I1240" i="13" s="1"/>
  <c r="K1240" i="13" s="1"/>
  <c r="G3352" i="13"/>
  <c r="I3352" i="13" s="1"/>
  <c r="G1224" i="13"/>
  <c r="G4468" i="13"/>
  <c r="I4468" i="13" s="1"/>
  <c r="G767" i="13"/>
  <c r="I767" i="13" s="1"/>
  <c r="K767" i="13" s="1"/>
  <c r="G993" i="13"/>
  <c r="I993" i="13" s="1"/>
  <c r="K993" i="13" s="1"/>
  <c r="G375" i="13"/>
  <c r="I375" i="13" s="1"/>
  <c r="K375" i="13" s="1"/>
  <c r="G1701" i="13"/>
  <c r="G1593" i="13"/>
  <c r="G178" i="13"/>
  <c r="I178" i="13" s="1"/>
  <c r="G1483" i="13"/>
  <c r="I1483" i="13" s="1"/>
  <c r="G4652" i="13"/>
  <c r="I4652" i="13" s="1"/>
  <c r="K4652" i="13" s="1"/>
  <c r="G2798" i="13"/>
  <c r="I2798" i="13" s="1"/>
  <c r="K2798" i="13" s="1"/>
  <c r="G4021" i="13"/>
  <c r="G3578" i="13"/>
  <c r="I3578" i="13" s="1"/>
  <c r="G1119" i="13"/>
  <c r="I1119" i="13" s="1"/>
  <c r="K1119" i="13" s="1"/>
  <c r="G1387" i="13"/>
  <c r="I1387" i="13" s="1"/>
  <c r="K1387" i="13" s="1"/>
  <c r="G353" i="13"/>
  <c r="I353" i="13" s="1"/>
  <c r="K353" i="13" s="1"/>
  <c r="G4080" i="13"/>
  <c r="I4080" i="13" s="1"/>
  <c r="G518" i="13"/>
  <c r="I518" i="13" s="1"/>
  <c r="G46" i="13"/>
  <c r="I46" i="13" s="1"/>
  <c r="K46" i="13" s="1"/>
  <c r="G3618" i="13"/>
  <c r="I3618" i="13" s="1"/>
  <c r="G4095" i="13"/>
  <c r="I4095" i="13" s="1"/>
  <c r="K4095" i="13" s="1"/>
  <c r="G1557" i="13"/>
  <c r="G2552" i="13"/>
  <c r="I2552" i="13" s="1"/>
  <c r="G147" i="13"/>
  <c r="I147" i="13" s="1"/>
  <c r="G1895" i="13"/>
  <c r="I1895" i="13" s="1"/>
  <c r="K1895" i="13" s="1"/>
  <c r="G4336" i="13"/>
  <c r="I4336" i="13" s="1"/>
  <c r="G455" i="13"/>
  <c r="I455" i="13" s="1"/>
  <c r="K455" i="13" s="1"/>
  <c r="G1781" i="13"/>
  <c r="G3481" i="13"/>
  <c r="G411" i="13"/>
  <c r="I411" i="13" s="1"/>
  <c r="G2073" i="13"/>
  <c r="I2073" i="13" s="1"/>
  <c r="K2073" i="13" s="1"/>
  <c r="G3041" i="13"/>
  <c r="I3041" i="13" s="1"/>
  <c r="K3041" i="13" s="1"/>
  <c r="G4886" i="13"/>
  <c r="I4886" i="13" s="1"/>
  <c r="G3983" i="13"/>
  <c r="I3983" i="13" s="1"/>
  <c r="K3983" i="13" s="1"/>
  <c r="G4030" i="13"/>
  <c r="I4030" i="13" s="1"/>
  <c r="K4030" i="13" s="1"/>
  <c r="G1406" i="13"/>
  <c r="I1406" i="13" s="1"/>
  <c r="K1406" i="13" s="1"/>
  <c r="G687" i="13"/>
  <c r="I687" i="13" s="1"/>
  <c r="K687" i="13" s="1"/>
  <c r="G2148" i="13"/>
  <c r="I2148" i="13" s="1"/>
  <c r="G1041" i="13"/>
  <c r="I1041" i="13" s="1"/>
  <c r="K1041" i="13" s="1"/>
  <c r="G3568" i="13"/>
  <c r="I3568" i="13" s="1"/>
  <c r="G4899" i="13"/>
  <c r="I4899" i="13" s="1"/>
  <c r="G4200" i="13"/>
  <c r="I4200" i="13" s="1"/>
  <c r="G2555" i="13"/>
  <c r="I2555" i="13" s="1"/>
  <c r="G2651" i="13"/>
  <c r="I2651" i="13" s="1"/>
  <c r="G3895" i="13"/>
  <c r="I3895" i="13" s="1"/>
  <c r="G4058" i="13"/>
  <c r="I4058" i="13" s="1"/>
  <c r="K4058" i="13" s="1"/>
  <c r="G3728" i="13"/>
  <c r="I3728" i="13" s="1"/>
  <c r="G4354" i="13"/>
  <c r="I4354" i="13" s="1"/>
  <c r="G3393" i="13"/>
  <c r="I3393" i="13" s="1"/>
  <c r="K3393" i="13" s="1"/>
  <c r="G351" i="13"/>
  <c r="I351" i="13" s="1"/>
  <c r="K351" i="13" s="1"/>
  <c r="G1051" i="13"/>
  <c r="I1051" i="13" s="1"/>
  <c r="G1820" i="13"/>
  <c r="I1820" i="13" s="1"/>
  <c r="K1820" i="13" s="1"/>
  <c r="G831" i="13"/>
  <c r="I831" i="13" s="1"/>
  <c r="K831" i="13" s="1"/>
  <c r="G3326" i="13"/>
  <c r="I3326" i="13" s="1"/>
  <c r="K3326" i="13" s="1"/>
  <c r="G3770" i="13"/>
  <c r="I3770" i="13" s="1"/>
  <c r="G3806" i="13"/>
  <c r="I3806" i="13" s="1"/>
  <c r="K3806" i="13" s="1"/>
  <c r="G2617" i="13"/>
  <c r="G4857" i="13"/>
  <c r="I4857" i="13" s="1"/>
  <c r="K4857" i="13" s="1"/>
  <c r="G3249" i="13"/>
  <c r="I3249" i="13" s="1"/>
  <c r="K3249" i="13" s="1"/>
  <c r="G1234" i="13"/>
  <c r="I1234" i="13" s="1"/>
  <c r="G1580" i="13"/>
  <c r="I1580" i="13" s="1"/>
  <c r="K1580" i="13" s="1"/>
  <c r="G4848" i="13"/>
  <c r="I4848" i="13" s="1"/>
  <c r="G444" i="13"/>
  <c r="I444" i="13" s="1"/>
  <c r="K444" i="13" s="1"/>
  <c r="G2647" i="13"/>
  <c r="I2647" i="13" s="1"/>
  <c r="K2647" i="13" s="1"/>
  <c r="G1889" i="13"/>
  <c r="I1889" i="13" s="1"/>
  <c r="K1889" i="13" s="1"/>
  <c r="G2630" i="13"/>
  <c r="I2630" i="13" s="1"/>
  <c r="G370" i="13"/>
  <c r="I370" i="13" s="1"/>
  <c r="G153" i="13"/>
  <c r="G3217" i="13"/>
  <c r="I3217" i="13" s="1"/>
  <c r="K3217" i="13" s="1"/>
  <c r="G317" i="13"/>
  <c r="I317" i="13" s="1"/>
  <c r="K317" i="13" s="1"/>
  <c r="G3383" i="13"/>
  <c r="I3383" i="13" s="1"/>
  <c r="G2817" i="13"/>
  <c r="I2817" i="13" s="1"/>
  <c r="K2817" i="13" s="1"/>
  <c r="G3280" i="13"/>
  <c r="I3280" i="13" s="1"/>
  <c r="G1769" i="13"/>
  <c r="G4026" i="13"/>
  <c r="I4026" i="13" s="1"/>
  <c r="G3556" i="13"/>
  <c r="I3556" i="13" s="1"/>
  <c r="G3425" i="13"/>
  <c r="I3425" i="13" s="1"/>
  <c r="K3425" i="13" s="1"/>
  <c r="G4054" i="13"/>
  <c r="I4054" i="13" s="1"/>
  <c r="G1414" i="13"/>
  <c r="I1414" i="13" s="1"/>
  <c r="G2514" i="13"/>
  <c r="I2514" i="13" s="1"/>
  <c r="G3414" i="13"/>
  <c r="I3414" i="13" s="1"/>
  <c r="G2556" i="13"/>
  <c r="I2556" i="13" s="1"/>
  <c r="K2556" i="13" s="1"/>
  <c r="G3103" i="13"/>
  <c r="I3103" i="13" s="1"/>
  <c r="K3103" i="13" s="1"/>
  <c r="G2505" i="13"/>
  <c r="G806" i="13"/>
  <c r="I806" i="13" s="1"/>
  <c r="G1673" i="13"/>
  <c r="G834" i="13"/>
  <c r="I834" i="13" s="1"/>
  <c r="G902" i="13"/>
  <c r="I902" i="13" s="1"/>
  <c r="G391" i="13"/>
  <c r="I391" i="13" s="1"/>
  <c r="K391" i="13" s="1"/>
  <c r="G2626" i="13"/>
  <c r="I2626" i="13" s="1"/>
  <c r="G3199" i="13"/>
  <c r="I3199" i="13" s="1"/>
  <c r="K3199" i="13" s="1"/>
  <c r="G1515" i="13"/>
  <c r="I1515" i="13" s="1"/>
  <c r="G672" i="13"/>
  <c r="I672" i="13" s="1"/>
  <c r="G3559" i="13"/>
  <c r="I3559" i="13" s="1"/>
  <c r="G3094" i="13"/>
  <c r="I3094" i="13" s="1"/>
  <c r="G1298" i="13"/>
  <c r="I1298" i="13" s="1"/>
  <c r="G4298" i="13"/>
  <c r="I4298" i="13" s="1"/>
  <c r="G4396" i="13"/>
  <c r="I4396" i="13" s="1"/>
  <c r="K4396" i="13" s="1"/>
  <c r="G561" i="13"/>
  <c r="I561" i="13" s="1"/>
  <c r="K561" i="13" s="1"/>
  <c r="G2" i="13"/>
  <c r="I2" i="13" s="1"/>
  <c r="K2" i="13" s="1"/>
  <c r="G2243" i="13"/>
  <c r="I2243" i="13" s="1"/>
  <c r="G637" i="13"/>
  <c r="I637" i="13" s="1"/>
  <c r="K637" i="13" s="1"/>
  <c r="G3154" i="13"/>
  <c r="I3154" i="13" s="1"/>
  <c r="G361" i="13"/>
  <c r="G2990" i="13"/>
  <c r="I2990" i="13" s="1"/>
  <c r="K2990" i="13" s="1"/>
  <c r="G4439" i="13"/>
  <c r="I4439" i="13" s="1"/>
  <c r="K4439" i="13" s="1"/>
  <c r="G994" i="13"/>
  <c r="I994" i="13" s="1"/>
  <c r="G4855" i="13"/>
  <c r="I4855" i="13" s="1"/>
  <c r="G519" i="13"/>
  <c r="I519" i="13" s="1"/>
  <c r="K519" i="13" s="1"/>
  <c r="G1436" i="13"/>
  <c r="I1436" i="13" s="1"/>
  <c r="K1436" i="13" s="1"/>
  <c r="G4057" i="13"/>
  <c r="I4057" i="13" s="1"/>
  <c r="K4057" i="13" s="1"/>
  <c r="G3099" i="13"/>
  <c r="I3099" i="13" s="1"/>
  <c r="G2913" i="13"/>
  <c r="I2913" i="13" s="1"/>
  <c r="K2913" i="13" s="1"/>
  <c r="G1742" i="13"/>
  <c r="I1742" i="13" s="1"/>
  <c r="K1742" i="13" s="1"/>
  <c r="G2526" i="13"/>
  <c r="I2526" i="13" s="1"/>
  <c r="K2526" i="13" s="1"/>
  <c r="G881" i="13"/>
  <c r="I881" i="13" s="1"/>
  <c r="K881" i="13" s="1"/>
  <c r="G1389" i="13"/>
  <c r="I1389" i="13" s="1"/>
  <c r="K1389" i="13" s="1"/>
  <c r="G2807" i="13"/>
  <c r="I2807" i="13" s="1"/>
  <c r="G2345" i="13"/>
  <c r="G3084" i="13"/>
  <c r="I3084" i="13" s="1"/>
  <c r="K3084" i="13" s="1"/>
  <c r="G1278" i="13"/>
  <c r="I1278" i="13" s="1"/>
  <c r="K1278" i="13" s="1"/>
  <c r="G1529" i="13"/>
  <c r="G2040" i="13"/>
  <c r="G1189" i="13"/>
  <c r="G256" i="13"/>
  <c r="I256" i="13" s="1"/>
  <c r="G264" i="13"/>
  <c r="G1668" i="13"/>
  <c r="I1668" i="13" s="1"/>
  <c r="G3384" i="13"/>
  <c r="I3384" i="13" s="1"/>
  <c r="G937" i="13"/>
  <c r="G3818" i="13"/>
  <c r="I3818" i="13" s="1"/>
  <c r="K3818" i="13" s="1"/>
  <c r="G1775" i="13"/>
  <c r="I1775" i="13" s="1"/>
  <c r="K1775" i="13" s="1"/>
  <c r="G2910" i="13"/>
  <c r="I2910" i="13" s="1"/>
  <c r="K2910" i="13" s="1"/>
  <c r="G395" i="13"/>
  <c r="I395" i="13" s="1"/>
  <c r="G4447" i="13"/>
  <c r="I4447" i="13" s="1"/>
  <c r="K4447" i="13" s="1"/>
  <c r="G1717" i="13"/>
  <c r="G2297" i="13"/>
  <c r="G2725" i="13"/>
  <c r="G3829" i="13"/>
  <c r="G4870" i="13"/>
  <c r="I4870" i="13" s="1"/>
  <c r="G403" i="13"/>
  <c r="I403" i="13" s="1"/>
  <c r="G739" i="13"/>
  <c r="I739" i="13" s="1"/>
  <c r="G2882" i="13"/>
  <c r="I2882" i="13" s="1"/>
  <c r="G2794" i="13"/>
  <c r="I2794" i="13" s="1"/>
  <c r="K2794" i="13" s="1"/>
  <c r="G1524" i="13"/>
  <c r="I1524" i="13" s="1"/>
  <c r="G3604" i="13"/>
  <c r="I3604" i="13" s="1"/>
  <c r="G2220" i="13"/>
  <c r="I2220" i="13" s="1"/>
  <c r="K2220" i="13" s="1"/>
  <c r="G69" i="13"/>
  <c r="G213" i="13"/>
  <c r="G2071" i="13"/>
  <c r="I2071" i="13" s="1"/>
  <c r="K2071" i="13" s="1"/>
  <c r="G2718" i="13"/>
  <c r="I2718" i="13" s="1"/>
  <c r="K2718" i="13" s="1"/>
  <c r="G162" i="13"/>
  <c r="I162" i="13" s="1"/>
  <c r="G3927" i="13"/>
  <c r="I3927" i="13" s="1"/>
  <c r="K3927" i="13" s="1"/>
  <c r="G4046" i="13"/>
  <c r="I4046" i="13" s="1"/>
  <c r="K4046" i="13" s="1"/>
  <c r="G453" i="13"/>
  <c r="G4272" i="13"/>
  <c r="I4272" i="13" s="1"/>
  <c r="G3901" i="13"/>
  <c r="I3901" i="13" s="1"/>
  <c r="K3901" i="13" s="1"/>
  <c r="G1880" i="13"/>
  <c r="G2028" i="13"/>
  <c r="I2028" i="13" s="1"/>
  <c r="K2028" i="13" s="1"/>
  <c r="G2562" i="13"/>
  <c r="I2562" i="13" s="1"/>
  <c r="G3580" i="13"/>
  <c r="I3580" i="13" s="1"/>
  <c r="K3580" i="13" s="1"/>
  <c r="G2675" i="13"/>
  <c r="I2675" i="13" s="1"/>
  <c r="G3353" i="13"/>
  <c r="G2308" i="13"/>
  <c r="I2308" i="13" s="1"/>
  <c r="G4308" i="13"/>
  <c r="I4308" i="13" s="1"/>
  <c r="G3457" i="13"/>
  <c r="I3457" i="13" s="1"/>
  <c r="K3457" i="13" s="1"/>
  <c r="G2822" i="13"/>
  <c r="I2822" i="13" s="1"/>
  <c r="G265" i="13"/>
  <c r="G3665" i="13"/>
  <c r="I3665" i="13" s="1"/>
  <c r="K3665" i="13" s="1"/>
  <c r="G3729" i="13"/>
  <c r="I3729" i="13" s="1"/>
  <c r="K3729" i="13" s="1"/>
  <c r="G2980" i="13"/>
  <c r="I2980" i="13" s="1"/>
  <c r="G4647" i="13"/>
  <c r="I4647" i="13" s="1"/>
  <c r="K4647" i="13" s="1"/>
  <c r="G2629" i="13"/>
  <c r="G383" i="13"/>
  <c r="I383" i="13" s="1"/>
  <c r="K383" i="13" s="1"/>
  <c r="G1081" i="13"/>
  <c r="G2330" i="13"/>
  <c r="I2330" i="13" s="1"/>
  <c r="K2330" i="13" s="1"/>
  <c r="G2060" i="13"/>
  <c r="I2060" i="13" s="1"/>
  <c r="K2060" i="13" s="1"/>
  <c r="G3614" i="13"/>
  <c r="I3614" i="13" s="1"/>
  <c r="K3614" i="13" s="1"/>
  <c r="G917" i="13"/>
  <c r="G3190" i="13"/>
  <c r="I3190" i="13" s="1"/>
  <c r="G1430" i="13"/>
  <c r="I1430" i="13" s="1"/>
  <c r="G602" i="13"/>
  <c r="I602" i="13" s="1"/>
  <c r="K602" i="13" s="1"/>
  <c r="G12" i="13"/>
  <c r="I12" i="13" s="1"/>
  <c r="K12" i="13" s="1"/>
  <c r="G4877" i="13"/>
  <c r="I4877" i="13" s="1"/>
  <c r="K4877" i="13" s="1"/>
  <c r="G4597" i="13"/>
  <c r="G594" i="13"/>
  <c r="I594" i="13" s="1"/>
  <c r="G31" i="13"/>
  <c r="I31" i="13" s="1"/>
  <c r="K31" i="13" s="1"/>
  <c r="G4698" i="13"/>
  <c r="I4698" i="13" s="1"/>
  <c r="G308" i="13"/>
  <c r="I308" i="13" s="1"/>
  <c r="G1680" i="13"/>
  <c r="I1680" i="13" s="1"/>
  <c r="G2165" i="13"/>
  <c r="G2587" i="13"/>
  <c r="I2587" i="13" s="1"/>
  <c r="K2587" i="13" s="1"/>
  <c r="G2193" i="13"/>
  <c r="I2193" i="13" s="1"/>
  <c r="K2193" i="13" s="1"/>
  <c r="G1964" i="13"/>
  <c r="I1964" i="13" s="1"/>
  <c r="K1964" i="13" s="1"/>
  <c r="G4626" i="13"/>
  <c r="I4626" i="13" s="1"/>
  <c r="G2422" i="13"/>
  <c r="I2422" i="13" s="1"/>
  <c r="G9" i="13"/>
  <c r="G4190" i="13"/>
  <c r="I4190" i="13" s="1"/>
  <c r="K4190" i="13" s="1"/>
  <c r="G1417" i="13"/>
  <c r="G4858" i="13"/>
  <c r="I4858" i="13" s="1"/>
  <c r="G2543" i="13"/>
  <c r="I2543" i="13" s="1"/>
  <c r="K2543" i="13" s="1"/>
  <c r="G1429" i="13"/>
  <c r="G1960" i="13"/>
  <c r="G2059" i="13"/>
  <c r="I2059" i="13" s="1"/>
  <c r="G4041" i="13"/>
  <c r="I4041" i="13" s="1"/>
  <c r="K4041" i="13" s="1"/>
  <c r="G1302" i="13"/>
  <c r="I1302" i="13" s="1"/>
  <c r="G4203" i="13"/>
  <c r="I4203" i="13" s="1"/>
  <c r="G1362" i="13"/>
  <c r="I1362" i="13" s="1"/>
  <c r="G4654" i="13"/>
  <c r="I4654" i="13" s="1"/>
  <c r="K4654" i="13" s="1"/>
  <c r="G846" i="13"/>
  <c r="I846" i="13" s="1"/>
  <c r="K846" i="13" s="1"/>
  <c r="G3364" i="13"/>
  <c r="I3364" i="13" s="1"/>
  <c r="G4357" i="13"/>
  <c r="G478" i="13"/>
  <c r="I478" i="13" s="1"/>
  <c r="K478" i="13" s="1"/>
  <c r="G1293" i="13"/>
  <c r="I1293" i="13" s="1"/>
  <c r="K1293" i="13" s="1"/>
  <c r="G2202" i="13"/>
  <c r="I2202" i="13" s="1"/>
  <c r="K2202" i="13" s="1"/>
  <c r="G423" i="13"/>
  <c r="I423" i="13" s="1"/>
  <c r="K423" i="13" s="1"/>
  <c r="G3988" i="13"/>
  <c r="I3988" i="13" s="1"/>
  <c r="G2592" i="13"/>
  <c r="I2592" i="13" s="1"/>
  <c r="G4879" i="13"/>
  <c r="I4879" i="13" s="1"/>
  <c r="K4879" i="13" s="1"/>
  <c r="G3708" i="13"/>
  <c r="I3708" i="13" s="1"/>
  <c r="K3708" i="13" s="1"/>
  <c r="G3928" i="13"/>
  <c r="I3928" i="13" s="1"/>
  <c r="K3928" i="13" s="1"/>
  <c r="G4617" i="13"/>
  <c r="I4617" i="13" s="1"/>
  <c r="K4617" i="13" s="1"/>
  <c r="G2567" i="13"/>
  <c r="I2567" i="13" s="1"/>
  <c r="K2567" i="13" s="1"/>
  <c r="G2305" i="13"/>
  <c r="I2305" i="13" s="1"/>
  <c r="K2305" i="13" s="1"/>
  <c r="G584" i="13"/>
  <c r="I584" i="13" s="1"/>
  <c r="K584" i="13" s="1"/>
  <c r="G2430" i="13"/>
  <c r="I2430" i="13" s="1"/>
  <c r="K2430" i="13" s="1"/>
  <c r="G3527" i="13"/>
  <c r="I3527" i="13" s="1"/>
  <c r="K3527" i="13" s="1"/>
  <c r="G500" i="13"/>
  <c r="I500" i="13" s="1"/>
  <c r="G2827" i="13"/>
  <c r="I2827" i="13" s="1"/>
  <c r="G2298" i="13"/>
  <c r="I2298" i="13" s="1"/>
  <c r="K2298" i="13" s="1"/>
  <c r="G1205" i="13"/>
  <c r="G2853" i="13"/>
  <c r="G1822" i="13"/>
  <c r="I1822" i="13" s="1"/>
  <c r="K1822" i="13" s="1"/>
  <c r="G3365" i="13"/>
  <c r="G4732" i="13"/>
  <c r="I4732" i="13" s="1"/>
  <c r="K4732" i="13" s="1"/>
  <c r="G4490" i="13"/>
  <c r="I4490" i="13" s="1"/>
  <c r="G2276" i="13"/>
  <c r="I2276" i="13" s="1"/>
  <c r="G261" i="13"/>
  <c r="G1466" i="13"/>
  <c r="I1466" i="13" s="1"/>
  <c r="K1466" i="13" s="1"/>
  <c r="G1991" i="13"/>
  <c r="I1991" i="13" s="1"/>
  <c r="K1991" i="13" s="1"/>
  <c r="G205" i="13"/>
  <c r="I205" i="13" s="1"/>
  <c r="K205" i="13" s="1"/>
  <c r="G1180" i="13"/>
  <c r="I1180" i="13" s="1"/>
  <c r="K1180" i="13" s="1"/>
  <c r="G4603" i="13"/>
  <c r="I4603" i="13" s="1"/>
  <c r="G3059" i="13"/>
  <c r="I3059" i="13" s="1"/>
  <c r="G4519" i="13"/>
  <c r="I4519" i="13" s="1"/>
  <c r="K4519" i="13" s="1"/>
  <c r="G4217" i="13"/>
  <c r="I4217" i="13" s="1"/>
  <c r="K4217" i="13" s="1"/>
  <c r="G2361" i="13"/>
  <c r="G2375" i="13"/>
  <c r="I2375" i="13" s="1"/>
  <c r="K2375" i="13" s="1"/>
  <c r="G4394" i="13"/>
  <c r="I4394" i="13" s="1"/>
  <c r="K4394" i="13" s="1"/>
  <c r="G2795" i="13"/>
  <c r="I2795" i="13" s="1"/>
  <c r="G1931" i="13"/>
  <c r="I1931" i="13" s="1"/>
  <c r="G4011" i="13"/>
  <c r="I4011" i="13" s="1"/>
  <c r="G1656" i="13"/>
  <c r="G1718" i="13"/>
  <c r="I1718" i="13" s="1"/>
  <c r="G2475" i="13"/>
  <c r="I2475" i="13" s="1"/>
  <c r="G486" i="13"/>
  <c r="I486" i="13" s="1"/>
  <c r="G4128" i="13"/>
  <c r="I4128" i="13" s="1"/>
  <c r="G2931" i="13"/>
  <c r="I2931" i="13" s="1"/>
  <c r="G57" i="13"/>
  <c r="G2772" i="13"/>
  <c r="I2772" i="13" s="1"/>
  <c r="G4683" i="13"/>
  <c r="I4683" i="13" s="1"/>
  <c r="G793" i="13"/>
  <c r="G1713" i="13"/>
  <c r="I1713" i="13" s="1"/>
  <c r="K1713" i="13" s="1"/>
  <c r="G39" i="13"/>
  <c r="I39" i="13" s="1"/>
  <c r="K39" i="13" s="1"/>
  <c r="G2500" i="13"/>
  <c r="I2500" i="13" s="1"/>
  <c r="G3595" i="13"/>
  <c r="I3595" i="13" s="1"/>
  <c r="G2981" i="13"/>
  <c r="G3638" i="13"/>
  <c r="I3638" i="13" s="1"/>
  <c r="G1380" i="13"/>
  <c r="I1380" i="13" s="1"/>
  <c r="G437" i="13"/>
  <c r="G1837" i="13"/>
  <c r="I1837" i="13" s="1"/>
  <c r="K1837" i="13" s="1"/>
  <c r="G4557" i="13"/>
  <c r="I4557" i="13" s="1"/>
  <c r="K4557" i="13" s="1"/>
  <c r="G1308" i="13"/>
  <c r="I1308" i="13" s="1"/>
  <c r="K1308" i="13" s="1"/>
  <c r="G2953" i="13"/>
  <c r="G2359" i="13"/>
  <c r="I2359" i="13" s="1"/>
  <c r="K2359" i="13" s="1"/>
  <c r="G4061" i="13"/>
  <c r="I4061" i="13" s="1"/>
  <c r="K4061" i="13" s="1"/>
  <c r="G206" i="13"/>
  <c r="I206" i="13" s="1"/>
  <c r="K206" i="13" s="1"/>
  <c r="G882" i="13"/>
  <c r="I882" i="13" s="1"/>
  <c r="G2285" i="13"/>
  <c r="I2285" i="13" s="1"/>
  <c r="K2285" i="13" s="1"/>
  <c r="G3534" i="13"/>
  <c r="I3534" i="13" s="1"/>
  <c r="K3534" i="13" s="1"/>
  <c r="G1859" i="13"/>
  <c r="I1859" i="13" s="1"/>
  <c r="G959" i="13"/>
  <c r="I959" i="13" s="1"/>
  <c r="K959" i="13" s="1"/>
  <c r="G283" i="13"/>
  <c r="I283" i="13" s="1"/>
  <c r="G3913" i="13"/>
  <c r="G3716" i="13"/>
  <c r="I3716" i="13" s="1"/>
  <c r="G4847" i="13"/>
  <c r="I4847" i="13" s="1"/>
  <c r="K4847" i="13" s="1"/>
  <c r="G4362" i="13"/>
  <c r="I4362" i="13" s="1"/>
  <c r="K4362" i="13" s="1"/>
  <c r="G2991" i="13"/>
  <c r="I2991" i="13" s="1"/>
  <c r="K2991" i="13" s="1"/>
  <c r="G292" i="13"/>
  <c r="I292" i="13" s="1"/>
  <c r="G2010" i="13"/>
  <c r="I2010" i="13" s="1"/>
  <c r="K2010" i="13" s="1"/>
  <c r="G3789" i="13"/>
  <c r="I3789" i="13" s="1"/>
  <c r="K3789" i="13" s="1"/>
  <c r="G3477" i="13"/>
  <c r="G516" i="13"/>
  <c r="I516" i="13" s="1"/>
  <c r="G1328" i="13"/>
  <c r="I1328" i="13" s="1"/>
  <c r="G540" i="13"/>
  <c r="I540" i="13" s="1"/>
  <c r="K540" i="13" s="1"/>
  <c r="G1029" i="13"/>
  <c r="G3135" i="13"/>
  <c r="I3135" i="13" s="1"/>
  <c r="K3135" i="13" s="1"/>
  <c r="G3118" i="13"/>
  <c r="I3118" i="13" s="1"/>
  <c r="K3118" i="13" s="1"/>
  <c r="G3410" i="13"/>
  <c r="I3410" i="13" s="1"/>
  <c r="G3774" i="13"/>
  <c r="I3774" i="13" s="1"/>
  <c r="K3774" i="13" s="1"/>
  <c r="G3408" i="13"/>
  <c r="I3408" i="13" s="1"/>
  <c r="G2738" i="13"/>
  <c r="I2738" i="13" s="1"/>
  <c r="G2259" i="13"/>
  <c r="I2259" i="13" s="1"/>
  <c r="G3692" i="13"/>
  <c r="I3692" i="13" s="1"/>
  <c r="K3692" i="13" s="1"/>
  <c r="G1157" i="13"/>
  <c r="G4788" i="13"/>
  <c r="I4788" i="13" s="1"/>
  <c r="G3968" i="13"/>
  <c r="I3968" i="13" s="1"/>
  <c r="G388" i="13"/>
  <c r="I388" i="13" s="1"/>
  <c r="G783" i="13"/>
  <c r="I783" i="13" s="1"/>
  <c r="K783" i="13" s="1"/>
  <c r="G4764" i="13"/>
  <c r="I4764" i="13" s="1"/>
  <c r="K4764" i="13" s="1"/>
  <c r="G3104" i="13"/>
  <c r="I3104" i="13" s="1"/>
  <c r="G4094" i="13"/>
  <c r="I4094" i="13" s="1"/>
  <c r="K4094" i="13" s="1"/>
  <c r="G3717" i="13"/>
  <c r="G4744" i="13"/>
  <c r="I4744" i="13" s="1"/>
  <c r="G4806" i="13"/>
  <c r="I4806" i="13" s="1"/>
  <c r="K4806" i="13" s="1"/>
  <c r="G4034" i="13"/>
  <c r="I4034" i="13" s="1"/>
  <c r="G1133" i="13"/>
  <c r="I1133" i="13" s="1"/>
  <c r="K1133" i="13" s="1"/>
  <c r="G3634" i="13"/>
  <c r="I3634" i="13" s="1"/>
  <c r="G2974" i="13"/>
  <c r="I2974" i="13" s="1"/>
  <c r="K2974" i="13" s="1"/>
  <c r="G1815" i="13"/>
  <c r="I1815" i="13" s="1"/>
  <c r="K1815" i="13" s="1"/>
  <c r="G3114" i="13"/>
  <c r="I3114" i="13" s="1"/>
  <c r="K3114" i="13" s="1"/>
  <c r="G1884" i="13"/>
  <c r="I1884" i="13" s="1"/>
  <c r="K1884" i="13" s="1"/>
  <c r="G2767" i="13"/>
  <c r="I2767" i="13" s="1"/>
  <c r="K2767" i="13" s="1"/>
  <c r="G4100" i="13"/>
  <c r="I4100" i="13" s="1"/>
  <c r="G2306" i="13"/>
  <c r="I2306" i="13" s="1"/>
  <c r="G2828" i="13"/>
  <c r="I2828" i="13" s="1"/>
  <c r="K2828" i="13" s="1"/>
  <c r="G1340" i="13"/>
  <c r="I1340" i="13" s="1"/>
  <c r="K1340" i="13" s="1"/>
  <c r="G4088" i="13"/>
  <c r="I4088" i="13" s="1"/>
  <c r="G3796" i="13"/>
  <c r="I3796" i="13" s="1"/>
  <c r="G2544" i="13"/>
  <c r="I2544" i="13" s="1"/>
  <c r="G3443" i="13"/>
  <c r="I3443" i="13" s="1"/>
  <c r="G4146" i="13"/>
  <c r="I4146" i="13" s="1"/>
  <c r="G921" i="13"/>
  <c r="G1989" i="13"/>
  <c r="G541" i="13"/>
  <c r="I541" i="13" s="1"/>
  <c r="K541" i="13" s="1"/>
  <c r="G2814" i="13"/>
  <c r="I2814" i="13" s="1"/>
  <c r="K2814" i="13" s="1"/>
  <c r="G1226" i="13"/>
  <c r="I1226" i="13" s="1"/>
  <c r="K1226" i="13" s="1"/>
  <c r="G4145" i="13"/>
  <c r="I4145" i="13" s="1"/>
  <c r="K4145" i="13" s="1"/>
  <c r="G1464" i="13"/>
  <c r="G2950" i="13"/>
  <c r="I2950" i="13" s="1"/>
  <c r="G2611" i="13"/>
  <c r="I2611" i="13" s="1"/>
  <c r="K2611" i="13" s="1"/>
  <c r="G4838" i="13"/>
  <c r="I4838" i="13" s="1"/>
  <c r="G3868" i="13"/>
  <c r="I3868" i="13" s="1"/>
  <c r="K3868" i="13" s="1"/>
  <c r="G4595" i="13"/>
  <c r="I4595" i="13" s="1"/>
  <c r="G779" i="13"/>
  <c r="I779" i="13" s="1"/>
  <c r="G445" i="13"/>
  <c r="I445" i="13" s="1"/>
  <c r="K445" i="13" s="1"/>
  <c r="G3163" i="13"/>
  <c r="I3163" i="13" s="1"/>
  <c r="G5" i="13"/>
  <c r="G3374" i="13"/>
  <c r="I3374" i="13" s="1"/>
  <c r="K3374" i="13" s="1"/>
  <c r="G2387" i="13"/>
  <c r="I2387" i="13" s="1"/>
  <c r="G546" i="13"/>
  <c r="I546" i="13" s="1"/>
  <c r="G557" i="13"/>
  <c r="I557" i="13" s="1"/>
  <c r="K557" i="13" s="1"/>
  <c r="G398" i="13"/>
  <c r="I398" i="13" s="1"/>
  <c r="K398" i="13" s="1"/>
  <c r="G405" i="13"/>
  <c r="G1017" i="13"/>
  <c r="G973" i="13"/>
  <c r="I973" i="13" s="1"/>
  <c r="K973" i="13" s="1"/>
  <c r="G2824" i="13"/>
  <c r="I2824" i="13" s="1"/>
  <c r="K2824" i="13" s="1"/>
  <c r="G836" i="13"/>
  <c r="I836" i="13" s="1"/>
  <c r="G4748" i="13"/>
  <c r="I4748" i="13" s="1"/>
  <c r="K4748" i="13" s="1"/>
  <c r="G4136" i="13"/>
  <c r="I4136" i="13" s="1"/>
  <c r="G841" i="13"/>
  <c r="G235" i="13"/>
  <c r="I235" i="13" s="1"/>
  <c r="G2334" i="13"/>
  <c r="I2334" i="13" s="1"/>
  <c r="K2334" i="13" s="1"/>
  <c r="G1109" i="13"/>
  <c r="G424" i="13"/>
  <c r="G2851" i="13"/>
  <c r="I2851" i="13" s="1"/>
  <c r="G3546" i="13"/>
  <c r="I3546" i="13" s="1"/>
  <c r="K3546" i="13" s="1"/>
  <c r="G3261" i="13"/>
  <c r="I3261" i="13" s="1"/>
  <c r="K3261" i="13" s="1"/>
  <c r="G2992" i="13"/>
  <c r="I2992" i="13" s="1"/>
  <c r="G2251" i="13"/>
  <c r="I2251" i="13" s="1"/>
  <c r="G4451" i="13"/>
  <c r="I4451" i="13" s="1"/>
  <c r="G1343" i="13"/>
  <c r="I1343" i="13" s="1"/>
  <c r="K1343" i="13" s="1"/>
  <c r="G1075" i="13"/>
  <c r="I1075" i="13" s="1"/>
  <c r="K1075" i="13" s="1"/>
  <c r="G796" i="13"/>
  <c r="I796" i="13" s="1"/>
  <c r="K796" i="13" s="1"/>
  <c r="G4160" i="13"/>
  <c r="I4160" i="13" s="1"/>
  <c r="G3046" i="13"/>
  <c r="I3046" i="13" s="1"/>
  <c r="G3455" i="13"/>
  <c r="I3455" i="13" s="1"/>
  <c r="K3455" i="13" s="1"/>
  <c r="G1682" i="13"/>
  <c r="I1682" i="13" s="1"/>
  <c r="G3771" i="13"/>
  <c r="I3771" i="13" s="1"/>
  <c r="G425" i="13"/>
  <c r="G1347" i="13"/>
  <c r="I1347" i="13" s="1"/>
  <c r="G3272" i="13"/>
  <c r="I3272" i="13" s="1"/>
  <c r="G3142" i="13"/>
  <c r="I3142" i="13" s="1"/>
  <c r="G1872" i="13"/>
  <c r="I1872" i="13" s="1"/>
  <c r="G585" i="13"/>
  <c r="I585" i="13" s="1"/>
  <c r="K585" i="13" s="1"/>
  <c r="G2769" i="13"/>
  <c r="I2769" i="13" s="1"/>
  <c r="K2769" i="13" s="1"/>
  <c r="G1617" i="13"/>
  <c r="I1617" i="13" s="1"/>
  <c r="K1617" i="13" s="1"/>
  <c r="G931" i="13"/>
  <c r="I931" i="13" s="1"/>
  <c r="G3400" i="13"/>
  <c r="I3400" i="13" s="1"/>
  <c r="K3400" i="13" s="1"/>
  <c r="G3492" i="13"/>
  <c r="I3492" i="13" s="1"/>
  <c r="G4471" i="13"/>
  <c r="I4471" i="13" s="1"/>
  <c r="G2604" i="13"/>
  <c r="I2604" i="13" s="1"/>
  <c r="K2604" i="13" s="1"/>
  <c r="G4841" i="13"/>
  <c r="I4841" i="13" s="1"/>
  <c r="K4841" i="13" s="1"/>
  <c r="G4213" i="13"/>
  <c r="G4219" i="13"/>
  <c r="I4219" i="13" s="1"/>
  <c r="G3270" i="13"/>
  <c r="I3270" i="13" s="1"/>
  <c r="G4662" i="13"/>
  <c r="I4662" i="13" s="1"/>
  <c r="G4717" i="13"/>
  <c r="I4717" i="13" s="1"/>
  <c r="K4717" i="13" s="1"/>
  <c r="G4299" i="13"/>
  <c r="I4299" i="13" s="1"/>
  <c r="G3087" i="13"/>
  <c r="I3087" i="13" s="1"/>
  <c r="K3087" i="13" s="1"/>
  <c r="G1181" i="13"/>
  <c r="I1181" i="13" s="1"/>
  <c r="K1181" i="13" s="1"/>
  <c r="G4669" i="13"/>
  <c r="I4669" i="13" s="1"/>
  <c r="K4669" i="13" s="1"/>
  <c r="G429" i="13"/>
  <c r="I429" i="13" s="1"/>
  <c r="K429" i="13" s="1"/>
  <c r="G4144" i="13"/>
  <c r="I4144" i="13" s="1"/>
  <c r="G2429" i="13"/>
  <c r="I2429" i="13" s="1"/>
  <c r="K2429" i="13" s="1"/>
  <c r="G4175" i="13"/>
  <c r="I4175" i="13" s="1"/>
  <c r="K4175" i="13" s="1"/>
  <c r="G2385" i="13"/>
  <c r="I2385" i="13" s="1"/>
  <c r="K2385" i="13" s="1"/>
  <c r="G3187" i="13"/>
  <c r="I3187" i="13" s="1"/>
  <c r="K3187" i="13" s="1"/>
  <c r="G3166" i="13"/>
  <c r="I3166" i="13" s="1"/>
  <c r="K3166" i="13" s="1"/>
  <c r="G2766" i="13"/>
  <c r="I2766" i="13" s="1"/>
  <c r="K2766" i="13" s="1"/>
  <c r="G3058" i="13"/>
  <c r="I3058" i="13" s="1"/>
  <c r="G41" i="13"/>
  <c r="G4343" i="13"/>
  <c r="I4343" i="13" s="1"/>
  <c r="G4534" i="13"/>
  <c r="I4534" i="13" s="1"/>
  <c r="G4577" i="13"/>
  <c r="I4577" i="13" s="1"/>
  <c r="K4577" i="13" s="1"/>
  <c r="G2420" i="13"/>
  <c r="I2420" i="13" s="1"/>
  <c r="G4334" i="13"/>
  <c r="I4334" i="13" s="1"/>
  <c r="K4334" i="13" s="1"/>
  <c r="G3646" i="13"/>
  <c r="I3646" i="13" s="1"/>
  <c r="K3646" i="13" s="1"/>
  <c r="G137" i="13"/>
  <c r="G1825" i="13"/>
  <c r="I1825" i="13" s="1"/>
  <c r="K1825" i="13" s="1"/>
  <c r="G420" i="13"/>
  <c r="I420" i="13" s="1"/>
  <c r="G740" i="13"/>
  <c r="I740" i="13" s="1"/>
  <c r="G755" i="13"/>
  <c r="I755" i="13" s="1"/>
  <c r="G2126" i="13"/>
  <c r="I2126" i="13" s="1"/>
  <c r="K2126" i="13" s="1"/>
  <c r="G1030" i="13"/>
  <c r="I1030" i="13" s="1"/>
  <c r="G1954" i="13"/>
  <c r="I1954" i="13" s="1"/>
  <c r="G4703" i="13"/>
  <c r="I4703" i="13" s="1"/>
  <c r="K4703" i="13" s="1"/>
  <c r="G924" i="13"/>
  <c r="I924" i="13" s="1"/>
  <c r="K924" i="13" s="1"/>
  <c r="G4529" i="13"/>
  <c r="I4529" i="13" s="1"/>
  <c r="K4529" i="13" s="1"/>
  <c r="G2684" i="13"/>
  <c r="I2684" i="13" s="1"/>
  <c r="K2684" i="13" s="1"/>
  <c r="G3329" i="13"/>
  <c r="I3329" i="13" s="1"/>
  <c r="K3329" i="13" s="1"/>
  <c r="G4628" i="13"/>
  <c r="I4628" i="13" s="1"/>
  <c r="G1120" i="13"/>
  <c r="I1120" i="13" s="1"/>
  <c r="G923" i="13"/>
  <c r="I923" i="13" s="1"/>
  <c r="G3147" i="13"/>
  <c r="I3147" i="13" s="1"/>
  <c r="G1353" i="13"/>
  <c r="I1353" i="13" s="1"/>
  <c r="K1353" i="13" s="1"/>
  <c r="G2156" i="13"/>
  <c r="I2156" i="13" s="1"/>
  <c r="K2156" i="13" s="1"/>
  <c r="G4158" i="13"/>
  <c r="I4158" i="13" s="1"/>
  <c r="K4158" i="13" s="1"/>
  <c r="G3113" i="13"/>
  <c r="G430" i="13"/>
  <c r="I430" i="13" s="1"/>
  <c r="K430" i="13" s="1"/>
  <c r="G4369" i="13"/>
  <c r="I4369" i="13" s="1"/>
  <c r="K4369" i="13" s="1"/>
  <c r="G1490" i="13"/>
  <c r="I1490" i="13" s="1"/>
  <c r="G4598" i="13"/>
  <c r="I4598" i="13" s="1"/>
  <c r="K4598" i="13" s="1"/>
  <c r="G1844" i="13"/>
  <c r="I1844" i="13" s="1"/>
  <c r="G2863" i="13"/>
  <c r="I2863" i="13" s="1"/>
  <c r="K2863" i="13" s="1"/>
  <c r="G2288" i="13"/>
  <c r="I2288" i="13" s="1"/>
  <c r="G646" i="13"/>
  <c r="I646" i="13" s="1"/>
  <c r="G2337" i="13"/>
  <c r="I2337" i="13" s="1"/>
  <c r="K2337" i="13" s="1"/>
  <c r="G389" i="13"/>
  <c r="G1937" i="13"/>
  <c r="I1937" i="13" s="1"/>
  <c r="K1937" i="13" s="1"/>
  <c r="G3435" i="13"/>
  <c r="I3435" i="13" s="1"/>
  <c r="G3993" i="13"/>
  <c r="I3993" i="13" s="1"/>
  <c r="K3993" i="13" s="1"/>
  <c r="G223" i="13"/>
  <c r="I223" i="13" s="1"/>
  <c r="K223" i="13" s="1"/>
  <c r="G2228" i="13"/>
  <c r="I2228" i="13" s="1"/>
  <c r="G3666" i="13"/>
  <c r="I3666" i="13" s="1"/>
  <c r="G1773" i="13"/>
  <c r="I1773" i="13" s="1"/>
  <c r="K1773" i="13" s="1"/>
  <c r="G1085" i="13"/>
  <c r="I1085" i="13" s="1"/>
  <c r="K1085" i="13" s="1"/>
  <c r="G1303" i="13"/>
  <c r="I1303" i="13" s="1"/>
  <c r="K1303" i="13" s="1"/>
  <c r="G4864" i="13"/>
  <c r="I4864" i="13" s="1"/>
  <c r="G21" i="13"/>
  <c r="G3711" i="13"/>
  <c r="I3711" i="13" s="1"/>
  <c r="K3711" i="13" s="1"/>
  <c r="G1715" i="13"/>
  <c r="I1715" i="13" s="1"/>
  <c r="G488" i="13"/>
  <c r="G1144" i="13"/>
  <c r="I1144" i="13" s="1"/>
  <c r="K1144" i="13" s="1"/>
  <c r="G2372" i="13"/>
  <c r="I2372" i="13" s="1"/>
  <c r="G695" i="13"/>
  <c r="I695" i="13" s="1"/>
  <c r="K695" i="13" s="1"/>
  <c r="G2490" i="13"/>
  <c r="I2490" i="13" s="1"/>
  <c r="K2490" i="13" s="1"/>
  <c r="G2486" i="13"/>
  <c r="I2486" i="13" s="1"/>
  <c r="G1604" i="13"/>
  <c r="I1604" i="13" s="1"/>
  <c r="G2608" i="13"/>
  <c r="I2608" i="13" s="1"/>
  <c r="G790" i="13"/>
  <c r="I790" i="13" s="1"/>
  <c r="G3095" i="13"/>
  <c r="I3095" i="13" s="1"/>
  <c r="G2219" i="13"/>
  <c r="I2219" i="13" s="1"/>
  <c r="G2835" i="13"/>
  <c r="I2835" i="13" s="1"/>
  <c r="G1154" i="13"/>
  <c r="I1154" i="13" s="1"/>
  <c r="G2168" i="13"/>
  <c r="G1182" i="13"/>
  <c r="I1182" i="13" s="1"/>
  <c r="K1182" i="13" s="1"/>
  <c r="G4839" i="13"/>
  <c r="I4839" i="13" s="1"/>
  <c r="G4009" i="13"/>
  <c r="I4009" i="13" s="1"/>
  <c r="K4009" i="13" s="1"/>
  <c r="G4656" i="13"/>
  <c r="I4656" i="13" s="1"/>
  <c r="G1212" i="13"/>
  <c r="I1212" i="13" s="1"/>
  <c r="K1212" i="13" s="1"/>
  <c r="G1268" i="13"/>
  <c r="I1268" i="13" s="1"/>
  <c r="G4492" i="13"/>
  <c r="I4492" i="13" s="1"/>
  <c r="K4492" i="13" s="1"/>
  <c r="G3608" i="13"/>
  <c r="G1110" i="13"/>
  <c r="I1110" i="13" s="1"/>
  <c r="G3434" i="13"/>
  <c r="I3434" i="13" s="1"/>
  <c r="K3434" i="13" s="1"/>
  <c r="G817" i="13"/>
  <c r="I817" i="13" s="1"/>
  <c r="K817" i="13" s="1"/>
  <c r="G3157" i="13"/>
  <c r="G1403" i="13"/>
  <c r="I1403" i="13" s="1"/>
  <c r="G3725" i="13"/>
  <c r="I3725" i="13" s="1"/>
  <c r="K3725" i="13" s="1"/>
  <c r="G2157" i="13"/>
  <c r="I2157" i="13" s="1"/>
  <c r="K2157" i="13" s="1"/>
  <c r="G2498" i="13"/>
  <c r="I2498" i="13" s="1"/>
  <c r="G2023" i="13"/>
  <c r="I2023" i="13" s="1"/>
  <c r="K2023" i="13" s="1"/>
  <c r="G2309" i="13"/>
  <c r="G1959" i="13"/>
  <c r="I1959" i="13" s="1"/>
  <c r="K1959" i="13" s="1"/>
  <c r="G1479" i="13"/>
  <c r="I1479" i="13" s="1"/>
  <c r="K1479" i="13" s="1"/>
  <c r="G419" i="13"/>
  <c r="I419" i="13" s="1"/>
  <c r="G3198" i="13"/>
  <c r="I3198" i="13" s="1"/>
  <c r="K3198" i="13" s="1"/>
  <c r="G4893" i="13"/>
  <c r="I4893" i="13" s="1"/>
  <c r="K4893" i="13" s="1"/>
  <c r="G4458" i="13"/>
  <c r="I4458" i="13" s="1"/>
  <c r="G2969" i="13"/>
  <c r="G2732" i="13"/>
  <c r="I2732" i="13" s="1"/>
  <c r="K2732" i="13" s="1"/>
  <c r="G866" i="13"/>
  <c r="I866" i="13" s="1"/>
  <c r="K866" i="13" s="1"/>
  <c r="G2781" i="13"/>
  <c r="I2781" i="13" s="1"/>
  <c r="K2781" i="13" s="1"/>
  <c r="G3446" i="13"/>
  <c r="I3446" i="13" s="1"/>
  <c r="G3004" i="13"/>
  <c r="I3004" i="13" s="1"/>
  <c r="K3004" i="13" s="1"/>
  <c r="G3483" i="13"/>
  <c r="I3483" i="13" s="1"/>
  <c r="G2868" i="13"/>
  <c r="I2868" i="13" s="1"/>
  <c r="G1275" i="13"/>
  <c r="I1275" i="13" s="1"/>
  <c r="G1698" i="13"/>
  <c r="I1698" i="13" s="1"/>
  <c r="G3301" i="13"/>
  <c r="G1052" i="13"/>
  <c r="I1052" i="13" s="1"/>
  <c r="K1052" i="13" s="1"/>
  <c r="G2062" i="13"/>
  <c r="I2062" i="13" s="1"/>
  <c r="K2062" i="13" s="1"/>
  <c r="G3611" i="13"/>
  <c r="I3611" i="13" s="1"/>
  <c r="G2711" i="13"/>
  <c r="I2711" i="13" s="1"/>
  <c r="K2711" i="13" s="1"/>
  <c r="G302" i="13"/>
  <c r="I302" i="13" s="1"/>
  <c r="K302" i="13" s="1"/>
  <c r="G3161" i="13"/>
  <c r="G4786" i="13"/>
  <c r="I4786" i="13" s="1"/>
  <c r="G3778" i="13"/>
  <c r="I3778" i="13" s="1"/>
  <c r="G692" i="13"/>
  <c r="I692" i="13" s="1"/>
  <c r="G4469" i="13"/>
  <c r="G969" i="13"/>
  <c r="I969" i="13" s="1"/>
  <c r="K969" i="13" s="1"/>
  <c r="G4823" i="13"/>
  <c r="I4823" i="13" s="1"/>
  <c r="K4823" i="13" s="1"/>
  <c r="G3827" i="13"/>
  <c r="I3827" i="13" s="1"/>
  <c r="G651" i="13"/>
  <c r="I651" i="13" s="1"/>
  <c r="G2964" i="13"/>
  <c r="I2964" i="13" s="1"/>
  <c r="G4245" i="13"/>
  <c r="G2510" i="13"/>
  <c r="I2510" i="13" s="1"/>
  <c r="K2510" i="13" s="1"/>
  <c r="G985" i="13"/>
  <c r="I985" i="13" s="1"/>
  <c r="K985" i="13" s="1"/>
  <c r="G2271" i="13"/>
  <c r="I2271" i="13" s="1"/>
  <c r="K2271" i="13" s="1"/>
  <c r="G1507" i="13"/>
  <c r="I1507" i="13" s="1"/>
  <c r="G1137" i="13"/>
  <c r="I1137" i="13" s="1"/>
  <c r="K1137" i="13" s="1"/>
  <c r="G2733" i="13"/>
  <c r="I2733" i="13" s="1"/>
  <c r="K2733" i="13" s="1"/>
  <c r="G3539" i="13"/>
  <c r="I3539" i="13" s="1"/>
  <c r="G4039" i="13"/>
  <c r="I4039" i="13" s="1"/>
  <c r="G733" i="13"/>
  <c r="I733" i="13" s="1"/>
  <c r="K733" i="13" s="1"/>
  <c r="G3560" i="13"/>
  <c r="I3560" i="13" s="1"/>
  <c r="G2545" i="13"/>
  <c r="I2545" i="13" s="1"/>
  <c r="K2545" i="13" s="1"/>
  <c r="G863" i="13"/>
  <c r="I863" i="13" s="1"/>
  <c r="K863" i="13" s="1"/>
  <c r="G883" i="13"/>
  <c r="I883" i="13" s="1"/>
  <c r="G4125" i="13"/>
  <c r="I4125" i="13" s="1"/>
  <c r="K4125" i="13" s="1"/>
  <c r="G2998" i="13"/>
  <c r="I2998" i="13" s="1"/>
  <c r="G4231" i="13"/>
  <c r="I4231" i="13" s="1"/>
  <c r="G825" i="13"/>
  <c r="G4022" i="13"/>
  <c r="I4022" i="13" s="1"/>
  <c r="G4505" i="13"/>
  <c r="I4505" i="13" s="1"/>
  <c r="K4505" i="13" s="1"/>
  <c r="G2068" i="13"/>
  <c r="I2068" i="13" s="1"/>
  <c r="G1374" i="13"/>
  <c r="I1374" i="13" s="1"/>
  <c r="K1374" i="13" s="1"/>
  <c r="G1973" i="13"/>
  <c r="G1650" i="13"/>
  <c r="I1650" i="13" s="1"/>
  <c r="G2740" i="13"/>
  <c r="I2740" i="13" s="1"/>
  <c r="G3853" i="13"/>
  <c r="I3853" i="13" s="1"/>
  <c r="K3853" i="13" s="1"/>
  <c r="G3130" i="13"/>
  <c r="I3130" i="13" s="1"/>
  <c r="K3130" i="13" s="1"/>
  <c r="G3465" i="13"/>
  <c r="G1768" i="13"/>
  <c r="G599" i="13"/>
  <c r="I599" i="13" s="1"/>
  <c r="K599" i="13" s="1"/>
  <c r="G3480" i="13"/>
  <c r="I3480" i="13" s="1"/>
  <c r="K3480" i="13" s="1"/>
  <c r="G2323" i="13"/>
  <c r="I2323" i="13" s="1"/>
  <c r="G1750" i="13"/>
  <c r="I1750" i="13" s="1"/>
  <c r="G3195" i="13"/>
  <c r="I3195" i="13" s="1"/>
  <c r="K3195" i="13" s="1"/>
  <c r="G2452" i="13"/>
  <c r="I2452" i="13" s="1"/>
  <c r="G1943" i="13"/>
  <c r="I1943" i="13" s="1"/>
  <c r="K1943" i="13" s="1"/>
  <c r="G2495" i="13"/>
  <c r="I2495" i="13" s="1"/>
  <c r="K2495" i="13" s="1"/>
  <c r="G1257" i="13"/>
  <c r="G1965" i="13"/>
  <c r="I1965" i="13" s="1"/>
  <c r="K1965" i="13" s="1"/>
  <c r="G849" i="13"/>
  <c r="I849" i="13" s="1"/>
  <c r="K849" i="13" s="1"/>
  <c r="G1625" i="13"/>
  <c r="G3502" i="13"/>
  <c r="I3502" i="13" s="1"/>
  <c r="K3502" i="13" s="1"/>
  <c r="G4178" i="13"/>
  <c r="I4178" i="13" s="1"/>
  <c r="G4063" i="13"/>
  <c r="I4063" i="13" s="1"/>
  <c r="K4063" i="13" s="1"/>
  <c r="G2670" i="13"/>
  <c r="I2670" i="13" s="1"/>
  <c r="K2670" i="13" s="1"/>
  <c r="G3416" i="13"/>
  <c r="I3416" i="13" s="1"/>
  <c r="G946" i="13"/>
  <c r="I946" i="13" s="1"/>
  <c r="G272" i="13"/>
  <c r="I272" i="13" s="1"/>
  <c r="G2816" i="13"/>
  <c r="I2816" i="13" s="1"/>
  <c r="G4681" i="13"/>
  <c r="I4681" i="13" s="1"/>
  <c r="K4681" i="13" s="1"/>
  <c r="G3444" i="13"/>
  <c r="I3444" i="13" s="1"/>
  <c r="G525" i="13"/>
  <c r="I525" i="13" s="1"/>
  <c r="K525" i="13" s="1"/>
  <c r="G4514" i="13"/>
  <c r="I4514" i="13" s="1"/>
  <c r="G198" i="13"/>
  <c r="I198" i="13" s="1"/>
  <c r="G4868" i="13"/>
  <c r="I4868" i="13" s="1"/>
  <c r="G4890" i="13"/>
  <c r="I4890" i="13" s="1"/>
  <c r="G1419" i="13"/>
  <c r="I1419" i="13" s="1"/>
  <c r="G3022" i="13"/>
  <c r="I3022" i="13" s="1"/>
  <c r="K3022" i="13" s="1"/>
  <c r="G2364" i="13"/>
  <c r="I2364" i="13" s="1"/>
  <c r="K2364" i="13" s="1"/>
  <c r="G4443" i="13"/>
  <c r="I4443" i="13" s="1"/>
  <c r="G2593" i="13"/>
  <c r="I2593" i="13" s="1"/>
  <c r="K2593" i="13" s="1"/>
  <c r="G1806" i="13"/>
  <c r="I1806" i="13" s="1"/>
  <c r="K1806" i="13" s="1"/>
  <c r="G1491" i="13"/>
  <c r="I1491" i="13" s="1"/>
  <c r="G2620" i="13"/>
  <c r="I2620" i="13" s="1"/>
  <c r="K2620" i="13" s="1"/>
  <c r="G247" i="13"/>
  <c r="I247" i="13" s="1"/>
  <c r="K247" i="13" s="1"/>
  <c r="G1626" i="13"/>
  <c r="I1626" i="13" s="1"/>
  <c r="K1626" i="13" s="1"/>
  <c r="G3377" i="13"/>
  <c r="I3377" i="13" s="1"/>
  <c r="K3377" i="13" s="1"/>
  <c r="G2674" i="13"/>
  <c r="I2674" i="13" s="1"/>
  <c r="G3192" i="13"/>
  <c r="I3192" i="13" s="1"/>
  <c r="G4323" i="13"/>
  <c r="I4323" i="13" s="1"/>
  <c r="G1486" i="13"/>
  <c r="I1486" i="13" s="1"/>
  <c r="K1486" i="13" s="1"/>
  <c r="G996" i="13"/>
  <c r="I996" i="13" s="1"/>
  <c r="G172" i="13"/>
  <c r="I172" i="13" s="1"/>
  <c r="K172" i="13" s="1"/>
  <c r="G663" i="13"/>
  <c r="I663" i="13" s="1"/>
  <c r="K663" i="13" s="1"/>
  <c r="G2558" i="13"/>
  <c r="I2558" i="13" s="1"/>
  <c r="K2558" i="13" s="1"/>
  <c r="G784" i="13"/>
  <c r="I784" i="13" s="1"/>
  <c r="G1363" i="13"/>
  <c r="I1363" i="13" s="1"/>
  <c r="G3162" i="13"/>
  <c r="I3162" i="13" s="1"/>
  <c r="K3162" i="13" s="1"/>
  <c r="G2480" i="13"/>
  <c r="I2480" i="13" s="1"/>
  <c r="G1086" i="13"/>
  <c r="I1086" i="13" s="1"/>
  <c r="K1086" i="13" s="1"/>
  <c r="G2150" i="13"/>
  <c r="I2150" i="13" s="1"/>
  <c r="G4013" i="13"/>
  <c r="I4013" i="13" s="1"/>
  <c r="K4013" i="13" s="1"/>
  <c r="G3536" i="13"/>
  <c r="I3536" i="13" s="1"/>
  <c r="G3291" i="13"/>
  <c r="I3291" i="13" s="1"/>
  <c r="G2025" i="13"/>
  <c r="G1986" i="13"/>
  <c r="I1986" i="13" s="1"/>
  <c r="G2845" i="13"/>
  <c r="I2845" i="13" s="1"/>
  <c r="K2845" i="13" s="1"/>
  <c r="G4462" i="13"/>
  <c r="I4462" i="13" s="1"/>
  <c r="K4462" i="13" s="1"/>
  <c r="G3133" i="13"/>
  <c r="I3133" i="13" s="1"/>
  <c r="K3133" i="13" s="1"/>
  <c r="G2580" i="13"/>
  <c r="I2580" i="13" s="1"/>
  <c r="G2898" i="13"/>
  <c r="I2898" i="13" s="1"/>
  <c r="G4783" i="13"/>
  <c r="I4783" i="13" s="1"/>
  <c r="K4783" i="13" s="1"/>
  <c r="G4131" i="13"/>
  <c r="I4131" i="13" s="1"/>
  <c r="G2304" i="13"/>
  <c r="I2304" i="13" s="1"/>
  <c r="G1802" i="13"/>
  <c r="I1802" i="13" s="1"/>
  <c r="K1802" i="13" s="1"/>
  <c r="G4742" i="13"/>
  <c r="I4742" i="13" s="1"/>
  <c r="G3591" i="13"/>
  <c r="I3591" i="13" s="1"/>
  <c r="G1911" i="13"/>
  <c r="I1911" i="13" s="1"/>
  <c r="K1911" i="13" s="1"/>
  <c r="G2338" i="13"/>
  <c r="I2338" i="13" s="1"/>
  <c r="G726" i="13"/>
  <c r="I726" i="13" s="1"/>
  <c r="G3390" i="13"/>
  <c r="I3390" i="13" s="1"/>
  <c r="K3390" i="13" s="1"/>
  <c r="G962" i="13"/>
  <c r="I962" i="13" s="1"/>
  <c r="G1113" i="13"/>
  <c r="G1608" i="13"/>
  <c r="I1608" i="13" s="1"/>
  <c r="K1608" i="13" s="1"/>
  <c r="G4000" i="13"/>
  <c r="I4000" i="13" s="1"/>
  <c r="G1439" i="13"/>
  <c r="I1439" i="13" s="1"/>
  <c r="K1439" i="13" s="1"/>
  <c r="G1611" i="13"/>
  <c r="I1611" i="13" s="1"/>
  <c r="G3832" i="13"/>
  <c r="I3832" i="13" s="1"/>
  <c r="G4423" i="13"/>
  <c r="I4423" i="13" s="1"/>
  <c r="K4423" i="13" s="1"/>
  <c r="G414" i="13"/>
  <c r="I414" i="13" s="1"/>
  <c r="K414" i="13" s="1"/>
  <c r="G1657" i="13"/>
  <c r="G2656" i="13"/>
  <c r="I2656" i="13" s="1"/>
  <c r="G1917" i="13"/>
  <c r="I1917" i="13" s="1"/>
  <c r="K1917" i="13" s="1"/>
  <c r="G133" i="13"/>
  <c r="I133" i="13" s="1"/>
  <c r="K133" i="13" s="1"/>
  <c r="G1744" i="13"/>
  <c r="I1744" i="13" s="1"/>
  <c r="G4417" i="13"/>
  <c r="I4417" i="13" s="1"/>
  <c r="K4417" i="13" s="1"/>
  <c r="G2381" i="13"/>
  <c r="I2381" i="13" s="1"/>
  <c r="K2381" i="13" s="1"/>
  <c r="G4679" i="13"/>
  <c r="I4679" i="13" s="1"/>
  <c r="G3846" i="13"/>
  <c r="I3846" i="13" s="1"/>
  <c r="G682" i="13"/>
  <c r="I682" i="13" s="1"/>
  <c r="K682" i="13" s="1"/>
  <c r="G3344" i="13"/>
  <c r="I3344" i="13" s="1"/>
  <c r="G2645" i="13"/>
  <c r="G1509" i="13"/>
  <c r="G103" i="13"/>
  <c r="I103" i="13" s="1"/>
  <c r="K103" i="13" s="1"/>
  <c r="G426" i="13"/>
  <c r="I426" i="13" s="1"/>
  <c r="K426" i="13" s="1"/>
  <c r="G4435" i="13"/>
  <c r="I4435" i="13" s="1"/>
  <c r="G531" i="13"/>
  <c r="I531" i="13" s="1"/>
  <c r="G635" i="13"/>
  <c r="I635" i="13" s="1"/>
  <c r="G2106" i="13"/>
  <c r="I2106" i="13" s="1"/>
  <c r="K2106" i="13" s="1"/>
  <c r="G1413" i="13"/>
  <c r="I1413" i="13" s="1"/>
  <c r="K1413" i="13" s="1"/>
  <c r="G1138" i="13"/>
  <c r="I1138" i="13" s="1"/>
  <c r="G195" i="13"/>
  <c r="I195" i="13" s="1"/>
  <c r="G2789" i="13"/>
  <c r="G3906" i="13"/>
  <c r="I3906" i="13" s="1"/>
  <c r="G4032" i="13"/>
  <c r="I4032" i="13" s="1"/>
  <c r="G4159" i="13"/>
  <c r="I4159" i="13" s="1"/>
  <c r="K4159" i="13" s="1"/>
  <c r="G1615" i="13"/>
  <c r="I1615" i="13" s="1"/>
  <c r="K1615" i="13" s="1"/>
  <c r="G1736" i="13"/>
  <c r="G2760" i="13"/>
  <c r="G3929" i="13"/>
  <c r="I3929" i="13" s="1"/>
  <c r="K3929" i="13" s="1"/>
  <c r="G4438" i="13"/>
  <c r="I4438" i="13" s="1"/>
  <c r="K4438" i="13" s="1"/>
  <c r="G4450" i="13"/>
  <c r="I4450" i="13" s="1"/>
  <c r="G918" i="13"/>
  <c r="I918" i="13" s="1"/>
  <c r="G760" i="13"/>
  <c r="G1692" i="13"/>
  <c r="I1692" i="13" s="1"/>
  <c r="K1692" i="13" s="1"/>
  <c r="G785" i="13"/>
  <c r="I785" i="13" s="1"/>
  <c r="K785" i="13" s="1"/>
  <c r="G1236" i="13"/>
  <c r="I1236" i="13" s="1"/>
  <c r="G2211" i="13"/>
  <c r="I2211" i="13" s="1"/>
  <c r="G1039" i="13"/>
  <c r="I1039" i="13" s="1"/>
  <c r="K1039" i="13" s="1"/>
  <c r="G4086" i="13"/>
  <c r="I4086" i="13" s="1"/>
  <c r="G903" i="13"/>
  <c r="I903" i="13" s="1"/>
  <c r="K903" i="13" s="1"/>
  <c r="G2050" i="13"/>
  <c r="I2050" i="13" s="1"/>
  <c r="G2035" i="13"/>
  <c r="I2035" i="13" s="1"/>
  <c r="G3749" i="13"/>
  <c r="G1648" i="13"/>
  <c r="I1648" i="13" s="1"/>
  <c r="G3653" i="13"/>
  <c r="G3566" i="13"/>
  <c r="I3566" i="13" s="1"/>
  <c r="K3566" i="13" s="1"/>
  <c r="G3726" i="13"/>
  <c r="I3726" i="13" s="1"/>
  <c r="K3726" i="13" s="1"/>
  <c r="G1865" i="13"/>
  <c r="G1639" i="13"/>
  <c r="I1639" i="13" s="1"/>
  <c r="K1639" i="13" s="1"/>
  <c r="G4152" i="13"/>
  <c r="I4152" i="13" s="1"/>
  <c r="G1472" i="13"/>
  <c r="I1472" i="13" s="1"/>
  <c r="G4782" i="13"/>
  <c r="I4782" i="13" s="1"/>
  <c r="K4782" i="13" s="1"/>
  <c r="G870" i="13"/>
  <c r="I870" i="13" s="1"/>
  <c r="G4852" i="13"/>
  <c r="I4852" i="13" s="1"/>
  <c r="G653" i="13"/>
  <c r="I653" i="13" s="1"/>
  <c r="K653" i="13" s="1"/>
  <c r="G4194" i="13"/>
  <c r="I4194" i="13" s="1"/>
  <c r="G2690" i="13"/>
  <c r="I2690" i="13" s="1"/>
  <c r="G421" i="13"/>
  <c r="G3743" i="13"/>
  <c r="I3743" i="13" s="1"/>
  <c r="K3743" i="13" s="1"/>
  <c r="G3958" i="13"/>
  <c r="I3958" i="13" s="1"/>
  <c r="G4413" i="13"/>
  <c r="I4413" i="13" s="1"/>
  <c r="K4413" i="13" s="1"/>
  <c r="G1813" i="13"/>
  <c r="G1206" i="13"/>
  <c r="I1206" i="13" s="1"/>
  <c r="G3790" i="13"/>
  <c r="I3790" i="13" s="1"/>
  <c r="K3790" i="13" s="1"/>
  <c r="G1395" i="13"/>
  <c r="I1395" i="13" s="1"/>
  <c r="G4387" i="13"/>
  <c r="I4387" i="13" s="1"/>
  <c r="G2888" i="13"/>
  <c r="I2888" i="13" s="1"/>
  <c r="G2880" i="13"/>
  <c r="I2880" i="13" s="1"/>
  <c r="G376" i="13"/>
  <c r="G3213" i="13"/>
  <c r="I3213" i="13" s="1"/>
  <c r="K3213" i="13" s="1"/>
  <c r="G369" i="13"/>
  <c r="I369" i="13" s="1"/>
  <c r="K369" i="13" s="1"/>
  <c r="G2125" i="13"/>
  <c r="I2125" i="13" s="1"/>
  <c r="K2125" i="13" s="1"/>
  <c r="G365" i="13"/>
  <c r="I365" i="13" s="1"/>
  <c r="K365" i="13" s="1"/>
  <c r="G4510" i="13"/>
  <c r="I4510" i="13" s="1"/>
  <c r="K4510" i="13" s="1"/>
  <c r="G4251" i="13"/>
  <c r="I4251" i="13" s="1"/>
  <c r="G3879" i="13"/>
  <c r="I3879" i="13" s="1"/>
  <c r="K3879" i="13" s="1"/>
  <c r="G1140" i="13"/>
  <c r="I1140" i="13" s="1"/>
  <c r="G803" i="13"/>
  <c r="I803" i="13" s="1"/>
  <c r="G2091" i="13"/>
  <c r="I2091" i="13" s="1"/>
  <c r="G1938" i="13"/>
  <c r="I1938" i="13" s="1"/>
  <c r="G3924" i="13"/>
  <c r="I3924" i="13" s="1"/>
  <c r="G1518" i="13"/>
  <c r="I1518" i="13" s="1"/>
  <c r="K1518" i="13" s="1"/>
  <c r="G1225" i="13"/>
  <c r="I1225" i="13" s="1"/>
  <c r="K1225" i="13" s="1"/>
  <c r="G4592" i="13"/>
  <c r="I4592" i="13" s="1"/>
  <c r="G3586" i="13"/>
  <c r="I3586" i="13" s="1"/>
  <c r="G1695" i="13"/>
  <c r="I1695" i="13" s="1"/>
  <c r="K1695" i="13" s="1"/>
  <c r="G47" i="13"/>
  <c r="I47" i="13" s="1"/>
  <c r="K47" i="13" s="1"/>
  <c r="G1908" i="13"/>
  <c r="I1908" i="13" s="1"/>
  <c r="G148" i="13"/>
  <c r="I148" i="13" s="1"/>
  <c r="G2852" i="13"/>
  <c r="I2852" i="13" s="1"/>
  <c r="G224" i="13"/>
  <c r="I224" i="13" s="1"/>
  <c r="G3433" i="13"/>
  <c r="G2524" i="13"/>
  <c r="I2524" i="13" s="1"/>
  <c r="K2524" i="13" s="1"/>
  <c r="G1855" i="13"/>
  <c r="I1855" i="13" s="1"/>
  <c r="K1855" i="13" s="1"/>
  <c r="G4381" i="13"/>
  <c r="I4381" i="13" s="1"/>
  <c r="K4381" i="13" s="1"/>
  <c r="G3024" i="13"/>
  <c r="I3024" i="13" s="1"/>
  <c r="G4673" i="13"/>
  <c r="I4673" i="13" s="1"/>
  <c r="K4673" i="13" s="1"/>
  <c r="G3800" i="13"/>
  <c r="G4690" i="13"/>
  <c r="I4690" i="13" s="1"/>
  <c r="G1918" i="13"/>
  <c r="I1918" i="13" s="1"/>
  <c r="K1918" i="13" s="1"/>
  <c r="G493" i="13"/>
  <c r="I493" i="13" s="1"/>
  <c r="K493" i="13" s="1"/>
  <c r="G167" i="13"/>
  <c r="I167" i="13" s="1"/>
  <c r="K167" i="13" s="1"/>
  <c r="G1641" i="13"/>
  <c r="G2609" i="13"/>
  <c r="I2609" i="13" s="1"/>
  <c r="K2609" i="13" s="1"/>
  <c r="G3850" i="13"/>
  <c r="I3850" i="13" s="1"/>
  <c r="G2218" i="13"/>
  <c r="I2218" i="13" s="1"/>
  <c r="K2218" i="13" s="1"/>
  <c r="G1632" i="13"/>
  <c r="I1632" i="13" s="1"/>
  <c r="G3347" i="13"/>
  <c r="I3347" i="13" s="1"/>
  <c r="G3655" i="13"/>
  <c r="I3655" i="13" s="1"/>
  <c r="G4184" i="13"/>
  <c r="I4184" i="13" s="1"/>
  <c r="G3294" i="13"/>
  <c r="I3294" i="13" s="1"/>
  <c r="K3294" i="13" s="1"/>
  <c r="G2755" i="13"/>
  <c r="I2755" i="13" s="1"/>
  <c r="G4361" i="13"/>
  <c r="I4361" i="13" s="1"/>
  <c r="K4361" i="13" s="1"/>
  <c r="G30" i="13"/>
  <c r="I30" i="13" s="1"/>
  <c r="K30" i="13" s="1"/>
  <c r="G550" i="13"/>
  <c r="I550" i="13" s="1"/>
  <c r="G600" i="13"/>
  <c r="I600" i="13" s="1"/>
  <c r="K600" i="13" s="1"/>
  <c r="G1598" i="13"/>
  <c r="I1598" i="13" s="1"/>
  <c r="K1598" i="13" s="1"/>
  <c r="G3401" i="13"/>
  <c r="G4073" i="13"/>
  <c r="G2891" i="13"/>
  <c r="I2891" i="13" s="1"/>
  <c r="G4373" i="13"/>
  <c r="G4771" i="13"/>
  <c r="I4771" i="13" s="1"/>
  <c r="G938" i="13"/>
  <c r="I938" i="13" s="1"/>
  <c r="K938" i="13" s="1"/>
  <c r="G919" i="13"/>
  <c r="I919" i="13" s="1"/>
  <c r="K919" i="13" s="1"/>
  <c r="G2906" i="13"/>
  <c r="I2906" i="13" s="1"/>
  <c r="K2906" i="13" s="1"/>
  <c r="G4776" i="13"/>
  <c r="I4776" i="13" s="1"/>
  <c r="G154" i="13"/>
  <c r="I154" i="13" s="1"/>
  <c r="K154" i="13" s="1"/>
  <c r="G1969" i="13"/>
  <c r="I1969" i="13" s="1"/>
  <c r="K1969" i="13" s="1"/>
  <c r="G2965" i="13"/>
  <c r="G1418" i="13"/>
  <c r="I1418" i="13" s="1"/>
  <c r="K1418" i="13" s="1"/>
  <c r="G631" i="13"/>
  <c r="I631" i="13" s="1"/>
  <c r="K631" i="13" s="1"/>
  <c r="G105" i="13"/>
  <c r="I105" i="13" s="1"/>
  <c r="K105" i="13" s="1"/>
  <c r="G496" i="13"/>
  <c r="I496" i="13" s="1"/>
  <c r="G1161" i="13"/>
  <c r="G3271" i="13"/>
  <c r="I3271" i="13" s="1"/>
  <c r="K3271" i="13" s="1"/>
  <c r="G920" i="13"/>
  <c r="G4889" i="13"/>
  <c r="I4889" i="13" s="1"/>
  <c r="K4889" i="13" s="1"/>
  <c r="G1702" i="13"/>
  <c r="I1702" i="13" s="1"/>
  <c r="G2409" i="13"/>
  <c r="I2409" i="13" s="1"/>
  <c r="K2409" i="13" s="1"/>
  <c r="G3276" i="13"/>
  <c r="I3276" i="13" s="1"/>
  <c r="K3276" i="13" s="1"/>
  <c r="G4140" i="13"/>
  <c r="I4140" i="13" s="1"/>
  <c r="K4140" i="13" s="1"/>
  <c r="G4560" i="13"/>
  <c r="I4560" i="13" s="1"/>
  <c r="G3012" i="13"/>
  <c r="I3012" i="13" s="1"/>
  <c r="G3234" i="13"/>
  <c r="I3234" i="13" s="1"/>
  <c r="G4602" i="13"/>
  <c r="I4602" i="13" s="1"/>
  <c r="G608" i="13"/>
  <c r="I608" i="13" s="1"/>
  <c r="G4812" i="13"/>
  <c r="I4812" i="13" s="1"/>
  <c r="K4812" i="13" s="1"/>
  <c r="G3160" i="13"/>
  <c r="I3160" i="13" s="1"/>
  <c r="G2474" i="13"/>
  <c r="I2474" i="13" s="1"/>
  <c r="K2474" i="13" s="1"/>
  <c r="G1367" i="13"/>
  <c r="I1367" i="13" s="1"/>
  <c r="K1367" i="13" s="1"/>
  <c r="G799" i="13"/>
  <c r="I799" i="13" s="1"/>
  <c r="K799" i="13" s="1"/>
  <c r="G1878" i="13"/>
  <c r="I1878" i="13" s="1"/>
  <c r="F8" i="9"/>
  <c r="F7" i="9"/>
  <c r="F6" i="9"/>
  <c r="F3" i="9"/>
  <c r="F5" i="9"/>
  <c r="F4" i="9"/>
  <c r="I26" i="13" l="1"/>
  <c r="K26" i="13" s="1"/>
  <c r="K4734" i="13"/>
  <c r="K4846" i="13"/>
  <c r="K4350" i="13"/>
  <c r="I2789" i="13"/>
  <c r="K2789" i="13" s="1"/>
  <c r="I405" i="13"/>
  <c r="K405" i="13" s="1"/>
  <c r="I389" i="13"/>
  <c r="K389" i="13" s="1"/>
  <c r="I1157" i="13"/>
  <c r="K1157" i="13" s="1"/>
  <c r="I901" i="13"/>
  <c r="K901" i="13" s="1"/>
  <c r="I3461" i="13"/>
  <c r="K3461" i="13" s="1"/>
  <c r="I3429" i="13"/>
  <c r="K3429" i="13" s="1"/>
  <c r="I4149" i="13"/>
  <c r="K4149" i="13" s="1"/>
  <c r="I4531" i="13"/>
  <c r="I2693" i="13"/>
  <c r="K2693" i="13" s="1"/>
  <c r="I4133" i="13"/>
  <c r="K4133" i="13" s="1"/>
  <c r="I3779" i="13"/>
  <c r="K3779" i="13" s="1"/>
  <c r="I4837" i="13"/>
  <c r="K4837" i="13" s="1"/>
  <c r="I3317" i="13"/>
  <c r="K3317" i="13" s="1"/>
  <c r="I4677" i="13"/>
  <c r="K4677" i="13" s="1"/>
  <c r="I4181" i="13"/>
  <c r="K4181" i="13" s="1"/>
  <c r="I3955" i="13"/>
  <c r="I4515" i="13"/>
  <c r="K4515" i="13" s="1"/>
  <c r="I4675" i="13"/>
  <c r="I885" i="13"/>
  <c r="K885" i="13" s="1"/>
  <c r="I4867" i="13"/>
  <c r="I4245" i="13"/>
  <c r="I3301" i="13"/>
  <c r="K3301" i="13" s="1"/>
  <c r="I2165" i="13"/>
  <c r="K2165" i="13" s="1"/>
  <c r="I3845" i="13"/>
  <c r="K3845" i="13" s="1"/>
  <c r="I3237" i="13"/>
  <c r="I1493" i="13"/>
  <c r="K1493" i="13" s="1"/>
  <c r="I3893" i="13"/>
  <c r="K3893" i="13" s="1"/>
  <c r="I2597" i="13"/>
  <c r="K2597" i="13" s="1"/>
  <c r="I4117" i="13"/>
  <c r="K4117" i="13" s="1"/>
  <c r="I2517" i="13"/>
  <c r="I4627" i="13"/>
  <c r="K4627" i="13" s="1"/>
  <c r="I773" i="13"/>
  <c r="K773" i="13" s="1"/>
  <c r="I229" i="13"/>
  <c r="K229" i="13" s="1"/>
  <c r="I3813" i="13"/>
  <c r="K3813" i="13" s="1"/>
  <c r="I3781" i="13"/>
  <c r="I3173" i="13"/>
  <c r="K3173" i="13" s="1"/>
  <c r="I2501" i="13"/>
  <c r="K2501" i="13" s="1"/>
  <c r="I4437" i="13"/>
  <c r="K4437" i="13" s="1"/>
  <c r="I3941" i="13"/>
  <c r="K3941" i="13" s="1"/>
  <c r="I373" i="13"/>
  <c r="K373" i="13" s="1"/>
  <c r="I1253" i="13"/>
  <c r="K1253" i="13" s="1"/>
  <c r="I2245" i="13"/>
  <c r="K2245" i="13" s="1"/>
  <c r="I4005" i="13"/>
  <c r="I101" i="13"/>
  <c r="K101" i="13" s="1"/>
  <c r="I4197" i="13"/>
  <c r="I2741" i="13"/>
  <c r="K2741" i="13" s="1"/>
  <c r="I2357" i="13"/>
  <c r="K2357" i="13" s="1"/>
  <c r="I581" i="13"/>
  <c r="K581" i="13" s="1"/>
  <c r="I4053" i="13"/>
  <c r="I3557" i="13"/>
  <c r="I4533" i="13"/>
  <c r="K4533" i="13" s="1"/>
  <c r="I3509" i="13"/>
  <c r="K3509" i="13" s="1"/>
  <c r="I2293" i="13"/>
  <c r="I2181" i="13"/>
  <c r="K2181" i="13" s="1"/>
  <c r="I1845" i="13"/>
  <c r="K1845" i="13" s="1"/>
  <c r="I2485" i="13"/>
  <c r="K2485" i="13" s="1"/>
  <c r="I3045" i="13"/>
  <c r="K3045" i="13" s="1"/>
  <c r="I1365" i="13"/>
  <c r="K1365" i="13" s="1"/>
  <c r="I2629" i="13"/>
  <c r="K2629" i="13" s="1"/>
  <c r="I1189" i="13"/>
  <c r="K1189" i="13" s="1"/>
  <c r="I1781" i="13"/>
  <c r="K1781" i="13" s="1"/>
  <c r="I4021" i="13"/>
  <c r="I3093" i="13"/>
  <c r="K3093" i="13" s="1"/>
  <c r="I1125" i="13"/>
  <c r="K1125" i="13" s="1"/>
  <c r="I2773" i="13"/>
  <c r="K2773" i="13" s="1"/>
  <c r="I965" i="13"/>
  <c r="K965" i="13" s="1"/>
  <c r="I3859" i="13"/>
  <c r="K3859" i="13" s="1"/>
  <c r="I4179" i="13"/>
  <c r="I517" i="13"/>
  <c r="K517" i="13" s="1"/>
  <c r="I3221" i="13"/>
  <c r="K3221" i="13" s="1"/>
  <c r="I2805" i="13"/>
  <c r="K2805" i="13" s="1"/>
  <c r="I245" i="13"/>
  <c r="K245" i="13" s="1"/>
  <c r="I2085" i="13"/>
  <c r="K2085" i="13" s="1"/>
  <c r="I2261" i="13"/>
  <c r="K2261" i="13" s="1"/>
  <c r="I1637" i="13"/>
  <c r="K1637" i="13" s="1"/>
  <c r="I4517" i="13"/>
  <c r="K4517" i="13" s="1"/>
  <c r="I3541" i="13"/>
  <c r="I3701" i="13"/>
  <c r="I4725" i="13"/>
  <c r="K4725" i="13" s="1"/>
  <c r="I3699" i="13"/>
  <c r="I37" i="13"/>
  <c r="K37" i="13" s="1"/>
  <c r="I3349" i="13"/>
  <c r="K3349" i="13" s="1"/>
  <c r="I4900" i="13"/>
  <c r="I3825" i="13"/>
  <c r="K3825" i="13" s="1"/>
  <c r="I437" i="13"/>
  <c r="K437" i="13" s="1"/>
  <c r="I3413" i="13"/>
  <c r="K3413" i="13" s="1"/>
  <c r="I53" i="13"/>
  <c r="K53" i="13" s="1"/>
  <c r="I21" i="13"/>
  <c r="K21" i="13" s="1"/>
  <c r="I1109" i="13"/>
  <c r="K1109" i="13" s="1"/>
  <c r="I5" i="13"/>
  <c r="K5" i="13" s="1"/>
  <c r="I3109" i="13"/>
  <c r="K3109" i="13" s="1"/>
  <c r="I2005" i="13"/>
  <c r="K2005" i="13" s="1"/>
  <c r="I1301" i="13"/>
  <c r="K1301" i="13" s="1"/>
  <c r="I485" i="13"/>
  <c r="K485" i="13" s="1"/>
  <c r="I1573" i="13"/>
  <c r="K1573" i="13" s="1"/>
  <c r="I2373" i="13"/>
  <c r="K2373" i="13" s="1"/>
  <c r="I1653" i="13"/>
  <c r="K1653" i="13" s="1"/>
  <c r="I533" i="13"/>
  <c r="K533" i="13" s="1"/>
  <c r="I4309" i="13"/>
  <c r="I805" i="13"/>
  <c r="K805" i="13" s="1"/>
  <c r="I1061" i="13"/>
  <c r="K1061" i="13" s="1"/>
  <c r="I2149" i="13"/>
  <c r="K2149" i="13" s="1"/>
  <c r="I4563" i="13"/>
  <c r="K4563" i="13" s="1"/>
  <c r="I757" i="13"/>
  <c r="K757" i="13" s="1"/>
  <c r="I4787" i="13"/>
  <c r="I1349" i="13"/>
  <c r="K1349" i="13" s="1"/>
  <c r="I3573" i="13"/>
  <c r="K3573" i="13" s="1"/>
  <c r="I4165" i="13"/>
  <c r="K4165" i="13" s="1"/>
  <c r="I1269" i="13"/>
  <c r="K1269" i="13" s="1"/>
  <c r="I2133" i="13"/>
  <c r="I3635" i="13"/>
  <c r="K3635" i="13" s="1"/>
  <c r="I3907" i="13"/>
  <c r="I197" i="13"/>
  <c r="K197" i="13" s="1"/>
  <c r="I693" i="13"/>
  <c r="K693" i="13" s="1"/>
  <c r="I661" i="13"/>
  <c r="K661" i="13" s="1"/>
  <c r="I2757" i="13"/>
  <c r="I1813" i="13"/>
  <c r="K1813" i="13" s="1"/>
  <c r="I3829" i="13"/>
  <c r="K3829" i="13" s="1"/>
  <c r="I3973" i="13"/>
  <c r="K3973" i="13" s="1"/>
  <c r="I4325" i="13"/>
  <c r="K4325" i="13" s="1"/>
  <c r="I4693" i="13"/>
  <c r="K4693" i="13" s="1"/>
  <c r="I3637" i="13"/>
  <c r="K3637" i="13" s="1"/>
  <c r="I3141" i="13"/>
  <c r="K3141" i="13" s="1"/>
  <c r="I3683" i="13"/>
  <c r="K3683" i="13" s="1"/>
  <c r="I1317" i="13"/>
  <c r="K1317" i="13" s="1"/>
  <c r="I4723" i="13"/>
  <c r="I4501" i="13"/>
  <c r="K4501" i="13" s="1"/>
  <c r="I3669" i="13"/>
  <c r="K3669" i="13" s="1"/>
  <c r="I4355" i="13"/>
  <c r="I1621" i="13"/>
  <c r="K1621" i="13" s="1"/>
  <c r="I1685" i="13"/>
  <c r="K1685" i="13" s="1"/>
  <c r="I2981" i="13"/>
  <c r="K2981" i="13" s="1"/>
  <c r="I453" i="13"/>
  <c r="K453" i="13" s="1"/>
  <c r="I3653" i="13"/>
  <c r="K3653" i="13" s="1"/>
  <c r="I4213" i="13"/>
  <c r="K4213" i="13" s="1"/>
  <c r="I3365" i="13"/>
  <c r="K3365" i="13" s="1"/>
  <c r="I1429" i="13"/>
  <c r="K1429" i="13" s="1"/>
  <c r="I2725" i="13"/>
  <c r="K2725" i="13" s="1"/>
  <c r="I3589" i="13"/>
  <c r="K3589" i="13" s="1"/>
  <c r="I2069" i="13"/>
  <c r="K2069" i="13" s="1"/>
  <c r="I1941" i="13"/>
  <c r="K1941" i="13" s="1"/>
  <c r="I4261" i="13"/>
  <c r="K4261" i="13" s="1"/>
  <c r="I3333" i="13"/>
  <c r="K3333" i="13" s="1"/>
  <c r="I4277" i="13"/>
  <c r="K4277" i="13" s="1"/>
  <c r="I1925" i="13"/>
  <c r="K1925" i="13" s="1"/>
  <c r="I4819" i="13"/>
  <c r="K4819" i="13" s="1"/>
  <c r="I3765" i="13"/>
  <c r="K3765" i="13" s="1"/>
  <c r="I1445" i="13"/>
  <c r="K1445" i="13" s="1"/>
  <c r="I2101" i="13"/>
  <c r="K2101" i="13" s="1"/>
  <c r="I4611" i="13"/>
  <c r="K4611" i="13" s="1"/>
  <c r="I1605" i="13"/>
  <c r="K1605" i="13" s="1"/>
  <c r="I1541" i="13"/>
  <c r="K1541" i="13" s="1"/>
  <c r="I325" i="13"/>
  <c r="K325" i="13" s="1"/>
  <c r="I4084" i="13"/>
  <c r="K4084" i="13" s="1"/>
  <c r="I1477" i="13"/>
  <c r="K1477" i="13" s="1"/>
  <c r="I4229" i="13"/>
  <c r="K4229" i="13" s="1"/>
  <c r="I2117" i="13"/>
  <c r="K2117" i="13" s="1"/>
  <c r="I3205" i="13"/>
  <c r="K3205" i="13" s="1"/>
  <c r="I165" i="13"/>
  <c r="K165" i="13" s="1"/>
  <c r="I4901" i="13"/>
  <c r="I3189" i="13"/>
  <c r="I4613" i="13"/>
  <c r="K4613" i="13" s="1"/>
  <c r="I85" i="13"/>
  <c r="K85" i="13" s="1"/>
  <c r="I3445" i="13"/>
  <c r="K3445" i="13" s="1"/>
  <c r="I1989" i="13"/>
  <c r="K1989" i="13" s="1"/>
  <c r="I261" i="13"/>
  <c r="K261" i="13" s="1"/>
  <c r="I1829" i="13"/>
  <c r="K1829" i="13" s="1"/>
  <c r="K224" i="13"/>
  <c r="I3749" i="13"/>
  <c r="K3749" i="13" s="1"/>
  <c r="I2645" i="13"/>
  <c r="K2645" i="13" s="1"/>
  <c r="I3157" i="13"/>
  <c r="K3157" i="13" s="1"/>
  <c r="I1029" i="13"/>
  <c r="K1029" i="13" s="1"/>
  <c r="I2853" i="13"/>
  <c r="K2853" i="13" s="1"/>
  <c r="I1717" i="13"/>
  <c r="K1717" i="13" s="1"/>
  <c r="I709" i="13"/>
  <c r="K709" i="13" s="1"/>
  <c r="I2933" i="13"/>
  <c r="K2933" i="13" s="1"/>
  <c r="I149" i="13"/>
  <c r="K149" i="13" s="1"/>
  <c r="I3605" i="13"/>
  <c r="K3605" i="13" s="1"/>
  <c r="I2213" i="13"/>
  <c r="K2213" i="13" s="1"/>
  <c r="I341" i="13"/>
  <c r="K341" i="13" s="1"/>
  <c r="I2341" i="13"/>
  <c r="I853" i="13"/>
  <c r="K853" i="13" s="1"/>
  <c r="I3685" i="13"/>
  <c r="K3685" i="13" s="1"/>
  <c r="I181" i="13"/>
  <c r="K181" i="13" s="1"/>
  <c r="I2469" i="13"/>
  <c r="K2469" i="13" s="1"/>
  <c r="I4755" i="13"/>
  <c r="K4755" i="13" s="1"/>
  <c r="I2037" i="13"/>
  <c r="K2037" i="13" s="1"/>
  <c r="I4835" i="13"/>
  <c r="K4835" i="13" s="1"/>
  <c r="I4037" i="13"/>
  <c r="I3733" i="13"/>
  <c r="K3733" i="13" s="1"/>
  <c r="I2229" i="13"/>
  <c r="I2421" i="13"/>
  <c r="I2949" i="13"/>
  <c r="K2949" i="13" s="1"/>
  <c r="I357" i="13"/>
  <c r="K357" i="13" s="1"/>
  <c r="I3957" i="13"/>
  <c r="K3957" i="13" s="1"/>
  <c r="I4803" i="13"/>
  <c r="K4803" i="13" s="1"/>
  <c r="I2837" i="13"/>
  <c r="I2549" i="13"/>
  <c r="K2549" i="13" s="1"/>
  <c r="I1749" i="13"/>
  <c r="K1749" i="13" s="1"/>
  <c r="I3125" i="13"/>
  <c r="K3125" i="13" s="1"/>
  <c r="I4069" i="13"/>
  <c r="K4069" i="13" s="1"/>
  <c r="I1093" i="13"/>
  <c r="K1093" i="13" s="1"/>
  <c r="I2197" i="13"/>
  <c r="K2197" i="13" s="1"/>
  <c r="I4804" i="13"/>
  <c r="K4804" i="13" s="1"/>
  <c r="I4469" i="13"/>
  <c r="K4469" i="13" s="1"/>
  <c r="I3717" i="13"/>
  <c r="I4597" i="13"/>
  <c r="I949" i="13"/>
  <c r="K949" i="13" s="1"/>
  <c r="I1205" i="13"/>
  <c r="K1205" i="13" s="1"/>
  <c r="I1557" i="13"/>
  <c r="K1557" i="13" s="1"/>
  <c r="I1701" i="13"/>
  <c r="K1701" i="13" s="1"/>
  <c r="I4709" i="13"/>
  <c r="K4709" i="13" s="1"/>
  <c r="I4757" i="13"/>
  <c r="I645" i="13"/>
  <c r="K645" i="13" s="1"/>
  <c r="I565" i="13"/>
  <c r="K565" i="13" s="1"/>
  <c r="I2661" i="13"/>
  <c r="K2661" i="13" s="1"/>
  <c r="I1141" i="13"/>
  <c r="K1141" i="13" s="1"/>
  <c r="I789" i="13"/>
  <c r="K789" i="13" s="1"/>
  <c r="I4291" i="13"/>
  <c r="I725" i="13"/>
  <c r="K725" i="13" s="1"/>
  <c r="I869" i="13"/>
  <c r="K869" i="13" s="1"/>
  <c r="I4821" i="13"/>
  <c r="I1077" i="13"/>
  <c r="K1077" i="13" s="1"/>
  <c r="I677" i="13"/>
  <c r="K677" i="13" s="1"/>
  <c r="I3061" i="13"/>
  <c r="K3061" i="13" s="1"/>
  <c r="I3013" i="13"/>
  <c r="I293" i="13"/>
  <c r="K293" i="13" s="1"/>
  <c r="I1877" i="13"/>
  <c r="K1877" i="13" s="1"/>
  <c r="I4085" i="13"/>
  <c r="I3891" i="13"/>
  <c r="K3891" i="13" s="1"/>
  <c r="I4453" i="13"/>
  <c r="K4453" i="13" s="1"/>
  <c r="I4371" i="13"/>
  <c r="K4371" i="13" s="1"/>
  <c r="I3077" i="13"/>
  <c r="K3077" i="13" s="1"/>
  <c r="I117" i="13"/>
  <c r="K117" i="13" s="1"/>
  <c r="I4500" i="13"/>
  <c r="I2901" i="13"/>
  <c r="K2901" i="13" s="1"/>
  <c r="I1525" i="13"/>
  <c r="K1525" i="13" s="1"/>
  <c r="I4373" i="13"/>
  <c r="K4373" i="13" s="1"/>
  <c r="I4405" i="13"/>
  <c r="K4405" i="13" s="1"/>
  <c r="I1797" i="13"/>
  <c r="K1797" i="13" s="1"/>
  <c r="I2389" i="13"/>
  <c r="K2389" i="13" s="1"/>
  <c r="I2277" i="13"/>
  <c r="K2277" i="13" s="1"/>
  <c r="I4565" i="13"/>
  <c r="K4565" i="13" s="1"/>
  <c r="I1221" i="13"/>
  <c r="K1221" i="13" s="1"/>
  <c r="I1045" i="13"/>
  <c r="K1045" i="13" s="1"/>
  <c r="I4581" i="13"/>
  <c r="K4581" i="13" s="1"/>
  <c r="I3651" i="13"/>
  <c r="K3651" i="13" s="1"/>
  <c r="I2885" i="13"/>
  <c r="I821" i="13"/>
  <c r="K821" i="13" s="1"/>
  <c r="I4067" i="13"/>
  <c r="K4067" i="13" s="1"/>
  <c r="I4275" i="13"/>
  <c r="I4019" i="13"/>
  <c r="K4019" i="13" s="1"/>
  <c r="I3525" i="13"/>
  <c r="K3525" i="13" s="1"/>
  <c r="I501" i="13"/>
  <c r="K501" i="13" s="1"/>
  <c r="I1381" i="13"/>
  <c r="K1381" i="13" s="1"/>
  <c r="I4741" i="13"/>
  <c r="K4741" i="13" s="1"/>
  <c r="I2533" i="13"/>
  <c r="K2533" i="13" s="1"/>
  <c r="I3587" i="13"/>
  <c r="K3587" i="13" s="1"/>
  <c r="I1669" i="13"/>
  <c r="K1669" i="13" s="1"/>
  <c r="I4481" i="13"/>
  <c r="K4481" i="13" s="1"/>
  <c r="I3285" i="13"/>
  <c r="I2053" i="13"/>
  <c r="K2053" i="13" s="1"/>
  <c r="I4869" i="13"/>
  <c r="K4869" i="13" s="1"/>
  <c r="I933" i="13"/>
  <c r="K933" i="13" s="1"/>
  <c r="I4340" i="13"/>
  <c r="K4340" i="13" s="1"/>
  <c r="I4164" i="13"/>
  <c r="K4164" i="13" s="1"/>
  <c r="I2309" i="13"/>
  <c r="K2309" i="13" s="1"/>
  <c r="K4032" i="13"/>
  <c r="I1973" i="13"/>
  <c r="K1973" i="13" s="1"/>
  <c r="I213" i="13"/>
  <c r="K213" i="13" s="1"/>
  <c r="I4549" i="13"/>
  <c r="K4549" i="13" s="1"/>
  <c r="I981" i="13"/>
  <c r="K981" i="13" s="1"/>
  <c r="K4384" i="13"/>
  <c r="K4368" i="13"/>
  <c r="K368" i="13"/>
  <c r="K48" i="13"/>
  <c r="K4736" i="13"/>
  <c r="K2336" i="13"/>
  <c r="I4805" i="13"/>
  <c r="K4805" i="13" s="1"/>
  <c r="K3888" i="13"/>
  <c r="I3493" i="13"/>
  <c r="K3493" i="13" s="1"/>
  <c r="I4339" i="13"/>
  <c r="K4339" i="13" s="1"/>
  <c r="I1173" i="13"/>
  <c r="K1173" i="13" s="1"/>
  <c r="I1461" i="13"/>
  <c r="K1461" i="13" s="1"/>
  <c r="K1968" i="13"/>
  <c r="I2677" i="13"/>
  <c r="K2677" i="13" s="1"/>
  <c r="I1861" i="13"/>
  <c r="K1861" i="13" s="1"/>
  <c r="I3877" i="13"/>
  <c r="K3877" i="13" s="1"/>
  <c r="I4211" i="13"/>
  <c r="K4211" i="13" s="1"/>
  <c r="I4528" i="13"/>
  <c r="K4528" i="13" s="1"/>
  <c r="I4625" i="13"/>
  <c r="K4625" i="13" s="1"/>
  <c r="K432" i="13"/>
  <c r="I2965" i="13"/>
  <c r="K2965" i="13" s="1"/>
  <c r="I3909" i="13"/>
  <c r="K3909" i="13" s="1"/>
  <c r="I3477" i="13"/>
  <c r="K3477" i="13" s="1"/>
  <c r="I4357" i="13"/>
  <c r="K4357" i="13" s="1"/>
  <c r="I69" i="13"/>
  <c r="K69" i="13" s="1"/>
  <c r="I1333" i="13"/>
  <c r="K1333" i="13" s="1"/>
  <c r="I2917" i="13"/>
  <c r="K2917" i="13" s="1"/>
  <c r="I3029" i="13"/>
  <c r="K3029" i="13" s="1"/>
  <c r="I3621" i="13"/>
  <c r="K3621" i="13" s="1"/>
  <c r="I4645" i="13"/>
  <c r="I1589" i="13"/>
  <c r="K1589" i="13" s="1"/>
  <c r="I3987" i="13"/>
  <c r="K3987" i="13" s="1"/>
  <c r="I277" i="13"/>
  <c r="K277" i="13" s="1"/>
  <c r="I1957" i="13"/>
  <c r="K1957" i="13" s="1"/>
  <c r="I4389" i="13"/>
  <c r="K4389" i="13" s="1"/>
  <c r="I1285" i="13"/>
  <c r="I4163" i="13"/>
  <c r="I2581" i="13"/>
  <c r="K2581" i="13" s="1"/>
  <c r="I2437" i="13"/>
  <c r="K2437" i="13" s="1"/>
  <c r="I1509" i="13"/>
  <c r="K1509" i="13" s="1"/>
  <c r="I917" i="13"/>
  <c r="K917" i="13" s="1"/>
  <c r="I3253" i="13"/>
  <c r="K3253" i="13" s="1"/>
  <c r="I4661" i="13"/>
  <c r="I2453" i="13"/>
  <c r="K2453" i="13" s="1"/>
  <c r="I3861" i="13"/>
  <c r="K3861" i="13" s="1"/>
  <c r="I2613" i="13"/>
  <c r="K2613" i="13" s="1"/>
  <c r="I2405" i="13"/>
  <c r="K2405" i="13" s="1"/>
  <c r="I309" i="13"/>
  <c r="K309" i="13" s="1"/>
  <c r="I2325" i="13"/>
  <c r="K2325" i="13" s="1"/>
  <c r="I3989" i="13"/>
  <c r="K3989" i="13" s="1"/>
  <c r="I4629" i="13"/>
  <c r="I1733" i="13"/>
  <c r="I3269" i="13"/>
  <c r="K3269" i="13" s="1"/>
  <c r="I4403" i="13"/>
  <c r="K4403" i="13" s="1"/>
  <c r="I1237" i="13"/>
  <c r="K1237" i="13" s="1"/>
  <c r="I1013" i="13"/>
  <c r="K1013" i="13" s="1"/>
  <c r="I3797" i="13"/>
  <c r="K3797" i="13" s="1"/>
  <c r="I4243" i="13"/>
  <c r="K4243" i="13" s="1"/>
  <c r="I469" i="13"/>
  <c r="K469" i="13" s="1"/>
  <c r="I597" i="13"/>
  <c r="K597" i="13" s="1"/>
  <c r="I741" i="13"/>
  <c r="K741" i="13" s="1"/>
  <c r="I549" i="13"/>
  <c r="K549" i="13" s="1"/>
  <c r="I421" i="13"/>
  <c r="K421" i="13" s="1"/>
  <c r="I1893" i="13"/>
  <c r="K1893" i="13" s="1"/>
  <c r="I3939" i="13"/>
  <c r="K3939" i="13" s="1"/>
  <c r="I4421" i="13"/>
  <c r="K4421" i="13" s="1"/>
  <c r="I1397" i="13"/>
  <c r="K1397" i="13" s="1"/>
  <c r="I997" i="13"/>
  <c r="K997" i="13" s="1"/>
  <c r="I1909" i="13"/>
  <c r="K1909" i="13" s="1"/>
  <c r="I3923" i="13"/>
  <c r="K3923" i="13" s="1"/>
  <c r="I1765" i="13"/>
  <c r="K1765" i="13" s="1"/>
  <c r="I4485" i="13"/>
  <c r="I4083" i="13"/>
  <c r="K4083" i="13" s="1"/>
  <c r="I4467" i="13"/>
  <c r="K4467" i="13" s="1"/>
  <c r="I613" i="13"/>
  <c r="K613" i="13" s="1"/>
  <c r="I3667" i="13"/>
  <c r="K3667" i="13" s="1"/>
  <c r="I3985" i="13"/>
  <c r="K3985" i="13" s="1"/>
  <c r="K3851" i="13"/>
  <c r="K3531" i="13"/>
  <c r="K3499" i="13"/>
  <c r="K2363" i="13"/>
  <c r="K2804" i="13"/>
  <c r="K4596" i="13"/>
  <c r="K4644" i="13"/>
  <c r="K244" i="13"/>
  <c r="K180" i="13"/>
  <c r="K4564" i="13"/>
  <c r="K3156" i="13"/>
  <c r="K1748" i="13"/>
  <c r="K324" i="13"/>
  <c r="K2468" i="13"/>
  <c r="K2916" i="13"/>
  <c r="K724" i="13"/>
  <c r="K2996" i="13"/>
  <c r="K3124" i="13"/>
  <c r="K2500" i="13"/>
  <c r="K1812" i="13"/>
  <c r="K4595" i="13"/>
  <c r="K3988" i="13"/>
  <c r="K3778" i="13"/>
  <c r="K3666" i="13"/>
  <c r="K2706" i="13"/>
  <c r="K3442" i="13"/>
  <c r="K3330" i="13"/>
  <c r="K1810" i="13"/>
  <c r="K4258" i="13"/>
  <c r="K1618" i="13"/>
  <c r="K3250" i="13"/>
  <c r="K1426" i="13"/>
  <c r="K3186" i="13"/>
  <c r="K2402" i="13"/>
  <c r="K3796" i="13"/>
  <c r="K3971" i="13"/>
  <c r="K4299" i="13"/>
  <c r="K2475" i="13"/>
  <c r="K4203" i="13"/>
  <c r="K411" i="13"/>
  <c r="K1691" i="13"/>
  <c r="K3003" i="13"/>
  <c r="K1947" i="13"/>
  <c r="K555" i="13"/>
  <c r="K2763" i="13"/>
  <c r="K987" i="13"/>
  <c r="K27" i="13"/>
  <c r="K1259" i="13"/>
  <c r="K2699" i="13"/>
  <c r="K3947" i="13"/>
  <c r="K875" i="13"/>
  <c r="K4459" i="13"/>
  <c r="K4795" i="13"/>
  <c r="K2907" i="13"/>
  <c r="K2747" i="13"/>
  <c r="K635" i="13"/>
  <c r="K3179" i="13"/>
  <c r="K1451" i="13"/>
  <c r="K1867" i="13"/>
  <c r="K3451" i="13"/>
  <c r="K363" i="13"/>
  <c r="K4059" i="13"/>
  <c r="K1675" i="13"/>
  <c r="K4859" i="13"/>
  <c r="K843" i="13"/>
  <c r="K3659" i="13"/>
  <c r="K3803" i="13"/>
  <c r="K1499" i="13"/>
  <c r="K4555" i="13"/>
  <c r="K2635" i="13"/>
  <c r="K1899" i="13"/>
  <c r="K1755" i="13"/>
  <c r="K2187" i="13"/>
  <c r="K1995" i="13"/>
  <c r="K651" i="13"/>
  <c r="K1275" i="13"/>
  <c r="K1515" i="13"/>
  <c r="K2651" i="13"/>
  <c r="K2507" i="13"/>
  <c r="K2283" i="13"/>
  <c r="K171" i="13"/>
  <c r="K4155" i="13"/>
  <c r="K4123" i="13"/>
  <c r="K4827" i="13"/>
  <c r="K4779" i="13"/>
  <c r="K2043" i="13"/>
  <c r="K2939" i="13"/>
  <c r="K3723" i="13"/>
  <c r="K1547" i="13"/>
  <c r="K955" i="13"/>
  <c r="K2091" i="13"/>
  <c r="K4011" i="13"/>
  <c r="K2059" i="13"/>
  <c r="K2555" i="13"/>
  <c r="K1579" i="13"/>
  <c r="K1211" i="13"/>
  <c r="K1435" i="13"/>
  <c r="K4747" i="13"/>
  <c r="K4491" i="13"/>
  <c r="K971" i="13"/>
  <c r="K11" i="13"/>
  <c r="K4619" i="13"/>
  <c r="K4139" i="13"/>
  <c r="K4763" i="13"/>
  <c r="K1643" i="13"/>
  <c r="K3627" i="13"/>
  <c r="K3419" i="13"/>
  <c r="K4539" i="13"/>
  <c r="K3483" i="13"/>
  <c r="K4219" i="13"/>
  <c r="K3771" i="13"/>
  <c r="K3163" i="13"/>
  <c r="K283" i="13"/>
  <c r="K1931" i="13"/>
  <c r="K1003" i="13"/>
  <c r="K2347" i="13"/>
  <c r="K827" i="13"/>
  <c r="K2443" i="13"/>
  <c r="K2331" i="13"/>
  <c r="K2299" i="13"/>
  <c r="K4523" i="13"/>
  <c r="K619" i="13"/>
  <c r="K3899" i="13"/>
  <c r="K3403" i="13"/>
  <c r="K3643" i="13"/>
  <c r="K3083" i="13"/>
  <c r="K4891" i="13"/>
  <c r="K3035" i="13"/>
  <c r="K379" i="13"/>
  <c r="K443" i="13"/>
  <c r="K3243" i="13"/>
  <c r="K2075" i="13"/>
  <c r="K4443" i="13"/>
  <c r="K235" i="13"/>
  <c r="K3595" i="13"/>
  <c r="K2795" i="13"/>
  <c r="K1483" i="13"/>
  <c r="K3275" i="13"/>
  <c r="K4651" i="13"/>
  <c r="K1067" i="13"/>
  <c r="K523" i="13"/>
  <c r="K155" i="13"/>
  <c r="K2203" i="13"/>
  <c r="K3051" i="13"/>
  <c r="K2139" i="13"/>
  <c r="K4283" i="13"/>
  <c r="K4475" i="13"/>
  <c r="K4379" i="13"/>
  <c r="K763" i="13"/>
  <c r="K4635" i="13"/>
  <c r="K811" i="13"/>
  <c r="K2379" i="13"/>
  <c r="K1403" i="13"/>
  <c r="K2219" i="13"/>
  <c r="K779" i="13"/>
  <c r="K2171" i="13"/>
  <c r="K491" i="13"/>
  <c r="K1723" i="13"/>
  <c r="K4235" i="13"/>
  <c r="K2571" i="13"/>
  <c r="K3467" i="13"/>
  <c r="K1179" i="13"/>
  <c r="K683" i="13"/>
  <c r="K4507" i="13"/>
  <c r="K3675" i="13"/>
  <c r="K907" i="13"/>
  <c r="K1819" i="13"/>
  <c r="K3227" i="13"/>
  <c r="K2491" i="13"/>
  <c r="K2667" i="13"/>
  <c r="K3691" i="13"/>
  <c r="K219" i="13"/>
  <c r="K667" i="13"/>
  <c r="K2731" i="13"/>
  <c r="K91" i="13"/>
  <c r="K2683" i="13"/>
  <c r="K4731" i="13"/>
  <c r="K1083" i="13"/>
  <c r="K2123" i="13"/>
  <c r="K4027" i="13"/>
  <c r="K347" i="13"/>
  <c r="K4043" i="13"/>
  <c r="K4251" i="13"/>
  <c r="K1419" i="13"/>
  <c r="K1339" i="13"/>
  <c r="K3515" i="13"/>
  <c r="K1803" i="13"/>
  <c r="K795" i="13"/>
  <c r="K3995" i="13"/>
  <c r="K2843" i="13"/>
  <c r="K3115" i="13"/>
  <c r="K2107" i="13"/>
  <c r="K1115" i="13"/>
  <c r="K75" i="13"/>
  <c r="K1659" i="13"/>
  <c r="K4395" i="13"/>
  <c r="K587" i="13"/>
  <c r="K1883" i="13"/>
  <c r="K1131" i="13"/>
  <c r="K1099" i="13"/>
  <c r="K3931" i="13"/>
  <c r="K3547" i="13"/>
  <c r="K395" i="13"/>
  <c r="K1195" i="13"/>
  <c r="K4107" i="13"/>
  <c r="K4315" i="13"/>
  <c r="K3563" i="13"/>
  <c r="K4667" i="13"/>
  <c r="K1227" i="13"/>
  <c r="K715" i="13"/>
  <c r="K107" i="13"/>
  <c r="K267" i="13"/>
  <c r="K427" i="13"/>
  <c r="K939" i="13"/>
  <c r="K2619" i="13"/>
  <c r="K1467" i="13"/>
  <c r="K203" i="13"/>
  <c r="K331" i="13"/>
  <c r="K3787" i="13"/>
  <c r="K2027" i="13"/>
  <c r="K2891" i="13"/>
  <c r="K4683" i="13"/>
  <c r="K2827" i="13"/>
  <c r="K859" i="13"/>
  <c r="K2315" i="13"/>
  <c r="K891" i="13"/>
  <c r="K3339" i="13"/>
  <c r="K2779" i="13"/>
  <c r="K1979" i="13"/>
  <c r="K539" i="13"/>
  <c r="K2011" i="13"/>
  <c r="K3019" i="13"/>
  <c r="K3355" i="13"/>
  <c r="K4875" i="13"/>
  <c r="K507" i="13"/>
  <c r="K1355" i="13"/>
  <c r="K1163" i="13"/>
  <c r="K731" i="13"/>
  <c r="K4091" i="13"/>
  <c r="K1739" i="13"/>
  <c r="K2395" i="13"/>
  <c r="K3979" i="13"/>
  <c r="K187" i="13"/>
  <c r="K475" i="13"/>
  <c r="K1835" i="13"/>
  <c r="K2427" i="13"/>
  <c r="K1963" i="13"/>
  <c r="K2987" i="13"/>
  <c r="K1595" i="13"/>
  <c r="K2235" i="13"/>
  <c r="K2923" i="13"/>
  <c r="K1307" i="13"/>
  <c r="K3259" i="13"/>
  <c r="K1563" i="13"/>
  <c r="K1787" i="13"/>
  <c r="K4171" i="13"/>
  <c r="K1051" i="13"/>
  <c r="K2539" i="13"/>
  <c r="K299" i="13"/>
  <c r="K4587" i="13"/>
  <c r="K1915" i="13"/>
  <c r="K1019" i="13"/>
  <c r="K603" i="13"/>
  <c r="K4715" i="13"/>
  <c r="K3211" i="13"/>
  <c r="K59" i="13"/>
  <c r="K3307" i="13"/>
  <c r="K4843" i="13"/>
  <c r="K139" i="13"/>
  <c r="K4075" i="13"/>
  <c r="K3755" i="13"/>
  <c r="K1611" i="13"/>
  <c r="K3435" i="13"/>
  <c r="K3147" i="13"/>
  <c r="K4603" i="13"/>
  <c r="K4363" i="13"/>
  <c r="K1707" i="13"/>
  <c r="K2267" i="13"/>
  <c r="K2155" i="13"/>
  <c r="K2715" i="13"/>
  <c r="K2971" i="13"/>
  <c r="K1371" i="13"/>
  <c r="K4699" i="13"/>
  <c r="K2875" i="13"/>
  <c r="K1291" i="13"/>
  <c r="K3323" i="13"/>
  <c r="K1851" i="13"/>
  <c r="K571" i="13"/>
  <c r="K4811" i="13"/>
  <c r="K123" i="13"/>
  <c r="K3291" i="13"/>
  <c r="K3611" i="13"/>
  <c r="K923" i="13"/>
  <c r="K2251" i="13"/>
  <c r="K2603" i="13"/>
  <c r="K3579" i="13"/>
  <c r="K4187" i="13"/>
  <c r="K315" i="13"/>
  <c r="K3915" i="13"/>
  <c r="K1323" i="13"/>
  <c r="K3883" i="13"/>
  <c r="K4331" i="13"/>
  <c r="K3371" i="13"/>
  <c r="K43" i="13"/>
  <c r="K1243" i="13"/>
  <c r="K1627" i="13"/>
  <c r="K3835" i="13"/>
  <c r="K699" i="13"/>
  <c r="K4267" i="13"/>
  <c r="K3739" i="13"/>
  <c r="K3067" i="13"/>
  <c r="K3099" i="13"/>
  <c r="K1771" i="13"/>
  <c r="K2523" i="13"/>
  <c r="K1147" i="13"/>
  <c r="K4411" i="13"/>
  <c r="K3707" i="13"/>
  <c r="K1035" i="13"/>
  <c r="K4427" i="13"/>
  <c r="K4571" i="13"/>
  <c r="K3131" i="13"/>
  <c r="K2955" i="13"/>
  <c r="K3963" i="13"/>
  <c r="K251" i="13"/>
  <c r="K2411" i="13"/>
  <c r="K4347" i="13"/>
  <c r="K3819" i="13"/>
  <c r="K3867" i="13"/>
  <c r="K2811" i="13"/>
  <c r="K2459" i="13"/>
  <c r="K2859" i="13"/>
  <c r="K3717" i="13"/>
  <c r="K4597" i="13"/>
  <c r="K4901" i="13"/>
  <c r="K3189" i="13"/>
  <c r="K2341" i="13"/>
  <c r="K4037" i="13"/>
  <c r="K2229" i="13"/>
  <c r="K2421" i="13"/>
  <c r="K2837" i="13"/>
  <c r="K4757" i="13"/>
  <c r="K4821" i="13"/>
  <c r="K3013" i="13"/>
  <c r="K4085" i="13"/>
  <c r="K2885" i="13"/>
  <c r="K3285" i="13"/>
  <c r="K4645" i="13"/>
  <c r="K1285" i="13"/>
  <c r="K4661" i="13"/>
  <c r="K4629" i="13"/>
  <c r="K1733" i="13"/>
  <c r="K4485" i="13"/>
  <c r="K3381" i="13"/>
  <c r="K4885" i="13"/>
  <c r="K2997" i="13"/>
  <c r="K4341" i="13"/>
  <c r="K4773" i="13"/>
  <c r="K2709" i="13"/>
  <c r="K3925" i="13"/>
  <c r="K4293" i="13"/>
  <c r="K2565" i="13"/>
  <c r="K4101" i="13"/>
  <c r="K2821" i="13"/>
  <c r="K4789" i="13"/>
  <c r="K2869" i="13"/>
  <c r="K2021" i="13"/>
  <c r="K3397" i="13"/>
  <c r="K4245" i="13"/>
  <c r="K3237" i="13"/>
  <c r="K2517" i="13"/>
  <c r="K3781" i="13"/>
  <c r="K4005" i="13"/>
  <c r="K4197" i="13"/>
  <c r="K4053" i="13"/>
  <c r="K3557" i="13"/>
  <c r="K2293" i="13"/>
  <c r="K4021" i="13"/>
  <c r="K3541" i="13"/>
  <c r="K3701" i="13"/>
  <c r="K4124" i="13"/>
  <c r="K3788" i="13"/>
  <c r="K4309" i="13"/>
  <c r="K2133" i="13"/>
  <c r="K2757" i="13"/>
  <c r="K4281" i="13"/>
  <c r="K4393" i="13"/>
  <c r="K4809" i="13"/>
  <c r="K4185" i="13"/>
  <c r="K4521" i="13"/>
  <c r="K4761" i="13"/>
  <c r="K4105" i="13"/>
  <c r="K4025" i="13"/>
  <c r="K4345" i="13"/>
  <c r="K4489" i="13"/>
  <c r="K4473" i="13"/>
  <c r="K4633" i="13"/>
  <c r="K4409" i="13"/>
  <c r="K4313" i="13"/>
  <c r="K4777" i="13"/>
  <c r="K4585" i="13"/>
  <c r="K4713" i="13"/>
  <c r="K4329" i="13"/>
  <c r="K4697" i="13"/>
  <c r="K803" i="13"/>
  <c r="K4131" i="13"/>
  <c r="K1363" i="13"/>
  <c r="K3443" i="13"/>
  <c r="K467" i="13"/>
  <c r="K3411" i="13"/>
  <c r="K1555" i="13"/>
  <c r="K3027" i="13"/>
  <c r="K3715" i="13"/>
  <c r="K115" i="13"/>
  <c r="K1875" i="13"/>
  <c r="K4739" i="13"/>
  <c r="K4419" i="13"/>
  <c r="K963" i="13"/>
  <c r="K4723" i="13"/>
  <c r="K1251" i="13"/>
  <c r="K787" i="13"/>
  <c r="K2371" i="13"/>
  <c r="K1923" i="13"/>
  <c r="K4355" i="13"/>
  <c r="K995" i="13"/>
  <c r="K1411" i="13"/>
  <c r="K3024" i="13"/>
  <c r="K531" i="13"/>
  <c r="K2480" i="13"/>
  <c r="K1219" i="13"/>
  <c r="K483" i="13"/>
  <c r="K2835" i="13"/>
  <c r="K4899" i="13"/>
  <c r="K3811" i="13"/>
  <c r="K4051" i="13"/>
  <c r="K2403" i="13"/>
  <c r="K3507" i="13"/>
  <c r="K2179" i="13"/>
  <c r="K2643" i="13"/>
  <c r="K1299" i="13"/>
  <c r="K3219" i="13"/>
  <c r="K2547" i="13"/>
  <c r="K723" i="13"/>
  <c r="K2963" i="13"/>
  <c r="K1955" i="13"/>
  <c r="K547" i="13"/>
  <c r="K83" i="13"/>
  <c r="K1603" i="13"/>
  <c r="K1491" i="13"/>
  <c r="K1347" i="13"/>
  <c r="K4035" i="13"/>
  <c r="K3235" i="13"/>
  <c r="K2208" i="13"/>
  <c r="K32" i="13"/>
  <c r="K1123" i="13"/>
  <c r="K3347" i="13"/>
  <c r="K1859" i="13"/>
  <c r="K147" i="13"/>
  <c r="K1027" i="13"/>
  <c r="K3091" i="13"/>
  <c r="K2099" i="13"/>
  <c r="K4195" i="13"/>
  <c r="K771" i="13"/>
  <c r="K2627" i="13"/>
  <c r="K4883" i="13"/>
  <c r="K4147" i="13"/>
  <c r="K643" i="13"/>
  <c r="K3315" i="13"/>
  <c r="K3283" i="13"/>
  <c r="K4499" i="13"/>
  <c r="K163" i="13"/>
  <c r="K1587" i="13"/>
  <c r="K1811" i="13"/>
  <c r="K2723" i="13"/>
  <c r="K4771" i="13"/>
  <c r="K2035" i="13"/>
  <c r="K755" i="13"/>
  <c r="K2339" i="13"/>
  <c r="K4259" i="13"/>
  <c r="K4291" i="13"/>
  <c r="K451" i="13"/>
  <c r="K627" i="13"/>
  <c r="K275" i="13"/>
  <c r="K2195" i="13"/>
  <c r="K3539" i="13"/>
  <c r="K2243" i="13"/>
  <c r="K2531" i="13"/>
  <c r="K2467" i="13"/>
  <c r="K3123" i="13"/>
  <c r="K3267" i="13"/>
  <c r="K4275" i="13"/>
  <c r="K67" i="13"/>
  <c r="K1891" i="13"/>
  <c r="K675" i="13"/>
  <c r="K4323" i="13"/>
  <c r="K931" i="13"/>
  <c r="K3059" i="13"/>
  <c r="K3171" i="13"/>
  <c r="K1235" i="13"/>
  <c r="K1443" i="13"/>
  <c r="K3843" i="13"/>
  <c r="K3251" i="13"/>
  <c r="K3795" i="13"/>
  <c r="K1091" i="13"/>
  <c r="K947" i="13"/>
  <c r="K1763" i="13"/>
  <c r="K1635" i="13"/>
  <c r="K2291" i="13"/>
  <c r="K2691" i="13"/>
  <c r="K2147" i="13"/>
  <c r="K4163" i="13"/>
  <c r="K2579" i="13"/>
  <c r="K563" i="13"/>
  <c r="K4227" i="13"/>
  <c r="K3475" i="13"/>
  <c r="K307" i="13"/>
  <c r="K1379" i="13"/>
  <c r="K691" i="13"/>
  <c r="K3107" i="13"/>
  <c r="K1651" i="13"/>
  <c r="K835" i="13"/>
  <c r="K3491" i="13"/>
  <c r="K51" i="13"/>
  <c r="K2995" i="13"/>
  <c r="K2131" i="13"/>
  <c r="K611" i="13"/>
  <c r="K3427" i="13"/>
  <c r="K1043" i="13"/>
  <c r="K2019" i="13"/>
  <c r="K3155" i="13"/>
  <c r="K1459" i="13"/>
  <c r="K35" i="13"/>
  <c r="K1795" i="13"/>
  <c r="K2515" i="13"/>
  <c r="K851" i="13"/>
  <c r="K1507" i="13"/>
  <c r="K4451" i="13"/>
  <c r="K2915" i="13"/>
  <c r="K2211" i="13"/>
  <c r="K195" i="13"/>
  <c r="K2931" i="13"/>
  <c r="K2675" i="13"/>
  <c r="K2435" i="13"/>
  <c r="K4579" i="13"/>
  <c r="K19" i="13"/>
  <c r="K4307" i="13"/>
  <c r="K2483" i="13"/>
  <c r="K99" i="13"/>
  <c r="K1539" i="13"/>
  <c r="K1683" i="13"/>
  <c r="K2979" i="13"/>
  <c r="K979" i="13"/>
  <c r="K3043" i="13"/>
  <c r="K2787" i="13"/>
  <c r="K3523" i="13"/>
  <c r="K419" i="13"/>
  <c r="K2707" i="13"/>
  <c r="K4531" i="13"/>
  <c r="K3763" i="13"/>
  <c r="K1971" i="13"/>
  <c r="K2307" i="13"/>
  <c r="K371" i="13"/>
  <c r="K179" i="13"/>
  <c r="K867" i="13"/>
  <c r="K3955" i="13"/>
  <c r="K2595" i="13"/>
  <c r="K3395" i="13"/>
  <c r="K1315" i="13"/>
  <c r="K1731" i="13"/>
  <c r="K387" i="13"/>
  <c r="K4547" i="13"/>
  <c r="K1107" i="13"/>
  <c r="K227" i="13"/>
  <c r="K3139" i="13"/>
  <c r="K659" i="13"/>
  <c r="K2499" i="13"/>
  <c r="K1475" i="13"/>
  <c r="K899" i="13"/>
  <c r="K2355" i="13"/>
  <c r="K1907" i="13"/>
  <c r="K4483" i="13"/>
  <c r="K1059" i="13"/>
  <c r="K3731" i="13"/>
  <c r="K595" i="13"/>
  <c r="K4003" i="13"/>
  <c r="K3203" i="13"/>
  <c r="K2867" i="13"/>
  <c r="K3571" i="13"/>
  <c r="K3459" i="13"/>
  <c r="K2259" i="13"/>
  <c r="K3011" i="13"/>
  <c r="K3603" i="13"/>
  <c r="K3747" i="13"/>
  <c r="K1747" i="13"/>
  <c r="K2947" i="13"/>
  <c r="K131" i="13"/>
  <c r="K291" i="13"/>
  <c r="K707" i="13"/>
  <c r="K1283" i="13"/>
  <c r="K339" i="13"/>
  <c r="K1827" i="13"/>
  <c r="K4387" i="13"/>
  <c r="K1395" i="13"/>
  <c r="K2323" i="13"/>
  <c r="K1715" i="13"/>
  <c r="K2851" i="13"/>
  <c r="K2387" i="13"/>
  <c r="K739" i="13"/>
  <c r="K1939" i="13"/>
  <c r="K4643" i="13"/>
  <c r="K3331" i="13"/>
  <c r="K1171" i="13"/>
  <c r="K819" i="13"/>
  <c r="K4707" i="13"/>
  <c r="K4115" i="13"/>
  <c r="K1187" i="13"/>
  <c r="K515" i="13"/>
  <c r="K3379" i="13"/>
  <c r="K2163" i="13"/>
  <c r="K3363" i="13"/>
  <c r="K2451" i="13"/>
  <c r="K323" i="13"/>
  <c r="K243" i="13"/>
  <c r="K355" i="13"/>
  <c r="K2755" i="13"/>
  <c r="K403" i="13"/>
  <c r="K3875" i="13"/>
  <c r="K2563" i="13"/>
  <c r="K4179" i="13"/>
  <c r="K1267" i="13"/>
  <c r="K2419" i="13"/>
  <c r="K1523" i="13"/>
  <c r="K3555" i="13"/>
  <c r="K2803" i="13"/>
  <c r="K1427" i="13"/>
  <c r="K1203" i="13"/>
  <c r="K3699" i="13"/>
  <c r="K4435" i="13"/>
  <c r="K883" i="13"/>
  <c r="K3827" i="13"/>
  <c r="K3619" i="13"/>
  <c r="K4659" i="13"/>
  <c r="K1843" i="13"/>
  <c r="K4099" i="13"/>
  <c r="K1139" i="13"/>
  <c r="K4787" i="13"/>
  <c r="K2067" i="13"/>
  <c r="K211" i="13"/>
  <c r="K1779" i="13"/>
  <c r="K3907" i="13"/>
  <c r="K1571" i="13"/>
  <c r="K560" i="13"/>
  <c r="K416" i="13"/>
  <c r="K640" i="13"/>
  <c r="K944" i="13"/>
  <c r="K752" i="13"/>
  <c r="K336" i="13"/>
  <c r="K1352" i="13"/>
  <c r="K1120" i="13"/>
  <c r="K1616" i="13"/>
  <c r="K1296" i="13"/>
  <c r="K1360" i="13"/>
  <c r="K1744" i="13"/>
  <c r="K1088" i="13"/>
  <c r="K784" i="13"/>
  <c r="K64" i="13"/>
  <c r="K4700" i="13"/>
  <c r="K4284" i="13"/>
  <c r="K4156" i="13"/>
  <c r="K3676" i="13"/>
  <c r="K128" i="13"/>
  <c r="K3516" i="13"/>
  <c r="K3484" i="13"/>
  <c r="K4444" i="13"/>
  <c r="K3148" i="13"/>
  <c r="K1648" i="13"/>
  <c r="K512" i="13"/>
  <c r="K3724" i="13"/>
  <c r="K4860" i="13"/>
  <c r="K3740" i="13"/>
  <c r="K4844" i="13"/>
  <c r="K320" i="13"/>
  <c r="K96" i="13"/>
  <c r="K1392" i="13"/>
  <c r="K4636" i="13"/>
  <c r="K976" i="13"/>
  <c r="K4428" i="13"/>
  <c r="K4876" i="13"/>
  <c r="K1632" i="13"/>
  <c r="K192" i="13"/>
  <c r="K4348" i="13"/>
  <c r="K4780" i="13"/>
  <c r="K1328" i="13"/>
  <c r="K544" i="13"/>
  <c r="K4364" i="13"/>
  <c r="K912" i="13"/>
  <c r="K4796" i="13"/>
  <c r="K4092" i="13"/>
  <c r="K4220" i="13"/>
  <c r="K4572" i="13"/>
  <c r="K176" i="13"/>
  <c r="K624" i="13"/>
  <c r="K144" i="13"/>
  <c r="K4300" i="13"/>
  <c r="K3564" i="13"/>
  <c r="K4556" i="13"/>
  <c r="K3388" i="13"/>
  <c r="K80" i="13"/>
  <c r="K352" i="13"/>
  <c r="K4508" i="13"/>
  <c r="K480" i="13"/>
  <c r="K4188" i="13"/>
  <c r="K16" i="13"/>
  <c r="K2780" i="13"/>
  <c r="K496" i="13"/>
  <c r="K1072" i="13"/>
  <c r="K1664" i="13"/>
  <c r="K992" i="13"/>
  <c r="K592" i="13"/>
  <c r="K848" i="13"/>
  <c r="K4172" i="13"/>
  <c r="K3164" i="13"/>
  <c r="K3180" i="13"/>
  <c r="K4236" i="13"/>
  <c r="K4012" i="13"/>
  <c r="K3948" i="13"/>
  <c r="K448" i="13"/>
  <c r="K1264" i="13"/>
  <c r="K4892" i="13"/>
  <c r="K4460" i="13"/>
  <c r="K304" i="13"/>
  <c r="K1872" i="13"/>
  <c r="K608" i="13"/>
  <c r="K4684" i="13"/>
  <c r="K112" i="13"/>
  <c r="K528" i="13"/>
  <c r="K656" i="13"/>
  <c r="K4316" i="13"/>
  <c r="K3836" i="13"/>
  <c r="K3100" i="13"/>
  <c r="K4716" i="13"/>
  <c r="K1472" i="13"/>
  <c r="K272" i="13"/>
  <c r="K2288" i="13"/>
  <c r="K1680" i="13"/>
  <c r="K256" i="13"/>
  <c r="K672" i="13"/>
  <c r="K720" i="13"/>
  <c r="K4332" i="13"/>
  <c r="K576" i="13"/>
  <c r="K736" i="13"/>
  <c r="K3404" i="13"/>
  <c r="K4588" i="13"/>
  <c r="K3408" i="13"/>
  <c r="K4704" i="13"/>
  <c r="K4496" i="13"/>
  <c r="K4624" i="13"/>
  <c r="K1216" i="13"/>
  <c r="K1760" i="13"/>
  <c r="K3696" i="13"/>
  <c r="K4256" i="13"/>
  <c r="K1840" i="13"/>
  <c r="K2304" i="13"/>
  <c r="K288" i="13"/>
  <c r="K880" i="13"/>
  <c r="K4060" i="13"/>
  <c r="K3228" i="13"/>
  <c r="K2988" i="13"/>
  <c r="K3884" i="13"/>
  <c r="K4412" i="13"/>
  <c r="K2204" i="13"/>
  <c r="K4560" i="13"/>
  <c r="K2704" i="13"/>
  <c r="K3224" i="13"/>
  <c r="K1920" i="13"/>
  <c r="K2400" i="13"/>
  <c r="K1584" i="13"/>
  <c r="K4240" i="13"/>
  <c r="K1696" i="13"/>
  <c r="K1024" i="13"/>
  <c r="K1424" i="13"/>
  <c r="K4200" i="13"/>
  <c r="K3712" i="13"/>
  <c r="K3832" i="13"/>
  <c r="K2544" i="13"/>
  <c r="K2592" i="13"/>
  <c r="K3280" i="13"/>
  <c r="K4720" i="13"/>
  <c r="K2192" i="13"/>
  <c r="K2752" i="13"/>
  <c r="K4176" i="13"/>
  <c r="K4608" i="13"/>
  <c r="K2272" i="13"/>
  <c r="K4352" i="13"/>
  <c r="K2864" i="13"/>
  <c r="K1168" i="13"/>
  <c r="K1808" i="13"/>
  <c r="K208" i="13"/>
  <c r="K464" i="13"/>
  <c r="K1936" i="13"/>
  <c r="K2912" i="13"/>
  <c r="K864" i="13"/>
  <c r="K4336" i="13"/>
  <c r="K3560" i="13"/>
  <c r="K3568" i="13"/>
  <c r="K3248" i="13"/>
  <c r="K3080" i="13"/>
  <c r="K3208" i="13"/>
  <c r="K3048" i="13"/>
  <c r="K2296" i="13"/>
  <c r="K2144" i="13"/>
  <c r="K3872" i="13"/>
  <c r="K4320" i="13"/>
  <c r="K1040" i="13"/>
  <c r="K3952" i="13"/>
  <c r="K2448" i="13"/>
  <c r="K3664" i="13"/>
  <c r="K1408" i="13"/>
  <c r="K1008" i="13"/>
  <c r="K2320" i="13"/>
  <c r="K4776" i="13"/>
  <c r="K4136" i="13"/>
  <c r="K4088" i="13"/>
  <c r="K2552" i="13"/>
  <c r="K4688" i="13"/>
  <c r="K3440" i="13"/>
  <c r="K3920" i="13"/>
  <c r="K3584" i="13"/>
  <c r="K1600" i="13"/>
  <c r="K2080" i="13"/>
  <c r="K4672" i="13"/>
  <c r="K3616" i="13"/>
  <c r="K2576" i="13"/>
  <c r="K4048" i="13"/>
  <c r="K1488" i="13"/>
  <c r="K400" i="13"/>
  <c r="K2016" i="13"/>
  <c r="K2512" i="13"/>
  <c r="K3344" i="13"/>
  <c r="K4000" i="13"/>
  <c r="K4160" i="13"/>
  <c r="K3104" i="13"/>
  <c r="K4112" i="13"/>
  <c r="K1376" i="13"/>
  <c r="K3856" i="13"/>
  <c r="K3360" i="13"/>
  <c r="K2384" i="13"/>
  <c r="K4832" i="13"/>
  <c r="K704" i="13"/>
  <c r="K3488" i="13"/>
  <c r="K2720" i="13"/>
  <c r="K928" i="13"/>
  <c r="K384" i="13"/>
  <c r="K1712" i="13"/>
  <c r="K2800" i="13"/>
  <c r="K816" i="13"/>
  <c r="K2352" i="13"/>
  <c r="K2960" i="13"/>
  <c r="K4184" i="13"/>
  <c r="K4864" i="13"/>
  <c r="K2608" i="13"/>
  <c r="K3392" i="13"/>
  <c r="K4064" i="13"/>
  <c r="K2376" i="13"/>
  <c r="K1952" i="13"/>
  <c r="K2216" i="13"/>
  <c r="K3216" i="13"/>
  <c r="K2240" i="13"/>
  <c r="K3824" i="13"/>
  <c r="K3056" i="13"/>
  <c r="K3904" i="13"/>
  <c r="K1888" i="13"/>
  <c r="K3040" i="13"/>
  <c r="K2432" i="13"/>
  <c r="K1312" i="13"/>
  <c r="K4144" i="13"/>
  <c r="K3848" i="13"/>
  <c r="K4480" i="13"/>
  <c r="K3944" i="13"/>
  <c r="K3576" i="13"/>
  <c r="K3304" i="13"/>
  <c r="K3184" i="13"/>
  <c r="K3288" i="13"/>
  <c r="K3424" i="13"/>
  <c r="K1824" i="13"/>
  <c r="K3136" i="13"/>
  <c r="K3328" i="13"/>
  <c r="K1728" i="13"/>
  <c r="K688" i="13"/>
  <c r="K1456" i="13"/>
  <c r="K2688" i="13"/>
  <c r="K960" i="13"/>
  <c r="K2368" i="13"/>
  <c r="K1248" i="13"/>
  <c r="K2128" i="13"/>
  <c r="K3192" i="13"/>
  <c r="K3968" i="13"/>
  <c r="K3008" i="13"/>
  <c r="K2256" i="13"/>
  <c r="K1152" i="13"/>
  <c r="K2176" i="13"/>
  <c r="K1184" i="13"/>
  <c r="K4752" i="13"/>
  <c r="K2160" i="13"/>
  <c r="K3632" i="13"/>
  <c r="K2896" i="13"/>
  <c r="K2464" i="13"/>
  <c r="K3648" i="13"/>
  <c r="K3504" i="13"/>
  <c r="K4080" i="13"/>
  <c r="K2528" i="13"/>
  <c r="K2832" i="13"/>
  <c r="K4224" i="13"/>
  <c r="K3520" i="13"/>
  <c r="K1056" i="13"/>
  <c r="K832" i="13"/>
  <c r="K896" i="13"/>
  <c r="K3776" i="13"/>
  <c r="K1792" i="13"/>
  <c r="K3232" i="13"/>
  <c r="K3792" i="13"/>
  <c r="K1856" i="13"/>
  <c r="K160" i="13"/>
  <c r="K1568" i="13"/>
  <c r="K4592" i="13"/>
  <c r="K2880" i="13"/>
  <c r="K3536" i="13"/>
  <c r="K2992" i="13"/>
  <c r="K4128" i="13"/>
  <c r="K3384" i="13"/>
  <c r="K3352" i="13"/>
  <c r="K2632" i="13"/>
  <c r="K3600" i="13"/>
  <c r="K2496" i="13"/>
  <c r="K2664" i="13"/>
  <c r="K3336" i="13"/>
  <c r="K4784" i="13"/>
  <c r="K4208" i="13"/>
  <c r="K4544" i="13"/>
  <c r="K2784" i="13"/>
  <c r="K2768" i="13"/>
  <c r="K4768" i="13"/>
  <c r="K1136" i="13"/>
  <c r="K2064" i="13"/>
  <c r="K1552" i="13"/>
  <c r="K1832" i="13"/>
  <c r="K2048" i="13"/>
  <c r="K2848" i="13"/>
  <c r="K2640" i="13"/>
  <c r="K1200" i="13"/>
  <c r="K240" i="13"/>
  <c r="K4512" i="13"/>
  <c r="K2736" i="13"/>
  <c r="K3760" i="13"/>
  <c r="K3160" i="13"/>
  <c r="K2888" i="13"/>
  <c r="K4656" i="13"/>
  <c r="K3728" i="13"/>
  <c r="K4400" i="13"/>
  <c r="K2904" i="13"/>
  <c r="K2096" i="13"/>
  <c r="K3312" i="13"/>
  <c r="K2112" i="13"/>
  <c r="K1904" i="13"/>
  <c r="K1528" i="13"/>
  <c r="K1984" i="13"/>
  <c r="K2224" i="13"/>
  <c r="K2032" i="13"/>
  <c r="K4304" i="13"/>
  <c r="K2672" i="13"/>
  <c r="K1104" i="13"/>
  <c r="K904" i="13"/>
  <c r="K3088" i="13"/>
  <c r="K2416" i="13"/>
  <c r="K88" i="13"/>
  <c r="K800" i="13"/>
  <c r="K4152" i="13"/>
  <c r="K2816" i="13"/>
  <c r="K4848" i="13"/>
  <c r="K3256" i="13"/>
  <c r="K4880" i="13"/>
  <c r="K3200" i="13"/>
  <c r="K3552" i="13"/>
  <c r="K4464" i="13"/>
  <c r="K3320" i="13"/>
  <c r="K3472" i="13"/>
  <c r="K1280" i="13"/>
  <c r="K3984" i="13"/>
  <c r="K1520" i="13"/>
  <c r="K2000" i="13"/>
  <c r="K2976" i="13"/>
  <c r="K2560" i="13"/>
  <c r="K1504" i="13"/>
  <c r="K3840" i="13"/>
  <c r="K768" i="13"/>
  <c r="K2624" i="13"/>
  <c r="K2944" i="13"/>
  <c r="K2656" i="13"/>
  <c r="K3272" i="13"/>
  <c r="K3456" i="13"/>
  <c r="K3680" i="13"/>
  <c r="K3032" i="13"/>
  <c r="K1776" i="13"/>
  <c r="K3144" i="13"/>
  <c r="K3808" i="13"/>
  <c r="K4288" i="13"/>
  <c r="K1344" i="13"/>
  <c r="K1440" i="13"/>
  <c r="K3168" i="13"/>
  <c r="K3296" i="13"/>
  <c r="K3152" i="13"/>
  <c r="K3072" i="13"/>
  <c r="K3416" i="13"/>
  <c r="K4272" i="13"/>
  <c r="K3264" i="13"/>
  <c r="K1536" i="13"/>
  <c r="K1232" i="13"/>
  <c r="K3376" i="13"/>
  <c r="K2928" i="13"/>
  <c r="K3120" i="13"/>
  <c r="K4192" i="13"/>
  <c r="K4640" i="13"/>
  <c r="K4016" i="13"/>
  <c r="K3575" i="13"/>
  <c r="K3463" i="13"/>
  <c r="K4895" i="13"/>
  <c r="K4463" i="13"/>
  <c r="K4135" i="13"/>
  <c r="K4691" i="13"/>
  <c r="K3223" i="13"/>
  <c r="K3327" i="13"/>
  <c r="K4767" i="13"/>
  <c r="K2215" i="13"/>
  <c r="K4215" i="13"/>
  <c r="K4599" i="13"/>
  <c r="K4671" i="13"/>
  <c r="K4631" i="13"/>
  <c r="K4111" i="13"/>
  <c r="K3639" i="13"/>
  <c r="K3751" i="13"/>
  <c r="K3671" i="13"/>
  <c r="K3903" i="13"/>
  <c r="K3047" i="13"/>
  <c r="K3159" i="13"/>
  <c r="K4527" i="13"/>
  <c r="K2263" i="13"/>
  <c r="K4079" i="13"/>
  <c r="K4559" i="13"/>
  <c r="K4127" i="13"/>
  <c r="K3791" i="13"/>
  <c r="K4675" i="13"/>
  <c r="K4867" i="13"/>
  <c r="K2327" i="13"/>
  <c r="K4851" i="13"/>
  <c r="K4479" i="13"/>
  <c r="K3631" i="13"/>
  <c r="K4831" i="13"/>
  <c r="K4351" i="13"/>
  <c r="K4575" i="13"/>
  <c r="K4511" i="13"/>
  <c r="K4655" i="13"/>
  <c r="K4751" i="13"/>
  <c r="K4223" i="13"/>
  <c r="K3775" i="13"/>
  <c r="K3919" i="13"/>
  <c r="K996" i="13"/>
  <c r="K2980" i="13"/>
  <c r="K644" i="13"/>
  <c r="K916" i="13"/>
  <c r="K4244" i="13"/>
  <c r="K3380" i="13"/>
  <c r="K2196" i="13"/>
  <c r="K2612" i="13"/>
  <c r="K4484" i="13"/>
  <c r="K1428" i="13"/>
  <c r="K788" i="13"/>
  <c r="K4612" i="13"/>
  <c r="K4260" i="13"/>
  <c r="K804" i="13"/>
  <c r="K676" i="13"/>
  <c r="K4420" i="13"/>
  <c r="K1140" i="13"/>
  <c r="K1204" i="13"/>
  <c r="K660" i="13"/>
  <c r="K1476" i="13"/>
  <c r="K2100" i="13"/>
  <c r="K2660" i="13"/>
  <c r="K980" i="13"/>
  <c r="K596" i="13"/>
  <c r="K1060" i="13"/>
  <c r="K1972" i="13"/>
  <c r="K756" i="13"/>
  <c r="K820" i="13"/>
  <c r="K2580" i="13"/>
  <c r="K692" i="13"/>
  <c r="K1636" i="13"/>
  <c r="K548" i="13"/>
  <c r="K2436" i="13"/>
  <c r="K484" i="13"/>
  <c r="K1348" i="13"/>
  <c r="K2852" i="13"/>
  <c r="K2740" i="13"/>
  <c r="K2148" i="13"/>
  <c r="K4212" i="13"/>
  <c r="K564" i="13"/>
  <c r="K2564" i="13"/>
  <c r="K1828" i="13"/>
  <c r="K68" i="13"/>
  <c r="K2884" i="13"/>
  <c r="K1540" i="13"/>
  <c r="K2052" i="13"/>
  <c r="K2020" i="13"/>
  <c r="K2724" i="13"/>
  <c r="K2356" i="13"/>
  <c r="K1396" i="13"/>
  <c r="K1892" i="13"/>
  <c r="K3316" i="13"/>
  <c r="K228" i="13"/>
  <c r="K628" i="13"/>
  <c r="K340" i="13"/>
  <c r="K2516" i="13"/>
  <c r="K932" i="13"/>
  <c r="K1940" i="13"/>
  <c r="K1316" i="13"/>
  <c r="K836" i="13"/>
  <c r="K1924" i="13"/>
  <c r="K1908" i="13"/>
  <c r="K4868" i="13"/>
  <c r="K1604" i="13"/>
  <c r="K420" i="13"/>
  <c r="K516" i="13"/>
  <c r="K4308" i="13"/>
  <c r="K4884" i="13"/>
  <c r="K1028" i="13"/>
  <c r="K3300" i="13"/>
  <c r="K2132" i="13"/>
  <c r="K964" i="13"/>
  <c r="K1796" i="13"/>
  <c r="K3588" i="13"/>
  <c r="K4180" i="13"/>
  <c r="K4388" i="13"/>
  <c r="K212" i="13"/>
  <c r="K884" i="13"/>
  <c r="K1252" i="13"/>
  <c r="K404" i="13"/>
  <c r="K3172" i="13"/>
  <c r="K1460" i="13"/>
  <c r="K580" i="13"/>
  <c r="K2628" i="13"/>
  <c r="K2004" i="13"/>
  <c r="K196" i="13"/>
  <c r="K2836" i="13"/>
  <c r="K3492" i="13"/>
  <c r="K4100" i="13"/>
  <c r="K388" i="13"/>
  <c r="K2772" i="13"/>
  <c r="K500" i="13"/>
  <c r="K2308" i="13"/>
  <c r="K1732" i="13"/>
  <c r="K260" i="13"/>
  <c r="K3540" i="13"/>
  <c r="K1012" i="13"/>
  <c r="K1300" i="13"/>
  <c r="K2324" i="13"/>
  <c r="K2228" i="13"/>
  <c r="K2068" i="13"/>
  <c r="K3364" i="13"/>
  <c r="K1652" i="13"/>
  <c r="K1956" i="13"/>
  <c r="K1284" i="13"/>
  <c r="K3476" i="13"/>
  <c r="K3220" i="13"/>
  <c r="K1108" i="13"/>
  <c r="K3972" i="13"/>
  <c r="K1988" i="13"/>
  <c r="K1700" i="13"/>
  <c r="K452" i="13"/>
  <c r="K1556" i="13"/>
  <c r="K1492" i="13"/>
  <c r="K2036" i="13"/>
  <c r="K3604" i="13"/>
  <c r="K116" i="13"/>
  <c r="K2180" i="13"/>
  <c r="K2596" i="13"/>
  <c r="K164" i="13"/>
  <c r="K868" i="13"/>
  <c r="K148" i="13"/>
  <c r="K1236" i="13"/>
  <c r="K3444" i="13"/>
  <c r="K2452" i="13"/>
  <c r="K2372" i="13"/>
  <c r="K292" i="13"/>
  <c r="K1524" i="13"/>
  <c r="K3940" i="13"/>
  <c r="K2244" i="13"/>
  <c r="K3748" i="13"/>
  <c r="K1716" i="13"/>
  <c r="K3844" i="13"/>
  <c r="K20" i="13"/>
  <c r="K1156" i="13"/>
  <c r="K2756" i="13"/>
  <c r="K708" i="13"/>
  <c r="K1780" i="13"/>
  <c r="K2708" i="13"/>
  <c r="K2420" i="13"/>
  <c r="K1668" i="13"/>
  <c r="K3892" i="13"/>
  <c r="K1364" i="13"/>
  <c r="K2644" i="13"/>
  <c r="K2820" i="13"/>
  <c r="K2292" i="13"/>
  <c r="K4" i="13"/>
  <c r="K372" i="13"/>
  <c r="K36" i="13"/>
  <c r="K1588" i="13"/>
  <c r="K1188" i="13"/>
  <c r="K3732" i="13"/>
  <c r="K2548" i="13"/>
  <c r="K3188" i="13"/>
  <c r="K1124" i="13"/>
  <c r="K3044" i="13"/>
  <c r="K2212" i="13"/>
  <c r="K100" i="13"/>
  <c r="K1620" i="13"/>
  <c r="K3924" i="13"/>
  <c r="K2964" i="13"/>
  <c r="K948" i="13"/>
  <c r="K1876" i="13"/>
  <c r="K2788" i="13"/>
  <c r="K532" i="13"/>
  <c r="K1268" i="13"/>
  <c r="K3716" i="13"/>
  <c r="K1380" i="13"/>
  <c r="K2276" i="13"/>
  <c r="K308" i="13"/>
  <c r="K3556" i="13"/>
  <c r="K3396" i="13"/>
  <c r="K436" i="13"/>
  <c r="K1332" i="13"/>
  <c r="K2692" i="13"/>
  <c r="K3284" i="13"/>
  <c r="K1220" i="13"/>
  <c r="K52" i="13"/>
  <c r="K2116" i="13"/>
  <c r="K1172" i="13"/>
  <c r="K1764" i="13"/>
  <c r="K900" i="13"/>
  <c r="K1860" i="13"/>
  <c r="K612" i="13"/>
  <c r="K772" i="13"/>
  <c r="K740" i="13"/>
  <c r="K3012" i="13"/>
  <c r="K2868" i="13"/>
  <c r="K1844" i="13"/>
  <c r="K4404" i="13"/>
  <c r="K468" i="13"/>
  <c r="K3108" i="13"/>
  <c r="K132" i="13"/>
  <c r="K276" i="13"/>
  <c r="K4756" i="13"/>
  <c r="K4452" i="13"/>
  <c r="K84" i="13"/>
  <c r="K3860" i="13"/>
  <c r="K4724" i="13"/>
  <c r="K1044" i="13"/>
  <c r="K4020" i="13"/>
  <c r="K1572" i="13"/>
  <c r="K1684" i="13"/>
  <c r="K1412" i="13"/>
  <c r="K2260" i="13"/>
  <c r="K356" i="13"/>
  <c r="K3076" i="13"/>
  <c r="K2404" i="13"/>
  <c r="K4676" i="13"/>
  <c r="K852" i="13"/>
  <c r="K3460" i="13"/>
  <c r="K3655" i="13"/>
  <c r="K1190" i="13"/>
  <c r="K4372" i="13"/>
  <c r="K4375" i="13"/>
  <c r="K2102" i="13"/>
  <c r="K70" i="13"/>
  <c r="K2694" i="13"/>
  <c r="K3158" i="13"/>
  <c r="K2871" i="13"/>
  <c r="K3495" i="13"/>
  <c r="K1622" i="13"/>
  <c r="K1846" i="13"/>
  <c r="K3830" i="13"/>
  <c r="K4151" i="13"/>
  <c r="K3623" i="13"/>
  <c r="K2550" i="13"/>
  <c r="K2854" i="13"/>
  <c r="K4324" i="13"/>
  <c r="K3975" i="13"/>
  <c r="K4196" i="13"/>
  <c r="K598" i="13"/>
  <c r="K2583" i="13"/>
  <c r="K3620" i="13"/>
  <c r="K4567" i="13"/>
  <c r="K22" i="13"/>
  <c r="K3508" i="13"/>
  <c r="K3268" i="13"/>
  <c r="K134" i="13"/>
  <c r="K710" i="13"/>
  <c r="K2484" i="13"/>
  <c r="K4119" i="13"/>
  <c r="K3332" i="13"/>
  <c r="K1076" i="13"/>
  <c r="K2038" i="13"/>
  <c r="K1542" i="13"/>
  <c r="K3510" i="13"/>
  <c r="K3095" i="13"/>
  <c r="K3046" i="13"/>
  <c r="K3383" i="13"/>
  <c r="K3894" i="13"/>
  <c r="K2902" i="13"/>
  <c r="K278" i="13"/>
  <c r="K2134" i="13"/>
  <c r="K3799" i="13"/>
  <c r="K3719" i="13"/>
  <c r="K1558" i="13"/>
  <c r="K4391" i="13"/>
  <c r="K2870" i="13"/>
  <c r="K1798" i="13"/>
  <c r="K3990" i="13"/>
  <c r="K4503" i="13"/>
  <c r="K3252" i="13"/>
  <c r="K2390" i="13"/>
  <c r="K1062" i="13"/>
  <c r="K2948" i="13"/>
  <c r="K1510" i="13"/>
  <c r="K3959" i="13"/>
  <c r="K4055" i="13"/>
  <c r="K4816" i="13"/>
  <c r="K3204" i="13"/>
  <c r="K2503" i="13"/>
  <c r="K3446" i="13"/>
  <c r="K534" i="13"/>
  <c r="K4790" i="13"/>
  <c r="K2310" i="13"/>
  <c r="K1702" i="13"/>
  <c r="K4039" i="13"/>
  <c r="K790" i="13"/>
  <c r="K4471" i="13"/>
  <c r="K2822" i="13"/>
  <c r="K2807" i="13"/>
  <c r="K3687" i="13"/>
  <c r="K1990" i="13"/>
  <c r="K582" i="13"/>
  <c r="K4775" i="13"/>
  <c r="K2790" i="13"/>
  <c r="K2774" i="13"/>
  <c r="K4518" i="13"/>
  <c r="K2663" i="13"/>
  <c r="K4407" i="13"/>
  <c r="K3318" i="13"/>
  <c r="K342" i="13"/>
  <c r="K3878" i="13"/>
  <c r="K4148" i="13"/>
  <c r="K2951" i="13"/>
  <c r="K3942" i="13"/>
  <c r="K3798" i="13"/>
  <c r="K3412" i="13"/>
  <c r="K3908" i="13"/>
  <c r="K2919" i="13"/>
  <c r="K3110" i="13"/>
  <c r="K4068" i="13"/>
  <c r="K3735" i="13"/>
  <c r="K2246" i="13"/>
  <c r="K1174" i="13"/>
  <c r="K4548" i="13"/>
  <c r="K3574" i="13"/>
  <c r="K4167" i="13"/>
  <c r="K2532" i="13"/>
  <c r="K4800" i="13"/>
  <c r="K630" i="13"/>
  <c r="K4646" i="13"/>
  <c r="K4500" i="13"/>
  <c r="K4470" i="13"/>
  <c r="K1782" i="13"/>
  <c r="K3302" i="13"/>
  <c r="K902" i="13"/>
  <c r="K4454" i="13"/>
  <c r="K2566" i="13"/>
  <c r="K4838" i="13"/>
  <c r="K806" i="13"/>
  <c r="K2070" i="13"/>
  <c r="K1494" i="13"/>
  <c r="K4004" i="13"/>
  <c r="K4727" i="13"/>
  <c r="K438" i="13"/>
  <c r="K4326" i="13"/>
  <c r="K3702" i="13"/>
  <c r="K2662" i="13"/>
  <c r="K3558" i="13"/>
  <c r="K3783" i="13"/>
  <c r="K4263" i="13"/>
  <c r="K4230" i="13"/>
  <c r="K1766" i="13"/>
  <c r="K1014" i="13"/>
  <c r="K3974" i="13"/>
  <c r="K1286" i="13"/>
  <c r="K4070" i="13"/>
  <c r="K3863" i="13"/>
  <c r="K2164" i="13"/>
  <c r="K390" i="13"/>
  <c r="K4622" i="13"/>
  <c r="K2855" i="13"/>
  <c r="K3606" i="13"/>
  <c r="K3750" i="13"/>
  <c r="K3744" i="13"/>
  <c r="K1110" i="13"/>
  <c r="K1430" i="13"/>
  <c r="K966" i="13"/>
  <c r="K4822" i="13"/>
  <c r="K3462" i="13"/>
  <c r="K3958" i="13"/>
  <c r="K4262" i="13"/>
  <c r="K3622" i="13"/>
  <c r="K614" i="13"/>
  <c r="K4086" i="13"/>
  <c r="K4679" i="13"/>
  <c r="K198" i="13"/>
  <c r="K2486" i="13"/>
  <c r="K2950" i="13"/>
  <c r="K2422" i="13"/>
  <c r="K3190" i="13"/>
  <c r="K1958" i="13"/>
  <c r="K3590" i="13"/>
  <c r="K1350" i="13"/>
  <c r="K4292" i="13"/>
  <c r="K2903" i="13"/>
  <c r="K3143" i="13"/>
  <c r="K358" i="13"/>
  <c r="K3991" i="13"/>
  <c r="K4102" i="13"/>
  <c r="K4279" i="13"/>
  <c r="K166" i="13"/>
  <c r="K2935" i="13"/>
  <c r="K4896" i="13"/>
  <c r="K3348" i="13"/>
  <c r="K2932" i="13"/>
  <c r="K2391" i="13"/>
  <c r="K86" i="13"/>
  <c r="K4214" i="13"/>
  <c r="K3030" i="13"/>
  <c r="K2678" i="13"/>
  <c r="K1318" i="13"/>
  <c r="K4436" i="13"/>
  <c r="K1334" i="13"/>
  <c r="K2614" i="13"/>
  <c r="K1926" i="13"/>
  <c r="K1126" i="13"/>
  <c r="K2838" i="13"/>
  <c r="K4630" i="13"/>
  <c r="K4772" i="13"/>
  <c r="K2582" i="13"/>
  <c r="K4006" i="13"/>
  <c r="K4432" i="13"/>
  <c r="K4103" i="13"/>
  <c r="K3526" i="13"/>
  <c r="K3862" i="13"/>
  <c r="K3494" i="13"/>
  <c r="K4726" i="13"/>
  <c r="K4695" i="13"/>
  <c r="K3014" i="13"/>
  <c r="K662" i="13"/>
  <c r="K406" i="13"/>
  <c r="K1094" i="13"/>
  <c r="K1158" i="13"/>
  <c r="K1878" i="13"/>
  <c r="K4774" i="13"/>
  <c r="K566" i="13"/>
  <c r="K4150" i="13"/>
  <c r="K2374" i="13"/>
  <c r="K1830" i="13"/>
  <c r="K4276" i="13"/>
  <c r="K1142" i="13"/>
  <c r="K870" i="13"/>
  <c r="K726" i="13"/>
  <c r="K4788" i="13"/>
  <c r="K3414" i="13"/>
  <c r="K4886" i="13"/>
  <c r="K3238" i="13"/>
  <c r="K3191" i="13"/>
  <c r="K3926" i="13"/>
  <c r="K374" i="13"/>
  <c r="K4836" i="13"/>
  <c r="K326" i="13"/>
  <c r="K3399" i="13"/>
  <c r="K3734" i="13"/>
  <c r="K4358" i="13"/>
  <c r="K4807" i="13"/>
  <c r="K838" i="13"/>
  <c r="K3876" i="13"/>
  <c r="K4871" i="13"/>
  <c r="K4199" i="13"/>
  <c r="K2999" i="13"/>
  <c r="K1942" i="13"/>
  <c r="K1606" i="13"/>
  <c r="K2679" i="13"/>
  <c r="K2886" i="13"/>
  <c r="K4502" i="13"/>
  <c r="K934" i="13"/>
  <c r="K2900" i="13"/>
  <c r="K3286" i="13"/>
  <c r="K2791" i="13"/>
  <c r="K3366" i="13"/>
  <c r="K2454" i="13"/>
  <c r="K3956" i="13"/>
  <c r="K3766" i="13"/>
  <c r="K246" i="13"/>
  <c r="K4550" i="13"/>
  <c r="K2615" i="13"/>
  <c r="K3092" i="13"/>
  <c r="K4096" i="13"/>
  <c r="K3236" i="13"/>
  <c r="K3111" i="13"/>
  <c r="K3254" i="13"/>
  <c r="K4468" i="13"/>
  <c r="K4390" i="13"/>
  <c r="K4694" i="13"/>
  <c r="K1254" i="13"/>
  <c r="K2182" i="13"/>
  <c r="K4663" i="13"/>
  <c r="K38" i="13"/>
  <c r="K262" i="13"/>
  <c r="K3287" i="13"/>
  <c r="K742" i="13"/>
  <c r="K3703" i="13"/>
  <c r="K3127" i="13"/>
  <c r="K4710" i="13"/>
  <c r="K3910" i="13"/>
  <c r="K4116" i="13"/>
  <c r="K4036" i="13"/>
  <c r="K2166" i="13"/>
  <c r="K3668" i="13"/>
  <c r="K1222" i="13"/>
  <c r="K2630" i="13"/>
  <c r="K3062" i="13"/>
  <c r="K4551" i="13"/>
  <c r="K550" i="13"/>
  <c r="K4628" i="13"/>
  <c r="K486" i="13"/>
  <c r="K3094" i="13"/>
  <c r="K1414" i="13"/>
  <c r="K2823" i="13"/>
  <c r="K4118" i="13"/>
  <c r="K4406" i="13"/>
  <c r="K4759" i="13"/>
  <c r="K3206" i="13"/>
  <c r="K3431" i="13"/>
  <c r="K4228" i="13"/>
  <c r="K4660" i="13"/>
  <c r="K3815" i="13"/>
  <c r="K3175" i="13"/>
  <c r="K1046" i="13"/>
  <c r="K3652" i="13"/>
  <c r="K822" i="13"/>
  <c r="K3814" i="13"/>
  <c r="K102" i="13"/>
  <c r="K4356" i="13"/>
  <c r="K950" i="13"/>
  <c r="K3700" i="13"/>
  <c r="K3428" i="13"/>
  <c r="K4247" i="13"/>
  <c r="K3636" i="13"/>
  <c r="K4740" i="13"/>
  <c r="K3524" i="13"/>
  <c r="K3478" i="13"/>
  <c r="K470" i="13"/>
  <c r="K3239" i="13"/>
  <c r="K3828" i="13"/>
  <c r="K3780" i="13"/>
  <c r="K2006" i="13"/>
  <c r="K2676" i="13"/>
  <c r="K4294" i="13"/>
  <c r="K3028" i="13"/>
  <c r="K1894" i="13"/>
  <c r="K886" i="13"/>
  <c r="K4894" i="13"/>
  <c r="K4087" i="13"/>
  <c r="K1508" i="13"/>
  <c r="K1092" i="13"/>
  <c r="K1238" i="13"/>
  <c r="K230" i="13"/>
  <c r="K4422" i="13"/>
  <c r="K3591" i="13"/>
  <c r="K2150" i="13"/>
  <c r="K1750" i="13"/>
  <c r="K4231" i="13"/>
  <c r="K646" i="13"/>
  <c r="K3142" i="13"/>
  <c r="K3559" i="13"/>
  <c r="K4054" i="13"/>
  <c r="K3415" i="13"/>
  <c r="K4310" i="13"/>
  <c r="K3831" i="13"/>
  <c r="K3654" i="13"/>
  <c r="K2406" i="13"/>
  <c r="K1670" i="13"/>
  <c r="K3334" i="13"/>
  <c r="K3222" i="13"/>
  <c r="K2439" i="13"/>
  <c r="K4455" i="13"/>
  <c r="K774" i="13"/>
  <c r="K4182" i="13"/>
  <c r="K2758" i="13"/>
  <c r="K3140" i="13"/>
  <c r="K3542" i="13"/>
  <c r="K3319" i="13"/>
  <c r="K2470" i="13"/>
  <c r="K2534" i="13"/>
  <c r="K1270" i="13"/>
  <c r="K3684" i="13"/>
  <c r="K2710" i="13"/>
  <c r="K6" i="13"/>
  <c r="K4295" i="13"/>
  <c r="K4448" i="13"/>
  <c r="K3764" i="13"/>
  <c r="K982" i="13"/>
  <c r="K2726" i="13"/>
  <c r="K422" i="13"/>
  <c r="K4820" i="13"/>
  <c r="K3718" i="13"/>
  <c r="K2598" i="13"/>
  <c r="K518" i="13"/>
  <c r="K4246" i="13"/>
  <c r="K4022" i="13"/>
  <c r="K4742" i="13"/>
  <c r="K2998" i="13"/>
  <c r="K4839" i="13"/>
  <c r="K4534" i="13"/>
  <c r="K1718" i="13"/>
  <c r="K1302" i="13"/>
  <c r="K3895" i="13"/>
  <c r="K3670" i="13"/>
  <c r="K2966" i="13"/>
  <c r="K4887" i="13"/>
  <c r="K4854" i="13"/>
  <c r="K4583" i="13"/>
  <c r="K3303" i="13"/>
  <c r="K4743" i="13"/>
  <c r="K4342" i="13"/>
  <c r="K4758" i="13"/>
  <c r="K4132" i="13"/>
  <c r="K3063" i="13"/>
  <c r="K1462" i="13"/>
  <c r="K3943" i="13"/>
  <c r="K1398" i="13"/>
  <c r="K2551" i="13"/>
  <c r="K3335" i="13"/>
  <c r="K694" i="13"/>
  <c r="K1078" i="13"/>
  <c r="K2086" i="13"/>
  <c r="K758" i="13"/>
  <c r="K3015" i="13"/>
  <c r="K2631" i="13"/>
  <c r="K3543" i="13"/>
  <c r="K2326" i="13"/>
  <c r="K2388" i="13"/>
  <c r="K2455" i="13"/>
  <c r="K4580" i="13"/>
  <c r="K1686" i="13"/>
  <c r="K4532" i="13"/>
  <c r="K1590" i="13"/>
  <c r="K4692" i="13"/>
  <c r="K4416" i="13"/>
  <c r="K4359" i="13"/>
  <c r="K150" i="13"/>
  <c r="K3126" i="13"/>
  <c r="K4576" i="13"/>
  <c r="K3812" i="13"/>
  <c r="K4198" i="13"/>
  <c r="K1654" i="13"/>
  <c r="K2519" i="13"/>
  <c r="K3572" i="13"/>
  <c r="K4311" i="13"/>
  <c r="K1030" i="13"/>
  <c r="K3846" i="13"/>
  <c r="K1574" i="13"/>
  <c r="K1526" i="13"/>
  <c r="K2358" i="13"/>
  <c r="K4852" i="13"/>
  <c r="K1974" i="13"/>
  <c r="K918" i="13"/>
  <c r="K4343" i="13"/>
  <c r="K4662" i="13"/>
  <c r="K4855" i="13"/>
  <c r="K1366" i="13"/>
  <c r="K1446" i="13"/>
  <c r="K1638" i="13"/>
  <c r="K998" i="13"/>
  <c r="K2438" i="13"/>
  <c r="K4516" i="13"/>
  <c r="K3351" i="13"/>
  <c r="K3782" i="13"/>
  <c r="K2775" i="13"/>
  <c r="K3174" i="13"/>
  <c r="K2502" i="13"/>
  <c r="K4052" i="13"/>
  <c r="K2022" i="13"/>
  <c r="K4071" i="13"/>
  <c r="K2535" i="13"/>
  <c r="K214" i="13"/>
  <c r="K3031" i="13"/>
  <c r="K2214" i="13"/>
  <c r="K1734" i="13"/>
  <c r="K294" i="13"/>
  <c r="K2340" i="13"/>
  <c r="K2518" i="13"/>
  <c r="K2198" i="13"/>
  <c r="K310" i="13"/>
  <c r="K2084" i="13"/>
  <c r="K54" i="13"/>
  <c r="K2887" i="13"/>
  <c r="K4791" i="13"/>
  <c r="K2646" i="13"/>
  <c r="K2278" i="13"/>
  <c r="K1862" i="13"/>
  <c r="K3936" i="13"/>
  <c r="K4900" i="13"/>
  <c r="K3060" i="13"/>
  <c r="K1444" i="13"/>
  <c r="K1206" i="13"/>
  <c r="K3270" i="13"/>
  <c r="K3638" i="13"/>
  <c r="K4870" i="13"/>
  <c r="K2982" i="13"/>
  <c r="K2918" i="13"/>
  <c r="K2230" i="13"/>
  <c r="K4038" i="13"/>
  <c r="K182" i="13"/>
  <c r="K2294" i="13"/>
  <c r="K454" i="13"/>
  <c r="K2934" i="13"/>
  <c r="K4166" i="13"/>
  <c r="K4678" i="13"/>
  <c r="K2342" i="13"/>
  <c r="K2054" i="13"/>
  <c r="K1910" i="13"/>
  <c r="K4594" i="13"/>
  <c r="K1458" i="13"/>
  <c r="K3234" i="13"/>
  <c r="K1938" i="13"/>
  <c r="K946" i="13"/>
  <c r="K1234" i="13"/>
  <c r="K4162" i="13"/>
  <c r="K914" i="13"/>
  <c r="K3258" i="13"/>
  <c r="K3394" i="13"/>
  <c r="K1442" i="13"/>
  <c r="K2018" i="13"/>
  <c r="K3378" i="13"/>
  <c r="K802" i="13"/>
  <c r="K2082" i="13"/>
  <c r="K2602" i="13"/>
  <c r="K3890" i="13"/>
  <c r="K2418" i="13"/>
  <c r="K2786" i="13"/>
  <c r="K4482" i="13"/>
  <c r="K4050" i="13"/>
  <c r="K2274" i="13"/>
  <c r="K3490" i="13"/>
  <c r="K1538" i="13"/>
  <c r="K4898" i="13"/>
  <c r="K898" i="13"/>
  <c r="K1306" i="13"/>
  <c r="K2722" i="13"/>
  <c r="K3106" i="13"/>
  <c r="K2130" i="13"/>
  <c r="K2090" i="13"/>
  <c r="K3874" i="13"/>
  <c r="K2882" i="13"/>
  <c r="K4450" i="13"/>
  <c r="K2498" i="13"/>
  <c r="K4146" i="13"/>
  <c r="K4034" i="13"/>
  <c r="K4490" i="13"/>
  <c r="K4698" i="13"/>
  <c r="K994" i="13"/>
  <c r="K4026" i="13"/>
  <c r="K4746" i="13"/>
  <c r="K3954" i="13"/>
  <c r="K3170" i="13"/>
  <c r="K1314" i="13"/>
  <c r="K114" i="13"/>
  <c r="K3570" i="13"/>
  <c r="K3282" i="13"/>
  <c r="K2282" i="13"/>
  <c r="K4538" i="13"/>
  <c r="K930" i="13"/>
  <c r="K4186" i="13"/>
  <c r="K2098" i="13"/>
  <c r="K1834" i="13"/>
  <c r="K626" i="13"/>
  <c r="K514" i="13"/>
  <c r="K4442" i="13"/>
  <c r="K4866" i="13"/>
  <c r="K2858" i="13"/>
  <c r="K1130" i="13"/>
  <c r="K2946" i="13"/>
  <c r="K2730" i="13"/>
  <c r="K3642" i="13"/>
  <c r="K354" i="13"/>
  <c r="K2290" i="13"/>
  <c r="K4074" i="13"/>
  <c r="K4810" i="13"/>
  <c r="K546" i="13"/>
  <c r="K1154" i="13"/>
  <c r="K3058" i="13"/>
  <c r="K3410" i="13"/>
  <c r="K2626" i="13"/>
  <c r="K4042" i="13"/>
  <c r="K3066" i="13"/>
  <c r="K4762" i="13"/>
  <c r="K3978" i="13"/>
  <c r="K4242" i="13"/>
  <c r="K3714" i="13"/>
  <c r="K3482" i="13"/>
  <c r="K3202" i="13"/>
  <c r="K4418" i="13"/>
  <c r="K1330" i="13"/>
  <c r="K450" i="13"/>
  <c r="K498" i="13"/>
  <c r="K2930" i="13"/>
  <c r="K3722" i="13"/>
  <c r="K4370" i="13"/>
  <c r="K4498" i="13"/>
  <c r="K4274" i="13"/>
  <c r="K3970" i="13"/>
  <c r="K4634" i="13"/>
  <c r="K82" i="13"/>
  <c r="K4002" i="13"/>
  <c r="K530" i="13"/>
  <c r="K2754" i="13"/>
  <c r="K2322" i="13"/>
  <c r="K1490" i="13"/>
  <c r="K1954" i="13"/>
  <c r="K1682" i="13"/>
  <c r="K594" i="13"/>
  <c r="K2034" i="13"/>
  <c r="K194" i="13"/>
  <c r="K1714" i="13"/>
  <c r="K4466" i="13"/>
  <c r="K3858" i="13"/>
  <c r="K2226" i="13"/>
  <c r="K4674" i="13"/>
  <c r="K4098" i="13"/>
  <c r="K402" i="13"/>
  <c r="K1586" i="13"/>
  <c r="K658" i="13"/>
  <c r="K4618" i="13"/>
  <c r="K2874" i="13"/>
  <c r="K1506" i="13"/>
  <c r="K3762" i="13"/>
  <c r="K3914" i="13"/>
  <c r="K3098" i="13"/>
  <c r="K690" i="13"/>
  <c r="K3610" i="13"/>
  <c r="K2826" i="13"/>
  <c r="K1058" i="13"/>
  <c r="K4266" i="13"/>
  <c r="K306" i="13"/>
  <c r="K2450" i="13"/>
  <c r="K3274" i="13"/>
  <c r="K850" i="13"/>
  <c r="K4178" i="13"/>
  <c r="K4066" i="13"/>
  <c r="K3554" i="13"/>
  <c r="K2834" i="13"/>
  <c r="K3346" i="13"/>
  <c r="K1922" i="13"/>
  <c r="K3090" i="13"/>
  <c r="K3746" i="13"/>
  <c r="K50" i="13"/>
  <c r="K4018" i="13"/>
  <c r="K562" i="13"/>
  <c r="K4778" i="13"/>
  <c r="K2466" i="13"/>
  <c r="K4658" i="13"/>
  <c r="K1378" i="13"/>
  <c r="K258" i="13"/>
  <c r="K1522" i="13"/>
  <c r="K2898" i="13"/>
  <c r="K178" i="13"/>
  <c r="K2434" i="13"/>
  <c r="K2610" i="13"/>
  <c r="K1906" i="13"/>
  <c r="K466" i="13"/>
  <c r="K3826" i="13"/>
  <c r="K4842" i="13"/>
  <c r="K1106" i="13"/>
  <c r="K4858" i="13"/>
  <c r="K162" i="13"/>
  <c r="K3154" i="13"/>
  <c r="K834" i="13"/>
  <c r="K3770" i="13"/>
  <c r="K1346" i="13"/>
  <c r="K706" i="13"/>
  <c r="K2938" i="13"/>
  <c r="K3290" i="13"/>
  <c r="K4402" i="13"/>
  <c r="K2978" i="13"/>
  <c r="K1602" i="13"/>
  <c r="K754" i="13"/>
  <c r="K4730" i="13"/>
  <c r="K4834" i="13"/>
  <c r="K4082" i="13"/>
  <c r="K322" i="13"/>
  <c r="K2850" i="13"/>
  <c r="K3178" i="13"/>
  <c r="K210" i="13"/>
  <c r="K2650" i="13"/>
  <c r="K2314" i="13"/>
  <c r="K4346" i="13"/>
  <c r="K1162" i="13"/>
  <c r="K4314" i="13"/>
  <c r="K3306" i="13"/>
  <c r="K1794" i="13"/>
  <c r="K1978" i="13"/>
  <c r="K1186" i="13"/>
  <c r="K1530" i="13"/>
  <c r="K3850" i="13"/>
  <c r="K2690" i="13"/>
  <c r="K2050" i="13"/>
  <c r="K4890" i="13"/>
  <c r="K1650" i="13"/>
  <c r="K4786" i="13"/>
  <c r="K882" i="13"/>
  <c r="K4506" i="13"/>
  <c r="K3146" i="13"/>
  <c r="K4426" i="13"/>
  <c r="K146" i="13"/>
  <c r="K4090" i="13"/>
  <c r="K1842" i="13"/>
  <c r="K2890" i="13"/>
  <c r="K1874" i="13"/>
  <c r="K1858" i="13"/>
  <c r="K2714" i="13"/>
  <c r="K1882" i="13"/>
  <c r="K3370" i="13"/>
  <c r="K2818" i="13"/>
  <c r="K1634" i="13"/>
  <c r="K2634" i="13"/>
  <c r="K4682" i="13"/>
  <c r="K4010" i="13"/>
  <c r="K1690" i="13"/>
  <c r="K4826" i="13"/>
  <c r="K4882" i="13"/>
  <c r="K770" i="13"/>
  <c r="K2234" i="13"/>
  <c r="K2698" i="13"/>
  <c r="K1642" i="13"/>
  <c r="K1658" i="13"/>
  <c r="K610" i="13"/>
  <c r="K2618" i="13"/>
  <c r="K1250" i="13"/>
  <c r="K2178" i="13"/>
  <c r="K4194" i="13"/>
  <c r="K2306" i="13"/>
  <c r="K3618" i="13"/>
  <c r="K1202" i="13"/>
  <c r="K4650" i="13"/>
  <c r="K3458" i="13"/>
  <c r="K3226" i="13"/>
  <c r="K4850" i="13"/>
  <c r="K2522" i="13"/>
  <c r="K1394" i="13"/>
  <c r="K2194" i="13"/>
  <c r="K2970" i="13"/>
  <c r="K738" i="13"/>
  <c r="K578" i="13"/>
  <c r="K4282" i="13"/>
  <c r="K1026" i="13"/>
  <c r="K1898" i="13"/>
  <c r="K3810" i="13"/>
  <c r="K4714" i="13"/>
  <c r="K2154" i="13"/>
  <c r="K4794" i="13"/>
  <c r="K4642" i="13"/>
  <c r="K2210" i="13"/>
  <c r="K2442" i="13"/>
  <c r="K2962" i="13"/>
  <c r="K1562" i="13"/>
  <c r="K3626" i="13"/>
  <c r="K3906" i="13"/>
  <c r="K962" i="13"/>
  <c r="K1986" i="13"/>
  <c r="K4458" i="13"/>
  <c r="K370" i="13"/>
  <c r="K2258" i="13"/>
  <c r="K2482" i="13"/>
  <c r="K3314" i="13"/>
  <c r="K98" i="13"/>
  <c r="K3538" i="13"/>
  <c r="K3026" i="13"/>
  <c r="K4154" i="13"/>
  <c r="K4578" i="13"/>
  <c r="K290" i="13"/>
  <c r="K2914" i="13"/>
  <c r="K4330" i="13"/>
  <c r="K3594" i="13"/>
  <c r="K4226" i="13"/>
  <c r="K3034" i="13"/>
  <c r="K3466" i="13"/>
  <c r="K3562" i="13"/>
  <c r="K3706" i="13"/>
  <c r="K4122" i="13"/>
  <c r="K1730" i="13"/>
  <c r="K2666" i="13"/>
  <c r="K3138" i="13"/>
  <c r="K3082" i="13"/>
  <c r="K4818" i="13"/>
  <c r="K4666" i="13"/>
  <c r="K4722" i="13"/>
  <c r="K4306" i="13"/>
  <c r="K2594" i="13"/>
  <c r="K1178" i="13"/>
  <c r="K2146" i="13"/>
  <c r="K3898" i="13"/>
  <c r="K3042" i="13"/>
  <c r="K1122" i="13"/>
  <c r="K3738" i="13"/>
  <c r="K4514" i="13"/>
  <c r="K4626" i="13"/>
  <c r="K2354" i="13"/>
  <c r="K34" i="13"/>
  <c r="K4338" i="13"/>
  <c r="K3994" i="13"/>
  <c r="K4210" i="13"/>
  <c r="K3842" i="13"/>
  <c r="K3450" i="13"/>
  <c r="K2642" i="13"/>
  <c r="K3338" i="13"/>
  <c r="K226" i="13"/>
  <c r="K1450" i="13"/>
  <c r="K2658" i="13"/>
  <c r="K2994" i="13"/>
  <c r="K2802" i="13"/>
  <c r="K3834" i="13"/>
  <c r="K1746" i="13"/>
  <c r="K3586" i="13"/>
  <c r="K2674" i="13"/>
  <c r="K4298" i="13"/>
  <c r="K3266" i="13"/>
  <c r="K1074" i="13"/>
  <c r="K242" i="13"/>
  <c r="K2370" i="13"/>
  <c r="K3938" i="13"/>
  <c r="K3786" i="13"/>
  <c r="K2186" i="13"/>
  <c r="K3602" i="13"/>
  <c r="K4130" i="13"/>
  <c r="K3794" i="13"/>
  <c r="K2386" i="13"/>
  <c r="K2578" i="13"/>
  <c r="K2170" i="13"/>
  <c r="K2074" i="13"/>
  <c r="K1994" i="13"/>
  <c r="K4554" i="13"/>
  <c r="K482" i="13"/>
  <c r="K3018" i="13"/>
  <c r="K1010" i="13"/>
  <c r="K674" i="13"/>
  <c r="K4322" i="13"/>
  <c r="K66" i="13"/>
  <c r="K2770" i="13"/>
  <c r="K1370" i="13"/>
  <c r="K4610" i="13"/>
  <c r="K3050" i="13"/>
  <c r="K2546" i="13"/>
  <c r="K786" i="13"/>
  <c r="K1138" i="13"/>
  <c r="K2338" i="13"/>
  <c r="K1298" i="13"/>
  <c r="K2514" i="13"/>
  <c r="K4354" i="13"/>
  <c r="K1090" i="13"/>
  <c r="K3922" i="13"/>
  <c r="K418" i="13"/>
  <c r="K3690" i="13"/>
  <c r="K3658" i="13"/>
  <c r="K1778" i="13"/>
  <c r="K1282" i="13"/>
  <c r="K338" i="13"/>
  <c r="K4738" i="13"/>
  <c r="K818" i="13"/>
  <c r="K18" i="13"/>
  <c r="K130" i="13"/>
  <c r="K2530" i="13"/>
  <c r="K3682" i="13"/>
  <c r="K1474" i="13"/>
  <c r="K1258" i="13"/>
  <c r="K4170" i="13"/>
  <c r="K3402" i="13"/>
  <c r="K1722" i="13"/>
  <c r="K1570" i="13"/>
  <c r="K4234" i="13"/>
  <c r="K2114" i="13"/>
  <c r="K2810" i="13"/>
  <c r="K4690" i="13"/>
  <c r="K1362" i="13"/>
  <c r="K2562" i="13"/>
  <c r="K3522" i="13"/>
  <c r="K1218" i="13"/>
  <c r="K386" i="13"/>
  <c r="K3930" i="13"/>
  <c r="K3962" i="13"/>
  <c r="K2002" i="13"/>
  <c r="K4386" i="13"/>
  <c r="K2266" i="13"/>
  <c r="K2866" i="13"/>
  <c r="K3322" i="13"/>
  <c r="K2362" i="13"/>
  <c r="K1738" i="13"/>
  <c r="K4546" i="13"/>
  <c r="K642" i="13"/>
  <c r="K3426" i="13"/>
  <c r="K1266" i="13"/>
  <c r="K978" i="13"/>
  <c r="K1826" i="13"/>
  <c r="K2586" i="13"/>
  <c r="K3698" i="13"/>
  <c r="K3986" i="13"/>
  <c r="K2458" i="13"/>
  <c r="K2066" i="13"/>
  <c r="K3122" i="13"/>
  <c r="K3474" i="13"/>
  <c r="K3362" i="13"/>
  <c r="K3218" i="13"/>
  <c r="K3506" i="13"/>
  <c r="K1554" i="13"/>
  <c r="K3650" i="13"/>
  <c r="K4602" i="13"/>
  <c r="K1698" i="13"/>
  <c r="K3634" i="13"/>
  <c r="K2738" i="13"/>
  <c r="K3578" i="13"/>
  <c r="K4106" i="13"/>
  <c r="K3074" i="13"/>
  <c r="K1666" i="13"/>
  <c r="K434" i="13"/>
  <c r="K4290" i="13"/>
  <c r="K4202" i="13"/>
  <c r="K3010" i="13"/>
  <c r="K4114" i="13"/>
  <c r="K3002" i="13"/>
  <c r="K2162" i="13"/>
  <c r="K3754" i="13"/>
  <c r="K2242" i="13"/>
  <c r="K1962" i="13"/>
  <c r="K1482" i="13"/>
  <c r="K2394" i="13"/>
  <c r="K1706" i="13"/>
  <c r="K3298" i="13"/>
  <c r="K1890" i="13"/>
  <c r="K1114" i="13"/>
  <c r="K2954" i="13"/>
  <c r="K1762" i="13"/>
  <c r="K1970" i="13"/>
  <c r="K1042" i="13"/>
  <c r="K3730" i="13"/>
  <c r="K722" i="13"/>
  <c r="K4770" i="13"/>
  <c r="K4562" i="13"/>
  <c r="K4754" i="13"/>
  <c r="K4706" i="13"/>
  <c r="K4530" i="13"/>
  <c r="K4802" i="13"/>
  <c r="K4434" i="13"/>
  <c r="K3016" i="13"/>
  <c r="K3064" i="13"/>
  <c r="K3240" i="13"/>
  <c r="K4760" i="13"/>
  <c r="K4056" i="13"/>
  <c r="K3640" i="13"/>
  <c r="K4280" i="13"/>
  <c r="K3000" i="13"/>
  <c r="K4840" i="13"/>
  <c r="K4664" i="13"/>
  <c r="K1496" i="13"/>
  <c r="K3448" i="13"/>
  <c r="K4120" i="13"/>
  <c r="K4808" i="13"/>
  <c r="K2568" i="13"/>
  <c r="K2312" i="13"/>
  <c r="K4744" i="13"/>
  <c r="K4792" i="13"/>
  <c r="K3720" i="13"/>
  <c r="K3752" i="13"/>
  <c r="K4296" i="13"/>
  <c r="K4040" i="13"/>
  <c r="K4264" i="13"/>
  <c r="K4168" i="13"/>
  <c r="K1384" i="13"/>
  <c r="K3592" i="13"/>
  <c r="K3912" i="13"/>
  <c r="K4520" i="13"/>
  <c r="K4552" i="13"/>
  <c r="K4248" i="13"/>
  <c r="K2392" i="13"/>
  <c r="K4344" i="13"/>
  <c r="K2872" i="13"/>
  <c r="K4312" i="13"/>
  <c r="K2808" i="13"/>
  <c r="K4440" i="13"/>
  <c r="K4712" i="13"/>
  <c r="K3496" i="13"/>
  <c r="K4488" i="13"/>
  <c r="K4568" i="13"/>
  <c r="K4728" i="13"/>
  <c r="K4472" i="13"/>
  <c r="K3128" i="13"/>
  <c r="K4856" i="13"/>
  <c r="K3528" i="13"/>
  <c r="K4232" i="13"/>
  <c r="K3896" i="13"/>
  <c r="K3976" i="13"/>
  <c r="K3768" i="13"/>
  <c r="K4392" i="13"/>
  <c r="K4376" i="13"/>
  <c r="K4456" i="13"/>
  <c r="K4536" i="13"/>
  <c r="K4408" i="13"/>
  <c r="K4328" i="13"/>
  <c r="K3176" i="13"/>
  <c r="K3112" i="13"/>
  <c r="K3992" i="13"/>
  <c r="K4216" i="13"/>
  <c r="K3816" i="13"/>
  <c r="K1048" i="13"/>
  <c r="K3704" i="13"/>
  <c r="K3368" i="13"/>
  <c r="K3688" i="13"/>
  <c r="K4600" i="13"/>
  <c r="K4424" i="13"/>
  <c r="K2744" i="13"/>
  <c r="K4008" i="13"/>
  <c r="K2584" i="13"/>
  <c r="K3880" i="13"/>
  <c r="K2184" i="13"/>
  <c r="K4648" i="13"/>
  <c r="K4824" i="13"/>
  <c r="K3464" i="13"/>
  <c r="K3624" i="13"/>
  <c r="K4504" i="13"/>
  <c r="K2792" i="13"/>
  <c r="K2280" i="13"/>
  <c r="K4680" i="13"/>
  <c r="K1480" i="13"/>
  <c r="K1576" i="13"/>
  <c r="K2472" i="13"/>
  <c r="K1912" i="13"/>
  <c r="K4584" i="13"/>
  <c r="K4632" i="13"/>
  <c r="K4360" i="13"/>
  <c r="K3960" i="13"/>
  <c r="K3096" i="13"/>
  <c r="K3656" i="13"/>
  <c r="K4104" i="13"/>
  <c r="K4888" i="13"/>
  <c r="K4696" i="13"/>
  <c r="K3864" i="13"/>
  <c r="K3784" i="13"/>
  <c r="I4766" i="13"/>
  <c r="K4766" i="13" s="1"/>
  <c r="I4574" i="13"/>
  <c r="K4574" i="13" s="1"/>
  <c r="I4430" i="13"/>
  <c r="K4430" i="13" s="1"/>
  <c r="I4708" i="13"/>
  <c r="K4708" i="13" s="1"/>
  <c r="I4089" i="13"/>
  <c r="K4089" i="13" s="1"/>
  <c r="I4073" i="13"/>
  <c r="K4073" i="13" s="1"/>
  <c r="I2889" i="13"/>
  <c r="K2889" i="13" s="1"/>
  <c r="I2329" i="13"/>
  <c r="K2329" i="13" s="1"/>
  <c r="I4072" i="13"/>
  <c r="K4072" i="13" s="1"/>
  <c r="I3800" i="13"/>
  <c r="K3800" i="13" s="1"/>
  <c r="I3736" i="13"/>
  <c r="K3736" i="13" s="1"/>
  <c r="I3672" i="13"/>
  <c r="K3672" i="13" s="1"/>
  <c r="I3608" i="13"/>
  <c r="K3608" i="13" s="1"/>
  <c r="I3512" i="13"/>
  <c r="K3512" i="13" s="1"/>
  <c r="I3432" i="13"/>
  <c r="K3432" i="13" s="1"/>
  <c r="I4853" i="13"/>
  <c r="K4853" i="13" s="1"/>
  <c r="I4382" i="13"/>
  <c r="K4382" i="13" s="1"/>
  <c r="I681" i="13"/>
  <c r="K681" i="13" s="1"/>
  <c r="I488" i="13"/>
  <c r="K488" i="13" s="1"/>
  <c r="I1081" i="13"/>
  <c r="K1081" i="13" s="1"/>
  <c r="I264" i="13"/>
  <c r="K264" i="13" s="1"/>
  <c r="I1624" i="13"/>
  <c r="K1624" i="13" s="1"/>
  <c r="I569" i="13"/>
  <c r="K569" i="13" s="1"/>
  <c r="I3609" i="13"/>
  <c r="K3609" i="13" s="1"/>
  <c r="I3129" i="13"/>
  <c r="K3129" i="13" s="1"/>
  <c r="I3881" i="13"/>
  <c r="K3881" i="13" s="1"/>
  <c r="I8" i="13"/>
  <c r="K8" i="13" s="1"/>
  <c r="I1545" i="13"/>
  <c r="K1545" i="13" s="1"/>
  <c r="I792" i="13"/>
  <c r="K792" i="13" s="1"/>
  <c r="I2856" i="13"/>
  <c r="K2856" i="13" s="1"/>
  <c r="I3177" i="13"/>
  <c r="K3177" i="13" s="1"/>
  <c r="I2024" i="13"/>
  <c r="K2024" i="13" s="1"/>
  <c r="I712" i="13"/>
  <c r="K712" i="13" s="1"/>
  <c r="I1416" i="13"/>
  <c r="K1416" i="13" s="1"/>
  <c r="I73" i="13"/>
  <c r="K73" i="13" s="1"/>
  <c r="I1577" i="13"/>
  <c r="K1577" i="13" s="1"/>
  <c r="I1065" i="13"/>
  <c r="K1065" i="13" s="1"/>
  <c r="I1449" i="13"/>
  <c r="K1449" i="13" s="1"/>
  <c r="I1992" i="13"/>
  <c r="K1992" i="13" s="1"/>
  <c r="I2249" i="13"/>
  <c r="K2249" i="13" s="1"/>
  <c r="I1880" i="13"/>
  <c r="K1880" i="13" s="1"/>
  <c r="I3481" i="13"/>
  <c r="K3481" i="13" s="1"/>
  <c r="I441" i="13"/>
  <c r="K441" i="13" s="1"/>
  <c r="I680" i="13"/>
  <c r="K680" i="13" s="1"/>
  <c r="I2696" i="13"/>
  <c r="K2696" i="13" s="1"/>
  <c r="I280" i="13"/>
  <c r="K280" i="13" s="1"/>
  <c r="I1513" i="13"/>
  <c r="K1513" i="13" s="1"/>
  <c r="I25" i="13"/>
  <c r="K25" i="13" s="1"/>
  <c r="I1800" i="13"/>
  <c r="K1800" i="13" s="1"/>
  <c r="I3833" i="13"/>
  <c r="K3833" i="13" s="1"/>
  <c r="I2121" i="13"/>
  <c r="K2121" i="13" s="1"/>
  <c r="I312" i="13"/>
  <c r="K312" i="13" s="1"/>
  <c r="I1961" i="13"/>
  <c r="K1961" i="13" s="1"/>
  <c r="I2520" i="13"/>
  <c r="K2520" i="13" s="1"/>
  <c r="I3801" i="13"/>
  <c r="K3801" i="13" s="1"/>
  <c r="I728" i="13"/>
  <c r="K728" i="13" s="1"/>
  <c r="I1977" i="13"/>
  <c r="K1977" i="13" s="1"/>
  <c r="I761" i="13"/>
  <c r="K761" i="13" s="1"/>
  <c r="I1177" i="13"/>
  <c r="K1177" i="13" s="1"/>
  <c r="I424" i="13"/>
  <c r="K424" i="13" s="1"/>
  <c r="I921" i="13"/>
  <c r="K921" i="13" s="1"/>
  <c r="I1656" i="13"/>
  <c r="K1656" i="13" s="1"/>
  <c r="I3241" i="13"/>
  <c r="K3241" i="13" s="1"/>
  <c r="I1176" i="13"/>
  <c r="K1176" i="13" s="1"/>
  <c r="I2473" i="13"/>
  <c r="K2473" i="13" s="1"/>
  <c r="I2488" i="13"/>
  <c r="K2488" i="13" s="1"/>
  <c r="I2728" i="13"/>
  <c r="K2728" i="13" s="1"/>
  <c r="I1976" i="13"/>
  <c r="K1976" i="13" s="1"/>
  <c r="I1288" i="13"/>
  <c r="K1288" i="13" s="1"/>
  <c r="I184" i="13"/>
  <c r="K184" i="13" s="1"/>
  <c r="I3753" i="13"/>
  <c r="K3753" i="13" s="1"/>
  <c r="I2521" i="13"/>
  <c r="K2521" i="13" s="1"/>
  <c r="I1033" i="13"/>
  <c r="K1033" i="13" s="1"/>
  <c r="I3369" i="13"/>
  <c r="K3369" i="13" s="1"/>
  <c r="I505" i="13"/>
  <c r="K505" i="13" s="1"/>
  <c r="I2713" i="13"/>
  <c r="K2713" i="13" s="1"/>
  <c r="I2041" i="13"/>
  <c r="K2041" i="13" s="1"/>
  <c r="I1369" i="13"/>
  <c r="K1369" i="13" s="1"/>
  <c r="I873" i="13"/>
  <c r="K873" i="13" s="1"/>
  <c r="I2168" i="13"/>
  <c r="K2168" i="13" s="1"/>
  <c r="I3913" i="13"/>
  <c r="K3913" i="13" s="1"/>
  <c r="I2040" i="13"/>
  <c r="K2040" i="13" s="1"/>
  <c r="I136" i="13"/>
  <c r="K136" i="13" s="1"/>
  <c r="I457" i="13"/>
  <c r="K457" i="13" s="1"/>
  <c r="I24" i="13"/>
  <c r="K24" i="13" s="1"/>
  <c r="I3145" i="13"/>
  <c r="K3145" i="13" s="1"/>
  <c r="I2008" i="13"/>
  <c r="K2008" i="13" s="1"/>
  <c r="I521" i="13"/>
  <c r="K521" i="13" s="1"/>
  <c r="I3065" i="13"/>
  <c r="K3065" i="13" s="1"/>
  <c r="I1209" i="13"/>
  <c r="K1209" i="13" s="1"/>
  <c r="I1273" i="13"/>
  <c r="K1273" i="13" s="1"/>
  <c r="I3001" i="13"/>
  <c r="K3001" i="13" s="1"/>
  <c r="I3769" i="13"/>
  <c r="K3769" i="13" s="1"/>
  <c r="I984" i="13"/>
  <c r="K984" i="13" s="1"/>
  <c r="I3417" i="13"/>
  <c r="K3417" i="13" s="1"/>
  <c r="I1193" i="13"/>
  <c r="K1193" i="13" s="1"/>
  <c r="I72" i="13"/>
  <c r="K72" i="13" s="1"/>
  <c r="I2424" i="13"/>
  <c r="K2424" i="13" s="1"/>
  <c r="I2456" i="13"/>
  <c r="K2456" i="13" s="1"/>
  <c r="I1385" i="13"/>
  <c r="K1385" i="13" s="1"/>
  <c r="I168" i="13"/>
  <c r="K168" i="13" s="1"/>
  <c r="I1896" i="13"/>
  <c r="K1896" i="13" s="1"/>
  <c r="I632" i="13"/>
  <c r="K632" i="13" s="1"/>
  <c r="I3049" i="13"/>
  <c r="K3049" i="13" s="1"/>
  <c r="I1865" i="13"/>
  <c r="K1865" i="13" s="1"/>
  <c r="I41" i="13"/>
  <c r="K41" i="13" s="1"/>
  <c r="I425" i="13"/>
  <c r="K425" i="13" s="1"/>
  <c r="I1768" i="13"/>
  <c r="K1768" i="13" s="1"/>
  <c r="I1960" i="13"/>
  <c r="K1960" i="13" s="1"/>
  <c r="I1529" i="13"/>
  <c r="K1529" i="13" s="1"/>
  <c r="I1769" i="13"/>
  <c r="K1769" i="13" s="1"/>
  <c r="I2120" i="13"/>
  <c r="K2120" i="13" s="1"/>
  <c r="I1705" i="13"/>
  <c r="K1705" i="13" s="1"/>
  <c r="I2793" i="13"/>
  <c r="K2793" i="13" s="1"/>
  <c r="I1401" i="13"/>
  <c r="K1401" i="13" s="1"/>
  <c r="I889" i="13"/>
  <c r="K889" i="13" s="1"/>
  <c r="I1080" i="13"/>
  <c r="K1080" i="13" s="1"/>
  <c r="I3321" i="13"/>
  <c r="K3321" i="13" s="1"/>
  <c r="I1400" i="13"/>
  <c r="K1400" i="13" s="1"/>
  <c r="I408" i="13"/>
  <c r="K408" i="13" s="1"/>
  <c r="I1305" i="13"/>
  <c r="K1305" i="13" s="1"/>
  <c r="I297" i="13"/>
  <c r="K297" i="13" s="1"/>
  <c r="I2248" i="13"/>
  <c r="K2248" i="13" s="1"/>
  <c r="I664" i="13"/>
  <c r="K664" i="13" s="1"/>
  <c r="I296" i="13"/>
  <c r="K296" i="13" s="1"/>
  <c r="I248" i="13"/>
  <c r="K248" i="13" s="1"/>
  <c r="I649" i="13"/>
  <c r="K649" i="13" s="1"/>
  <c r="I2697" i="13"/>
  <c r="K2697" i="13" s="1"/>
  <c r="I2105" i="13"/>
  <c r="K2105" i="13" s="1"/>
  <c r="I1129" i="13"/>
  <c r="K1129" i="13" s="1"/>
  <c r="I313" i="13"/>
  <c r="K313" i="13" s="1"/>
  <c r="I825" i="13"/>
  <c r="K825" i="13" s="1"/>
  <c r="I2937" i="13"/>
  <c r="K2937" i="13" s="1"/>
  <c r="I760" i="13"/>
  <c r="K760" i="13" s="1"/>
  <c r="I3465" i="13"/>
  <c r="K3465" i="13" s="1"/>
  <c r="I2617" i="13"/>
  <c r="K2617" i="13" s="1"/>
  <c r="I2936" i="13"/>
  <c r="K2936" i="13" s="1"/>
  <c r="I3817" i="13"/>
  <c r="K3817" i="13" s="1"/>
  <c r="I3017" i="13"/>
  <c r="K3017" i="13" s="1"/>
  <c r="I2328" i="13"/>
  <c r="K2328" i="13" s="1"/>
  <c r="I1368" i="13"/>
  <c r="K1368" i="13" s="1"/>
  <c r="I1704" i="13"/>
  <c r="K1704" i="13" s="1"/>
  <c r="I3865" i="13"/>
  <c r="K3865" i="13" s="1"/>
  <c r="I2057" i="13"/>
  <c r="K2057" i="13" s="1"/>
  <c r="I1337" i="13"/>
  <c r="K1337" i="13" s="1"/>
  <c r="I3209" i="13"/>
  <c r="K3209" i="13" s="1"/>
  <c r="I3225" i="13"/>
  <c r="K3225" i="13" s="1"/>
  <c r="I617" i="13"/>
  <c r="K617" i="13" s="1"/>
  <c r="I1784" i="13"/>
  <c r="K1784" i="13" s="1"/>
  <c r="I809" i="13"/>
  <c r="K809" i="13" s="1"/>
  <c r="I1737" i="13"/>
  <c r="K1737" i="13" s="1"/>
  <c r="I249" i="13"/>
  <c r="K249" i="13" s="1"/>
  <c r="I1657" i="13"/>
  <c r="K1657" i="13" s="1"/>
  <c r="I3433" i="13"/>
  <c r="K3433" i="13" s="1"/>
  <c r="I2760" i="13"/>
  <c r="K2760" i="13" s="1"/>
  <c r="I841" i="13"/>
  <c r="K841" i="13" s="1"/>
  <c r="I2297" i="13"/>
  <c r="K2297" i="13" s="1"/>
  <c r="I361" i="13"/>
  <c r="K361" i="13" s="1"/>
  <c r="I329" i="13"/>
  <c r="K329" i="13" s="1"/>
  <c r="I808" i="13"/>
  <c r="K808" i="13" s="1"/>
  <c r="I1816" i="13"/>
  <c r="K1816" i="13" s="1"/>
  <c r="I3033" i="13"/>
  <c r="K3033" i="13" s="1"/>
  <c r="I104" i="13"/>
  <c r="K104" i="13" s="1"/>
  <c r="I360" i="13"/>
  <c r="K360" i="13" s="1"/>
  <c r="I1272" i="13"/>
  <c r="K1272" i="13" s="1"/>
  <c r="I2408" i="13"/>
  <c r="K2408" i="13" s="1"/>
  <c r="I1432" i="13"/>
  <c r="K1432" i="13" s="1"/>
  <c r="I1481" i="13"/>
  <c r="K1481" i="13" s="1"/>
  <c r="I552" i="13"/>
  <c r="K552" i="13" s="1"/>
  <c r="I281" i="13"/>
  <c r="K281" i="13" s="1"/>
  <c r="I3289" i="13"/>
  <c r="K3289" i="13" s="1"/>
  <c r="I169" i="13"/>
  <c r="K169" i="13" s="1"/>
  <c r="I2265" i="13"/>
  <c r="K2265" i="13" s="1"/>
  <c r="I2712" i="13"/>
  <c r="K2712" i="13" s="1"/>
  <c r="I1736" i="13"/>
  <c r="K1736" i="13" s="1"/>
  <c r="I265" i="13"/>
  <c r="K265" i="13" s="1"/>
  <c r="I2345" i="13"/>
  <c r="K2345" i="13" s="1"/>
  <c r="I1593" i="13"/>
  <c r="K1593" i="13" s="1"/>
  <c r="I1512" i="13"/>
  <c r="K1512" i="13" s="1"/>
  <c r="I1753" i="13"/>
  <c r="K1753" i="13" s="1"/>
  <c r="I1016" i="13"/>
  <c r="K1016" i="13" s="1"/>
  <c r="I905" i="13"/>
  <c r="K905" i="13" s="1"/>
  <c r="I472" i="13"/>
  <c r="K472" i="13" s="1"/>
  <c r="I696" i="13"/>
  <c r="K696" i="13" s="1"/>
  <c r="I89" i="13"/>
  <c r="K89" i="13" s="1"/>
  <c r="I2809" i="13"/>
  <c r="K2809" i="13" s="1"/>
  <c r="I2680" i="13"/>
  <c r="K2680" i="13" s="1"/>
  <c r="I1801" i="13"/>
  <c r="K1801" i="13" s="1"/>
  <c r="I185" i="13"/>
  <c r="K185" i="13" s="1"/>
  <c r="I3337" i="13"/>
  <c r="K3337" i="13" s="1"/>
  <c r="I3657" i="13"/>
  <c r="K3657" i="13" s="1"/>
  <c r="I601" i="13"/>
  <c r="K601" i="13" s="1"/>
  <c r="I3305" i="13"/>
  <c r="K3305" i="13" s="1"/>
  <c r="I2920" i="13"/>
  <c r="K2920" i="13" s="1"/>
  <c r="I1720" i="13"/>
  <c r="K1720" i="13" s="1"/>
  <c r="I648" i="13"/>
  <c r="K648" i="13" s="1"/>
  <c r="I1625" i="13"/>
  <c r="K1625" i="13" s="1"/>
  <c r="I3113" i="13"/>
  <c r="K3113" i="13" s="1"/>
  <c r="I2361" i="13"/>
  <c r="K2361" i="13" s="1"/>
  <c r="I1417" i="13"/>
  <c r="K1417" i="13" s="1"/>
  <c r="I1673" i="13"/>
  <c r="K1673" i="13" s="1"/>
  <c r="I3545" i="13"/>
  <c r="K3545" i="13" s="1"/>
  <c r="I2536" i="13"/>
  <c r="K2536" i="13" s="1"/>
  <c r="I1928" i="13"/>
  <c r="K1928" i="13" s="1"/>
  <c r="I1128" i="13"/>
  <c r="K1128" i="13" s="1"/>
  <c r="I2281" i="13"/>
  <c r="K2281" i="13" s="1"/>
  <c r="I665" i="13"/>
  <c r="K665" i="13" s="1"/>
  <c r="I729" i="13"/>
  <c r="K729" i="13" s="1"/>
  <c r="I3593" i="13"/>
  <c r="K3593" i="13" s="1"/>
  <c r="I713" i="13"/>
  <c r="K713" i="13" s="1"/>
  <c r="I3737" i="13"/>
  <c r="K3737" i="13" s="1"/>
  <c r="I2200" i="13"/>
  <c r="K2200" i="13" s="1"/>
  <c r="I3561" i="13"/>
  <c r="K3561" i="13" s="1"/>
  <c r="I1032" i="13"/>
  <c r="K1032" i="13" s="1"/>
  <c r="I1049" i="13"/>
  <c r="K1049" i="13" s="1"/>
  <c r="I1001" i="13"/>
  <c r="K1001" i="13" s="1"/>
  <c r="I2633" i="13"/>
  <c r="K2633" i="13" s="1"/>
  <c r="I456" i="13"/>
  <c r="K456" i="13" s="1"/>
  <c r="I616" i="13"/>
  <c r="K616" i="13" s="1"/>
  <c r="I120" i="13"/>
  <c r="K120" i="13" s="1"/>
  <c r="I793" i="13"/>
  <c r="K793" i="13" s="1"/>
  <c r="I473" i="13"/>
  <c r="K473" i="13" s="1"/>
  <c r="I1192" i="13"/>
  <c r="K1192" i="13" s="1"/>
  <c r="I2985" i="13"/>
  <c r="K2985" i="13" s="1"/>
  <c r="I2616" i="13"/>
  <c r="K2616" i="13" s="1"/>
  <c r="I2232" i="13"/>
  <c r="K2232" i="13" s="1"/>
  <c r="I2600" i="13"/>
  <c r="K2600" i="13" s="1"/>
  <c r="I824" i="13"/>
  <c r="K824" i="13" s="1"/>
  <c r="I201" i="13"/>
  <c r="K201" i="13" s="1"/>
  <c r="I3721" i="13"/>
  <c r="K3721" i="13" s="1"/>
  <c r="I2104" i="13"/>
  <c r="K2104" i="13" s="1"/>
  <c r="I504" i="13"/>
  <c r="K504" i="13" s="1"/>
  <c r="I1817" i="13"/>
  <c r="K1817" i="13" s="1"/>
  <c r="I121" i="13"/>
  <c r="K121" i="13" s="1"/>
  <c r="I1944" i="13"/>
  <c r="K1944" i="13" s="1"/>
  <c r="I952" i="13"/>
  <c r="K952" i="13" s="1"/>
  <c r="I744" i="13"/>
  <c r="K744" i="13" s="1"/>
  <c r="I2681" i="13"/>
  <c r="K2681" i="13" s="1"/>
  <c r="I3385" i="13"/>
  <c r="K3385" i="13" s="1"/>
  <c r="I3161" i="13"/>
  <c r="K3161" i="13" s="1"/>
  <c r="I9" i="13"/>
  <c r="K9" i="13" s="1"/>
  <c r="I2505" i="13"/>
  <c r="K2505" i="13" s="1"/>
  <c r="I153" i="13"/>
  <c r="K153" i="13" s="1"/>
  <c r="I3689" i="13"/>
  <c r="K3689" i="13" s="1"/>
  <c r="I152" i="13"/>
  <c r="K152" i="13" s="1"/>
  <c r="I345" i="13"/>
  <c r="K345" i="13" s="1"/>
  <c r="I553" i="13"/>
  <c r="K553" i="13" s="1"/>
  <c r="I840" i="13"/>
  <c r="K840" i="13" s="1"/>
  <c r="I2440" i="13"/>
  <c r="K2440" i="13" s="1"/>
  <c r="I2952" i="13"/>
  <c r="K2952" i="13" s="1"/>
  <c r="I1465" i="13"/>
  <c r="K1465" i="13" s="1"/>
  <c r="I2729" i="13"/>
  <c r="K2729" i="13" s="1"/>
  <c r="I936" i="13"/>
  <c r="K936" i="13" s="1"/>
  <c r="I1097" i="13"/>
  <c r="K1097" i="13" s="1"/>
  <c r="I1112" i="13"/>
  <c r="K1112" i="13" s="1"/>
  <c r="I1096" i="13"/>
  <c r="K1096" i="13" s="1"/>
  <c r="I2153" i="13"/>
  <c r="K2153" i="13" s="1"/>
  <c r="I200" i="13"/>
  <c r="K200" i="13" s="1"/>
  <c r="I2457" i="13"/>
  <c r="K2457" i="13" s="1"/>
  <c r="I1897" i="13"/>
  <c r="K1897" i="13" s="1"/>
  <c r="I633" i="13"/>
  <c r="K633" i="13" s="1"/>
  <c r="I1000" i="13"/>
  <c r="K1000" i="13" s="1"/>
  <c r="I217" i="13"/>
  <c r="K217" i="13" s="1"/>
  <c r="I3641" i="13"/>
  <c r="K3641" i="13" s="1"/>
  <c r="I777" i="13"/>
  <c r="K777" i="13" s="1"/>
  <c r="I920" i="13"/>
  <c r="K920" i="13" s="1"/>
  <c r="I1257" i="13"/>
  <c r="K1257" i="13" s="1"/>
  <c r="I2425" i="13"/>
  <c r="K2425" i="13" s="1"/>
  <c r="I568" i="13"/>
  <c r="K568" i="13" s="1"/>
  <c r="I3625" i="13"/>
  <c r="K3625" i="13" s="1"/>
  <c r="I2360" i="13"/>
  <c r="K2360" i="13" s="1"/>
  <c r="I2504" i="13"/>
  <c r="K2504" i="13" s="1"/>
  <c r="I216" i="13"/>
  <c r="K216" i="13" s="1"/>
  <c r="I344" i="13"/>
  <c r="K344" i="13" s="1"/>
  <c r="I2537" i="13"/>
  <c r="K2537" i="13" s="1"/>
  <c r="I1560" i="13"/>
  <c r="K1560" i="13" s="1"/>
  <c r="I2968" i="13"/>
  <c r="K2968" i="13" s="1"/>
  <c r="I2984" i="13"/>
  <c r="K2984" i="13" s="1"/>
  <c r="I232" i="13"/>
  <c r="K232" i="13" s="1"/>
  <c r="I1785" i="13"/>
  <c r="K1785" i="13" s="1"/>
  <c r="I393" i="13"/>
  <c r="K393" i="13" s="1"/>
  <c r="I3097" i="13"/>
  <c r="K3097" i="13" s="1"/>
  <c r="I1448" i="13"/>
  <c r="K1448" i="13" s="1"/>
  <c r="I2089" i="13"/>
  <c r="K2089" i="13" s="1"/>
  <c r="I56" i="13"/>
  <c r="K56" i="13" s="1"/>
  <c r="I856" i="13"/>
  <c r="K856" i="13" s="1"/>
  <c r="I2056" i="13"/>
  <c r="K2056" i="13" s="1"/>
  <c r="I1113" i="13"/>
  <c r="K1113" i="13" s="1"/>
  <c r="I2969" i="13"/>
  <c r="K2969" i="13" s="1"/>
  <c r="I3401" i="13"/>
  <c r="K3401" i="13" s="1"/>
  <c r="I137" i="13"/>
  <c r="K137" i="13" s="1"/>
  <c r="I1017" i="13"/>
  <c r="K1017" i="13" s="1"/>
  <c r="I3353" i="13"/>
  <c r="K3353" i="13" s="1"/>
  <c r="I2344" i="13"/>
  <c r="K2344" i="13" s="1"/>
  <c r="I3577" i="13"/>
  <c r="K3577" i="13" s="1"/>
  <c r="I1929" i="13"/>
  <c r="K1929" i="13" s="1"/>
  <c r="I2233" i="13"/>
  <c r="K2233" i="13" s="1"/>
  <c r="I1640" i="13"/>
  <c r="K1640" i="13" s="1"/>
  <c r="I3257" i="13"/>
  <c r="K3257" i="13" s="1"/>
  <c r="I2489" i="13"/>
  <c r="K2489" i="13" s="1"/>
  <c r="I3497" i="13"/>
  <c r="K3497" i="13" s="1"/>
  <c r="I3673" i="13"/>
  <c r="K3673" i="13" s="1"/>
  <c r="I40" i="13"/>
  <c r="K40" i="13" s="1"/>
  <c r="I3449" i="13"/>
  <c r="K3449" i="13" s="1"/>
  <c r="I1721" i="13"/>
  <c r="K1721" i="13" s="1"/>
  <c r="I520" i="13"/>
  <c r="K520" i="13" s="1"/>
  <c r="I377" i="13"/>
  <c r="K377" i="13" s="1"/>
  <c r="I1336" i="13"/>
  <c r="K1336" i="13" s="1"/>
  <c r="I1320" i="13"/>
  <c r="K1320" i="13" s="1"/>
  <c r="I1752" i="13"/>
  <c r="K1752" i="13" s="1"/>
  <c r="I857" i="13"/>
  <c r="K857" i="13" s="1"/>
  <c r="I1241" i="13"/>
  <c r="K1241" i="13" s="1"/>
  <c r="I3897" i="13"/>
  <c r="K3897" i="13" s="1"/>
  <c r="I2088" i="13"/>
  <c r="K2088" i="13" s="1"/>
  <c r="I1641" i="13"/>
  <c r="K1641" i="13" s="1"/>
  <c r="I1161" i="13"/>
  <c r="K1161" i="13" s="1"/>
  <c r="I2025" i="13"/>
  <c r="K2025" i="13" s="1"/>
  <c r="I1464" i="13"/>
  <c r="K1464" i="13" s="1"/>
  <c r="I57" i="13"/>
  <c r="K57" i="13" s="1"/>
  <c r="I2152" i="13"/>
  <c r="K2152" i="13" s="1"/>
  <c r="I376" i="13"/>
  <c r="K376" i="13" s="1"/>
  <c r="I2953" i="13"/>
  <c r="K2953" i="13" s="1"/>
  <c r="I937" i="13"/>
  <c r="K937" i="13" s="1"/>
  <c r="I1224" i="13"/>
  <c r="K1224" i="13" s="1"/>
  <c r="I2264" i="13"/>
  <c r="K2264" i="13" s="1"/>
  <c r="I1256" i="13"/>
  <c r="K1256" i="13" s="1"/>
  <c r="I2072" i="13"/>
  <c r="K2072" i="13" s="1"/>
  <c r="I440" i="13"/>
  <c r="K440" i="13" s="1"/>
  <c r="I968" i="13"/>
  <c r="K968" i="13" s="1"/>
  <c r="I1833" i="13"/>
  <c r="K1833" i="13" s="1"/>
  <c r="I1849" i="13"/>
  <c r="K1849" i="13" s="1"/>
  <c r="I2553" i="13"/>
  <c r="K2553" i="13" s="1"/>
  <c r="I2745" i="13"/>
  <c r="K2745" i="13" s="1"/>
  <c r="I1848" i="13"/>
  <c r="K1848" i="13" s="1"/>
  <c r="I2136" i="13"/>
  <c r="K2136" i="13" s="1"/>
  <c r="I3193" i="13"/>
  <c r="K3193" i="13" s="1"/>
  <c r="I1064" i="13"/>
  <c r="K1064" i="13" s="1"/>
  <c r="I1592" i="13"/>
  <c r="K1592" i="13" s="1"/>
  <c r="I1304" i="13"/>
  <c r="K1304" i="13" s="1"/>
  <c r="I1544" i="13"/>
  <c r="K1544" i="13" s="1"/>
  <c r="I1864" i="13"/>
  <c r="K1864" i="13" s="1"/>
  <c r="I1672" i="13"/>
  <c r="K1672" i="13" s="1"/>
  <c r="I1208" i="13"/>
  <c r="K1208" i="13" s="1"/>
  <c r="I953" i="13"/>
  <c r="K953" i="13" s="1"/>
  <c r="I2377" i="13"/>
  <c r="K2377" i="13" s="1"/>
  <c r="I2776" i="13"/>
  <c r="K2776" i="13" s="1"/>
  <c r="F6" i="10" l="1"/>
  <c r="F5" i="10"/>
  <c r="F4" i="10"/>
  <c r="F3" i="10"/>
  <c r="F2" i="10"/>
  <c r="E6" i="10"/>
  <c r="E5" i="10"/>
  <c r="E4" i="10"/>
  <c r="E3" i="10"/>
  <c r="E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tc={513197AC-689A-453C-998B-F5D75BD62705}</author>
  </authors>
  <commentList>
    <comment ref="J1" authorId="0" shapeId="0" xr:uid="{513197AC-689A-453C-998B-F5D75BD62705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of Goods | Product Cost Price</t>
      </text>
    </comment>
  </commentList>
</comments>
</file>

<file path=xl/sharedStrings.xml><?xml version="1.0" encoding="utf-8"?>
<sst xmlns="http://schemas.openxmlformats.org/spreadsheetml/2006/main" count="27104" uniqueCount="815">
  <si>
    <t>phone</t>
  </si>
  <si>
    <t>company</t>
  </si>
  <si>
    <t>name</t>
  </si>
  <si>
    <t>Mike Poi</t>
  </si>
  <si>
    <t>Theresa Yulia</t>
  </si>
  <si>
    <t>Mike Firt</t>
  </si>
  <si>
    <t>Josie Lind</t>
  </si>
  <si>
    <t>Joanna Threven</t>
  </si>
  <si>
    <t>Apple</t>
  </si>
  <si>
    <t>Orange</t>
  </si>
  <si>
    <t>Choco Banana Split</t>
  </si>
  <si>
    <t>Banana</t>
  </si>
  <si>
    <t>Passion fruit</t>
  </si>
  <si>
    <t>Mango</t>
  </si>
  <si>
    <t>Chocolate</t>
  </si>
  <si>
    <t>Guava</t>
  </si>
  <si>
    <t>orderid</t>
  </si>
  <si>
    <t>shipperid</t>
  </si>
  <si>
    <t>orderdate</t>
  </si>
  <si>
    <t>productid</t>
  </si>
  <si>
    <t>custid</t>
  </si>
  <si>
    <t>empid</t>
  </si>
  <si>
    <t>requireddate</t>
  </si>
  <si>
    <t>freight</t>
  </si>
  <si>
    <t>shipname</t>
  </si>
  <si>
    <t>supplierid</t>
  </si>
  <si>
    <t>Danny Koi</t>
  </si>
  <si>
    <t>Mike Pence</t>
  </si>
  <si>
    <t>Milk</t>
  </si>
  <si>
    <t>Mango Delight</t>
  </si>
  <si>
    <t>suppid</t>
  </si>
  <si>
    <t>prodid</t>
  </si>
  <si>
    <t>region</t>
  </si>
  <si>
    <t>north</t>
  </si>
  <si>
    <t>east</t>
  </si>
  <si>
    <t>west</t>
  </si>
  <si>
    <t>south</t>
  </si>
  <si>
    <t>Supplier Co A</t>
  </si>
  <si>
    <t>Co B</t>
  </si>
  <si>
    <t>East Asia Supplier</t>
  </si>
  <si>
    <t>Start</t>
  </si>
  <si>
    <t>End</t>
  </si>
  <si>
    <t>ID</t>
  </si>
  <si>
    <t>max kg</t>
  </si>
  <si>
    <t>min kg</t>
  </si>
  <si>
    <t>min fees</t>
  </si>
  <si>
    <t>max fees</t>
  </si>
  <si>
    <t>Sima Tech</t>
  </si>
  <si>
    <t>Trans West</t>
  </si>
  <si>
    <t>Maersk</t>
  </si>
  <si>
    <t>Kontena National</t>
  </si>
  <si>
    <t>MTT Shipping</t>
  </si>
  <si>
    <t>shipdate</t>
  </si>
  <si>
    <t>Fruitee Delight</t>
  </si>
  <si>
    <t>Sprite Shakes</t>
  </si>
  <si>
    <t>Durian Milk Shakes</t>
  </si>
  <si>
    <t>Durian</t>
  </si>
  <si>
    <t>taxable</t>
  </si>
  <si>
    <t>yes</t>
  </si>
  <si>
    <t>no</t>
  </si>
  <si>
    <t>Trainocate</t>
  </si>
  <si>
    <t>Jason Wong</t>
  </si>
  <si>
    <t>Brian Ng</t>
  </si>
  <si>
    <t>Krishna Deva</t>
  </si>
  <si>
    <t>Enterprise ABC</t>
  </si>
  <si>
    <t>Json Pro Co</t>
  </si>
  <si>
    <t>XM ABC LTD</t>
  </si>
  <si>
    <t>MTT Asia</t>
  </si>
  <si>
    <t>Grocer Jaya</t>
  </si>
  <si>
    <t>Shima Apparel BHD</t>
  </si>
  <si>
    <t>SalesAmount</t>
  </si>
  <si>
    <t>SalesPeriod</t>
  </si>
  <si>
    <t>Branch</t>
  </si>
  <si>
    <t>KL</t>
  </si>
  <si>
    <t>PJ</t>
  </si>
  <si>
    <t>Manager</t>
  </si>
  <si>
    <t>Photo URL</t>
  </si>
  <si>
    <t>https://encrypted-tbn0.gstatic.com/images?q=tbn:ANd9GcQxYHeAsBjrW2nlOOhNvMkJw8Ferup7PCx7vg&amp;s</t>
  </si>
  <si>
    <t>Llian Vecteezy</t>
  </si>
  <si>
    <t>Num2</t>
  </si>
  <si>
    <t>Num3</t>
  </si>
  <si>
    <t>Num1</t>
  </si>
  <si>
    <t>Date</t>
  </si>
  <si>
    <t>High</t>
  </si>
  <si>
    <t>United States of America</t>
  </si>
  <si>
    <t>Channel Partners</t>
  </si>
  <si>
    <t>Government</t>
  </si>
  <si>
    <t>Enterprise</t>
  </si>
  <si>
    <t>Small Business</t>
  </si>
  <si>
    <t>Midmarket</t>
  </si>
  <si>
    <t>Medium</t>
  </si>
  <si>
    <t>Low</t>
  </si>
  <si>
    <t>None</t>
  </si>
  <si>
    <t>Mexico</t>
  </si>
  <si>
    <t>Germany</t>
  </si>
  <si>
    <t>France</t>
  </si>
  <si>
    <t>Canada</t>
  </si>
  <si>
    <t>Profit</t>
  </si>
  <si>
    <t>COGS</t>
  </si>
  <si>
    <t>Sales</t>
  </si>
  <si>
    <t>Discounts</t>
  </si>
  <si>
    <t>Gross Sales</t>
  </si>
  <si>
    <t>Sale Price</t>
  </si>
  <si>
    <t>Units Sold</t>
  </si>
  <si>
    <t>Discount Band</t>
  </si>
  <si>
    <t>Product</t>
  </si>
  <si>
    <t>Country</t>
  </si>
  <si>
    <t>Segment</t>
  </si>
  <si>
    <t>Column</t>
  </si>
  <si>
    <t>SalesByRegion</t>
  </si>
  <si>
    <t>Any</t>
  </si>
  <si>
    <t>Formula</t>
  </si>
  <si>
    <t>SalesByCountry</t>
  </si>
  <si>
    <t>ingredient1</t>
  </si>
  <si>
    <t>ingredient2</t>
  </si>
  <si>
    <t>productname</t>
  </si>
  <si>
    <t>regionname</t>
  </si>
  <si>
    <t>Asia</t>
  </si>
  <si>
    <t>Africa</t>
  </si>
  <si>
    <t>North America</t>
  </si>
  <si>
    <t>South America</t>
  </si>
  <si>
    <t>Europe</t>
  </si>
  <si>
    <t>countryname</t>
  </si>
  <si>
    <t>Singapore</t>
  </si>
  <si>
    <t>Malaysia</t>
  </si>
  <si>
    <t>Australia</t>
  </si>
  <si>
    <t>New Zealand</t>
  </si>
  <si>
    <t>Greenland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</si>
  <si>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</si>
  <si>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</si>
  <si>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</si>
  <si>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</si>
  <si>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</si>
  <si>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</si>
  <si>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</si>
  <si>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</si>
  <si>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</si>
  <si>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</si>
  <si>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</si>
  <si>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</si>
  <si>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</si>
  <si>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</si>
  <si>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</si>
  <si>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</si>
  <si>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</si>
  <si>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</si>
  <si>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</si>
  <si>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</si>
  <si>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</si>
  <si>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</si>
  <si>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</si>
  <si>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</si>
  <si>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</si>
  <si>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</si>
  <si>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</si>
  <si>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</si>
  <si>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</si>
  <si>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</si>
  <si>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</si>
  <si>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</si>
  <si>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</si>
  <si>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</si>
  <si>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</si>
  <si>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</si>
  <si>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</si>
  <si>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</si>
  <si>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</si>
  <si>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</si>
  <si>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</si>
  <si>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</si>
  <si>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</si>
  <si>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</si>
  <si>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</si>
  <si>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</si>
  <si>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</si>
  <si>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</si>
  <si>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</si>
  <si>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</si>
  <si>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</si>
  <si>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Finland</t>
  </si>
  <si>
    <t>French Guiana</t>
  </si>
  <si>
    <t>Gabon</t>
  </si>
  <si>
    <t>Gambia</t>
  </si>
  <si>
    <t>Georgia</t>
  </si>
  <si>
    <t>Ghana</t>
  </si>
  <si>
    <t>Gibraltar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</si>
  <si>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</si>
  <si>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</si>
  <si>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</si>
  <si>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</si>
  <si>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</si>
  <si>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</si>
  <si>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</si>
  <si>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</si>
  <si>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</si>
  <si>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</si>
  <si>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</si>
  <si>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</si>
  <si>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</si>
  <si>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</si>
  <si>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</si>
  <si>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</si>
  <si>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</si>
  <si>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</si>
  <si>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</si>
  <si>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</si>
  <si>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</si>
  <si>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</si>
  <si>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</si>
  <si>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</si>
  <si>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</si>
  <si>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</si>
  <si>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</si>
  <si>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</si>
  <si>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</si>
  <si>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</si>
  <si>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</si>
  <si>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</si>
  <si>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</si>
  <si>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</si>
  <si>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</si>
  <si>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Maldives</t>
  </si>
  <si>
    <t>Mali</t>
  </si>
  <si>
    <t>Malta</t>
  </si>
  <si>
    <t>Mauritania</t>
  </si>
  <si>
    <t>Mauritius</t>
  </si>
  <si>
    <t>Mayotte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</si>
  <si>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</si>
  <si>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</si>
  <si>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</si>
  <si>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</si>
  <si>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</si>
  <si>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</si>
  <si>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</si>
  <si>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</si>
  <si>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</si>
  <si>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</si>
  <si>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</si>
  <si>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</si>
  <si>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</si>
  <si>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</si>
  <si>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</si>
  <si>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</si>
  <si>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</si>
  <si>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</si>
  <si>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</si>
  <si>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</si>
  <si>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</si>
  <si>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</si>
  <si>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</si>
  <si>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Réunion</t>
  </si>
  <si>
    <t>Romania</t>
  </si>
  <si>
    <t>Rwanda</t>
  </si>
  <si>
    <t>Saint Helena</t>
  </si>
  <si>
    <t>Saint Kitts and Nevis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</si>
  <si>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</si>
  <si>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</si>
  <si>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</si>
  <si>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</si>
  <si>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</si>
  <si>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</si>
  <si>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</si>
  <si>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</si>
  <si>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</si>
  <si>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</si>
  <si>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</si>
  <si>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</si>
  <si>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</si>
  <si>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</si>
  <si>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</si>
  <si>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</si>
  <si>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</si>
  <si>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</si>
  <si>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</si>
  <si>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</si>
  <si>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</si>
  <si>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</si>
  <si>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</si>
  <si>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</si>
  <si>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</si>
  <si>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</si>
  <si>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</si>
  <si>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</si>
  <si>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</si>
  <si>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</si>
  <si>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Uruguay</t>
  </si>
  <si>
    <t>Uzbekistan</t>
  </si>
  <si>
    <t>Vietnam</t>
  </si>
  <si>
    <t>Western Sahara</t>
  </si>
  <si>
    <t>Yemen</t>
  </si>
  <si>
    <t>Zambia</t>
  </si>
  <si>
    <t>Zimbabwe</t>
  </si>
  <si>
    <t>AFG</t>
  </si>
  <si>
    <t>Southern Asia</t>
  </si>
  <si>
    <t>Åland Islands</t>
  </si>
  <si>
    <t>ALA</t>
  </si>
  <si>
    <t>Northern Europe</t>
  </si>
  <si>
    <t>ALB</t>
  </si>
  <si>
    <t>Southern Europe</t>
  </si>
  <si>
    <t>DZA</t>
  </si>
  <si>
    <t>Northern Africa</t>
  </si>
  <si>
    <t>American Samoa</t>
  </si>
  <si>
    <t>ASM</t>
  </si>
  <si>
    <t>Polynesia</t>
  </si>
  <si>
    <t>Oceania</t>
  </si>
  <si>
    <t>AND</t>
  </si>
  <si>
    <t>AGO</t>
  </si>
  <si>
    <t>Middle Africa</t>
  </si>
  <si>
    <t>Sub-Saharan Africa</t>
  </si>
  <si>
    <t>Anguilla</t>
  </si>
  <si>
    <t>AIA</t>
  </si>
  <si>
    <t>Caribbean</t>
  </si>
  <si>
    <t>Latin America and the Caribbean</t>
  </si>
  <si>
    <t>Antarctica</t>
  </si>
  <si>
    <t>ATA</t>
  </si>
  <si>
    <t>ATG</t>
  </si>
  <si>
    <t>ARG</t>
  </si>
  <si>
    <t>ARM</t>
  </si>
  <si>
    <t>Western Asia</t>
  </si>
  <si>
    <t>Aruba</t>
  </si>
  <si>
    <t>ABW</t>
  </si>
  <si>
    <t>AUS</t>
  </si>
  <si>
    <t>Australia and New Zealand</t>
  </si>
  <si>
    <t>AUT</t>
  </si>
  <si>
    <t>Western Europe</t>
  </si>
  <si>
    <t>AZE</t>
  </si>
  <si>
    <t>Bahamas</t>
  </si>
  <si>
    <t>BHS</t>
  </si>
  <si>
    <t>BHR</t>
  </si>
  <si>
    <t>BGD</t>
  </si>
  <si>
    <t>BRB</t>
  </si>
  <si>
    <t>BLR</t>
  </si>
  <si>
    <t>Eastern Europe</t>
  </si>
  <si>
    <t>BEL</t>
  </si>
  <si>
    <t>BLZ</t>
  </si>
  <si>
    <t>Central America</t>
  </si>
  <si>
    <t>BEN</t>
  </si>
  <si>
    <t>Western Africa</t>
  </si>
  <si>
    <t>Bermuda</t>
  </si>
  <si>
    <t>BMU</t>
  </si>
  <si>
    <t>Northern America</t>
  </si>
  <si>
    <t>BTN</t>
  </si>
  <si>
    <t>Bolivia (Plurinational State of)</t>
  </si>
  <si>
    <t>BOL</t>
  </si>
  <si>
    <t>Bonaire, Sint Eustatius and Saba</t>
  </si>
  <si>
    <t>BES</t>
  </si>
  <si>
    <t>BIH</t>
  </si>
  <si>
    <t>BWA</t>
  </si>
  <si>
    <t>Southern Africa</t>
  </si>
  <si>
    <t>Bouvet Island</t>
  </si>
  <si>
    <t>BVT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</si>
  <si>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</si>
  <si>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</si>
  <si>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</si>
  <si>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</si>
  <si>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</si>
  <si>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</si>
  <si>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</si>
  <si>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</si>
  <si>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</si>
  <si>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BGR</t>
  </si>
  <si>
    <t>BFA</t>
  </si>
  <si>
    <t>BDI</t>
  </si>
  <si>
    <t>CPV</t>
  </si>
  <si>
    <t>KHM</t>
  </si>
  <si>
    <t>CMR</t>
  </si>
  <si>
    <t>CAN</t>
  </si>
  <si>
    <t>Cayman Islands</t>
  </si>
  <si>
    <t>CYM</t>
  </si>
  <si>
    <t>CAF</t>
  </si>
  <si>
    <t>TCD</t>
  </si>
  <si>
    <t>CHL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</si>
  <si>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</si>
  <si>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</si>
  <si>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</si>
  <si>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</si>
  <si>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</si>
  <si>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</si>
  <si>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</si>
  <si>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</si>
  <si>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</si>
  <si>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</si>
  <si>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</t>
  </si>
  <si>
    <t>COM</t>
  </si>
  <si>
    <t>COG</t>
  </si>
  <si>
    <t>Cook Islands</t>
  </si>
  <si>
    <t>COK</t>
  </si>
  <si>
    <t>CRI</t>
  </si>
  <si>
    <t>Côte d’Ivoire</t>
  </si>
  <si>
    <t>CIV</t>
  </si>
  <si>
    <t>HRV</t>
  </si>
  <si>
    <t>CUB</t>
  </si>
  <si>
    <t>Curaçao</t>
  </si>
  <si>
    <t>CUW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</si>
  <si>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</si>
  <si>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</si>
  <si>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</si>
  <si>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</si>
  <si>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</si>
  <si>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</si>
  <si>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</si>
  <si>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</si>
  <si>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</si>
  <si>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</si>
  <si>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</si>
  <si>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</si>
  <si>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</si>
  <si>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</si>
  <si>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</si>
  <si>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</si>
  <si>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</si>
  <si>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</si>
  <si>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</si>
  <si>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</si>
  <si>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</si>
  <si>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</si>
  <si>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</si>
  <si>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</si>
  <si>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</si>
  <si>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</si>
  <si>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</t>
  </si>
  <si>
    <t>FRA</t>
  </si>
  <si>
    <t>GUF</t>
  </si>
  <si>
    <t>French Polynesia</t>
  </si>
  <si>
    <t>PYF</t>
  </si>
  <si>
    <t>French Southern Territories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</si>
  <si>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</si>
  <si>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</si>
  <si>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</si>
  <si>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</si>
  <si>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</si>
  <si>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</si>
  <si>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</si>
  <si>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</si>
  <si>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</si>
  <si>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</si>
  <si>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Guadeloupe</t>
  </si>
  <si>
    <t>GLP</t>
  </si>
  <si>
    <t>Guam</t>
  </si>
  <si>
    <t>GUM</t>
  </si>
  <si>
    <t>Micronesia</t>
  </si>
  <si>
    <t>GTM</t>
  </si>
  <si>
    <t>Guernsey</t>
  </si>
  <si>
    <t>GGY</t>
  </si>
  <si>
    <t>GIN</t>
  </si>
  <si>
    <t>GNB</t>
  </si>
  <si>
    <t>GUY</t>
  </si>
  <si>
    <t>HTI</t>
  </si>
  <si>
    <t>Heard Island and McDonald Islands</t>
  </si>
  <si>
    <t>HMD</t>
  </si>
  <si>
    <t>VAT</t>
  </si>
  <si>
    <t>HND</t>
  </si>
  <si>
    <t>HUN</t>
  </si>
  <si>
    <t>ISL</t>
  </si>
  <si>
    <t>IND</t>
  </si>
  <si>
    <t>IDN</t>
  </si>
  <si>
    <t>Iran (Islamic Republic of)</t>
  </si>
  <si>
    <t>IRN</t>
  </si>
  <si>
    <t>IRQ</t>
  </si>
  <si>
    <t>IRL</t>
  </si>
  <si>
    <t>IMN</t>
  </si>
  <si>
    <t>ISR</t>
  </si>
  <si>
    <t>ITA</t>
  </si>
  <si>
    <t>JAM</t>
  </si>
  <si>
    <t>JPN</t>
  </si>
  <si>
    <t>Jersey</t>
  </si>
  <si>
    <t>JEY</t>
  </si>
  <si>
    <t>JOR</t>
  </si>
  <si>
    <t>KAZ</t>
  </si>
  <si>
    <t>Central Asia</t>
  </si>
  <si>
    <t>KEN</t>
  </si>
  <si>
    <t>Kiribati</t>
  </si>
  <si>
    <t>KIR</t>
  </si>
  <si>
    <t>KWT</t>
  </si>
  <si>
    <t>KGZ</t>
  </si>
  <si>
    <t>Lao People's Democratic Republic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</si>
  <si>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</si>
  <si>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</si>
  <si>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</si>
  <si>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</si>
  <si>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</si>
  <si>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</si>
  <si>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</si>
  <si>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</si>
  <si>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</si>
  <si>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</si>
  <si>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</si>
  <si>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</si>
  <si>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</si>
  <si>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</si>
  <si>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</si>
  <si>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Marshall Islands</t>
  </si>
  <si>
    <t>MHL</t>
  </si>
  <si>
    <t>Martinique</t>
  </si>
  <si>
    <t>MTQ</t>
  </si>
  <si>
    <t>MRT</t>
  </si>
  <si>
    <t>MUS</t>
  </si>
  <si>
    <t>MYT</t>
  </si>
  <si>
    <t>MEX</t>
  </si>
  <si>
    <t>Micronesia (Federated States of)</t>
  </si>
  <si>
    <t>FSM</t>
  </si>
  <si>
    <t>MCO</t>
  </si>
  <si>
    <t>MNG</t>
  </si>
  <si>
    <t>MNE</t>
  </si>
  <si>
    <t>Montserrat</t>
  </si>
  <si>
    <t>MSR</t>
  </si>
  <si>
    <t>MAR</t>
  </si>
  <si>
    <t>MOZ</t>
  </si>
  <si>
    <t>MMR</t>
  </si>
  <si>
    <t>NAM</t>
  </si>
  <si>
    <t>Nauru</t>
  </si>
  <si>
    <t>NRU</t>
  </si>
  <si>
    <t>NPL</t>
  </si>
  <si>
    <t>NLD</t>
  </si>
  <si>
    <t>New Caledonia</t>
  </si>
  <si>
    <t>NCL</t>
  </si>
  <si>
    <t>NZL</t>
  </si>
  <si>
    <t>NIC</t>
  </si>
  <si>
    <t>NER</t>
  </si>
  <si>
    <t>NGA</t>
  </si>
  <si>
    <t>Niue</t>
  </si>
  <si>
    <t>NIU</t>
  </si>
  <si>
    <t>Norfolk Island</t>
  </si>
  <si>
    <t>NFK</t>
  </si>
  <si>
    <t>MKD</t>
  </si>
  <si>
    <t>Northern Mariana Islands</t>
  </si>
  <si>
    <t>MNP</t>
  </si>
  <si>
    <t>NOR</t>
  </si>
  <si>
    <t>OMN</t>
  </si>
  <si>
    <t>PAK</t>
  </si>
  <si>
    <t>Palau</t>
  </si>
  <si>
    <t>PLW</t>
  </si>
  <si>
    <t>PAN</t>
  </si>
  <si>
    <t>Papua New Guinea</t>
  </si>
  <si>
    <t>PNG</t>
  </si>
  <si>
    <t>PRY</t>
  </si>
  <si>
    <t>PER</t>
  </si>
  <si>
    <t>PHL</t>
  </si>
  <si>
    <t>Pitcairn</t>
  </si>
  <si>
    <t>PCN</t>
  </si>
  <si>
    <t>POL</t>
  </si>
  <si>
    <t>PRT</t>
  </si>
  <si>
    <t>Puerto Rico</t>
  </si>
  <si>
    <t>PRI</t>
  </si>
  <si>
    <t>QAT</t>
  </si>
  <si>
    <t>Republic of Korea</t>
  </si>
  <si>
    <t>KOR</t>
  </si>
  <si>
    <t>Republic of Moldova</t>
  </si>
  <si>
    <t>MDA</t>
  </si>
  <si>
    <t>REU</t>
  </si>
  <si>
    <t>ROU</t>
  </si>
  <si>
    <t>Russian Federation</t>
  </si>
  <si>
    <t>RUS</t>
  </si>
  <si>
    <t>RWA</t>
  </si>
  <si>
    <t>Saint Barthélemy</t>
  </si>
  <si>
    <t>BLM</t>
  </si>
  <si>
    <t>SHN</t>
  </si>
  <si>
    <t>KNA</t>
  </si>
  <si>
    <t>LCA</t>
  </si>
  <si>
    <t>Saint Martin (French Part)</t>
  </si>
  <si>
    <t>MAF</t>
  </si>
  <si>
    <t>Saint Pierre and Miquelon</t>
  </si>
  <si>
    <t>SPM</t>
  </si>
  <si>
    <t>VCT</t>
  </si>
  <si>
    <t>Samoa</t>
  </si>
  <si>
    <t>WSM</t>
  </si>
  <si>
    <t>SMR</t>
  </si>
  <si>
    <t>Sao Tome and Principe</t>
  </si>
  <si>
    <t>STP</t>
  </si>
  <si>
    <t>Sark</t>
  </si>
  <si>
    <t>SAU</t>
  </si>
  <si>
    <t>SEN</t>
  </si>
  <si>
    <t>SRB</t>
  </si>
  <si>
    <t>SYC</t>
  </si>
  <si>
    <t>SLE</t>
  </si>
  <si>
    <t>SGP</t>
  </si>
  <si>
    <t>Sint Maarten (Dutch part)</t>
  </si>
  <si>
    <t>SXM</t>
  </si>
  <si>
    <t>SVK</t>
  </si>
  <si>
    <t>SVN</t>
  </si>
  <si>
    <t>Solomon Islands</t>
  </si>
  <si>
    <t>SLB</t>
  </si>
  <si>
    <t>SOM</t>
  </si>
  <si>
    <t>ZAF</t>
  </si>
  <si>
    <t>South Georgia and the South Sandwich Islands</t>
  </si>
  <si>
    <t>SGS</t>
  </si>
  <si>
    <t>SSD</t>
  </si>
  <si>
    <t>ESP</t>
  </si>
  <si>
    <t>LKA</t>
  </si>
  <si>
    <t>PSE</t>
  </si>
  <si>
    <t>SDN</t>
  </si>
  <si>
    <t>SUR</t>
  </si>
  <si>
    <t>Svalbard and Jan Mayen Islands</t>
  </si>
  <si>
    <t>SJM</t>
  </si>
  <si>
    <t>SWE</t>
  </si>
  <si>
    <t>CHE</t>
  </si>
  <si>
    <t>Syrian Arab Republic</t>
  </si>
  <si>
    <t>SYR</t>
  </si>
  <si>
    <t>TJK</t>
  </si>
  <si>
    <t>THA</t>
  </si>
  <si>
    <t>TLS</t>
  </si>
  <si>
    <t>TGO</t>
  </si>
  <si>
    <t>Tokelau</t>
  </si>
  <si>
    <t>TKL</t>
  </si>
  <si>
    <t>Tonga</t>
  </si>
  <si>
    <t>TON</t>
  </si>
  <si>
    <t>TTO</t>
  </si>
  <si>
    <t>TUN</t>
  </si>
  <si>
    <t>TUR</t>
  </si>
  <si>
    <t>TKM</t>
  </si>
  <si>
    <t>Turks and Caicos Islands</t>
  </si>
  <si>
    <t>TCA</t>
  </si>
  <si>
    <t>Tuvalu</t>
  </si>
  <si>
    <t>TUV</t>
  </si>
  <si>
    <t>UGA</t>
  </si>
  <si>
    <t>UKR</t>
  </si>
  <si>
    <t>ARE</t>
  </si>
  <si>
    <t>United Kingdom of Great Britain and Northern Ireland</t>
  </si>
  <si>
    <t>GBR</t>
  </si>
  <si>
    <t>United Republic of Tanzania</t>
  </si>
  <si>
    <t>TZA</t>
  </si>
  <si>
    <t>United States Minor Outlying Islands</t>
  </si>
  <si>
    <t>UMI</t>
  </si>
  <si>
    <t>USA</t>
  </si>
  <si>
    <t>United States Virgin Islands</t>
  </si>
  <si>
    <t>VIR</t>
  </si>
  <si>
    <t>URY</t>
  </si>
  <si>
    <t>UZB</t>
  </si>
  <si>
    <t>Vanuatu</t>
  </si>
  <si>
    <t>VUT</t>
  </si>
  <si>
    <t>Venezuela (Bolivarian Republic of)</t>
  </si>
  <si>
    <t>VEN</t>
  </si>
  <si>
    <t>VNM</t>
  </si>
  <si>
    <t>Wallis and Futuna Islands</t>
  </si>
  <si>
    <t>WLF</t>
  </si>
  <si>
    <t>ESH</t>
  </si>
  <si>
    <t>YEM</t>
  </si>
  <si>
    <t>ZMB</t>
  </si>
  <si>
    <t>ZWE</t>
  </si>
  <si>
    <t>isocode</t>
  </si>
  <si>
    <t>m49code</t>
  </si>
  <si>
    <t>subregion</t>
  </si>
  <si>
    <t>continent</t>
  </si>
  <si>
    <t>salesbycountry</t>
  </si>
  <si>
    <t>Philipines</t>
  </si>
  <si>
    <t>Turkeye</t>
  </si>
  <si>
    <t>country</t>
  </si>
  <si>
    <t>Unit Sold-min</t>
  </si>
  <si>
    <t>Unit Sold-max</t>
  </si>
  <si>
    <t>Salesprice</t>
  </si>
  <si>
    <t>Sofia Kowalskki</t>
  </si>
  <si>
    <t>Abu Bakar</t>
  </si>
  <si>
    <t>Devi Sunes</t>
  </si>
  <si>
    <t>Quintegral</t>
  </si>
  <si>
    <t>Department</t>
  </si>
  <si>
    <t>SG</t>
  </si>
  <si>
    <t xml:space="preserve">Osawa </t>
  </si>
  <si>
    <t>Osawa</t>
  </si>
  <si>
    <t>Directors</t>
  </si>
  <si>
    <t>Pater Aria</t>
  </si>
  <si>
    <t>payrollid</t>
  </si>
  <si>
    <t>https://encrypted-tbn0.gstatic.com/images?q=tbn:ANd9GcQxURLS1gw7oJL0GrgROD-aI1igxgbnGnvxeg&amp;s</t>
  </si>
  <si>
    <t>Jamal Ahmad</t>
  </si>
  <si>
    <t>https://yt3.googleusercontent.com/ytc/AIdro_nv6vX-VnX5EE9T6MyXhu3u80r1zGRMJkKPijrx6vZEcQ=s900-c-k-c0x00ffffff-no-rj</t>
  </si>
  <si>
    <t>https://www.kosmo.com.my/wp-content/uploads/2020/08/Abu1.jpeg</t>
  </si>
  <si>
    <t>https://i1.sndcdn.com/artworks-000065790486-rloedr-t500x500.jpg</t>
  </si>
  <si>
    <t>https://media.licdn.com/dms/image/C5603AQEp0Nlx8pMqvA/profile-displayphoto-shrink_200_200/0/1631970619329?e=2147483647&amp;v=beta&amp;t=XXbm42Ksr4m6iqds2r-VFeKf_fLoJUGQgxQjdNi2ejc</t>
  </si>
  <si>
    <t>Ruby Kaur</t>
  </si>
  <si>
    <t>https://media.licdn.com/dms/image/C5103AQHWwMWwU3_xFw/profile-displayphoto-shrink_200_200/0/1573453831848?e=2147483647&amp;v=beta&amp;t=RsdxDeqVGdLFh50A6dayXBDVyxDBygawnZii0N5fypo</t>
  </si>
  <si>
    <t>salesperson</t>
  </si>
  <si>
    <t>Salesperson</t>
  </si>
  <si>
    <t>Body Builder Juice</t>
  </si>
  <si>
    <t>Pink Passion Juice</t>
  </si>
  <si>
    <t>Green Apple Shakes</t>
  </si>
  <si>
    <t>Dragon Sparkle Drink</t>
  </si>
  <si>
    <t>Trainers</t>
  </si>
  <si>
    <t>Operation</t>
  </si>
  <si>
    <t>For Sheet:</t>
  </si>
  <si>
    <t>OrderDetails</t>
  </si>
  <si>
    <t>AdminFees</t>
  </si>
  <si>
    <t>Discount</t>
  </si>
  <si>
    <t>Qty</t>
  </si>
  <si>
    <t>EmpID</t>
  </si>
  <si>
    <t>ProdID</t>
  </si>
  <si>
    <t>ShipperID</t>
  </si>
  <si>
    <t>OrderID</t>
  </si>
  <si>
    <t>SalesPrice</t>
  </si>
  <si>
    <t>CostPrice</t>
  </si>
  <si>
    <t>Shashini Kaur</t>
  </si>
  <si>
    <t>CustID</t>
  </si>
  <si>
    <t>A0001</t>
  </si>
  <si>
    <t>B0001</t>
  </si>
  <si>
    <t>E0001</t>
  </si>
  <si>
    <t>E0012</t>
  </si>
  <si>
    <t>E0013</t>
  </si>
  <si>
    <t>C0020</t>
  </si>
  <si>
    <t>C0002</t>
  </si>
  <si>
    <t>C0003</t>
  </si>
  <si>
    <t>C0005</t>
  </si>
  <si>
    <t>C0011</t>
  </si>
  <si>
    <t>B0101</t>
  </si>
  <si>
    <t>ABC Sdn Bhd</t>
  </si>
  <si>
    <t>Kelvin Kelvin</t>
  </si>
  <si>
    <t>John Lee</t>
  </si>
  <si>
    <t>Lily Sayap</t>
  </si>
  <si>
    <t>UnitPrice</t>
  </si>
  <si>
    <t>Ming De Kuen</t>
  </si>
  <si>
    <t>https://i.ibb.co/Tx6Bq9Kq/selfportrait2.jpg</t>
  </si>
  <si>
    <t>https://64.media.tumblr.com/7ed3a9bfc51621f7f0e8cf1ee6dfba57/tumblr_mh7r7cddVu1r1cbjpo1_640.jpg</t>
  </si>
  <si>
    <t>https://encrypted-tbn0.gstatic.com/images?q=tbn:ANd9GcR0Dguf61DgFkQ8wlvN58xZYpSRabRB5XAchQ&amp;s</t>
  </si>
  <si>
    <t>https://upload.wikimedia.org/wikipedia/commons/thumb/1/18/Brian_McKnight_by_Gage_Skidmore_2.jpg/1200px-Brian_McKnight_by_Gage_Skidmore_2.jpg</t>
  </si>
  <si>
    <t>Brian Micolai</t>
  </si>
  <si>
    <t>Salary</t>
  </si>
  <si>
    <t>Hired Date</t>
  </si>
  <si>
    <t>UID</t>
  </si>
  <si>
    <t>Entry</t>
  </si>
  <si>
    <t>Mid range</t>
  </si>
  <si>
    <t>Memory Optimized</t>
  </si>
  <si>
    <t>CPU Optimized</t>
  </si>
  <si>
    <t>GPU Optimized</t>
  </si>
  <si>
    <t>Network Optimized</t>
  </si>
  <si>
    <t>MEM-min</t>
  </si>
  <si>
    <t>MEM-max</t>
  </si>
  <si>
    <t>CPU-min</t>
  </si>
  <si>
    <t>CPU-max</t>
  </si>
  <si>
    <t>Price-min</t>
  </si>
  <si>
    <t>Price-max</t>
  </si>
  <si>
    <t>Region</t>
  </si>
  <si>
    <t>Type</t>
  </si>
  <si>
    <t>Machine Model</t>
  </si>
  <si>
    <t>AZ101</t>
  </si>
  <si>
    <t>AZ102</t>
  </si>
  <si>
    <t>AZ103</t>
  </si>
  <si>
    <t>AZ104</t>
  </si>
  <si>
    <t>AZ105</t>
  </si>
  <si>
    <t>AZ106</t>
  </si>
  <si>
    <t>United Kingdom</t>
  </si>
  <si>
    <t>MultiplyF</t>
  </si>
  <si>
    <t>Continent</t>
  </si>
  <si>
    <t>HPC Optimized</t>
  </si>
  <si>
    <t>General Purpose</t>
  </si>
  <si>
    <t>Compute Optimized</t>
  </si>
  <si>
    <t>Accelerated Optimized</t>
  </si>
  <si>
    <t>Storage Optimized</t>
  </si>
  <si>
    <t>Sales Date</t>
  </si>
  <si>
    <t>EmployeeID</t>
  </si>
  <si>
    <t>Subsidiaries</t>
  </si>
  <si>
    <t>Phone</t>
  </si>
  <si>
    <t>Date-end</t>
  </si>
  <si>
    <t>Date-start</t>
  </si>
  <si>
    <t>Jon Celency</t>
  </si>
  <si>
    <t>Khairul Amin</t>
  </si>
  <si>
    <t>Aruntha</t>
  </si>
  <si>
    <t>countrycode</t>
  </si>
  <si>
    <t>Company</t>
  </si>
  <si>
    <t>CustomerID</t>
  </si>
  <si>
    <t>CountryKey</t>
  </si>
  <si>
    <t>Net Sales</t>
  </si>
  <si>
    <t>SalesAmt</t>
  </si>
  <si>
    <t>Foreign Sentences</t>
  </si>
  <si>
    <t>猿も木から落ちる</t>
  </si>
  <si>
    <t>가재는 게 편</t>
  </si>
  <si>
    <t>ஏட்டுச் சுரக்காய் கூட்டுக்கு உதவாது</t>
  </si>
  <si>
    <t>Barking up the wrong tree</t>
  </si>
  <si>
    <r>
      <t>半途而废</t>
    </r>
    <r>
      <rPr>
        <sz val="11"/>
        <color rgb="FF474747"/>
        <rFont val="Calibri Light"/>
        <family val="2"/>
        <scheme val="major"/>
      </rPr>
      <t>, 不可思议</t>
    </r>
  </si>
  <si>
    <t>Air yang tenang jangan disangka tiada buaya</t>
  </si>
  <si>
    <t>My name is Daxun</t>
  </si>
  <si>
    <t>ฉันชื่อ ดั๊กซัน</t>
  </si>
  <si>
    <t>I am a trainer and I live in Kuala Lumpur</t>
  </si>
  <si>
    <t>Alice is a profesional boxer, therefore she is qualified</t>
  </si>
  <si>
    <t>ทูซอนเป็นชายหนุ่ม เขารักอเวนเจอร์</t>
  </si>
  <si>
    <t>图森是个年轻人，他喜欢复仇者</t>
  </si>
  <si>
    <t>투싼은 젊은 남자이고 그는 어벤저를 사랑합니다</t>
  </si>
  <si>
    <t>Tucson seorang lelaki muda, dia suka Avenger</t>
  </si>
  <si>
    <t>டக்சன் ஒரு இளைஞன், அவன் அவெஞ்சரை நேசிக்கிறான்</t>
  </si>
  <si>
    <t>Sofia  Kowalskki</t>
  </si>
  <si>
    <t>JSON</t>
  </si>
  <si>
    <t>XML</t>
  </si>
  <si>
    <t>Sensational</t>
  </si>
  <si>
    <t>Object</t>
  </si>
  <si>
    <t>PV</t>
  </si>
  <si>
    <t>{
  "apiVersion": "v1",
  "kind": "Pod",
  "metadata": {
    "name": "my-first-pod",
    "labels": {
      "app": "example"
    }
  },
  "spec": {
    "containers": [
      {
        "name": "busybox",
        "image": "busybox:latest",
        "command": ["sleep", "3600"]
      }
    ]
  }
}</t>
  </si>
  <si>
    <t>POD</t>
  </si>
  <si>
    <t>apiVersion: v1
kind: Pod
metadata:
  name: nginx
spec:
  containers:
  - name: nginx
    image: nginx:1.14.2
    ports:
    - containerPort: 80</t>
  </si>
  <si>
    <t>{
  "apiVersion": "v1",
  "kind": "PersistentVolume",
  "metadata": {
    "name": "example-pv",
    "labels": {
      "type": "local"
    }</t>
  </si>
  <si>
    <t>apiVersion: v1
kind: PersistentVolumeClaim
metadata:
  name: foo-pvc
  namespace: foo
spec:
  storageClassName: "" # Empty string must be explicitly set otherwise default StorageClass will be set
  volumeName: foo-pv</t>
  </si>
  <si>
    <t>test-pod:running:1/2:nginx-1.28</t>
  </si>
  <si>
    <t>web-pod:running:3/3:apache-2.18.4</t>
  </si>
  <si>
    <t>Assig to</t>
  </si>
  <si>
    <t>[
	{
		color: "red",
		value: "#f00"
	},
	{
		color: "green",
		value: "#0f0"
	},
	{
		color: "blue",
		value: "#00f"
	},
	{
		color: "cyan",
		value: "#0ff"
	},
	{
		color: "magenta",
		value: "#f0f"
	},
	{
		color: "yellow",
		value: "#ff0"
	},
	{
		color: "black",
		value: "#000"
	}
]</t>
  </si>
  <si>
    <r>
      <t>&lt;?xml version="1.0"?&gt;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&lt;catalog&gt;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"bk101"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Gambardella, Matthew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XML Developer's Guide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Computer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44.95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2000-10-01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An in-depth look at creating applications with XML.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"bk102"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Ralls, Kim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Midnight Rain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Fantasy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5.95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2000-12-16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A former architect battles corporate zombies, an evil sorceress, and her own childhood to become queen of the world.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"bk103"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Corets, Eva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Maeve Ascendant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Fantasy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5.95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2000-11-17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After the collapse of a nanotechnology society in England, the young survivors lay the foundation for a new society.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"bk104"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Corets, Eva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Oberon's Legacy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Fantasy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5.95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2001-03-10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In post-apocalypse England, the mysterious agent known only as Oberon helps to create a new life for the inhabitants of London. Sequel to Maeve Ascendant.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"bk105"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Corets, Eva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The Sundered Grail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Fantasy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5.95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2001-09-10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The two daughters of Maeve, half-sisters, battle one another for control of England. Sequel to Oberon's Legacy.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"bk106"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Randall, Cynthia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Lover Birds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Romance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4.95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2000-09-02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When Carla meets Paul at an ornithology conference, tempers fly as feathers get ruffled.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"bk107"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Thurman, Paula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Splish Splash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Romance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4.95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2000-11-02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A deep sea diver finds true love twenty thousand leagues beneath the sea.</t>
    </r>
    <r>
      <rPr>
        <sz val="11"/>
        <color rgb="FF0101FD"/>
        <rFont val="Consolas"/>
        <family val="3"/>
      </rPr>
      <t>&lt;/description&gt;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&lt;/book&gt;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 xml:space="preserve">&lt;book </t>
    </r>
    <r>
      <rPr>
        <sz val="11"/>
        <color rgb="FF0451A5"/>
        <rFont val="Consolas"/>
        <family val="3"/>
      </rPr>
      <t>id</t>
    </r>
    <r>
      <rPr>
        <sz val="11"/>
        <color rgb="FF0101FD"/>
        <rFont val="Consolas"/>
        <family val="3"/>
      </rPr>
      <t>=</t>
    </r>
    <r>
      <rPr>
        <sz val="11"/>
        <color rgb="FFA31515"/>
        <rFont val="Consolas"/>
        <family val="3"/>
      </rPr>
      <t>"bk108"</t>
    </r>
    <r>
      <rPr>
        <sz val="11"/>
        <color rgb="FF0101FD"/>
        <rFont val="Consolas"/>
        <family val="3"/>
      </rPr>
      <t>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&lt;author&gt;</t>
    </r>
    <r>
      <rPr>
        <sz val="11"/>
        <color rgb="FF161616"/>
        <rFont val="Consolas"/>
        <family val="3"/>
      </rPr>
      <t>Knorr, Stefan</t>
    </r>
    <r>
      <rPr>
        <sz val="11"/>
        <color rgb="FF0101FD"/>
        <rFont val="Consolas"/>
        <family val="3"/>
      </rPr>
      <t>&lt;/author&gt;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&lt;title&gt;</t>
    </r>
    <r>
      <rPr>
        <sz val="11"/>
        <color rgb="FF161616"/>
        <rFont val="Consolas"/>
        <family val="3"/>
      </rPr>
      <t>Creepy Crawlies</t>
    </r>
    <r>
      <rPr>
        <sz val="11"/>
        <color rgb="FF0101FD"/>
        <rFont val="Consolas"/>
        <family val="3"/>
      </rPr>
      <t>&lt;/title&gt;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&lt;genre&gt;</t>
    </r>
    <r>
      <rPr>
        <sz val="11"/>
        <color rgb="FF161616"/>
        <rFont val="Consolas"/>
        <family val="3"/>
      </rPr>
      <t>Horror</t>
    </r>
    <r>
      <rPr>
        <sz val="11"/>
        <color rgb="FF0101FD"/>
        <rFont val="Consolas"/>
        <family val="3"/>
      </rPr>
      <t>&lt;/genre&gt;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&lt;price&gt;</t>
    </r>
    <r>
      <rPr>
        <sz val="11"/>
        <color rgb="FF161616"/>
        <rFont val="Consolas"/>
        <family val="3"/>
      </rPr>
      <t>4.95</t>
    </r>
    <r>
      <rPr>
        <sz val="11"/>
        <color rgb="FF0101FD"/>
        <rFont val="Consolas"/>
        <family val="3"/>
      </rPr>
      <t>&lt;/price&gt;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&lt;publish_date&gt;</t>
    </r>
    <r>
      <rPr>
        <sz val="11"/>
        <color rgb="FF161616"/>
        <rFont val="Consolas"/>
        <family val="3"/>
      </rPr>
      <t>2000-12-06</t>
    </r>
    <r>
      <rPr>
        <sz val="11"/>
        <color rgb="FF0101FD"/>
        <rFont val="Consolas"/>
        <family val="3"/>
      </rPr>
      <t>&lt;/publish_date&gt;</t>
    </r>
    <r>
      <rPr>
        <sz val="11"/>
        <color rgb="FF161616"/>
        <rFont val="Consolas"/>
        <family val="3"/>
      </rPr>
      <t xml:space="preserve"> </t>
    </r>
    <r>
      <rPr>
        <sz val="11"/>
        <color rgb="FF0101FD"/>
        <rFont val="Consolas"/>
        <family val="3"/>
      </rPr>
      <t>&lt;description&gt;</t>
    </r>
    <r>
      <rPr>
        <sz val="11"/>
        <color rgb="FF161616"/>
        <rFont val="Consolas"/>
        <family val="3"/>
      </rPr>
      <t>An anthology of horror stories about roaches, centipedes, scorpions and other insects.&lt;/description&gt; &lt;/book&gt; &lt;book id="bk109"&gt; &lt;author&gt;Kress, Peter&lt;/author&gt; &lt;title&gt;Paradox Lost&lt;/title&gt; &lt;genre&gt;Science Fiction&lt;/genre&gt; &lt;price&gt;6.95&lt;/price&gt; &lt;publish_date&gt;2000-11-02&lt;/publish_date&gt; &lt;description&gt;After an inadvertant trip through a Heisenberg Uncertainty Device, James Salway discovers the problems of being quantum.&lt;/description&gt; &lt;/book&gt; &lt;book id="bk110"&gt; &lt;author&gt;O'Brien, Tim&lt;/author&gt; &lt;title&gt;Microsoft .NET: The Programming Bible&lt;/title&gt; &lt;genre&gt;Computer&lt;/genre&gt; &lt;price&gt;36.95&lt;/price&gt; &lt;publish_date&gt;2000-12-09&lt;/publish_date&gt; &lt;description&gt;Microsoft's .NET initiative is explored in detail in this deep programmer's reference.&lt;/description&gt; &lt;/book&gt; &lt;book id="bk111"&gt; &lt;author&gt;O'Brien, Tim&lt;/author&gt; &lt;title&gt;MSXML3: A Comprehensive Guide&lt;/title&gt; &lt;genre&gt;Computer&lt;/genre&gt; &lt;price&gt;36.95&lt;/price&gt; &lt;publish_date&gt;2000-12-01&lt;/publish_date&gt; &lt;description&gt;The Microsoft MSXML3 parser is covered in detail, with attention to XML DOM interfaces, XSLT processing, SAX and more.&lt;/description&gt; &lt;/book&gt; &lt;book id="bk112"&gt; &lt;author&gt;Galos, Mike&lt;/author&gt; &lt;title&gt;Visual Studio 7: A Comprehensive Guide&lt;/title&gt; &lt;genre&gt;Computer&lt;/genre&gt; &lt;price&gt;49.95&lt;/price&gt; &lt;publish_date&gt;2001-04-16&lt;/publish_date&gt; &lt;description&gt;Microsoft Visual Studio 7 is explored in depth, looking at how Visual Basic, Visual C++, C#, and ASP+ are integrated into a comprehensive development environment.&lt;/description&gt; &lt;/book&gt; &lt;/catalog&gt;</t>
    </r>
  </si>
  <si>
    <t>[{"model":"Mazda RX4","mpg":21,"cyl":6,"disp":160,"hp":110,"drat":3.9,"wt":2.62,"qsec":16.46,"vs":0,"am":1,"gear":4,"carb":4},
{"model":"Mazda RX4 Wag","mpg":21,"cyl":6,"disp":160,"hp":110,"drat":3.9,"wt":2.875,"qsec":17.02,"vs":0,"am":1,"gear":4,"carb":4},
{"model":"Datsun 710","mpg":22.8,"cyl":4,"disp":108,"hp":93,"drat":3.85,"wt":2.32,"qsec":18.61,"vs":1,"am":1,"gear":4,"carb":1},
{"model":"Hornet 4 Drive","mpg":21.4,"cyl":6,"disp":258,"hp":110,"drat":3.08,"wt":3.215,"qsec":19.44,"vs":1,"am":0,"gear":3,"carb":1},
{"model":"Hornet Sportabout","mpg":18.7,"cyl":8,"disp":360,"hp":175,"drat":3.15,"wt":3.44,"qsec":17.02,"vs":0,"am":0,"gear":3,"carb":2},
{"model":"Valiant","mpg":18.1,"cyl":6,"disp":225,"hp":105,"drat":2.76,"wt":3.46,"qsec":20.22,"vs":1,"am":0,"gear":3,"carb":1},
{"model":"Duster 360","mpg":14.3,"cyl":8,"disp":360,"hp":245,"drat":3.21,"wt":3.57,"qsec":15.84,"vs":0,"am":0,"gear":3,"carb":4},
{"model":"Merc 240D","mpg":24.4,"cyl":4,"disp":146.7,"hp":62,"drat":3.69,"wt":3.19,"qsec":20,"vs":1,"am":0,"gear":4,"carb":2},
{"model":"Merc 230","mpg":22.8,"cyl":4,"disp":140.8,"hp":95,"drat":3.92,"wt":3.15,"qsec":22.9,"vs":1,"am":0,"gear":4,"carb":2}]</t>
  </si>
  <si>
    <t>Fusion Mango Wombo</t>
  </si>
  <si>
    <t>Day</t>
  </si>
  <si>
    <t>Month</t>
  </si>
  <si>
    <t>Year</t>
  </si>
  <si>
    <t>WeekDayInNum</t>
  </si>
  <si>
    <t>WeekNumInYear</t>
  </si>
  <si>
    <t>Name</t>
  </si>
  <si>
    <t>F0001</t>
  </si>
  <si>
    <t>Peter Pan</t>
  </si>
  <si>
    <t>Email</t>
  </si>
  <si>
    <t>osawa@trainocate.com</t>
  </si>
  <si>
    <t>ruby kaur@trainocate.com</t>
  </si>
  <si>
    <t>mingdekuen@jasonwccyahoo375.onmicrosoft.com</t>
  </si>
  <si>
    <t>devisunes@jasonwccyahoo375.onmicrosoft.com</t>
  </si>
  <si>
    <t>jasonwong@jasonwccyahoo375.onmicrosoft.com</t>
  </si>
  <si>
    <t>llianvecteezy@jasonwccyahoo375.onmicrosoft.com</t>
  </si>
  <si>
    <t>abubakar@jasonwccyahoo375.onmicrosoft.com</t>
  </si>
  <si>
    <t>pateraria@jasonwccyahoo375.onmicrosoft.com</t>
  </si>
  <si>
    <t>jamalahmad@jasonwccyahoo375.onmicrosoft.com</t>
  </si>
  <si>
    <t>sofiakowalskki@jasonwccyahoo375.onmicrosoft.com</t>
  </si>
  <si>
    <t>brian@jasonwccyahoo375.onmicrosoft.com</t>
  </si>
  <si>
    <t xml:space="preserve">peterpan@jasonwccyahoo375.onmicrosoft.com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</si>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</sst>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RM&quot;* #,##0.00_-;\-&quot;RM&quot;* #,##0.00_-;_-&quot;RM&quot;* &quot;-&quot;??_-;_-@_-"/>
    <numFmt numFmtId="165" formatCode="_-[$$-409]* #,##0.00_ ;_-[$$-409]* \-#,##0.00\ ;_-[$$-409]* &quot;-&quot;??_ ;_-@_ "/>
    <numFmt numFmtId="166" formatCode="_-&quot;$&quot;* #,##0.00_-;\-&quot;$&quot;* #,##0.00_-;_-&quot;$&quot;* &quot;-&quot;??_-;_-@_-"/>
    <numFmt numFmtId="167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74747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rgb="FF001D35"/>
      <name val="Courier New"/>
      <family val="3"/>
    </font>
    <font>
      <sz val="9"/>
      <color rgb="FF188038"/>
      <name val="Courier New"/>
      <family val="3"/>
    </font>
    <font>
      <sz val="11"/>
      <color rgb="FF006881"/>
      <name val="Consolas"/>
      <family val="3"/>
    </font>
    <font>
      <sz val="11"/>
      <color rgb="FF161616"/>
      <name val="Consolas"/>
      <family val="3"/>
    </font>
    <font>
      <sz val="11"/>
      <color rgb="FF0101FD"/>
      <name val="Consolas"/>
      <family val="3"/>
    </font>
    <font>
      <sz val="11"/>
      <color rgb="FF0451A5"/>
      <name val="Consolas"/>
      <family val="3"/>
    </font>
    <font>
      <sz val="11"/>
      <color rgb="FFA315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166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9" fontId="0" fillId="0" borderId="0" xfId="2" applyFont="1"/>
    <xf numFmtId="0" fontId="0" fillId="0" borderId="0" xfId="0" quotePrefix="1"/>
    <xf numFmtId="166" fontId="0" fillId="0" borderId="0" xfId="5" applyFont="1"/>
    <xf numFmtId="43" fontId="0" fillId="0" borderId="0" xfId="3" applyFont="1"/>
    <xf numFmtId="166" fontId="1" fillId="0" borderId="0" xfId="5" applyFont="1"/>
    <xf numFmtId="0" fontId="2" fillId="3" borderId="1" xfId="0" applyFont="1" applyFill="1" applyBorder="1"/>
    <xf numFmtId="167" fontId="1" fillId="0" borderId="0" xfId="3" applyNumberFormat="1" applyFont="1"/>
    <xf numFmtId="0" fontId="3" fillId="2" borderId="0" xfId="4"/>
    <xf numFmtId="167" fontId="0" fillId="0" borderId="0" xfId="1" applyNumberFormat="1" applyFont="1"/>
    <xf numFmtId="164" fontId="0" fillId="0" borderId="0" xfId="1" applyFont="1"/>
    <xf numFmtId="14" fontId="0" fillId="0" borderId="0" xfId="3" applyNumberFormat="1" applyFont="1"/>
    <xf numFmtId="14" fontId="1" fillId="0" borderId="0" xfId="3" applyNumberFormat="1" applyFont="1"/>
    <xf numFmtId="0" fontId="4" fillId="0" borderId="0" xfId="6"/>
    <xf numFmtId="14" fontId="2" fillId="3" borderId="1" xfId="3" applyNumberFormat="1" applyFont="1" applyFill="1" applyBorder="1"/>
    <xf numFmtId="14" fontId="0" fillId="0" borderId="0" xfId="3" applyNumberFormat="1" applyFont="1" applyBorder="1"/>
    <xf numFmtId="0" fontId="0" fillId="0" borderId="0" xfId="3" applyNumberFormat="1" applyFont="1"/>
    <xf numFmtId="0" fontId="2" fillId="3" borderId="2" xfId="0" applyFont="1" applyFill="1" applyBorder="1"/>
    <xf numFmtId="14" fontId="2" fillId="3" borderId="0" xfId="3" applyNumberFormat="1" applyFont="1" applyFill="1" applyBorder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2" fillId="3" borderId="4" xfId="0" applyFont="1" applyFill="1" applyBorder="1"/>
    <xf numFmtId="14" fontId="0" fillId="4" borderId="4" xfId="0" applyNumberFormat="1" applyFill="1" applyBorder="1"/>
    <xf numFmtId="14" fontId="0" fillId="0" borderId="4" xfId="0" applyNumberFormat="1" applyBorder="1"/>
    <xf numFmtId="14" fontId="0" fillId="0" borderId="3" xfId="0" applyNumberFormat="1" applyBorder="1"/>
  </cellXfs>
  <cellStyles count="7">
    <cellStyle name="Accent1" xfId="4" builtinId="29"/>
    <cellStyle name="Comma" xfId="3" builtinId="3"/>
    <cellStyle name="Currency" xfId="1" builtinId="4"/>
    <cellStyle name="Currency 2" xfId="5" xr:uid="{377DD4D5-BA2F-4D64-AA9F-D09D24239F2A}"/>
    <cellStyle name="Hyperlink" xfId="6" builtinId="8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_-;\-* #,##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Wong" id="{C2CDACF2-0F78-4660-B8AB-9AA9E4C23183}" userId="S::jason.wong@trainocate.com::c4608a6f-67fe-40cc-a15f-dd3c9298eb9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2280F2-8004-4609-AF3B-BD634B4FDB81}" name="countrylist" displayName="countrylist" ref="A1:G250" totalsRowShown="0">
  <autoFilter ref="A1:G250" xr:uid="{F62280F2-8004-4609-AF3B-BD634B4FDB81}"/>
  <sortState xmlns:xlrd2="http://schemas.microsoft.com/office/spreadsheetml/2017/richdata2" ref="A2:G250">
    <sortCondition ref="A117:A250"/>
  </sortState>
  <tableColumns count="7">
    <tableColumn id="1" xr3:uid="{834DFCE0-3D21-4DEC-878B-CAE527953D59}" name="countrycode"/>
    <tableColumn id="2" xr3:uid="{D2FCCEBF-EBF7-4566-A428-F5550936EC64}" name="countryname"/>
    <tableColumn id="3" xr3:uid="{D62DED7E-EC71-4BEF-A3B5-43B036C43E20}" name="isocode"/>
    <tableColumn id="4" xr3:uid="{514805E5-A4D0-44C6-8FEE-F91788F9F0CB}" name="m49code"/>
    <tableColumn id="7" xr3:uid="{14F3ED4F-AC39-47AF-82C2-30F5DD17BC56}" name="continent"/>
    <tableColumn id="5" xr3:uid="{BA1FBD61-1DEB-4B5A-AB76-B1F5B84582F6}" name="region"/>
    <tableColumn id="6" xr3:uid="{C91FE16A-B548-4D27-9D20-08E5D8B06A34}" name="subreg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A88EC-4F62-46C7-9B50-03FF765594C1}" name="financials" displayName="financials" ref="A1:M4901" totalsRowShown="0" headerRowDxfId="12" dataDxfId="11" headerRowCellStyle="Currency" dataCellStyle="Currency">
  <sortState xmlns:xlrd2="http://schemas.microsoft.com/office/spreadsheetml/2017/richdata2" ref="A2:M4901">
    <sortCondition ref="G10:G4901"/>
  </sortState>
  <tableColumns count="13">
    <tableColumn id="1" xr3:uid="{717EB537-134F-4E0D-A244-FCFEE20EE30E}" name="Segment"/>
    <tableColumn id="2" xr3:uid="{1687C255-8F2F-45EA-AB9D-2BC8CAB57DDA}" name="Country" dataDxfId="10"/>
    <tableColumn id="16" xr3:uid="{451B9568-FD6B-4430-938D-FC8A65540F94}" name="productid" dataDxfId="9" dataCellStyle="Currency"/>
    <tableColumn id="19" xr3:uid="{D6E4A172-4BE1-4CB3-8160-561BAF2BC262}" name="Discount Band" dataDxfId="8" dataCellStyle="Currency"/>
    <tableColumn id="6" xr3:uid="{E42CDB77-3A78-4143-B5A0-61E1C2147D30}" name="Units Sold"/>
    <tableColumn id="8" xr3:uid="{CC19B26B-34A8-40D4-BAF0-BE33702A4F81}" name="Sale Price" dataDxfId="7" dataCellStyle="Comma">
      <calculatedColumnFormula>VLOOKUP(financials[[#This Row],[productid]],Products!$B$2:$H$10,3)</calculatedColumnFormula>
    </tableColumn>
    <tableColumn id="9" xr3:uid="{1DC97D66-2085-4833-A29A-76F23DD6F469}" name="Gross Sales" dataDxfId="6" dataCellStyle="Comma">
      <calculatedColumnFormula>financials[[#This Row],[Units Sold]]*financials[[#This Row],[Sale Price]]</calculatedColumnFormula>
    </tableColumn>
    <tableColumn id="10" xr3:uid="{D989E106-4C6A-4352-800A-5920FD90A7D3}" name="Discounts" dataDxfId="5" dataCellStyle="Comma">
      <calculatedColumnFormula>IF(financials[[#This Row],[Discount Band]]="low",0.1,IF(financials[[#This Row],[Discount Band]]="medium",0.15,0.3))</calculatedColumnFormula>
    </tableColumn>
    <tableColumn id="11" xr3:uid="{9AF81854-D092-4C12-A813-983DF7DEA1EA}" name="Net Sales" dataDxfId="4" dataCellStyle="Comma">
      <calculatedColumnFormula>financials[[#This Row],[Gross Sales]]-financials[[#This Row],[Gross Sales]]*financials[[#This Row],[Discounts]]</calculatedColumnFormula>
    </tableColumn>
    <tableColumn id="12" xr3:uid="{E3B17467-BF3A-4701-B2F7-B6F54BC08EEB}" name="COGS" dataDxfId="3" dataCellStyle="Comma">
      <calculatedColumnFormula>VLOOKUP(financials[[#This Row],[productid]],Products!$B$2:$H$10,4)</calculatedColumnFormula>
    </tableColumn>
    <tableColumn id="13" xr3:uid="{E5A081C7-D310-49F3-A6C2-A3AAD6A8C6C3}" name="Profit" dataDxfId="2" dataCellStyle="Comma">
      <calculatedColumnFormula>financials[[#This Row],[Net Sales]]-financials[[#This Row],[COGS]]</calculatedColumnFormula>
    </tableColumn>
    <tableColumn id="4" xr3:uid="{DB7A0EB6-3A9A-4A36-82F6-DF4A510C0196}" name="Sales Date" dataDxfId="1" dataCellStyle="Comma"/>
    <tableColumn id="3" xr3:uid="{E37FA07B-81F3-4BBE-9481-C412814FEB09}" name="Salesperson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8-30T09:15:12.27" personId="{C2CDACF2-0F78-4660-B8AB-9AA9E4C23183}" id="{513197AC-689A-453C-998B-F5D75BD62705}">
    <text>Cost of Goods | Product Cost Price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smo.com.my/wp-content/uploads/2020/08/Abu1.jpeg" TargetMode="External"/><Relationship Id="rId13" Type="http://schemas.openxmlformats.org/officeDocument/2006/relationships/hyperlink" Target="mailto:abubakar@jasonwccyahoo375.onmicrosoft.com" TargetMode="External"/><Relationship Id="rId18" Type="http://schemas.openxmlformats.org/officeDocument/2006/relationships/hyperlink" Target="mailto:llianvecteezy@jasonwccyahoo375.onmicrosoft.com" TargetMode="External"/><Relationship Id="rId3" Type="http://schemas.openxmlformats.org/officeDocument/2006/relationships/hyperlink" Target="https://64.media.tumblr.com/7ed3a9bfc51621f7f0e8cf1ee6dfba57/tumblr_mh7r7cddVu1r1cbjpo1_640.jpg" TargetMode="External"/><Relationship Id="rId7" Type="http://schemas.openxmlformats.org/officeDocument/2006/relationships/hyperlink" Target="https://media.licdn.com/dms/image/C5603AQEp0Nlx8pMqvA/profile-displayphoto-shrink_200_200/0/1631970619329?e=2147483647&amp;v=beta&amp;t=XXbm42Ksr4m6iqds2r-VFeKf_fLoJUGQgxQjdNi2ejc" TargetMode="External"/><Relationship Id="rId12" Type="http://schemas.openxmlformats.org/officeDocument/2006/relationships/hyperlink" Target="mailto:jasonwong@jasonwccyahoo375.onmicrosoft.com" TargetMode="External"/><Relationship Id="rId17" Type="http://schemas.openxmlformats.org/officeDocument/2006/relationships/hyperlink" Target="mailto:pateraria@jasonwccyahoo375.onmicrosoft.com" TargetMode="External"/><Relationship Id="rId2" Type="http://schemas.openxmlformats.org/officeDocument/2006/relationships/hyperlink" Target="https://media.licdn.com/dms/image/C5103AQHWwMWwU3_xFw/profile-displayphoto-shrink_200_200/0/1573453831848?e=2147483647&amp;v=beta&amp;t=RsdxDeqVGdLFh50A6dayXBDVyxDBygawnZii0N5fypo" TargetMode="External"/><Relationship Id="rId16" Type="http://schemas.openxmlformats.org/officeDocument/2006/relationships/hyperlink" Target="mailto:brian@jasonwccyahoo375.onmicrosoft.com" TargetMode="External"/><Relationship Id="rId20" Type="http://schemas.openxmlformats.org/officeDocument/2006/relationships/hyperlink" Target="mailto:peterpan@jasonwccyahoo375.onmicrosoft.com%20" TargetMode="External"/><Relationship Id="rId1" Type="http://schemas.openxmlformats.org/officeDocument/2006/relationships/hyperlink" Target="https://encrypted-tbn0.gstatic.com/images?q=tbn:ANd9GcQxYHeAsBjrW2nlOOhNvMkJw8Ferup7PCx7vg&amp;s" TargetMode="External"/><Relationship Id="rId6" Type="http://schemas.openxmlformats.org/officeDocument/2006/relationships/hyperlink" Target="https://i1.sndcdn.com/artworks-000065790486-rloedr-t500x500.jpg" TargetMode="External"/><Relationship Id="rId11" Type="http://schemas.openxmlformats.org/officeDocument/2006/relationships/hyperlink" Target="mailto:devisunes@jasonwccyahoo375.onmicrosoft.com" TargetMode="External"/><Relationship Id="rId5" Type="http://schemas.openxmlformats.org/officeDocument/2006/relationships/hyperlink" Target="https://upload.wikimedia.org/wikipedia/commons/thumb/1/18/Brian_McKnight_by_Gage_Skidmore_2.jpg/1200px-Brian_McKnight_by_Gage_Skidmore_2.jpg" TargetMode="External"/><Relationship Id="rId15" Type="http://schemas.openxmlformats.org/officeDocument/2006/relationships/hyperlink" Target="mailto:sofiakowalskki@jasonwccyahoo375.onmicrosoft.com" TargetMode="External"/><Relationship Id="rId10" Type="http://schemas.openxmlformats.org/officeDocument/2006/relationships/hyperlink" Target="mailto:osawa@trainocate.com" TargetMode="External"/><Relationship Id="rId19" Type="http://schemas.openxmlformats.org/officeDocument/2006/relationships/hyperlink" Target="mailto:mingdekuen@jasonwccyahoo375.onmicrosoft.com" TargetMode="External"/><Relationship Id="rId4" Type="http://schemas.openxmlformats.org/officeDocument/2006/relationships/hyperlink" Target="https://yt3.googleusercontent.com/ytc/AIdro_nv6vX-VnX5EE9T6MyXhu3u80r1zGRMJkKPijrx6vZEcQ=s900-c-k-c0x00ffffff-no-rj" TargetMode="External"/><Relationship Id="rId9" Type="http://schemas.openxmlformats.org/officeDocument/2006/relationships/hyperlink" Target="https://encrypted-tbn0.gstatic.com/images?q=tbn:ANd9GcQxURLS1gw7oJL0GrgROD-aI1igxgbnGnvxeg&amp;s" TargetMode="External"/><Relationship Id="rId14" Type="http://schemas.openxmlformats.org/officeDocument/2006/relationships/hyperlink" Target="mailto:jamalahmad@jasonwccyahoo375.onmicrosoft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llianvecteezy@jasonwccyahoo375.onmicrosoft.com" TargetMode="External"/><Relationship Id="rId13" Type="http://schemas.openxmlformats.org/officeDocument/2006/relationships/hyperlink" Target="mailto:abubakar@jasonwccyahoo375.onmicrosoft.com" TargetMode="External"/><Relationship Id="rId18" Type="http://schemas.openxmlformats.org/officeDocument/2006/relationships/hyperlink" Target="mailto:llianvecteezy@jasonwccyahoo375.onmicrosoft.com" TargetMode="External"/><Relationship Id="rId26" Type="http://schemas.openxmlformats.org/officeDocument/2006/relationships/hyperlink" Target="mailto:peterpan@jasonwccyahoo375.onmicrosoft.com%20" TargetMode="External"/><Relationship Id="rId3" Type="http://schemas.openxmlformats.org/officeDocument/2006/relationships/hyperlink" Target="mailto:abubakar@jasonwccyahoo375.onmicrosoft.com" TargetMode="External"/><Relationship Id="rId21" Type="http://schemas.openxmlformats.org/officeDocument/2006/relationships/hyperlink" Target="mailto:abubakar@jasonwccyahoo375.onmicrosoft.com" TargetMode="External"/><Relationship Id="rId7" Type="http://schemas.openxmlformats.org/officeDocument/2006/relationships/hyperlink" Target="mailto:pateraria@jasonwccyahoo375.onmicrosoft.com" TargetMode="External"/><Relationship Id="rId12" Type="http://schemas.openxmlformats.org/officeDocument/2006/relationships/hyperlink" Target="mailto:jasonwong@jasonwccyahoo375.onmicrosoft.com" TargetMode="External"/><Relationship Id="rId17" Type="http://schemas.openxmlformats.org/officeDocument/2006/relationships/hyperlink" Target="mailto:pateraria@jasonwccyahoo375.onmicrosoft.com" TargetMode="External"/><Relationship Id="rId25" Type="http://schemas.openxmlformats.org/officeDocument/2006/relationships/hyperlink" Target="mailto:brian@jasonwccyahoo375.onmicrosoft.com" TargetMode="External"/><Relationship Id="rId2" Type="http://schemas.openxmlformats.org/officeDocument/2006/relationships/hyperlink" Target="mailto:jasonwong@jasonwccyahoo375.onmicrosoft.com" TargetMode="External"/><Relationship Id="rId16" Type="http://schemas.openxmlformats.org/officeDocument/2006/relationships/hyperlink" Target="mailto:brian@jasonwccyahoo375.onmicrosoft.com" TargetMode="External"/><Relationship Id="rId20" Type="http://schemas.openxmlformats.org/officeDocument/2006/relationships/hyperlink" Target="mailto:peterpan@jasonwccyahoo375.onmicrosoft.com%20" TargetMode="External"/><Relationship Id="rId1" Type="http://schemas.openxmlformats.org/officeDocument/2006/relationships/hyperlink" Target="mailto:devisunes@jasonwccyahoo375.onmicrosoft.com" TargetMode="External"/><Relationship Id="rId6" Type="http://schemas.openxmlformats.org/officeDocument/2006/relationships/hyperlink" Target="mailto:brian@jasonwccyahoo375.onmicrosoft.com" TargetMode="External"/><Relationship Id="rId11" Type="http://schemas.openxmlformats.org/officeDocument/2006/relationships/hyperlink" Target="mailto:devisunes@jasonwccyahoo375.onmicrosoft.com" TargetMode="External"/><Relationship Id="rId24" Type="http://schemas.openxmlformats.org/officeDocument/2006/relationships/hyperlink" Target="mailto:brian@jasonwccyahoo375.onmicrosoft.com" TargetMode="External"/><Relationship Id="rId5" Type="http://schemas.openxmlformats.org/officeDocument/2006/relationships/hyperlink" Target="mailto:sofiakowalskki@jasonwccyahoo375.onmicrosoft.com" TargetMode="External"/><Relationship Id="rId15" Type="http://schemas.openxmlformats.org/officeDocument/2006/relationships/hyperlink" Target="mailto:sofiakowalskki@jasonwccyahoo375.onmicrosoft.com" TargetMode="External"/><Relationship Id="rId23" Type="http://schemas.openxmlformats.org/officeDocument/2006/relationships/hyperlink" Target="mailto:abubakar@jasonwccyahoo375.onmicrosoft.com" TargetMode="External"/><Relationship Id="rId10" Type="http://schemas.openxmlformats.org/officeDocument/2006/relationships/hyperlink" Target="mailto:peterpan@jasonwccyahoo375.onmicrosoft.com%20" TargetMode="External"/><Relationship Id="rId19" Type="http://schemas.openxmlformats.org/officeDocument/2006/relationships/hyperlink" Target="mailto:mingdekuen@jasonwccyahoo375.onmicrosoft.com" TargetMode="External"/><Relationship Id="rId4" Type="http://schemas.openxmlformats.org/officeDocument/2006/relationships/hyperlink" Target="mailto:jamalahmad@jasonwccyahoo375.onmicrosoft.com" TargetMode="External"/><Relationship Id="rId9" Type="http://schemas.openxmlformats.org/officeDocument/2006/relationships/hyperlink" Target="mailto:mingdekuen@jasonwccyahoo375.onmicrosoft.com" TargetMode="External"/><Relationship Id="rId14" Type="http://schemas.openxmlformats.org/officeDocument/2006/relationships/hyperlink" Target="mailto:jamalahmad@jasonwccyahoo375.onmicrosoft.com" TargetMode="External"/><Relationship Id="rId22" Type="http://schemas.openxmlformats.org/officeDocument/2006/relationships/hyperlink" Target="mailto:brian@jasonwccyahoo375.onmicrosoft.com" TargetMode="External"/><Relationship Id="rId27" Type="http://schemas.openxmlformats.org/officeDocument/2006/relationships/hyperlink" Target="mailto:peterpan@jasonwccyahoo375.onmicrosoft.com%20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2FC1-A9BE-44EE-A73E-553379A22BF5}">
  <dimension ref="A1:E16"/>
  <sheetViews>
    <sheetView zoomScale="250" zoomScaleNormal="250" workbookViewId="0">
      <selection activeCell="A2" sqref="A2"/>
    </sheetView>
  </sheetViews>
  <sheetFormatPr defaultRowHeight="15" x14ac:dyDescent="0.25"/>
  <cols>
    <col min="1" max="1" width="46.5703125" bestFit="1" customWidth="1"/>
  </cols>
  <sheetData>
    <row r="1" spans="1:5" x14ac:dyDescent="0.25">
      <c r="A1" s="12" t="s">
        <v>759</v>
      </c>
      <c r="B1" s="12"/>
      <c r="C1" s="12"/>
      <c r="D1" s="12"/>
      <c r="E1" s="12"/>
    </row>
    <row r="2" spans="1:5" x14ac:dyDescent="0.25">
      <c r="A2" t="s">
        <v>765</v>
      </c>
    </row>
    <row r="3" spans="1:5" x14ac:dyDescent="0.25">
      <c r="A3" t="s">
        <v>764</v>
      </c>
    </row>
    <row r="4" spans="1:5" x14ac:dyDescent="0.25">
      <c r="A4" t="s">
        <v>760</v>
      </c>
    </row>
    <row r="5" spans="1:5" x14ac:dyDescent="0.25">
      <c r="A5" t="s">
        <v>761</v>
      </c>
    </row>
    <row r="6" spans="1:5" x14ac:dyDescent="0.25">
      <c r="A6" t="s">
        <v>762</v>
      </c>
    </row>
    <row r="7" spans="1:5" x14ac:dyDescent="0.25">
      <c r="A7" t="s">
        <v>763</v>
      </c>
    </row>
    <row r="8" spans="1:5" x14ac:dyDescent="0.25">
      <c r="A8" t="s">
        <v>770</v>
      </c>
    </row>
    <row r="9" spans="1:5" x14ac:dyDescent="0.25">
      <c r="A9" t="s">
        <v>766</v>
      </c>
    </row>
    <row r="10" spans="1:5" x14ac:dyDescent="0.25">
      <c r="A10" t="s">
        <v>771</v>
      </c>
    </row>
    <row r="11" spans="1:5" x14ac:dyDescent="0.25">
      <c r="A11" t="s">
        <v>767</v>
      </c>
    </row>
    <row r="12" spans="1:5" x14ac:dyDescent="0.25">
      <c r="A12" t="s">
        <v>773</v>
      </c>
    </row>
    <row r="13" spans="1:5" x14ac:dyDescent="0.25">
      <c r="A13" t="s">
        <v>774</v>
      </c>
    </row>
    <row r="14" spans="1:5" x14ac:dyDescent="0.25">
      <c r="A14" t="s">
        <v>772</v>
      </c>
    </row>
    <row r="15" spans="1:5" x14ac:dyDescent="0.25">
      <c r="A15" t="s">
        <v>768</v>
      </c>
    </row>
    <row r="16" spans="1:5" x14ac:dyDescent="0.25">
      <c r="A16" t="s">
        <v>769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F885-4921-41AC-8CCB-5F0331590C8F}">
  <dimension ref="A1:F367"/>
  <sheetViews>
    <sheetView zoomScale="130" zoomScaleNormal="130" workbookViewId="0">
      <selection activeCell="E2" sqref="E2"/>
    </sheetView>
  </sheetViews>
  <sheetFormatPr defaultRowHeight="15" x14ac:dyDescent="0.25"/>
  <cols>
    <col min="1" max="1" width="29.42578125" customWidth="1"/>
    <col min="5" max="5" width="15.5703125" bestFit="1" customWidth="1"/>
    <col min="6" max="6" width="16.140625" bestFit="1" customWidth="1"/>
  </cols>
  <sheetData>
    <row r="1" spans="1:6" x14ac:dyDescent="0.25">
      <c r="A1" s="31" t="s">
        <v>82</v>
      </c>
      <c r="B1" s="31" t="s">
        <v>793</v>
      </c>
      <c r="C1" s="31" t="s">
        <v>794</v>
      </c>
      <c r="D1" s="31" t="s">
        <v>795</v>
      </c>
      <c r="E1" s="31" t="s">
        <v>796</v>
      </c>
      <c r="F1" s="31" t="s">
        <v>797</v>
      </c>
    </row>
    <row r="2" spans="1:6" x14ac:dyDescent="0.25">
      <c r="A2" s="32">
        <v>45292</v>
      </c>
      <c r="B2">
        <f>DAY(A2)</f>
        <v>1</v>
      </c>
      <c r="C2">
        <f>MONTH(A2)</f>
        <v>1</v>
      </c>
      <c r="D2">
        <f>YEAR(A2)</f>
        <v>2024</v>
      </c>
      <c r="E2">
        <f>WEEKDAY(A2)</f>
        <v>2</v>
      </c>
      <c r="F2">
        <f>_xlfn.ISOWEEKNUM(A2)</f>
        <v>1</v>
      </c>
    </row>
    <row r="3" spans="1:6" x14ac:dyDescent="0.25">
      <c r="A3" s="33">
        <v>45293</v>
      </c>
      <c r="B3">
        <f t="shared" ref="B3:B66" si="0">DAY(A3)</f>
        <v>2</v>
      </c>
      <c r="C3">
        <f t="shared" ref="C3:C66" si="1">MONTH(A3)</f>
        <v>1</v>
      </c>
      <c r="D3">
        <f t="shared" ref="D3:D66" si="2">YEAR(A3)</f>
        <v>2024</v>
      </c>
      <c r="E3">
        <f t="shared" ref="E3:E66" si="3">WEEKDAY(A3)</f>
        <v>3</v>
      </c>
      <c r="F3">
        <f t="shared" ref="F3:F66" si="4">_xlfn.ISOWEEKNUM(A3)</f>
        <v>1</v>
      </c>
    </row>
    <row r="4" spans="1:6" x14ac:dyDescent="0.25">
      <c r="A4" s="32">
        <v>45294</v>
      </c>
      <c r="B4">
        <f t="shared" si="0"/>
        <v>3</v>
      </c>
      <c r="C4">
        <f t="shared" si="1"/>
        <v>1</v>
      </c>
      <c r="D4">
        <f t="shared" si="2"/>
        <v>2024</v>
      </c>
      <c r="E4">
        <f t="shared" si="3"/>
        <v>4</v>
      </c>
      <c r="F4">
        <f t="shared" si="4"/>
        <v>1</v>
      </c>
    </row>
    <row r="5" spans="1:6" x14ac:dyDescent="0.25">
      <c r="A5" s="33">
        <v>45295</v>
      </c>
      <c r="B5">
        <f t="shared" si="0"/>
        <v>4</v>
      </c>
      <c r="C5">
        <f t="shared" si="1"/>
        <v>1</v>
      </c>
      <c r="D5">
        <f t="shared" si="2"/>
        <v>2024</v>
      </c>
      <c r="E5">
        <f t="shared" si="3"/>
        <v>5</v>
      </c>
      <c r="F5">
        <f t="shared" si="4"/>
        <v>1</v>
      </c>
    </row>
    <row r="6" spans="1:6" x14ac:dyDescent="0.25">
      <c r="A6" s="32">
        <v>45296</v>
      </c>
      <c r="B6">
        <f t="shared" si="0"/>
        <v>5</v>
      </c>
      <c r="C6">
        <f t="shared" si="1"/>
        <v>1</v>
      </c>
      <c r="D6">
        <f t="shared" si="2"/>
        <v>2024</v>
      </c>
      <c r="E6">
        <f t="shared" si="3"/>
        <v>6</v>
      </c>
      <c r="F6">
        <f t="shared" si="4"/>
        <v>1</v>
      </c>
    </row>
    <row r="7" spans="1:6" x14ac:dyDescent="0.25">
      <c r="A7" s="33">
        <v>45297</v>
      </c>
      <c r="B7">
        <f t="shared" si="0"/>
        <v>6</v>
      </c>
      <c r="C7">
        <f t="shared" si="1"/>
        <v>1</v>
      </c>
      <c r="D7">
        <f t="shared" si="2"/>
        <v>2024</v>
      </c>
      <c r="E7">
        <f t="shared" si="3"/>
        <v>7</v>
      </c>
      <c r="F7">
        <f t="shared" si="4"/>
        <v>1</v>
      </c>
    </row>
    <row r="8" spans="1:6" x14ac:dyDescent="0.25">
      <c r="A8" s="32">
        <v>45298</v>
      </c>
      <c r="B8">
        <f t="shared" si="0"/>
        <v>7</v>
      </c>
      <c r="C8">
        <f t="shared" si="1"/>
        <v>1</v>
      </c>
      <c r="D8">
        <f t="shared" si="2"/>
        <v>2024</v>
      </c>
      <c r="E8">
        <f t="shared" si="3"/>
        <v>1</v>
      </c>
      <c r="F8">
        <f t="shared" si="4"/>
        <v>1</v>
      </c>
    </row>
    <row r="9" spans="1:6" x14ac:dyDescent="0.25">
      <c r="A9" s="33">
        <v>45299</v>
      </c>
      <c r="B9">
        <f t="shared" si="0"/>
        <v>8</v>
      </c>
      <c r="C9">
        <f t="shared" si="1"/>
        <v>1</v>
      </c>
      <c r="D9">
        <f t="shared" si="2"/>
        <v>2024</v>
      </c>
      <c r="E9">
        <f t="shared" si="3"/>
        <v>2</v>
      </c>
      <c r="F9">
        <f t="shared" si="4"/>
        <v>2</v>
      </c>
    </row>
    <row r="10" spans="1:6" x14ac:dyDescent="0.25">
      <c r="A10" s="32">
        <v>45300</v>
      </c>
      <c r="B10">
        <f t="shared" si="0"/>
        <v>9</v>
      </c>
      <c r="C10">
        <f t="shared" si="1"/>
        <v>1</v>
      </c>
      <c r="D10">
        <f t="shared" si="2"/>
        <v>2024</v>
      </c>
      <c r="E10">
        <f t="shared" si="3"/>
        <v>3</v>
      </c>
      <c r="F10">
        <f t="shared" si="4"/>
        <v>2</v>
      </c>
    </row>
    <row r="11" spans="1:6" x14ac:dyDescent="0.25">
      <c r="A11" s="33">
        <v>45301</v>
      </c>
      <c r="B11">
        <f t="shared" si="0"/>
        <v>10</v>
      </c>
      <c r="C11">
        <f t="shared" si="1"/>
        <v>1</v>
      </c>
      <c r="D11">
        <f t="shared" si="2"/>
        <v>2024</v>
      </c>
      <c r="E11">
        <f t="shared" si="3"/>
        <v>4</v>
      </c>
      <c r="F11">
        <f t="shared" si="4"/>
        <v>2</v>
      </c>
    </row>
    <row r="12" spans="1:6" x14ac:dyDescent="0.25">
      <c r="A12" s="32">
        <v>45302</v>
      </c>
      <c r="B12">
        <f t="shared" si="0"/>
        <v>11</v>
      </c>
      <c r="C12">
        <f t="shared" si="1"/>
        <v>1</v>
      </c>
      <c r="D12">
        <f t="shared" si="2"/>
        <v>2024</v>
      </c>
      <c r="E12">
        <f t="shared" si="3"/>
        <v>5</v>
      </c>
      <c r="F12">
        <f t="shared" si="4"/>
        <v>2</v>
      </c>
    </row>
    <row r="13" spans="1:6" x14ac:dyDescent="0.25">
      <c r="A13" s="33">
        <v>45303</v>
      </c>
      <c r="B13">
        <f t="shared" si="0"/>
        <v>12</v>
      </c>
      <c r="C13">
        <f t="shared" si="1"/>
        <v>1</v>
      </c>
      <c r="D13">
        <f t="shared" si="2"/>
        <v>2024</v>
      </c>
      <c r="E13">
        <f t="shared" si="3"/>
        <v>6</v>
      </c>
      <c r="F13">
        <f t="shared" si="4"/>
        <v>2</v>
      </c>
    </row>
    <row r="14" spans="1:6" x14ac:dyDescent="0.25">
      <c r="A14" s="32">
        <v>45304</v>
      </c>
      <c r="B14">
        <f t="shared" si="0"/>
        <v>13</v>
      </c>
      <c r="C14">
        <f t="shared" si="1"/>
        <v>1</v>
      </c>
      <c r="D14">
        <f t="shared" si="2"/>
        <v>2024</v>
      </c>
      <c r="E14">
        <f t="shared" si="3"/>
        <v>7</v>
      </c>
      <c r="F14">
        <f t="shared" si="4"/>
        <v>2</v>
      </c>
    </row>
    <row r="15" spans="1:6" x14ac:dyDescent="0.25">
      <c r="A15" s="33">
        <v>45305</v>
      </c>
      <c r="B15">
        <f t="shared" si="0"/>
        <v>14</v>
      </c>
      <c r="C15">
        <f t="shared" si="1"/>
        <v>1</v>
      </c>
      <c r="D15">
        <f t="shared" si="2"/>
        <v>2024</v>
      </c>
      <c r="E15">
        <f t="shared" si="3"/>
        <v>1</v>
      </c>
      <c r="F15">
        <f t="shared" si="4"/>
        <v>2</v>
      </c>
    </row>
    <row r="16" spans="1:6" x14ac:dyDescent="0.25">
      <c r="A16" s="32">
        <v>45306</v>
      </c>
      <c r="B16">
        <f t="shared" si="0"/>
        <v>15</v>
      </c>
      <c r="C16">
        <f t="shared" si="1"/>
        <v>1</v>
      </c>
      <c r="D16">
        <f t="shared" si="2"/>
        <v>2024</v>
      </c>
      <c r="E16">
        <f t="shared" si="3"/>
        <v>2</v>
      </c>
      <c r="F16">
        <f t="shared" si="4"/>
        <v>3</v>
      </c>
    </row>
    <row r="17" spans="1:6" x14ac:dyDescent="0.25">
      <c r="A17" s="33">
        <v>45307</v>
      </c>
      <c r="B17">
        <f t="shared" si="0"/>
        <v>16</v>
      </c>
      <c r="C17">
        <f t="shared" si="1"/>
        <v>1</v>
      </c>
      <c r="D17">
        <f t="shared" si="2"/>
        <v>2024</v>
      </c>
      <c r="E17">
        <f t="shared" si="3"/>
        <v>3</v>
      </c>
      <c r="F17">
        <f t="shared" si="4"/>
        <v>3</v>
      </c>
    </row>
    <row r="18" spans="1:6" x14ac:dyDescent="0.25">
      <c r="A18" s="32">
        <v>45308</v>
      </c>
      <c r="B18">
        <f t="shared" si="0"/>
        <v>17</v>
      </c>
      <c r="C18">
        <f t="shared" si="1"/>
        <v>1</v>
      </c>
      <c r="D18">
        <f t="shared" si="2"/>
        <v>2024</v>
      </c>
      <c r="E18">
        <f t="shared" si="3"/>
        <v>4</v>
      </c>
      <c r="F18">
        <f t="shared" si="4"/>
        <v>3</v>
      </c>
    </row>
    <row r="19" spans="1:6" x14ac:dyDescent="0.25">
      <c r="A19" s="33">
        <v>45309</v>
      </c>
      <c r="B19">
        <f t="shared" si="0"/>
        <v>18</v>
      </c>
      <c r="C19">
        <f t="shared" si="1"/>
        <v>1</v>
      </c>
      <c r="D19">
        <f t="shared" si="2"/>
        <v>2024</v>
      </c>
      <c r="E19">
        <f t="shared" si="3"/>
        <v>5</v>
      </c>
      <c r="F19">
        <f t="shared" si="4"/>
        <v>3</v>
      </c>
    </row>
    <row r="20" spans="1:6" x14ac:dyDescent="0.25">
      <c r="A20" s="32">
        <v>45310</v>
      </c>
      <c r="B20">
        <f t="shared" si="0"/>
        <v>19</v>
      </c>
      <c r="C20">
        <f t="shared" si="1"/>
        <v>1</v>
      </c>
      <c r="D20">
        <f t="shared" si="2"/>
        <v>2024</v>
      </c>
      <c r="E20">
        <f t="shared" si="3"/>
        <v>6</v>
      </c>
      <c r="F20">
        <f t="shared" si="4"/>
        <v>3</v>
      </c>
    </row>
    <row r="21" spans="1:6" x14ac:dyDescent="0.25">
      <c r="A21" s="33">
        <v>45311</v>
      </c>
      <c r="B21">
        <f t="shared" si="0"/>
        <v>20</v>
      </c>
      <c r="C21">
        <f t="shared" si="1"/>
        <v>1</v>
      </c>
      <c r="D21">
        <f t="shared" si="2"/>
        <v>2024</v>
      </c>
      <c r="E21">
        <f t="shared" si="3"/>
        <v>7</v>
      </c>
      <c r="F21">
        <f t="shared" si="4"/>
        <v>3</v>
      </c>
    </row>
    <row r="22" spans="1:6" x14ac:dyDescent="0.25">
      <c r="A22" s="32">
        <v>45312</v>
      </c>
      <c r="B22">
        <f t="shared" si="0"/>
        <v>21</v>
      </c>
      <c r="C22">
        <f t="shared" si="1"/>
        <v>1</v>
      </c>
      <c r="D22">
        <f t="shared" si="2"/>
        <v>2024</v>
      </c>
      <c r="E22">
        <f t="shared" si="3"/>
        <v>1</v>
      </c>
      <c r="F22">
        <f t="shared" si="4"/>
        <v>3</v>
      </c>
    </row>
    <row r="23" spans="1:6" x14ac:dyDescent="0.25">
      <c r="A23" s="33">
        <v>45313</v>
      </c>
      <c r="B23">
        <f t="shared" si="0"/>
        <v>22</v>
      </c>
      <c r="C23">
        <f t="shared" si="1"/>
        <v>1</v>
      </c>
      <c r="D23">
        <f t="shared" si="2"/>
        <v>2024</v>
      </c>
      <c r="E23">
        <f t="shared" si="3"/>
        <v>2</v>
      </c>
      <c r="F23">
        <f t="shared" si="4"/>
        <v>4</v>
      </c>
    </row>
    <row r="24" spans="1:6" x14ac:dyDescent="0.25">
      <c r="A24" s="32">
        <v>45314</v>
      </c>
      <c r="B24">
        <f t="shared" si="0"/>
        <v>23</v>
      </c>
      <c r="C24">
        <f t="shared" si="1"/>
        <v>1</v>
      </c>
      <c r="D24">
        <f t="shared" si="2"/>
        <v>2024</v>
      </c>
      <c r="E24">
        <f t="shared" si="3"/>
        <v>3</v>
      </c>
      <c r="F24">
        <f t="shared" si="4"/>
        <v>4</v>
      </c>
    </row>
    <row r="25" spans="1:6" x14ac:dyDescent="0.25">
      <c r="A25" s="33">
        <v>45315</v>
      </c>
      <c r="B25">
        <f t="shared" si="0"/>
        <v>24</v>
      </c>
      <c r="C25">
        <f t="shared" si="1"/>
        <v>1</v>
      </c>
      <c r="D25">
        <f t="shared" si="2"/>
        <v>2024</v>
      </c>
      <c r="E25">
        <f t="shared" si="3"/>
        <v>4</v>
      </c>
      <c r="F25">
        <f t="shared" si="4"/>
        <v>4</v>
      </c>
    </row>
    <row r="26" spans="1:6" x14ac:dyDescent="0.25">
      <c r="A26" s="32">
        <v>45316</v>
      </c>
      <c r="B26">
        <f t="shared" si="0"/>
        <v>25</v>
      </c>
      <c r="C26">
        <f t="shared" si="1"/>
        <v>1</v>
      </c>
      <c r="D26">
        <f t="shared" si="2"/>
        <v>2024</v>
      </c>
      <c r="E26">
        <f t="shared" si="3"/>
        <v>5</v>
      </c>
      <c r="F26">
        <f t="shared" si="4"/>
        <v>4</v>
      </c>
    </row>
    <row r="27" spans="1:6" x14ac:dyDescent="0.25">
      <c r="A27" s="33">
        <v>45317</v>
      </c>
      <c r="B27">
        <f t="shared" si="0"/>
        <v>26</v>
      </c>
      <c r="C27">
        <f t="shared" si="1"/>
        <v>1</v>
      </c>
      <c r="D27">
        <f t="shared" si="2"/>
        <v>2024</v>
      </c>
      <c r="E27">
        <f t="shared" si="3"/>
        <v>6</v>
      </c>
      <c r="F27">
        <f t="shared" si="4"/>
        <v>4</v>
      </c>
    </row>
    <row r="28" spans="1:6" x14ac:dyDescent="0.25">
      <c r="A28" s="32">
        <v>45318</v>
      </c>
      <c r="B28">
        <f t="shared" si="0"/>
        <v>27</v>
      </c>
      <c r="C28">
        <f t="shared" si="1"/>
        <v>1</v>
      </c>
      <c r="D28">
        <f t="shared" si="2"/>
        <v>2024</v>
      </c>
      <c r="E28">
        <f t="shared" si="3"/>
        <v>7</v>
      </c>
      <c r="F28">
        <f t="shared" si="4"/>
        <v>4</v>
      </c>
    </row>
    <row r="29" spans="1:6" x14ac:dyDescent="0.25">
      <c r="A29" s="33">
        <v>45319</v>
      </c>
      <c r="B29">
        <f t="shared" si="0"/>
        <v>28</v>
      </c>
      <c r="C29">
        <f t="shared" si="1"/>
        <v>1</v>
      </c>
      <c r="D29">
        <f t="shared" si="2"/>
        <v>2024</v>
      </c>
      <c r="E29">
        <f t="shared" si="3"/>
        <v>1</v>
      </c>
      <c r="F29">
        <f t="shared" si="4"/>
        <v>4</v>
      </c>
    </row>
    <row r="30" spans="1:6" x14ac:dyDescent="0.25">
      <c r="A30" s="32">
        <v>45320</v>
      </c>
      <c r="B30">
        <f t="shared" si="0"/>
        <v>29</v>
      </c>
      <c r="C30">
        <f t="shared" si="1"/>
        <v>1</v>
      </c>
      <c r="D30">
        <f t="shared" si="2"/>
        <v>2024</v>
      </c>
      <c r="E30">
        <f t="shared" si="3"/>
        <v>2</v>
      </c>
      <c r="F30">
        <f t="shared" si="4"/>
        <v>5</v>
      </c>
    </row>
    <row r="31" spans="1:6" x14ac:dyDescent="0.25">
      <c r="A31" s="33">
        <v>45321</v>
      </c>
      <c r="B31">
        <f t="shared" si="0"/>
        <v>30</v>
      </c>
      <c r="C31">
        <f t="shared" si="1"/>
        <v>1</v>
      </c>
      <c r="D31">
        <f t="shared" si="2"/>
        <v>2024</v>
      </c>
      <c r="E31">
        <f t="shared" si="3"/>
        <v>3</v>
      </c>
      <c r="F31">
        <f t="shared" si="4"/>
        <v>5</v>
      </c>
    </row>
    <row r="32" spans="1:6" x14ac:dyDescent="0.25">
      <c r="A32" s="32">
        <v>45322</v>
      </c>
      <c r="B32">
        <f t="shared" si="0"/>
        <v>31</v>
      </c>
      <c r="C32">
        <f t="shared" si="1"/>
        <v>1</v>
      </c>
      <c r="D32">
        <f t="shared" si="2"/>
        <v>2024</v>
      </c>
      <c r="E32">
        <f t="shared" si="3"/>
        <v>4</v>
      </c>
      <c r="F32">
        <f t="shared" si="4"/>
        <v>5</v>
      </c>
    </row>
    <row r="33" spans="1:6" x14ac:dyDescent="0.25">
      <c r="A33" s="33">
        <v>45323</v>
      </c>
      <c r="B33">
        <f t="shared" si="0"/>
        <v>1</v>
      </c>
      <c r="C33">
        <f t="shared" si="1"/>
        <v>2</v>
      </c>
      <c r="D33">
        <f t="shared" si="2"/>
        <v>2024</v>
      </c>
      <c r="E33">
        <f t="shared" si="3"/>
        <v>5</v>
      </c>
      <c r="F33">
        <f t="shared" si="4"/>
        <v>5</v>
      </c>
    </row>
    <row r="34" spans="1:6" x14ac:dyDescent="0.25">
      <c r="A34" s="32">
        <v>45324</v>
      </c>
      <c r="B34">
        <f t="shared" si="0"/>
        <v>2</v>
      </c>
      <c r="C34">
        <f t="shared" si="1"/>
        <v>2</v>
      </c>
      <c r="D34">
        <f t="shared" si="2"/>
        <v>2024</v>
      </c>
      <c r="E34">
        <f t="shared" si="3"/>
        <v>6</v>
      </c>
      <c r="F34">
        <f t="shared" si="4"/>
        <v>5</v>
      </c>
    </row>
    <row r="35" spans="1:6" x14ac:dyDescent="0.25">
      <c r="A35" s="33">
        <v>45325</v>
      </c>
      <c r="B35">
        <f t="shared" si="0"/>
        <v>3</v>
      </c>
      <c r="C35">
        <f t="shared" si="1"/>
        <v>2</v>
      </c>
      <c r="D35">
        <f t="shared" si="2"/>
        <v>2024</v>
      </c>
      <c r="E35">
        <f t="shared" si="3"/>
        <v>7</v>
      </c>
      <c r="F35">
        <f t="shared" si="4"/>
        <v>5</v>
      </c>
    </row>
    <row r="36" spans="1:6" x14ac:dyDescent="0.25">
      <c r="A36" s="32">
        <v>45326</v>
      </c>
      <c r="B36">
        <f t="shared" si="0"/>
        <v>4</v>
      </c>
      <c r="C36">
        <f t="shared" si="1"/>
        <v>2</v>
      </c>
      <c r="D36">
        <f t="shared" si="2"/>
        <v>2024</v>
      </c>
      <c r="E36">
        <f t="shared" si="3"/>
        <v>1</v>
      </c>
      <c r="F36">
        <f t="shared" si="4"/>
        <v>5</v>
      </c>
    </row>
    <row r="37" spans="1:6" x14ac:dyDescent="0.25">
      <c r="A37" s="33">
        <v>45327</v>
      </c>
      <c r="B37">
        <f t="shared" si="0"/>
        <v>5</v>
      </c>
      <c r="C37">
        <f t="shared" si="1"/>
        <v>2</v>
      </c>
      <c r="D37">
        <f t="shared" si="2"/>
        <v>2024</v>
      </c>
      <c r="E37">
        <f t="shared" si="3"/>
        <v>2</v>
      </c>
      <c r="F37">
        <f t="shared" si="4"/>
        <v>6</v>
      </c>
    </row>
    <row r="38" spans="1:6" x14ac:dyDescent="0.25">
      <c r="A38" s="32">
        <v>45328</v>
      </c>
      <c r="B38">
        <f t="shared" si="0"/>
        <v>6</v>
      </c>
      <c r="C38">
        <f t="shared" si="1"/>
        <v>2</v>
      </c>
      <c r="D38">
        <f t="shared" si="2"/>
        <v>2024</v>
      </c>
      <c r="E38">
        <f t="shared" si="3"/>
        <v>3</v>
      </c>
      <c r="F38">
        <f t="shared" si="4"/>
        <v>6</v>
      </c>
    </row>
    <row r="39" spans="1:6" x14ac:dyDescent="0.25">
      <c r="A39" s="33">
        <v>45329</v>
      </c>
      <c r="B39">
        <f t="shared" si="0"/>
        <v>7</v>
      </c>
      <c r="C39">
        <f t="shared" si="1"/>
        <v>2</v>
      </c>
      <c r="D39">
        <f t="shared" si="2"/>
        <v>2024</v>
      </c>
      <c r="E39">
        <f t="shared" si="3"/>
        <v>4</v>
      </c>
      <c r="F39">
        <f t="shared" si="4"/>
        <v>6</v>
      </c>
    </row>
    <row r="40" spans="1:6" x14ac:dyDescent="0.25">
      <c r="A40" s="32">
        <v>45330</v>
      </c>
      <c r="B40">
        <f t="shared" si="0"/>
        <v>8</v>
      </c>
      <c r="C40">
        <f t="shared" si="1"/>
        <v>2</v>
      </c>
      <c r="D40">
        <f t="shared" si="2"/>
        <v>2024</v>
      </c>
      <c r="E40">
        <f t="shared" si="3"/>
        <v>5</v>
      </c>
      <c r="F40">
        <f t="shared" si="4"/>
        <v>6</v>
      </c>
    </row>
    <row r="41" spans="1:6" x14ac:dyDescent="0.25">
      <c r="A41" s="33">
        <v>45331</v>
      </c>
      <c r="B41">
        <f t="shared" si="0"/>
        <v>9</v>
      </c>
      <c r="C41">
        <f t="shared" si="1"/>
        <v>2</v>
      </c>
      <c r="D41">
        <f t="shared" si="2"/>
        <v>2024</v>
      </c>
      <c r="E41">
        <f t="shared" si="3"/>
        <v>6</v>
      </c>
      <c r="F41">
        <f t="shared" si="4"/>
        <v>6</v>
      </c>
    </row>
    <row r="42" spans="1:6" x14ac:dyDescent="0.25">
      <c r="A42" s="32">
        <v>45332</v>
      </c>
      <c r="B42">
        <f t="shared" si="0"/>
        <v>10</v>
      </c>
      <c r="C42">
        <f t="shared" si="1"/>
        <v>2</v>
      </c>
      <c r="D42">
        <f t="shared" si="2"/>
        <v>2024</v>
      </c>
      <c r="E42">
        <f t="shared" si="3"/>
        <v>7</v>
      </c>
      <c r="F42">
        <f t="shared" si="4"/>
        <v>6</v>
      </c>
    </row>
    <row r="43" spans="1:6" x14ac:dyDescent="0.25">
      <c r="A43" s="33">
        <v>45333</v>
      </c>
      <c r="B43">
        <f t="shared" si="0"/>
        <v>11</v>
      </c>
      <c r="C43">
        <f t="shared" si="1"/>
        <v>2</v>
      </c>
      <c r="D43">
        <f t="shared" si="2"/>
        <v>2024</v>
      </c>
      <c r="E43">
        <f t="shared" si="3"/>
        <v>1</v>
      </c>
      <c r="F43">
        <f t="shared" si="4"/>
        <v>6</v>
      </c>
    </row>
    <row r="44" spans="1:6" x14ac:dyDescent="0.25">
      <c r="A44" s="32">
        <v>45334</v>
      </c>
      <c r="B44">
        <f t="shared" si="0"/>
        <v>12</v>
      </c>
      <c r="C44">
        <f t="shared" si="1"/>
        <v>2</v>
      </c>
      <c r="D44">
        <f t="shared" si="2"/>
        <v>2024</v>
      </c>
      <c r="E44">
        <f t="shared" si="3"/>
        <v>2</v>
      </c>
      <c r="F44">
        <f t="shared" si="4"/>
        <v>7</v>
      </c>
    </row>
    <row r="45" spans="1:6" x14ac:dyDescent="0.25">
      <c r="A45" s="33">
        <v>45335</v>
      </c>
      <c r="B45">
        <f t="shared" si="0"/>
        <v>13</v>
      </c>
      <c r="C45">
        <f t="shared" si="1"/>
        <v>2</v>
      </c>
      <c r="D45">
        <f t="shared" si="2"/>
        <v>2024</v>
      </c>
      <c r="E45">
        <f t="shared" si="3"/>
        <v>3</v>
      </c>
      <c r="F45">
        <f t="shared" si="4"/>
        <v>7</v>
      </c>
    </row>
    <row r="46" spans="1:6" x14ac:dyDescent="0.25">
      <c r="A46" s="32">
        <v>45336</v>
      </c>
      <c r="B46">
        <f t="shared" si="0"/>
        <v>14</v>
      </c>
      <c r="C46">
        <f t="shared" si="1"/>
        <v>2</v>
      </c>
      <c r="D46">
        <f t="shared" si="2"/>
        <v>2024</v>
      </c>
      <c r="E46">
        <f t="shared" si="3"/>
        <v>4</v>
      </c>
      <c r="F46">
        <f t="shared" si="4"/>
        <v>7</v>
      </c>
    </row>
    <row r="47" spans="1:6" x14ac:dyDescent="0.25">
      <c r="A47" s="33">
        <v>45337</v>
      </c>
      <c r="B47">
        <f t="shared" si="0"/>
        <v>15</v>
      </c>
      <c r="C47">
        <f t="shared" si="1"/>
        <v>2</v>
      </c>
      <c r="D47">
        <f t="shared" si="2"/>
        <v>2024</v>
      </c>
      <c r="E47">
        <f t="shared" si="3"/>
        <v>5</v>
      </c>
      <c r="F47">
        <f t="shared" si="4"/>
        <v>7</v>
      </c>
    </row>
    <row r="48" spans="1:6" x14ac:dyDescent="0.25">
      <c r="A48" s="32">
        <v>45338</v>
      </c>
      <c r="B48">
        <f t="shared" si="0"/>
        <v>16</v>
      </c>
      <c r="C48">
        <f t="shared" si="1"/>
        <v>2</v>
      </c>
      <c r="D48">
        <f t="shared" si="2"/>
        <v>2024</v>
      </c>
      <c r="E48">
        <f t="shared" si="3"/>
        <v>6</v>
      </c>
      <c r="F48">
        <f t="shared" si="4"/>
        <v>7</v>
      </c>
    </row>
    <row r="49" spans="1:6" x14ac:dyDescent="0.25">
      <c r="A49" s="33">
        <v>45339</v>
      </c>
      <c r="B49">
        <f t="shared" si="0"/>
        <v>17</v>
      </c>
      <c r="C49">
        <f t="shared" si="1"/>
        <v>2</v>
      </c>
      <c r="D49">
        <f t="shared" si="2"/>
        <v>2024</v>
      </c>
      <c r="E49">
        <f t="shared" si="3"/>
        <v>7</v>
      </c>
      <c r="F49">
        <f t="shared" si="4"/>
        <v>7</v>
      </c>
    </row>
    <row r="50" spans="1:6" x14ac:dyDescent="0.25">
      <c r="A50" s="32">
        <v>45340</v>
      </c>
      <c r="B50">
        <f t="shared" si="0"/>
        <v>18</v>
      </c>
      <c r="C50">
        <f t="shared" si="1"/>
        <v>2</v>
      </c>
      <c r="D50">
        <f t="shared" si="2"/>
        <v>2024</v>
      </c>
      <c r="E50">
        <f t="shared" si="3"/>
        <v>1</v>
      </c>
      <c r="F50">
        <f t="shared" si="4"/>
        <v>7</v>
      </c>
    </row>
    <row r="51" spans="1:6" x14ac:dyDescent="0.25">
      <c r="A51" s="33">
        <v>45341</v>
      </c>
      <c r="B51">
        <f t="shared" si="0"/>
        <v>19</v>
      </c>
      <c r="C51">
        <f t="shared" si="1"/>
        <v>2</v>
      </c>
      <c r="D51">
        <f t="shared" si="2"/>
        <v>2024</v>
      </c>
      <c r="E51">
        <f t="shared" si="3"/>
        <v>2</v>
      </c>
      <c r="F51">
        <f t="shared" si="4"/>
        <v>8</v>
      </c>
    </row>
    <row r="52" spans="1:6" x14ac:dyDescent="0.25">
      <c r="A52" s="32">
        <v>45342</v>
      </c>
      <c r="B52">
        <f t="shared" si="0"/>
        <v>20</v>
      </c>
      <c r="C52">
        <f t="shared" si="1"/>
        <v>2</v>
      </c>
      <c r="D52">
        <f t="shared" si="2"/>
        <v>2024</v>
      </c>
      <c r="E52">
        <f t="shared" si="3"/>
        <v>3</v>
      </c>
      <c r="F52">
        <f t="shared" si="4"/>
        <v>8</v>
      </c>
    </row>
    <row r="53" spans="1:6" x14ac:dyDescent="0.25">
      <c r="A53" s="33">
        <v>45343</v>
      </c>
      <c r="B53">
        <f t="shared" si="0"/>
        <v>21</v>
      </c>
      <c r="C53">
        <f t="shared" si="1"/>
        <v>2</v>
      </c>
      <c r="D53">
        <f t="shared" si="2"/>
        <v>2024</v>
      </c>
      <c r="E53">
        <f t="shared" si="3"/>
        <v>4</v>
      </c>
      <c r="F53">
        <f t="shared" si="4"/>
        <v>8</v>
      </c>
    </row>
    <row r="54" spans="1:6" x14ac:dyDescent="0.25">
      <c r="A54" s="32">
        <v>45344</v>
      </c>
      <c r="B54">
        <f t="shared" si="0"/>
        <v>22</v>
      </c>
      <c r="C54">
        <f t="shared" si="1"/>
        <v>2</v>
      </c>
      <c r="D54">
        <f t="shared" si="2"/>
        <v>2024</v>
      </c>
      <c r="E54">
        <f t="shared" si="3"/>
        <v>5</v>
      </c>
      <c r="F54">
        <f t="shared" si="4"/>
        <v>8</v>
      </c>
    </row>
    <row r="55" spans="1:6" x14ac:dyDescent="0.25">
      <c r="A55" s="33">
        <v>45345</v>
      </c>
      <c r="B55">
        <f t="shared" si="0"/>
        <v>23</v>
      </c>
      <c r="C55">
        <f t="shared" si="1"/>
        <v>2</v>
      </c>
      <c r="D55">
        <f t="shared" si="2"/>
        <v>2024</v>
      </c>
      <c r="E55">
        <f t="shared" si="3"/>
        <v>6</v>
      </c>
      <c r="F55">
        <f t="shared" si="4"/>
        <v>8</v>
      </c>
    </row>
    <row r="56" spans="1:6" x14ac:dyDescent="0.25">
      <c r="A56" s="32">
        <v>45346</v>
      </c>
      <c r="B56">
        <f t="shared" si="0"/>
        <v>24</v>
      </c>
      <c r="C56">
        <f t="shared" si="1"/>
        <v>2</v>
      </c>
      <c r="D56">
        <f t="shared" si="2"/>
        <v>2024</v>
      </c>
      <c r="E56">
        <f t="shared" si="3"/>
        <v>7</v>
      </c>
      <c r="F56">
        <f t="shared" si="4"/>
        <v>8</v>
      </c>
    </row>
    <row r="57" spans="1:6" x14ac:dyDescent="0.25">
      <c r="A57" s="33">
        <v>45347</v>
      </c>
      <c r="B57">
        <f t="shared" si="0"/>
        <v>25</v>
      </c>
      <c r="C57">
        <f t="shared" si="1"/>
        <v>2</v>
      </c>
      <c r="D57">
        <f t="shared" si="2"/>
        <v>2024</v>
      </c>
      <c r="E57">
        <f t="shared" si="3"/>
        <v>1</v>
      </c>
      <c r="F57">
        <f t="shared" si="4"/>
        <v>8</v>
      </c>
    </row>
    <row r="58" spans="1:6" x14ac:dyDescent="0.25">
      <c r="A58" s="32">
        <v>45348</v>
      </c>
      <c r="B58">
        <f t="shared" si="0"/>
        <v>26</v>
      </c>
      <c r="C58">
        <f t="shared" si="1"/>
        <v>2</v>
      </c>
      <c r="D58">
        <f t="shared" si="2"/>
        <v>2024</v>
      </c>
      <c r="E58">
        <f t="shared" si="3"/>
        <v>2</v>
      </c>
      <c r="F58">
        <f t="shared" si="4"/>
        <v>9</v>
      </c>
    </row>
    <row r="59" spans="1:6" x14ac:dyDescent="0.25">
      <c r="A59" s="33">
        <v>45349</v>
      </c>
      <c r="B59">
        <f t="shared" si="0"/>
        <v>27</v>
      </c>
      <c r="C59">
        <f t="shared" si="1"/>
        <v>2</v>
      </c>
      <c r="D59">
        <f t="shared" si="2"/>
        <v>2024</v>
      </c>
      <c r="E59">
        <f t="shared" si="3"/>
        <v>3</v>
      </c>
      <c r="F59">
        <f t="shared" si="4"/>
        <v>9</v>
      </c>
    </row>
    <row r="60" spans="1:6" x14ac:dyDescent="0.25">
      <c r="A60" s="32">
        <v>45350</v>
      </c>
      <c r="B60">
        <f t="shared" si="0"/>
        <v>28</v>
      </c>
      <c r="C60">
        <f t="shared" si="1"/>
        <v>2</v>
      </c>
      <c r="D60">
        <f t="shared" si="2"/>
        <v>2024</v>
      </c>
      <c r="E60">
        <f t="shared" si="3"/>
        <v>4</v>
      </c>
      <c r="F60">
        <f t="shared" si="4"/>
        <v>9</v>
      </c>
    </row>
    <row r="61" spans="1:6" x14ac:dyDescent="0.25">
      <c r="A61" s="33">
        <v>45351</v>
      </c>
      <c r="B61">
        <f t="shared" si="0"/>
        <v>29</v>
      </c>
      <c r="C61">
        <f t="shared" si="1"/>
        <v>2</v>
      </c>
      <c r="D61">
        <f t="shared" si="2"/>
        <v>2024</v>
      </c>
      <c r="E61">
        <f t="shared" si="3"/>
        <v>5</v>
      </c>
      <c r="F61">
        <f t="shared" si="4"/>
        <v>9</v>
      </c>
    </row>
    <row r="62" spans="1:6" x14ac:dyDescent="0.25">
      <c r="A62" s="32">
        <v>45352</v>
      </c>
      <c r="B62">
        <f t="shared" si="0"/>
        <v>1</v>
      </c>
      <c r="C62">
        <f t="shared" si="1"/>
        <v>3</v>
      </c>
      <c r="D62">
        <f t="shared" si="2"/>
        <v>2024</v>
      </c>
      <c r="E62">
        <f t="shared" si="3"/>
        <v>6</v>
      </c>
      <c r="F62">
        <f t="shared" si="4"/>
        <v>9</v>
      </c>
    </row>
    <row r="63" spans="1:6" x14ac:dyDescent="0.25">
      <c r="A63" s="33">
        <v>45353</v>
      </c>
      <c r="B63">
        <f t="shared" si="0"/>
        <v>2</v>
      </c>
      <c r="C63">
        <f t="shared" si="1"/>
        <v>3</v>
      </c>
      <c r="D63">
        <f t="shared" si="2"/>
        <v>2024</v>
      </c>
      <c r="E63">
        <f t="shared" si="3"/>
        <v>7</v>
      </c>
      <c r="F63">
        <f t="shared" si="4"/>
        <v>9</v>
      </c>
    </row>
    <row r="64" spans="1:6" x14ac:dyDescent="0.25">
      <c r="A64" s="32">
        <v>45354</v>
      </c>
      <c r="B64">
        <f t="shared" si="0"/>
        <v>3</v>
      </c>
      <c r="C64">
        <f t="shared" si="1"/>
        <v>3</v>
      </c>
      <c r="D64">
        <f t="shared" si="2"/>
        <v>2024</v>
      </c>
      <c r="E64">
        <f t="shared" si="3"/>
        <v>1</v>
      </c>
      <c r="F64">
        <f t="shared" si="4"/>
        <v>9</v>
      </c>
    </row>
    <row r="65" spans="1:6" x14ac:dyDescent="0.25">
      <c r="A65" s="33">
        <v>45355</v>
      </c>
      <c r="B65">
        <f t="shared" si="0"/>
        <v>4</v>
      </c>
      <c r="C65">
        <f t="shared" si="1"/>
        <v>3</v>
      </c>
      <c r="D65">
        <f t="shared" si="2"/>
        <v>2024</v>
      </c>
      <c r="E65">
        <f t="shared" si="3"/>
        <v>2</v>
      </c>
      <c r="F65">
        <f t="shared" si="4"/>
        <v>10</v>
      </c>
    </row>
    <row r="66" spans="1:6" x14ac:dyDescent="0.25">
      <c r="A66" s="32">
        <v>45356</v>
      </c>
      <c r="B66">
        <f t="shared" si="0"/>
        <v>5</v>
      </c>
      <c r="C66">
        <f t="shared" si="1"/>
        <v>3</v>
      </c>
      <c r="D66">
        <f t="shared" si="2"/>
        <v>2024</v>
      </c>
      <c r="E66">
        <f t="shared" si="3"/>
        <v>3</v>
      </c>
      <c r="F66">
        <f t="shared" si="4"/>
        <v>10</v>
      </c>
    </row>
    <row r="67" spans="1:6" x14ac:dyDescent="0.25">
      <c r="A67" s="33">
        <v>45357</v>
      </c>
      <c r="B67">
        <f t="shared" ref="B67:B130" si="5">DAY(A67)</f>
        <v>6</v>
      </c>
      <c r="C67">
        <f t="shared" ref="C67:C130" si="6">MONTH(A67)</f>
        <v>3</v>
      </c>
      <c r="D67">
        <f t="shared" ref="D67:D130" si="7">YEAR(A67)</f>
        <v>2024</v>
      </c>
      <c r="E67">
        <f t="shared" ref="E67:E130" si="8">WEEKDAY(A67)</f>
        <v>4</v>
      </c>
      <c r="F67">
        <f t="shared" ref="F67:F130" si="9">_xlfn.ISOWEEKNUM(A67)</f>
        <v>10</v>
      </c>
    </row>
    <row r="68" spans="1:6" x14ac:dyDescent="0.25">
      <c r="A68" s="32">
        <v>45358</v>
      </c>
      <c r="B68">
        <f t="shared" si="5"/>
        <v>7</v>
      </c>
      <c r="C68">
        <f t="shared" si="6"/>
        <v>3</v>
      </c>
      <c r="D68">
        <f t="shared" si="7"/>
        <v>2024</v>
      </c>
      <c r="E68">
        <f t="shared" si="8"/>
        <v>5</v>
      </c>
      <c r="F68">
        <f t="shared" si="9"/>
        <v>10</v>
      </c>
    </row>
    <row r="69" spans="1:6" x14ac:dyDescent="0.25">
      <c r="A69" s="33">
        <v>45359</v>
      </c>
      <c r="B69">
        <f t="shared" si="5"/>
        <v>8</v>
      </c>
      <c r="C69">
        <f t="shared" si="6"/>
        <v>3</v>
      </c>
      <c r="D69">
        <f t="shared" si="7"/>
        <v>2024</v>
      </c>
      <c r="E69">
        <f t="shared" si="8"/>
        <v>6</v>
      </c>
      <c r="F69">
        <f t="shared" si="9"/>
        <v>10</v>
      </c>
    </row>
    <row r="70" spans="1:6" x14ac:dyDescent="0.25">
      <c r="A70" s="32">
        <v>45360</v>
      </c>
      <c r="B70">
        <f t="shared" si="5"/>
        <v>9</v>
      </c>
      <c r="C70">
        <f t="shared" si="6"/>
        <v>3</v>
      </c>
      <c r="D70">
        <f t="shared" si="7"/>
        <v>2024</v>
      </c>
      <c r="E70">
        <f t="shared" si="8"/>
        <v>7</v>
      </c>
      <c r="F70">
        <f t="shared" si="9"/>
        <v>10</v>
      </c>
    </row>
    <row r="71" spans="1:6" x14ac:dyDescent="0.25">
      <c r="A71" s="33">
        <v>45361</v>
      </c>
      <c r="B71">
        <f t="shared" si="5"/>
        <v>10</v>
      </c>
      <c r="C71">
        <f t="shared" si="6"/>
        <v>3</v>
      </c>
      <c r="D71">
        <f t="shared" si="7"/>
        <v>2024</v>
      </c>
      <c r="E71">
        <f t="shared" si="8"/>
        <v>1</v>
      </c>
      <c r="F71">
        <f t="shared" si="9"/>
        <v>10</v>
      </c>
    </row>
    <row r="72" spans="1:6" x14ac:dyDescent="0.25">
      <c r="A72" s="32">
        <v>45362</v>
      </c>
      <c r="B72">
        <f t="shared" si="5"/>
        <v>11</v>
      </c>
      <c r="C72">
        <f t="shared" si="6"/>
        <v>3</v>
      </c>
      <c r="D72">
        <f t="shared" si="7"/>
        <v>2024</v>
      </c>
      <c r="E72">
        <f t="shared" si="8"/>
        <v>2</v>
      </c>
      <c r="F72">
        <f t="shared" si="9"/>
        <v>11</v>
      </c>
    </row>
    <row r="73" spans="1:6" x14ac:dyDescent="0.25">
      <c r="A73" s="33">
        <v>45363</v>
      </c>
      <c r="B73">
        <f t="shared" si="5"/>
        <v>12</v>
      </c>
      <c r="C73">
        <f t="shared" si="6"/>
        <v>3</v>
      </c>
      <c r="D73">
        <f t="shared" si="7"/>
        <v>2024</v>
      </c>
      <c r="E73">
        <f t="shared" si="8"/>
        <v>3</v>
      </c>
      <c r="F73">
        <f t="shared" si="9"/>
        <v>11</v>
      </c>
    </row>
    <row r="74" spans="1:6" x14ac:dyDescent="0.25">
      <c r="A74" s="32">
        <v>45364</v>
      </c>
      <c r="B74">
        <f t="shared" si="5"/>
        <v>13</v>
      </c>
      <c r="C74">
        <f t="shared" si="6"/>
        <v>3</v>
      </c>
      <c r="D74">
        <f t="shared" si="7"/>
        <v>2024</v>
      </c>
      <c r="E74">
        <f t="shared" si="8"/>
        <v>4</v>
      </c>
      <c r="F74">
        <f t="shared" si="9"/>
        <v>11</v>
      </c>
    </row>
    <row r="75" spans="1:6" x14ac:dyDescent="0.25">
      <c r="A75" s="33">
        <v>45365</v>
      </c>
      <c r="B75">
        <f t="shared" si="5"/>
        <v>14</v>
      </c>
      <c r="C75">
        <f t="shared" si="6"/>
        <v>3</v>
      </c>
      <c r="D75">
        <f t="shared" si="7"/>
        <v>2024</v>
      </c>
      <c r="E75">
        <f t="shared" si="8"/>
        <v>5</v>
      </c>
      <c r="F75">
        <f t="shared" si="9"/>
        <v>11</v>
      </c>
    </row>
    <row r="76" spans="1:6" x14ac:dyDescent="0.25">
      <c r="A76" s="32">
        <v>45366</v>
      </c>
      <c r="B76">
        <f t="shared" si="5"/>
        <v>15</v>
      </c>
      <c r="C76">
        <f t="shared" si="6"/>
        <v>3</v>
      </c>
      <c r="D76">
        <f t="shared" si="7"/>
        <v>2024</v>
      </c>
      <c r="E76">
        <f t="shared" si="8"/>
        <v>6</v>
      </c>
      <c r="F76">
        <f t="shared" si="9"/>
        <v>11</v>
      </c>
    </row>
    <row r="77" spans="1:6" x14ac:dyDescent="0.25">
      <c r="A77" s="33">
        <v>45367</v>
      </c>
      <c r="B77">
        <f t="shared" si="5"/>
        <v>16</v>
      </c>
      <c r="C77">
        <f t="shared" si="6"/>
        <v>3</v>
      </c>
      <c r="D77">
        <f t="shared" si="7"/>
        <v>2024</v>
      </c>
      <c r="E77">
        <f t="shared" si="8"/>
        <v>7</v>
      </c>
      <c r="F77">
        <f t="shared" si="9"/>
        <v>11</v>
      </c>
    </row>
    <row r="78" spans="1:6" x14ac:dyDescent="0.25">
      <c r="A78" s="32">
        <v>45368</v>
      </c>
      <c r="B78">
        <f t="shared" si="5"/>
        <v>17</v>
      </c>
      <c r="C78">
        <f t="shared" si="6"/>
        <v>3</v>
      </c>
      <c r="D78">
        <f t="shared" si="7"/>
        <v>2024</v>
      </c>
      <c r="E78">
        <f t="shared" si="8"/>
        <v>1</v>
      </c>
      <c r="F78">
        <f t="shared" si="9"/>
        <v>11</v>
      </c>
    </row>
    <row r="79" spans="1:6" x14ac:dyDescent="0.25">
      <c r="A79" s="33">
        <v>45369</v>
      </c>
      <c r="B79">
        <f t="shared" si="5"/>
        <v>18</v>
      </c>
      <c r="C79">
        <f t="shared" si="6"/>
        <v>3</v>
      </c>
      <c r="D79">
        <f t="shared" si="7"/>
        <v>2024</v>
      </c>
      <c r="E79">
        <f t="shared" si="8"/>
        <v>2</v>
      </c>
      <c r="F79">
        <f t="shared" si="9"/>
        <v>12</v>
      </c>
    </row>
    <row r="80" spans="1:6" x14ac:dyDescent="0.25">
      <c r="A80" s="32">
        <v>45370</v>
      </c>
      <c r="B80">
        <f t="shared" si="5"/>
        <v>19</v>
      </c>
      <c r="C80">
        <f t="shared" si="6"/>
        <v>3</v>
      </c>
      <c r="D80">
        <f t="shared" si="7"/>
        <v>2024</v>
      </c>
      <c r="E80">
        <f t="shared" si="8"/>
        <v>3</v>
      </c>
      <c r="F80">
        <f t="shared" si="9"/>
        <v>12</v>
      </c>
    </row>
    <row r="81" spans="1:6" x14ac:dyDescent="0.25">
      <c r="A81" s="33">
        <v>45371</v>
      </c>
      <c r="B81">
        <f t="shared" si="5"/>
        <v>20</v>
      </c>
      <c r="C81">
        <f t="shared" si="6"/>
        <v>3</v>
      </c>
      <c r="D81">
        <f t="shared" si="7"/>
        <v>2024</v>
      </c>
      <c r="E81">
        <f t="shared" si="8"/>
        <v>4</v>
      </c>
      <c r="F81">
        <f t="shared" si="9"/>
        <v>12</v>
      </c>
    </row>
    <row r="82" spans="1:6" x14ac:dyDescent="0.25">
      <c r="A82" s="32">
        <v>45372</v>
      </c>
      <c r="B82">
        <f t="shared" si="5"/>
        <v>21</v>
      </c>
      <c r="C82">
        <f t="shared" si="6"/>
        <v>3</v>
      </c>
      <c r="D82">
        <f t="shared" si="7"/>
        <v>2024</v>
      </c>
      <c r="E82">
        <f t="shared" si="8"/>
        <v>5</v>
      </c>
      <c r="F82">
        <f t="shared" si="9"/>
        <v>12</v>
      </c>
    </row>
    <row r="83" spans="1:6" x14ac:dyDescent="0.25">
      <c r="A83" s="33">
        <v>45373</v>
      </c>
      <c r="B83">
        <f t="shared" si="5"/>
        <v>22</v>
      </c>
      <c r="C83">
        <f t="shared" si="6"/>
        <v>3</v>
      </c>
      <c r="D83">
        <f t="shared" si="7"/>
        <v>2024</v>
      </c>
      <c r="E83">
        <f t="shared" si="8"/>
        <v>6</v>
      </c>
      <c r="F83">
        <f t="shared" si="9"/>
        <v>12</v>
      </c>
    </row>
    <row r="84" spans="1:6" x14ac:dyDescent="0.25">
      <c r="A84" s="32">
        <v>45374</v>
      </c>
      <c r="B84">
        <f t="shared" si="5"/>
        <v>23</v>
      </c>
      <c r="C84">
        <f t="shared" si="6"/>
        <v>3</v>
      </c>
      <c r="D84">
        <f t="shared" si="7"/>
        <v>2024</v>
      </c>
      <c r="E84">
        <f t="shared" si="8"/>
        <v>7</v>
      </c>
      <c r="F84">
        <f t="shared" si="9"/>
        <v>12</v>
      </c>
    </row>
    <row r="85" spans="1:6" x14ac:dyDescent="0.25">
      <c r="A85" s="33">
        <v>45375</v>
      </c>
      <c r="B85">
        <f t="shared" si="5"/>
        <v>24</v>
      </c>
      <c r="C85">
        <f t="shared" si="6"/>
        <v>3</v>
      </c>
      <c r="D85">
        <f t="shared" si="7"/>
        <v>2024</v>
      </c>
      <c r="E85">
        <f t="shared" si="8"/>
        <v>1</v>
      </c>
      <c r="F85">
        <f t="shared" si="9"/>
        <v>12</v>
      </c>
    </row>
    <row r="86" spans="1:6" x14ac:dyDescent="0.25">
      <c r="A86" s="32">
        <v>45376</v>
      </c>
      <c r="B86">
        <f t="shared" si="5"/>
        <v>25</v>
      </c>
      <c r="C86">
        <f t="shared" si="6"/>
        <v>3</v>
      </c>
      <c r="D86">
        <f t="shared" si="7"/>
        <v>2024</v>
      </c>
      <c r="E86">
        <f t="shared" si="8"/>
        <v>2</v>
      </c>
      <c r="F86">
        <f t="shared" si="9"/>
        <v>13</v>
      </c>
    </row>
    <row r="87" spans="1:6" x14ac:dyDescent="0.25">
      <c r="A87" s="33">
        <v>45377</v>
      </c>
      <c r="B87">
        <f t="shared" si="5"/>
        <v>26</v>
      </c>
      <c r="C87">
        <f t="shared" si="6"/>
        <v>3</v>
      </c>
      <c r="D87">
        <f t="shared" si="7"/>
        <v>2024</v>
      </c>
      <c r="E87">
        <f t="shared" si="8"/>
        <v>3</v>
      </c>
      <c r="F87">
        <f t="shared" si="9"/>
        <v>13</v>
      </c>
    </row>
    <row r="88" spans="1:6" x14ac:dyDescent="0.25">
      <c r="A88" s="32">
        <v>45378</v>
      </c>
      <c r="B88">
        <f t="shared" si="5"/>
        <v>27</v>
      </c>
      <c r="C88">
        <f t="shared" si="6"/>
        <v>3</v>
      </c>
      <c r="D88">
        <f t="shared" si="7"/>
        <v>2024</v>
      </c>
      <c r="E88">
        <f t="shared" si="8"/>
        <v>4</v>
      </c>
      <c r="F88">
        <f t="shared" si="9"/>
        <v>13</v>
      </c>
    </row>
    <row r="89" spans="1:6" x14ac:dyDescent="0.25">
      <c r="A89" s="33">
        <v>45379</v>
      </c>
      <c r="B89">
        <f t="shared" si="5"/>
        <v>28</v>
      </c>
      <c r="C89">
        <f t="shared" si="6"/>
        <v>3</v>
      </c>
      <c r="D89">
        <f t="shared" si="7"/>
        <v>2024</v>
      </c>
      <c r="E89">
        <f t="shared" si="8"/>
        <v>5</v>
      </c>
      <c r="F89">
        <f t="shared" si="9"/>
        <v>13</v>
      </c>
    </row>
    <row r="90" spans="1:6" x14ac:dyDescent="0.25">
      <c r="A90" s="32">
        <v>45380</v>
      </c>
      <c r="B90">
        <f t="shared" si="5"/>
        <v>29</v>
      </c>
      <c r="C90">
        <f t="shared" si="6"/>
        <v>3</v>
      </c>
      <c r="D90">
        <f t="shared" si="7"/>
        <v>2024</v>
      </c>
      <c r="E90">
        <f t="shared" si="8"/>
        <v>6</v>
      </c>
      <c r="F90">
        <f t="shared" si="9"/>
        <v>13</v>
      </c>
    </row>
    <row r="91" spans="1:6" x14ac:dyDescent="0.25">
      <c r="A91" s="33">
        <v>45381</v>
      </c>
      <c r="B91">
        <f t="shared" si="5"/>
        <v>30</v>
      </c>
      <c r="C91">
        <f t="shared" si="6"/>
        <v>3</v>
      </c>
      <c r="D91">
        <f t="shared" si="7"/>
        <v>2024</v>
      </c>
      <c r="E91">
        <f t="shared" si="8"/>
        <v>7</v>
      </c>
      <c r="F91">
        <f t="shared" si="9"/>
        <v>13</v>
      </c>
    </row>
    <row r="92" spans="1:6" x14ac:dyDescent="0.25">
      <c r="A92" s="32">
        <v>45382</v>
      </c>
      <c r="B92">
        <f t="shared" si="5"/>
        <v>31</v>
      </c>
      <c r="C92">
        <f t="shared" si="6"/>
        <v>3</v>
      </c>
      <c r="D92">
        <f t="shared" si="7"/>
        <v>2024</v>
      </c>
      <c r="E92">
        <f t="shared" si="8"/>
        <v>1</v>
      </c>
      <c r="F92">
        <f t="shared" si="9"/>
        <v>13</v>
      </c>
    </row>
    <row r="93" spans="1:6" x14ac:dyDescent="0.25">
      <c r="A93" s="33">
        <v>45383</v>
      </c>
      <c r="B93">
        <f t="shared" si="5"/>
        <v>1</v>
      </c>
      <c r="C93">
        <f t="shared" si="6"/>
        <v>4</v>
      </c>
      <c r="D93">
        <f t="shared" si="7"/>
        <v>2024</v>
      </c>
      <c r="E93">
        <f t="shared" si="8"/>
        <v>2</v>
      </c>
      <c r="F93">
        <f t="shared" si="9"/>
        <v>14</v>
      </c>
    </row>
    <row r="94" spans="1:6" x14ac:dyDescent="0.25">
      <c r="A94" s="32">
        <v>45384</v>
      </c>
      <c r="B94">
        <f t="shared" si="5"/>
        <v>2</v>
      </c>
      <c r="C94">
        <f t="shared" si="6"/>
        <v>4</v>
      </c>
      <c r="D94">
        <f t="shared" si="7"/>
        <v>2024</v>
      </c>
      <c r="E94">
        <f t="shared" si="8"/>
        <v>3</v>
      </c>
      <c r="F94">
        <f t="shared" si="9"/>
        <v>14</v>
      </c>
    </row>
    <row r="95" spans="1:6" x14ac:dyDescent="0.25">
      <c r="A95" s="33">
        <v>45385</v>
      </c>
      <c r="B95">
        <f t="shared" si="5"/>
        <v>3</v>
      </c>
      <c r="C95">
        <f t="shared" si="6"/>
        <v>4</v>
      </c>
      <c r="D95">
        <f t="shared" si="7"/>
        <v>2024</v>
      </c>
      <c r="E95">
        <f t="shared" si="8"/>
        <v>4</v>
      </c>
      <c r="F95">
        <f t="shared" si="9"/>
        <v>14</v>
      </c>
    </row>
    <row r="96" spans="1:6" x14ac:dyDescent="0.25">
      <c r="A96" s="32">
        <v>45386</v>
      </c>
      <c r="B96">
        <f t="shared" si="5"/>
        <v>4</v>
      </c>
      <c r="C96">
        <f t="shared" si="6"/>
        <v>4</v>
      </c>
      <c r="D96">
        <f t="shared" si="7"/>
        <v>2024</v>
      </c>
      <c r="E96">
        <f t="shared" si="8"/>
        <v>5</v>
      </c>
      <c r="F96">
        <f t="shared" si="9"/>
        <v>14</v>
      </c>
    </row>
    <row r="97" spans="1:6" x14ac:dyDescent="0.25">
      <c r="A97" s="33">
        <v>45387</v>
      </c>
      <c r="B97">
        <f t="shared" si="5"/>
        <v>5</v>
      </c>
      <c r="C97">
        <f t="shared" si="6"/>
        <v>4</v>
      </c>
      <c r="D97">
        <f t="shared" si="7"/>
        <v>2024</v>
      </c>
      <c r="E97">
        <f t="shared" si="8"/>
        <v>6</v>
      </c>
      <c r="F97">
        <f t="shared" si="9"/>
        <v>14</v>
      </c>
    </row>
    <row r="98" spans="1:6" x14ac:dyDescent="0.25">
      <c r="A98" s="32">
        <v>45388</v>
      </c>
      <c r="B98">
        <f t="shared" si="5"/>
        <v>6</v>
      </c>
      <c r="C98">
        <f t="shared" si="6"/>
        <v>4</v>
      </c>
      <c r="D98">
        <f t="shared" si="7"/>
        <v>2024</v>
      </c>
      <c r="E98">
        <f t="shared" si="8"/>
        <v>7</v>
      </c>
      <c r="F98">
        <f t="shared" si="9"/>
        <v>14</v>
      </c>
    </row>
    <row r="99" spans="1:6" x14ac:dyDescent="0.25">
      <c r="A99" s="33">
        <v>45389</v>
      </c>
      <c r="B99">
        <f t="shared" si="5"/>
        <v>7</v>
      </c>
      <c r="C99">
        <f t="shared" si="6"/>
        <v>4</v>
      </c>
      <c r="D99">
        <f t="shared" si="7"/>
        <v>2024</v>
      </c>
      <c r="E99">
        <f t="shared" si="8"/>
        <v>1</v>
      </c>
      <c r="F99">
        <f t="shared" si="9"/>
        <v>14</v>
      </c>
    </row>
    <row r="100" spans="1:6" x14ac:dyDescent="0.25">
      <c r="A100" s="32">
        <v>45390</v>
      </c>
      <c r="B100">
        <f t="shared" si="5"/>
        <v>8</v>
      </c>
      <c r="C100">
        <f t="shared" si="6"/>
        <v>4</v>
      </c>
      <c r="D100">
        <f t="shared" si="7"/>
        <v>2024</v>
      </c>
      <c r="E100">
        <f t="shared" si="8"/>
        <v>2</v>
      </c>
      <c r="F100">
        <f t="shared" si="9"/>
        <v>15</v>
      </c>
    </row>
    <row r="101" spans="1:6" x14ac:dyDescent="0.25">
      <c r="A101" s="33">
        <v>45391</v>
      </c>
      <c r="B101">
        <f t="shared" si="5"/>
        <v>9</v>
      </c>
      <c r="C101">
        <f t="shared" si="6"/>
        <v>4</v>
      </c>
      <c r="D101">
        <f t="shared" si="7"/>
        <v>2024</v>
      </c>
      <c r="E101">
        <f t="shared" si="8"/>
        <v>3</v>
      </c>
      <c r="F101">
        <f t="shared" si="9"/>
        <v>15</v>
      </c>
    </row>
    <row r="102" spans="1:6" x14ac:dyDescent="0.25">
      <c r="A102" s="32">
        <v>45392</v>
      </c>
      <c r="B102">
        <f t="shared" si="5"/>
        <v>10</v>
      </c>
      <c r="C102">
        <f t="shared" si="6"/>
        <v>4</v>
      </c>
      <c r="D102">
        <f t="shared" si="7"/>
        <v>2024</v>
      </c>
      <c r="E102">
        <f t="shared" si="8"/>
        <v>4</v>
      </c>
      <c r="F102">
        <f t="shared" si="9"/>
        <v>15</v>
      </c>
    </row>
    <row r="103" spans="1:6" x14ac:dyDescent="0.25">
      <c r="A103" s="33">
        <v>45393</v>
      </c>
      <c r="B103">
        <f t="shared" si="5"/>
        <v>11</v>
      </c>
      <c r="C103">
        <f t="shared" si="6"/>
        <v>4</v>
      </c>
      <c r="D103">
        <f t="shared" si="7"/>
        <v>2024</v>
      </c>
      <c r="E103">
        <f t="shared" si="8"/>
        <v>5</v>
      </c>
      <c r="F103">
        <f t="shared" si="9"/>
        <v>15</v>
      </c>
    </row>
    <row r="104" spans="1:6" x14ac:dyDescent="0.25">
      <c r="A104" s="32">
        <v>45394</v>
      </c>
      <c r="B104">
        <f t="shared" si="5"/>
        <v>12</v>
      </c>
      <c r="C104">
        <f t="shared" si="6"/>
        <v>4</v>
      </c>
      <c r="D104">
        <f t="shared" si="7"/>
        <v>2024</v>
      </c>
      <c r="E104">
        <f t="shared" si="8"/>
        <v>6</v>
      </c>
      <c r="F104">
        <f t="shared" si="9"/>
        <v>15</v>
      </c>
    </row>
    <row r="105" spans="1:6" x14ac:dyDescent="0.25">
      <c r="A105" s="33">
        <v>45395</v>
      </c>
      <c r="B105">
        <f t="shared" si="5"/>
        <v>13</v>
      </c>
      <c r="C105">
        <f t="shared" si="6"/>
        <v>4</v>
      </c>
      <c r="D105">
        <f t="shared" si="7"/>
        <v>2024</v>
      </c>
      <c r="E105">
        <f t="shared" si="8"/>
        <v>7</v>
      </c>
      <c r="F105">
        <f t="shared" si="9"/>
        <v>15</v>
      </c>
    </row>
    <row r="106" spans="1:6" x14ac:dyDescent="0.25">
      <c r="A106" s="32">
        <v>45396</v>
      </c>
      <c r="B106">
        <f t="shared" si="5"/>
        <v>14</v>
      </c>
      <c r="C106">
        <f t="shared" si="6"/>
        <v>4</v>
      </c>
      <c r="D106">
        <f t="shared" si="7"/>
        <v>2024</v>
      </c>
      <c r="E106">
        <f t="shared" si="8"/>
        <v>1</v>
      </c>
      <c r="F106">
        <f t="shared" si="9"/>
        <v>15</v>
      </c>
    </row>
    <row r="107" spans="1:6" x14ac:dyDescent="0.25">
      <c r="A107" s="33">
        <v>45397</v>
      </c>
      <c r="B107">
        <f t="shared" si="5"/>
        <v>15</v>
      </c>
      <c r="C107">
        <f t="shared" si="6"/>
        <v>4</v>
      </c>
      <c r="D107">
        <f t="shared" si="7"/>
        <v>2024</v>
      </c>
      <c r="E107">
        <f t="shared" si="8"/>
        <v>2</v>
      </c>
      <c r="F107">
        <f t="shared" si="9"/>
        <v>16</v>
      </c>
    </row>
    <row r="108" spans="1:6" x14ac:dyDescent="0.25">
      <c r="A108" s="32">
        <v>45398</v>
      </c>
      <c r="B108">
        <f t="shared" si="5"/>
        <v>16</v>
      </c>
      <c r="C108">
        <f t="shared" si="6"/>
        <v>4</v>
      </c>
      <c r="D108">
        <f t="shared" si="7"/>
        <v>2024</v>
      </c>
      <c r="E108">
        <f t="shared" si="8"/>
        <v>3</v>
      </c>
      <c r="F108">
        <f t="shared" si="9"/>
        <v>16</v>
      </c>
    </row>
    <row r="109" spans="1:6" x14ac:dyDescent="0.25">
      <c r="A109" s="33">
        <v>45399</v>
      </c>
      <c r="B109">
        <f t="shared" si="5"/>
        <v>17</v>
      </c>
      <c r="C109">
        <f t="shared" si="6"/>
        <v>4</v>
      </c>
      <c r="D109">
        <f t="shared" si="7"/>
        <v>2024</v>
      </c>
      <c r="E109">
        <f t="shared" si="8"/>
        <v>4</v>
      </c>
      <c r="F109">
        <f t="shared" si="9"/>
        <v>16</v>
      </c>
    </row>
    <row r="110" spans="1:6" x14ac:dyDescent="0.25">
      <c r="A110" s="32">
        <v>45400</v>
      </c>
      <c r="B110">
        <f t="shared" si="5"/>
        <v>18</v>
      </c>
      <c r="C110">
        <f t="shared" si="6"/>
        <v>4</v>
      </c>
      <c r="D110">
        <f t="shared" si="7"/>
        <v>2024</v>
      </c>
      <c r="E110">
        <f t="shared" si="8"/>
        <v>5</v>
      </c>
      <c r="F110">
        <f t="shared" si="9"/>
        <v>16</v>
      </c>
    </row>
    <row r="111" spans="1:6" x14ac:dyDescent="0.25">
      <c r="A111" s="33">
        <v>45401</v>
      </c>
      <c r="B111">
        <f t="shared" si="5"/>
        <v>19</v>
      </c>
      <c r="C111">
        <f t="shared" si="6"/>
        <v>4</v>
      </c>
      <c r="D111">
        <f t="shared" si="7"/>
        <v>2024</v>
      </c>
      <c r="E111">
        <f t="shared" si="8"/>
        <v>6</v>
      </c>
      <c r="F111">
        <f t="shared" si="9"/>
        <v>16</v>
      </c>
    </row>
    <row r="112" spans="1:6" x14ac:dyDescent="0.25">
      <c r="A112" s="32">
        <v>45402</v>
      </c>
      <c r="B112">
        <f t="shared" si="5"/>
        <v>20</v>
      </c>
      <c r="C112">
        <f t="shared" si="6"/>
        <v>4</v>
      </c>
      <c r="D112">
        <f t="shared" si="7"/>
        <v>2024</v>
      </c>
      <c r="E112">
        <f t="shared" si="8"/>
        <v>7</v>
      </c>
      <c r="F112">
        <f t="shared" si="9"/>
        <v>16</v>
      </c>
    </row>
    <row r="113" spans="1:6" x14ac:dyDescent="0.25">
      <c r="A113" s="33">
        <v>45403</v>
      </c>
      <c r="B113">
        <f t="shared" si="5"/>
        <v>21</v>
      </c>
      <c r="C113">
        <f t="shared" si="6"/>
        <v>4</v>
      </c>
      <c r="D113">
        <f t="shared" si="7"/>
        <v>2024</v>
      </c>
      <c r="E113">
        <f t="shared" si="8"/>
        <v>1</v>
      </c>
      <c r="F113">
        <f t="shared" si="9"/>
        <v>16</v>
      </c>
    </row>
    <row r="114" spans="1:6" x14ac:dyDescent="0.25">
      <c r="A114" s="32">
        <v>45404</v>
      </c>
      <c r="B114">
        <f t="shared" si="5"/>
        <v>22</v>
      </c>
      <c r="C114">
        <f t="shared" si="6"/>
        <v>4</v>
      </c>
      <c r="D114">
        <f t="shared" si="7"/>
        <v>2024</v>
      </c>
      <c r="E114">
        <f t="shared" si="8"/>
        <v>2</v>
      </c>
      <c r="F114">
        <f t="shared" si="9"/>
        <v>17</v>
      </c>
    </row>
    <row r="115" spans="1:6" x14ac:dyDescent="0.25">
      <c r="A115" s="33">
        <v>45405</v>
      </c>
      <c r="B115">
        <f t="shared" si="5"/>
        <v>23</v>
      </c>
      <c r="C115">
        <f t="shared" si="6"/>
        <v>4</v>
      </c>
      <c r="D115">
        <f t="shared" si="7"/>
        <v>2024</v>
      </c>
      <c r="E115">
        <f t="shared" si="8"/>
        <v>3</v>
      </c>
      <c r="F115">
        <f t="shared" si="9"/>
        <v>17</v>
      </c>
    </row>
    <row r="116" spans="1:6" x14ac:dyDescent="0.25">
      <c r="A116" s="32">
        <v>45406</v>
      </c>
      <c r="B116">
        <f t="shared" si="5"/>
        <v>24</v>
      </c>
      <c r="C116">
        <f t="shared" si="6"/>
        <v>4</v>
      </c>
      <c r="D116">
        <f t="shared" si="7"/>
        <v>2024</v>
      </c>
      <c r="E116">
        <f t="shared" si="8"/>
        <v>4</v>
      </c>
      <c r="F116">
        <f t="shared" si="9"/>
        <v>17</v>
      </c>
    </row>
    <row r="117" spans="1:6" x14ac:dyDescent="0.25">
      <c r="A117" s="33">
        <v>45407</v>
      </c>
      <c r="B117">
        <f t="shared" si="5"/>
        <v>25</v>
      </c>
      <c r="C117">
        <f t="shared" si="6"/>
        <v>4</v>
      </c>
      <c r="D117">
        <f t="shared" si="7"/>
        <v>2024</v>
      </c>
      <c r="E117">
        <f t="shared" si="8"/>
        <v>5</v>
      </c>
      <c r="F117">
        <f t="shared" si="9"/>
        <v>17</v>
      </c>
    </row>
    <row r="118" spans="1:6" x14ac:dyDescent="0.25">
      <c r="A118" s="32">
        <v>45408</v>
      </c>
      <c r="B118">
        <f t="shared" si="5"/>
        <v>26</v>
      </c>
      <c r="C118">
        <f t="shared" si="6"/>
        <v>4</v>
      </c>
      <c r="D118">
        <f t="shared" si="7"/>
        <v>2024</v>
      </c>
      <c r="E118">
        <f t="shared" si="8"/>
        <v>6</v>
      </c>
      <c r="F118">
        <f t="shared" si="9"/>
        <v>17</v>
      </c>
    </row>
    <row r="119" spans="1:6" x14ac:dyDescent="0.25">
      <c r="A119" s="33">
        <v>45409</v>
      </c>
      <c r="B119">
        <f t="shared" si="5"/>
        <v>27</v>
      </c>
      <c r="C119">
        <f t="shared" si="6"/>
        <v>4</v>
      </c>
      <c r="D119">
        <f t="shared" si="7"/>
        <v>2024</v>
      </c>
      <c r="E119">
        <f t="shared" si="8"/>
        <v>7</v>
      </c>
      <c r="F119">
        <f t="shared" si="9"/>
        <v>17</v>
      </c>
    </row>
    <row r="120" spans="1:6" x14ac:dyDescent="0.25">
      <c r="A120" s="32">
        <v>45410</v>
      </c>
      <c r="B120">
        <f t="shared" si="5"/>
        <v>28</v>
      </c>
      <c r="C120">
        <f t="shared" si="6"/>
        <v>4</v>
      </c>
      <c r="D120">
        <f t="shared" si="7"/>
        <v>2024</v>
      </c>
      <c r="E120">
        <f t="shared" si="8"/>
        <v>1</v>
      </c>
      <c r="F120">
        <f t="shared" si="9"/>
        <v>17</v>
      </c>
    </row>
    <row r="121" spans="1:6" x14ac:dyDescent="0.25">
      <c r="A121" s="33">
        <v>45411</v>
      </c>
      <c r="B121">
        <f t="shared" si="5"/>
        <v>29</v>
      </c>
      <c r="C121">
        <f t="shared" si="6"/>
        <v>4</v>
      </c>
      <c r="D121">
        <f t="shared" si="7"/>
        <v>2024</v>
      </c>
      <c r="E121">
        <f t="shared" si="8"/>
        <v>2</v>
      </c>
      <c r="F121">
        <f t="shared" si="9"/>
        <v>18</v>
      </c>
    </row>
    <row r="122" spans="1:6" x14ac:dyDescent="0.25">
      <c r="A122" s="32">
        <v>45412</v>
      </c>
      <c r="B122">
        <f t="shared" si="5"/>
        <v>30</v>
      </c>
      <c r="C122">
        <f t="shared" si="6"/>
        <v>4</v>
      </c>
      <c r="D122">
        <f t="shared" si="7"/>
        <v>2024</v>
      </c>
      <c r="E122">
        <f t="shared" si="8"/>
        <v>3</v>
      </c>
      <c r="F122">
        <f t="shared" si="9"/>
        <v>18</v>
      </c>
    </row>
    <row r="123" spans="1:6" x14ac:dyDescent="0.25">
      <c r="A123" s="33">
        <v>45413</v>
      </c>
      <c r="B123">
        <f t="shared" si="5"/>
        <v>1</v>
      </c>
      <c r="C123">
        <f t="shared" si="6"/>
        <v>5</v>
      </c>
      <c r="D123">
        <f t="shared" si="7"/>
        <v>2024</v>
      </c>
      <c r="E123">
        <f t="shared" si="8"/>
        <v>4</v>
      </c>
      <c r="F123">
        <f t="shared" si="9"/>
        <v>18</v>
      </c>
    </row>
    <row r="124" spans="1:6" x14ac:dyDescent="0.25">
      <c r="A124" s="32">
        <v>45414</v>
      </c>
      <c r="B124">
        <f t="shared" si="5"/>
        <v>2</v>
      </c>
      <c r="C124">
        <f t="shared" si="6"/>
        <v>5</v>
      </c>
      <c r="D124">
        <f t="shared" si="7"/>
        <v>2024</v>
      </c>
      <c r="E124">
        <f t="shared" si="8"/>
        <v>5</v>
      </c>
      <c r="F124">
        <f t="shared" si="9"/>
        <v>18</v>
      </c>
    </row>
    <row r="125" spans="1:6" x14ac:dyDescent="0.25">
      <c r="A125" s="33">
        <v>45415</v>
      </c>
      <c r="B125">
        <f t="shared" si="5"/>
        <v>3</v>
      </c>
      <c r="C125">
        <f t="shared" si="6"/>
        <v>5</v>
      </c>
      <c r="D125">
        <f t="shared" si="7"/>
        <v>2024</v>
      </c>
      <c r="E125">
        <f t="shared" si="8"/>
        <v>6</v>
      </c>
      <c r="F125">
        <f t="shared" si="9"/>
        <v>18</v>
      </c>
    </row>
    <row r="126" spans="1:6" x14ac:dyDescent="0.25">
      <c r="A126" s="32">
        <v>45416</v>
      </c>
      <c r="B126">
        <f t="shared" si="5"/>
        <v>4</v>
      </c>
      <c r="C126">
        <f t="shared" si="6"/>
        <v>5</v>
      </c>
      <c r="D126">
        <f t="shared" si="7"/>
        <v>2024</v>
      </c>
      <c r="E126">
        <f t="shared" si="8"/>
        <v>7</v>
      </c>
      <c r="F126">
        <f t="shared" si="9"/>
        <v>18</v>
      </c>
    </row>
    <row r="127" spans="1:6" x14ac:dyDescent="0.25">
      <c r="A127" s="33">
        <v>45417</v>
      </c>
      <c r="B127">
        <f t="shared" si="5"/>
        <v>5</v>
      </c>
      <c r="C127">
        <f t="shared" si="6"/>
        <v>5</v>
      </c>
      <c r="D127">
        <f t="shared" si="7"/>
        <v>2024</v>
      </c>
      <c r="E127">
        <f t="shared" si="8"/>
        <v>1</v>
      </c>
      <c r="F127">
        <f t="shared" si="9"/>
        <v>18</v>
      </c>
    </row>
    <row r="128" spans="1:6" x14ac:dyDescent="0.25">
      <c r="A128" s="32">
        <v>45418</v>
      </c>
      <c r="B128">
        <f t="shared" si="5"/>
        <v>6</v>
      </c>
      <c r="C128">
        <f t="shared" si="6"/>
        <v>5</v>
      </c>
      <c r="D128">
        <f t="shared" si="7"/>
        <v>2024</v>
      </c>
      <c r="E128">
        <f t="shared" si="8"/>
        <v>2</v>
      </c>
      <c r="F128">
        <f t="shared" si="9"/>
        <v>19</v>
      </c>
    </row>
    <row r="129" spans="1:6" x14ac:dyDescent="0.25">
      <c r="A129" s="33">
        <v>45419</v>
      </c>
      <c r="B129">
        <f t="shared" si="5"/>
        <v>7</v>
      </c>
      <c r="C129">
        <f t="shared" si="6"/>
        <v>5</v>
      </c>
      <c r="D129">
        <f t="shared" si="7"/>
        <v>2024</v>
      </c>
      <c r="E129">
        <f t="shared" si="8"/>
        <v>3</v>
      </c>
      <c r="F129">
        <f t="shared" si="9"/>
        <v>19</v>
      </c>
    </row>
    <row r="130" spans="1:6" x14ac:dyDescent="0.25">
      <c r="A130" s="32">
        <v>45420</v>
      </c>
      <c r="B130">
        <f t="shared" si="5"/>
        <v>8</v>
      </c>
      <c r="C130">
        <f t="shared" si="6"/>
        <v>5</v>
      </c>
      <c r="D130">
        <f t="shared" si="7"/>
        <v>2024</v>
      </c>
      <c r="E130">
        <f t="shared" si="8"/>
        <v>4</v>
      </c>
      <c r="F130">
        <f t="shared" si="9"/>
        <v>19</v>
      </c>
    </row>
    <row r="131" spans="1:6" x14ac:dyDescent="0.25">
      <c r="A131" s="33">
        <v>45421</v>
      </c>
      <c r="B131">
        <f t="shared" ref="B131:B194" si="10">DAY(A131)</f>
        <v>9</v>
      </c>
      <c r="C131">
        <f t="shared" ref="C131:C194" si="11">MONTH(A131)</f>
        <v>5</v>
      </c>
      <c r="D131">
        <f t="shared" ref="D131:D194" si="12">YEAR(A131)</f>
        <v>2024</v>
      </c>
      <c r="E131">
        <f t="shared" ref="E131:E194" si="13">WEEKDAY(A131)</f>
        <v>5</v>
      </c>
      <c r="F131">
        <f t="shared" ref="F131:F194" si="14">_xlfn.ISOWEEKNUM(A131)</f>
        <v>19</v>
      </c>
    </row>
    <row r="132" spans="1:6" x14ac:dyDescent="0.25">
      <c r="A132" s="32">
        <v>45422</v>
      </c>
      <c r="B132">
        <f t="shared" si="10"/>
        <v>10</v>
      </c>
      <c r="C132">
        <f t="shared" si="11"/>
        <v>5</v>
      </c>
      <c r="D132">
        <f t="shared" si="12"/>
        <v>2024</v>
      </c>
      <c r="E132">
        <f t="shared" si="13"/>
        <v>6</v>
      </c>
      <c r="F132">
        <f t="shared" si="14"/>
        <v>19</v>
      </c>
    </row>
    <row r="133" spans="1:6" x14ac:dyDescent="0.25">
      <c r="A133" s="33">
        <v>45423</v>
      </c>
      <c r="B133">
        <f t="shared" si="10"/>
        <v>11</v>
      </c>
      <c r="C133">
        <f t="shared" si="11"/>
        <v>5</v>
      </c>
      <c r="D133">
        <f t="shared" si="12"/>
        <v>2024</v>
      </c>
      <c r="E133">
        <f t="shared" si="13"/>
        <v>7</v>
      </c>
      <c r="F133">
        <f t="shared" si="14"/>
        <v>19</v>
      </c>
    </row>
    <row r="134" spans="1:6" x14ac:dyDescent="0.25">
      <c r="A134" s="32">
        <v>45424</v>
      </c>
      <c r="B134">
        <f t="shared" si="10"/>
        <v>12</v>
      </c>
      <c r="C134">
        <f t="shared" si="11"/>
        <v>5</v>
      </c>
      <c r="D134">
        <f t="shared" si="12"/>
        <v>2024</v>
      </c>
      <c r="E134">
        <f t="shared" si="13"/>
        <v>1</v>
      </c>
      <c r="F134">
        <f t="shared" si="14"/>
        <v>19</v>
      </c>
    </row>
    <row r="135" spans="1:6" x14ac:dyDescent="0.25">
      <c r="A135" s="33">
        <v>45425</v>
      </c>
      <c r="B135">
        <f t="shared" si="10"/>
        <v>13</v>
      </c>
      <c r="C135">
        <f t="shared" si="11"/>
        <v>5</v>
      </c>
      <c r="D135">
        <f t="shared" si="12"/>
        <v>2024</v>
      </c>
      <c r="E135">
        <f t="shared" si="13"/>
        <v>2</v>
      </c>
      <c r="F135">
        <f t="shared" si="14"/>
        <v>20</v>
      </c>
    </row>
    <row r="136" spans="1:6" x14ac:dyDescent="0.25">
      <c r="A136" s="32">
        <v>45426</v>
      </c>
      <c r="B136">
        <f t="shared" si="10"/>
        <v>14</v>
      </c>
      <c r="C136">
        <f t="shared" si="11"/>
        <v>5</v>
      </c>
      <c r="D136">
        <f t="shared" si="12"/>
        <v>2024</v>
      </c>
      <c r="E136">
        <f t="shared" si="13"/>
        <v>3</v>
      </c>
      <c r="F136">
        <f t="shared" si="14"/>
        <v>20</v>
      </c>
    </row>
    <row r="137" spans="1:6" x14ac:dyDescent="0.25">
      <c r="A137" s="33">
        <v>45427</v>
      </c>
      <c r="B137">
        <f t="shared" si="10"/>
        <v>15</v>
      </c>
      <c r="C137">
        <f t="shared" si="11"/>
        <v>5</v>
      </c>
      <c r="D137">
        <f t="shared" si="12"/>
        <v>2024</v>
      </c>
      <c r="E137">
        <f t="shared" si="13"/>
        <v>4</v>
      </c>
      <c r="F137">
        <f t="shared" si="14"/>
        <v>20</v>
      </c>
    </row>
    <row r="138" spans="1:6" x14ac:dyDescent="0.25">
      <c r="A138" s="32">
        <v>45428</v>
      </c>
      <c r="B138">
        <f t="shared" si="10"/>
        <v>16</v>
      </c>
      <c r="C138">
        <f t="shared" si="11"/>
        <v>5</v>
      </c>
      <c r="D138">
        <f t="shared" si="12"/>
        <v>2024</v>
      </c>
      <c r="E138">
        <f t="shared" si="13"/>
        <v>5</v>
      </c>
      <c r="F138">
        <f t="shared" si="14"/>
        <v>20</v>
      </c>
    </row>
    <row r="139" spans="1:6" x14ac:dyDescent="0.25">
      <c r="A139" s="33">
        <v>45429</v>
      </c>
      <c r="B139">
        <f t="shared" si="10"/>
        <v>17</v>
      </c>
      <c r="C139">
        <f t="shared" si="11"/>
        <v>5</v>
      </c>
      <c r="D139">
        <f t="shared" si="12"/>
        <v>2024</v>
      </c>
      <c r="E139">
        <f t="shared" si="13"/>
        <v>6</v>
      </c>
      <c r="F139">
        <f t="shared" si="14"/>
        <v>20</v>
      </c>
    </row>
    <row r="140" spans="1:6" x14ac:dyDescent="0.25">
      <c r="A140" s="32">
        <v>45430</v>
      </c>
      <c r="B140">
        <f t="shared" si="10"/>
        <v>18</v>
      </c>
      <c r="C140">
        <f t="shared" si="11"/>
        <v>5</v>
      </c>
      <c r="D140">
        <f t="shared" si="12"/>
        <v>2024</v>
      </c>
      <c r="E140">
        <f t="shared" si="13"/>
        <v>7</v>
      </c>
      <c r="F140">
        <f t="shared" si="14"/>
        <v>20</v>
      </c>
    </row>
    <row r="141" spans="1:6" x14ac:dyDescent="0.25">
      <c r="A141" s="33">
        <v>45431</v>
      </c>
      <c r="B141">
        <f t="shared" si="10"/>
        <v>19</v>
      </c>
      <c r="C141">
        <f t="shared" si="11"/>
        <v>5</v>
      </c>
      <c r="D141">
        <f t="shared" si="12"/>
        <v>2024</v>
      </c>
      <c r="E141">
        <f t="shared" si="13"/>
        <v>1</v>
      </c>
      <c r="F141">
        <f t="shared" si="14"/>
        <v>20</v>
      </c>
    </row>
    <row r="142" spans="1:6" x14ac:dyDescent="0.25">
      <c r="A142" s="32">
        <v>45432</v>
      </c>
      <c r="B142">
        <f t="shared" si="10"/>
        <v>20</v>
      </c>
      <c r="C142">
        <f t="shared" si="11"/>
        <v>5</v>
      </c>
      <c r="D142">
        <f t="shared" si="12"/>
        <v>2024</v>
      </c>
      <c r="E142">
        <f t="shared" si="13"/>
        <v>2</v>
      </c>
      <c r="F142">
        <f t="shared" si="14"/>
        <v>21</v>
      </c>
    </row>
    <row r="143" spans="1:6" x14ac:dyDescent="0.25">
      <c r="A143" s="33">
        <v>45433</v>
      </c>
      <c r="B143">
        <f t="shared" si="10"/>
        <v>21</v>
      </c>
      <c r="C143">
        <f t="shared" si="11"/>
        <v>5</v>
      </c>
      <c r="D143">
        <f t="shared" si="12"/>
        <v>2024</v>
      </c>
      <c r="E143">
        <f t="shared" si="13"/>
        <v>3</v>
      </c>
      <c r="F143">
        <f t="shared" si="14"/>
        <v>21</v>
      </c>
    </row>
    <row r="144" spans="1:6" x14ac:dyDescent="0.25">
      <c r="A144" s="32">
        <v>45434</v>
      </c>
      <c r="B144">
        <f t="shared" si="10"/>
        <v>22</v>
      </c>
      <c r="C144">
        <f t="shared" si="11"/>
        <v>5</v>
      </c>
      <c r="D144">
        <f t="shared" si="12"/>
        <v>2024</v>
      </c>
      <c r="E144">
        <f t="shared" si="13"/>
        <v>4</v>
      </c>
      <c r="F144">
        <f t="shared" si="14"/>
        <v>21</v>
      </c>
    </row>
    <row r="145" spans="1:6" x14ac:dyDescent="0.25">
      <c r="A145" s="33">
        <v>45435</v>
      </c>
      <c r="B145">
        <f t="shared" si="10"/>
        <v>23</v>
      </c>
      <c r="C145">
        <f t="shared" si="11"/>
        <v>5</v>
      </c>
      <c r="D145">
        <f t="shared" si="12"/>
        <v>2024</v>
      </c>
      <c r="E145">
        <f t="shared" si="13"/>
        <v>5</v>
      </c>
      <c r="F145">
        <f t="shared" si="14"/>
        <v>21</v>
      </c>
    </row>
    <row r="146" spans="1:6" x14ac:dyDescent="0.25">
      <c r="A146" s="32">
        <v>45436</v>
      </c>
      <c r="B146">
        <f t="shared" si="10"/>
        <v>24</v>
      </c>
      <c r="C146">
        <f t="shared" si="11"/>
        <v>5</v>
      </c>
      <c r="D146">
        <f t="shared" si="12"/>
        <v>2024</v>
      </c>
      <c r="E146">
        <f t="shared" si="13"/>
        <v>6</v>
      </c>
      <c r="F146">
        <f t="shared" si="14"/>
        <v>21</v>
      </c>
    </row>
    <row r="147" spans="1:6" x14ac:dyDescent="0.25">
      <c r="A147" s="33">
        <v>45437</v>
      </c>
      <c r="B147">
        <f t="shared" si="10"/>
        <v>25</v>
      </c>
      <c r="C147">
        <f t="shared" si="11"/>
        <v>5</v>
      </c>
      <c r="D147">
        <f t="shared" si="12"/>
        <v>2024</v>
      </c>
      <c r="E147">
        <f t="shared" si="13"/>
        <v>7</v>
      </c>
      <c r="F147">
        <f t="shared" si="14"/>
        <v>21</v>
      </c>
    </row>
    <row r="148" spans="1:6" x14ac:dyDescent="0.25">
      <c r="A148" s="32">
        <v>45438</v>
      </c>
      <c r="B148">
        <f t="shared" si="10"/>
        <v>26</v>
      </c>
      <c r="C148">
        <f t="shared" si="11"/>
        <v>5</v>
      </c>
      <c r="D148">
        <f t="shared" si="12"/>
        <v>2024</v>
      </c>
      <c r="E148">
        <f t="shared" si="13"/>
        <v>1</v>
      </c>
      <c r="F148">
        <f t="shared" si="14"/>
        <v>21</v>
      </c>
    </row>
    <row r="149" spans="1:6" x14ac:dyDescent="0.25">
      <c r="A149" s="33">
        <v>45439</v>
      </c>
      <c r="B149">
        <f t="shared" si="10"/>
        <v>27</v>
      </c>
      <c r="C149">
        <f t="shared" si="11"/>
        <v>5</v>
      </c>
      <c r="D149">
        <f t="shared" si="12"/>
        <v>2024</v>
      </c>
      <c r="E149">
        <f t="shared" si="13"/>
        <v>2</v>
      </c>
      <c r="F149">
        <f t="shared" si="14"/>
        <v>22</v>
      </c>
    </row>
    <row r="150" spans="1:6" x14ac:dyDescent="0.25">
      <c r="A150" s="32">
        <v>45440</v>
      </c>
      <c r="B150">
        <f t="shared" si="10"/>
        <v>28</v>
      </c>
      <c r="C150">
        <f t="shared" si="11"/>
        <v>5</v>
      </c>
      <c r="D150">
        <f t="shared" si="12"/>
        <v>2024</v>
      </c>
      <c r="E150">
        <f t="shared" si="13"/>
        <v>3</v>
      </c>
      <c r="F150">
        <f t="shared" si="14"/>
        <v>22</v>
      </c>
    </row>
    <row r="151" spans="1:6" x14ac:dyDescent="0.25">
      <c r="A151" s="33">
        <v>45441</v>
      </c>
      <c r="B151">
        <f t="shared" si="10"/>
        <v>29</v>
      </c>
      <c r="C151">
        <f t="shared" si="11"/>
        <v>5</v>
      </c>
      <c r="D151">
        <f t="shared" si="12"/>
        <v>2024</v>
      </c>
      <c r="E151">
        <f t="shared" si="13"/>
        <v>4</v>
      </c>
      <c r="F151">
        <f t="shared" si="14"/>
        <v>22</v>
      </c>
    </row>
    <row r="152" spans="1:6" x14ac:dyDescent="0.25">
      <c r="A152" s="32">
        <v>45442</v>
      </c>
      <c r="B152">
        <f t="shared" si="10"/>
        <v>30</v>
      </c>
      <c r="C152">
        <f t="shared" si="11"/>
        <v>5</v>
      </c>
      <c r="D152">
        <f t="shared" si="12"/>
        <v>2024</v>
      </c>
      <c r="E152">
        <f t="shared" si="13"/>
        <v>5</v>
      </c>
      <c r="F152">
        <f t="shared" si="14"/>
        <v>22</v>
      </c>
    </row>
    <row r="153" spans="1:6" x14ac:dyDescent="0.25">
      <c r="A153" s="33">
        <v>45443</v>
      </c>
      <c r="B153">
        <f t="shared" si="10"/>
        <v>31</v>
      </c>
      <c r="C153">
        <f t="shared" si="11"/>
        <v>5</v>
      </c>
      <c r="D153">
        <f t="shared" si="12"/>
        <v>2024</v>
      </c>
      <c r="E153">
        <f t="shared" si="13"/>
        <v>6</v>
      </c>
      <c r="F153">
        <f t="shared" si="14"/>
        <v>22</v>
      </c>
    </row>
    <row r="154" spans="1:6" x14ac:dyDescent="0.25">
      <c r="A154" s="32">
        <v>45444</v>
      </c>
      <c r="B154">
        <f t="shared" si="10"/>
        <v>1</v>
      </c>
      <c r="C154">
        <f t="shared" si="11"/>
        <v>6</v>
      </c>
      <c r="D154">
        <f t="shared" si="12"/>
        <v>2024</v>
      </c>
      <c r="E154">
        <f t="shared" si="13"/>
        <v>7</v>
      </c>
      <c r="F154">
        <f t="shared" si="14"/>
        <v>22</v>
      </c>
    </row>
    <row r="155" spans="1:6" x14ac:dyDescent="0.25">
      <c r="A155" s="33">
        <v>45445</v>
      </c>
      <c r="B155">
        <f t="shared" si="10"/>
        <v>2</v>
      </c>
      <c r="C155">
        <f t="shared" si="11"/>
        <v>6</v>
      </c>
      <c r="D155">
        <f t="shared" si="12"/>
        <v>2024</v>
      </c>
      <c r="E155">
        <f t="shared" si="13"/>
        <v>1</v>
      </c>
      <c r="F155">
        <f t="shared" si="14"/>
        <v>22</v>
      </c>
    </row>
    <row r="156" spans="1:6" x14ac:dyDescent="0.25">
      <c r="A156" s="32">
        <v>45446</v>
      </c>
      <c r="B156">
        <f t="shared" si="10"/>
        <v>3</v>
      </c>
      <c r="C156">
        <f t="shared" si="11"/>
        <v>6</v>
      </c>
      <c r="D156">
        <f t="shared" si="12"/>
        <v>2024</v>
      </c>
      <c r="E156">
        <f t="shared" si="13"/>
        <v>2</v>
      </c>
      <c r="F156">
        <f t="shared" si="14"/>
        <v>23</v>
      </c>
    </row>
    <row r="157" spans="1:6" x14ac:dyDescent="0.25">
      <c r="A157" s="33">
        <v>45447</v>
      </c>
      <c r="B157">
        <f t="shared" si="10"/>
        <v>4</v>
      </c>
      <c r="C157">
        <f t="shared" si="11"/>
        <v>6</v>
      </c>
      <c r="D157">
        <f t="shared" si="12"/>
        <v>2024</v>
      </c>
      <c r="E157">
        <f t="shared" si="13"/>
        <v>3</v>
      </c>
      <c r="F157">
        <f t="shared" si="14"/>
        <v>23</v>
      </c>
    </row>
    <row r="158" spans="1:6" x14ac:dyDescent="0.25">
      <c r="A158" s="32">
        <v>45448</v>
      </c>
      <c r="B158">
        <f t="shared" si="10"/>
        <v>5</v>
      </c>
      <c r="C158">
        <f t="shared" si="11"/>
        <v>6</v>
      </c>
      <c r="D158">
        <f t="shared" si="12"/>
        <v>2024</v>
      </c>
      <c r="E158">
        <f t="shared" si="13"/>
        <v>4</v>
      </c>
      <c r="F158">
        <f t="shared" si="14"/>
        <v>23</v>
      </c>
    </row>
    <row r="159" spans="1:6" x14ac:dyDescent="0.25">
      <c r="A159" s="33">
        <v>45449</v>
      </c>
      <c r="B159">
        <f t="shared" si="10"/>
        <v>6</v>
      </c>
      <c r="C159">
        <f t="shared" si="11"/>
        <v>6</v>
      </c>
      <c r="D159">
        <f t="shared" si="12"/>
        <v>2024</v>
      </c>
      <c r="E159">
        <f t="shared" si="13"/>
        <v>5</v>
      </c>
      <c r="F159">
        <f t="shared" si="14"/>
        <v>23</v>
      </c>
    </row>
    <row r="160" spans="1:6" x14ac:dyDescent="0.25">
      <c r="A160" s="32">
        <v>45450</v>
      </c>
      <c r="B160">
        <f t="shared" si="10"/>
        <v>7</v>
      </c>
      <c r="C160">
        <f t="shared" si="11"/>
        <v>6</v>
      </c>
      <c r="D160">
        <f t="shared" si="12"/>
        <v>2024</v>
      </c>
      <c r="E160">
        <f t="shared" si="13"/>
        <v>6</v>
      </c>
      <c r="F160">
        <f t="shared" si="14"/>
        <v>23</v>
      </c>
    </row>
    <row r="161" spans="1:6" x14ac:dyDescent="0.25">
      <c r="A161" s="33">
        <v>45451</v>
      </c>
      <c r="B161">
        <f t="shared" si="10"/>
        <v>8</v>
      </c>
      <c r="C161">
        <f t="shared" si="11"/>
        <v>6</v>
      </c>
      <c r="D161">
        <f t="shared" si="12"/>
        <v>2024</v>
      </c>
      <c r="E161">
        <f t="shared" si="13"/>
        <v>7</v>
      </c>
      <c r="F161">
        <f t="shared" si="14"/>
        <v>23</v>
      </c>
    </row>
    <row r="162" spans="1:6" x14ac:dyDescent="0.25">
      <c r="A162" s="32">
        <v>45452</v>
      </c>
      <c r="B162">
        <f t="shared" si="10"/>
        <v>9</v>
      </c>
      <c r="C162">
        <f t="shared" si="11"/>
        <v>6</v>
      </c>
      <c r="D162">
        <f t="shared" si="12"/>
        <v>2024</v>
      </c>
      <c r="E162">
        <f t="shared" si="13"/>
        <v>1</v>
      </c>
      <c r="F162">
        <f t="shared" si="14"/>
        <v>23</v>
      </c>
    </row>
    <row r="163" spans="1:6" x14ac:dyDescent="0.25">
      <c r="A163" s="33">
        <v>45453</v>
      </c>
      <c r="B163">
        <f t="shared" si="10"/>
        <v>10</v>
      </c>
      <c r="C163">
        <f t="shared" si="11"/>
        <v>6</v>
      </c>
      <c r="D163">
        <f t="shared" si="12"/>
        <v>2024</v>
      </c>
      <c r="E163">
        <f t="shared" si="13"/>
        <v>2</v>
      </c>
      <c r="F163">
        <f t="shared" si="14"/>
        <v>24</v>
      </c>
    </row>
    <row r="164" spans="1:6" x14ac:dyDescent="0.25">
      <c r="A164" s="32">
        <v>45454</v>
      </c>
      <c r="B164">
        <f t="shared" si="10"/>
        <v>11</v>
      </c>
      <c r="C164">
        <f t="shared" si="11"/>
        <v>6</v>
      </c>
      <c r="D164">
        <f t="shared" si="12"/>
        <v>2024</v>
      </c>
      <c r="E164">
        <f t="shared" si="13"/>
        <v>3</v>
      </c>
      <c r="F164">
        <f t="shared" si="14"/>
        <v>24</v>
      </c>
    </row>
    <row r="165" spans="1:6" x14ac:dyDescent="0.25">
      <c r="A165" s="33">
        <v>45455</v>
      </c>
      <c r="B165">
        <f t="shared" si="10"/>
        <v>12</v>
      </c>
      <c r="C165">
        <f t="shared" si="11"/>
        <v>6</v>
      </c>
      <c r="D165">
        <f t="shared" si="12"/>
        <v>2024</v>
      </c>
      <c r="E165">
        <f t="shared" si="13"/>
        <v>4</v>
      </c>
      <c r="F165">
        <f t="shared" si="14"/>
        <v>24</v>
      </c>
    </row>
    <row r="166" spans="1:6" x14ac:dyDescent="0.25">
      <c r="A166" s="32">
        <v>45456</v>
      </c>
      <c r="B166">
        <f t="shared" si="10"/>
        <v>13</v>
      </c>
      <c r="C166">
        <f t="shared" si="11"/>
        <v>6</v>
      </c>
      <c r="D166">
        <f t="shared" si="12"/>
        <v>2024</v>
      </c>
      <c r="E166">
        <f t="shared" si="13"/>
        <v>5</v>
      </c>
      <c r="F166">
        <f t="shared" si="14"/>
        <v>24</v>
      </c>
    </row>
    <row r="167" spans="1:6" x14ac:dyDescent="0.25">
      <c r="A167" s="33">
        <v>45457</v>
      </c>
      <c r="B167">
        <f t="shared" si="10"/>
        <v>14</v>
      </c>
      <c r="C167">
        <f t="shared" si="11"/>
        <v>6</v>
      </c>
      <c r="D167">
        <f t="shared" si="12"/>
        <v>2024</v>
      </c>
      <c r="E167">
        <f t="shared" si="13"/>
        <v>6</v>
      </c>
      <c r="F167">
        <f t="shared" si="14"/>
        <v>24</v>
      </c>
    </row>
    <row r="168" spans="1:6" x14ac:dyDescent="0.25">
      <c r="A168" s="32">
        <v>45458</v>
      </c>
      <c r="B168">
        <f t="shared" si="10"/>
        <v>15</v>
      </c>
      <c r="C168">
        <f t="shared" si="11"/>
        <v>6</v>
      </c>
      <c r="D168">
        <f t="shared" si="12"/>
        <v>2024</v>
      </c>
      <c r="E168">
        <f t="shared" si="13"/>
        <v>7</v>
      </c>
      <c r="F168">
        <f t="shared" si="14"/>
        <v>24</v>
      </c>
    </row>
    <row r="169" spans="1:6" x14ac:dyDescent="0.25">
      <c r="A169" s="33">
        <v>45459</v>
      </c>
      <c r="B169">
        <f t="shared" si="10"/>
        <v>16</v>
      </c>
      <c r="C169">
        <f t="shared" si="11"/>
        <v>6</v>
      </c>
      <c r="D169">
        <f t="shared" si="12"/>
        <v>2024</v>
      </c>
      <c r="E169">
        <f t="shared" si="13"/>
        <v>1</v>
      </c>
      <c r="F169">
        <f t="shared" si="14"/>
        <v>24</v>
      </c>
    </row>
    <row r="170" spans="1:6" x14ac:dyDescent="0.25">
      <c r="A170" s="32">
        <v>45460</v>
      </c>
      <c r="B170">
        <f t="shared" si="10"/>
        <v>17</v>
      </c>
      <c r="C170">
        <f t="shared" si="11"/>
        <v>6</v>
      </c>
      <c r="D170">
        <f t="shared" si="12"/>
        <v>2024</v>
      </c>
      <c r="E170">
        <f t="shared" si="13"/>
        <v>2</v>
      </c>
      <c r="F170">
        <f t="shared" si="14"/>
        <v>25</v>
      </c>
    </row>
    <row r="171" spans="1:6" x14ac:dyDescent="0.25">
      <c r="A171" s="33">
        <v>45461</v>
      </c>
      <c r="B171">
        <f t="shared" si="10"/>
        <v>18</v>
      </c>
      <c r="C171">
        <f t="shared" si="11"/>
        <v>6</v>
      </c>
      <c r="D171">
        <f t="shared" si="12"/>
        <v>2024</v>
      </c>
      <c r="E171">
        <f t="shared" si="13"/>
        <v>3</v>
      </c>
      <c r="F171">
        <f t="shared" si="14"/>
        <v>25</v>
      </c>
    </row>
    <row r="172" spans="1:6" x14ac:dyDescent="0.25">
      <c r="A172" s="32">
        <v>45462</v>
      </c>
      <c r="B172">
        <f t="shared" si="10"/>
        <v>19</v>
      </c>
      <c r="C172">
        <f t="shared" si="11"/>
        <v>6</v>
      </c>
      <c r="D172">
        <f t="shared" si="12"/>
        <v>2024</v>
      </c>
      <c r="E172">
        <f t="shared" si="13"/>
        <v>4</v>
      </c>
      <c r="F172">
        <f t="shared" si="14"/>
        <v>25</v>
      </c>
    </row>
    <row r="173" spans="1:6" x14ac:dyDescent="0.25">
      <c r="A173" s="33">
        <v>45463</v>
      </c>
      <c r="B173">
        <f t="shared" si="10"/>
        <v>20</v>
      </c>
      <c r="C173">
        <f t="shared" si="11"/>
        <v>6</v>
      </c>
      <c r="D173">
        <f t="shared" si="12"/>
        <v>2024</v>
      </c>
      <c r="E173">
        <f t="shared" si="13"/>
        <v>5</v>
      </c>
      <c r="F173">
        <f t="shared" si="14"/>
        <v>25</v>
      </c>
    </row>
    <row r="174" spans="1:6" x14ac:dyDescent="0.25">
      <c r="A174" s="32">
        <v>45464</v>
      </c>
      <c r="B174">
        <f t="shared" si="10"/>
        <v>21</v>
      </c>
      <c r="C174">
        <f t="shared" si="11"/>
        <v>6</v>
      </c>
      <c r="D174">
        <f t="shared" si="12"/>
        <v>2024</v>
      </c>
      <c r="E174">
        <f t="shared" si="13"/>
        <v>6</v>
      </c>
      <c r="F174">
        <f t="shared" si="14"/>
        <v>25</v>
      </c>
    </row>
    <row r="175" spans="1:6" x14ac:dyDescent="0.25">
      <c r="A175" s="33">
        <v>45465</v>
      </c>
      <c r="B175">
        <f t="shared" si="10"/>
        <v>22</v>
      </c>
      <c r="C175">
        <f t="shared" si="11"/>
        <v>6</v>
      </c>
      <c r="D175">
        <f t="shared" si="12"/>
        <v>2024</v>
      </c>
      <c r="E175">
        <f t="shared" si="13"/>
        <v>7</v>
      </c>
      <c r="F175">
        <f t="shared" si="14"/>
        <v>25</v>
      </c>
    </row>
    <row r="176" spans="1:6" x14ac:dyDescent="0.25">
      <c r="A176" s="32">
        <v>45466</v>
      </c>
      <c r="B176">
        <f t="shared" si="10"/>
        <v>23</v>
      </c>
      <c r="C176">
        <f t="shared" si="11"/>
        <v>6</v>
      </c>
      <c r="D176">
        <f t="shared" si="12"/>
        <v>2024</v>
      </c>
      <c r="E176">
        <f t="shared" si="13"/>
        <v>1</v>
      </c>
      <c r="F176">
        <f t="shared" si="14"/>
        <v>25</v>
      </c>
    </row>
    <row r="177" spans="1:6" x14ac:dyDescent="0.25">
      <c r="A177" s="33">
        <v>45467</v>
      </c>
      <c r="B177">
        <f t="shared" si="10"/>
        <v>24</v>
      </c>
      <c r="C177">
        <f t="shared" si="11"/>
        <v>6</v>
      </c>
      <c r="D177">
        <f t="shared" si="12"/>
        <v>2024</v>
      </c>
      <c r="E177">
        <f t="shared" si="13"/>
        <v>2</v>
      </c>
      <c r="F177">
        <f t="shared" si="14"/>
        <v>26</v>
      </c>
    </row>
    <row r="178" spans="1:6" x14ac:dyDescent="0.25">
      <c r="A178" s="32">
        <v>45468</v>
      </c>
      <c r="B178">
        <f t="shared" si="10"/>
        <v>25</v>
      </c>
      <c r="C178">
        <f t="shared" si="11"/>
        <v>6</v>
      </c>
      <c r="D178">
        <f t="shared" si="12"/>
        <v>2024</v>
      </c>
      <c r="E178">
        <f t="shared" si="13"/>
        <v>3</v>
      </c>
      <c r="F178">
        <f t="shared" si="14"/>
        <v>26</v>
      </c>
    </row>
    <row r="179" spans="1:6" x14ac:dyDescent="0.25">
      <c r="A179" s="33">
        <v>45469</v>
      </c>
      <c r="B179">
        <f t="shared" si="10"/>
        <v>26</v>
      </c>
      <c r="C179">
        <f t="shared" si="11"/>
        <v>6</v>
      </c>
      <c r="D179">
        <f t="shared" si="12"/>
        <v>2024</v>
      </c>
      <c r="E179">
        <f t="shared" si="13"/>
        <v>4</v>
      </c>
      <c r="F179">
        <f t="shared" si="14"/>
        <v>26</v>
      </c>
    </row>
    <row r="180" spans="1:6" x14ac:dyDescent="0.25">
      <c r="A180" s="32">
        <v>45470</v>
      </c>
      <c r="B180">
        <f t="shared" si="10"/>
        <v>27</v>
      </c>
      <c r="C180">
        <f t="shared" si="11"/>
        <v>6</v>
      </c>
      <c r="D180">
        <f t="shared" si="12"/>
        <v>2024</v>
      </c>
      <c r="E180">
        <f t="shared" si="13"/>
        <v>5</v>
      </c>
      <c r="F180">
        <f t="shared" si="14"/>
        <v>26</v>
      </c>
    </row>
    <row r="181" spans="1:6" x14ac:dyDescent="0.25">
      <c r="A181" s="33">
        <v>45471</v>
      </c>
      <c r="B181">
        <f t="shared" si="10"/>
        <v>28</v>
      </c>
      <c r="C181">
        <f t="shared" si="11"/>
        <v>6</v>
      </c>
      <c r="D181">
        <f t="shared" si="12"/>
        <v>2024</v>
      </c>
      <c r="E181">
        <f t="shared" si="13"/>
        <v>6</v>
      </c>
      <c r="F181">
        <f t="shared" si="14"/>
        <v>26</v>
      </c>
    </row>
    <row r="182" spans="1:6" x14ac:dyDescent="0.25">
      <c r="A182" s="32">
        <v>45472</v>
      </c>
      <c r="B182">
        <f t="shared" si="10"/>
        <v>29</v>
      </c>
      <c r="C182">
        <f t="shared" si="11"/>
        <v>6</v>
      </c>
      <c r="D182">
        <f t="shared" si="12"/>
        <v>2024</v>
      </c>
      <c r="E182">
        <f t="shared" si="13"/>
        <v>7</v>
      </c>
      <c r="F182">
        <f t="shared" si="14"/>
        <v>26</v>
      </c>
    </row>
    <row r="183" spans="1:6" x14ac:dyDescent="0.25">
      <c r="A183" s="33">
        <v>45473</v>
      </c>
      <c r="B183">
        <f t="shared" si="10"/>
        <v>30</v>
      </c>
      <c r="C183">
        <f t="shared" si="11"/>
        <v>6</v>
      </c>
      <c r="D183">
        <f t="shared" si="12"/>
        <v>2024</v>
      </c>
      <c r="E183">
        <f t="shared" si="13"/>
        <v>1</v>
      </c>
      <c r="F183">
        <f t="shared" si="14"/>
        <v>26</v>
      </c>
    </row>
    <row r="184" spans="1:6" x14ac:dyDescent="0.25">
      <c r="A184" s="32">
        <v>45474</v>
      </c>
      <c r="B184">
        <f t="shared" si="10"/>
        <v>1</v>
      </c>
      <c r="C184">
        <f t="shared" si="11"/>
        <v>7</v>
      </c>
      <c r="D184">
        <f t="shared" si="12"/>
        <v>2024</v>
      </c>
      <c r="E184">
        <f t="shared" si="13"/>
        <v>2</v>
      </c>
      <c r="F184">
        <f t="shared" si="14"/>
        <v>27</v>
      </c>
    </row>
    <row r="185" spans="1:6" x14ac:dyDescent="0.25">
      <c r="A185" s="33">
        <v>45475</v>
      </c>
      <c r="B185">
        <f t="shared" si="10"/>
        <v>2</v>
      </c>
      <c r="C185">
        <f t="shared" si="11"/>
        <v>7</v>
      </c>
      <c r="D185">
        <f t="shared" si="12"/>
        <v>2024</v>
      </c>
      <c r="E185">
        <f t="shared" si="13"/>
        <v>3</v>
      </c>
      <c r="F185">
        <f t="shared" si="14"/>
        <v>27</v>
      </c>
    </row>
    <row r="186" spans="1:6" x14ac:dyDescent="0.25">
      <c r="A186" s="32">
        <v>45476</v>
      </c>
      <c r="B186">
        <f t="shared" si="10"/>
        <v>3</v>
      </c>
      <c r="C186">
        <f t="shared" si="11"/>
        <v>7</v>
      </c>
      <c r="D186">
        <f t="shared" si="12"/>
        <v>2024</v>
      </c>
      <c r="E186">
        <f t="shared" si="13"/>
        <v>4</v>
      </c>
      <c r="F186">
        <f t="shared" si="14"/>
        <v>27</v>
      </c>
    </row>
    <row r="187" spans="1:6" x14ac:dyDescent="0.25">
      <c r="A187" s="33">
        <v>45477</v>
      </c>
      <c r="B187">
        <f t="shared" si="10"/>
        <v>4</v>
      </c>
      <c r="C187">
        <f t="shared" si="11"/>
        <v>7</v>
      </c>
      <c r="D187">
        <f t="shared" si="12"/>
        <v>2024</v>
      </c>
      <c r="E187">
        <f t="shared" si="13"/>
        <v>5</v>
      </c>
      <c r="F187">
        <f t="shared" si="14"/>
        <v>27</v>
      </c>
    </row>
    <row r="188" spans="1:6" x14ac:dyDescent="0.25">
      <c r="A188" s="32">
        <v>45478</v>
      </c>
      <c r="B188">
        <f t="shared" si="10"/>
        <v>5</v>
      </c>
      <c r="C188">
        <f t="shared" si="11"/>
        <v>7</v>
      </c>
      <c r="D188">
        <f t="shared" si="12"/>
        <v>2024</v>
      </c>
      <c r="E188">
        <f t="shared" si="13"/>
        <v>6</v>
      </c>
      <c r="F188">
        <f t="shared" si="14"/>
        <v>27</v>
      </c>
    </row>
    <row r="189" spans="1:6" x14ac:dyDescent="0.25">
      <c r="A189" s="33">
        <v>45479</v>
      </c>
      <c r="B189">
        <f t="shared" si="10"/>
        <v>6</v>
      </c>
      <c r="C189">
        <f t="shared" si="11"/>
        <v>7</v>
      </c>
      <c r="D189">
        <f t="shared" si="12"/>
        <v>2024</v>
      </c>
      <c r="E189">
        <f t="shared" si="13"/>
        <v>7</v>
      </c>
      <c r="F189">
        <f t="shared" si="14"/>
        <v>27</v>
      </c>
    </row>
    <row r="190" spans="1:6" x14ac:dyDescent="0.25">
      <c r="A190" s="32">
        <v>45480</v>
      </c>
      <c r="B190">
        <f t="shared" si="10"/>
        <v>7</v>
      </c>
      <c r="C190">
        <f t="shared" si="11"/>
        <v>7</v>
      </c>
      <c r="D190">
        <f t="shared" si="12"/>
        <v>2024</v>
      </c>
      <c r="E190">
        <f t="shared" si="13"/>
        <v>1</v>
      </c>
      <c r="F190">
        <f t="shared" si="14"/>
        <v>27</v>
      </c>
    </row>
    <row r="191" spans="1:6" x14ac:dyDescent="0.25">
      <c r="A191" s="33">
        <v>45481</v>
      </c>
      <c r="B191">
        <f t="shared" si="10"/>
        <v>8</v>
      </c>
      <c r="C191">
        <f t="shared" si="11"/>
        <v>7</v>
      </c>
      <c r="D191">
        <f t="shared" si="12"/>
        <v>2024</v>
      </c>
      <c r="E191">
        <f t="shared" si="13"/>
        <v>2</v>
      </c>
      <c r="F191">
        <f t="shared" si="14"/>
        <v>28</v>
      </c>
    </row>
    <row r="192" spans="1:6" x14ac:dyDescent="0.25">
      <c r="A192" s="32">
        <v>45482</v>
      </c>
      <c r="B192">
        <f t="shared" si="10"/>
        <v>9</v>
      </c>
      <c r="C192">
        <f t="shared" si="11"/>
        <v>7</v>
      </c>
      <c r="D192">
        <f t="shared" si="12"/>
        <v>2024</v>
      </c>
      <c r="E192">
        <f t="shared" si="13"/>
        <v>3</v>
      </c>
      <c r="F192">
        <f t="shared" si="14"/>
        <v>28</v>
      </c>
    </row>
    <row r="193" spans="1:6" x14ac:dyDescent="0.25">
      <c r="A193" s="33">
        <v>45483</v>
      </c>
      <c r="B193">
        <f t="shared" si="10"/>
        <v>10</v>
      </c>
      <c r="C193">
        <f t="shared" si="11"/>
        <v>7</v>
      </c>
      <c r="D193">
        <f t="shared" si="12"/>
        <v>2024</v>
      </c>
      <c r="E193">
        <f t="shared" si="13"/>
        <v>4</v>
      </c>
      <c r="F193">
        <f t="shared" si="14"/>
        <v>28</v>
      </c>
    </row>
    <row r="194" spans="1:6" x14ac:dyDescent="0.25">
      <c r="A194" s="32">
        <v>45484</v>
      </c>
      <c r="B194">
        <f t="shared" si="10"/>
        <v>11</v>
      </c>
      <c r="C194">
        <f t="shared" si="11"/>
        <v>7</v>
      </c>
      <c r="D194">
        <f t="shared" si="12"/>
        <v>2024</v>
      </c>
      <c r="E194">
        <f t="shared" si="13"/>
        <v>5</v>
      </c>
      <c r="F194">
        <f t="shared" si="14"/>
        <v>28</v>
      </c>
    </row>
    <row r="195" spans="1:6" x14ac:dyDescent="0.25">
      <c r="A195" s="33">
        <v>45485</v>
      </c>
      <c r="B195">
        <f t="shared" ref="B195:B258" si="15">DAY(A195)</f>
        <v>12</v>
      </c>
      <c r="C195">
        <f t="shared" ref="C195:C258" si="16">MONTH(A195)</f>
        <v>7</v>
      </c>
      <c r="D195">
        <f t="shared" ref="D195:D258" si="17">YEAR(A195)</f>
        <v>2024</v>
      </c>
      <c r="E195">
        <f t="shared" ref="E195:E258" si="18">WEEKDAY(A195)</f>
        <v>6</v>
      </c>
      <c r="F195">
        <f t="shared" ref="F195:F258" si="19">_xlfn.ISOWEEKNUM(A195)</f>
        <v>28</v>
      </c>
    </row>
    <row r="196" spans="1:6" x14ac:dyDescent="0.25">
      <c r="A196" s="32">
        <v>45486</v>
      </c>
      <c r="B196">
        <f t="shared" si="15"/>
        <v>13</v>
      </c>
      <c r="C196">
        <f t="shared" si="16"/>
        <v>7</v>
      </c>
      <c r="D196">
        <f t="shared" si="17"/>
        <v>2024</v>
      </c>
      <c r="E196">
        <f t="shared" si="18"/>
        <v>7</v>
      </c>
      <c r="F196">
        <f t="shared" si="19"/>
        <v>28</v>
      </c>
    </row>
    <row r="197" spans="1:6" x14ac:dyDescent="0.25">
      <c r="A197" s="33">
        <v>45487</v>
      </c>
      <c r="B197">
        <f t="shared" si="15"/>
        <v>14</v>
      </c>
      <c r="C197">
        <f t="shared" si="16"/>
        <v>7</v>
      </c>
      <c r="D197">
        <f t="shared" si="17"/>
        <v>2024</v>
      </c>
      <c r="E197">
        <f t="shared" si="18"/>
        <v>1</v>
      </c>
      <c r="F197">
        <f t="shared" si="19"/>
        <v>28</v>
      </c>
    </row>
    <row r="198" spans="1:6" x14ac:dyDescent="0.25">
      <c r="A198" s="32">
        <v>45488</v>
      </c>
      <c r="B198">
        <f t="shared" si="15"/>
        <v>15</v>
      </c>
      <c r="C198">
        <f t="shared" si="16"/>
        <v>7</v>
      </c>
      <c r="D198">
        <f t="shared" si="17"/>
        <v>2024</v>
      </c>
      <c r="E198">
        <f t="shared" si="18"/>
        <v>2</v>
      </c>
      <c r="F198">
        <f t="shared" si="19"/>
        <v>29</v>
      </c>
    </row>
    <row r="199" spans="1:6" x14ac:dyDescent="0.25">
      <c r="A199" s="33">
        <v>45489</v>
      </c>
      <c r="B199">
        <f t="shared" si="15"/>
        <v>16</v>
      </c>
      <c r="C199">
        <f t="shared" si="16"/>
        <v>7</v>
      </c>
      <c r="D199">
        <f t="shared" si="17"/>
        <v>2024</v>
      </c>
      <c r="E199">
        <f t="shared" si="18"/>
        <v>3</v>
      </c>
      <c r="F199">
        <f t="shared" si="19"/>
        <v>29</v>
      </c>
    </row>
    <row r="200" spans="1:6" x14ac:dyDescent="0.25">
      <c r="A200" s="32">
        <v>45490</v>
      </c>
      <c r="B200">
        <f t="shared" si="15"/>
        <v>17</v>
      </c>
      <c r="C200">
        <f t="shared" si="16"/>
        <v>7</v>
      </c>
      <c r="D200">
        <f t="shared" si="17"/>
        <v>2024</v>
      </c>
      <c r="E200">
        <f t="shared" si="18"/>
        <v>4</v>
      </c>
      <c r="F200">
        <f t="shared" si="19"/>
        <v>29</v>
      </c>
    </row>
    <row r="201" spans="1:6" x14ac:dyDescent="0.25">
      <c r="A201" s="33">
        <v>45491</v>
      </c>
      <c r="B201">
        <f t="shared" si="15"/>
        <v>18</v>
      </c>
      <c r="C201">
        <f t="shared" si="16"/>
        <v>7</v>
      </c>
      <c r="D201">
        <f t="shared" si="17"/>
        <v>2024</v>
      </c>
      <c r="E201">
        <f t="shared" si="18"/>
        <v>5</v>
      </c>
      <c r="F201">
        <f t="shared" si="19"/>
        <v>29</v>
      </c>
    </row>
    <row r="202" spans="1:6" x14ac:dyDescent="0.25">
      <c r="A202" s="32">
        <v>45492</v>
      </c>
      <c r="B202">
        <f t="shared" si="15"/>
        <v>19</v>
      </c>
      <c r="C202">
        <f t="shared" si="16"/>
        <v>7</v>
      </c>
      <c r="D202">
        <f t="shared" si="17"/>
        <v>2024</v>
      </c>
      <c r="E202">
        <f t="shared" si="18"/>
        <v>6</v>
      </c>
      <c r="F202">
        <f t="shared" si="19"/>
        <v>29</v>
      </c>
    </row>
    <row r="203" spans="1:6" x14ac:dyDescent="0.25">
      <c r="A203" s="33">
        <v>45493</v>
      </c>
      <c r="B203">
        <f t="shared" si="15"/>
        <v>20</v>
      </c>
      <c r="C203">
        <f t="shared" si="16"/>
        <v>7</v>
      </c>
      <c r="D203">
        <f t="shared" si="17"/>
        <v>2024</v>
      </c>
      <c r="E203">
        <f t="shared" si="18"/>
        <v>7</v>
      </c>
      <c r="F203">
        <f t="shared" si="19"/>
        <v>29</v>
      </c>
    </row>
    <row r="204" spans="1:6" x14ac:dyDescent="0.25">
      <c r="A204" s="32">
        <v>45494</v>
      </c>
      <c r="B204">
        <f t="shared" si="15"/>
        <v>21</v>
      </c>
      <c r="C204">
        <f t="shared" si="16"/>
        <v>7</v>
      </c>
      <c r="D204">
        <f t="shared" si="17"/>
        <v>2024</v>
      </c>
      <c r="E204">
        <f t="shared" si="18"/>
        <v>1</v>
      </c>
      <c r="F204">
        <f t="shared" si="19"/>
        <v>29</v>
      </c>
    </row>
    <row r="205" spans="1:6" x14ac:dyDescent="0.25">
      <c r="A205" s="33">
        <v>45495</v>
      </c>
      <c r="B205">
        <f t="shared" si="15"/>
        <v>22</v>
      </c>
      <c r="C205">
        <f t="shared" si="16"/>
        <v>7</v>
      </c>
      <c r="D205">
        <f t="shared" si="17"/>
        <v>2024</v>
      </c>
      <c r="E205">
        <f t="shared" si="18"/>
        <v>2</v>
      </c>
      <c r="F205">
        <f t="shared" si="19"/>
        <v>30</v>
      </c>
    </row>
    <row r="206" spans="1:6" x14ac:dyDescent="0.25">
      <c r="A206" s="32">
        <v>45496</v>
      </c>
      <c r="B206">
        <f t="shared" si="15"/>
        <v>23</v>
      </c>
      <c r="C206">
        <f t="shared" si="16"/>
        <v>7</v>
      </c>
      <c r="D206">
        <f t="shared" si="17"/>
        <v>2024</v>
      </c>
      <c r="E206">
        <f t="shared" si="18"/>
        <v>3</v>
      </c>
      <c r="F206">
        <f t="shared" si="19"/>
        <v>30</v>
      </c>
    </row>
    <row r="207" spans="1:6" x14ac:dyDescent="0.25">
      <c r="A207" s="33">
        <v>45497</v>
      </c>
      <c r="B207">
        <f t="shared" si="15"/>
        <v>24</v>
      </c>
      <c r="C207">
        <f t="shared" si="16"/>
        <v>7</v>
      </c>
      <c r="D207">
        <f t="shared" si="17"/>
        <v>2024</v>
      </c>
      <c r="E207">
        <f t="shared" si="18"/>
        <v>4</v>
      </c>
      <c r="F207">
        <f t="shared" si="19"/>
        <v>30</v>
      </c>
    </row>
    <row r="208" spans="1:6" x14ac:dyDescent="0.25">
      <c r="A208" s="32">
        <v>45498</v>
      </c>
      <c r="B208">
        <f t="shared" si="15"/>
        <v>25</v>
      </c>
      <c r="C208">
        <f t="shared" si="16"/>
        <v>7</v>
      </c>
      <c r="D208">
        <f t="shared" si="17"/>
        <v>2024</v>
      </c>
      <c r="E208">
        <f t="shared" si="18"/>
        <v>5</v>
      </c>
      <c r="F208">
        <f t="shared" si="19"/>
        <v>30</v>
      </c>
    </row>
    <row r="209" spans="1:6" x14ac:dyDescent="0.25">
      <c r="A209" s="33">
        <v>45499</v>
      </c>
      <c r="B209">
        <f t="shared" si="15"/>
        <v>26</v>
      </c>
      <c r="C209">
        <f t="shared" si="16"/>
        <v>7</v>
      </c>
      <c r="D209">
        <f t="shared" si="17"/>
        <v>2024</v>
      </c>
      <c r="E209">
        <f t="shared" si="18"/>
        <v>6</v>
      </c>
      <c r="F209">
        <f t="shared" si="19"/>
        <v>30</v>
      </c>
    </row>
    <row r="210" spans="1:6" x14ac:dyDescent="0.25">
      <c r="A210" s="32">
        <v>45500</v>
      </c>
      <c r="B210">
        <f t="shared" si="15"/>
        <v>27</v>
      </c>
      <c r="C210">
        <f t="shared" si="16"/>
        <v>7</v>
      </c>
      <c r="D210">
        <f t="shared" si="17"/>
        <v>2024</v>
      </c>
      <c r="E210">
        <f t="shared" si="18"/>
        <v>7</v>
      </c>
      <c r="F210">
        <f t="shared" si="19"/>
        <v>30</v>
      </c>
    </row>
    <row r="211" spans="1:6" x14ac:dyDescent="0.25">
      <c r="A211" s="33">
        <v>45501</v>
      </c>
      <c r="B211">
        <f t="shared" si="15"/>
        <v>28</v>
      </c>
      <c r="C211">
        <f t="shared" si="16"/>
        <v>7</v>
      </c>
      <c r="D211">
        <f t="shared" si="17"/>
        <v>2024</v>
      </c>
      <c r="E211">
        <f t="shared" si="18"/>
        <v>1</v>
      </c>
      <c r="F211">
        <f t="shared" si="19"/>
        <v>30</v>
      </c>
    </row>
    <row r="212" spans="1:6" x14ac:dyDescent="0.25">
      <c r="A212" s="32">
        <v>45502</v>
      </c>
      <c r="B212">
        <f t="shared" si="15"/>
        <v>29</v>
      </c>
      <c r="C212">
        <f t="shared" si="16"/>
        <v>7</v>
      </c>
      <c r="D212">
        <f t="shared" si="17"/>
        <v>2024</v>
      </c>
      <c r="E212">
        <f t="shared" si="18"/>
        <v>2</v>
      </c>
      <c r="F212">
        <f t="shared" si="19"/>
        <v>31</v>
      </c>
    </row>
    <row r="213" spans="1:6" x14ac:dyDescent="0.25">
      <c r="A213" s="33">
        <v>45503</v>
      </c>
      <c r="B213">
        <f t="shared" si="15"/>
        <v>30</v>
      </c>
      <c r="C213">
        <f t="shared" si="16"/>
        <v>7</v>
      </c>
      <c r="D213">
        <f t="shared" si="17"/>
        <v>2024</v>
      </c>
      <c r="E213">
        <f t="shared" si="18"/>
        <v>3</v>
      </c>
      <c r="F213">
        <f t="shared" si="19"/>
        <v>31</v>
      </c>
    </row>
    <row r="214" spans="1:6" x14ac:dyDescent="0.25">
      <c r="A214" s="32">
        <v>45504</v>
      </c>
      <c r="B214">
        <f t="shared" si="15"/>
        <v>31</v>
      </c>
      <c r="C214">
        <f t="shared" si="16"/>
        <v>7</v>
      </c>
      <c r="D214">
        <f t="shared" si="17"/>
        <v>2024</v>
      </c>
      <c r="E214">
        <f t="shared" si="18"/>
        <v>4</v>
      </c>
      <c r="F214">
        <f t="shared" si="19"/>
        <v>31</v>
      </c>
    </row>
    <row r="215" spans="1:6" x14ac:dyDescent="0.25">
      <c r="A215" s="33">
        <v>45505</v>
      </c>
      <c r="B215">
        <f t="shared" si="15"/>
        <v>1</v>
      </c>
      <c r="C215">
        <f t="shared" si="16"/>
        <v>8</v>
      </c>
      <c r="D215">
        <f t="shared" si="17"/>
        <v>2024</v>
      </c>
      <c r="E215">
        <f t="shared" si="18"/>
        <v>5</v>
      </c>
      <c r="F215">
        <f t="shared" si="19"/>
        <v>31</v>
      </c>
    </row>
    <row r="216" spans="1:6" x14ac:dyDescent="0.25">
      <c r="A216" s="32">
        <v>45506</v>
      </c>
      <c r="B216">
        <f t="shared" si="15"/>
        <v>2</v>
      </c>
      <c r="C216">
        <f t="shared" si="16"/>
        <v>8</v>
      </c>
      <c r="D216">
        <f t="shared" si="17"/>
        <v>2024</v>
      </c>
      <c r="E216">
        <f t="shared" si="18"/>
        <v>6</v>
      </c>
      <c r="F216">
        <f t="shared" si="19"/>
        <v>31</v>
      </c>
    </row>
    <row r="217" spans="1:6" x14ac:dyDescent="0.25">
      <c r="A217" s="33">
        <v>45507</v>
      </c>
      <c r="B217">
        <f t="shared" si="15"/>
        <v>3</v>
      </c>
      <c r="C217">
        <f t="shared" si="16"/>
        <v>8</v>
      </c>
      <c r="D217">
        <f t="shared" si="17"/>
        <v>2024</v>
      </c>
      <c r="E217">
        <f t="shared" si="18"/>
        <v>7</v>
      </c>
      <c r="F217">
        <f t="shared" si="19"/>
        <v>31</v>
      </c>
    </row>
    <row r="218" spans="1:6" x14ac:dyDescent="0.25">
      <c r="A218" s="32">
        <v>45508</v>
      </c>
      <c r="B218">
        <f t="shared" si="15"/>
        <v>4</v>
      </c>
      <c r="C218">
        <f t="shared" si="16"/>
        <v>8</v>
      </c>
      <c r="D218">
        <f t="shared" si="17"/>
        <v>2024</v>
      </c>
      <c r="E218">
        <f t="shared" si="18"/>
        <v>1</v>
      </c>
      <c r="F218">
        <f t="shared" si="19"/>
        <v>31</v>
      </c>
    </row>
    <row r="219" spans="1:6" x14ac:dyDescent="0.25">
      <c r="A219" s="33">
        <v>45509</v>
      </c>
      <c r="B219">
        <f t="shared" si="15"/>
        <v>5</v>
      </c>
      <c r="C219">
        <f t="shared" si="16"/>
        <v>8</v>
      </c>
      <c r="D219">
        <f t="shared" si="17"/>
        <v>2024</v>
      </c>
      <c r="E219">
        <f t="shared" si="18"/>
        <v>2</v>
      </c>
      <c r="F219">
        <f t="shared" si="19"/>
        <v>32</v>
      </c>
    </row>
    <row r="220" spans="1:6" x14ac:dyDescent="0.25">
      <c r="A220" s="32">
        <v>45510</v>
      </c>
      <c r="B220">
        <f t="shared" si="15"/>
        <v>6</v>
      </c>
      <c r="C220">
        <f t="shared" si="16"/>
        <v>8</v>
      </c>
      <c r="D220">
        <f t="shared" si="17"/>
        <v>2024</v>
      </c>
      <c r="E220">
        <f t="shared" si="18"/>
        <v>3</v>
      </c>
      <c r="F220">
        <f t="shared" si="19"/>
        <v>32</v>
      </c>
    </row>
    <row r="221" spans="1:6" x14ac:dyDescent="0.25">
      <c r="A221" s="33">
        <v>45511</v>
      </c>
      <c r="B221">
        <f t="shared" si="15"/>
        <v>7</v>
      </c>
      <c r="C221">
        <f t="shared" si="16"/>
        <v>8</v>
      </c>
      <c r="D221">
        <f t="shared" si="17"/>
        <v>2024</v>
      </c>
      <c r="E221">
        <f t="shared" si="18"/>
        <v>4</v>
      </c>
      <c r="F221">
        <f t="shared" si="19"/>
        <v>32</v>
      </c>
    </row>
    <row r="222" spans="1:6" x14ac:dyDescent="0.25">
      <c r="A222" s="32">
        <v>45512</v>
      </c>
      <c r="B222">
        <f t="shared" si="15"/>
        <v>8</v>
      </c>
      <c r="C222">
        <f t="shared" si="16"/>
        <v>8</v>
      </c>
      <c r="D222">
        <f t="shared" si="17"/>
        <v>2024</v>
      </c>
      <c r="E222">
        <f t="shared" si="18"/>
        <v>5</v>
      </c>
      <c r="F222">
        <f t="shared" si="19"/>
        <v>32</v>
      </c>
    </row>
    <row r="223" spans="1:6" x14ac:dyDescent="0.25">
      <c r="A223" s="33">
        <v>45513</v>
      </c>
      <c r="B223">
        <f t="shared" si="15"/>
        <v>9</v>
      </c>
      <c r="C223">
        <f t="shared" si="16"/>
        <v>8</v>
      </c>
      <c r="D223">
        <f t="shared" si="17"/>
        <v>2024</v>
      </c>
      <c r="E223">
        <f t="shared" si="18"/>
        <v>6</v>
      </c>
      <c r="F223">
        <f t="shared" si="19"/>
        <v>32</v>
      </c>
    </row>
    <row r="224" spans="1:6" x14ac:dyDescent="0.25">
      <c r="A224" s="32">
        <v>45514</v>
      </c>
      <c r="B224">
        <f t="shared" si="15"/>
        <v>10</v>
      </c>
      <c r="C224">
        <f t="shared" si="16"/>
        <v>8</v>
      </c>
      <c r="D224">
        <f t="shared" si="17"/>
        <v>2024</v>
      </c>
      <c r="E224">
        <f t="shared" si="18"/>
        <v>7</v>
      </c>
      <c r="F224">
        <f t="shared" si="19"/>
        <v>32</v>
      </c>
    </row>
    <row r="225" spans="1:6" x14ac:dyDescent="0.25">
      <c r="A225" s="33">
        <v>45515</v>
      </c>
      <c r="B225">
        <f t="shared" si="15"/>
        <v>11</v>
      </c>
      <c r="C225">
        <f t="shared" si="16"/>
        <v>8</v>
      </c>
      <c r="D225">
        <f t="shared" si="17"/>
        <v>2024</v>
      </c>
      <c r="E225">
        <f t="shared" si="18"/>
        <v>1</v>
      </c>
      <c r="F225">
        <f t="shared" si="19"/>
        <v>32</v>
      </c>
    </row>
    <row r="226" spans="1:6" x14ac:dyDescent="0.25">
      <c r="A226" s="32">
        <v>45516</v>
      </c>
      <c r="B226">
        <f t="shared" si="15"/>
        <v>12</v>
      </c>
      <c r="C226">
        <f t="shared" si="16"/>
        <v>8</v>
      </c>
      <c r="D226">
        <f t="shared" si="17"/>
        <v>2024</v>
      </c>
      <c r="E226">
        <f t="shared" si="18"/>
        <v>2</v>
      </c>
      <c r="F226">
        <f t="shared" si="19"/>
        <v>33</v>
      </c>
    </row>
    <row r="227" spans="1:6" x14ac:dyDescent="0.25">
      <c r="A227" s="33">
        <v>45517</v>
      </c>
      <c r="B227">
        <f t="shared" si="15"/>
        <v>13</v>
      </c>
      <c r="C227">
        <f t="shared" si="16"/>
        <v>8</v>
      </c>
      <c r="D227">
        <f t="shared" si="17"/>
        <v>2024</v>
      </c>
      <c r="E227">
        <f t="shared" si="18"/>
        <v>3</v>
      </c>
      <c r="F227">
        <f t="shared" si="19"/>
        <v>33</v>
      </c>
    </row>
    <row r="228" spans="1:6" x14ac:dyDescent="0.25">
      <c r="A228" s="32">
        <v>45518</v>
      </c>
      <c r="B228">
        <f t="shared" si="15"/>
        <v>14</v>
      </c>
      <c r="C228">
        <f t="shared" si="16"/>
        <v>8</v>
      </c>
      <c r="D228">
        <f t="shared" si="17"/>
        <v>2024</v>
      </c>
      <c r="E228">
        <f t="shared" si="18"/>
        <v>4</v>
      </c>
      <c r="F228">
        <f t="shared" si="19"/>
        <v>33</v>
      </c>
    </row>
    <row r="229" spans="1:6" x14ac:dyDescent="0.25">
      <c r="A229" s="33">
        <v>45519</v>
      </c>
      <c r="B229">
        <f t="shared" si="15"/>
        <v>15</v>
      </c>
      <c r="C229">
        <f t="shared" si="16"/>
        <v>8</v>
      </c>
      <c r="D229">
        <f t="shared" si="17"/>
        <v>2024</v>
      </c>
      <c r="E229">
        <f t="shared" si="18"/>
        <v>5</v>
      </c>
      <c r="F229">
        <f t="shared" si="19"/>
        <v>33</v>
      </c>
    </row>
    <row r="230" spans="1:6" x14ac:dyDescent="0.25">
      <c r="A230" s="32">
        <v>45520</v>
      </c>
      <c r="B230">
        <f t="shared" si="15"/>
        <v>16</v>
      </c>
      <c r="C230">
        <f t="shared" si="16"/>
        <v>8</v>
      </c>
      <c r="D230">
        <f t="shared" si="17"/>
        <v>2024</v>
      </c>
      <c r="E230">
        <f t="shared" si="18"/>
        <v>6</v>
      </c>
      <c r="F230">
        <f t="shared" si="19"/>
        <v>33</v>
      </c>
    </row>
    <row r="231" spans="1:6" x14ac:dyDescent="0.25">
      <c r="A231" s="33">
        <v>45521</v>
      </c>
      <c r="B231">
        <f t="shared" si="15"/>
        <v>17</v>
      </c>
      <c r="C231">
        <f t="shared" si="16"/>
        <v>8</v>
      </c>
      <c r="D231">
        <f t="shared" si="17"/>
        <v>2024</v>
      </c>
      <c r="E231">
        <f t="shared" si="18"/>
        <v>7</v>
      </c>
      <c r="F231">
        <f t="shared" si="19"/>
        <v>33</v>
      </c>
    </row>
    <row r="232" spans="1:6" x14ac:dyDescent="0.25">
      <c r="A232" s="32">
        <v>45522</v>
      </c>
      <c r="B232">
        <f t="shared" si="15"/>
        <v>18</v>
      </c>
      <c r="C232">
        <f t="shared" si="16"/>
        <v>8</v>
      </c>
      <c r="D232">
        <f t="shared" si="17"/>
        <v>2024</v>
      </c>
      <c r="E232">
        <f t="shared" si="18"/>
        <v>1</v>
      </c>
      <c r="F232">
        <f t="shared" si="19"/>
        <v>33</v>
      </c>
    </row>
    <row r="233" spans="1:6" x14ac:dyDescent="0.25">
      <c r="A233" s="33">
        <v>45523</v>
      </c>
      <c r="B233">
        <f t="shared" si="15"/>
        <v>19</v>
      </c>
      <c r="C233">
        <f t="shared" si="16"/>
        <v>8</v>
      </c>
      <c r="D233">
        <f t="shared" si="17"/>
        <v>2024</v>
      </c>
      <c r="E233">
        <f t="shared" si="18"/>
        <v>2</v>
      </c>
      <c r="F233">
        <f t="shared" si="19"/>
        <v>34</v>
      </c>
    </row>
    <row r="234" spans="1:6" x14ac:dyDescent="0.25">
      <c r="A234" s="32">
        <v>45524</v>
      </c>
      <c r="B234">
        <f t="shared" si="15"/>
        <v>20</v>
      </c>
      <c r="C234">
        <f t="shared" si="16"/>
        <v>8</v>
      </c>
      <c r="D234">
        <f t="shared" si="17"/>
        <v>2024</v>
      </c>
      <c r="E234">
        <f t="shared" si="18"/>
        <v>3</v>
      </c>
      <c r="F234">
        <f t="shared" si="19"/>
        <v>34</v>
      </c>
    </row>
    <row r="235" spans="1:6" x14ac:dyDescent="0.25">
      <c r="A235" s="33">
        <v>45525</v>
      </c>
      <c r="B235">
        <f t="shared" si="15"/>
        <v>21</v>
      </c>
      <c r="C235">
        <f t="shared" si="16"/>
        <v>8</v>
      </c>
      <c r="D235">
        <f t="shared" si="17"/>
        <v>2024</v>
      </c>
      <c r="E235">
        <f t="shared" si="18"/>
        <v>4</v>
      </c>
      <c r="F235">
        <f t="shared" si="19"/>
        <v>34</v>
      </c>
    </row>
    <row r="236" spans="1:6" x14ac:dyDescent="0.25">
      <c r="A236" s="32">
        <v>45526</v>
      </c>
      <c r="B236">
        <f t="shared" si="15"/>
        <v>22</v>
      </c>
      <c r="C236">
        <f t="shared" si="16"/>
        <v>8</v>
      </c>
      <c r="D236">
        <f t="shared" si="17"/>
        <v>2024</v>
      </c>
      <c r="E236">
        <f t="shared" si="18"/>
        <v>5</v>
      </c>
      <c r="F236">
        <f t="shared" si="19"/>
        <v>34</v>
      </c>
    </row>
    <row r="237" spans="1:6" x14ac:dyDescent="0.25">
      <c r="A237" s="33">
        <v>45527</v>
      </c>
      <c r="B237">
        <f t="shared" si="15"/>
        <v>23</v>
      </c>
      <c r="C237">
        <f t="shared" si="16"/>
        <v>8</v>
      </c>
      <c r="D237">
        <f t="shared" si="17"/>
        <v>2024</v>
      </c>
      <c r="E237">
        <f t="shared" si="18"/>
        <v>6</v>
      </c>
      <c r="F237">
        <f t="shared" si="19"/>
        <v>34</v>
      </c>
    </row>
    <row r="238" spans="1:6" x14ac:dyDescent="0.25">
      <c r="A238" s="32">
        <v>45528</v>
      </c>
      <c r="B238">
        <f t="shared" si="15"/>
        <v>24</v>
      </c>
      <c r="C238">
        <f t="shared" si="16"/>
        <v>8</v>
      </c>
      <c r="D238">
        <f t="shared" si="17"/>
        <v>2024</v>
      </c>
      <c r="E238">
        <f t="shared" si="18"/>
        <v>7</v>
      </c>
      <c r="F238">
        <f t="shared" si="19"/>
        <v>34</v>
      </c>
    </row>
    <row r="239" spans="1:6" x14ac:dyDescent="0.25">
      <c r="A239" s="33">
        <v>45529</v>
      </c>
      <c r="B239">
        <f t="shared" si="15"/>
        <v>25</v>
      </c>
      <c r="C239">
        <f t="shared" si="16"/>
        <v>8</v>
      </c>
      <c r="D239">
        <f t="shared" si="17"/>
        <v>2024</v>
      </c>
      <c r="E239">
        <f t="shared" si="18"/>
        <v>1</v>
      </c>
      <c r="F239">
        <f t="shared" si="19"/>
        <v>34</v>
      </c>
    </row>
    <row r="240" spans="1:6" x14ac:dyDescent="0.25">
      <c r="A240" s="32">
        <v>45530</v>
      </c>
      <c r="B240">
        <f t="shared" si="15"/>
        <v>26</v>
      </c>
      <c r="C240">
        <f t="shared" si="16"/>
        <v>8</v>
      </c>
      <c r="D240">
        <f t="shared" si="17"/>
        <v>2024</v>
      </c>
      <c r="E240">
        <f t="shared" si="18"/>
        <v>2</v>
      </c>
      <c r="F240">
        <f t="shared" si="19"/>
        <v>35</v>
      </c>
    </row>
    <row r="241" spans="1:6" x14ac:dyDescent="0.25">
      <c r="A241" s="33">
        <v>45531</v>
      </c>
      <c r="B241">
        <f t="shared" si="15"/>
        <v>27</v>
      </c>
      <c r="C241">
        <f t="shared" si="16"/>
        <v>8</v>
      </c>
      <c r="D241">
        <f t="shared" si="17"/>
        <v>2024</v>
      </c>
      <c r="E241">
        <f t="shared" si="18"/>
        <v>3</v>
      </c>
      <c r="F241">
        <f t="shared" si="19"/>
        <v>35</v>
      </c>
    </row>
    <row r="242" spans="1:6" x14ac:dyDescent="0.25">
      <c r="A242" s="32">
        <v>45532</v>
      </c>
      <c r="B242">
        <f t="shared" si="15"/>
        <v>28</v>
      </c>
      <c r="C242">
        <f t="shared" si="16"/>
        <v>8</v>
      </c>
      <c r="D242">
        <f t="shared" si="17"/>
        <v>2024</v>
      </c>
      <c r="E242">
        <f t="shared" si="18"/>
        <v>4</v>
      </c>
      <c r="F242">
        <f t="shared" si="19"/>
        <v>35</v>
      </c>
    </row>
    <row r="243" spans="1:6" x14ac:dyDescent="0.25">
      <c r="A243" s="33">
        <v>45533</v>
      </c>
      <c r="B243">
        <f t="shared" si="15"/>
        <v>29</v>
      </c>
      <c r="C243">
        <f t="shared" si="16"/>
        <v>8</v>
      </c>
      <c r="D243">
        <f t="shared" si="17"/>
        <v>2024</v>
      </c>
      <c r="E243">
        <f t="shared" si="18"/>
        <v>5</v>
      </c>
      <c r="F243">
        <f t="shared" si="19"/>
        <v>35</v>
      </c>
    </row>
    <row r="244" spans="1:6" x14ac:dyDescent="0.25">
      <c r="A244" s="32">
        <v>45534</v>
      </c>
      <c r="B244">
        <f t="shared" si="15"/>
        <v>30</v>
      </c>
      <c r="C244">
        <f t="shared" si="16"/>
        <v>8</v>
      </c>
      <c r="D244">
        <f t="shared" si="17"/>
        <v>2024</v>
      </c>
      <c r="E244">
        <f t="shared" si="18"/>
        <v>6</v>
      </c>
      <c r="F244">
        <f t="shared" si="19"/>
        <v>35</v>
      </c>
    </row>
    <row r="245" spans="1:6" x14ac:dyDescent="0.25">
      <c r="A245" s="33">
        <v>45535</v>
      </c>
      <c r="B245">
        <f t="shared" si="15"/>
        <v>31</v>
      </c>
      <c r="C245">
        <f t="shared" si="16"/>
        <v>8</v>
      </c>
      <c r="D245">
        <f t="shared" si="17"/>
        <v>2024</v>
      </c>
      <c r="E245">
        <f t="shared" si="18"/>
        <v>7</v>
      </c>
      <c r="F245">
        <f t="shared" si="19"/>
        <v>35</v>
      </c>
    </row>
    <row r="246" spans="1:6" x14ac:dyDescent="0.25">
      <c r="A246" s="32">
        <v>45536</v>
      </c>
      <c r="B246">
        <f t="shared" si="15"/>
        <v>1</v>
      </c>
      <c r="C246">
        <f t="shared" si="16"/>
        <v>9</v>
      </c>
      <c r="D246">
        <f t="shared" si="17"/>
        <v>2024</v>
      </c>
      <c r="E246">
        <f t="shared" si="18"/>
        <v>1</v>
      </c>
      <c r="F246">
        <f t="shared" si="19"/>
        <v>35</v>
      </c>
    </row>
    <row r="247" spans="1:6" x14ac:dyDescent="0.25">
      <c r="A247" s="33">
        <v>45537</v>
      </c>
      <c r="B247">
        <f t="shared" si="15"/>
        <v>2</v>
      </c>
      <c r="C247">
        <f t="shared" si="16"/>
        <v>9</v>
      </c>
      <c r="D247">
        <f t="shared" si="17"/>
        <v>2024</v>
      </c>
      <c r="E247">
        <f t="shared" si="18"/>
        <v>2</v>
      </c>
      <c r="F247">
        <f t="shared" si="19"/>
        <v>36</v>
      </c>
    </row>
    <row r="248" spans="1:6" x14ac:dyDescent="0.25">
      <c r="A248" s="32">
        <v>45538</v>
      </c>
      <c r="B248">
        <f t="shared" si="15"/>
        <v>3</v>
      </c>
      <c r="C248">
        <f t="shared" si="16"/>
        <v>9</v>
      </c>
      <c r="D248">
        <f t="shared" si="17"/>
        <v>2024</v>
      </c>
      <c r="E248">
        <f t="shared" si="18"/>
        <v>3</v>
      </c>
      <c r="F248">
        <f t="shared" si="19"/>
        <v>36</v>
      </c>
    </row>
    <row r="249" spans="1:6" x14ac:dyDescent="0.25">
      <c r="A249" s="33">
        <v>45539</v>
      </c>
      <c r="B249">
        <f t="shared" si="15"/>
        <v>4</v>
      </c>
      <c r="C249">
        <f t="shared" si="16"/>
        <v>9</v>
      </c>
      <c r="D249">
        <f t="shared" si="17"/>
        <v>2024</v>
      </c>
      <c r="E249">
        <f t="shared" si="18"/>
        <v>4</v>
      </c>
      <c r="F249">
        <f t="shared" si="19"/>
        <v>36</v>
      </c>
    </row>
    <row r="250" spans="1:6" x14ac:dyDescent="0.25">
      <c r="A250" s="32">
        <v>45540</v>
      </c>
      <c r="B250">
        <f t="shared" si="15"/>
        <v>5</v>
      </c>
      <c r="C250">
        <f t="shared" si="16"/>
        <v>9</v>
      </c>
      <c r="D250">
        <f t="shared" si="17"/>
        <v>2024</v>
      </c>
      <c r="E250">
        <f t="shared" si="18"/>
        <v>5</v>
      </c>
      <c r="F250">
        <f t="shared" si="19"/>
        <v>36</v>
      </c>
    </row>
    <row r="251" spans="1:6" x14ac:dyDescent="0.25">
      <c r="A251" s="33">
        <v>45541</v>
      </c>
      <c r="B251">
        <f t="shared" si="15"/>
        <v>6</v>
      </c>
      <c r="C251">
        <f t="shared" si="16"/>
        <v>9</v>
      </c>
      <c r="D251">
        <f t="shared" si="17"/>
        <v>2024</v>
      </c>
      <c r="E251">
        <f t="shared" si="18"/>
        <v>6</v>
      </c>
      <c r="F251">
        <f t="shared" si="19"/>
        <v>36</v>
      </c>
    </row>
    <row r="252" spans="1:6" x14ac:dyDescent="0.25">
      <c r="A252" s="32">
        <v>45542</v>
      </c>
      <c r="B252">
        <f t="shared" si="15"/>
        <v>7</v>
      </c>
      <c r="C252">
        <f t="shared" si="16"/>
        <v>9</v>
      </c>
      <c r="D252">
        <f t="shared" si="17"/>
        <v>2024</v>
      </c>
      <c r="E252">
        <f t="shared" si="18"/>
        <v>7</v>
      </c>
      <c r="F252">
        <f t="shared" si="19"/>
        <v>36</v>
      </c>
    </row>
    <row r="253" spans="1:6" x14ac:dyDescent="0.25">
      <c r="A253" s="33">
        <v>45543</v>
      </c>
      <c r="B253">
        <f t="shared" si="15"/>
        <v>8</v>
      </c>
      <c r="C253">
        <f t="shared" si="16"/>
        <v>9</v>
      </c>
      <c r="D253">
        <f t="shared" si="17"/>
        <v>2024</v>
      </c>
      <c r="E253">
        <f t="shared" si="18"/>
        <v>1</v>
      </c>
      <c r="F253">
        <f t="shared" si="19"/>
        <v>36</v>
      </c>
    </row>
    <row r="254" spans="1:6" x14ac:dyDescent="0.25">
      <c r="A254" s="32">
        <v>45544</v>
      </c>
      <c r="B254">
        <f t="shared" si="15"/>
        <v>9</v>
      </c>
      <c r="C254">
        <f t="shared" si="16"/>
        <v>9</v>
      </c>
      <c r="D254">
        <f t="shared" si="17"/>
        <v>2024</v>
      </c>
      <c r="E254">
        <f t="shared" si="18"/>
        <v>2</v>
      </c>
      <c r="F254">
        <f t="shared" si="19"/>
        <v>37</v>
      </c>
    </row>
    <row r="255" spans="1:6" x14ac:dyDescent="0.25">
      <c r="A255" s="33">
        <v>45545</v>
      </c>
      <c r="B255">
        <f t="shared" si="15"/>
        <v>10</v>
      </c>
      <c r="C255">
        <f t="shared" si="16"/>
        <v>9</v>
      </c>
      <c r="D255">
        <f t="shared" si="17"/>
        <v>2024</v>
      </c>
      <c r="E255">
        <f t="shared" si="18"/>
        <v>3</v>
      </c>
      <c r="F255">
        <f t="shared" si="19"/>
        <v>37</v>
      </c>
    </row>
    <row r="256" spans="1:6" x14ac:dyDescent="0.25">
      <c r="A256" s="32">
        <v>45546</v>
      </c>
      <c r="B256">
        <f t="shared" si="15"/>
        <v>11</v>
      </c>
      <c r="C256">
        <f t="shared" si="16"/>
        <v>9</v>
      </c>
      <c r="D256">
        <f t="shared" si="17"/>
        <v>2024</v>
      </c>
      <c r="E256">
        <f t="shared" si="18"/>
        <v>4</v>
      </c>
      <c r="F256">
        <f t="shared" si="19"/>
        <v>37</v>
      </c>
    </row>
    <row r="257" spans="1:6" x14ac:dyDescent="0.25">
      <c r="A257" s="33">
        <v>45547</v>
      </c>
      <c r="B257">
        <f t="shared" si="15"/>
        <v>12</v>
      </c>
      <c r="C257">
        <f t="shared" si="16"/>
        <v>9</v>
      </c>
      <c r="D257">
        <f t="shared" si="17"/>
        <v>2024</v>
      </c>
      <c r="E257">
        <f t="shared" si="18"/>
        <v>5</v>
      </c>
      <c r="F257">
        <f t="shared" si="19"/>
        <v>37</v>
      </c>
    </row>
    <row r="258" spans="1:6" x14ac:dyDescent="0.25">
      <c r="A258" s="32">
        <v>45548</v>
      </c>
      <c r="B258">
        <f t="shared" si="15"/>
        <v>13</v>
      </c>
      <c r="C258">
        <f t="shared" si="16"/>
        <v>9</v>
      </c>
      <c r="D258">
        <f t="shared" si="17"/>
        <v>2024</v>
      </c>
      <c r="E258">
        <f t="shared" si="18"/>
        <v>6</v>
      </c>
      <c r="F258">
        <f t="shared" si="19"/>
        <v>37</v>
      </c>
    </row>
    <row r="259" spans="1:6" x14ac:dyDescent="0.25">
      <c r="A259" s="33">
        <v>45549</v>
      </c>
      <c r="B259">
        <f t="shared" ref="B259:B322" si="20">DAY(A259)</f>
        <v>14</v>
      </c>
      <c r="C259">
        <f t="shared" ref="C259:C322" si="21">MONTH(A259)</f>
        <v>9</v>
      </c>
      <c r="D259">
        <f t="shared" ref="D259:D322" si="22">YEAR(A259)</f>
        <v>2024</v>
      </c>
      <c r="E259">
        <f t="shared" ref="E259:E322" si="23">WEEKDAY(A259)</f>
        <v>7</v>
      </c>
      <c r="F259">
        <f t="shared" ref="F259:F322" si="24">_xlfn.ISOWEEKNUM(A259)</f>
        <v>37</v>
      </c>
    </row>
    <row r="260" spans="1:6" x14ac:dyDescent="0.25">
      <c r="A260" s="32">
        <v>45550</v>
      </c>
      <c r="B260">
        <f t="shared" si="20"/>
        <v>15</v>
      </c>
      <c r="C260">
        <f t="shared" si="21"/>
        <v>9</v>
      </c>
      <c r="D260">
        <f t="shared" si="22"/>
        <v>2024</v>
      </c>
      <c r="E260">
        <f t="shared" si="23"/>
        <v>1</v>
      </c>
      <c r="F260">
        <f t="shared" si="24"/>
        <v>37</v>
      </c>
    </row>
    <row r="261" spans="1:6" x14ac:dyDescent="0.25">
      <c r="A261" s="33">
        <v>45551</v>
      </c>
      <c r="B261">
        <f t="shared" si="20"/>
        <v>16</v>
      </c>
      <c r="C261">
        <f t="shared" si="21"/>
        <v>9</v>
      </c>
      <c r="D261">
        <f t="shared" si="22"/>
        <v>2024</v>
      </c>
      <c r="E261">
        <f t="shared" si="23"/>
        <v>2</v>
      </c>
      <c r="F261">
        <f t="shared" si="24"/>
        <v>38</v>
      </c>
    </row>
    <row r="262" spans="1:6" x14ac:dyDescent="0.25">
      <c r="A262" s="32">
        <v>45552</v>
      </c>
      <c r="B262">
        <f t="shared" si="20"/>
        <v>17</v>
      </c>
      <c r="C262">
        <f t="shared" si="21"/>
        <v>9</v>
      </c>
      <c r="D262">
        <f t="shared" si="22"/>
        <v>2024</v>
      </c>
      <c r="E262">
        <f t="shared" si="23"/>
        <v>3</v>
      </c>
      <c r="F262">
        <f t="shared" si="24"/>
        <v>38</v>
      </c>
    </row>
    <row r="263" spans="1:6" x14ac:dyDescent="0.25">
      <c r="A263" s="33">
        <v>45553</v>
      </c>
      <c r="B263">
        <f t="shared" si="20"/>
        <v>18</v>
      </c>
      <c r="C263">
        <f t="shared" si="21"/>
        <v>9</v>
      </c>
      <c r="D263">
        <f t="shared" si="22"/>
        <v>2024</v>
      </c>
      <c r="E263">
        <f t="shared" si="23"/>
        <v>4</v>
      </c>
      <c r="F263">
        <f t="shared" si="24"/>
        <v>38</v>
      </c>
    </row>
    <row r="264" spans="1:6" x14ac:dyDescent="0.25">
      <c r="A264" s="32">
        <v>45554</v>
      </c>
      <c r="B264">
        <f t="shared" si="20"/>
        <v>19</v>
      </c>
      <c r="C264">
        <f t="shared" si="21"/>
        <v>9</v>
      </c>
      <c r="D264">
        <f t="shared" si="22"/>
        <v>2024</v>
      </c>
      <c r="E264">
        <f t="shared" si="23"/>
        <v>5</v>
      </c>
      <c r="F264">
        <f t="shared" si="24"/>
        <v>38</v>
      </c>
    </row>
    <row r="265" spans="1:6" x14ac:dyDescent="0.25">
      <c r="A265" s="33">
        <v>45555</v>
      </c>
      <c r="B265">
        <f t="shared" si="20"/>
        <v>20</v>
      </c>
      <c r="C265">
        <f t="shared" si="21"/>
        <v>9</v>
      </c>
      <c r="D265">
        <f t="shared" si="22"/>
        <v>2024</v>
      </c>
      <c r="E265">
        <f t="shared" si="23"/>
        <v>6</v>
      </c>
      <c r="F265">
        <f t="shared" si="24"/>
        <v>38</v>
      </c>
    </row>
    <row r="266" spans="1:6" x14ac:dyDescent="0.25">
      <c r="A266" s="32">
        <v>45556</v>
      </c>
      <c r="B266">
        <f t="shared" si="20"/>
        <v>21</v>
      </c>
      <c r="C266">
        <f t="shared" si="21"/>
        <v>9</v>
      </c>
      <c r="D266">
        <f t="shared" si="22"/>
        <v>2024</v>
      </c>
      <c r="E266">
        <f t="shared" si="23"/>
        <v>7</v>
      </c>
      <c r="F266">
        <f t="shared" si="24"/>
        <v>38</v>
      </c>
    </row>
    <row r="267" spans="1:6" x14ac:dyDescent="0.25">
      <c r="A267" s="33">
        <v>45557</v>
      </c>
      <c r="B267">
        <f t="shared" si="20"/>
        <v>22</v>
      </c>
      <c r="C267">
        <f t="shared" si="21"/>
        <v>9</v>
      </c>
      <c r="D267">
        <f t="shared" si="22"/>
        <v>2024</v>
      </c>
      <c r="E267">
        <f t="shared" si="23"/>
        <v>1</v>
      </c>
      <c r="F267">
        <f t="shared" si="24"/>
        <v>38</v>
      </c>
    </row>
    <row r="268" spans="1:6" x14ac:dyDescent="0.25">
      <c r="A268" s="32">
        <v>45558</v>
      </c>
      <c r="B268">
        <f t="shared" si="20"/>
        <v>23</v>
      </c>
      <c r="C268">
        <f t="shared" si="21"/>
        <v>9</v>
      </c>
      <c r="D268">
        <f t="shared" si="22"/>
        <v>2024</v>
      </c>
      <c r="E268">
        <f t="shared" si="23"/>
        <v>2</v>
      </c>
      <c r="F268">
        <f t="shared" si="24"/>
        <v>39</v>
      </c>
    </row>
    <row r="269" spans="1:6" x14ac:dyDescent="0.25">
      <c r="A269" s="33">
        <v>45559</v>
      </c>
      <c r="B269">
        <f t="shared" si="20"/>
        <v>24</v>
      </c>
      <c r="C269">
        <f t="shared" si="21"/>
        <v>9</v>
      </c>
      <c r="D269">
        <f t="shared" si="22"/>
        <v>2024</v>
      </c>
      <c r="E269">
        <f t="shared" si="23"/>
        <v>3</v>
      </c>
      <c r="F269">
        <f t="shared" si="24"/>
        <v>39</v>
      </c>
    </row>
    <row r="270" spans="1:6" x14ac:dyDescent="0.25">
      <c r="A270" s="32">
        <v>45560</v>
      </c>
      <c r="B270">
        <f t="shared" si="20"/>
        <v>25</v>
      </c>
      <c r="C270">
        <f t="shared" si="21"/>
        <v>9</v>
      </c>
      <c r="D270">
        <f t="shared" si="22"/>
        <v>2024</v>
      </c>
      <c r="E270">
        <f t="shared" si="23"/>
        <v>4</v>
      </c>
      <c r="F270">
        <f t="shared" si="24"/>
        <v>39</v>
      </c>
    </row>
    <row r="271" spans="1:6" x14ac:dyDescent="0.25">
      <c r="A271" s="33">
        <v>45561</v>
      </c>
      <c r="B271">
        <f t="shared" si="20"/>
        <v>26</v>
      </c>
      <c r="C271">
        <f t="shared" si="21"/>
        <v>9</v>
      </c>
      <c r="D271">
        <f t="shared" si="22"/>
        <v>2024</v>
      </c>
      <c r="E271">
        <f t="shared" si="23"/>
        <v>5</v>
      </c>
      <c r="F271">
        <f t="shared" si="24"/>
        <v>39</v>
      </c>
    </row>
    <row r="272" spans="1:6" x14ac:dyDescent="0.25">
      <c r="A272" s="32">
        <v>45562</v>
      </c>
      <c r="B272">
        <f t="shared" si="20"/>
        <v>27</v>
      </c>
      <c r="C272">
        <f t="shared" si="21"/>
        <v>9</v>
      </c>
      <c r="D272">
        <f t="shared" si="22"/>
        <v>2024</v>
      </c>
      <c r="E272">
        <f t="shared" si="23"/>
        <v>6</v>
      </c>
      <c r="F272">
        <f t="shared" si="24"/>
        <v>39</v>
      </c>
    </row>
    <row r="273" spans="1:6" x14ac:dyDescent="0.25">
      <c r="A273" s="33">
        <v>45563</v>
      </c>
      <c r="B273">
        <f t="shared" si="20"/>
        <v>28</v>
      </c>
      <c r="C273">
        <f t="shared" si="21"/>
        <v>9</v>
      </c>
      <c r="D273">
        <f t="shared" si="22"/>
        <v>2024</v>
      </c>
      <c r="E273">
        <f t="shared" si="23"/>
        <v>7</v>
      </c>
      <c r="F273">
        <f t="shared" si="24"/>
        <v>39</v>
      </c>
    </row>
    <row r="274" spans="1:6" x14ac:dyDescent="0.25">
      <c r="A274" s="32">
        <v>45564</v>
      </c>
      <c r="B274">
        <f t="shared" si="20"/>
        <v>29</v>
      </c>
      <c r="C274">
        <f t="shared" si="21"/>
        <v>9</v>
      </c>
      <c r="D274">
        <f t="shared" si="22"/>
        <v>2024</v>
      </c>
      <c r="E274">
        <f t="shared" si="23"/>
        <v>1</v>
      </c>
      <c r="F274">
        <f t="shared" si="24"/>
        <v>39</v>
      </c>
    </row>
    <row r="275" spans="1:6" x14ac:dyDescent="0.25">
      <c r="A275" s="33">
        <v>45565</v>
      </c>
      <c r="B275">
        <f t="shared" si="20"/>
        <v>30</v>
      </c>
      <c r="C275">
        <f t="shared" si="21"/>
        <v>9</v>
      </c>
      <c r="D275">
        <f t="shared" si="22"/>
        <v>2024</v>
      </c>
      <c r="E275">
        <f t="shared" si="23"/>
        <v>2</v>
      </c>
      <c r="F275">
        <f t="shared" si="24"/>
        <v>40</v>
      </c>
    </row>
    <row r="276" spans="1:6" x14ac:dyDescent="0.25">
      <c r="A276" s="32">
        <v>45566</v>
      </c>
      <c r="B276">
        <f t="shared" si="20"/>
        <v>1</v>
      </c>
      <c r="C276">
        <f t="shared" si="21"/>
        <v>10</v>
      </c>
      <c r="D276">
        <f t="shared" si="22"/>
        <v>2024</v>
      </c>
      <c r="E276">
        <f t="shared" si="23"/>
        <v>3</v>
      </c>
      <c r="F276">
        <f t="shared" si="24"/>
        <v>40</v>
      </c>
    </row>
    <row r="277" spans="1:6" x14ac:dyDescent="0.25">
      <c r="A277" s="33">
        <v>45567</v>
      </c>
      <c r="B277">
        <f t="shared" si="20"/>
        <v>2</v>
      </c>
      <c r="C277">
        <f t="shared" si="21"/>
        <v>10</v>
      </c>
      <c r="D277">
        <f t="shared" si="22"/>
        <v>2024</v>
      </c>
      <c r="E277">
        <f t="shared" si="23"/>
        <v>4</v>
      </c>
      <c r="F277">
        <f t="shared" si="24"/>
        <v>40</v>
      </c>
    </row>
    <row r="278" spans="1:6" x14ac:dyDescent="0.25">
      <c r="A278" s="32">
        <v>45568</v>
      </c>
      <c r="B278">
        <f t="shared" si="20"/>
        <v>3</v>
      </c>
      <c r="C278">
        <f t="shared" si="21"/>
        <v>10</v>
      </c>
      <c r="D278">
        <f t="shared" si="22"/>
        <v>2024</v>
      </c>
      <c r="E278">
        <f t="shared" si="23"/>
        <v>5</v>
      </c>
      <c r="F278">
        <f t="shared" si="24"/>
        <v>40</v>
      </c>
    </row>
    <row r="279" spans="1:6" x14ac:dyDescent="0.25">
      <c r="A279" s="33">
        <v>45569</v>
      </c>
      <c r="B279">
        <f t="shared" si="20"/>
        <v>4</v>
      </c>
      <c r="C279">
        <f t="shared" si="21"/>
        <v>10</v>
      </c>
      <c r="D279">
        <f t="shared" si="22"/>
        <v>2024</v>
      </c>
      <c r="E279">
        <f t="shared" si="23"/>
        <v>6</v>
      </c>
      <c r="F279">
        <f t="shared" si="24"/>
        <v>40</v>
      </c>
    </row>
    <row r="280" spans="1:6" x14ac:dyDescent="0.25">
      <c r="A280" s="32">
        <v>45570</v>
      </c>
      <c r="B280">
        <f t="shared" si="20"/>
        <v>5</v>
      </c>
      <c r="C280">
        <f t="shared" si="21"/>
        <v>10</v>
      </c>
      <c r="D280">
        <f t="shared" si="22"/>
        <v>2024</v>
      </c>
      <c r="E280">
        <f t="shared" si="23"/>
        <v>7</v>
      </c>
      <c r="F280">
        <f t="shared" si="24"/>
        <v>40</v>
      </c>
    </row>
    <row r="281" spans="1:6" x14ac:dyDescent="0.25">
      <c r="A281" s="33">
        <v>45571</v>
      </c>
      <c r="B281">
        <f t="shared" si="20"/>
        <v>6</v>
      </c>
      <c r="C281">
        <f t="shared" si="21"/>
        <v>10</v>
      </c>
      <c r="D281">
        <f t="shared" si="22"/>
        <v>2024</v>
      </c>
      <c r="E281">
        <f t="shared" si="23"/>
        <v>1</v>
      </c>
      <c r="F281">
        <f t="shared" si="24"/>
        <v>40</v>
      </c>
    </row>
    <row r="282" spans="1:6" x14ac:dyDescent="0.25">
      <c r="A282" s="32">
        <v>45572</v>
      </c>
      <c r="B282">
        <f t="shared" si="20"/>
        <v>7</v>
      </c>
      <c r="C282">
        <f t="shared" si="21"/>
        <v>10</v>
      </c>
      <c r="D282">
        <f t="shared" si="22"/>
        <v>2024</v>
      </c>
      <c r="E282">
        <f t="shared" si="23"/>
        <v>2</v>
      </c>
      <c r="F282">
        <f t="shared" si="24"/>
        <v>41</v>
      </c>
    </row>
    <row r="283" spans="1:6" x14ac:dyDescent="0.25">
      <c r="A283" s="33">
        <v>45573</v>
      </c>
      <c r="B283">
        <f t="shared" si="20"/>
        <v>8</v>
      </c>
      <c r="C283">
        <f t="shared" si="21"/>
        <v>10</v>
      </c>
      <c r="D283">
        <f t="shared" si="22"/>
        <v>2024</v>
      </c>
      <c r="E283">
        <f t="shared" si="23"/>
        <v>3</v>
      </c>
      <c r="F283">
        <f t="shared" si="24"/>
        <v>41</v>
      </c>
    </row>
    <row r="284" spans="1:6" x14ac:dyDescent="0.25">
      <c r="A284" s="32">
        <v>45574</v>
      </c>
      <c r="B284">
        <f t="shared" si="20"/>
        <v>9</v>
      </c>
      <c r="C284">
        <f t="shared" si="21"/>
        <v>10</v>
      </c>
      <c r="D284">
        <f t="shared" si="22"/>
        <v>2024</v>
      </c>
      <c r="E284">
        <f t="shared" si="23"/>
        <v>4</v>
      </c>
      <c r="F284">
        <f t="shared" si="24"/>
        <v>41</v>
      </c>
    </row>
    <row r="285" spans="1:6" x14ac:dyDescent="0.25">
      <c r="A285" s="33">
        <v>45575</v>
      </c>
      <c r="B285">
        <f t="shared" si="20"/>
        <v>10</v>
      </c>
      <c r="C285">
        <f t="shared" si="21"/>
        <v>10</v>
      </c>
      <c r="D285">
        <f t="shared" si="22"/>
        <v>2024</v>
      </c>
      <c r="E285">
        <f t="shared" si="23"/>
        <v>5</v>
      </c>
      <c r="F285">
        <f t="shared" si="24"/>
        <v>41</v>
      </c>
    </row>
    <row r="286" spans="1:6" x14ac:dyDescent="0.25">
      <c r="A286" s="32">
        <v>45576</v>
      </c>
      <c r="B286">
        <f t="shared" si="20"/>
        <v>11</v>
      </c>
      <c r="C286">
        <f t="shared" si="21"/>
        <v>10</v>
      </c>
      <c r="D286">
        <f t="shared" si="22"/>
        <v>2024</v>
      </c>
      <c r="E286">
        <f t="shared" si="23"/>
        <v>6</v>
      </c>
      <c r="F286">
        <f t="shared" si="24"/>
        <v>41</v>
      </c>
    </row>
    <row r="287" spans="1:6" x14ac:dyDescent="0.25">
      <c r="A287" s="33">
        <v>45577</v>
      </c>
      <c r="B287">
        <f t="shared" si="20"/>
        <v>12</v>
      </c>
      <c r="C287">
        <f t="shared" si="21"/>
        <v>10</v>
      </c>
      <c r="D287">
        <f t="shared" si="22"/>
        <v>2024</v>
      </c>
      <c r="E287">
        <f t="shared" si="23"/>
        <v>7</v>
      </c>
      <c r="F287">
        <f t="shared" si="24"/>
        <v>41</v>
      </c>
    </row>
    <row r="288" spans="1:6" x14ac:dyDescent="0.25">
      <c r="A288" s="32">
        <v>45578</v>
      </c>
      <c r="B288">
        <f t="shared" si="20"/>
        <v>13</v>
      </c>
      <c r="C288">
        <f t="shared" si="21"/>
        <v>10</v>
      </c>
      <c r="D288">
        <f t="shared" si="22"/>
        <v>2024</v>
      </c>
      <c r="E288">
        <f t="shared" si="23"/>
        <v>1</v>
      </c>
      <c r="F288">
        <f t="shared" si="24"/>
        <v>41</v>
      </c>
    </row>
    <row r="289" spans="1:6" x14ac:dyDescent="0.25">
      <c r="A289" s="33">
        <v>45579</v>
      </c>
      <c r="B289">
        <f t="shared" si="20"/>
        <v>14</v>
      </c>
      <c r="C289">
        <f t="shared" si="21"/>
        <v>10</v>
      </c>
      <c r="D289">
        <f t="shared" si="22"/>
        <v>2024</v>
      </c>
      <c r="E289">
        <f t="shared" si="23"/>
        <v>2</v>
      </c>
      <c r="F289">
        <f t="shared" si="24"/>
        <v>42</v>
      </c>
    </row>
    <row r="290" spans="1:6" x14ac:dyDescent="0.25">
      <c r="A290" s="32">
        <v>45580</v>
      </c>
      <c r="B290">
        <f t="shared" si="20"/>
        <v>15</v>
      </c>
      <c r="C290">
        <f t="shared" si="21"/>
        <v>10</v>
      </c>
      <c r="D290">
        <f t="shared" si="22"/>
        <v>2024</v>
      </c>
      <c r="E290">
        <f t="shared" si="23"/>
        <v>3</v>
      </c>
      <c r="F290">
        <f t="shared" si="24"/>
        <v>42</v>
      </c>
    </row>
    <row r="291" spans="1:6" x14ac:dyDescent="0.25">
      <c r="A291" s="33">
        <v>45581</v>
      </c>
      <c r="B291">
        <f t="shared" si="20"/>
        <v>16</v>
      </c>
      <c r="C291">
        <f t="shared" si="21"/>
        <v>10</v>
      </c>
      <c r="D291">
        <f t="shared" si="22"/>
        <v>2024</v>
      </c>
      <c r="E291">
        <f t="shared" si="23"/>
        <v>4</v>
      </c>
      <c r="F291">
        <f t="shared" si="24"/>
        <v>42</v>
      </c>
    </row>
    <row r="292" spans="1:6" x14ac:dyDescent="0.25">
      <c r="A292" s="32">
        <v>45582</v>
      </c>
      <c r="B292">
        <f t="shared" si="20"/>
        <v>17</v>
      </c>
      <c r="C292">
        <f t="shared" si="21"/>
        <v>10</v>
      </c>
      <c r="D292">
        <f t="shared" si="22"/>
        <v>2024</v>
      </c>
      <c r="E292">
        <f t="shared" si="23"/>
        <v>5</v>
      </c>
      <c r="F292">
        <f t="shared" si="24"/>
        <v>42</v>
      </c>
    </row>
    <row r="293" spans="1:6" x14ac:dyDescent="0.25">
      <c r="A293" s="33">
        <v>45583</v>
      </c>
      <c r="B293">
        <f t="shared" si="20"/>
        <v>18</v>
      </c>
      <c r="C293">
        <f t="shared" si="21"/>
        <v>10</v>
      </c>
      <c r="D293">
        <f t="shared" si="22"/>
        <v>2024</v>
      </c>
      <c r="E293">
        <f t="shared" si="23"/>
        <v>6</v>
      </c>
      <c r="F293">
        <f t="shared" si="24"/>
        <v>42</v>
      </c>
    </row>
    <row r="294" spans="1:6" x14ac:dyDescent="0.25">
      <c r="A294" s="32">
        <v>45584</v>
      </c>
      <c r="B294">
        <f t="shared" si="20"/>
        <v>19</v>
      </c>
      <c r="C294">
        <f t="shared" si="21"/>
        <v>10</v>
      </c>
      <c r="D294">
        <f t="shared" si="22"/>
        <v>2024</v>
      </c>
      <c r="E294">
        <f t="shared" si="23"/>
        <v>7</v>
      </c>
      <c r="F294">
        <f t="shared" si="24"/>
        <v>42</v>
      </c>
    </row>
    <row r="295" spans="1:6" x14ac:dyDescent="0.25">
      <c r="A295" s="33">
        <v>45585</v>
      </c>
      <c r="B295">
        <f t="shared" si="20"/>
        <v>20</v>
      </c>
      <c r="C295">
        <f t="shared" si="21"/>
        <v>10</v>
      </c>
      <c r="D295">
        <f t="shared" si="22"/>
        <v>2024</v>
      </c>
      <c r="E295">
        <f t="shared" si="23"/>
        <v>1</v>
      </c>
      <c r="F295">
        <f t="shared" si="24"/>
        <v>42</v>
      </c>
    </row>
    <row r="296" spans="1:6" x14ac:dyDescent="0.25">
      <c r="A296" s="32">
        <v>45586</v>
      </c>
      <c r="B296">
        <f t="shared" si="20"/>
        <v>21</v>
      </c>
      <c r="C296">
        <f t="shared" si="21"/>
        <v>10</v>
      </c>
      <c r="D296">
        <f t="shared" si="22"/>
        <v>2024</v>
      </c>
      <c r="E296">
        <f t="shared" si="23"/>
        <v>2</v>
      </c>
      <c r="F296">
        <f t="shared" si="24"/>
        <v>43</v>
      </c>
    </row>
    <row r="297" spans="1:6" x14ac:dyDescent="0.25">
      <c r="A297" s="33">
        <v>45587</v>
      </c>
      <c r="B297">
        <f t="shared" si="20"/>
        <v>22</v>
      </c>
      <c r="C297">
        <f t="shared" si="21"/>
        <v>10</v>
      </c>
      <c r="D297">
        <f t="shared" si="22"/>
        <v>2024</v>
      </c>
      <c r="E297">
        <f t="shared" si="23"/>
        <v>3</v>
      </c>
      <c r="F297">
        <f t="shared" si="24"/>
        <v>43</v>
      </c>
    </row>
    <row r="298" spans="1:6" x14ac:dyDescent="0.25">
      <c r="A298" s="32">
        <v>45588</v>
      </c>
      <c r="B298">
        <f t="shared" si="20"/>
        <v>23</v>
      </c>
      <c r="C298">
        <f t="shared" si="21"/>
        <v>10</v>
      </c>
      <c r="D298">
        <f t="shared" si="22"/>
        <v>2024</v>
      </c>
      <c r="E298">
        <f t="shared" si="23"/>
        <v>4</v>
      </c>
      <c r="F298">
        <f t="shared" si="24"/>
        <v>43</v>
      </c>
    </row>
    <row r="299" spans="1:6" x14ac:dyDescent="0.25">
      <c r="A299" s="33">
        <v>45589</v>
      </c>
      <c r="B299">
        <f t="shared" si="20"/>
        <v>24</v>
      </c>
      <c r="C299">
        <f t="shared" si="21"/>
        <v>10</v>
      </c>
      <c r="D299">
        <f t="shared" si="22"/>
        <v>2024</v>
      </c>
      <c r="E299">
        <f t="shared" si="23"/>
        <v>5</v>
      </c>
      <c r="F299">
        <f t="shared" si="24"/>
        <v>43</v>
      </c>
    </row>
    <row r="300" spans="1:6" x14ac:dyDescent="0.25">
      <c r="A300" s="32">
        <v>45590</v>
      </c>
      <c r="B300">
        <f t="shared" si="20"/>
        <v>25</v>
      </c>
      <c r="C300">
        <f t="shared" si="21"/>
        <v>10</v>
      </c>
      <c r="D300">
        <f t="shared" si="22"/>
        <v>2024</v>
      </c>
      <c r="E300">
        <f t="shared" si="23"/>
        <v>6</v>
      </c>
      <c r="F300">
        <f t="shared" si="24"/>
        <v>43</v>
      </c>
    </row>
    <row r="301" spans="1:6" x14ac:dyDescent="0.25">
      <c r="A301" s="33">
        <v>45591</v>
      </c>
      <c r="B301">
        <f t="shared" si="20"/>
        <v>26</v>
      </c>
      <c r="C301">
        <f t="shared" si="21"/>
        <v>10</v>
      </c>
      <c r="D301">
        <f t="shared" si="22"/>
        <v>2024</v>
      </c>
      <c r="E301">
        <f t="shared" si="23"/>
        <v>7</v>
      </c>
      <c r="F301">
        <f t="shared" si="24"/>
        <v>43</v>
      </c>
    </row>
    <row r="302" spans="1:6" x14ac:dyDescent="0.25">
      <c r="A302" s="32">
        <v>45592</v>
      </c>
      <c r="B302">
        <f t="shared" si="20"/>
        <v>27</v>
      </c>
      <c r="C302">
        <f t="shared" si="21"/>
        <v>10</v>
      </c>
      <c r="D302">
        <f t="shared" si="22"/>
        <v>2024</v>
      </c>
      <c r="E302">
        <f t="shared" si="23"/>
        <v>1</v>
      </c>
      <c r="F302">
        <f t="shared" si="24"/>
        <v>43</v>
      </c>
    </row>
    <row r="303" spans="1:6" x14ac:dyDescent="0.25">
      <c r="A303" s="33">
        <v>45593</v>
      </c>
      <c r="B303">
        <f t="shared" si="20"/>
        <v>28</v>
      </c>
      <c r="C303">
        <f t="shared" si="21"/>
        <v>10</v>
      </c>
      <c r="D303">
        <f t="shared" si="22"/>
        <v>2024</v>
      </c>
      <c r="E303">
        <f t="shared" si="23"/>
        <v>2</v>
      </c>
      <c r="F303">
        <f t="shared" si="24"/>
        <v>44</v>
      </c>
    </row>
    <row r="304" spans="1:6" x14ac:dyDescent="0.25">
      <c r="A304" s="32">
        <v>45594</v>
      </c>
      <c r="B304">
        <f t="shared" si="20"/>
        <v>29</v>
      </c>
      <c r="C304">
        <f t="shared" si="21"/>
        <v>10</v>
      </c>
      <c r="D304">
        <f t="shared" si="22"/>
        <v>2024</v>
      </c>
      <c r="E304">
        <f t="shared" si="23"/>
        <v>3</v>
      </c>
      <c r="F304">
        <f t="shared" si="24"/>
        <v>44</v>
      </c>
    </row>
    <row r="305" spans="1:6" x14ac:dyDescent="0.25">
      <c r="A305" s="33">
        <v>45595</v>
      </c>
      <c r="B305">
        <f t="shared" si="20"/>
        <v>30</v>
      </c>
      <c r="C305">
        <f t="shared" si="21"/>
        <v>10</v>
      </c>
      <c r="D305">
        <f t="shared" si="22"/>
        <v>2024</v>
      </c>
      <c r="E305">
        <f t="shared" si="23"/>
        <v>4</v>
      </c>
      <c r="F305">
        <f t="shared" si="24"/>
        <v>44</v>
      </c>
    </row>
    <row r="306" spans="1:6" x14ac:dyDescent="0.25">
      <c r="A306" s="32">
        <v>45596</v>
      </c>
      <c r="B306">
        <f t="shared" si="20"/>
        <v>31</v>
      </c>
      <c r="C306">
        <f t="shared" si="21"/>
        <v>10</v>
      </c>
      <c r="D306">
        <f t="shared" si="22"/>
        <v>2024</v>
      </c>
      <c r="E306">
        <f t="shared" si="23"/>
        <v>5</v>
      </c>
      <c r="F306">
        <f t="shared" si="24"/>
        <v>44</v>
      </c>
    </row>
    <row r="307" spans="1:6" x14ac:dyDescent="0.25">
      <c r="A307" s="33">
        <v>45597</v>
      </c>
      <c r="B307">
        <f t="shared" si="20"/>
        <v>1</v>
      </c>
      <c r="C307">
        <f t="shared" si="21"/>
        <v>11</v>
      </c>
      <c r="D307">
        <f t="shared" si="22"/>
        <v>2024</v>
      </c>
      <c r="E307">
        <f t="shared" si="23"/>
        <v>6</v>
      </c>
      <c r="F307">
        <f t="shared" si="24"/>
        <v>44</v>
      </c>
    </row>
    <row r="308" spans="1:6" x14ac:dyDescent="0.25">
      <c r="A308" s="32">
        <v>45598</v>
      </c>
      <c r="B308">
        <f t="shared" si="20"/>
        <v>2</v>
      </c>
      <c r="C308">
        <f t="shared" si="21"/>
        <v>11</v>
      </c>
      <c r="D308">
        <f t="shared" si="22"/>
        <v>2024</v>
      </c>
      <c r="E308">
        <f t="shared" si="23"/>
        <v>7</v>
      </c>
      <c r="F308">
        <f t="shared" si="24"/>
        <v>44</v>
      </c>
    </row>
    <row r="309" spans="1:6" x14ac:dyDescent="0.25">
      <c r="A309" s="33">
        <v>45599</v>
      </c>
      <c r="B309">
        <f t="shared" si="20"/>
        <v>3</v>
      </c>
      <c r="C309">
        <f t="shared" si="21"/>
        <v>11</v>
      </c>
      <c r="D309">
        <f t="shared" si="22"/>
        <v>2024</v>
      </c>
      <c r="E309">
        <f t="shared" si="23"/>
        <v>1</v>
      </c>
      <c r="F309">
        <f t="shared" si="24"/>
        <v>44</v>
      </c>
    </row>
    <row r="310" spans="1:6" x14ac:dyDescent="0.25">
      <c r="A310" s="32">
        <v>45600</v>
      </c>
      <c r="B310">
        <f t="shared" si="20"/>
        <v>4</v>
      </c>
      <c r="C310">
        <f t="shared" si="21"/>
        <v>11</v>
      </c>
      <c r="D310">
        <f t="shared" si="22"/>
        <v>2024</v>
      </c>
      <c r="E310">
        <f t="shared" si="23"/>
        <v>2</v>
      </c>
      <c r="F310">
        <f t="shared" si="24"/>
        <v>45</v>
      </c>
    </row>
    <row r="311" spans="1:6" x14ac:dyDescent="0.25">
      <c r="A311" s="33">
        <v>45601</v>
      </c>
      <c r="B311">
        <f t="shared" si="20"/>
        <v>5</v>
      </c>
      <c r="C311">
        <f t="shared" si="21"/>
        <v>11</v>
      </c>
      <c r="D311">
        <f t="shared" si="22"/>
        <v>2024</v>
      </c>
      <c r="E311">
        <f t="shared" si="23"/>
        <v>3</v>
      </c>
      <c r="F311">
        <f t="shared" si="24"/>
        <v>45</v>
      </c>
    </row>
    <row r="312" spans="1:6" x14ac:dyDescent="0.25">
      <c r="A312" s="32">
        <v>45602</v>
      </c>
      <c r="B312">
        <f t="shared" si="20"/>
        <v>6</v>
      </c>
      <c r="C312">
        <f t="shared" si="21"/>
        <v>11</v>
      </c>
      <c r="D312">
        <f t="shared" si="22"/>
        <v>2024</v>
      </c>
      <c r="E312">
        <f t="shared" si="23"/>
        <v>4</v>
      </c>
      <c r="F312">
        <f t="shared" si="24"/>
        <v>45</v>
      </c>
    </row>
    <row r="313" spans="1:6" x14ac:dyDescent="0.25">
      <c r="A313" s="33">
        <v>45603</v>
      </c>
      <c r="B313">
        <f t="shared" si="20"/>
        <v>7</v>
      </c>
      <c r="C313">
        <f t="shared" si="21"/>
        <v>11</v>
      </c>
      <c r="D313">
        <f t="shared" si="22"/>
        <v>2024</v>
      </c>
      <c r="E313">
        <f t="shared" si="23"/>
        <v>5</v>
      </c>
      <c r="F313">
        <f t="shared" si="24"/>
        <v>45</v>
      </c>
    </row>
    <row r="314" spans="1:6" x14ac:dyDescent="0.25">
      <c r="A314" s="32">
        <v>45604</v>
      </c>
      <c r="B314">
        <f t="shared" si="20"/>
        <v>8</v>
      </c>
      <c r="C314">
        <f t="shared" si="21"/>
        <v>11</v>
      </c>
      <c r="D314">
        <f t="shared" si="22"/>
        <v>2024</v>
      </c>
      <c r="E314">
        <f t="shared" si="23"/>
        <v>6</v>
      </c>
      <c r="F314">
        <f t="shared" si="24"/>
        <v>45</v>
      </c>
    </row>
    <row r="315" spans="1:6" x14ac:dyDescent="0.25">
      <c r="A315" s="33">
        <v>45605</v>
      </c>
      <c r="B315">
        <f t="shared" si="20"/>
        <v>9</v>
      </c>
      <c r="C315">
        <f t="shared" si="21"/>
        <v>11</v>
      </c>
      <c r="D315">
        <f t="shared" si="22"/>
        <v>2024</v>
      </c>
      <c r="E315">
        <f t="shared" si="23"/>
        <v>7</v>
      </c>
      <c r="F315">
        <f t="shared" si="24"/>
        <v>45</v>
      </c>
    </row>
    <row r="316" spans="1:6" x14ac:dyDescent="0.25">
      <c r="A316" s="32">
        <v>45606</v>
      </c>
      <c r="B316">
        <f t="shared" si="20"/>
        <v>10</v>
      </c>
      <c r="C316">
        <f t="shared" si="21"/>
        <v>11</v>
      </c>
      <c r="D316">
        <f t="shared" si="22"/>
        <v>2024</v>
      </c>
      <c r="E316">
        <f t="shared" si="23"/>
        <v>1</v>
      </c>
      <c r="F316">
        <f t="shared" si="24"/>
        <v>45</v>
      </c>
    </row>
    <row r="317" spans="1:6" x14ac:dyDescent="0.25">
      <c r="A317" s="33">
        <v>45607</v>
      </c>
      <c r="B317">
        <f t="shared" si="20"/>
        <v>11</v>
      </c>
      <c r="C317">
        <f t="shared" si="21"/>
        <v>11</v>
      </c>
      <c r="D317">
        <f t="shared" si="22"/>
        <v>2024</v>
      </c>
      <c r="E317">
        <f t="shared" si="23"/>
        <v>2</v>
      </c>
      <c r="F317">
        <f t="shared" si="24"/>
        <v>46</v>
      </c>
    </row>
    <row r="318" spans="1:6" x14ac:dyDescent="0.25">
      <c r="A318" s="32">
        <v>45608</v>
      </c>
      <c r="B318">
        <f t="shared" si="20"/>
        <v>12</v>
      </c>
      <c r="C318">
        <f t="shared" si="21"/>
        <v>11</v>
      </c>
      <c r="D318">
        <f t="shared" si="22"/>
        <v>2024</v>
      </c>
      <c r="E318">
        <f t="shared" si="23"/>
        <v>3</v>
      </c>
      <c r="F318">
        <f t="shared" si="24"/>
        <v>46</v>
      </c>
    </row>
    <row r="319" spans="1:6" x14ac:dyDescent="0.25">
      <c r="A319" s="33">
        <v>45609</v>
      </c>
      <c r="B319">
        <f t="shared" si="20"/>
        <v>13</v>
      </c>
      <c r="C319">
        <f t="shared" si="21"/>
        <v>11</v>
      </c>
      <c r="D319">
        <f t="shared" si="22"/>
        <v>2024</v>
      </c>
      <c r="E319">
        <f t="shared" si="23"/>
        <v>4</v>
      </c>
      <c r="F319">
        <f t="shared" si="24"/>
        <v>46</v>
      </c>
    </row>
    <row r="320" spans="1:6" x14ac:dyDescent="0.25">
      <c r="A320" s="32">
        <v>45610</v>
      </c>
      <c r="B320">
        <f t="shared" si="20"/>
        <v>14</v>
      </c>
      <c r="C320">
        <f t="shared" si="21"/>
        <v>11</v>
      </c>
      <c r="D320">
        <f t="shared" si="22"/>
        <v>2024</v>
      </c>
      <c r="E320">
        <f t="shared" si="23"/>
        <v>5</v>
      </c>
      <c r="F320">
        <f t="shared" si="24"/>
        <v>46</v>
      </c>
    </row>
    <row r="321" spans="1:6" x14ac:dyDescent="0.25">
      <c r="A321" s="33">
        <v>45611</v>
      </c>
      <c r="B321">
        <f t="shared" si="20"/>
        <v>15</v>
      </c>
      <c r="C321">
        <f t="shared" si="21"/>
        <v>11</v>
      </c>
      <c r="D321">
        <f t="shared" si="22"/>
        <v>2024</v>
      </c>
      <c r="E321">
        <f t="shared" si="23"/>
        <v>6</v>
      </c>
      <c r="F321">
        <f t="shared" si="24"/>
        <v>46</v>
      </c>
    </row>
    <row r="322" spans="1:6" x14ac:dyDescent="0.25">
      <c r="A322" s="32">
        <v>45612</v>
      </c>
      <c r="B322">
        <f t="shared" si="20"/>
        <v>16</v>
      </c>
      <c r="C322">
        <f t="shared" si="21"/>
        <v>11</v>
      </c>
      <c r="D322">
        <f t="shared" si="22"/>
        <v>2024</v>
      </c>
      <c r="E322">
        <f t="shared" si="23"/>
        <v>7</v>
      </c>
      <c r="F322">
        <f t="shared" si="24"/>
        <v>46</v>
      </c>
    </row>
    <row r="323" spans="1:6" x14ac:dyDescent="0.25">
      <c r="A323" s="33">
        <v>45613</v>
      </c>
      <c r="B323">
        <f t="shared" ref="B323:B367" si="25">DAY(A323)</f>
        <v>17</v>
      </c>
      <c r="C323">
        <f t="shared" ref="C323:C367" si="26">MONTH(A323)</f>
        <v>11</v>
      </c>
      <c r="D323">
        <f t="shared" ref="D323:D367" si="27">YEAR(A323)</f>
        <v>2024</v>
      </c>
      <c r="E323">
        <f t="shared" ref="E323:E367" si="28">WEEKDAY(A323)</f>
        <v>1</v>
      </c>
      <c r="F323">
        <f t="shared" ref="F323:F367" si="29">_xlfn.ISOWEEKNUM(A323)</f>
        <v>46</v>
      </c>
    </row>
    <row r="324" spans="1:6" x14ac:dyDescent="0.25">
      <c r="A324" s="32">
        <v>45614</v>
      </c>
      <c r="B324">
        <f t="shared" si="25"/>
        <v>18</v>
      </c>
      <c r="C324">
        <f t="shared" si="26"/>
        <v>11</v>
      </c>
      <c r="D324">
        <f t="shared" si="27"/>
        <v>2024</v>
      </c>
      <c r="E324">
        <f t="shared" si="28"/>
        <v>2</v>
      </c>
      <c r="F324">
        <f t="shared" si="29"/>
        <v>47</v>
      </c>
    </row>
    <row r="325" spans="1:6" x14ac:dyDescent="0.25">
      <c r="A325" s="33">
        <v>45615</v>
      </c>
      <c r="B325">
        <f t="shared" si="25"/>
        <v>19</v>
      </c>
      <c r="C325">
        <f t="shared" si="26"/>
        <v>11</v>
      </c>
      <c r="D325">
        <f t="shared" si="27"/>
        <v>2024</v>
      </c>
      <c r="E325">
        <f t="shared" si="28"/>
        <v>3</v>
      </c>
      <c r="F325">
        <f t="shared" si="29"/>
        <v>47</v>
      </c>
    </row>
    <row r="326" spans="1:6" x14ac:dyDescent="0.25">
      <c r="A326" s="32">
        <v>45616</v>
      </c>
      <c r="B326">
        <f t="shared" si="25"/>
        <v>20</v>
      </c>
      <c r="C326">
        <f t="shared" si="26"/>
        <v>11</v>
      </c>
      <c r="D326">
        <f t="shared" si="27"/>
        <v>2024</v>
      </c>
      <c r="E326">
        <f t="shared" si="28"/>
        <v>4</v>
      </c>
      <c r="F326">
        <f t="shared" si="29"/>
        <v>47</v>
      </c>
    </row>
    <row r="327" spans="1:6" x14ac:dyDescent="0.25">
      <c r="A327" s="33">
        <v>45617</v>
      </c>
      <c r="B327">
        <f t="shared" si="25"/>
        <v>21</v>
      </c>
      <c r="C327">
        <f t="shared" si="26"/>
        <v>11</v>
      </c>
      <c r="D327">
        <f t="shared" si="27"/>
        <v>2024</v>
      </c>
      <c r="E327">
        <f t="shared" si="28"/>
        <v>5</v>
      </c>
      <c r="F327">
        <f t="shared" si="29"/>
        <v>47</v>
      </c>
    </row>
    <row r="328" spans="1:6" x14ac:dyDescent="0.25">
      <c r="A328" s="32">
        <v>45618</v>
      </c>
      <c r="B328">
        <f t="shared" si="25"/>
        <v>22</v>
      </c>
      <c r="C328">
        <f t="shared" si="26"/>
        <v>11</v>
      </c>
      <c r="D328">
        <f t="shared" si="27"/>
        <v>2024</v>
      </c>
      <c r="E328">
        <f t="shared" si="28"/>
        <v>6</v>
      </c>
      <c r="F328">
        <f t="shared" si="29"/>
        <v>47</v>
      </c>
    </row>
    <row r="329" spans="1:6" x14ac:dyDescent="0.25">
      <c r="A329" s="33">
        <v>45619</v>
      </c>
      <c r="B329">
        <f t="shared" si="25"/>
        <v>23</v>
      </c>
      <c r="C329">
        <f t="shared" si="26"/>
        <v>11</v>
      </c>
      <c r="D329">
        <f t="shared" si="27"/>
        <v>2024</v>
      </c>
      <c r="E329">
        <f t="shared" si="28"/>
        <v>7</v>
      </c>
      <c r="F329">
        <f t="shared" si="29"/>
        <v>47</v>
      </c>
    </row>
    <row r="330" spans="1:6" x14ac:dyDescent="0.25">
      <c r="A330" s="32">
        <v>45620</v>
      </c>
      <c r="B330">
        <f t="shared" si="25"/>
        <v>24</v>
      </c>
      <c r="C330">
        <f t="shared" si="26"/>
        <v>11</v>
      </c>
      <c r="D330">
        <f t="shared" si="27"/>
        <v>2024</v>
      </c>
      <c r="E330">
        <f t="shared" si="28"/>
        <v>1</v>
      </c>
      <c r="F330">
        <f t="shared" si="29"/>
        <v>47</v>
      </c>
    </row>
    <row r="331" spans="1:6" x14ac:dyDescent="0.25">
      <c r="A331" s="33">
        <v>45621</v>
      </c>
      <c r="B331">
        <f t="shared" si="25"/>
        <v>25</v>
      </c>
      <c r="C331">
        <f t="shared" si="26"/>
        <v>11</v>
      </c>
      <c r="D331">
        <f t="shared" si="27"/>
        <v>2024</v>
      </c>
      <c r="E331">
        <f t="shared" si="28"/>
        <v>2</v>
      </c>
      <c r="F331">
        <f t="shared" si="29"/>
        <v>48</v>
      </c>
    </row>
    <row r="332" spans="1:6" x14ac:dyDescent="0.25">
      <c r="A332" s="32">
        <v>45622</v>
      </c>
      <c r="B332">
        <f t="shared" si="25"/>
        <v>26</v>
      </c>
      <c r="C332">
        <f t="shared" si="26"/>
        <v>11</v>
      </c>
      <c r="D332">
        <f t="shared" si="27"/>
        <v>2024</v>
      </c>
      <c r="E332">
        <f t="shared" si="28"/>
        <v>3</v>
      </c>
      <c r="F332">
        <f t="shared" si="29"/>
        <v>48</v>
      </c>
    </row>
    <row r="333" spans="1:6" x14ac:dyDescent="0.25">
      <c r="A333" s="33">
        <v>45623</v>
      </c>
      <c r="B333">
        <f t="shared" si="25"/>
        <v>27</v>
      </c>
      <c r="C333">
        <f t="shared" si="26"/>
        <v>11</v>
      </c>
      <c r="D333">
        <f t="shared" si="27"/>
        <v>2024</v>
      </c>
      <c r="E333">
        <f t="shared" si="28"/>
        <v>4</v>
      </c>
      <c r="F333">
        <f t="shared" si="29"/>
        <v>48</v>
      </c>
    </row>
    <row r="334" spans="1:6" x14ac:dyDescent="0.25">
      <c r="A334" s="32">
        <v>45624</v>
      </c>
      <c r="B334">
        <f t="shared" si="25"/>
        <v>28</v>
      </c>
      <c r="C334">
        <f t="shared" si="26"/>
        <v>11</v>
      </c>
      <c r="D334">
        <f t="shared" si="27"/>
        <v>2024</v>
      </c>
      <c r="E334">
        <f t="shared" si="28"/>
        <v>5</v>
      </c>
      <c r="F334">
        <f t="shared" si="29"/>
        <v>48</v>
      </c>
    </row>
    <row r="335" spans="1:6" x14ac:dyDescent="0.25">
      <c r="A335" s="33">
        <v>45625</v>
      </c>
      <c r="B335">
        <f t="shared" si="25"/>
        <v>29</v>
      </c>
      <c r="C335">
        <f t="shared" si="26"/>
        <v>11</v>
      </c>
      <c r="D335">
        <f t="shared" si="27"/>
        <v>2024</v>
      </c>
      <c r="E335">
        <f t="shared" si="28"/>
        <v>6</v>
      </c>
      <c r="F335">
        <f t="shared" si="29"/>
        <v>48</v>
      </c>
    </row>
    <row r="336" spans="1:6" x14ac:dyDescent="0.25">
      <c r="A336" s="32">
        <v>45626</v>
      </c>
      <c r="B336">
        <f t="shared" si="25"/>
        <v>30</v>
      </c>
      <c r="C336">
        <f t="shared" si="26"/>
        <v>11</v>
      </c>
      <c r="D336">
        <f t="shared" si="27"/>
        <v>2024</v>
      </c>
      <c r="E336">
        <f t="shared" si="28"/>
        <v>7</v>
      </c>
      <c r="F336">
        <f t="shared" si="29"/>
        <v>48</v>
      </c>
    </row>
    <row r="337" spans="1:6" x14ac:dyDescent="0.25">
      <c r="A337" s="33">
        <v>45627</v>
      </c>
      <c r="B337">
        <f t="shared" si="25"/>
        <v>1</v>
      </c>
      <c r="C337">
        <f t="shared" si="26"/>
        <v>12</v>
      </c>
      <c r="D337">
        <f t="shared" si="27"/>
        <v>2024</v>
      </c>
      <c r="E337">
        <f t="shared" si="28"/>
        <v>1</v>
      </c>
      <c r="F337">
        <f t="shared" si="29"/>
        <v>48</v>
      </c>
    </row>
    <row r="338" spans="1:6" x14ac:dyDescent="0.25">
      <c r="A338" s="32">
        <v>45628</v>
      </c>
      <c r="B338">
        <f t="shared" si="25"/>
        <v>2</v>
      </c>
      <c r="C338">
        <f t="shared" si="26"/>
        <v>12</v>
      </c>
      <c r="D338">
        <f t="shared" si="27"/>
        <v>2024</v>
      </c>
      <c r="E338">
        <f t="shared" si="28"/>
        <v>2</v>
      </c>
      <c r="F338">
        <f t="shared" si="29"/>
        <v>49</v>
      </c>
    </row>
    <row r="339" spans="1:6" x14ac:dyDescent="0.25">
      <c r="A339" s="33">
        <v>45629</v>
      </c>
      <c r="B339">
        <f t="shared" si="25"/>
        <v>3</v>
      </c>
      <c r="C339">
        <f t="shared" si="26"/>
        <v>12</v>
      </c>
      <c r="D339">
        <f t="shared" si="27"/>
        <v>2024</v>
      </c>
      <c r="E339">
        <f t="shared" si="28"/>
        <v>3</v>
      </c>
      <c r="F339">
        <f t="shared" si="29"/>
        <v>49</v>
      </c>
    </row>
    <row r="340" spans="1:6" x14ac:dyDescent="0.25">
      <c r="A340" s="32">
        <v>45630</v>
      </c>
      <c r="B340">
        <f t="shared" si="25"/>
        <v>4</v>
      </c>
      <c r="C340">
        <f t="shared" si="26"/>
        <v>12</v>
      </c>
      <c r="D340">
        <f t="shared" si="27"/>
        <v>2024</v>
      </c>
      <c r="E340">
        <f t="shared" si="28"/>
        <v>4</v>
      </c>
      <c r="F340">
        <f t="shared" si="29"/>
        <v>49</v>
      </c>
    </row>
    <row r="341" spans="1:6" x14ac:dyDescent="0.25">
      <c r="A341" s="33">
        <v>45631</v>
      </c>
      <c r="B341">
        <f t="shared" si="25"/>
        <v>5</v>
      </c>
      <c r="C341">
        <f t="shared" si="26"/>
        <v>12</v>
      </c>
      <c r="D341">
        <f t="shared" si="27"/>
        <v>2024</v>
      </c>
      <c r="E341">
        <f t="shared" si="28"/>
        <v>5</v>
      </c>
      <c r="F341">
        <f t="shared" si="29"/>
        <v>49</v>
      </c>
    </row>
    <row r="342" spans="1:6" x14ac:dyDescent="0.25">
      <c r="A342" s="32">
        <v>45632</v>
      </c>
      <c r="B342">
        <f t="shared" si="25"/>
        <v>6</v>
      </c>
      <c r="C342">
        <f t="shared" si="26"/>
        <v>12</v>
      </c>
      <c r="D342">
        <f t="shared" si="27"/>
        <v>2024</v>
      </c>
      <c r="E342">
        <f t="shared" si="28"/>
        <v>6</v>
      </c>
      <c r="F342">
        <f t="shared" si="29"/>
        <v>49</v>
      </c>
    </row>
    <row r="343" spans="1:6" x14ac:dyDescent="0.25">
      <c r="A343" s="33">
        <v>45633</v>
      </c>
      <c r="B343">
        <f t="shared" si="25"/>
        <v>7</v>
      </c>
      <c r="C343">
        <f t="shared" si="26"/>
        <v>12</v>
      </c>
      <c r="D343">
        <f t="shared" si="27"/>
        <v>2024</v>
      </c>
      <c r="E343">
        <f t="shared" si="28"/>
        <v>7</v>
      </c>
      <c r="F343">
        <f t="shared" si="29"/>
        <v>49</v>
      </c>
    </row>
    <row r="344" spans="1:6" x14ac:dyDescent="0.25">
      <c r="A344" s="32">
        <v>45634</v>
      </c>
      <c r="B344">
        <f t="shared" si="25"/>
        <v>8</v>
      </c>
      <c r="C344">
        <f t="shared" si="26"/>
        <v>12</v>
      </c>
      <c r="D344">
        <f t="shared" si="27"/>
        <v>2024</v>
      </c>
      <c r="E344">
        <f t="shared" si="28"/>
        <v>1</v>
      </c>
      <c r="F344">
        <f t="shared" si="29"/>
        <v>49</v>
      </c>
    </row>
    <row r="345" spans="1:6" x14ac:dyDescent="0.25">
      <c r="A345" s="33">
        <v>45635</v>
      </c>
      <c r="B345">
        <f t="shared" si="25"/>
        <v>9</v>
      </c>
      <c r="C345">
        <f t="shared" si="26"/>
        <v>12</v>
      </c>
      <c r="D345">
        <f t="shared" si="27"/>
        <v>2024</v>
      </c>
      <c r="E345">
        <f t="shared" si="28"/>
        <v>2</v>
      </c>
      <c r="F345">
        <f t="shared" si="29"/>
        <v>50</v>
      </c>
    </row>
    <row r="346" spans="1:6" x14ac:dyDescent="0.25">
      <c r="A346" s="32">
        <v>45636</v>
      </c>
      <c r="B346">
        <f t="shared" si="25"/>
        <v>10</v>
      </c>
      <c r="C346">
        <f t="shared" si="26"/>
        <v>12</v>
      </c>
      <c r="D346">
        <f t="shared" si="27"/>
        <v>2024</v>
      </c>
      <c r="E346">
        <f t="shared" si="28"/>
        <v>3</v>
      </c>
      <c r="F346">
        <f t="shared" si="29"/>
        <v>50</v>
      </c>
    </row>
    <row r="347" spans="1:6" x14ac:dyDescent="0.25">
      <c r="A347" s="33">
        <v>45637</v>
      </c>
      <c r="B347">
        <f t="shared" si="25"/>
        <v>11</v>
      </c>
      <c r="C347">
        <f t="shared" si="26"/>
        <v>12</v>
      </c>
      <c r="D347">
        <f t="shared" si="27"/>
        <v>2024</v>
      </c>
      <c r="E347">
        <f t="shared" si="28"/>
        <v>4</v>
      </c>
      <c r="F347">
        <f t="shared" si="29"/>
        <v>50</v>
      </c>
    </row>
    <row r="348" spans="1:6" x14ac:dyDescent="0.25">
      <c r="A348" s="32">
        <v>45638</v>
      </c>
      <c r="B348">
        <f t="shared" si="25"/>
        <v>12</v>
      </c>
      <c r="C348">
        <f t="shared" si="26"/>
        <v>12</v>
      </c>
      <c r="D348">
        <f t="shared" si="27"/>
        <v>2024</v>
      </c>
      <c r="E348">
        <f t="shared" si="28"/>
        <v>5</v>
      </c>
      <c r="F348">
        <f t="shared" si="29"/>
        <v>50</v>
      </c>
    </row>
    <row r="349" spans="1:6" x14ac:dyDescent="0.25">
      <c r="A349" s="33">
        <v>45639</v>
      </c>
      <c r="B349">
        <f t="shared" si="25"/>
        <v>13</v>
      </c>
      <c r="C349">
        <f t="shared" si="26"/>
        <v>12</v>
      </c>
      <c r="D349">
        <f t="shared" si="27"/>
        <v>2024</v>
      </c>
      <c r="E349">
        <f t="shared" si="28"/>
        <v>6</v>
      </c>
      <c r="F349">
        <f t="shared" si="29"/>
        <v>50</v>
      </c>
    </row>
    <row r="350" spans="1:6" x14ac:dyDescent="0.25">
      <c r="A350" s="32">
        <v>45640</v>
      </c>
      <c r="B350">
        <f t="shared" si="25"/>
        <v>14</v>
      </c>
      <c r="C350">
        <f t="shared" si="26"/>
        <v>12</v>
      </c>
      <c r="D350">
        <f t="shared" si="27"/>
        <v>2024</v>
      </c>
      <c r="E350">
        <f t="shared" si="28"/>
        <v>7</v>
      </c>
      <c r="F350">
        <f t="shared" si="29"/>
        <v>50</v>
      </c>
    </row>
    <row r="351" spans="1:6" x14ac:dyDescent="0.25">
      <c r="A351" s="33">
        <v>45641</v>
      </c>
      <c r="B351">
        <f t="shared" si="25"/>
        <v>15</v>
      </c>
      <c r="C351">
        <f t="shared" si="26"/>
        <v>12</v>
      </c>
      <c r="D351">
        <f t="shared" si="27"/>
        <v>2024</v>
      </c>
      <c r="E351">
        <f t="shared" si="28"/>
        <v>1</v>
      </c>
      <c r="F351">
        <f t="shared" si="29"/>
        <v>50</v>
      </c>
    </row>
    <row r="352" spans="1:6" x14ac:dyDescent="0.25">
      <c r="A352" s="32">
        <v>45642</v>
      </c>
      <c r="B352">
        <f t="shared" si="25"/>
        <v>16</v>
      </c>
      <c r="C352">
        <f t="shared" si="26"/>
        <v>12</v>
      </c>
      <c r="D352">
        <f t="shared" si="27"/>
        <v>2024</v>
      </c>
      <c r="E352">
        <f t="shared" si="28"/>
        <v>2</v>
      </c>
      <c r="F352">
        <f t="shared" si="29"/>
        <v>51</v>
      </c>
    </row>
    <row r="353" spans="1:6" x14ac:dyDescent="0.25">
      <c r="A353" s="33">
        <v>45643</v>
      </c>
      <c r="B353">
        <f t="shared" si="25"/>
        <v>17</v>
      </c>
      <c r="C353">
        <f t="shared" si="26"/>
        <v>12</v>
      </c>
      <c r="D353">
        <f t="shared" si="27"/>
        <v>2024</v>
      </c>
      <c r="E353">
        <f t="shared" si="28"/>
        <v>3</v>
      </c>
      <c r="F353">
        <f t="shared" si="29"/>
        <v>51</v>
      </c>
    </row>
    <row r="354" spans="1:6" x14ac:dyDescent="0.25">
      <c r="A354" s="32">
        <v>45644</v>
      </c>
      <c r="B354">
        <f t="shared" si="25"/>
        <v>18</v>
      </c>
      <c r="C354">
        <f t="shared" si="26"/>
        <v>12</v>
      </c>
      <c r="D354">
        <f t="shared" si="27"/>
        <v>2024</v>
      </c>
      <c r="E354">
        <f t="shared" si="28"/>
        <v>4</v>
      </c>
      <c r="F354">
        <f t="shared" si="29"/>
        <v>51</v>
      </c>
    </row>
    <row r="355" spans="1:6" x14ac:dyDescent="0.25">
      <c r="A355" s="33">
        <v>45645</v>
      </c>
      <c r="B355">
        <f t="shared" si="25"/>
        <v>19</v>
      </c>
      <c r="C355">
        <f t="shared" si="26"/>
        <v>12</v>
      </c>
      <c r="D355">
        <f t="shared" si="27"/>
        <v>2024</v>
      </c>
      <c r="E355">
        <f t="shared" si="28"/>
        <v>5</v>
      </c>
      <c r="F355">
        <f t="shared" si="29"/>
        <v>51</v>
      </c>
    </row>
    <row r="356" spans="1:6" x14ac:dyDescent="0.25">
      <c r="A356" s="32">
        <v>45646</v>
      </c>
      <c r="B356">
        <f t="shared" si="25"/>
        <v>20</v>
      </c>
      <c r="C356">
        <f t="shared" si="26"/>
        <v>12</v>
      </c>
      <c r="D356">
        <f t="shared" si="27"/>
        <v>2024</v>
      </c>
      <c r="E356">
        <f t="shared" si="28"/>
        <v>6</v>
      </c>
      <c r="F356">
        <f t="shared" si="29"/>
        <v>51</v>
      </c>
    </row>
    <row r="357" spans="1:6" x14ac:dyDescent="0.25">
      <c r="A357" s="33">
        <v>45647</v>
      </c>
      <c r="B357">
        <f t="shared" si="25"/>
        <v>21</v>
      </c>
      <c r="C357">
        <f t="shared" si="26"/>
        <v>12</v>
      </c>
      <c r="D357">
        <f t="shared" si="27"/>
        <v>2024</v>
      </c>
      <c r="E357">
        <f t="shared" si="28"/>
        <v>7</v>
      </c>
      <c r="F357">
        <f t="shared" si="29"/>
        <v>51</v>
      </c>
    </row>
    <row r="358" spans="1:6" x14ac:dyDescent="0.25">
      <c r="A358" s="32">
        <v>45648</v>
      </c>
      <c r="B358">
        <f t="shared" si="25"/>
        <v>22</v>
      </c>
      <c r="C358">
        <f t="shared" si="26"/>
        <v>12</v>
      </c>
      <c r="D358">
        <f t="shared" si="27"/>
        <v>2024</v>
      </c>
      <c r="E358">
        <f t="shared" si="28"/>
        <v>1</v>
      </c>
      <c r="F358">
        <f t="shared" si="29"/>
        <v>51</v>
      </c>
    </row>
    <row r="359" spans="1:6" x14ac:dyDescent="0.25">
      <c r="A359" s="33">
        <v>45649</v>
      </c>
      <c r="B359">
        <f t="shared" si="25"/>
        <v>23</v>
      </c>
      <c r="C359">
        <f t="shared" si="26"/>
        <v>12</v>
      </c>
      <c r="D359">
        <f t="shared" si="27"/>
        <v>2024</v>
      </c>
      <c r="E359">
        <f t="shared" si="28"/>
        <v>2</v>
      </c>
      <c r="F359">
        <f t="shared" si="29"/>
        <v>52</v>
      </c>
    </row>
    <row r="360" spans="1:6" x14ac:dyDescent="0.25">
      <c r="A360" s="32">
        <v>45650</v>
      </c>
      <c r="B360">
        <f t="shared" si="25"/>
        <v>24</v>
      </c>
      <c r="C360">
        <f t="shared" si="26"/>
        <v>12</v>
      </c>
      <c r="D360">
        <f t="shared" si="27"/>
        <v>2024</v>
      </c>
      <c r="E360">
        <f t="shared" si="28"/>
        <v>3</v>
      </c>
      <c r="F360">
        <f t="shared" si="29"/>
        <v>52</v>
      </c>
    </row>
    <row r="361" spans="1:6" x14ac:dyDescent="0.25">
      <c r="A361" s="33">
        <v>45651</v>
      </c>
      <c r="B361">
        <f t="shared" si="25"/>
        <v>25</v>
      </c>
      <c r="C361">
        <f t="shared" si="26"/>
        <v>12</v>
      </c>
      <c r="D361">
        <f t="shared" si="27"/>
        <v>2024</v>
      </c>
      <c r="E361">
        <f t="shared" si="28"/>
        <v>4</v>
      </c>
      <c r="F361">
        <f t="shared" si="29"/>
        <v>52</v>
      </c>
    </row>
    <row r="362" spans="1:6" x14ac:dyDescent="0.25">
      <c r="A362" s="32">
        <v>45652</v>
      </c>
      <c r="B362">
        <f t="shared" si="25"/>
        <v>26</v>
      </c>
      <c r="C362">
        <f t="shared" si="26"/>
        <v>12</v>
      </c>
      <c r="D362">
        <f t="shared" si="27"/>
        <v>2024</v>
      </c>
      <c r="E362">
        <f t="shared" si="28"/>
        <v>5</v>
      </c>
      <c r="F362">
        <f t="shared" si="29"/>
        <v>52</v>
      </c>
    </row>
    <row r="363" spans="1:6" x14ac:dyDescent="0.25">
      <c r="A363" s="33">
        <v>45653</v>
      </c>
      <c r="B363">
        <f t="shared" si="25"/>
        <v>27</v>
      </c>
      <c r="C363">
        <f t="shared" si="26"/>
        <v>12</v>
      </c>
      <c r="D363">
        <f t="shared" si="27"/>
        <v>2024</v>
      </c>
      <c r="E363">
        <f t="shared" si="28"/>
        <v>6</v>
      </c>
      <c r="F363">
        <f t="shared" si="29"/>
        <v>52</v>
      </c>
    </row>
    <row r="364" spans="1:6" x14ac:dyDescent="0.25">
      <c r="A364" s="32">
        <v>45654</v>
      </c>
      <c r="B364">
        <f t="shared" si="25"/>
        <v>28</v>
      </c>
      <c r="C364">
        <f t="shared" si="26"/>
        <v>12</v>
      </c>
      <c r="D364">
        <f t="shared" si="27"/>
        <v>2024</v>
      </c>
      <c r="E364">
        <f t="shared" si="28"/>
        <v>7</v>
      </c>
      <c r="F364">
        <f t="shared" si="29"/>
        <v>52</v>
      </c>
    </row>
    <row r="365" spans="1:6" x14ac:dyDescent="0.25">
      <c r="A365" s="33">
        <v>45655</v>
      </c>
      <c r="B365">
        <f t="shared" si="25"/>
        <v>29</v>
      </c>
      <c r="C365">
        <f t="shared" si="26"/>
        <v>12</v>
      </c>
      <c r="D365">
        <f t="shared" si="27"/>
        <v>2024</v>
      </c>
      <c r="E365">
        <f t="shared" si="28"/>
        <v>1</v>
      </c>
      <c r="F365">
        <f t="shared" si="29"/>
        <v>52</v>
      </c>
    </row>
    <row r="366" spans="1:6" x14ac:dyDescent="0.25">
      <c r="A366" s="32">
        <v>45656</v>
      </c>
      <c r="B366">
        <f t="shared" si="25"/>
        <v>30</v>
      </c>
      <c r="C366">
        <f t="shared" si="26"/>
        <v>12</v>
      </c>
      <c r="D366">
        <f t="shared" si="27"/>
        <v>2024</v>
      </c>
      <c r="E366">
        <f t="shared" si="28"/>
        <v>2</v>
      </c>
      <c r="F366">
        <f t="shared" si="29"/>
        <v>1</v>
      </c>
    </row>
    <row r="367" spans="1:6" x14ac:dyDescent="0.25">
      <c r="A367" s="34">
        <v>45657</v>
      </c>
      <c r="B367">
        <f t="shared" si="25"/>
        <v>31</v>
      </c>
      <c r="C367">
        <f t="shared" si="26"/>
        <v>12</v>
      </c>
      <c r="D367">
        <f t="shared" si="27"/>
        <v>2024</v>
      </c>
      <c r="E367">
        <f t="shared" si="28"/>
        <v>3</v>
      </c>
      <c r="F367">
        <f t="shared" si="29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6CA5-98E2-4E63-93EF-2AC6AFA572FA}">
  <dimension ref="A1:G25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1.140625" bestFit="1" customWidth="1"/>
    <col min="2" max="2" width="31.140625" customWidth="1"/>
    <col min="3" max="3" width="14" bestFit="1" customWidth="1"/>
    <col min="4" max="4" width="10.140625" customWidth="1"/>
    <col min="5" max="5" width="14" bestFit="1" customWidth="1"/>
    <col min="6" max="6" width="25" bestFit="1" customWidth="1"/>
    <col min="7" max="7" width="30.28515625" bestFit="1" customWidth="1"/>
  </cols>
  <sheetData>
    <row r="1" spans="1:7" x14ac:dyDescent="0.25">
      <c r="A1" t="s">
        <v>753</v>
      </c>
      <c r="B1" t="s">
        <v>122</v>
      </c>
      <c r="C1" t="s">
        <v>639</v>
      </c>
      <c r="D1" t="s">
        <v>640</v>
      </c>
      <c r="E1" t="s">
        <v>642</v>
      </c>
      <c r="F1" t="s">
        <v>32</v>
      </c>
      <c r="G1" t="s">
        <v>641</v>
      </c>
    </row>
    <row r="2" spans="1:7" x14ac:dyDescent="0.25">
      <c r="A2">
        <v>1</v>
      </c>
      <c r="B2" t="s">
        <v>128</v>
      </c>
      <c r="C2" t="s">
        <v>292</v>
      </c>
      <c r="D2">
        <v>4</v>
      </c>
      <c r="E2" t="s">
        <v>117</v>
      </c>
      <c r="F2" t="s">
        <v>293</v>
      </c>
    </row>
    <row r="3" spans="1:7" x14ac:dyDescent="0.25">
      <c r="A3">
        <v>2</v>
      </c>
      <c r="B3" t="s">
        <v>294</v>
      </c>
      <c r="C3" t="s">
        <v>295</v>
      </c>
      <c r="D3">
        <v>248</v>
      </c>
      <c r="E3" t="s">
        <v>121</v>
      </c>
      <c r="F3" t="s">
        <v>296</v>
      </c>
    </row>
    <row r="4" spans="1:7" x14ac:dyDescent="0.25">
      <c r="A4">
        <v>3</v>
      </c>
      <c r="B4" t="s">
        <v>129</v>
      </c>
      <c r="C4" t="s">
        <v>297</v>
      </c>
      <c r="D4">
        <v>8</v>
      </c>
      <c r="E4" t="s">
        <v>121</v>
      </c>
      <c r="F4" t="s">
        <v>298</v>
      </c>
    </row>
    <row r="5" spans="1:7" x14ac:dyDescent="0.25">
      <c r="A5">
        <v>4</v>
      </c>
      <c r="B5" t="s">
        <v>130</v>
      </c>
      <c r="C5" t="s">
        <v>299</v>
      </c>
      <c r="D5">
        <v>12</v>
      </c>
      <c r="E5" t="s">
        <v>118</v>
      </c>
      <c r="F5" t="s">
        <v>300</v>
      </c>
    </row>
    <row r="6" spans="1:7" x14ac:dyDescent="0.25">
      <c r="A6">
        <v>5</v>
      </c>
      <c r="B6" t="s">
        <v>301</v>
      </c>
      <c r="C6" t="s">
        <v>302</v>
      </c>
      <c r="D6">
        <v>16</v>
      </c>
      <c r="E6" t="s">
        <v>304</v>
      </c>
      <c r="F6" t="s">
        <v>303</v>
      </c>
    </row>
    <row r="7" spans="1:7" x14ac:dyDescent="0.25">
      <c r="A7">
        <v>6</v>
      </c>
      <c r="B7" t="s">
        <v>131</v>
      </c>
      <c r="C7" t="s">
        <v>305</v>
      </c>
      <c r="D7">
        <v>20</v>
      </c>
      <c r="E7" t="s">
        <v>121</v>
      </c>
      <c r="F7" t="s">
        <v>298</v>
      </c>
    </row>
    <row r="8" spans="1:7" x14ac:dyDescent="0.25">
      <c r="A8">
        <v>7</v>
      </c>
      <c r="B8" t="s">
        <v>132</v>
      </c>
      <c r="C8" t="s">
        <v>306</v>
      </c>
      <c r="D8">
        <v>24</v>
      </c>
      <c r="E8" t="s">
        <v>118</v>
      </c>
      <c r="F8" t="s">
        <v>307</v>
      </c>
      <c r="G8" t="s">
        <v>308</v>
      </c>
    </row>
    <row r="9" spans="1:7" x14ac:dyDescent="0.25">
      <c r="A9">
        <v>8</v>
      </c>
      <c r="B9" t="s">
        <v>309</v>
      </c>
      <c r="C9" t="s">
        <v>310</v>
      </c>
      <c r="D9">
        <v>660</v>
      </c>
      <c r="E9" t="s">
        <v>119</v>
      </c>
      <c r="F9" t="s">
        <v>311</v>
      </c>
      <c r="G9" t="s">
        <v>312</v>
      </c>
    </row>
    <row r="10" spans="1:7" x14ac:dyDescent="0.25">
      <c r="A10">
        <v>9</v>
      </c>
      <c r="B10" t="s">
        <v>313</v>
      </c>
      <c r="C10" t="s">
        <v>314</v>
      </c>
      <c r="D10">
        <v>10</v>
      </c>
      <c r="E10" t="s">
        <v>313</v>
      </c>
      <c r="F10" t="s">
        <v>313</v>
      </c>
    </row>
    <row r="11" spans="1:7" x14ac:dyDescent="0.25">
      <c r="A11">
        <v>10</v>
      </c>
      <c r="B11" t="s">
        <v>133</v>
      </c>
      <c r="C11" t="s">
        <v>315</v>
      </c>
      <c r="D11">
        <v>28</v>
      </c>
      <c r="E11" t="s">
        <v>119</v>
      </c>
      <c r="F11" t="s">
        <v>311</v>
      </c>
      <c r="G11" t="s">
        <v>312</v>
      </c>
    </row>
    <row r="12" spans="1:7" x14ac:dyDescent="0.25">
      <c r="A12">
        <v>11</v>
      </c>
      <c r="B12" t="s">
        <v>134</v>
      </c>
      <c r="C12" t="s">
        <v>316</v>
      </c>
      <c r="D12">
        <v>32</v>
      </c>
      <c r="E12" t="s">
        <v>120</v>
      </c>
      <c r="F12" t="s">
        <v>120</v>
      </c>
      <c r="G12" t="s">
        <v>312</v>
      </c>
    </row>
    <row r="13" spans="1:7" x14ac:dyDescent="0.25">
      <c r="A13">
        <v>12</v>
      </c>
      <c r="B13" t="s">
        <v>135</v>
      </c>
      <c r="C13" t="s">
        <v>317</v>
      </c>
      <c r="D13">
        <v>51</v>
      </c>
      <c r="E13" t="s">
        <v>117</v>
      </c>
      <c r="F13" t="s">
        <v>318</v>
      </c>
    </row>
    <row r="14" spans="1:7" x14ac:dyDescent="0.25">
      <c r="A14">
        <v>13</v>
      </c>
      <c r="B14" t="s">
        <v>319</v>
      </c>
      <c r="C14" t="s">
        <v>320</v>
      </c>
      <c r="D14">
        <v>533</v>
      </c>
      <c r="E14" t="s">
        <v>119</v>
      </c>
      <c r="F14" t="s">
        <v>311</v>
      </c>
      <c r="G14" t="s">
        <v>312</v>
      </c>
    </row>
    <row r="15" spans="1:7" x14ac:dyDescent="0.25">
      <c r="A15">
        <v>14</v>
      </c>
      <c r="B15" t="s">
        <v>125</v>
      </c>
      <c r="C15" t="s">
        <v>321</v>
      </c>
      <c r="D15">
        <v>36</v>
      </c>
      <c r="E15" t="s">
        <v>304</v>
      </c>
      <c r="F15" t="s">
        <v>322</v>
      </c>
    </row>
    <row r="16" spans="1:7" x14ac:dyDescent="0.25">
      <c r="A16">
        <v>15</v>
      </c>
      <c r="B16" t="s">
        <v>136</v>
      </c>
      <c r="C16" t="s">
        <v>323</v>
      </c>
      <c r="D16">
        <v>40</v>
      </c>
      <c r="E16" t="s">
        <v>121</v>
      </c>
      <c r="F16" t="s">
        <v>324</v>
      </c>
    </row>
    <row r="17" spans="1:7" x14ac:dyDescent="0.25">
      <c r="A17">
        <v>16</v>
      </c>
      <c r="B17" t="s">
        <v>137</v>
      </c>
      <c r="C17" t="s">
        <v>325</v>
      </c>
      <c r="D17">
        <v>31</v>
      </c>
      <c r="E17" t="s">
        <v>117</v>
      </c>
      <c r="F17" t="s">
        <v>318</v>
      </c>
    </row>
    <row r="18" spans="1:7" x14ac:dyDescent="0.25">
      <c r="A18">
        <v>17</v>
      </c>
      <c r="B18" t="s">
        <v>326</v>
      </c>
      <c r="C18" t="s">
        <v>327</v>
      </c>
      <c r="D18">
        <v>44</v>
      </c>
      <c r="E18" t="s">
        <v>119</v>
      </c>
      <c r="F18" t="s">
        <v>311</v>
      </c>
      <c r="G18" t="s">
        <v>312</v>
      </c>
    </row>
    <row r="19" spans="1:7" x14ac:dyDescent="0.25">
      <c r="A19">
        <v>18</v>
      </c>
      <c r="B19" t="s">
        <v>138</v>
      </c>
      <c r="C19" t="s">
        <v>328</v>
      </c>
      <c r="D19">
        <v>48</v>
      </c>
      <c r="E19" t="s">
        <v>117</v>
      </c>
      <c r="F19" t="s">
        <v>318</v>
      </c>
    </row>
    <row r="20" spans="1:7" x14ac:dyDescent="0.25">
      <c r="A20">
        <v>19</v>
      </c>
      <c r="B20" t="s">
        <v>139</v>
      </c>
      <c r="C20" t="s">
        <v>329</v>
      </c>
      <c r="D20">
        <v>50</v>
      </c>
      <c r="E20" t="s">
        <v>117</v>
      </c>
      <c r="F20" t="s">
        <v>293</v>
      </c>
    </row>
    <row r="21" spans="1:7" x14ac:dyDescent="0.25">
      <c r="A21">
        <v>20</v>
      </c>
      <c r="B21" t="s">
        <v>140</v>
      </c>
      <c r="C21" t="s">
        <v>330</v>
      </c>
      <c r="D21">
        <v>52</v>
      </c>
      <c r="E21" t="s">
        <v>119</v>
      </c>
      <c r="F21" t="s">
        <v>311</v>
      </c>
      <c r="G21" t="s">
        <v>312</v>
      </c>
    </row>
    <row r="22" spans="1:7" x14ac:dyDescent="0.25">
      <c r="A22">
        <v>21</v>
      </c>
      <c r="B22" t="s">
        <v>141</v>
      </c>
      <c r="C22" t="s">
        <v>331</v>
      </c>
      <c r="D22">
        <v>112</v>
      </c>
      <c r="E22" t="s">
        <v>121</v>
      </c>
      <c r="F22" t="s">
        <v>332</v>
      </c>
    </row>
    <row r="23" spans="1:7" x14ac:dyDescent="0.25">
      <c r="A23">
        <v>22</v>
      </c>
      <c r="B23" t="s">
        <v>142</v>
      </c>
      <c r="C23" t="s">
        <v>333</v>
      </c>
      <c r="D23">
        <v>56</v>
      </c>
      <c r="E23" t="s">
        <v>121</v>
      </c>
      <c r="F23" t="s">
        <v>324</v>
      </c>
    </row>
    <row r="24" spans="1:7" x14ac:dyDescent="0.25">
      <c r="A24">
        <v>23</v>
      </c>
      <c r="B24" t="s">
        <v>143</v>
      </c>
      <c r="C24" t="s">
        <v>334</v>
      </c>
      <c r="D24">
        <v>84</v>
      </c>
      <c r="E24" t="s">
        <v>119</v>
      </c>
      <c r="F24" t="s">
        <v>335</v>
      </c>
      <c r="G24" t="s">
        <v>312</v>
      </c>
    </row>
    <row r="25" spans="1:7" x14ac:dyDescent="0.25">
      <c r="A25">
        <v>24</v>
      </c>
      <c r="B25" t="s">
        <v>144</v>
      </c>
      <c r="C25" t="s">
        <v>336</v>
      </c>
      <c r="D25">
        <v>204</v>
      </c>
      <c r="E25" t="s">
        <v>118</v>
      </c>
      <c r="F25" t="s">
        <v>337</v>
      </c>
      <c r="G25" t="s">
        <v>308</v>
      </c>
    </row>
    <row r="26" spans="1:7" x14ac:dyDescent="0.25">
      <c r="A26">
        <v>25</v>
      </c>
      <c r="B26" t="s">
        <v>338</v>
      </c>
      <c r="C26" t="s">
        <v>339</v>
      </c>
      <c r="D26">
        <v>60</v>
      </c>
      <c r="E26" t="s">
        <v>119</v>
      </c>
      <c r="F26" t="s">
        <v>340</v>
      </c>
    </row>
    <row r="27" spans="1:7" x14ac:dyDescent="0.25">
      <c r="A27">
        <v>26</v>
      </c>
      <c r="B27" t="s">
        <v>145</v>
      </c>
      <c r="C27" t="s">
        <v>341</v>
      </c>
      <c r="D27">
        <v>64</v>
      </c>
      <c r="E27" t="s">
        <v>117</v>
      </c>
      <c r="F27" t="s">
        <v>293</v>
      </c>
    </row>
    <row r="28" spans="1:7" x14ac:dyDescent="0.25">
      <c r="A28">
        <v>27</v>
      </c>
      <c r="B28" t="s">
        <v>342</v>
      </c>
      <c r="C28" t="s">
        <v>343</v>
      </c>
      <c r="D28">
        <v>68</v>
      </c>
      <c r="E28" t="s">
        <v>120</v>
      </c>
      <c r="F28" t="s">
        <v>120</v>
      </c>
      <c r="G28" t="s">
        <v>312</v>
      </c>
    </row>
    <row r="29" spans="1:7" x14ac:dyDescent="0.25">
      <c r="A29">
        <v>28</v>
      </c>
      <c r="B29" t="s">
        <v>344</v>
      </c>
      <c r="C29" t="s">
        <v>345</v>
      </c>
      <c r="D29">
        <v>535</v>
      </c>
      <c r="E29" t="s">
        <v>119</v>
      </c>
      <c r="F29" t="s">
        <v>311</v>
      </c>
      <c r="G29" t="s">
        <v>312</v>
      </c>
    </row>
    <row r="30" spans="1:7" x14ac:dyDescent="0.25">
      <c r="A30">
        <v>29</v>
      </c>
      <c r="B30" t="s">
        <v>146</v>
      </c>
      <c r="C30" t="s">
        <v>346</v>
      </c>
      <c r="D30">
        <v>70</v>
      </c>
      <c r="E30" t="s">
        <v>121</v>
      </c>
      <c r="F30" t="s">
        <v>298</v>
      </c>
    </row>
    <row r="31" spans="1:7" x14ac:dyDescent="0.25">
      <c r="A31">
        <v>30</v>
      </c>
      <c r="B31" t="s">
        <v>147</v>
      </c>
      <c r="C31" t="s">
        <v>347</v>
      </c>
      <c r="D31">
        <v>72</v>
      </c>
      <c r="E31" t="s">
        <v>118</v>
      </c>
      <c r="F31" t="s">
        <v>348</v>
      </c>
      <c r="G31" t="s">
        <v>308</v>
      </c>
    </row>
    <row r="32" spans="1:7" x14ac:dyDescent="0.25">
      <c r="A32">
        <v>31</v>
      </c>
      <c r="B32" t="s">
        <v>349</v>
      </c>
      <c r="C32" t="s">
        <v>350</v>
      </c>
      <c r="D32">
        <v>74</v>
      </c>
      <c r="E32" t="s">
        <v>120</v>
      </c>
      <c r="F32" t="s">
        <v>120</v>
      </c>
      <c r="G32" t="s">
        <v>312</v>
      </c>
    </row>
    <row r="33" spans="1:7" x14ac:dyDescent="0.25">
      <c r="A33">
        <v>32</v>
      </c>
      <c r="B33" t="s">
        <v>148</v>
      </c>
      <c r="C33" t="s">
        <v>351</v>
      </c>
      <c r="D33">
        <v>76</v>
      </c>
      <c r="E33" t="s">
        <v>120</v>
      </c>
      <c r="F33" t="s">
        <v>120</v>
      </c>
      <c r="G33" t="s">
        <v>312</v>
      </c>
    </row>
    <row r="34" spans="1:7" x14ac:dyDescent="0.25">
      <c r="A34">
        <v>33</v>
      </c>
      <c r="B34" t="s">
        <v>352</v>
      </c>
      <c r="C34" t="s">
        <v>353</v>
      </c>
      <c r="D34">
        <v>86</v>
      </c>
      <c r="E34" t="s">
        <v>118</v>
      </c>
      <c r="F34" t="s">
        <v>354</v>
      </c>
      <c r="G34" t="s">
        <v>308</v>
      </c>
    </row>
    <row r="35" spans="1:7" x14ac:dyDescent="0.25">
      <c r="A35">
        <v>34</v>
      </c>
      <c r="B35" t="s">
        <v>355</v>
      </c>
      <c r="C35" t="s">
        <v>356</v>
      </c>
      <c r="D35">
        <v>92</v>
      </c>
      <c r="E35" t="s">
        <v>119</v>
      </c>
      <c r="F35" t="s">
        <v>311</v>
      </c>
      <c r="G35" t="s">
        <v>312</v>
      </c>
    </row>
    <row r="36" spans="1:7" x14ac:dyDescent="0.25">
      <c r="A36">
        <v>35</v>
      </c>
      <c r="B36" t="s">
        <v>357</v>
      </c>
      <c r="C36" t="s">
        <v>358</v>
      </c>
      <c r="D36">
        <v>96</v>
      </c>
      <c r="E36" t="s">
        <v>117</v>
      </c>
      <c r="F36" t="s">
        <v>359</v>
      </c>
    </row>
    <row r="37" spans="1:7" x14ac:dyDescent="0.25">
      <c r="A37">
        <v>36</v>
      </c>
      <c r="B37" t="s">
        <v>149</v>
      </c>
      <c r="C37" t="s">
        <v>360</v>
      </c>
      <c r="D37">
        <v>100</v>
      </c>
      <c r="E37" t="s">
        <v>121</v>
      </c>
      <c r="F37" t="s">
        <v>332</v>
      </c>
    </row>
    <row r="38" spans="1:7" x14ac:dyDescent="0.25">
      <c r="A38">
        <v>37</v>
      </c>
      <c r="B38" t="s">
        <v>150</v>
      </c>
      <c r="C38" t="s">
        <v>361</v>
      </c>
      <c r="D38">
        <v>854</v>
      </c>
      <c r="E38" t="s">
        <v>118</v>
      </c>
      <c r="F38" t="s">
        <v>337</v>
      </c>
      <c r="G38" t="s">
        <v>308</v>
      </c>
    </row>
    <row r="39" spans="1:7" x14ac:dyDescent="0.25">
      <c r="A39">
        <v>38</v>
      </c>
      <c r="B39" t="s">
        <v>151</v>
      </c>
      <c r="C39" t="s">
        <v>362</v>
      </c>
      <c r="D39">
        <v>108</v>
      </c>
      <c r="E39" t="s">
        <v>118</v>
      </c>
      <c r="F39" t="s">
        <v>354</v>
      </c>
      <c r="G39" t="s">
        <v>308</v>
      </c>
    </row>
    <row r="40" spans="1:7" x14ac:dyDescent="0.25">
      <c r="A40">
        <v>39</v>
      </c>
      <c r="B40" t="s">
        <v>152</v>
      </c>
      <c r="C40" t="s">
        <v>363</v>
      </c>
      <c r="D40">
        <v>132</v>
      </c>
      <c r="E40" t="s">
        <v>118</v>
      </c>
      <c r="F40" t="s">
        <v>337</v>
      </c>
      <c r="G40" t="s">
        <v>308</v>
      </c>
    </row>
    <row r="41" spans="1:7" x14ac:dyDescent="0.25">
      <c r="A41">
        <v>40</v>
      </c>
      <c r="B41" t="s">
        <v>153</v>
      </c>
      <c r="C41" t="s">
        <v>364</v>
      </c>
      <c r="D41">
        <v>116</v>
      </c>
      <c r="E41" t="s">
        <v>117</v>
      </c>
      <c r="F41" t="s">
        <v>359</v>
      </c>
    </row>
    <row r="42" spans="1:7" x14ac:dyDescent="0.25">
      <c r="A42">
        <v>41</v>
      </c>
      <c r="B42" t="s">
        <v>154</v>
      </c>
      <c r="C42" t="s">
        <v>365</v>
      </c>
      <c r="D42">
        <v>120</v>
      </c>
      <c r="E42" t="s">
        <v>118</v>
      </c>
      <c r="F42" t="s">
        <v>307</v>
      </c>
      <c r="G42" t="s">
        <v>308</v>
      </c>
    </row>
    <row r="43" spans="1:7" x14ac:dyDescent="0.25">
      <c r="A43">
        <v>42</v>
      </c>
      <c r="B43" t="s">
        <v>96</v>
      </c>
      <c r="C43" t="s">
        <v>366</v>
      </c>
      <c r="D43">
        <v>124</v>
      </c>
      <c r="E43" t="s">
        <v>119</v>
      </c>
      <c r="F43" t="s">
        <v>340</v>
      </c>
    </row>
    <row r="44" spans="1:7" x14ac:dyDescent="0.25">
      <c r="A44">
        <v>43</v>
      </c>
      <c r="B44" t="s">
        <v>367</v>
      </c>
      <c r="C44" t="s">
        <v>368</v>
      </c>
      <c r="D44">
        <v>136</v>
      </c>
      <c r="E44" t="s">
        <v>119</v>
      </c>
      <c r="F44" t="s">
        <v>311</v>
      </c>
      <c r="G44" t="s">
        <v>312</v>
      </c>
    </row>
    <row r="45" spans="1:7" x14ac:dyDescent="0.25">
      <c r="A45">
        <v>44</v>
      </c>
      <c r="B45" t="s">
        <v>155</v>
      </c>
      <c r="C45" t="s">
        <v>369</v>
      </c>
      <c r="D45">
        <v>140</v>
      </c>
      <c r="E45" t="s">
        <v>118</v>
      </c>
      <c r="F45" t="s">
        <v>307</v>
      </c>
      <c r="G45" t="s">
        <v>308</v>
      </c>
    </row>
    <row r="46" spans="1:7" x14ac:dyDescent="0.25">
      <c r="A46">
        <v>45</v>
      </c>
      <c r="B46" t="s">
        <v>156</v>
      </c>
      <c r="C46" t="s">
        <v>370</v>
      </c>
      <c r="D46">
        <v>148</v>
      </c>
      <c r="E46" t="s">
        <v>118</v>
      </c>
      <c r="F46" t="s">
        <v>307</v>
      </c>
      <c r="G46" t="s">
        <v>308</v>
      </c>
    </row>
    <row r="47" spans="1:7" x14ac:dyDescent="0.25">
      <c r="A47">
        <v>46</v>
      </c>
      <c r="B47" t="s">
        <v>158</v>
      </c>
      <c r="C47" t="s">
        <v>371</v>
      </c>
      <c r="D47">
        <v>152</v>
      </c>
      <c r="E47" t="s">
        <v>120</v>
      </c>
      <c r="F47" t="s">
        <v>120</v>
      </c>
      <c r="G47" t="s">
        <v>312</v>
      </c>
    </row>
    <row r="48" spans="1:7" x14ac:dyDescent="0.25">
      <c r="A48">
        <v>47</v>
      </c>
      <c r="B48" t="s">
        <v>159</v>
      </c>
      <c r="C48" t="s">
        <v>372</v>
      </c>
      <c r="D48">
        <v>156</v>
      </c>
      <c r="E48" t="s">
        <v>117</v>
      </c>
      <c r="F48" t="s">
        <v>373</v>
      </c>
    </row>
    <row r="49" spans="1:7" x14ac:dyDescent="0.25">
      <c r="A49">
        <v>48</v>
      </c>
      <c r="B49" t="s">
        <v>374</v>
      </c>
      <c r="C49" t="s">
        <v>375</v>
      </c>
      <c r="D49">
        <v>344</v>
      </c>
      <c r="E49" t="s">
        <v>117</v>
      </c>
      <c r="F49" t="s">
        <v>373</v>
      </c>
    </row>
    <row r="50" spans="1:7" x14ac:dyDescent="0.25">
      <c r="A50">
        <v>49</v>
      </c>
      <c r="B50" t="s">
        <v>376</v>
      </c>
      <c r="C50" t="s">
        <v>377</v>
      </c>
      <c r="D50">
        <v>446</v>
      </c>
      <c r="E50" t="s">
        <v>117</v>
      </c>
      <c r="F50" t="s">
        <v>373</v>
      </c>
    </row>
    <row r="51" spans="1:7" x14ac:dyDescent="0.25">
      <c r="A51">
        <v>50</v>
      </c>
      <c r="B51" t="s">
        <v>378</v>
      </c>
      <c r="C51" t="s">
        <v>379</v>
      </c>
      <c r="D51">
        <v>162</v>
      </c>
      <c r="E51" t="s">
        <v>304</v>
      </c>
      <c r="F51" t="s">
        <v>322</v>
      </c>
    </row>
    <row r="52" spans="1:7" x14ac:dyDescent="0.25">
      <c r="A52">
        <v>51</v>
      </c>
      <c r="B52" t="s">
        <v>380</v>
      </c>
      <c r="C52" t="s">
        <v>381</v>
      </c>
      <c r="D52">
        <v>166</v>
      </c>
      <c r="E52" t="s">
        <v>304</v>
      </c>
      <c r="F52" t="s">
        <v>322</v>
      </c>
    </row>
    <row r="53" spans="1:7" x14ac:dyDescent="0.25">
      <c r="A53">
        <v>52</v>
      </c>
      <c r="B53" t="s">
        <v>160</v>
      </c>
      <c r="C53" t="s">
        <v>382</v>
      </c>
      <c r="D53">
        <v>170</v>
      </c>
      <c r="E53" t="s">
        <v>120</v>
      </c>
      <c r="F53" t="s">
        <v>120</v>
      </c>
      <c r="G53" t="s">
        <v>312</v>
      </c>
    </row>
    <row r="54" spans="1:7" x14ac:dyDescent="0.25">
      <c r="A54">
        <v>53</v>
      </c>
      <c r="B54" t="s">
        <v>161</v>
      </c>
      <c r="C54" t="s">
        <v>383</v>
      </c>
      <c r="D54">
        <v>174</v>
      </c>
      <c r="E54" t="s">
        <v>118</v>
      </c>
      <c r="F54" t="s">
        <v>354</v>
      </c>
      <c r="G54" t="s">
        <v>308</v>
      </c>
    </row>
    <row r="55" spans="1:7" x14ac:dyDescent="0.25">
      <c r="A55">
        <v>54</v>
      </c>
      <c r="B55" t="s">
        <v>162</v>
      </c>
      <c r="C55" t="s">
        <v>384</v>
      </c>
      <c r="D55">
        <v>178</v>
      </c>
      <c r="E55" t="s">
        <v>118</v>
      </c>
      <c r="F55" t="s">
        <v>307</v>
      </c>
      <c r="G55" t="s">
        <v>308</v>
      </c>
    </row>
    <row r="56" spans="1:7" x14ac:dyDescent="0.25">
      <c r="A56">
        <v>55</v>
      </c>
      <c r="B56" t="s">
        <v>385</v>
      </c>
      <c r="C56" t="s">
        <v>386</v>
      </c>
      <c r="D56">
        <v>184</v>
      </c>
      <c r="E56" t="s">
        <v>304</v>
      </c>
      <c r="F56" t="s">
        <v>303</v>
      </c>
    </row>
    <row r="57" spans="1:7" x14ac:dyDescent="0.25">
      <c r="A57">
        <v>56</v>
      </c>
      <c r="B57" t="s">
        <v>163</v>
      </c>
      <c r="C57" t="s">
        <v>387</v>
      </c>
      <c r="D57">
        <v>188</v>
      </c>
      <c r="E57" t="s">
        <v>119</v>
      </c>
      <c r="F57" t="s">
        <v>335</v>
      </c>
      <c r="G57" t="s">
        <v>312</v>
      </c>
    </row>
    <row r="58" spans="1:7" x14ac:dyDescent="0.25">
      <c r="A58">
        <v>57</v>
      </c>
      <c r="B58" t="s">
        <v>388</v>
      </c>
      <c r="C58" t="s">
        <v>389</v>
      </c>
      <c r="D58">
        <v>384</v>
      </c>
      <c r="E58" t="s">
        <v>118</v>
      </c>
      <c r="F58" t="s">
        <v>337</v>
      </c>
      <c r="G58" t="s">
        <v>308</v>
      </c>
    </row>
    <row r="59" spans="1:7" x14ac:dyDescent="0.25">
      <c r="A59">
        <v>58</v>
      </c>
      <c r="B59" t="s">
        <v>164</v>
      </c>
      <c r="C59" t="s">
        <v>390</v>
      </c>
      <c r="D59">
        <v>191</v>
      </c>
      <c r="E59" t="s">
        <v>121</v>
      </c>
      <c r="F59" t="s">
        <v>298</v>
      </c>
    </row>
    <row r="60" spans="1:7" x14ac:dyDescent="0.25">
      <c r="A60">
        <v>59</v>
      </c>
      <c r="B60" t="s">
        <v>165</v>
      </c>
      <c r="C60" t="s">
        <v>391</v>
      </c>
      <c r="D60">
        <v>192</v>
      </c>
      <c r="E60" t="s">
        <v>119</v>
      </c>
      <c r="F60" t="s">
        <v>311</v>
      </c>
      <c r="G60" t="s">
        <v>312</v>
      </c>
    </row>
    <row r="61" spans="1:7" x14ac:dyDescent="0.25">
      <c r="A61">
        <v>60</v>
      </c>
      <c r="B61" t="s">
        <v>392</v>
      </c>
      <c r="C61" t="s">
        <v>393</v>
      </c>
      <c r="D61">
        <v>531</v>
      </c>
      <c r="E61" t="s">
        <v>119</v>
      </c>
      <c r="F61" t="s">
        <v>311</v>
      </c>
      <c r="G61" t="s">
        <v>312</v>
      </c>
    </row>
    <row r="62" spans="1:7" x14ac:dyDescent="0.25">
      <c r="A62">
        <v>61</v>
      </c>
      <c r="B62" t="s">
        <v>166</v>
      </c>
      <c r="C62" t="s">
        <v>394</v>
      </c>
      <c r="D62">
        <v>196</v>
      </c>
      <c r="E62" t="s">
        <v>117</v>
      </c>
      <c r="F62" t="s">
        <v>318</v>
      </c>
    </row>
    <row r="63" spans="1:7" x14ac:dyDescent="0.25">
      <c r="A63">
        <v>62</v>
      </c>
      <c r="B63" t="s">
        <v>395</v>
      </c>
      <c r="C63" t="s">
        <v>396</v>
      </c>
      <c r="D63">
        <v>203</v>
      </c>
      <c r="E63" t="s">
        <v>121</v>
      </c>
      <c r="F63" t="s">
        <v>332</v>
      </c>
    </row>
    <row r="64" spans="1:7" x14ac:dyDescent="0.25">
      <c r="A64">
        <v>63</v>
      </c>
      <c r="B64" t="s">
        <v>397</v>
      </c>
      <c r="C64" t="s">
        <v>398</v>
      </c>
      <c r="D64">
        <v>408</v>
      </c>
      <c r="E64" t="s">
        <v>117</v>
      </c>
      <c r="F64" t="s">
        <v>373</v>
      </c>
    </row>
    <row r="65" spans="1:7" x14ac:dyDescent="0.25">
      <c r="A65">
        <v>64</v>
      </c>
      <c r="B65" t="s">
        <v>399</v>
      </c>
      <c r="C65" t="s">
        <v>400</v>
      </c>
      <c r="D65">
        <v>180</v>
      </c>
      <c r="E65" t="s">
        <v>118</v>
      </c>
      <c r="F65" t="s">
        <v>307</v>
      </c>
      <c r="G65" t="s">
        <v>308</v>
      </c>
    </row>
    <row r="66" spans="1:7" x14ac:dyDescent="0.25">
      <c r="A66">
        <v>65</v>
      </c>
      <c r="B66" t="s">
        <v>167</v>
      </c>
      <c r="C66" t="s">
        <v>401</v>
      </c>
      <c r="D66">
        <v>208</v>
      </c>
      <c r="E66" t="s">
        <v>121</v>
      </c>
      <c r="F66" t="s">
        <v>296</v>
      </c>
    </row>
    <row r="67" spans="1:7" x14ac:dyDescent="0.25">
      <c r="A67">
        <v>66</v>
      </c>
      <c r="B67" t="s">
        <v>168</v>
      </c>
      <c r="C67" t="s">
        <v>402</v>
      </c>
      <c r="D67">
        <v>262</v>
      </c>
      <c r="E67" t="s">
        <v>118</v>
      </c>
      <c r="F67" t="s">
        <v>354</v>
      </c>
      <c r="G67" t="s">
        <v>308</v>
      </c>
    </row>
    <row r="68" spans="1:7" x14ac:dyDescent="0.25">
      <c r="A68">
        <v>67</v>
      </c>
      <c r="B68" t="s">
        <v>169</v>
      </c>
      <c r="C68" t="s">
        <v>403</v>
      </c>
      <c r="D68">
        <v>212</v>
      </c>
      <c r="E68" t="s">
        <v>119</v>
      </c>
      <c r="F68" t="s">
        <v>311</v>
      </c>
      <c r="G68" t="s">
        <v>312</v>
      </c>
    </row>
    <row r="69" spans="1:7" x14ac:dyDescent="0.25">
      <c r="A69">
        <v>68</v>
      </c>
      <c r="B69" t="s">
        <v>170</v>
      </c>
      <c r="C69" t="s">
        <v>404</v>
      </c>
      <c r="D69">
        <v>214</v>
      </c>
      <c r="E69" t="s">
        <v>119</v>
      </c>
      <c r="F69" t="s">
        <v>311</v>
      </c>
      <c r="G69" t="s">
        <v>312</v>
      </c>
    </row>
    <row r="70" spans="1:7" x14ac:dyDescent="0.25">
      <c r="A70">
        <v>69</v>
      </c>
      <c r="B70" t="s">
        <v>171</v>
      </c>
      <c r="C70" t="s">
        <v>405</v>
      </c>
      <c r="D70">
        <v>218</v>
      </c>
      <c r="E70" t="s">
        <v>120</v>
      </c>
      <c r="F70" t="s">
        <v>120</v>
      </c>
      <c r="G70" t="s">
        <v>312</v>
      </c>
    </row>
    <row r="71" spans="1:7" x14ac:dyDescent="0.25">
      <c r="A71">
        <v>70</v>
      </c>
      <c r="B71" t="s">
        <v>172</v>
      </c>
      <c r="C71" t="s">
        <v>406</v>
      </c>
      <c r="D71">
        <v>818</v>
      </c>
      <c r="E71" t="s">
        <v>118</v>
      </c>
      <c r="F71" t="s">
        <v>300</v>
      </c>
    </row>
    <row r="72" spans="1:7" x14ac:dyDescent="0.25">
      <c r="A72">
        <v>71</v>
      </c>
      <c r="B72" t="s">
        <v>173</v>
      </c>
      <c r="C72" t="s">
        <v>407</v>
      </c>
      <c r="D72">
        <v>222</v>
      </c>
      <c r="E72" t="s">
        <v>119</v>
      </c>
      <c r="F72" t="s">
        <v>335</v>
      </c>
      <c r="G72" t="s">
        <v>312</v>
      </c>
    </row>
    <row r="73" spans="1:7" x14ac:dyDescent="0.25">
      <c r="A73">
        <v>72</v>
      </c>
      <c r="B73" t="s">
        <v>174</v>
      </c>
      <c r="C73" t="s">
        <v>408</v>
      </c>
      <c r="D73">
        <v>226</v>
      </c>
      <c r="E73" t="s">
        <v>118</v>
      </c>
      <c r="F73" t="s">
        <v>307</v>
      </c>
      <c r="G73" t="s">
        <v>308</v>
      </c>
    </row>
    <row r="74" spans="1:7" x14ac:dyDescent="0.25">
      <c r="A74">
        <v>73</v>
      </c>
      <c r="B74" t="s">
        <v>175</v>
      </c>
      <c r="C74" t="s">
        <v>409</v>
      </c>
      <c r="D74">
        <v>232</v>
      </c>
      <c r="E74" t="s">
        <v>118</v>
      </c>
      <c r="F74" t="s">
        <v>354</v>
      </c>
      <c r="G74" t="s">
        <v>308</v>
      </c>
    </row>
    <row r="75" spans="1:7" x14ac:dyDescent="0.25">
      <c r="A75">
        <v>74</v>
      </c>
      <c r="B75" t="s">
        <v>176</v>
      </c>
      <c r="C75" t="s">
        <v>410</v>
      </c>
      <c r="D75">
        <v>233</v>
      </c>
      <c r="E75" t="s">
        <v>121</v>
      </c>
      <c r="F75" t="s">
        <v>296</v>
      </c>
    </row>
    <row r="76" spans="1:7" x14ac:dyDescent="0.25">
      <c r="A76">
        <v>75</v>
      </c>
      <c r="B76" t="s">
        <v>177</v>
      </c>
      <c r="C76" t="s">
        <v>411</v>
      </c>
      <c r="D76">
        <v>748</v>
      </c>
      <c r="E76" t="s">
        <v>118</v>
      </c>
      <c r="F76" t="s">
        <v>348</v>
      </c>
      <c r="G76" t="s">
        <v>308</v>
      </c>
    </row>
    <row r="77" spans="1:7" x14ac:dyDescent="0.25">
      <c r="A77">
        <v>76</v>
      </c>
      <c r="B77" t="s">
        <v>178</v>
      </c>
      <c r="C77" t="s">
        <v>412</v>
      </c>
      <c r="D77">
        <v>231</v>
      </c>
      <c r="E77" t="s">
        <v>118</v>
      </c>
      <c r="F77" t="s">
        <v>354</v>
      </c>
      <c r="G77" t="s">
        <v>308</v>
      </c>
    </row>
    <row r="78" spans="1:7" x14ac:dyDescent="0.25">
      <c r="A78">
        <v>77</v>
      </c>
      <c r="B78" t="s">
        <v>413</v>
      </c>
      <c r="C78" t="s">
        <v>414</v>
      </c>
      <c r="D78">
        <v>238</v>
      </c>
      <c r="E78" t="s">
        <v>120</v>
      </c>
      <c r="F78" t="s">
        <v>120</v>
      </c>
      <c r="G78" t="s">
        <v>312</v>
      </c>
    </row>
    <row r="79" spans="1:7" x14ac:dyDescent="0.25">
      <c r="A79">
        <v>78</v>
      </c>
      <c r="B79" t="s">
        <v>415</v>
      </c>
      <c r="C79" t="s">
        <v>416</v>
      </c>
      <c r="D79">
        <v>234</v>
      </c>
      <c r="E79" t="s">
        <v>121</v>
      </c>
      <c r="F79" t="s">
        <v>296</v>
      </c>
    </row>
    <row r="80" spans="1:7" x14ac:dyDescent="0.25">
      <c r="A80">
        <v>79</v>
      </c>
      <c r="B80" t="s">
        <v>417</v>
      </c>
      <c r="C80" t="s">
        <v>418</v>
      </c>
      <c r="D80">
        <v>242</v>
      </c>
      <c r="E80" t="s">
        <v>304</v>
      </c>
      <c r="F80" t="s">
        <v>419</v>
      </c>
    </row>
    <row r="81" spans="1:7" x14ac:dyDescent="0.25">
      <c r="A81">
        <v>80</v>
      </c>
      <c r="B81" t="s">
        <v>179</v>
      </c>
      <c r="C81" t="s">
        <v>420</v>
      </c>
      <c r="D81">
        <v>246</v>
      </c>
      <c r="E81" t="s">
        <v>121</v>
      </c>
      <c r="F81" t="s">
        <v>296</v>
      </c>
    </row>
    <row r="82" spans="1:7" x14ac:dyDescent="0.25">
      <c r="A82">
        <v>81</v>
      </c>
      <c r="B82" t="s">
        <v>95</v>
      </c>
      <c r="C82" t="s">
        <v>421</v>
      </c>
      <c r="D82">
        <v>250</v>
      </c>
      <c r="E82" t="s">
        <v>121</v>
      </c>
      <c r="F82" t="s">
        <v>324</v>
      </c>
    </row>
    <row r="83" spans="1:7" x14ac:dyDescent="0.25">
      <c r="A83">
        <v>82</v>
      </c>
      <c r="B83" t="s">
        <v>180</v>
      </c>
      <c r="C83" t="s">
        <v>422</v>
      </c>
      <c r="D83">
        <v>254</v>
      </c>
      <c r="E83" t="s">
        <v>120</v>
      </c>
      <c r="F83" t="s">
        <v>120</v>
      </c>
      <c r="G83" t="s">
        <v>312</v>
      </c>
    </row>
    <row r="84" spans="1:7" x14ac:dyDescent="0.25">
      <c r="A84">
        <v>83</v>
      </c>
      <c r="B84" t="s">
        <v>423</v>
      </c>
      <c r="C84" t="s">
        <v>424</v>
      </c>
      <c r="D84">
        <v>258</v>
      </c>
      <c r="E84" t="s">
        <v>304</v>
      </c>
      <c r="F84" t="s">
        <v>303</v>
      </c>
    </row>
    <row r="85" spans="1:7" x14ac:dyDescent="0.25">
      <c r="A85">
        <v>84</v>
      </c>
      <c r="B85" t="s">
        <v>425</v>
      </c>
      <c r="C85" t="s">
        <v>426</v>
      </c>
      <c r="D85">
        <v>260</v>
      </c>
      <c r="E85" t="s">
        <v>118</v>
      </c>
      <c r="F85" t="s">
        <v>354</v>
      </c>
      <c r="G85" t="s">
        <v>308</v>
      </c>
    </row>
    <row r="86" spans="1:7" x14ac:dyDescent="0.25">
      <c r="A86">
        <v>85</v>
      </c>
      <c r="B86" t="s">
        <v>181</v>
      </c>
      <c r="C86" t="s">
        <v>427</v>
      </c>
      <c r="D86">
        <v>266</v>
      </c>
      <c r="E86" t="s">
        <v>118</v>
      </c>
      <c r="F86" t="s">
        <v>307</v>
      </c>
      <c r="G86" t="s">
        <v>308</v>
      </c>
    </row>
    <row r="87" spans="1:7" x14ac:dyDescent="0.25">
      <c r="A87">
        <v>86</v>
      </c>
      <c r="B87" t="s">
        <v>182</v>
      </c>
      <c r="C87" t="s">
        <v>428</v>
      </c>
      <c r="D87">
        <v>270</v>
      </c>
      <c r="E87" t="s">
        <v>118</v>
      </c>
      <c r="F87" t="s">
        <v>337</v>
      </c>
      <c r="G87" t="s">
        <v>308</v>
      </c>
    </row>
    <row r="88" spans="1:7" x14ac:dyDescent="0.25">
      <c r="A88">
        <v>87</v>
      </c>
      <c r="B88" t="s">
        <v>183</v>
      </c>
      <c r="C88" t="s">
        <v>429</v>
      </c>
      <c r="D88">
        <v>268</v>
      </c>
      <c r="E88" t="s">
        <v>117</v>
      </c>
      <c r="F88" t="s">
        <v>318</v>
      </c>
    </row>
    <row r="89" spans="1:7" x14ac:dyDescent="0.25">
      <c r="A89">
        <v>88</v>
      </c>
      <c r="B89" t="s">
        <v>94</v>
      </c>
      <c r="C89" t="s">
        <v>430</v>
      </c>
      <c r="D89">
        <v>276</v>
      </c>
      <c r="E89" t="s">
        <v>121</v>
      </c>
      <c r="F89" t="s">
        <v>324</v>
      </c>
    </row>
    <row r="90" spans="1:7" x14ac:dyDescent="0.25">
      <c r="A90">
        <v>89</v>
      </c>
      <c r="B90" t="s">
        <v>184</v>
      </c>
      <c r="C90" t="s">
        <v>431</v>
      </c>
      <c r="D90">
        <v>288</v>
      </c>
      <c r="E90" t="s">
        <v>118</v>
      </c>
      <c r="F90" t="s">
        <v>337</v>
      </c>
      <c r="G90" t="s">
        <v>308</v>
      </c>
    </row>
    <row r="91" spans="1:7" x14ac:dyDescent="0.25">
      <c r="A91">
        <v>90</v>
      </c>
      <c r="B91" t="s">
        <v>185</v>
      </c>
      <c r="C91" t="s">
        <v>432</v>
      </c>
      <c r="D91">
        <v>292</v>
      </c>
      <c r="E91" t="s">
        <v>121</v>
      </c>
      <c r="F91" t="s">
        <v>298</v>
      </c>
    </row>
    <row r="92" spans="1:7" x14ac:dyDescent="0.25">
      <c r="A92">
        <v>91</v>
      </c>
      <c r="B92" t="s">
        <v>186</v>
      </c>
      <c r="C92" t="s">
        <v>433</v>
      </c>
      <c r="D92">
        <v>300</v>
      </c>
      <c r="E92" t="s">
        <v>121</v>
      </c>
      <c r="F92" t="s">
        <v>298</v>
      </c>
    </row>
    <row r="93" spans="1:7" x14ac:dyDescent="0.25">
      <c r="A93">
        <v>92</v>
      </c>
      <c r="B93" t="s">
        <v>127</v>
      </c>
      <c r="C93" t="s">
        <v>434</v>
      </c>
      <c r="D93">
        <v>304</v>
      </c>
      <c r="E93" t="s">
        <v>119</v>
      </c>
      <c r="F93" t="s">
        <v>340</v>
      </c>
    </row>
    <row r="94" spans="1:7" x14ac:dyDescent="0.25">
      <c r="A94">
        <v>93</v>
      </c>
      <c r="B94" t="s">
        <v>187</v>
      </c>
      <c r="C94" t="s">
        <v>435</v>
      </c>
      <c r="D94">
        <v>308</v>
      </c>
      <c r="E94" t="s">
        <v>119</v>
      </c>
      <c r="F94" t="s">
        <v>311</v>
      </c>
      <c r="G94" t="s">
        <v>312</v>
      </c>
    </row>
    <row r="95" spans="1:7" x14ac:dyDescent="0.25">
      <c r="A95">
        <v>94</v>
      </c>
      <c r="B95" t="s">
        <v>436</v>
      </c>
      <c r="C95" t="s">
        <v>437</v>
      </c>
      <c r="D95">
        <v>312</v>
      </c>
      <c r="E95" t="s">
        <v>119</v>
      </c>
      <c r="F95" t="s">
        <v>311</v>
      </c>
      <c r="G95" t="s">
        <v>312</v>
      </c>
    </row>
    <row r="96" spans="1:7" x14ac:dyDescent="0.25">
      <c r="A96">
        <v>95</v>
      </c>
      <c r="B96" t="s">
        <v>438</v>
      </c>
      <c r="C96" t="s">
        <v>439</v>
      </c>
      <c r="D96">
        <v>316</v>
      </c>
      <c r="E96" t="s">
        <v>304</v>
      </c>
      <c r="F96" t="s">
        <v>440</v>
      </c>
    </row>
    <row r="97" spans="1:7" x14ac:dyDescent="0.25">
      <c r="A97">
        <v>96</v>
      </c>
      <c r="B97" t="s">
        <v>188</v>
      </c>
      <c r="C97" t="s">
        <v>441</v>
      </c>
      <c r="D97">
        <v>320</v>
      </c>
      <c r="E97" t="s">
        <v>119</v>
      </c>
      <c r="F97" t="s">
        <v>335</v>
      </c>
      <c r="G97" t="s">
        <v>312</v>
      </c>
    </row>
    <row r="98" spans="1:7" x14ac:dyDescent="0.25">
      <c r="A98">
        <v>97</v>
      </c>
      <c r="B98" t="s">
        <v>442</v>
      </c>
      <c r="C98" t="s">
        <v>443</v>
      </c>
      <c r="D98">
        <v>831</v>
      </c>
      <c r="E98" t="s">
        <v>121</v>
      </c>
      <c r="F98" t="s">
        <v>296</v>
      </c>
      <c r="G98" t="s">
        <v>157</v>
      </c>
    </row>
    <row r="99" spans="1:7" x14ac:dyDescent="0.25">
      <c r="A99">
        <v>98</v>
      </c>
      <c r="B99" t="s">
        <v>189</v>
      </c>
      <c r="C99" t="s">
        <v>444</v>
      </c>
      <c r="D99">
        <v>324</v>
      </c>
      <c r="E99" t="s">
        <v>118</v>
      </c>
      <c r="F99" t="s">
        <v>337</v>
      </c>
      <c r="G99" t="s">
        <v>308</v>
      </c>
    </row>
    <row r="100" spans="1:7" x14ac:dyDescent="0.25">
      <c r="A100">
        <v>99</v>
      </c>
      <c r="B100" t="s">
        <v>190</v>
      </c>
      <c r="C100" t="s">
        <v>445</v>
      </c>
      <c r="D100">
        <v>624</v>
      </c>
      <c r="E100" t="s">
        <v>118</v>
      </c>
      <c r="F100" t="s">
        <v>337</v>
      </c>
      <c r="G100" t="s">
        <v>308</v>
      </c>
    </row>
    <row r="101" spans="1:7" x14ac:dyDescent="0.25">
      <c r="A101">
        <v>100</v>
      </c>
      <c r="B101" t="s">
        <v>191</v>
      </c>
      <c r="C101" t="s">
        <v>446</v>
      </c>
      <c r="D101">
        <v>328</v>
      </c>
      <c r="E101" t="s">
        <v>120</v>
      </c>
      <c r="F101" t="s">
        <v>120</v>
      </c>
      <c r="G101" t="s">
        <v>312</v>
      </c>
    </row>
    <row r="102" spans="1:7" x14ac:dyDescent="0.25">
      <c r="A102">
        <v>101</v>
      </c>
      <c r="B102" t="s">
        <v>192</v>
      </c>
      <c r="C102" t="s">
        <v>447</v>
      </c>
      <c r="D102">
        <v>332</v>
      </c>
      <c r="E102" t="s">
        <v>119</v>
      </c>
      <c r="F102" t="s">
        <v>311</v>
      </c>
      <c r="G102" t="s">
        <v>312</v>
      </c>
    </row>
    <row r="103" spans="1:7" x14ac:dyDescent="0.25">
      <c r="A103">
        <v>102</v>
      </c>
      <c r="B103" t="s">
        <v>448</v>
      </c>
      <c r="C103" t="s">
        <v>449</v>
      </c>
      <c r="D103">
        <v>334</v>
      </c>
      <c r="E103" t="s">
        <v>304</v>
      </c>
      <c r="F103" t="s">
        <v>322</v>
      </c>
    </row>
    <row r="104" spans="1:7" x14ac:dyDescent="0.25">
      <c r="A104">
        <v>103</v>
      </c>
      <c r="B104" t="s">
        <v>193</v>
      </c>
      <c r="C104" t="s">
        <v>450</v>
      </c>
      <c r="D104">
        <v>336</v>
      </c>
      <c r="E104" t="s">
        <v>121</v>
      </c>
      <c r="F104" t="s">
        <v>298</v>
      </c>
    </row>
    <row r="105" spans="1:7" x14ac:dyDescent="0.25">
      <c r="A105">
        <v>104</v>
      </c>
      <c r="B105" t="s">
        <v>194</v>
      </c>
      <c r="C105" t="s">
        <v>451</v>
      </c>
      <c r="D105">
        <v>340</v>
      </c>
      <c r="E105" t="s">
        <v>119</v>
      </c>
      <c r="F105" t="s">
        <v>335</v>
      </c>
      <c r="G105" t="s">
        <v>312</v>
      </c>
    </row>
    <row r="106" spans="1:7" x14ac:dyDescent="0.25">
      <c r="A106">
        <v>105</v>
      </c>
      <c r="B106" t="s">
        <v>195</v>
      </c>
      <c r="C106" t="s">
        <v>452</v>
      </c>
      <c r="D106">
        <v>348</v>
      </c>
      <c r="E106" t="s">
        <v>121</v>
      </c>
      <c r="F106" t="s">
        <v>332</v>
      </c>
    </row>
    <row r="107" spans="1:7" x14ac:dyDescent="0.25">
      <c r="A107">
        <v>106</v>
      </c>
      <c r="B107" t="s">
        <v>196</v>
      </c>
      <c r="C107" t="s">
        <v>453</v>
      </c>
      <c r="D107">
        <v>352</v>
      </c>
      <c r="E107" t="s">
        <v>121</v>
      </c>
      <c r="F107" t="s">
        <v>296</v>
      </c>
    </row>
    <row r="108" spans="1:7" x14ac:dyDescent="0.25">
      <c r="A108">
        <v>107</v>
      </c>
      <c r="B108" t="s">
        <v>197</v>
      </c>
      <c r="C108" t="s">
        <v>454</v>
      </c>
      <c r="D108">
        <v>356</v>
      </c>
      <c r="E108" t="s">
        <v>117</v>
      </c>
      <c r="F108" t="s">
        <v>293</v>
      </c>
    </row>
    <row r="109" spans="1:7" x14ac:dyDescent="0.25">
      <c r="A109">
        <v>108</v>
      </c>
      <c r="B109" t="s">
        <v>198</v>
      </c>
      <c r="C109" t="s">
        <v>455</v>
      </c>
      <c r="D109">
        <v>360</v>
      </c>
      <c r="E109" t="s">
        <v>117</v>
      </c>
      <c r="F109" t="s">
        <v>359</v>
      </c>
    </row>
    <row r="110" spans="1:7" x14ac:dyDescent="0.25">
      <c r="A110">
        <v>109</v>
      </c>
      <c r="B110" t="s">
        <v>456</v>
      </c>
      <c r="C110" t="s">
        <v>457</v>
      </c>
      <c r="D110">
        <v>364</v>
      </c>
      <c r="E110" t="s">
        <v>117</v>
      </c>
      <c r="F110" t="s">
        <v>293</v>
      </c>
    </row>
    <row r="111" spans="1:7" x14ac:dyDescent="0.25">
      <c r="A111">
        <v>110</v>
      </c>
      <c r="B111" t="s">
        <v>199</v>
      </c>
      <c r="C111" t="s">
        <v>458</v>
      </c>
      <c r="D111">
        <v>368</v>
      </c>
      <c r="E111" t="s">
        <v>117</v>
      </c>
      <c r="F111" t="s">
        <v>318</v>
      </c>
    </row>
    <row r="112" spans="1:7" x14ac:dyDescent="0.25">
      <c r="A112">
        <v>111</v>
      </c>
      <c r="B112" t="s">
        <v>200</v>
      </c>
      <c r="C112" t="s">
        <v>459</v>
      </c>
      <c r="D112">
        <v>372</v>
      </c>
      <c r="E112" t="s">
        <v>121</v>
      </c>
      <c r="F112" t="s">
        <v>296</v>
      </c>
    </row>
    <row r="113" spans="1:7" x14ac:dyDescent="0.25">
      <c r="A113">
        <v>112</v>
      </c>
      <c r="B113" t="s">
        <v>201</v>
      </c>
      <c r="C113" t="s">
        <v>460</v>
      </c>
      <c r="D113">
        <v>833</v>
      </c>
      <c r="E113" t="s">
        <v>121</v>
      </c>
      <c r="F113" t="s">
        <v>296</v>
      </c>
    </row>
    <row r="114" spans="1:7" x14ac:dyDescent="0.25">
      <c r="A114">
        <v>113</v>
      </c>
      <c r="B114" t="s">
        <v>202</v>
      </c>
      <c r="C114" t="s">
        <v>461</v>
      </c>
      <c r="D114">
        <v>376</v>
      </c>
      <c r="E114" t="s">
        <v>117</v>
      </c>
      <c r="F114" t="s">
        <v>318</v>
      </c>
    </row>
    <row r="115" spans="1:7" x14ac:dyDescent="0.25">
      <c r="A115">
        <v>114</v>
      </c>
      <c r="B115" t="s">
        <v>203</v>
      </c>
      <c r="C115" t="s">
        <v>462</v>
      </c>
      <c r="D115">
        <v>380</v>
      </c>
      <c r="E115" t="s">
        <v>121</v>
      </c>
      <c r="F115" t="s">
        <v>298</v>
      </c>
    </row>
    <row r="116" spans="1:7" x14ac:dyDescent="0.25">
      <c r="A116">
        <v>115</v>
      </c>
      <c r="B116" t="s">
        <v>204</v>
      </c>
      <c r="C116" t="s">
        <v>463</v>
      </c>
      <c r="D116">
        <v>388</v>
      </c>
      <c r="E116" t="s">
        <v>119</v>
      </c>
      <c r="F116" t="s">
        <v>311</v>
      </c>
      <c r="G116" t="s">
        <v>312</v>
      </c>
    </row>
    <row r="117" spans="1:7" x14ac:dyDescent="0.25">
      <c r="A117">
        <v>116</v>
      </c>
      <c r="B117" t="s">
        <v>205</v>
      </c>
      <c r="C117" t="s">
        <v>464</v>
      </c>
      <c r="D117">
        <v>392</v>
      </c>
      <c r="E117" t="s">
        <v>117</v>
      </c>
      <c r="F117" t="s">
        <v>373</v>
      </c>
    </row>
    <row r="118" spans="1:7" x14ac:dyDescent="0.25">
      <c r="A118">
        <v>117</v>
      </c>
      <c r="B118" t="s">
        <v>465</v>
      </c>
      <c r="C118" t="s">
        <v>466</v>
      </c>
      <c r="D118">
        <v>832</v>
      </c>
      <c r="E118" t="s">
        <v>121</v>
      </c>
      <c r="F118" t="s">
        <v>296</v>
      </c>
      <c r="G118" t="s">
        <v>157</v>
      </c>
    </row>
    <row r="119" spans="1:7" x14ac:dyDescent="0.25">
      <c r="A119">
        <v>118</v>
      </c>
      <c r="B119" t="s">
        <v>206</v>
      </c>
      <c r="C119" t="s">
        <v>467</v>
      </c>
      <c r="D119">
        <v>400</v>
      </c>
      <c r="E119" t="s">
        <v>117</v>
      </c>
      <c r="F119" t="s">
        <v>318</v>
      </c>
    </row>
    <row r="120" spans="1:7" x14ac:dyDescent="0.25">
      <c r="A120">
        <v>119</v>
      </c>
      <c r="B120" t="s">
        <v>207</v>
      </c>
      <c r="C120" t="s">
        <v>468</v>
      </c>
      <c r="D120">
        <v>398</v>
      </c>
      <c r="E120" t="s">
        <v>117</v>
      </c>
      <c r="F120" t="s">
        <v>469</v>
      </c>
    </row>
    <row r="121" spans="1:7" x14ac:dyDescent="0.25">
      <c r="A121">
        <v>120</v>
      </c>
      <c r="B121" t="s">
        <v>208</v>
      </c>
      <c r="C121" t="s">
        <v>470</v>
      </c>
      <c r="D121">
        <v>404</v>
      </c>
      <c r="E121" t="s">
        <v>118</v>
      </c>
      <c r="F121" t="s">
        <v>354</v>
      </c>
      <c r="G121" t="s">
        <v>308</v>
      </c>
    </row>
    <row r="122" spans="1:7" x14ac:dyDescent="0.25">
      <c r="A122">
        <v>121</v>
      </c>
      <c r="B122" t="s">
        <v>471</v>
      </c>
      <c r="C122" t="s">
        <v>472</v>
      </c>
      <c r="D122">
        <v>296</v>
      </c>
      <c r="E122" t="s">
        <v>304</v>
      </c>
      <c r="F122" t="s">
        <v>440</v>
      </c>
    </row>
    <row r="123" spans="1:7" x14ac:dyDescent="0.25">
      <c r="A123">
        <v>122</v>
      </c>
      <c r="B123" t="s">
        <v>209</v>
      </c>
      <c r="C123" t="s">
        <v>473</v>
      </c>
      <c r="D123">
        <v>414</v>
      </c>
      <c r="E123" t="s">
        <v>117</v>
      </c>
      <c r="F123" t="s">
        <v>318</v>
      </c>
    </row>
    <row r="124" spans="1:7" x14ac:dyDescent="0.25">
      <c r="A124">
        <v>123</v>
      </c>
      <c r="B124" t="s">
        <v>210</v>
      </c>
      <c r="C124" t="s">
        <v>474</v>
      </c>
      <c r="D124">
        <v>417</v>
      </c>
      <c r="E124" t="s">
        <v>117</v>
      </c>
      <c r="F124" t="s">
        <v>469</v>
      </c>
    </row>
    <row r="125" spans="1:7" x14ac:dyDescent="0.25">
      <c r="A125">
        <v>124</v>
      </c>
      <c r="B125" t="s">
        <v>475</v>
      </c>
      <c r="C125" t="s">
        <v>476</v>
      </c>
      <c r="D125">
        <v>418</v>
      </c>
      <c r="E125" t="s">
        <v>117</v>
      </c>
      <c r="F125" t="s">
        <v>359</v>
      </c>
    </row>
    <row r="126" spans="1:7" x14ac:dyDescent="0.25">
      <c r="A126">
        <v>125</v>
      </c>
      <c r="B126" t="s">
        <v>211</v>
      </c>
      <c r="C126" t="s">
        <v>477</v>
      </c>
      <c r="D126">
        <v>428</v>
      </c>
      <c r="E126" t="s">
        <v>121</v>
      </c>
      <c r="F126" t="s">
        <v>296</v>
      </c>
    </row>
    <row r="127" spans="1:7" x14ac:dyDescent="0.25">
      <c r="A127">
        <v>126</v>
      </c>
      <c r="B127" t="s">
        <v>212</v>
      </c>
      <c r="C127" t="s">
        <v>478</v>
      </c>
      <c r="D127">
        <v>422</v>
      </c>
      <c r="E127" t="s">
        <v>117</v>
      </c>
      <c r="F127" t="s">
        <v>318</v>
      </c>
    </row>
    <row r="128" spans="1:7" x14ac:dyDescent="0.25">
      <c r="A128">
        <v>127</v>
      </c>
      <c r="B128" t="s">
        <v>213</v>
      </c>
      <c r="C128" t="s">
        <v>479</v>
      </c>
      <c r="D128">
        <v>426</v>
      </c>
      <c r="E128" t="s">
        <v>118</v>
      </c>
      <c r="F128" t="s">
        <v>348</v>
      </c>
      <c r="G128" t="s">
        <v>308</v>
      </c>
    </row>
    <row r="129" spans="1:7" x14ac:dyDescent="0.25">
      <c r="A129">
        <v>128</v>
      </c>
      <c r="B129" t="s">
        <v>214</v>
      </c>
      <c r="C129" t="s">
        <v>480</v>
      </c>
      <c r="D129">
        <v>430</v>
      </c>
      <c r="E129" t="s">
        <v>118</v>
      </c>
      <c r="F129" t="s">
        <v>337</v>
      </c>
      <c r="G129" t="s">
        <v>308</v>
      </c>
    </row>
    <row r="130" spans="1:7" x14ac:dyDescent="0.25">
      <c r="A130">
        <v>129</v>
      </c>
      <c r="B130" t="s">
        <v>215</v>
      </c>
      <c r="C130" t="s">
        <v>481</v>
      </c>
      <c r="D130">
        <v>434</v>
      </c>
      <c r="E130" t="s">
        <v>118</v>
      </c>
      <c r="F130" t="s">
        <v>300</v>
      </c>
    </row>
    <row r="131" spans="1:7" x14ac:dyDescent="0.25">
      <c r="A131">
        <v>130</v>
      </c>
      <c r="B131" t="s">
        <v>216</v>
      </c>
      <c r="C131" t="s">
        <v>482</v>
      </c>
      <c r="D131">
        <v>438</v>
      </c>
      <c r="E131" t="s">
        <v>121</v>
      </c>
      <c r="F131" t="s">
        <v>324</v>
      </c>
    </row>
    <row r="132" spans="1:7" x14ac:dyDescent="0.25">
      <c r="A132">
        <v>131</v>
      </c>
      <c r="B132" t="s">
        <v>217</v>
      </c>
      <c r="C132" t="s">
        <v>483</v>
      </c>
      <c r="D132">
        <v>440</v>
      </c>
      <c r="E132" t="s">
        <v>121</v>
      </c>
      <c r="F132" t="s">
        <v>296</v>
      </c>
    </row>
    <row r="133" spans="1:7" x14ac:dyDescent="0.25">
      <c r="A133">
        <v>132</v>
      </c>
      <c r="B133" t="s">
        <v>218</v>
      </c>
      <c r="C133" t="s">
        <v>484</v>
      </c>
      <c r="D133">
        <v>442</v>
      </c>
      <c r="E133" t="s">
        <v>121</v>
      </c>
      <c r="F133" t="s">
        <v>324</v>
      </c>
    </row>
    <row r="134" spans="1:7" x14ac:dyDescent="0.25">
      <c r="A134">
        <v>133</v>
      </c>
      <c r="B134" t="s">
        <v>219</v>
      </c>
      <c r="C134" t="s">
        <v>485</v>
      </c>
      <c r="D134">
        <v>450</v>
      </c>
      <c r="E134" t="s">
        <v>118</v>
      </c>
      <c r="F134" t="s">
        <v>354</v>
      </c>
      <c r="G134" t="s">
        <v>308</v>
      </c>
    </row>
    <row r="135" spans="1:7" x14ac:dyDescent="0.25">
      <c r="A135">
        <v>134</v>
      </c>
      <c r="B135" t="s">
        <v>220</v>
      </c>
      <c r="C135" t="s">
        <v>486</v>
      </c>
      <c r="D135">
        <v>454</v>
      </c>
      <c r="E135" t="s">
        <v>118</v>
      </c>
      <c r="F135" t="s">
        <v>354</v>
      </c>
      <c r="G135" t="s">
        <v>308</v>
      </c>
    </row>
    <row r="136" spans="1:7" x14ac:dyDescent="0.25">
      <c r="A136">
        <v>135</v>
      </c>
      <c r="B136" t="s">
        <v>124</v>
      </c>
      <c r="C136" t="s">
        <v>487</v>
      </c>
      <c r="D136">
        <v>458</v>
      </c>
      <c r="E136" t="s">
        <v>117</v>
      </c>
      <c r="F136" t="s">
        <v>359</v>
      </c>
    </row>
    <row r="137" spans="1:7" x14ac:dyDescent="0.25">
      <c r="A137">
        <v>136</v>
      </c>
      <c r="B137" t="s">
        <v>221</v>
      </c>
      <c r="C137" t="s">
        <v>488</v>
      </c>
      <c r="D137">
        <v>462</v>
      </c>
      <c r="E137" t="s">
        <v>117</v>
      </c>
      <c r="F137" t="s">
        <v>293</v>
      </c>
    </row>
    <row r="138" spans="1:7" x14ac:dyDescent="0.25">
      <c r="A138">
        <v>137</v>
      </c>
      <c r="B138" t="s">
        <v>222</v>
      </c>
      <c r="C138" t="s">
        <v>489</v>
      </c>
      <c r="D138">
        <v>466</v>
      </c>
      <c r="E138" t="s">
        <v>118</v>
      </c>
      <c r="F138" t="s">
        <v>337</v>
      </c>
      <c r="G138" t="s">
        <v>308</v>
      </c>
    </row>
    <row r="139" spans="1:7" x14ac:dyDescent="0.25">
      <c r="A139">
        <v>138</v>
      </c>
      <c r="B139" t="s">
        <v>223</v>
      </c>
      <c r="C139" t="s">
        <v>490</v>
      </c>
      <c r="D139">
        <v>470</v>
      </c>
      <c r="E139" t="s">
        <v>121</v>
      </c>
      <c r="F139" t="s">
        <v>298</v>
      </c>
    </row>
    <row r="140" spans="1:7" x14ac:dyDescent="0.25">
      <c r="A140">
        <v>139</v>
      </c>
      <c r="B140" t="s">
        <v>491</v>
      </c>
      <c r="C140" t="s">
        <v>492</v>
      </c>
      <c r="D140">
        <v>584</v>
      </c>
      <c r="E140" t="s">
        <v>304</v>
      </c>
      <c r="F140" t="s">
        <v>440</v>
      </c>
    </row>
    <row r="141" spans="1:7" x14ac:dyDescent="0.25">
      <c r="A141">
        <v>140</v>
      </c>
      <c r="B141" t="s">
        <v>493</v>
      </c>
      <c r="C141" t="s">
        <v>494</v>
      </c>
      <c r="D141">
        <v>474</v>
      </c>
      <c r="E141" t="s">
        <v>119</v>
      </c>
      <c r="F141" t="s">
        <v>311</v>
      </c>
      <c r="G141" t="s">
        <v>312</v>
      </c>
    </row>
    <row r="142" spans="1:7" x14ac:dyDescent="0.25">
      <c r="A142">
        <v>141</v>
      </c>
      <c r="B142" t="s">
        <v>224</v>
      </c>
      <c r="C142" t="s">
        <v>495</v>
      </c>
      <c r="D142">
        <v>478</v>
      </c>
      <c r="E142" t="s">
        <v>118</v>
      </c>
      <c r="F142" t="s">
        <v>337</v>
      </c>
      <c r="G142" t="s">
        <v>308</v>
      </c>
    </row>
    <row r="143" spans="1:7" x14ac:dyDescent="0.25">
      <c r="A143">
        <v>142</v>
      </c>
      <c r="B143" t="s">
        <v>225</v>
      </c>
      <c r="C143" t="s">
        <v>496</v>
      </c>
      <c r="D143">
        <v>480</v>
      </c>
      <c r="E143" t="s">
        <v>118</v>
      </c>
      <c r="F143" t="s">
        <v>354</v>
      </c>
      <c r="G143" t="s">
        <v>308</v>
      </c>
    </row>
    <row r="144" spans="1:7" x14ac:dyDescent="0.25">
      <c r="A144">
        <v>143</v>
      </c>
      <c r="B144" t="s">
        <v>226</v>
      </c>
      <c r="C144" t="s">
        <v>497</v>
      </c>
      <c r="D144">
        <v>175</v>
      </c>
      <c r="E144" t="s">
        <v>118</v>
      </c>
      <c r="F144" t="s">
        <v>354</v>
      </c>
      <c r="G144" t="s">
        <v>308</v>
      </c>
    </row>
    <row r="145" spans="1:7" x14ac:dyDescent="0.25">
      <c r="A145">
        <v>144</v>
      </c>
      <c r="B145" t="s">
        <v>93</v>
      </c>
      <c r="C145" t="s">
        <v>498</v>
      </c>
      <c r="D145">
        <v>484</v>
      </c>
      <c r="E145" t="s">
        <v>119</v>
      </c>
      <c r="F145" t="s">
        <v>335</v>
      </c>
      <c r="G145" t="s">
        <v>312</v>
      </c>
    </row>
    <row r="146" spans="1:7" x14ac:dyDescent="0.25">
      <c r="A146">
        <v>145</v>
      </c>
      <c r="B146" t="s">
        <v>499</v>
      </c>
      <c r="C146" t="s">
        <v>500</v>
      </c>
      <c r="D146">
        <v>583</v>
      </c>
      <c r="E146" t="s">
        <v>304</v>
      </c>
      <c r="F146" t="s">
        <v>440</v>
      </c>
    </row>
    <row r="147" spans="1:7" x14ac:dyDescent="0.25">
      <c r="A147">
        <v>146</v>
      </c>
      <c r="B147" t="s">
        <v>227</v>
      </c>
      <c r="C147" t="s">
        <v>501</v>
      </c>
      <c r="D147">
        <v>492</v>
      </c>
      <c r="E147" t="s">
        <v>121</v>
      </c>
      <c r="F147" t="s">
        <v>324</v>
      </c>
    </row>
    <row r="148" spans="1:7" x14ac:dyDescent="0.25">
      <c r="A148">
        <v>147</v>
      </c>
      <c r="B148" t="s">
        <v>228</v>
      </c>
      <c r="C148" t="s">
        <v>502</v>
      </c>
      <c r="D148">
        <v>496</v>
      </c>
      <c r="E148" t="s">
        <v>117</v>
      </c>
      <c r="F148" t="s">
        <v>373</v>
      </c>
    </row>
    <row r="149" spans="1:7" x14ac:dyDescent="0.25">
      <c r="A149">
        <v>148</v>
      </c>
      <c r="B149" t="s">
        <v>229</v>
      </c>
      <c r="C149" t="s">
        <v>503</v>
      </c>
      <c r="D149">
        <v>499</v>
      </c>
      <c r="E149" t="s">
        <v>121</v>
      </c>
      <c r="F149" t="s">
        <v>298</v>
      </c>
    </row>
    <row r="150" spans="1:7" x14ac:dyDescent="0.25">
      <c r="A150">
        <v>149</v>
      </c>
      <c r="B150" t="s">
        <v>504</v>
      </c>
      <c r="C150" t="s">
        <v>505</v>
      </c>
      <c r="D150">
        <v>500</v>
      </c>
      <c r="E150" t="s">
        <v>119</v>
      </c>
      <c r="F150" t="s">
        <v>311</v>
      </c>
      <c r="G150" t="s">
        <v>312</v>
      </c>
    </row>
    <row r="151" spans="1:7" x14ac:dyDescent="0.25">
      <c r="A151">
        <v>150</v>
      </c>
      <c r="B151" t="s">
        <v>230</v>
      </c>
      <c r="C151" t="s">
        <v>506</v>
      </c>
      <c r="D151">
        <v>504</v>
      </c>
      <c r="E151" t="s">
        <v>118</v>
      </c>
      <c r="F151" t="s">
        <v>300</v>
      </c>
    </row>
    <row r="152" spans="1:7" x14ac:dyDescent="0.25">
      <c r="A152">
        <v>151</v>
      </c>
      <c r="B152" t="s">
        <v>231</v>
      </c>
      <c r="C152" t="s">
        <v>507</v>
      </c>
      <c r="D152">
        <v>508</v>
      </c>
      <c r="E152" t="s">
        <v>118</v>
      </c>
      <c r="F152" t="s">
        <v>354</v>
      </c>
      <c r="G152" t="s">
        <v>308</v>
      </c>
    </row>
    <row r="153" spans="1:7" x14ac:dyDescent="0.25">
      <c r="A153">
        <v>152</v>
      </c>
      <c r="B153" t="s">
        <v>232</v>
      </c>
      <c r="C153" t="s">
        <v>508</v>
      </c>
      <c r="D153">
        <v>104</v>
      </c>
      <c r="E153" t="s">
        <v>117</v>
      </c>
      <c r="F153" t="s">
        <v>359</v>
      </c>
    </row>
    <row r="154" spans="1:7" x14ac:dyDescent="0.25">
      <c r="A154">
        <v>153</v>
      </c>
      <c r="B154" t="s">
        <v>233</v>
      </c>
      <c r="C154" t="s">
        <v>509</v>
      </c>
      <c r="D154">
        <v>516</v>
      </c>
      <c r="E154" t="s">
        <v>118</v>
      </c>
      <c r="F154" t="s">
        <v>348</v>
      </c>
      <c r="G154" t="s">
        <v>308</v>
      </c>
    </row>
    <row r="155" spans="1:7" x14ac:dyDescent="0.25">
      <c r="A155">
        <v>154</v>
      </c>
      <c r="B155" t="s">
        <v>510</v>
      </c>
      <c r="C155" t="s">
        <v>511</v>
      </c>
      <c r="D155">
        <v>520</v>
      </c>
      <c r="E155" t="s">
        <v>304</v>
      </c>
      <c r="F155" t="s">
        <v>440</v>
      </c>
    </row>
    <row r="156" spans="1:7" x14ac:dyDescent="0.25">
      <c r="A156">
        <v>155</v>
      </c>
      <c r="B156" t="s">
        <v>234</v>
      </c>
      <c r="C156" t="s">
        <v>512</v>
      </c>
      <c r="D156">
        <v>524</v>
      </c>
      <c r="E156" t="s">
        <v>117</v>
      </c>
      <c r="F156" t="s">
        <v>293</v>
      </c>
    </row>
    <row r="157" spans="1:7" x14ac:dyDescent="0.25">
      <c r="A157">
        <v>156</v>
      </c>
      <c r="B157" t="s">
        <v>235</v>
      </c>
      <c r="C157" t="s">
        <v>513</v>
      </c>
      <c r="D157">
        <v>528</v>
      </c>
      <c r="E157" t="s">
        <v>121</v>
      </c>
      <c r="F157" t="s">
        <v>324</v>
      </c>
    </row>
    <row r="158" spans="1:7" x14ac:dyDescent="0.25">
      <c r="A158">
        <v>157</v>
      </c>
      <c r="B158" t="s">
        <v>514</v>
      </c>
      <c r="C158" t="s">
        <v>515</v>
      </c>
      <c r="D158">
        <v>540</v>
      </c>
      <c r="E158" t="s">
        <v>304</v>
      </c>
      <c r="F158" t="s">
        <v>419</v>
      </c>
    </row>
    <row r="159" spans="1:7" x14ac:dyDescent="0.25">
      <c r="A159">
        <v>158</v>
      </c>
      <c r="B159" t="s">
        <v>126</v>
      </c>
      <c r="C159" t="s">
        <v>516</v>
      </c>
      <c r="D159">
        <v>554</v>
      </c>
      <c r="E159" t="s">
        <v>304</v>
      </c>
      <c r="F159" t="s">
        <v>322</v>
      </c>
    </row>
    <row r="160" spans="1:7" x14ac:dyDescent="0.25">
      <c r="A160">
        <v>159</v>
      </c>
      <c r="B160" t="s">
        <v>236</v>
      </c>
      <c r="C160" t="s">
        <v>517</v>
      </c>
      <c r="D160">
        <v>558</v>
      </c>
      <c r="E160" t="s">
        <v>119</v>
      </c>
      <c r="F160" t="s">
        <v>335</v>
      </c>
      <c r="G160" t="s">
        <v>312</v>
      </c>
    </row>
    <row r="161" spans="1:7" x14ac:dyDescent="0.25">
      <c r="A161">
        <v>160</v>
      </c>
      <c r="B161" t="s">
        <v>237</v>
      </c>
      <c r="C161" t="s">
        <v>518</v>
      </c>
      <c r="D161">
        <v>562</v>
      </c>
      <c r="E161" t="s">
        <v>118</v>
      </c>
      <c r="F161" t="s">
        <v>337</v>
      </c>
      <c r="G161" t="s">
        <v>308</v>
      </c>
    </row>
    <row r="162" spans="1:7" x14ac:dyDescent="0.25">
      <c r="A162">
        <v>161</v>
      </c>
      <c r="B162" t="s">
        <v>238</v>
      </c>
      <c r="C162" t="s">
        <v>519</v>
      </c>
      <c r="D162">
        <v>566</v>
      </c>
      <c r="E162" t="s">
        <v>118</v>
      </c>
      <c r="F162" t="s">
        <v>337</v>
      </c>
      <c r="G162" t="s">
        <v>308</v>
      </c>
    </row>
    <row r="163" spans="1:7" x14ac:dyDescent="0.25">
      <c r="A163">
        <v>162</v>
      </c>
      <c r="B163" t="s">
        <v>520</v>
      </c>
      <c r="C163" t="s">
        <v>521</v>
      </c>
      <c r="D163">
        <v>570</v>
      </c>
      <c r="E163" t="s">
        <v>304</v>
      </c>
      <c r="F163" t="s">
        <v>303</v>
      </c>
    </row>
    <row r="164" spans="1:7" x14ac:dyDescent="0.25">
      <c r="A164">
        <v>163</v>
      </c>
      <c r="B164" t="s">
        <v>522</v>
      </c>
      <c r="C164" t="s">
        <v>523</v>
      </c>
      <c r="D164">
        <v>574</v>
      </c>
      <c r="E164" t="s">
        <v>304</v>
      </c>
      <c r="F164" t="s">
        <v>322</v>
      </c>
    </row>
    <row r="165" spans="1:7" x14ac:dyDescent="0.25">
      <c r="A165">
        <v>164</v>
      </c>
      <c r="B165" t="s">
        <v>239</v>
      </c>
      <c r="C165" t="s">
        <v>524</v>
      </c>
      <c r="D165">
        <v>807</v>
      </c>
      <c r="E165" t="s">
        <v>121</v>
      </c>
      <c r="F165" t="s">
        <v>298</v>
      </c>
    </row>
    <row r="166" spans="1:7" x14ac:dyDescent="0.25">
      <c r="A166">
        <v>165</v>
      </c>
      <c r="B166" t="s">
        <v>525</v>
      </c>
      <c r="C166" t="s">
        <v>526</v>
      </c>
      <c r="D166">
        <v>580</v>
      </c>
      <c r="E166" t="s">
        <v>304</v>
      </c>
      <c r="F166" t="s">
        <v>440</v>
      </c>
    </row>
    <row r="167" spans="1:7" x14ac:dyDescent="0.25">
      <c r="A167">
        <v>166</v>
      </c>
      <c r="B167" t="s">
        <v>240</v>
      </c>
      <c r="C167" t="s">
        <v>527</v>
      </c>
      <c r="D167">
        <v>578</v>
      </c>
      <c r="E167" t="s">
        <v>121</v>
      </c>
      <c r="F167" t="s">
        <v>296</v>
      </c>
    </row>
    <row r="168" spans="1:7" x14ac:dyDescent="0.25">
      <c r="A168">
        <v>167</v>
      </c>
      <c r="B168" t="s">
        <v>241</v>
      </c>
      <c r="C168" t="s">
        <v>528</v>
      </c>
      <c r="D168">
        <v>512</v>
      </c>
      <c r="E168" t="s">
        <v>117</v>
      </c>
      <c r="F168" t="s">
        <v>318</v>
      </c>
    </row>
    <row r="169" spans="1:7" x14ac:dyDescent="0.25">
      <c r="A169">
        <v>168</v>
      </c>
      <c r="B169" t="s">
        <v>242</v>
      </c>
      <c r="C169" t="s">
        <v>529</v>
      </c>
      <c r="D169">
        <v>586</v>
      </c>
      <c r="E169" t="s">
        <v>117</v>
      </c>
      <c r="F169" t="s">
        <v>293</v>
      </c>
    </row>
    <row r="170" spans="1:7" x14ac:dyDescent="0.25">
      <c r="A170">
        <v>169</v>
      </c>
      <c r="B170" t="s">
        <v>530</v>
      </c>
      <c r="C170" t="s">
        <v>531</v>
      </c>
      <c r="D170">
        <v>585</v>
      </c>
      <c r="E170" t="s">
        <v>304</v>
      </c>
      <c r="F170" t="s">
        <v>440</v>
      </c>
    </row>
    <row r="171" spans="1:7" x14ac:dyDescent="0.25">
      <c r="A171">
        <v>170</v>
      </c>
      <c r="B171" t="s">
        <v>243</v>
      </c>
      <c r="C171" t="s">
        <v>532</v>
      </c>
      <c r="D171">
        <v>591</v>
      </c>
      <c r="E171" t="s">
        <v>119</v>
      </c>
      <c r="F171" t="s">
        <v>335</v>
      </c>
      <c r="G171" t="s">
        <v>312</v>
      </c>
    </row>
    <row r="172" spans="1:7" x14ac:dyDescent="0.25">
      <c r="A172">
        <v>171</v>
      </c>
      <c r="B172" t="s">
        <v>533</v>
      </c>
      <c r="C172" t="s">
        <v>534</v>
      </c>
      <c r="D172">
        <v>598</v>
      </c>
      <c r="E172" t="s">
        <v>304</v>
      </c>
      <c r="F172" t="s">
        <v>419</v>
      </c>
    </row>
    <row r="173" spans="1:7" x14ac:dyDescent="0.25">
      <c r="A173">
        <v>172</v>
      </c>
      <c r="B173" t="s">
        <v>244</v>
      </c>
      <c r="C173" t="s">
        <v>535</v>
      </c>
      <c r="D173">
        <v>600</v>
      </c>
      <c r="E173" t="s">
        <v>120</v>
      </c>
      <c r="F173" t="s">
        <v>120</v>
      </c>
      <c r="G173" t="s">
        <v>312</v>
      </c>
    </row>
    <row r="174" spans="1:7" x14ac:dyDescent="0.25">
      <c r="A174">
        <v>173</v>
      </c>
      <c r="B174" t="s">
        <v>245</v>
      </c>
      <c r="C174" t="s">
        <v>536</v>
      </c>
      <c r="D174">
        <v>604</v>
      </c>
      <c r="E174" t="s">
        <v>120</v>
      </c>
      <c r="F174" t="s">
        <v>120</v>
      </c>
      <c r="G174" t="s">
        <v>312</v>
      </c>
    </row>
    <row r="175" spans="1:7" x14ac:dyDescent="0.25">
      <c r="A175">
        <v>174</v>
      </c>
      <c r="B175" t="s">
        <v>246</v>
      </c>
      <c r="C175" t="s">
        <v>537</v>
      </c>
      <c r="D175">
        <v>608</v>
      </c>
      <c r="E175" t="s">
        <v>117</v>
      </c>
      <c r="F175" t="s">
        <v>359</v>
      </c>
    </row>
    <row r="176" spans="1:7" x14ac:dyDescent="0.25">
      <c r="A176">
        <v>175</v>
      </c>
      <c r="B176" t="s">
        <v>538</v>
      </c>
      <c r="C176" t="s">
        <v>539</v>
      </c>
      <c r="D176">
        <v>612</v>
      </c>
      <c r="E176" t="s">
        <v>304</v>
      </c>
      <c r="F176" t="s">
        <v>303</v>
      </c>
    </row>
    <row r="177" spans="1:7" x14ac:dyDescent="0.25">
      <c r="A177">
        <v>176</v>
      </c>
      <c r="B177" t="s">
        <v>247</v>
      </c>
      <c r="C177" t="s">
        <v>540</v>
      </c>
      <c r="D177">
        <v>616</v>
      </c>
      <c r="E177" t="s">
        <v>121</v>
      </c>
      <c r="F177" t="s">
        <v>332</v>
      </c>
    </row>
    <row r="178" spans="1:7" x14ac:dyDescent="0.25">
      <c r="A178">
        <v>177</v>
      </c>
      <c r="B178" t="s">
        <v>248</v>
      </c>
      <c r="C178" t="s">
        <v>541</v>
      </c>
      <c r="D178">
        <v>620</v>
      </c>
      <c r="E178" t="s">
        <v>121</v>
      </c>
      <c r="F178" t="s">
        <v>298</v>
      </c>
    </row>
    <row r="179" spans="1:7" x14ac:dyDescent="0.25">
      <c r="A179">
        <v>178</v>
      </c>
      <c r="B179" t="s">
        <v>542</v>
      </c>
      <c r="C179" t="s">
        <v>543</v>
      </c>
      <c r="D179">
        <v>630</v>
      </c>
      <c r="E179" t="s">
        <v>119</v>
      </c>
      <c r="F179" t="s">
        <v>311</v>
      </c>
      <c r="G179" t="s">
        <v>312</v>
      </c>
    </row>
    <row r="180" spans="1:7" x14ac:dyDescent="0.25">
      <c r="A180">
        <v>179</v>
      </c>
      <c r="B180" t="s">
        <v>249</v>
      </c>
      <c r="C180" t="s">
        <v>544</v>
      </c>
      <c r="D180">
        <v>634</v>
      </c>
      <c r="E180" t="s">
        <v>117</v>
      </c>
      <c r="F180" t="s">
        <v>318</v>
      </c>
    </row>
    <row r="181" spans="1:7" x14ac:dyDescent="0.25">
      <c r="A181">
        <v>180</v>
      </c>
      <c r="B181" t="s">
        <v>545</v>
      </c>
      <c r="C181" t="s">
        <v>546</v>
      </c>
      <c r="D181">
        <v>410</v>
      </c>
      <c r="E181" t="s">
        <v>117</v>
      </c>
      <c r="F181" t="s">
        <v>373</v>
      </c>
    </row>
    <row r="182" spans="1:7" x14ac:dyDescent="0.25">
      <c r="A182">
        <v>181</v>
      </c>
      <c r="B182" t="s">
        <v>547</v>
      </c>
      <c r="C182" t="s">
        <v>548</v>
      </c>
      <c r="D182">
        <v>498</v>
      </c>
      <c r="E182" t="s">
        <v>121</v>
      </c>
      <c r="F182" t="s">
        <v>332</v>
      </c>
    </row>
    <row r="183" spans="1:7" x14ac:dyDescent="0.25">
      <c r="A183">
        <v>182</v>
      </c>
      <c r="B183" t="s">
        <v>250</v>
      </c>
      <c r="C183" t="s">
        <v>549</v>
      </c>
      <c r="D183">
        <v>638</v>
      </c>
      <c r="E183" t="s">
        <v>118</v>
      </c>
      <c r="F183" t="s">
        <v>354</v>
      </c>
      <c r="G183" t="s">
        <v>308</v>
      </c>
    </row>
    <row r="184" spans="1:7" x14ac:dyDescent="0.25">
      <c r="A184">
        <v>183</v>
      </c>
      <c r="B184" t="s">
        <v>251</v>
      </c>
      <c r="C184" t="s">
        <v>550</v>
      </c>
      <c r="D184">
        <v>642</v>
      </c>
      <c r="E184" t="s">
        <v>121</v>
      </c>
      <c r="F184" t="s">
        <v>332</v>
      </c>
    </row>
    <row r="185" spans="1:7" x14ac:dyDescent="0.25">
      <c r="A185">
        <v>184</v>
      </c>
      <c r="B185" t="s">
        <v>551</v>
      </c>
      <c r="C185" t="s">
        <v>552</v>
      </c>
      <c r="D185">
        <v>643</v>
      </c>
      <c r="E185" t="s">
        <v>121</v>
      </c>
      <c r="F185" t="s">
        <v>332</v>
      </c>
    </row>
    <row r="186" spans="1:7" x14ac:dyDescent="0.25">
      <c r="A186">
        <v>185</v>
      </c>
      <c r="B186" t="s">
        <v>252</v>
      </c>
      <c r="C186" t="s">
        <v>553</v>
      </c>
      <c r="D186">
        <v>646</v>
      </c>
      <c r="E186" t="s">
        <v>118</v>
      </c>
      <c r="F186" t="s">
        <v>354</v>
      </c>
      <c r="G186" t="s">
        <v>308</v>
      </c>
    </row>
    <row r="187" spans="1:7" x14ac:dyDescent="0.25">
      <c r="A187">
        <v>186</v>
      </c>
      <c r="B187" t="s">
        <v>554</v>
      </c>
      <c r="C187" t="s">
        <v>555</v>
      </c>
      <c r="D187">
        <v>652</v>
      </c>
      <c r="E187" t="s">
        <v>119</v>
      </c>
      <c r="F187" t="s">
        <v>311</v>
      </c>
      <c r="G187" t="s">
        <v>312</v>
      </c>
    </row>
    <row r="188" spans="1:7" x14ac:dyDescent="0.25">
      <c r="A188">
        <v>187</v>
      </c>
      <c r="B188" t="s">
        <v>253</v>
      </c>
      <c r="C188" t="s">
        <v>556</v>
      </c>
      <c r="D188">
        <v>654</v>
      </c>
      <c r="E188" t="s">
        <v>118</v>
      </c>
      <c r="F188" t="s">
        <v>337</v>
      </c>
      <c r="G188" t="s">
        <v>308</v>
      </c>
    </row>
    <row r="189" spans="1:7" x14ac:dyDescent="0.25">
      <c r="A189">
        <v>188</v>
      </c>
      <c r="B189" t="s">
        <v>254</v>
      </c>
      <c r="C189" t="s">
        <v>557</v>
      </c>
      <c r="D189">
        <v>659</v>
      </c>
      <c r="E189" t="s">
        <v>119</v>
      </c>
      <c r="F189" t="s">
        <v>311</v>
      </c>
      <c r="G189" t="s">
        <v>312</v>
      </c>
    </row>
    <row r="190" spans="1:7" x14ac:dyDescent="0.25">
      <c r="A190">
        <v>189</v>
      </c>
      <c r="B190" t="s">
        <v>255</v>
      </c>
      <c r="C190" t="s">
        <v>558</v>
      </c>
      <c r="D190">
        <v>662</v>
      </c>
      <c r="E190" t="s">
        <v>119</v>
      </c>
      <c r="F190" t="s">
        <v>311</v>
      </c>
      <c r="G190" t="s">
        <v>312</v>
      </c>
    </row>
    <row r="191" spans="1:7" x14ac:dyDescent="0.25">
      <c r="A191">
        <v>190</v>
      </c>
      <c r="B191" t="s">
        <v>559</v>
      </c>
      <c r="C191" t="s">
        <v>560</v>
      </c>
      <c r="D191">
        <v>663</v>
      </c>
      <c r="E191" t="s">
        <v>119</v>
      </c>
      <c r="F191" t="s">
        <v>311</v>
      </c>
      <c r="G191" t="s">
        <v>312</v>
      </c>
    </row>
    <row r="192" spans="1:7" x14ac:dyDescent="0.25">
      <c r="A192">
        <v>191</v>
      </c>
      <c r="B192" t="s">
        <v>561</v>
      </c>
      <c r="C192" t="s">
        <v>562</v>
      </c>
      <c r="D192">
        <v>666</v>
      </c>
      <c r="E192" t="s">
        <v>119</v>
      </c>
      <c r="F192" t="s">
        <v>340</v>
      </c>
    </row>
    <row r="193" spans="1:7" x14ac:dyDescent="0.25">
      <c r="A193">
        <v>192</v>
      </c>
      <c r="B193" t="s">
        <v>256</v>
      </c>
      <c r="C193" t="s">
        <v>563</v>
      </c>
      <c r="D193">
        <v>670</v>
      </c>
      <c r="E193" t="s">
        <v>119</v>
      </c>
      <c r="F193" t="s">
        <v>311</v>
      </c>
      <c r="G193" t="s">
        <v>312</v>
      </c>
    </row>
    <row r="194" spans="1:7" x14ac:dyDescent="0.25">
      <c r="A194">
        <v>193</v>
      </c>
      <c r="B194" t="s">
        <v>564</v>
      </c>
      <c r="C194" t="s">
        <v>565</v>
      </c>
      <c r="D194">
        <v>882</v>
      </c>
      <c r="E194" t="s">
        <v>304</v>
      </c>
      <c r="F194" t="s">
        <v>303</v>
      </c>
    </row>
    <row r="195" spans="1:7" x14ac:dyDescent="0.25">
      <c r="A195">
        <v>194</v>
      </c>
      <c r="B195" t="s">
        <v>257</v>
      </c>
      <c r="C195" t="s">
        <v>566</v>
      </c>
      <c r="D195">
        <v>674</v>
      </c>
      <c r="E195" t="s">
        <v>121</v>
      </c>
      <c r="F195" t="s">
        <v>298</v>
      </c>
    </row>
    <row r="196" spans="1:7" x14ac:dyDescent="0.25">
      <c r="A196">
        <v>195</v>
      </c>
      <c r="B196" t="s">
        <v>567</v>
      </c>
      <c r="C196" t="s">
        <v>568</v>
      </c>
      <c r="D196">
        <v>678</v>
      </c>
      <c r="E196" t="s">
        <v>118</v>
      </c>
      <c r="F196" t="s">
        <v>307</v>
      </c>
      <c r="G196" t="s">
        <v>308</v>
      </c>
    </row>
    <row r="197" spans="1:7" x14ac:dyDescent="0.25">
      <c r="A197">
        <v>196</v>
      </c>
      <c r="B197" t="s">
        <v>569</v>
      </c>
      <c r="D197">
        <v>680</v>
      </c>
      <c r="E197" t="s">
        <v>121</v>
      </c>
      <c r="F197" t="s">
        <v>296</v>
      </c>
      <c r="G197" t="s">
        <v>157</v>
      </c>
    </row>
    <row r="198" spans="1:7" x14ac:dyDescent="0.25">
      <c r="A198">
        <v>197</v>
      </c>
      <c r="B198" t="s">
        <v>258</v>
      </c>
      <c r="C198" t="s">
        <v>570</v>
      </c>
      <c r="D198">
        <v>682</v>
      </c>
      <c r="E198" t="s">
        <v>117</v>
      </c>
      <c r="F198" t="s">
        <v>318</v>
      </c>
    </row>
    <row r="199" spans="1:7" x14ac:dyDescent="0.25">
      <c r="A199">
        <v>198</v>
      </c>
      <c r="B199" t="s">
        <v>259</v>
      </c>
      <c r="C199" t="s">
        <v>571</v>
      </c>
      <c r="D199">
        <v>686</v>
      </c>
      <c r="E199" t="s">
        <v>118</v>
      </c>
      <c r="F199" t="s">
        <v>337</v>
      </c>
      <c r="G199" t="s">
        <v>308</v>
      </c>
    </row>
    <row r="200" spans="1:7" x14ac:dyDescent="0.25">
      <c r="A200">
        <v>199</v>
      </c>
      <c r="B200" t="s">
        <v>260</v>
      </c>
      <c r="C200" t="s">
        <v>572</v>
      </c>
      <c r="D200">
        <v>688</v>
      </c>
      <c r="E200" t="s">
        <v>121</v>
      </c>
      <c r="F200" t="s">
        <v>298</v>
      </c>
    </row>
    <row r="201" spans="1:7" x14ac:dyDescent="0.25">
      <c r="A201">
        <v>200</v>
      </c>
      <c r="B201" t="s">
        <v>261</v>
      </c>
      <c r="C201" t="s">
        <v>573</v>
      </c>
      <c r="D201">
        <v>690</v>
      </c>
      <c r="E201" t="s">
        <v>118</v>
      </c>
      <c r="F201" t="s">
        <v>354</v>
      </c>
      <c r="G201" t="s">
        <v>308</v>
      </c>
    </row>
    <row r="202" spans="1:7" x14ac:dyDescent="0.25">
      <c r="A202">
        <v>201</v>
      </c>
      <c r="B202" t="s">
        <v>262</v>
      </c>
      <c r="C202" t="s">
        <v>574</v>
      </c>
      <c r="D202">
        <v>694</v>
      </c>
      <c r="E202" t="s">
        <v>118</v>
      </c>
      <c r="F202" t="s">
        <v>337</v>
      </c>
      <c r="G202" t="s">
        <v>308</v>
      </c>
    </row>
    <row r="203" spans="1:7" x14ac:dyDescent="0.25">
      <c r="A203">
        <v>202</v>
      </c>
      <c r="B203" t="s">
        <v>123</v>
      </c>
      <c r="C203" t="s">
        <v>575</v>
      </c>
      <c r="D203">
        <v>702</v>
      </c>
      <c r="E203" t="s">
        <v>117</v>
      </c>
      <c r="F203" t="s">
        <v>359</v>
      </c>
    </row>
    <row r="204" spans="1:7" x14ac:dyDescent="0.25">
      <c r="A204">
        <v>203</v>
      </c>
      <c r="B204" t="s">
        <v>576</v>
      </c>
      <c r="C204" t="s">
        <v>577</v>
      </c>
      <c r="D204">
        <v>534</v>
      </c>
      <c r="E204" t="s">
        <v>119</v>
      </c>
      <c r="F204" t="s">
        <v>311</v>
      </c>
      <c r="G204" t="s">
        <v>312</v>
      </c>
    </row>
    <row r="205" spans="1:7" x14ac:dyDescent="0.25">
      <c r="A205">
        <v>204</v>
      </c>
      <c r="B205" t="s">
        <v>263</v>
      </c>
      <c r="C205" t="s">
        <v>578</v>
      </c>
      <c r="D205">
        <v>703</v>
      </c>
      <c r="E205" t="s">
        <v>121</v>
      </c>
      <c r="F205" t="s">
        <v>332</v>
      </c>
    </row>
    <row r="206" spans="1:7" x14ac:dyDescent="0.25">
      <c r="A206">
        <v>205</v>
      </c>
      <c r="B206" t="s">
        <v>264</v>
      </c>
      <c r="C206" t="s">
        <v>579</v>
      </c>
      <c r="D206">
        <v>705</v>
      </c>
      <c r="E206" t="s">
        <v>121</v>
      </c>
      <c r="F206" t="s">
        <v>298</v>
      </c>
    </row>
    <row r="207" spans="1:7" x14ac:dyDescent="0.25">
      <c r="A207">
        <v>206</v>
      </c>
      <c r="B207" t="s">
        <v>580</v>
      </c>
      <c r="C207" t="s">
        <v>581</v>
      </c>
      <c r="D207">
        <v>90</v>
      </c>
      <c r="E207" t="s">
        <v>304</v>
      </c>
      <c r="F207" t="s">
        <v>419</v>
      </c>
    </row>
    <row r="208" spans="1:7" x14ac:dyDescent="0.25">
      <c r="A208">
        <v>207</v>
      </c>
      <c r="B208" t="s">
        <v>265</v>
      </c>
      <c r="C208" t="s">
        <v>582</v>
      </c>
      <c r="D208">
        <v>706</v>
      </c>
      <c r="E208" t="s">
        <v>118</v>
      </c>
      <c r="F208" t="s">
        <v>354</v>
      </c>
      <c r="G208" t="s">
        <v>308</v>
      </c>
    </row>
    <row r="209" spans="1:7" x14ac:dyDescent="0.25">
      <c r="A209">
        <v>208</v>
      </c>
      <c r="B209" t="s">
        <v>266</v>
      </c>
      <c r="C209" t="s">
        <v>583</v>
      </c>
      <c r="D209">
        <v>710</v>
      </c>
      <c r="E209" t="s">
        <v>118</v>
      </c>
      <c r="F209" t="s">
        <v>348</v>
      </c>
      <c r="G209" t="s">
        <v>308</v>
      </c>
    </row>
    <row r="210" spans="1:7" x14ac:dyDescent="0.25">
      <c r="A210">
        <v>209</v>
      </c>
      <c r="B210" t="s">
        <v>584</v>
      </c>
      <c r="C210" t="s">
        <v>585</v>
      </c>
      <c r="D210">
        <v>239</v>
      </c>
      <c r="E210" t="s">
        <v>120</v>
      </c>
      <c r="F210" t="s">
        <v>120</v>
      </c>
      <c r="G210" t="s">
        <v>312</v>
      </c>
    </row>
    <row r="211" spans="1:7" x14ac:dyDescent="0.25">
      <c r="A211">
        <v>210</v>
      </c>
      <c r="B211" t="s">
        <v>267</v>
      </c>
      <c r="C211" t="s">
        <v>586</v>
      </c>
      <c r="D211">
        <v>728</v>
      </c>
      <c r="E211" t="s">
        <v>118</v>
      </c>
      <c r="F211" t="s">
        <v>354</v>
      </c>
      <c r="G211" t="s">
        <v>308</v>
      </c>
    </row>
    <row r="212" spans="1:7" x14ac:dyDescent="0.25">
      <c r="A212">
        <v>211</v>
      </c>
      <c r="B212" t="s">
        <v>268</v>
      </c>
      <c r="C212" t="s">
        <v>587</v>
      </c>
      <c r="D212">
        <v>724</v>
      </c>
      <c r="E212" t="s">
        <v>121</v>
      </c>
      <c r="F212" t="s">
        <v>298</v>
      </c>
    </row>
    <row r="213" spans="1:7" x14ac:dyDescent="0.25">
      <c r="A213">
        <v>212</v>
      </c>
      <c r="B213" t="s">
        <v>269</v>
      </c>
      <c r="C213" t="s">
        <v>588</v>
      </c>
      <c r="D213">
        <v>144</v>
      </c>
      <c r="E213" t="s">
        <v>117</v>
      </c>
      <c r="F213" t="s">
        <v>293</v>
      </c>
    </row>
    <row r="214" spans="1:7" x14ac:dyDescent="0.25">
      <c r="A214">
        <v>213</v>
      </c>
      <c r="B214" t="s">
        <v>270</v>
      </c>
      <c r="C214" t="s">
        <v>589</v>
      </c>
      <c r="D214">
        <v>275</v>
      </c>
      <c r="E214" t="s">
        <v>117</v>
      </c>
      <c r="F214" t="s">
        <v>318</v>
      </c>
    </row>
    <row r="215" spans="1:7" x14ac:dyDescent="0.25">
      <c r="A215">
        <v>214</v>
      </c>
      <c r="B215" t="s">
        <v>271</v>
      </c>
      <c r="C215" t="s">
        <v>590</v>
      </c>
      <c r="D215">
        <v>729</v>
      </c>
      <c r="E215" t="s">
        <v>118</v>
      </c>
      <c r="F215" t="s">
        <v>300</v>
      </c>
    </row>
    <row r="216" spans="1:7" x14ac:dyDescent="0.25">
      <c r="A216">
        <v>215</v>
      </c>
      <c r="B216" t="s">
        <v>272</v>
      </c>
      <c r="C216" t="s">
        <v>591</v>
      </c>
      <c r="D216">
        <v>740</v>
      </c>
      <c r="E216" t="s">
        <v>120</v>
      </c>
      <c r="F216" t="s">
        <v>120</v>
      </c>
      <c r="G216" t="s">
        <v>312</v>
      </c>
    </row>
    <row r="217" spans="1:7" x14ac:dyDescent="0.25">
      <c r="A217">
        <v>216</v>
      </c>
      <c r="B217" t="s">
        <v>592</v>
      </c>
      <c r="C217" t="s">
        <v>593</v>
      </c>
      <c r="D217">
        <v>744</v>
      </c>
      <c r="E217" t="s">
        <v>121</v>
      </c>
      <c r="F217" t="s">
        <v>296</v>
      </c>
    </row>
    <row r="218" spans="1:7" x14ac:dyDescent="0.25">
      <c r="A218">
        <v>217</v>
      </c>
      <c r="B218" t="s">
        <v>273</v>
      </c>
      <c r="C218" t="s">
        <v>594</v>
      </c>
      <c r="D218">
        <v>752</v>
      </c>
      <c r="E218" t="s">
        <v>121</v>
      </c>
      <c r="F218" t="s">
        <v>296</v>
      </c>
    </row>
    <row r="219" spans="1:7" x14ac:dyDescent="0.25">
      <c r="A219">
        <v>218</v>
      </c>
      <c r="B219" t="s">
        <v>274</v>
      </c>
      <c r="C219" t="s">
        <v>595</v>
      </c>
      <c r="D219">
        <v>756</v>
      </c>
      <c r="E219" t="s">
        <v>121</v>
      </c>
      <c r="F219" t="s">
        <v>324</v>
      </c>
    </row>
    <row r="220" spans="1:7" x14ac:dyDescent="0.25">
      <c r="A220">
        <v>219</v>
      </c>
      <c r="B220" t="s">
        <v>596</v>
      </c>
      <c r="C220" t="s">
        <v>597</v>
      </c>
      <c r="D220">
        <v>760</v>
      </c>
      <c r="E220" t="s">
        <v>117</v>
      </c>
      <c r="F220" t="s">
        <v>318</v>
      </c>
    </row>
    <row r="221" spans="1:7" x14ac:dyDescent="0.25">
      <c r="A221">
        <v>220</v>
      </c>
      <c r="B221" t="s">
        <v>275</v>
      </c>
      <c r="C221" t="s">
        <v>598</v>
      </c>
      <c r="D221">
        <v>762</v>
      </c>
      <c r="E221" t="s">
        <v>117</v>
      </c>
      <c r="F221" t="s">
        <v>469</v>
      </c>
    </row>
    <row r="222" spans="1:7" x14ac:dyDescent="0.25">
      <c r="A222">
        <v>221</v>
      </c>
      <c r="B222" t="s">
        <v>276</v>
      </c>
      <c r="C222" t="s">
        <v>599</v>
      </c>
      <c r="D222">
        <v>764</v>
      </c>
      <c r="E222" t="s">
        <v>117</v>
      </c>
      <c r="F222" t="s">
        <v>359</v>
      </c>
    </row>
    <row r="223" spans="1:7" x14ac:dyDescent="0.25">
      <c r="A223">
        <v>222</v>
      </c>
      <c r="B223" t="s">
        <v>277</v>
      </c>
      <c r="C223" t="s">
        <v>600</v>
      </c>
      <c r="D223">
        <v>626</v>
      </c>
      <c r="E223" t="s">
        <v>117</v>
      </c>
      <c r="F223" t="s">
        <v>359</v>
      </c>
    </row>
    <row r="224" spans="1:7" x14ac:dyDescent="0.25">
      <c r="A224">
        <v>223</v>
      </c>
      <c r="B224" t="s">
        <v>278</v>
      </c>
      <c r="C224" t="s">
        <v>601</v>
      </c>
      <c r="D224">
        <v>768</v>
      </c>
      <c r="E224" t="s">
        <v>118</v>
      </c>
      <c r="F224" t="s">
        <v>337</v>
      </c>
      <c r="G224" t="s">
        <v>308</v>
      </c>
    </row>
    <row r="225" spans="1:7" x14ac:dyDescent="0.25">
      <c r="A225">
        <v>224</v>
      </c>
      <c r="B225" t="s">
        <v>602</v>
      </c>
      <c r="C225" t="s">
        <v>603</v>
      </c>
      <c r="D225">
        <v>772</v>
      </c>
      <c r="E225" t="s">
        <v>304</v>
      </c>
      <c r="F225" t="s">
        <v>303</v>
      </c>
    </row>
    <row r="226" spans="1:7" x14ac:dyDescent="0.25">
      <c r="A226">
        <v>225</v>
      </c>
      <c r="B226" t="s">
        <v>604</v>
      </c>
      <c r="C226" t="s">
        <v>605</v>
      </c>
      <c r="D226">
        <v>776</v>
      </c>
      <c r="E226" t="s">
        <v>304</v>
      </c>
      <c r="F226" t="s">
        <v>303</v>
      </c>
    </row>
    <row r="227" spans="1:7" x14ac:dyDescent="0.25">
      <c r="A227">
        <v>226</v>
      </c>
      <c r="B227" t="s">
        <v>279</v>
      </c>
      <c r="C227" t="s">
        <v>606</v>
      </c>
      <c r="D227">
        <v>780</v>
      </c>
      <c r="E227" t="s">
        <v>119</v>
      </c>
      <c r="F227" t="s">
        <v>311</v>
      </c>
      <c r="G227" t="s">
        <v>312</v>
      </c>
    </row>
    <row r="228" spans="1:7" x14ac:dyDescent="0.25">
      <c r="A228">
        <v>227</v>
      </c>
      <c r="B228" t="s">
        <v>280</v>
      </c>
      <c r="C228" t="s">
        <v>607</v>
      </c>
      <c r="D228">
        <v>788</v>
      </c>
      <c r="E228" t="s">
        <v>118</v>
      </c>
      <c r="F228" t="s">
        <v>300</v>
      </c>
    </row>
    <row r="229" spans="1:7" x14ac:dyDescent="0.25">
      <c r="A229">
        <v>228</v>
      </c>
      <c r="B229" t="s">
        <v>645</v>
      </c>
      <c r="C229" t="s">
        <v>608</v>
      </c>
      <c r="D229">
        <v>792</v>
      </c>
      <c r="E229" t="s">
        <v>117</v>
      </c>
      <c r="F229" t="s">
        <v>318</v>
      </c>
    </row>
    <row r="230" spans="1:7" x14ac:dyDescent="0.25">
      <c r="A230">
        <v>229</v>
      </c>
      <c r="B230" t="s">
        <v>281</v>
      </c>
      <c r="C230" t="s">
        <v>609</v>
      </c>
      <c r="D230">
        <v>795</v>
      </c>
      <c r="E230" t="s">
        <v>117</v>
      </c>
      <c r="F230" t="s">
        <v>469</v>
      </c>
    </row>
    <row r="231" spans="1:7" x14ac:dyDescent="0.25">
      <c r="A231">
        <v>230</v>
      </c>
      <c r="B231" t="s">
        <v>610</v>
      </c>
      <c r="C231" t="s">
        <v>611</v>
      </c>
      <c r="D231">
        <v>796</v>
      </c>
      <c r="E231" t="s">
        <v>119</v>
      </c>
      <c r="F231" t="s">
        <v>311</v>
      </c>
      <c r="G231" t="s">
        <v>312</v>
      </c>
    </row>
    <row r="232" spans="1:7" x14ac:dyDescent="0.25">
      <c r="A232">
        <v>231</v>
      </c>
      <c r="B232" t="s">
        <v>612</v>
      </c>
      <c r="C232" t="s">
        <v>613</v>
      </c>
      <c r="D232">
        <v>798</v>
      </c>
      <c r="E232" t="s">
        <v>304</v>
      </c>
      <c r="F232" t="s">
        <v>303</v>
      </c>
    </row>
    <row r="233" spans="1:7" x14ac:dyDescent="0.25">
      <c r="A233">
        <v>232</v>
      </c>
      <c r="B233" t="s">
        <v>282</v>
      </c>
      <c r="C233" t="s">
        <v>614</v>
      </c>
      <c r="D233">
        <v>800</v>
      </c>
      <c r="E233" t="s">
        <v>118</v>
      </c>
      <c r="F233" t="s">
        <v>354</v>
      </c>
      <c r="G233" t="s">
        <v>308</v>
      </c>
    </row>
    <row r="234" spans="1:7" x14ac:dyDescent="0.25">
      <c r="A234">
        <v>233</v>
      </c>
      <c r="B234" t="s">
        <v>283</v>
      </c>
      <c r="C234" t="s">
        <v>615</v>
      </c>
      <c r="D234">
        <v>804</v>
      </c>
      <c r="E234" t="s">
        <v>121</v>
      </c>
      <c r="F234" t="s">
        <v>332</v>
      </c>
    </row>
    <row r="235" spans="1:7" x14ac:dyDescent="0.25">
      <c r="A235">
        <v>234</v>
      </c>
      <c r="B235" t="s">
        <v>284</v>
      </c>
      <c r="C235" t="s">
        <v>616</v>
      </c>
      <c r="D235">
        <v>784</v>
      </c>
      <c r="E235" t="s">
        <v>117</v>
      </c>
      <c r="F235" t="s">
        <v>318</v>
      </c>
    </row>
    <row r="236" spans="1:7" x14ac:dyDescent="0.25">
      <c r="A236">
        <v>235</v>
      </c>
      <c r="B236" t="s">
        <v>617</v>
      </c>
      <c r="C236" t="s">
        <v>618</v>
      </c>
      <c r="D236">
        <v>826</v>
      </c>
      <c r="E236" t="s">
        <v>121</v>
      </c>
      <c r="F236" t="s">
        <v>296</v>
      </c>
    </row>
    <row r="237" spans="1:7" x14ac:dyDescent="0.25">
      <c r="A237">
        <v>236</v>
      </c>
      <c r="B237" t="s">
        <v>619</v>
      </c>
      <c r="C237" t="s">
        <v>620</v>
      </c>
      <c r="D237">
        <v>834</v>
      </c>
      <c r="E237" t="s">
        <v>118</v>
      </c>
      <c r="F237" t="s">
        <v>354</v>
      </c>
      <c r="G237" t="s">
        <v>308</v>
      </c>
    </row>
    <row r="238" spans="1:7" x14ac:dyDescent="0.25">
      <c r="A238">
        <v>237</v>
      </c>
      <c r="B238" t="s">
        <v>621</v>
      </c>
      <c r="C238" t="s">
        <v>622</v>
      </c>
      <c r="D238">
        <v>581</v>
      </c>
      <c r="E238" t="s">
        <v>304</v>
      </c>
      <c r="F238" t="s">
        <v>440</v>
      </c>
    </row>
    <row r="239" spans="1:7" x14ac:dyDescent="0.25">
      <c r="A239">
        <v>238</v>
      </c>
      <c r="B239" t="s">
        <v>84</v>
      </c>
      <c r="C239" t="s">
        <v>623</v>
      </c>
      <c r="D239">
        <v>840</v>
      </c>
      <c r="E239" t="s">
        <v>119</v>
      </c>
      <c r="F239" t="s">
        <v>340</v>
      </c>
    </row>
    <row r="240" spans="1:7" x14ac:dyDescent="0.25">
      <c r="A240">
        <v>239</v>
      </c>
      <c r="B240" t="s">
        <v>624</v>
      </c>
      <c r="C240" t="s">
        <v>625</v>
      </c>
      <c r="D240">
        <v>850</v>
      </c>
      <c r="E240" t="s">
        <v>119</v>
      </c>
      <c r="F240" t="s">
        <v>311</v>
      </c>
      <c r="G240" t="s">
        <v>312</v>
      </c>
    </row>
    <row r="241" spans="1:7" x14ac:dyDescent="0.25">
      <c r="A241">
        <v>240</v>
      </c>
      <c r="B241" t="s">
        <v>285</v>
      </c>
      <c r="C241" t="s">
        <v>626</v>
      </c>
      <c r="D241">
        <v>858</v>
      </c>
      <c r="E241" t="s">
        <v>120</v>
      </c>
      <c r="F241" t="s">
        <v>120</v>
      </c>
      <c r="G241" t="s">
        <v>312</v>
      </c>
    </row>
    <row r="242" spans="1:7" x14ac:dyDescent="0.25">
      <c r="A242">
        <v>241</v>
      </c>
      <c r="B242" t="s">
        <v>286</v>
      </c>
      <c r="C242" t="s">
        <v>627</v>
      </c>
      <c r="D242">
        <v>860</v>
      </c>
      <c r="E242" t="s">
        <v>117</v>
      </c>
      <c r="F242" t="s">
        <v>469</v>
      </c>
    </row>
    <row r="243" spans="1:7" x14ac:dyDescent="0.25">
      <c r="A243">
        <v>242</v>
      </c>
      <c r="B243" t="s">
        <v>628</v>
      </c>
      <c r="C243" t="s">
        <v>629</v>
      </c>
      <c r="D243">
        <v>548</v>
      </c>
      <c r="E243" t="s">
        <v>304</v>
      </c>
      <c r="F243" t="s">
        <v>419</v>
      </c>
    </row>
    <row r="244" spans="1:7" x14ac:dyDescent="0.25">
      <c r="A244">
        <v>243</v>
      </c>
      <c r="B244" t="s">
        <v>630</v>
      </c>
      <c r="C244" t="s">
        <v>631</v>
      </c>
      <c r="D244">
        <v>862</v>
      </c>
      <c r="E244" t="s">
        <v>120</v>
      </c>
      <c r="F244" t="s">
        <v>120</v>
      </c>
      <c r="G244" t="s">
        <v>312</v>
      </c>
    </row>
    <row r="245" spans="1:7" x14ac:dyDescent="0.25">
      <c r="A245">
        <v>244</v>
      </c>
      <c r="B245" t="s">
        <v>287</v>
      </c>
      <c r="C245" t="s">
        <v>632</v>
      </c>
      <c r="D245">
        <v>704</v>
      </c>
      <c r="E245" t="s">
        <v>117</v>
      </c>
      <c r="F245" t="s">
        <v>359</v>
      </c>
    </row>
    <row r="246" spans="1:7" x14ac:dyDescent="0.25">
      <c r="A246">
        <v>245</v>
      </c>
      <c r="B246" t="s">
        <v>633</v>
      </c>
      <c r="C246" t="s">
        <v>634</v>
      </c>
      <c r="D246">
        <v>876</v>
      </c>
      <c r="E246" t="s">
        <v>304</v>
      </c>
      <c r="F246" t="s">
        <v>303</v>
      </c>
    </row>
    <row r="247" spans="1:7" x14ac:dyDescent="0.25">
      <c r="A247">
        <v>246</v>
      </c>
      <c r="B247" t="s">
        <v>288</v>
      </c>
      <c r="C247" t="s">
        <v>635</v>
      </c>
      <c r="D247">
        <v>732</v>
      </c>
      <c r="E247" t="s">
        <v>118</v>
      </c>
      <c r="F247" t="s">
        <v>300</v>
      </c>
    </row>
    <row r="248" spans="1:7" x14ac:dyDescent="0.25">
      <c r="A248">
        <v>247</v>
      </c>
      <c r="B248" t="s">
        <v>289</v>
      </c>
      <c r="C248" t="s">
        <v>636</v>
      </c>
      <c r="D248">
        <v>887</v>
      </c>
      <c r="E248" t="s">
        <v>117</v>
      </c>
      <c r="F248" t="s">
        <v>318</v>
      </c>
    </row>
    <row r="249" spans="1:7" x14ac:dyDescent="0.25">
      <c r="A249">
        <v>248</v>
      </c>
      <c r="B249" t="s">
        <v>290</v>
      </c>
      <c r="C249" t="s">
        <v>637</v>
      </c>
      <c r="D249">
        <v>894</v>
      </c>
      <c r="E249" t="s">
        <v>118</v>
      </c>
      <c r="F249" t="s">
        <v>354</v>
      </c>
      <c r="G249" t="s">
        <v>308</v>
      </c>
    </row>
    <row r="250" spans="1:7" x14ac:dyDescent="0.25">
      <c r="A250">
        <v>249</v>
      </c>
      <c r="B250" t="s">
        <v>291</v>
      </c>
      <c r="C250" t="s">
        <v>638</v>
      </c>
      <c r="D250">
        <v>716</v>
      </c>
      <c r="E250" t="s">
        <v>118</v>
      </c>
      <c r="F250" t="s">
        <v>354</v>
      </c>
      <c r="G250" t="s">
        <v>308</v>
      </c>
    </row>
  </sheetData>
  <sortState xmlns:xlrd2="http://schemas.microsoft.com/office/spreadsheetml/2017/richdata2" ref="A2:C13">
    <sortCondition ref="A8:A13"/>
  </sortState>
  <dataConsolidate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220" zoomScaleNormal="220" workbookViewId="0">
      <selection activeCell="C9" sqref="C9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18.28515625" bestFit="1" customWidth="1"/>
    <col min="4" max="4" width="17.42578125" customWidth="1"/>
    <col min="5" max="5" width="11.42578125" bestFit="1" customWidth="1"/>
    <col min="6" max="6" width="14.140625" bestFit="1" customWidth="1"/>
  </cols>
  <sheetData>
    <row r="1" spans="1:6" x14ac:dyDescent="0.25">
      <c r="A1" s="21" t="s">
        <v>755</v>
      </c>
      <c r="B1" s="21" t="s">
        <v>798</v>
      </c>
      <c r="C1" s="21" t="s">
        <v>754</v>
      </c>
      <c r="D1" s="21" t="s">
        <v>747</v>
      </c>
      <c r="E1" s="21" t="s">
        <v>75</v>
      </c>
      <c r="F1" s="21" t="s">
        <v>756</v>
      </c>
    </row>
    <row r="2" spans="1:6" x14ac:dyDescent="0.25">
      <c r="A2">
        <v>1</v>
      </c>
      <c r="B2" t="s">
        <v>4</v>
      </c>
      <c r="C2" t="s">
        <v>64</v>
      </c>
      <c r="D2">
        <v>2467355553</v>
      </c>
      <c r="F2">
        <v>50</v>
      </c>
    </row>
    <row r="3" spans="1:6" x14ac:dyDescent="0.25">
      <c r="A3">
        <v>2</v>
      </c>
      <c r="B3" t="s">
        <v>703</v>
      </c>
      <c r="C3" t="s">
        <v>65</v>
      </c>
      <c r="D3">
        <v>1363718361</v>
      </c>
      <c r="F3">
        <v>11</v>
      </c>
    </row>
    <row r="4" spans="1:6" x14ac:dyDescent="0.25">
      <c r="A4">
        <v>3</v>
      </c>
      <c r="B4" t="s">
        <v>704</v>
      </c>
      <c r="C4" t="s">
        <v>65</v>
      </c>
      <c r="D4">
        <v>5445855711</v>
      </c>
      <c r="E4" t="s">
        <v>703</v>
      </c>
      <c r="F4">
        <v>11</v>
      </c>
    </row>
    <row r="5" spans="1:6" x14ac:dyDescent="0.25">
      <c r="A5">
        <v>4</v>
      </c>
      <c r="B5" t="s">
        <v>750</v>
      </c>
      <c r="C5" t="s">
        <v>66</v>
      </c>
      <c r="D5">
        <v>4558878512</v>
      </c>
      <c r="F5">
        <v>68</v>
      </c>
    </row>
    <row r="6" spans="1:6" x14ac:dyDescent="0.25">
      <c r="A6">
        <v>5</v>
      </c>
      <c r="B6" t="s">
        <v>3</v>
      </c>
      <c r="C6" t="s">
        <v>66</v>
      </c>
      <c r="D6">
        <v>1626258811</v>
      </c>
      <c r="E6" t="s">
        <v>750</v>
      </c>
      <c r="F6">
        <v>123</v>
      </c>
    </row>
    <row r="7" spans="1:6" x14ac:dyDescent="0.25">
      <c r="A7">
        <v>6</v>
      </c>
      <c r="B7" t="s">
        <v>26</v>
      </c>
      <c r="C7" t="s">
        <v>67</v>
      </c>
      <c r="D7">
        <v>2223354558</v>
      </c>
      <c r="F7">
        <v>99</v>
      </c>
    </row>
    <row r="8" spans="1:6" x14ac:dyDescent="0.25">
      <c r="A8">
        <v>7</v>
      </c>
      <c r="B8" t="s">
        <v>27</v>
      </c>
      <c r="C8" t="s">
        <v>68</v>
      </c>
      <c r="D8">
        <v>3454588543</v>
      </c>
      <c r="F8">
        <v>99</v>
      </c>
    </row>
    <row r="9" spans="1:6" x14ac:dyDescent="0.25">
      <c r="A9">
        <v>8</v>
      </c>
      <c r="B9" t="s">
        <v>688</v>
      </c>
      <c r="C9" t="s">
        <v>69</v>
      </c>
      <c r="D9">
        <v>1325464887</v>
      </c>
      <c r="F9">
        <v>88</v>
      </c>
    </row>
    <row r="10" spans="1:6" x14ac:dyDescent="0.25">
      <c r="A10">
        <v>9</v>
      </c>
      <c r="B10" t="s">
        <v>702</v>
      </c>
      <c r="C10" t="s">
        <v>701</v>
      </c>
      <c r="D10">
        <v>1231231212</v>
      </c>
      <c r="F10">
        <v>99</v>
      </c>
    </row>
    <row r="11" spans="1:6" x14ac:dyDescent="0.25">
      <c r="A11">
        <v>10</v>
      </c>
      <c r="B11" t="s">
        <v>751</v>
      </c>
      <c r="C11" t="s">
        <v>65</v>
      </c>
      <c r="D11">
        <v>2838333882</v>
      </c>
      <c r="E11" t="s">
        <v>703</v>
      </c>
      <c r="F11">
        <v>44</v>
      </c>
    </row>
    <row r="12" spans="1:6" x14ac:dyDescent="0.25">
      <c r="A12">
        <v>11</v>
      </c>
      <c r="B12" t="s">
        <v>752</v>
      </c>
      <c r="C12" t="s">
        <v>65</v>
      </c>
      <c r="D12">
        <v>7636638228</v>
      </c>
      <c r="E12" t="s">
        <v>703</v>
      </c>
      <c r="F12">
        <v>34</v>
      </c>
    </row>
  </sheetData>
  <sortState xmlns:xlrd2="http://schemas.microsoft.com/office/spreadsheetml/2017/richdata2" ref="A2:E9">
    <sortCondition ref="A4:A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6702-5C4B-4B87-A1B9-95279D2A8B15}">
  <dimension ref="A1:L13"/>
  <sheetViews>
    <sheetView zoomScaleNormal="100" workbookViewId="0">
      <selection activeCell="B5" sqref="B5"/>
    </sheetView>
  </sheetViews>
  <sheetFormatPr defaultRowHeight="15" x14ac:dyDescent="0.25"/>
  <cols>
    <col min="1" max="1" width="12.140625" customWidth="1"/>
    <col min="2" max="2" width="15" bestFit="1" customWidth="1"/>
    <col min="3" max="3" width="14.85546875" bestFit="1" customWidth="1"/>
    <col min="4" max="4" width="12.85546875" bestFit="1" customWidth="1"/>
    <col min="6" max="6" width="11.42578125" bestFit="1" customWidth="1"/>
    <col min="7" max="7" width="11.7109375" bestFit="1" customWidth="1"/>
    <col min="8" max="9" width="11.7109375" customWidth="1"/>
    <col min="10" max="10" width="64.140625" customWidth="1"/>
  </cols>
  <sheetData>
    <row r="1" spans="1:12" x14ac:dyDescent="0.25">
      <c r="A1" t="s">
        <v>745</v>
      </c>
      <c r="B1" t="s">
        <v>746</v>
      </c>
      <c r="C1" t="s">
        <v>798</v>
      </c>
      <c r="D1" t="s">
        <v>747</v>
      </c>
      <c r="E1" t="s">
        <v>72</v>
      </c>
      <c r="F1" t="s">
        <v>75</v>
      </c>
      <c r="G1" t="s">
        <v>654</v>
      </c>
      <c r="H1" t="s">
        <v>712</v>
      </c>
      <c r="I1" t="s">
        <v>713</v>
      </c>
      <c r="J1" t="s">
        <v>76</v>
      </c>
      <c r="K1" t="s">
        <v>660</v>
      </c>
      <c r="L1" t="s">
        <v>801</v>
      </c>
    </row>
    <row r="2" spans="1:12" x14ac:dyDescent="0.25">
      <c r="A2" t="s">
        <v>690</v>
      </c>
      <c r="B2" t="s">
        <v>653</v>
      </c>
      <c r="C2" t="s">
        <v>656</v>
      </c>
      <c r="D2">
        <v>1796836765</v>
      </c>
      <c r="E2" t="s">
        <v>655</v>
      </c>
      <c r="G2" t="s">
        <v>658</v>
      </c>
      <c r="H2">
        <v>5000</v>
      </c>
      <c r="I2" s="1">
        <v>36526</v>
      </c>
      <c r="J2" s="17" t="s">
        <v>668</v>
      </c>
      <c r="K2">
        <v>111</v>
      </c>
      <c r="L2" s="17" t="s">
        <v>802</v>
      </c>
    </row>
    <row r="3" spans="1:12" x14ac:dyDescent="0.25">
      <c r="A3" t="s">
        <v>691</v>
      </c>
      <c r="B3" t="s">
        <v>60</v>
      </c>
      <c r="C3" t="s">
        <v>667</v>
      </c>
      <c r="D3">
        <v>2357139323</v>
      </c>
      <c r="E3" t="s">
        <v>73</v>
      </c>
      <c r="F3" t="s">
        <v>657</v>
      </c>
      <c r="G3" t="s">
        <v>99</v>
      </c>
      <c r="H3">
        <v>4000</v>
      </c>
      <c r="I3" s="1">
        <v>36527</v>
      </c>
      <c r="J3" s="17" t="s">
        <v>666</v>
      </c>
      <c r="K3">
        <v>8888</v>
      </c>
      <c r="L3" s="17" t="s">
        <v>803</v>
      </c>
    </row>
    <row r="4" spans="1:12" x14ac:dyDescent="0.25">
      <c r="A4" t="s">
        <v>700</v>
      </c>
      <c r="B4" t="s">
        <v>60</v>
      </c>
      <c r="C4" t="s">
        <v>706</v>
      </c>
      <c r="D4">
        <v>1245245672</v>
      </c>
      <c r="E4" t="s">
        <v>74</v>
      </c>
      <c r="F4" t="s">
        <v>62</v>
      </c>
      <c r="G4" t="s">
        <v>676</v>
      </c>
      <c r="H4">
        <v>1001</v>
      </c>
      <c r="I4" s="1">
        <v>36557</v>
      </c>
      <c r="J4" s="17" t="s">
        <v>77</v>
      </c>
      <c r="K4">
        <v>82482</v>
      </c>
      <c r="L4" s="17" t="s">
        <v>804</v>
      </c>
    </row>
    <row r="5" spans="1:12" x14ac:dyDescent="0.25">
      <c r="A5" t="s">
        <v>696</v>
      </c>
      <c r="B5" t="s">
        <v>653</v>
      </c>
      <c r="C5" t="s">
        <v>652</v>
      </c>
      <c r="D5">
        <v>3052465381</v>
      </c>
      <c r="E5" t="s">
        <v>73</v>
      </c>
      <c r="F5" t="s">
        <v>667</v>
      </c>
      <c r="G5" t="s">
        <v>99</v>
      </c>
      <c r="H5">
        <v>3003</v>
      </c>
      <c r="I5" s="1">
        <v>36557</v>
      </c>
      <c r="J5" s="17" t="s">
        <v>665</v>
      </c>
      <c r="K5">
        <v>5555</v>
      </c>
      <c r="L5" s="17" t="s">
        <v>805</v>
      </c>
    </row>
    <row r="6" spans="1:12" x14ac:dyDescent="0.25">
      <c r="A6" t="s">
        <v>697</v>
      </c>
      <c r="B6" t="s">
        <v>60</v>
      </c>
      <c r="C6" t="s">
        <v>61</v>
      </c>
      <c r="D6">
        <v>1625535511</v>
      </c>
      <c r="E6" t="s">
        <v>73</v>
      </c>
      <c r="F6" t="s">
        <v>62</v>
      </c>
      <c r="G6" t="s">
        <v>676</v>
      </c>
      <c r="H6">
        <v>1002</v>
      </c>
      <c r="I6" s="1">
        <v>36984</v>
      </c>
      <c r="J6" s="17" t="s">
        <v>707</v>
      </c>
      <c r="K6">
        <v>12347</v>
      </c>
      <c r="L6" s="17" t="s">
        <v>806</v>
      </c>
    </row>
    <row r="7" spans="1:12" x14ac:dyDescent="0.25">
      <c r="A7" t="s">
        <v>698</v>
      </c>
      <c r="B7" t="s">
        <v>60</v>
      </c>
      <c r="C7" t="s">
        <v>78</v>
      </c>
      <c r="D7">
        <v>2325587855</v>
      </c>
      <c r="E7" t="s">
        <v>74</v>
      </c>
      <c r="F7" t="s">
        <v>61</v>
      </c>
      <c r="G7" t="s">
        <v>675</v>
      </c>
      <c r="H7">
        <v>2002</v>
      </c>
      <c r="I7" s="1">
        <v>36557</v>
      </c>
      <c r="J7" s="17" t="s">
        <v>709</v>
      </c>
      <c r="K7">
        <v>22254</v>
      </c>
      <c r="L7" s="17" t="s">
        <v>807</v>
      </c>
    </row>
    <row r="8" spans="1:12" x14ac:dyDescent="0.25">
      <c r="A8" t="s">
        <v>699</v>
      </c>
      <c r="B8" t="s">
        <v>60</v>
      </c>
      <c r="C8" t="s">
        <v>711</v>
      </c>
      <c r="D8">
        <v>1028777351</v>
      </c>
      <c r="E8" t="s">
        <v>73</v>
      </c>
      <c r="F8" t="s">
        <v>667</v>
      </c>
      <c r="G8" t="s">
        <v>675</v>
      </c>
      <c r="H8">
        <v>2003</v>
      </c>
      <c r="I8" s="1">
        <v>36984</v>
      </c>
      <c r="J8" s="17" t="s">
        <v>710</v>
      </c>
      <c r="K8">
        <v>76478</v>
      </c>
      <c r="L8" s="17" t="s">
        <v>812</v>
      </c>
    </row>
    <row r="9" spans="1:12" x14ac:dyDescent="0.25">
      <c r="A9" t="s">
        <v>695</v>
      </c>
      <c r="B9" t="s">
        <v>653</v>
      </c>
      <c r="C9" t="s">
        <v>651</v>
      </c>
      <c r="D9">
        <v>2067405812</v>
      </c>
      <c r="E9" t="s">
        <v>74</v>
      </c>
      <c r="F9" t="s">
        <v>659</v>
      </c>
      <c r="G9" t="s">
        <v>99</v>
      </c>
      <c r="H9">
        <v>3002</v>
      </c>
      <c r="I9" s="1">
        <v>36984</v>
      </c>
      <c r="J9" s="17" t="s">
        <v>664</v>
      </c>
      <c r="K9">
        <v>4444</v>
      </c>
      <c r="L9" s="17" t="s">
        <v>808</v>
      </c>
    </row>
    <row r="10" spans="1:12" x14ac:dyDescent="0.25">
      <c r="A10" t="s">
        <v>692</v>
      </c>
      <c r="B10" t="s">
        <v>653</v>
      </c>
      <c r="C10" t="s">
        <v>659</v>
      </c>
      <c r="D10">
        <v>2115467679</v>
      </c>
      <c r="E10" t="s">
        <v>655</v>
      </c>
      <c r="F10" t="s">
        <v>667</v>
      </c>
      <c r="G10" t="s">
        <v>99</v>
      </c>
      <c r="H10">
        <v>3002</v>
      </c>
      <c r="I10" s="1">
        <v>37381</v>
      </c>
      <c r="J10" s="17" t="s">
        <v>661</v>
      </c>
      <c r="K10">
        <v>1111</v>
      </c>
      <c r="L10" s="17" t="s">
        <v>809</v>
      </c>
    </row>
    <row r="11" spans="1:12" x14ac:dyDescent="0.25">
      <c r="A11" t="s">
        <v>693</v>
      </c>
      <c r="B11" t="s">
        <v>653</v>
      </c>
      <c r="C11" t="s">
        <v>662</v>
      </c>
      <c r="D11">
        <v>2748855584</v>
      </c>
      <c r="E11" t="s">
        <v>655</v>
      </c>
      <c r="F11" t="s">
        <v>659</v>
      </c>
      <c r="G11" t="s">
        <v>99</v>
      </c>
      <c r="H11" s="6">
        <v>3001</v>
      </c>
      <c r="I11" s="1">
        <v>37413</v>
      </c>
      <c r="J11" s="17" t="s">
        <v>663</v>
      </c>
      <c r="K11">
        <v>2222</v>
      </c>
      <c r="L11" s="17" t="s">
        <v>810</v>
      </c>
    </row>
    <row r="12" spans="1:12" x14ac:dyDescent="0.25">
      <c r="A12" t="s">
        <v>694</v>
      </c>
      <c r="B12" t="s">
        <v>653</v>
      </c>
      <c r="C12" t="s">
        <v>775</v>
      </c>
      <c r="D12">
        <v>1184824538</v>
      </c>
      <c r="E12" t="s">
        <v>655</v>
      </c>
      <c r="F12" t="s">
        <v>667</v>
      </c>
      <c r="G12" t="s">
        <v>99</v>
      </c>
      <c r="H12">
        <v>3002</v>
      </c>
      <c r="I12" s="1">
        <v>37383</v>
      </c>
      <c r="J12" s="17" t="s">
        <v>708</v>
      </c>
      <c r="K12">
        <v>3333</v>
      </c>
      <c r="L12" s="17" t="s">
        <v>811</v>
      </c>
    </row>
    <row r="13" spans="1:12" x14ac:dyDescent="0.25">
      <c r="A13" t="s">
        <v>799</v>
      </c>
      <c r="B13" t="s">
        <v>60</v>
      </c>
      <c r="C13" t="s">
        <v>800</v>
      </c>
      <c r="D13">
        <v>1231293923</v>
      </c>
      <c r="E13" t="s">
        <v>74</v>
      </c>
      <c r="F13" t="s">
        <v>62</v>
      </c>
      <c r="G13" t="s">
        <v>676</v>
      </c>
      <c r="H13">
        <v>1500</v>
      </c>
      <c r="I13" s="1">
        <v>37383</v>
      </c>
      <c r="K13">
        <v>9999</v>
      </c>
      <c r="L13" s="17" t="s">
        <v>813</v>
      </c>
    </row>
  </sheetData>
  <sortState xmlns:xlrd2="http://schemas.microsoft.com/office/spreadsheetml/2017/richdata2" ref="A2:K12">
    <sortCondition ref="A4:A12"/>
  </sortState>
  <hyperlinks>
    <hyperlink ref="J4" r:id="rId1" xr:uid="{A90FE4DA-843B-4731-B79E-C69CC9EDE148}"/>
    <hyperlink ref="J2" r:id="rId2" xr:uid="{70DF7BF4-527C-4576-BD1E-BE117F05D991}"/>
    <hyperlink ref="J12" r:id="rId3" xr:uid="{C2C358CD-5F0C-4C9A-8E7F-21BC9ADF5B2C}"/>
    <hyperlink ref="J11" r:id="rId4" xr:uid="{C662D5C3-8BF1-48BD-A67D-4708AD8B4168}"/>
    <hyperlink ref="J8" r:id="rId5" xr:uid="{6A885D57-BBB3-4F1B-BBA0-594FC4B3B5B1}"/>
    <hyperlink ref="J5" r:id="rId6" xr:uid="{BB04BE44-0E89-472A-9F71-6EED926E9CD6}"/>
    <hyperlink ref="J3" r:id="rId7" xr:uid="{193F7820-86EA-48B9-89A8-488309FEAE30}"/>
    <hyperlink ref="J9" r:id="rId8" xr:uid="{AE34669E-FFA7-4139-846D-FDEE8D1736E6}"/>
    <hyperlink ref="J10" r:id="rId9" xr:uid="{C34DAC16-DB6F-4207-91B1-16CF79D9C6C5}"/>
    <hyperlink ref="L2" r:id="rId10" xr:uid="{E228EA43-F7B3-45F9-8BB5-C1ABC218A3D3}"/>
    <hyperlink ref="L5" r:id="rId11" xr:uid="{957A745A-A202-4F87-81D5-88195A4F247C}"/>
    <hyperlink ref="L6" r:id="rId12" xr:uid="{030F7C50-3E7F-4FA1-B4AE-99311D4ABC1B}"/>
    <hyperlink ref="L9" r:id="rId13" xr:uid="{0AAA04DE-7275-49EB-8C90-C3A20EC7BE68}"/>
    <hyperlink ref="L11" r:id="rId14" xr:uid="{CB9C6E19-AE18-441B-91A3-9AAD81DAA4A6}"/>
    <hyperlink ref="L12" r:id="rId15" xr:uid="{EDF76135-21A7-4479-9399-914AE9A975ED}"/>
    <hyperlink ref="L8" r:id="rId16" xr:uid="{4FAE0F23-3984-45DC-8590-448ECAA44D6F}"/>
    <hyperlink ref="L10" r:id="rId17" xr:uid="{E6C61988-36D8-4E65-9281-FBE58A34AFE9}"/>
    <hyperlink ref="L7" r:id="rId18" xr:uid="{86CFB177-7A9B-47E8-A115-1D0F117B9075}"/>
    <hyperlink ref="L4" r:id="rId19" xr:uid="{8FFB29AD-7068-46FE-B2C1-0E976AB26990}"/>
    <hyperlink ref="L13" r:id="rId20" xr:uid="{56BA56AF-99EC-4EC8-BB8B-715C0153271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29BD-3BF3-4C8D-BAB9-0FB35EAFEDF5}">
  <dimension ref="A1:B3"/>
  <sheetViews>
    <sheetView topLeftCell="A3" zoomScale="115" zoomScaleNormal="115" workbookViewId="0">
      <selection activeCell="A3" sqref="A3"/>
    </sheetView>
  </sheetViews>
  <sheetFormatPr defaultRowHeight="15" x14ac:dyDescent="0.25"/>
  <cols>
    <col min="1" max="1" width="124.85546875" customWidth="1"/>
    <col min="2" max="2" width="109.85546875" customWidth="1"/>
  </cols>
  <sheetData>
    <row r="1" spans="1:2" x14ac:dyDescent="0.25">
      <c r="A1" t="s">
        <v>776</v>
      </c>
      <c r="B1" t="s">
        <v>777</v>
      </c>
    </row>
    <row r="2" spans="1:2" ht="409.5" x14ac:dyDescent="0.25">
      <c r="A2" s="29" t="s">
        <v>791</v>
      </c>
      <c r="B2" s="30" t="s">
        <v>790</v>
      </c>
    </row>
    <row r="3" spans="1:2" ht="409.5" x14ac:dyDescent="0.25">
      <c r="A3" s="29" t="s">
        <v>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67CF-9117-410B-8A28-53FD67591CB4}">
  <dimension ref="A1:G71"/>
  <sheetViews>
    <sheetView zoomScale="115" zoomScaleNormal="115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2" max="2" width="11.85546875" bestFit="1" customWidth="1"/>
    <col min="3" max="3" width="12.7109375" bestFit="1" customWidth="1"/>
    <col min="4" max="4" width="12.28515625" customWidth="1"/>
  </cols>
  <sheetData>
    <row r="1" spans="1:7" x14ac:dyDescent="0.25">
      <c r="A1" s="12" t="s">
        <v>16</v>
      </c>
      <c r="B1" s="12" t="s">
        <v>18</v>
      </c>
      <c r="C1" s="12" t="s">
        <v>52</v>
      </c>
      <c r="D1" s="12" t="s">
        <v>22</v>
      </c>
      <c r="E1" s="12" t="s">
        <v>57</v>
      </c>
      <c r="F1" s="12" t="s">
        <v>689</v>
      </c>
      <c r="G1" s="12" t="s">
        <v>814</v>
      </c>
    </row>
    <row r="2" spans="1:7" x14ac:dyDescent="0.25">
      <c r="A2">
        <v>1</v>
      </c>
      <c r="B2" s="1">
        <v>45149</v>
      </c>
      <c r="C2" s="1">
        <v>45151</v>
      </c>
      <c r="D2" s="1">
        <v>45153</v>
      </c>
      <c r="E2" t="s">
        <v>58</v>
      </c>
      <c r="F2">
        <v>6</v>
      </c>
      <c r="G2" s="17" t="s">
        <v>803</v>
      </c>
    </row>
    <row r="3" spans="1:7" x14ac:dyDescent="0.25">
      <c r="A3">
        <v>2</v>
      </c>
      <c r="B3" s="1">
        <v>44420</v>
      </c>
      <c r="C3" s="1">
        <v>44422</v>
      </c>
      <c r="D3" s="1">
        <v>44425</v>
      </c>
      <c r="E3" t="s">
        <v>59</v>
      </c>
      <c r="F3">
        <v>4</v>
      </c>
      <c r="G3" s="17" t="s">
        <v>804</v>
      </c>
    </row>
    <row r="4" spans="1:7" x14ac:dyDescent="0.25">
      <c r="A4">
        <v>3</v>
      </c>
      <c r="B4" s="1">
        <v>45170</v>
      </c>
      <c r="C4" s="1">
        <v>45172</v>
      </c>
      <c r="D4" s="1">
        <v>45173</v>
      </c>
      <c r="E4" t="s">
        <v>59</v>
      </c>
      <c r="F4">
        <v>5</v>
      </c>
      <c r="G4" s="17" t="s">
        <v>805</v>
      </c>
    </row>
    <row r="5" spans="1:7" x14ac:dyDescent="0.25">
      <c r="A5">
        <v>4</v>
      </c>
      <c r="B5" s="1">
        <v>44369</v>
      </c>
      <c r="C5" s="1">
        <v>44371</v>
      </c>
      <c r="D5" s="1">
        <v>44372</v>
      </c>
      <c r="E5" t="s">
        <v>59</v>
      </c>
      <c r="F5">
        <v>7</v>
      </c>
      <c r="G5" s="17" t="s">
        <v>806</v>
      </c>
    </row>
    <row r="6" spans="1:7" x14ac:dyDescent="0.25">
      <c r="A6">
        <v>5</v>
      </c>
      <c r="B6" s="1">
        <v>44582</v>
      </c>
      <c r="C6" s="1">
        <v>44584</v>
      </c>
      <c r="D6" s="1">
        <v>44587</v>
      </c>
      <c r="E6" t="s">
        <v>58</v>
      </c>
      <c r="F6">
        <v>6</v>
      </c>
      <c r="G6" s="17" t="s">
        <v>807</v>
      </c>
    </row>
    <row r="7" spans="1:7" x14ac:dyDescent="0.25">
      <c r="A7">
        <v>6</v>
      </c>
      <c r="B7" s="1">
        <v>45105</v>
      </c>
      <c r="C7" s="1">
        <f>+B7+3</f>
        <v>45108</v>
      </c>
      <c r="D7" s="1">
        <f>+C7+5</f>
        <v>45113</v>
      </c>
      <c r="E7" t="s">
        <v>58</v>
      </c>
      <c r="F7">
        <v>5</v>
      </c>
      <c r="G7" s="17" t="s">
        <v>812</v>
      </c>
    </row>
    <row r="8" spans="1:7" x14ac:dyDescent="0.25">
      <c r="A8">
        <v>7</v>
      </c>
      <c r="B8" s="1">
        <v>44229</v>
      </c>
      <c r="C8" s="1">
        <v>44231</v>
      </c>
      <c r="D8" s="1">
        <v>44234</v>
      </c>
      <c r="E8" t="s">
        <v>58</v>
      </c>
      <c r="F8">
        <v>7</v>
      </c>
      <c r="G8" s="17" t="s">
        <v>808</v>
      </c>
    </row>
    <row r="9" spans="1:7" x14ac:dyDescent="0.25">
      <c r="A9">
        <v>8</v>
      </c>
      <c r="B9" s="1">
        <v>44399</v>
      </c>
      <c r="C9" s="1">
        <v>44402</v>
      </c>
      <c r="D9" s="1">
        <v>44403</v>
      </c>
      <c r="E9" t="s">
        <v>58</v>
      </c>
      <c r="F9">
        <v>6</v>
      </c>
      <c r="G9" s="17" t="s">
        <v>809</v>
      </c>
    </row>
    <row r="10" spans="1:7" x14ac:dyDescent="0.25">
      <c r="A10">
        <v>9</v>
      </c>
      <c r="B10" s="1">
        <v>44213</v>
      </c>
      <c r="C10" s="1">
        <v>44214</v>
      </c>
      <c r="D10" s="1">
        <v>44217</v>
      </c>
      <c r="E10" t="s">
        <v>59</v>
      </c>
      <c r="F10">
        <v>8</v>
      </c>
      <c r="G10" s="17" t="s">
        <v>810</v>
      </c>
    </row>
    <row r="11" spans="1:7" x14ac:dyDescent="0.25">
      <c r="A11">
        <v>10</v>
      </c>
      <c r="B11" s="1">
        <v>44389</v>
      </c>
      <c r="C11" s="1">
        <v>44391</v>
      </c>
      <c r="D11" s="1">
        <v>44392</v>
      </c>
      <c r="E11" t="s">
        <v>59</v>
      </c>
      <c r="F11">
        <v>7</v>
      </c>
      <c r="G11" s="17" t="s">
        <v>811</v>
      </c>
    </row>
    <row r="12" spans="1:7" x14ac:dyDescent="0.25">
      <c r="A12">
        <v>11</v>
      </c>
      <c r="B12" s="1">
        <v>45120</v>
      </c>
      <c r="C12" s="1">
        <v>45122</v>
      </c>
      <c r="D12" s="1">
        <v>45124</v>
      </c>
      <c r="E12" t="s">
        <v>59</v>
      </c>
      <c r="F12">
        <v>5</v>
      </c>
      <c r="G12" s="17" t="s">
        <v>813</v>
      </c>
    </row>
    <row r="13" spans="1:7" x14ac:dyDescent="0.25">
      <c r="A13">
        <v>12</v>
      </c>
      <c r="B13" s="1">
        <v>44228</v>
      </c>
      <c r="C13" s="1">
        <v>44230</v>
      </c>
      <c r="D13" s="1">
        <v>44231</v>
      </c>
      <c r="E13" t="s">
        <v>58</v>
      </c>
      <c r="F13">
        <v>5</v>
      </c>
      <c r="G13" s="17" t="s">
        <v>803</v>
      </c>
    </row>
    <row r="14" spans="1:7" x14ac:dyDescent="0.25">
      <c r="A14">
        <v>13</v>
      </c>
      <c r="B14" s="1">
        <v>45281</v>
      </c>
      <c r="C14" s="1">
        <v>45283</v>
      </c>
      <c r="D14" s="1">
        <v>45285</v>
      </c>
      <c r="E14" t="s">
        <v>58</v>
      </c>
      <c r="F14">
        <v>5</v>
      </c>
      <c r="G14" s="17" t="s">
        <v>804</v>
      </c>
    </row>
    <row r="15" spans="1:7" x14ac:dyDescent="0.25">
      <c r="A15">
        <v>14</v>
      </c>
      <c r="B15" s="1">
        <v>45119</v>
      </c>
      <c r="C15" s="1">
        <v>45122</v>
      </c>
      <c r="D15" s="1">
        <v>45123</v>
      </c>
      <c r="E15" t="s">
        <v>59</v>
      </c>
      <c r="F15">
        <v>3</v>
      </c>
      <c r="G15" s="17" t="s">
        <v>805</v>
      </c>
    </row>
    <row r="16" spans="1:7" x14ac:dyDescent="0.25">
      <c r="A16">
        <v>15</v>
      </c>
      <c r="B16" s="1">
        <v>44590</v>
      </c>
      <c r="C16" s="1">
        <v>44592</v>
      </c>
      <c r="D16" s="1">
        <v>44593</v>
      </c>
      <c r="E16" t="s">
        <v>59</v>
      </c>
      <c r="F16">
        <v>6</v>
      </c>
      <c r="G16" s="17" t="s">
        <v>806</v>
      </c>
    </row>
    <row r="17" spans="1:7" x14ac:dyDescent="0.25">
      <c r="A17">
        <v>16</v>
      </c>
      <c r="B17" s="1">
        <v>44858</v>
      </c>
      <c r="C17" s="1">
        <v>44860</v>
      </c>
      <c r="D17" s="1">
        <v>44861</v>
      </c>
      <c r="E17" t="s">
        <v>58</v>
      </c>
      <c r="F17">
        <v>7</v>
      </c>
      <c r="G17" s="17" t="s">
        <v>807</v>
      </c>
    </row>
    <row r="18" spans="1:7" x14ac:dyDescent="0.25">
      <c r="A18">
        <v>17</v>
      </c>
      <c r="B18" s="1">
        <v>44533</v>
      </c>
      <c r="C18" s="1">
        <v>44534</v>
      </c>
      <c r="D18" s="1">
        <v>44536</v>
      </c>
      <c r="E18" t="s">
        <v>59</v>
      </c>
      <c r="F18">
        <v>8</v>
      </c>
      <c r="G18" s="17" t="s">
        <v>812</v>
      </c>
    </row>
    <row r="19" spans="1:7" x14ac:dyDescent="0.25">
      <c r="A19">
        <v>18</v>
      </c>
      <c r="B19" s="1">
        <v>44618</v>
      </c>
      <c r="C19" s="1">
        <v>44619</v>
      </c>
      <c r="D19" s="1">
        <v>44620</v>
      </c>
      <c r="E19" t="s">
        <v>59</v>
      </c>
      <c r="F19">
        <v>2</v>
      </c>
      <c r="G19" s="17" t="s">
        <v>808</v>
      </c>
    </row>
    <row r="20" spans="1:7" x14ac:dyDescent="0.25">
      <c r="A20">
        <v>19</v>
      </c>
      <c r="B20" s="1">
        <v>44401</v>
      </c>
      <c r="C20" s="1">
        <v>44402</v>
      </c>
      <c r="D20" s="1">
        <v>44405</v>
      </c>
      <c r="E20" t="s">
        <v>59</v>
      </c>
      <c r="F20">
        <v>8</v>
      </c>
      <c r="G20" s="17" t="s">
        <v>809</v>
      </c>
    </row>
    <row r="21" spans="1:7" x14ac:dyDescent="0.25">
      <c r="A21">
        <v>20</v>
      </c>
      <c r="B21" s="1">
        <v>44300</v>
      </c>
      <c r="C21" s="1">
        <v>44302</v>
      </c>
      <c r="D21" s="1">
        <v>44303</v>
      </c>
      <c r="E21" t="s">
        <v>58</v>
      </c>
      <c r="F21">
        <v>1</v>
      </c>
      <c r="G21" s="17" t="s">
        <v>810</v>
      </c>
    </row>
    <row r="22" spans="1:7" x14ac:dyDescent="0.25">
      <c r="A22">
        <v>21</v>
      </c>
      <c r="B22" s="1">
        <v>44906</v>
      </c>
      <c r="C22" s="1">
        <v>44908</v>
      </c>
      <c r="D22" s="1">
        <v>44909</v>
      </c>
      <c r="E22" t="s">
        <v>58</v>
      </c>
      <c r="F22">
        <v>8</v>
      </c>
      <c r="G22" s="17" t="s">
        <v>811</v>
      </c>
    </row>
    <row r="23" spans="1:7" x14ac:dyDescent="0.25">
      <c r="A23">
        <v>22</v>
      </c>
      <c r="B23" s="1">
        <v>45043</v>
      </c>
      <c r="C23" s="1">
        <v>45045</v>
      </c>
      <c r="D23" s="1">
        <v>45046</v>
      </c>
      <c r="E23" t="s">
        <v>58</v>
      </c>
      <c r="F23">
        <v>1</v>
      </c>
      <c r="G23" s="17" t="s">
        <v>813</v>
      </c>
    </row>
    <row r="24" spans="1:7" x14ac:dyDescent="0.25">
      <c r="A24">
        <v>23</v>
      </c>
      <c r="B24" s="1">
        <v>45106</v>
      </c>
      <c r="C24" s="1">
        <v>45107</v>
      </c>
      <c r="D24" s="1">
        <v>45110</v>
      </c>
      <c r="E24" t="s">
        <v>59</v>
      </c>
      <c r="F24">
        <v>1</v>
      </c>
      <c r="G24" s="17" t="s">
        <v>812</v>
      </c>
    </row>
    <row r="25" spans="1:7" x14ac:dyDescent="0.25">
      <c r="A25">
        <v>24</v>
      </c>
      <c r="B25" s="1">
        <v>45207</v>
      </c>
      <c r="C25" s="1">
        <v>45209</v>
      </c>
      <c r="D25" s="1">
        <v>45211</v>
      </c>
      <c r="E25" t="s">
        <v>59</v>
      </c>
      <c r="F25">
        <v>3</v>
      </c>
      <c r="G25" s="17" t="s">
        <v>808</v>
      </c>
    </row>
    <row r="26" spans="1:7" x14ac:dyDescent="0.25">
      <c r="A26">
        <v>25</v>
      </c>
      <c r="B26" s="1">
        <v>45001</v>
      </c>
      <c r="C26" s="1">
        <v>45002</v>
      </c>
      <c r="D26" s="1">
        <v>45005</v>
      </c>
      <c r="E26" t="s">
        <v>59</v>
      </c>
      <c r="F26">
        <v>6</v>
      </c>
      <c r="G26" s="17" t="s">
        <v>812</v>
      </c>
    </row>
    <row r="27" spans="1:7" x14ac:dyDescent="0.25">
      <c r="A27">
        <v>26</v>
      </c>
      <c r="B27" s="1">
        <v>44209</v>
      </c>
      <c r="C27" s="1">
        <v>44211</v>
      </c>
      <c r="D27" s="1">
        <v>44213</v>
      </c>
      <c r="E27" t="s">
        <v>58</v>
      </c>
      <c r="F27">
        <v>6</v>
      </c>
      <c r="G27" s="17" t="s">
        <v>808</v>
      </c>
    </row>
    <row r="28" spans="1:7" x14ac:dyDescent="0.25">
      <c r="A28">
        <v>27</v>
      </c>
      <c r="B28" s="1">
        <v>45012</v>
      </c>
      <c r="C28" s="1">
        <v>45014</v>
      </c>
      <c r="D28" s="1">
        <v>45017</v>
      </c>
      <c r="E28" t="s">
        <v>58</v>
      </c>
      <c r="F28">
        <v>5</v>
      </c>
      <c r="G28" s="17" t="s">
        <v>813</v>
      </c>
    </row>
    <row r="29" spans="1:7" x14ac:dyDescent="0.25">
      <c r="A29">
        <v>28</v>
      </c>
      <c r="B29" s="1">
        <v>44520</v>
      </c>
      <c r="C29" s="1">
        <v>44522</v>
      </c>
      <c r="D29" s="1">
        <v>44524</v>
      </c>
      <c r="E29" t="s">
        <v>58</v>
      </c>
      <c r="F29">
        <v>3</v>
      </c>
      <c r="G29" s="17" t="s">
        <v>813</v>
      </c>
    </row>
    <row r="30" spans="1:7" x14ac:dyDescent="0.25">
      <c r="A30">
        <v>29</v>
      </c>
      <c r="B30" s="1">
        <v>44812</v>
      </c>
      <c r="C30" s="1">
        <v>44814</v>
      </c>
      <c r="D30" s="1">
        <v>44815</v>
      </c>
      <c r="E30" t="s">
        <v>58</v>
      </c>
      <c r="F30">
        <v>1</v>
      </c>
      <c r="G30" s="17" t="s">
        <v>813</v>
      </c>
    </row>
    <row r="31" spans="1:7" x14ac:dyDescent="0.25">
      <c r="A31">
        <v>30</v>
      </c>
      <c r="B31" s="1">
        <v>44943</v>
      </c>
      <c r="C31" s="1">
        <v>44944</v>
      </c>
      <c r="D31" s="1">
        <v>44947</v>
      </c>
      <c r="E31" t="s">
        <v>59</v>
      </c>
      <c r="F31">
        <v>1</v>
      </c>
      <c r="G31" s="17" t="s">
        <v>813</v>
      </c>
    </row>
    <row r="32" spans="1:7" x14ac:dyDescent="0.25">
      <c r="A32">
        <v>31</v>
      </c>
      <c r="B32" s="1">
        <v>45119</v>
      </c>
      <c r="C32" s="1">
        <v>45120</v>
      </c>
      <c r="D32" s="1">
        <v>45121</v>
      </c>
      <c r="E32" t="s">
        <v>59</v>
      </c>
      <c r="F32">
        <v>5</v>
      </c>
      <c r="G32" s="17" t="s">
        <v>812</v>
      </c>
    </row>
    <row r="33" spans="1:7" x14ac:dyDescent="0.25">
      <c r="A33">
        <v>32</v>
      </c>
      <c r="B33" s="1">
        <v>44507</v>
      </c>
      <c r="C33" s="1">
        <v>44509</v>
      </c>
      <c r="D33" s="1">
        <v>44511</v>
      </c>
      <c r="E33" t="s">
        <v>59</v>
      </c>
      <c r="F33">
        <v>2</v>
      </c>
      <c r="G33" s="17" t="s">
        <v>812</v>
      </c>
    </row>
    <row r="34" spans="1:7" x14ac:dyDescent="0.25">
      <c r="A34">
        <v>33</v>
      </c>
      <c r="B34" s="1">
        <v>44557</v>
      </c>
      <c r="C34" s="1">
        <v>44558</v>
      </c>
      <c r="D34" s="1">
        <v>44559</v>
      </c>
      <c r="E34" t="s">
        <v>58</v>
      </c>
      <c r="F34">
        <v>5</v>
      </c>
      <c r="G34" s="17" t="s">
        <v>812</v>
      </c>
    </row>
    <row r="35" spans="1:7" x14ac:dyDescent="0.25">
      <c r="A35">
        <v>34</v>
      </c>
      <c r="B35" s="1">
        <v>44639</v>
      </c>
      <c r="C35" s="1">
        <v>44641</v>
      </c>
      <c r="D35" s="1">
        <v>44644</v>
      </c>
      <c r="E35" t="s">
        <v>58</v>
      </c>
      <c r="F35">
        <v>5</v>
      </c>
      <c r="G35" s="17" t="s">
        <v>812</v>
      </c>
    </row>
    <row r="36" spans="1:7" x14ac:dyDescent="0.25">
      <c r="A36">
        <v>35</v>
      </c>
      <c r="B36" s="1">
        <v>44637</v>
      </c>
      <c r="C36" s="1">
        <v>44638</v>
      </c>
      <c r="D36" s="1">
        <v>44639</v>
      </c>
      <c r="E36" t="s">
        <v>58</v>
      </c>
      <c r="F36">
        <v>2</v>
      </c>
      <c r="G36" s="17" t="s">
        <v>812</v>
      </c>
    </row>
    <row r="37" spans="1:7" x14ac:dyDescent="0.25">
      <c r="A37">
        <v>36</v>
      </c>
      <c r="B37" s="1">
        <v>45033</v>
      </c>
      <c r="C37" s="1">
        <v>45036</v>
      </c>
      <c r="D37" s="1">
        <v>45038</v>
      </c>
      <c r="E37" t="s">
        <v>59</v>
      </c>
      <c r="F37">
        <v>4</v>
      </c>
      <c r="G37" s="17" t="s">
        <v>812</v>
      </c>
    </row>
    <row r="38" spans="1:7" x14ac:dyDescent="0.25">
      <c r="A38">
        <v>37</v>
      </c>
      <c r="B38" s="1">
        <v>44369</v>
      </c>
      <c r="C38" s="1">
        <v>44372</v>
      </c>
      <c r="D38" s="1">
        <v>44373</v>
      </c>
      <c r="E38" t="s">
        <v>59</v>
      </c>
      <c r="F38">
        <v>2</v>
      </c>
      <c r="G38" s="17" t="s">
        <v>812</v>
      </c>
    </row>
    <row r="39" spans="1:7" x14ac:dyDescent="0.25">
      <c r="A39">
        <v>38</v>
      </c>
      <c r="B39" s="1">
        <v>44302</v>
      </c>
      <c r="C39" s="1">
        <v>44305</v>
      </c>
      <c r="D39" s="1">
        <v>44308</v>
      </c>
      <c r="E39" t="s">
        <v>59</v>
      </c>
      <c r="F39">
        <v>7</v>
      </c>
      <c r="G39" s="17" t="s">
        <v>812</v>
      </c>
    </row>
    <row r="40" spans="1:7" x14ac:dyDescent="0.25">
      <c r="A40">
        <v>39</v>
      </c>
      <c r="B40" s="1">
        <v>44708</v>
      </c>
      <c r="C40" s="1">
        <v>44711</v>
      </c>
      <c r="D40" s="1">
        <v>44713</v>
      </c>
      <c r="E40" t="s">
        <v>58</v>
      </c>
      <c r="F40">
        <v>8</v>
      </c>
      <c r="G40" s="17" t="s">
        <v>812</v>
      </c>
    </row>
    <row r="41" spans="1:7" x14ac:dyDescent="0.25">
      <c r="A41">
        <v>40</v>
      </c>
      <c r="B41" s="1">
        <v>44212</v>
      </c>
      <c r="C41" s="1">
        <v>44213</v>
      </c>
      <c r="D41" s="1">
        <v>44214</v>
      </c>
      <c r="E41" t="s">
        <v>58</v>
      </c>
      <c r="F41">
        <v>8</v>
      </c>
      <c r="G41" s="17" t="s">
        <v>812</v>
      </c>
    </row>
    <row r="42" spans="1:7" x14ac:dyDescent="0.25">
      <c r="A42">
        <v>41</v>
      </c>
      <c r="B42" s="1">
        <v>44568</v>
      </c>
      <c r="C42" s="1">
        <v>44570</v>
      </c>
      <c r="D42" s="1">
        <v>44571</v>
      </c>
      <c r="E42" t="s">
        <v>59</v>
      </c>
      <c r="F42">
        <v>7</v>
      </c>
      <c r="G42" s="17" t="s">
        <v>812</v>
      </c>
    </row>
    <row r="43" spans="1:7" x14ac:dyDescent="0.25">
      <c r="A43">
        <v>42</v>
      </c>
      <c r="B43" s="1">
        <v>44594</v>
      </c>
      <c r="C43" s="1">
        <v>44596</v>
      </c>
      <c r="D43" s="1">
        <v>44597</v>
      </c>
      <c r="E43" t="s">
        <v>59</v>
      </c>
      <c r="F43">
        <v>1</v>
      </c>
      <c r="G43" s="17" t="s">
        <v>812</v>
      </c>
    </row>
    <row r="44" spans="1:7" x14ac:dyDescent="0.25">
      <c r="A44">
        <v>43</v>
      </c>
      <c r="B44" s="1">
        <v>44634</v>
      </c>
      <c r="C44" s="1">
        <v>44637</v>
      </c>
      <c r="D44" s="1">
        <v>44640</v>
      </c>
      <c r="E44" t="s">
        <v>58</v>
      </c>
      <c r="F44">
        <v>4</v>
      </c>
      <c r="G44" s="17" t="s">
        <v>812</v>
      </c>
    </row>
    <row r="45" spans="1:7" x14ac:dyDescent="0.25">
      <c r="A45">
        <v>44</v>
      </c>
      <c r="B45" s="1">
        <v>44952</v>
      </c>
      <c r="C45" s="1">
        <v>44953</v>
      </c>
      <c r="D45" s="1">
        <v>44956</v>
      </c>
      <c r="E45" t="s">
        <v>59</v>
      </c>
      <c r="F45">
        <v>6</v>
      </c>
      <c r="G45" s="17" t="s">
        <v>812</v>
      </c>
    </row>
    <row r="46" spans="1:7" x14ac:dyDescent="0.25">
      <c r="A46">
        <v>45</v>
      </c>
      <c r="B46" s="1">
        <v>44923</v>
      </c>
      <c r="C46" s="1">
        <v>44926</v>
      </c>
      <c r="D46" s="1">
        <v>44929</v>
      </c>
      <c r="E46" t="s">
        <v>59</v>
      </c>
      <c r="F46">
        <v>1</v>
      </c>
      <c r="G46" s="17" t="s">
        <v>812</v>
      </c>
    </row>
    <row r="47" spans="1:7" x14ac:dyDescent="0.25">
      <c r="A47">
        <v>46</v>
      </c>
      <c r="B47" s="1">
        <v>44674</v>
      </c>
      <c r="C47" s="1">
        <v>44675</v>
      </c>
      <c r="D47" s="1">
        <v>44678</v>
      </c>
      <c r="E47" t="s">
        <v>59</v>
      </c>
      <c r="F47">
        <v>5</v>
      </c>
      <c r="G47" s="17" t="s">
        <v>812</v>
      </c>
    </row>
    <row r="48" spans="1:7" x14ac:dyDescent="0.25">
      <c r="A48">
        <v>47</v>
      </c>
      <c r="B48" s="1">
        <v>45039</v>
      </c>
      <c r="C48" s="1">
        <v>45040</v>
      </c>
      <c r="D48" s="1">
        <v>45042</v>
      </c>
      <c r="E48" t="s">
        <v>58</v>
      </c>
      <c r="F48">
        <v>5</v>
      </c>
      <c r="G48" s="17" t="s">
        <v>812</v>
      </c>
    </row>
    <row r="49" spans="1:7" x14ac:dyDescent="0.25">
      <c r="A49">
        <v>48</v>
      </c>
      <c r="B49" s="1">
        <v>45235</v>
      </c>
      <c r="C49" s="1">
        <v>45237</v>
      </c>
      <c r="D49" s="1">
        <v>45239</v>
      </c>
      <c r="E49" t="s">
        <v>58</v>
      </c>
      <c r="F49">
        <v>8</v>
      </c>
      <c r="G49" s="17" t="s">
        <v>812</v>
      </c>
    </row>
    <row r="50" spans="1:7" x14ac:dyDescent="0.25">
      <c r="A50">
        <v>49</v>
      </c>
      <c r="B50" s="1">
        <v>45071</v>
      </c>
      <c r="C50" s="1">
        <v>45074</v>
      </c>
      <c r="D50" s="1">
        <v>45075</v>
      </c>
      <c r="E50" t="s">
        <v>58</v>
      </c>
      <c r="F50">
        <v>2</v>
      </c>
      <c r="G50" s="17" t="s">
        <v>812</v>
      </c>
    </row>
    <row r="51" spans="1:7" x14ac:dyDescent="0.25">
      <c r="A51">
        <v>50</v>
      </c>
      <c r="B51" s="1">
        <v>45132</v>
      </c>
      <c r="C51" s="1">
        <v>45133</v>
      </c>
      <c r="D51" s="1">
        <v>45134</v>
      </c>
      <c r="E51" t="s">
        <v>59</v>
      </c>
      <c r="F51">
        <v>6</v>
      </c>
      <c r="G51" s="17" t="s">
        <v>812</v>
      </c>
    </row>
    <row r="52" spans="1:7" x14ac:dyDescent="0.25">
      <c r="A52">
        <v>51</v>
      </c>
      <c r="B52" s="1">
        <v>44823</v>
      </c>
      <c r="C52" s="1">
        <v>44824</v>
      </c>
      <c r="D52" s="1">
        <v>44827</v>
      </c>
      <c r="E52" t="s">
        <v>59</v>
      </c>
      <c r="F52">
        <v>5</v>
      </c>
      <c r="G52" s="17" t="s">
        <v>812</v>
      </c>
    </row>
    <row r="53" spans="1:7" x14ac:dyDescent="0.25">
      <c r="A53">
        <v>52</v>
      </c>
      <c r="B53" s="1">
        <v>44244</v>
      </c>
      <c r="C53" s="1">
        <v>44246</v>
      </c>
      <c r="D53" s="1">
        <v>44247</v>
      </c>
      <c r="E53" t="s">
        <v>59</v>
      </c>
      <c r="F53">
        <v>5</v>
      </c>
      <c r="G53" s="17" t="s">
        <v>812</v>
      </c>
    </row>
    <row r="54" spans="1:7" x14ac:dyDescent="0.25">
      <c r="A54">
        <v>53</v>
      </c>
      <c r="B54" s="1">
        <v>44397</v>
      </c>
      <c r="C54" s="1">
        <v>44398</v>
      </c>
      <c r="D54" s="1">
        <v>44400</v>
      </c>
      <c r="E54" t="s">
        <v>58</v>
      </c>
      <c r="F54">
        <v>6</v>
      </c>
      <c r="G54" s="17" t="s">
        <v>812</v>
      </c>
    </row>
    <row r="55" spans="1:7" x14ac:dyDescent="0.25">
      <c r="A55">
        <v>54</v>
      </c>
      <c r="B55" s="1">
        <v>44835</v>
      </c>
      <c r="C55" s="1">
        <v>44838</v>
      </c>
      <c r="D55" s="1">
        <v>44840</v>
      </c>
      <c r="E55" t="s">
        <v>58</v>
      </c>
      <c r="F55">
        <v>7</v>
      </c>
      <c r="G55" s="17" t="s">
        <v>812</v>
      </c>
    </row>
    <row r="56" spans="1:7" x14ac:dyDescent="0.25">
      <c r="A56">
        <v>55</v>
      </c>
      <c r="B56" s="1">
        <v>44602</v>
      </c>
      <c r="C56" s="1">
        <v>44604</v>
      </c>
      <c r="D56" s="1">
        <v>44606</v>
      </c>
      <c r="E56" t="s">
        <v>58</v>
      </c>
      <c r="F56">
        <v>4</v>
      </c>
      <c r="G56" s="17" t="s">
        <v>812</v>
      </c>
    </row>
    <row r="57" spans="1:7" x14ac:dyDescent="0.25">
      <c r="A57">
        <v>56</v>
      </c>
      <c r="B57" s="1">
        <v>44979</v>
      </c>
      <c r="C57" s="1">
        <v>44981</v>
      </c>
      <c r="D57" s="1">
        <v>44982</v>
      </c>
      <c r="E57" t="s">
        <v>58</v>
      </c>
      <c r="F57">
        <v>8</v>
      </c>
      <c r="G57" s="17" t="s">
        <v>812</v>
      </c>
    </row>
    <row r="58" spans="1:7" x14ac:dyDescent="0.25">
      <c r="A58">
        <v>57</v>
      </c>
      <c r="B58" s="1">
        <v>44590</v>
      </c>
      <c r="C58" s="1">
        <v>44591</v>
      </c>
      <c r="D58" s="1">
        <v>44592</v>
      </c>
      <c r="E58" t="s">
        <v>59</v>
      </c>
      <c r="F58">
        <v>7</v>
      </c>
      <c r="G58" s="17" t="s">
        <v>812</v>
      </c>
    </row>
    <row r="59" spans="1:7" x14ac:dyDescent="0.25">
      <c r="A59">
        <v>58</v>
      </c>
      <c r="B59" s="1">
        <v>45272</v>
      </c>
      <c r="C59" s="1">
        <v>45274</v>
      </c>
      <c r="D59" s="1">
        <v>45276</v>
      </c>
      <c r="E59" t="s">
        <v>59</v>
      </c>
      <c r="F59">
        <v>4</v>
      </c>
      <c r="G59" s="17" t="s">
        <v>812</v>
      </c>
    </row>
    <row r="60" spans="1:7" x14ac:dyDescent="0.25">
      <c r="A60">
        <v>59</v>
      </c>
      <c r="B60" s="1">
        <v>44420</v>
      </c>
      <c r="C60" s="1">
        <v>44421</v>
      </c>
      <c r="D60" s="1">
        <v>44423</v>
      </c>
      <c r="E60" t="s">
        <v>59</v>
      </c>
      <c r="F60">
        <v>4</v>
      </c>
      <c r="G60" s="17" t="s">
        <v>812</v>
      </c>
    </row>
    <row r="61" spans="1:7" x14ac:dyDescent="0.25">
      <c r="A61">
        <v>60</v>
      </c>
      <c r="B61" s="1">
        <v>44984</v>
      </c>
      <c r="C61" s="1">
        <v>44987</v>
      </c>
      <c r="D61" s="1">
        <v>44989</v>
      </c>
      <c r="E61" t="s">
        <v>58</v>
      </c>
      <c r="F61">
        <v>7</v>
      </c>
      <c r="G61" s="17" t="s">
        <v>812</v>
      </c>
    </row>
    <row r="62" spans="1:7" x14ac:dyDescent="0.25">
      <c r="A62">
        <v>61</v>
      </c>
      <c r="B62" s="1">
        <v>44907</v>
      </c>
      <c r="C62" s="1">
        <v>44908</v>
      </c>
      <c r="D62" s="1">
        <v>44911</v>
      </c>
      <c r="E62" t="s">
        <v>58</v>
      </c>
      <c r="F62">
        <v>1</v>
      </c>
      <c r="G62" s="17" t="s">
        <v>812</v>
      </c>
    </row>
    <row r="63" spans="1:7" x14ac:dyDescent="0.25">
      <c r="A63">
        <v>62</v>
      </c>
      <c r="B63" s="1">
        <v>45281</v>
      </c>
      <c r="C63" s="1">
        <v>45283</v>
      </c>
      <c r="D63" s="1">
        <v>45286</v>
      </c>
      <c r="E63" t="s">
        <v>58</v>
      </c>
      <c r="F63">
        <v>5</v>
      </c>
      <c r="G63" s="17" t="s">
        <v>812</v>
      </c>
    </row>
    <row r="64" spans="1:7" x14ac:dyDescent="0.25">
      <c r="A64">
        <v>63</v>
      </c>
      <c r="B64" s="1">
        <v>44690</v>
      </c>
      <c r="C64" s="1">
        <v>44692</v>
      </c>
      <c r="D64" s="1">
        <v>44694</v>
      </c>
      <c r="E64" t="s">
        <v>59</v>
      </c>
      <c r="F64">
        <v>6</v>
      </c>
      <c r="G64" s="17" t="s">
        <v>812</v>
      </c>
    </row>
    <row r="65" spans="1:7" x14ac:dyDescent="0.25">
      <c r="A65">
        <v>64</v>
      </c>
      <c r="B65" s="1">
        <v>44850</v>
      </c>
      <c r="C65" s="1">
        <v>44852</v>
      </c>
      <c r="D65" s="1">
        <v>44855</v>
      </c>
      <c r="E65" t="s">
        <v>59</v>
      </c>
      <c r="F65">
        <v>1</v>
      </c>
      <c r="G65" s="17" t="s">
        <v>812</v>
      </c>
    </row>
    <row r="66" spans="1:7" x14ac:dyDescent="0.25">
      <c r="A66">
        <v>65</v>
      </c>
      <c r="B66" s="1">
        <v>44757</v>
      </c>
      <c r="C66" s="1">
        <v>44760</v>
      </c>
      <c r="D66" s="1">
        <v>44762</v>
      </c>
      <c r="E66" t="s">
        <v>59</v>
      </c>
      <c r="F66">
        <v>4</v>
      </c>
      <c r="G66" s="17" t="s">
        <v>813</v>
      </c>
    </row>
    <row r="67" spans="1:7" x14ac:dyDescent="0.25">
      <c r="A67">
        <v>66</v>
      </c>
      <c r="B67" s="1">
        <v>44677</v>
      </c>
      <c r="C67" s="1">
        <v>44678</v>
      </c>
      <c r="D67" s="1">
        <v>44679</v>
      </c>
      <c r="E67" t="s">
        <v>58</v>
      </c>
      <c r="F67">
        <v>7</v>
      </c>
      <c r="G67" s="17" t="s">
        <v>813</v>
      </c>
    </row>
    <row r="68" spans="1:7" x14ac:dyDescent="0.25">
      <c r="A68">
        <v>67</v>
      </c>
      <c r="B68" s="1">
        <v>44208</v>
      </c>
      <c r="C68" s="1">
        <v>44211</v>
      </c>
      <c r="D68" s="1">
        <v>44213</v>
      </c>
      <c r="E68" t="s">
        <v>58</v>
      </c>
      <c r="F68">
        <v>5</v>
      </c>
      <c r="G68" s="17" t="s">
        <v>813</v>
      </c>
    </row>
    <row r="69" spans="1:7" x14ac:dyDescent="0.25">
      <c r="A69">
        <v>68</v>
      </c>
      <c r="B69" s="1">
        <v>44234</v>
      </c>
      <c r="C69" s="1">
        <v>44236</v>
      </c>
      <c r="D69" s="1">
        <v>44238</v>
      </c>
      <c r="E69" t="s">
        <v>59</v>
      </c>
      <c r="F69">
        <v>3</v>
      </c>
      <c r="G69" s="17" t="s">
        <v>813</v>
      </c>
    </row>
    <row r="70" spans="1:7" x14ac:dyDescent="0.25">
      <c r="A70">
        <v>69</v>
      </c>
      <c r="B70" s="1">
        <v>45267</v>
      </c>
      <c r="C70" s="1">
        <v>45269</v>
      </c>
      <c r="D70" s="1">
        <v>45270</v>
      </c>
      <c r="E70" t="s">
        <v>59</v>
      </c>
      <c r="F70">
        <v>6</v>
      </c>
      <c r="G70" s="17" t="s">
        <v>813</v>
      </c>
    </row>
    <row r="71" spans="1:7" x14ac:dyDescent="0.25">
      <c r="A71">
        <v>70</v>
      </c>
      <c r="B71" s="1">
        <v>44777</v>
      </c>
      <c r="C71" s="1">
        <v>44778</v>
      </c>
      <c r="D71" s="1">
        <v>44781</v>
      </c>
      <c r="E71" t="s">
        <v>58</v>
      </c>
      <c r="F71">
        <v>3</v>
      </c>
      <c r="G71" s="17" t="s">
        <v>813</v>
      </c>
    </row>
  </sheetData>
  <sortState xmlns:xlrd2="http://schemas.microsoft.com/office/spreadsheetml/2017/richdata2" ref="A2:F71">
    <sortCondition ref="A40:A71"/>
  </sortState>
  <hyperlinks>
    <hyperlink ref="G4" r:id="rId1" xr:uid="{AB9DDC4E-20B9-4D01-91AA-351C2A84E2A1}"/>
    <hyperlink ref="G5" r:id="rId2" xr:uid="{7A547160-D219-4D2A-8FB4-0624ED851D59}"/>
    <hyperlink ref="G8" r:id="rId3" xr:uid="{7361B812-3CFE-4327-955F-FBCE4540FBF9}"/>
    <hyperlink ref="G10" r:id="rId4" xr:uid="{FFA6AF5B-581E-47EC-8ED8-306B3124EC11}"/>
    <hyperlink ref="G11" r:id="rId5" xr:uid="{06A3228B-FC0F-4EDB-97AB-099ED015C705}"/>
    <hyperlink ref="G7" r:id="rId6" xr:uid="{9D245B4F-4CC5-48B6-B4E1-7C137FA1424E}"/>
    <hyperlink ref="G9" r:id="rId7" xr:uid="{04605467-3169-4981-A748-DC5690BD51FE}"/>
    <hyperlink ref="G6" r:id="rId8" xr:uid="{5D7EE233-1F8F-47A1-BC5F-23B6DE310FB5}"/>
    <hyperlink ref="G3" r:id="rId9" xr:uid="{28C39641-7DB8-4B8E-9F74-2840C9E86186}"/>
    <hyperlink ref="G12" r:id="rId10" xr:uid="{2CF46F40-1E05-4048-8C55-5F00CFA43D3F}"/>
    <hyperlink ref="G15" r:id="rId11" xr:uid="{06B73A0A-1AB2-4868-8E16-55C656665896}"/>
    <hyperlink ref="G16" r:id="rId12" xr:uid="{E29C5F4F-BED2-4E2B-B10C-4000F2B2963E}"/>
    <hyperlink ref="G19" r:id="rId13" xr:uid="{D8844512-DD11-4F8A-9769-FD3FC79750C5}"/>
    <hyperlink ref="G21" r:id="rId14" xr:uid="{81762E7A-CBC9-4A58-9185-2C8A39C64869}"/>
    <hyperlink ref="G22" r:id="rId15" xr:uid="{17CD8F41-1F31-4609-A1B1-AD6A02FDE1AA}"/>
    <hyperlink ref="G18" r:id="rId16" xr:uid="{DA2FE334-D6AC-44B4-8764-63BA6BFCFEC3}"/>
    <hyperlink ref="G20" r:id="rId17" xr:uid="{EE5F8295-E0D9-41E6-A236-F1F2ED00EF65}"/>
    <hyperlink ref="G17" r:id="rId18" xr:uid="{D46E73BA-5410-4E3E-9A56-E7466AA27162}"/>
    <hyperlink ref="G14" r:id="rId19" xr:uid="{B2C71F1C-63CA-4E69-B640-B4CEC01F6E2A}"/>
    <hyperlink ref="G23" r:id="rId20" xr:uid="{39727D58-2945-4D42-9E3E-3DB6C2C6C7DA}"/>
    <hyperlink ref="G25" r:id="rId21" xr:uid="{F9798E07-32F9-4C29-A8EC-098323B1E79E}"/>
    <hyperlink ref="G24" r:id="rId22" xr:uid="{5A67B793-F6A5-45E0-AFEC-8C539C17D5A0}"/>
    <hyperlink ref="G27" r:id="rId23" xr:uid="{DED7F4B5-C985-4D8B-9B8F-A58AD3DD602B}"/>
    <hyperlink ref="G26" r:id="rId24" xr:uid="{90840E4F-5F99-437D-AA0D-55AB408C2EF9}"/>
    <hyperlink ref="G32:G65" r:id="rId25" display="brian@jasonwccyahoo375.onmicrosoft.com" xr:uid="{38EC80F0-1FF5-452B-8856-2A041BA73936}"/>
    <hyperlink ref="G28:G31" r:id="rId26" display="peterpan@jasonwccyahoo375.onmicrosoft.com " xr:uid="{B71B6773-220B-4D80-B3BC-0AAF213C11CC}"/>
    <hyperlink ref="G66:G71" r:id="rId27" display="peterpan@jasonwccyahoo375.onmicrosoft.com " xr:uid="{29B3F8BE-6483-405B-8583-CE27BA00DA6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E86B-D750-4282-9441-89B3E29C9D17}">
  <dimension ref="A1:I905"/>
  <sheetViews>
    <sheetView workbookViewId="0">
      <pane ySplit="1" topLeftCell="A116" activePane="bottomLeft" state="frozen"/>
      <selection pane="bottomLeft" activeCell="B65" sqref="B65"/>
    </sheetView>
  </sheetViews>
  <sheetFormatPr defaultRowHeight="15" x14ac:dyDescent="0.25"/>
  <cols>
    <col min="1" max="1" width="10" bestFit="1" customWidth="1"/>
    <col min="8" max="9" width="10.28515625" bestFit="1" customWidth="1"/>
  </cols>
  <sheetData>
    <row r="1" spans="1:9" x14ac:dyDescent="0.25">
      <c r="A1" s="12" t="s">
        <v>25</v>
      </c>
      <c r="B1" s="12" t="s">
        <v>685</v>
      </c>
      <c r="C1" s="12" t="s">
        <v>684</v>
      </c>
      <c r="D1" s="12" t="s">
        <v>683</v>
      </c>
      <c r="E1" s="12" t="s">
        <v>682</v>
      </c>
      <c r="F1" s="12" t="s">
        <v>681</v>
      </c>
      <c r="G1" s="12" t="s">
        <v>680</v>
      </c>
      <c r="H1" s="12" t="s">
        <v>679</v>
      </c>
      <c r="I1" s="12" t="s">
        <v>705</v>
      </c>
    </row>
    <row r="2" spans="1:9" x14ac:dyDescent="0.25">
      <c r="A2">
        <v>48256</v>
      </c>
      <c r="B2">
        <v>69</v>
      </c>
      <c r="C2">
        <v>11</v>
      </c>
      <c r="D2">
        <v>106</v>
      </c>
      <c r="E2" t="s">
        <v>690</v>
      </c>
      <c r="F2">
        <v>5</v>
      </c>
      <c r="G2" s="5">
        <v>0</v>
      </c>
      <c r="H2" s="4">
        <f t="shared" ref="H2:H65" ca="1" si="0">IF(F2&lt;=10,RANDBETWEEN(1,5),IF(F2&lt;=20,RANDBETWEEN(15,80),IF(F2&lt;=30,RANDBETWEEN(23,150),RANDBETWEEN(66,350))))</f>
        <v>4</v>
      </c>
      <c r="I2" s="4">
        <v>48.36</v>
      </c>
    </row>
    <row r="3" spans="1:9" x14ac:dyDescent="0.25">
      <c r="A3">
        <v>86563</v>
      </c>
      <c r="B3">
        <v>18</v>
      </c>
      <c r="C3">
        <v>11</v>
      </c>
      <c r="D3">
        <v>108</v>
      </c>
      <c r="E3" t="s">
        <v>699</v>
      </c>
      <c r="F3">
        <v>78</v>
      </c>
      <c r="G3" s="5">
        <v>0.1</v>
      </c>
      <c r="H3" s="4">
        <f t="shared" ca="1" si="0"/>
        <v>118</v>
      </c>
      <c r="I3" s="4">
        <v>84.15</v>
      </c>
    </row>
    <row r="4" spans="1:9" x14ac:dyDescent="0.25">
      <c r="A4">
        <v>96352</v>
      </c>
      <c r="B4">
        <v>33</v>
      </c>
      <c r="C4">
        <v>11</v>
      </c>
      <c r="D4">
        <v>101</v>
      </c>
      <c r="E4" t="s">
        <v>690</v>
      </c>
      <c r="F4">
        <v>117</v>
      </c>
      <c r="G4" s="5">
        <v>0.25</v>
      </c>
      <c r="H4" s="4">
        <f t="shared" ca="1" si="0"/>
        <v>338</v>
      </c>
      <c r="I4" s="4">
        <v>30</v>
      </c>
    </row>
    <row r="5" spans="1:9" x14ac:dyDescent="0.25">
      <c r="A5">
        <v>48256</v>
      </c>
      <c r="B5">
        <v>61</v>
      </c>
      <c r="C5">
        <v>11</v>
      </c>
      <c r="D5">
        <v>102</v>
      </c>
      <c r="E5" t="s">
        <v>694</v>
      </c>
      <c r="F5">
        <v>57</v>
      </c>
      <c r="G5" s="5">
        <v>0.1</v>
      </c>
      <c r="H5" s="4">
        <f t="shared" ca="1" si="0"/>
        <v>73</v>
      </c>
      <c r="I5" s="4">
        <v>41.08</v>
      </c>
    </row>
    <row r="6" spans="1:9" x14ac:dyDescent="0.25">
      <c r="A6">
        <v>96352</v>
      </c>
      <c r="B6">
        <v>45</v>
      </c>
      <c r="C6">
        <v>11</v>
      </c>
      <c r="D6">
        <v>103</v>
      </c>
      <c r="E6" t="s">
        <v>698</v>
      </c>
      <c r="F6">
        <v>66</v>
      </c>
      <c r="G6" s="5">
        <v>0.1</v>
      </c>
      <c r="H6" s="4">
        <f t="shared" ca="1" si="0"/>
        <v>315</v>
      </c>
      <c r="I6" s="4">
        <v>55.04</v>
      </c>
    </row>
    <row r="7" spans="1:9" x14ac:dyDescent="0.25">
      <c r="A7">
        <v>96352</v>
      </c>
      <c r="B7">
        <v>11</v>
      </c>
      <c r="C7">
        <v>11</v>
      </c>
      <c r="D7">
        <v>102</v>
      </c>
      <c r="E7" t="s">
        <v>700</v>
      </c>
      <c r="F7">
        <v>33</v>
      </c>
      <c r="G7" s="5">
        <v>0</v>
      </c>
      <c r="H7" s="4">
        <f t="shared" ca="1" si="0"/>
        <v>180</v>
      </c>
      <c r="I7" s="4">
        <v>96.8</v>
      </c>
    </row>
    <row r="8" spans="1:9" x14ac:dyDescent="0.25">
      <c r="A8">
        <v>96352</v>
      </c>
      <c r="B8">
        <v>62</v>
      </c>
      <c r="C8">
        <v>11</v>
      </c>
      <c r="D8">
        <v>109</v>
      </c>
      <c r="E8" t="s">
        <v>700</v>
      </c>
      <c r="F8">
        <v>104</v>
      </c>
      <c r="G8" s="5">
        <v>0.25</v>
      </c>
      <c r="H8" s="4">
        <f t="shared" ca="1" si="0"/>
        <v>119</v>
      </c>
      <c r="I8" s="4">
        <v>63.6</v>
      </c>
    </row>
    <row r="9" spans="1:9" x14ac:dyDescent="0.25">
      <c r="A9">
        <v>96352</v>
      </c>
      <c r="B9">
        <v>30</v>
      </c>
      <c r="C9">
        <v>11</v>
      </c>
      <c r="D9">
        <v>106</v>
      </c>
      <c r="E9" t="s">
        <v>698</v>
      </c>
      <c r="F9">
        <v>77</v>
      </c>
      <c r="G9" s="5">
        <v>0.1</v>
      </c>
      <c r="H9" s="4">
        <f t="shared" ca="1" si="0"/>
        <v>326</v>
      </c>
      <c r="I9" s="4">
        <v>77.849999999999994</v>
      </c>
    </row>
    <row r="10" spans="1:9" x14ac:dyDescent="0.25">
      <c r="A10">
        <v>48256</v>
      </c>
      <c r="B10">
        <v>2</v>
      </c>
      <c r="C10">
        <v>11</v>
      </c>
      <c r="D10">
        <v>109</v>
      </c>
      <c r="E10" t="s">
        <v>696</v>
      </c>
      <c r="F10">
        <v>210</v>
      </c>
      <c r="G10" s="5">
        <v>0.25</v>
      </c>
      <c r="H10" s="4">
        <f t="shared" ca="1" si="0"/>
        <v>107</v>
      </c>
      <c r="I10" s="4">
        <v>70.14</v>
      </c>
    </row>
    <row r="11" spans="1:9" x14ac:dyDescent="0.25">
      <c r="A11">
        <v>96352</v>
      </c>
      <c r="B11">
        <v>31</v>
      </c>
      <c r="C11">
        <v>11</v>
      </c>
      <c r="D11">
        <v>108</v>
      </c>
      <c r="E11" t="s">
        <v>696</v>
      </c>
      <c r="F11">
        <v>84</v>
      </c>
      <c r="G11" s="5">
        <v>0.25</v>
      </c>
      <c r="H11" s="4">
        <f t="shared" ca="1" si="0"/>
        <v>193</v>
      </c>
      <c r="I11" s="4">
        <v>70.98</v>
      </c>
    </row>
    <row r="12" spans="1:9" x14ac:dyDescent="0.25">
      <c r="A12">
        <v>96352</v>
      </c>
      <c r="B12">
        <v>1</v>
      </c>
      <c r="C12">
        <v>11</v>
      </c>
      <c r="D12">
        <v>109</v>
      </c>
      <c r="E12" t="s">
        <v>693</v>
      </c>
      <c r="F12">
        <v>101</v>
      </c>
      <c r="G12" s="5">
        <v>0.25</v>
      </c>
      <c r="H12" s="4">
        <f t="shared" ca="1" si="0"/>
        <v>124</v>
      </c>
      <c r="I12" s="4">
        <v>28.5</v>
      </c>
    </row>
    <row r="13" spans="1:9" x14ac:dyDescent="0.25">
      <c r="A13">
        <v>86563</v>
      </c>
      <c r="B13">
        <v>14</v>
      </c>
      <c r="C13">
        <v>11</v>
      </c>
      <c r="D13">
        <v>103</v>
      </c>
      <c r="E13" t="s">
        <v>695</v>
      </c>
      <c r="F13">
        <v>72</v>
      </c>
      <c r="G13" s="5">
        <v>0.1</v>
      </c>
      <c r="H13" s="4">
        <f t="shared" ca="1" si="0"/>
        <v>152</v>
      </c>
      <c r="I13" s="4">
        <v>46.76</v>
      </c>
    </row>
    <row r="14" spans="1:9" x14ac:dyDescent="0.25">
      <c r="A14">
        <v>96352</v>
      </c>
      <c r="B14">
        <v>5</v>
      </c>
      <c r="C14">
        <v>11</v>
      </c>
      <c r="D14">
        <v>109</v>
      </c>
      <c r="E14" t="s">
        <v>700</v>
      </c>
      <c r="F14">
        <v>12</v>
      </c>
      <c r="G14" s="5">
        <v>0</v>
      </c>
      <c r="H14" s="4">
        <f t="shared" ca="1" si="0"/>
        <v>37</v>
      </c>
      <c r="I14" s="4">
        <v>80.16</v>
      </c>
    </row>
    <row r="15" spans="1:9" x14ac:dyDescent="0.25">
      <c r="A15">
        <v>48256</v>
      </c>
      <c r="B15">
        <v>8</v>
      </c>
      <c r="C15">
        <v>11</v>
      </c>
      <c r="D15">
        <v>108</v>
      </c>
      <c r="E15" t="s">
        <v>695</v>
      </c>
      <c r="F15">
        <v>54</v>
      </c>
      <c r="G15" s="5">
        <v>0.1</v>
      </c>
      <c r="H15" s="4">
        <f t="shared" ca="1" si="0"/>
        <v>288</v>
      </c>
      <c r="I15" s="4">
        <v>75.599999999999994</v>
      </c>
    </row>
    <row r="16" spans="1:9" x14ac:dyDescent="0.25">
      <c r="A16">
        <v>96352</v>
      </c>
      <c r="B16">
        <v>45</v>
      </c>
      <c r="C16">
        <v>11</v>
      </c>
      <c r="D16">
        <v>102</v>
      </c>
      <c r="E16" t="s">
        <v>694</v>
      </c>
      <c r="F16">
        <v>12</v>
      </c>
      <c r="G16" s="5">
        <v>0</v>
      </c>
      <c r="H16" s="4">
        <f t="shared" ca="1" si="0"/>
        <v>18</v>
      </c>
      <c r="I16" s="4">
        <v>24.48</v>
      </c>
    </row>
    <row r="17" spans="1:9" x14ac:dyDescent="0.25">
      <c r="A17">
        <v>96352</v>
      </c>
      <c r="B17">
        <v>41</v>
      </c>
      <c r="C17">
        <v>11</v>
      </c>
      <c r="D17">
        <v>101</v>
      </c>
      <c r="E17" t="s">
        <v>698</v>
      </c>
      <c r="F17">
        <v>33</v>
      </c>
      <c r="G17" s="5">
        <v>0</v>
      </c>
      <c r="H17" s="4">
        <f t="shared" ca="1" si="0"/>
        <v>164</v>
      </c>
      <c r="I17" s="4">
        <v>92.63</v>
      </c>
    </row>
    <row r="18" spans="1:9" x14ac:dyDescent="0.25">
      <c r="A18">
        <v>96352</v>
      </c>
      <c r="B18">
        <v>8</v>
      </c>
      <c r="C18">
        <v>11</v>
      </c>
      <c r="D18">
        <v>101</v>
      </c>
      <c r="E18" t="s">
        <v>693</v>
      </c>
      <c r="F18">
        <v>63</v>
      </c>
      <c r="G18" s="5">
        <v>0.1</v>
      </c>
      <c r="H18" s="4">
        <f t="shared" ca="1" si="0"/>
        <v>174</v>
      </c>
      <c r="I18" s="4">
        <v>92.88</v>
      </c>
    </row>
    <row r="19" spans="1:9" x14ac:dyDescent="0.25">
      <c r="A19">
        <v>96352</v>
      </c>
      <c r="B19">
        <v>44</v>
      </c>
      <c r="C19">
        <v>11</v>
      </c>
      <c r="D19">
        <v>104</v>
      </c>
      <c r="E19" t="s">
        <v>698</v>
      </c>
      <c r="F19">
        <v>25</v>
      </c>
      <c r="G19" s="5">
        <v>0</v>
      </c>
      <c r="H19" s="4">
        <f t="shared" ca="1" si="0"/>
        <v>136</v>
      </c>
      <c r="I19" s="4">
        <v>90.65</v>
      </c>
    </row>
    <row r="20" spans="1:9" x14ac:dyDescent="0.25">
      <c r="A20">
        <v>96352</v>
      </c>
      <c r="B20">
        <v>1</v>
      </c>
      <c r="C20">
        <v>11</v>
      </c>
      <c r="D20">
        <v>103</v>
      </c>
      <c r="E20" t="s">
        <v>693</v>
      </c>
      <c r="F20">
        <v>114</v>
      </c>
      <c r="G20" s="5">
        <v>0.25</v>
      </c>
      <c r="H20" s="4">
        <f t="shared" ca="1" si="0"/>
        <v>175</v>
      </c>
      <c r="I20" s="4">
        <v>70.2</v>
      </c>
    </row>
    <row r="21" spans="1:9" x14ac:dyDescent="0.25">
      <c r="A21">
        <v>96352</v>
      </c>
      <c r="B21">
        <v>60</v>
      </c>
      <c r="C21">
        <v>11</v>
      </c>
      <c r="D21">
        <v>106</v>
      </c>
      <c r="E21" t="s">
        <v>700</v>
      </c>
      <c r="F21">
        <v>118</v>
      </c>
      <c r="G21" s="5">
        <v>0.25</v>
      </c>
      <c r="H21" s="4">
        <f t="shared" ca="1" si="0"/>
        <v>307</v>
      </c>
      <c r="I21" s="4">
        <v>32.130000000000003</v>
      </c>
    </row>
    <row r="22" spans="1:9" x14ac:dyDescent="0.25">
      <c r="A22">
        <v>96352</v>
      </c>
      <c r="B22">
        <v>22</v>
      </c>
      <c r="C22">
        <v>11</v>
      </c>
      <c r="D22">
        <v>103</v>
      </c>
      <c r="E22" t="s">
        <v>693</v>
      </c>
      <c r="F22">
        <v>89</v>
      </c>
      <c r="G22" s="5">
        <v>0.25</v>
      </c>
      <c r="H22" s="4">
        <f t="shared" ca="1" si="0"/>
        <v>331</v>
      </c>
      <c r="I22" s="4">
        <v>26.52</v>
      </c>
    </row>
    <row r="23" spans="1:9" x14ac:dyDescent="0.25">
      <c r="A23">
        <v>96352</v>
      </c>
      <c r="B23">
        <v>60</v>
      </c>
      <c r="C23">
        <v>11</v>
      </c>
      <c r="D23">
        <v>101</v>
      </c>
      <c r="E23" t="s">
        <v>691</v>
      </c>
      <c r="F23">
        <v>52</v>
      </c>
      <c r="G23" s="5">
        <v>0.1</v>
      </c>
      <c r="H23" s="4">
        <f t="shared" ca="1" si="0"/>
        <v>146</v>
      </c>
      <c r="I23" s="4">
        <v>104.72</v>
      </c>
    </row>
    <row r="24" spans="1:9" x14ac:dyDescent="0.25">
      <c r="A24">
        <v>48256</v>
      </c>
      <c r="B24">
        <v>23</v>
      </c>
      <c r="C24">
        <v>11</v>
      </c>
      <c r="D24">
        <v>109</v>
      </c>
      <c r="E24" t="s">
        <v>696</v>
      </c>
      <c r="F24">
        <v>111</v>
      </c>
      <c r="G24" s="5">
        <v>0.25</v>
      </c>
      <c r="H24" s="4">
        <f t="shared" ca="1" si="0"/>
        <v>144</v>
      </c>
      <c r="I24" s="4">
        <v>22.75</v>
      </c>
    </row>
    <row r="25" spans="1:9" x14ac:dyDescent="0.25">
      <c r="A25">
        <v>96352</v>
      </c>
      <c r="B25">
        <v>56</v>
      </c>
      <c r="C25">
        <v>11</v>
      </c>
      <c r="D25">
        <v>104</v>
      </c>
      <c r="E25" t="s">
        <v>696</v>
      </c>
      <c r="F25">
        <v>90</v>
      </c>
      <c r="G25" s="5">
        <v>0.25</v>
      </c>
      <c r="H25" s="4">
        <f t="shared" ca="1" si="0"/>
        <v>189</v>
      </c>
      <c r="I25" s="4">
        <v>19.079999999999998</v>
      </c>
    </row>
    <row r="26" spans="1:9" x14ac:dyDescent="0.25">
      <c r="A26">
        <v>86563</v>
      </c>
      <c r="B26">
        <v>60</v>
      </c>
      <c r="C26">
        <v>11</v>
      </c>
      <c r="D26">
        <v>104</v>
      </c>
      <c r="E26" t="s">
        <v>699</v>
      </c>
      <c r="F26">
        <v>17</v>
      </c>
      <c r="G26" s="5">
        <v>0</v>
      </c>
      <c r="H26" s="4">
        <f t="shared" ca="1" si="0"/>
        <v>67</v>
      </c>
      <c r="I26" s="4">
        <v>36.96</v>
      </c>
    </row>
    <row r="27" spans="1:9" x14ac:dyDescent="0.25">
      <c r="A27">
        <v>96352</v>
      </c>
      <c r="B27">
        <v>59</v>
      </c>
      <c r="C27">
        <v>11</v>
      </c>
      <c r="D27">
        <v>109</v>
      </c>
      <c r="E27" t="s">
        <v>692</v>
      </c>
      <c r="F27">
        <v>97</v>
      </c>
      <c r="G27" s="5">
        <v>0.25</v>
      </c>
      <c r="H27" s="4">
        <f t="shared" ca="1" si="0"/>
        <v>159</v>
      </c>
      <c r="I27" s="4">
        <v>61.54</v>
      </c>
    </row>
    <row r="28" spans="1:9" x14ac:dyDescent="0.25">
      <c r="A28">
        <v>86563</v>
      </c>
      <c r="B28">
        <v>29</v>
      </c>
      <c r="C28">
        <v>11</v>
      </c>
      <c r="D28">
        <v>101</v>
      </c>
      <c r="E28" t="s">
        <v>695</v>
      </c>
      <c r="F28">
        <v>39</v>
      </c>
      <c r="G28" s="5">
        <v>0</v>
      </c>
      <c r="H28" s="4">
        <f t="shared" ca="1" si="0"/>
        <v>232</v>
      </c>
      <c r="I28" s="4">
        <v>27.18</v>
      </c>
    </row>
    <row r="29" spans="1:9" x14ac:dyDescent="0.25">
      <c r="A29">
        <v>96352</v>
      </c>
      <c r="B29">
        <v>35</v>
      </c>
      <c r="C29">
        <v>11</v>
      </c>
      <c r="D29">
        <v>103</v>
      </c>
      <c r="E29" t="s">
        <v>693</v>
      </c>
      <c r="F29">
        <v>14</v>
      </c>
      <c r="G29" s="5">
        <v>0</v>
      </c>
      <c r="H29" s="4">
        <f t="shared" ca="1" si="0"/>
        <v>59</v>
      </c>
      <c r="I29" s="4">
        <v>78.260000000000005</v>
      </c>
    </row>
    <row r="30" spans="1:9" x14ac:dyDescent="0.25">
      <c r="A30">
        <v>96352</v>
      </c>
      <c r="B30">
        <v>51</v>
      </c>
      <c r="C30">
        <v>11</v>
      </c>
      <c r="D30">
        <v>106</v>
      </c>
      <c r="E30" t="s">
        <v>693</v>
      </c>
      <c r="F30">
        <v>76</v>
      </c>
      <c r="G30" s="5">
        <v>0.1</v>
      </c>
      <c r="H30" s="4">
        <f t="shared" ca="1" si="0"/>
        <v>309</v>
      </c>
      <c r="I30" s="4">
        <v>69.92</v>
      </c>
    </row>
    <row r="31" spans="1:9" x14ac:dyDescent="0.25">
      <c r="A31">
        <v>86563</v>
      </c>
      <c r="B31">
        <v>22</v>
      </c>
      <c r="C31">
        <v>11</v>
      </c>
      <c r="D31">
        <v>101</v>
      </c>
      <c r="E31" t="s">
        <v>696</v>
      </c>
      <c r="F31">
        <v>18</v>
      </c>
      <c r="G31" s="5">
        <v>0</v>
      </c>
      <c r="H31" s="4">
        <f t="shared" ca="1" si="0"/>
        <v>19</v>
      </c>
      <c r="I31" s="4">
        <v>72.569999999999993</v>
      </c>
    </row>
    <row r="32" spans="1:9" x14ac:dyDescent="0.25">
      <c r="A32">
        <v>48256</v>
      </c>
      <c r="B32">
        <v>10</v>
      </c>
      <c r="C32">
        <v>11</v>
      </c>
      <c r="D32">
        <v>108</v>
      </c>
      <c r="E32" t="s">
        <v>698</v>
      </c>
      <c r="F32">
        <v>113</v>
      </c>
      <c r="G32" s="5">
        <v>0.25</v>
      </c>
      <c r="H32" s="4">
        <f t="shared" ca="1" si="0"/>
        <v>67</v>
      </c>
      <c r="I32" s="4">
        <v>91.5</v>
      </c>
    </row>
    <row r="33" spans="1:9" x14ac:dyDescent="0.25">
      <c r="A33">
        <v>86563</v>
      </c>
      <c r="B33">
        <v>62</v>
      </c>
      <c r="C33">
        <v>11</v>
      </c>
      <c r="D33">
        <v>105</v>
      </c>
      <c r="E33" t="s">
        <v>700</v>
      </c>
      <c r="F33">
        <v>40</v>
      </c>
      <c r="G33" s="5">
        <v>0</v>
      </c>
      <c r="H33" s="4">
        <f t="shared" ca="1" si="0"/>
        <v>246</v>
      </c>
      <c r="I33" s="4">
        <v>57.75</v>
      </c>
    </row>
    <row r="34" spans="1:9" x14ac:dyDescent="0.25">
      <c r="A34">
        <v>96352</v>
      </c>
      <c r="B34">
        <v>1</v>
      </c>
      <c r="C34">
        <v>11</v>
      </c>
      <c r="D34">
        <v>101</v>
      </c>
      <c r="E34" t="s">
        <v>690</v>
      </c>
      <c r="F34">
        <v>81</v>
      </c>
      <c r="G34" s="5">
        <v>0.25</v>
      </c>
      <c r="H34" s="4">
        <f t="shared" ca="1" si="0"/>
        <v>301</v>
      </c>
      <c r="I34" s="4">
        <v>81</v>
      </c>
    </row>
    <row r="35" spans="1:9" x14ac:dyDescent="0.25">
      <c r="A35">
        <v>96352</v>
      </c>
      <c r="B35">
        <v>19</v>
      </c>
      <c r="C35">
        <v>11</v>
      </c>
      <c r="D35">
        <v>101</v>
      </c>
      <c r="E35" t="s">
        <v>695</v>
      </c>
      <c r="F35">
        <v>87</v>
      </c>
      <c r="G35" s="5">
        <v>0.25</v>
      </c>
      <c r="H35" s="4">
        <f t="shared" ca="1" si="0"/>
        <v>185</v>
      </c>
      <c r="I35" s="4">
        <v>76.930000000000007</v>
      </c>
    </row>
    <row r="36" spans="1:9" x14ac:dyDescent="0.25">
      <c r="A36">
        <v>48256</v>
      </c>
      <c r="B36">
        <v>2</v>
      </c>
      <c r="C36">
        <v>11</v>
      </c>
      <c r="D36">
        <v>106</v>
      </c>
      <c r="E36" t="s">
        <v>700</v>
      </c>
      <c r="F36">
        <v>30</v>
      </c>
      <c r="G36" s="5">
        <v>0</v>
      </c>
      <c r="H36" s="4">
        <f t="shared" ca="1" si="0"/>
        <v>82</v>
      </c>
      <c r="I36" s="4">
        <v>41.52</v>
      </c>
    </row>
    <row r="37" spans="1:9" x14ac:dyDescent="0.25">
      <c r="A37">
        <v>96352</v>
      </c>
      <c r="B37">
        <v>20</v>
      </c>
      <c r="C37">
        <v>11</v>
      </c>
      <c r="D37">
        <v>102</v>
      </c>
      <c r="E37" t="s">
        <v>695</v>
      </c>
      <c r="F37">
        <v>113</v>
      </c>
      <c r="G37" s="5">
        <v>0.25</v>
      </c>
      <c r="H37" s="4">
        <f t="shared" ca="1" si="0"/>
        <v>196</v>
      </c>
      <c r="I37" s="4">
        <v>35.19</v>
      </c>
    </row>
    <row r="38" spans="1:9" x14ac:dyDescent="0.25">
      <c r="A38">
        <v>86563</v>
      </c>
      <c r="B38">
        <v>4</v>
      </c>
      <c r="C38">
        <v>11</v>
      </c>
      <c r="D38">
        <v>107</v>
      </c>
      <c r="E38" t="s">
        <v>691</v>
      </c>
      <c r="F38">
        <v>122</v>
      </c>
      <c r="G38" s="5">
        <v>0.25</v>
      </c>
      <c r="H38" s="4">
        <f t="shared" ca="1" si="0"/>
        <v>234</v>
      </c>
      <c r="I38" s="4">
        <v>44.46</v>
      </c>
    </row>
    <row r="39" spans="1:9" x14ac:dyDescent="0.25">
      <c r="A39">
        <v>96352</v>
      </c>
      <c r="B39">
        <v>70</v>
      </c>
      <c r="C39">
        <v>11</v>
      </c>
      <c r="D39">
        <v>105</v>
      </c>
      <c r="E39" t="s">
        <v>700</v>
      </c>
      <c r="F39">
        <v>47</v>
      </c>
      <c r="G39" s="5">
        <v>0</v>
      </c>
      <c r="H39" s="4">
        <f t="shared" ca="1" si="0"/>
        <v>199</v>
      </c>
      <c r="I39" s="4">
        <v>28.98</v>
      </c>
    </row>
    <row r="40" spans="1:9" x14ac:dyDescent="0.25">
      <c r="A40">
        <v>86563</v>
      </c>
      <c r="B40">
        <v>67</v>
      </c>
      <c r="C40">
        <v>11</v>
      </c>
      <c r="D40">
        <v>103</v>
      </c>
      <c r="E40" t="s">
        <v>694</v>
      </c>
      <c r="F40">
        <v>96</v>
      </c>
      <c r="G40">
        <v>0.1</v>
      </c>
      <c r="H40" s="4">
        <f t="shared" ca="1" si="0"/>
        <v>123</v>
      </c>
      <c r="I40" s="4">
        <v>75.180000000000007</v>
      </c>
    </row>
    <row r="41" spans="1:9" x14ac:dyDescent="0.25">
      <c r="A41">
        <v>48256</v>
      </c>
      <c r="B41">
        <v>23</v>
      </c>
      <c r="C41">
        <v>11</v>
      </c>
      <c r="D41">
        <v>105</v>
      </c>
      <c r="E41" t="s">
        <v>697</v>
      </c>
      <c r="F41">
        <v>197</v>
      </c>
      <c r="G41">
        <v>0.25</v>
      </c>
      <c r="H41" s="4">
        <f t="shared" ca="1" si="0"/>
        <v>81</v>
      </c>
      <c r="I41" s="4">
        <v>79.5</v>
      </c>
    </row>
    <row r="42" spans="1:9" x14ac:dyDescent="0.25">
      <c r="A42">
        <v>48256</v>
      </c>
      <c r="B42">
        <v>23</v>
      </c>
      <c r="C42">
        <v>11</v>
      </c>
      <c r="D42">
        <v>108</v>
      </c>
      <c r="E42" t="s">
        <v>691</v>
      </c>
      <c r="F42">
        <v>131</v>
      </c>
      <c r="G42">
        <v>0.1</v>
      </c>
      <c r="H42" s="4">
        <f t="shared" ca="1" si="0"/>
        <v>104</v>
      </c>
      <c r="I42" s="4">
        <v>55.65</v>
      </c>
    </row>
    <row r="43" spans="1:9" x14ac:dyDescent="0.25">
      <c r="A43">
        <v>48256</v>
      </c>
      <c r="B43">
        <v>61</v>
      </c>
      <c r="C43">
        <v>11</v>
      </c>
      <c r="D43">
        <v>107</v>
      </c>
      <c r="E43" t="s">
        <v>690</v>
      </c>
      <c r="F43">
        <v>115</v>
      </c>
      <c r="G43">
        <v>0.25</v>
      </c>
      <c r="H43" s="4">
        <f t="shared" ca="1" si="0"/>
        <v>292</v>
      </c>
      <c r="I43" s="4">
        <v>24</v>
      </c>
    </row>
    <row r="44" spans="1:9" x14ac:dyDescent="0.25">
      <c r="A44">
        <v>86563</v>
      </c>
      <c r="B44">
        <v>43</v>
      </c>
      <c r="C44">
        <v>11</v>
      </c>
      <c r="D44">
        <v>107</v>
      </c>
      <c r="E44" t="s">
        <v>690</v>
      </c>
      <c r="F44">
        <v>217</v>
      </c>
      <c r="G44">
        <v>0</v>
      </c>
      <c r="H44" s="4">
        <f t="shared" ca="1" si="0"/>
        <v>126</v>
      </c>
      <c r="I44" s="4">
        <v>87.92</v>
      </c>
    </row>
    <row r="45" spans="1:9" x14ac:dyDescent="0.25">
      <c r="A45">
        <v>86563</v>
      </c>
      <c r="B45">
        <v>32</v>
      </c>
      <c r="C45">
        <v>11</v>
      </c>
      <c r="D45">
        <v>101</v>
      </c>
      <c r="E45" t="s">
        <v>699</v>
      </c>
      <c r="F45">
        <v>189</v>
      </c>
      <c r="G45">
        <v>0</v>
      </c>
      <c r="H45" s="4">
        <f t="shared" ca="1" si="0"/>
        <v>89</v>
      </c>
      <c r="I45" s="4">
        <v>81.34</v>
      </c>
    </row>
    <row r="46" spans="1:9" x14ac:dyDescent="0.25">
      <c r="A46">
        <v>86563</v>
      </c>
      <c r="B46">
        <v>60</v>
      </c>
      <c r="C46">
        <v>11</v>
      </c>
      <c r="D46">
        <v>101</v>
      </c>
      <c r="E46" t="s">
        <v>697</v>
      </c>
      <c r="F46">
        <v>130</v>
      </c>
      <c r="G46">
        <v>0.1</v>
      </c>
      <c r="H46" s="4">
        <f t="shared" ca="1" si="0"/>
        <v>183</v>
      </c>
      <c r="I46" s="4">
        <v>88</v>
      </c>
    </row>
    <row r="47" spans="1:9" x14ac:dyDescent="0.25">
      <c r="A47">
        <v>48256</v>
      </c>
      <c r="B47">
        <v>34</v>
      </c>
      <c r="C47">
        <v>11</v>
      </c>
      <c r="D47">
        <v>108</v>
      </c>
      <c r="E47" t="s">
        <v>690</v>
      </c>
      <c r="F47">
        <v>152</v>
      </c>
      <c r="G47">
        <v>0.1</v>
      </c>
      <c r="H47" s="4">
        <f t="shared" ca="1" si="0"/>
        <v>169</v>
      </c>
      <c r="I47" s="4">
        <v>50.1</v>
      </c>
    </row>
    <row r="48" spans="1:9" x14ac:dyDescent="0.25">
      <c r="A48">
        <v>86563</v>
      </c>
      <c r="B48">
        <v>30</v>
      </c>
      <c r="C48">
        <v>11</v>
      </c>
      <c r="D48">
        <v>105</v>
      </c>
      <c r="E48" t="s">
        <v>698</v>
      </c>
      <c r="F48">
        <v>163</v>
      </c>
      <c r="G48">
        <v>0.25</v>
      </c>
      <c r="H48" s="4">
        <f t="shared" ca="1" si="0"/>
        <v>258</v>
      </c>
      <c r="I48" s="4">
        <v>53.7</v>
      </c>
    </row>
    <row r="49" spans="1:9" x14ac:dyDescent="0.25">
      <c r="A49">
        <v>96352</v>
      </c>
      <c r="B49">
        <v>33</v>
      </c>
      <c r="C49">
        <v>11</v>
      </c>
      <c r="D49">
        <v>105</v>
      </c>
      <c r="E49" t="s">
        <v>697</v>
      </c>
      <c r="F49">
        <v>241</v>
      </c>
      <c r="G49">
        <v>0</v>
      </c>
      <c r="H49" s="4">
        <f t="shared" ca="1" si="0"/>
        <v>132</v>
      </c>
      <c r="I49" s="4">
        <v>77.760000000000005</v>
      </c>
    </row>
    <row r="50" spans="1:9" x14ac:dyDescent="0.25">
      <c r="A50">
        <v>48256</v>
      </c>
      <c r="B50">
        <v>56</v>
      </c>
      <c r="C50">
        <v>11</v>
      </c>
      <c r="D50">
        <v>104</v>
      </c>
      <c r="E50" t="s">
        <v>695</v>
      </c>
      <c r="F50">
        <v>241</v>
      </c>
      <c r="G50">
        <v>0</v>
      </c>
      <c r="H50" s="4">
        <f t="shared" ca="1" si="0"/>
        <v>304</v>
      </c>
      <c r="I50" s="4">
        <v>74.7</v>
      </c>
    </row>
    <row r="51" spans="1:9" x14ac:dyDescent="0.25">
      <c r="A51">
        <v>96352</v>
      </c>
      <c r="B51">
        <v>7</v>
      </c>
      <c r="C51">
        <v>11</v>
      </c>
      <c r="D51">
        <v>103</v>
      </c>
      <c r="E51" t="s">
        <v>697</v>
      </c>
      <c r="F51">
        <v>157</v>
      </c>
      <c r="G51">
        <v>0</v>
      </c>
      <c r="H51" s="4">
        <f t="shared" ca="1" si="0"/>
        <v>292</v>
      </c>
      <c r="I51" s="4">
        <v>24.3</v>
      </c>
    </row>
    <row r="52" spans="1:9" x14ac:dyDescent="0.25">
      <c r="A52">
        <v>96352</v>
      </c>
      <c r="B52">
        <v>37</v>
      </c>
      <c r="C52">
        <v>11</v>
      </c>
      <c r="D52">
        <v>105</v>
      </c>
      <c r="E52" t="s">
        <v>690</v>
      </c>
      <c r="F52">
        <v>188</v>
      </c>
      <c r="G52">
        <v>0</v>
      </c>
      <c r="H52" s="4">
        <f t="shared" ca="1" si="0"/>
        <v>127</v>
      </c>
      <c r="I52" s="4">
        <v>91.8</v>
      </c>
    </row>
    <row r="53" spans="1:9" x14ac:dyDescent="0.25">
      <c r="A53">
        <v>48256</v>
      </c>
      <c r="B53">
        <v>69</v>
      </c>
      <c r="C53">
        <v>11</v>
      </c>
      <c r="D53">
        <v>102</v>
      </c>
      <c r="E53" t="s">
        <v>693</v>
      </c>
      <c r="F53">
        <v>249</v>
      </c>
      <c r="G53">
        <v>0</v>
      </c>
      <c r="H53" s="4">
        <f t="shared" ca="1" si="0"/>
        <v>152</v>
      </c>
      <c r="I53" s="4">
        <v>91</v>
      </c>
    </row>
    <row r="54" spans="1:9" x14ac:dyDescent="0.25">
      <c r="A54">
        <v>48256</v>
      </c>
      <c r="B54">
        <v>33</v>
      </c>
      <c r="C54">
        <v>11</v>
      </c>
      <c r="D54">
        <v>106</v>
      </c>
      <c r="E54" t="s">
        <v>699</v>
      </c>
      <c r="F54">
        <v>51</v>
      </c>
      <c r="G54">
        <v>0.25</v>
      </c>
      <c r="H54" s="4">
        <f t="shared" ca="1" si="0"/>
        <v>93</v>
      </c>
      <c r="I54" s="4">
        <v>37.44</v>
      </c>
    </row>
    <row r="55" spans="1:9" x14ac:dyDescent="0.25">
      <c r="A55">
        <v>86563</v>
      </c>
      <c r="B55">
        <v>43</v>
      </c>
      <c r="C55">
        <v>11</v>
      </c>
      <c r="D55">
        <v>105</v>
      </c>
      <c r="E55" t="s">
        <v>696</v>
      </c>
      <c r="F55">
        <v>47</v>
      </c>
      <c r="G55">
        <v>0.25</v>
      </c>
      <c r="H55" s="4">
        <f t="shared" ca="1" si="0"/>
        <v>335</v>
      </c>
      <c r="I55" s="4">
        <v>58.74</v>
      </c>
    </row>
    <row r="56" spans="1:9" x14ac:dyDescent="0.25">
      <c r="A56">
        <v>86563</v>
      </c>
      <c r="B56">
        <v>41</v>
      </c>
      <c r="C56">
        <v>11</v>
      </c>
      <c r="D56">
        <v>101</v>
      </c>
      <c r="E56" t="s">
        <v>698</v>
      </c>
      <c r="F56">
        <v>250</v>
      </c>
      <c r="G56">
        <v>0.1</v>
      </c>
      <c r="H56" s="4">
        <f t="shared" ca="1" si="0"/>
        <v>280</v>
      </c>
      <c r="I56" s="4">
        <v>45.92</v>
      </c>
    </row>
    <row r="57" spans="1:9" x14ac:dyDescent="0.25">
      <c r="A57">
        <v>96352</v>
      </c>
      <c r="B57">
        <v>20</v>
      </c>
      <c r="C57">
        <v>11</v>
      </c>
      <c r="D57">
        <v>106</v>
      </c>
      <c r="E57" t="s">
        <v>691</v>
      </c>
      <c r="F57">
        <v>108</v>
      </c>
      <c r="G57">
        <v>0</v>
      </c>
      <c r="H57" s="4">
        <f t="shared" ca="1" si="0"/>
        <v>259</v>
      </c>
      <c r="I57" s="4">
        <v>40</v>
      </c>
    </row>
    <row r="58" spans="1:9" x14ac:dyDescent="0.25">
      <c r="A58">
        <v>48256</v>
      </c>
      <c r="B58">
        <v>23</v>
      </c>
      <c r="C58">
        <v>11</v>
      </c>
      <c r="D58">
        <v>105</v>
      </c>
      <c r="E58" t="s">
        <v>698</v>
      </c>
      <c r="F58">
        <v>37</v>
      </c>
      <c r="G58">
        <v>0.1</v>
      </c>
      <c r="H58" s="4">
        <f t="shared" ca="1" si="0"/>
        <v>168</v>
      </c>
      <c r="I58" s="4">
        <v>88.92</v>
      </c>
    </row>
    <row r="59" spans="1:9" x14ac:dyDescent="0.25">
      <c r="A59">
        <v>48256</v>
      </c>
      <c r="B59">
        <v>9</v>
      </c>
      <c r="C59">
        <v>11</v>
      </c>
      <c r="D59">
        <v>104</v>
      </c>
      <c r="E59" t="s">
        <v>695</v>
      </c>
      <c r="F59">
        <v>30</v>
      </c>
      <c r="G59">
        <v>0.1</v>
      </c>
      <c r="H59" s="4">
        <f t="shared" ca="1" si="0"/>
        <v>130</v>
      </c>
      <c r="I59" s="4">
        <v>28.16</v>
      </c>
    </row>
    <row r="60" spans="1:9" x14ac:dyDescent="0.25">
      <c r="A60">
        <v>96352</v>
      </c>
      <c r="B60">
        <v>19</v>
      </c>
      <c r="C60">
        <v>11</v>
      </c>
      <c r="D60">
        <v>107</v>
      </c>
      <c r="E60" t="s">
        <v>700</v>
      </c>
      <c r="F60">
        <v>147</v>
      </c>
      <c r="G60">
        <v>0.1</v>
      </c>
      <c r="H60" s="4">
        <f t="shared" ca="1" si="0"/>
        <v>97</v>
      </c>
      <c r="I60" s="4">
        <v>55.8</v>
      </c>
    </row>
    <row r="61" spans="1:9" x14ac:dyDescent="0.25">
      <c r="A61">
        <v>86563</v>
      </c>
      <c r="B61">
        <v>29</v>
      </c>
      <c r="C61">
        <v>11</v>
      </c>
      <c r="D61">
        <v>106</v>
      </c>
      <c r="E61" t="s">
        <v>691</v>
      </c>
      <c r="F61">
        <v>79</v>
      </c>
      <c r="G61">
        <v>0</v>
      </c>
      <c r="H61" s="4">
        <f t="shared" ca="1" si="0"/>
        <v>117</v>
      </c>
      <c r="I61" s="4">
        <v>17.7</v>
      </c>
    </row>
    <row r="62" spans="1:9" x14ac:dyDescent="0.25">
      <c r="A62">
        <v>96352</v>
      </c>
      <c r="B62">
        <v>20</v>
      </c>
      <c r="C62">
        <v>11</v>
      </c>
      <c r="D62">
        <v>103</v>
      </c>
      <c r="E62" t="s">
        <v>690</v>
      </c>
      <c r="F62">
        <v>151</v>
      </c>
      <c r="G62">
        <v>0.1</v>
      </c>
      <c r="H62" s="4">
        <f t="shared" ca="1" si="0"/>
        <v>309</v>
      </c>
      <c r="I62" s="4">
        <v>79.8</v>
      </c>
    </row>
    <row r="63" spans="1:9" x14ac:dyDescent="0.25">
      <c r="A63">
        <v>86563</v>
      </c>
      <c r="B63">
        <v>31</v>
      </c>
      <c r="C63">
        <v>11</v>
      </c>
      <c r="D63">
        <v>104</v>
      </c>
      <c r="E63" t="s">
        <v>694</v>
      </c>
      <c r="F63">
        <v>204</v>
      </c>
      <c r="G63">
        <v>0</v>
      </c>
      <c r="H63" s="4">
        <f t="shared" ca="1" si="0"/>
        <v>176</v>
      </c>
      <c r="I63" s="4">
        <v>86.48</v>
      </c>
    </row>
    <row r="64" spans="1:9" x14ac:dyDescent="0.25">
      <c r="A64">
        <v>86563</v>
      </c>
      <c r="B64">
        <v>58</v>
      </c>
      <c r="C64">
        <v>11</v>
      </c>
      <c r="D64">
        <v>108</v>
      </c>
      <c r="E64" t="s">
        <v>698</v>
      </c>
      <c r="F64">
        <v>225</v>
      </c>
      <c r="G64">
        <v>0.1</v>
      </c>
      <c r="H64" s="4">
        <f t="shared" ca="1" si="0"/>
        <v>318</v>
      </c>
      <c r="I64" s="4">
        <v>69.72</v>
      </c>
    </row>
    <row r="65" spans="1:9" x14ac:dyDescent="0.25">
      <c r="A65">
        <v>48256</v>
      </c>
      <c r="B65">
        <v>60</v>
      </c>
      <c r="C65">
        <v>11</v>
      </c>
      <c r="D65">
        <v>104</v>
      </c>
      <c r="E65" t="s">
        <v>696</v>
      </c>
      <c r="F65">
        <v>207</v>
      </c>
      <c r="G65">
        <v>0.25</v>
      </c>
      <c r="H65" s="4">
        <f t="shared" ca="1" si="0"/>
        <v>233</v>
      </c>
      <c r="I65" s="4">
        <v>76.44</v>
      </c>
    </row>
    <row r="66" spans="1:9" x14ac:dyDescent="0.25">
      <c r="A66">
        <v>96352</v>
      </c>
      <c r="B66">
        <v>64</v>
      </c>
      <c r="C66">
        <v>11</v>
      </c>
      <c r="D66">
        <v>106</v>
      </c>
      <c r="E66" t="s">
        <v>696</v>
      </c>
      <c r="F66">
        <v>2</v>
      </c>
      <c r="G66">
        <v>0</v>
      </c>
      <c r="H66" s="4">
        <f t="shared" ref="H66:H129" ca="1" si="1">IF(F66&lt;=10,RANDBETWEEN(1,5),IF(F66&lt;=20,RANDBETWEEN(15,80),IF(F66&lt;=30,RANDBETWEEN(23,150),RANDBETWEEN(66,350))))</f>
        <v>4</v>
      </c>
      <c r="I66" s="4">
        <v>66.599999999999994</v>
      </c>
    </row>
    <row r="67" spans="1:9" x14ac:dyDescent="0.25">
      <c r="A67">
        <v>96352</v>
      </c>
      <c r="B67">
        <v>6</v>
      </c>
      <c r="C67">
        <v>11</v>
      </c>
      <c r="D67">
        <v>107</v>
      </c>
      <c r="E67" t="s">
        <v>696</v>
      </c>
      <c r="F67">
        <v>206</v>
      </c>
      <c r="G67">
        <v>0</v>
      </c>
      <c r="H67" s="4">
        <f t="shared" ca="1" si="1"/>
        <v>296</v>
      </c>
      <c r="I67" s="4">
        <v>19.25</v>
      </c>
    </row>
    <row r="68" spans="1:9" x14ac:dyDescent="0.25">
      <c r="A68">
        <v>96352</v>
      </c>
      <c r="B68">
        <v>37</v>
      </c>
      <c r="C68">
        <v>11</v>
      </c>
      <c r="D68">
        <v>107</v>
      </c>
      <c r="E68" t="s">
        <v>693</v>
      </c>
      <c r="F68">
        <v>147</v>
      </c>
      <c r="G68">
        <v>0.25</v>
      </c>
      <c r="H68" s="4">
        <f t="shared" ca="1" si="1"/>
        <v>102</v>
      </c>
      <c r="I68" s="4">
        <v>72.680000000000007</v>
      </c>
    </row>
    <row r="69" spans="1:9" x14ac:dyDescent="0.25">
      <c r="A69">
        <v>48256</v>
      </c>
      <c r="B69">
        <v>45</v>
      </c>
      <c r="C69">
        <v>11</v>
      </c>
      <c r="D69">
        <v>105</v>
      </c>
      <c r="E69" t="s">
        <v>695</v>
      </c>
      <c r="F69">
        <v>47</v>
      </c>
      <c r="G69">
        <v>0.1</v>
      </c>
      <c r="H69" s="4">
        <f t="shared" ca="1" si="1"/>
        <v>86</v>
      </c>
      <c r="I69" s="4">
        <v>110.2</v>
      </c>
    </row>
    <row r="70" spans="1:9" x14ac:dyDescent="0.25">
      <c r="A70">
        <v>86563</v>
      </c>
      <c r="B70">
        <v>42</v>
      </c>
      <c r="C70">
        <v>11</v>
      </c>
      <c r="D70">
        <v>106</v>
      </c>
      <c r="E70" t="s">
        <v>697</v>
      </c>
      <c r="F70">
        <v>15</v>
      </c>
      <c r="G70">
        <v>0</v>
      </c>
      <c r="H70" s="4">
        <f t="shared" ca="1" si="1"/>
        <v>56</v>
      </c>
      <c r="I70" s="4">
        <v>28.88</v>
      </c>
    </row>
    <row r="71" spans="1:9" x14ac:dyDescent="0.25">
      <c r="A71">
        <v>96352</v>
      </c>
      <c r="B71">
        <v>19</v>
      </c>
      <c r="C71">
        <v>11</v>
      </c>
      <c r="D71">
        <v>103</v>
      </c>
      <c r="E71" t="s">
        <v>700</v>
      </c>
      <c r="F71">
        <v>115</v>
      </c>
      <c r="G71">
        <v>0.25</v>
      </c>
      <c r="H71" s="4">
        <f t="shared" ca="1" si="1"/>
        <v>208</v>
      </c>
      <c r="I71" s="4">
        <v>28.5</v>
      </c>
    </row>
    <row r="72" spans="1:9" x14ac:dyDescent="0.25">
      <c r="A72">
        <v>48256</v>
      </c>
      <c r="B72">
        <v>4</v>
      </c>
      <c r="C72">
        <v>11</v>
      </c>
      <c r="D72">
        <v>108</v>
      </c>
      <c r="E72" t="s">
        <v>695</v>
      </c>
      <c r="F72">
        <v>126</v>
      </c>
      <c r="G72">
        <v>0.1</v>
      </c>
      <c r="H72" s="4">
        <f t="shared" ca="1" si="1"/>
        <v>105</v>
      </c>
      <c r="I72" s="4">
        <v>16.8</v>
      </c>
    </row>
    <row r="73" spans="1:9" x14ac:dyDescent="0.25">
      <c r="A73">
        <v>96352</v>
      </c>
      <c r="B73">
        <v>34</v>
      </c>
      <c r="C73">
        <v>11</v>
      </c>
      <c r="D73">
        <v>103</v>
      </c>
      <c r="E73" t="s">
        <v>697</v>
      </c>
      <c r="F73">
        <v>129</v>
      </c>
      <c r="G73">
        <v>0.25</v>
      </c>
      <c r="H73" s="4">
        <f t="shared" ca="1" si="1"/>
        <v>271</v>
      </c>
      <c r="I73" s="4">
        <v>22.2</v>
      </c>
    </row>
    <row r="74" spans="1:9" x14ac:dyDescent="0.25">
      <c r="A74">
        <v>96352</v>
      </c>
      <c r="B74">
        <v>9</v>
      </c>
      <c r="C74">
        <v>11</v>
      </c>
      <c r="D74">
        <v>107</v>
      </c>
      <c r="E74" t="s">
        <v>699</v>
      </c>
      <c r="F74">
        <v>179</v>
      </c>
      <c r="G74">
        <v>0.25</v>
      </c>
      <c r="H74" s="4">
        <f t="shared" ca="1" si="1"/>
        <v>254</v>
      </c>
      <c r="I74" s="4">
        <v>34.770000000000003</v>
      </c>
    </row>
    <row r="75" spans="1:9" x14ac:dyDescent="0.25">
      <c r="A75">
        <v>86563</v>
      </c>
      <c r="B75">
        <v>1</v>
      </c>
      <c r="C75">
        <v>11</v>
      </c>
      <c r="D75">
        <v>108</v>
      </c>
      <c r="E75" t="s">
        <v>694</v>
      </c>
      <c r="F75">
        <v>198</v>
      </c>
      <c r="G75">
        <v>0</v>
      </c>
      <c r="H75" s="4">
        <f t="shared" ca="1" si="1"/>
        <v>202</v>
      </c>
      <c r="I75" s="4">
        <v>20.79</v>
      </c>
    </row>
    <row r="76" spans="1:9" x14ac:dyDescent="0.25">
      <c r="A76">
        <v>96352</v>
      </c>
      <c r="B76">
        <v>31</v>
      </c>
      <c r="C76">
        <v>11</v>
      </c>
      <c r="D76">
        <v>105</v>
      </c>
      <c r="E76" t="s">
        <v>700</v>
      </c>
      <c r="F76">
        <v>166</v>
      </c>
      <c r="G76">
        <v>0.25</v>
      </c>
      <c r="H76" s="4">
        <f t="shared" ca="1" si="1"/>
        <v>341</v>
      </c>
      <c r="I76" s="4">
        <v>54</v>
      </c>
    </row>
    <row r="77" spans="1:9" x14ac:dyDescent="0.25">
      <c r="A77">
        <v>48256</v>
      </c>
      <c r="B77">
        <v>44</v>
      </c>
      <c r="C77">
        <v>11</v>
      </c>
      <c r="D77">
        <v>102</v>
      </c>
      <c r="E77" t="s">
        <v>700</v>
      </c>
      <c r="F77">
        <v>76</v>
      </c>
      <c r="G77">
        <v>0.1</v>
      </c>
      <c r="H77" s="4">
        <f t="shared" ca="1" si="1"/>
        <v>219</v>
      </c>
      <c r="I77" s="4">
        <v>37.590000000000003</v>
      </c>
    </row>
    <row r="78" spans="1:9" x14ac:dyDescent="0.25">
      <c r="A78">
        <v>48256</v>
      </c>
      <c r="B78">
        <v>46</v>
      </c>
      <c r="C78">
        <v>11</v>
      </c>
      <c r="D78">
        <v>101</v>
      </c>
      <c r="E78" t="s">
        <v>691</v>
      </c>
      <c r="F78">
        <v>180</v>
      </c>
      <c r="G78">
        <v>0.1</v>
      </c>
      <c r="H78" s="4">
        <f t="shared" ca="1" si="1"/>
        <v>295</v>
      </c>
      <c r="I78" s="4">
        <v>53.12</v>
      </c>
    </row>
    <row r="79" spans="1:9" x14ac:dyDescent="0.25">
      <c r="A79">
        <v>48256</v>
      </c>
      <c r="B79">
        <v>38</v>
      </c>
      <c r="C79">
        <v>11</v>
      </c>
      <c r="D79">
        <v>103</v>
      </c>
      <c r="E79" t="s">
        <v>697</v>
      </c>
      <c r="F79">
        <v>7</v>
      </c>
      <c r="G79">
        <v>0.1</v>
      </c>
      <c r="H79" s="4">
        <f t="shared" ca="1" si="1"/>
        <v>1</v>
      </c>
      <c r="I79" s="4">
        <v>82.81</v>
      </c>
    </row>
    <row r="80" spans="1:9" x14ac:dyDescent="0.25">
      <c r="A80">
        <v>96352</v>
      </c>
      <c r="B80">
        <v>7</v>
      </c>
      <c r="C80">
        <v>11</v>
      </c>
      <c r="D80">
        <v>105</v>
      </c>
      <c r="E80" t="s">
        <v>693</v>
      </c>
      <c r="F80">
        <v>156</v>
      </c>
      <c r="G80">
        <v>0.25</v>
      </c>
      <c r="H80" s="4">
        <f t="shared" ca="1" si="1"/>
        <v>152</v>
      </c>
      <c r="I80" s="4">
        <v>34.58</v>
      </c>
    </row>
    <row r="81" spans="1:9" x14ac:dyDescent="0.25">
      <c r="A81">
        <v>86563</v>
      </c>
      <c r="B81">
        <v>8</v>
      </c>
      <c r="C81">
        <v>11</v>
      </c>
      <c r="D81">
        <v>106</v>
      </c>
      <c r="E81" t="s">
        <v>694</v>
      </c>
      <c r="F81">
        <v>164</v>
      </c>
      <c r="G81">
        <v>0.25</v>
      </c>
      <c r="H81" s="4">
        <f t="shared" ca="1" si="1"/>
        <v>147</v>
      </c>
      <c r="I81" s="4">
        <v>18.2</v>
      </c>
    </row>
    <row r="82" spans="1:9" x14ac:dyDescent="0.25">
      <c r="A82">
        <v>48256</v>
      </c>
      <c r="B82">
        <v>70</v>
      </c>
      <c r="C82">
        <v>11</v>
      </c>
      <c r="D82">
        <v>105</v>
      </c>
      <c r="E82" t="s">
        <v>690</v>
      </c>
      <c r="F82">
        <v>159</v>
      </c>
      <c r="G82">
        <v>0.1</v>
      </c>
      <c r="H82" s="4">
        <f t="shared" ca="1" si="1"/>
        <v>349</v>
      </c>
      <c r="I82" s="4">
        <v>88.35</v>
      </c>
    </row>
    <row r="83" spans="1:9" x14ac:dyDescent="0.25">
      <c r="A83">
        <v>48256</v>
      </c>
      <c r="B83">
        <v>43</v>
      </c>
      <c r="C83">
        <v>11</v>
      </c>
      <c r="D83">
        <v>102</v>
      </c>
      <c r="E83" t="s">
        <v>695</v>
      </c>
      <c r="F83">
        <v>84</v>
      </c>
      <c r="G83">
        <v>0.1</v>
      </c>
      <c r="H83" s="4">
        <f t="shared" ca="1" si="1"/>
        <v>339</v>
      </c>
      <c r="I83" s="4">
        <v>90.24</v>
      </c>
    </row>
    <row r="84" spans="1:9" x14ac:dyDescent="0.25">
      <c r="A84">
        <v>86563</v>
      </c>
      <c r="B84">
        <v>47</v>
      </c>
      <c r="C84">
        <v>11</v>
      </c>
      <c r="D84">
        <v>103</v>
      </c>
      <c r="E84" t="s">
        <v>692</v>
      </c>
      <c r="F84">
        <v>95</v>
      </c>
      <c r="G84">
        <v>0.1</v>
      </c>
      <c r="H84" s="4">
        <f t="shared" ca="1" si="1"/>
        <v>102</v>
      </c>
      <c r="I84" s="4">
        <v>49.2</v>
      </c>
    </row>
    <row r="85" spans="1:9" x14ac:dyDescent="0.25">
      <c r="A85">
        <v>86563</v>
      </c>
      <c r="B85">
        <v>25</v>
      </c>
      <c r="C85">
        <v>11</v>
      </c>
      <c r="D85">
        <v>101</v>
      </c>
      <c r="E85" t="s">
        <v>693</v>
      </c>
      <c r="F85">
        <v>225</v>
      </c>
      <c r="G85">
        <v>0.25</v>
      </c>
      <c r="H85" s="4">
        <f t="shared" ca="1" si="1"/>
        <v>136</v>
      </c>
      <c r="I85" s="4">
        <v>22.54</v>
      </c>
    </row>
    <row r="86" spans="1:9" x14ac:dyDescent="0.25">
      <c r="A86">
        <v>86563</v>
      </c>
      <c r="B86">
        <v>30</v>
      </c>
      <c r="C86">
        <v>11</v>
      </c>
      <c r="D86">
        <v>103</v>
      </c>
      <c r="E86" t="s">
        <v>693</v>
      </c>
      <c r="F86">
        <v>248</v>
      </c>
      <c r="G86">
        <v>0</v>
      </c>
      <c r="H86" s="4">
        <f t="shared" ca="1" si="1"/>
        <v>172</v>
      </c>
      <c r="I86" s="4">
        <v>26.18</v>
      </c>
    </row>
    <row r="87" spans="1:9" x14ac:dyDescent="0.25">
      <c r="A87">
        <v>48256</v>
      </c>
      <c r="B87">
        <v>61</v>
      </c>
      <c r="C87">
        <v>11</v>
      </c>
      <c r="D87">
        <v>104</v>
      </c>
      <c r="E87" t="s">
        <v>698</v>
      </c>
      <c r="F87">
        <v>84</v>
      </c>
      <c r="G87">
        <v>0.1</v>
      </c>
      <c r="H87" s="4">
        <f t="shared" ca="1" si="1"/>
        <v>252</v>
      </c>
      <c r="I87" s="4">
        <v>48.72</v>
      </c>
    </row>
    <row r="88" spans="1:9" x14ac:dyDescent="0.25">
      <c r="A88">
        <v>48256</v>
      </c>
      <c r="B88">
        <v>48</v>
      </c>
      <c r="C88">
        <v>11</v>
      </c>
      <c r="D88">
        <v>106</v>
      </c>
      <c r="E88" t="s">
        <v>696</v>
      </c>
      <c r="F88">
        <v>236</v>
      </c>
      <c r="G88">
        <v>0.1</v>
      </c>
      <c r="H88" s="4">
        <f t="shared" ca="1" si="1"/>
        <v>149</v>
      </c>
      <c r="I88" s="4">
        <v>81.83</v>
      </c>
    </row>
    <row r="89" spans="1:9" x14ac:dyDescent="0.25">
      <c r="A89">
        <v>86563</v>
      </c>
      <c r="B89">
        <v>17</v>
      </c>
      <c r="C89">
        <v>11</v>
      </c>
      <c r="D89">
        <v>102</v>
      </c>
      <c r="E89" t="s">
        <v>698</v>
      </c>
      <c r="F89">
        <v>125</v>
      </c>
      <c r="G89">
        <v>0.25</v>
      </c>
      <c r="H89" s="4">
        <f t="shared" ca="1" si="1"/>
        <v>290</v>
      </c>
      <c r="I89" s="4">
        <v>67.64</v>
      </c>
    </row>
    <row r="90" spans="1:9" x14ac:dyDescent="0.25">
      <c r="A90">
        <v>48256</v>
      </c>
      <c r="B90">
        <v>45</v>
      </c>
      <c r="C90">
        <v>11</v>
      </c>
      <c r="D90">
        <v>107</v>
      </c>
      <c r="E90" t="s">
        <v>693</v>
      </c>
      <c r="F90">
        <v>214</v>
      </c>
      <c r="G90">
        <v>0.25</v>
      </c>
      <c r="H90" s="4">
        <f t="shared" ca="1" si="1"/>
        <v>128</v>
      </c>
      <c r="I90" s="4">
        <v>44.95</v>
      </c>
    </row>
    <row r="91" spans="1:9" x14ac:dyDescent="0.25">
      <c r="A91">
        <v>86563</v>
      </c>
      <c r="B91">
        <v>46</v>
      </c>
      <c r="C91">
        <v>11</v>
      </c>
      <c r="D91">
        <v>102</v>
      </c>
      <c r="E91" t="s">
        <v>691</v>
      </c>
      <c r="F91">
        <v>233</v>
      </c>
      <c r="G91">
        <v>0.1</v>
      </c>
      <c r="H91" s="4">
        <f t="shared" ca="1" si="1"/>
        <v>134</v>
      </c>
      <c r="I91" s="4">
        <v>43.4</v>
      </c>
    </row>
    <row r="92" spans="1:9" x14ac:dyDescent="0.25">
      <c r="A92">
        <v>48256</v>
      </c>
      <c r="B92">
        <v>47</v>
      </c>
      <c r="C92">
        <v>11</v>
      </c>
      <c r="D92">
        <v>107</v>
      </c>
      <c r="E92" t="s">
        <v>692</v>
      </c>
      <c r="F92">
        <v>227</v>
      </c>
      <c r="G92">
        <v>0.1</v>
      </c>
      <c r="H92" s="4">
        <f t="shared" ca="1" si="1"/>
        <v>127</v>
      </c>
      <c r="I92" s="4">
        <v>63.36</v>
      </c>
    </row>
    <row r="93" spans="1:9" x14ac:dyDescent="0.25">
      <c r="A93">
        <v>86563</v>
      </c>
      <c r="B93">
        <v>43</v>
      </c>
      <c r="C93">
        <v>11</v>
      </c>
      <c r="D93">
        <v>104</v>
      </c>
      <c r="E93" t="s">
        <v>694</v>
      </c>
      <c r="F93">
        <v>129</v>
      </c>
      <c r="G93">
        <v>0.25</v>
      </c>
      <c r="H93" s="4">
        <f t="shared" ca="1" si="1"/>
        <v>200</v>
      </c>
      <c r="I93" s="4">
        <v>84.6</v>
      </c>
    </row>
    <row r="94" spans="1:9" x14ac:dyDescent="0.25">
      <c r="A94">
        <v>48256</v>
      </c>
      <c r="B94">
        <v>63</v>
      </c>
      <c r="C94">
        <v>11</v>
      </c>
      <c r="D94">
        <v>104</v>
      </c>
      <c r="E94" t="s">
        <v>694</v>
      </c>
      <c r="F94">
        <v>50</v>
      </c>
      <c r="G94">
        <v>0.25</v>
      </c>
      <c r="H94" s="4">
        <f t="shared" ca="1" si="1"/>
        <v>104</v>
      </c>
      <c r="I94" s="4">
        <v>20.02</v>
      </c>
    </row>
    <row r="95" spans="1:9" x14ac:dyDescent="0.25">
      <c r="A95">
        <v>96352</v>
      </c>
      <c r="B95">
        <v>29</v>
      </c>
      <c r="C95">
        <v>11</v>
      </c>
      <c r="D95">
        <v>101</v>
      </c>
      <c r="E95" t="s">
        <v>696</v>
      </c>
      <c r="F95">
        <v>248</v>
      </c>
      <c r="G95">
        <v>0.1</v>
      </c>
      <c r="H95" s="4">
        <f t="shared" ca="1" si="1"/>
        <v>73</v>
      </c>
      <c r="I95" s="4">
        <v>65.52</v>
      </c>
    </row>
    <row r="96" spans="1:9" x14ac:dyDescent="0.25">
      <c r="A96">
        <v>86563</v>
      </c>
      <c r="B96">
        <v>50</v>
      </c>
      <c r="C96">
        <v>11</v>
      </c>
      <c r="D96">
        <v>108</v>
      </c>
      <c r="E96" t="s">
        <v>700</v>
      </c>
      <c r="F96">
        <v>246</v>
      </c>
      <c r="G96">
        <v>0.1</v>
      </c>
      <c r="H96" s="4">
        <f t="shared" ca="1" si="1"/>
        <v>251</v>
      </c>
      <c r="I96" s="4">
        <v>85.28</v>
      </c>
    </row>
    <row r="97" spans="1:9" x14ac:dyDescent="0.25">
      <c r="A97">
        <v>86563</v>
      </c>
      <c r="B97">
        <v>37</v>
      </c>
      <c r="C97">
        <v>11</v>
      </c>
      <c r="D97">
        <v>107</v>
      </c>
      <c r="E97" t="s">
        <v>700</v>
      </c>
      <c r="F97">
        <v>234</v>
      </c>
      <c r="G97">
        <v>0</v>
      </c>
      <c r="H97" s="4">
        <f t="shared" ca="1" si="1"/>
        <v>197</v>
      </c>
      <c r="I97" s="4">
        <v>68.47</v>
      </c>
    </row>
    <row r="98" spans="1:9" x14ac:dyDescent="0.25">
      <c r="A98">
        <v>48256</v>
      </c>
      <c r="B98">
        <v>53</v>
      </c>
      <c r="C98">
        <v>11</v>
      </c>
      <c r="D98">
        <v>101</v>
      </c>
      <c r="E98" t="s">
        <v>694</v>
      </c>
      <c r="F98">
        <v>49</v>
      </c>
      <c r="G98">
        <v>0</v>
      </c>
      <c r="H98" s="4">
        <f t="shared" ca="1" si="1"/>
        <v>94</v>
      </c>
      <c r="I98" s="4">
        <v>54.06</v>
      </c>
    </row>
    <row r="99" spans="1:9" x14ac:dyDescent="0.25">
      <c r="A99">
        <v>86563</v>
      </c>
      <c r="B99">
        <v>19</v>
      </c>
      <c r="C99">
        <v>11</v>
      </c>
      <c r="D99">
        <v>108</v>
      </c>
      <c r="E99" t="s">
        <v>697</v>
      </c>
      <c r="F99">
        <v>83</v>
      </c>
      <c r="G99">
        <v>0.1</v>
      </c>
      <c r="H99" s="4">
        <f t="shared" ca="1" si="1"/>
        <v>308</v>
      </c>
      <c r="I99" s="4">
        <v>94.62</v>
      </c>
    </row>
    <row r="100" spans="1:9" x14ac:dyDescent="0.25">
      <c r="A100">
        <v>48256</v>
      </c>
      <c r="B100">
        <v>18</v>
      </c>
      <c r="C100">
        <v>11</v>
      </c>
      <c r="D100">
        <v>103</v>
      </c>
      <c r="E100" t="s">
        <v>699</v>
      </c>
      <c r="F100">
        <v>236</v>
      </c>
      <c r="G100">
        <v>0.25</v>
      </c>
      <c r="H100" s="4">
        <f t="shared" ca="1" si="1"/>
        <v>305</v>
      </c>
      <c r="I100" s="4">
        <v>25.84</v>
      </c>
    </row>
    <row r="101" spans="1:9" x14ac:dyDescent="0.25">
      <c r="A101">
        <v>48256</v>
      </c>
      <c r="B101">
        <v>21</v>
      </c>
      <c r="C101">
        <v>11</v>
      </c>
      <c r="D101">
        <v>106</v>
      </c>
      <c r="E101" t="s">
        <v>691</v>
      </c>
      <c r="F101">
        <v>64</v>
      </c>
      <c r="G101">
        <v>0.25</v>
      </c>
      <c r="H101" s="4">
        <f t="shared" ca="1" si="1"/>
        <v>139</v>
      </c>
      <c r="I101" s="4">
        <v>26.88</v>
      </c>
    </row>
    <row r="102" spans="1:9" x14ac:dyDescent="0.25">
      <c r="A102">
        <v>96352</v>
      </c>
      <c r="B102">
        <v>34</v>
      </c>
      <c r="C102">
        <v>11</v>
      </c>
      <c r="D102">
        <v>106</v>
      </c>
      <c r="E102" t="s">
        <v>693</v>
      </c>
      <c r="F102">
        <v>19</v>
      </c>
      <c r="G102">
        <v>0.1</v>
      </c>
      <c r="H102" s="4">
        <f t="shared" ca="1" si="1"/>
        <v>60</v>
      </c>
      <c r="I102" s="4">
        <v>21.7</v>
      </c>
    </row>
    <row r="103" spans="1:9" x14ac:dyDescent="0.25">
      <c r="A103">
        <v>96352</v>
      </c>
      <c r="B103">
        <v>13</v>
      </c>
      <c r="C103">
        <v>11</v>
      </c>
      <c r="D103">
        <v>103</v>
      </c>
      <c r="E103" t="s">
        <v>696</v>
      </c>
      <c r="F103">
        <v>166</v>
      </c>
      <c r="G103">
        <v>0.25</v>
      </c>
      <c r="H103" s="4">
        <f t="shared" ca="1" si="1"/>
        <v>264</v>
      </c>
      <c r="I103" s="4">
        <v>44.5</v>
      </c>
    </row>
    <row r="104" spans="1:9" x14ac:dyDescent="0.25">
      <c r="A104">
        <v>48256</v>
      </c>
      <c r="B104">
        <v>70</v>
      </c>
      <c r="C104">
        <v>11</v>
      </c>
      <c r="D104">
        <v>108</v>
      </c>
      <c r="E104" t="s">
        <v>698</v>
      </c>
      <c r="F104">
        <v>149</v>
      </c>
      <c r="G104">
        <v>0.1</v>
      </c>
      <c r="H104" s="4">
        <f t="shared" ca="1" si="1"/>
        <v>268</v>
      </c>
      <c r="I104" s="4">
        <v>83.6</v>
      </c>
    </row>
    <row r="105" spans="1:9" x14ac:dyDescent="0.25">
      <c r="A105">
        <v>96352</v>
      </c>
      <c r="B105">
        <v>19</v>
      </c>
      <c r="C105">
        <v>11</v>
      </c>
      <c r="D105">
        <v>105</v>
      </c>
      <c r="E105" t="s">
        <v>696</v>
      </c>
      <c r="F105">
        <v>15</v>
      </c>
      <c r="G105">
        <v>0</v>
      </c>
      <c r="H105" s="4">
        <f t="shared" ca="1" si="1"/>
        <v>79</v>
      </c>
      <c r="I105" s="4">
        <v>68.06</v>
      </c>
    </row>
    <row r="106" spans="1:9" x14ac:dyDescent="0.25">
      <c r="A106">
        <v>86563</v>
      </c>
      <c r="B106">
        <v>25</v>
      </c>
      <c r="C106">
        <v>11</v>
      </c>
      <c r="D106">
        <v>108</v>
      </c>
      <c r="E106" t="s">
        <v>699</v>
      </c>
      <c r="F106">
        <v>45</v>
      </c>
      <c r="G106">
        <v>0.1</v>
      </c>
      <c r="H106" s="4">
        <f t="shared" ca="1" si="1"/>
        <v>121</v>
      </c>
      <c r="I106" s="4">
        <v>66.8</v>
      </c>
    </row>
    <row r="107" spans="1:9" x14ac:dyDescent="0.25">
      <c r="A107">
        <v>86563</v>
      </c>
      <c r="B107">
        <v>67</v>
      </c>
      <c r="C107">
        <v>11</v>
      </c>
      <c r="D107">
        <v>108</v>
      </c>
      <c r="E107" t="s">
        <v>691</v>
      </c>
      <c r="F107">
        <v>45</v>
      </c>
      <c r="G107">
        <v>0.1</v>
      </c>
      <c r="H107" s="4">
        <f t="shared" ca="1" si="1"/>
        <v>102</v>
      </c>
      <c r="I107" s="4">
        <v>48.3</v>
      </c>
    </row>
    <row r="108" spans="1:9" x14ac:dyDescent="0.25">
      <c r="A108">
        <v>96352</v>
      </c>
      <c r="B108">
        <v>39</v>
      </c>
      <c r="C108">
        <v>11</v>
      </c>
      <c r="D108">
        <v>103</v>
      </c>
      <c r="E108" t="s">
        <v>694</v>
      </c>
      <c r="F108">
        <v>229</v>
      </c>
      <c r="G108">
        <v>0.25</v>
      </c>
      <c r="H108" s="4">
        <f t="shared" ca="1" si="1"/>
        <v>300</v>
      </c>
      <c r="I108" s="4">
        <v>23.8</v>
      </c>
    </row>
    <row r="109" spans="1:9" x14ac:dyDescent="0.25">
      <c r="A109">
        <v>48256</v>
      </c>
      <c r="B109">
        <v>9</v>
      </c>
      <c r="C109">
        <v>11</v>
      </c>
      <c r="D109">
        <v>105</v>
      </c>
      <c r="E109" t="s">
        <v>697</v>
      </c>
      <c r="F109">
        <v>122</v>
      </c>
      <c r="G109">
        <v>0.25</v>
      </c>
      <c r="H109" s="4">
        <f t="shared" ca="1" si="1"/>
        <v>251</v>
      </c>
      <c r="I109" s="4">
        <v>93.96</v>
      </c>
    </row>
    <row r="110" spans="1:9" x14ac:dyDescent="0.25">
      <c r="A110">
        <v>48256</v>
      </c>
      <c r="B110">
        <v>40</v>
      </c>
      <c r="C110">
        <v>11</v>
      </c>
      <c r="D110">
        <v>107</v>
      </c>
      <c r="E110" t="s">
        <v>696</v>
      </c>
      <c r="F110">
        <v>147</v>
      </c>
      <c r="G110">
        <v>0</v>
      </c>
      <c r="H110" s="4">
        <f t="shared" ca="1" si="1"/>
        <v>204</v>
      </c>
      <c r="I110" s="4">
        <v>38.25</v>
      </c>
    </row>
    <row r="111" spans="1:9" x14ac:dyDescent="0.25">
      <c r="A111">
        <v>48256</v>
      </c>
      <c r="B111">
        <v>43</v>
      </c>
      <c r="C111">
        <v>11</v>
      </c>
      <c r="D111">
        <v>106</v>
      </c>
      <c r="E111" t="s">
        <v>698</v>
      </c>
      <c r="F111">
        <v>50</v>
      </c>
      <c r="G111">
        <v>0.1</v>
      </c>
      <c r="H111" s="4">
        <f t="shared" ca="1" si="1"/>
        <v>282</v>
      </c>
      <c r="I111" s="4">
        <v>75.849999999999994</v>
      </c>
    </row>
    <row r="112" spans="1:9" x14ac:dyDescent="0.25">
      <c r="A112">
        <v>86563</v>
      </c>
      <c r="B112">
        <v>43</v>
      </c>
      <c r="C112">
        <v>11</v>
      </c>
      <c r="D112">
        <v>101</v>
      </c>
      <c r="E112" t="s">
        <v>692</v>
      </c>
      <c r="F112">
        <v>170</v>
      </c>
      <c r="G112">
        <v>0</v>
      </c>
      <c r="H112" s="4">
        <f t="shared" ca="1" si="1"/>
        <v>262</v>
      </c>
      <c r="I112" s="4">
        <v>73.14</v>
      </c>
    </row>
    <row r="113" spans="1:9" x14ac:dyDescent="0.25">
      <c r="A113">
        <v>48256</v>
      </c>
      <c r="B113">
        <v>16</v>
      </c>
      <c r="C113">
        <v>11</v>
      </c>
      <c r="D113">
        <v>108</v>
      </c>
      <c r="E113" t="s">
        <v>695</v>
      </c>
      <c r="F113">
        <v>74</v>
      </c>
      <c r="G113">
        <v>0</v>
      </c>
      <c r="H113" s="4">
        <f t="shared" ca="1" si="1"/>
        <v>83</v>
      </c>
      <c r="I113" s="4">
        <v>68.400000000000006</v>
      </c>
    </row>
    <row r="114" spans="1:9" x14ac:dyDescent="0.25">
      <c r="A114">
        <v>86563</v>
      </c>
      <c r="B114">
        <v>20</v>
      </c>
      <c r="C114">
        <v>11</v>
      </c>
      <c r="D114">
        <v>104</v>
      </c>
      <c r="E114" t="s">
        <v>695</v>
      </c>
      <c r="F114">
        <v>30</v>
      </c>
      <c r="G114">
        <v>0.1</v>
      </c>
      <c r="H114" s="4">
        <f t="shared" ca="1" si="1"/>
        <v>76</v>
      </c>
      <c r="I114" s="4">
        <v>18.100000000000001</v>
      </c>
    </row>
    <row r="115" spans="1:9" x14ac:dyDescent="0.25">
      <c r="A115">
        <v>48256</v>
      </c>
      <c r="B115">
        <v>69</v>
      </c>
      <c r="C115">
        <v>11</v>
      </c>
      <c r="D115">
        <v>102</v>
      </c>
      <c r="E115" t="s">
        <v>699</v>
      </c>
      <c r="F115">
        <v>215</v>
      </c>
      <c r="G115">
        <v>0.25</v>
      </c>
      <c r="H115" s="4">
        <f t="shared" ca="1" si="1"/>
        <v>201</v>
      </c>
      <c r="I115" s="4">
        <v>51.46</v>
      </c>
    </row>
    <row r="116" spans="1:9" x14ac:dyDescent="0.25">
      <c r="A116">
        <v>86563</v>
      </c>
      <c r="B116">
        <v>29</v>
      </c>
      <c r="C116">
        <v>11</v>
      </c>
      <c r="D116">
        <v>104</v>
      </c>
      <c r="E116" t="s">
        <v>693</v>
      </c>
      <c r="F116">
        <v>162</v>
      </c>
      <c r="G116">
        <v>0.1</v>
      </c>
      <c r="H116" s="4">
        <f t="shared" ca="1" si="1"/>
        <v>342</v>
      </c>
      <c r="I116" s="4">
        <v>85.8</v>
      </c>
    </row>
    <row r="117" spans="1:9" x14ac:dyDescent="0.25">
      <c r="A117">
        <v>86563</v>
      </c>
      <c r="B117">
        <v>50</v>
      </c>
      <c r="C117">
        <v>11</v>
      </c>
      <c r="D117">
        <v>102</v>
      </c>
      <c r="E117" t="s">
        <v>699</v>
      </c>
      <c r="F117">
        <v>35</v>
      </c>
      <c r="G117">
        <v>0</v>
      </c>
      <c r="H117" s="4">
        <f t="shared" ca="1" si="1"/>
        <v>81</v>
      </c>
      <c r="I117" s="4">
        <v>68.040000000000006</v>
      </c>
    </row>
    <row r="118" spans="1:9" x14ac:dyDescent="0.25">
      <c r="A118">
        <v>48256</v>
      </c>
      <c r="B118">
        <v>59</v>
      </c>
      <c r="C118">
        <v>11</v>
      </c>
      <c r="D118">
        <v>105</v>
      </c>
      <c r="E118" t="s">
        <v>700</v>
      </c>
      <c r="F118">
        <v>49</v>
      </c>
      <c r="G118">
        <v>0</v>
      </c>
      <c r="H118" s="4">
        <f t="shared" ca="1" si="1"/>
        <v>116</v>
      </c>
      <c r="I118" s="4">
        <v>99.55</v>
      </c>
    </row>
    <row r="119" spans="1:9" x14ac:dyDescent="0.25">
      <c r="A119">
        <v>96352</v>
      </c>
      <c r="B119">
        <v>68</v>
      </c>
      <c r="C119">
        <v>11</v>
      </c>
      <c r="D119">
        <v>106</v>
      </c>
      <c r="E119" t="s">
        <v>693</v>
      </c>
      <c r="F119">
        <v>45</v>
      </c>
      <c r="G119">
        <v>0.1</v>
      </c>
      <c r="H119" s="4">
        <f t="shared" ca="1" si="1"/>
        <v>299</v>
      </c>
      <c r="I119" s="4">
        <v>59.4</v>
      </c>
    </row>
    <row r="120" spans="1:9" x14ac:dyDescent="0.25">
      <c r="A120">
        <v>96352</v>
      </c>
      <c r="B120">
        <v>33</v>
      </c>
      <c r="C120">
        <v>11</v>
      </c>
      <c r="D120">
        <v>106</v>
      </c>
      <c r="E120" t="s">
        <v>693</v>
      </c>
      <c r="F120">
        <v>197</v>
      </c>
      <c r="G120">
        <v>0.25</v>
      </c>
      <c r="H120" s="4">
        <f t="shared" ca="1" si="1"/>
        <v>96</v>
      </c>
      <c r="I120" s="4">
        <v>77.28</v>
      </c>
    </row>
    <row r="121" spans="1:9" x14ac:dyDescent="0.25">
      <c r="A121">
        <v>86563</v>
      </c>
      <c r="B121">
        <v>37</v>
      </c>
      <c r="C121">
        <v>11</v>
      </c>
      <c r="D121">
        <v>102</v>
      </c>
      <c r="E121" t="s">
        <v>692</v>
      </c>
      <c r="F121">
        <v>231</v>
      </c>
      <c r="G121">
        <v>0.25</v>
      </c>
      <c r="H121" s="4">
        <f t="shared" ca="1" si="1"/>
        <v>242</v>
      </c>
      <c r="I121" s="4">
        <v>33.799999999999997</v>
      </c>
    </row>
    <row r="122" spans="1:9" x14ac:dyDescent="0.25">
      <c r="A122">
        <v>86563</v>
      </c>
      <c r="B122">
        <v>69</v>
      </c>
      <c r="C122">
        <v>11</v>
      </c>
      <c r="D122">
        <v>104</v>
      </c>
      <c r="E122" t="s">
        <v>692</v>
      </c>
      <c r="F122">
        <v>179</v>
      </c>
      <c r="G122">
        <v>0.1</v>
      </c>
      <c r="H122" s="4">
        <f t="shared" ca="1" si="1"/>
        <v>227</v>
      </c>
      <c r="I122" s="4">
        <v>23.01</v>
      </c>
    </row>
    <row r="123" spans="1:9" x14ac:dyDescent="0.25">
      <c r="A123">
        <v>96352</v>
      </c>
      <c r="B123">
        <v>65</v>
      </c>
      <c r="C123">
        <v>11</v>
      </c>
      <c r="D123">
        <v>104</v>
      </c>
      <c r="E123" t="s">
        <v>690</v>
      </c>
      <c r="F123">
        <v>113</v>
      </c>
      <c r="G123">
        <v>0.1</v>
      </c>
      <c r="H123" s="4">
        <f t="shared" ca="1" si="1"/>
        <v>196</v>
      </c>
      <c r="I123" s="4">
        <v>44</v>
      </c>
    </row>
    <row r="124" spans="1:9" x14ac:dyDescent="0.25">
      <c r="A124">
        <v>96352</v>
      </c>
      <c r="B124">
        <v>10</v>
      </c>
      <c r="C124">
        <v>11</v>
      </c>
      <c r="D124">
        <v>103</v>
      </c>
      <c r="E124" t="s">
        <v>698</v>
      </c>
      <c r="F124">
        <v>119</v>
      </c>
      <c r="G124">
        <v>0.25</v>
      </c>
      <c r="H124" s="4">
        <f t="shared" ca="1" si="1"/>
        <v>153</v>
      </c>
      <c r="I124" s="4">
        <v>59.04</v>
      </c>
    </row>
    <row r="125" spans="1:9" x14ac:dyDescent="0.25">
      <c r="A125">
        <v>48256</v>
      </c>
      <c r="B125">
        <v>19</v>
      </c>
      <c r="C125">
        <v>11</v>
      </c>
      <c r="D125">
        <v>106</v>
      </c>
      <c r="E125" t="s">
        <v>693</v>
      </c>
      <c r="F125">
        <v>86</v>
      </c>
      <c r="G125">
        <v>0</v>
      </c>
      <c r="H125" s="4">
        <f t="shared" ca="1" si="1"/>
        <v>130</v>
      </c>
      <c r="I125" s="4">
        <v>50.88</v>
      </c>
    </row>
    <row r="126" spans="1:9" x14ac:dyDescent="0.25">
      <c r="A126">
        <v>48256</v>
      </c>
      <c r="B126">
        <v>60</v>
      </c>
      <c r="C126">
        <v>11</v>
      </c>
      <c r="D126">
        <v>104</v>
      </c>
      <c r="E126" t="s">
        <v>691</v>
      </c>
      <c r="F126">
        <v>136</v>
      </c>
      <c r="G126">
        <v>0.25</v>
      </c>
      <c r="H126" s="4">
        <f t="shared" ca="1" si="1"/>
        <v>325</v>
      </c>
      <c r="I126" s="4">
        <v>33.880000000000003</v>
      </c>
    </row>
    <row r="127" spans="1:9" x14ac:dyDescent="0.25">
      <c r="A127">
        <v>48256</v>
      </c>
      <c r="B127">
        <v>5</v>
      </c>
      <c r="C127">
        <v>11</v>
      </c>
      <c r="D127">
        <v>107</v>
      </c>
      <c r="E127" t="s">
        <v>698</v>
      </c>
      <c r="F127">
        <v>75</v>
      </c>
      <c r="G127">
        <v>0.25</v>
      </c>
      <c r="H127" s="4">
        <f t="shared" ca="1" si="1"/>
        <v>84</v>
      </c>
      <c r="I127" s="4">
        <v>54.95</v>
      </c>
    </row>
    <row r="128" spans="1:9" x14ac:dyDescent="0.25">
      <c r="A128">
        <v>48256</v>
      </c>
      <c r="B128">
        <v>10</v>
      </c>
      <c r="C128">
        <v>11</v>
      </c>
      <c r="D128">
        <v>108</v>
      </c>
      <c r="E128" t="s">
        <v>696</v>
      </c>
      <c r="F128">
        <v>141</v>
      </c>
      <c r="G128">
        <v>0.1</v>
      </c>
      <c r="H128" s="4">
        <f t="shared" ca="1" si="1"/>
        <v>173</v>
      </c>
      <c r="I128" s="4">
        <v>23.66</v>
      </c>
    </row>
    <row r="129" spans="1:9" x14ac:dyDescent="0.25">
      <c r="A129">
        <v>48256</v>
      </c>
      <c r="B129">
        <v>61</v>
      </c>
      <c r="C129">
        <v>11</v>
      </c>
      <c r="D129">
        <v>103</v>
      </c>
      <c r="E129" t="s">
        <v>697</v>
      </c>
      <c r="F129">
        <v>73</v>
      </c>
      <c r="G129">
        <v>0.25</v>
      </c>
      <c r="H129" s="4">
        <f t="shared" ca="1" si="1"/>
        <v>163</v>
      </c>
      <c r="I129" s="4">
        <v>92.96</v>
      </c>
    </row>
    <row r="130" spans="1:9" x14ac:dyDescent="0.25">
      <c r="A130">
        <v>96352</v>
      </c>
      <c r="B130">
        <v>6</v>
      </c>
      <c r="C130">
        <v>11</v>
      </c>
      <c r="D130">
        <v>108</v>
      </c>
      <c r="E130" t="s">
        <v>694</v>
      </c>
      <c r="F130">
        <v>105</v>
      </c>
      <c r="G130">
        <v>0.1</v>
      </c>
      <c r="H130" s="4">
        <f t="shared" ref="H130:H193" ca="1" si="2">IF(F130&lt;=10,RANDBETWEEN(1,5),IF(F130&lt;=20,RANDBETWEEN(15,80),IF(F130&lt;=30,RANDBETWEEN(23,150),RANDBETWEEN(66,350))))</f>
        <v>307</v>
      </c>
      <c r="I130" s="4">
        <v>93.81</v>
      </c>
    </row>
    <row r="131" spans="1:9" x14ac:dyDescent="0.25">
      <c r="A131">
        <v>96352</v>
      </c>
      <c r="B131">
        <v>1</v>
      </c>
      <c r="C131">
        <v>11</v>
      </c>
      <c r="D131">
        <v>107</v>
      </c>
      <c r="E131" t="s">
        <v>698</v>
      </c>
      <c r="F131">
        <v>111</v>
      </c>
      <c r="G131">
        <v>0.1</v>
      </c>
      <c r="H131" s="4">
        <f t="shared" ca="1" si="2"/>
        <v>253</v>
      </c>
      <c r="I131" s="4">
        <v>35.07</v>
      </c>
    </row>
    <row r="132" spans="1:9" x14ac:dyDescent="0.25">
      <c r="A132">
        <v>48256</v>
      </c>
      <c r="B132">
        <v>11</v>
      </c>
      <c r="C132">
        <v>11</v>
      </c>
      <c r="D132">
        <v>107</v>
      </c>
      <c r="E132" t="s">
        <v>695</v>
      </c>
      <c r="F132">
        <v>13</v>
      </c>
      <c r="G132">
        <v>0.25</v>
      </c>
      <c r="H132" s="4">
        <f t="shared" ca="1" si="2"/>
        <v>21</v>
      </c>
      <c r="I132" s="4">
        <v>23.8</v>
      </c>
    </row>
    <row r="133" spans="1:9" x14ac:dyDescent="0.25">
      <c r="A133">
        <v>86563</v>
      </c>
      <c r="B133">
        <v>50</v>
      </c>
      <c r="C133">
        <v>11</v>
      </c>
      <c r="D133">
        <v>108</v>
      </c>
      <c r="E133" t="s">
        <v>692</v>
      </c>
      <c r="F133">
        <v>124</v>
      </c>
      <c r="G133">
        <v>0.25</v>
      </c>
      <c r="H133" s="4">
        <f t="shared" ca="1" si="2"/>
        <v>213</v>
      </c>
      <c r="I133" s="4">
        <v>70.11</v>
      </c>
    </row>
    <row r="134" spans="1:9" x14ac:dyDescent="0.25">
      <c r="A134">
        <v>96352</v>
      </c>
      <c r="B134">
        <v>65</v>
      </c>
      <c r="C134">
        <v>11</v>
      </c>
      <c r="D134">
        <v>106</v>
      </c>
      <c r="E134" t="s">
        <v>700</v>
      </c>
      <c r="F134">
        <v>181</v>
      </c>
      <c r="G134">
        <v>0.25</v>
      </c>
      <c r="H134" s="4">
        <f t="shared" ca="1" si="2"/>
        <v>147</v>
      </c>
      <c r="I134" s="4">
        <v>97.2</v>
      </c>
    </row>
    <row r="135" spans="1:9" x14ac:dyDescent="0.25">
      <c r="A135">
        <v>86563</v>
      </c>
      <c r="B135">
        <v>14</v>
      </c>
      <c r="C135">
        <v>11</v>
      </c>
      <c r="D135">
        <v>105</v>
      </c>
      <c r="E135" t="s">
        <v>695</v>
      </c>
      <c r="F135">
        <v>76</v>
      </c>
      <c r="G135">
        <v>0.1</v>
      </c>
      <c r="H135" s="4">
        <f t="shared" ca="1" si="2"/>
        <v>82</v>
      </c>
      <c r="I135" s="4">
        <v>48</v>
      </c>
    </row>
    <row r="136" spans="1:9" x14ac:dyDescent="0.25">
      <c r="A136">
        <v>96352</v>
      </c>
      <c r="B136">
        <v>37</v>
      </c>
      <c r="C136">
        <v>11</v>
      </c>
      <c r="D136">
        <v>104</v>
      </c>
      <c r="E136" t="s">
        <v>700</v>
      </c>
      <c r="F136">
        <v>98</v>
      </c>
      <c r="G136">
        <v>0.25</v>
      </c>
      <c r="H136" s="4">
        <f t="shared" ca="1" si="2"/>
        <v>251</v>
      </c>
      <c r="I136" s="4">
        <v>56.88</v>
      </c>
    </row>
    <row r="137" spans="1:9" x14ac:dyDescent="0.25">
      <c r="A137">
        <v>48256</v>
      </c>
      <c r="B137">
        <v>11</v>
      </c>
      <c r="C137">
        <v>11</v>
      </c>
      <c r="D137">
        <v>103</v>
      </c>
      <c r="E137" t="s">
        <v>695</v>
      </c>
      <c r="F137">
        <v>121</v>
      </c>
      <c r="G137">
        <v>0.1</v>
      </c>
      <c r="H137" s="4">
        <f t="shared" ca="1" si="2"/>
        <v>102</v>
      </c>
      <c r="I137" s="4">
        <v>27.9</v>
      </c>
    </row>
    <row r="138" spans="1:9" x14ac:dyDescent="0.25">
      <c r="A138">
        <v>96352</v>
      </c>
      <c r="B138">
        <v>52</v>
      </c>
      <c r="C138">
        <v>11</v>
      </c>
      <c r="D138">
        <v>104</v>
      </c>
      <c r="E138" t="s">
        <v>691</v>
      </c>
      <c r="F138">
        <v>34</v>
      </c>
      <c r="G138">
        <v>0</v>
      </c>
      <c r="H138" s="4">
        <f t="shared" ca="1" si="2"/>
        <v>346</v>
      </c>
      <c r="I138" s="4">
        <v>33.880000000000003</v>
      </c>
    </row>
    <row r="139" spans="1:9" x14ac:dyDescent="0.25">
      <c r="A139">
        <v>86563</v>
      </c>
      <c r="B139">
        <v>46</v>
      </c>
      <c r="C139">
        <v>11</v>
      </c>
      <c r="D139">
        <v>106</v>
      </c>
      <c r="E139" t="s">
        <v>699</v>
      </c>
      <c r="F139">
        <v>10</v>
      </c>
      <c r="G139">
        <v>0.1</v>
      </c>
      <c r="H139" s="4">
        <f t="shared" ca="1" si="2"/>
        <v>4</v>
      </c>
      <c r="I139" s="4">
        <v>96.72</v>
      </c>
    </row>
    <row r="140" spans="1:9" x14ac:dyDescent="0.25">
      <c r="A140">
        <v>48256</v>
      </c>
      <c r="B140">
        <v>36</v>
      </c>
      <c r="C140">
        <v>11</v>
      </c>
      <c r="D140">
        <v>106</v>
      </c>
      <c r="E140" t="s">
        <v>694</v>
      </c>
      <c r="F140">
        <v>8</v>
      </c>
      <c r="G140">
        <v>0.1</v>
      </c>
      <c r="H140" s="4">
        <f t="shared" ca="1" si="2"/>
        <v>1</v>
      </c>
      <c r="I140" s="4">
        <v>80.959999999999994</v>
      </c>
    </row>
    <row r="141" spans="1:9" x14ac:dyDescent="0.25">
      <c r="A141">
        <v>96352</v>
      </c>
      <c r="B141">
        <v>63</v>
      </c>
      <c r="C141">
        <v>11</v>
      </c>
      <c r="D141">
        <v>108</v>
      </c>
      <c r="E141" t="s">
        <v>692</v>
      </c>
      <c r="F141">
        <v>133</v>
      </c>
      <c r="G141">
        <v>0.25</v>
      </c>
      <c r="H141" s="4">
        <f t="shared" ca="1" si="2"/>
        <v>304</v>
      </c>
      <c r="I141" s="4">
        <v>96.28</v>
      </c>
    </row>
    <row r="142" spans="1:9" x14ac:dyDescent="0.25">
      <c r="A142">
        <v>96352</v>
      </c>
      <c r="B142">
        <v>43</v>
      </c>
      <c r="C142">
        <v>11</v>
      </c>
      <c r="D142">
        <v>107</v>
      </c>
      <c r="E142" t="s">
        <v>694</v>
      </c>
      <c r="F142">
        <v>119</v>
      </c>
      <c r="G142">
        <v>0.25</v>
      </c>
      <c r="H142" s="4">
        <f t="shared" ca="1" si="2"/>
        <v>131</v>
      </c>
      <c r="I142" s="4">
        <v>75.44</v>
      </c>
    </row>
    <row r="143" spans="1:9" x14ac:dyDescent="0.25">
      <c r="A143">
        <v>96352</v>
      </c>
      <c r="B143">
        <v>13</v>
      </c>
      <c r="C143">
        <v>11</v>
      </c>
      <c r="D143">
        <v>102</v>
      </c>
      <c r="E143" t="s">
        <v>692</v>
      </c>
      <c r="F143">
        <v>168</v>
      </c>
      <c r="G143">
        <v>0.25</v>
      </c>
      <c r="H143" s="4">
        <f t="shared" ca="1" si="2"/>
        <v>292</v>
      </c>
      <c r="I143" s="4">
        <v>18.260000000000002</v>
      </c>
    </row>
    <row r="144" spans="1:9" x14ac:dyDescent="0.25">
      <c r="A144">
        <v>48256</v>
      </c>
      <c r="B144">
        <v>55</v>
      </c>
      <c r="C144">
        <v>11</v>
      </c>
      <c r="D144">
        <v>105</v>
      </c>
      <c r="E144" t="s">
        <v>690</v>
      </c>
      <c r="F144">
        <v>153</v>
      </c>
      <c r="G144">
        <v>0.25</v>
      </c>
      <c r="H144" s="4">
        <f t="shared" ca="1" si="2"/>
        <v>286</v>
      </c>
      <c r="I144" s="4">
        <v>56.4</v>
      </c>
    </row>
    <row r="145" spans="1:9" x14ac:dyDescent="0.25">
      <c r="A145">
        <v>48256</v>
      </c>
      <c r="B145">
        <v>53</v>
      </c>
      <c r="C145">
        <v>11</v>
      </c>
      <c r="D145">
        <v>102</v>
      </c>
      <c r="E145" t="s">
        <v>698</v>
      </c>
      <c r="F145">
        <v>47</v>
      </c>
      <c r="G145">
        <v>0.25</v>
      </c>
      <c r="H145" s="4">
        <f t="shared" ca="1" si="2"/>
        <v>259</v>
      </c>
      <c r="I145" s="4">
        <v>38.409999999999997</v>
      </c>
    </row>
    <row r="146" spans="1:9" x14ac:dyDescent="0.25">
      <c r="A146">
        <v>96352</v>
      </c>
      <c r="B146">
        <v>65</v>
      </c>
      <c r="C146">
        <v>11</v>
      </c>
      <c r="D146">
        <v>106</v>
      </c>
      <c r="E146" t="s">
        <v>699</v>
      </c>
      <c r="F146">
        <v>89</v>
      </c>
      <c r="G146">
        <v>0.1</v>
      </c>
      <c r="H146" s="4">
        <f t="shared" ca="1" si="2"/>
        <v>236</v>
      </c>
      <c r="I146" s="4">
        <v>69.56</v>
      </c>
    </row>
    <row r="147" spans="1:9" x14ac:dyDescent="0.25">
      <c r="A147">
        <v>48256</v>
      </c>
      <c r="B147">
        <v>48</v>
      </c>
      <c r="C147">
        <v>11</v>
      </c>
      <c r="D147">
        <v>108</v>
      </c>
      <c r="E147" t="s">
        <v>694</v>
      </c>
      <c r="F147">
        <v>205</v>
      </c>
      <c r="G147">
        <v>0.25</v>
      </c>
      <c r="H147" s="4">
        <f t="shared" ca="1" si="2"/>
        <v>280</v>
      </c>
      <c r="I147" s="4">
        <v>68.8</v>
      </c>
    </row>
    <row r="148" spans="1:9" x14ac:dyDescent="0.25">
      <c r="A148">
        <v>48256</v>
      </c>
      <c r="B148">
        <v>47</v>
      </c>
      <c r="C148">
        <v>11</v>
      </c>
      <c r="D148">
        <v>108</v>
      </c>
      <c r="E148" t="s">
        <v>691</v>
      </c>
      <c r="F148">
        <v>194</v>
      </c>
      <c r="G148">
        <v>0.25</v>
      </c>
      <c r="H148" s="4">
        <f t="shared" ca="1" si="2"/>
        <v>119</v>
      </c>
      <c r="I148" s="4">
        <v>107.88</v>
      </c>
    </row>
    <row r="149" spans="1:9" x14ac:dyDescent="0.25">
      <c r="A149">
        <v>48256</v>
      </c>
      <c r="B149">
        <v>66</v>
      </c>
      <c r="C149">
        <v>11</v>
      </c>
      <c r="D149">
        <v>103</v>
      </c>
      <c r="E149" t="s">
        <v>696</v>
      </c>
      <c r="F149">
        <v>57</v>
      </c>
      <c r="G149">
        <v>0</v>
      </c>
      <c r="H149" s="4">
        <f t="shared" ca="1" si="2"/>
        <v>263</v>
      </c>
      <c r="I149" s="4">
        <v>28.9</v>
      </c>
    </row>
    <row r="150" spans="1:9" x14ac:dyDescent="0.25">
      <c r="A150">
        <v>96352</v>
      </c>
      <c r="B150">
        <v>47</v>
      </c>
      <c r="C150">
        <v>11</v>
      </c>
      <c r="D150">
        <v>106</v>
      </c>
      <c r="E150" t="s">
        <v>694</v>
      </c>
      <c r="F150">
        <v>144</v>
      </c>
      <c r="G150">
        <v>0.1</v>
      </c>
      <c r="H150" s="4">
        <f t="shared" ca="1" si="2"/>
        <v>70</v>
      </c>
      <c r="I150" s="4">
        <v>46.11</v>
      </c>
    </row>
    <row r="151" spans="1:9" x14ac:dyDescent="0.25">
      <c r="A151">
        <v>96352</v>
      </c>
      <c r="B151">
        <v>9</v>
      </c>
      <c r="C151">
        <v>11</v>
      </c>
      <c r="D151">
        <v>108</v>
      </c>
      <c r="E151" t="s">
        <v>700</v>
      </c>
      <c r="F151">
        <v>221</v>
      </c>
      <c r="G151">
        <v>0.25</v>
      </c>
      <c r="H151" s="4">
        <f t="shared" ca="1" si="2"/>
        <v>67</v>
      </c>
      <c r="I151" s="4">
        <v>27.75</v>
      </c>
    </row>
    <row r="152" spans="1:9" x14ac:dyDescent="0.25">
      <c r="A152">
        <v>96352</v>
      </c>
      <c r="B152">
        <v>57</v>
      </c>
      <c r="C152">
        <v>11</v>
      </c>
      <c r="D152">
        <v>108</v>
      </c>
      <c r="E152" t="s">
        <v>694</v>
      </c>
      <c r="F152">
        <v>249</v>
      </c>
      <c r="G152">
        <v>0.25</v>
      </c>
      <c r="H152" s="4">
        <f t="shared" ca="1" si="2"/>
        <v>191</v>
      </c>
      <c r="I152" s="4">
        <v>80.37</v>
      </c>
    </row>
    <row r="153" spans="1:9" x14ac:dyDescent="0.25">
      <c r="A153">
        <v>86563</v>
      </c>
      <c r="B153">
        <v>44</v>
      </c>
      <c r="C153">
        <v>11</v>
      </c>
      <c r="D153">
        <v>108</v>
      </c>
      <c r="E153" t="s">
        <v>698</v>
      </c>
      <c r="F153">
        <v>217</v>
      </c>
      <c r="G153">
        <v>0.1</v>
      </c>
      <c r="H153" s="4">
        <f t="shared" ca="1" si="2"/>
        <v>236</v>
      </c>
      <c r="I153" s="4">
        <v>47.32</v>
      </c>
    </row>
    <row r="154" spans="1:9" x14ac:dyDescent="0.25">
      <c r="A154">
        <v>48256</v>
      </c>
      <c r="B154">
        <v>30</v>
      </c>
      <c r="C154">
        <v>11</v>
      </c>
      <c r="D154">
        <v>107</v>
      </c>
      <c r="E154" t="s">
        <v>697</v>
      </c>
      <c r="F154">
        <v>5</v>
      </c>
      <c r="G154">
        <v>0.25</v>
      </c>
      <c r="H154" s="4">
        <f t="shared" ca="1" si="2"/>
        <v>4</v>
      </c>
      <c r="I154" s="4">
        <v>56.73</v>
      </c>
    </row>
    <row r="155" spans="1:9" x14ac:dyDescent="0.25">
      <c r="A155">
        <v>48256</v>
      </c>
      <c r="B155">
        <v>53</v>
      </c>
      <c r="C155">
        <v>11</v>
      </c>
      <c r="D155">
        <v>103</v>
      </c>
      <c r="E155" t="s">
        <v>691</v>
      </c>
      <c r="F155">
        <v>134</v>
      </c>
      <c r="G155">
        <v>0.25</v>
      </c>
      <c r="H155" s="4">
        <f t="shared" ca="1" si="2"/>
        <v>316</v>
      </c>
      <c r="I155" s="4">
        <v>37.200000000000003</v>
      </c>
    </row>
    <row r="156" spans="1:9" x14ac:dyDescent="0.25">
      <c r="A156">
        <v>86563</v>
      </c>
      <c r="B156">
        <v>40</v>
      </c>
      <c r="C156">
        <v>11</v>
      </c>
      <c r="D156">
        <v>102</v>
      </c>
      <c r="E156" t="s">
        <v>699</v>
      </c>
      <c r="F156">
        <v>37</v>
      </c>
      <c r="G156">
        <v>0.1</v>
      </c>
      <c r="H156" s="4">
        <f t="shared" ca="1" si="2"/>
        <v>109</v>
      </c>
      <c r="I156" s="4">
        <v>61.05</v>
      </c>
    </row>
    <row r="157" spans="1:9" x14ac:dyDescent="0.25">
      <c r="A157">
        <v>48256</v>
      </c>
      <c r="B157">
        <v>20</v>
      </c>
      <c r="C157">
        <v>11</v>
      </c>
      <c r="D157">
        <v>106</v>
      </c>
      <c r="E157" t="s">
        <v>699</v>
      </c>
      <c r="F157">
        <v>111</v>
      </c>
      <c r="G157">
        <v>0.1</v>
      </c>
      <c r="H157" s="4">
        <f t="shared" ca="1" si="2"/>
        <v>134</v>
      </c>
      <c r="I157" s="4">
        <v>79.12</v>
      </c>
    </row>
    <row r="158" spans="1:9" x14ac:dyDescent="0.25">
      <c r="A158">
        <v>48256</v>
      </c>
      <c r="B158">
        <v>10</v>
      </c>
      <c r="C158">
        <v>11</v>
      </c>
      <c r="D158">
        <v>102</v>
      </c>
      <c r="E158" t="s">
        <v>690</v>
      </c>
      <c r="F158">
        <v>19</v>
      </c>
      <c r="G158">
        <v>0.25</v>
      </c>
      <c r="H158" s="4">
        <f t="shared" ca="1" si="2"/>
        <v>65</v>
      </c>
      <c r="I158" s="4">
        <v>54.78</v>
      </c>
    </row>
    <row r="159" spans="1:9" x14ac:dyDescent="0.25">
      <c r="A159">
        <v>86563</v>
      </c>
      <c r="B159">
        <v>32</v>
      </c>
      <c r="C159">
        <v>11</v>
      </c>
      <c r="D159">
        <v>108</v>
      </c>
      <c r="E159" t="s">
        <v>694</v>
      </c>
      <c r="F159">
        <v>44</v>
      </c>
      <c r="G159">
        <v>0.25</v>
      </c>
      <c r="H159" s="4">
        <f t="shared" ca="1" si="2"/>
        <v>157</v>
      </c>
      <c r="I159" s="4">
        <v>50.49</v>
      </c>
    </row>
    <row r="160" spans="1:9" x14ac:dyDescent="0.25">
      <c r="A160">
        <v>48256</v>
      </c>
      <c r="B160">
        <v>15</v>
      </c>
      <c r="C160">
        <v>11</v>
      </c>
      <c r="D160">
        <v>106</v>
      </c>
      <c r="E160" t="s">
        <v>700</v>
      </c>
      <c r="F160">
        <v>96</v>
      </c>
      <c r="G160">
        <v>0.25</v>
      </c>
      <c r="H160" s="4">
        <f t="shared" ca="1" si="2"/>
        <v>180</v>
      </c>
      <c r="I160" s="4">
        <v>41</v>
      </c>
    </row>
    <row r="161" spans="1:9" x14ac:dyDescent="0.25">
      <c r="A161">
        <v>96352</v>
      </c>
      <c r="B161">
        <v>60</v>
      </c>
      <c r="C161">
        <v>11</v>
      </c>
      <c r="D161">
        <v>107</v>
      </c>
      <c r="E161" t="s">
        <v>700</v>
      </c>
      <c r="F161">
        <v>94</v>
      </c>
      <c r="G161">
        <v>0</v>
      </c>
      <c r="H161" s="4">
        <f t="shared" ca="1" si="2"/>
        <v>134</v>
      </c>
      <c r="I161" s="4">
        <v>41.52</v>
      </c>
    </row>
    <row r="162" spans="1:9" x14ac:dyDescent="0.25">
      <c r="A162">
        <v>96352</v>
      </c>
      <c r="B162">
        <v>47</v>
      </c>
      <c r="C162">
        <v>11</v>
      </c>
      <c r="D162">
        <v>103</v>
      </c>
      <c r="E162" t="s">
        <v>696</v>
      </c>
      <c r="F162">
        <v>89</v>
      </c>
      <c r="G162">
        <v>0.25</v>
      </c>
      <c r="H162" s="4">
        <f t="shared" ca="1" si="2"/>
        <v>240</v>
      </c>
      <c r="I162" s="4">
        <v>64.680000000000007</v>
      </c>
    </row>
    <row r="163" spans="1:9" x14ac:dyDescent="0.25">
      <c r="A163">
        <v>86563</v>
      </c>
      <c r="B163">
        <v>37</v>
      </c>
      <c r="C163">
        <v>11</v>
      </c>
      <c r="D163">
        <v>105</v>
      </c>
      <c r="E163" t="s">
        <v>697</v>
      </c>
      <c r="F163">
        <v>212</v>
      </c>
      <c r="G163">
        <v>0</v>
      </c>
      <c r="H163" s="4">
        <f t="shared" ca="1" si="2"/>
        <v>235</v>
      </c>
      <c r="I163" s="4">
        <v>87.36</v>
      </c>
    </row>
    <row r="164" spans="1:9" x14ac:dyDescent="0.25">
      <c r="A164">
        <v>48256</v>
      </c>
      <c r="B164">
        <v>36</v>
      </c>
      <c r="C164">
        <v>11</v>
      </c>
      <c r="D164">
        <v>102</v>
      </c>
      <c r="E164" t="s">
        <v>700</v>
      </c>
      <c r="F164">
        <v>14</v>
      </c>
      <c r="G164">
        <v>0.25</v>
      </c>
      <c r="H164" s="4">
        <f t="shared" ca="1" si="2"/>
        <v>31</v>
      </c>
      <c r="I164" s="4">
        <v>26.4</v>
      </c>
    </row>
    <row r="165" spans="1:9" x14ac:dyDescent="0.25">
      <c r="A165">
        <v>86563</v>
      </c>
      <c r="B165">
        <v>7</v>
      </c>
      <c r="C165">
        <v>11</v>
      </c>
      <c r="D165">
        <v>103</v>
      </c>
      <c r="E165" t="s">
        <v>696</v>
      </c>
      <c r="F165">
        <v>212</v>
      </c>
      <c r="G165">
        <v>0.1</v>
      </c>
      <c r="H165" s="4">
        <f t="shared" ca="1" si="2"/>
        <v>145</v>
      </c>
      <c r="I165" s="4">
        <v>84.48</v>
      </c>
    </row>
    <row r="166" spans="1:9" x14ac:dyDescent="0.25">
      <c r="A166">
        <v>96352</v>
      </c>
      <c r="B166">
        <v>37</v>
      </c>
      <c r="C166">
        <v>11</v>
      </c>
      <c r="D166">
        <v>108</v>
      </c>
      <c r="E166" t="s">
        <v>692</v>
      </c>
      <c r="F166">
        <v>77</v>
      </c>
      <c r="G166">
        <v>0.1</v>
      </c>
      <c r="H166" s="4">
        <f t="shared" ca="1" si="2"/>
        <v>136</v>
      </c>
      <c r="I166" s="4">
        <v>85.17</v>
      </c>
    </row>
    <row r="167" spans="1:9" x14ac:dyDescent="0.25">
      <c r="A167">
        <v>86563</v>
      </c>
      <c r="B167">
        <v>17</v>
      </c>
      <c r="C167">
        <v>11</v>
      </c>
      <c r="D167">
        <v>108</v>
      </c>
      <c r="E167" t="s">
        <v>696</v>
      </c>
      <c r="F167">
        <v>132</v>
      </c>
      <c r="G167">
        <v>0.25</v>
      </c>
      <c r="H167" s="4">
        <f t="shared" ca="1" si="2"/>
        <v>257</v>
      </c>
      <c r="I167" s="4">
        <v>61.54</v>
      </c>
    </row>
    <row r="168" spans="1:9" x14ac:dyDescent="0.25">
      <c r="A168">
        <v>96352</v>
      </c>
      <c r="B168">
        <v>10</v>
      </c>
      <c r="C168">
        <v>11</v>
      </c>
      <c r="D168">
        <v>102</v>
      </c>
      <c r="E168" t="s">
        <v>698</v>
      </c>
      <c r="F168">
        <v>146</v>
      </c>
      <c r="G168">
        <v>0.1</v>
      </c>
      <c r="H168" s="4">
        <f t="shared" ca="1" si="2"/>
        <v>221</v>
      </c>
      <c r="I168" s="4">
        <v>22.65</v>
      </c>
    </row>
    <row r="169" spans="1:9" x14ac:dyDescent="0.25">
      <c r="A169">
        <v>96352</v>
      </c>
      <c r="B169">
        <v>17</v>
      </c>
      <c r="C169">
        <v>11</v>
      </c>
      <c r="D169">
        <v>107</v>
      </c>
      <c r="E169" t="s">
        <v>695</v>
      </c>
      <c r="F169">
        <v>151</v>
      </c>
      <c r="G169">
        <v>0.1</v>
      </c>
      <c r="H169" s="4">
        <f t="shared" ca="1" si="2"/>
        <v>208</v>
      </c>
      <c r="I169" s="4">
        <v>84.6</v>
      </c>
    </row>
    <row r="170" spans="1:9" x14ac:dyDescent="0.25">
      <c r="A170">
        <v>86563</v>
      </c>
      <c r="B170">
        <v>62</v>
      </c>
      <c r="C170">
        <v>11</v>
      </c>
      <c r="D170">
        <v>103</v>
      </c>
      <c r="E170" t="s">
        <v>691</v>
      </c>
      <c r="F170">
        <v>237</v>
      </c>
      <c r="G170">
        <v>0.25</v>
      </c>
      <c r="H170" s="4">
        <f t="shared" ca="1" si="2"/>
        <v>350</v>
      </c>
      <c r="I170" s="4">
        <v>106.4</v>
      </c>
    </row>
    <row r="171" spans="1:9" x14ac:dyDescent="0.25">
      <c r="A171">
        <v>86563</v>
      </c>
      <c r="B171">
        <v>13</v>
      </c>
      <c r="C171">
        <v>11</v>
      </c>
      <c r="D171">
        <v>105</v>
      </c>
      <c r="E171" t="s">
        <v>695</v>
      </c>
      <c r="F171">
        <v>18</v>
      </c>
      <c r="G171">
        <v>0</v>
      </c>
      <c r="H171" s="4">
        <f t="shared" ca="1" si="2"/>
        <v>46</v>
      </c>
      <c r="I171" s="4">
        <v>51.15</v>
      </c>
    </row>
    <row r="172" spans="1:9" x14ac:dyDescent="0.25">
      <c r="A172">
        <v>86563</v>
      </c>
      <c r="B172">
        <v>10</v>
      </c>
      <c r="C172">
        <v>11</v>
      </c>
      <c r="D172">
        <v>108</v>
      </c>
      <c r="E172" t="s">
        <v>698</v>
      </c>
      <c r="F172">
        <v>68</v>
      </c>
      <c r="G172">
        <v>0.1</v>
      </c>
      <c r="H172" s="4">
        <f t="shared" ca="1" si="2"/>
        <v>243</v>
      </c>
      <c r="I172" s="4">
        <v>40.299999999999997</v>
      </c>
    </row>
    <row r="173" spans="1:9" x14ac:dyDescent="0.25">
      <c r="A173">
        <v>96352</v>
      </c>
      <c r="B173">
        <v>19</v>
      </c>
      <c r="C173">
        <v>11</v>
      </c>
      <c r="D173">
        <v>101</v>
      </c>
      <c r="E173" t="s">
        <v>690</v>
      </c>
      <c r="F173">
        <v>188</v>
      </c>
      <c r="G173">
        <v>0.25</v>
      </c>
      <c r="H173" s="4">
        <f t="shared" ca="1" si="2"/>
        <v>193</v>
      </c>
      <c r="I173" s="4">
        <v>40.04</v>
      </c>
    </row>
    <row r="174" spans="1:9" x14ac:dyDescent="0.25">
      <c r="A174">
        <v>96352</v>
      </c>
      <c r="B174">
        <v>41</v>
      </c>
      <c r="C174">
        <v>11</v>
      </c>
      <c r="D174">
        <v>103</v>
      </c>
      <c r="E174" t="s">
        <v>697</v>
      </c>
      <c r="F174">
        <v>249</v>
      </c>
      <c r="G174">
        <v>0.25</v>
      </c>
      <c r="H174" s="4">
        <f t="shared" ca="1" si="2"/>
        <v>161</v>
      </c>
      <c r="I174" s="4">
        <v>59.67</v>
      </c>
    </row>
    <row r="175" spans="1:9" x14ac:dyDescent="0.25">
      <c r="A175">
        <v>48256</v>
      </c>
      <c r="B175">
        <v>13</v>
      </c>
      <c r="C175">
        <v>11</v>
      </c>
      <c r="D175">
        <v>101</v>
      </c>
      <c r="E175" t="s">
        <v>696</v>
      </c>
      <c r="F175">
        <v>31</v>
      </c>
      <c r="G175">
        <v>0.1</v>
      </c>
      <c r="H175" s="4">
        <f t="shared" ca="1" si="2"/>
        <v>166</v>
      </c>
      <c r="I175" s="4">
        <v>24.64</v>
      </c>
    </row>
    <row r="176" spans="1:9" x14ac:dyDescent="0.25">
      <c r="A176">
        <v>48256</v>
      </c>
      <c r="B176">
        <v>3</v>
      </c>
      <c r="C176">
        <v>11</v>
      </c>
      <c r="D176">
        <v>106</v>
      </c>
      <c r="E176" t="s">
        <v>694</v>
      </c>
      <c r="F176">
        <v>143</v>
      </c>
      <c r="G176">
        <v>0</v>
      </c>
      <c r="H176" s="4">
        <f t="shared" ca="1" si="2"/>
        <v>240</v>
      </c>
      <c r="I176" s="4">
        <v>56.11</v>
      </c>
    </row>
    <row r="177" spans="1:9" x14ac:dyDescent="0.25">
      <c r="A177">
        <v>86563</v>
      </c>
      <c r="B177">
        <v>60</v>
      </c>
      <c r="C177">
        <v>11</v>
      </c>
      <c r="D177">
        <v>105</v>
      </c>
      <c r="E177" t="s">
        <v>690</v>
      </c>
      <c r="F177">
        <v>182</v>
      </c>
      <c r="G177">
        <v>0.1</v>
      </c>
      <c r="H177" s="4">
        <f t="shared" ca="1" si="2"/>
        <v>114</v>
      </c>
      <c r="I177" s="4">
        <v>28.64</v>
      </c>
    </row>
    <row r="178" spans="1:9" x14ac:dyDescent="0.25">
      <c r="A178">
        <v>96352</v>
      </c>
      <c r="B178">
        <v>26</v>
      </c>
      <c r="C178">
        <v>11</v>
      </c>
      <c r="D178">
        <v>107</v>
      </c>
      <c r="E178" t="s">
        <v>698</v>
      </c>
      <c r="F178">
        <v>168</v>
      </c>
      <c r="G178">
        <v>0</v>
      </c>
      <c r="H178" s="4">
        <f t="shared" ca="1" si="2"/>
        <v>291</v>
      </c>
      <c r="I178" s="4">
        <v>32.200000000000003</v>
      </c>
    </row>
    <row r="179" spans="1:9" x14ac:dyDescent="0.25">
      <c r="A179">
        <v>96352</v>
      </c>
      <c r="B179">
        <v>46</v>
      </c>
      <c r="C179">
        <v>11</v>
      </c>
      <c r="D179">
        <v>104</v>
      </c>
      <c r="E179" t="s">
        <v>694</v>
      </c>
      <c r="F179">
        <v>241</v>
      </c>
      <c r="G179">
        <v>0.25</v>
      </c>
      <c r="H179" s="4">
        <f t="shared" ca="1" si="2"/>
        <v>294</v>
      </c>
      <c r="I179" s="4">
        <v>54.6</v>
      </c>
    </row>
    <row r="180" spans="1:9" x14ac:dyDescent="0.25">
      <c r="A180">
        <v>96352</v>
      </c>
      <c r="B180">
        <v>30</v>
      </c>
      <c r="C180">
        <v>11</v>
      </c>
      <c r="D180">
        <v>103</v>
      </c>
      <c r="E180" t="s">
        <v>690</v>
      </c>
      <c r="F180">
        <v>42</v>
      </c>
      <c r="G180">
        <v>0.25</v>
      </c>
      <c r="H180" s="4">
        <f t="shared" ca="1" si="2"/>
        <v>186</v>
      </c>
      <c r="I180" s="4">
        <v>34.86</v>
      </c>
    </row>
    <row r="181" spans="1:9" x14ac:dyDescent="0.25">
      <c r="A181">
        <v>96352</v>
      </c>
      <c r="B181">
        <v>3</v>
      </c>
      <c r="C181">
        <v>11</v>
      </c>
      <c r="D181">
        <v>104</v>
      </c>
      <c r="E181" t="s">
        <v>699</v>
      </c>
      <c r="F181">
        <v>70</v>
      </c>
      <c r="G181">
        <v>0</v>
      </c>
      <c r="H181" s="4">
        <f t="shared" ca="1" si="2"/>
        <v>98</v>
      </c>
      <c r="I181" s="4">
        <v>21.6</v>
      </c>
    </row>
    <row r="182" spans="1:9" x14ac:dyDescent="0.25">
      <c r="A182">
        <v>86563</v>
      </c>
      <c r="B182">
        <v>25</v>
      </c>
      <c r="C182">
        <v>11</v>
      </c>
      <c r="D182">
        <v>106</v>
      </c>
      <c r="E182" t="s">
        <v>690</v>
      </c>
      <c r="F182">
        <v>78</v>
      </c>
      <c r="G182">
        <v>0.1</v>
      </c>
      <c r="H182" s="4">
        <f t="shared" ca="1" si="2"/>
        <v>190</v>
      </c>
      <c r="I182" s="4">
        <v>43.5</v>
      </c>
    </row>
    <row r="183" spans="1:9" x14ac:dyDescent="0.25">
      <c r="A183">
        <v>48256</v>
      </c>
      <c r="B183">
        <v>29</v>
      </c>
      <c r="C183">
        <v>11</v>
      </c>
      <c r="D183">
        <v>106</v>
      </c>
      <c r="E183" t="s">
        <v>690</v>
      </c>
      <c r="F183">
        <v>229</v>
      </c>
      <c r="G183">
        <v>0</v>
      </c>
      <c r="H183" s="4">
        <f t="shared" ca="1" si="2"/>
        <v>323</v>
      </c>
      <c r="I183" s="4">
        <v>96.39</v>
      </c>
    </row>
    <row r="184" spans="1:9" x14ac:dyDescent="0.25">
      <c r="A184">
        <v>48256</v>
      </c>
      <c r="B184">
        <v>26</v>
      </c>
      <c r="C184">
        <v>11</v>
      </c>
      <c r="D184">
        <v>105</v>
      </c>
      <c r="E184" t="s">
        <v>695</v>
      </c>
      <c r="F184">
        <v>198</v>
      </c>
      <c r="G184">
        <v>0.1</v>
      </c>
      <c r="H184" s="4">
        <f t="shared" ca="1" si="2"/>
        <v>203</v>
      </c>
      <c r="I184" s="4">
        <v>73.989999999999995</v>
      </c>
    </row>
    <row r="185" spans="1:9" x14ac:dyDescent="0.25">
      <c r="A185">
        <v>96352</v>
      </c>
      <c r="B185">
        <v>41</v>
      </c>
      <c r="C185">
        <v>12</v>
      </c>
      <c r="D185">
        <v>104</v>
      </c>
      <c r="E185" t="s">
        <v>700</v>
      </c>
      <c r="F185">
        <v>123</v>
      </c>
      <c r="G185" s="5">
        <v>0.25</v>
      </c>
      <c r="H185" s="4">
        <f t="shared" ca="1" si="2"/>
        <v>149</v>
      </c>
      <c r="I185" s="4">
        <v>68.400000000000006</v>
      </c>
    </row>
    <row r="186" spans="1:9" x14ac:dyDescent="0.25">
      <c r="A186">
        <v>86563</v>
      </c>
      <c r="B186">
        <v>66</v>
      </c>
      <c r="C186">
        <v>12</v>
      </c>
      <c r="D186">
        <v>106</v>
      </c>
      <c r="E186" t="s">
        <v>696</v>
      </c>
      <c r="F186">
        <v>86</v>
      </c>
      <c r="G186" s="5">
        <v>0.25</v>
      </c>
      <c r="H186" s="4">
        <f t="shared" ca="1" si="2"/>
        <v>151</v>
      </c>
      <c r="I186" s="4">
        <v>20.76</v>
      </c>
    </row>
    <row r="187" spans="1:9" x14ac:dyDescent="0.25">
      <c r="A187">
        <v>86563</v>
      </c>
      <c r="B187">
        <v>58</v>
      </c>
      <c r="C187">
        <v>12</v>
      </c>
      <c r="D187">
        <v>105</v>
      </c>
      <c r="E187" t="s">
        <v>695</v>
      </c>
      <c r="F187">
        <v>15</v>
      </c>
      <c r="G187" s="5">
        <v>0</v>
      </c>
      <c r="H187" s="4">
        <f t="shared" ca="1" si="2"/>
        <v>80</v>
      </c>
      <c r="I187" s="4">
        <v>71.599999999999994</v>
      </c>
    </row>
    <row r="188" spans="1:9" x14ac:dyDescent="0.25">
      <c r="A188">
        <v>48256</v>
      </c>
      <c r="B188">
        <v>18</v>
      </c>
      <c r="C188">
        <v>12</v>
      </c>
      <c r="D188">
        <v>106</v>
      </c>
      <c r="E188" t="s">
        <v>698</v>
      </c>
      <c r="F188">
        <v>62</v>
      </c>
      <c r="G188" s="5">
        <v>0.1</v>
      </c>
      <c r="H188" s="4">
        <f t="shared" ca="1" si="2"/>
        <v>329</v>
      </c>
      <c r="I188" s="4">
        <v>73.989999999999995</v>
      </c>
    </row>
    <row r="189" spans="1:9" x14ac:dyDescent="0.25">
      <c r="A189">
        <v>86563</v>
      </c>
      <c r="B189">
        <v>5</v>
      </c>
      <c r="C189">
        <v>12</v>
      </c>
      <c r="D189">
        <v>102</v>
      </c>
      <c r="E189" t="s">
        <v>700</v>
      </c>
      <c r="F189">
        <v>24</v>
      </c>
      <c r="G189" s="5">
        <v>0</v>
      </c>
      <c r="H189" s="4">
        <f t="shared" ca="1" si="2"/>
        <v>68</v>
      </c>
      <c r="I189" s="4">
        <v>54.6</v>
      </c>
    </row>
    <row r="190" spans="1:9" x14ac:dyDescent="0.25">
      <c r="A190">
        <v>86563</v>
      </c>
      <c r="B190">
        <v>27</v>
      </c>
      <c r="C190">
        <v>12</v>
      </c>
      <c r="D190">
        <v>101</v>
      </c>
      <c r="E190" t="s">
        <v>700</v>
      </c>
      <c r="F190">
        <v>46</v>
      </c>
      <c r="G190" s="5">
        <v>0</v>
      </c>
      <c r="H190" s="4">
        <f t="shared" ca="1" si="2"/>
        <v>109</v>
      </c>
      <c r="I190" s="4">
        <v>62.8</v>
      </c>
    </row>
    <row r="191" spans="1:9" x14ac:dyDescent="0.25">
      <c r="A191">
        <v>96352</v>
      </c>
      <c r="B191">
        <v>61</v>
      </c>
      <c r="C191">
        <v>12</v>
      </c>
      <c r="D191">
        <v>107</v>
      </c>
      <c r="E191" t="s">
        <v>691</v>
      </c>
      <c r="F191">
        <v>108</v>
      </c>
      <c r="G191" s="5">
        <v>0.25</v>
      </c>
      <c r="H191" s="4">
        <f t="shared" ca="1" si="2"/>
        <v>281</v>
      </c>
      <c r="I191" s="4">
        <v>89.1</v>
      </c>
    </row>
    <row r="192" spans="1:9" x14ac:dyDescent="0.25">
      <c r="A192">
        <v>48256</v>
      </c>
      <c r="B192">
        <v>30</v>
      </c>
      <c r="C192">
        <v>12</v>
      </c>
      <c r="D192">
        <v>109</v>
      </c>
      <c r="E192" t="s">
        <v>698</v>
      </c>
      <c r="F192">
        <v>107</v>
      </c>
      <c r="G192" s="5">
        <v>0.25</v>
      </c>
      <c r="H192" s="4">
        <f t="shared" ca="1" si="2"/>
        <v>324</v>
      </c>
      <c r="I192" s="4">
        <v>28.08</v>
      </c>
    </row>
    <row r="193" spans="1:9" x14ac:dyDescent="0.25">
      <c r="A193">
        <v>96352</v>
      </c>
      <c r="B193">
        <v>67</v>
      </c>
      <c r="C193">
        <v>12</v>
      </c>
      <c r="D193">
        <v>108</v>
      </c>
      <c r="E193" t="s">
        <v>693</v>
      </c>
      <c r="F193">
        <v>69</v>
      </c>
      <c r="G193" s="5">
        <v>0.1</v>
      </c>
      <c r="H193" s="4">
        <f t="shared" ca="1" si="2"/>
        <v>86</v>
      </c>
      <c r="I193" s="4">
        <v>37</v>
      </c>
    </row>
    <row r="194" spans="1:9" x14ac:dyDescent="0.25">
      <c r="A194">
        <v>86563</v>
      </c>
      <c r="B194">
        <v>56</v>
      </c>
      <c r="C194">
        <v>12</v>
      </c>
      <c r="D194">
        <v>104</v>
      </c>
      <c r="E194" t="s">
        <v>695</v>
      </c>
      <c r="F194">
        <v>66</v>
      </c>
      <c r="G194" s="5">
        <v>0.1</v>
      </c>
      <c r="H194" s="4">
        <f t="shared" ref="H194:H257" ca="1" si="3">IF(F194&lt;=10,RANDBETWEEN(1,5),IF(F194&lt;=20,RANDBETWEEN(15,80),IF(F194&lt;=30,RANDBETWEEN(23,150),RANDBETWEEN(66,350))))</f>
        <v>214</v>
      </c>
      <c r="I194" s="4">
        <v>46.2</v>
      </c>
    </row>
    <row r="195" spans="1:9" x14ac:dyDescent="0.25">
      <c r="A195">
        <v>48256</v>
      </c>
      <c r="B195">
        <v>35</v>
      </c>
      <c r="C195">
        <v>12</v>
      </c>
      <c r="D195">
        <v>104</v>
      </c>
      <c r="E195" t="s">
        <v>692</v>
      </c>
      <c r="F195">
        <v>20</v>
      </c>
      <c r="G195" s="5">
        <v>0</v>
      </c>
      <c r="H195" s="4">
        <f t="shared" ca="1" si="3"/>
        <v>22</v>
      </c>
      <c r="I195" s="4">
        <v>30.97</v>
      </c>
    </row>
    <row r="196" spans="1:9" x14ac:dyDescent="0.25">
      <c r="A196">
        <v>96352</v>
      </c>
      <c r="B196">
        <v>17</v>
      </c>
      <c r="C196">
        <v>12</v>
      </c>
      <c r="D196">
        <v>101</v>
      </c>
      <c r="E196" t="s">
        <v>698</v>
      </c>
      <c r="F196">
        <v>16</v>
      </c>
      <c r="G196" s="5">
        <v>0</v>
      </c>
      <c r="H196" s="4">
        <f t="shared" ca="1" si="3"/>
        <v>44</v>
      </c>
      <c r="I196" s="4">
        <v>51.81</v>
      </c>
    </row>
    <row r="197" spans="1:9" x14ac:dyDescent="0.25">
      <c r="A197">
        <v>48256</v>
      </c>
      <c r="B197">
        <v>12</v>
      </c>
      <c r="C197">
        <v>12</v>
      </c>
      <c r="D197">
        <v>105</v>
      </c>
      <c r="E197" t="s">
        <v>698</v>
      </c>
      <c r="F197">
        <v>99</v>
      </c>
      <c r="G197" s="5">
        <v>0.25</v>
      </c>
      <c r="H197" s="4">
        <f t="shared" ca="1" si="3"/>
        <v>341</v>
      </c>
      <c r="I197" s="4">
        <v>85.92</v>
      </c>
    </row>
    <row r="198" spans="1:9" x14ac:dyDescent="0.25">
      <c r="A198">
        <v>86563</v>
      </c>
      <c r="B198">
        <v>42</v>
      </c>
      <c r="C198">
        <v>12</v>
      </c>
      <c r="D198">
        <v>108</v>
      </c>
      <c r="E198" t="s">
        <v>691</v>
      </c>
      <c r="F198">
        <v>30</v>
      </c>
      <c r="G198" s="5">
        <v>0</v>
      </c>
      <c r="H198" s="4">
        <f t="shared" ca="1" si="3"/>
        <v>107</v>
      </c>
      <c r="I198" s="4">
        <v>22.88</v>
      </c>
    </row>
    <row r="199" spans="1:9" x14ac:dyDescent="0.25">
      <c r="A199">
        <v>96352</v>
      </c>
      <c r="B199">
        <v>16</v>
      </c>
      <c r="C199">
        <v>12</v>
      </c>
      <c r="D199">
        <v>104</v>
      </c>
      <c r="E199" t="s">
        <v>691</v>
      </c>
      <c r="F199">
        <v>99</v>
      </c>
      <c r="G199" s="5">
        <v>0.25</v>
      </c>
      <c r="H199" s="4">
        <f t="shared" ca="1" si="3"/>
        <v>107</v>
      </c>
      <c r="I199" s="4">
        <v>19.079999999999998</v>
      </c>
    </row>
    <row r="200" spans="1:9" x14ac:dyDescent="0.25">
      <c r="A200">
        <v>96352</v>
      </c>
      <c r="B200">
        <v>53</v>
      </c>
      <c r="C200">
        <v>12</v>
      </c>
      <c r="D200">
        <v>104</v>
      </c>
      <c r="E200" t="s">
        <v>699</v>
      </c>
      <c r="F200">
        <v>106</v>
      </c>
      <c r="G200" s="5">
        <v>0.25</v>
      </c>
      <c r="H200" s="4">
        <f t="shared" ca="1" si="3"/>
        <v>131</v>
      </c>
      <c r="I200" s="4">
        <v>20.28</v>
      </c>
    </row>
    <row r="201" spans="1:9" x14ac:dyDescent="0.25">
      <c r="A201">
        <v>48256</v>
      </c>
      <c r="B201">
        <v>41</v>
      </c>
      <c r="C201">
        <v>12</v>
      </c>
      <c r="D201">
        <v>106</v>
      </c>
      <c r="E201" t="s">
        <v>697</v>
      </c>
      <c r="F201">
        <v>46</v>
      </c>
      <c r="G201" s="5">
        <v>0</v>
      </c>
      <c r="H201" s="4">
        <f t="shared" ca="1" si="3"/>
        <v>215</v>
      </c>
      <c r="I201" s="4">
        <v>32.6</v>
      </c>
    </row>
    <row r="202" spans="1:9" x14ac:dyDescent="0.25">
      <c r="A202">
        <v>86563</v>
      </c>
      <c r="B202">
        <v>30</v>
      </c>
      <c r="C202">
        <v>12</v>
      </c>
      <c r="D202">
        <v>108</v>
      </c>
      <c r="E202" t="s">
        <v>691</v>
      </c>
      <c r="F202">
        <v>62</v>
      </c>
      <c r="G202" s="5">
        <v>0.1</v>
      </c>
      <c r="H202" s="4">
        <f t="shared" ca="1" si="3"/>
        <v>281</v>
      </c>
      <c r="I202" s="4">
        <v>89.57</v>
      </c>
    </row>
    <row r="203" spans="1:9" x14ac:dyDescent="0.25">
      <c r="A203">
        <v>48256</v>
      </c>
      <c r="B203">
        <v>23</v>
      </c>
      <c r="C203">
        <v>12</v>
      </c>
      <c r="D203">
        <v>109</v>
      </c>
      <c r="E203" t="s">
        <v>694</v>
      </c>
      <c r="F203">
        <v>65</v>
      </c>
      <c r="G203" s="5">
        <v>0.1</v>
      </c>
      <c r="H203" s="4">
        <f t="shared" ca="1" si="3"/>
        <v>224</v>
      </c>
      <c r="I203" s="4">
        <v>38.75</v>
      </c>
    </row>
    <row r="204" spans="1:9" x14ac:dyDescent="0.25">
      <c r="A204">
        <v>86563</v>
      </c>
      <c r="B204">
        <v>57</v>
      </c>
      <c r="C204">
        <v>12</v>
      </c>
      <c r="D204">
        <v>106</v>
      </c>
      <c r="E204" t="s">
        <v>696</v>
      </c>
      <c r="F204">
        <v>46</v>
      </c>
      <c r="G204" s="5">
        <v>0</v>
      </c>
      <c r="H204" s="4">
        <f t="shared" ca="1" si="3"/>
        <v>84</v>
      </c>
      <c r="I204" s="4">
        <v>25.2</v>
      </c>
    </row>
    <row r="205" spans="1:9" x14ac:dyDescent="0.25">
      <c r="A205">
        <v>96352</v>
      </c>
      <c r="B205">
        <v>38</v>
      </c>
      <c r="C205">
        <v>12</v>
      </c>
      <c r="D205">
        <v>109</v>
      </c>
      <c r="E205" t="s">
        <v>700</v>
      </c>
      <c r="F205">
        <v>110</v>
      </c>
      <c r="G205" s="5">
        <v>0.25</v>
      </c>
      <c r="H205" s="4">
        <f t="shared" ca="1" si="3"/>
        <v>249</v>
      </c>
      <c r="I205" s="4">
        <v>47.12</v>
      </c>
    </row>
    <row r="206" spans="1:9" x14ac:dyDescent="0.25">
      <c r="A206">
        <v>96352</v>
      </c>
      <c r="B206">
        <v>16</v>
      </c>
      <c r="C206">
        <v>12</v>
      </c>
      <c r="D206">
        <v>103</v>
      </c>
      <c r="E206" t="s">
        <v>690</v>
      </c>
      <c r="F206">
        <v>13</v>
      </c>
      <c r="G206" s="5">
        <v>0</v>
      </c>
      <c r="H206" s="4">
        <f t="shared" ca="1" si="3"/>
        <v>44</v>
      </c>
      <c r="I206" s="4">
        <v>33.299999999999997</v>
      </c>
    </row>
    <row r="207" spans="1:9" x14ac:dyDescent="0.25">
      <c r="A207">
        <v>96352</v>
      </c>
      <c r="B207">
        <v>42</v>
      </c>
      <c r="C207">
        <v>12</v>
      </c>
      <c r="D207">
        <v>106</v>
      </c>
      <c r="E207" t="s">
        <v>693</v>
      </c>
      <c r="F207">
        <v>40</v>
      </c>
      <c r="G207" s="5">
        <v>0</v>
      </c>
      <c r="H207" s="4">
        <f t="shared" ca="1" si="3"/>
        <v>224</v>
      </c>
      <c r="I207" s="4">
        <v>107.73</v>
      </c>
    </row>
    <row r="208" spans="1:9" x14ac:dyDescent="0.25">
      <c r="A208">
        <v>86563</v>
      </c>
      <c r="B208">
        <v>11</v>
      </c>
      <c r="C208">
        <v>12</v>
      </c>
      <c r="D208">
        <v>106</v>
      </c>
      <c r="E208" t="s">
        <v>695</v>
      </c>
      <c r="F208">
        <v>106</v>
      </c>
      <c r="G208" s="5">
        <v>0.25</v>
      </c>
      <c r="H208" s="4">
        <f t="shared" ca="1" si="3"/>
        <v>257</v>
      </c>
      <c r="I208" s="4">
        <v>51.15</v>
      </c>
    </row>
    <row r="209" spans="1:9" x14ac:dyDescent="0.25">
      <c r="A209">
        <v>48256</v>
      </c>
      <c r="B209">
        <v>54</v>
      </c>
      <c r="C209">
        <v>12</v>
      </c>
      <c r="D209">
        <v>105</v>
      </c>
      <c r="E209" t="s">
        <v>695</v>
      </c>
      <c r="F209">
        <v>24</v>
      </c>
      <c r="G209">
        <v>0</v>
      </c>
      <c r="H209" s="4">
        <f t="shared" ca="1" si="3"/>
        <v>40</v>
      </c>
      <c r="I209" s="4">
        <v>80.069999999999993</v>
      </c>
    </row>
    <row r="210" spans="1:9" x14ac:dyDescent="0.25">
      <c r="A210">
        <v>48256</v>
      </c>
      <c r="B210">
        <v>27</v>
      </c>
      <c r="C210">
        <v>12</v>
      </c>
      <c r="D210">
        <v>104</v>
      </c>
      <c r="E210" t="s">
        <v>699</v>
      </c>
      <c r="F210">
        <v>160</v>
      </c>
      <c r="G210">
        <v>0.1</v>
      </c>
      <c r="H210" s="4">
        <f t="shared" ca="1" si="3"/>
        <v>213</v>
      </c>
      <c r="I210" s="4">
        <v>82.5</v>
      </c>
    </row>
    <row r="211" spans="1:9" x14ac:dyDescent="0.25">
      <c r="A211">
        <v>96352</v>
      </c>
      <c r="B211">
        <v>41</v>
      </c>
      <c r="C211">
        <v>12</v>
      </c>
      <c r="D211">
        <v>104</v>
      </c>
      <c r="E211" t="s">
        <v>697</v>
      </c>
      <c r="F211">
        <v>236</v>
      </c>
      <c r="G211">
        <v>0.1</v>
      </c>
      <c r="H211" s="4">
        <f t="shared" ca="1" si="3"/>
        <v>138</v>
      </c>
      <c r="I211" s="4">
        <v>93.5</v>
      </c>
    </row>
    <row r="212" spans="1:9" x14ac:dyDescent="0.25">
      <c r="A212">
        <v>86563</v>
      </c>
      <c r="B212">
        <v>60</v>
      </c>
      <c r="C212">
        <v>12</v>
      </c>
      <c r="D212">
        <v>107</v>
      </c>
      <c r="E212" t="s">
        <v>695</v>
      </c>
      <c r="F212">
        <v>62</v>
      </c>
      <c r="G212">
        <v>0.1</v>
      </c>
      <c r="H212" s="4">
        <f t="shared" ca="1" si="3"/>
        <v>265</v>
      </c>
      <c r="I212" s="4">
        <v>73.599999999999994</v>
      </c>
    </row>
    <row r="213" spans="1:9" x14ac:dyDescent="0.25">
      <c r="A213">
        <v>96352</v>
      </c>
      <c r="B213">
        <v>31</v>
      </c>
      <c r="C213">
        <v>12</v>
      </c>
      <c r="D213">
        <v>105</v>
      </c>
      <c r="E213" t="s">
        <v>692</v>
      </c>
      <c r="F213">
        <v>34</v>
      </c>
      <c r="G213">
        <v>0</v>
      </c>
      <c r="H213" s="4">
        <f t="shared" ca="1" si="3"/>
        <v>139</v>
      </c>
      <c r="I213" s="4">
        <v>74.400000000000006</v>
      </c>
    </row>
    <row r="214" spans="1:9" x14ac:dyDescent="0.25">
      <c r="A214">
        <v>96352</v>
      </c>
      <c r="B214">
        <v>19</v>
      </c>
      <c r="C214">
        <v>12</v>
      </c>
      <c r="D214">
        <v>105</v>
      </c>
      <c r="E214" t="s">
        <v>694</v>
      </c>
      <c r="F214">
        <v>100</v>
      </c>
      <c r="G214">
        <v>0.1</v>
      </c>
      <c r="H214" s="4">
        <f t="shared" ca="1" si="3"/>
        <v>132</v>
      </c>
      <c r="I214" s="4">
        <v>84.28</v>
      </c>
    </row>
    <row r="215" spans="1:9" x14ac:dyDescent="0.25">
      <c r="A215">
        <v>48256</v>
      </c>
      <c r="B215">
        <v>33</v>
      </c>
      <c r="C215">
        <v>12</v>
      </c>
      <c r="D215">
        <v>101</v>
      </c>
      <c r="E215" t="s">
        <v>696</v>
      </c>
      <c r="F215">
        <v>43</v>
      </c>
      <c r="G215">
        <v>0.1</v>
      </c>
      <c r="H215" s="4">
        <f t="shared" ca="1" si="3"/>
        <v>200</v>
      </c>
      <c r="I215" s="4">
        <v>96.39</v>
      </c>
    </row>
    <row r="216" spans="1:9" x14ac:dyDescent="0.25">
      <c r="A216">
        <v>96352</v>
      </c>
      <c r="B216">
        <v>41</v>
      </c>
      <c r="C216">
        <v>12</v>
      </c>
      <c r="D216">
        <v>104</v>
      </c>
      <c r="E216" t="s">
        <v>690</v>
      </c>
      <c r="F216">
        <v>72</v>
      </c>
      <c r="G216">
        <v>0.25</v>
      </c>
      <c r="H216" s="4">
        <f t="shared" ca="1" si="3"/>
        <v>131</v>
      </c>
      <c r="I216" s="4">
        <v>82.34</v>
      </c>
    </row>
    <row r="217" spans="1:9" x14ac:dyDescent="0.25">
      <c r="A217">
        <v>48256</v>
      </c>
      <c r="B217">
        <v>27</v>
      </c>
      <c r="C217">
        <v>12</v>
      </c>
      <c r="D217">
        <v>101</v>
      </c>
      <c r="E217" t="s">
        <v>693</v>
      </c>
      <c r="F217">
        <v>119</v>
      </c>
      <c r="G217">
        <v>0.25</v>
      </c>
      <c r="H217" s="4">
        <f t="shared" ca="1" si="3"/>
        <v>68</v>
      </c>
      <c r="I217" s="4">
        <v>87.78</v>
      </c>
    </row>
    <row r="218" spans="1:9" x14ac:dyDescent="0.25">
      <c r="A218">
        <v>96352</v>
      </c>
      <c r="B218">
        <v>13</v>
      </c>
      <c r="C218">
        <v>12</v>
      </c>
      <c r="D218">
        <v>107</v>
      </c>
      <c r="E218" t="s">
        <v>693</v>
      </c>
      <c r="F218">
        <v>179</v>
      </c>
      <c r="G218">
        <v>0.1</v>
      </c>
      <c r="H218" s="4">
        <f t="shared" ca="1" si="3"/>
        <v>343</v>
      </c>
      <c r="I218" s="4">
        <v>61.94</v>
      </c>
    </row>
    <row r="219" spans="1:9" x14ac:dyDescent="0.25">
      <c r="A219">
        <v>96352</v>
      </c>
      <c r="B219">
        <v>54</v>
      </c>
      <c r="C219">
        <v>12</v>
      </c>
      <c r="D219">
        <v>103</v>
      </c>
      <c r="E219" t="s">
        <v>690</v>
      </c>
      <c r="F219">
        <v>42</v>
      </c>
      <c r="G219">
        <v>0.25</v>
      </c>
      <c r="H219" s="4">
        <f t="shared" ca="1" si="3"/>
        <v>92</v>
      </c>
      <c r="I219" s="4">
        <v>62.22</v>
      </c>
    </row>
    <row r="220" spans="1:9" x14ac:dyDescent="0.25">
      <c r="A220">
        <v>48256</v>
      </c>
      <c r="B220">
        <v>32</v>
      </c>
      <c r="C220">
        <v>12</v>
      </c>
      <c r="D220">
        <v>105</v>
      </c>
      <c r="E220" t="s">
        <v>695</v>
      </c>
      <c r="F220">
        <v>154</v>
      </c>
      <c r="G220">
        <v>0</v>
      </c>
      <c r="H220" s="4">
        <f t="shared" ca="1" si="3"/>
        <v>252</v>
      </c>
      <c r="I220" s="4">
        <v>21.96</v>
      </c>
    </row>
    <row r="221" spans="1:9" x14ac:dyDescent="0.25">
      <c r="A221">
        <v>96352</v>
      </c>
      <c r="B221">
        <v>37</v>
      </c>
      <c r="C221">
        <v>12</v>
      </c>
      <c r="D221">
        <v>108</v>
      </c>
      <c r="E221" t="s">
        <v>692</v>
      </c>
      <c r="F221">
        <v>220</v>
      </c>
      <c r="G221">
        <v>0.25</v>
      </c>
      <c r="H221" s="4">
        <f t="shared" ca="1" si="3"/>
        <v>306</v>
      </c>
      <c r="I221" s="4">
        <v>63.57</v>
      </c>
    </row>
    <row r="222" spans="1:9" x14ac:dyDescent="0.25">
      <c r="A222">
        <v>48256</v>
      </c>
      <c r="B222">
        <v>60</v>
      </c>
      <c r="C222">
        <v>12</v>
      </c>
      <c r="D222">
        <v>108</v>
      </c>
      <c r="E222" t="s">
        <v>695</v>
      </c>
      <c r="F222">
        <v>154</v>
      </c>
      <c r="G222">
        <v>0.25</v>
      </c>
      <c r="H222" s="4">
        <f t="shared" ca="1" si="3"/>
        <v>89</v>
      </c>
      <c r="I222" s="4">
        <v>95.68</v>
      </c>
    </row>
    <row r="223" spans="1:9" x14ac:dyDescent="0.25">
      <c r="A223">
        <v>86563</v>
      </c>
      <c r="B223">
        <v>43</v>
      </c>
      <c r="C223">
        <v>12</v>
      </c>
      <c r="D223">
        <v>107</v>
      </c>
      <c r="E223" t="s">
        <v>699</v>
      </c>
      <c r="F223">
        <v>12</v>
      </c>
      <c r="G223">
        <v>0.25</v>
      </c>
      <c r="H223" s="4">
        <f t="shared" ca="1" si="3"/>
        <v>31</v>
      </c>
      <c r="I223" s="4">
        <v>68.849999999999994</v>
      </c>
    </row>
    <row r="224" spans="1:9" x14ac:dyDescent="0.25">
      <c r="A224">
        <v>86563</v>
      </c>
      <c r="B224">
        <v>1</v>
      </c>
      <c r="C224">
        <v>12</v>
      </c>
      <c r="D224">
        <v>101</v>
      </c>
      <c r="E224" t="s">
        <v>700</v>
      </c>
      <c r="F224">
        <v>153</v>
      </c>
      <c r="G224">
        <v>0</v>
      </c>
      <c r="H224" s="4">
        <f t="shared" ca="1" si="3"/>
        <v>101</v>
      </c>
      <c r="I224" s="4">
        <v>85</v>
      </c>
    </row>
    <row r="225" spans="1:9" x14ac:dyDescent="0.25">
      <c r="A225">
        <v>48256</v>
      </c>
      <c r="B225">
        <v>20</v>
      </c>
      <c r="C225">
        <v>12</v>
      </c>
      <c r="D225">
        <v>105</v>
      </c>
      <c r="E225" t="s">
        <v>700</v>
      </c>
      <c r="F225">
        <v>186</v>
      </c>
      <c r="G225">
        <v>0.1</v>
      </c>
      <c r="H225" s="4">
        <f t="shared" ca="1" si="3"/>
        <v>208</v>
      </c>
      <c r="I225" s="4">
        <v>70.98</v>
      </c>
    </row>
    <row r="226" spans="1:9" x14ac:dyDescent="0.25">
      <c r="A226">
        <v>96352</v>
      </c>
      <c r="B226">
        <v>29</v>
      </c>
      <c r="C226">
        <v>12</v>
      </c>
      <c r="D226">
        <v>108</v>
      </c>
      <c r="E226" t="s">
        <v>693</v>
      </c>
      <c r="F226">
        <v>25</v>
      </c>
      <c r="G226">
        <v>0.1</v>
      </c>
      <c r="H226" s="4">
        <f t="shared" ca="1" si="3"/>
        <v>52</v>
      </c>
      <c r="I226" s="4">
        <v>33.119999999999997</v>
      </c>
    </row>
    <row r="227" spans="1:9" x14ac:dyDescent="0.25">
      <c r="A227">
        <v>48256</v>
      </c>
      <c r="B227">
        <v>69</v>
      </c>
      <c r="C227">
        <v>12</v>
      </c>
      <c r="D227">
        <v>101</v>
      </c>
      <c r="E227" t="s">
        <v>695</v>
      </c>
      <c r="F227">
        <v>60</v>
      </c>
      <c r="G227">
        <v>0</v>
      </c>
      <c r="H227" s="4">
        <f t="shared" ca="1" si="3"/>
        <v>176</v>
      </c>
      <c r="I227" s="4">
        <v>76.5</v>
      </c>
    </row>
    <row r="228" spans="1:9" x14ac:dyDescent="0.25">
      <c r="A228">
        <v>96352</v>
      </c>
      <c r="B228">
        <v>67</v>
      </c>
      <c r="C228">
        <v>12</v>
      </c>
      <c r="D228">
        <v>106</v>
      </c>
      <c r="E228" t="s">
        <v>700</v>
      </c>
      <c r="F228">
        <v>129</v>
      </c>
      <c r="G228">
        <v>0.25</v>
      </c>
      <c r="H228" s="4">
        <f t="shared" ca="1" si="3"/>
        <v>331</v>
      </c>
      <c r="I228" s="4">
        <v>46.8</v>
      </c>
    </row>
    <row r="229" spans="1:9" x14ac:dyDescent="0.25">
      <c r="A229">
        <v>96352</v>
      </c>
      <c r="B229">
        <v>64</v>
      </c>
      <c r="C229">
        <v>12</v>
      </c>
      <c r="D229">
        <v>102</v>
      </c>
      <c r="E229" t="s">
        <v>694</v>
      </c>
      <c r="F229">
        <v>24</v>
      </c>
      <c r="G229">
        <v>0</v>
      </c>
      <c r="H229" s="4">
        <f t="shared" ca="1" si="3"/>
        <v>28</v>
      </c>
      <c r="I229" s="4">
        <v>30.06</v>
      </c>
    </row>
    <row r="230" spans="1:9" x14ac:dyDescent="0.25">
      <c r="A230">
        <v>48256</v>
      </c>
      <c r="B230">
        <v>52</v>
      </c>
      <c r="C230">
        <v>12</v>
      </c>
      <c r="D230">
        <v>103</v>
      </c>
      <c r="E230" t="s">
        <v>692</v>
      </c>
      <c r="F230">
        <v>154</v>
      </c>
      <c r="G230">
        <v>0.1</v>
      </c>
      <c r="H230" s="4">
        <f t="shared" ca="1" si="3"/>
        <v>321</v>
      </c>
      <c r="I230" s="4">
        <v>50.4</v>
      </c>
    </row>
    <row r="231" spans="1:9" x14ac:dyDescent="0.25">
      <c r="A231">
        <v>96352</v>
      </c>
      <c r="B231">
        <v>44</v>
      </c>
      <c r="C231">
        <v>12</v>
      </c>
      <c r="D231">
        <v>101</v>
      </c>
      <c r="E231" t="s">
        <v>698</v>
      </c>
      <c r="F231">
        <v>112</v>
      </c>
      <c r="G231">
        <v>0.1</v>
      </c>
      <c r="H231" s="4">
        <f t="shared" ca="1" si="3"/>
        <v>283</v>
      </c>
      <c r="I231" s="4">
        <v>84.7</v>
      </c>
    </row>
    <row r="232" spans="1:9" x14ac:dyDescent="0.25">
      <c r="A232">
        <v>48256</v>
      </c>
      <c r="B232">
        <v>36</v>
      </c>
      <c r="C232">
        <v>12</v>
      </c>
      <c r="D232">
        <v>103</v>
      </c>
      <c r="E232" t="s">
        <v>694</v>
      </c>
      <c r="F232">
        <v>157</v>
      </c>
      <c r="G232">
        <v>0.25</v>
      </c>
      <c r="H232" s="4">
        <f t="shared" ca="1" si="3"/>
        <v>280</v>
      </c>
      <c r="I232" s="4">
        <v>76.44</v>
      </c>
    </row>
    <row r="233" spans="1:9" x14ac:dyDescent="0.25">
      <c r="A233">
        <v>86563</v>
      </c>
      <c r="B233">
        <v>53</v>
      </c>
      <c r="C233">
        <v>12</v>
      </c>
      <c r="D233">
        <v>107</v>
      </c>
      <c r="E233" t="s">
        <v>691</v>
      </c>
      <c r="F233">
        <v>199</v>
      </c>
      <c r="G233">
        <v>0</v>
      </c>
      <c r="H233" s="4">
        <f t="shared" ca="1" si="3"/>
        <v>244</v>
      </c>
      <c r="I233" s="4">
        <v>84.15</v>
      </c>
    </row>
    <row r="234" spans="1:9" x14ac:dyDescent="0.25">
      <c r="A234">
        <v>86563</v>
      </c>
      <c r="B234">
        <v>17</v>
      </c>
      <c r="C234">
        <v>12</v>
      </c>
      <c r="D234">
        <v>102</v>
      </c>
      <c r="E234" t="s">
        <v>696</v>
      </c>
      <c r="F234">
        <v>142</v>
      </c>
      <c r="G234">
        <v>0</v>
      </c>
      <c r="H234" s="4">
        <f t="shared" ca="1" si="3"/>
        <v>222</v>
      </c>
      <c r="I234" s="4">
        <v>46.4</v>
      </c>
    </row>
    <row r="235" spans="1:9" x14ac:dyDescent="0.25">
      <c r="A235">
        <v>86563</v>
      </c>
      <c r="B235">
        <v>68</v>
      </c>
      <c r="C235">
        <v>12</v>
      </c>
      <c r="D235">
        <v>105</v>
      </c>
      <c r="E235" t="s">
        <v>690</v>
      </c>
      <c r="F235">
        <v>198</v>
      </c>
      <c r="G235">
        <v>0.1</v>
      </c>
      <c r="H235" s="4">
        <f t="shared" ca="1" si="3"/>
        <v>303</v>
      </c>
      <c r="I235" s="4">
        <v>52.92</v>
      </c>
    </row>
    <row r="236" spans="1:9" x14ac:dyDescent="0.25">
      <c r="A236">
        <v>86563</v>
      </c>
      <c r="B236">
        <v>1</v>
      </c>
      <c r="C236">
        <v>12</v>
      </c>
      <c r="D236">
        <v>106</v>
      </c>
      <c r="E236" t="s">
        <v>695</v>
      </c>
      <c r="F236">
        <v>60</v>
      </c>
      <c r="G236">
        <v>0.1</v>
      </c>
      <c r="H236" s="4">
        <f t="shared" ca="1" si="3"/>
        <v>343</v>
      </c>
      <c r="I236" s="4">
        <v>45.08</v>
      </c>
    </row>
    <row r="237" spans="1:9" x14ac:dyDescent="0.25">
      <c r="A237">
        <v>48256</v>
      </c>
      <c r="B237">
        <v>62</v>
      </c>
      <c r="C237">
        <v>12</v>
      </c>
      <c r="D237">
        <v>101</v>
      </c>
      <c r="E237" t="s">
        <v>699</v>
      </c>
      <c r="F237">
        <v>45</v>
      </c>
      <c r="G237">
        <v>0</v>
      </c>
      <c r="H237" s="4">
        <f t="shared" ca="1" si="3"/>
        <v>336</v>
      </c>
      <c r="I237" s="4">
        <v>39.840000000000003</v>
      </c>
    </row>
    <row r="238" spans="1:9" x14ac:dyDescent="0.25">
      <c r="A238">
        <v>86563</v>
      </c>
      <c r="B238">
        <v>3</v>
      </c>
      <c r="C238">
        <v>12</v>
      </c>
      <c r="D238">
        <v>108</v>
      </c>
      <c r="E238" t="s">
        <v>697</v>
      </c>
      <c r="F238">
        <v>198</v>
      </c>
      <c r="G238">
        <v>0.25</v>
      </c>
      <c r="H238" s="4">
        <f t="shared" ca="1" si="3"/>
        <v>98</v>
      </c>
      <c r="I238" s="4">
        <v>40.71</v>
      </c>
    </row>
    <row r="239" spans="1:9" x14ac:dyDescent="0.25">
      <c r="A239">
        <v>86563</v>
      </c>
      <c r="B239">
        <v>70</v>
      </c>
      <c r="C239">
        <v>12</v>
      </c>
      <c r="D239">
        <v>105</v>
      </c>
      <c r="E239" t="s">
        <v>698</v>
      </c>
      <c r="F239">
        <v>116</v>
      </c>
      <c r="G239">
        <v>0</v>
      </c>
      <c r="H239" s="4">
        <f t="shared" ca="1" si="3"/>
        <v>89</v>
      </c>
      <c r="I239" s="4">
        <v>27.45</v>
      </c>
    </row>
    <row r="240" spans="1:9" x14ac:dyDescent="0.25">
      <c r="A240">
        <v>96352</v>
      </c>
      <c r="B240">
        <v>33</v>
      </c>
      <c r="C240">
        <v>12</v>
      </c>
      <c r="D240">
        <v>106</v>
      </c>
      <c r="E240" t="s">
        <v>690</v>
      </c>
      <c r="F240">
        <v>41</v>
      </c>
      <c r="G240">
        <v>0.1</v>
      </c>
      <c r="H240" s="4">
        <f t="shared" ca="1" si="3"/>
        <v>207</v>
      </c>
      <c r="I240" s="4">
        <v>89.76</v>
      </c>
    </row>
    <row r="241" spans="1:9" x14ac:dyDescent="0.25">
      <c r="A241">
        <v>86563</v>
      </c>
      <c r="B241">
        <v>62</v>
      </c>
      <c r="C241">
        <v>12</v>
      </c>
      <c r="D241">
        <v>102</v>
      </c>
      <c r="E241" t="s">
        <v>695</v>
      </c>
      <c r="F241">
        <v>217</v>
      </c>
      <c r="G241">
        <v>0.25</v>
      </c>
      <c r="H241" s="4">
        <f t="shared" ca="1" si="3"/>
        <v>96</v>
      </c>
      <c r="I241" s="4">
        <v>42.96</v>
      </c>
    </row>
    <row r="242" spans="1:9" x14ac:dyDescent="0.25">
      <c r="A242">
        <v>96352</v>
      </c>
      <c r="B242">
        <v>65</v>
      </c>
      <c r="C242">
        <v>12</v>
      </c>
      <c r="D242">
        <v>108</v>
      </c>
      <c r="E242" t="s">
        <v>690</v>
      </c>
      <c r="F242">
        <v>231</v>
      </c>
      <c r="G242">
        <v>0</v>
      </c>
      <c r="H242" s="4">
        <f t="shared" ca="1" si="3"/>
        <v>219</v>
      </c>
      <c r="I242" s="4">
        <v>65.790000000000006</v>
      </c>
    </row>
    <row r="243" spans="1:9" x14ac:dyDescent="0.25">
      <c r="A243">
        <v>96352</v>
      </c>
      <c r="B243">
        <v>54</v>
      </c>
      <c r="C243">
        <v>12</v>
      </c>
      <c r="D243">
        <v>103</v>
      </c>
      <c r="E243" t="s">
        <v>691</v>
      </c>
      <c r="F243">
        <v>105</v>
      </c>
      <c r="G243">
        <v>0.25</v>
      </c>
      <c r="H243" s="4">
        <f t="shared" ca="1" si="3"/>
        <v>113</v>
      </c>
      <c r="I243" s="4">
        <v>20.57</v>
      </c>
    </row>
    <row r="244" spans="1:9" x14ac:dyDescent="0.25">
      <c r="A244">
        <v>86563</v>
      </c>
      <c r="B244">
        <v>25</v>
      </c>
      <c r="C244">
        <v>12</v>
      </c>
      <c r="D244">
        <v>104</v>
      </c>
      <c r="E244" t="s">
        <v>694</v>
      </c>
      <c r="F244">
        <v>99</v>
      </c>
      <c r="G244">
        <v>0.1</v>
      </c>
      <c r="H244" s="4">
        <f t="shared" ca="1" si="3"/>
        <v>194</v>
      </c>
      <c r="I244" s="4">
        <v>42.32</v>
      </c>
    </row>
    <row r="245" spans="1:9" x14ac:dyDescent="0.25">
      <c r="A245">
        <v>86563</v>
      </c>
      <c r="B245">
        <v>36</v>
      </c>
      <c r="C245">
        <v>12</v>
      </c>
      <c r="D245">
        <v>105</v>
      </c>
      <c r="E245" t="s">
        <v>693</v>
      </c>
      <c r="F245">
        <v>238</v>
      </c>
      <c r="G245">
        <v>0.25</v>
      </c>
      <c r="H245" s="4">
        <f t="shared" ca="1" si="3"/>
        <v>106</v>
      </c>
      <c r="I245" s="4">
        <v>55.49</v>
      </c>
    </row>
    <row r="246" spans="1:9" x14ac:dyDescent="0.25">
      <c r="A246">
        <v>86563</v>
      </c>
      <c r="B246">
        <v>56</v>
      </c>
      <c r="C246">
        <v>12</v>
      </c>
      <c r="D246">
        <v>101</v>
      </c>
      <c r="E246" t="s">
        <v>690</v>
      </c>
      <c r="F246">
        <v>107</v>
      </c>
      <c r="G246">
        <v>0.1</v>
      </c>
      <c r="H246" s="4">
        <f t="shared" ca="1" si="3"/>
        <v>320</v>
      </c>
      <c r="I246" s="4">
        <v>111.51</v>
      </c>
    </row>
    <row r="247" spans="1:9" x14ac:dyDescent="0.25">
      <c r="A247">
        <v>96352</v>
      </c>
      <c r="B247">
        <v>67</v>
      </c>
      <c r="C247">
        <v>12</v>
      </c>
      <c r="D247">
        <v>106</v>
      </c>
      <c r="E247" t="s">
        <v>700</v>
      </c>
      <c r="F247">
        <v>101</v>
      </c>
      <c r="G247">
        <v>0.25</v>
      </c>
      <c r="H247" s="4">
        <f t="shared" ca="1" si="3"/>
        <v>307</v>
      </c>
      <c r="I247" s="4">
        <v>75.5</v>
      </c>
    </row>
    <row r="248" spans="1:9" x14ac:dyDescent="0.25">
      <c r="A248">
        <v>96352</v>
      </c>
      <c r="B248">
        <v>64</v>
      </c>
      <c r="C248">
        <v>12</v>
      </c>
      <c r="D248">
        <v>102</v>
      </c>
      <c r="E248" t="s">
        <v>699</v>
      </c>
      <c r="F248">
        <v>131</v>
      </c>
      <c r="G248">
        <v>0.1</v>
      </c>
      <c r="H248" s="4">
        <f t="shared" ca="1" si="3"/>
        <v>157</v>
      </c>
      <c r="I248" s="4">
        <v>33.630000000000003</v>
      </c>
    </row>
    <row r="249" spans="1:9" x14ac:dyDescent="0.25">
      <c r="A249">
        <v>86563</v>
      </c>
      <c r="B249">
        <v>40</v>
      </c>
      <c r="C249">
        <v>12</v>
      </c>
      <c r="D249">
        <v>101</v>
      </c>
      <c r="E249" t="s">
        <v>696</v>
      </c>
      <c r="F249">
        <v>156</v>
      </c>
      <c r="G249">
        <v>0</v>
      </c>
      <c r="H249" s="4">
        <f t="shared" ca="1" si="3"/>
        <v>151</v>
      </c>
      <c r="I249" s="4">
        <v>71.37</v>
      </c>
    </row>
    <row r="250" spans="1:9" x14ac:dyDescent="0.25">
      <c r="A250">
        <v>48256</v>
      </c>
      <c r="B250">
        <v>60</v>
      </c>
      <c r="C250">
        <v>12</v>
      </c>
      <c r="D250">
        <v>103</v>
      </c>
      <c r="E250" t="s">
        <v>700</v>
      </c>
      <c r="F250">
        <v>42</v>
      </c>
      <c r="G250">
        <v>0.25</v>
      </c>
      <c r="H250" s="4">
        <f t="shared" ca="1" si="3"/>
        <v>316</v>
      </c>
      <c r="I250" s="4">
        <v>17.16</v>
      </c>
    </row>
    <row r="251" spans="1:9" x14ac:dyDescent="0.25">
      <c r="A251">
        <v>86563</v>
      </c>
      <c r="B251">
        <v>5</v>
      </c>
      <c r="C251">
        <v>12</v>
      </c>
      <c r="D251">
        <v>104</v>
      </c>
      <c r="E251" t="s">
        <v>691</v>
      </c>
      <c r="F251">
        <v>14</v>
      </c>
      <c r="G251">
        <v>0</v>
      </c>
      <c r="H251" s="4">
        <f t="shared" ca="1" si="3"/>
        <v>48</v>
      </c>
      <c r="I251" s="4">
        <v>42.28</v>
      </c>
    </row>
    <row r="252" spans="1:9" x14ac:dyDescent="0.25">
      <c r="A252">
        <v>96352</v>
      </c>
      <c r="B252">
        <v>10</v>
      </c>
      <c r="C252">
        <v>12</v>
      </c>
      <c r="D252">
        <v>101</v>
      </c>
      <c r="E252" t="s">
        <v>694</v>
      </c>
      <c r="F252">
        <v>163</v>
      </c>
      <c r="G252">
        <v>0.1</v>
      </c>
      <c r="H252" s="4">
        <f t="shared" ca="1" si="3"/>
        <v>70</v>
      </c>
      <c r="I252" s="4">
        <v>76.97</v>
      </c>
    </row>
    <row r="253" spans="1:9" x14ac:dyDescent="0.25">
      <c r="A253">
        <v>86563</v>
      </c>
      <c r="B253">
        <v>59</v>
      </c>
      <c r="C253">
        <v>12</v>
      </c>
      <c r="D253">
        <v>106</v>
      </c>
      <c r="E253" t="s">
        <v>691</v>
      </c>
      <c r="F253">
        <v>36</v>
      </c>
      <c r="G253">
        <v>0</v>
      </c>
      <c r="H253" s="4">
        <f t="shared" ca="1" si="3"/>
        <v>223</v>
      </c>
      <c r="I253" s="4">
        <v>42.64</v>
      </c>
    </row>
    <row r="254" spans="1:9" x14ac:dyDescent="0.25">
      <c r="A254">
        <v>86563</v>
      </c>
      <c r="B254">
        <v>64</v>
      </c>
      <c r="C254">
        <v>12</v>
      </c>
      <c r="D254">
        <v>106</v>
      </c>
      <c r="E254" t="s">
        <v>692</v>
      </c>
      <c r="F254">
        <v>68</v>
      </c>
      <c r="G254">
        <v>0</v>
      </c>
      <c r="H254" s="4">
        <f t="shared" ca="1" si="3"/>
        <v>272</v>
      </c>
      <c r="I254" s="4">
        <v>17.600000000000001</v>
      </c>
    </row>
    <row r="255" spans="1:9" x14ac:dyDescent="0.25">
      <c r="A255">
        <v>86563</v>
      </c>
      <c r="B255">
        <v>64</v>
      </c>
      <c r="C255">
        <v>12</v>
      </c>
      <c r="D255">
        <v>101</v>
      </c>
      <c r="E255" t="s">
        <v>691</v>
      </c>
      <c r="F255">
        <v>31</v>
      </c>
      <c r="G255">
        <v>0.25</v>
      </c>
      <c r="H255" s="4">
        <f t="shared" ca="1" si="3"/>
        <v>261</v>
      </c>
      <c r="I255" s="4">
        <v>15.8</v>
      </c>
    </row>
    <row r="256" spans="1:9" x14ac:dyDescent="0.25">
      <c r="A256">
        <v>86563</v>
      </c>
      <c r="B256">
        <v>55</v>
      </c>
      <c r="C256">
        <v>12</v>
      </c>
      <c r="D256">
        <v>103</v>
      </c>
      <c r="E256" t="s">
        <v>690</v>
      </c>
      <c r="F256">
        <v>198</v>
      </c>
      <c r="G256">
        <v>0.25</v>
      </c>
      <c r="H256" s="4">
        <f t="shared" ca="1" si="3"/>
        <v>174</v>
      </c>
      <c r="I256" s="4">
        <v>70.52</v>
      </c>
    </row>
    <row r="257" spans="1:9" x14ac:dyDescent="0.25">
      <c r="A257">
        <v>48256</v>
      </c>
      <c r="B257">
        <v>24</v>
      </c>
      <c r="C257">
        <v>12</v>
      </c>
      <c r="D257">
        <v>102</v>
      </c>
      <c r="E257" t="s">
        <v>694</v>
      </c>
      <c r="F257">
        <v>211</v>
      </c>
      <c r="G257">
        <v>0</v>
      </c>
      <c r="H257" s="4">
        <f t="shared" ca="1" si="3"/>
        <v>112</v>
      </c>
      <c r="I257" s="4">
        <v>26.88</v>
      </c>
    </row>
    <row r="258" spans="1:9" x14ac:dyDescent="0.25">
      <c r="A258">
        <v>96352</v>
      </c>
      <c r="B258">
        <v>10</v>
      </c>
      <c r="C258">
        <v>12</v>
      </c>
      <c r="D258">
        <v>106</v>
      </c>
      <c r="E258" t="s">
        <v>696</v>
      </c>
      <c r="F258">
        <v>103</v>
      </c>
      <c r="G258">
        <v>0.1</v>
      </c>
      <c r="H258" s="4">
        <f t="shared" ref="H258:H321" ca="1" si="4">IF(F258&lt;=10,RANDBETWEEN(1,5),IF(F258&lt;=20,RANDBETWEEN(15,80),IF(F258&lt;=30,RANDBETWEEN(23,150),RANDBETWEEN(66,350))))</f>
        <v>300</v>
      </c>
      <c r="I258" s="4">
        <v>40.5</v>
      </c>
    </row>
    <row r="259" spans="1:9" x14ac:dyDescent="0.25">
      <c r="A259">
        <v>86563</v>
      </c>
      <c r="B259">
        <v>63</v>
      </c>
      <c r="C259">
        <v>12</v>
      </c>
      <c r="D259">
        <v>105</v>
      </c>
      <c r="E259" t="s">
        <v>699</v>
      </c>
      <c r="F259">
        <v>234</v>
      </c>
      <c r="G259">
        <v>0</v>
      </c>
      <c r="H259" s="4">
        <f t="shared" ca="1" si="4"/>
        <v>241</v>
      </c>
      <c r="I259" s="4">
        <v>20.02</v>
      </c>
    </row>
    <row r="260" spans="1:9" x14ac:dyDescent="0.25">
      <c r="A260">
        <v>48256</v>
      </c>
      <c r="B260">
        <v>11</v>
      </c>
      <c r="C260">
        <v>12</v>
      </c>
      <c r="D260">
        <v>106</v>
      </c>
      <c r="E260" t="s">
        <v>693</v>
      </c>
      <c r="F260">
        <v>194</v>
      </c>
      <c r="G260">
        <v>0</v>
      </c>
      <c r="H260" s="4">
        <f t="shared" ca="1" si="4"/>
        <v>248</v>
      </c>
      <c r="I260" s="4">
        <v>41.6</v>
      </c>
    </row>
    <row r="261" spans="1:9" x14ac:dyDescent="0.25">
      <c r="A261">
        <v>86563</v>
      </c>
      <c r="B261">
        <v>66</v>
      </c>
      <c r="C261">
        <v>12</v>
      </c>
      <c r="D261">
        <v>105</v>
      </c>
      <c r="E261" t="s">
        <v>692</v>
      </c>
      <c r="F261">
        <v>155</v>
      </c>
      <c r="G261">
        <v>0.1</v>
      </c>
      <c r="H261" s="4">
        <f t="shared" ca="1" si="4"/>
        <v>86</v>
      </c>
      <c r="I261" s="4">
        <v>65.8</v>
      </c>
    </row>
    <row r="262" spans="1:9" x14ac:dyDescent="0.25">
      <c r="A262">
        <v>48256</v>
      </c>
      <c r="B262">
        <v>46</v>
      </c>
      <c r="C262">
        <v>12</v>
      </c>
      <c r="D262">
        <v>103</v>
      </c>
      <c r="E262" t="s">
        <v>697</v>
      </c>
      <c r="F262">
        <v>245</v>
      </c>
      <c r="G262">
        <v>0.1</v>
      </c>
      <c r="H262" s="4">
        <f t="shared" ca="1" si="4"/>
        <v>245</v>
      </c>
      <c r="I262" s="4">
        <v>30.6</v>
      </c>
    </row>
    <row r="263" spans="1:9" x14ac:dyDescent="0.25">
      <c r="A263">
        <v>96352</v>
      </c>
      <c r="B263">
        <v>23</v>
      </c>
      <c r="C263">
        <v>12</v>
      </c>
      <c r="D263">
        <v>105</v>
      </c>
      <c r="E263" t="s">
        <v>691</v>
      </c>
      <c r="F263">
        <v>1</v>
      </c>
      <c r="G263">
        <v>0</v>
      </c>
      <c r="H263" s="4">
        <f t="shared" ca="1" si="4"/>
        <v>4</v>
      </c>
      <c r="I263" s="4">
        <v>18.8</v>
      </c>
    </row>
    <row r="264" spans="1:9" x14ac:dyDescent="0.25">
      <c r="A264">
        <v>86563</v>
      </c>
      <c r="B264">
        <v>22</v>
      </c>
      <c r="C264">
        <v>12</v>
      </c>
      <c r="D264">
        <v>101</v>
      </c>
      <c r="E264" t="s">
        <v>692</v>
      </c>
      <c r="F264">
        <v>172</v>
      </c>
      <c r="G264">
        <v>0</v>
      </c>
      <c r="H264" s="4">
        <f t="shared" ca="1" si="4"/>
        <v>253</v>
      </c>
      <c r="I264" s="4">
        <v>88.35</v>
      </c>
    </row>
    <row r="265" spans="1:9" x14ac:dyDescent="0.25">
      <c r="A265">
        <v>86563</v>
      </c>
      <c r="B265">
        <v>3</v>
      </c>
      <c r="C265">
        <v>12</v>
      </c>
      <c r="D265">
        <v>106</v>
      </c>
      <c r="E265" t="s">
        <v>691</v>
      </c>
      <c r="F265">
        <v>106</v>
      </c>
      <c r="G265">
        <v>0.1</v>
      </c>
      <c r="H265" s="4">
        <f t="shared" ca="1" si="4"/>
        <v>97</v>
      </c>
      <c r="I265" s="4">
        <v>97.44</v>
      </c>
    </row>
    <row r="266" spans="1:9" x14ac:dyDescent="0.25">
      <c r="A266">
        <v>86563</v>
      </c>
      <c r="B266">
        <v>7</v>
      </c>
      <c r="C266">
        <v>12</v>
      </c>
      <c r="D266">
        <v>102</v>
      </c>
      <c r="E266" t="s">
        <v>693</v>
      </c>
      <c r="F266">
        <v>7</v>
      </c>
      <c r="G266">
        <v>0.25</v>
      </c>
      <c r="H266" s="4">
        <f t="shared" ca="1" si="4"/>
        <v>2</v>
      </c>
      <c r="I266" s="4">
        <v>39.75</v>
      </c>
    </row>
    <row r="267" spans="1:9" x14ac:dyDescent="0.25">
      <c r="A267">
        <v>96352</v>
      </c>
      <c r="B267">
        <v>26</v>
      </c>
      <c r="C267">
        <v>12</v>
      </c>
      <c r="D267">
        <v>108</v>
      </c>
      <c r="E267" t="s">
        <v>694</v>
      </c>
      <c r="F267">
        <v>156</v>
      </c>
      <c r="G267">
        <v>0.25</v>
      </c>
      <c r="H267" s="4">
        <f t="shared" ca="1" si="4"/>
        <v>206</v>
      </c>
      <c r="I267" s="4">
        <v>55.8</v>
      </c>
    </row>
    <row r="268" spans="1:9" x14ac:dyDescent="0.25">
      <c r="A268">
        <v>48256</v>
      </c>
      <c r="B268">
        <v>15</v>
      </c>
      <c r="C268">
        <v>12</v>
      </c>
      <c r="D268">
        <v>106</v>
      </c>
      <c r="E268" t="s">
        <v>697</v>
      </c>
      <c r="F268">
        <v>160</v>
      </c>
      <c r="G268">
        <v>0</v>
      </c>
      <c r="H268" s="4">
        <f t="shared" ca="1" si="4"/>
        <v>216</v>
      </c>
      <c r="I268" s="4">
        <v>68.88</v>
      </c>
    </row>
    <row r="269" spans="1:9" x14ac:dyDescent="0.25">
      <c r="A269">
        <v>48256</v>
      </c>
      <c r="B269">
        <v>19</v>
      </c>
      <c r="C269">
        <v>12</v>
      </c>
      <c r="D269">
        <v>102</v>
      </c>
      <c r="E269" t="s">
        <v>691</v>
      </c>
      <c r="F269">
        <v>209</v>
      </c>
      <c r="G269">
        <v>0.25</v>
      </c>
      <c r="H269" s="4">
        <f t="shared" ca="1" si="4"/>
        <v>319</v>
      </c>
      <c r="I269" s="4">
        <v>72.849999999999994</v>
      </c>
    </row>
    <row r="270" spans="1:9" x14ac:dyDescent="0.25">
      <c r="A270">
        <v>96352</v>
      </c>
      <c r="B270">
        <v>40</v>
      </c>
      <c r="C270">
        <v>12</v>
      </c>
      <c r="D270">
        <v>106</v>
      </c>
      <c r="E270" t="s">
        <v>699</v>
      </c>
      <c r="F270">
        <v>192</v>
      </c>
      <c r="G270">
        <v>0</v>
      </c>
      <c r="H270" s="4">
        <f t="shared" ca="1" si="4"/>
        <v>138</v>
      </c>
      <c r="I270" s="4">
        <v>22.08</v>
      </c>
    </row>
    <row r="271" spans="1:9" x14ac:dyDescent="0.25">
      <c r="A271">
        <v>48256</v>
      </c>
      <c r="B271">
        <v>14</v>
      </c>
      <c r="C271">
        <v>12</v>
      </c>
      <c r="D271">
        <v>104</v>
      </c>
      <c r="E271" t="s">
        <v>695</v>
      </c>
      <c r="F271">
        <v>250</v>
      </c>
      <c r="G271">
        <v>0.25</v>
      </c>
      <c r="H271" s="4">
        <f t="shared" ca="1" si="4"/>
        <v>272</v>
      </c>
      <c r="I271" s="4">
        <v>39.119999999999997</v>
      </c>
    </row>
    <row r="272" spans="1:9" x14ac:dyDescent="0.25">
      <c r="A272">
        <v>48256</v>
      </c>
      <c r="B272">
        <v>20</v>
      </c>
      <c r="C272">
        <v>12</v>
      </c>
      <c r="D272">
        <v>104</v>
      </c>
      <c r="E272" t="s">
        <v>693</v>
      </c>
      <c r="F272">
        <v>76</v>
      </c>
      <c r="G272">
        <v>0.25</v>
      </c>
      <c r="H272" s="4">
        <f t="shared" ca="1" si="4"/>
        <v>87</v>
      </c>
      <c r="I272" s="4">
        <v>84.15</v>
      </c>
    </row>
    <row r="273" spans="1:9" x14ac:dyDescent="0.25">
      <c r="A273">
        <v>86563</v>
      </c>
      <c r="B273">
        <v>67</v>
      </c>
      <c r="C273">
        <v>12</v>
      </c>
      <c r="D273">
        <v>101</v>
      </c>
      <c r="E273" t="s">
        <v>699</v>
      </c>
      <c r="F273">
        <v>88</v>
      </c>
      <c r="G273">
        <v>0.25</v>
      </c>
      <c r="H273" s="4">
        <f t="shared" ca="1" si="4"/>
        <v>206</v>
      </c>
      <c r="I273" s="4">
        <v>15.7</v>
      </c>
    </row>
    <row r="274" spans="1:9" x14ac:dyDescent="0.25">
      <c r="A274">
        <v>96352</v>
      </c>
      <c r="B274">
        <v>3</v>
      </c>
      <c r="C274">
        <v>12</v>
      </c>
      <c r="D274">
        <v>104</v>
      </c>
      <c r="E274" t="s">
        <v>698</v>
      </c>
      <c r="F274">
        <v>149</v>
      </c>
      <c r="G274">
        <v>0</v>
      </c>
      <c r="H274" s="4">
        <f t="shared" ca="1" si="4"/>
        <v>68</v>
      </c>
      <c r="I274" s="4">
        <v>77.010000000000005</v>
      </c>
    </row>
    <row r="275" spans="1:9" x14ac:dyDescent="0.25">
      <c r="A275">
        <v>96352</v>
      </c>
      <c r="B275">
        <v>51</v>
      </c>
      <c r="C275">
        <v>12</v>
      </c>
      <c r="D275">
        <v>103</v>
      </c>
      <c r="E275" t="s">
        <v>700</v>
      </c>
      <c r="F275">
        <v>57</v>
      </c>
      <c r="G275">
        <v>0</v>
      </c>
      <c r="H275" s="4">
        <f t="shared" ca="1" si="4"/>
        <v>265</v>
      </c>
      <c r="I275" s="4">
        <v>25.35</v>
      </c>
    </row>
    <row r="276" spans="1:9" x14ac:dyDescent="0.25">
      <c r="A276">
        <v>96352</v>
      </c>
      <c r="B276">
        <v>8</v>
      </c>
      <c r="C276">
        <v>12</v>
      </c>
      <c r="D276">
        <v>106</v>
      </c>
      <c r="E276" t="s">
        <v>693</v>
      </c>
      <c r="F276">
        <v>143</v>
      </c>
      <c r="G276">
        <v>0.25</v>
      </c>
      <c r="H276" s="4">
        <f t="shared" ca="1" si="4"/>
        <v>111</v>
      </c>
      <c r="I276" s="4">
        <v>37.18</v>
      </c>
    </row>
    <row r="277" spans="1:9" x14ac:dyDescent="0.25">
      <c r="A277">
        <v>48256</v>
      </c>
      <c r="B277">
        <v>52</v>
      </c>
      <c r="C277">
        <v>12</v>
      </c>
      <c r="D277">
        <v>104</v>
      </c>
      <c r="E277" t="s">
        <v>690</v>
      </c>
      <c r="F277">
        <v>56</v>
      </c>
      <c r="G277">
        <v>0</v>
      </c>
      <c r="H277" s="4">
        <f t="shared" ca="1" si="4"/>
        <v>350</v>
      </c>
      <c r="I277" s="4">
        <v>52.08</v>
      </c>
    </row>
    <row r="278" spans="1:9" x14ac:dyDescent="0.25">
      <c r="A278">
        <v>48256</v>
      </c>
      <c r="B278">
        <v>66</v>
      </c>
      <c r="C278">
        <v>12</v>
      </c>
      <c r="D278">
        <v>106</v>
      </c>
      <c r="E278" t="s">
        <v>693</v>
      </c>
      <c r="F278">
        <v>70</v>
      </c>
      <c r="G278">
        <v>0.25</v>
      </c>
      <c r="H278" s="4">
        <f t="shared" ca="1" si="4"/>
        <v>202</v>
      </c>
      <c r="I278" s="4">
        <v>59.57</v>
      </c>
    </row>
    <row r="279" spans="1:9" x14ac:dyDescent="0.25">
      <c r="A279">
        <v>86563</v>
      </c>
      <c r="B279">
        <v>7</v>
      </c>
      <c r="C279">
        <v>12</v>
      </c>
      <c r="D279">
        <v>106</v>
      </c>
      <c r="E279" t="s">
        <v>699</v>
      </c>
      <c r="F279">
        <v>111</v>
      </c>
      <c r="G279">
        <v>0.25</v>
      </c>
      <c r="H279" s="4">
        <f t="shared" ca="1" si="4"/>
        <v>326</v>
      </c>
      <c r="I279" s="4">
        <v>36.340000000000003</v>
      </c>
    </row>
    <row r="280" spans="1:9" x14ac:dyDescent="0.25">
      <c r="A280">
        <v>96352</v>
      </c>
      <c r="B280">
        <v>21</v>
      </c>
      <c r="C280">
        <v>12</v>
      </c>
      <c r="D280">
        <v>101</v>
      </c>
      <c r="E280" t="s">
        <v>693</v>
      </c>
      <c r="F280">
        <v>97</v>
      </c>
      <c r="G280">
        <v>0.1</v>
      </c>
      <c r="H280" s="4">
        <f t="shared" ca="1" si="4"/>
        <v>146</v>
      </c>
      <c r="I280" s="4">
        <v>92.12</v>
      </c>
    </row>
    <row r="281" spans="1:9" x14ac:dyDescent="0.25">
      <c r="A281">
        <v>48256</v>
      </c>
      <c r="B281">
        <v>25</v>
      </c>
      <c r="C281">
        <v>12</v>
      </c>
      <c r="D281">
        <v>102</v>
      </c>
      <c r="E281" t="s">
        <v>692</v>
      </c>
      <c r="F281">
        <v>238</v>
      </c>
      <c r="G281">
        <v>0.1</v>
      </c>
      <c r="H281" s="4">
        <f t="shared" ca="1" si="4"/>
        <v>198</v>
      </c>
      <c r="I281" s="4">
        <v>83.6</v>
      </c>
    </row>
    <row r="282" spans="1:9" x14ac:dyDescent="0.25">
      <c r="A282">
        <v>96352</v>
      </c>
      <c r="B282">
        <v>43</v>
      </c>
      <c r="C282">
        <v>12</v>
      </c>
      <c r="D282">
        <v>108</v>
      </c>
      <c r="E282" t="s">
        <v>698</v>
      </c>
      <c r="F282">
        <v>29</v>
      </c>
      <c r="G282">
        <v>0</v>
      </c>
      <c r="H282" s="4">
        <f t="shared" ca="1" si="4"/>
        <v>97</v>
      </c>
      <c r="I282" s="4">
        <v>67.47</v>
      </c>
    </row>
    <row r="283" spans="1:9" x14ac:dyDescent="0.25">
      <c r="A283">
        <v>86563</v>
      </c>
      <c r="B283">
        <v>45</v>
      </c>
      <c r="C283">
        <v>12</v>
      </c>
      <c r="D283">
        <v>102</v>
      </c>
      <c r="E283" t="s">
        <v>700</v>
      </c>
      <c r="F283">
        <v>189</v>
      </c>
      <c r="G283">
        <v>0</v>
      </c>
      <c r="H283" s="4">
        <f t="shared" ca="1" si="4"/>
        <v>240</v>
      </c>
      <c r="I283" s="4">
        <v>39.33</v>
      </c>
    </row>
    <row r="284" spans="1:9" x14ac:dyDescent="0.25">
      <c r="A284">
        <v>96352</v>
      </c>
      <c r="B284">
        <v>70</v>
      </c>
      <c r="C284">
        <v>12</v>
      </c>
      <c r="D284">
        <v>105</v>
      </c>
      <c r="E284" t="s">
        <v>696</v>
      </c>
      <c r="F284">
        <v>41</v>
      </c>
      <c r="G284">
        <v>0</v>
      </c>
      <c r="H284" s="4">
        <f t="shared" ca="1" si="4"/>
        <v>281</v>
      </c>
      <c r="I284" s="4">
        <v>46.44</v>
      </c>
    </row>
    <row r="285" spans="1:9" x14ac:dyDescent="0.25">
      <c r="A285">
        <v>86563</v>
      </c>
      <c r="B285">
        <v>11</v>
      </c>
      <c r="C285">
        <v>12</v>
      </c>
      <c r="D285">
        <v>108</v>
      </c>
      <c r="E285" t="s">
        <v>693</v>
      </c>
      <c r="F285">
        <v>50</v>
      </c>
      <c r="G285">
        <v>0</v>
      </c>
      <c r="H285" s="4">
        <f t="shared" ca="1" si="4"/>
        <v>149</v>
      </c>
      <c r="I285" s="4">
        <v>67.680000000000007</v>
      </c>
    </row>
    <row r="286" spans="1:9" x14ac:dyDescent="0.25">
      <c r="A286">
        <v>86563</v>
      </c>
      <c r="B286">
        <v>17</v>
      </c>
      <c r="C286">
        <v>12</v>
      </c>
      <c r="D286">
        <v>101</v>
      </c>
      <c r="E286" t="s">
        <v>690</v>
      </c>
      <c r="F286">
        <v>181</v>
      </c>
      <c r="G286">
        <v>0</v>
      </c>
      <c r="H286" s="4">
        <f t="shared" ca="1" si="4"/>
        <v>194</v>
      </c>
      <c r="I286" s="4">
        <v>98.82</v>
      </c>
    </row>
    <row r="287" spans="1:9" x14ac:dyDescent="0.25">
      <c r="A287">
        <v>48256</v>
      </c>
      <c r="B287">
        <v>66</v>
      </c>
      <c r="C287">
        <v>12</v>
      </c>
      <c r="D287">
        <v>106</v>
      </c>
      <c r="E287" t="s">
        <v>698</v>
      </c>
      <c r="F287">
        <v>10</v>
      </c>
      <c r="G287">
        <v>0</v>
      </c>
      <c r="H287" s="4">
        <f t="shared" ca="1" si="4"/>
        <v>1</v>
      </c>
      <c r="I287" s="4">
        <v>72.569999999999993</v>
      </c>
    </row>
    <row r="288" spans="1:9" x14ac:dyDescent="0.25">
      <c r="A288">
        <v>96352</v>
      </c>
      <c r="B288">
        <v>8</v>
      </c>
      <c r="C288">
        <v>12</v>
      </c>
      <c r="D288">
        <v>108</v>
      </c>
      <c r="E288" t="s">
        <v>700</v>
      </c>
      <c r="F288">
        <v>99</v>
      </c>
      <c r="G288">
        <v>0.1</v>
      </c>
      <c r="H288" s="4">
        <f t="shared" ca="1" si="4"/>
        <v>156</v>
      </c>
      <c r="I288" s="4">
        <v>78.72</v>
      </c>
    </row>
    <row r="289" spans="1:9" x14ac:dyDescent="0.25">
      <c r="A289">
        <v>86563</v>
      </c>
      <c r="B289">
        <v>31</v>
      </c>
      <c r="C289">
        <v>12</v>
      </c>
      <c r="D289">
        <v>103</v>
      </c>
      <c r="E289" t="s">
        <v>694</v>
      </c>
      <c r="F289">
        <v>170</v>
      </c>
      <c r="G289">
        <v>0</v>
      </c>
      <c r="H289" s="4">
        <f t="shared" ca="1" si="4"/>
        <v>91</v>
      </c>
      <c r="I289" s="4">
        <v>37.49</v>
      </c>
    </row>
    <row r="290" spans="1:9" x14ac:dyDescent="0.25">
      <c r="A290">
        <v>48256</v>
      </c>
      <c r="B290">
        <v>34</v>
      </c>
      <c r="C290">
        <v>12</v>
      </c>
      <c r="D290">
        <v>104</v>
      </c>
      <c r="E290" t="s">
        <v>697</v>
      </c>
      <c r="F290">
        <v>177</v>
      </c>
      <c r="G290">
        <v>0.1</v>
      </c>
      <c r="H290" s="4">
        <f t="shared" ca="1" si="4"/>
        <v>185</v>
      </c>
      <c r="I290" s="4">
        <v>85.25</v>
      </c>
    </row>
    <row r="291" spans="1:9" x14ac:dyDescent="0.25">
      <c r="A291">
        <v>96352</v>
      </c>
      <c r="B291">
        <v>6</v>
      </c>
      <c r="C291">
        <v>12</v>
      </c>
      <c r="D291">
        <v>107</v>
      </c>
      <c r="E291" t="s">
        <v>693</v>
      </c>
      <c r="F291">
        <v>123</v>
      </c>
      <c r="G291">
        <v>0</v>
      </c>
      <c r="H291" s="4">
        <f t="shared" ca="1" si="4"/>
        <v>188</v>
      </c>
      <c r="I291" s="4">
        <v>85.26</v>
      </c>
    </row>
    <row r="292" spans="1:9" x14ac:dyDescent="0.25">
      <c r="A292">
        <v>96352</v>
      </c>
      <c r="B292">
        <v>23</v>
      </c>
      <c r="C292">
        <v>12</v>
      </c>
      <c r="D292">
        <v>107</v>
      </c>
      <c r="E292" t="s">
        <v>691</v>
      </c>
      <c r="F292">
        <v>124</v>
      </c>
      <c r="G292">
        <v>0</v>
      </c>
      <c r="H292" s="4">
        <f t="shared" ca="1" si="4"/>
        <v>185</v>
      </c>
      <c r="I292" s="4">
        <v>51.77</v>
      </c>
    </row>
    <row r="293" spans="1:9" x14ac:dyDescent="0.25">
      <c r="A293">
        <v>86563</v>
      </c>
      <c r="B293">
        <v>36</v>
      </c>
      <c r="C293">
        <v>12</v>
      </c>
      <c r="D293">
        <v>102</v>
      </c>
      <c r="E293" t="s">
        <v>700</v>
      </c>
      <c r="F293">
        <v>94</v>
      </c>
      <c r="G293">
        <v>0.1</v>
      </c>
      <c r="H293" s="4">
        <f t="shared" ca="1" si="4"/>
        <v>260</v>
      </c>
      <c r="I293" s="4">
        <v>64.930000000000007</v>
      </c>
    </row>
    <row r="294" spans="1:9" x14ac:dyDescent="0.25">
      <c r="A294">
        <v>86563</v>
      </c>
      <c r="B294">
        <v>16</v>
      </c>
      <c r="C294">
        <v>12</v>
      </c>
      <c r="D294">
        <v>102</v>
      </c>
      <c r="E294" t="s">
        <v>698</v>
      </c>
      <c r="F294">
        <v>137</v>
      </c>
      <c r="G294">
        <v>0</v>
      </c>
      <c r="H294" s="4">
        <f t="shared" ca="1" si="4"/>
        <v>211</v>
      </c>
      <c r="I294" s="4">
        <v>87.36</v>
      </c>
    </row>
    <row r="295" spans="1:9" x14ac:dyDescent="0.25">
      <c r="A295">
        <v>86563</v>
      </c>
      <c r="B295">
        <v>67</v>
      </c>
      <c r="C295">
        <v>12</v>
      </c>
      <c r="D295">
        <v>103</v>
      </c>
      <c r="E295" t="s">
        <v>696</v>
      </c>
      <c r="F295">
        <v>195</v>
      </c>
      <c r="G295">
        <v>0.1</v>
      </c>
      <c r="H295" s="4">
        <f t="shared" ca="1" si="4"/>
        <v>236</v>
      </c>
      <c r="I295" s="4">
        <v>28.35</v>
      </c>
    </row>
    <row r="296" spans="1:9" x14ac:dyDescent="0.25">
      <c r="A296">
        <v>96352</v>
      </c>
      <c r="B296">
        <v>30</v>
      </c>
      <c r="C296">
        <v>12</v>
      </c>
      <c r="D296">
        <v>105</v>
      </c>
      <c r="E296" t="s">
        <v>690</v>
      </c>
      <c r="F296">
        <v>68</v>
      </c>
      <c r="G296">
        <v>0.1</v>
      </c>
      <c r="H296" s="4">
        <f t="shared" ca="1" si="4"/>
        <v>329</v>
      </c>
      <c r="I296" s="4">
        <v>82.81</v>
      </c>
    </row>
    <row r="297" spans="1:9" x14ac:dyDescent="0.25">
      <c r="A297">
        <v>96352</v>
      </c>
      <c r="B297">
        <v>39</v>
      </c>
      <c r="C297">
        <v>12</v>
      </c>
      <c r="D297">
        <v>107</v>
      </c>
      <c r="E297" t="s">
        <v>697</v>
      </c>
      <c r="F297">
        <v>64</v>
      </c>
      <c r="G297">
        <v>0.25</v>
      </c>
      <c r="H297" s="4">
        <f t="shared" ca="1" si="4"/>
        <v>191</v>
      </c>
      <c r="I297" s="4">
        <v>21.58</v>
      </c>
    </row>
    <row r="298" spans="1:9" x14ac:dyDescent="0.25">
      <c r="A298">
        <v>86563</v>
      </c>
      <c r="B298">
        <v>6</v>
      </c>
      <c r="C298">
        <v>12</v>
      </c>
      <c r="D298">
        <v>105</v>
      </c>
      <c r="E298" t="s">
        <v>700</v>
      </c>
      <c r="F298">
        <v>218</v>
      </c>
      <c r="G298">
        <v>0.1</v>
      </c>
      <c r="H298" s="4">
        <f t="shared" ca="1" si="4"/>
        <v>265</v>
      </c>
      <c r="I298" s="4">
        <v>28.98</v>
      </c>
    </row>
    <row r="299" spans="1:9" x14ac:dyDescent="0.25">
      <c r="A299">
        <v>48256</v>
      </c>
      <c r="B299">
        <v>11</v>
      </c>
      <c r="C299">
        <v>12</v>
      </c>
      <c r="D299">
        <v>105</v>
      </c>
      <c r="E299" t="s">
        <v>699</v>
      </c>
      <c r="F299">
        <v>188</v>
      </c>
      <c r="G299">
        <v>0</v>
      </c>
      <c r="H299" s="4">
        <f t="shared" ca="1" si="4"/>
        <v>260</v>
      </c>
      <c r="I299" s="4">
        <v>92.91</v>
      </c>
    </row>
    <row r="300" spans="1:9" x14ac:dyDescent="0.25">
      <c r="A300">
        <v>48256</v>
      </c>
      <c r="B300">
        <v>39</v>
      </c>
      <c r="C300">
        <v>12</v>
      </c>
      <c r="D300">
        <v>104</v>
      </c>
      <c r="E300" t="s">
        <v>694</v>
      </c>
      <c r="F300">
        <v>235</v>
      </c>
      <c r="G300">
        <v>0</v>
      </c>
      <c r="H300" s="4">
        <f t="shared" ca="1" si="4"/>
        <v>297</v>
      </c>
      <c r="I300" s="4">
        <v>94.08</v>
      </c>
    </row>
    <row r="301" spans="1:9" x14ac:dyDescent="0.25">
      <c r="A301">
        <v>86563</v>
      </c>
      <c r="B301">
        <v>43</v>
      </c>
      <c r="C301">
        <v>12</v>
      </c>
      <c r="D301">
        <v>104</v>
      </c>
      <c r="E301" t="s">
        <v>699</v>
      </c>
      <c r="F301">
        <v>61</v>
      </c>
      <c r="G301">
        <v>0.25</v>
      </c>
      <c r="H301" s="4">
        <f t="shared" ca="1" si="4"/>
        <v>286</v>
      </c>
      <c r="I301" s="4">
        <v>15</v>
      </c>
    </row>
    <row r="302" spans="1:9" x14ac:dyDescent="0.25">
      <c r="A302">
        <v>86563</v>
      </c>
      <c r="B302">
        <v>33</v>
      </c>
      <c r="C302">
        <v>12</v>
      </c>
      <c r="D302">
        <v>102</v>
      </c>
      <c r="E302" t="s">
        <v>698</v>
      </c>
      <c r="F302">
        <v>203</v>
      </c>
      <c r="G302">
        <v>0.25</v>
      </c>
      <c r="H302" s="4">
        <f t="shared" ca="1" si="4"/>
        <v>309</v>
      </c>
      <c r="I302" s="4">
        <v>89.04</v>
      </c>
    </row>
    <row r="303" spans="1:9" x14ac:dyDescent="0.25">
      <c r="A303">
        <v>48256</v>
      </c>
      <c r="B303">
        <v>58</v>
      </c>
      <c r="C303">
        <v>12</v>
      </c>
      <c r="D303">
        <v>101</v>
      </c>
      <c r="E303" t="s">
        <v>693</v>
      </c>
      <c r="F303">
        <v>99</v>
      </c>
      <c r="G303">
        <v>0.1</v>
      </c>
      <c r="H303" s="4">
        <f t="shared" ca="1" si="4"/>
        <v>321</v>
      </c>
      <c r="I303" s="4">
        <v>70.95</v>
      </c>
    </row>
    <row r="304" spans="1:9" x14ac:dyDescent="0.25">
      <c r="A304">
        <v>96352</v>
      </c>
      <c r="B304">
        <v>7</v>
      </c>
      <c r="C304">
        <v>12</v>
      </c>
      <c r="D304">
        <v>102</v>
      </c>
      <c r="E304" t="s">
        <v>693</v>
      </c>
      <c r="F304">
        <v>122</v>
      </c>
      <c r="G304">
        <v>0.25</v>
      </c>
      <c r="H304" s="4">
        <f t="shared" ca="1" si="4"/>
        <v>206</v>
      </c>
      <c r="I304" s="4">
        <v>18</v>
      </c>
    </row>
    <row r="305" spans="1:9" x14ac:dyDescent="0.25">
      <c r="A305">
        <v>48256</v>
      </c>
      <c r="B305">
        <v>54</v>
      </c>
      <c r="C305">
        <v>12</v>
      </c>
      <c r="D305">
        <v>104</v>
      </c>
      <c r="E305" t="s">
        <v>694</v>
      </c>
      <c r="F305">
        <v>80</v>
      </c>
      <c r="G305">
        <v>0.1</v>
      </c>
      <c r="H305" s="4">
        <f t="shared" ca="1" si="4"/>
        <v>147</v>
      </c>
      <c r="I305" s="4">
        <v>64.08</v>
      </c>
    </row>
    <row r="306" spans="1:9" x14ac:dyDescent="0.25">
      <c r="A306">
        <v>48256</v>
      </c>
      <c r="B306">
        <v>57</v>
      </c>
      <c r="C306">
        <v>12</v>
      </c>
      <c r="D306">
        <v>102</v>
      </c>
      <c r="E306" t="s">
        <v>694</v>
      </c>
      <c r="F306">
        <v>65</v>
      </c>
      <c r="G306">
        <v>0</v>
      </c>
      <c r="H306" s="4">
        <f t="shared" ca="1" si="4"/>
        <v>296</v>
      </c>
      <c r="I306" s="4">
        <v>84.18</v>
      </c>
    </row>
    <row r="307" spans="1:9" x14ac:dyDescent="0.25">
      <c r="A307">
        <v>48256</v>
      </c>
      <c r="B307">
        <v>4</v>
      </c>
      <c r="C307">
        <v>12</v>
      </c>
      <c r="D307">
        <v>101</v>
      </c>
      <c r="E307" t="s">
        <v>690</v>
      </c>
      <c r="F307">
        <v>71</v>
      </c>
      <c r="G307">
        <v>0</v>
      </c>
      <c r="H307" s="4">
        <f t="shared" ca="1" si="4"/>
        <v>317</v>
      </c>
      <c r="I307" s="4">
        <v>85.17</v>
      </c>
    </row>
    <row r="308" spans="1:9" x14ac:dyDescent="0.25">
      <c r="A308">
        <v>96352</v>
      </c>
      <c r="B308">
        <v>15</v>
      </c>
      <c r="C308">
        <v>12</v>
      </c>
      <c r="D308">
        <v>107</v>
      </c>
      <c r="E308" t="s">
        <v>698</v>
      </c>
      <c r="F308">
        <v>128</v>
      </c>
      <c r="G308">
        <v>0</v>
      </c>
      <c r="H308" s="4">
        <f t="shared" ca="1" si="4"/>
        <v>321</v>
      </c>
      <c r="I308" s="4">
        <v>33.81</v>
      </c>
    </row>
    <row r="309" spans="1:9" x14ac:dyDescent="0.25">
      <c r="A309">
        <v>96352</v>
      </c>
      <c r="B309">
        <v>30</v>
      </c>
      <c r="C309">
        <v>12</v>
      </c>
      <c r="D309">
        <v>103</v>
      </c>
      <c r="E309" t="s">
        <v>698</v>
      </c>
      <c r="F309">
        <v>60</v>
      </c>
      <c r="G309">
        <v>0.25</v>
      </c>
      <c r="H309" s="4">
        <f t="shared" ca="1" si="4"/>
        <v>140</v>
      </c>
      <c r="I309" s="4">
        <v>41.75</v>
      </c>
    </row>
    <row r="310" spans="1:9" x14ac:dyDescent="0.25">
      <c r="A310">
        <v>96352</v>
      </c>
      <c r="B310">
        <v>42</v>
      </c>
      <c r="C310">
        <v>12</v>
      </c>
      <c r="D310">
        <v>101</v>
      </c>
      <c r="E310" t="s">
        <v>692</v>
      </c>
      <c r="F310">
        <v>55</v>
      </c>
      <c r="G310">
        <v>0.1</v>
      </c>
      <c r="H310" s="4">
        <f t="shared" ca="1" si="4"/>
        <v>285</v>
      </c>
      <c r="I310" s="4">
        <v>67.64</v>
      </c>
    </row>
    <row r="311" spans="1:9" x14ac:dyDescent="0.25">
      <c r="A311">
        <v>86563</v>
      </c>
      <c r="B311">
        <v>9</v>
      </c>
      <c r="C311">
        <v>12</v>
      </c>
      <c r="D311">
        <v>101</v>
      </c>
      <c r="E311" t="s">
        <v>697</v>
      </c>
      <c r="F311">
        <v>9</v>
      </c>
      <c r="G311">
        <v>0</v>
      </c>
      <c r="H311" s="4">
        <f t="shared" ca="1" si="4"/>
        <v>3</v>
      </c>
      <c r="I311" s="4">
        <v>42.66</v>
      </c>
    </row>
    <row r="312" spans="1:9" x14ac:dyDescent="0.25">
      <c r="A312">
        <v>86563</v>
      </c>
      <c r="B312">
        <v>21</v>
      </c>
      <c r="C312">
        <v>12</v>
      </c>
      <c r="D312">
        <v>102</v>
      </c>
      <c r="E312" t="s">
        <v>691</v>
      </c>
      <c r="F312">
        <v>120</v>
      </c>
      <c r="G312">
        <v>0</v>
      </c>
      <c r="H312" s="4">
        <f t="shared" ca="1" si="4"/>
        <v>316</v>
      </c>
      <c r="I312" s="4">
        <v>32.549999999999997</v>
      </c>
    </row>
    <row r="313" spans="1:9" x14ac:dyDescent="0.25">
      <c r="A313">
        <v>86563</v>
      </c>
      <c r="B313">
        <v>7</v>
      </c>
      <c r="C313">
        <v>12</v>
      </c>
      <c r="D313">
        <v>108</v>
      </c>
      <c r="E313" t="s">
        <v>692</v>
      </c>
      <c r="F313">
        <v>6</v>
      </c>
      <c r="G313">
        <v>0.25</v>
      </c>
      <c r="H313" s="4">
        <f t="shared" ca="1" si="4"/>
        <v>5</v>
      </c>
      <c r="I313" s="4">
        <v>82.25</v>
      </c>
    </row>
    <row r="314" spans="1:9" x14ac:dyDescent="0.25">
      <c r="A314">
        <v>48256</v>
      </c>
      <c r="B314">
        <v>28</v>
      </c>
      <c r="C314">
        <v>12</v>
      </c>
      <c r="D314">
        <v>105</v>
      </c>
      <c r="E314" t="s">
        <v>693</v>
      </c>
      <c r="F314">
        <v>28</v>
      </c>
      <c r="G314">
        <v>0</v>
      </c>
      <c r="H314" s="4">
        <f t="shared" ca="1" si="4"/>
        <v>47</v>
      </c>
      <c r="I314" s="4">
        <v>57.92</v>
      </c>
    </row>
    <row r="315" spans="1:9" x14ac:dyDescent="0.25">
      <c r="A315">
        <v>86563</v>
      </c>
      <c r="B315">
        <v>4</v>
      </c>
      <c r="C315">
        <v>12</v>
      </c>
      <c r="D315">
        <v>105</v>
      </c>
      <c r="E315" t="s">
        <v>700</v>
      </c>
      <c r="F315">
        <v>153</v>
      </c>
      <c r="G315">
        <v>0</v>
      </c>
      <c r="H315" s="4">
        <f t="shared" ca="1" si="4"/>
        <v>182</v>
      </c>
      <c r="I315" s="4">
        <v>56.4</v>
      </c>
    </row>
    <row r="316" spans="1:9" x14ac:dyDescent="0.25">
      <c r="A316">
        <v>96352</v>
      </c>
      <c r="B316">
        <v>61</v>
      </c>
      <c r="C316">
        <v>12</v>
      </c>
      <c r="D316">
        <v>105</v>
      </c>
      <c r="E316" t="s">
        <v>696</v>
      </c>
      <c r="F316">
        <v>199</v>
      </c>
      <c r="G316">
        <v>0</v>
      </c>
      <c r="H316" s="4">
        <f t="shared" ca="1" si="4"/>
        <v>184</v>
      </c>
      <c r="I316" s="4">
        <v>88.36</v>
      </c>
    </row>
    <row r="317" spans="1:9" x14ac:dyDescent="0.25">
      <c r="A317">
        <v>86563</v>
      </c>
      <c r="B317">
        <v>48</v>
      </c>
      <c r="C317">
        <v>12</v>
      </c>
      <c r="D317">
        <v>104</v>
      </c>
      <c r="E317" t="s">
        <v>700</v>
      </c>
      <c r="F317">
        <v>161</v>
      </c>
      <c r="G317">
        <v>0.25</v>
      </c>
      <c r="H317" s="4">
        <f t="shared" ca="1" si="4"/>
        <v>210</v>
      </c>
      <c r="I317" s="4">
        <v>77.28</v>
      </c>
    </row>
    <row r="318" spans="1:9" x14ac:dyDescent="0.25">
      <c r="A318">
        <v>48256</v>
      </c>
      <c r="B318">
        <v>51</v>
      </c>
      <c r="C318">
        <v>12</v>
      </c>
      <c r="D318">
        <v>106</v>
      </c>
      <c r="E318" t="s">
        <v>692</v>
      </c>
      <c r="F318">
        <v>152</v>
      </c>
      <c r="G318">
        <v>0.1</v>
      </c>
      <c r="H318" s="4">
        <f t="shared" ca="1" si="4"/>
        <v>189</v>
      </c>
      <c r="I318" s="4">
        <v>37.380000000000003</v>
      </c>
    </row>
    <row r="319" spans="1:9" x14ac:dyDescent="0.25">
      <c r="A319">
        <v>86563</v>
      </c>
      <c r="B319">
        <v>28</v>
      </c>
      <c r="C319">
        <v>12</v>
      </c>
      <c r="D319">
        <v>103</v>
      </c>
      <c r="E319" t="s">
        <v>698</v>
      </c>
      <c r="F319">
        <v>40</v>
      </c>
      <c r="G319">
        <v>0.25</v>
      </c>
      <c r="H319" s="4">
        <f t="shared" ca="1" si="4"/>
        <v>185</v>
      </c>
      <c r="I319" s="4">
        <v>45.5</v>
      </c>
    </row>
    <row r="320" spans="1:9" x14ac:dyDescent="0.25">
      <c r="A320">
        <v>96352</v>
      </c>
      <c r="B320">
        <v>16</v>
      </c>
      <c r="C320">
        <v>12</v>
      </c>
      <c r="D320">
        <v>107</v>
      </c>
      <c r="E320" t="s">
        <v>699</v>
      </c>
      <c r="F320">
        <v>229</v>
      </c>
      <c r="G320">
        <v>0</v>
      </c>
      <c r="H320" s="4">
        <f t="shared" ca="1" si="4"/>
        <v>281</v>
      </c>
      <c r="I320" s="4">
        <v>96.17</v>
      </c>
    </row>
    <row r="321" spans="1:9" x14ac:dyDescent="0.25">
      <c r="A321">
        <v>86563</v>
      </c>
      <c r="B321">
        <v>40</v>
      </c>
      <c r="C321">
        <v>12</v>
      </c>
      <c r="D321">
        <v>101</v>
      </c>
      <c r="E321" t="s">
        <v>700</v>
      </c>
      <c r="F321">
        <v>182</v>
      </c>
      <c r="G321">
        <v>0.25</v>
      </c>
      <c r="H321" s="4">
        <f t="shared" ca="1" si="4"/>
        <v>184</v>
      </c>
      <c r="I321" s="4">
        <v>32.58</v>
      </c>
    </row>
    <row r="322" spans="1:9" x14ac:dyDescent="0.25">
      <c r="A322">
        <v>96352</v>
      </c>
      <c r="B322">
        <v>58</v>
      </c>
      <c r="C322">
        <v>12</v>
      </c>
      <c r="D322">
        <v>101</v>
      </c>
      <c r="E322" t="s">
        <v>693</v>
      </c>
      <c r="F322">
        <v>240</v>
      </c>
      <c r="G322">
        <v>0.25</v>
      </c>
      <c r="H322" s="4">
        <f t="shared" ref="H322:H385" ca="1" si="5">IF(F322&lt;=10,RANDBETWEEN(1,5),IF(F322&lt;=20,RANDBETWEEN(15,80),IF(F322&lt;=30,RANDBETWEEN(23,150),RANDBETWEEN(66,350))))</f>
        <v>347</v>
      </c>
      <c r="I322" s="4">
        <v>18.100000000000001</v>
      </c>
    </row>
    <row r="323" spans="1:9" x14ac:dyDescent="0.25">
      <c r="A323">
        <v>48256</v>
      </c>
      <c r="B323">
        <v>32</v>
      </c>
      <c r="C323">
        <v>12</v>
      </c>
      <c r="D323">
        <v>101</v>
      </c>
      <c r="E323" t="s">
        <v>691</v>
      </c>
      <c r="F323">
        <v>4</v>
      </c>
      <c r="G323">
        <v>0</v>
      </c>
      <c r="H323" s="4">
        <f t="shared" ca="1" si="5"/>
        <v>5</v>
      </c>
      <c r="I323" s="4">
        <v>26.86</v>
      </c>
    </row>
    <row r="324" spans="1:9" x14ac:dyDescent="0.25">
      <c r="A324">
        <v>86563</v>
      </c>
      <c r="B324">
        <v>19</v>
      </c>
      <c r="C324">
        <v>12</v>
      </c>
      <c r="D324">
        <v>107</v>
      </c>
      <c r="E324" t="s">
        <v>696</v>
      </c>
      <c r="F324">
        <v>64</v>
      </c>
      <c r="G324">
        <v>0.25</v>
      </c>
      <c r="H324" s="4">
        <f t="shared" ca="1" si="5"/>
        <v>67</v>
      </c>
      <c r="I324" s="4">
        <v>42.96</v>
      </c>
    </row>
    <row r="325" spans="1:9" x14ac:dyDescent="0.25">
      <c r="A325">
        <v>86563</v>
      </c>
      <c r="B325">
        <v>13</v>
      </c>
      <c r="C325">
        <v>12</v>
      </c>
      <c r="D325">
        <v>108</v>
      </c>
      <c r="E325" t="s">
        <v>696</v>
      </c>
      <c r="F325">
        <v>219</v>
      </c>
      <c r="G325">
        <v>0.25</v>
      </c>
      <c r="H325" s="4">
        <f t="shared" ca="1" si="5"/>
        <v>320</v>
      </c>
      <c r="I325" s="4">
        <v>68.78</v>
      </c>
    </row>
    <row r="326" spans="1:9" x14ac:dyDescent="0.25">
      <c r="A326">
        <v>96352</v>
      </c>
      <c r="B326">
        <v>62</v>
      </c>
      <c r="C326">
        <v>12</v>
      </c>
      <c r="D326">
        <v>102</v>
      </c>
      <c r="E326" t="s">
        <v>692</v>
      </c>
      <c r="F326">
        <v>176</v>
      </c>
      <c r="G326">
        <v>0.1</v>
      </c>
      <c r="H326" s="4">
        <f t="shared" ca="1" si="5"/>
        <v>151</v>
      </c>
      <c r="I326" s="4">
        <v>24.15</v>
      </c>
    </row>
    <row r="327" spans="1:9" x14ac:dyDescent="0.25">
      <c r="A327">
        <v>86563</v>
      </c>
      <c r="B327">
        <v>49</v>
      </c>
      <c r="C327">
        <v>12</v>
      </c>
      <c r="D327">
        <v>102</v>
      </c>
      <c r="E327" t="s">
        <v>690</v>
      </c>
      <c r="F327">
        <v>1</v>
      </c>
      <c r="G327">
        <v>0</v>
      </c>
      <c r="H327" s="4">
        <f t="shared" ca="1" si="5"/>
        <v>3</v>
      </c>
      <c r="I327" s="4">
        <v>25.35</v>
      </c>
    </row>
    <row r="328" spans="1:9" x14ac:dyDescent="0.25">
      <c r="A328">
        <v>86563</v>
      </c>
      <c r="B328">
        <v>25</v>
      </c>
      <c r="C328">
        <v>12</v>
      </c>
      <c r="D328">
        <v>104</v>
      </c>
      <c r="E328" t="s">
        <v>694</v>
      </c>
      <c r="F328">
        <v>151</v>
      </c>
      <c r="G328">
        <v>0.25</v>
      </c>
      <c r="H328" s="4">
        <f t="shared" ca="1" si="5"/>
        <v>296</v>
      </c>
      <c r="I328" s="4">
        <v>96.46</v>
      </c>
    </row>
    <row r="329" spans="1:9" x14ac:dyDescent="0.25">
      <c r="A329">
        <v>48256</v>
      </c>
      <c r="B329">
        <v>43</v>
      </c>
      <c r="C329">
        <v>12</v>
      </c>
      <c r="D329">
        <v>103</v>
      </c>
      <c r="E329" t="s">
        <v>693</v>
      </c>
      <c r="F329">
        <v>200</v>
      </c>
      <c r="G329">
        <v>0.1</v>
      </c>
      <c r="H329" s="4">
        <f t="shared" ca="1" si="5"/>
        <v>200</v>
      </c>
      <c r="I329" s="4">
        <v>20.149999999999999</v>
      </c>
    </row>
    <row r="330" spans="1:9" x14ac:dyDescent="0.25">
      <c r="A330">
        <v>96352</v>
      </c>
      <c r="B330">
        <v>67</v>
      </c>
      <c r="C330">
        <v>12</v>
      </c>
      <c r="D330">
        <v>106</v>
      </c>
      <c r="E330" t="s">
        <v>700</v>
      </c>
      <c r="F330">
        <v>246</v>
      </c>
      <c r="G330">
        <v>0</v>
      </c>
      <c r="H330" s="4">
        <f t="shared" ca="1" si="5"/>
        <v>229</v>
      </c>
      <c r="I330" s="4">
        <v>76.930000000000007</v>
      </c>
    </row>
    <row r="331" spans="1:9" x14ac:dyDescent="0.25">
      <c r="A331">
        <v>48256</v>
      </c>
      <c r="B331">
        <v>50</v>
      </c>
      <c r="C331">
        <v>12</v>
      </c>
      <c r="D331">
        <v>102</v>
      </c>
      <c r="E331" t="s">
        <v>692</v>
      </c>
      <c r="F331">
        <v>154</v>
      </c>
      <c r="G331">
        <v>0.25</v>
      </c>
      <c r="H331" s="4">
        <f t="shared" ca="1" si="5"/>
        <v>124</v>
      </c>
      <c r="I331" s="4">
        <v>50.96</v>
      </c>
    </row>
    <row r="332" spans="1:9" x14ac:dyDescent="0.25">
      <c r="A332">
        <v>48256</v>
      </c>
      <c r="B332">
        <v>51</v>
      </c>
      <c r="C332">
        <v>12</v>
      </c>
      <c r="D332">
        <v>102</v>
      </c>
      <c r="E332" t="s">
        <v>696</v>
      </c>
      <c r="F332">
        <v>102</v>
      </c>
      <c r="G332">
        <v>0.25</v>
      </c>
      <c r="H332" s="4">
        <f t="shared" ca="1" si="5"/>
        <v>123</v>
      </c>
      <c r="I332" s="4">
        <v>34.96</v>
      </c>
    </row>
    <row r="333" spans="1:9" x14ac:dyDescent="0.25">
      <c r="A333">
        <v>86563</v>
      </c>
      <c r="B333">
        <v>49</v>
      </c>
      <c r="C333">
        <v>12</v>
      </c>
      <c r="D333">
        <v>102</v>
      </c>
      <c r="E333" t="s">
        <v>692</v>
      </c>
      <c r="F333">
        <v>5</v>
      </c>
      <c r="G333">
        <v>0.25</v>
      </c>
      <c r="H333" s="4">
        <f t="shared" ca="1" si="5"/>
        <v>3</v>
      </c>
      <c r="I333" s="4">
        <v>20.399999999999999</v>
      </c>
    </row>
    <row r="334" spans="1:9" x14ac:dyDescent="0.25">
      <c r="A334">
        <v>48256</v>
      </c>
      <c r="B334">
        <v>28</v>
      </c>
      <c r="C334">
        <v>12</v>
      </c>
      <c r="D334">
        <v>106</v>
      </c>
      <c r="E334" t="s">
        <v>699</v>
      </c>
      <c r="F334">
        <v>93</v>
      </c>
      <c r="G334">
        <v>0</v>
      </c>
      <c r="H334" s="4">
        <f t="shared" ca="1" si="5"/>
        <v>311</v>
      </c>
      <c r="I334" s="4">
        <v>37.75</v>
      </c>
    </row>
    <row r="335" spans="1:9" x14ac:dyDescent="0.25">
      <c r="A335">
        <v>48256</v>
      </c>
      <c r="B335">
        <v>5</v>
      </c>
      <c r="C335">
        <v>12</v>
      </c>
      <c r="D335">
        <v>103</v>
      </c>
      <c r="E335" t="s">
        <v>690</v>
      </c>
      <c r="F335">
        <v>207</v>
      </c>
      <c r="G335">
        <v>0.25</v>
      </c>
      <c r="H335" s="4">
        <f t="shared" ca="1" si="5"/>
        <v>96</v>
      </c>
      <c r="I335" s="4">
        <v>107.3</v>
      </c>
    </row>
    <row r="336" spans="1:9" x14ac:dyDescent="0.25">
      <c r="A336">
        <v>48256</v>
      </c>
      <c r="B336">
        <v>24</v>
      </c>
      <c r="C336">
        <v>12</v>
      </c>
      <c r="D336">
        <v>104</v>
      </c>
      <c r="E336" t="s">
        <v>693</v>
      </c>
      <c r="F336">
        <v>185</v>
      </c>
      <c r="G336">
        <v>0.1</v>
      </c>
      <c r="H336" s="4">
        <f t="shared" ca="1" si="5"/>
        <v>297</v>
      </c>
      <c r="I336" s="4">
        <v>64.400000000000006</v>
      </c>
    </row>
    <row r="337" spans="1:9" x14ac:dyDescent="0.25">
      <c r="A337">
        <v>48256</v>
      </c>
      <c r="B337">
        <v>9</v>
      </c>
      <c r="C337">
        <v>12</v>
      </c>
      <c r="D337">
        <v>102</v>
      </c>
      <c r="E337" t="s">
        <v>694</v>
      </c>
      <c r="F337">
        <v>197</v>
      </c>
      <c r="G337">
        <v>0.25</v>
      </c>
      <c r="H337" s="4">
        <f t="shared" ca="1" si="5"/>
        <v>107</v>
      </c>
      <c r="I337" s="4">
        <v>43.5</v>
      </c>
    </row>
    <row r="338" spans="1:9" x14ac:dyDescent="0.25">
      <c r="A338">
        <v>48256</v>
      </c>
      <c r="B338">
        <v>39</v>
      </c>
      <c r="C338">
        <v>12</v>
      </c>
      <c r="D338">
        <v>106</v>
      </c>
      <c r="E338" t="s">
        <v>697</v>
      </c>
      <c r="F338">
        <v>52</v>
      </c>
      <c r="G338">
        <v>0</v>
      </c>
      <c r="H338" s="4">
        <f t="shared" ca="1" si="5"/>
        <v>273</v>
      </c>
      <c r="I338" s="4">
        <v>69.92</v>
      </c>
    </row>
    <row r="339" spans="1:9" x14ac:dyDescent="0.25">
      <c r="A339">
        <v>48256</v>
      </c>
      <c r="B339">
        <v>60</v>
      </c>
      <c r="C339">
        <v>12</v>
      </c>
      <c r="D339">
        <v>102</v>
      </c>
      <c r="E339" t="s">
        <v>693</v>
      </c>
      <c r="F339">
        <v>222</v>
      </c>
      <c r="G339">
        <v>0.1</v>
      </c>
      <c r="H339" s="4">
        <f t="shared" ca="1" si="5"/>
        <v>80</v>
      </c>
      <c r="I339" s="4">
        <v>80.56</v>
      </c>
    </row>
    <row r="340" spans="1:9" x14ac:dyDescent="0.25">
      <c r="A340">
        <v>96352</v>
      </c>
      <c r="B340">
        <v>10</v>
      </c>
      <c r="C340">
        <v>12</v>
      </c>
      <c r="D340">
        <v>105</v>
      </c>
      <c r="E340" t="s">
        <v>699</v>
      </c>
      <c r="F340">
        <v>216</v>
      </c>
      <c r="G340">
        <v>0.25</v>
      </c>
      <c r="H340" s="4">
        <f t="shared" ca="1" si="5"/>
        <v>104</v>
      </c>
      <c r="I340" s="4">
        <v>19.03</v>
      </c>
    </row>
    <row r="341" spans="1:9" x14ac:dyDescent="0.25">
      <c r="A341">
        <v>96352</v>
      </c>
      <c r="B341">
        <v>27</v>
      </c>
      <c r="C341">
        <v>12</v>
      </c>
      <c r="D341">
        <v>108</v>
      </c>
      <c r="E341" t="s">
        <v>692</v>
      </c>
      <c r="F341">
        <v>8</v>
      </c>
      <c r="G341">
        <v>0.25</v>
      </c>
      <c r="H341" s="4">
        <f t="shared" ca="1" si="5"/>
        <v>4</v>
      </c>
      <c r="I341" s="4">
        <v>54.72</v>
      </c>
    </row>
    <row r="342" spans="1:9" x14ac:dyDescent="0.25">
      <c r="A342">
        <v>48256</v>
      </c>
      <c r="B342">
        <v>4</v>
      </c>
      <c r="C342">
        <v>12</v>
      </c>
      <c r="D342">
        <v>108</v>
      </c>
      <c r="E342" t="s">
        <v>692</v>
      </c>
      <c r="F342">
        <v>118</v>
      </c>
      <c r="G342">
        <v>0.25</v>
      </c>
      <c r="H342" s="4">
        <f t="shared" ca="1" si="5"/>
        <v>328</v>
      </c>
      <c r="I342" s="4">
        <v>43.68</v>
      </c>
    </row>
    <row r="343" spans="1:9" x14ac:dyDescent="0.25">
      <c r="A343">
        <v>86563</v>
      </c>
      <c r="B343">
        <v>12</v>
      </c>
      <c r="C343">
        <v>12</v>
      </c>
      <c r="D343">
        <v>108</v>
      </c>
      <c r="E343" t="s">
        <v>692</v>
      </c>
      <c r="F343">
        <v>166</v>
      </c>
      <c r="G343">
        <v>0.1</v>
      </c>
      <c r="H343" s="4">
        <f t="shared" ca="1" si="5"/>
        <v>127</v>
      </c>
      <c r="I343" s="4">
        <v>71.28</v>
      </c>
    </row>
    <row r="344" spans="1:9" x14ac:dyDescent="0.25">
      <c r="A344">
        <v>86563</v>
      </c>
      <c r="B344">
        <v>30</v>
      </c>
      <c r="C344">
        <v>12</v>
      </c>
      <c r="D344">
        <v>101</v>
      </c>
      <c r="E344" t="s">
        <v>691</v>
      </c>
      <c r="F344">
        <v>79</v>
      </c>
      <c r="G344">
        <v>0.1</v>
      </c>
      <c r="H344" s="4">
        <f t="shared" ca="1" si="5"/>
        <v>205</v>
      </c>
      <c r="I344" s="4">
        <v>101.92</v>
      </c>
    </row>
    <row r="345" spans="1:9" x14ac:dyDescent="0.25">
      <c r="A345">
        <v>86563</v>
      </c>
      <c r="B345">
        <v>24</v>
      </c>
      <c r="C345">
        <v>12</v>
      </c>
      <c r="D345">
        <v>101</v>
      </c>
      <c r="E345" t="s">
        <v>697</v>
      </c>
      <c r="F345">
        <v>217</v>
      </c>
      <c r="G345">
        <v>0.1</v>
      </c>
      <c r="H345" s="4">
        <f t="shared" ca="1" si="5"/>
        <v>148</v>
      </c>
      <c r="I345" s="4">
        <v>80.849999999999994</v>
      </c>
    </row>
    <row r="346" spans="1:9" x14ac:dyDescent="0.25">
      <c r="A346">
        <v>96352</v>
      </c>
      <c r="B346">
        <v>50</v>
      </c>
      <c r="C346">
        <v>12</v>
      </c>
      <c r="D346">
        <v>108</v>
      </c>
      <c r="E346" t="s">
        <v>695</v>
      </c>
      <c r="F346">
        <v>18</v>
      </c>
      <c r="G346">
        <v>0.25</v>
      </c>
      <c r="H346" s="4">
        <f t="shared" ca="1" si="5"/>
        <v>55</v>
      </c>
      <c r="I346" s="4">
        <v>74.73</v>
      </c>
    </row>
    <row r="347" spans="1:9" x14ac:dyDescent="0.25">
      <c r="A347">
        <v>96352</v>
      </c>
      <c r="B347">
        <v>68</v>
      </c>
      <c r="C347">
        <v>12</v>
      </c>
      <c r="D347">
        <v>107</v>
      </c>
      <c r="E347" t="s">
        <v>693</v>
      </c>
      <c r="F347">
        <v>184</v>
      </c>
      <c r="G347">
        <v>0</v>
      </c>
      <c r="H347" s="4">
        <f t="shared" ca="1" si="5"/>
        <v>314</v>
      </c>
      <c r="I347" s="4">
        <v>69.66</v>
      </c>
    </row>
    <row r="348" spans="1:9" x14ac:dyDescent="0.25">
      <c r="A348">
        <v>96352</v>
      </c>
      <c r="B348">
        <v>14</v>
      </c>
      <c r="C348">
        <v>12</v>
      </c>
      <c r="D348">
        <v>104</v>
      </c>
      <c r="E348" t="s">
        <v>699</v>
      </c>
      <c r="F348">
        <v>111</v>
      </c>
      <c r="G348">
        <v>0</v>
      </c>
      <c r="H348" s="4">
        <f t="shared" ca="1" si="5"/>
        <v>341</v>
      </c>
      <c r="I348" s="4">
        <v>24</v>
      </c>
    </row>
    <row r="349" spans="1:9" x14ac:dyDescent="0.25">
      <c r="A349">
        <v>96352</v>
      </c>
      <c r="B349">
        <v>70</v>
      </c>
      <c r="C349">
        <v>12</v>
      </c>
      <c r="D349">
        <v>104</v>
      </c>
      <c r="E349" t="s">
        <v>693</v>
      </c>
      <c r="F349">
        <v>188</v>
      </c>
      <c r="G349">
        <v>0.1</v>
      </c>
      <c r="H349" s="4">
        <f t="shared" ca="1" si="5"/>
        <v>328</v>
      </c>
      <c r="I349" s="4">
        <v>83.6</v>
      </c>
    </row>
    <row r="350" spans="1:9" x14ac:dyDescent="0.25">
      <c r="A350">
        <v>48256</v>
      </c>
      <c r="B350">
        <v>13</v>
      </c>
      <c r="C350">
        <v>12</v>
      </c>
      <c r="D350">
        <v>104</v>
      </c>
      <c r="E350" t="s">
        <v>693</v>
      </c>
      <c r="F350">
        <v>63</v>
      </c>
      <c r="G350">
        <v>0.25</v>
      </c>
      <c r="H350" s="4">
        <f t="shared" ca="1" si="5"/>
        <v>69</v>
      </c>
      <c r="I350" s="4">
        <v>22.2</v>
      </c>
    </row>
    <row r="351" spans="1:9" x14ac:dyDescent="0.25">
      <c r="A351">
        <v>86563</v>
      </c>
      <c r="B351">
        <v>35</v>
      </c>
      <c r="C351">
        <v>12</v>
      </c>
      <c r="D351">
        <v>107</v>
      </c>
      <c r="E351" t="s">
        <v>692</v>
      </c>
      <c r="F351">
        <v>151</v>
      </c>
      <c r="G351">
        <v>0</v>
      </c>
      <c r="H351" s="4">
        <f t="shared" ca="1" si="5"/>
        <v>318</v>
      </c>
      <c r="I351" s="4">
        <v>55.18</v>
      </c>
    </row>
    <row r="352" spans="1:9" x14ac:dyDescent="0.25">
      <c r="A352">
        <v>86563</v>
      </c>
      <c r="B352">
        <v>49</v>
      </c>
      <c r="C352">
        <v>12</v>
      </c>
      <c r="D352">
        <v>102</v>
      </c>
      <c r="E352" t="s">
        <v>694</v>
      </c>
      <c r="F352">
        <v>30</v>
      </c>
      <c r="G352">
        <v>0</v>
      </c>
      <c r="H352" s="4">
        <f t="shared" ca="1" si="5"/>
        <v>148</v>
      </c>
      <c r="I352" s="4">
        <v>100.92</v>
      </c>
    </row>
    <row r="353" spans="1:9" x14ac:dyDescent="0.25">
      <c r="A353">
        <v>96352</v>
      </c>
      <c r="B353">
        <v>27</v>
      </c>
      <c r="C353">
        <v>12</v>
      </c>
      <c r="D353">
        <v>108</v>
      </c>
      <c r="E353" t="s">
        <v>694</v>
      </c>
      <c r="F353">
        <v>124</v>
      </c>
      <c r="G353">
        <v>0</v>
      </c>
      <c r="H353" s="4">
        <f t="shared" ca="1" si="5"/>
        <v>117</v>
      </c>
      <c r="I353" s="4">
        <v>63.6</v>
      </c>
    </row>
    <row r="354" spans="1:9" x14ac:dyDescent="0.25">
      <c r="A354">
        <v>96352</v>
      </c>
      <c r="B354">
        <v>14</v>
      </c>
      <c r="C354">
        <v>12</v>
      </c>
      <c r="D354">
        <v>104</v>
      </c>
      <c r="E354" t="s">
        <v>692</v>
      </c>
      <c r="F354">
        <v>49</v>
      </c>
      <c r="G354">
        <v>0</v>
      </c>
      <c r="H354" s="4">
        <f t="shared" ca="1" si="5"/>
        <v>69</v>
      </c>
      <c r="I354" s="4">
        <v>18.3</v>
      </c>
    </row>
    <row r="355" spans="1:9" x14ac:dyDescent="0.25">
      <c r="A355">
        <v>86563</v>
      </c>
      <c r="B355">
        <v>22</v>
      </c>
      <c r="C355">
        <v>12</v>
      </c>
      <c r="D355">
        <v>101</v>
      </c>
      <c r="E355" t="s">
        <v>692</v>
      </c>
      <c r="F355">
        <v>98</v>
      </c>
      <c r="G355">
        <v>0</v>
      </c>
      <c r="H355" s="4">
        <f t="shared" ca="1" si="5"/>
        <v>92</v>
      </c>
      <c r="I355" s="4">
        <v>64.400000000000006</v>
      </c>
    </row>
    <row r="356" spans="1:9" x14ac:dyDescent="0.25">
      <c r="A356">
        <v>96352</v>
      </c>
      <c r="B356">
        <v>42</v>
      </c>
      <c r="C356">
        <v>12</v>
      </c>
      <c r="D356">
        <v>108</v>
      </c>
      <c r="E356" t="s">
        <v>699</v>
      </c>
      <c r="F356">
        <v>98</v>
      </c>
      <c r="G356">
        <v>0.1</v>
      </c>
      <c r="H356" s="4">
        <f t="shared" ca="1" si="5"/>
        <v>122</v>
      </c>
      <c r="I356" s="4">
        <v>88.51</v>
      </c>
    </row>
    <row r="357" spans="1:9" x14ac:dyDescent="0.25">
      <c r="A357">
        <v>96352</v>
      </c>
      <c r="B357">
        <v>27</v>
      </c>
      <c r="C357">
        <v>12</v>
      </c>
      <c r="D357">
        <v>101</v>
      </c>
      <c r="E357" t="s">
        <v>694</v>
      </c>
      <c r="F357">
        <v>159</v>
      </c>
      <c r="G357">
        <v>0.1</v>
      </c>
      <c r="H357" s="4">
        <f t="shared" ca="1" si="5"/>
        <v>283</v>
      </c>
      <c r="I357" s="4">
        <v>21.84</v>
      </c>
    </row>
    <row r="358" spans="1:9" x14ac:dyDescent="0.25">
      <c r="A358">
        <v>48256</v>
      </c>
      <c r="B358">
        <v>3</v>
      </c>
      <c r="C358">
        <v>12</v>
      </c>
      <c r="D358">
        <v>104</v>
      </c>
      <c r="E358" t="s">
        <v>696</v>
      </c>
      <c r="F358">
        <v>69</v>
      </c>
      <c r="G358">
        <v>0</v>
      </c>
      <c r="H358" s="4">
        <f t="shared" ca="1" si="5"/>
        <v>234</v>
      </c>
      <c r="I358" s="4">
        <v>68</v>
      </c>
    </row>
    <row r="359" spans="1:9" x14ac:dyDescent="0.25">
      <c r="A359">
        <v>48256</v>
      </c>
      <c r="B359">
        <v>69</v>
      </c>
      <c r="C359">
        <v>12</v>
      </c>
      <c r="D359">
        <v>106</v>
      </c>
      <c r="E359" t="s">
        <v>694</v>
      </c>
      <c r="F359">
        <v>165</v>
      </c>
      <c r="G359">
        <v>0.25</v>
      </c>
      <c r="H359" s="4">
        <f t="shared" ca="1" si="5"/>
        <v>87</v>
      </c>
      <c r="I359" s="4">
        <v>67.95</v>
      </c>
    </row>
    <row r="360" spans="1:9" x14ac:dyDescent="0.25">
      <c r="A360">
        <v>96352</v>
      </c>
      <c r="B360">
        <v>21</v>
      </c>
      <c r="C360">
        <v>12</v>
      </c>
      <c r="D360">
        <v>102</v>
      </c>
      <c r="E360" t="s">
        <v>697</v>
      </c>
      <c r="F360">
        <v>123</v>
      </c>
      <c r="G360">
        <v>0.25</v>
      </c>
      <c r="H360" s="4">
        <f t="shared" ca="1" si="5"/>
        <v>264</v>
      </c>
      <c r="I360" s="4">
        <v>82.16</v>
      </c>
    </row>
    <row r="361" spans="1:9" x14ac:dyDescent="0.25">
      <c r="A361">
        <v>48256</v>
      </c>
      <c r="B361">
        <v>3</v>
      </c>
      <c r="C361">
        <v>12</v>
      </c>
      <c r="D361">
        <v>103</v>
      </c>
      <c r="E361" t="s">
        <v>699</v>
      </c>
      <c r="F361">
        <v>149</v>
      </c>
      <c r="G361">
        <v>0</v>
      </c>
      <c r="H361" s="4">
        <f t="shared" ca="1" si="5"/>
        <v>200</v>
      </c>
      <c r="I361" s="4">
        <v>72.849999999999994</v>
      </c>
    </row>
    <row r="362" spans="1:9" x14ac:dyDescent="0.25">
      <c r="A362">
        <v>86563</v>
      </c>
      <c r="B362">
        <v>24</v>
      </c>
      <c r="C362">
        <v>12</v>
      </c>
      <c r="D362">
        <v>107</v>
      </c>
      <c r="E362" t="s">
        <v>695</v>
      </c>
      <c r="F362">
        <v>128</v>
      </c>
      <c r="G362">
        <v>0</v>
      </c>
      <c r="H362" s="4">
        <f t="shared" ca="1" si="5"/>
        <v>304</v>
      </c>
      <c r="I362" s="4">
        <v>54.6</v>
      </c>
    </row>
    <row r="363" spans="1:9" x14ac:dyDescent="0.25">
      <c r="A363">
        <v>48256</v>
      </c>
      <c r="B363">
        <v>56</v>
      </c>
      <c r="C363">
        <v>12</v>
      </c>
      <c r="D363">
        <v>104</v>
      </c>
      <c r="E363" t="s">
        <v>693</v>
      </c>
      <c r="F363">
        <v>231</v>
      </c>
      <c r="G363">
        <v>0.1</v>
      </c>
      <c r="H363" s="4">
        <f t="shared" ca="1" si="5"/>
        <v>235</v>
      </c>
      <c r="I363" s="4">
        <v>30.24</v>
      </c>
    </row>
    <row r="364" spans="1:9" x14ac:dyDescent="0.25">
      <c r="A364">
        <v>48256</v>
      </c>
      <c r="B364">
        <v>31</v>
      </c>
      <c r="C364">
        <v>12</v>
      </c>
      <c r="D364">
        <v>108</v>
      </c>
      <c r="E364" t="s">
        <v>698</v>
      </c>
      <c r="F364">
        <v>38</v>
      </c>
      <c r="G364">
        <v>0.1</v>
      </c>
      <c r="H364" s="4">
        <f t="shared" ca="1" si="5"/>
        <v>260</v>
      </c>
      <c r="I364" s="4">
        <v>70.400000000000006</v>
      </c>
    </row>
    <row r="365" spans="1:9" x14ac:dyDescent="0.25">
      <c r="A365">
        <v>96352</v>
      </c>
      <c r="B365">
        <v>53</v>
      </c>
      <c r="C365">
        <v>12</v>
      </c>
      <c r="D365">
        <v>104</v>
      </c>
      <c r="E365" t="s">
        <v>698</v>
      </c>
      <c r="F365">
        <v>23</v>
      </c>
      <c r="G365">
        <v>0.1</v>
      </c>
      <c r="H365" s="4">
        <f t="shared" ca="1" si="5"/>
        <v>36</v>
      </c>
      <c r="I365" s="4">
        <v>64.75</v>
      </c>
    </row>
    <row r="366" spans="1:9" x14ac:dyDescent="0.25">
      <c r="A366">
        <v>86563</v>
      </c>
      <c r="B366">
        <v>34</v>
      </c>
      <c r="C366">
        <v>12</v>
      </c>
      <c r="D366">
        <v>102</v>
      </c>
      <c r="E366" t="s">
        <v>692</v>
      </c>
      <c r="F366">
        <v>191</v>
      </c>
      <c r="G366">
        <v>0</v>
      </c>
      <c r="H366" s="4">
        <f t="shared" ca="1" si="5"/>
        <v>185</v>
      </c>
      <c r="I366" s="4">
        <v>38.5</v>
      </c>
    </row>
    <row r="367" spans="1:9" x14ac:dyDescent="0.25">
      <c r="A367">
        <v>86563</v>
      </c>
      <c r="B367">
        <v>38</v>
      </c>
      <c r="C367">
        <v>12</v>
      </c>
      <c r="D367">
        <v>108</v>
      </c>
      <c r="E367" t="s">
        <v>694</v>
      </c>
      <c r="F367">
        <v>246</v>
      </c>
      <c r="G367">
        <v>0</v>
      </c>
      <c r="H367" s="4">
        <f t="shared" ca="1" si="5"/>
        <v>111</v>
      </c>
      <c r="I367" s="4">
        <v>66.150000000000006</v>
      </c>
    </row>
    <row r="368" spans="1:9" x14ac:dyDescent="0.25">
      <c r="A368">
        <v>86563</v>
      </c>
      <c r="B368">
        <v>18</v>
      </c>
      <c r="C368">
        <v>12</v>
      </c>
      <c r="D368">
        <v>105</v>
      </c>
      <c r="E368" t="s">
        <v>700</v>
      </c>
      <c r="F368">
        <v>18</v>
      </c>
      <c r="G368">
        <v>0</v>
      </c>
      <c r="H368" s="4">
        <f t="shared" ca="1" si="5"/>
        <v>61</v>
      </c>
      <c r="I368" s="4">
        <v>32.799999999999997</v>
      </c>
    </row>
    <row r="369" spans="1:9" x14ac:dyDescent="0.25">
      <c r="A369">
        <f ca="1">VLOOKUP(RANDBETWEEN(1,3),Suppliers!$A$2:$B$4,2)</f>
        <v>86563</v>
      </c>
      <c r="B369">
        <v>51</v>
      </c>
      <c r="C369">
        <f ca="1">RANDBETWEEN(MIN(Shippers!$B$2:$B$9),MAX(Shippers!$B$2:$B$9))</f>
        <v>13</v>
      </c>
      <c r="D369">
        <f ca="1">RANDBETWEEN(MIN(Products!$B$2:$B$9),MAX(Products!$B$2:$B$9))</f>
        <v>104</v>
      </c>
      <c r="E369" t="s">
        <v>694</v>
      </c>
      <c r="F369">
        <f ca="1">RANDBETWEEN(1,250)</f>
        <v>61</v>
      </c>
      <c r="G369">
        <f ca="1">VLOOKUP(RANDBETWEEN(1,3),RandomNList!$Z$3:$AA$5,2)</f>
        <v>0</v>
      </c>
      <c r="H369" s="4">
        <f t="shared" ca="1" si="5"/>
        <v>83</v>
      </c>
      <c r="I369" s="4">
        <v>43.75</v>
      </c>
    </row>
    <row r="370" spans="1:9" x14ac:dyDescent="0.25">
      <c r="A370">
        <v>96352</v>
      </c>
      <c r="B370">
        <v>1</v>
      </c>
      <c r="C370">
        <v>13</v>
      </c>
      <c r="D370">
        <v>105</v>
      </c>
      <c r="E370" t="s">
        <v>700</v>
      </c>
      <c r="F370">
        <v>95</v>
      </c>
      <c r="G370" s="5">
        <v>0.25</v>
      </c>
      <c r="H370" s="4">
        <f t="shared" ca="1" si="5"/>
        <v>261</v>
      </c>
      <c r="I370" s="4">
        <v>57.66</v>
      </c>
    </row>
    <row r="371" spans="1:9" x14ac:dyDescent="0.25">
      <c r="A371">
        <v>96352</v>
      </c>
      <c r="B371">
        <v>42</v>
      </c>
      <c r="C371">
        <v>13</v>
      </c>
      <c r="D371">
        <v>106</v>
      </c>
      <c r="E371" t="s">
        <v>697</v>
      </c>
      <c r="F371">
        <v>56</v>
      </c>
      <c r="G371" s="5">
        <v>0.1</v>
      </c>
      <c r="H371" s="4">
        <f t="shared" ca="1" si="5"/>
        <v>333</v>
      </c>
      <c r="I371" s="4">
        <v>105.84</v>
      </c>
    </row>
    <row r="372" spans="1:9" x14ac:dyDescent="0.25">
      <c r="A372">
        <v>48256</v>
      </c>
      <c r="B372">
        <v>40</v>
      </c>
      <c r="C372">
        <v>13</v>
      </c>
      <c r="D372">
        <v>103</v>
      </c>
      <c r="E372" t="s">
        <v>698</v>
      </c>
      <c r="F372">
        <v>121</v>
      </c>
      <c r="G372" s="5">
        <v>0.25</v>
      </c>
      <c r="H372" s="4">
        <f t="shared" ca="1" si="5"/>
        <v>232</v>
      </c>
      <c r="I372" s="4">
        <v>37.03</v>
      </c>
    </row>
    <row r="373" spans="1:9" x14ac:dyDescent="0.25">
      <c r="A373">
        <v>96352</v>
      </c>
      <c r="B373">
        <v>49</v>
      </c>
      <c r="C373">
        <v>13</v>
      </c>
      <c r="D373">
        <v>108</v>
      </c>
      <c r="E373" t="s">
        <v>698</v>
      </c>
      <c r="F373">
        <v>6</v>
      </c>
      <c r="G373" s="5">
        <v>0</v>
      </c>
      <c r="H373" s="4">
        <f t="shared" ca="1" si="5"/>
        <v>5</v>
      </c>
      <c r="I373" s="4">
        <v>16.8</v>
      </c>
    </row>
    <row r="374" spans="1:9" x14ac:dyDescent="0.25">
      <c r="A374">
        <v>96352</v>
      </c>
      <c r="B374">
        <v>64</v>
      </c>
      <c r="C374">
        <v>13</v>
      </c>
      <c r="D374">
        <v>107</v>
      </c>
      <c r="E374" t="s">
        <v>695</v>
      </c>
      <c r="F374">
        <v>23</v>
      </c>
      <c r="G374" s="5">
        <v>0</v>
      </c>
      <c r="H374" s="4">
        <f t="shared" ca="1" si="5"/>
        <v>141</v>
      </c>
      <c r="I374" s="4">
        <v>105.56</v>
      </c>
    </row>
    <row r="375" spans="1:9" x14ac:dyDescent="0.25">
      <c r="A375">
        <v>96352</v>
      </c>
      <c r="B375">
        <v>58</v>
      </c>
      <c r="C375">
        <v>13</v>
      </c>
      <c r="D375">
        <v>101</v>
      </c>
      <c r="E375" t="s">
        <v>695</v>
      </c>
      <c r="F375">
        <v>32</v>
      </c>
      <c r="G375" s="5">
        <v>0</v>
      </c>
      <c r="H375" s="4">
        <f t="shared" ca="1" si="5"/>
        <v>237</v>
      </c>
      <c r="I375" s="4">
        <v>34.01</v>
      </c>
    </row>
    <row r="376" spans="1:9" x14ac:dyDescent="0.25">
      <c r="A376">
        <v>96352</v>
      </c>
      <c r="B376">
        <v>46</v>
      </c>
      <c r="C376">
        <v>13</v>
      </c>
      <c r="D376">
        <v>109</v>
      </c>
      <c r="E376" t="s">
        <v>699</v>
      </c>
      <c r="F376">
        <v>23</v>
      </c>
      <c r="G376" s="5">
        <v>0</v>
      </c>
      <c r="H376" s="4">
        <f t="shared" ca="1" si="5"/>
        <v>58</v>
      </c>
      <c r="I376" s="4">
        <v>68.400000000000006</v>
      </c>
    </row>
    <row r="377" spans="1:9" x14ac:dyDescent="0.25">
      <c r="A377">
        <v>48256</v>
      </c>
      <c r="B377">
        <v>56</v>
      </c>
      <c r="C377">
        <v>13</v>
      </c>
      <c r="D377">
        <v>105</v>
      </c>
      <c r="E377" t="s">
        <v>692</v>
      </c>
      <c r="F377">
        <v>50</v>
      </c>
      <c r="G377" s="5">
        <v>0</v>
      </c>
      <c r="H377" s="4">
        <f t="shared" ca="1" si="5"/>
        <v>150</v>
      </c>
      <c r="I377" s="4">
        <v>87.58</v>
      </c>
    </row>
    <row r="378" spans="1:9" x14ac:dyDescent="0.25">
      <c r="A378">
        <v>86563</v>
      </c>
      <c r="B378">
        <v>17</v>
      </c>
      <c r="C378">
        <v>13</v>
      </c>
      <c r="D378">
        <v>101</v>
      </c>
      <c r="E378" t="s">
        <v>692</v>
      </c>
      <c r="F378">
        <v>78</v>
      </c>
      <c r="G378" s="5">
        <v>0.1</v>
      </c>
      <c r="H378" s="4">
        <f t="shared" ca="1" si="5"/>
        <v>240</v>
      </c>
      <c r="I378" s="4">
        <v>75.239999999999995</v>
      </c>
    </row>
    <row r="379" spans="1:9" x14ac:dyDescent="0.25">
      <c r="A379">
        <v>96352</v>
      </c>
      <c r="B379">
        <v>63</v>
      </c>
      <c r="C379">
        <v>13</v>
      </c>
      <c r="D379">
        <v>107</v>
      </c>
      <c r="E379" t="s">
        <v>697</v>
      </c>
      <c r="F379">
        <v>109</v>
      </c>
      <c r="G379" s="5">
        <v>0.25</v>
      </c>
      <c r="H379" s="4">
        <f t="shared" ca="1" si="5"/>
        <v>184</v>
      </c>
      <c r="I379" s="4">
        <v>48.6</v>
      </c>
    </row>
    <row r="380" spans="1:9" x14ac:dyDescent="0.25">
      <c r="A380">
        <v>48256</v>
      </c>
      <c r="B380">
        <v>32</v>
      </c>
      <c r="C380">
        <v>13</v>
      </c>
      <c r="D380">
        <v>104</v>
      </c>
      <c r="E380" t="s">
        <v>692</v>
      </c>
      <c r="F380">
        <v>118</v>
      </c>
      <c r="G380" s="5">
        <v>0.25</v>
      </c>
      <c r="H380" s="4">
        <f t="shared" ca="1" si="5"/>
        <v>99</v>
      </c>
      <c r="I380" s="4">
        <v>17.05</v>
      </c>
    </row>
    <row r="381" spans="1:9" x14ac:dyDescent="0.25">
      <c r="A381">
        <v>86563</v>
      </c>
      <c r="B381">
        <v>10</v>
      </c>
      <c r="C381">
        <v>13</v>
      </c>
      <c r="D381">
        <v>106</v>
      </c>
      <c r="E381" t="s">
        <v>697</v>
      </c>
      <c r="F381">
        <v>26</v>
      </c>
      <c r="G381" s="5">
        <v>0</v>
      </c>
      <c r="H381" s="4">
        <f t="shared" ca="1" si="5"/>
        <v>90</v>
      </c>
      <c r="I381" s="4">
        <v>80.58</v>
      </c>
    </row>
    <row r="382" spans="1:9" x14ac:dyDescent="0.25">
      <c r="A382">
        <v>48256</v>
      </c>
      <c r="B382">
        <v>54</v>
      </c>
      <c r="C382">
        <v>13</v>
      </c>
      <c r="D382">
        <v>101</v>
      </c>
      <c r="E382" t="s">
        <v>700</v>
      </c>
      <c r="F382">
        <v>117</v>
      </c>
      <c r="G382" s="5">
        <v>0.25</v>
      </c>
      <c r="H382" s="4">
        <f t="shared" ca="1" si="5"/>
        <v>273</v>
      </c>
      <c r="I382" s="4">
        <v>86.32</v>
      </c>
    </row>
    <row r="383" spans="1:9" x14ac:dyDescent="0.25">
      <c r="A383">
        <v>48256</v>
      </c>
      <c r="B383">
        <v>56</v>
      </c>
      <c r="C383">
        <v>13</v>
      </c>
      <c r="D383">
        <v>102</v>
      </c>
      <c r="E383" t="s">
        <v>690</v>
      </c>
      <c r="F383">
        <v>21</v>
      </c>
      <c r="G383" s="5">
        <v>0</v>
      </c>
      <c r="H383" s="4">
        <f t="shared" ca="1" si="5"/>
        <v>53</v>
      </c>
      <c r="I383" s="4">
        <v>19.47</v>
      </c>
    </row>
    <row r="384" spans="1:9" x14ac:dyDescent="0.25">
      <c r="A384">
        <v>96352</v>
      </c>
      <c r="B384">
        <v>61</v>
      </c>
      <c r="C384">
        <v>13</v>
      </c>
      <c r="D384">
        <v>105</v>
      </c>
      <c r="E384" t="s">
        <v>690</v>
      </c>
      <c r="F384">
        <v>42</v>
      </c>
      <c r="G384" s="5">
        <v>0</v>
      </c>
      <c r="H384" s="4">
        <f t="shared" ca="1" si="5"/>
        <v>258</v>
      </c>
      <c r="I384" s="4">
        <v>20.9</v>
      </c>
    </row>
    <row r="385" spans="1:9" x14ac:dyDescent="0.25">
      <c r="A385">
        <v>96352</v>
      </c>
      <c r="B385">
        <v>49</v>
      </c>
      <c r="C385">
        <v>13</v>
      </c>
      <c r="D385">
        <v>108</v>
      </c>
      <c r="E385" t="s">
        <v>691</v>
      </c>
      <c r="F385">
        <v>73</v>
      </c>
      <c r="G385" s="5">
        <v>0.1</v>
      </c>
      <c r="H385" s="4">
        <f t="shared" ca="1" si="5"/>
        <v>107</v>
      </c>
      <c r="I385" s="4">
        <v>41.36</v>
      </c>
    </row>
    <row r="386" spans="1:9" x14ac:dyDescent="0.25">
      <c r="A386">
        <v>48256</v>
      </c>
      <c r="B386">
        <v>58</v>
      </c>
      <c r="C386">
        <v>13</v>
      </c>
      <c r="D386">
        <v>104</v>
      </c>
      <c r="E386" t="s">
        <v>695</v>
      </c>
      <c r="F386">
        <v>82</v>
      </c>
      <c r="G386" s="5">
        <v>0.25</v>
      </c>
      <c r="H386" s="4">
        <f t="shared" ref="H386:H449" ca="1" si="6">IF(F386&lt;=10,RANDBETWEEN(1,5),IF(F386&lt;=20,RANDBETWEEN(15,80),IF(F386&lt;=30,RANDBETWEEN(23,150),RANDBETWEEN(66,350))))</f>
        <v>276</v>
      </c>
      <c r="I386" s="4">
        <v>30.09</v>
      </c>
    </row>
    <row r="387" spans="1:9" x14ac:dyDescent="0.25">
      <c r="A387">
        <v>86563</v>
      </c>
      <c r="B387">
        <v>62</v>
      </c>
      <c r="C387">
        <v>13</v>
      </c>
      <c r="D387">
        <v>104</v>
      </c>
      <c r="E387" t="s">
        <v>694</v>
      </c>
      <c r="F387">
        <v>49</v>
      </c>
      <c r="G387" s="5">
        <v>0</v>
      </c>
      <c r="H387" s="4">
        <f t="shared" ca="1" si="6"/>
        <v>265</v>
      </c>
      <c r="I387" s="4">
        <v>71.44</v>
      </c>
    </row>
    <row r="388" spans="1:9" x14ac:dyDescent="0.25">
      <c r="A388">
        <v>96352</v>
      </c>
      <c r="B388">
        <v>37</v>
      </c>
      <c r="C388">
        <v>13</v>
      </c>
      <c r="D388">
        <v>109</v>
      </c>
      <c r="E388" t="s">
        <v>692</v>
      </c>
      <c r="F388">
        <v>43</v>
      </c>
      <c r="G388" s="5">
        <v>0</v>
      </c>
      <c r="H388" s="4">
        <f t="shared" ca="1" si="6"/>
        <v>92</v>
      </c>
      <c r="I388" s="4">
        <v>46.2</v>
      </c>
    </row>
    <row r="389" spans="1:9" x14ac:dyDescent="0.25">
      <c r="A389">
        <v>48256</v>
      </c>
      <c r="B389">
        <v>21</v>
      </c>
      <c r="C389">
        <v>13</v>
      </c>
      <c r="D389">
        <v>109</v>
      </c>
      <c r="E389" t="s">
        <v>692</v>
      </c>
      <c r="F389">
        <v>82</v>
      </c>
      <c r="G389" s="5">
        <v>0.25</v>
      </c>
      <c r="H389" s="4">
        <f t="shared" ca="1" si="6"/>
        <v>290</v>
      </c>
      <c r="I389" s="4">
        <v>98.82</v>
      </c>
    </row>
    <row r="390" spans="1:9" x14ac:dyDescent="0.25">
      <c r="A390">
        <v>96352</v>
      </c>
      <c r="B390">
        <v>37</v>
      </c>
      <c r="C390">
        <v>13</v>
      </c>
      <c r="D390">
        <v>106</v>
      </c>
      <c r="E390" t="s">
        <v>697</v>
      </c>
      <c r="F390">
        <v>69</v>
      </c>
      <c r="G390" s="5">
        <v>0.1</v>
      </c>
      <c r="H390" s="4">
        <f t="shared" ca="1" si="6"/>
        <v>265</v>
      </c>
      <c r="I390" s="4">
        <v>29.83</v>
      </c>
    </row>
    <row r="391" spans="1:9" x14ac:dyDescent="0.25">
      <c r="A391">
        <v>48256</v>
      </c>
      <c r="B391">
        <v>26</v>
      </c>
      <c r="C391">
        <v>13</v>
      </c>
      <c r="D391">
        <v>102</v>
      </c>
      <c r="E391" t="s">
        <v>692</v>
      </c>
      <c r="F391">
        <v>101</v>
      </c>
      <c r="G391" s="5">
        <v>0.25</v>
      </c>
      <c r="H391" s="4">
        <f t="shared" ca="1" si="6"/>
        <v>318</v>
      </c>
      <c r="I391" s="4">
        <v>84.24</v>
      </c>
    </row>
    <row r="392" spans="1:9" x14ac:dyDescent="0.25">
      <c r="A392">
        <v>86563</v>
      </c>
      <c r="B392">
        <v>55</v>
      </c>
      <c r="C392">
        <v>13</v>
      </c>
      <c r="D392">
        <v>106</v>
      </c>
      <c r="E392" t="s">
        <v>696</v>
      </c>
      <c r="F392">
        <v>30</v>
      </c>
      <c r="G392" s="5">
        <v>0</v>
      </c>
      <c r="H392" s="4">
        <f t="shared" ca="1" si="6"/>
        <v>64</v>
      </c>
      <c r="I392" s="4">
        <v>91.3</v>
      </c>
    </row>
    <row r="393" spans="1:9" x14ac:dyDescent="0.25">
      <c r="A393">
        <v>86563</v>
      </c>
      <c r="B393">
        <v>52</v>
      </c>
      <c r="C393">
        <v>13</v>
      </c>
      <c r="D393">
        <v>107</v>
      </c>
      <c r="E393" t="s">
        <v>696</v>
      </c>
      <c r="F393">
        <v>26</v>
      </c>
      <c r="G393" s="5">
        <v>0</v>
      </c>
      <c r="H393" s="4">
        <f t="shared" ca="1" si="6"/>
        <v>91</v>
      </c>
      <c r="I393" s="4">
        <v>83.21</v>
      </c>
    </row>
    <row r="394" spans="1:9" x14ac:dyDescent="0.25">
      <c r="A394">
        <v>96352</v>
      </c>
      <c r="B394">
        <v>4</v>
      </c>
      <c r="C394">
        <v>13</v>
      </c>
      <c r="D394">
        <v>108</v>
      </c>
      <c r="E394" t="s">
        <v>694</v>
      </c>
      <c r="F394">
        <v>70</v>
      </c>
      <c r="G394" s="5">
        <v>0.1</v>
      </c>
      <c r="H394" s="4">
        <f t="shared" ca="1" si="6"/>
        <v>246</v>
      </c>
      <c r="I394" s="4">
        <v>48.44</v>
      </c>
    </row>
    <row r="395" spans="1:9" x14ac:dyDescent="0.25">
      <c r="A395">
        <v>96352</v>
      </c>
      <c r="B395">
        <v>38</v>
      </c>
      <c r="C395">
        <v>13</v>
      </c>
      <c r="D395">
        <v>109</v>
      </c>
      <c r="E395" t="s">
        <v>693</v>
      </c>
      <c r="F395">
        <v>107</v>
      </c>
      <c r="G395" s="5">
        <v>0.25</v>
      </c>
      <c r="H395" s="4">
        <f t="shared" ca="1" si="6"/>
        <v>164</v>
      </c>
      <c r="I395" s="4">
        <v>19.68</v>
      </c>
    </row>
    <row r="396" spans="1:9" x14ac:dyDescent="0.25">
      <c r="A396">
        <v>86563</v>
      </c>
      <c r="B396">
        <v>14</v>
      </c>
      <c r="C396">
        <v>13</v>
      </c>
      <c r="D396">
        <v>108</v>
      </c>
      <c r="E396" t="s">
        <v>698</v>
      </c>
      <c r="F396">
        <v>125</v>
      </c>
      <c r="G396" s="5">
        <v>0.25</v>
      </c>
      <c r="H396" s="4">
        <f t="shared" ca="1" si="6"/>
        <v>108</v>
      </c>
      <c r="I396" s="4">
        <v>26.18</v>
      </c>
    </row>
    <row r="397" spans="1:9" x14ac:dyDescent="0.25">
      <c r="A397">
        <v>48256</v>
      </c>
      <c r="B397">
        <v>69</v>
      </c>
      <c r="C397">
        <v>13</v>
      </c>
      <c r="D397">
        <v>108</v>
      </c>
      <c r="E397" t="s">
        <v>693</v>
      </c>
      <c r="F397">
        <v>36</v>
      </c>
      <c r="G397" s="5">
        <v>0</v>
      </c>
      <c r="H397" s="4">
        <f t="shared" ca="1" si="6"/>
        <v>319</v>
      </c>
      <c r="I397" s="4">
        <v>89.25</v>
      </c>
    </row>
    <row r="398" spans="1:9" x14ac:dyDescent="0.25">
      <c r="A398">
        <v>86563</v>
      </c>
      <c r="B398">
        <v>24</v>
      </c>
      <c r="C398">
        <v>13</v>
      </c>
      <c r="D398">
        <v>102</v>
      </c>
      <c r="E398" t="s">
        <v>698</v>
      </c>
      <c r="F398">
        <v>17</v>
      </c>
      <c r="G398" s="5">
        <v>0</v>
      </c>
      <c r="H398" s="4">
        <f t="shared" ca="1" si="6"/>
        <v>68</v>
      </c>
      <c r="I398" s="4">
        <v>56.64</v>
      </c>
    </row>
    <row r="399" spans="1:9" x14ac:dyDescent="0.25">
      <c r="A399">
        <v>48256</v>
      </c>
      <c r="B399">
        <v>27</v>
      </c>
      <c r="C399">
        <v>13</v>
      </c>
      <c r="D399">
        <v>106</v>
      </c>
      <c r="E399" t="s">
        <v>691</v>
      </c>
      <c r="F399">
        <v>9</v>
      </c>
      <c r="G399" s="5">
        <v>0</v>
      </c>
      <c r="H399" s="4">
        <f t="shared" ca="1" si="6"/>
        <v>4</v>
      </c>
      <c r="I399" s="4">
        <v>68.25</v>
      </c>
    </row>
    <row r="400" spans="1:9" x14ac:dyDescent="0.25">
      <c r="A400">
        <v>86563</v>
      </c>
      <c r="B400">
        <v>69</v>
      </c>
      <c r="C400">
        <v>13</v>
      </c>
      <c r="D400">
        <v>107</v>
      </c>
      <c r="E400" t="s">
        <v>699</v>
      </c>
      <c r="F400">
        <v>196</v>
      </c>
      <c r="G400">
        <v>0.25</v>
      </c>
      <c r="H400" s="4">
        <f t="shared" ca="1" si="6"/>
        <v>210</v>
      </c>
      <c r="I400" s="4">
        <v>56.88</v>
      </c>
    </row>
    <row r="401" spans="1:9" x14ac:dyDescent="0.25">
      <c r="A401">
        <v>86563</v>
      </c>
      <c r="B401">
        <v>46</v>
      </c>
      <c r="C401">
        <v>13</v>
      </c>
      <c r="D401">
        <v>106</v>
      </c>
      <c r="E401" t="s">
        <v>698</v>
      </c>
      <c r="F401">
        <v>14</v>
      </c>
      <c r="G401">
        <v>0.1</v>
      </c>
      <c r="H401" s="4">
        <f t="shared" ca="1" si="6"/>
        <v>39</v>
      </c>
      <c r="I401" s="4">
        <v>77.010000000000005</v>
      </c>
    </row>
    <row r="402" spans="1:9" x14ac:dyDescent="0.25">
      <c r="A402">
        <v>86563</v>
      </c>
      <c r="B402">
        <v>35</v>
      </c>
      <c r="C402">
        <v>13</v>
      </c>
      <c r="D402">
        <v>108</v>
      </c>
      <c r="E402" t="s">
        <v>695</v>
      </c>
      <c r="F402">
        <v>98</v>
      </c>
      <c r="G402">
        <v>0.25</v>
      </c>
      <c r="H402" s="4">
        <f t="shared" ca="1" si="6"/>
        <v>318</v>
      </c>
      <c r="I402" s="4">
        <v>34.799999999999997</v>
      </c>
    </row>
    <row r="403" spans="1:9" x14ac:dyDescent="0.25">
      <c r="A403">
        <v>48256</v>
      </c>
      <c r="B403">
        <v>67</v>
      </c>
      <c r="C403">
        <v>13</v>
      </c>
      <c r="D403">
        <v>105</v>
      </c>
      <c r="E403" t="s">
        <v>694</v>
      </c>
      <c r="F403">
        <v>226</v>
      </c>
      <c r="G403">
        <v>0.25</v>
      </c>
      <c r="H403" s="4">
        <f t="shared" ca="1" si="6"/>
        <v>239</v>
      </c>
      <c r="I403" s="4">
        <v>100.92</v>
      </c>
    </row>
    <row r="404" spans="1:9" x14ac:dyDescent="0.25">
      <c r="A404">
        <v>96352</v>
      </c>
      <c r="B404">
        <v>52</v>
      </c>
      <c r="C404">
        <v>13</v>
      </c>
      <c r="D404">
        <v>104</v>
      </c>
      <c r="E404" t="s">
        <v>695</v>
      </c>
      <c r="F404">
        <v>97</v>
      </c>
      <c r="G404">
        <v>0</v>
      </c>
      <c r="H404" s="4">
        <f t="shared" ca="1" si="6"/>
        <v>249</v>
      </c>
      <c r="I404" s="4">
        <v>51.48</v>
      </c>
    </row>
    <row r="405" spans="1:9" x14ac:dyDescent="0.25">
      <c r="A405">
        <v>96352</v>
      </c>
      <c r="B405">
        <v>64</v>
      </c>
      <c r="C405">
        <v>13</v>
      </c>
      <c r="D405">
        <v>104</v>
      </c>
      <c r="E405" t="s">
        <v>692</v>
      </c>
      <c r="F405">
        <v>57</v>
      </c>
      <c r="G405">
        <v>0.25</v>
      </c>
      <c r="H405" s="4">
        <f t="shared" ca="1" si="6"/>
        <v>157</v>
      </c>
      <c r="I405" s="4">
        <v>49.28</v>
      </c>
    </row>
    <row r="406" spans="1:9" x14ac:dyDescent="0.25">
      <c r="A406">
        <v>96352</v>
      </c>
      <c r="B406">
        <v>30</v>
      </c>
      <c r="C406">
        <v>13</v>
      </c>
      <c r="D406">
        <v>108</v>
      </c>
      <c r="E406" t="s">
        <v>697</v>
      </c>
      <c r="F406">
        <v>29</v>
      </c>
      <c r="G406">
        <v>0.1</v>
      </c>
      <c r="H406" s="4">
        <f t="shared" ca="1" si="6"/>
        <v>71</v>
      </c>
      <c r="I406" s="4">
        <v>49.01</v>
      </c>
    </row>
    <row r="407" spans="1:9" x14ac:dyDescent="0.25">
      <c r="A407">
        <v>86563</v>
      </c>
      <c r="B407">
        <v>21</v>
      </c>
      <c r="C407">
        <v>13</v>
      </c>
      <c r="D407">
        <v>105</v>
      </c>
      <c r="E407" t="s">
        <v>690</v>
      </c>
      <c r="F407">
        <v>232</v>
      </c>
      <c r="G407">
        <v>0.1</v>
      </c>
      <c r="H407" s="4">
        <f t="shared" ca="1" si="6"/>
        <v>200</v>
      </c>
      <c r="I407" s="4">
        <v>92.95</v>
      </c>
    </row>
    <row r="408" spans="1:9" x14ac:dyDescent="0.25">
      <c r="A408">
        <v>48256</v>
      </c>
      <c r="B408">
        <v>25</v>
      </c>
      <c r="C408">
        <v>13</v>
      </c>
      <c r="D408">
        <v>106</v>
      </c>
      <c r="E408" t="s">
        <v>698</v>
      </c>
      <c r="F408">
        <v>93</v>
      </c>
      <c r="G408">
        <v>0.1</v>
      </c>
      <c r="H408" s="4">
        <f t="shared" ca="1" si="6"/>
        <v>72</v>
      </c>
      <c r="I408" s="4">
        <v>91.29</v>
      </c>
    </row>
    <row r="409" spans="1:9" x14ac:dyDescent="0.25">
      <c r="A409">
        <v>48256</v>
      </c>
      <c r="B409">
        <v>70</v>
      </c>
      <c r="C409">
        <v>13</v>
      </c>
      <c r="D409">
        <v>106</v>
      </c>
      <c r="E409" t="s">
        <v>690</v>
      </c>
      <c r="F409">
        <v>91</v>
      </c>
      <c r="G409">
        <v>0</v>
      </c>
      <c r="H409" s="4">
        <f t="shared" ca="1" si="6"/>
        <v>71</v>
      </c>
      <c r="I409" s="4">
        <v>27.68</v>
      </c>
    </row>
    <row r="410" spans="1:9" x14ac:dyDescent="0.25">
      <c r="A410">
        <v>96352</v>
      </c>
      <c r="B410">
        <v>32</v>
      </c>
      <c r="C410">
        <v>13</v>
      </c>
      <c r="D410">
        <v>107</v>
      </c>
      <c r="E410" t="s">
        <v>690</v>
      </c>
      <c r="F410">
        <v>61</v>
      </c>
      <c r="G410">
        <v>0</v>
      </c>
      <c r="H410" s="4">
        <f t="shared" ca="1" si="6"/>
        <v>317</v>
      </c>
      <c r="I410" s="4">
        <v>71.55</v>
      </c>
    </row>
    <row r="411" spans="1:9" x14ac:dyDescent="0.25">
      <c r="A411">
        <v>96352</v>
      </c>
      <c r="B411">
        <v>9</v>
      </c>
      <c r="C411">
        <v>13</v>
      </c>
      <c r="D411">
        <v>107</v>
      </c>
      <c r="E411" t="s">
        <v>693</v>
      </c>
      <c r="F411">
        <v>114</v>
      </c>
      <c r="G411">
        <v>0.1</v>
      </c>
      <c r="H411" s="4">
        <f t="shared" ca="1" si="6"/>
        <v>141</v>
      </c>
      <c r="I411" s="4">
        <v>79.55</v>
      </c>
    </row>
    <row r="412" spans="1:9" x14ac:dyDescent="0.25">
      <c r="A412">
        <v>48256</v>
      </c>
      <c r="B412">
        <v>49</v>
      </c>
      <c r="C412">
        <v>13</v>
      </c>
      <c r="D412">
        <v>101</v>
      </c>
      <c r="E412" t="s">
        <v>698</v>
      </c>
      <c r="F412">
        <v>22</v>
      </c>
      <c r="G412">
        <v>0.25</v>
      </c>
      <c r="H412" s="4">
        <f t="shared" ca="1" si="6"/>
        <v>129</v>
      </c>
      <c r="I412" s="4">
        <v>18.8</v>
      </c>
    </row>
    <row r="413" spans="1:9" x14ac:dyDescent="0.25">
      <c r="A413">
        <v>96352</v>
      </c>
      <c r="B413">
        <v>43</v>
      </c>
      <c r="C413">
        <v>13</v>
      </c>
      <c r="D413">
        <v>101</v>
      </c>
      <c r="E413" t="s">
        <v>692</v>
      </c>
      <c r="F413">
        <v>93</v>
      </c>
      <c r="G413">
        <v>0.1</v>
      </c>
      <c r="H413" s="4">
        <f t="shared" ca="1" si="6"/>
        <v>347</v>
      </c>
      <c r="I413" s="4">
        <v>31.14</v>
      </c>
    </row>
    <row r="414" spans="1:9" x14ac:dyDescent="0.25">
      <c r="A414">
        <v>48256</v>
      </c>
      <c r="B414">
        <v>35</v>
      </c>
      <c r="C414">
        <v>13</v>
      </c>
      <c r="D414">
        <v>108</v>
      </c>
      <c r="E414" t="s">
        <v>693</v>
      </c>
      <c r="F414">
        <v>94</v>
      </c>
      <c r="G414">
        <v>0.25</v>
      </c>
      <c r="H414" s="4">
        <f t="shared" ca="1" si="6"/>
        <v>102</v>
      </c>
      <c r="I414" s="4">
        <v>108.3</v>
      </c>
    </row>
    <row r="415" spans="1:9" x14ac:dyDescent="0.25">
      <c r="A415">
        <v>48256</v>
      </c>
      <c r="B415">
        <v>67</v>
      </c>
      <c r="C415">
        <v>13</v>
      </c>
      <c r="D415">
        <v>101</v>
      </c>
      <c r="E415" t="s">
        <v>700</v>
      </c>
      <c r="F415">
        <v>138</v>
      </c>
      <c r="G415">
        <v>0.1</v>
      </c>
      <c r="H415" s="4">
        <f t="shared" ca="1" si="6"/>
        <v>173</v>
      </c>
      <c r="I415" s="4">
        <v>61.92</v>
      </c>
    </row>
    <row r="416" spans="1:9" x14ac:dyDescent="0.25">
      <c r="A416">
        <v>96352</v>
      </c>
      <c r="B416">
        <v>11</v>
      </c>
      <c r="C416">
        <v>13</v>
      </c>
      <c r="D416">
        <v>108</v>
      </c>
      <c r="E416" t="s">
        <v>694</v>
      </c>
      <c r="F416">
        <v>71</v>
      </c>
      <c r="G416">
        <v>0</v>
      </c>
      <c r="H416" s="4">
        <f t="shared" ca="1" si="6"/>
        <v>264</v>
      </c>
      <c r="I416" s="4">
        <v>39.479999999999997</v>
      </c>
    </row>
    <row r="417" spans="1:9" x14ac:dyDescent="0.25">
      <c r="A417">
        <v>48256</v>
      </c>
      <c r="B417">
        <v>6</v>
      </c>
      <c r="C417">
        <v>13</v>
      </c>
      <c r="D417">
        <v>103</v>
      </c>
      <c r="E417" t="s">
        <v>699</v>
      </c>
      <c r="F417">
        <v>49</v>
      </c>
      <c r="G417">
        <v>0.1</v>
      </c>
      <c r="H417" s="4">
        <f t="shared" ca="1" si="6"/>
        <v>249</v>
      </c>
      <c r="I417" s="4">
        <v>85.54</v>
      </c>
    </row>
    <row r="418" spans="1:9" x14ac:dyDescent="0.25">
      <c r="A418">
        <v>48256</v>
      </c>
      <c r="B418">
        <v>30</v>
      </c>
      <c r="C418">
        <v>13</v>
      </c>
      <c r="D418">
        <v>103</v>
      </c>
      <c r="E418" t="s">
        <v>693</v>
      </c>
      <c r="F418">
        <v>238</v>
      </c>
      <c r="G418">
        <v>0</v>
      </c>
      <c r="H418" s="4">
        <f t="shared" ca="1" si="6"/>
        <v>341</v>
      </c>
      <c r="I418" s="4">
        <v>99.68</v>
      </c>
    </row>
    <row r="419" spans="1:9" x14ac:dyDescent="0.25">
      <c r="A419">
        <v>96352</v>
      </c>
      <c r="B419">
        <v>54</v>
      </c>
      <c r="C419">
        <v>13</v>
      </c>
      <c r="D419">
        <v>105</v>
      </c>
      <c r="E419" t="s">
        <v>697</v>
      </c>
      <c r="F419">
        <v>15</v>
      </c>
      <c r="G419">
        <v>0.25</v>
      </c>
      <c r="H419" s="4">
        <f t="shared" ca="1" si="6"/>
        <v>61</v>
      </c>
      <c r="I419" s="4">
        <v>90.48</v>
      </c>
    </row>
    <row r="420" spans="1:9" x14ac:dyDescent="0.25">
      <c r="A420">
        <v>48256</v>
      </c>
      <c r="B420">
        <v>39</v>
      </c>
      <c r="C420">
        <v>13</v>
      </c>
      <c r="D420">
        <v>101</v>
      </c>
      <c r="E420" t="s">
        <v>690</v>
      </c>
      <c r="F420">
        <v>106</v>
      </c>
      <c r="G420">
        <v>0.1</v>
      </c>
      <c r="H420" s="4">
        <f t="shared" ca="1" si="6"/>
        <v>130</v>
      </c>
      <c r="I420" s="4">
        <v>60.84</v>
      </c>
    </row>
    <row r="421" spans="1:9" x14ac:dyDescent="0.25">
      <c r="A421">
        <v>96352</v>
      </c>
      <c r="B421">
        <v>52</v>
      </c>
      <c r="C421">
        <v>13</v>
      </c>
      <c r="D421">
        <v>102</v>
      </c>
      <c r="E421" t="s">
        <v>697</v>
      </c>
      <c r="F421">
        <v>67</v>
      </c>
      <c r="G421">
        <v>0.1</v>
      </c>
      <c r="H421" s="4">
        <f t="shared" ca="1" si="6"/>
        <v>250</v>
      </c>
      <c r="I421" s="4">
        <v>31.68</v>
      </c>
    </row>
    <row r="422" spans="1:9" x14ac:dyDescent="0.25">
      <c r="A422">
        <v>96352</v>
      </c>
      <c r="B422">
        <v>26</v>
      </c>
      <c r="C422">
        <v>13</v>
      </c>
      <c r="D422">
        <v>108</v>
      </c>
      <c r="E422" t="s">
        <v>694</v>
      </c>
      <c r="F422">
        <v>206</v>
      </c>
      <c r="G422">
        <v>0</v>
      </c>
      <c r="H422" s="4">
        <f t="shared" ca="1" si="6"/>
        <v>282</v>
      </c>
      <c r="I422" s="4">
        <v>85.1</v>
      </c>
    </row>
    <row r="423" spans="1:9" x14ac:dyDescent="0.25">
      <c r="A423">
        <v>86563</v>
      </c>
      <c r="B423">
        <v>59</v>
      </c>
      <c r="C423">
        <v>13</v>
      </c>
      <c r="D423">
        <v>106</v>
      </c>
      <c r="E423" t="s">
        <v>695</v>
      </c>
      <c r="F423">
        <v>45</v>
      </c>
      <c r="G423">
        <v>0.1</v>
      </c>
      <c r="H423" s="4">
        <f t="shared" ca="1" si="6"/>
        <v>261</v>
      </c>
      <c r="I423" s="4">
        <v>60.72</v>
      </c>
    </row>
    <row r="424" spans="1:9" x14ac:dyDescent="0.25">
      <c r="A424">
        <v>48256</v>
      </c>
      <c r="B424">
        <v>22</v>
      </c>
      <c r="C424">
        <v>13</v>
      </c>
      <c r="D424">
        <v>107</v>
      </c>
      <c r="E424" t="s">
        <v>694</v>
      </c>
      <c r="F424">
        <v>201</v>
      </c>
      <c r="G424">
        <v>0.1</v>
      </c>
      <c r="H424" s="4">
        <f t="shared" ca="1" si="6"/>
        <v>113</v>
      </c>
      <c r="I424" s="4">
        <v>75.180000000000007</v>
      </c>
    </row>
    <row r="425" spans="1:9" x14ac:dyDescent="0.25">
      <c r="A425">
        <v>48256</v>
      </c>
      <c r="B425">
        <v>62</v>
      </c>
      <c r="C425">
        <v>13</v>
      </c>
      <c r="D425">
        <v>107</v>
      </c>
      <c r="E425" t="s">
        <v>700</v>
      </c>
      <c r="F425">
        <v>182</v>
      </c>
      <c r="G425">
        <v>0.1</v>
      </c>
      <c r="H425" s="4">
        <f t="shared" ca="1" si="6"/>
        <v>243</v>
      </c>
      <c r="I425" s="4">
        <v>85.26</v>
      </c>
    </row>
    <row r="426" spans="1:9" x14ac:dyDescent="0.25">
      <c r="A426">
        <v>48256</v>
      </c>
      <c r="B426">
        <v>20</v>
      </c>
      <c r="C426">
        <v>13</v>
      </c>
      <c r="D426">
        <v>105</v>
      </c>
      <c r="E426" t="s">
        <v>698</v>
      </c>
      <c r="F426">
        <v>235</v>
      </c>
      <c r="G426">
        <v>0</v>
      </c>
      <c r="H426" s="4">
        <f t="shared" ca="1" si="6"/>
        <v>240</v>
      </c>
      <c r="I426" s="4">
        <v>34.770000000000003</v>
      </c>
    </row>
    <row r="427" spans="1:9" x14ac:dyDescent="0.25">
      <c r="A427">
        <v>86563</v>
      </c>
      <c r="B427">
        <v>50</v>
      </c>
      <c r="C427">
        <v>13</v>
      </c>
      <c r="D427">
        <v>103</v>
      </c>
      <c r="E427" t="s">
        <v>691</v>
      </c>
      <c r="F427">
        <v>88</v>
      </c>
      <c r="G427">
        <v>0.25</v>
      </c>
      <c r="H427" s="4">
        <f t="shared" ca="1" si="6"/>
        <v>123</v>
      </c>
      <c r="I427" s="4">
        <v>100.89</v>
      </c>
    </row>
    <row r="428" spans="1:9" x14ac:dyDescent="0.25">
      <c r="A428">
        <v>96352</v>
      </c>
      <c r="B428">
        <v>3</v>
      </c>
      <c r="C428">
        <v>13</v>
      </c>
      <c r="D428">
        <v>106</v>
      </c>
      <c r="E428" t="s">
        <v>690</v>
      </c>
      <c r="F428">
        <v>178</v>
      </c>
      <c r="G428">
        <v>0.25</v>
      </c>
      <c r="H428" s="4">
        <f t="shared" ca="1" si="6"/>
        <v>311</v>
      </c>
      <c r="I428" s="4">
        <v>77.88</v>
      </c>
    </row>
    <row r="429" spans="1:9" x14ac:dyDescent="0.25">
      <c r="A429">
        <v>86563</v>
      </c>
      <c r="B429">
        <v>25</v>
      </c>
      <c r="C429">
        <v>13</v>
      </c>
      <c r="D429">
        <v>106</v>
      </c>
      <c r="E429" t="s">
        <v>698</v>
      </c>
      <c r="F429">
        <v>167</v>
      </c>
      <c r="G429">
        <v>0</v>
      </c>
      <c r="H429" s="4">
        <f t="shared" ca="1" si="6"/>
        <v>200</v>
      </c>
      <c r="I429" s="4">
        <v>90</v>
      </c>
    </row>
    <row r="430" spans="1:9" x14ac:dyDescent="0.25">
      <c r="A430">
        <v>48256</v>
      </c>
      <c r="B430">
        <v>10</v>
      </c>
      <c r="C430">
        <v>13</v>
      </c>
      <c r="D430">
        <v>102</v>
      </c>
      <c r="E430" t="s">
        <v>700</v>
      </c>
      <c r="F430">
        <v>15</v>
      </c>
      <c r="G430">
        <v>0</v>
      </c>
      <c r="H430" s="4">
        <f t="shared" ca="1" si="6"/>
        <v>77</v>
      </c>
      <c r="I430" s="4">
        <v>84.18</v>
      </c>
    </row>
    <row r="431" spans="1:9" x14ac:dyDescent="0.25">
      <c r="A431">
        <v>48256</v>
      </c>
      <c r="B431">
        <v>28</v>
      </c>
      <c r="C431">
        <v>13</v>
      </c>
      <c r="D431">
        <v>106</v>
      </c>
      <c r="E431" t="s">
        <v>698</v>
      </c>
      <c r="F431">
        <v>241</v>
      </c>
      <c r="G431">
        <v>0.25</v>
      </c>
      <c r="H431" s="4">
        <f t="shared" ca="1" si="6"/>
        <v>264</v>
      </c>
      <c r="I431" s="4">
        <v>64.38</v>
      </c>
    </row>
    <row r="432" spans="1:9" x14ac:dyDescent="0.25">
      <c r="A432">
        <v>48256</v>
      </c>
      <c r="B432">
        <v>63</v>
      </c>
      <c r="C432">
        <v>13</v>
      </c>
      <c r="D432">
        <v>105</v>
      </c>
      <c r="E432" t="s">
        <v>693</v>
      </c>
      <c r="F432">
        <v>4</v>
      </c>
      <c r="G432">
        <v>0</v>
      </c>
      <c r="H432" s="4">
        <f t="shared" ca="1" si="6"/>
        <v>4</v>
      </c>
      <c r="I432" s="4">
        <v>62.16</v>
      </c>
    </row>
    <row r="433" spans="1:9" x14ac:dyDescent="0.25">
      <c r="A433">
        <v>86563</v>
      </c>
      <c r="B433">
        <v>60</v>
      </c>
      <c r="C433">
        <v>13</v>
      </c>
      <c r="D433">
        <v>106</v>
      </c>
      <c r="E433" t="s">
        <v>691</v>
      </c>
      <c r="F433">
        <v>12</v>
      </c>
      <c r="G433">
        <v>0</v>
      </c>
      <c r="H433" s="4">
        <f t="shared" ca="1" si="6"/>
        <v>41</v>
      </c>
      <c r="I433" s="4">
        <v>55.5</v>
      </c>
    </row>
    <row r="434" spans="1:9" x14ac:dyDescent="0.25">
      <c r="A434">
        <v>48256</v>
      </c>
      <c r="B434">
        <v>38</v>
      </c>
      <c r="C434">
        <v>13</v>
      </c>
      <c r="D434">
        <v>107</v>
      </c>
      <c r="E434" t="s">
        <v>699</v>
      </c>
      <c r="F434">
        <v>145</v>
      </c>
      <c r="G434">
        <v>0.1</v>
      </c>
      <c r="H434" s="4">
        <f t="shared" ca="1" si="6"/>
        <v>180</v>
      </c>
      <c r="I434" s="4">
        <v>78</v>
      </c>
    </row>
    <row r="435" spans="1:9" x14ac:dyDescent="0.25">
      <c r="A435">
        <v>48256</v>
      </c>
      <c r="B435">
        <v>60</v>
      </c>
      <c r="C435">
        <v>13</v>
      </c>
      <c r="D435">
        <v>107</v>
      </c>
      <c r="E435" t="s">
        <v>694</v>
      </c>
      <c r="F435">
        <v>54</v>
      </c>
      <c r="G435">
        <v>0.1</v>
      </c>
      <c r="H435" s="4">
        <f t="shared" ca="1" si="6"/>
        <v>255</v>
      </c>
      <c r="I435" s="4">
        <v>103.17</v>
      </c>
    </row>
    <row r="436" spans="1:9" x14ac:dyDescent="0.25">
      <c r="A436">
        <v>86563</v>
      </c>
      <c r="B436">
        <v>59</v>
      </c>
      <c r="C436">
        <v>13</v>
      </c>
      <c r="D436">
        <v>108</v>
      </c>
      <c r="E436" t="s">
        <v>695</v>
      </c>
      <c r="F436">
        <v>75</v>
      </c>
      <c r="G436">
        <v>0.1</v>
      </c>
      <c r="H436" s="4">
        <f t="shared" ca="1" si="6"/>
        <v>68</v>
      </c>
      <c r="I436" s="4">
        <v>78.540000000000006</v>
      </c>
    </row>
    <row r="437" spans="1:9" x14ac:dyDescent="0.25">
      <c r="A437">
        <v>86563</v>
      </c>
      <c r="B437">
        <v>3</v>
      </c>
      <c r="C437">
        <v>13</v>
      </c>
      <c r="D437">
        <v>107</v>
      </c>
      <c r="E437" t="s">
        <v>700</v>
      </c>
      <c r="F437">
        <v>12</v>
      </c>
      <c r="G437">
        <v>0</v>
      </c>
      <c r="H437" s="4">
        <f t="shared" ca="1" si="6"/>
        <v>31</v>
      </c>
      <c r="I437" s="4">
        <v>89.04</v>
      </c>
    </row>
    <row r="438" spans="1:9" x14ac:dyDescent="0.25">
      <c r="A438">
        <v>96352</v>
      </c>
      <c r="B438">
        <v>54</v>
      </c>
      <c r="C438">
        <v>13</v>
      </c>
      <c r="D438">
        <v>103</v>
      </c>
      <c r="E438" t="s">
        <v>700</v>
      </c>
      <c r="F438">
        <v>49</v>
      </c>
      <c r="G438">
        <v>0</v>
      </c>
      <c r="H438" s="4">
        <f t="shared" ca="1" si="6"/>
        <v>350</v>
      </c>
      <c r="I438" s="4">
        <v>31.32</v>
      </c>
    </row>
    <row r="439" spans="1:9" x14ac:dyDescent="0.25">
      <c r="A439">
        <v>48256</v>
      </c>
      <c r="B439">
        <v>23</v>
      </c>
      <c r="C439">
        <v>13</v>
      </c>
      <c r="D439">
        <v>101</v>
      </c>
      <c r="E439" t="s">
        <v>697</v>
      </c>
      <c r="F439">
        <v>243</v>
      </c>
      <c r="G439">
        <v>0.25</v>
      </c>
      <c r="H439" s="4">
        <f t="shared" ca="1" si="6"/>
        <v>182</v>
      </c>
      <c r="I439" s="4">
        <v>17.38</v>
      </c>
    </row>
    <row r="440" spans="1:9" x14ac:dyDescent="0.25">
      <c r="A440">
        <v>96352</v>
      </c>
      <c r="B440">
        <v>18</v>
      </c>
      <c r="C440">
        <v>13</v>
      </c>
      <c r="D440">
        <v>108</v>
      </c>
      <c r="E440" t="s">
        <v>699</v>
      </c>
      <c r="F440">
        <v>19</v>
      </c>
      <c r="G440">
        <v>0.1</v>
      </c>
      <c r="H440" s="4">
        <f t="shared" ca="1" si="6"/>
        <v>63</v>
      </c>
      <c r="I440" s="4">
        <v>69.92</v>
      </c>
    </row>
    <row r="441" spans="1:9" x14ac:dyDescent="0.25">
      <c r="A441">
        <v>48256</v>
      </c>
      <c r="B441">
        <v>51</v>
      </c>
      <c r="C441">
        <v>13</v>
      </c>
      <c r="D441">
        <v>101</v>
      </c>
      <c r="E441" t="s">
        <v>698</v>
      </c>
      <c r="F441">
        <v>23</v>
      </c>
      <c r="G441">
        <v>0.25</v>
      </c>
      <c r="H441" s="4">
        <f t="shared" ca="1" si="6"/>
        <v>60</v>
      </c>
      <c r="I441" s="4">
        <v>67.34</v>
      </c>
    </row>
    <row r="442" spans="1:9" x14ac:dyDescent="0.25">
      <c r="A442">
        <v>86563</v>
      </c>
      <c r="B442">
        <v>63</v>
      </c>
      <c r="C442">
        <v>13</v>
      </c>
      <c r="D442">
        <v>108</v>
      </c>
      <c r="E442" t="s">
        <v>692</v>
      </c>
      <c r="F442">
        <v>217</v>
      </c>
      <c r="G442">
        <v>0.25</v>
      </c>
      <c r="H442" s="4">
        <f t="shared" ca="1" si="6"/>
        <v>190</v>
      </c>
      <c r="I442" s="4">
        <v>46.54</v>
      </c>
    </row>
    <row r="443" spans="1:9" x14ac:dyDescent="0.25">
      <c r="A443">
        <v>86563</v>
      </c>
      <c r="B443">
        <v>20</v>
      </c>
      <c r="C443">
        <v>13</v>
      </c>
      <c r="D443">
        <v>101</v>
      </c>
      <c r="E443" t="s">
        <v>698</v>
      </c>
      <c r="F443">
        <v>94</v>
      </c>
      <c r="G443">
        <v>0.1</v>
      </c>
      <c r="H443" s="4">
        <f t="shared" ca="1" si="6"/>
        <v>295</v>
      </c>
      <c r="I443" s="4">
        <v>46.81</v>
      </c>
    </row>
    <row r="444" spans="1:9" x14ac:dyDescent="0.25">
      <c r="A444">
        <v>86563</v>
      </c>
      <c r="B444">
        <v>50</v>
      </c>
      <c r="C444">
        <v>13</v>
      </c>
      <c r="D444">
        <v>108</v>
      </c>
      <c r="E444" t="s">
        <v>692</v>
      </c>
      <c r="F444">
        <v>134</v>
      </c>
      <c r="G444">
        <v>0.1</v>
      </c>
      <c r="H444" s="4">
        <f t="shared" ca="1" si="6"/>
        <v>254</v>
      </c>
      <c r="I444" s="4">
        <v>33.25</v>
      </c>
    </row>
    <row r="445" spans="1:9" x14ac:dyDescent="0.25">
      <c r="A445">
        <v>86563</v>
      </c>
      <c r="B445">
        <v>55</v>
      </c>
      <c r="C445">
        <v>13</v>
      </c>
      <c r="D445">
        <v>107</v>
      </c>
      <c r="E445" t="s">
        <v>695</v>
      </c>
      <c r="F445">
        <v>23</v>
      </c>
      <c r="G445">
        <v>0.25</v>
      </c>
      <c r="H445" s="4">
        <f t="shared" ca="1" si="6"/>
        <v>99</v>
      </c>
      <c r="I445" s="4">
        <v>79</v>
      </c>
    </row>
    <row r="446" spans="1:9" x14ac:dyDescent="0.25">
      <c r="A446">
        <v>96352</v>
      </c>
      <c r="B446">
        <v>49</v>
      </c>
      <c r="C446">
        <v>13</v>
      </c>
      <c r="D446">
        <v>104</v>
      </c>
      <c r="E446" t="s">
        <v>697</v>
      </c>
      <c r="F446">
        <v>182</v>
      </c>
      <c r="G446">
        <v>0</v>
      </c>
      <c r="H446" s="4">
        <f t="shared" ca="1" si="6"/>
        <v>148</v>
      </c>
      <c r="I446" s="4">
        <v>28.26</v>
      </c>
    </row>
    <row r="447" spans="1:9" x14ac:dyDescent="0.25">
      <c r="A447">
        <v>48256</v>
      </c>
      <c r="B447">
        <v>12</v>
      </c>
      <c r="C447">
        <v>13</v>
      </c>
      <c r="D447">
        <v>108</v>
      </c>
      <c r="E447" t="s">
        <v>692</v>
      </c>
      <c r="F447">
        <v>136</v>
      </c>
      <c r="G447">
        <v>0.1</v>
      </c>
      <c r="H447" s="4">
        <f t="shared" ca="1" si="6"/>
        <v>71</v>
      </c>
      <c r="I447" s="4">
        <v>23.53</v>
      </c>
    </row>
    <row r="448" spans="1:9" x14ac:dyDescent="0.25">
      <c r="A448">
        <v>86563</v>
      </c>
      <c r="B448">
        <v>66</v>
      </c>
      <c r="C448">
        <v>13</v>
      </c>
      <c r="D448">
        <v>103</v>
      </c>
      <c r="E448" t="s">
        <v>693</v>
      </c>
      <c r="F448">
        <v>183</v>
      </c>
      <c r="G448">
        <v>0.1</v>
      </c>
      <c r="H448" s="4">
        <f t="shared" ca="1" si="6"/>
        <v>240</v>
      </c>
      <c r="I448" s="4">
        <v>46.5</v>
      </c>
    </row>
    <row r="449" spans="1:9" x14ac:dyDescent="0.25">
      <c r="A449">
        <v>96352</v>
      </c>
      <c r="B449">
        <v>61</v>
      </c>
      <c r="C449">
        <v>13</v>
      </c>
      <c r="D449">
        <v>108</v>
      </c>
      <c r="E449" t="s">
        <v>691</v>
      </c>
      <c r="F449">
        <v>18</v>
      </c>
      <c r="G449">
        <v>0.1</v>
      </c>
      <c r="H449" s="4">
        <f t="shared" ca="1" si="6"/>
        <v>37</v>
      </c>
      <c r="I449" s="4">
        <v>58.68</v>
      </c>
    </row>
    <row r="450" spans="1:9" x14ac:dyDescent="0.25">
      <c r="A450">
        <v>48256</v>
      </c>
      <c r="B450">
        <v>35</v>
      </c>
      <c r="C450">
        <v>13</v>
      </c>
      <c r="D450">
        <v>103</v>
      </c>
      <c r="E450" t="s">
        <v>693</v>
      </c>
      <c r="F450">
        <v>202</v>
      </c>
      <c r="G450">
        <v>0.25</v>
      </c>
      <c r="H450" s="4">
        <f t="shared" ref="H450:H513" ca="1" si="7">IF(F450&lt;=10,RANDBETWEEN(1,5),IF(F450&lt;=20,RANDBETWEEN(15,80),IF(F450&lt;=30,RANDBETWEEN(23,150),RANDBETWEEN(66,350))))</f>
        <v>102</v>
      </c>
      <c r="I450" s="4">
        <v>21.98</v>
      </c>
    </row>
    <row r="451" spans="1:9" x14ac:dyDescent="0.25">
      <c r="A451">
        <v>86563</v>
      </c>
      <c r="B451">
        <v>50</v>
      </c>
      <c r="C451">
        <v>13</v>
      </c>
      <c r="D451">
        <v>108</v>
      </c>
      <c r="E451" t="s">
        <v>696</v>
      </c>
      <c r="F451">
        <v>67</v>
      </c>
      <c r="G451">
        <v>0.1</v>
      </c>
      <c r="H451" s="4">
        <f t="shared" ca="1" si="7"/>
        <v>317</v>
      </c>
      <c r="I451" s="4">
        <v>57.96</v>
      </c>
    </row>
    <row r="452" spans="1:9" x14ac:dyDescent="0.25">
      <c r="A452">
        <v>86563</v>
      </c>
      <c r="B452">
        <v>48</v>
      </c>
      <c r="C452">
        <v>13</v>
      </c>
      <c r="D452">
        <v>101</v>
      </c>
      <c r="E452" t="s">
        <v>700</v>
      </c>
      <c r="F452">
        <v>230</v>
      </c>
      <c r="G452">
        <v>0.1</v>
      </c>
      <c r="H452" s="4">
        <f t="shared" ca="1" si="7"/>
        <v>185</v>
      </c>
      <c r="I452" s="4">
        <v>24.64</v>
      </c>
    </row>
    <row r="453" spans="1:9" x14ac:dyDescent="0.25">
      <c r="A453">
        <v>96352</v>
      </c>
      <c r="B453">
        <v>25</v>
      </c>
      <c r="C453">
        <v>13</v>
      </c>
      <c r="D453">
        <v>105</v>
      </c>
      <c r="E453" t="s">
        <v>693</v>
      </c>
      <c r="F453">
        <v>36</v>
      </c>
      <c r="G453">
        <v>0.1</v>
      </c>
      <c r="H453" s="4">
        <f t="shared" ca="1" si="7"/>
        <v>193</v>
      </c>
      <c r="I453" s="4">
        <v>35</v>
      </c>
    </row>
    <row r="454" spans="1:9" x14ac:dyDescent="0.25">
      <c r="A454">
        <v>48256</v>
      </c>
      <c r="B454">
        <v>58</v>
      </c>
      <c r="C454">
        <v>13</v>
      </c>
      <c r="D454">
        <v>105</v>
      </c>
      <c r="E454" t="s">
        <v>695</v>
      </c>
      <c r="F454">
        <v>211</v>
      </c>
      <c r="G454">
        <v>0.1</v>
      </c>
      <c r="H454" s="4">
        <f t="shared" ca="1" si="7"/>
        <v>283</v>
      </c>
      <c r="I454" s="4">
        <v>98.05</v>
      </c>
    </row>
    <row r="455" spans="1:9" x14ac:dyDescent="0.25">
      <c r="A455">
        <v>86563</v>
      </c>
      <c r="B455">
        <v>4</v>
      </c>
      <c r="C455">
        <v>13</v>
      </c>
      <c r="D455">
        <v>107</v>
      </c>
      <c r="E455" t="s">
        <v>697</v>
      </c>
      <c r="F455">
        <v>175</v>
      </c>
      <c r="G455">
        <v>0.25</v>
      </c>
      <c r="H455" s="4">
        <f t="shared" ca="1" si="7"/>
        <v>341</v>
      </c>
      <c r="I455" s="4">
        <v>57.24</v>
      </c>
    </row>
    <row r="456" spans="1:9" x14ac:dyDescent="0.25">
      <c r="A456">
        <v>48256</v>
      </c>
      <c r="B456">
        <v>1</v>
      </c>
      <c r="C456">
        <v>13</v>
      </c>
      <c r="D456">
        <v>106</v>
      </c>
      <c r="E456" t="s">
        <v>690</v>
      </c>
      <c r="F456">
        <v>191</v>
      </c>
      <c r="G456">
        <v>0.25</v>
      </c>
      <c r="H456" s="4">
        <f t="shared" ca="1" si="7"/>
        <v>116</v>
      </c>
      <c r="I456" s="4">
        <v>19.760000000000002</v>
      </c>
    </row>
    <row r="457" spans="1:9" x14ac:dyDescent="0.25">
      <c r="A457">
        <v>86563</v>
      </c>
      <c r="B457">
        <v>24</v>
      </c>
      <c r="C457">
        <v>13</v>
      </c>
      <c r="D457">
        <v>105</v>
      </c>
      <c r="E457" t="s">
        <v>697</v>
      </c>
      <c r="F457">
        <v>239</v>
      </c>
      <c r="G457">
        <v>0</v>
      </c>
      <c r="H457" s="4">
        <f t="shared" ca="1" si="7"/>
        <v>262</v>
      </c>
      <c r="I457" s="4">
        <v>68.849999999999994</v>
      </c>
    </row>
    <row r="458" spans="1:9" x14ac:dyDescent="0.25">
      <c r="A458">
        <v>96352</v>
      </c>
      <c r="B458">
        <v>54</v>
      </c>
      <c r="C458">
        <v>13</v>
      </c>
      <c r="D458">
        <v>101</v>
      </c>
      <c r="E458" t="s">
        <v>690</v>
      </c>
      <c r="F458">
        <v>87</v>
      </c>
      <c r="G458">
        <v>0.1</v>
      </c>
      <c r="H458" s="4">
        <f t="shared" ca="1" si="7"/>
        <v>93</v>
      </c>
      <c r="I458" s="4">
        <v>60.4</v>
      </c>
    </row>
    <row r="459" spans="1:9" x14ac:dyDescent="0.25">
      <c r="A459">
        <v>48256</v>
      </c>
      <c r="B459">
        <v>11</v>
      </c>
      <c r="C459">
        <v>13</v>
      </c>
      <c r="D459">
        <v>101</v>
      </c>
      <c r="E459" t="s">
        <v>697</v>
      </c>
      <c r="F459">
        <v>241</v>
      </c>
      <c r="G459">
        <v>0.1</v>
      </c>
      <c r="H459" s="4">
        <f t="shared" ca="1" si="7"/>
        <v>105</v>
      </c>
      <c r="I459" s="4">
        <v>51.8</v>
      </c>
    </row>
    <row r="460" spans="1:9" x14ac:dyDescent="0.25">
      <c r="A460">
        <v>96352</v>
      </c>
      <c r="B460">
        <v>1</v>
      </c>
      <c r="C460">
        <v>13</v>
      </c>
      <c r="D460">
        <v>103</v>
      </c>
      <c r="E460" t="s">
        <v>694</v>
      </c>
      <c r="F460">
        <v>121</v>
      </c>
      <c r="G460">
        <v>0</v>
      </c>
      <c r="H460" s="4">
        <f t="shared" ca="1" si="7"/>
        <v>326</v>
      </c>
      <c r="I460" s="4">
        <v>56.76</v>
      </c>
    </row>
    <row r="461" spans="1:9" x14ac:dyDescent="0.25">
      <c r="A461">
        <v>48256</v>
      </c>
      <c r="B461">
        <v>16</v>
      </c>
      <c r="C461">
        <v>13</v>
      </c>
      <c r="D461">
        <v>105</v>
      </c>
      <c r="E461" t="s">
        <v>692</v>
      </c>
      <c r="F461">
        <v>23</v>
      </c>
      <c r="G461">
        <v>0.25</v>
      </c>
      <c r="H461" s="4">
        <f t="shared" ca="1" si="7"/>
        <v>116</v>
      </c>
      <c r="I461" s="4">
        <v>74.7</v>
      </c>
    </row>
    <row r="462" spans="1:9" x14ac:dyDescent="0.25">
      <c r="A462">
        <v>48256</v>
      </c>
      <c r="B462">
        <v>56</v>
      </c>
      <c r="C462">
        <v>13</v>
      </c>
      <c r="D462">
        <v>103</v>
      </c>
      <c r="E462" t="s">
        <v>690</v>
      </c>
      <c r="F462">
        <v>68</v>
      </c>
      <c r="G462">
        <v>0.1</v>
      </c>
      <c r="H462" s="4">
        <f t="shared" ca="1" si="7"/>
        <v>96</v>
      </c>
      <c r="I462" s="4">
        <v>44.95</v>
      </c>
    </row>
    <row r="463" spans="1:9" x14ac:dyDescent="0.25">
      <c r="A463">
        <v>48256</v>
      </c>
      <c r="B463">
        <v>34</v>
      </c>
      <c r="C463">
        <v>13</v>
      </c>
      <c r="D463">
        <v>104</v>
      </c>
      <c r="E463" t="s">
        <v>694</v>
      </c>
      <c r="F463">
        <v>201</v>
      </c>
      <c r="G463">
        <v>0.1</v>
      </c>
      <c r="H463" s="4">
        <f t="shared" ca="1" si="7"/>
        <v>249</v>
      </c>
      <c r="I463" s="4">
        <v>24.7</v>
      </c>
    </row>
    <row r="464" spans="1:9" x14ac:dyDescent="0.25">
      <c r="A464">
        <v>48256</v>
      </c>
      <c r="B464">
        <v>64</v>
      </c>
      <c r="C464">
        <v>13</v>
      </c>
      <c r="D464">
        <v>103</v>
      </c>
      <c r="E464" t="s">
        <v>697</v>
      </c>
      <c r="F464">
        <v>222</v>
      </c>
      <c r="G464">
        <v>0.1</v>
      </c>
      <c r="H464" s="4">
        <f t="shared" ca="1" si="7"/>
        <v>320</v>
      </c>
      <c r="I464" s="4">
        <v>94.54</v>
      </c>
    </row>
    <row r="465" spans="1:9" x14ac:dyDescent="0.25">
      <c r="A465">
        <v>86563</v>
      </c>
      <c r="B465">
        <v>52</v>
      </c>
      <c r="C465">
        <v>13</v>
      </c>
      <c r="D465">
        <v>106</v>
      </c>
      <c r="E465" t="s">
        <v>699</v>
      </c>
      <c r="F465">
        <v>166</v>
      </c>
      <c r="G465">
        <v>0.1</v>
      </c>
      <c r="H465" s="4">
        <f t="shared" ca="1" si="7"/>
        <v>328</v>
      </c>
      <c r="I465" s="4">
        <v>57.35</v>
      </c>
    </row>
    <row r="466" spans="1:9" x14ac:dyDescent="0.25">
      <c r="A466">
        <v>48256</v>
      </c>
      <c r="B466">
        <v>67</v>
      </c>
      <c r="C466">
        <v>13</v>
      </c>
      <c r="D466">
        <v>101</v>
      </c>
      <c r="E466" t="s">
        <v>698</v>
      </c>
      <c r="F466">
        <v>184</v>
      </c>
      <c r="G466">
        <v>0.25</v>
      </c>
      <c r="H466" s="4">
        <f t="shared" ca="1" si="7"/>
        <v>84</v>
      </c>
      <c r="I466" s="4">
        <v>32.49</v>
      </c>
    </row>
    <row r="467" spans="1:9" x14ac:dyDescent="0.25">
      <c r="A467">
        <v>48256</v>
      </c>
      <c r="B467">
        <v>6</v>
      </c>
      <c r="C467">
        <v>13</v>
      </c>
      <c r="D467">
        <v>105</v>
      </c>
      <c r="E467" t="s">
        <v>695</v>
      </c>
      <c r="F467">
        <v>235</v>
      </c>
      <c r="G467">
        <v>0.1</v>
      </c>
      <c r="H467" s="4">
        <f t="shared" ca="1" si="7"/>
        <v>349</v>
      </c>
      <c r="I467" s="4">
        <v>51.15</v>
      </c>
    </row>
    <row r="468" spans="1:9" x14ac:dyDescent="0.25">
      <c r="A468">
        <v>86563</v>
      </c>
      <c r="B468">
        <v>48</v>
      </c>
      <c r="C468">
        <v>13</v>
      </c>
      <c r="D468">
        <v>103</v>
      </c>
      <c r="E468" t="s">
        <v>692</v>
      </c>
      <c r="F468">
        <v>78</v>
      </c>
      <c r="G468">
        <v>0.25</v>
      </c>
      <c r="H468" s="4">
        <f t="shared" ca="1" si="7"/>
        <v>96</v>
      </c>
      <c r="I468" s="4">
        <v>42.38</v>
      </c>
    </row>
    <row r="469" spans="1:9" x14ac:dyDescent="0.25">
      <c r="A469">
        <v>48256</v>
      </c>
      <c r="B469">
        <v>37</v>
      </c>
      <c r="C469">
        <v>13</v>
      </c>
      <c r="D469">
        <v>105</v>
      </c>
      <c r="E469" t="s">
        <v>690</v>
      </c>
      <c r="F469">
        <v>54</v>
      </c>
      <c r="G469">
        <v>0</v>
      </c>
      <c r="H469" s="4">
        <f t="shared" ca="1" si="7"/>
        <v>278</v>
      </c>
      <c r="I469" s="4">
        <v>88.55</v>
      </c>
    </row>
    <row r="470" spans="1:9" x14ac:dyDescent="0.25">
      <c r="A470">
        <v>96352</v>
      </c>
      <c r="B470">
        <v>27</v>
      </c>
      <c r="C470">
        <v>13</v>
      </c>
      <c r="D470">
        <v>102</v>
      </c>
      <c r="E470" t="s">
        <v>695</v>
      </c>
      <c r="F470">
        <v>237</v>
      </c>
      <c r="G470">
        <v>0</v>
      </c>
      <c r="H470" s="4">
        <f t="shared" ca="1" si="7"/>
        <v>198</v>
      </c>
      <c r="I470" s="4">
        <v>44.4</v>
      </c>
    </row>
    <row r="471" spans="1:9" x14ac:dyDescent="0.25">
      <c r="A471">
        <v>96352</v>
      </c>
      <c r="B471">
        <v>20</v>
      </c>
      <c r="C471">
        <v>13</v>
      </c>
      <c r="D471">
        <v>107</v>
      </c>
      <c r="E471" t="s">
        <v>695</v>
      </c>
      <c r="F471">
        <v>234</v>
      </c>
      <c r="G471">
        <v>0.25</v>
      </c>
      <c r="H471" s="4">
        <f t="shared" ca="1" si="7"/>
        <v>71</v>
      </c>
      <c r="I471" s="4">
        <v>24.9</v>
      </c>
    </row>
    <row r="472" spans="1:9" x14ac:dyDescent="0.25">
      <c r="A472">
        <v>48256</v>
      </c>
      <c r="B472">
        <v>15</v>
      </c>
      <c r="C472">
        <v>13</v>
      </c>
      <c r="D472">
        <v>102</v>
      </c>
      <c r="E472" t="s">
        <v>694</v>
      </c>
      <c r="F472">
        <v>31</v>
      </c>
      <c r="G472">
        <v>0.1</v>
      </c>
      <c r="H472" s="4">
        <f t="shared" ca="1" si="7"/>
        <v>103</v>
      </c>
      <c r="I472" s="4">
        <v>67.680000000000007</v>
      </c>
    </row>
    <row r="473" spans="1:9" x14ac:dyDescent="0.25">
      <c r="A473">
        <v>96352</v>
      </c>
      <c r="B473">
        <v>31</v>
      </c>
      <c r="C473">
        <v>13</v>
      </c>
      <c r="D473">
        <v>105</v>
      </c>
      <c r="E473" t="s">
        <v>694</v>
      </c>
      <c r="F473">
        <v>227</v>
      </c>
      <c r="G473">
        <v>0</v>
      </c>
      <c r="H473" s="4">
        <f t="shared" ca="1" si="7"/>
        <v>126</v>
      </c>
      <c r="I473" s="4">
        <v>43.01</v>
      </c>
    </row>
    <row r="474" spans="1:9" x14ac:dyDescent="0.25">
      <c r="A474">
        <v>86563</v>
      </c>
      <c r="B474">
        <v>70</v>
      </c>
      <c r="C474">
        <v>13</v>
      </c>
      <c r="D474">
        <v>101</v>
      </c>
      <c r="E474" t="s">
        <v>692</v>
      </c>
      <c r="F474">
        <v>158</v>
      </c>
      <c r="G474">
        <v>0</v>
      </c>
      <c r="H474" s="4">
        <f t="shared" ca="1" si="7"/>
        <v>146</v>
      </c>
      <c r="I474" s="4">
        <v>105.45</v>
      </c>
    </row>
    <row r="475" spans="1:9" x14ac:dyDescent="0.25">
      <c r="A475">
        <v>48256</v>
      </c>
      <c r="B475">
        <v>70</v>
      </c>
      <c r="C475">
        <v>13</v>
      </c>
      <c r="D475">
        <v>105</v>
      </c>
      <c r="E475" t="s">
        <v>693</v>
      </c>
      <c r="F475">
        <v>45</v>
      </c>
      <c r="G475">
        <v>0.1</v>
      </c>
      <c r="H475" s="4">
        <f t="shared" ca="1" si="7"/>
        <v>330</v>
      </c>
      <c r="I475" s="4">
        <v>97.35</v>
      </c>
    </row>
    <row r="476" spans="1:9" x14ac:dyDescent="0.25">
      <c r="A476">
        <v>48256</v>
      </c>
      <c r="B476">
        <v>59</v>
      </c>
      <c r="C476">
        <v>13</v>
      </c>
      <c r="D476">
        <v>101</v>
      </c>
      <c r="E476" t="s">
        <v>699</v>
      </c>
      <c r="F476">
        <v>81</v>
      </c>
      <c r="G476">
        <v>0</v>
      </c>
      <c r="H476" s="4">
        <f t="shared" ca="1" si="7"/>
        <v>231</v>
      </c>
      <c r="I476" s="4">
        <v>57.6</v>
      </c>
    </row>
    <row r="477" spans="1:9" x14ac:dyDescent="0.25">
      <c r="A477">
        <v>48256</v>
      </c>
      <c r="B477">
        <v>61</v>
      </c>
      <c r="C477">
        <v>13</v>
      </c>
      <c r="D477">
        <v>105</v>
      </c>
      <c r="E477" t="s">
        <v>698</v>
      </c>
      <c r="F477">
        <v>117</v>
      </c>
      <c r="G477">
        <v>0</v>
      </c>
      <c r="H477" s="4">
        <f t="shared" ca="1" si="7"/>
        <v>272</v>
      </c>
      <c r="I477" s="4">
        <v>84</v>
      </c>
    </row>
    <row r="478" spans="1:9" x14ac:dyDescent="0.25">
      <c r="A478">
        <v>86563</v>
      </c>
      <c r="B478">
        <v>62</v>
      </c>
      <c r="C478">
        <v>13</v>
      </c>
      <c r="D478">
        <v>104</v>
      </c>
      <c r="E478" t="s">
        <v>697</v>
      </c>
      <c r="F478">
        <v>69</v>
      </c>
      <c r="G478">
        <v>0.25</v>
      </c>
      <c r="H478" s="4">
        <f t="shared" ca="1" si="7"/>
        <v>278</v>
      </c>
      <c r="I478" s="4">
        <v>55.65</v>
      </c>
    </row>
    <row r="479" spans="1:9" x14ac:dyDescent="0.25">
      <c r="A479">
        <v>96352</v>
      </c>
      <c r="B479">
        <v>10</v>
      </c>
      <c r="C479">
        <v>13</v>
      </c>
      <c r="D479">
        <v>107</v>
      </c>
      <c r="E479" t="s">
        <v>697</v>
      </c>
      <c r="F479">
        <v>56</v>
      </c>
      <c r="G479">
        <v>0.1</v>
      </c>
      <c r="H479" s="4">
        <f t="shared" ca="1" si="7"/>
        <v>218</v>
      </c>
      <c r="I479" s="4">
        <v>66.150000000000006</v>
      </c>
    </row>
    <row r="480" spans="1:9" x14ac:dyDescent="0.25">
      <c r="A480">
        <v>86563</v>
      </c>
      <c r="B480">
        <v>42</v>
      </c>
      <c r="C480">
        <v>13</v>
      </c>
      <c r="D480">
        <v>103</v>
      </c>
      <c r="E480" t="s">
        <v>698</v>
      </c>
      <c r="F480">
        <v>91</v>
      </c>
      <c r="G480">
        <v>0.1</v>
      </c>
      <c r="H480" s="4">
        <f t="shared" ca="1" si="7"/>
        <v>105</v>
      </c>
      <c r="I480" s="4">
        <v>84</v>
      </c>
    </row>
    <row r="481" spans="1:9" x14ac:dyDescent="0.25">
      <c r="A481">
        <v>96352</v>
      </c>
      <c r="B481">
        <v>58</v>
      </c>
      <c r="C481">
        <v>13</v>
      </c>
      <c r="D481">
        <v>108</v>
      </c>
      <c r="E481" t="s">
        <v>690</v>
      </c>
      <c r="F481">
        <v>127</v>
      </c>
      <c r="G481">
        <v>0.1</v>
      </c>
      <c r="H481" s="4">
        <f t="shared" ca="1" si="7"/>
        <v>214</v>
      </c>
      <c r="I481" s="4">
        <v>50.4</v>
      </c>
    </row>
    <row r="482" spans="1:9" x14ac:dyDescent="0.25">
      <c r="A482">
        <v>96352</v>
      </c>
      <c r="B482">
        <v>16</v>
      </c>
      <c r="C482">
        <v>13</v>
      </c>
      <c r="D482">
        <v>105</v>
      </c>
      <c r="E482" t="s">
        <v>692</v>
      </c>
      <c r="F482">
        <v>135</v>
      </c>
      <c r="G482">
        <v>0.25</v>
      </c>
      <c r="H482" s="4">
        <f t="shared" ca="1" si="7"/>
        <v>117</v>
      </c>
      <c r="I482" s="4">
        <v>30.96</v>
      </c>
    </row>
    <row r="483" spans="1:9" x14ac:dyDescent="0.25">
      <c r="A483">
        <v>86563</v>
      </c>
      <c r="B483">
        <v>35</v>
      </c>
      <c r="C483">
        <v>13</v>
      </c>
      <c r="D483">
        <v>108</v>
      </c>
      <c r="E483" t="s">
        <v>693</v>
      </c>
      <c r="F483">
        <v>217</v>
      </c>
      <c r="G483">
        <v>0.1</v>
      </c>
      <c r="H483" s="4">
        <f t="shared" ca="1" si="7"/>
        <v>347</v>
      </c>
      <c r="I483" s="4">
        <v>76.5</v>
      </c>
    </row>
    <row r="484" spans="1:9" x14ac:dyDescent="0.25">
      <c r="A484">
        <v>86563</v>
      </c>
      <c r="B484">
        <v>41</v>
      </c>
      <c r="C484">
        <v>13</v>
      </c>
      <c r="D484">
        <v>104</v>
      </c>
      <c r="E484" t="s">
        <v>696</v>
      </c>
      <c r="F484">
        <v>78</v>
      </c>
      <c r="G484">
        <v>0</v>
      </c>
      <c r="H484" s="4">
        <f t="shared" ca="1" si="7"/>
        <v>182</v>
      </c>
      <c r="I484" s="4">
        <v>21.32</v>
      </c>
    </row>
    <row r="485" spans="1:9" x14ac:dyDescent="0.25">
      <c r="A485">
        <v>96352</v>
      </c>
      <c r="B485">
        <v>51</v>
      </c>
      <c r="C485">
        <v>13</v>
      </c>
      <c r="D485">
        <v>102</v>
      </c>
      <c r="E485" t="s">
        <v>699</v>
      </c>
      <c r="F485">
        <v>214</v>
      </c>
      <c r="G485">
        <v>0.25</v>
      </c>
      <c r="H485" s="4">
        <f t="shared" ca="1" si="7"/>
        <v>129</v>
      </c>
      <c r="I485" s="4">
        <v>31.14</v>
      </c>
    </row>
    <row r="486" spans="1:9" x14ac:dyDescent="0.25">
      <c r="A486">
        <v>48256</v>
      </c>
      <c r="B486">
        <v>1</v>
      </c>
      <c r="C486">
        <v>13</v>
      </c>
      <c r="D486">
        <v>103</v>
      </c>
      <c r="E486" t="s">
        <v>697</v>
      </c>
      <c r="F486">
        <v>120</v>
      </c>
      <c r="G486">
        <v>0.1</v>
      </c>
      <c r="H486" s="4">
        <f t="shared" ca="1" si="7"/>
        <v>248</v>
      </c>
      <c r="I486" s="4">
        <v>78.66</v>
      </c>
    </row>
    <row r="487" spans="1:9" x14ac:dyDescent="0.25">
      <c r="A487">
        <v>48256</v>
      </c>
      <c r="B487">
        <v>70</v>
      </c>
      <c r="C487">
        <v>13</v>
      </c>
      <c r="D487">
        <v>105</v>
      </c>
      <c r="E487" t="s">
        <v>694</v>
      </c>
      <c r="F487">
        <v>213</v>
      </c>
      <c r="G487">
        <v>0</v>
      </c>
      <c r="H487" s="4">
        <f t="shared" ca="1" si="7"/>
        <v>134</v>
      </c>
      <c r="I487" s="4">
        <v>68.849999999999994</v>
      </c>
    </row>
    <row r="488" spans="1:9" x14ac:dyDescent="0.25">
      <c r="A488">
        <v>48256</v>
      </c>
      <c r="B488">
        <v>70</v>
      </c>
      <c r="C488">
        <v>13</v>
      </c>
      <c r="D488">
        <v>105</v>
      </c>
      <c r="E488" t="s">
        <v>699</v>
      </c>
      <c r="F488">
        <v>152</v>
      </c>
      <c r="G488">
        <v>0.25</v>
      </c>
      <c r="H488" s="4">
        <f t="shared" ca="1" si="7"/>
        <v>229</v>
      </c>
      <c r="I488" s="4">
        <v>22.96</v>
      </c>
    </row>
    <row r="489" spans="1:9" x14ac:dyDescent="0.25">
      <c r="A489">
        <v>86563</v>
      </c>
      <c r="B489">
        <v>20</v>
      </c>
      <c r="C489">
        <v>13</v>
      </c>
      <c r="D489">
        <v>105</v>
      </c>
      <c r="E489" t="s">
        <v>697</v>
      </c>
      <c r="F489">
        <v>228</v>
      </c>
      <c r="G489">
        <v>0</v>
      </c>
      <c r="H489" s="4">
        <f t="shared" ca="1" si="7"/>
        <v>334</v>
      </c>
      <c r="I489" s="4">
        <v>69.56</v>
      </c>
    </row>
    <row r="490" spans="1:9" x14ac:dyDescent="0.25">
      <c r="A490">
        <v>86563</v>
      </c>
      <c r="B490">
        <v>7</v>
      </c>
      <c r="C490">
        <v>13</v>
      </c>
      <c r="D490">
        <v>105</v>
      </c>
      <c r="E490" t="s">
        <v>693</v>
      </c>
      <c r="F490">
        <v>2</v>
      </c>
      <c r="G490">
        <v>0.1</v>
      </c>
      <c r="H490" s="4">
        <f t="shared" ca="1" si="7"/>
        <v>1</v>
      </c>
      <c r="I490" s="4">
        <v>64.78</v>
      </c>
    </row>
    <row r="491" spans="1:9" x14ac:dyDescent="0.25">
      <c r="A491">
        <v>96352</v>
      </c>
      <c r="B491">
        <v>26</v>
      </c>
      <c r="C491">
        <v>13</v>
      </c>
      <c r="D491">
        <v>106</v>
      </c>
      <c r="E491" t="s">
        <v>691</v>
      </c>
      <c r="F491">
        <v>156</v>
      </c>
      <c r="G491">
        <v>0.25</v>
      </c>
      <c r="H491" s="4">
        <f t="shared" ca="1" si="7"/>
        <v>337</v>
      </c>
      <c r="I491" s="4">
        <v>41.8</v>
      </c>
    </row>
    <row r="492" spans="1:9" x14ac:dyDescent="0.25">
      <c r="A492">
        <v>96352</v>
      </c>
      <c r="B492">
        <v>8</v>
      </c>
      <c r="C492">
        <v>13</v>
      </c>
      <c r="D492">
        <v>102</v>
      </c>
      <c r="E492" t="s">
        <v>692</v>
      </c>
      <c r="F492">
        <v>62</v>
      </c>
      <c r="G492">
        <v>0</v>
      </c>
      <c r="H492" s="4">
        <f t="shared" ca="1" si="7"/>
        <v>278</v>
      </c>
      <c r="I492" s="4">
        <v>80.040000000000006</v>
      </c>
    </row>
    <row r="493" spans="1:9" x14ac:dyDescent="0.25">
      <c r="A493">
        <v>96352</v>
      </c>
      <c r="B493">
        <v>8</v>
      </c>
      <c r="C493">
        <v>13</v>
      </c>
      <c r="D493">
        <v>101</v>
      </c>
      <c r="E493" t="s">
        <v>693</v>
      </c>
      <c r="F493">
        <v>18</v>
      </c>
      <c r="G493">
        <v>0.25</v>
      </c>
      <c r="H493" s="4">
        <f t="shared" ca="1" si="7"/>
        <v>49</v>
      </c>
      <c r="I493" s="4">
        <v>111.51</v>
      </c>
    </row>
    <row r="494" spans="1:9" x14ac:dyDescent="0.25">
      <c r="A494">
        <v>48256</v>
      </c>
      <c r="B494">
        <v>30</v>
      </c>
      <c r="C494">
        <v>13</v>
      </c>
      <c r="D494">
        <v>101</v>
      </c>
      <c r="E494" t="s">
        <v>692</v>
      </c>
      <c r="F494">
        <v>72</v>
      </c>
      <c r="G494">
        <v>0.25</v>
      </c>
      <c r="H494" s="4">
        <f t="shared" ca="1" si="7"/>
        <v>191</v>
      </c>
      <c r="I494" s="4">
        <v>18.399999999999999</v>
      </c>
    </row>
    <row r="495" spans="1:9" x14ac:dyDescent="0.25">
      <c r="A495">
        <v>86563</v>
      </c>
      <c r="B495">
        <v>11</v>
      </c>
      <c r="C495">
        <v>13</v>
      </c>
      <c r="D495">
        <v>107</v>
      </c>
      <c r="E495" t="s">
        <v>698</v>
      </c>
      <c r="F495">
        <v>45</v>
      </c>
      <c r="G495">
        <v>0.1</v>
      </c>
      <c r="H495" s="4">
        <f t="shared" ca="1" si="7"/>
        <v>98</v>
      </c>
      <c r="I495" s="4">
        <v>55.5</v>
      </c>
    </row>
    <row r="496" spans="1:9" x14ac:dyDescent="0.25">
      <c r="A496">
        <v>86563</v>
      </c>
      <c r="B496">
        <v>47</v>
      </c>
      <c r="C496">
        <v>13</v>
      </c>
      <c r="D496">
        <v>108</v>
      </c>
      <c r="E496" t="s">
        <v>690</v>
      </c>
      <c r="F496">
        <v>6</v>
      </c>
      <c r="G496">
        <v>0</v>
      </c>
      <c r="H496" s="4">
        <f t="shared" ca="1" si="7"/>
        <v>3</v>
      </c>
      <c r="I496" s="4">
        <v>41.36</v>
      </c>
    </row>
    <row r="497" spans="1:9" x14ac:dyDescent="0.25">
      <c r="A497">
        <v>96352</v>
      </c>
      <c r="B497">
        <v>13</v>
      </c>
      <c r="C497">
        <v>13</v>
      </c>
      <c r="D497">
        <v>103</v>
      </c>
      <c r="E497" t="s">
        <v>694</v>
      </c>
      <c r="F497">
        <v>122</v>
      </c>
      <c r="G497">
        <v>0.1</v>
      </c>
      <c r="H497" s="4">
        <f t="shared" ca="1" si="7"/>
        <v>179</v>
      </c>
      <c r="I497" s="4">
        <v>86.94</v>
      </c>
    </row>
    <row r="498" spans="1:9" x14ac:dyDescent="0.25">
      <c r="A498">
        <v>48256</v>
      </c>
      <c r="B498">
        <v>15</v>
      </c>
      <c r="C498">
        <v>13</v>
      </c>
      <c r="D498">
        <v>106</v>
      </c>
      <c r="E498" t="s">
        <v>697</v>
      </c>
      <c r="F498">
        <v>187</v>
      </c>
      <c r="G498">
        <v>0.25</v>
      </c>
      <c r="H498" s="4">
        <f t="shared" ca="1" si="7"/>
        <v>283</v>
      </c>
      <c r="I498" s="4">
        <v>39.520000000000003</v>
      </c>
    </row>
    <row r="499" spans="1:9" x14ac:dyDescent="0.25">
      <c r="A499">
        <v>48256</v>
      </c>
      <c r="B499">
        <v>10</v>
      </c>
      <c r="C499">
        <v>13</v>
      </c>
      <c r="D499">
        <v>103</v>
      </c>
      <c r="E499" t="s">
        <v>690</v>
      </c>
      <c r="F499">
        <v>114</v>
      </c>
      <c r="G499">
        <v>0.25</v>
      </c>
      <c r="H499" s="4">
        <f t="shared" ca="1" si="7"/>
        <v>229</v>
      </c>
      <c r="I499" s="4">
        <v>46</v>
      </c>
    </row>
    <row r="500" spans="1:9" x14ac:dyDescent="0.25">
      <c r="A500">
        <v>48256</v>
      </c>
      <c r="B500">
        <v>2</v>
      </c>
      <c r="C500">
        <v>13</v>
      </c>
      <c r="D500">
        <v>102</v>
      </c>
      <c r="E500" t="s">
        <v>694</v>
      </c>
      <c r="F500">
        <v>203</v>
      </c>
      <c r="G500">
        <v>0.1</v>
      </c>
      <c r="H500" s="4">
        <f t="shared" ca="1" si="7"/>
        <v>136</v>
      </c>
      <c r="I500" s="4">
        <v>54.12</v>
      </c>
    </row>
    <row r="501" spans="1:9" x14ac:dyDescent="0.25">
      <c r="A501">
        <v>96352</v>
      </c>
      <c r="B501">
        <v>13</v>
      </c>
      <c r="C501">
        <v>13</v>
      </c>
      <c r="D501">
        <v>108</v>
      </c>
      <c r="E501" t="s">
        <v>693</v>
      </c>
      <c r="F501">
        <v>160</v>
      </c>
      <c r="G501">
        <v>0.25</v>
      </c>
      <c r="H501" s="4">
        <f t="shared" ca="1" si="7"/>
        <v>175</v>
      </c>
      <c r="I501" s="4">
        <v>69</v>
      </c>
    </row>
    <row r="502" spans="1:9" x14ac:dyDescent="0.25">
      <c r="A502">
        <v>48256</v>
      </c>
      <c r="B502">
        <v>48</v>
      </c>
      <c r="C502">
        <v>13</v>
      </c>
      <c r="D502">
        <v>105</v>
      </c>
      <c r="E502" t="s">
        <v>700</v>
      </c>
      <c r="F502">
        <v>162</v>
      </c>
      <c r="G502">
        <v>0</v>
      </c>
      <c r="H502" s="4">
        <f t="shared" ca="1" si="7"/>
        <v>186</v>
      </c>
      <c r="I502" s="4">
        <v>80.599999999999994</v>
      </c>
    </row>
    <row r="503" spans="1:9" x14ac:dyDescent="0.25">
      <c r="A503">
        <v>86563</v>
      </c>
      <c r="B503">
        <v>53</v>
      </c>
      <c r="C503">
        <v>13</v>
      </c>
      <c r="D503">
        <v>107</v>
      </c>
      <c r="E503" t="s">
        <v>694</v>
      </c>
      <c r="F503">
        <v>152</v>
      </c>
      <c r="G503">
        <v>0</v>
      </c>
      <c r="H503" s="4">
        <f t="shared" ca="1" si="7"/>
        <v>273</v>
      </c>
      <c r="I503" s="4">
        <v>85.32</v>
      </c>
    </row>
    <row r="504" spans="1:9" x14ac:dyDescent="0.25">
      <c r="A504">
        <v>48256</v>
      </c>
      <c r="B504">
        <v>38</v>
      </c>
      <c r="C504">
        <v>13</v>
      </c>
      <c r="D504">
        <v>104</v>
      </c>
      <c r="E504" t="s">
        <v>696</v>
      </c>
      <c r="F504">
        <v>170</v>
      </c>
      <c r="G504">
        <v>0</v>
      </c>
      <c r="H504" s="4">
        <f t="shared" ca="1" si="7"/>
        <v>343</v>
      </c>
      <c r="I504" s="4">
        <v>48.06</v>
      </c>
    </row>
    <row r="505" spans="1:9" x14ac:dyDescent="0.25">
      <c r="A505">
        <v>48256</v>
      </c>
      <c r="B505">
        <v>8</v>
      </c>
      <c r="C505">
        <v>13</v>
      </c>
      <c r="D505">
        <v>108</v>
      </c>
      <c r="E505" t="s">
        <v>692</v>
      </c>
      <c r="F505">
        <v>185</v>
      </c>
      <c r="G505">
        <v>0</v>
      </c>
      <c r="H505" s="4">
        <f t="shared" ca="1" si="7"/>
        <v>127</v>
      </c>
      <c r="I505" s="4">
        <v>68.08</v>
      </c>
    </row>
    <row r="506" spans="1:9" x14ac:dyDescent="0.25">
      <c r="A506">
        <v>86563</v>
      </c>
      <c r="B506">
        <v>24</v>
      </c>
      <c r="C506">
        <v>13</v>
      </c>
      <c r="D506">
        <v>102</v>
      </c>
      <c r="E506" t="s">
        <v>700</v>
      </c>
      <c r="F506">
        <v>68</v>
      </c>
      <c r="G506">
        <v>0.1</v>
      </c>
      <c r="H506" s="4">
        <f t="shared" ca="1" si="7"/>
        <v>130</v>
      </c>
      <c r="I506" s="4">
        <v>25.35</v>
      </c>
    </row>
    <row r="507" spans="1:9" x14ac:dyDescent="0.25">
      <c r="A507">
        <v>86563</v>
      </c>
      <c r="B507">
        <v>38</v>
      </c>
      <c r="C507">
        <v>13</v>
      </c>
      <c r="D507">
        <v>107</v>
      </c>
      <c r="E507" t="s">
        <v>694</v>
      </c>
      <c r="F507">
        <v>68</v>
      </c>
      <c r="G507">
        <v>0</v>
      </c>
      <c r="H507" s="4">
        <f t="shared" ca="1" si="7"/>
        <v>107</v>
      </c>
      <c r="I507" s="4">
        <v>57.8</v>
      </c>
    </row>
    <row r="508" spans="1:9" x14ac:dyDescent="0.25">
      <c r="A508">
        <v>86563</v>
      </c>
      <c r="B508">
        <v>20</v>
      </c>
      <c r="C508">
        <v>13</v>
      </c>
      <c r="D508">
        <v>103</v>
      </c>
      <c r="E508" t="s">
        <v>690</v>
      </c>
      <c r="F508">
        <v>139</v>
      </c>
      <c r="G508">
        <v>0.25</v>
      </c>
      <c r="H508" s="4">
        <f t="shared" ca="1" si="7"/>
        <v>158</v>
      </c>
      <c r="I508" s="4">
        <v>31.62</v>
      </c>
    </row>
    <row r="509" spans="1:9" x14ac:dyDescent="0.25">
      <c r="A509">
        <v>96352</v>
      </c>
      <c r="B509">
        <v>12</v>
      </c>
      <c r="C509">
        <v>13</v>
      </c>
      <c r="D509">
        <v>101</v>
      </c>
      <c r="E509" t="s">
        <v>700</v>
      </c>
      <c r="F509">
        <v>8</v>
      </c>
      <c r="G509">
        <v>0.1</v>
      </c>
      <c r="H509" s="4">
        <f t="shared" ca="1" si="7"/>
        <v>4</v>
      </c>
      <c r="I509" s="4">
        <v>60.84</v>
      </c>
    </row>
    <row r="510" spans="1:9" x14ac:dyDescent="0.25">
      <c r="A510">
        <v>96352</v>
      </c>
      <c r="B510">
        <v>29</v>
      </c>
      <c r="C510">
        <v>13</v>
      </c>
      <c r="D510">
        <v>108</v>
      </c>
      <c r="E510" t="s">
        <v>693</v>
      </c>
      <c r="F510">
        <v>149</v>
      </c>
      <c r="G510">
        <v>0.25</v>
      </c>
      <c r="H510" s="4">
        <f t="shared" ca="1" si="7"/>
        <v>350</v>
      </c>
      <c r="I510" s="4">
        <v>96.86</v>
      </c>
    </row>
    <row r="511" spans="1:9" x14ac:dyDescent="0.25">
      <c r="A511">
        <v>96352</v>
      </c>
      <c r="B511">
        <v>11</v>
      </c>
      <c r="C511">
        <v>13</v>
      </c>
      <c r="D511">
        <v>101</v>
      </c>
      <c r="E511" t="s">
        <v>696</v>
      </c>
      <c r="F511">
        <v>82</v>
      </c>
      <c r="G511">
        <v>0</v>
      </c>
      <c r="H511" s="4">
        <f t="shared" ca="1" si="7"/>
        <v>345</v>
      </c>
      <c r="I511" s="4">
        <v>67.510000000000005</v>
      </c>
    </row>
    <row r="512" spans="1:9" x14ac:dyDescent="0.25">
      <c r="A512">
        <v>86563</v>
      </c>
      <c r="B512">
        <v>41</v>
      </c>
      <c r="C512">
        <v>13</v>
      </c>
      <c r="D512">
        <v>105</v>
      </c>
      <c r="E512" t="s">
        <v>694</v>
      </c>
      <c r="F512">
        <v>222</v>
      </c>
      <c r="G512">
        <v>0.1</v>
      </c>
      <c r="H512" s="4">
        <f t="shared" ca="1" si="7"/>
        <v>162</v>
      </c>
      <c r="I512" s="4">
        <v>18.600000000000001</v>
      </c>
    </row>
    <row r="513" spans="1:9" x14ac:dyDescent="0.25">
      <c r="A513">
        <v>96352</v>
      </c>
      <c r="B513">
        <v>15</v>
      </c>
      <c r="C513">
        <v>13</v>
      </c>
      <c r="D513">
        <v>106</v>
      </c>
      <c r="E513" t="s">
        <v>691</v>
      </c>
      <c r="F513">
        <v>73</v>
      </c>
      <c r="G513">
        <v>0.1</v>
      </c>
      <c r="H513" s="4">
        <f t="shared" ca="1" si="7"/>
        <v>281</v>
      </c>
      <c r="I513" s="4">
        <v>66.97</v>
      </c>
    </row>
    <row r="514" spans="1:9" x14ac:dyDescent="0.25">
      <c r="A514">
        <v>86563</v>
      </c>
      <c r="B514">
        <v>61</v>
      </c>
      <c r="C514">
        <v>13</v>
      </c>
      <c r="D514">
        <v>107</v>
      </c>
      <c r="E514" t="s">
        <v>692</v>
      </c>
      <c r="F514">
        <v>164</v>
      </c>
      <c r="G514">
        <v>0.25</v>
      </c>
      <c r="H514" s="4">
        <f t="shared" ref="H514:H577" ca="1" si="8">IF(F514&lt;=10,RANDBETWEEN(1,5),IF(F514&lt;=20,RANDBETWEEN(15,80),IF(F514&lt;=30,RANDBETWEEN(23,150),RANDBETWEEN(66,350))))</f>
        <v>300</v>
      </c>
      <c r="I514" s="4">
        <v>73.5</v>
      </c>
    </row>
    <row r="515" spans="1:9" x14ac:dyDescent="0.25">
      <c r="A515">
        <v>86563</v>
      </c>
      <c r="B515">
        <v>52</v>
      </c>
      <c r="C515">
        <v>13</v>
      </c>
      <c r="D515">
        <v>104</v>
      </c>
      <c r="E515" t="s">
        <v>690</v>
      </c>
      <c r="F515">
        <v>222</v>
      </c>
      <c r="G515">
        <v>0.25</v>
      </c>
      <c r="H515" s="4">
        <f t="shared" ca="1" si="8"/>
        <v>330</v>
      </c>
      <c r="I515" s="4">
        <v>42.93</v>
      </c>
    </row>
    <row r="516" spans="1:9" x14ac:dyDescent="0.25">
      <c r="A516">
        <v>86563</v>
      </c>
      <c r="B516">
        <v>47</v>
      </c>
      <c r="C516">
        <v>13</v>
      </c>
      <c r="D516">
        <v>106</v>
      </c>
      <c r="E516" t="s">
        <v>694</v>
      </c>
      <c r="F516">
        <v>196</v>
      </c>
      <c r="G516">
        <v>0.1</v>
      </c>
      <c r="H516" s="4">
        <f t="shared" ca="1" si="8"/>
        <v>331</v>
      </c>
      <c r="I516" s="4">
        <v>47.04</v>
      </c>
    </row>
    <row r="517" spans="1:9" x14ac:dyDescent="0.25">
      <c r="A517">
        <v>96352</v>
      </c>
      <c r="B517">
        <v>37</v>
      </c>
      <c r="C517">
        <v>13</v>
      </c>
      <c r="D517">
        <v>107</v>
      </c>
      <c r="E517" t="s">
        <v>696</v>
      </c>
      <c r="F517">
        <v>176</v>
      </c>
      <c r="G517">
        <v>0.25</v>
      </c>
      <c r="H517" s="4">
        <f t="shared" ca="1" si="8"/>
        <v>297</v>
      </c>
      <c r="I517" s="4">
        <v>85.5</v>
      </c>
    </row>
    <row r="518" spans="1:9" x14ac:dyDescent="0.25">
      <c r="A518">
        <v>48256</v>
      </c>
      <c r="B518">
        <v>46</v>
      </c>
      <c r="C518">
        <v>13</v>
      </c>
      <c r="D518">
        <v>104</v>
      </c>
      <c r="E518" t="s">
        <v>698</v>
      </c>
      <c r="F518">
        <v>210</v>
      </c>
      <c r="G518">
        <v>0</v>
      </c>
      <c r="H518" s="4">
        <f t="shared" ca="1" si="8"/>
        <v>180</v>
      </c>
      <c r="I518" s="4">
        <v>80.069999999999993</v>
      </c>
    </row>
    <row r="519" spans="1:9" x14ac:dyDescent="0.25">
      <c r="A519">
        <v>96352</v>
      </c>
      <c r="B519">
        <v>8</v>
      </c>
      <c r="C519">
        <v>13</v>
      </c>
      <c r="D519">
        <v>104</v>
      </c>
      <c r="E519" t="s">
        <v>691</v>
      </c>
      <c r="F519">
        <v>51</v>
      </c>
      <c r="G519">
        <v>0.25</v>
      </c>
      <c r="H519" s="4">
        <f t="shared" ca="1" si="8"/>
        <v>122</v>
      </c>
      <c r="I519" s="4">
        <v>32.130000000000003</v>
      </c>
    </row>
    <row r="520" spans="1:9" x14ac:dyDescent="0.25">
      <c r="A520">
        <v>96352</v>
      </c>
      <c r="B520">
        <v>36</v>
      </c>
      <c r="C520">
        <v>13</v>
      </c>
      <c r="D520">
        <v>107</v>
      </c>
      <c r="E520" t="s">
        <v>697</v>
      </c>
      <c r="F520">
        <v>45</v>
      </c>
      <c r="G520">
        <v>0.25</v>
      </c>
      <c r="H520" s="4">
        <f t="shared" ca="1" si="8"/>
        <v>284</v>
      </c>
      <c r="I520" s="4">
        <v>87</v>
      </c>
    </row>
    <row r="521" spans="1:9" x14ac:dyDescent="0.25">
      <c r="A521">
        <v>86563</v>
      </c>
      <c r="B521">
        <v>35</v>
      </c>
      <c r="C521">
        <v>13</v>
      </c>
      <c r="D521">
        <v>104</v>
      </c>
      <c r="E521" t="s">
        <v>698</v>
      </c>
      <c r="F521">
        <v>225</v>
      </c>
      <c r="G521">
        <v>0.1</v>
      </c>
      <c r="H521" s="4">
        <f t="shared" ca="1" si="8"/>
        <v>122</v>
      </c>
      <c r="I521" s="4">
        <v>110.33</v>
      </c>
    </row>
    <row r="522" spans="1:9" x14ac:dyDescent="0.25">
      <c r="A522">
        <v>86563</v>
      </c>
      <c r="B522">
        <v>22</v>
      </c>
      <c r="C522">
        <v>13</v>
      </c>
      <c r="D522">
        <v>106</v>
      </c>
      <c r="E522" t="s">
        <v>699</v>
      </c>
      <c r="F522">
        <v>69</v>
      </c>
      <c r="G522">
        <v>0.25</v>
      </c>
      <c r="H522" s="4">
        <f t="shared" ca="1" si="8"/>
        <v>186</v>
      </c>
      <c r="I522" s="4">
        <v>66.150000000000006</v>
      </c>
    </row>
    <row r="523" spans="1:9" x14ac:dyDescent="0.25">
      <c r="A523">
        <v>96352</v>
      </c>
      <c r="B523">
        <v>7</v>
      </c>
      <c r="C523">
        <v>13</v>
      </c>
      <c r="D523">
        <v>105</v>
      </c>
      <c r="E523" t="s">
        <v>696</v>
      </c>
      <c r="F523">
        <v>206</v>
      </c>
      <c r="G523">
        <v>0.25</v>
      </c>
      <c r="H523" s="4">
        <f t="shared" ca="1" si="8"/>
        <v>170</v>
      </c>
      <c r="I523" s="4">
        <v>63.72</v>
      </c>
    </row>
    <row r="524" spans="1:9" x14ac:dyDescent="0.25">
      <c r="A524">
        <v>96352</v>
      </c>
      <c r="B524">
        <v>31</v>
      </c>
      <c r="C524">
        <v>13</v>
      </c>
      <c r="D524">
        <v>102</v>
      </c>
      <c r="E524" t="s">
        <v>699</v>
      </c>
      <c r="F524">
        <v>241</v>
      </c>
      <c r="G524">
        <v>0</v>
      </c>
      <c r="H524" s="4">
        <f t="shared" ca="1" si="8"/>
        <v>173</v>
      </c>
      <c r="I524" s="4">
        <v>49.6</v>
      </c>
    </row>
    <row r="525" spans="1:9" x14ac:dyDescent="0.25">
      <c r="A525">
        <v>48256</v>
      </c>
      <c r="B525">
        <v>2</v>
      </c>
      <c r="C525">
        <v>13</v>
      </c>
      <c r="D525">
        <v>103</v>
      </c>
      <c r="E525" t="s">
        <v>696</v>
      </c>
      <c r="F525">
        <v>174</v>
      </c>
      <c r="G525">
        <v>0.25</v>
      </c>
      <c r="H525" s="4">
        <f t="shared" ca="1" si="8"/>
        <v>258</v>
      </c>
      <c r="I525" s="4">
        <v>31.92</v>
      </c>
    </row>
    <row r="526" spans="1:9" x14ac:dyDescent="0.25">
      <c r="A526">
        <v>86563</v>
      </c>
      <c r="B526">
        <v>39</v>
      </c>
      <c r="C526">
        <v>13</v>
      </c>
      <c r="D526">
        <v>103</v>
      </c>
      <c r="E526" t="s">
        <v>695</v>
      </c>
      <c r="F526">
        <v>214</v>
      </c>
      <c r="G526">
        <v>0.1</v>
      </c>
      <c r="H526" s="4">
        <f t="shared" ca="1" si="8"/>
        <v>257</v>
      </c>
      <c r="I526" s="4">
        <v>46.17</v>
      </c>
    </row>
    <row r="527" spans="1:9" x14ac:dyDescent="0.25">
      <c r="A527">
        <v>48256</v>
      </c>
      <c r="B527">
        <v>44</v>
      </c>
      <c r="C527">
        <v>13</v>
      </c>
      <c r="D527">
        <v>104</v>
      </c>
      <c r="E527" t="s">
        <v>698</v>
      </c>
      <c r="F527">
        <v>90</v>
      </c>
      <c r="G527">
        <v>0</v>
      </c>
      <c r="H527" s="4">
        <f t="shared" ca="1" si="8"/>
        <v>191</v>
      </c>
      <c r="I527" s="4">
        <v>82.56</v>
      </c>
    </row>
    <row r="528" spans="1:9" x14ac:dyDescent="0.25">
      <c r="A528">
        <v>48256</v>
      </c>
      <c r="B528">
        <v>7</v>
      </c>
      <c r="C528">
        <v>13</v>
      </c>
      <c r="D528">
        <v>108</v>
      </c>
      <c r="E528" t="s">
        <v>699</v>
      </c>
      <c r="F528">
        <v>2</v>
      </c>
      <c r="G528">
        <v>0.1</v>
      </c>
      <c r="H528" s="4">
        <f t="shared" ca="1" si="8"/>
        <v>1</v>
      </c>
      <c r="I528" s="4">
        <v>34.96</v>
      </c>
    </row>
    <row r="529" spans="1:9" x14ac:dyDescent="0.25">
      <c r="A529">
        <v>86563</v>
      </c>
      <c r="B529">
        <v>27</v>
      </c>
      <c r="C529">
        <v>13</v>
      </c>
      <c r="D529">
        <v>101</v>
      </c>
      <c r="E529" t="s">
        <v>699</v>
      </c>
      <c r="F529">
        <v>25</v>
      </c>
      <c r="G529">
        <v>0.1</v>
      </c>
      <c r="H529" s="4">
        <f t="shared" ca="1" si="8"/>
        <v>119</v>
      </c>
      <c r="I529" s="4">
        <v>87.36</v>
      </c>
    </row>
    <row r="530" spans="1:9" x14ac:dyDescent="0.25">
      <c r="A530">
        <v>96352</v>
      </c>
      <c r="B530">
        <v>2</v>
      </c>
      <c r="C530">
        <v>13</v>
      </c>
      <c r="D530">
        <v>106</v>
      </c>
      <c r="E530" t="s">
        <v>693</v>
      </c>
      <c r="F530">
        <v>44</v>
      </c>
      <c r="G530">
        <v>0.25</v>
      </c>
      <c r="H530" s="4">
        <f t="shared" ca="1" si="8"/>
        <v>76</v>
      </c>
      <c r="I530" s="4">
        <v>35.86</v>
      </c>
    </row>
    <row r="531" spans="1:9" x14ac:dyDescent="0.25">
      <c r="A531">
        <v>96352</v>
      </c>
      <c r="B531">
        <v>16</v>
      </c>
      <c r="C531">
        <v>13</v>
      </c>
      <c r="D531">
        <v>108</v>
      </c>
      <c r="E531" t="s">
        <v>697</v>
      </c>
      <c r="F531">
        <v>72</v>
      </c>
      <c r="G531">
        <v>0.1</v>
      </c>
      <c r="H531" s="4">
        <f t="shared" ca="1" si="8"/>
        <v>264</v>
      </c>
      <c r="I531" s="4">
        <v>68.88</v>
      </c>
    </row>
    <row r="532" spans="1:9" x14ac:dyDescent="0.25">
      <c r="A532">
        <v>96352</v>
      </c>
      <c r="B532">
        <v>70</v>
      </c>
      <c r="C532">
        <v>13</v>
      </c>
      <c r="D532">
        <v>103</v>
      </c>
      <c r="E532" t="s">
        <v>691</v>
      </c>
      <c r="F532">
        <v>143</v>
      </c>
      <c r="G532">
        <v>0</v>
      </c>
      <c r="H532" s="4">
        <f t="shared" ca="1" si="8"/>
        <v>168</v>
      </c>
      <c r="I532" s="4">
        <v>41</v>
      </c>
    </row>
    <row r="533" spans="1:9" x14ac:dyDescent="0.25">
      <c r="A533">
        <v>86563</v>
      </c>
      <c r="B533">
        <v>61</v>
      </c>
      <c r="C533">
        <v>13</v>
      </c>
      <c r="D533">
        <v>103</v>
      </c>
      <c r="E533" t="s">
        <v>699</v>
      </c>
      <c r="F533">
        <v>238</v>
      </c>
      <c r="G533">
        <v>0.25</v>
      </c>
      <c r="H533" s="4">
        <f t="shared" ca="1" si="8"/>
        <v>229</v>
      </c>
      <c r="I533" s="4">
        <v>67.709999999999994</v>
      </c>
    </row>
    <row r="534" spans="1:9" x14ac:dyDescent="0.25">
      <c r="A534">
        <v>96352</v>
      </c>
      <c r="B534">
        <v>53</v>
      </c>
      <c r="C534">
        <v>14</v>
      </c>
      <c r="D534">
        <v>103</v>
      </c>
      <c r="E534" t="s">
        <v>699</v>
      </c>
      <c r="F534">
        <v>55</v>
      </c>
      <c r="G534" s="5">
        <v>0.1</v>
      </c>
      <c r="H534" s="4">
        <f t="shared" ca="1" si="8"/>
        <v>75</v>
      </c>
      <c r="I534" s="4">
        <v>62.7</v>
      </c>
    </row>
    <row r="535" spans="1:9" x14ac:dyDescent="0.25">
      <c r="A535">
        <v>96352</v>
      </c>
      <c r="B535">
        <v>24</v>
      </c>
      <c r="C535">
        <v>14</v>
      </c>
      <c r="D535">
        <v>103</v>
      </c>
      <c r="E535" t="s">
        <v>693</v>
      </c>
      <c r="F535">
        <v>20</v>
      </c>
      <c r="G535" s="5">
        <v>0</v>
      </c>
      <c r="H535" s="4">
        <f t="shared" ca="1" si="8"/>
        <v>67</v>
      </c>
      <c r="I535" s="4">
        <v>24.75</v>
      </c>
    </row>
    <row r="536" spans="1:9" x14ac:dyDescent="0.25">
      <c r="A536">
        <v>48256</v>
      </c>
      <c r="B536">
        <v>50</v>
      </c>
      <c r="C536">
        <v>14</v>
      </c>
      <c r="D536">
        <v>109</v>
      </c>
      <c r="E536" t="s">
        <v>693</v>
      </c>
      <c r="F536">
        <v>39</v>
      </c>
      <c r="G536" s="5">
        <v>0</v>
      </c>
      <c r="H536" s="4">
        <f t="shared" ca="1" si="8"/>
        <v>191</v>
      </c>
      <c r="I536" s="4">
        <v>49.56</v>
      </c>
    </row>
    <row r="537" spans="1:9" x14ac:dyDescent="0.25">
      <c r="A537">
        <v>96352</v>
      </c>
      <c r="B537">
        <v>35</v>
      </c>
      <c r="C537">
        <v>14</v>
      </c>
      <c r="D537">
        <v>101</v>
      </c>
      <c r="E537" t="s">
        <v>691</v>
      </c>
      <c r="F537">
        <v>73</v>
      </c>
      <c r="G537" s="5">
        <v>0.1</v>
      </c>
      <c r="H537" s="4">
        <f t="shared" ca="1" si="8"/>
        <v>139</v>
      </c>
      <c r="I537" s="4">
        <v>49.14</v>
      </c>
    </row>
    <row r="538" spans="1:9" x14ac:dyDescent="0.25">
      <c r="A538">
        <v>48256</v>
      </c>
      <c r="B538">
        <v>55</v>
      </c>
      <c r="C538">
        <v>14</v>
      </c>
      <c r="D538">
        <v>109</v>
      </c>
      <c r="E538" t="s">
        <v>691</v>
      </c>
      <c r="F538">
        <v>5</v>
      </c>
      <c r="G538" s="5">
        <v>0</v>
      </c>
      <c r="H538" s="4">
        <f t="shared" ca="1" si="8"/>
        <v>4</v>
      </c>
      <c r="I538" s="4">
        <v>59.5</v>
      </c>
    </row>
    <row r="539" spans="1:9" x14ac:dyDescent="0.25">
      <c r="A539">
        <v>96352</v>
      </c>
      <c r="B539">
        <v>22</v>
      </c>
      <c r="C539">
        <v>14</v>
      </c>
      <c r="D539">
        <v>102</v>
      </c>
      <c r="E539" t="s">
        <v>692</v>
      </c>
      <c r="F539">
        <v>98</v>
      </c>
      <c r="G539" s="5">
        <v>0.25</v>
      </c>
      <c r="H539" s="4">
        <f t="shared" ca="1" si="8"/>
        <v>203</v>
      </c>
      <c r="I539" s="4">
        <v>40.04</v>
      </c>
    </row>
    <row r="540" spans="1:9" x14ac:dyDescent="0.25">
      <c r="A540">
        <v>48256</v>
      </c>
      <c r="B540">
        <v>54</v>
      </c>
      <c r="C540">
        <v>14</v>
      </c>
      <c r="D540">
        <v>102</v>
      </c>
      <c r="E540" t="s">
        <v>692</v>
      </c>
      <c r="F540">
        <v>124</v>
      </c>
      <c r="G540" s="5">
        <v>0.25</v>
      </c>
      <c r="H540" s="4">
        <f t="shared" ca="1" si="8"/>
        <v>249</v>
      </c>
      <c r="I540" s="4">
        <v>71.099999999999994</v>
      </c>
    </row>
    <row r="541" spans="1:9" x14ac:dyDescent="0.25">
      <c r="A541">
        <v>96352</v>
      </c>
      <c r="B541">
        <v>42</v>
      </c>
      <c r="C541">
        <v>14</v>
      </c>
      <c r="D541">
        <v>105</v>
      </c>
      <c r="E541" t="s">
        <v>690</v>
      </c>
      <c r="F541">
        <v>6</v>
      </c>
      <c r="G541" s="5">
        <v>0</v>
      </c>
      <c r="H541" s="4">
        <f t="shared" ca="1" si="8"/>
        <v>5</v>
      </c>
      <c r="I541" s="4">
        <v>46.48</v>
      </c>
    </row>
    <row r="542" spans="1:9" x14ac:dyDescent="0.25">
      <c r="A542">
        <v>96352</v>
      </c>
      <c r="B542">
        <v>66</v>
      </c>
      <c r="C542">
        <v>14</v>
      </c>
      <c r="D542">
        <v>103</v>
      </c>
      <c r="E542" t="s">
        <v>699</v>
      </c>
      <c r="F542">
        <v>11</v>
      </c>
      <c r="G542" s="5">
        <v>0</v>
      </c>
      <c r="H542" s="4">
        <f t="shared" ca="1" si="8"/>
        <v>57</v>
      </c>
      <c r="I542" s="4">
        <v>47.6</v>
      </c>
    </row>
    <row r="543" spans="1:9" x14ac:dyDescent="0.25">
      <c r="A543">
        <v>48256</v>
      </c>
      <c r="B543">
        <v>62</v>
      </c>
      <c r="C543">
        <v>14</v>
      </c>
      <c r="D543">
        <v>102</v>
      </c>
      <c r="E543" t="s">
        <v>693</v>
      </c>
      <c r="F543">
        <v>25</v>
      </c>
      <c r="G543" s="5">
        <v>0</v>
      </c>
      <c r="H543" s="4">
        <f t="shared" ca="1" si="8"/>
        <v>30</v>
      </c>
      <c r="I543" s="4">
        <v>98.61</v>
      </c>
    </row>
    <row r="544" spans="1:9" x14ac:dyDescent="0.25">
      <c r="A544">
        <v>96352</v>
      </c>
      <c r="B544">
        <v>52</v>
      </c>
      <c r="C544">
        <v>14</v>
      </c>
      <c r="D544">
        <v>102</v>
      </c>
      <c r="E544" t="s">
        <v>697</v>
      </c>
      <c r="F544">
        <v>23</v>
      </c>
      <c r="G544" s="5">
        <v>0</v>
      </c>
      <c r="H544" s="4">
        <f t="shared" ca="1" si="8"/>
        <v>78</v>
      </c>
      <c r="I544" s="4">
        <v>60.84</v>
      </c>
    </row>
    <row r="545" spans="1:9" x14ac:dyDescent="0.25">
      <c r="A545">
        <v>86563</v>
      </c>
      <c r="B545">
        <v>20</v>
      </c>
      <c r="C545">
        <v>14</v>
      </c>
      <c r="D545">
        <v>108</v>
      </c>
      <c r="E545" t="s">
        <v>699</v>
      </c>
      <c r="F545">
        <v>78</v>
      </c>
      <c r="G545" s="5">
        <v>0.1</v>
      </c>
      <c r="H545" s="4">
        <f t="shared" ca="1" si="8"/>
        <v>340</v>
      </c>
      <c r="I545" s="4">
        <v>48.36</v>
      </c>
    </row>
    <row r="546" spans="1:9" x14ac:dyDescent="0.25">
      <c r="A546">
        <v>86563</v>
      </c>
      <c r="B546">
        <v>43</v>
      </c>
      <c r="C546">
        <v>14</v>
      </c>
      <c r="D546">
        <v>104</v>
      </c>
      <c r="E546" t="s">
        <v>690</v>
      </c>
      <c r="F546">
        <v>43</v>
      </c>
      <c r="G546" s="5">
        <v>0</v>
      </c>
      <c r="H546" s="4">
        <f t="shared" ca="1" si="8"/>
        <v>70</v>
      </c>
      <c r="I546" s="4">
        <v>48.36</v>
      </c>
    </row>
    <row r="547" spans="1:9" x14ac:dyDescent="0.25">
      <c r="A547">
        <v>86563</v>
      </c>
      <c r="B547">
        <v>51</v>
      </c>
      <c r="C547">
        <v>14</v>
      </c>
      <c r="D547">
        <v>103</v>
      </c>
      <c r="E547" t="s">
        <v>695</v>
      </c>
      <c r="F547">
        <v>57</v>
      </c>
      <c r="G547" s="5">
        <v>0.1</v>
      </c>
      <c r="H547" s="4">
        <f t="shared" ca="1" si="8"/>
        <v>100</v>
      </c>
      <c r="I547" s="4">
        <v>70.09</v>
      </c>
    </row>
    <row r="548" spans="1:9" x14ac:dyDescent="0.25">
      <c r="A548">
        <v>96352</v>
      </c>
      <c r="B548">
        <v>39</v>
      </c>
      <c r="C548">
        <v>14</v>
      </c>
      <c r="D548">
        <v>107</v>
      </c>
      <c r="E548" t="s">
        <v>693</v>
      </c>
      <c r="F548">
        <v>120</v>
      </c>
      <c r="G548" s="5">
        <v>0.25</v>
      </c>
      <c r="H548" s="4">
        <f t="shared" ca="1" si="8"/>
        <v>119</v>
      </c>
      <c r="I548" s="4">
        <v>20.04</v>
      </c>
    </row>
    <row r="549" spans="1:9" x14ac:dyDescent="0.25">
      <c r="A549">
        <v>86563</v>
      </c>
      <c r="B549">
        <v>16</v>
      </c>
      <c r="C549">
        <v>14</v>
      </c>
      <c r="D549">
        <v>107</v>
      </c>
      <c r="E549" t="s">
        <v>697</v>
      </c>
      <c r="F549">
        <v>73</v>
      </c>
      <c r="G549" s="5">
        <v>0.1</v>
      </c>
      <c r="H549" s="4">
        <f t="shared" ca="1" si="8"/>
        <v>77</v>
      </c>
      <c r="I549" s="4">
        <v>24.3</v>
      </c>
    </row>
    <row r="550" spans="1:9" x14ac:dyDescent="0.25">
      <c r="A550">
        <v>96352</v>
      </c>
      <c r="B550">
        <v>51</v>
      </c>
      <c r="C550">
        <v>14</v>
      </c>
      <c r="D550">
        <v>103</v>
      </c>
      <c r="E550" t="s">
        <v>695</v>
      </c>
      <c r="F550">
        <v>17</v>
      </c>
      <c r="G550" s="5">
        <v>0</v>
      </c>
      <c r="H550" s="4">
        <f t="shared" ca="1" si="8"/>
        <v>17</v>
      </c>
      <c r="I550" s="4">
        <v>93.42</v>
      </c>
    </row>
    <row r="551" spans="1:9" x14ac:dyDescent="0.25">
      <c r="A551">
        <v>96352</v>
      </c>
      <c r="B551">
        <v>28</v>
      </c>
      <c r="C551">
        <v>14</v>
      </c>
      <c r="D551">
        <v>103</v>
      </c>
      <c r="E551" t="s">
        <v>690</v>
      </c>
      <c r="F551">
        <v>86</v>
      </c>
      <c r="G551" s="5">
        <v>0.25</v>
      </c>
      <c r="H551" s="4">
        <f t="shared" ca="1" si="8"/>
        <v>70</v>
      </c>
      <c r="I551" s="4">
        <v>23.79</v>
      </c>
    </row>
    <row r="552" spans="1:9" x14ac:dyDescent="0.25">
      <c r="A552">
        <v>96352</v>
      </c>
      <c r="B552">
        <v>9</v>
      </c>
      <c r="C552">
        <v>14</v>
      </c>
      <c r="D552">
        <v>104</v>
      </c>
      <c r="E552" t="s">
        <v>693</v>
      </c>
      <c r="F552">
        <v>114</v>
      </c>
      <c r="G552" s="5">
        <v>0.25</v>
      </c>
      <c r="H552" s="4">
        <f t="shared" ca="1" si="8"/>
        <v>301</v>
      </c>
      <c r="I552" s="4">
        <v>34.65</v>
      </c>
    </row>
    <row r="553" spans="1:9" x14ac:dyDescent="0.25">
      <c r="A553">
        <v>96352</v>
      </c>
      <c r="B553">
        <v>50</v>
      </c>
      <c r="C553">
        <v>14</v>
      </c>
      <c r="D553">
        <v>107</v>
      </c>
      <c r="E553" t="s">
        <v>691</v>
      </c>
      <c r="F553">
        <v>22</v>
      </c>
      <c r="G553" s="5">
        <v>0</v>
      </c>
      <c r="H553" s="4">
        <f t="shared" ca="1" si="8"/>
        <v>44</v>
      </c>
      <c r="I553" s="4">
        <v>100.8</v>
      </c>
    </row>
    <row r="554" spans="1:9" x14ac:dyDescent="0.25">
      <c r="A554">
        <v>96352</v>
      </c>
      <c r="B554">
        <v>55</v>
      </c>
      <c r="C554">
        <v>14</v>
      </c>
      <c r="D554">
        <v>106</v>
      </c>
      <c r="E554" t="s">
        <v>699</v>
      </c>
      <c r="F554">
        <v>78</v>
      </c>
      <c r="G554" s="5">
        <v>0.1</v>
      </c>
      <c r="H554" s="4">
        <f t="shared" ca="1" si="8"/>
        <v>129</v>
      </c>
      <c r="I554" s="4">
        <v>50.4</v>
      </c>
    </row>
    <row r="555" spans="1:9" x14ac:dyDescent="0.25">
      <c r="A555">
        <v>48256</v>
      </c>
      <c r="B555">
        <v>53</v>
      </c>
      <c r="C555">
        <v>14</v>
      </c>
      <c r="D555">
        <v>106</v>
      </c>
      <c r="E555" t="s">
        <v>691</v>
      </c>
      <c r="F555">
        <v>7</v>
      </c>
      <c r="G555" s="5">
        <v>0</v>
      </c>
      <c r="H555" s="4">
        <f t="shared" ca="1" si="8"/>
        <v>1</v>
      </c>
      <c r="I555" s="4">
        <v>52.2</v>
      </c>
    </row>
    <row r="556" spans="1:9" x14ac:dyDescent="0.25">
      <c r="A556">
        <v>86563</v>
      </c>
      <c r="B556">
        <v>59</v>
      </c>
      <c r="C556">
        <v>14</v>
      </c>
      <c r="D556">
        <v>108</v>
      </c>
      <c r="E556" t="s">
        <v>700</v>
      </c>
      <c r="F556">
        <v>83</v>
      </c>
      <c r="G556" s="5">
        <v>0.25</v>
      </c>
      <c r="H556" s="4">
        <f t="shared" ca="1" si="8"/>
        <v>181</v>
      </c>
      <c r="I556" s="4">
        <v>66.5</v>
      </c>
    </row>
    <row r="557" spans="1:9" x14ac:dyDescent="0.25">
      <c r="A557">
        <v>86563</v>
      </c>
      <c r="B557">
        <v>49</v>
      </c>
      <c r="C557">
        <v>14</v>
      </c>
      <c r="D557">
        <v>107</v>
      </c>
      <c r="E557" t="s">
        <v>690</v>
      </c>
      <c r="F557">
        <v>96</v>
      </c>
      <c r="G557" s="5">
        <v>0.25</v>
      </c>
      <c r="H557" s="4">
        <f t="shared" ca="1" si="8"/>
        <v>109</v>
      </c>
      <c r="I557" s="4">
        <v>94.5</v>
      </c>
    </row>
    <row r="558" spans="1:9" x14ac:dyDescent="0.25">
      <c r="A558">
        <v>86563</v>
      </c>
      <c r="B558">
        <v>32</v>
      </c>
      <c r="C558">
        <v>14</v>
      </c>
      <c r="D558">
        <v>106</v>
      </c>
      <c r="E558" t="s">
        <v>695</v>
      </c>
      <c r="F558">
        <v>23</v>
      </c>
      <c r="G558" s="5">
        <v>0</v>
      </c>
      <c r="H558" s="4">
        <f t="shared" ca="1" si="8"/>
        <v>86</v>
      </c>
      <c r="I558" s="4">
        <v>76.02</v>
      </c>
    </row>
    <row r="559" spans="1:9" x14ac:dyDescent="0.25">
      <c r="A559">
        <v>86563</v>
      </c>
      <c r="B559">
        <v>1</v>
      </c>
      <c r="C559">
        <v>14</v>
      </c>
      <c r="D559">
        <v>102</v>
      </c>
      <c r="E559" t="s">
        <v>691</v>
      </c>
      <c r="F559">
        <v>18</v>
      </c>
      <c r="G559" s="5">
        <v>0</v>
      </c>
      <c r="H559" s="4">
        <f t="shared" ca="1" si="8"/>
        <v>72</v>
      </c>
      <c r="I559" s="4">
        <v>87.36</v>
      </c>
    </row>
    <row r="560" spans="1:9" x14ac:dyDescent="0.25">
      <c r="A560">
        <v>86563</v>
      </c>
      <c r="B560">
        <v>67</v>
      </c>
      <c r="C560">
        <v>14</v>
      </c>
      <c r="D560">
        <v>108</v>
      </c>
      <c r="E560" t="s">
        <v>694</v>
      </c>
      <c r="F560">
        <v>52</v>
      </c>
      <c r="G560" s="5">
        <v>0.1</v>
      </c>
      <c r="H560" s="4">
        <f t="shared" ca="1" si="8"/>
        <v>256</v>
      </c>
      <c r="I560" s="4">
        <v>91.06</v>
      </c>
    </row>
    <row r="561" spans="1:9" x14ac:dyDescent="0.25">
      <c r="A561">
        <v>86563</v>
      </c>
      <c r="B561">
        <v>40</v>
      </c>
      <c r="C561">
        <v>14</v>
      </c>
      <c r="D561">
        <v>102</v>
      </c>
      <c r="E561" t="s">
        <v>694</v>
      </c>
      <c r="F561">
        <v>115</v>
      </c>
      <c r="G561" s="5">
        <v>0.25</v>
      </c>
      <c r="H561" s="4">
        <f t="shared" ca="1" si="8"/>
        <v>327</v>
      </c>
      <c r="I561" s="4">
        <v>50.75</v>
      </c>
    </row>
    <row r="562" spans="1:9" x14ac:dyDescent="0.25">
      <c r="A562">
        <v>96352</v>
      </c>
      <c r="B562">
        <v>63</v>
      </c>
      <c r="C562">
        <v>14</v>
      </c>
      <c r="D562">
        <v>105</v>
      </c>
      <c r="E562" t="s">
        <v>692</v>
      </c>
      <c r="F562">
        <v>71</v>
      </c>
      <c r="G562" s="5">
        <v>0.1</v>
      </c>
      <c r="H562" s="4">
        <f t="shared" ca="1" si="8"/>
        <v>251</v>
      </c>
      <c r="I562" s="4">
        <v>69.7</v>
      </c>
    </row>
    <row r="563" spans="1:9" x14ac:dyDescent="0.25">
      <c r="A563">
        <v>96352</v>
      </c>
      <c r="B563">
        <v>7</v>
      </c>
      <c r="C563">
        <v>14</v>
      </c>
      <c r="D563">
        <v>104</v>
      </c>
      <c r="E563" t="s">
        <v>698</v>
      </c>
      <c r="F563">
        <v>34</v>
      </c>
      <c r="G563" s="5">
        <v>0</v>
      </c>
      <c r="H563" s="4">
        <f t="shared" ca="1" si="8"/>
        <v>347</v>
      </c>
      <c r="I563" s="4">
        <v>85.5</v>
      </c>
    </row>
    <row r="564" spans="1:9" x14ac:dyDescent="0.25">
      <c r="A564">
        <v>86563</v>
      </c>
      <c r="B564">
        <v>5</v>
      </c>
      <c r="C564">
        <v>14</v>
      </c>
      <c r="D564">
        <v>102</v>
      </c>
      <c r="E564" t="s">
        <v>697</v>
      </c>
      <c r="F564">
        <v>165</v>
      </c>
      <c r="G564">
        <v>0</v>
      </c>
      <c r="H564" s="4">
        <f t="shared" ca="1" si="8"/>
        <v>81</v>
      </c>
      <c r="I564" s="4">
        <v>95.12</v>
      </c>
    </row>
    <row r="565" spans="1:9" x14ac:dyDescent="0.25">
      <c r="A565">
        <v>86563</v>
      </c>
      <c r="B565">
        <v>69</v>
      </c>
      <c r="C565">
        <v>14</v>
      </c>
      <c r="D565">
        <v>103</v>
      </c>
      <c r="E565" t="s">
        <v>691</v>
      </c>
      <c r="F565">
        <v>11</v>
      </c>
      <c r="G565">
        <v>0.25</v>
      </c>
      <c r="H565" s="4">
        <f t="shared" ca="1" si="8"/>
        <v>43</v>
      </c>
      <c r="I565" s="4">
        <v>70.59</v>
      </c>
    </row>
    <row r="566" spans="1:9" x14ac:dyDescent="0.25">
      <c r="A566">
        <v>96352</v>
      </c>
      <c r="B566">
        <v>30</v>
      </c>
      <c r="C566">
        <v>14</v>
      </c>
      <c r="D566">
        <v>108</v>
      </c>
      <c r="E566" t="s">
        <v>694</v>
      </c>
      <c r="F566">
        <v>37</v>
      </c>
      <c r="G566">
        <v>0.25</v>
      </c>
      <c r="H566" s="4">
        <f t="shared" ca="1" si="8"/>
        <v>330</v>
      </c>
      <c r="I566" s="4">
        <v>45.6</v>
      </c>
    </row>
    <row r="567" spans="1:9" x14ac:dyDescent="0.25">
      <c r="A567">
        <v>86563</v>
      </c>
      <c r="B567">
        <v>37</v>
      </c>
      <c r="C567">
        <v>14</v>
      </c>
      <c r="D567">
        <v>104</v>
      </c>
      <c r="E567" t="s">
        <v>693</v>
      </c>
      <c r="F567">
        <v>199</v>
      </c>
      <c r="G567">
        <v>0.1</v>
      </c>
      <c r="H567" s="4">
        <f t="shared" ca="1" si="8"/>
        <v>173</v>
      </c>
      <c r="I567" s="4">
        <v>25.06</v>
      </c>
    </row>
    <row r="568" spans="1:9" x14ac:dyDescent="0.25">
      <c r="A568">
        <v>48256</v>
      </c>
      <c r="B568">
        <v>44</v>
      </c>
      <c r="C568">
        <v>14</v>
      </c>
      <c r="D568">
        <v>107</v>
      </c>
      <c r="E568" t="s">
        <v>698</v>
      </c>
      <c r="F568">
        <v>67</v>
      </c>
      <c r="G568">
        <v>0</v>
      </c>
      <c r="H568" s="4">
        <f t="shared" ca="1" si="8"/>
        <v>333</v>
      </c>
      <c r="I568" s="4">
        <v>90.63</v>
      </c>
    </row>
    <row r="569" spans="1:9" x14ac:dyDescent="0.25">
      <c r="A569">
        <v>86563</v>
      </c>
      <c r="B569">
        <v>52</v>
      </c>
      <c r="C569">
        <v>14</v>
      </c>
      <c r="D569">
        <v>101</v>
      </c>
      <c r="E569" t="s">
        <v>699</v>
      </c>
      <c r="F569">
        <v>187</v>
      </c>
      <c r="G569">
        <v>0.1</v>
      </c>
      <c r="H569" s="4">
        <f t="shared" ca="1" si="8"/>
        <v>160</v>
      </c>
      <c r="I569" s="4">
        <v>79.38</v>
      </c>
    </row>
    <row r="570" spans="1:9" x14ac:dyDescent="0.25">
      <c r="A570">
        <v>48256</v>
      </c>
      <c r="B570">
        <v>53</v>
      </c>
      <c r="C570">
        <v>14</v>
      </c>
      <c r="D570">
        <v>104</v>
      </c>
      <c r="E570" t="s">
        <v>699</v>
      </c>
      <c r="F570">
        <v>234</v>
      </c>
      <c r="G570">
        <v>0</v>
      </c>
      <c r="H570" s="4">
        <f t="shared" ca="1" si="8"/>
        <v>127</v>
      </c>
      <c r="I570" s="4">
        <v>43.96</v>
      </c>
    </row>
    <row r="571" spans="1:9" x14ac:dyDescent="0.25">
      <c r="A571">
        <v>96352</v>
      </c>
      <c r="B571">
        <v>29</v>
      </c>
      <c r="C571">
        <v>14</v>
      </c>
      <c r="D571">
        <v>103</v>
      </c>
      <c r="E571" t="s">
        <v>695</v>
      </c>
      <c r="F571">
        <v>37</v>
      </c>
      <c r="G571">
        <v>0.1</v>
      </c>
      <c r="H571" s="4">
        <f t="shared" ca="1" si="8"/>
        <v>228</v>
      </c>
      <c r="I571" s="4">
        <v>88</v>
      </c>
    </row>
    <row r="572" spans="1:9" x14ac:dyDescent="0.25">
      <c r="A572">
        <v>96352</v>
      </c>
      <c r="B572">
        <v>25</v>
      </c>
      <c r="C572">
        <v>14</v>
      </c>
      <c r="D572">
        <v>108</v>
      </c>
      <c r="E572" t="s">
        <v>690</v>
      </c>
      <c r="F572">
        <v>78</v>
      </c>
      <c r="G572">
        <v>0.25</v>
      </c>
      <c r="H572" s="4">
        <f t="shared" ca="1" si="8"/>
        <v>131</v>
      </c>
      <c r="I572" s="4">
        <v>61.56</v>
      </c>
    </row>
    <row r="573" spans="1:9" x14ac:dyDescent="0.25">
      <c r="A573">
        <v>96352</v>
      </c>
      <c r="B573">
        <v>27</v>
      </c>
      <c r="C573">
        <v>14</v>
      </c>
      <c r="D573">
        <v>108</v>
      </c>
      <c r="E573" t="s">
        <v>693</v>
      </c>
      <c r="F573">
        <v>21</v>
      </c>
      <c r="G573">
        <v>0</v>
      </c>
      <c r="H573" s="4">
        <f t="shared" ca="1" si="8"/>
        <v>51</v>
      </c>
      <c r="I573" s="4">
        <v>43.75</v>
      </c>
    </row>
    <row r="574" spans="1:9" x14ac:dyDescent="0.25">
      <c r="A574">
        <v>96352</v>
      </c>
      <c r="B574">
        <v>9</v>
      </c>
      <c r="C574">
        <v>14</v>
      </c>
      <c r="D574">
        <v>107</v>
      </c>
      <c r="E574" t="s">
        <v>699</v>
      </c>
      <c r="F574">
        <v>76</v>
      </c>
      <c r="G574">
        <v>0.1</v>
      </c>
      <c r="H574" s="4">
        <f t="shared" ca="1" si="8"/>
        <v>122</v>
      </c>
      <c r="I574" s="4">
        <v>25.76</v>
      </c>
    </row>
    <row r="575" spans="1:9" x14ac:dyDescent="0.25">
      <c r="A575">
        <v>86563</v>
      </c>
      <c r="B575">
        <v>66</v>
      </c>
      <c r="C575">
        <v>14</v>
      </c>
      <c r="D575">
        <v>107</v>
      </c>
      <c r="E575" t="s">
        <v>697</v>
      </c>
      <c r="F575">
        <v>71</v>
      </c>
      <c r="G575">
        <v>0.1</v>
      </c>
      <c r="H575" s="4">
        <f t="shared" ca="1" si="8"/>
        <v>210</v>
      </c>
      <c r="I575" s="4">
        <v>33.659999999999997</v>
      </c>
    </row>
    <row r="576" spans="1:9" x14ac:dyDescent="0.25">
      <c r="A576">
        <v>96352</v>
      </c>
      <c r="B576">
        <v>46</v>
      </c>
      <c r="C576">
        <v>14</v>
      </c>
      <c r="D576">
        <v>106</v>
      </c>
      <c r="E576" t="s">
        <v>692</v>
      </c>
      <c r="F576">
        <v>164</v>
      </c>
      <c r="G576">
        <v>0</v>
      </c>
      <c r="H576" s="4">
        <f t="shared" ca="1" si="8"/>
        <v>330</v>
      </c>
      <c r="I576" s="4">
        <v>58.83</v>
      </c>
    </row>
    <row r="577" spans="1:9" x14ac:dyDescent="0.25">
      <c r="A577">
        <v>96352</v>
      </c>
      <c r="B577">
        <v>50</v>
      </c>
      <c r="C577">
        <v>14</v>
      </c>
      <c r="D577">
        <v>106</v>
      </c>
      <c r="E577" t="s">
        <v>700</v>
      </c>
      <c r="F577">
        <v>217</v>
      </c>
      <c r="G577">
        <v>0.25</v>
      </c>
      <c r="H577" s="4">
        <f t="shared" ca="1" si="8"/>
        <v>167</v>
      </c>
      <c r="I577" s="4">
        <v>54.25</v>
      </c>
    </row>
    <row r="578" spans="1:9" x14ac:dyDescent="0.25">
      <c r="A578">
        <v>96352</v>
      </c>
      <c r="B578">
        <v>13</v>
      </c>
      <c r="C578">
        <v>14</v>
      </c>
      <c r="D578">
        <v>107</v>
      </c>
      <c r="E578" t="s">
        <v>698</v>
      </c>
      <c r="F578">
        <v>146</v>
      </c>
      <c r="G578">
        <v>0</v>
      </c>
      <c r="H578" s="4">
        <f t="shared" ref="H578:H641" ca="1" si="9">IF(F578&lt;=10,RANDBETWEEN(1,5),IF(F578&lt;=20,RANDBETWEEN(15,80),IF(F578&lt;=30,RANDBETWEEN(23,150),RANDBETWEEN(66,350))))</f>
        <v>191</v>
      </c>
      <c r="I578" s="4">
        <v>49.95</v>
      </c>
    </row>
    <row r="579" spans="1:9" x14ac:dyDescent="0.25">
      <c r="A579">
        <v>48256</v>
      </c>
      <c r="B579">
        <v>65</v>
      </c>
      <c r="C579">
        <v>14</v>
      </c>
      <c r="D579">
        <v>105</v>
      </c>
      <c r="E579" t="s">
        <v>691</v>
      </c>
      <c r="F579">
        <v>135</v>
      </c>
      <c r="G579">
        <v>0.25</v>
      </c>
      <c r="H579" s="4">
        <f t="shared" ca="1" si="9"/>
        <v>339</v>
      </c>
      <c r="I579" s="4">
        <v>57.6</v>
      </c>
    </row>
    <row r="580" spans="1:9" x14ac:dyDescent="0.25">
      <c r="A580">
        <v>86563</v>
      </c>
      <c r="B580">
        <v>8</v>
      </c>
      <c r="C580">
        <v>14</v>
      </c>
      <c r="D580">
        <v>107</v>
      </c>
      <c r="E580" t="s">
        <v>693</v>
      </c>
      <c r="F580">
        <v>249</v>
      </c>
      <c r="G580">
        <v>0.1</v>
      </c>
      <c r="H580" s="4">
        <f t="shared" ca="1" si="9"/>
        <v>202</v>
      </c>
      <c r="I580" s="4">
        <v>45.36</v>
      </c>
    </row>
    <row r="581" spans="1:9" x14ac:dyDescent="0.25">
      <c r="A581">
        <v>96352</v>
      </c>
      <c r="B581">
        <v>69</v>
      </c>
      <c r="C581">
        <v>14</v>
      </c>
      <c r="D581">
        <v>108</v>
      </c>
      <c r="E581" t="s">
        <v>699</v>
      </c>
      <c r="F581">
        <v>186</v>
      </c>
      <c r="G581">
        <v>0.25</v>
      </c>
      <c r="H581" s="4">
        <f t="shared" ca="1" si="9"/>
        <v>110</v>
      </c>
      <c r="I581" s="4">
        <v>29.45</v>
      </c>
    </row>
    <row r="582" spans="1:9" x14ac:dyDescent="0.25">
      <c r="A582">
        <v>48256</v>
      </c>
      <c r="B582">
        <v>31</v>
      </c>
      <c r="C582">
        <v>14</v>
      </c>
      <c r="D582">
        <v>107</v>
      </c>
      <c r="E582" t="s">
        <v>692</v>
      </c>
      <c r="F582">
        <v>186</v>
      </c>
      <c r="G582">
        <v>0</v>
      </c>
      <c r="H582" s="4">
        <f t="shared" ca="1" si="9"/>
        <v>102</v>
      </c>
      <c r="I582" s="4">
        <v>63.55</v>
      </c>
    </row>
    <row r="583" spans="1:9" x14ac:dyDescent="0.25">
      <c r="A583">
        <v>86563</v>
      </c>
      <c r="B583">
        <v>64</v>
      </c>
      <c r="C583">
        <v>14</v>
      </c>
      <c r="D583">
        <v>108</v>
      </c>
      <c r="E583" t="s">
        <v>696</v>
      </c>
      <c r="F583">
        <v>34</v>
      </c>
      <c r="G583">
        <v>0.1</v>
      </c>
      <c r="H583" s="4">
        <f t="shared" ca="1" si="9"/>
        <v>206</v>
      </c>
      <c r="I583" s="4">
        <v>59.94</v>
      </c>
    </row>
    <row r="584" spans="1:9" x14ac:dyDescent="0.25">
      <c r="A584">
        <v>48256</v>
      </c>
      <c r="B584">
        <v>30</v>
      </c>
      <c r="C584">
        <v>14</v>
      </c>
      <c r="D584">
        <v>105</v>
      </c>
      <c r="E584" t="s">
        <v>696</v>
      </c>
      <c r="F584">
        <v>202</v>
      </c>
      <c r="G584">
        <v>0</v>
      </c>
      <c r="H584" s="4">
        <f t="shared" ca="1" si="9"/>
        <v>286</v>
      </c>
      <c r="I584" s="4">
        <v>39.36</v>
      </c>
    </row>
    <row r="585" spans="1:9" x14ac:dyDescent="0.25">
      <c r="A585">
        <v>96352</v>
      </c>
      <c r="B585">
        <v>22</v>
      </c>
      <c r="C585">
        <v>14</v>
      </c>
      <c r="D585">
        <v>105</v>
      </c>
      <c r="E585" t="s">
        <v>700</v>
      </c>
      <c r="F585">
        <v>160</v>
      </c>
      <c r="G585">
        <v>0.25</v>
      </c>
      <c r="H585" s="4">
        <f t="shared" ca="1" si="9"/>
        <v>191</v>
      </c>
      <c r="I585" s="4">
        <v>40.5</v>
      </c>
    </row>
    <row r="586" spans="1:9" x14ac:dyDescent="0.25">
      <c r="A586">
        <v>48256</v>
      </c>
      <c r="B586">
        <v>10</v>
      </c>
      <c r="C586">
        <v>14</v>
      </c>
      <c r="D586">
        <v>104</v>
      </c>
      <c r="E586" t="s">
        <v>694</v>
      </c>
      <c r="F586">
        <v>93</v>
      </c>
      <c r="G586">
        <v>0.25</v>
      </c>
      <c r="H586" s="4">
        <f t="shared" ca="1" si="9"/>
        <v>227</v>
      </c>
      <c r="I586" s="4">
        <v>34.76</v>
      </c>
    </row>
    <row r="587" spans="1:9" x14ac:dyDescent="0.25">
      <c r="A587">
        <v>96352</v>
      </c>
      <c r="B587">
        <v>31</v>
      </c>
      <c r="C587">
        <v>14</v>
      </c>
      <c r="D587">
        <v>103</v>
      </c>
      <c r="E587" t="s">
        <v>698</v>
      </c>
      <c r="F587">
        <v>59</v>
      </c>
      <c r="G587">
        <v>0.1</v>
      </c>
      <c r="H587" s="4">
        <f t="shared" ca="1" si="9"/>
        <v>106</v>
      </c>
      <c r="I587" s="4">
        <v>67.95</v>
      </c>
    </row>
    <row r="588" spans="1:9" x14ac:dyDescent="0.25">
      <c r="A588">
        <v>96352</v>
      </c>
      <c r="B588">
        <v>37</v>
      </c>
      <c r="C588">
        <v>14</v>
      </c>
      <c r="D588">
        <v>106</v>
      </c>
      <c r="E588" t="s">
        <v>690</v>
      </c>
      <c r="F588">
        <v>8</v>
      </c>
      <c r="G588">
        <v>0.25</v>
      </c>
      <c r="H588" s="4">
        <f t="shared" ca="1" si="9"/>
        <v>2</v>
      </c>
      <c r="I588" s="4">
        <v>17.82</v>
      </c>
    </row>
    <row r="589" spans="1:9" x14ac:dyDescent="0.25">
      <c r="A589">
        <v>96352</v>
      </c>
      <c r="B589">
        <v>58</v>
      </c>
      <c r="C589">
        <v>14</v>
      </c>
      <c r="D589">
        <v>107</v>
      </c>
      <c r="E589" t="s">
        <v>697</v>
      </c>
      <c r="F589">
        <v>123</v>
      </c>
      <c r="G589">
        <v>0.1</v>
      </c>
      <c r="H589" s="4">
        <f t="shared" ca="1" si="9"/>
        <v>126</v>
      </c>
      <c r="I589" s="4">
        <v>93.6</v>
      </c>
    </row>
    <row r="590" spans="1:9" x14ac:dyDescent="0.25">
      <c r="A590">
        <v>86563</v>
      </c>
      <c r="B590">
        <v>25</v>
      </c>
      <c r="C590">
        <v>14</v>
      </c>
      <c r="D590">
        <v>103</v>
      </c>
      <c r="E590" t="s">
        <v>697</v>
      </c>
      <c r="F590">
        <v>12</v>
      </c>
      <c r="G590">
        <v>0.1</v>
      </c>
      <c r="H590" s="4">
        <f t="shared" ca="1" si="9"/>
        <v>54</v>
      </c>
      <c r="I590" s="4">
        <v>46.75</v>
      </c>
    </row>
    <row r="591" spans="1:9" x14ac:dyDescent="0.25">
      <c r="A591">
        <v>48256</v>
      </c>
      <c r="B591">
        <v>70</v>
      </c>
      <c r="C591">
        <v>14</v>
      </c>
      <c r="D591">
        <v>103</v>
      </c>
      <c r="E591" t="s">
        <v>693</v>
      </c>
      <c r="F591">
        <v>239</v>
      </c>
      <c r="G591">
        <v>0.1</v>
      </c>
      <c r="H591" s="4">
        <f t="shared" ca="1" si="9"/>
        <v>163</v>
      </c>
      <c r="I591" s="4">
        <v>26.4</v>
      </c>
    </row>
    <row r="592" spans="1:9" x14ac:dyDescent="0.25">
      <c r="A592">
        <v>48256</v>
      </c>
      <c r="B592">
        <v>17</v>
      </c>
      <c r="C592">
        <v>14</v>
      </c>
      <c r="D592">
        <v>106</v>
      </c>
      <c r="E592" t="s">
        <v>693</v>
      </c>
      <c r="F592">
        <v>8</v>
      </c>
      <c r="G592">
        <v>0</v>
      </c>
      <c r="H592" s="4">
        <f t="shared" ca="1" si="9"/>
        <v>4</v>
      </c>
      <c r="I592" s="4">
        <v>67.319999999999993</v>
      </c>
    </row>
    <row r="593" spans="1:9" x14ac:dyDescent="0.25">
      <c r="A593">
        <v>96352</v>
      </c>
      <c r="B593">
        <v>62</v>
      </c>
      <c r="C593">
        <v>14</v>
      </c>
      <c r="D593">
        <v>105</v>
      </c>
      <c r="E593" t="s">
        <v>698</v>
      </c>
      <c r="F593">
        <v>71</v>
      </c>
      <c r="G593">
        <v>0.1</v>
      </c>
      <c r="H593" s="4">
        <f t="shared" ca="1" si="9"/>
        <v>337</v>
      </c>
      <c r="I593" s="4">
        <v>81.64</v>
      </c>
    </row>
    <row r="594" spans="1:9" x14ac:dyDescent="0.25">
      <c r="A594">
        <v>96352</v>
      </c>
      <c r="B594">
        <v>30</v>
      </c>
      <c r="C594">
        <v>14</v>
      </c>
      <c r="D594">
        <v>104</v>
      </c>
      <c r="E594" t="s">
        <v>692</v>
      </c>
      <c r="F594">
        <v>186</v>
      </c>
      <c r="G594">
        <v>0.25</v>
      </c>
      <c r="H594" s="4">
        <f t="shared" ca="1" si="9"/>
        <v>102</v>
      </c>
      <c r="I594" s="4">
        <v>74.73</v>
      </c>
    </row>
    <row r="595" spans="1:9" x14ac:dyDescent="0.25">
      <c r="A595">
        <v>48256</v>
      </c>
      <c r="B595">
        <v>4</v>
      </c>
      <c r="C595">
        <v>14</v>
      </c>
      <c r="D595">
        <v>105</v>
      </c>
      <c r="E595" t="s">
        <v>699</v>
      </c>
      <c r="F595">
        <v>29</v>
      </c>
      <c r="G595">
        <v>0.1</v>
      </c>
      <c r="H595" s="4">
        <f t="shared" ca="1" si="9"/>
        <v>125</v>
      </c>
      <c r="I595" s="4">
        <v>36</v>
      </c>
    </row>
    <row r="596" spans="1:9" x14ac:dyDescent="0.25">
      <c r="A596">
        <v>48256</v>
      </c>
      <c r="B596">
        <v>12</v>
      </c>
      <c r="C596">
        <v>14</v>
      </c>
      <c r="D596">
        <v>108</v>
      </c>
      <c r="E596" t="s">
        <v>693</v>
      </c>
      <c r="F596">
        <v>83</v>
      </c>
      <c r="G596">
        <v>0</v>
      </c>
      <c r="H596" s="4">
        <f t="shared" ca="1" si="9"/>
        <v>120</v>
      </c>
      <c r="I596" s="4">
        <v>70.400000000000006</v>
      </c>
    </row>
    <row r="597" spans="1:9" x14ac:dyDescent="0.25">
      <c r="A597">
        <v>48256</v>
      </c>
      <c r="B597">
        <v>42</v>
      </c>
      <c r="C597">
        <v>14</v>
      </c>
      <c r="D597">
        <v>102</v>
      </c>
      <c r="E597" t="s">
        <v>697</v>
      </c>
      <c r="F597">
        <v>186</v>
      </c>
      <c r="G597">
        <v>0</v>
      </c>
      <c r="H597" s="4">
        <f t="shared" ca="1" si="9"/>
        <v>88</v>
      </c>
      <c r="I597" s="4">
        <v>89.68</v>
      </c>
    </row>
    <row r="598" spans="1:9" x14ac:dyDescent="0.25">
      <c r="A598">
        <v>96352</v>
      </c>
      <c r="B598">
        <v>6</v>
      </c>
      <c r="C598">
        <v>14</v>
      </c>
      <c r="D598">
        <v>104</v>
      </c>
      <c r="E598" t="s">
        <v>693</v>
      </c>
      <c r="F598">
        <v>87</v>
      </c>
      <c r="G598">
        <v>0.1</v>
      </c>
      <c r="H598" s="4">
        <f t="shared" ca="1" si="9"/>
        <v>255</v>
      </c>
      <c r="I598" s="4">
        <v>87.21</v>
      </c>
    </row>
    <row r="599" spans="1:9" x14ac:dyDescent="0.25">
      <c r="A599">
        <v>48256</v>
      </c>
      <c r="B599">
        <v>62</v>
      </c>
      <c r="C599">
        <v>14</v>
      </c>
      <c r="D599">
        <v>103</v>
      </c>
      <c r="E599" t="s">
        <v>698</v>
      </c>
      <c r="F599">
        <v>28</v>
      </c>
      <c r="G599">
        <v>0.25</v>
      </c>
      <c r="H599" s="4">
        <f t="shared" ca="1" si="9"/>
        <v>84</v>
      </c>
      <c r="I599" s="4">
        <v>19.690000000000001</v>
      </c>
    </row>
    <row r="600" spans="1:9" x14ac:dyDescent="0.25">
      <c r="A600">
        <v>48256</v>
      </c>
      <c r="B600">
        <v>1</v>
      </c>
      <c r="C600">
        <v>14</v>
      </c>
      <c r="D600">
        <v>103</v>
      </c>
      <c r="E600" t="s">
        <v>692</v>
      </c>
      <c r="F600">
        <v>129</v>
      </c>
      <c r="G600">
        <v>0.1</v>
      </c>
      <c r="H600" s="4">
        <f t="shared" ca="1" si="9"/>
        <v>83</v>
      </c>
      <c r="I600" s="4">
        <v>91.52</v>
      </c>
    </row>
    <row r="601" spans="1:9" x14ac:dyDescent="0.25">
      <c r="A601">
        <v>96352</v>
      </c>
      <c r="B601">
        <v>50</v>
      </c>
      <c r="C601">
        <v>14</v>
      </c>
      <c r="D601">
        <v>105</v>
      </c>
      <c r="E601" t="s">
        <v>691</v>
      </c>
      <c r="F601">
        <v>164</v>
      </c>
      <c r="G601">
        <v>0.25</v>
      </c>
      <c r="H601" s="4">
        <f t="shared" ca="1" si="9"/>
        <v>198</v>
      </c>
      <c r="I601" s="4">
        <v>69.81</v>
      </c>
    </row>
    <row r="602" spans="1:9" x14ac:dyDescent="0.25">
      <c r="A602">
        <v>96352</v>
      </c>
      <c r="B602">
        <v>5</v>
      </c>
      <c r="C602">
        <v>14</v>
      </c>
      <c r="D602">
        <v>106</v>
      </c>
      <c r="E602" t="s">
        <v>699</v>
      </c>
      <c r="F602">
        <v>193</v>
      </c>
      <c r="G602">
        <v>0</v>
      </c>
      <c r="H602" s="4">
        <f t="shared" ca="1" si="9"/>
        <v>259</v>
      </c>
      <c r="I602" s="4">
        <v>17.7</v>
      </c>
    </row>
    <row r="603" spans="1:9" x14ac:dyDescent="0.25">
      <c r="A603">
        <v>86563</v>
      </c>
      <c r="B603">
        <v>70</v>
      </c>
      <c r="C603">
        <v>14</v>
      </c>
      <c r="D603">
        <v>105</v>
      </c>
      <c r="E603" t="s">
        <v>698</v>
      </c>
      <c r="F603">
        <v>12</v>
      </c>
      <c r="G603">
        <v>0</v>
      </c>
      <c r="H603" s="4">
        <f t="shared" ca="1" si="9"/>
        <v>45</v>
      </c>
      <c r="I603" s="4">
        <v>70.84</v>
      </c>
    </row>
    <row r="604" spans="1:9" x14ac:dyDescent="0.25">
      <c r="A604">
        <v>48256</v>
      </c>
      <c r="B604">
        <v>61</v>
      </c>
      <c r="C604">
        <v>14</v>
      </c>
      <c r="D604">
        <v>107</v>
      </c>
      <c r="E604" t="s">
        <v>693</v>
      </c>
      <c r="F604">
        <v>122</v>
      </c>
      <c r="G604">
        <v>0</v>
      </c>
      <c r="H604" s="4">
        <f t="shared" ca="1" si="9"/>
        <v>114</v>
      </c>
      <c r="I604" s="4">
        <v>83.5</v>
      </c>
    </row>
    <row r="605" spans="1:9" x14ac:dyDescent="0.25">
      <c r="A605">
        <v>86563</v>
      </c>
      <c r="B605">
        <v>50</v>
      </c>
      <c r="C605">
        <v>14</v>
      </c>
      <c r="D605">
        <v>107</v>
      </c>
      <c r="E605" t="s">
        <v>694</v>
      </c>
      <c r="F605">
        <v>55</v>
      </c>
      <c r="G605">
        <v>0</v>
      </c>
      <c r="H605" s="4">
        <f t="shared" ca="1" si="9"/>
        <v>106</v>
      </c>
      <c r="I605" s="4">
        <v>43</v>
      </c>
    </row>
    <row r="606" spans="1:9" x14ac:dyDescent="0.25">
      <c r="A606">
        <v>96352</v>
      </c>
      <c r="B606">
        <v>52</v>
      </c>
      <c r="C606">
        <v>14</v>
      </c>
      <c r="D606">
        <v>104</v>
      </c>
      <c r="E606" t="s">
        <v>696</v>
      </c>
      <c r="F606">
        <v>202</v>
      </c>
      <c r="G606">
        <v>0</v>
      </c>
      <c r="H606" s="4">
        <f t="shared" ca="1" si="9"/>
        <v>210</v>
      </c>
      <c r="I606" s="4">
        <v>91.8</v>
      </c>
    </row>
    <row r="607" spans="1:9" x14ac:dyDescent="0.25">
      <c r="A607">
        <v>48256</v>
      </c>
      <c r="B607">
        <v>31</v>
      </c>
      <c r="C607">
        <v>14</v>
      </c>
      <c r="D607">
        <v>102</v>
      </c>
      <c r="E607" t="s">
        <v>695</v>
      </c>
      <c r="F607">
        <v>11</v>
      </c>
      <c r="G607">
        <v>0</v>
      </c>
      <c r="H607" s="4">
        <f t="shared" ca="1" si="9"/>
        <v>30</v>
      </c>
      <c r="I607" s="4">
        <v>28.96</v>
      </c>
    </row>
    <row r="608" spans="1:9" x14ac:dyDescent="0.25">
      <c r="A608">
        <v>86563</v>
      </c>
      <c r="B608">
        <v>5</v>
      </c>
      <c r="C608">
        <v>14</v>
      </c>
      <c r="D608">
        <v>106</v>
      </c>
      <c r="E608" t="s">
        <v>690</v>
      </c>
      <c r="F608">
        <v>96</v>
      </c>
      <c r="G608">
        <v>0.25</v>
      </c>
      <c r="H608" s="4">
        <f t="shared" ca="1" si="9"/>
        <v>69</v>
      </c>
      <c r="I608" s="4">
        <v>71.099999999999994</v>
      </c>
    </row>
    <row r="609" spans="1:9" x14ac:dyDescent="0.25">
      <c r="A609">
        <v>96352</v>
      </c>
      <c r="B609">
        <v>37</v>
      </c>
      <c r="C609">
        <v>14</v>
      </c>
      <c r="D609">
        <v>107</v>
      </c>
      <c r="E609" t="s">
        <v>693</v>
      </c>
      <c r="F609">
        <v>158</v>
      </c>
      <c r="G609">
        <v>0</v>
      </c>
      <c r="H609" s="4">
        <f t="shared" ca="1" si="9"/>
        <v>243</v>
      </c>
      <c r="I609" s="4">
        <v>84.66</v>
      </c>
    </row>
    <row r="610" spans="1:9" x14ac:dyDescent="0.25">
      <c r="A610">
        <v>86563</v>
      </c>
      <c r="B610">
        <v>16</v>
      </c>
      <c r="C610">
        <v>14</v>
      </c>
      <c r="D610">
        <v>103</v>
      </c>
      <c r="E610" t="s">
        <v>694</v>
      </c>
      <c r="F610">
        <v>97</v>
      </c>
      <c r="G610">
        <v>0.1</v>
      </c>
      <c r="H610" s="4">
        <f t="shared" ca="1" si="9"/>
        <v>192</v>
      </c>
      <c r="I610" s="4">
        <v>93.6</v>
      </c>
    </row>
    <row r="611" spans="1:9" x14ac:dyDescent="0.25">
      <c r="A611">
        <v>86563</v>
      </c>
      <c r="B611">
        <v>56</v>
      </c>
      <c r="C611">
        <v>14</v>
      </c>
      <c r="D611">
        <v>102</v>
      </c>
      <c r="E611" t="s">
        <v>699</v>
      </c>
      <c r="F611">
        <v>174</v>
      </c>
      <c r="G611">
        <v>0</v>
      </c>
      <c r="H611" s="4">
        <f t="shared" ca="1" si="9"/>
        <v>241</v>
      </c>
      <c r="I611" s="4">
        <v>61.23</v>
      </c>
    </row>
    <row r="612" spans="1:9" x14ac:dyDescent="0.25">
      <c r="A612">
        <v>86563</v>
      </c>
      <c r="B612">
        <v>64</v>
      </c>
      <c r="C612">
        <v>14</v>
      </c>
      <c r="D612">
        <v>108</v>
      </c>
      <c r="E612" t="s">
        <v>694</v>
      </c>
      <c r="F612">
        <v>89</v>
      </c>
      <c r="G612">
        <v>0</v>
      </c>
      <c r="H612" s="4">
        <f t="shared" ca="1" si="9"/>
        <v>304</v>
      </c>
      <c r="I612" s="4">
        <v>91.29</v>
      </c>
    </row>
    <row r="613" spans="1:9" x14ac:dyDescent="0.25">
      <c r="A613">
        <v>48256</v>
      </c>
      <c r="B613">
        <v>47</v>
      </c>
      <c r="C613">
        <v>14</v>
      </c>
      <c r="D613">
        <v>103</v>
      </c>
      <c r="E613" t="s">
        <v>695</v>
      </c>
      <c r="F613">
        <v>46</v>
      </c>
      <c r="G613">
        <v>0</v>
      </c>
      <c r="H613" s="4">
        <f t="shared" ca="1" si="9"/>
        <v>348</v>
      </c>
      <c r="I613" s="4">
        <v>106.79</v>
      </c>
    </row>
    <row r="614" spans="1:9" x14ac:dyDescent="0.25">
      <c r="A614">
        <v>86563</v>
      </c>
      <c r="B614">
        <v>58</v>
      </c>
      <c r="C614">
        <v>14</v>
      </c>
      <c r="D614">
        <v>104</v>
      </c>
      <c r="E614" t="s">
        <v>699</v>
      </c>
      <c r="F614">
        <v>152</v>
      </c>
      <c r="G614">
        <v>0.25</v>
      </c>
      <c r="H614" s="4">
        <f t="shared" ca="1" si="9"/>
        <v>144</v>
      </c>
      <c r="I614" s="4">
        <v>34.01</v>
      </c>
    </row>
    <row r="615" spans="1:9" x14ac:dyDescent="0.25">
      <c r="A615">
        <v>96352</v>
      </c>
      <c r="B615">
        <v>65</v>
      </c>
      <c r="C615">
        <v>14</v>
      </c>
      <c r="D615">
        <v>102</v>
      </c>
      <c r="E615" t="s">
        <v>698</v>
      </c>
      <c r="F615">
        <v>71</v>
      </c>
      <c r="G615">
        <v>0.25</v>
      </c>
      <c r="H615" s="4">
        <f t="shared" ca="1" si="9"/>
        <v>225</v>
      </c>
      <c r="I615" s="4">
        <v>54.08</v>
      </c>
    </row>
    <row r="616" spans="1:9" x14ac:dyDescent="0.25">
      <c r="A616">
        <v>48256</v>
      </c>
      <c r="B616">
        <v>9</v>
      </c>
      <c r="C616">
        <v>14</v>
      </c>
      <c r="D616">
        <v>102</v>
      </c>
      <c r="E616" t="s">
        <v>694</v>
      </c>
      <c r="F616">
        <v>105</v>
      </c>
      <c r="G616">
        <v>0</v>
      </c>
      <c r="H616" s="4">
        <f t="shared" ca="1" si="9"/>
        <v>99</v>
      </c>
      <c r="I616" s="4">
        <v>45.5</v>
      </c>
    </row>
    <row r="617" spans="1:9" x14ac:dyDescent="0.25">
      <c r="A617">
        <v>86563</v>
      </c>
      <c r="B617">
        <v>39</v>
      </c>
      <c r="C617">
        <v>14</v>
      </c>
      <c r="D617">
        <v>104</v>
      </c>
      <c r="E617" t="s">
        <v>693</v>
      </c>
      <c r="F617">
        <v>2</v>
      </c>
      <c r="G617">
        <v>0.1</v>
      </c>
      <c r="H617" s="4">
        <f t="shared" ca="1" si="9"/>
        <v>5</v>
      </c>
      <c r="I617" s="4">
        <v>73.989999999999995</v>
      </c>
    </row>
    <row r="618" spans="1:9" x14ac:dyDescent="0.25">
      <c r="A618">
        <v>96352</v>
      </c>
      <c r="B618">
        <v>63</v>
      </c>
      <c r="C618">
        <v>14</v>
      </c>
      <c r="D618">
        <v>101</v>
      </c>
      <c r="E618" t="s">
        <v>695</v>
      </c>
      <c r="F618">
        <v>45</v>
      </c>
      <c r="G618">
        <v>0</v>
      </c>
      <c r="H618" s="4">
        <f t="shared" ca="1" si="9"/>
        <v>333</v>
      </c>
      <c r="I618" s="4">
        <v>86.02</v>
      </c>
    </row>
    <row r="619" spans="1:9" x14ac:dyDescent="0.25">
      <c r="A619">
        <v>96352</v>
      </c>
      <c r="B619">
        <v>26</v>
      </c>
      <c r="C619">
        <v>14</v>
      </c>
      <c r="D619">
        <v>107</v>
      </c>
      <c r="E619" t="s">
        <v>695</v>
      </c>
      <c r="F619">
        <v>70</v>
      </c>
      <c r="G619">
        <v>0.1</v>
      </c>
      <c r="H619" s="4">
        <f t="shared" ca="1" si="9"/>
        <v>256</v>
      </c>
      <c r="I619" s="4">
        <v>26.86</v>
      </c>
    </row>
    <row r="620" spans="1:9" x14ac:dyDescent="0.25">
      <c r="A620">
        <v>96352</v>
      </c>
      <c r="B620">
        <v>39</v>
      </c>
      <c r="C620">
        <v>14</v>
      </c>
      <c r="D620">
        <v>105</v>
      </c>
      <c r="E620" t="s">
        <v>696</v>
      </c>
      <c r="F620">
        <v>29</v>
      </c>
      <c r="G620">
        <v>0</v>
      </c>
      <c r="H620" s="4">
        <f t="shared" ca="1" si="9"/>
        <v>33</v>
      </c>
      <c r="I620" s="4">
        <v>24</v>
      </c>
    </row>
    <row r="621" spans="1:9" x14ac:dyDescent="0.25">
      <c r="A621">
        <v>96352</v>
      </c>
      <c r="B621">
        <v>16</v>
      </c>
      <c r="C621">
        <v>14</v>
      </c>
      <c r="D621">
        <v>104</v>
      </c>
      <c r="E621" t="s">
        <v>699</v>
      </c>
      <c r="F621">
        <v>88</v>
      </c>
      <c r="G621">
        <v>0.25</v>
      </c>
      <c r="H621" s="4">
        <f t="shared" ca="1" si="9"/>
        <v>199</v>
      </c>
      <c r="I621" s="4">
        <v>95.4</v>
      </c>
    </row>
    <row r="622" spans="1:9" x14ac:dyDescent="0.25">
      <c r="A622">
        <v>48256</v>
      </c>
      <c r="B622">
        <v>27</v>
      </c>
      <c r="C622">
        <v>14</v>
      </c>
      <c r="D622">
        <v>107</v>
      </c>
      <c r="E622" t="s">
        <v>698</v>
      </c>
      <c r="F622">
        <v>36</v>
      </c>
      <c r="G622">
        <v>0.1</v>
      </c>
      <c r="H622" s="4">
        <f t="shared" ca="1" si="9"/>
        <v>148</v>
      </c>
      <c r="I622" s="4">
        <v>73.08</v>
      </c>
    </row>
    <row r="623" spans="1:9" x14ac:dyDescent="0.25">
      <c r="A623">
        <v>96352</v>
      </c>
      <c r="B623">
        <v>2</v>
      </c>
      <c r="C623">
        <v>14</v>
      </c>
      <c r="D623">
        <v>101</v>
      </c>
      <c r="E623" t="s">
        <v>691</v>
      </c>
      <c r="F623">
        <v>240</v>
      </c>
      <c r="G623">
        <v>0.1</v>
      </c>
      <c r="H623" s="4">
        <f t="shared" ca="1" si="9"/>
        <v>287</v>
      </c>
      <c r="I623" s="4">
        <v>95.76</v>
      </c>
    </row>
    <row r="624" spans="1:9" x14ac:dyDescent="0.25">
      <c r="A624">
        <v>86563</v>
      </c>
      <c r="B624">
        <v>31</v>
      </c>
      <c r="C624">
        <v>14</v>
      </c>
      <c r="D624">
        <v>108</v>
      </c>
      <c r="E624" t="s">
        <v>700</v>
      </c>
      <c r="F624">
        <v>133</v>
      </c>
      <c r="G624">
        <v>0</v>
      </c>
      <c r="H624" s="4">
        <f t="shared" ca="1" si="9"/>
        <v>76</v>
      </c>
      <c r="I624" s="4">
        <v>70.98</v>
      </c>
    </row>
    <row r="625" spans="1:9" x14ac:dyDescent="0.25">
      <c r="A625">
        <v>96352</v>
      </c>
      <c r="B625">
        <v>3</v>
      </c>
      <c r="C625">
        <v>14</v>
      </c>
      <c r="D625">
        <v>105</v>
      </c>
      <c r="E625" t="s">
        <v>692</v>
      </c>
      <c r="F625">
        <v>171</v>
      </c>
      <c r="G625">
        <v>0.25</v>
      </c>
      <c r="H625" s="4">
        <f t="shared" ca="1" si="9"/>
        <v>138</v>
      </c>
      <c r="I625" s="4">
        <v>69.19</v>
      </c>
    </row>
    <row r="626" spans="1:9" x14ac:dyDescent="0.25">
      <c r="A626">
        <v>96352</v>
      </c>
      <c r="B626">
        <v>26</v>
      </c>
      <c r="C626">
        <v>14</v>
      </c>
      <c r="D626">
        <v>103</v>
      </c>
      <c r="E626" t="s">
        <v>696</v>
      </c>
      <c r="F626">
        <v>118</v>
      </c>
      <c r="G626">
        <v>0.25</v>
      </c>
      <c r="H626" s="4">
        <f t="shared" ca="1" si="9"/>
        <v>236</v>
      </c>
      <c r="I626" s="4">
        <v>49</v>
      </c>
    </row>
    <row r="627" spans="1:9" x14ac:dyDescent="0.25">
      <c r="A627">
        <v>96352</v>
      </c>
      <c r="B627">
        <v>21</v>
      </c>
      <c r="C627">
        <v>14</v>
      </c>
      <c r="D627">
        <v>105</v>
      </c>
      <c r="E627" t="s">
        <v>693</v>
      </c>
      <c r="F627">
        <v>236</v>
      </c>
      <c r="G627">
        <v>0</v>
      </c>
      <c r="H627" s="4">
        <f t="shared" ca="1" si="9"/>
        <v>183</v>
      </c>
      <c r="I627" s="4">
        <v>48.1</v>
      </c>
    </row>
    <row r="628" spans="1:9" x14ac:dyDescent="0.25">
      <c r="A628">
        <v>96352</v>
      </c>
      <c r="B628">
        <v>39</v>
      </c>
      <c r="C628">
        <v>14</v>
      </c>
      <c r="D628">
        <v>104</v>
      </c>
      <c r="E628" t="s">
        <v>694</v>
      </c>
      <c r="F628">
        <v>202</v>
      </c>
      <c r="G628">
        <v>0</v>
      </c>
      <c r="H628" s="4">
        <f t="shared" ca="1" si="9"/>
        <v>134</v>
      </c>
      <c r="I628" s="4">
        <v>55.8</v>
      </c>
    </row>
    <row r="629" spans="1:9" x14ac:dyDescent="0.25">
      <c r="A629">
        <v>86563</v>
      </c>
      <c r="B629">
        <v>43</v>
      </c>
      <c r="C629">
        <v>14</v>
      </c>
      <c r="D629">
        <v>108</v>
      </c>
      <c r="E629" t="s">
        <v>695</v>
      </c>
      <c r="F629">
        <v>215</v>
      </c>
      <c r="G629">
        <v>0.1</v>
      </c>
      <c r="H629" s="4">
        <f t="shared" ca="1" si="9"/>
        <v>289</v>
      </c>
      <c r="I629" s="4">
        <v>23.53</v>
      </c>
    </row>
    <row r="630" spans="1:9" x14ac:dyDescent="0.25">
      <c r="A630">
        <v>86563</v>
      </c>
      <c r="B630">
        <v>23</v>
      </c>
      <c r="C630">
        <v>14</v>
      </c>
      <c r="D630">
        <v>105</v>
      </c>
      <c r="E630" t="s">
        <v>699</v>
      </c>
      <c r="F630">
        <v>249</v>
      </c>
      <c r="G630">
        <v>0.1</v>
      </c>
      <c r="H630" s="4">
        <f t="shared" ca="1" si="9"/>
        <v>84</v>
      </c>
      <c r="I630" s="4">
        <v>30.94</v>
      </c>
    </row>
    <row r="631" spans="1:9" x14ac:dyDescent="0.25">
      <c r="A631">
        <v>96352</v>
      </c>
      <c r="B631">
        <v>23</v>
      </c>
      <c r="C631">
        <v>14</v>
      </c>
      <c r="D631">
        <v>102</v>
      </c>
      <c r="E631" t="s">
        <v>694</v>
      </c>
      <c r="F631">
        <v>92</v>
      </c>
      <c r="G631">
        <v>0.1</v>
      </c>
      <c r="H631" s="4">
        <f t="shared" ca="1" si="9"/>
        <v>136</v>
      </c>
      <c r="I631" s="4">
        <v>24</v>
      </c>
    </row>
    <row r="632" spans="1:9" x14ac:dyDescent="0.25">
      <c r="A632">
        <v>48256</v>
      </c>
      <c r="B632">
        <v>35</v>
      </c>
      <c r="C632">
        <v>14</v>
      </c>
      <c r="D632">
        <v>101</v>
      </c>
      <c r="E632" t="s">
        <v>693</v>
      </c>
      <c r="F632">
        <v>227</v>
      </c>
      <c r="G632">
        <v>0.25</v>
      </c>
      <c r="H632" s="4">
        <f t="shared" ca="1" si="9"/>
        <v>301</v>
      </c>
      <c r="I632" s="4">
        <v>90.27</v>
      </c>
    </row>
    <row r="633" spans="1:9" x14ac:dyDescent="0.25">
      <c r="A633">
        <v>96352</v>
      </c>
      <c r="B633">
        <v>30</v>
      </c>
      <c r="C633">
        <v>14</v>
      </c>
      <c r="D633">
        <v>101</v>
      </c>
      <c r="E633" t="s">
        <v>695</v>
      </c>
      <c r="F633">
        <v>137</v>
      </c>
      <c r="G633">
        <v>0.1</v>
      </c>
      <c r="H633" s="4">
        <f t="shared" ca="1" si="9"/>
        <v>168</v>
      </c>
      <c r="I633" s="4">
        <v>22.8</v>
      </c>
    </row>
    <row r="634" spans="1:9" x14ac:dyDescent="0.25">
      <c r="A634">
        <v>86563</v>
      </c>
      <c r="B634">
        <v>26</v>
      </c>
      <c r="C634">
        <v>14</v>
      </c>
      <c r="D634">
        <v>108</v>
      </c>
      <c r="E634" t="s">
        <v>698</v>
      </c>
      <c r="F634">
        <v>212</v>
      </c>
      <c r="G634">
        <v>0.25</v>
      </c>
      <c r="H634" s="4">
        <f t="shared" ca="1" si="9"/>
        <v>66</v>
      </c>
      <c r="I634" s="4">
        <v>46.75</v>
      </c>
    </row>
    <row r="635" spans="1:9" x14ac:dyDescent="0.25">
      <c r="A635">
        <v>86563</v>
      </c>
      <c r="B635">
        <v>67</v>
      </c>
      <c r="C635">
        <v>14</v>
      </c>
      <c r="D635">
        <v>108</v>
      </c>
      <c r="E635" t="s">
        <v>693</v>
      </c>
      <c r="F635">
        <v>250</v>
      </c>
      <c r="G635">
        <v>0.25</v>
      </c>
      <c r="H635" s="4">
        <f t="shared" ca="1" si="9"/>
        <v>118</v>
      </c>
      <c r="I635" s="4">
        <v>21.06</v>
      </c>
    </row>
    <row r="636" spans="1:9" x14ac:dyDescent="0.25">
      <c r="A636">
        <v>96352</v>
      </c>
      <c r="B636">
        <v>60</v>
      </c>
      <c r="C636">
        <v>14</v>
      </c>
      <c r="D636">
        <v>102</v>
      </c>
      <c r="E636" t="s">
        <v>691</v>
      </c>
      <c r="F636">
        <v>174</v>
      </c>
      <c r="G636">
        <v>0</v>
      </c>
      <c r="H636" s="4">
        <f t="shared" ca="1" si="9"/>
        <v>319</v>
      </c>
      <c r="I636" s="4">
        <v>38.75</v>
      </c>
    </row>
    <row r="637" spans="1:9" x14ac:dyDescent="0.25">
      <c r="A637">
        <v>86563</v>
      </c>
      <c r="B637">
        <v>64</v>
      </c>
      <c r="C637">
        <v>14</v>
      </c>
      <c r="D637">
        <v>103</v>
      </c>
      <c r="E637" t="s">
        <v>695</v>
      </c>
      <c r="F637">
        <v>23</v>
      </c>
      <c r="G637">
        <v>0.1</v>
      </c>
      <c r="H637" s="4">
        <f t="shared" ca="1" si="9"/>
        <v>100</v>
      </c>
      <c r="I637" s="4">
        <v>19.5</v>
      </c>
    </row>
    <row r="638" spans="1:9" x14ac:dyDescent="0.25">
      <c r="A638">
        <v>96352</v>
      </c>
      <c r="B638">
        <v>6</v>
      </c>
      <c r="C638">
        <v>14</v>
      </c>
      <c r="D638">
        <v>104</v>
      </c>
      <c r="E638" t="s">
        <v>694</v>
      </c>
      <c r="F638">
        <v>243</v>
      </c>
      <c r="G638">
        <v>0.25</v>
      </c>
      <c r="H638" s="4">
        <f t="shared" ca="1" si="9"/>
        <v>285</v>
      </c>
      <c r="I638" s="4">
        <v>51</v>
      </c>
    </row>
    <row r="639" spans="1:9" x14ac:dyDescent="0.25">
      <c r="A639">
        <v>86563</v>
      </c>
      <c r="B639">
        <v>56</v>
      </c>
      <c r="C639">
        <v>14</v>
      </c>
      <c r="D639">
        <v>107</v>
      </c>
      <c r="E639" t="s">
        <v>697</v>
      </c>
      <c r="F639">
        <v>65</v>
      </c>
      <c r="G639">
        <v>0.25</v>
      </c>
      <c r="H639" s="4">
        <f t="shared" ca="1" si="9"/>
        <v>288</v>
      </c>
      <c r="I639" s="4">
        <v>66.5</v>
      </c>
    </row>
    <row r="640" spans="1:9" x14ac:dyDescent="0.25">
      <c r="A640">
        <v>48256</v>
      </c>
      <c r="B640">
        <v>60</v>
      </c>
      <c r="C640">
        <v>14</v>
      </c>
      <c r="D640">
        <v>102</v>
      </c>
      <c r="E640" t="s">
        <v>690</v>
      </c>
      <c r="F640">
        <v>97</v>
      </c>
      <c r="G640">
        <v>0</v>
      </c>
      <c r="H640" s="4">
        <f t="shared" ca="1" si="9"/>
        <v>317</v>
      </c>
      <c r="I640" s="4">
        <v>27.36</v>
      </c>
    </row>
    <row r="641" spans="1:9" x14ac:dyDescent="0.25">
      <c r="A641">
        <v>96352</v>
      </c>
      <c r="B641">
        <v>45</v>
      </c>
      <c r="C641">
        <v>14</v>
      </c>
      <c r="D641">
        <v>108</v>
      </c>
      <c r="E641" t="s">
        <v>700</v>
      </c>
      <c r="F641">
        <v>166</v>
      </c>
      <c r="G641">
        <v>0.1</v>
      </c>
      <c r="H641" s="4">
        <f t="shared" ca="1" si="9"/>
        <v>186</v>
      </c>
      <c r="I641" s="4">
        <v>21.97</v>
      </c>
    </row>
    <row r="642" spans="1:9" x14ac:dyDescent="0.25">
      <c r="A642">
        <v>48256</v>
      </c>
      <c r="B642">
        <v>26</v>
      </c>
      <c r="C642">
        <v>14</v>
      </c>
      <c r="D642">
        <v>101</v>
      </c>
      <c r="E642" t="s">
        <v>694</v>
      </c>
      <c r="F642">
        <v>109</v>
      </c>
      <c r="G642">
        <v>0.25</v>
      </c>
      <c r="H642" s="4">
        <f t="shared" ref="H642:H705" ca="1" si="10">IF(F642&lt;=10,RANDBETWEEN(1,5),IF(F642&lt;=20,RANDBETWEEN(15,80),IF(F642&lt;=30,RANDBETWEEN(23,150),RANDBETWEEN(66,350))))</f>
        <v>250</v>
      </c>
      <c r="I642" s="4">
        <v>78.959999999999994</v>
      </c>
    </row>
    <row r="643" spans="1:9" x14ac:dyDescent="0.25">
      <c r="A643">
        <v>48256</v>
      </c>
      <c r="B643">
        <v>66</v>
      </c>
      <c r="C643">
        <v>14</v>
      </c>
      <c r="D643">
        <v>108</v>
      </c>
      <c r="E643" t="s">
        <v>700</v>
      </c>
      <c r="F643">
        <v>199</v>
      </c>
      <c r="G643">
        <v>0.1</v>
      </c>
      <c r="H643" s="4">
        <f t="shared" ca="1" si="10"/>
        <v>170</v>
      </c>
      <c r="I643" s="4">
        <v>53.76</v>
      </c>
    </row>
    <row r="644" spans="1:9" x14ac:dyDescent="0.25">
      <c r="A644">
        <v>48256</v>
      </c>
      <c r="B644">
        <v>2</v>
      </c>
      <c r="C644">
        <v>14</v>
      </c>
      <c r="D644">
        <v>101</v>
      </c>
      <c r="E644" t="s">
        <v>691</v>
      </c>
      <c r="F644">
        <v>242</v>
      </c>
      <c r="G644">
        <v>0.25</v>
      </c>
      <c r="H644" s="4">
        <f t="shared" ca="1" si="10"/>
        <v>140</v>
      </c>
      <c r="I644" s="4">
        <v>53.4</v>
      </c>
    </row>
    <row r="645" spans="1:9" x14ac:dyDescent="0.25">
      <c r="A645">
        <v>86563</v>
      </c>
      <c r="B645">
        <v>51</v>
      </c>
      <c r="C645">
        <v>14</v>
      </c>
      <c r="D645">
        <v>102</v>
      </c>
      <c r="E645" t="s">
        <v>699</v>
      </c>
      <c r="F645">
        <v>79</v>
      </c>
      <c r="G645">
        <v>0.1</v>
      </c>
      <c r="H645" s="4">
        <f t="shared" ca="1" si="10"/>
        <v>295</v>
      </c>
      <c r="I645" s="4">
        <v>99.18</v>
      </c>
    </row>
    <row r="646" spans="1:9" x14ac:dyDescent="0.25">
      <c r="A646">
        <v>86563</v>
      </c>
      <c r="B646">
        <v>40</v>
      </c>
      <c r="C646">
        <v>14</v>
      </c>
      <c r="D646">
        <v>108</v>
      </c>
      <c r="E646" t="s">
        <v>695</v>
      </c>
      <c r="F646">
        <v>116</v>
      </c>
      <c r="G646">
        <v>0.1</v>
      </c>
      <c r="H646" s="4">
        <f t="shared" ca="1" si="10"/>
        <v>223</v>
      </c>
      <c r="I646" s="4">
        <v>96.17</v>
      </c>
    </row>
    <row r="647" spans="1:9" x14ac:dyDescent="0.25">
      <c r="A647">
        <v>96352</v>
      </c>
      <c r="B647">
        <v>20</v>
      </c>
      <c r="C647">
        <v>14</v>
      </c>
      <c r="D647">
        <v>107</v>
      </c>
      <c r="E647" t="s">
        <v>692</v>
      </c>
      <c r="F647">
        <v>50</v>
      </c>
      <c r="G647">
        <v>0.1</v>
      </c>
      <c r="H647" s="4">
        <f t="shared" ca="1" si="10"/>
        <v>326</v>
      </c>
      <c r="I647" s="4">
        <v>69.540000000000006</v>
      </c>
    </row>
    <row r="648" spans="1:9" x14ac:dyDescent="0.25">
      <c r="A648">
        <v>96352</v>
      </c>
      <c r="B648">
        <v>50</v>
      </c>
      <c r="C648">
        <v>14</v>
      </c>
      <c r="D648">
        <v>104</v>
      </c>
      <c r="E648" t="s">
        <v>694</v>
      </c>
      <c r="F648">
        <v>236</v>
      </c>
      <c r="G648">
        <v>0</v>
      </c>
      <c r="H648" s="4">
        <f t="shared" ca="1" si="10"/>
        <v>121</v>
      </c>
      <c r="I648" s="4">
        <v>34.4</v>
      </c>
    </row>
    <row r="649" spans="1:9" x14ac:dyDescent="0.25">
      <c r="A649">
        <v>48256</v>
      </c>
      <c r="B649">
        <v>24</v>
      </c>
      <c r="C649">
        <v>14</v>
      </c>
      <c r="D649">
        <v>106</v>
      </c>
      <c r="E649" t="s">
        <v>697</v>
      </c>
      <c r="F649">
        <v>93</v>
      </c>
      <c r="G649">
        <v>0.25</v>
      </c>
      <c r="H649" s="4">
        <f t="shared" ca="1" si="10"/>
        <v>99</v>
      </c>
      <c r="I649" s="4">
        <v>92.22</v>
      </c>
    </row>
    <row r="650" spans="1:9" x14ac:dyDescent="0.25">
      <c r="A650">
        <v>86563</v>
      </c>
      <c r="B650">
        <v>63</v>
      </c>
      <c r="C650">
        <v>14</v>
      </c>
      <c r="D650">
        <v>102</v>
      </c>
      <c r="E650" t="s">
        <v>695</v>
      </c>
      <c r="F650">
        <v>246</v>
      </c>
      <c r="G650">
        <v>0</v>
      </c>
      <c r="H650" s="4">
        <f t="shared" ca="1" si="10"/>
        <v>264</v>
      </c>
      <c r="I650" s="4">
        <v>31.28</v>
      </c>
    </row>
    <row r="651" spans="1:9" x14ac:dyDescent="0.25">
      <c r="A651">
        <v>96352</v>
      </c>
      <c r="B651">
        <v>33</v>
      </c>
      <c r="C651">
        <v>14</v>
      </c>
      <c r="D651">
        <v>105</v>
      </c>
      <c r="E651" t="s">
        <v>693</v>
      </c>
      <c r="F651">
        <v>176</v>
      </c>
      <c r="G651">
        <v>0</v>
      </c>
      <c r="H651" s="4">
        <f t="shared" ca="1" si="10"/>
        <v>319</v>
      </c>
      <c r="I651" s="4">
        <v>54</v>
      </c>
    </row>
    <row r="652" spans="1:9" x14ac:dyDescent="0.25">
      <c r="A652">
        <v>48256</v>
      </c>
      <c r="B652">
        <v>64</v>
      </c>
      <c r="C652">
        <v>14</v>
      </c>
      <c r="D652">
        <v>108</v>
      </c>
      <c r="E652" t="s">
        <v>690</v>
      </c>
      <c r="F652">
        <v>166</v>
      </c>
      <c r="G652">
        <v>0.1</v>
      </c>
      <c r="H652" s="4">
        <f t="shared" ca="1" si="10"/>
        <v>311</v>
      </c>
      <c r="I652" s="4">
        <v>37.72</v>
      </c>
    </row>
    <row r="653" spans="1:9" x14ac:dyDescent="0.25">
      <c r="A653">
        <v>96352</v>
      </c>
      <c r="B653">
        <v>1</v>
      </c>
      <c r="C653">
        <v>14</v>
      </c>
      <c r="D653">
        <v>105</v>
      </c>
      <c r="E653" t="s">
        <v>696</v>
      </c>
      <c r="F653">
        <v>36</v>
      </c>
      <c r="G653">
        <v>0.1</v>
      </c>
      <c r="H653" s="4">
        <f t="shared" ca="1" si="10"/>
        <v>260</v>
      </c>
      <c r="I653" s="4">
        <v>35.07</v>
      </c>
    </row>
    <row r="654" spans="1:9" x14ac:dyDescent="0.25">
      <c r="A654">
        <v>86563</v>
      </c>
      <c r="B654">
        <v>31</v>
      </c>
      <c r="C654">
        <v>14</v>
      </c>
      <c r="D654">
        <v>102</v>
      </c>
      <c r="E654" t="s">
        <v>694</v>
      </c>
      <c r="F654">
        <v>128</v>
      </c>
      <c r="G654">
        <v>0.25</v>
      </c>
      <c r="H654" s="4">
        <f t="shared" ca="1" si="10"/>
        <v>305</v>
      </c>
      <c r="I654" s="4">
        <v>50.88</v>
      </c>
    </row>
    <row r="655" spans="1:9" x14ac:dyDescent="0.25">
      <c r="A655">
        <v>86563</v>
      </c>
      <c r="B655">
        <v>61</v>
      </c>
      <c r="C655">
        <v>14</v>
      </c>
      <c r="D655">
        <v>107</v>
      </c>
      <c r="E655" t="s">
        <v>694</v>
      </c>
      <c r="F655">
        <v>205</v>
      </c>
      <c r="G655">
        <v>0</v>
      </c>
      <c r="H655" s="4">
        <f t="shared" ca="1" si="10"/>
        <v>278</v>
      </c>
      <c r="I655" s="4">
        <v>77.28</v>
      </c>
    </row>
    <row r="656" spans="1:9" x14ac:dyDescent="0.25">
      <c r="A656">
        <v>48256</v>
      </c>
      <c r="B656">
        <v>31</v>
      </c>
      <c r="C656">
        <v>14</v>
      </c>
      <c r="D656">
        <v>106</v>
      </c>
      <c r="E656" t="s">
        <v>694</v>
      </c>
      <c r="F656">
        <v>163</v>
      </c>
      <c r="G656">
        <v>0.25</v>
      </c>
      <c r="H656" s="4">
        <f t="shared" ca="1" si="10"/>
        <v>76</v>
      </c>
      <c r="I656" s="4">
        <v>73.2</v>
      </c>
    </row>
    <row r="657" spans="1:9" x14ac:dyDescent="0.25">
      <c r="A657">
        <v>96352</v>
      </c>
      <c r="B657">
        <v>59</v>
      </c>
      <c r="C657">
        <v>14</v>
      </c>
      <c r="D657">
        <v>107</v>
      </c>
      <c r="E657" t="s">
        <v>693</v>
      </c>
      <c r="F657">
        <v>78</v>
      </c>
      <c r="G657">
        <v>0</v>
      </c>
      <c r="H657" s="4">
        <f t="shared" ca="1" si="10"/>
        <v>102</v>
      </c>
      <c r="I657" s="4">
        <v>38.94</v>
      </c>
    </row>
    <row r="658" spans="1:9" x14ac:dyDescent="0.25">
      <c r="A658">
        <v>96352</v>
      </c>
      <c r="B658">
        <v>69</v>
      </c>
      <c r="C658">
        <v>14</v>
      </c>
      <c r="D658">
        <v>106</v>
      </c>
      <c r="E658" t="s">
        <v>695</v>
      </c>
      <c r="F658">
        <v>94</v>
      </c>
      <c r="G658">
        <v>0.25</v>
      </c>
      <c r="H658" s="4">
        <f t="shared" ca="1" si="10"/>
        <v>346</v>
      </c>
      <c r="I658" s="4">
        <v>89.32</v>
      </c>
    </row>
    <row r="659" spans="1:9" x14ac:dyDescent="0.25">
      <c r="A659">
        <v>48256</v>
      </c>
      <c r="B659">
        <v>46</v>
      </c>
      <c r="C659">
        <v>14</v>
      </c>
      <c r="D659">
        <v>105</v>
      </c>
      <c r="E659" t="s">
        <v>695</v>
      </c>
      <c r="F659">
        <v>247</v>
      </c>
      <c r="G659">
        <v>0</v>
      </c>
      <c r="H659" s="4">
        <f t="shared" ca="1" si="10"/>
        <v>125</v>
      </c>
      <c r="I659" s="4">
        <v>106.02</v>
      </c>
    </row>
    <row r="660" spans="1:9" x14ac:dyDescent="0.25">
      <c r="A660">
        <v>96352</v>
      </c>
      <c r="B660">
        <v>68</v>
      </c>
      <c r="C660">
        <v>14</v>
      </c>
      <c r="D660">
        <v>102</v>
      </c>
      <c r="E660" t="s">
        <v>691</v>
      </c>
      <c r="F660">
        <v>25</v>
      </c>
      <c r="G660">
        <v>0.25</v>
      </c>
      <c r="H660" s="4">
        <f t="shared" ca="1" si="10"/>
        <v>58</v>
      </c>
      <c r="I660" s="4">
        <v>20.239999999999998</v>
      </c>
    </row>
    <row r="661" spans="1:9" x14ac:dyDescent="0.25">
      <c r="A661">
        <v>86563</v>
      </c>
      <c r="B661">
        <v>68</v>
      </c>
      <c r="C661">
        <v>14</v>
      </c>
      <c r="D661">
        <v>104</v>
      </c>
      <c r="E661" t="s">
        <v>692</v>
      </c>
      <c r="F661">
        <v>13</v>
      </c>
      <c r="G661">
        <v>0</v>
      </c>
      <c r="H661" s="4">
        <f t="shared" ca="1" si="10"/>
        <v>31</v>
      </c>
      <c r="I661" s="4">
        <v>41.63</v>
      </c>
    </row>
    <row r="662" spans="1:9" x14ac:dyDescent="0.25">
      <c r="A662">
        <v>96352</v>
      </c>
      <c r="B662">
        <v>61</v>
      </c>
      <c r="C662">
        <v>14</v>
      </c>
      <c r="D662">
        <v>107</v>
      </c>
      <c r="E662" t="s">
        <v>698</v>
      </c>
      <c r="F662">
        <v>28</v>
      </c>
      <c r="G662">
        <v>0</v>
      </c>
      <c r="H662" s="4">
        <f t="shared" ca="1" si="10"/>
        <v>126</v>
      </c>
      <c r="I662" s="4">
        <v>25.8</v>
      </c>
    </row>
    <row r="663" spans="1:9" x14ac:dyDescent="0.25">
      <c r="A663">
        <v>96352</v>
      </c>
      <c r="B663">
        <v>38</v>
      </c>
      <c r="C663">
        <v>14</v>
      </c>
      <c r="D663">
        <v>101</v>
      </c>
      <c r="E663" t="s">
        <v>698</v>
      </c>
      <c r="F663">
        <v>113</v>
      </c>
      <c r="G663">
        <v>0.1</v>
      </c>
      <c r="H663" s="4">
        <f t="shared" ca="1" si="10"/>
        <v>75</v>
      </c>
      <c r="I663" s="4">
        <v>86.32</v>
      </c>
    </row>
    <row r="664" spans="1:9" x14ac:dyDescent="0.25">
      <c r="A664">
        <v>86563</v>
      </c>
      <c r="B664">
        <v>24</v>
      </c>
      <c r="C664">
        <v>14</v>
      </c>
      <c r="D664">
        <v>103</v>
      </c>
      <c r="E664" t="s">
        <v>699</v>
      </c>
      <c r="F664">
        <v>249</v>
      </c>
      <c r="G664">
        <v>0.25</v>
      </c>
      <c r="H664" s="4">
        <f t="shared" ca="1" si="10"/>
        <v>248</v>
      </c>
      <c r="I664" s="4">
        <v>42.48</v>
      </c>
    </row>
    <row r="665" spans="1:9" x14ac:dyDescent="0.25">
      <c r="A665">
        <v>96352</v>
      </c>
      <c r="B665">
        <v>56</v>
      </c>
      <c r="C665">
        <v>14</v>
      </c>
      <c r="D665">
        <v>102</v>
      </c>
      <c r="E665" t="s">
        <v>695</v>
      </c>
      <c r="F665">
        <v>44</v>
      </c>
      <c r="G665">
        <v>0.1</v>
      </c>
      <c r="H665" s="4">
        <f t="shared" ca="1" si="10"/>
        <v>335</v>
      </c>
      <c r="I665" s="4">
        <v>41.28</v>
      </c>
    </row>
    <row r="666" spans="1:9" x14ac:dyDescent="0.25">
      <c r="A666">
        <v>96352</v>
      </c>
      <c r="B666">
        <v>29</v>
      </c>
      <c r="C666">
        <v>14</v>
      </c>
      <c r="D666">
        <v>107</v>
      </c>
      <c r="E666" t="s">
        <v>691</v>
      </c>
      <c r="F666">
        <v>246</v>
      </c>
      <c r="G666">
        <v>0</v>
      </c>
      <c r="H666" s="4">
        <f t="shared" ca="1" si="10"/>
        <v>261</v>
      </c>
      <c r="I666" s="4">
        <v>25.67</v>
      </c>
    </row>
    <row r="667" spans="1:9" x14ac:dyDescent="0.25">
      <c r="A667">
        <v>96352</v>
      </c>
      <c r="B667">
        <v>30</v>
      </c>
      <c r="C667">
        <v>14</v>
      </c>
      <c r="D667">
        <v>105</v>
      </c>
      <c r="E667" t="s">
        <v>691</v>
      </c>
      <c r="F667">
        <v>240</v>
      </c>
      <c r="G667">
        <v>0.1</v>
      </c>
      <c r="H667" s="4">
        <f t="shared" ca="1" si="10"/>
        <v>82</v>
      </c>
      <c r="I667" s="4">
        <v>56.43</v>
      </c>
    </row>
    <row r="668" spans="1:9" x14ac:dyDescent="0.25">
      <c r="A668">
        <v>86563</v>
      </c>
      <c r="B668">
        <v>6</v>
      </c>
      <c r="C668">
        <v>14</v>
      </c>
      <c r="D668">
        <v>103</v>
      </c>
      <c r="E668" t="s">
        <v>692</v>
      </c>
      <c r="F668">
        <v>179</v>
      </c>
      <c r="G668">
        <v>0.1</v>
      </c>
      <c r="H668" s="4">
        <f t="shared" ca="1" si="10"/>
        <v>340</v>
      </c>
      <c r="I668" s="4">
        <v>64.260000000000005</v>
      </c>
    </row>
    <row r="669" spans="1:9" x14ac:dyDescent="0.25">
      <c r="A669">
        <v>48256</v>
      </c>
      <c r="B669">
        <v>3</v>
      </c>
      <c r="C669">
        <v>14</v>
      </c>
      <c r="D669">
        <v>107</v>
      </c>
      <c r="E669" t="s">
        <v>691</v>
      </c>
      <c r="F669">
        <v>169</v>
      </c>
      <c r="G669">
        <v>0</v>
      </c>
      <c r="H669" s="4">
        <f t="shared" ca="1" si="10"/>
        <v>157</v>
      </c>
      <c r="I669" s="4">
        <v>101.75</v>
      </c>
    </row>
    <row r="670" spans="1:9" x14ac:dyDescent="0.25">
      <c r="A670">
        <v>96352</v>
      </c>
      <c r="B670">
        <v>54</v>
      </c>
      <c r="C670">
        <v>14</v>
      </c>
      <c r="D670">
        <v>103</v>
      </c>
      <c r="E670" t="s">
        <v>694</v>
      </c>
      <c r="F670">
        <v>67</v>
      </c>
      <c r="G670">
        <v>0.25</v>
      </c>
      <c r="H670" s="4">
        <f t="shared" ca="1" si="10"/>
        <v>316</v>
      </c>
      <c r="I670" s="4">
        <v>88.23</v>
      </c>
    </row>
    <row r="671" spans="1:9" x14ac:dyDescent="0.25">
      <c r="A671">
        <v>86563</v>
      </c>
      <c r="B671">
        <v>54</v>
      </c>
      <c r="C671">
        <v>14</v>
      </c>
      <c r="D671">
        <v>106</v>
      </c>
      <c r="E671" t="s">
        <v>693</v>
      </c>
      <c r="F671">
        <v>151</v>
      </c>
      <c r="G671">
        <v>0.1</v>
      </c>
      <c r="H671" s="4">
        <f t="shared" ca="1" si="10"/>
        <v>203</v>
      </c>
      <c r="I671" s="4">
        <v>39.840000000000003</v>
      </c>
    </row>
    <row r="672" spans="1:9" x14ac:dyDescent="0.25">
      <c r="A672">
        <v>86563</v>
      </c>
      <c r="B672">
        <v>70</v>
      </c>
      <c r="C672">
        <v>14</v>
      </c>
      <c r="D672">
        <v>106</v>
      </c>
      <c r="E672" t="s">
        <v>697</v>
      </c>
      <c r="F672">
        <v>160</v>
      </c>
      <c r="G672">
        <v>0.25</v>
      </c>
      <c r="H672" s="4">
        <f t="shared" ca="1" si="10"/>
        <v>91</v>
      </c>
      <c r="I672" s="4">
        <v>72</v>
      </c>
    </row>
    <row r="673" spans="1:9" x14ac:dyDescent="0.25">
      <c r="A673">
        <v>48256</v>
      </c>
      <c r="B673">
        <v>35</v>
      </c>
      <c r="C673">
        <v>14</v>
      </c>
      <c r="D673">
        <v>108</v>
      </c>
      <c r="E673" t="s">
        <v>699</v>
      </c>
      <c r="F673">
        <v>45</v>
      </c>
      <c r="G673">
        <v>0</v>
      </c>
      <c r="H673" s="4">
        <f t="shared" ca="1" si="10"/>
        <v>194</v>
      </c>
      <c r="I673" s="4">
        <v>56.61</v>
      </c>
    </row>
    <row r="674" spans="1:9" x14ac:dyDescent="0.25">
      <c r="A674">
        <v>96352</v>
      </c>
      <c r="B674">
        <v>65</v>
      </c>
      <c r="C674">
        <v>14</v>
      </c>
      <c r="D674">
        <v>108</v>
      </c>
      <c r="E674" t="s">
        <v>693</v>
      </c>
      <c r="F674">
        <v>229</v>
      </c>
      <c r="G674">
        <v>0</v>
      </c>
      <c r="H674" s="4">
        <f t="shared" ca="1" si="10"/>
        <v>173</v>
      </c>
      <c r="I674" s="4">
        <v>60.68</v>
      </c>
    </row>
    <row r="675" spans="1:9" x14ac:dyDescent="0.25">
      <c r="A675">
        <v>48256</v>
      </c>
      <c r="B675">
        <v>49</v>
      </c>
      <c r="C675">
        <v>14</v>
      </c>
      <c r="D675">
        <v>107</v>
      </c>
      <c r="E675" t="s">
        <v>699</v>
      </c>
      <c r="F675">
        <v>120</v>
      </c>
      <c r="G675">
        <v>0.1</v>
      </c>
      <c r="H675" s="4">
        <f t="shared" ca="1" si="10"/>
        <v>76</v>
      </c>
      <c r="I675" s="4">
        <v>46.8</v>
      </c>
    </row>
    <row r="676" spans="1:9" x14ac:dyDescent="0.25">
      <c r="A676">
        <v>48256</v>
      </c>
      <c r="B676">
        <v>47</v>
      </c>
      <c r="C676">
        <v>14</v>
      </c>
      <c r="D676">
        <v>103</v>
      </c>
      <c r="E676" t="s">
        <v>696</v>
      </c>
      <c r="F676">
        <v>80</v>
      </c>
      <c r="G676">
        <v>0.1</v>
      </c>
      <c r="H676" s="4">
        <f t="shared" ca="1" si="10"/>
        <v>127</v>
      </c>
      <c r="I676" s="4">
        <v>83.5</v>
      </c>
    </row>
    <row r="677" spans="1:9" x14ac:dyDescent="0.25">
      <c r="A677">
        <v>96352</v>
      </c>
      <c r="B677">
        <v>28</v>
      </c>
      <c r="C677">
        <v>14</v>
      </c>
      <c r="D677">
        <v>105</v>
      </c>
      <c r="E677" t="s">
        <v>692</v>
      </c>
      <c r="F677">
        <v>73</v>
      </c>
      <c r="G677">
        <v>0.1</v>
      </c>
      <c r="H677" s="4">
        <f t="shared" ca="1" si="10"/>
        <v>246</v>
      </c>
      <c r="I677" s="4">
        <v>46.81</v>
      </c>
    </row>
    <row r="678" spans="1:9" x14ac:dyDescent="0.25">
      <c r="A678">
        <v>48256</v>
      </c>
      <c r="B678">
        <v>5</v>
      </c>
      <c r="C678">
        <v>14</v>
      </c>
      <c r="D678">
        <v>101</v>
      </c>
      <c r="E678" t="s">
        <v>692</v>
      </c>
      <c r="F678">
        <v>228</v>
      </c>
      <c r="G678">
        <v>0.25</v>
      </c>
      <c r="H678" s="4">
        <f t="shared" ca="1" si="10"/>
        <v>245</v>
      </c>
      <c r="I678" s="4">
        <v>100.89</v>
      </c>
    </row>
    <row r="679" spans="1:9" x14ac:dyDescent="0.25">
      <c r="A679">
        <v>86563</v>
      </c>
      <c r="B679">
        <v>15</v>
      </c>
      <c r="C679">
        <v>14</v>
      </c>
      <c r="D679">
        <v>104</v>
      </c>
      <c r="E679" t="s">
        <v>690</v>
      </c>
      <c r="F679">
        <v>97</v>
      </c>
      <c r="G679">
        <v>0.25</v>
      </c>
      <c r="H679" s="4">
        <f t="shared" ca="1" si="10"/>
        <v>141</v>
      </c>
      <c r="I679" s="4">
        <v>76.260000000000005</v>
      </c>
    </row>
    <row r="680" spans="1:9" x14ac:dyDescent="0.25">
      <c r="A680">
        <v>96352</v>
      </c>
      <c r="B680">
        <v>18</v>
      </c>
      <c r="C680">
        <v>14</v>
      </c>
      <c r="D680">
        <v>107</v>
      </c>
      <c r="E680" t="s">
        <v>697</v>
      </c>
      <c r="F680">
        <v>114</v>
      </c>
      <c r="G680">
        <v>0.1</v>
      </c>
      <c r="H680" s="4">
        <f t="shared" ca="1" si="10"/>
        <v>146</v>
      </c>
      <c r="I680" s="4">
        <v>104.43</v>
      </c>
    </row>
    <row r="681" spans="1:9" x14ac:dyDescent="0.25">
      <c r="A681">
        <v>48256</v>
      </c>
      <c r="B681">
        <v>68</v>
      </c>
      <c r="C681">
        <v>14</v>
      </c>
      <c r="D681">
        <v>101</v>
      </c>
      <c r="E681" t="s">
        <v>690</v>
      </c>
      <c r="F681">
        <v>250</v>
      </c>
      <c r="G681">
        <v>0</v>
      </c>
      <c r="H681" s="4">
        <f t="shared" ca="1" si="10"/>
        <v>276</v>
      </c>
      <c r="I681" s="4">
        <v>39.75</v>
      </c>
    </row>
    <row r="682" spans="1:9" x14ac:dyDescent="0.25">
      <c r="A682">
        <v>86563</v>
      </c>
      <c r="B682">
        <v>66</v>
      </c>
      <c r="C682">
        <v>14</v>
      </c>
      <c r="D682">
        <v>108</v>
      </c>
      <c r="E682" t="s">
        <v>694</v>
      </c>
      <c r="F682">
        <v>45</v>
      </c>
      <c r="G682">
        <v>0</v>
      </c>
      <c r="H682" s="4">
        <f t="shared" ca="1" si="10"/>
        <v>304</v>
      </c>
      <c r="I682" s="4">
        <v>52.5</v>
      </c>
    </row>
    <row r="683" spans="1:9" x14ac:dyDescent="0.25">
      <c r="A683">
        <v>96352</v>
      </c>
      <c r="B683">
        <v>53</v>
      </c>
      <c r="C683">
        <v>14</v>
      </c>
      <c r="D683">
        <v>102</v>
      </c>
      <c r="E683" t="s">
        <v>690</v>
      </c>
      <c r="F683">
        <v>107</v>
      </c>
      <c r="G683">
        <v>0.1</v>
      </c>
      <c r="H683" s="4">
        <f t="shared" ca="1" si="10"/>
        <v>73</v>
      </c>
      <c r="I683" s="4">
        <v>27.3</v>
      </c>
    </row>
    <row r="684" spans="1:9" x14ac:dyDescent="0.25">
      <c r="A684">
        <v>96352</v>
      </c>
      <c r="B684">
        <v>36</v>
      </c>
      <c r="C684">
        <v>14</v>
      </c>
      <c r="D684">
        <v>101</v>
      </c>
      <c r="E684" t="s">
        <v>694</v>
      </c>
      <c r="F684">
        <v>123</v>
      </c>
      <c r="G684">
        <v>0</v>
      </c>
      <c r="H684" s="4">
        <f t="shared" ca="1" si="10"/>
        <v>233</v>
      </c>
      <c r="I684" s="4">
        <v>34.200000000000003</v>
      </c>
    </row>
    <row r="685" spans="1:9" x14ac:dyDescent="0.25">
      <c r="A685">
        <v>48256</v>
      </c>
      <c r="B685">
        <v>13</v>
      </c>
      <c r="C685">
        <v>14</v>
      </c>
      <c r="D685">
        <v>104</v>
      </c>
      <c r="E685" t="s">
        <v>697</v>
      </c>
      <c r="F685">
        <v>53</v>
      </c>
      <c r="G685">
        <v>0</v>
      </c>
      <c r="H685" s="4">
        <f t="shared" ca="1" si="10"/>
        <v>311</v>
      </c>
      <c r="I685" s="4">
        <v>29.64</v>
      </c>
    </row>
    <row r="686" spans="1:9" x14ac:dyDescent="0.25">
      <c r="A686">
        <v>86563</v>
      </c>
      <c r="B686">
        <v>1</v>
      </c>
      <c r="C686">
        <v>14</v>
      </c>
      <c r="D686">
        <v>102</v>
      </c>
      <c r="E686" t="s">
        <v>699</v>
      </c>
      <c r="F686">
        <v>42</v>
      </c>
      <c r="G686">
        <v>0</v>
      </c>
      <c r="H686" s="4">
        <f t="shared" ca="1" si="10"/>
        <v>237</v>
      </c>
      <c r="I686" s="4">
        <v>75.900000000000006</v>
      </c>
    </row>
    <row r="687" spans="1:9" x14ac:dyDescent="0.25">
      <c r="A687">
        <v>96352</v>
      </c>
      <c r="B687">
        <v>19</v>
      </c>
      <c r="C687">
        <v>14</v>
      </c>
      <c r="D687">
        <v>104</v>
      </c>
      <c r="E687" t="s">
        <v>692</v>
      </c>
      <c r="F687">
        <v>86</v>
      </c>
      <c r="G687">
        <v>0</v>
      </c>
      <c r="H687" s="4">
        <f t="shared" ca="1" si="10"/>
        <v>197</v>
      </c>
      <c r="I687" s="4">
        <v>90.63</v>
      </c>
    </row>
    <row r="688" spans="1:9" x14ac:dyDescent="0.25">
      <c r="A688">
        <v>96352</v>
      </c>
      <c r="B688">
        <v>39</v>
      </c>
      <c r="C688">
        <v>14</v>
      </c>
      <c r="D688">
        <v>104</v>
      </c>
      <c r="E688" t="s">
        <v>695</v>
      </c>
      <c r="F688">
        <v>225</v>
      </c>
      <c r="G688">
        <v>0.1</v>
      </c>
      <c r="H688" s="4">
        <f t="shared" ca="1" si="10"/>
        <v>330</v>
      </c>
      <c r="I688" s="4">
        <v>21.06</v>
      </c>
    </row>
    <row r="689" spans="1:9" x14ac:dyDescent="0.25">
      <c r="A689">
        <v>86563</v>
      </c>
      <c r="B689">
        <v>23</v>
      </c>
      <c r="C689">
        <v>14</v>
      </c>
      <c r="D689">
        <v>108</v>
      </c>
      <c r="E689" t="s">
        <v>698</v>
      </c>
      <c r="F689">
        <v>132</v>
      </c>
      <c r="G689">
        <v>0.25</v>
      </c>
      <c r="H689" s="4">
        <f t="shared" ca="1" si="10"/>
        <v>332</v>
      </c>
      <c r="I689" s="4">
        <v>52.64</v>
      </c>
    </row>
    <row r="690" spans="1:9" x14ac:dyDescent="0.25">
      <c r="A690">
        <v>96352</v>
      </c>
      <c r="B690">
        <v>49</v>
      </c>
      <c r="C690">
        <v>14</v>
      </c>
      <c r="D690">
        <v>106</v>
      </c>
      <c r="E690" t="s">
        <v>696</v>
      </c>
      <c r="F690">
        <v>72</v>
      </c>
      <c r="G690">
        <v>0.1</v>
      </c>
      <c r="H690" s="4">
        <f t="shared" ca="1" si="10"/>
        <v>213</v>
      </c>
      <c r="I690" s="4">
        <v>48.43</v>
      </c>
    </row>
    <row r="691" spans="1:9" x14ac:dyDescent="0.25">
      <c r="A691">
        <v>96352</v>
      </c>
      <c r="B691">
        <v>47</v>
      </c>
      <c r="C691">
        <v>14</v>
      </c>
      <c r="D691">
        <v>104</v>
      </c>
      <c r="E691" t="s">
        <v>695</v>
      </c>
      <c r="F691">
        <v>226</v>
      </c>
      <c r="G691">
        <v>0</v>
      </c>
      <c r="H691" s="4">
        <f t="shared" ca="1" si="10"/>
        <v>154</v>
      </c>
      <c r="I691" s="4">
        <v>65.099999999999994</v>
      </c>
    </row>
    <row r="692" spans="1:9" x14ac:dyDescent="0.25">
      <c r="A692">
        <v>96352</v>
      </c>
      <c r="B692">
        <v>20</v>
      </c>
      <c r="C692">
        <v>14</v>
      </c>
      <c r="D692">
        <v>108</v>
      </c>
      <c r="E692" t="s">
        <v>698</v>
      </c>
      <c r="F692">
        <v>95</v>
      </c>
      <c r="G692">
        <v>0.1</v>
      </c>
      <c r="H692" s="4">
        <f t="shared" ca="1" si="10"/>
        <v>326</v>
      </c>
      <c r="I692" s="4">
        <v>41.36</v>
      </c>
    </row>
    <row r="693" spans="1:9" x14ac:dyDescent="0.25">
      <c r="A693">
        <v>96352</v>
      </c>
      <c r="B693">
        <v>58</v>
      </c>
      <c r="C693">
        <v>14</v>
      </c>
      <c r="D693">
        <v>102</v>
      </c>
      <c r="E693" t="s">
        <v>692</v>
      </c>
      <c r="F693">
        <v>82</v>
      </c>
      <c r="G693">
        <v>0.25</v>
      </c>
      <c r="H693" s="4">
        <f t="shared" ca="1" si="10"/>
        <v>172</v>
      </c>
      <c r="I693" s="4">
        <v>78.400000000000006</v>
      </c>
    </row>
    <row r="694" spans="1:9" x14ac:dyDescent="0.25">
      <c r="A694">
        <v>48256</v>
      </c>
      <c r="B694">
        <v>11</v>
      </c>
      <c r="C694">
        <v>14</v>
      </c>
      <c r="D694">
        <v>103</v>
      </c>
      <c r="E694" t="s">
        <v>696</v>
      </c>
      <c r="F694">
        <v>135</v>
      </c>
      <c r="G694">
        <v>0</v>
      </c>
      <c r="H694" s="4">
        <f t="shared" ca="1" si="10"/>
        <v>204</v>
      </c>
      <c r="I694" s="4">
        <v>84</v>
      </c>
    </row>
    <row r="695" spans="1:9" x14ac:dyDescent="0.25">
      <c r="A695">
        <v>48256</v>
      </c>
      <c r="B695">
        <v>16</v>
      </c>
      <c r="C695">
        <v>14</v>
      </c>
      <c r="D695">
        <v>108</v>
      </c>
      <c r="E695" t="s">
        <v>690</v>
      </c>
      <c r="F695">
        <v>34</v>
      </c>
      <c r="G695">
        <v>0.1</v>
      </c>
      <c r="H695" s="4">
        <f t="shared" ca="1" si="10"/>
        <v>163</v>
      </c>
      <c r="I695" s="4">
        <v>37.03</v>
      </c>
    </row>
    <row r="696" spans="1:9" x14ac:dyDescent="0.25">
      <c r="A696">
        <v>48256</v>
      </c>
      <c r="B696">
        <v>31</v>
      </c>
      <c r="C696">
        <v>14</v>
      </c>
      <c r="D696">
        <v>104</v>
      </c>
      <c r="E696" t="s">
        <v>691</v>
      </c>
      <c r="F696">
        <v>90</v>
      </c>
      <c r="G696">
        <v>0</v>
      </c>
      <c r="H696" s="4">
        <f t="shared" ca="1" si="10"/>
        <v>313</v>
      </c>
      <c r="I696" s="4">
        <v>91.69</v>
      </c>
    </row>
    <row r="697" spans="1:9" x14ac:dyDescent="0.25">
      <c r="A697">
        <v>48256</v>
      </c>
      <c r="B697">
        <v>6</v>
      </c>
      <c r="C697">
        <v>14</v>
      </c>
      <c r="D697">
        <v>101</v>
      </c>
      <c r="E697" t="s">
        <v>699</v>
      </c>
      <c r="F697">
        <v>19</v>
      </c>
      <c r="G697">
        <v>0.25</v>
      </c>
      <c r="H697" s="4">
        <f t="shared" ca="1" si="10"/>
        <v>52</v>
      </c>
      <c r="I697" s="4">
        <v>84.18</v>
      </c>
    </row>
    <row r="698" spans="1:9" x14ac:dyDescent="0.25">
      <c r="A698">
        <v>96352</v>
      </c>
      <c r="B698">
        <v>18</v>
      </c>
      <c r="C698">
        <v>14</v>
      </c>
      <c r="D698">
        <v>106</v>
      </c>
      <c r="E698" t="s">
        <v>700</v>
      </c>
      <c r="F698">
        <v>140</v>
      </c>
      <c r="G698">
        <v>0</v>
      </c>
      <c r="H698" s="4">
        <f t="shared" ca="1" si="10"/>
        <v>212</v>
      </c>
      <c r="I698" s="4">
        <v>22.68</v>
      </c>
    </row>
    <row r="699" spans="1:9" x14ac:dyDescent="0.25">
      <c r="A699">
        <v>86563</v>
      </c>
      <c r="B699">
        <v>60</v>
      </c>
      <c r="C699">
        <v>14</v>
      </c>
      <c r="D699">
        <v>102</v>
      </c>
      <c r="E699" t="s">
        <v>690</v>
      </c>
      <c r="F699">
        <v>50</v>
      </c>
      <c r="G699">
        <v>0.25</v>
      </c>
      <c r="H699" s="4">
        <f t="shared" ca="1" si="10"/>
        <v>114</v>
      </c>
      <c r="I699" s="4">
        <v>22.95</v>
      </c>
    </row>
    <row r="700" spans="1:9" x14ac:dyDescent="0.25">
      <c r="A700">
        <v>48256</v>
      </c>
      <c r="B700">
        <v>58</v>
      </c>
      <c r="C700">
        <v>14</v>
      </c>
      <c r="D700">
        <v>105</v>
      </c>
      <c r="E700" t="s">
        <v>696</v>
      </c>
      <c r="F700">
        <v>46</v>
      </c>
      <c r="G700">
        <v>0.1</v>
      </c>
      <c r="H700" s="4">
        <f t="shared" ca="1" si="10"/>
        <v>136</v>
      </c>
      <c r="I700" s="4">
        <v>60.52</v>
      </c>
    </row>
    <row r="701" spans="1:9" x14ac:dyDescent="0.25">
      <c r="A701">
        <v>86563</v>
      </c>
      <c r="B701">
        <v>52</v>
      </c>
      <c r="C701">
        <v>14</v>
      </c>
      <c r="D701">
        <v>104</v>
      </c>
      <c r="E701" t="s">
        <v>690</v>
      </c>
      <c r="F701">
        <v>87</v>
      </c>
      <c r="G701">
        <v>0</v>
      </c>
      <c r="H701" s="4">
        <f t="shared" ca="1" si="10"/>
        <v>85</v>
      </c>
      <c r="I701" s="4">
        <v>61.5</v>
      </c>
    </row>
    <row r="702" spans="1:9" x14ac:dyDescent="0.25">
      <c r="A702">
        <v>48256</v>
      </c>
      <c r="B702">
        <v>70</v>
      </c>
      <c r="C702">
        <v>14</v>
      </c>
      <c r="D702">
        <v>108</v>
      </c>
      <c r="E702" t="s">
        <v>691</v>
      </c>
      <c r="F702">
        <v>2</v>
      </c>
      <c r="G702">
        <v>0</v>
      </c>
      <c r="H702" s="4">
        <f t="shared" ca="1" si="10"/>
        <v>5</v>
      </c>
      <c r="I702" s="4">
        <v>75</v>
      </c>
    </row>
    <row r="703" spans="1:9" x14ac:dyDescent="0.25">
      <c r="A703">
        <v>48256</v>
      </c>
      <c r="B703">
        <v>36</v>
      </c>
      <c r="C703">
        <v>14</v>
      </c>
      <c r="D703">
        <v>108</v>
      </c>
      <c r="E703" t="s">
        <v>695</v>
      </c>
      <c r="F703">
        <v>34</v>
      </c>
      <c r="G703">
        <v>0.1</v>
      </c>
      <c r="H703" s="4">
        <f t="shared" ca="1" si="10"/>
        <v>102</v>
      </c>
      <c r="I703" s="4">
        <v>30.08</v>
      </c>
    </row>
    <row r="704" spans="1:9" x14ac:dyDescent="0.25">
      <c r="A704">
        <v>96352</v>
      </c>
      <c r="B704">
        <v>19</v>
      </c>
      <c r="C704">
        <v>14</v>
      </c>
      <c r="D704">
        <v>105</v>
      </c>
      <c r="E704" t="s">
        <v>692</v>
      </c>
      <c r="F704">
        <v>98</v>
      </c>
      <c r="G704">
        <v>0.1</v>
      </c>
      <c r="H704" s="4">
        <f t="shared" ca="1" si="10"/>
        <v>282</v>
      </c>
      <c r="I704" s="4">
        <v>48.62</v>
      </c>
    </row>
    <row r="705" spans="1:9" x14ac:dyDescent="0.25">
      <c r="A705">
        <v>86563</v>
      </c>
      <c r="B705">
        <v>25</v>
      </c>
      <c r="C705">
        <v>14</v>
      </c>
      <c r="D705">
        <v>107</v>
      </c>
      <c r="E705" t="s">
        <v>697</v>
      </c>
      <c r="F705">
        <v>222</v>
      </c>
      <c r="G705">
        <v>0</v>
      </c>
      <c r="H705" s="4">
        <f t="shared" ca="1" si="10"/>
        <v>137</v>
      </c>
      <c r="I705" s="4">
        <v>92.22</v>
      </c>
    </row>
    <row r="706" spans="1:9" x14ac:dyDescent="0.25">
      <c r="A706">
        <v>96352</v>
      </c>
      <c r="B706">
        <v>14</v>
      </c>
      <c r="C706">
        <v>14</v>
      </c>
      <c r="D706">
        <v>101</v>
      </c>
      <c r="E706" t="s">
        <v>700</v>
      </c>
      <c r="F706">
        <v>164</v>
      </c>
      <c r="G706">
        <v>0.1</v>
      </c>
      <c r="H706" s="4">
        <f t="shared" ref="H706:H769" ca="1" si="11">IF(F706&lt;=10,RANDBETWEEN(1,5),IF(F706&lt;=20,RANDBETWEEN(15,80),IF(F706&lt;=30,RANDBETWEEN(23,150),RANDBETWEEN(66,350))))</f>
        <v>101</v>
      </c>
      <c r="I706" s="4">
        <v>59.67</v>
      </c>
    </row>
    <row r="707" spans="1:9" x14ac:dyDescent="0.25">
      <c r="A707">
        <v>86563</v>
      </c>
      <c r="B707">
        <v>68</v>
      </c>
      <c r="C707">
        <v>14</v>
      </c>
      <c r="D707">
        <v>104</v>
      </c>
      <c r="E707" t="s">
        <v>692</v>
      </c>
      <c r="F707">
        <v>247</v>
      </c>
      <c r="G707">
        <v>0.25</v>
      </c>
      <c r="H707" s="4">
        <f t="shared" ca="1" si="11"/>
        <v>191</v>
      </c>
      <c r="I707" s="4">
        <v>87</v>
      </c>
    </row>
    <row r="708" spans="1:9" x14ac:dyDescent="0.25">
      <c r="A708">
        <v>96352</v>
      </c>
      <c r="B708">
        <v>27</v>
      </c>
      <c r="C708">
        <v>14</v>
      </c>
      <c r="D708">
        <v>107</v>
      </c>
      <c r="E708" t="s">
        <v>694</v>
      </c>
      <c r="F708">
        <v>109</v>
      </c>
      <c r="G708">
        <v>0.25</v>
      </c>
      <c r="H708" s="4">
        <f t="shared" ca="1" si="11"/>
        <v>67</v>
      </c>
      <c r="I708" s="4">
        <v>15</v>
      </c>
    </row>
    <row r="709" spans="1:9" x14ac:dyDescent="0.25">
      <c r="A709">
        <v>48256</v>
      </c>
      <c r="B709">
        <v>33</v>
      </c>
      <c r="C709">
        <v>14</v>
      </c>
      <c r="D709">
        <v>103</v>
      </c>
      <c r="E709" t="s">
        <v>690</v>
      </c>
      <c r="F709">
        <v>3</v>
      </c>
      <c r="G709">
        <v>0.1</v>
      </c>
      <c r="H709" s="4">
        <f t="shared" ca="1" si="11"/>
        <v>1</v>
      </c>
      <c r="I709" s="4">
        <v>38.28</v>
      </c>
    </row>
    <row r="710" spans="1:9" x14ac:dyDescent="0.25">
      <c r="A710">
        <v>48256</v>
      </c>
      <c r="B710">
        <v>1</v>
      </c>
      <c r="C710">
        <v>14</v>
      </c>
      <c r="D710">
        <v>106</v>
      </c>
      <c r="E710" t="s">
        <v>700</v>
      </c>
      <c r="F710">
        <v>215</v>
      </c>
      <c r="G710">
        <v>0</v>
      </c>
      <c r="H710" s="4">
        <f t="shared" ca="1" si="11"/>
        <v>91</v>
      </c>
      <c r="I710" s="4">
        <v>37.75</v>
      </c>
    </row>
    <row r="711" spans="1:9" x14ac:dyDescent="0.25">
      <c r="A711">
        <v>86563</v>
      </c>
      <c r="B711">
        <v>65</v>
      </c>
      <c r="C711">
        <v>14</v>
      </c>
      <c r="D711">
        <v>105</v>
      </c>
      <c r="E711" t="s">
        <v>698</v>
      </c>
      <c r="F711">
        <v>199</v>
      </c>
      <c r="G711">
        <v>0</v>
      </c>
      <c r="H711" s="4">
        <f t="shared" ca="1" si="11"/>
        <v>185</v>
      </c>
      <c r="I711" s="4">
        <v>73.92</v>
      </c>
    </row>
    <row r="712" spans="1:9" x14ac:dyDescent="0.25">
      <c r="A712">
        <v>48256</v>
      </c>
      <c r="B712">
        <v>34</v>
      </c>
      <c r="C712">
        <v>14</v>
      </c>
      <c r="D712">
        <v>105</v>
      </c>
      <c r="E712" t="s">
        <v>691</v>
      </c>
      <c r="F712">
        <v>87</v>
      </c>
      <c r="G712">
        <v>0.1</v>
      </c>
      <c r="H712" s="4">
        <f t="shared" ca="1" si="11"/>
        <v>145</v>
      </c>
      <c r="I712" s="4">
        <v>30.77</v>
      </c>
    </row>
    <row r="713" spans="1:9" x14ac:dyDescent="0.25">
      <c r="A713">
        <v>96352</v>
      </c>
      <c r="B713">
        <v>43</v>
      </c>
      <c r="C713">
        <v>14</v>
      </c>
      <c r="D713">
        <v>101</v>
      </c>
      <c r="E713" t="s">
        <v>691</v>
      </c>
      <c r="F713">
        <v>101</v>
      </c>
      <c r="G713">
        <v>0.1</v>
      </c>
      <c r="H713" s="4">
        <f t="shared" ca="1" si="11"/>
        <v>317</v>
      </c>
      <c r="I713" s="4">
        <v>58.08</v>
      </c>
    </row>
    <row r="714" spans="1:9" x14ac:dyDescent="0.25">
      <c r="A714">
        <v>48256</v>
      </c>
      <c r="B714">
        <v>6</v>
      </c>
      <c r="C714">
        <v>14</v>
      </c>
      <c r="D714">
        <v>106</v>
      </c>
      <c r="E714" t="s">
        <v>692</v>
      </c>
      <c r="F714">
        <v>181</v>
      </c>
      <c r="G714">
        <v>0</v>
      </c>
      <c r="H714" s="4">
        <f t="shared" ca="1" si="11"/>
        <v>257</v>
      </c>
      <c r="I714" s="4">
        <v>77.5</v>
      </c>
    </row>
    <row r="715" spans="1:9" x14ac:dyDescent="0.25">
      <c r="A715">
        <v>96352</v>
      </c>
      <c r="B715">
        <v>45</v>
      </c>
      <c r="C715">
        <v>14</v>
      </c>
      <c r="D715">
        <v>102</v>
      </c>
      <c r="E715" t="s">
        <v>693</v>
      </c>
      <c r="F715">
        <v>219</v>
      </c>
      <c r="G715">
        <v>0</v>
      </c>
      <c r="H715" s="4">
        <f t="shared" ca="1" si="11"/>
        <v>269</v>
      </c>
      <c r="I715" s="4">
        <v>40.04</v>
      </c>
    </row>
    <row r="716" spans="1:9" x14ac:dyDescent="0.25">
      <c r="A716">
        <v>48256</v>
      </c>
      <c r="B716">
        <v>44</v>
      </c>
      <c r="C716">
        <v>14</v>
      </c>
      <c r="D716">
        <v>106</v>
      </c>
      <c r="E716" t="s">
        <v>698</v>
      </c>
      <c r="F716">
        <v>223</v>
      </c>
      <c r="G716">
        <v>0.1</v>
      </c>
      <c r="H716" s="4">
        <f t="shared" ca="1" si="11"/>
        <v>304</v>
      </c>
      <c r="I716" s="4">
        <v>22.82</v>
      </c>
    </row>
    <row r="717" spans="1:9" x14ac:dyDescent="0.25">
      <c r="A717">
        <v>86563</v>
      </c>
      <c r="B717">
        <v>44</v>
      </c>
      <c r="C717">
        <v>14</v>
      </c>
      <c r="D717">
        <v>107</v>
      </c>
      <c r="E717" t="s">
        <v>691</v>
      </c>
      <c r="F717">
        <v>20</v>
      </c>
      <c r="G717">
        <v>0.1</v>
      </c>
      <c r="H717" s="4">
        <f t="shared" ca="1" si="11"/>
        <v>46</v>
      </c>
      <c r="I717" s="4">
        <v>66.97</v>
      </c>
    </row>
    <row r="718" spans="1:9" x14ac:dyDescent="0.25">
      <c r="A718">
        <v>86563</v>
      </c>
      <c r="B718">
        <v>6</v>
      </c>
      <c r="C718">
        <v>14</v>
      </c>
      <c r="D718">
        <v>101</v>
      </c>
      <c r="E718" t="s">
        <v>694</v>
      </c>
      <c r="F718">
        <v>9</v>
      </c>
      <c r="G718">
        <v>0.1</v>
      </c>
      <c r="H718" s="4">
        <f t="shared" ca="1" si="11"/>
        <v>5</v>
      </c>
      <c r="I718" s="4">
        <v>70.52</v>
      </c>
    </row>
    <row r="719" spans="1:9" x14ac:dyDescent="0.25">
      <c r="A719">
        <v>86563</v>
      </c>
      <c r="B719">
        <v>20</v>
      </c>
      <c r="C719">
        <v>14</v>
      </c>
      <c r="D719">
        <v>103</v>
      </c>
      <c r="E719" t="s">
        <v>693</v>
      </c>
      <c r="F719">
        <v>135</v>
      </c>
      <c r="G719">
        <v>0.25</v>
      </c>
      <c r="H719" s="4">
        <f t="shared" ca="1" si="11"/>
        <v>229</v>
      </c>
      <c r="I719" s="4">
        <v>95.7</v>
      </c>
    </row>
    <row r="720" spans="1:9" x14ac:dyDescent="0.25">
      <c r="A720">
        <v>86563</v>
      </c>
      <c r="B720">
        <v>7</v>
      </c>
      <c r="C720">
        <v>14</v>
      </c>
      <c r="D720">
        <v>108</v>
      </c>
      <c r="E720" t="s">
        <v>695</v>
      </c>
      <c r="F720">
        <v>139</v>
      </c>
      <c r="G720">
        <v>0.25</v>
      </c>
      <c r="H720" s="4">
        <f t="shared" ca="1" si="11"/>
        <v>208</v>
      </c>
      <c r="I720" s="4">
        <v>17.7</v>
      </c>
    </row>
    <row r="721" spans="1:9" x14ac:dyDescent="0.25">
      <c r="A721">
        <v>96352</v>
      </c>
      <c r="B721">
        <v>62</v>
      </c>
      <c r="C721">
        <v>14</v>
      </c>
      <c r="D721">
        <v>104</v>
      </c>
      <c r="E721" t="s">
        <v>699</v>
      </c>
      <c r="F721">
        <v>23</v>
      </c>
      <c r="G721">
        <v>0</v>
      </c>
      <c r="H721" s="4">
        <f t="shared" ca="1" si="11"/>
        <v>122</v>
      </c>
      <c r="I721" s="4">
        <v>22.49</v>
      </c>
    </row>
    <row r="722" spans="1:9" x14ac:dyDescent="0.25">
      <c r="A722">
        <v>96352</v>
      </c>
      <c r="B722">
        <v>53</v>
      </c>
      <c r="C722">
        <v>14</v>
      </c>
      <c r="D722">
        <v>104</v>
      </c>
      <c r="E722" t="s">
        <v>694</v>
      </c>
      <c r="F722">
        <v>169</v>
      </c>
      <c r="G722">
        <v>0.25</v>
      </c>
      <c r="H722" s="4">
        <f t="shared" ca="1" si="11"/>
        <v>124</v>
      </c>
      <c r="I722" s="4">
        <v>100.3</v>
      </c>
    </row>
    <row r="723" spans="1:9" x14ac:dyDescent="0.25">
      <c r="A723">
        <v>48256</v>
      </c>
      <c r="B723">
        <v>31</v>
      </c>
      <c r="C723">
        <v>14</v>
      </c>
      <c r="D723">
        <v>105</v>
      </c>
      <c r="E723" t="s">
        <v>691</v>
      </c>
      <c r="F723">
        <v>52</v>
      </c>
      <c r="G723">
        <v>0</v>
      </c>
      <c r="H723" s="4">
        <f t="shared" ca="1" si="11"/>
        <v>206</v>
      </c>
      <c r="I723" s="4">
        <v>28.16</v>
      </c>
    </row>
    <row r="724" spans="1:9" x14ac:dyDescent="0.25">
      <c r="A724">
        <v>86563</v>
      </c>
      <c r="B724">
        <v>24</v>
      </c>
      <c r="C724">
        <v>15</v>
      </c>
      <c r="D724">
        <v>109</v>
      </c>
      <c r="E724" t="s">
        <v>692</v>
      </c>
      <c r="F724">
        <v>12</v>
      </c>
      <c r="G724" s="5">
        <v>0</v>
      </c>
      <c r="H724" s="4">
        <f t="shared" ca="1" si="11"/>
        <v>29</v>
      </c>
      <c r="I724" s="4">
        <v>49.01</v>
      </c>
    </row>
    <row r="725" spans="1:9" x14ac:dyDescent="0.25">
      <c r="A725">
        <v>48256</v>
      </c>
      <c r="B725">
        <v>3</v>
      </c>
      <c r="C725">
        <v>15</v>
      </c>
      <c r="D725">
        <v>109</v>
      </c>
      <c r="E725" t="s">
        <v>692</v>
      </c>
      <c r="F725">
        <v>13</v>
      </c>
      <c r="G725" s="5">
        <v>0</v>
      </c>
      <c r="H725" s="4">
        <f t="shared" ca="1" si="11"/>
        <v>75</v>
      </c>
      <c r="I725" s="4">
        <v>33.4</v>
      </c>
    </row>
    <row r="726" spans="1:9" x14ac:dyDescent="0.25">
      <c r="A726">
        <v>96352</v>
      </c>
      <c r="B726">
        <v>62</v>
      </c>
      <c r="C726">
        <v>15</v>
      </c>
      <c r="D726">
        <v>106</v>
      </c>
      <c r="E726" t="s">
        <v>694</v>
      </c>
      <c r="F726">
        <v>20</v>
      </c>
      <c r="G726" s="5">
        <v>0</v>
      </c>
      <c r="H726" s="4">
        <f t="shared" ca="1" si="11"/>
        <v>73</v>
      </c>
      <c r="I726" s="4">
        <v>71.3</v>
      </c>
    </row>
    <row r="727" spans="1:9" x14ac:dyDescent="0.25">
      <c r="A727">
        <v>48256</v>
      </c>
      <c r="B727">
        <v>55</v>
      </c>
      <c r="C727">
        <v>15</v>
      </c>
      <c r="D727">
        <v>107</v>
      </c>
      <c r="E727" t="s">
        <v>693</v>
      </c>
      <c r="F727">
        <v>102</v>
      </c>
      <c r="G727" s="5">
        <v>0.25</v>
      </c>
      <c r="H727" s="4">
        <f t="shared" ca="1" si="11"/>
        <v>336</v>
      </c>
      <c r="I727" s="4">
        <v>48.36</v>
      </c>
    </row>
    <row r="728" spans="1:9" x14ac:dyDescent="0.25">
      <c r="A728">
        <v>86563</v>
      </c>
      <c r="B728">
        <v>67</v>
      </c>
      <c r="C728">
        <v>15</v>
      </c>
      <c r="D728">
        <v>109</v>
      </c>
      <c r="E728" t="s">
        <v>696</v>
      </c>
      <c r="F728">
        <v>15</v>
      </c>
      <c r="G728" s="5">
        <v>0</v>
      </c>
      <c r="H728" s="4">
        <f t="shared" ca="1" si="11"/>
        <v>59</v>
      </c>
      <c r="I728" s="4">
        <v>18.2</v>
      </c>
    </row>
    <row r="729" spans="1:9" x14ac:dyDescent="0.25">
      <c r="A729">
        <v>48256</v>
      </c>
      <c r="B729">
        <v>28</v>
      </c>
      <c r="C729">
        <v>15</v>
      </c>
      <c r="D729">
        <v>107</v>
      </c>
      <c r="E729" t="s">
        <v>691</v>
      </c>
      <c r="F729">
        <v>29</v>
      </c>
      <c r="G729" s="5">
        <v>0</v>
      </c>
      <c r="H729" s="4">
        <f t="shared" ca="1" si="11"/>
        <v>72</v>
      </c>
      <c r="I729" s="4">
        <v>75.95</v>
      </c>
    </row>
    <row r="730" spans="1:9" x14ac:dyDescent="0.25">
      <c r="A730">
        <v>96352</v>
      </c>
      <c r="B730">
        <v>60</v>
      </c>
      <c r="C730">
        <v>15</v>
      </c>
      <c r="D730">
        <v>108</v>
      </c>
      <c r="E730" t="s">
        <v>693</v>
      </c>
      <c r="F730">
        <v>63</v>
      </c>
      <c r="G730" s="5">
        <v>0.1</v>
      </c>
      <c r="H730" s="4">
        <f t="shared" ca="1" si="11"/>
        <v>107</v>
      </c>
      <c r="I730" s="4">
        <v>55.8</v>
      </c>
    </row>
    <row r="731" spans="1:9" x14ac:dyDescent="0.25">
      <c r="A731">
        <v>48256</v>
      </c>
      <c r="B731">
        <v>22</v>
      </c>
      <c r="C731">
        <v>15</v>
      </c>
      <c r="D731">
        <v>108</v>
      </c>
      <c r="E731" t="s">
        <v>691</v>
      </c>
      <c r="F731">
        <v>9</v>
      </c>
      <c r="G731" s="5">
        <v>0</v>
      </c>
      <c r="H731" s="4">
        <f t="shared" ca="1" si="11"/>
        <v>1</v>
      </c>
      <c r="I731" s="4">
        <v>61.23</v>
      </c>
    </row>
    <row r="732" spans="1:9" x14ac:dyDescent="0.25">
      <c r="A732">
        <v>96352</v>
      </c>
      <c r="B732">
        <v>65</v>
      </c>
      <c r="C732">
        <v>15</v>
      </c>
      <c r="D732">
        <v>109</v>
      </c>
      <c r="E732" t="s">
        <v>694</v>
      </c>
      <c r="F732">
        <v>47</v>
      </c>
      <c r="G732" s="5">
        <v>0</v>
      </c>
      <c r="H732" s="4">
        <f t="shared" ca="1" si="11"/>
        <v>159</v>
      </c>
      <c r="I732" s="4">
        <v>21</v>
      </c>
    </row>
    <row r="733" spans="1:9" x14ac:dyDescent="0.25">
      <c r="A733">
        <v>96352</v>
      </c>
      <c r="B733">
        <v>70</v>
      </c>
      <c r="C733">
        <v>15</v>
      </c>
      <c r="D733">
        <v>106</v>
      </c>
      <c r="E733" t="s">
        <v>696</v>
      </c>
      <c r="F733">
        <v>28</v>
      </c>
      <c r="G733" s="5">
        <v>0</v>
      </c>
      <c r="H733" s="4">
        <f t="shared" ca="1" si="11"/>
        <v>135</v>
      </c>
      <c r="I733" s="4">
        <v>81.540000000000006</v>
      </c>
    </row>
    <row r="734" spans="1:9" x14ac:dyDescent="0.25">
      <c r="A734">
        <v>96352</v>
      </c>
      <c r="B734">
        <v>68</v>
      </c>
      <c r="C734">
        <v>15</v>
      </c>
      <c r="D734">
        <v>101</v>
      </c>
      <c r="E734" t="s">
        <v>700</v>
      </c>
      <c r="F734">
        <v>11</v>
      </c>
      <c r="G734" s="5">
        <v>0</v>
      </c>
      <c r="H734" s="4">
        <f t="shared" ca="1" si="11"/>
        <v>21</v>
      </c>
      <c r="I734" s="4">
        <v>33.630000000000003</v>
      </c>
    </row>
    <row r="735" spans="1:9" x14ac:dyDescent="0.25">
      <c r="A735">
        <v>86563</v>
      </c>
      <c r="B735">
        <v>58</v>
      </c>
      <c r="C735">
        <v>15</v>
      </c>
      <c r="D735">
        <v>109</v>
      </c>
      <c r="E735" t="s">
        <v>696</v>
      </c>
      <c r="F735">
        <v>26</v>
      </c>
      <c r="G735" s="5">
        <v>0</v>
      </c>
      <c r="H735" s="4">
        <f t="shared" ca="1" si="11"/>
        <v>138</v>
      </c>
      <c r="I735" s="4">
        <v>25.8</v>
      </c>
    </row>
    <row r="736" spans="1:9" x14ac:dyDescent="0.25">
      <c r="A736">
        <v>48256</v>
      </c>
      <c r="B736">
        <v>23</v>
      </c>
      <c r="C736">
        <v>15</v>
      </c>
      <c r="D736">
        <v>105</v>
      </c>
      <c r="E736" t="s">
        <v>695</v>
      </c>
      <c r="F736">
        <v>210</v>
      </c>
      <c r="G736" s="5">
        <v>0.25</v>
      </c>
      <c r="H736" s="4">
        <f t="shared" ca="1" si="11"/>
        <v>72</v>
      </c>
      <c r="I736" s="4">
        <v>55.68</v>
      </c>
    </row>
    <row r="737" spans="1:9" x14ac:dyDescent="0.25">
      <c r="A737">
        <v>48256</v>
      </c>
      <c r="B737">
        <v>32</v>
      </c>
      <c r="C737">
        <v>15</v>
      </c>
      <c r="D737">
        <v>109</v>
      </c>
      <c r="E737" t="s">
        <v>695</v>
      </c>
      <c r="F737">
        <v>114</v>
      </c>
      <c r="G737" s="5">
        <v>0.25</v>
      </c>
      <c r="H737" s="4">
        <f t="shared" ca="1" si="11"/>
        <v>218</v>
      </c>
      <c r="I737" s="4">
        <v>29.16</v>
      </c>
    </row>
    <row r="738" spans="1:9" x14ac:dyDescent="0.25">
      <c r="A738">
        <v>96352</v>
      </c>
      <c r="B738">
        <v>22</v>
      </c>
      <c r="C738">
        <v>15</v>
      </c>
      <c r="D738">
        <v>108</v>
      </c>
      <c r="E738" t="s">
        <v>697</v>
      </c>
      <c r="F738">
        <v>38</v>
      </c>
      <c r="G738" s="5">
        <v>0</v>
      </c>
      <c r="H738" s="4">
        <f t="shared" ca="1" si="11"/>
        <v>223</v>
      </c>
      <c r="I738" s="4">
        <v>62.53</v>
      </c>
    </row>
    <row r="739" spans="1:9" x14ac:dyDescent="0.25">
      <c r="A739">
        <v>86563</v>
      </c>
      <c r="B739">
        <v>39</v>
      </c>
      <c r="C739">
        <v>15</v>
      </c>
      <c r="D739">
        <v>105</v>
      </c>
      <c r="E739" t="s">
        <v>691</v>
      </c>
      <c r="F739">
        <v>43</v>
      </c>
      <c r="G739" s="5">
        <v>0</v>
      </c>
      <c r="H739" s="4">
        <f t="shared" ca="1" si="11"/>
        <v>332</v>
      </c>
      <c r="I739" s="4">
        <v>45.36</v>
      </c>
    </row>
    <row r="740" spans="1:9" x14ac:dyDescent="0.25">
      <c r="A740">
        <v>96352</v>
      </c>
      <c r="B740">
        <v>20</v>
      </c>
      <c r="C740">
        <v>15</v>
      </c>
      <c r="D740">
        <v>105</v>
      </c>
      <c r="E740" t="s">
        <v>699</v>
      </c>
      <c r="F740">
        <v>42</v>
      </c>
      <c r="G740" s="5">
        <v>0</v>
      </c>
      <c r="H740" s="4">
        <f t="shared" ca="1" si="11"/>
        <v>131</v>
      </c>
      <c r="I740" s="4">
        <v>80.16</v>
      </c>
    </row>
    <row r="741" spans="1:9" x14ac:dyDescent="0.25">
      <c r="A741">
        <v>86563</v>
      </c>
      <c r="B741">
        <v>14</v>
      </c>
      <c r="C741">
        <v>15</v>
      </c>
      <c r="D741">
        <v>105</v>
      </c>
      <c r="E741" t="s">
        <v>692</v>
      </c>
      <c r="F741">
        <v>75</v>
      </c>
      <c r="G741" s="5">
        <v>0.1</v>
      </c>
      <c r="H741" s="4">
        <f t="shared" ca="1" si="11"/>
        <v>80</v>
      </c>
      <c r="I741" s="4">
        <v>92.63</v>
      </c>
    </row>
    <row r="742" spans="1:9" x14ac:dyDescent="0.25">
      <c r="A742">
        <v>48256</v>
      </c>
      <c r="B742">
        <v>2</v>
      </c>
      <c r="C742">
        <v>15</v>
      </c>
      <c r="D742">
        <v>101</v>
      </c>
      <c r="E742" t="s">
        <v>693</v>
      </c>
      <c r="F742">
        <v>80</v>
      </c>
      <c r="G742" s="5">
        <v>0.25</v>
      </c>
      <c r="H742" s="4">
        <f t="shared" ca="1" si="11"/>
        <v>210</v>
      </c>
      <c r="I742" s="4">
        <v>58.68</v>
      </c>
    </row>
    <row r="743" spans="1:9" x14ac:dyDescent="0.25">
      <c r="A743">
        <v>86563</v>
      </c>
      <c r="B743">
        <v>11</v>
      </c>
      <c r="C743">
        <v>15</v>
      </c>
      <c r="D743">
        <v>105</v>
      </c>
      <c r="E743" t="s">
        <v>693</v>
      </c>
      <c r="F743">
        <v>40</v>
      </c>
      <c r="G743" s="5">
        <v>0</v>
      </c>
      <c r="H743" s="4">
        <f t="shared" ca="1" si="11"/>
        <v>283</v>
      </c>
      <c r="I743" s="4">
        <v>31.11</v>
      </c>
    </row>
    <row r="744" spans="1:9" x14ac:dyDescent="0.25">
      <c r="A744">
        <v>86563</v>
      </c>
      <c r="B744">
        <v>18</v>
      </c>
      <c r="C744">
        <v>15</v>
      </c>
      <c r="D744">
        <v>102</v>
      </c>
      <c r="E744" t="s">
        <v>699</v>
      </c>
      <c r="F744">
        <v>37</v>
      </c>
      <c r="G744" s="5">
        <v>0</v>
      </c>
      <c r="H744" s="4">
        <f t="shared" ca="1" si="11"/>
        <v>95</v>
      </c>
      <c r="I744" s="4">
        <v>43.47</v>
      </c>
    </row>
    <row r="745" spans="1:9" x14ac:dyDescent="0.25">
      <c r="A745">
        <v>86563</v>
      </c>
      <c r="B745">
        <v>31</v>
      </c>
      <c r="C745">
        <v>15</v>
      </c>
      <c r="D745">
        <v>103</v>
      </c>
      <c r="E745" t="s">
        <v>697</v>
      </c>
      <c r="F745">
        <v>98</v>
      </c>
      <c r="G745" s="5">
        <v>0.25</v>
      </c>
      <c r="H745" s="4">
        <f t="shared" ca="1" si="11"/>
        <v>178</v>
      </c>
      <c r="I745" s="4">
        <v>63.72</v>
      </c>
    </row>
    <row r="746" spans="1:9" x14ac:dyDescent="0.25">
      <c r="A746">
        <v>86563</v>
      </c>
      <c r="B746">
        <v>52</v>
      </c>
      <c r="C746">
        <v>15</v>
      </c>
      <c r="D746">
        <v>106</v>
      </c>
      <c r="E746" t="s">
        <v>694</v>
      </c>
      <c r="F746">
        <v>54</v>
      </c>
      <c r="G746" s="5">
        <v>0.1</v>
      </c>
      <c r="H746" s="4">
        <f t="shared" ca="1" si="11"/>
        <v>301</v>
      </c>
      <c r="I746" s="4">
        <v>69.3</v>
      </c>
    </row>
    <row r="747" spans="1:9" x14ac:dyDescent="0.25">
      <c r="A747">
        <v>48256</v>
      </c>
      <c r="B747">
        <v>66</v>
      </c>
      <c r="C747">
        <v>15</v>
      </c>
      <c r="D747">
        <v>107</v>
      </c>
      <c r="E747" t="s">
        <v>692</v>
      </c>
      <c r="F747">
        <v>39</v>
      </c>
      <c r="G747" s="5">
        <v>0</v>
      </c>
      <c r="H747" s="4">
        <f t="shared" ca="1" si="11"/>
        <v>109</v>
      </c>
      <c r="I747" s="4">
        <v>20.79</v>
      </c>
    </row>
    <row r="748" spans="1:9" x14ac:dyDescent="0.25">
      <c r="A748">
        <v>96352</v>
      </c>
      <c r="B748">
        <v>16</v>
      </c>
      <c r="C748">
        <v>15</v>
      </c>
      <c r="D748">
        <v>106</v>
      </c>
      <c r="E748" t="s">
        <v>700</v>
      </c>
      <c r="F748">
        <v>106</v>
      </c>
      <c r="G748" s="5">
        <v>0.25</v>
      </c>
      <c r="H748" s="4">
        <f t="shared" ca="1" si="11"/>
        <v>180</v>
      </c>
      <c r="I748" s="4">
        <v>110.33</v>
      </c>
    </row>
    <row r="749" spans="1:9" x14ac:dyDescent="0.25">
      <c r="A749">
        <v>96352</v>
      </c>
      <c r="B749">
        <v>69</v>
      </c>
      <c r="C749">
        <v>15</v>
      </c>
      <c r="D749">
        <v>107</v>
      </c>
      <c r="E749" t="s">
        <v>698</v>
      </c>
      <c r="F749">
        <v>84</v>
      </c>
      <c r="G749" s="5">
        <v>0.25</v>
      </c>
      <c r="H749" s="4">
        <f t="shared" ca="1" si="11"/>
        <v>213</v>
      </c>
      <c r="I749" s="4">
        <v>50.4</v>
      </c>
    </row>
    <row r="750" spans="1:9" x14ac:dyDescent="0.25">
      <c r="A750">
        <v>86563</v>
      </c>
      <c r="B750">
        <v>33</v>
      </c>
      <c r="C750">
        <v>15</v>
      </c>
      <c r="D750">
        <v>102</v>
      </c>
      <c r="E750" t="s">
        <v>693</v>
      </c>
      <c r="F750">
        <v>51</v>
      </c>
      <c r="G750" s="5">
        <v>0.1</v>
      </c>
      <c r="H750" s="4">
        <f t="shared" ca="1" si="11"/>
        <v>177</v>
      </c>
      <c r="I750" s="4">
        <v>50.4</v>
      </c>
    </row>
    <row r="751" spans="1:9" x14ac:dyDescent="0.25">
      <c r="A751">
        <v>96352</v>
      </c>
      <c r="B751">
        <v>42</v>
      </c>
      <c r="C751">
        <v>15</v>
      </c>
      <c r="D751">
        <v>102</v>
      </c>
      <c r="E751" t="s">
        <v>696</v>
      </c>
      <c r="F751">
        <v>59</v>
      </c>
      <c r="G751" s="5">
        <v>0.1</v>
      </c>
      <c r="H751" s="4">
        <f t="shared" ca="1" si="11"/>
        <v>281</v>
      </c>
      <c r="I751" s="4">
        <v>58.88</v>
      </c>
    </row>
    <row r="752" spans="1:9" x14ac:dyDescent="0.25">
      <c r="A752">
        <v>96352</v>
      </c>
      <c r="B752">
        <v>24</v>
      </c>
      <c r="C752">
        <v>15</v>
      </c>
      <c r="D752">
        <v>103</v>
      </c>
      <c r="E752" t="s">
        <v>697</v>
      </c>
      <c r="F752">
        <v>9</v>
      </c>
      <c r="G752" s="5">
        <v>0</v>
      </c>
      <c r="H752" s="4">
        <f t="shared" ca="1" si="11"/>
        <v>3</v>
      </c>
      <c r="I752" s="4">
        <v>27.54</v>
      </c>
    </row>
    <row r="753" spans="1:9" x14ac:dyDescent="0.25">
      <c r="A753">
        <v>86563</v>
      </c>
      <c r="B753">
        <v>43</v>
      </c>
      <c r="C753">
        <v>15</v>
      </c>
      <c r="D753">
        <v>105</v>
      </c>
      <c r="E753" t="s">
        <v>693</v>
      </c>
      <c r="F753">
        <v>203</v>
      </c>
      <c r="G753">
        <v>0</v>
      </c>
      <c r="H753" s="4">
        <f t="shared" ca="1" si="11"/>
        <v>122</v>
      </c>
      <c r="I753" s="4">
        <v>63.08</v>
      </c>
    </row>
    <row r="754" spans="1:9" x14ac:dyDescent="0.25">
      <c r="A754">
        <v>96352</v>
      </c>
      <c r="B754">
        <v>21</v>
      </c>
      <c r="C754">
        <v>15</v>
      </c>
      <c r="D754">
        <v>106</v>
      </c>
      <c r="E754" t="s">
        <v>695</v>
      </c>
      <c r="F754">
        <v>189</v>
      </c>
      <c r="G754">
        <v>0.25</v>
      </c>
      <c r="H754" s="4">
        <f t="shared" ca="1" si="11"/>
        <v>274</v>
      </c>
      <c r="I754" s="4">
        <v>34.01</v>
      </c>
    </row>
    <row r="755" spans="1:9" x14ac:dyDescent="0.25">
      <c r="A755">
        <v>86563</v>
      </c>
      <c r="B755">
        <v>12</v>
      </c>
      <c r="C755">
        <v>15</v>
      </c>
      <c r="D755">
        <v>107</v>
      </c>
      <c r="E755" t="s">
        <v>698</v>
      </c>
      <c r="F755">
        <v>32</v>
      </c>
      <c r="G755">
        <v>0.1</v>
      </c>
      <c r="H755" s="4">
        <f t="shared" ca="1" si="11"/>
        <v>270</v>
      </c>
      <c r="I755" s="4">
        <v>37.03</v>
      </c>
    </row>
    <row r="756" spans="1:9" x14ac:dyDescent="0.25">
      <c r="A756">
        <v>96352</v>
      </c>
      <c r="B756">
        <v>60</v>
      </c>
      <c r="C756">
        <v>15</v>
      </c>
      <c r="D756">
        <v>101</v>
      </c>
      <c r="E756" t="s">
        <v>691</v>
      </c>
      <c r="F756">
        <v>193</v>
      </c>
      <c r="G756">
        <v>0.25</v>
      </c>
      <c r="H756" s="4">
        <f t="shared" ca="1" si="11"/>
        <v>236</v>
      </c>
      <c r="I756" s="4">
        <v>72</v>
      </c>
    </row>
    <row r="757" spans="1:9" x14ac:dyDescent="0.25">
      <c r="A757">
        <v>48256</v>
      </c>
      <c r="B757">
        <v>19</v>
      </c>
      <c r="C757">
        <v>15</v>
      </c>
      <c r="D757">
        <v>108</v>
      </c>
      <c r="E757" t="s">
        <v>700</v>
      </c>
      <c r="F757">
        <v>45</v>
      </c>
      <c r="G757">
        <v>0.1</v>
      </c>
      <c r="H757" s="4">
        <f t="shared" ca="1" si="11"/>
        <v>250</v>
      </c>
      <c r="I757" s="4">
        <v>81.09</v>
      </c>
    </row>
    <row r="758" spans="1:9" x14ac:dyDescent="0.25">
      <c r="A758">
        <v>96352</v>
      </c>
      <c r="B758">
        <v>15</v>
      </c>
      <c r="C758">
        <v>15</v>
      </c>
      <c r="D758">
        <v>103</v>
      </c>
      <c r="E758" t="s">
        <v>695</v>
      </c>
      <c r="F758">
        <v>201</v>
      </c>
      <c r="G758">
        <v>0.1</v>
      </c>
      <c r="H758" s="4">
        <f t="shared" ca="1" si="11"/>
        <v>347</v>
      </c>
      <c r="I758" s="4">
        <v>88.16</v>
      </c>
    </row>
    <row r="759" spans="1:9" x14ac:dyDescent="0.25">
      <c r="A759">
        <v>48256</v>
      </c>
      <c r="B759">
        <v>54</v>
      </c>
      <c r="C759">
        <v>15</v>
      </c>
      <c r="D759">
        <v>107</v>
      </c>
      <c r="E759" t="s">
        <v>698</v>
      </c>
      <c r="F759">
        <v>229</v>
      </c>
      <c r="G759">
        <v>0.25</v>
      </c>
      <c r="H759" s="4">
        <f t="shared" ca="1" si="11"/>
        <v>80</v>
      </c>
      <c r="I759" s="4">
        <v>93.96</v>
      </c>
    </row>
    <row r="760" spans="1:9" x14ac:dyDescent="0.25">
      <c r="A760">
        <v>86563</v>
      </c>
      <c r="B760">
        <v>68</v>
      </c>
      <c r="C760">
        <v>15</v>
      </c>
      <c r="D760">
        <v>104</v>
      </c>
      <c r="E760" t="s">
        <v>692</v>
      </c>
      <c r="F760">
        <v>40</v>
      </c>
      <c r="G760">
        <v>0</v>
      </c>
      <c r="H760" s="4">
        <f t="shared" ca="1" si="11"/>
        <v>83</v>
      </c>
      <c r="I760" s="4">
        <v>56.42</v>
      </c>
    </row>
    <row r="761" spans="1:9" x14ac:dyDescent="0.25">
      <c r="A761">
        <v>96352</v>
      </c>
      <c r="B761">
        <v>56</v>
      </c>
      <c r="C761">
        <v>15</v>
      </c>
      <c r="D761">
        <v>107</v>
      </c>
      <c r="E761" t="s">
        <v>691</v>
      </c>
      <c r="F761">
        <v>130</v>
      </c>
      <c r="G761">
        <v>0</v>
      </c>
      <c r="H761" s="4">
        <f t="shared" ca="1" si="11"/>
        <v>324</v>
      </c>
      <c r="I761" s="4">
        <v>45.24</v>
      </c>
    </row>
    <row r="762" spans="1:9" x14ac:dyDescent="0.25">
      <c r="A762">
        <v>96352</v>
      </c>
      <c r="B762">
        <v>49</v>
      </c>
      <c r="C762">
        <v>15</v>
      </c>
      <c r="D762">
        <v>104</v>
      </c>
      <c r="E762" t="s">
        <v>694</v>
      </c>
      <c r="F762">
        <v>103</v>
      </c>
      <c r="G762">
        <v>0.1</v>
      </c>
      <c r="H762" s="4">
        <f t="shared" ca="1" si="11"/>
        <v>211</v>
      </c>
      <c r="I762" s="4">
        <v>29.26</v>
      </c>
    </row>
    <row r="763" spans="1:9" x14ac:dyDescent="0.25">
      <c r="A763">
        <v>86563</v>
      </c>
      <c r="B763">
        <v>28</v>
      </c>
      <c r="C763">
        <v>15</v>
      </c>
      <c r="D763">
        <v>106</v>
      </c>
      <c r="E763" t="s">
        <v>694</v>
      </c>
      <c r="F763">
        <v>127</v>
      </c>
      <c r="G763">
        <v>0</v>
      </c>
      <c r="H763" s="4">
        <f t="shared" ca="1" si="11"/>
        <v>166</v>
      </c>
      <c r="I763" s="4">
        <v>104.5</v>
      </c>
    </row>
    <row r="764" spans="1:9" x14ac:dyDescent="0.25">
      <c r="A764">
        <v>86563</v>
      </c>
      <c r="B764">
        <v>45</v>
      </c>
      <c r="C764">
        <v>15</v>
      </c>
      <c r="D764">
        <v>106</v>
      </c>
      <c r="E764" t="s">
        <v>690</v>
      </c>
      <c r="F764">
        <v>166</v>
      </c>
      <c r="G764">
        <v>0.25</v>
      </c>
      <c r="H764" s="4">
        <f t="shared" ca="1" si="11"/>
        <v>237</v>
      </c>
      <c r="I764" s="4">
        <v>53.1</v>
      </c>
    </row>
    <row r="765" spans="1:9" x14ac:dyDescent="0.25">
      <c r="A765">
        <v>86563</v>
      </c>
      <c r="B765">
        <v>62</v>
      </c>
      <c r="C765">
        <v>15</v>
      </c>
      <c r="D765">
        <v>101</v>
      </c>
      <c r="E765" t="s">
        <v>700</v>
      </c>
      <c r="F765">
        <v>178</v>
      </c>
      <c r="G765">
        <v>0.25</v>
      </c>
      <c r="H765" s="4">
        <f t="shared" ca="1" si="11"/>
        <v>200</v>
      </c>
      <c r="I765" s="4">
        <v>67.760000000000005</v>
      </c>
    </row>
    <row r="766" spans="1:9" x14ac:dyDescent="0.25">
      <c r="A766">
        <v>48256</v>
      </c>
      <c r="B766">
        <v>49</v>
      </c>
      <c r="C766">
        <v>15</v>
      </c>
      <c r="D766">
        <v>101</v>
      </c>
      <c r="E766" t="s">
        <v>693</v>
      </c>
      <c r="F766">
        <v>20</v>
      </c>
      <c r="G766">
        <v>0.25</v>
      </c>
      <c r="H766" s="4">
        <f t="shared" ca="1" si="11"/>
        <v>31</v>
      </c>
      <c r="I766" s="4">
        <v>62.64</v>
      </c>
    </row>
    <row r="767" spans="1:9" x14ac:dyDescent="0.25">
      <c r="A767">
        <v>48256</v>
      </c>
      <c r="B767">
        <v>48</v>
      </c>
      <c r="C767">
        <v>15</v>
      </c>
      <c r="D767">
        <v>105</v>
      </c>
      <c r="E767" t="s">
        <v>699</v>
      </c>
      <c r="F767">
        <v>131</v>
      </c>
      <c r="G767">
        <v>0.1</v>
      </c>
      <c r="H767" s="4">
        <f t="shared" ca="1" si="11"/>
        <v>162</v>
      </c>
      <c r="I767" s="4">
        <v>35.880000000000003</v>
      </c>
    </row>
    <row r="768" spans="1:9" x14ac:dyDescent="0.25">
      <c r="A768">
        <v>96352</v>
      </c>
      <c r="B768">
        <v>13</v>
      </c>
      <c r="C768">
        <v>15</v>
      </c>
      <c r="D768">
        <v>107</v>
      </c>
      <c r="E768" t="s">
        <v>692</v>
      </c>
      <c r="F768">
        <v>192</v>
      </c>
      <c r="G768">
        <v>0.1</v>
      </c>
      <c r="H768" s="4">
        <f t="shared" ca="1" si="11"/>
        <v>69</v>
      </c>
      <c r="I768" s="4">
        <v>69.92</v>
      </c>
    </row>
    <row r="769" spans="1:9" x14ac:dyDescent="0.25">
      <c r="A769">
        <v>96352</v>
      </c>
      <c r="B769">
        <v>65</v>
      </c>
      <c r="C769">
        <v>15</v>
      </c>
      <c r="D769">
        <v>101</v>
      </c>
      <c r="E769" t="s">
        <v>697</v>
      </c>
      <c r="F769">
        <v>112</v>
      </c>
      <c r="G769">
        <v>0.1</v>
      </c>
      <c r="H769" s="4">
        <f t="shared" ca="1" si="11"/>
        <v>105</v>
      </c>
      <c r="I769" s="4">
        <v>17.3</v>
      </c>
    </row>
    <row r="770" spans="1:9" x14ac:dyDescent="0.25">
      <c r="A770">
        <v>96352</v>
      </c>
      <c r="B770">
        <v>11</v>
      </c>
      <c r="C770">
        <v>15</v>
      </c>
      <c r="D770">
        <v>108</v>
      </c>
      <c r="E770" t="s">
        <v>694</v>
      </c>
      <c r="F770">
        <v>43</v>
      </c>
      <c r="G770">
        <v>0.25</v>
      </c>
      <c r="H770" s="4">
        <f t="shared" ref="H770:H833" ca="1" si="12">IF(F770&lt;=10,RANDBETWEEN(1,5),IF(F770&lt;=20,RANDBETWEEN(15,80),IF(F770&lt;=30,RANDBETWEEN(23,150),RANDBETWEEN(66,350))))</f>
        <v>339</v>
      </c>
      <c r="I770" s="4">
        <v>19.14</v>
      </c>
    </row>
    <row r="771" spans="1:9" x14ac:dyDescent="0.25">
      <c r="A771">
        <v>86563</v>
      </c>
      <c r="B771">
        <v>64</v>
      </c>
      <c r="C771">
        <v>15</v>
      </c>
      <c r="D771">
        <v>105</v>
      </c>
      <c r="E771" t="s">
        <v>695</v>
      </c>
      <c r="F771">
        <v>32</v>
      </c>
      <c r="G771">
        <v>0.25</v>
      </c>
      <c r="H771" s="4">
        <f t="shared" ca="1" si="12"/>
        <v>160</v>
      </c>
      <c r="I771" s="4">
        <v>107.16</v>
      </c>
    </row>
    <row r="772" spans="1:9" x14ac:dyDescent="0.25">
      <c r="A772">
        <v>96352</v>
      </c>
      <c r="B772">
        <v>46</v>
      </c>
      <c r="C772">
        <v>15</v>
      </c>
      <c r="D772">
        <v>106</v>
      </c>
      <c r="E772" t="s">
        <v>691</v>
      </c>
      <c r="F772">
        <v>139</v>
      </c>
      <c r="G772">
        <v>0.25</v>
      </c>
      <c r="H772" s="4">
        <f t="shared" ca="1" si="12"/>
        <v>274</v>
      </c>
      <c r="I772" s="4">
        <v>48.33</v>
      </c>
    </row>
    <row r="773" spans="1:9" x14ac:dyDescent="0.25">
      <c r="A773">
        <v>96352</v>
      </c>
      <c r="B773">
        <v>39</v>
      </c>
      <c r="C773">
        <v>15</v>
      </c>
      <c r="D773">
        <v>105</v>
      </c>
      <c r="E773" t="s">
        <v>700</v>
      </c>
      <c r="F773">
        <v>9</v>
      </c>
      <c r="G773">
        <v>0</v>
      </c>
      <c r="H773" s="4">
        <f t="shared" ca="1" si="12"/>
        <v>1</v>
      </c>
      <c r="I773" s="4">
        <v>88.16</v>
      </c>
    </row>
    <row r="774" spans="1:9" x14ac:dyDescent="0.25">
      <c r="A774">
        <v>96352</v>
      </c>
      <c r="B774">
        <v>26</v>
      </c>
      <c r="C774">
        <v>15</v>
      </c>
      <c r="D774">
        <v>103</v>
      </c>
      <c r="E774" t="s">
        <v>692</v>
      </c>
      <c r="F774">
        <v>20</v>
      </c>
      <c r="G774">
        <v>0.1</v>
      </c>
      <c r="H774" s="4">
        <f t="shared" ca="1" si="12"/>
        <v>39</v>
      </c>
      <c r="I774" s="4">
        <v>86.07</v>
      </c>
    </row>
    <row r="775" spans="1:9" x14ac:dyDescent="0.25">
      <c r="A775">
        <v>48256</v>
      </c>
      <c r="B775">
        <v>66</v>
      </c>
      <c r="C775">
        <v>15</v>
      </c>
      <c r="D775">
        <v>101</v>
      </c>
      <c r="E775" t="s">
        <v>699</v>
      </c>
      <c r="F775">
        <v>151</v>
      </c>
      <c r="G775">
        <v>0.25</v>
      </c>
      <c r="H775" s="4">
        <f t="shared" ca="1" si="12"/>
        <v>134</v>
      </c>
      <c r="I775" s="4">
        <v>54.52</v>
      </c>
    </row>
    <row r="776" spans="1:9" x14ac:dyDescent="0.25">
      <c r="A776">
        <v>96352</v>
      </c>
      <c r="B776">
        <v>33</v>
      </c>
      <c r="C776">
        <v>15</v>
      </c>
      <c r="D776">
        <v>106</v>
      </c>
      <c r="E776" t="s">
        <v>690</v>
      </c>
      <c r="F776">
        <v>154</v>
      </c>
      <c r="G776">
        <v>0</v>
      </c>
      <c r="H776" s="4">
        <f t="shared" ca="1" si="12"/>
        <v>70</v>
      </c>
      <c r="I776" s="4">
        <v>53.36</v>
      </c>
    </row>
    <row r="777" spans="1:9" x14ac:dyDescent="0.25">
      <c r="A777">
        <v>48256</v>
      </c>
      <c r="B777">
        <v>63</v>
      </c>
      <c r="C777">
        <v>15</v>
      </c>
      <c r="D777">
        <v>108</v>
      </c>
      <c r="E777" t="s">
        <v>691</v>
      </c>
      <c r="F777">
        <v>113</v>
      </c>
      <c r="G777">
        <v>0</v>
      </c>
      <c r="H777" s="4">
        <f t="shared" ca="1" si="12"/>
        <v>274</v>
      </c>
      <c r="I777" s="4">
        <v>73.92</v>
      </c>
    </row>
    <row r="778" spans="1:9" x14ac:dyDescent="0.25">
      <c r="A778">
        <v>96352</v>
      </c>
      <c r="B778">
        <v>34</v>
      </c>
      <c r="C778">
        <v>15</v>
      </c>
      <c r="D778">
        <v>104</v>
      </c>
      <c r="E778" t="s">
        <v>700</v>
      </c>
      <c r="F778">
        <v>2</v>
      </c>
      <c r="G778">
        <v>0.25</v>
      </c>
      <c r="H778" s="4">
        <f t="shared" ca="1" si="12"/>
        <v>5</v>
      </c>
      <c r="I778" s="4">
        <v>35</v>
      </c>
    </row>
    <row r="779" spans="1:9" x14ac:dyDescent="0.25">
      <c r="A779">
        <v>86563</v>
      </c>
      <c r="B779">
        <v>4</v>
      </c>
      <c r="C779">
        <v>15</v>
      </c>
      <c r="D779">
        <v>106</v>
      </c>
      <c r="E779" t="s">
        <v>691</v>
      </c>
      <c r="F779">
        <v>100</v>
      </c>
      <c r="G779">
        <v>0.1</v>
      </c>
      <c r="H779" s="4">
        <f t="shared" ca="1" si="12"/>
        <v>85</v>
      </c>
      <c r="I779" s="4">
        <v>93.22</v>
      </c>
    </row>
    <row r="780" spans="1:9" x14ac:dyDescent="0.25">
      <c r="A780">
        <v>96352</v>
      </c>
      <c r="B780">
        <v>34</v>
      </c>
      <c r="C780">
        <v>15</v>
      </c>
      <c r="D780">
        <v>105</v>
      </c>
      <c r="E780" t="s">
        <v>696</v>
      </c>
      <c r="F780">
        <v>123</v>
      </c>
      <c r="G780">
        <v>0.1</v>
      </c>
      <c r="H780" s="4">
        <f t="shared" ca="1" si="12"/>
        <v>221</v>
      </c>
      <c r="I780" s="4">
        <v>24.31</v>
      </c>
    </row>
    <row r="781" spans="1:9" x14ac:dyDescent="0.25">
      <c r="A781">
        <v>86563</v>
      </c>
      <c r="B781">
        <v>26</v>
      </c>
      <c r="C781">
        <v>15</v>
      </c>
      <c r="D781">
        <v>101</v>
      </c>
      <c r="E781" t="s">
        <v>700</v>
      </c>
      <c r="F781">
        <v>103</v>
      </c>
      <c r="G781">
        <v>0.25</v>
      </c>
      <c r="H781" s="4">
        <f t="shared" ca="1" si="12"/>
        <v>168</v>
      </c>
      <c r="I781" s="4">
        <v>68.849999999999994</v>
      </c>
    </row>
    <row r="782" spans="1:9" x14ac:dyDescent="0.25">
      <c r="A782">
        <v>48256</v>
      </c>
      <c r="B782">
        <v>11</v>
      </c>
      <c r="C782">
        <v>15</v>
      </c>
      <c r="D782">
        <v>106</v>
      </c>
      <c r="E782" t="s">
        <v>696</v>
      </c>
      <c r="F782">
        <v>28</v>
      </c>
      <c r="G782">
        <v>0.1</v>
      </c>
      <c r="H782" s="4">
        <f t="shared" ca="1" si="12"/>
        <v>68</v>
      </c>
      <c r="I782" s="4">
        <v>27.9</v>
      </c>
    </row>
    <row r="783" spans="1:9" x14ac:dyDescent="0.25">
      <c r="A783">
        <v>48256</v>
      </c>
      <c r="B783">
        <v>2</v>
      </c>
      <c r="C783">
        <v>15</v>
      </c>
      <c r="D783">
        <v>103</v>
      </c>
      <c r="E783" t="s">
        <v>699</v>
      </c>
      <c r="F783">
        <v>124</v>
      </c>
      <c r="G783">
        <v>0.25</v>
      </c>
      <c r="H783" s="4">
        <f t="shared" ca="1" si="12"/>
        <v>219</v>
      </c>
      <c r="I783" s="4">
        <v>87</v>
      </c>
    </row>
    <row r="784" spans="1:9" x14ac:dyDescent="0.25">
      <c r="A784">
        <v>86563</v>
      </c>
      <c r="B784">
        <v>43</v>
      </c>
      <c r="C784">
        <v>15</v>
      </c>
      <c r="D784">
        <v>104</v>
      </c>
      <c r="E784" t="s">
        <v>699</v>
      </c>
      <c r="F784">
        <v>143</v>
      </c>
      <c r="G784">
        <v>0</v>
      </c>
      <c r="H784" s="4">
        <f t="shared" ca="1" si="12"/>
        <v>115</v>
      </c>
      <c r="I784" s="4">
        <v>33.840000000000003</v>
      </c>
    </row>
    <row r="785" spans="1:9" x14ac:dyDescent="0.25">
      <c r="A785">
        <v>48256</v>
      </c>
      <c r="B785">
        <v>64</v>
      </c>
      <c r="C785">
        <v>15</v>
      </c>
      <c r="D785">
        <v>107</v>
      </c>
      <c r="E785" t="s">
        <v>691</v>
      </c>
      <c r="F785">
        <v>149</v>
      </c>
      <c r="G785">
        <v>0.1</v>
      </c>
      <c r="H785" s="4">
        <f t="shared" ca="1" si="12"/>
        <v>183</v>
      </c>
      <c r="I785" s="4">
        <v>77.52</v>
      </c>
    </row>
    <row r="786" spans="1:9" x14ac:dyDescent="0.25">
      <c r="A786">
        <v>96352</v>
      </c>
      <c r="B786">
        <v>12</v>
      </c>
      <c r="C786">
        <v>15</v>
      </c>
      <c r="D786">
        <v>105</v>
      </c>
      <c r="E786" t="s">
        <v>699</v>
      </c>
      <c r="F786">
        <v>45</v>
      </c>
      <c r="G786">
        <v>0.1</v>
      </c>
      <c r="H786" s="4">
        <f t="shared" ca="1" si="12"/>
        <v>282</v>
      </c>
      <c r="I786" s="4">
        <v>46.54</v>
      </c>
    </row>
    <row r="787" spans="1:9" x14ac:dyDescent="0.25">
      <c r="A787">
        <v>96352</v>
      </c>
      <c r="B787">
        <v>39</v>
      </c>
      <c r="C787">
        <v>15</v>
      </c>
      <c r="D787">
        <v>103</v>
      </c>
      <c r="E787" t="s">
        <v>697</v>
      </c>
      <c r="F787">
        <v>241</v>
      </c>
      <c r="G787">
        <v>0</v>
      </c>
      <c r="H787" s="4">
        <f t="shared" ca="1" si="12"/>
        <v>253</v>
      </c>
      <c r="I787" s="4">
        <v>96.76</v>
      </c>
    </row>
    <row r="788" spans="1:9" x14ac:dyDescent="0.25">
      <c r="A788">
        <v>48256</v>
      </c>
      <c r="B788">
        <v>16</v>
      </c>
      <c r="C788">
        <v>15</v>
      </c>
      <c r="D788">
        <v>103</v>
      </c>
      <c r="E788" t="s">
        <v>692</v>
      </c>
      <c r="F788">
        <v>230</v>
      </c>
      <c r="G788">
        <v>0.25</v>
      </c>
      <c r="H788" s="4">
        <f t="shared" ca="1" si="12"/>
        <v>198</v>
      </c>
      <c r="I788" s="4">
        <v>72.959999999999994</v>
      </c>
    </row>
    <row r="789" spans="1:9" x14ac:dyDescent="0.25">
      <c r="A789">
        <v>48256</v>
      </c>
      <c r="B789">
        <v>53</v>
      </c>
      <c r="C789">
        <v>15</v>
      </c>
      <c r="D789">
        <v>101</v>
      </c>
      <c r="E789" t="s">
        <v>698</v>
      </c>
      <c r="F789">
        <v>31</v>
      </c>
      <c r="G789">
        <v>0</v>
      </c>
      <c r="H789" s="4">
        <f t="shared" ca="1" si="12"/>
        <v>341</v>
      </c>
      <c r="I789" s="4">
        <v>106.79</v>
      </c>
    </row>
    <row r="790" spans="1:9" x14ac:dyDescent="0.25">
      <c r="A790">
        <v>96352</v>
      </c>
      <c r="B790">
        <v>9</v>
      </c>
      <c r="C790">
        <v>15</v>
      </c>
      <c r="D790">
        <v>106</v>
      </c>
      <c r="E790" t="s">
        <v>697</v>
      </c>
      <c r="F790">
        <v>160</v>
      </c>
      <c r="G790">
        <v>0.25</v>
      </c>
      <c r="H790" s="4">
        <f t="shared" ca="1" si="12"/>
        <v>284</v>
      </c>
      <c r="I790" s="4">
        <v>37.4</v>
      </c>
    </row>
    <row r="791" spans="1:9" x14ac:dyDescent="0.25">
      <c r="A791">
        <v>96352</v>
      </c>
      <c r="B791">
        <v>17</v>
      </c>
      <c r="C791">
        <v>15</v>
      </c>
      <c r="D791">
        <v>106</v>
      </c>
      <c r="E791" t="s">
        <v>696</v>
      </c>
      <c r="F791">
        <v>99</v>
      </c>
      <c r="G791">
        <v>0.1</v>
      </c>
      <c r="H791" s="4">
        <f t="shared" ca="1" si="12"/>
        <v>79</v>
      </c>
      <c r="I791" s="4">
        <v>34.44</v>
      </c>
    </row>
    <row r="792" spans="1:9" x14ac:dyDescent="0.25">
      <c r="A792">
        <v>96352</v>
      </c>
      <c r="B792">
        <v>22</v>
      </c>
      <c r="C792">
        <v>15</v>
      </c>
      <c r="D792">
        <v>103</v>
      </c>
      <c r="E792" t="s">
        <v>699</v>
      </c>
      <c r="F792">
        <v>185</v>
      </c>
      <c r="G792">
        <v>0</v>
      </c>
      <c r="H792" s="4">
        <f t="shared" ca="1" si="12"/>
        <v>217</v>
      </c>
      <c r="I792" s="4">
        <v>34.6</v>
      </c>
    </row>
    <row r="793" spans="1:9" x14ac:dyDescent="0.25">
      <c r="A793">
        <v>96352</v>
      </c>
      <c r="B793">
        <v>8</v>
      </c>
      <c r="C793">
        <v>15</v>
      </c>
      <c r="D793">
        <v>103</v>
      </c>
      <c r="E793" t="s">
        <v>699</v>
      </c>
      <c r="F793">
        <v>124</v>
      </c>
      <c r="G793">
        <v>0.25</v>
      </c>
      <c r="H793" s="4">
        <f t="shared" ca="1" si="12"/>
        <v>119</v>
      </c>
      <c r="I793" s="4">
        <v>72.900000000000006</v>
      </c>
    </row>
    <row r="794" spans="1:9" x14ac:dyDescent="0.25">
      <c r="A794">
        <v>48256</v>
      </c>
      <c r="B794">
        <v>68</v>
      </c>
      <c r="C794">
        <v>15</v>
      </c>
      <c r="D794">
        <v>102</v>
      </c>
      <c r="E794" t="s">
        <v>696</v>
      </c>
      <c r="F794">
        <v>205</v>
      </c>
      <c r="G794">
        <v>0.1</v>
      </c>
      <c r="H794" s="4">
        <f t="shared" ca="1" si="12"/>
        <v>73</v>
      </c>
      <c r="I794" s="4">
        <v>56.52</v>
      </c>
    </row>
    <row r="795" spans="1:9" x14ac:dyDescent="0.25">
      <c r="A795">
        <v>96352</v>
      </c>
      <c r="B795">
        <v>24</v>
      </c>
      <c r="C795">
        <v>15</v>
      </c>
      <c r="D795">
        <v>107</v>
      </c>
      <c r="E795" t="s">
        <v>690</v>
      </c>
      <c r="F795">
        <v>210</v>
      </c>
      <c r="G795">
        <v>0</v>
      </c>
      <c r="H795" s="4">
        <f t="shared" ca="1" si="12"/>
        <v>146</v>
      </c>
      <c r="I795" s="4">
        <v>16.829999999999998</v>
      </c>
    </row>
    <row r="796" spans="1:9" x14ac:dyDescent="0.25">
      <c r="A796">
        <v>48256</v>
      </c>
      <c r="B796">
        <v>21</v>
      </c>
      <c r="C796">
        <v>15</v>
      </c>
      <c r="D796">
        <v>103</v>
      </c>
      <c r="E796" t="s">
        <v>694</v>
      </c>
      <c r="F796">
        <v>130</v>
      </c>
      <c r="G796">
        <v>0.25</v>
      </c>
      <c r="H796" s="4">
        <f t="shared" ca="1" si="12"/>
        <v>189</v>
      </c>
      <c r="I796" s="4">
        <v>47.79</v>
      </c>
    </row>
    <row r="797" spans="1:9" x14ac:dyDescent="0.25">
      <c r="A797">
        <v>96352</v>
      </c>
      <c r="B797">
        <v>20</v>
      </c>
      <c r="C797">
        <v>15</v>
      </c>
      <c r="D797">
        <v>106</v>
      </c>
      <c r="E797" t="s">
        <v>694</v>
      </c>
      <c r="F797">
        <v>78</v>
      </c>
      <c r="G797">
        <v>0</v>
      </c>
      <c r="H797" s="4">
        <f t="shared" ca="1" si="12"/>
        <v>142</v>
      </c>
      <c r="I797" s="4">
        <v>46.8</v>
      </c>
    </row>
    <row r="798" spans="1:9" x14ac:dyDescent="0.25">
      <c r="A798">
        <v>96352</v>
      </c>
      <c r="B798">
        <v>49</v>
      </c>
      <c r="C798">
        <v>15</v>
      </c>
      <c r="D798">
        <v>105</v>
      </c>
      <c r="E798" t="s">
        <v>693</v>
      </c>
      <c r="F798">
        <v>75</v>
      </c>
      <c r="G798">
        <v>0</v>
      </c>
      <c r="H798" s="4">
        <f t="shared" ca="1" si="12"/>
        <v>96</v>
      </c>
      <c r="I798" s="4">
        <v>28.32</v>
      </c>
    </row>
    <row r="799" spans="1:9" x14ac:dyDescent="0.25">
      <c r="A799">
        <v>48256</v>
      </c>
      <c r="B799">
        <v>7</v>
      </c>
      <c r="C799">
        <v>15</v>
      </c>
      <c r="D799">
        <v>103</v>
      </c>
      <c r="E799" t="s">
        <v>694</v>
      </c>
      <c r="F799">
        <v>3</v>
      </c>
      <c r="G799">
        <v>0</v>
      </c>
      <c r="H799" s="4">
        <f t="shared" ca="1" si="12"/>
        <v>4</v>
      </c>
      <c r="I799" s="4">
        <v>26.86</v>
      </c>
    </row>
    <row r="800" spans="1:9" x14ac:dyDescent="0.25">
      <c r="A800">
        <v>86563</v>
      </c>
      <c r="B800">
        <v>2</v>
      </c>
      <c r="C800">
        <v>15</v>
      </c>
      <c r="D800">
        <v>102</v>
      </c>
      <c r="E800" t="s">
        <v>692</v>
      </c>
      <c r="F800">
        <v>121</v>
      </c>
      <c r="G800">
        <v>0.25</v>
      </c>
      <c r="H800" s="4">
        <f t="shared" ca="1" si="12"/>
        <v>262</v>
      </c>
      <c r="I800" s="4">
        <v>42.9</v>
      </c>
    </row>
    <row r="801" spans="1:9" x14ac:dyDescent="0.25">
      <c r="A801">
        <v>96352</v>
      </c>
      <c r="B801">
        <v>69</v>
      </c>
      <c r="C801">
        <v>15</v>
      </c>
      <c r="D801">
        <v>105</v>
      </c>
      <c r="E801" t="s">
        <v>695</v>
      </c>
      <c r="F801">
        <v>239</v>
      </c>
      <c r="G801">
        <v>0</v>
      </c>
      <c r="H801" s="4">
        <f t="shared" ca="1" si="12"/>
        <v>347</v>
      </c>
      <c r="I801" s="4">
        <v>67.239999999999995</v>
      </c>
    </row>
    <row r="802" spans="1:9" x14ac:dyDescent="0.25">
      <c r="A802">
        <v>96352</v>
      </c>
      <c r="B802">
        <v>30</v>
      </c>
      <c r="C802">
        <v>15</v>
      </c>
      <c r="D802">
        <v>102</v>
      </c>
      <c r="E802" t="s">
        <v>698</v>
      </c>
      <c r="F802">
        <v>113</v>
      </c>
      <c r="G802">
        <v>0.1</v>
      </c>
      <c r="H802" s="4">
        <f t="shared" ca="1" si="12"/>
        <v>299</v>
      </c>
      <c r="I802" s="4">
        <v>101.52</v>
      </c>
    </row>
    <row r="803" spans="1:9" x14ac:dyDescent="0.25">
      <c r="A803">
        <v>48256</v>
      </c>
      <c r="B803">
        <v>27</v>
      </c>
      <c r="C803">
        <v>15</v>
      </c>
      <c r="D803">
        <v>104</v>
      </c>
      <c r="E803" t="s">
        <v>698</v>
      </c>
      <c r="F803">
        <v>102</v>
      </c>
      <c r="G803">
        <v>0.1</v>
      </c>
      <c r="H803" s="4">
        <f t="shared" ca="1" si="12"/>
        <v>251</v>
      </c>
      <c r="I803" s="4">
        <v>67.709999999999994</v>
      </c>
    </row>
    <row r="804" spans="1:9" x14ac:dyDescent="0.25">
      <c r="A804">
        <v>48256</v>
      </c>
      <c r="B804">
        <v>10</v>
      </c>
      <c r="C804">
        <v>15</v>
      </c>
      <c r="D804">
        <v>105</v>
      </c>
      <c r="E804" t="s">
        <v>695</v>
      </c>
      <c r="F804">
        <v>78</v>
      </c>
      <c r="G804">
        <v>0.1</v>
      </c>
      <c r="H804" s="4">
        <f t="shared" ca="1" si="12"/>
        <v>284</v>
      </c>
      <c r="I804" s="4">
        <v>71.37</v>
      </c>
    </row>
    <row r="805" spans="1:9" x14ac:dyDescent="0.25">
      <c r="A805">
        <v>86563</v>
      </c>
      <c r="B805">
        <v>47</v>
      </c>
      <c r="C805">
        <v>15</v>
      </c>
      <c r="D805">
        <v>107</v>
      </c>
      <c r="E805" t="s">
        <v>694</v>
      </c>
      <c r="F805">
        <v>11</v>
      </c>
      <c r="G805">
        <v>0.25</v>
      </c>
      <c r="H805" s="4">
        <f t="shared" ca="1" si="12"/>
        <v>41</v>
      </c>
      <c r="I805" s="4">
        <v>69.599999999999994</v>
      </c>
    </row>
    <row r="806" spans="1:9" x14ac:dyDescent="0.25">
      <c r="A806">
        <v>48256</v>
      </c>
      <c r="B806">
        <v>34</v>
      </c>
      <c r="C806">
        <v>15</v>
      </c>
      <c r="D806">
        <v>108</v>
      </c>
      <c r="E806" t="s">
        <v>691</v>
      </c>
      <c r="F806">
        <v>67</v>
      </c>
      <c r="G806">
        <v>0.1</v>
      </c>
      <c r="H806" s="4">
        <f t="shared" ca="1" si="12"/>
        <v>212</v>
      </c>
      <c r="I806" s="4">
        <v>19.5</v>
      </c>
    </row>
    <row r="807" spans="1:9" x14ac:dyDescent="0.25">
      <c r="A807">
        <v>96352</v>
      </c>
      <c r="B807">
        <v>36</v>
      </c>
      <c r="C807">
        <v>15</v>
      </c>
      <c r="D807">
        <v>102</v>
      </c>
      <c r="E807" t="s">
        <v>695</v>
      </c>
      <c r="F807">
        <v>87</v>
      </c>
      <c r="G807">
        <v>0.1</v>
      </c>
      <c r="H807" s="4">
        <f t="shared" ca="1" si="12"/>
        <v>189</v>
      </c>
      <c r="I807" s="4">
        <v>52.85</v>
      </c>
    </row>
    <row r="808" spans="1:9" x14ac:dyDescent="0.25">
      <c r="A808">
        <v>86563</v>
      </c>
      <c r="B808">
        <v>60</v>
      </c>
      <c r="C808">
        <v>15</v>
      </c>
      <c r="D808">
        <v>101</v>
      </c>
      <c r="E808" t="s">
        <v>694</v>
      </c>
      <c r="F808">
        <v>227</v>
      </c>
      <c r="G808">
        <v>0.1</v>
      </c>
      <c r="H808" s="4">
        <f t="shared" ca="1" si="12"/>
        <v>204</v>
      </c>
      <c r="I808" s="4">
        <v>52.92</v>
      </c>
    </row>
    <row r="809" spans="1:9" x14ac:dyDescent="0.25">
      <c r="A809">
        <v>86563</v>
      </c>
      <c r="B809">
        <v>12</v>
      </c>
      <c r="C809">
        <v>15</v>
      </c>
      <c r="D809">
        <v>106</v>
      </c>
      <c r="E809" t="s">
        <v>692</v>
      </c>
      <c r="F809">
        <v>243</v>
      </c>
      <c r="G809">
        <v>0</v>
      </c>
      <c r="H809" s="4">
        <f t="shared" ca="1" si="12"/>
        <v>89</v>
      </c>
      <c r="I809" s="4">
        <v>48.6</v>
      </c>
    </row>
    <row r="810" spans="1:9" x14ac:dyDescent="0.25">
      <c r="A810">
        <v>86563</v>
      </c>
      <c r="B810">
        <v>55</v>
      </c>
      <c r="C810">
        <v>15</v>
      </c>
      <c r="D810">
        <v>105</v>
      </c>
      <c r="E810" t="s">
        <v>693</v>
      </c>
      <c r="F810">
        <v>44</v>
      </c>
      <c r="G810">
        <v>0</v>
      </c>
      <c r="H810" s="4">
        <f t="shared" ca="1" si="12"/>
        <v>120</v>
      </c>
      <c r="I810" s="4">
        <v>73.48</v>
      </c>
    </row>
    <row r="811" spans="1:9" x14ac:dyDescent="0.25">
      <c r="A811">
        <v>96352</v>
      </c>
      <c r="B811">
        <v>67</v>
      </c>
      <c r="C811">
        <v>15</v>
      </c>
      <c r="D811">
        <v>103</v>
      </c>
      <c r="E811" t="s">
        <v>694</v>
      </c>
      <c r="F811">
        <v>154</v>
      </c>
      <c r="G811">
        <v>0.25</v>
      </c>
      <c r="H811" s="4">
        <f t="shared" ca="1" si="12"/>
        <v>243</v>
      </c>
      <c r="I811" s="4">
        <v>96.2</v>
      </c>
    </row>
    <row r="812" spans="1:9" x14ac:dyDescent="0.25">
      <c r="A812">
        <v>48256</v>
      </c>
      <c r="B812">
        <v>13</v>
      </c>
      <c r="C812">
        <v>15</v>
      </c>
      <c r="D812">
        <v>103</v>
      </c>
      <c r="E812" t="s">
        <v>699</v>
      </c>
      <c r="F812">
        <v>52</v>
      </c>
      <c r="G812">
        <v>0</v>
      </c>
      <c r="H812" s="4">
        <f t="shared" ca="1" si="12"/>
        <v>204</v>
      </c>
      <c r="I812" s="4">
        <v>68.400000000000006</v>
      </c>
    </row>
    <row r="813" spans="1:9" x14ac:dyDescent="0.25">
      <c r="A813">
        <v>86563</v>
      </c>
      <c r="B813">
        <v>3</v>
      </c>
      <c r="C813">
        <v>15</v>
      </c>
      <c r="D813">
        <v>108</v>
      </c>
      <c r="E813" t="s">
        <v>692</v>
      </c>
      <c r="F813">
        <v>214</v>
      </c>
      <c r="G813">
        <v>0.1</v>
      </c>
      <c r="H813" s="4">
        <f t="shared" ca="1" si="12"/>
        <v>84</v>
      </c>
      <c r="I813" s="4">
        <v>105.45</v>
      </c>
    </row>
    <row r="814" spans="1:9" x14ac:dyDescent="0.25">
      <c r="A814">
        <v>96352</v>
      </c>
      <c r="B814">
        <v>23</v>
      </c>
      <c r="C814">
        <v>15</v>
      </c>
      <c r="D814">
        <v>107</v>
      </c>
      <c r="E814" t="s">
        <v>699</v>
      </c>
      <c r="F814">
        <v>45</v>
      </c>
      <c r="G814">
        <v>0</v>
      </c>
      <c r="H814" s="4">
        <f t="shared" ca="1" si="12"/>
        <v>216</v>
      </c>
      <c r="I814" s="4">
        <v>28.62</v>
      </c>
    </row>
    <row r="815" spans="1:9" x14ac:dyDescent="0.25">
      <c r="A815">
        <v>48256</v>
      </c>
      <c r="B815">
        <v>22</v>
      </c>
      <c r="C815">
        <v>15</v>
      </c>
      <c r="D815">
        <v>104</v>
      </c>
      <c r="E815" t="s">
        <v>694</v>
      </c>
      <c r="F815">
        <v>132</v>
      </c>
      <c r="G815">
        <v>0.25</v>
      </c>
      <c r="H815" s="4">
        <f t="shared" ca="1" si="12"/>
        <v>184</v>
      </c>
      <c r="I815" s="4">
        <v>57.96</v>
      </c>
    </row>
    <row r="816" spans="1:9" x14ac:dyDescent="0.25">
      <c r="A816">
        <v>48256</v>
      </c>
      <c r="B816">
        <v>39</v>
      </c>
      <c r="C816">
        <v>15</v>
      </c>
      <c r="D816">
        <v>102</v>
      </c>
      <c r="E816" t="s">
        <v>691</v>
      </c>
      <c r="F816">
        <v>242</v>
      </c>
      <c r="G816">
        <v>0.25</v>
      </c>
      <c r="H816" s="4">
        <f t="shared" ca="1" si="12"/>
        <v>284</v>
      </c>
      <c r="I816" s="4">
        <v>71.099999999999994</v>
      </c>
    </row>
    <row r="817" spans="1:9" x14ac:dyDescent="0.25">
      <c r="A817">
        <v>48256</v>
      </c>
      <c r="B817">
        <v>5</v>
      </c>
      <c r="C817">
        <v>15</v>
      </c>
      <c r="D817">
        <v>103</v>
      </c>
      <c r="E817" t="s">
        <v>699</v>
      </c>
      <c r="F817">
        <v>91</v>
      </c>
      <c r="G817">
        <v>0</v>
      </c>
      <c r="H817" s="4">
        <f t="shared" ca="1" si="12"/>
        <v>127</v>
      </c>
      <c r="I817" s="4">
        <v>81</v>
      </c>
    </row>
    <row r="818" spans="1:9" x14ac:dyDescent="0.25">
      <c r="A818">
        <v>48256</v>
      </c>
      <c r="B818">
        <v>5</v>
      </c>
      <c r="C818">
        <v>15</v>
      </c>
      <c r="D818">
        <v>104</v>
      </c>
      <c r="E818" t="s">
        <v>693</v>
      </c>
      <c r="F818">
        <v>49</v>
      </c>
      <c r="G818">
        <v>0.1</v>
      </c>
      <c r="H818" s="4">
        <f t="shared" ca="1" si="12"/>
        <v>174</v>
      </c>
      <c r="I818" s="4">
        <v>48.64</v>
      </c>
    </row>
    <row r="819" spans="1:9" x14ac:dyDescent="0.25">
      <c r="A819">
        <v>86563</v>
      </c>
      <c r="B819">
        <v>13</v>
      </c>
      <c r="C819">
        <v>15</v>
      </c>
      <c r="D819">
        <v>105</v>
      </c>
      <c r="E819" t="s">
        <v>699</v>
      </c>
      <c r="F819">
        <v>248</v>
      </c>
      <c r="G819">
        <v>0.1</v>
      </c>
      <c r="H819" s="4">
        <f t="shared" ca="1" si="12"/>
        <v>82</v>
      </c>
      <c r="I819" s="4">
        <v>33.44</v>
      </c>
    </row>
    <row r="820" spans="1:9" x14ac:dyDescent="0.25">
      <c r="A820">
        <v>48256</v>
      </c>
      <c r="B820">
        <v>27</v>
      </c>
      <c r="C820">
        <v>15</v>
      </c>
      <c r="D820">
        <v>102</v>
      </c>
      <c r="E820" t="s">
        <v>697</v>
      </c>
      <c r="F820">
        <v>131</v>
      </c>
      <c r="G820">
        <v>0.25</v>
      </c>
      <c r="H820" s="4">
        <f t="shared" ca="1" si="12"/>
        <v>316</v>
      </c>
      <c r="I820" s="4">
        <v>48.67</v>
      </c>
    </row>
    <row r="821" spans="1:9" x14ac:dyDescent="0.25">
      <c r="A821">
        <v>96352</v>
      </c>
      <c r="B821">
        <v>17</v>
      </c>
      <c r="C821">
        <v>15</v>
      </c>
      <c r="D821">
        <v>102</v>
      </c>
      <c r="E821" t="s">
        <v>690</v>
      </c>
      <c r="F821">
        <v>21</v>
      </c>
      <c r="G821">
        <v>0</v>
      </c>
      <c r="H821" s="4">
        <f t="shared" ca="1" si="12"/>
        <v>123</v>
      </c>
      <c r="I821" s="4">
        <v>90.1</v>
      </c>
    </row>
    <row r="822" spans="1:9" x14ac:dyDescent="0.25">
      <c r="A822">
        <v>86563</v>
      </c>
      <c r="B822">
        <v>33</v>
      </c>
      <c r="C822">
        <v>15</v>
      </c>
      <c r="D822">
        <v>105</v>
      </c>
      <c r="E822" t="s">
        <v>694</v>
      </c>
      <c r="F822">
        <v>115</v>
      </c>
      <c r="G822">
        <v>0.25</v>
      </c>
      <c r="H822" s="4">
        <f t="shared" ca="1" si="12"/>
        <v>278</v>
      </c>
      <c r="I822" s="4">
        <v>79.12</v>
      </c>
    </row>
    <row r="823" spans="1:9" x14ac:dyDescent="0.25">
      <c r="A823">
        <v>96352</v>
      </c>
      <c r="B823">
        <v>69</v>
      </c>
      <c r="C823">
        <v>15</v>
      </c>
      <c r="D823">
        <v>107</v>
      </c>
      <c r="E823" t="s">
        <v>697</v>
      </c>
      <c r="F823">
        <v>96</v>
      </c>
      <c r="G823">
        <v>0.1</v>
      </c>
      <c r="H823" s="4">
        <f t="shared" ca="1" si="12"/>
        <v>152</v>
      </c>
      <c r="I823" s="4">
        <v>28.64</v>
      </c>
    </row>
    <row r="824" spans="1:9" x14ac:dyDescent="0.25">
      <c r="A824">
        <v>86563</v>
      </c>
      <c r="B824">
        <v>50</v>
      </c>
      <c r="C824">
        <v>15</v>
      </c>
      <c r="D824">
        <v>108</v>
      </c>
      <c r="E824" t="s">
        <v>690</v>
      </c>
      <c r="F824">
        <v>38</v>
      </c>
      <c r="G824">
        <v>0.25</v>
      </c>
      <c r="H824" s="4">
        <f t="shared" ca="1" si="12"/>
        <v>292</v>
      </c>
      <c r="I824" s="4">
        <v>34.229999999999997</v>
      </c>
    </row>
    <row r="825" spans="1:9" x14ac:dyDescent="0.25">
      <c r="A825">
        <v>48256</v>
      </c>
      <c r="B825">
        <v>26</v>
      </c>
      <c r="C825">
        <v>15</v>
      </c>
      <c r="D825">
        <v>105</v>
      </c>
      <c r="E825" t="s">
        <v>696</v>
      </c>
      <c r="F825">
        <v>122</v>
      </c>
      <c r="G825">
        <v>0</v>
      </c>
      <c r="H825" s="4">
        <f t="shared" ca="1" si="12"/>
        <v>350</v>
      </c>
      <c r="I825" s="4">
        <v>81.42</v>
      </c>
    </row>
    <row r="826" spans="1:9" x14ac:dyDescent="0.25">
      <c r="A826">
        <v>96352</v>
      </c>
      <c r="B826">
        <v>17</v>
      </c>
      <c r="C826">
        <v>15</v>
      </c>
      <c r="D826">
        <v>108</v>
      </c>
      <c r="E826" t="s">
        <v>692</v>
      </c>
      <c r="F826">
        <v>65</v>
      </c>
      <c r="G826">
        <v>0.25</v>
      </c>
      <c r="H826" s="4">
        <f t="shared" ca="1" si="12"/>
        <v>270</v>
      </c>
      <c r="I826" s="4">
        <v>40.5</v>
      </c>
    </row>
    <row r="827" spans="1:9" x14ac:dyDescent="0.25">
      <c r="A827">
        <v>96352</v>
      </c>
      <c r="B827">
        <v>56</v>
      </c>
      <c r="C827">
        <v>15</v>
      </c>
      <c r="D827">
        <v>103</v>
      </c>
      <c r="E827" t="s">
        <v>699</v>
      </c>
      <c r="F827">
        <v>58</v>
      </c>
      <c r="G827">
        <v>0</v>
      </c>
      <c r="H827" s="4">
        <f t="shared" ca="1" si="12"/>
        <v>333</v>
      </c>
      <c r="I827" s="4">
        <v>46.5</v>
      </c>
    </row>
    <row r="828" spans="1:9" x14ac:dyDescent="0.25">
      <c r="A828">
        <v>86563</v>
      </c>
      <c r="B828">
        <v>60</v>
      </c>
      <c r="C828">
        <v>15</v>
      </c>
      <c r="D828">
        <v>107</v>
      </c>
      <c r="E828" t="s">
        <v>692</v>
      </c>
      <c r="F828">
        <v>197</v>
      </c>
      <c r="G828">
        <v>0.25</v>
      </c>
      <c r="H828" s="4">
        <f t="shared" ca="1" si="12"/>
        <v>72</v>
      </c>
      <c r="I828" s="4">
        <v>68.88</v>
      </c>
    </row>
    <row r="829" spans="1:9" x14ac:dyDescent="0.25">
      <c r="A829">
        <v>48256</v>
      </c>
      <c r="B829">
        <v>22</v>
      </c>
      <c r="C829">
        <v>15</v>
      </c>
      <c r="D829">
        <v>107</v>
      </c>
      <c r="E829" t="s">
        <v>697</v>
      </c>
      <c r="F829">
        <v>8</v>
      </c>
      <c r="G829">
        <v>0</v>
      </c>
      <c r="H829" s="4">
        <f t="shared" ca="1" si="12"/>
        <v>2</v>
      </c>
      <c r="I829" s="4">
        <v>94.99</v>
      </c>
    </row>
    <row r="830" spans="1:9" x14ac:dyDescent="0.25">
      <c r="A830">
        <v>86563</v>
      </c>
      <c r="B830">
        <v>8</v>
      </c>
      <c r="C830">
        <v>15</v>
      </c>
      <c r="D830">
        <v>105</v>
      </c>
      <c r="E830" t="s">
        <v>696</v>
      </c>
      <c r="F830">
        <v>114</v>
      </c>
      <c r="G830">
        <v>0</v>
      </c>
      <c r="H830" s="4">
        <f t="shared" ca="1" si="12"/>
        <v>297</v>
      </c>
      <c r="I830" s="4">
        <v>90.16</v>
      </c>
    </row>
    <row r="831" spans="1:9" x14ac:dyDescent="0.25">
      <c r="A831">
        <v>86563</v>
      </c>
      <c r="B831">
        <v>21</v>
      </c>
      <c r="C831">
        <v>15</v>
      </c>
      <c r="D831">
        <v>102</v>
      </c>
      <c r="E831" t="s">
        <v>700</v>
      </c>
      <c r="F831">
        <v>187</v>
      </c>
      <c r="G831">
        <v>0</v>
      </c>
      <c r="H831" s="4">
        <f t="shared" ca="1" si="12"/>
        <v>314</v>
      </c>
      <c r="I831" s="4">
        <v>74.48</v>
      </c>
    </row>
    <row r="832" spans="1:9" x14ac:dyDescent="0.25">
      <c r="A832">
        <v>48256</v>
      </c>
      <c r="B832">
        <v>43</v>
      </c>
      <c r="C832">
        <v>15</v>
      </c>
      <c r="D832">
        <v>104</v>
      </c>
      <c r="E832" t="s">
        <v>700</v>
      </c>
      <c r="F832">
        <v>196</v>
      </c>
      <c r="G832">
        <v>0.25</v>
      </c>
      <c r="H832" s="4">
        <f t="shared" ca="1" si="12"/>
        <v>154</v>
      </c>
      <c r="I832" s="4">
        <v>70.11</v>
      </c>
    </row>
    <row r="833" spans="1:9" x14ac:dyDescent="0.25">
      <c r="A833">
        <v>48256</v>
      </c>
      <c r="B833">
        <v>13</v>
      </c>
      <c r="C833">
        <v>15</v>
      </c>
      <c r="D833">
        <v>107</v>
      </c>
      <c r="E833" t="s">
        <v>698</v>
      </c>
      <c r="F833">
        <v>29</v>
      </c>
      <c r="G833">
        <v>0</v>
      </c>
      <c r="H833" s="4">
        <f t="shared" ca="1" si="12"/>
        <v>51</v>
      </c>
      <c r="I833" s="4">
        <v>91.64</v>
      </c>
    </row>
    <row r="834" spans="1:9" x14ac:dyDescent="0.25">
      <c r="A834">
        <v>86563</v>
      </c>
      <c r="B834">
        <v>29</v>
      </c>
      <c r="C834">
        <v>15</v>
      </c>
      <c r="D834">
        <v>105</v>
      </c>
      <c r="E834" t="s">
        <v>691</v>
      </c>
      <c r="F834">
        <v>161</v>
      </c>
      <c r="G834">
        <v>0.25</v>
      </c>
      <c r="H834" s="4">
        <f t="shared" ref="H834:H897" ca="1" si="13">IF(F834&lt;=10,RANDBETWEEN(1,5),IF(F834&lt;=20,RANDBETWEEN(15,80),IF(F834&lt;=30,RANDBETWEEN(23,150),RANDBETWEEN(66,350))))</f>
        <v>261</v>
      </c>
      <c r="I834" s="4">
        <v>35.700000000000003</v>
      </c>
    </row>
    <row r="835" spans="1:9" x14ac:dyDescent="0.25">
      <c r="A835">
        <v>96352</v>
      </c>
      <c r="B835">
        <v>51</v>
      </c>
      <c r="C835">
        <v>15</v>
      </c>
      <c r="D835">
        <v>103</v>
      </c>
      <c r="E835" t="s">
        <v>698</v>
      </c>
      <c r="F835">
        <v>146</v>
      </c>
      <c r="G835">
        <v>0</v>
      </c>
      <c r="H835" s="4">
        <f t="shared" ca="1" si="13"/>
        <v>149</v>
      </c>
      <c r="I835" s="4">
        <v>86</v>
      </c>
    </row>
    <row r="836" spans="1:9" x14ac:dyDescent="0.25">
      <c r="A836">
        <v>96352</v>
      </c>
      <c r="B836">
        <v>48</v>
      </c>
      <c r="C836">
        <v>15</v>
      </c>
      <c r="D836">
        <v>104</v>
      </c>
      <c r="E836" t="s">
        <v>698</v>
      </c>
      <c r="F836">
        <v>71</v>
      </c>
      <c r="G836">
        <v>0.1</v>
      </c>
      <c r="H836" s="4">
        <f t="shared" ca="1" si="13"/>
        <v>268</v>
      </c>
      <c r="I836" s="4">
        <v>34</v>
      </c>
    </row>
    <row r="837" spans="1:9" x14ac:dyDescent="0.25">
      <c r="A837">
        <v>96352</v>
      </c>
      <c r="B837">
        <v>37</v>
      </c>
      <c r="C837">
        <v>15</v>
      </c>
      <c r="D837">
        <v>106</v>
      </c>
      <c r="E837" t="s">
        <v>690</v>
      </c>
      <c r="F837">
        <v>37</v>
      </c>
      <c r="G837">
        <v>0</v>
      </c>
      <c r="H837" s="4">
        <f t="shared" ca="1" si="13"/>
        <v>234</v>
      </c>
      <c r="I837" s="4">
        <v>92.61</v>
      </c>
    </row>
    <row r="838" spans="1:9" x14ac:dyDescent="0.25">
      <c r="A838">
        <v>96352</v>
      </c>
      <c r="B838">
        <v>28</v>
      </c>
      <c r="C838">
        <v>15</v>
      </c>
      <c r="D838">
        <v>104</v>
      </c>
      <c r="E838" t="s">
        <v>697</v>
      </c>
      <c r="F838">
        <v>80</v>
      </c>
      <c r="G838">
        <v>0</v>
      </c>
      <c r="H838" s="4">
        <f t="shared" ca="1" si="13"/>
        <v>77</v>
      </c>
      <c r="I838" s="4">
        <v>61.54</v>
      </c>
    </row>
    <row r="839" spans="1:9" x14ac:dyDescent="0.25">
      <c r="A839">
        <v>48256</v>
      </c>
      <c r="B839">
        <v>65</v>
      </c>
      <c r="C839">
        <v>15</v>
      </c>
      <c r="D839">
        <v>103</v>
      </c>
      <c r="E839" t="s">
        <v>692</v>
      </c>
      <c r="F839">
        <v>160</v>
      </c>
      <c r="G839">
        <v>0.1</v>
      </c>
      <c r="H839" s="4">
        <f t="shared" ca="1" si="13"/>
        <v>234</v>
      </c>
      <c r="I839" s="4">
        <v>26.86</v>
      </c>
    </row>
    <row r="840" spans="1:9" x14ac:dyDescent="0.25">
      <c r="A840">
        <v>96352</v>
      </c>
      <c r="B840">
        <v>70</v>
      </c>
      <c r="C840">
        <v>15</v>
      </c>
      <c r="D840">
        <v>106</v>
      </c>
      <c r="E840" t="s">
        <v>697</v>
      </c>
      <c r="F840">
        <v>115</v>
      </c>
      <c r="G840">
        <v>0.1</v>
      </c>
      <c r="H840" s="4">
        <f t="shared" ca="1" si="13"/>
        <v>293</v>
      </c>
      <c r="I840" s="4">
        <v>39.6</v>
      </c>
    </row>
    <row r="841" spans="1:9" x14ac:dyDescent="0.25">
      <c r="A841">
        <v>96352</v>
      </c>
      <c r="B841">
        <v>42</v>
      </c>
      <c r="C841">
        <v>15</v>
      </c>
      <c r="D841">
        <v>106</v>
      </c>
      <c r="E841" t="s">
        <v>696</v>
      </c>
      <c r="F841">
        <v>33</v>
      </c>
      <c r="G841">
        <v>0.1</v>
      </c>
      <c r="H841" s="4">
        <f t="shared" ca="1" si="13"/>
        <v>339</v>
      </c>
      <c r="I841" s="4">
        <v>61.6</v>
      </c>
    </row>
    <row r="842" spans="1:9" x14ac:dyDescent="0.25">
      <c r="A842">
        <v>48256</v>
      </c>
      <c r="B842">
        <v>43</v>
      </c>
      <c r="C842">
        <v>15</v>
      </c>
      <c r="D842">
        <v>102</v>
      </c>
      <c r="E842" t="s">
        <v>694</v>
      </c>
      <c r="F842">
        <v>36</v>
      </c>
      <c r="G842">
        <v>0.25</v>
      </c>
      <c r="H842" s="4">
        <f t="shared" ca="1" si="13"/>
        <v>199</v>
      </c>
      <c r="I842" s="4">
        <v>35.909999999999997</v>
      </c>
    </row>
    <row r="843" spans="1:9" x14ac:dyDescent="0.25">
      <c r="A843">
        <v>96352</v>
      </c>
      <c r="B843">
        <v>54</v>
      </c>
      <c r="C843">
        <v>15</v>
      </c>
      <c r="D843">
        <v>107</v>
      </c>
      <c r="E843" t="s">
        <v>696</v>
      </c>
      <c r="F843">
        <v>182</v>
      </c>
      <c r="G843">
        <v>0</v>
      </c>
      <c r="H843" s="4">
        <f t="shared" ca="1" si="13"/>
        <v>347</v>
      </c>
      <c r="I843" s="4">
        <v>29.24</v>
      </c>
    </row>
    <row r="844" spans="1:9" x14ac:dyDescent="0.25">
      <c r="A844">
        <v>86563</v>
      </c>
      <c r="B844">
        <v>29</v>
      </c>
      <c r="C844">
        <v>15</v>
      </c>
      <c r="D844">
        <v>102</v>
      </c>
      <c r="E844" t="s">
        <v>693</v>
      </c>
      <c r="F844">
        <v>43</v>
      </c>
      <c r="G844">
        <v>0</v>
      </c>
      <c r="H844" s="4">
        <f t="shared" ca="1" si="13"/>
        <v>326</v>
      </c>
      <c r="I844" s="4">
        <v>63.58</v>
      </c>
    </row>
    <row r="845" spans="1:9" x14ac:dyDescent="0.25">
      <c r="A845">
        <v>86563</v>
      </c>
      <c r="B845">
        <v>53</v>
      </c>
      <c r="C845">
        <v>15</v>
      </c>
      <c r="D845">
        <v>104</v>
      </c>
      <c r="E845" t="s">
        <v>698</v>
      </c>
      <c r="F845">
        <v>80</v>
      </c>
      <c r="G845">
        <v>0.1</v>
      </c>
      <c r="H845" s="4">
        <f t="shared" ca="1" si="13"/>
        <v>304</v>
      </c>
      <c r="I845" s="4">
        <v>27.75</v>
      </c>
    </row>
    <row r="846" spans="1:9" x14ac:dyDescent="0.25">
      <c r="A846">
        <v>86563</v>
      </c>
      <c r="B846">
        <v>66</v>
      </c>
      <c r="C846">
        <v>15</v>
      </c>
      <c r="D846">
        <v>103</v>
      </c>
      <c r="E846" t="s">
        <v>698</v>
      </c>
      <c r="F846">
        <v>222</v>
      </c>
      <c r="G846">
        <v>0.25</v>
      </c>
      <c r="H846" s="4">
        <f t="shared" ca="1" si="13"/>
        <v>232</v>
      </c>
      <c r="I846" s="4">
        <v>29.07</v>
      </c>
    </row>
    <row r="847" spans="1:9" x14ac:dyDescent="0.25">
      <c r="A847">
        <v>48256</v>
      </c>
      <c r="B847">
        <v>30</v>
      </c>
      <c r="C847">
        <v>15</v>
      </c>
      <c r="D847">
        <v>104</v>
      </c>
      <c r="E847" t="s">
        <v>691</v>
      </c>
      <c r="F847">
        <v>197</v>
      </c>
      <c r="G847">
        <v>0.25</v>
      </c>
      <c r="H847" s="4">
        <f t="shared" ca="1" si="13"/>
        <v>312</v>
      </c>
      <c r="I847" s="4">
        <v>85.17</v>
      </c>
    </row>
    <row r="848" spans="1:9" x14ac:dyDescent="0.25">
      <c r="A848">
        <v>48256</v>
      </c>
      <c r="B848">
        <v>10</v>
      </c>
      <c r="C848">
        <v>15</v>
      </c>
      <c r="D848">
        <v>108</v>
      </c>
      <c r="E848" t="s">
        <v>693</v>
      </c>
      <c r="F848">
        <v>37</v>
      </c>
      <c r="G848">
        <v>0</v>
      </c>
      <c r="H848" s="4">
        <f t="shared" ca="1" si="13"/>
        <v>271</v>
      </c>
      <c r="I848" s="4">
        <v>70.2</v>
      </c>
    </row>
    <row r="849" spans="1:9" x14ac:dyDescent="0.25">
      <c r="A849">
        <v>86563</v>
      </c>
      <c r="B849">
        <v>32</v>
      </c>
      <c r="C849">
        <v>15</v>
      </c>
      <c r="D849">
        <v>107</v>
      </c>
      <c r="E849" t="s">
        <v>691</v>
      </c>
      <c r="F849">
        <v>9</v>
      </c>
      <c r="G849">
        <v>0.1</v>
      </c>
      <c r="H849" s="4">
        <f t="shared" ca="1" si="13"/>
        <v>4</v>
      </c>
      <c r="I849" s="4">
        <v>82.8</v>
      </c>
    </row>
    <row r="850" spans="1:9" x14ac:dyDescent="0.25">
      <c r="A850">
        <v>48256</v>
      </c>
      <c r="B850">
        <v>45</v>
      </c>
      <c r="C850">
        <v>15</v>
      </c>
      <c r="D850">
        <v>101</v>
      </c>
      <c r="E850" t="s">
        <v>695</v>
      </c>
      <c r="F850">
        <v>4</v>
      </c>
      <c r="G850">
        <v>0.1</v>
      </c>
      <c r="H850" s="4">
        <f t="shared" ca="1" si="13"/>
        <v>4</v>
      </c>
      <c r="I850" s="4">
        <v>58.14</v>
      </c>
    </row>
    <row r="851" spans="1:9" x14ac:dyDescent="0.25">
      <c r="A851">
        <v>48256</v>
      </c>
      <c r="B851">
        <v>53</v>
      </c>
      <c r="C851">
        <v>15</v>
      </c>
      <c r="D851">
        <v>108</v>
      </c>
      <c r="E851" t="s">
        <v>692</v>
      </c>
      <c r="F851">
        <v>92</v>
      </c>
      <c r="G851">
        <v>0</v>
      </c>
      <c r="H851" s="4">
        <f t="shared" ca="1" si="13"/>
        <v>243</v>
      </c>
      <c r="I851" s="4">
        <v>90</v>
      </c>
    </row>
    <row r="852" spans="1:9" x14ac:dyDescent="0.25">
      <c r="A852">
        <v>48256</v>
      </c>
      <c r="B852">
        <v>12</v>
      </c>
      <c r="C852">
        <v>15</v>
      </c>
      <c r="D852">
        <v>102</v>
      </c>
      <c r="E852" t="s">
        <v>693</v>
      </c>
      <c r="F852">
        <v>166</v>
      </c>
      <c r="G852">
        <v>0</v>
      </c>
      <c r="H852" s="4">
        <f t="shared" ca="1" si="13"/>
        <v>165</v>
      </c>
      <c r="I852" s="4">
        <v>35.200000000000003</v>
      </c>
    </row>
    <row r="853" spans="1:9" x14ac:dyDescent="0.25">
      <c r="A853">
        <v>86563</v>
      </c>
      <c r="B853">
        <v>15</v>
      </c>
      <c r="C853">
        <v>15</v>
      </c>
      <c r="D853">
        <v>104</v>
      </c>
      <c r="E853" t="s">
        <v>698</v>
      </c>
      <c r="F853">
        <v>237</v>
      </c>
      <c r="G853">
        <v>0.25</v>
      </c>
      <c r="H853" s="4">
        <f t="shared" ca="1" si="13"/>
        <v>317</v>
      </c>
      <c r="I853" s="4">
        <v>87.98</v>
      </c>
    </row>
    <row r="854" spans="1:9" x14ac:dyDescent="0.25">
      <c r="A854">
        <v>86563</v>
      </c>
      <c r="B854">
        <v>18</v>
      </c>
      <c r="C854">
        <v>15</v>
      </c>
      <c r="D854">
        <v>103</v>
      </c>
      <c r="E854" t="s">
        <v>696</v>
      </c>
      <c r="F854">
        <v>40</v>
      </c>
      <c r="G854">
        <v>0.25</v>
      </c>
      <c r="H854" s="4">
        <f t="shared" ca="1" si="13"/>
        <v>260</v>
      </c>
      <c r="I854" s="4">
        <v>37.68</v>
      </c>
    </row>
    <row r="855" spans="1:9" x14ac:dyDescent="0.25">
      <c r="A855">
        <v>86563</v>
      </c>
      <c r="B855">
        <v>66</v>
      </c>
      <c r="C855">
        <v>15</v>
      </c>
      <c r="D855">
        <v>105</v>
      </c>
      <c r="E855" t="s">
        <v>697</v>
      </c>
      <c r="F855">
        <v>179</v>
      </c>
      <c r="G855">
        <v>0</v>
      </c>
      <c r="H855" s="4">
        <f t="shared" ca="1" si="13"/>
        <v>207</v>
      </c>
      <c r="I855" s="4">
        <v>75.84</v>
      </c>
    </row>
    <row r="856" spans="1:9" x14ac:dyDescent="0.25">
      <c r="A856">
        <v>96352</v>
      </c>
      <c r="B856">
        <v>57</v>
      </c>
      <c r="C856">
        <v>15</v>
      </c>
      <c r="D856">
        <v>104</v>
      </c>
      <c r="E856" t="s">
        <v>694</v>
      </c>
      <c r="F856">
        <v>143</v>
      </c>
      <c r="G856">
        <v>0</v>
      </c>
      <c r="H856" s="4">
        <f t="shared" ca="1" si="13"/>
        <v>202</v>
      </c>
      <c r="I856" s="4">
        <v>80.08</v>
      </c>
    </row>
    <row r="857" spans="1:9" x14ac:dyDescent="0.25">
      <c r="A857">
        <v>48256</v>
      </c>
      <c r="B857">
        <v>2</v>
      </c>
      <c r="C857">
        <v>15</v>
      </c>
      <c r="D857">
        <v>103</v>
      </c>
      <c r="E857" t="s">
        <v>694</v>
      </c>
      <c r="F857">
        <v>102</v>
      </c>
      <c r="G857">
        <v>0</v>
      </c>
      <c r="H857" s="4">
        <f t="shared" ca="1" si="13"/>
        <v>256</v>
      </c>
      <c r="I857" s="4">
        <v>63.36</v>
      </c>
    </row>
    <row r="858" spans="1:9" x14ac:dyDescent="0.25">
      <c r="A858">
        <v>86563</v>
      </c>
      <c r="B858">
        <v>12</v>
      </c>
      <c r="C858">
        <v>15</v>
      </c>
      <c r="D858">
        <v>102</v>
      </c>
      <c r="E858" t="s">
        <v>700</v>
      </c>
      <c r="F858">
        <v>204</v>
      </c>
      <c r="G858">
        <v>0</v>
      </c>
      <c r="H858" s="4">
        <f t="shared" ca="1" si="13"/>
        <v>285</v>
      </c>
      <c r="I858" s="4">
        <v>95.68</v>
      </c>
    </row>
    <row r="859" spans="1:9" x14ac:dyDescent="0.25">
      <c r="A859">
        <v>48256</v>
      </c>
      <c r="B859">
        <v>20</v>
      </c>
      <c r="C859">
        <v>15</v>
      </c>
      <c r="D859">
        <v>105</v>
      </c>
      <c r="E859" t="s">
        <v>693</v>
      </c>
      <c r="F859">
        <v>199</v>
      </c>
      <c r="G859">
        <v>0.25</v>
      </c>
      <c r="H859" s="4">
        <f t="shared" ca="1" si="13"/>
        <v>274</v>
      </c>
      <c r="I859" s="4">
        <v>60.4</v>
      </c>
    </row>
    <row r="860" spans="1:9" x14ac:dyDescent="0.25">
      <c r="A860">
        <v>86563</v>
      </c>
      <c r="B860">
        <v>18</v>
      </c>
      <c r="C860">
        <v>15</v>
      </c>
      <c r="D860">
        <v>108</v>
      </c>
      <c r="E860" t="s">
        <v>691</v>
      </c>
      <c r="F860">
        <v>59</v>
      </c>
      <c r="G860">
        <v>0.1</v>
      </c>
      <c r="H860" s="4">
        <f t="shared" ca="1" si="13"/>
        <v>349</v>
      </c>
      <c r="I860" s="4">
        <v>49.59</v>
      </c>
    </row>
    <row r="861" spans="1:9" x14ac:dyDescent="0.25">
      <c r="A861">
        <v>86563</v>
      </c>
      <c r="B861">
        <v>65</v>
      </c>
      <c r="C861">
        <v>15</v>
      </c>
      <c r="D861">
        <v>106</v>
      </c>
      <c r="E861" t="s">
        <v>694</v>
      </c>
      <c r="F861">
        <v>187</v>
      </c>
      <c r="G861">
        <v>0.25</v>
      </c>
      <c r="H861" s="4">
        <f t="shared" ca="1" si="13"/>
        <v>120</v>
      </c>
      <c r="I861" s="4">
        <v>61.2</v>
      </c>
    </row>
    <row r="862" spans="1:9" x14ac:dyDescent="0.25">
      <c r="A862">
        <v>48256</v>
      </c>
      <c r="B862">
        <v>33</v>
      </c>
      <c r="C862">
        <v>15</v>
      </c>
      <c r="D862">
        <v>105</v>
      </c>
      <c r="E862" t="s">
        <v>695</v>
      </c>
      <c r="F862">
        <v>83</v>
      </c>
      <c r="G862">
        <v>0.1</v>
      </c>
      <c r="H862" s="4">
        <f t="shared" ca="1" si="13"/>
        <v>172</v>
      </c>
      <c r="I862" s="4">
        <v>42</v>
      </c>
    </row>
    <row r="863" spans="1:9" x14ac:dyDescent="0.25">
      <c r="A863">
        <v>86563</v>
      </c>
      <c r="B863">
        <v>43</v>
      </c>
      <c r="C863">
        <v>15</v>
      </c>
      <c r="D863">
        <v>101</v>
      </c>
      <c r="E863" t="s">
        <v>694</v>
      </c>
      <c r="F863">
        <v>74</v>
      </c>
      <c r="G863">
        <v>0</v>
      </c>
      <c r="H863" s="4">
        <f t="shared" ca="1" si="13"/>
        <v>339</v>
      </c>
      <c r="I863" s="4">
        <v>35.200000000000003</v>
      </c>
    </row>
    <row r="864" spans="1:9" x14ac:dyDescent="0.25">
      <c r="A864">
        <v>48256</v>
      </c>
      <c r="B864">
        <v>37</v>
      </c>
      <c r="C864">
        <v>15</v>
      </c>
      <c r="D864">
        <v>102</v>
      </c>
      <c r="E864" t="s">
        <v>691</v>
      </c>
      <c r="F864">
        <v>190</v>
      </c>
      <c r="G864">
        <v>0</v>
      </c>
      <c r="H864" s="4">
        <f t="shared" ca="1" si="13"/>
        <v>204</v>
      </c>
      <c r="I864" s="4">
        <v>93.52</v>
      </c>
    </row>
    <row r="865" spans="1:9" x14ac:dyDescent="0.25">
      <c r="A865">
        <v>86563</v>
      </c>
      <c r="B865">
        <v>51</v>
      </c>
      <c r="C865">
        <v>15</v>
      </c>
      <c r="D865">
        <v>101</v>
      </c>
      <c r="E865" t="s">
        <v>695</v>
      </c>
      <c r="F865">
        <v>11</v>
      </c>
      <c r="G865">
        <v>0</v>
      </c>
      <c r="H865" s="4">
        <f t="shared" ca="1" si="13"/>
        <v>47</v>
      </c>
      <c r="I865" s="4">
        <v>52.2</v>
      </c>
    </row>
    <row r="866" spans="1:9" x14ac:dyDescent="0.25">
      <c r="A866">
        <v>96352</v>
      </c>
      <c r="B866">
        <v>60</v>
      </c>
      <c r="C866">
        <v>15</v>
      </c>
      <c r="D866">
        <v>108</v>
      </c>
      <c r="E866" t="s">
        <v>697</v>
      </c>
      <c r="F866">
        <v>117</v>
      </c>
      <c r="G866">
        <v>0.25</v>
      </c>
      <c r="H866" s="4">
        <f t="shared" ca="1" si="13"/>
        <v>290</v>
      </c>
      <c r="I866" s="4">
        <v>79.87</v>
      </c>
    </row>
    <row r="867" spans="1:9" x14ac:dyDescent="0.25">
      <c r="A867">
        <v>96352</v>
      </c>
      <c r="B867">
        <v>65</v>
      </c>
      <c r="C867">
        <v>15</v>
      </c>
      <c r="D867">
        <v>108</v>
      </c>
      <c r="E867" t="s">
        <v>700</v>
      </c>
      <c r="F867">
        <v>112</v>
      </c>
      <c r="G867">
        <v>0</v>
      </c>
      <c r="H867" s="4">
        <f t="shared" ca="1" si="13"/>
        <v>86</v>
      </c>
      <c r="I867" s="4">
        <v>44.75</v>
      </c>
    </row>
    <row r="868" spans="1:9" x14ac:dyDescent="0.25">
      <c r="A868">
        <v>48256</v>
      </c>
      <c r="B868">
        <v>42</v>
      </c>
      <c r="C868">
        <v>15</v>
      </c>
      <c r="D868">
        <v>106</v>
      </c>
      <c r="E868" t="s">
        <v>696</v>
      </c>
      <c r="F868">
        <v>206</v>
      </c>
      <c r="G868">
        <v>0</v>
      </c>
      <c r="H868" s="4">
        <f t="shared" ca="1" si="13"/>
        <v>148</v>
      </c>
      <c r="I868" s="4">
        <v>70.650000000000006</v>
      </c>
    </row>
    <row r="869" spans="1:9" x14ac:dyDescent="0.25">
      <c r="A869">
        <v>86563</v>
      </c>
      <c r="B869">
        <v>41</v>
      </c>
      <c r="C869">
        <v>15</v>
      </c>
      <c r="D869">
        <v>104</v>
      </c>
      <c r="E869" t="s">
        <v>692</v>
      </c>
      <c r="F869">
        <v>106</v>
      </c>
      <c r="G869">
        <v>0</v>
      </c>
      <c r="H869" s="4">
        <f t="shared" ca="1" si="13"/>
        <v>176</v>
      </c>
      <c r="I869" s="4">
        <v>16</v>
      </c>
    </row>
    <row r="870" spans="1:9" x14ac:dyDescent="0.25">
      <c r="A870">
        <v>48256</v>
      </c>
      <c r="B870">
        <v>41</v>
      </c>
      <c r="C870">
        <v>15</v>
      </c>
      <c r="D870">
        <v>108</v>
      </c>
      <c r="E870" t="s">
        <v>697</v>
      </c>
      <c r="F870">
        <v>141</v>
      </c>
      <c r="G870">
        <v>0</v>
      </c>
      <c r="H870" s="4">
        <f t="shared" ca="1" si="13"/>
        <v>311</v>
      </c>
      <c r="I870" s="4">
        <v>104.31</v>
      </c>
    </row>
    <row r="871" spans="1:9" x14ac:dyDescent="0.25">
      <c r="A871">
        <v>48256</v>
      </c>
      <c r="B871">
        <v>16</v>
      </c>
      <c r="C871">
        <v>15</v>
      </c>
      <c r="D871">
        <v>107</v>
      </c>
      <c r="E871" t="s">
        <v>693</v>
      </c>
      <c r="F871">
        <v>37</v>
      </c>
      <c r="G871">
        <v>0</v>
      </c>
      <c r="H871" s="4">
        <f t="shared" ca="1" si="13"/>
        <v>179</v>
      </c>
      <c r="I871" s="4">
        <v>20.79</v>
      </c>
    </row>
    <row r="872" spans="1:9" x14ac:dyDescent="0.25">
      <c r="A872">
        <v>86563</v>
      </c>
      <c r="B872">
        <v>14</v>
      </c>
      <c r="C872">
        <v>15</v>
      </c>
      <c r="D872">
        <v>103</v>
      </c>
      <c r="E872" t="s">
        <v>692</v>
      </c>
      <c r="F872">
        <v>214</v>
      </c>
      <c r="G872">
        <v>0.25</v>
      </c>
      <c r="H872" s="4">
        <f t="shared" ca="1" si="13"/>
        <v>147</v>
      </c>
      <c r="I872" s="4">
        <v>73.319999999999993</v>
      </c>
    </row>
    <row r="873" spans="1:9" x14ac:dyDescent="0.25">
      <c r="A873">
        <v>96352</v>
      </c>
      <c r="B873">
        <v>16</v>
      </c>
      <c r="C873">
        <v>15</v>
      </c>
      <c r="D873">
        <v>104</v>
      </c>
      <c r="E873" t="s">
        <v>693</v>
      </c>
      <c r="F873">
        <v>223</v>
      </c>
      <c r="G873">
        <v>0.25</v>
      </c>
      <c r="H873" s="4">
        <f t="shared" ca="1" si="13"/>
        <v>260</v>
      </c>
      <c r="I873" s="4">
        <v>22.4</v>
      </c>
    </row>
    <row r="874" spans="1:9" x14ac:dyDescent="0.25">
      <c r="A874">
        <v>86563</v>
      </c>
      <c r="B874">
        <v>59</v>
      </c>
      <c r="C874">
        <v>15</v>
      </c>
      <c r="D874">
        <v>102</v>
      </c>
      <c r="E874" t="s">
        <v>699</v>
      </c>
      <c r="F874">
        <v>82</v>
      </c>
      <c r="G874">
        <v>0.1</v>
      </c>
      <c r="H874" s="4">
        <f t="shared" ca="1" si="13"/>
        <v>230</v>
      </c>
      <c r="I874" s="4">
        <v>46.2</v>
      </c>
    </row>
    <row r="875" spans="1:9" x14ac:dyDescent="0.25">
      <c r="A875">
        <v>86563</v>
      </c>
      <c r="B875">
        <v>39</v>
      </c>
      <c r="C875">
        <v>15</v>
      </c>
      <c r="D875">
        <v>107</v>
      </c>
      <c r="E875" t="s">
        <v>690</v>
      </c>
      <c r="F875">
        <v>130</v>
      </c>
      <c r="G875">
        <v>0.25</v>
      </c>
      <c r="H875" s="4">
        <f t="shared" ca="1" si="13"/>
        <v>172</v>
      </c>
      <c r="I875" s="4">
        <v>78.959999999999994</v>
      </c>
    </row>
    <row r="876" spans="1:9" x14ac:dyDescent="0.25">
      <c r="A876">
        <v>86563</v>
      </c>
      <c r="B876">
        <v>62</v>
      </c>
      <c r="C876">
        <v>15</v>
      </c>
      <c r="D876">
        <v>102</v>
      </c>
      <c r="E876" t="s">
        <v>691</v>
      </c>
      <c r="F876">
        <v>249</v>
      </c>
      <c r="G876">
        <v>0.25</v>
      </c>
      <c r="H876" s="4">
        <f t="shared" ca="1" si="13"/>
        <v>315</v>
      </c>
      <c r="I876" s="4">
        <v>61.56</v>
      </c>
    </row>
    <row r="877" spans="1:9" x14ac:dyDescent="0.25">
      <c r="A877">
        <v>48256</v>
      </c>
      <c r="B877">
        <v>52</v>
      </c>
      <c r="C877">
        <v>15</v>
      </c>
      <c r="D877">
        <v>104</v>
      </c>
      <c r="E877" t="s">
        <v>692</v>
      </c>
      <c r="F877">
        <v>115</v>
      </c>
      <c r="G877">
        <v>0.1</v>
      </c>
      <c r="H877" s="4">
        <f t="shared" ca="1" si="13"/>
        <v>215</v>
      </c>
      <c r="I877" s="4">
        <v>83</v>
      </c>
    </row>
    <row r="878" spans="1:9" x14ac:dyDescent="0.25">
      <c r="A878">
        <v>96352</v>
      </c>
      <c r="B878">
        <v>26</v>
      </c>
      <c r="C878">
        <v>15</v>
      </c>
      <c r="D878">
        <v>105</v>
      </c>
      <c r="E878" t="s">
        <v>695</v>
      </c>
      <c r="F878">
        <v>110</v>
      </c>
      <c r="G878">
        <v>0.1</v>
      </c>
      <c r="H878" s="4">
        <f t="shared" ca="1" si="13"/>
        <v>227</v>
      </c>
      <c r="I878" s="4">
        <v>51.84</v>
      </c>
    </row>
    <row r="879" spans="1:9" x14ac:dyDescent="0.25">
      <c r="A879">
        <v>86563</v>
      </c>
      <c r="B879">
        <v>61</v>
      </c>
      <c r="C879">
        <v>15</v>
      </c>
      <c r="D879">
        <v>103</v>
      </c>
      <c r="E879" t="s">
        <v>693</v>
      </c>
      <c r="F879">
        <v>11</v>
      </c>
      <c r="G879">
        <v>0</v>
      </c>
      <c r="H879" s="4">
        <f t="shared" ca="1" si="13"/>
        <v>57</v>
      </c>
      <c r="I879" s="4">
        <v>57.28</v>
      </c>
    </row>
    <row r="880" spans="1:9" x14ac:dyDescent="0.25">
      <c r="A880">
        <v>48256</v>
      </c>
      <c r="B880">
        <v>48</v>
      </c>
      <c r="C880">
        <v>15</v>
      </c>
      <c r="D880">
        <v>106</v>
      </c>
      <c r="E880" t="s">
        <v>695</v>
      </c>
      <c r="F880">
        <v>55</v>
      </c>
      <c r="G880">
        <v>0</v>
      </c>
      <c r="H880" s="4">
        <f t="shared" ca="1" si="13"/>
        <v>229</v>
      </c>
      <c r="I880" s="4">
        <v>23.7</v>
      </c>
    </row>
    <row r="881" spans="1:9" x14ac:dyDescent="0.25">
      <c r="A881">
        <v>96352</v>
      </c>
      <c r="B881">
        <v>21</v>
      </c>
      <c r="C881">
        <v>15</v>
      </c>
      <c r="D881">
        <v>102</v>
      </c>
      <c r="E881" t="s">
        <v>696</v>
      </c>
      <c r="F881">
        <v>66</v>
      </c>
      <c r="G881">
        <v>0.25</v>
      </c>
      <c r="H881" s="4">
        <f t="shared" ca="1" si="13"/>
        <v>293</v>
      </c>
      <c r="I881" s="4">
        <v>85.28</v>
      </c>
    </row>
    <row r="882" spans="1:9" x14ac:dyDescent="0.25">
      <c r="A882">
        <v>86563</v>
      </c>
      <c r="B882">
        <v>59</v>
      </c>
      <c r="C882">
        <v>15</v>
      </c>
      <c r="D882">
        <v>104</v>
      </c>
      <c r="E882" t="s">
        <v>691</v>
      </c>
      <c r="F882">
        <v>20</v>
      </c>
      <c r="G882">
        <v>0</v>
      </c>
      <c r="H882" s="4">
        <f t="shared" ca="1" si="13"/>
        <v>27</v>
      </c>
      <c r="I882" s="4">
        <v>39.79</v>
      </c>
    </row>
    <row r="883" spans="1:9" x14ac:dyDescent="0.25">
      <c r="A883">
        <v>96352</v>
      </c>
      <c r="B883">
        <v>8</v>
      </c>
      <c r="C883">
        <v>15</v>
      </c>
      <c r="D883">
        <v>101</v>
      </c>
      <c r="E883" t="s">
        <v>694</v>
      </c>
      <c r="F883">
        <v>214</v>
      </c>
      <c r="G883">
        <v>0</v>
      </c>
      <c r="H883" s="4">
        <f t="shared" ca="1" si="13"/>
        <v>340</v>
      </c>
      <c r="I883" s="4">
        <v>60.9</v>
      </c>
    </row>
    <row r="884" spans="1:9" x14ac:dyDescent="0.25">
      <c r="A884">
        <v>86563</v>
      </c>
      <c r="B884">
        <v>48</v>
      </c>
      <c r="C884">
        <v>15</v>
      </c>
      <c r="D884">
        <v>103</v>
      </c>
      <c r="E884" t="s">
        <v>695</v>
      </c>
      <c r="F884">
        <v>250</v>
      </c>
      <c r="G884">
        <v>0.1</v>
      </c>
      <c r="H884" s="4">
        <f t="shared" ca="1" si="13"/>
        <v>255</v>
      </c>
      <c r="I884" s="4">
        <v>38.43</v>
      </c>
    </row>
    <row r="885" spans="1:9" x14ac:dyDescent="0.25">
      <c r="A885">
        <v>48256</v>
      </c>
      <c r="B885">
        <v>43</v>
      </c>
      <c r="C885">
        <v>15</v>
      </c>
      <c r="D885">
        <v>103</v>
      </c>
      <c r="E885" t="s">
        <v>698</v>
      </c>
      <c r="F885">
        <v>147</v>
      </c>
      <c r="G885">
        <v>0</v>
      </c>
      <c r="H885" s="4">
        <f t="shared" ca="1" si="13"/>
        <v>218</v>
      </c>
      <c r="I885" s="4">
        <v>52.92</v>
      </c>
    </row>
    <row r="886" spans="1:9" x14ac:dyDescent="0.25">
      <c r="A886">
        <v>96352</v>
      </c>
      <c r="B886">
        <v>4</v>
      </c>
      <c r="C886">
        <v>15</v>
      </c>
      <c r="D886">
        <v>101</v>
      </c>
      <c r="E886" t="s">
        <v>690</v>
      </c>
      <c r="F886">
        <v>160</v>
      </c>
      <c r="G886">
        <v>0.1</v>
      </c>
      <c r="H886" s="4">
        <f t="shared" ca="1" si="13"/>
        <v>184</v>
      </c>
      <c r="I886" s="4">
        <v>65.91</v>
      </c>
    </row>
    <row r="887" spans="1:9" x14ac:dyDescent="0.25">
      <c r="A887">
        <v>48256</v>
      </c>
      <c r="B887">
        <v>33</v>
      </c>
      <c r="C887">
        <v>15</v>
      </c>
      <c r="D887">
        <v>103</v>
      </c>
      <c r="E887" t="s">
        <v>700</v>
      </c>
      <c r="F887">
        <v>13</v>
      </c>
      <c r="G887">
        <v>0.1</v>
      </c>
      <c r="H887" s="4">
        <f t="shared" ca="1" si="13"/>
        <v>51</v>
      </c>
      <c r="I887" s="4">
        <v>42.93</v>
      </c>
    </row>
    <row r="888" spans="1:9" x14ac:dyDescent="0.25">
      <c r="A888">
        <v>86563</v>
      </c>
      <c r="B888">
        <v>2</v>
      </c>
      <c r="C888">
        <v>15</v>
      </c>
      <c r="D888">
        <v>102</v>
      </c>
      <c r="E888" t="s">
        <v>691</v>
      </c>
      <c r="F888">
        <v>240</v>
      </c>
      <c r="G888">
        <v>0.1</v>
      </c>
      <c r="H888" s="4">
        <f t="shared" ca="1" si="13"/>
        <v>252</v>
      </c>
      <c r="I888" s="4">
        <v>43.25</v>
      </c>
    </row>
    <row r="889" spans="1:9" x14ac:dyDescent="0.25">
      <c r="A889">
        <v>86563</v>
      </c>
      <c r="B889">
        <v>67</v>
      </c>
      <c r="C889">
        <v>15</v>
      </c>
      <c r="D889">
        <v>105</v>
      </c>
      <c r="E889" t="s">
        <v>690</v>
      </c>
      <c r="F889">
        <v>60</v>
      </c>
      <c r="G889">
        <v>0.1</v>
      </c>
      <c r="H889" s="4">
        <f t="shared" ca="1" si="13"/>
        <v>123</v>
      </c>
      <c r="I889" s="4">
        <v>48.1</v>
      </c>
    </row>
    <row r="890" spans="1:9" x14ac:dyDescent="0.25">
      <c r="A890">
        <v>86563</v>
      </c>
      <c r="B890">
        <v>11</v>
      </c>
      <c r="C890">
        <v>15</v>
      </c>
      <c r="D890">
        <v>103</v>
      </c>
      <c r="E890" t="s">
        <v>691</v>
      </c>
      <c r="F890">
        <v>162</v>
      </c>
      <c r="G890">
        <v>0.25</v>
      </c>
      <c r="H890" s="4">
        <f t="shared" ca="1" si="13"/>
        <v>278</v>
      </c>
      <c r="I890" s="4">
        <v>92.95</v>
      </c>
    </row>
    <row r="891" spans="1:9" x14ac:dyDescent="0.25">
      <c r="A891">
        <v>48256</v>
      </c>
      <c r="B891">
        <v>65</v>
      </c>
      <c r="C891">
        <v>15</v>
      </c>
      <c r="D891">
        <v>102</v>
      </c>
      <c r="E891" t="s">
        <v>691</v>
      </c>
      <c r="F891">
        <v>243</v>
      </c>
      <c r="G891">
        <v>0</v>
      </c>
      <c r="H891" s="4">
        <f t="shared" ca="1" si="13"/>
        <v>296</v>
      </c>
      <c r="I891" s="4">
        <v>50.68</v>
      </c>
    </row>
    <row r="892" spans="1:9" x14ac:dyDescent="0.25">
      <c r="A892">
        <v>96352</v>
      </c>
      <c r="B892">
        <v>37</v>
      </c>
      <c r="C892">
        <v>15</v>
      </c>
      <c r="D892">
        <v>103</v>
      </c>
      <c r="E892" t="s">
        <v>696</v>
      </c>
      <c r="F892">
        <v>54</v>
      </c>
      <c r="G892">
        <v>0.25</v>
      </c>
      <c r="H892" s="4">
        <f t="shared" ca="1" si="13"/>
        <v>154</v>
      </c>
      <c r="I892" s="4">
        <v>42.64</v>
      </c>
    </row>
    <row r="893" spans="1:9" x14ac:dyDescent="0.25">
      <c r="A893">
        <v>48256</v>
      </c>
      <c r="B893">
        <v>41</v>
      </c>
      <c r="C893">
        <v>15</v>
      </c>
      <c r="D893">
        <v>106</v>
      </c>
      <c r="E893" t="s">
        <v>692</v>
      </c>
      <c r="F893">
        <v>77</v>
      </c>
      <c r="G893">
        <v>0.25</v>
      </c>
      <c r="H893" s="4">
        <f t="shared" ca="1" si="13"/>
        <v>141</v>
      </c>
      <c r="I893" s="4">
        <v>27.54</v>
      </c>
    </row>
    <row r="894" spans="1:9" x14ac:dyDescent="0.25">
      <c r="A894">
        <v>48256</v>
      </c>
      <c r="B894">
        <v>63</v>
      </c>
      <c r="C894">
        <v>15</v>
      </c>
      <c r="D894">
        <v>104</v>
      </c>
      <c r="E894" t="s">
        <v>698</v>
      </c>
      <c r="F894">
        <v>137</v>
      </c>
      <c r="G894">
        <v>0</v>
      </c>
      <c r="H894" s="4">
        <f t="shared" ca="1" si="13"/>
        <v>82</v>
      </c>
      <c r="I894" s="4">
        <v>51.84</v>
      </c>
    </row>
    <row r="895" spans="1:9" x14ac:dyDescent="0.25">
      <c r="A895">
        <v>96352</v>
      </c>
      <c r="B895">
        <v>1</v>
      </c>
      <c r="C895">
        <v>15</v>
      </c>
      <c r="D895">
        <v>105</v>
      </c>
      <c r="E895" t="s">
        <v>700</v>
      </c>
      <c r="F895">
        <v>68</v>
      </c>
      <c r="G895">
        <v>0.25</v>
      </c>
      <c r="H895" s="4">
        <f t="shared" ca="1" si="13"/>
        <v>233</v>
      </c>
      <c r="I895" s="4">
        <v>84.48</v>
      </c>
    </row>
    <row r="896" spans="1:9" x14ac:dyDescent="0.25">
      <c r="A896">
        <v>96352</v>
      </c>
      <c r="B896">
        <v>28</v>
      </c>
      <c r="C896">
        <v>15</v>
      </c>
      <c r="D896">
        <v>104</v>
      </c>
      <c r="E896" t="s">
        <v>693</v>
      </c>
      <c r="F896">
        <v>127</v>
      </c>
      <c r="G896">
        <v>0.1</v>
      </c>
      <c r="H896" s="4">
        <f t="shared" ca="1" si="13"/>
        <v>98</v>
      </c>
      <c r="I896" s="4">
        <v>69.08</v>
      </c>
    </row>
    <row r="897" spans="1:9" x14ac:dyDescent="0.25">
      <c r="A897">
        <v>48256</v>
      </c>
      <c r="B897">
        <v>4</v>
      </c>
      <c r="C897">
        <v>15</v>
      </c>
      <c r="D897">
        <v>107</v>
      </c>
      <c r="E897" t="s">
        <v>694</v>
      </c>
      <c r="F897">
        <v>70</v>
      </c>
      <c r="G897">
        <v>0.1</v>
      </c>
      <c r="H897" s="4">
        <f t="shared" ca="1" si="13"/>
        <v>249</v>
      </c>
      <c r="I897" s="4">
        <v>50.75</v>
      </c>
    </row>
    <row r="898" spans="1:9" x14ac:dyDescent="0.25">
      <c r="A898">
        <v>86563</v>
      </c>
      <c r="B898">
        <v>67</v>
      </c>
      <c r="C898">
        <v>15</v>
      </c>
      <c r="D898">
        <v>105</v>
      </c>
      <c r="E898" t="s">
        <v>699</v>
      </c>
      <c r="F898">
        <v>198</v>
      </c>
      <c r="G898">
        <v>0.25</v>
      </c>
      <c r="H898" s="4">
        <f t="shared" ref="H898:H905" ca="1" si="14">IF(F898&lt;=10,RANDBETWEEN(1,5),IF(F898&lt;=20,RANDBETWEEN(15,80),IF(F898&lt;=30,RANDBETWEEN(23,150),RANDBETWEEN(66,350))))</f>
        <v>113</v>
      </c>
      <c r="I898" s="4">
        <v>64.05</v>
      </c>
    </row>
    <row r="899" spans="1:9" x14ac:dyDescent="0.25">
      <c r="A899">
        <v>96352</v>
      </c>
      <c r="B899">
        <v>53</v>
      </c>
      <c r="C899">
        <v>15</v>
      </c>
      <c r="D899">
        <v>106</v>
      </c>
      <c r="E899" t="s">
        <v>694</v>
      </c>
      <c r="F899">
        <v>128</v>
      </c>
      <c r="G899">
        <v>0.1</v>
      </c>
      <c r="H899" s="4">
        <f t="shared" ca="1" si="14"/>
        <v>89</v>
      </c>
      <c r="I899" s="4">
        <v>83.16</v>
      </c>
    </row>
    <row r="900" spans="1:9" x14ac:dyDescent="0.25">
      <c r="A900">
        <v>96352</v>
      </c>
      <c r="B900">
        <v>14</v>
      </c>
      <c r="C900">
        <v>15</v>
      </c>
      <c r="D900">
        <v>107</v>
      </c>
      <c r="E900" t="s">
        <v>694</v>
      </c>
      <c r="F900">
        <v>19</v>
      </c>
      <c r="G900">
        <v>0</v>
      </c>
      <c r="H900" s="4">
        <f t="shared" ca="1" si="14"/>
        <v>57</v>
      </c>
      <c r="I900" s="4">
        <v>93.84</v>
      </c>
    </row>
    <row r="901" spans="1:9" x14ac:dyDescent="0.25">
      <c r="A901">
        <v>86563</v>
      </c>
      <c r="B901">
        <v>69</v>
      </c>
      <c r="C901">
        <v>15</v>
      </c>
      <c r="D901">
        <v>108</v>
      </c>
      <c r="E901" t="s">
        <v>696</v>
      </c>
      <c r="F901">
        <v>72</v>
      </c>
      <c r="G901">
        <v>0.1</v>
      </c>
      <c r="H901" s="4">
        <f t="shared" ca="1" si="14"/>
        <v>233</v>
      </c>
      <c r="I901" s="4">
        <v>77.28</v>
      </c>
    </row>
    <row r="902" spans="1:9" x14ac:dyDescent="0.25">
      <c r="A902">
        <v>96352</v>
      </c>
      <c r="B902">
        <v>55</v>
      </c>
      <c r="C902">
        <v>15</v>
      </c>
      <c r="D902">
        <v>103</v>
      </c>
      <c r="E902" t="s">
        <v>692</v>
      </c>
      <c r="F902">
        <v>168</v>
      </c>
      <c r="G902">
        <v>0</v>
      </c>
      <c r="H902" s="4">
        <f t="shared" ca="1" si="14"/>
        <v>185</v>
      </c>
      <c r="I902" s="4">
        <v>39.6</v>
      </c>
    </row>
    <row r="903" spans="1:9" x14ac:dyDescent="0.25">
      <c r="A903">
        <v>48256</v>
      </c>
      <c r="B903">
        <v>60</v>
      </c>
      <c r="C903">
        <v>15</v>
      </c>
      <c r="D903">
        <v>102</v>
      </c>
      <c r="E903" t="s">
        <v>697</v>
      </c>
      <c r="F903">
        <v>1</v>
      </c>
      <c r="G903">
        <v>0</v>
      </c>
      <c r="H903" s="4">
        <f t="shared" ca="1" si="14"/>
        <v>3</v>
      </c>
      <c r="I903" s="4">
        <v>17.93</v>
      </c>
    </row>
    <row r="904" spans="1:9" x14ac:dyDescent="0.25">
      <c r="A904">
        <v>96352</v>
      </c>
      <c r="B904">
        <v>61</v>
      </c>
      <c r="C904">
        <v>15</v>
      </c>
      <c r="D904">
        <v>103</v>
      </c>
      <c r="E904" t="s">
        <v>697</v>
      </c>
      <c r="F904">
        <v>232</v>
      </c>
      <c r="G904">
        <v>0.1</v>
      </c>
      <c r="H904" s="4">
        <f t="shared" ca="1" si="14"/>
        <v>316</v>
      </c>
      <c r="I904" s="4">
        <v>35.72</v>
      </c>
    </row>
    <row r="905" spans="1:9" x14ac:dyDescent="0.25">
      <c r="A905">
        <v>86563</v>
      </c>
      <c r="B905">
        <v>63</v>
      </c>
      <c r="C905">
        <v>15</v>
      </c>
      <c r="D905">
        <v>108</v>
      </c>
      <c r="E905" t="s">
        <v>694</v>
      </c>
      <c r="F905">
        <v>64</v>
      </c>
      <c r="G905">
        <v>0.1</v>
      </c>
      <c r="H905" s="4">
        <f t="shared" ca="1" si="14"/>
        <v>231</v>
      </c>
      <c r="I905" s="4">
        <v>65.36</v>
      </c>
    </row>
  </sheetData>
  <sortState xmlns:xlrd2="http://schemas.microsoft.com/office/spreadsheetml/2017/richdata2" ref="A2:I905">
    <sortCondition ref="C5:C90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A59-7828-48B0-89A3-78DFCB867BFB}">
  <dimension ref="A1:H11"/>
  <sheetViews>
    <sheetView zoomScale="190" zoomScaleNormal="190" workbookViewId="0">
      <selection activeCell="C4" sqref="C4"/>
    </sheetView>
  </sheetViews>
  <sheetFormatPr defaultRowHeight="15" x14ac:dyDescent="0.25"/>
  <cols>
    <col min="3" max="3" width="24" customWidth="1"/>
    <col min="4" max="4" width="19" customWidth="1"/>
    <col min="5" max="5" width="19" bestFit="1" customWidth="1"/>
    <col min="6" max="6" width="12" bestFit="1" customWidth="1"/>
    <col min="7" max="7" width="11.28515625" bestFit="1" customWidth="1"/>
  </cols>
  <sheetData>
    <row r="1" spans="1:8" x14ac:dyDescent="0.25">
      <c r="A1" s="12" t="s">
        <v>59</v>
      </c>
      <c r="B1" s="12" t="s">
        <v>19</v>
      </c>
      <c r="C1" s="12" t="s">
        <v>115</v>
      </c>
      <c r="D1" s="12" t="s">
        <v>686</v>
      </c>
      <c r="E1" s="12" t="s">
        <v>687</v>
      </c>
      <c r="F1" s="12" t="s">
        <v>113</v>
      </c>
      <c r="G1" s="12" t="s">
        <v>114</v>
      </c>
      <c r="H1" s="12" t="s">
        <v>30</v>
      </c>
    </row>
    <row r="2" spans="1:8" x14ac:dyDescent="0.25">
      <c r="A2">
        <v>1</v>
      </c>
      <c r="B2">
        <v>101</v>
      </c>
      <c r="C2" t="s">
        <v>10</v>
      </c>
      <c r="D2" s="4">
        <v>23</v>
      </c>
      <c r="E2" s="4">
        <v>9.9499999999999993</v>
      </c>
      <c r="F2" t="s">
        <v>11</v>
      </c>
      <c r="G2" t="s">
        <v>14</v>
      </c>
      <c r="H2">
        <v>86563</v>
      </c>
    </row>
    <row r="3" spans="1:8" x14ac:dyDescent="0.25">
      <c r="A3">
        <v>2</v>
      </c>
      <c r="B3">
        <v>102</v>
      </c>
      <c r="C3" t="s">
        <v>671</v>
      </c>
      <c r="D3" s="4">
        <v>15</v>
      </c>
      <c r="E3" s="4">
        <v>13.95</v>
      </c>
      <c r="F3" t="s">
        <v>12</v>
      </c>
      <c r="G3" t="s">
        <v>13</v>
      </c>
      <c r="H3">
        <v>96352</v>
      </c>
    </row>
    <row r="4" spans="1:8" x14ac:dyDescent="0.25">
      <c r="A4">
        <v>3</v>
      </c>
      <c r="B4">
        <v>103</v>
      </c>
      <c r="C4" t="s">
        <v>672</v>
      </c>
      <c r="D4" s="4">
        <v>28</v>
      </c>
      <c r="E4" s="4">
        <v>15</v>
      </c>
      <c r="F4" t="s">
        <v>12</v>
      </c>
      <c r="G4" t="s">
        <v>15</v>
      </c>
      <c r="H4">
        <v>48256</v>
      </c>
    </row>
    <row r="5" spans="1:8" x14ac:dyDescent="0.25">
      <c r="A5">
        <v>4</v>
      </c>
      <c r="B5">
        <v>104</v>
      </c>
      <c r="C5" t="s">
        <v>55</v>
      </c>
      <c r="D5" s="4">
        <v>5.9</v>
      </c>
      <c r="E5" s="4">
        <v>2.9</v>
      </c>
      <c r="F5" t="s">
        <v>56</v>
      </c>
      <c r="G5" t="s">
        <v>28</v>
      </c>
      <c r="H5">
        <v>96352</v>
      </c>
    </row>
    <row r="6" spans="1:8" x14ac:dyDescent="0.25">
      <c r="A6">
        <v>5</v>
      </c>
      <c r="B6">
        <v>105</v>
      </c>
      <c r="C6" t="s">
        <v>673</v>
      </c>
      <c r="D6" s="4">
        <v>15</v>
      </c>
      <c r="E6" s="4">
        <v>10</v>
      </c>
      <c r="F6" t="s">
        <v>8</v>
      </c>
      <c r="G6" t="s">
        <v>9</v>
      </c>
      <c r="H6">
        <v>86563</v>
      </c>
    </row>
    <row r="7" spans="1:8" x14ac:dyDescent="0.25">
      <c r="A7">
        <v>6</v>
      </c>
      <c r="B7">
        <v>106</v>
      </c>
      <c r="C7" t="s">
        <v>674</v>
      </c>
      <c r="D7" s="4">
        <v>25</v>
      </c>
      <c r="E7" s="4">
        <v>9.1</v>
      </c>
      <c r="F7" t="s">
        <v>8</v>
      </c>
      <c r="G7" t="s">
        <v>15</v>
      </c>
      <c r="H7">
        <v>96352</v>
      </c>
    </row>
    <row r="8" spans="1:8" x14ac:dyDescent="0.25">
      <c r="A8">
        <v>7</v>
      </c>
      <c r="B8">
        <v>107</v>
      </c>
      <c r="C8" t="s">
        <v>54</v>
      </c>
      <c r="D8" s="4">
        <v>15</v>
      </c>
      <c r="E8" s="4">
        <v>5.5</v>
      </c>
      <c r="F8" t="s">
        <v>12</v>
      </c>
      <c r="G8" t="s">
        <v>28</v>
      </c>
      <c r="H8">
        <v>96352</v>
      </c>
    </row>
    <row r="9" spans="1:8" x14ac:dyDescent="0.25">
      <c r="A9">
        <v>8</v>
      </c>
      <c r="B9">
        <v>108</v>
      </c>
      <c r="C9" t="s">
        <v>53</v>
      </c>
      <c r="D9" s="4">
        <v>5.5</v>
      </c>
      <c r="E9" s="4">
        <v>3.99</v>
      </c>
      <c r="F9" t="s">
        <v>11</v>
      </c>
      <c r="G9" t="s">
        <v>8</v>
      </c>
      <c r="H9">
        <v>48256</v>
      </c>
    </row>
    <row r="10" spans="1:8" x14ac:dyDescent="0.25">
      <c r="A10">
        <v>9</v>
      </c>
      <c r="B10">
        <v>109</v>
      </c>
      <c r="C10" t="s">
        <v>29</v>
      </c>
      <c r="D10" s="4">
        <v>36</v>
      </c>
      <c r="E10" s="4">
        <v>16.8</v>
      </c>
      <c r="F10" t="s">
        <v>13</v>
      </c>
      <c r="G10" t="s">
        <v>28</v>
      </c>
      <c r="H10">
        <v>86563</v>
      </c>
    </row>
    <row r="11" spans="1:8" x14ac:dyDescent="0.25">
      <c r="A11">
        <v>10</v>
      </c>
      <c r="B11">
        <v>110</v>
      </c>
      <c r="C11" t="s">
        <v>792</v>
      </c>
      <c r="D11" s="4">
        <v>51.5</v>
      </c>
      <c r="E11" s="4">
        <v>20.5</v>
      </c>
      <c r="F11" t="s">
        <v>12</v>
      </c>
      <c r="G11" t="s">
        <v>13</v>
      </c>
      <c r="H11">
        <v>86563</v>
      </c>
    </row>
  </sheetData>
  <sortState xmlns:xlrd2="http://schemas.microsoft.com/office/spreadsheetml/2017/richdata2" ref="B2:H10">
    <sortCondition ref="B7:B1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76AA-EABD-4F26-A3F2-806715996706}">
  <dimension ref="A1:M70"/>
  <sheetViews>
    <sheetView zoomScale="130" zoomScaleNormal="130" workbookViewId="0">
      <selection activeCell="F12" sqref="F12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18.7109375" customWidth="1"/>
    <col min="4" max="4" width="15.42578125" bestFit="1" customWidth="1"/>
    <col min="6" max="6" width="18" bestFit="1" customWidth="1"/>
    <col min="12" max="13" width="10" bestFit="1" customWidth="1"/>
  </cols>
  <sheetData>
    <row r="1" spans="1:13" x14ac:dyDescent="0.25">
      <c r="A1" t="s">
        <v>714</v>
      </c>
      <c r="B1" t="s">
        <v>729</v>
      </c>
      <c r="C1" t="s">
        <v>728</v>
      </c>
      <c r="D1" t="s">
        <v>106</v>
      </c>
      <c r="E1" t="s">
        <v>738</v>
      </c>
      <c r="F1" t="s">
        <v>727</v>
      </c>
      <c r="G1" t="s">
        <v>723</v>
      </c>
      <c r="H1" t="s">
        <v>724</v>
      </c>
      <c r="I1" t="s">
        <v>721</v>
      </c>
      <c r="J1" t="s">
        <v>722</v>
      </c>
      <c r="K1" t="s">
        <v>737</v>
      </c>
      <c r="L1" t="s">
        <v>725</v>
      </c>
      <c r="M1" t="s">
        <v>726</v>
      </c>
    </row>
    <row r="2" spans="1:13" x14ac:dyDescent="0.25">
      <c r="A2" t="str">
        <f t="shared" ref="A2:A33" si="0">B2&amp;LEFT(C2,1)&amp;LEFT(D2,1)&amp;RIGHT(D2,1)</f>
        <v>C00104CAa</v>
      </c>
      <c r="B2" t="str">
        <f t="shared" ref="B2:B33" si="1">LEFT(C2,1)&amp;"00"&amp;G2&amp;I2</f>
        <v>C00104</v>
      </c>
      <c r="C2" t="s">
        <v>741</v>
      </c>
      <c r="D2" t="s">
        <v>134</v>
      </c>
      <c r="E2" t="str">
        <f>VLOOKUP(D2,countrylist[[countryname]:[region]],4)</f>
        <v>South America</v>
      </c>
      <c r="F2" t="str">
        <f>VLOOKUP(D2,countrylist[[countryname]:[region]],5)</f>
        <v>South America</v>
      </c>
      <c r="G2">
        <v>10</v>
      </c>
      <c r="H2">
        <v>20</v>
      </c>
      <c r="I2">
        <v>4</v>
      </c>
      <c r="J2">
        <v>6</v>
      </c>
      <c r="K2">
        <v>2</v>
      </c>
      <c r="L2" s="8">
        <f t="shared" ref="L2:L33" ca="1" si="2">(RANDBETWEEN(600,700)*K2)</f>
        <v>1336</v>
      </c>
      <c r="M2" s="8">
        <f t="shared" ref="M2:M33" ca="1" si="3">(RANDBETWEEN(800,900)*K2)</f>
        <v>1748</v>
      </c>
    </row>
    <row r="3" spans="1:13" x14ac:dyDescent="0.25">
      <c r="A3" t="str">
        <f t="shared" si="0"/>
        <v>C00104CCa</v>
      </c>
      <c r="B3" t="str">
        <f t="shared" si="1"/>
        <v>C00104</v>
      </c>
      <c r="C3" t="s">
        <v>741</v>
      </c>
      <c r="D3" t="s">
        <v>96</v>
      </c>
      <c r="E3" t="str">
        <f>VLOOKUP(D3,countrylist[[countryname]:[region]],4)</f>
        <v>North America</v>
      </c>
      <c r="F3" t="str">
        <f>VLOOKUP(D3,countrylist[[countryname]:[region]],5)</f>
        <v>Northern America</v>
      </c>
      <c r="G3">
        <v>10</v>
      </c>
      <c r="H3">
        <v>20</v>
      </c>
      <c r="I3">
        <v>4</v>
      </c>
      <c r="J3">
        <v>6</v>
      </c>
      <c r="K3">
        <v>2</v>
      </c>
      <c r="L3" s="8">
        <f t="shared" ca="1" si="2"/>
        <v>1350</v>
      </c>
      <c r="M3" s="8">
        <f t="shared" ca="1" si="3"/>
        <v>1756</v>
      </c>
    </row>
    <row r="4" spans="1:13" x14ac:dyDescent="0.25">
      <c r="A4" t="str">
        <f t="shared" si="0"/>
        <v>C00104CDk</v>
      </c>
      <c r="B4" t="str">
        <f t="shared" si="1"/>
        <v>C00104</v>
      </c>
      <c r="C4" t="s">
        <v>741</v>
      </c>
      <c r="D4" t="s">
        <v>167</v>
      </c>
      <c r="E4" t="str">
        <f>VLOOKUP(D4,countrylist[[countryname]:[region]],4)</f>
        <v>Europe</v>
      </c>
      <c r="F4" t="str">
        <f>VLOOKUP(D4,countrylist[[countryname]:[region]],5)</f>
        <v>Northern Europe</v>
      </c>
      <c r="G4">
        <v>10</v>
      </c>
      <c r="H4">
        <v>20</v>
      </c>
      <c r="I4">
        <v>4</v>
      </c>
      <c r="J4">
        <v>6</v>
      </c>
      <c r="K4">
        <v>2</v>
      </c>
      <c r="L4" s="8">
        <f t="shared" ca="1" si="2"/>
        <v>1232</v>
      </c>
      <c r="M4" s="8">
        <f t="shared" ca="1" si="3"/>
        <v>1648</v>
      </c>
    </row>
    <row r="5" spans="1:13" x14ac:dyDescent="0.25">
      <c r="A5" t="str">
        <f t="shared" si="0"/>
        <v>C00104CGy</v>
      </c>
      <c r="B5" t="str">
        <f t="shared" si="1"/>
        <v>C00104</v>
      </c>
      <c r="C5" t="s">
        <v>741</v>
      </c>
      <c r="D5" t="s">
        <v>94</v>
      </c>
      <c r="E5" t="str">
        <f>VLOOKUP(D5,countrylist[[countryname]:[region]],4)</f>
        <v>Europe</v>
      </c>
      <c r="F5" t="str">
        <f>VLOOKUP(D5,countrylist[[countryname]:[region]],5)</f>
        <v>Western Europe</v>
      </c>
      <c r="G5">
        <v>10</v>
      </c>
      <c r="H5">
        <v>20</v>
      </c>
      <c r="I5">
        <v>4</v>
      </c>
      <c r="J5">
        <v>6</v>
      </c>
      <c r="K5">
        <v>5</v>
      </c>
      <c r="L5" s="8">
        <f t="shared" ca="1" si="2"/>
        <v>3410</v>
      </c>
      <c r="M5" s="8">
        <f t="shared" ca="1" si="3"/>
        <v>4220</v>
      </c>
    </row>
    <row r="6" spans="1:13" x14ac:dyDescent="0.25">
      <c r="A6" t="str">
        <f t="shared" si="0"/>
        <v>C00104CLa</v>
      </c>
      <c r="B6" t="str">
        <f t="shared" si="1"/>
        <v>C00104</v>
      </c>
      <c r="C6" t="s">
        <v>741</v>
      </c>
      <c r="D6" t="s">
        <v>211</v>
      </c>
      <c r="E6" t="str">
        <f>VLOOKUP(D6,countrylist[[countryname]:[region]],4)</f>
        <v>Europe</v>
      </c>
      <c r="F6" t="str">
        <f>VLOOKUP(D6,countrylist[[countryname]:[region]],5)</f>
        <v>Northern Europe</v>
      </c>
      <c r="G6">
        <v>10</v>
      </c>
      <c r="H6">
        <v>20</v>
      </c>
      <c r="I6">
        <v>4</v>
      </c>
      <c r="J6">
        <v>6</v>
      </c>
      <c r="K6">
        <v>1.5</v>
      </c>
      <c r="L6" s="8">
        <f t="shared" ca="1" si="2"/>
        <v>1026</v>
      </c>
      <c r="M6" s="8">
        <f t="shared" ca="1" si="3"/>
        <v>1315.5</v>
      </c>
    </row>
    <row r="7" spans="1:13" x14ac:dyDescent="0.25">
      <c r="A7" t="str">
        <f t="shared" si="0"/>
        <v>C00104CMa</v>
      </c>
      <c r="B7" t="str">
        <f t="shared" si="1"/>
        <v>C00104</v>
      </c>
      <c r="C7" t="s">
        <v>741</v>
      </c>
      <c r="D7" t="s">
        <v>124</v>
      </c>
      <c r="E7" t="str">
        <f>VLOOKUP(D7,countrylist[[countryname]:[region]],4)</f>
        <v>Asia</v>
      </c>
      <c r="F7" t="str">
        <f>VLOOKUP(D7,countrylist[[countryname]:[region]],5)</f>
        <v>South-eastern Asia</v>
      </c>
      <c r="G7">
        <v>10</v>
      </c>
      <c r="H7">
        <v>20</v>
      </c>
      <c r="I7">
        <v>4</v>
      </c>
      <c r="J7">
        <v>6</v>
      </c>
      <c r="K7">
        <v>1</v>
      </c>
      <c r="L7" s="8">
        <f t="shared" ca="1" si="2"/>
        <v>606</v>
      </c>
      <c r="M7" s="8">
        <f t="shared" ca="1" si="3"/>
        <v>866</v>
      </c>
    </row>
    <row r="8" spans="1:13" x14ac:dyDescent="0.25">
      <c r="A8" t="str">
        <f t="shared" si="0"/>
        <v>C00104CSe</v>
      </c>
      <c r="B8" t="str">
        <f t="shared" si="1"/>
        <v>C00104</v>
      </c>
      <c r="C8" t="s">
        <v>741</v>
      </c>
      <c r="D8" t="s">
        <v>123</v>
      </c>
      <c r="E8" t="str">
        <f>VLOOKUP(D8,countrylist[[countryname]:[region]],4)</f>
        <v>Asia</v>
      </c>
      <c r="F8" t="str">
        <f>VLOOKUP(D8,countrylist[[countryname]:[region]],5)</f>
        <v>South-eastern Asia</v>
      </c>
      <c r="G8">
        <v>10</v>
      </c>
      <c r="H8">
        <v>20</v>
      </c>
      <c r="I8">
        <v>4</v>
      </c>
      <c r="J8">
        <v>6</v>
      </c>
      <c r="K8">
        <v>2</v>
      </c>
      <c r="L8" s="8">
        <f t="shared" ca="1" si="2"/>
        <v>1276</v>
      </c>
      <c r="M8" s="8">
        <f t="shared" ca="1" si="3"/>
        <v>1634</v>
      </c>
    </row>
    <row r="9" spans="1:13" x14ac:dyDescent="0.25">
      <c r="A9" t="str">
        <f t="shared" si="0"/>
        <v>C00104CSn</v>
      </c>
      <c r="B9" t="str">
        <f t="shared" si="1"/>
        <v>C00104</v>
      </c>
      <c r="C9" t="s">
        <v>741</v>
      </c>
      <c r="D9" t="s">
        <v>268</v>
      </c>
      <c r="E9" t="str">
        <f>VLOOKUP(D9,countrylist[[countryname]:[region]],4)</f>
        <v>Europe</v>
      </c>
      <c r="F9" t="str">
        <f>VLOOKUP(D9,countrylist[[countryname]:[region]],5)</f>
        <v>Southern Europe</v>
      </c>
      <c r="G9">
        <v>10</v>
      </c>
      <c r="H9">
        <v>20</v>
      </c>
      <c r="I9">
        <v>4</v>
      </c>
      <c r="J9">
        <v>6</v>
      </c>
      <c r="K9">
        <v>3.5</v>
      </c>
      <c r="L9" s="8">
        <f t="shared" ca="1" si="2"/>
        <v>2289</v>
      </c>
      <c r="M9" s="8">
        <f t="shared" ca="1" si="3"/>
        <v>2933</v>
      </c>
    </row>
    <row r="10" spans="1:13" x14ac:dyDescent="0.25">
      <c r="A10" t="str">
        <f t="shared" si="0"/>
        <v>C00104CTd</v>
      </c>
      <c r="B10" t="str">
        <f t="shared" si="1"/>
        <v>C00104</v>
      </c>
      <c r="C10" t="s">
        <v>741</v>
      </c>
      <c r="D10" t="s">
        <v>276</v>
      </c>
      <c r="E10" t="str">
        <f>VLOOKUP(D10,countrylist[[countryname]:[region]],4)</f>
        <v>Asia</v>
      </c>
      <c r="F10" t="str">
        <f>VLOOKUP(D10,countrylist[[countryname]:[region]],5)</f>
        <v>South-eastern Asia</v>
      </c>
      <c r="G10">
        <v>10</v>
      </c>
      <c r="H10">
        <v>20</v>
      </c>
      <c r="I10">
        <v>4</v>
      </c>
      <c r="J10">
        <v>6</v>
      </c>
      <c r="K10">
        <v>1.5</v>
      </c>
      <c r="L10" s="8">
        <f t="shared" ca="1" si="2"/>
        <v>954</v>
      </c>
      <c r="M10" s="8">
        <f t="shared" ca="1" si="3"/>
        <v>1336.5</v>
      </c>
    </row>
    <row r="11" spans="1:13" x14ac:dyDescent="0.25">
      <c r="A11" t="str">
        <f t="shared" si="0"/>
        <v>C00104CTe</v>
      </c>
      <c r="B11" t="str">
        <f t="shared" si="1"/>
        <v>C00104</v>
      </c>
      <c r="C11" t="s">
        <v>741</v>
      </c>
      <c r="D11" t="s">
        <v>645</v>
      </c>
      <c r="E11" t="str">
        <f>VLOOKUP(D11,countrylist[[countryname]:[region]],4)</f>
        <v>Asia</v>
      </c>
      <c r="F11" t="str">
        <f>VLOOKUP(D11,countrylist[[countryname]:[region]],5)</f>
        <v>Western Asia</v>
      </c>
      <c r="G11">
        <v>10</v>
      </c>
      <c r="H11">
        <v>20</v>
      </c>
      <c r="I11">
        <v>4</v>
      </c>
      <c r="J11">
        <v>6</v>
      </c>
      <c r="K11">
        <v>0.5</v>
      </c>
      <c r="L11" s="8">
        <f t="shared" ca="1" si="2"/>
        <v>305.5</v>
      </c>
      <c r="M11" s="8">
        <f t="shared" ca="1" si="3"/>
        <v>406.5</v>
      </c>
    </row>
    <row r="12" spans="1:13" x14ac:dyDescent="0.25">
      <c r="A12" t="str">
        <f t="shared" si="0"/>
        <v>C00104CVm</v>
      </c>
      <c r="B12" t="str">
        <f t="shared" si="1"/>
        <v>C00104</v>
      </c>
      <c r="C12" t="s">
        <v>741</v>
      </c>
      <c r="D12" t="s">
        <v>287</v>
      </c>
      <c r="E12" t="str">
        <f>VLOOKUP(D12,countrylist[[countryname]:[region]],4)</f>
        <v>Asia</v>
      </c>
      <c r="F12" t="str">
        <f>VLOOKUP(D12,countrylist[[countryname]:[region]],5)</f>
        <v>South-eastern Asia</v>
      </c>
      <c r="G12">
        <v>10</v>
      </c>
      <c r="H12">
        <v>20</v>
      </c>
      <c r="I12">
        <v>4</v>
      </c>
      <c r="J12">
        <v>6</v>
      </c>
      <c r="K12">
        <v>2</v>
      </c>
      <c r="L12" s="8">
        <f t="shared" ca="1" si="2"/>
        <v>1272</v>
      </c>
      <c r="M12" s="8">
        <f t="shared" ca="1" si="3"/>
        <v>1754</v>
      </c>
    </row>
    <row r="13" spans="1:13" x14ac:dyDescent="0.25">
      <c r="A13" t="str">
        <f t="shared" si="0"/>
        <v>G0011GCa</v>
      </c>
      <c r="B13" t="str">
        <f t="shared" si="1"/>
        <v>G0011</v>
      </c>
      <c r="C13" t="s">
        <v>740</v>
      </c>
      <c r="D13" t="s">
        <v>96</v>
      </c>
      <c r="E13" t="str">
        <f>VLOOKUP(D13,countrylist[[countryname]:[region]],4)</f>
        <v>North America</v>
      </c>
      <c r="F13" t="str">
        <f>VLOOKUP(D13,countrylist[[countryname]:[region]],5)</f>
        <v>Northern America</v>
      </c>
      <c r="G13">
        <v>1</v>
      </c>
      <c r="H13">
        <v>3</v>
      </c>
      <c r="I13">
        <v>1</v>
      </c>
      <c r="J13">
        <v>3</v>
      </c>
      <c r="K13">
        <v>2</v>
      </c>
      <c r="L13" s="8">
        <f t="shared" ca="1" si="2"/>
        <v>1258</v>
      </c>
      <c r="M13" s="8">
        <f t="shared" ca="1" si="3"/>
        <v>1774</v>
      </c>
    </row>
    <row r="14" spans="1:13" x14ac:dyDescent="0.25">
      <c r="A14" t="str">
        <f t="shared" si="0"/>
        <v>G0011GDk</v>
      </c>
      <c r="B14" t="str">
        <f t="shared" si="1"/>
        <v>G0011</v>
      </c>
      <c r="C14" t="s">
        <v>740</v>
      </c>
      <c r="D14" t="s">
        <v>167</v>
      </c>
      <c r="E14" t="str">
        <f>VLOOKUP(D14,countrylist[[countryname]:[region]],4)</f>
        <v>Europe</v>
      </c>
      <c r="F14" t="str">
        <f>VLOOKUP(D14,countrylist[[countryname]:[region]],5)</f>
        <v>Northern Europe</v>
      </c>
      <c r="G14">
        <v>1</v>
      </c>
      <c r="H14">
        <v>3</v>
      </c>
      <c r="I14">
        <v>1</v>
      </c>
      <c r="J14">
        <v>3</v>
      </c>
      <c r="K14">
        <v>2</v>
      </c>
      <c r="L14" s="8">
        <f t="shared" ca="1" si="2"/>
        <v>1324</v>
      </c>
      <c r="M14" s="8">
        <f t="shared" ca="1" si="3"/>
        <v>1754</v>
      </c>
    </row>
    <row r="15" spans="1:13" x14ac:dyDescent="0.25">
      <c r="A15" t="str">
        <f t="shared" si="0"/>
        <v>G0011GFe</v>
      </c>
      <c r="B15" t="str">
        <f t="shared" si="1"/>
        <v>G0011</v>
      </c>
      <c r="C15" t="s">
        <v>740</v>
      </c>
      <c r="D15" t="s">
        <v>95</v>
      </c>
      <c r="E15" t="str">
        <f>VLOOKUP(D15,countrylist[[countryname]:[region]],4)</f>
        <v>Europe</v>
      </c>
      <c r="F15" t="str">
        <f>VLOOKUP(D15,countrylist[[countryname]:[region]],5)</f>
        <v>Western Europe</v>
      </c>
      <c r="G15">
        <v>1</v>
      </c>
      <c r="H15">
        <v>3</v>
      </c>
      <c r="I15">
        <v>1</v>
      </c>
      <c r="J15">
        <v>3</v>
      </c>
      <c r="K15">
        <v>1</v>
      </c>
      <c r="L15" s="8">
        <f t="shared" ca="1" si="2"/>
        <v>632</v>
      </c>
      <c r="M15" s="8">
        <f t="shared" ca="1" si="3"/>
        <v>890</v>
      </c>
    </row>
    <row r="16" spans="1:13" x14ac:dyDescent="0.25">
      <c r="A16" t="str">
        <f t="shared" si="0"/>
        <v>G0011GGy</v>
      </c>
      <c r="B16" t="str">
        <f t="shared" si="1"/>
        <v>G0011</v>
      </c>
      <c r="C16" t="s">
        <v>740</v>
      </c>
      <c r="D16" t="s">
        <v>94</v>
      </c>
      <c r="E16" t="str">
        <f>VLOOKUP(D16,countrylist[[countryname]:[region]],4)</f>
        <v>Europe</v>
      </c>
      <c r="F16" t="str">
        <f>VLOOKUP(D16,countrylist[[countryname]:[region]],5)</f>
        <v>Western Europe</v>
      </c>
      <c r="G16">
        <v>1</v>
      </c>
      <c r="H16">
        <v>3</v>
      </c>
      <c r="I16">
        <v>1</v>
      </c>
      <c r="J16">
        <v>3</v>
      </c>
      <c r="K16">
        <v>4.5</v>
      </c>
      <c r="L16" s="8">
        <f t="shared" ca="1" si="2"/>
        <v>2925</v>
      </c>
      <c r="M16" s="8">
        <f t="shared" ca="1" si="3"/>
        <v>3897</v>
      </c>
    </row>
    <row r="17" spans="1:13" x14ac:dyDescent="0.25">
      <c r="A17" t="str">
        <f t="shared" si="0"/>
        <v>G0011GIa</v>
      </c>
      <c r="B17" t="str">
        <f t="shared" si="1"/>
        <v>G0011</v>
      </c>
      <c r="C17" t="s">
        <v>740</v>
      </c>
      <c r="D17" t="s">
        <v>198</v>
      </c>
      <c r="E17" t="str">
        <f>VLOOKUP(D17,countrylist[[countryname]:[region]],4)</f>
        <v>Asia</v>
      </c>
      <c r="F17" t="str">
        <f>VLOOKUP(D17,countrylist[[countryname]:[region]],5)</f>
        <v>South-eastern Asia</v>
      </c>
      <c r="G17">
        <v>1</v>
      </c>
      <c r="H17">
        <v>3</v>
      </c>
      <c r="I17">
        <v>1</v>
      </c>
      <c r="J17">
        <v>3</v>
      </c>
      <c r="K17">
        <v>1</v>
      </c>
      <c r="L17" s="8">
        <f t="shared" ca="1" si="2"/>
        <v>641</v>
      </c>
      <c r="M17" s="8">
        <f t="shared" ca="1" si="3"/>
        <v>871</v>
      </c>
    </row>
    <row r="18" spans="1:13" x14ac:dyDescent="0.25">
      <c r="A18" t="str">
        <f t="shared" si="0"/>
        <v>G0011GJn</v>
      </c>
      <c r="B18" t="str">
        <f t="shared" si="1"/>
        <v>G0011</v>
      </c>
      <c r="C18" t="s">
        <v>740</v>
      </c>
      <c r="D18" t="s">
        <v>205</v>
      </c>
      <c r="E18" t="str">
        <f>VLOOKUP(D18,countrylist[[countryname]:[region]],4)</f>
        <v>Asia</v>
      </c>
      <c r="F18" t="str">
        <f>VLOOKUP(D18,countrylist[[countryname]:[region]],5)</f>
        <v>Eastern Asia</v>
      </c>
      <c r="G18">
        <v>1</v>
      </c>
      <c r="H18">
        <v>3</v>
      </c>
      <c r="I18">
        <v>1</v>
      </c>
      <c r="J18">
        <v>3</v>
      </c>
      <c r="K18">
        <v>3</v>
      </c>
      <c r="L18" s="8">
        <f t="shared" ca="1" si="2"/>
        <v>2064</v>
      </c>
      <c r="M18" s="8">
        <f t="shared" ca="1" si="3"/>
        <v>2538</v>
      </c>
    </row>
    <row r="19" spans="1:13" x14ac:dyDescent="0.25">
      <c r="A19" t="str">
        <f t="shared" si="0"/>
        <v>G0011GLa</v>
      </c>
      <c r="B19" t="str">
        <f t="shared" si="1"/>
        <v>G0011</v>
      </c>
      <c r="C19" t="s">
        <v>740</v>
      </c>
      <c r="D19" t="s">
        <v>211</v>
      </c>
      <c r="E19" t="str">
        <f>VLOOKUP(D19,countrylist[[countryname]:[region]],4)</f>
        <v>Europe</v>
      </c>
      <c r="F19" t="str">
        <f>VLOOKUP(D19,countrylist[[countryname]:[region]],5)</f>
        <v>Northern Europe</v>
      </c>
      <c r="G19">
        <v>1</v>
      </c>
      <c r="H19">
        <v>3</v>
      </c>
      <c r="I19">
        <v>1</v>
      </c>
      <c r="J19">
        <v>3</v>
      </c>
      <c r="K19">
        <v>1.5</v>
      </c>
      <c r="L19" s="8">
        <f t="shared" ca="1" si="2"/>
        <v>952.5</v>
      </c>
      <c r="M19" s="8">
        <f t="shared" ca="1" si="3"/>
        <v>1228.5</v>
      </c>
    </row>
    <row r="20" spans="1:13" x14ac:dyDescent="0.25">
      <c r="A20" t="str">
        <f t="shared" si="0"/>
        <v>G0011GMa</v>
      </c>
      <c r="B20" t="str">
        <f t="shared" si="1"/>
        <v>G0011</v>
      </c>
      <c r="C20" t="s">
        <v>740</v>
      </c>
      <c r="D20" t="s">
        <v>124</v>
      </c>
      <c r="E20" t="str">
        <f>VLOOKUP(D20,countrylist[[countryname]:[region]],4)</f>
        <v>Asia</v>
      </c>
      <c r="F20" t="str">
        <f>VLOOKUP(D20,countrylist[[countryname]:[region]],5)</f>
        <v>South-eastern Asia</v>
      </c>
      <c r="G20">
        <v>1</v>
      </c>
      <c r="H20">
        <v>3</v>
      </c>
      <c r="I20">
        <v>1</v>
      </c>
      <c r="J20">
        <v>3</v>
      </c>
      <c r="K20">
        <v>1</v>
      </c>
      <c r="L20" s="8">
        <f t="shared" ca="1" si="2"/>
        <v>670</v>
      </c>
      <c r="M20" s="8">
        <f t="shared" ca="1" si="3"/>
        <v>851</v>
      </c>
    </row>
    <row r="21" spans="1:13" x14ac:dyDescent="0.25">
      <c r="A21" t="str">
        <f t="shared" si="0"/>
        <v>G0011GSe</v>
      </c>
      <c r="B21" t="str">
        <f t="shared" si="1"/>
        <v>G0011</v>
      </c>
      <c r="C21" t="s">
        <v>740</v>
      </c>
      <c r="D21" t="s">
        <v>123</v>
      </c>
      <c r="E21" t="str">
        <f>VLOOKUP(D21,countrylist[[countryname]:[region]],4)</f>
        <v>Asia</v>
      </c>
      <c r="F21" t="str">
        <f>VLOOKUP(D21,countrylist[[countryname]:[region]],5)</f>
        <v>South-eastern Asia</v>
      </c>
      <c r="G21">
        <v>1</v>
      </c>
      <c r="H21">
        <v>3</v>
      </c>
      <c r="I21">
        <v>1</v>
      </c>
      <c r="J21">
        <v>3</v>
      </c>
      <c r="K21">
        <v>2</v>
      </c>
      <c r="L21" s="8">
        <f t="shared" ca="1" si="2"/>
        <v>1252</v>
      </c>
      <c r="M21" s="8">
        <f t="shared" ca="1" si="3"/>
        <v>1798</v>
      </c>
    </row>
    <row r="22" spans="1:13" x14ac:dyDescent="0.25">
      <c r="A22" t="str">
        <f t="shared" si="0"/>
        <v>G0011GSn</v>
      </c>
      <c r="B22" t="str">
        <f t="shared" si="1"/>
        <v>G0011</v>
      </c>
      <c r="C22" t="s">
        <v>740</v>
      </c>
      <c r="D22" t="s">
        <v>268</v>
      </c>
      <c r="E22" t="str">
        <f>VLOOKUP(D22,countrylist[[countryname]:[region]],4)</f>
        <v>Europe</v>
      </c>
      <c r="F22" t="str">
        <f>VLOOKUP(D22,countrylist[[countryname]:[region]],5)</f>
        <v>Southern Europe</v>
      </c>
      <c r="G22">
        <v>1</v>
      </c>
      <c r="H22">
        <v>3</v>
      </c>
      <c r="I22">
        <v>1</v>
      </c>
      <c r="J22">
        <v>3</v>
      </c>
      <c r="K22">
        <v>3.5</v>
      </c>
      <c r="L22" s="8">
        <f t="shared" ca="1" si="2"/>
        <v>2376.5</v>
      </c>
      <c r="M22" s="8">
        <f t="shared" ca="1" si="3"/>
        <v>3143</v>
      </c>
    </row>
    <row r="23" spans="1:13" x14ac:dyDescent="0.25">
      <c r="A23" t="str">
        <f t="shared" si="0"/>
        <v>G0011GTd</v>
      </c>
      <c r="B23" t="str">
        <f t="shared" si="1"/>
        <v>G0011</v>
      </c>
      <c r="C23" t="s">
        <v>740</v>
      </c>
      <c r="D23" t="s">
        <v>276</v>
      </c>
      <c r="E23" t="str">
        <f>VLOOKUP(D23,countrylist[[countryname]:[region]],4)</f>
        <v>Asia</v>
      </c>
      <c r="F23" t="str">
        <f>VLOOKUP(D23,countrylist[[countryname]:[region]],5)</f>
        <v>South-eastern Asia</v>
      </c>
      <c r="G23">
        <v>1</v>
      </c>
      <c r="H23">
        <v>3</v>
      </c>
      <c r="I23">
        <v>1</v>
      </c>
      <c r="J23">
        <v>3</v>
      </c>
      <c r="K23">
        <v>1.5</v>
      </c>
      <c r="L23" s="8">
        <f t="shared" ca="1" si="2"/>
        <v>1002</v>
      </c>
      <c r="M23" s="8">
        <f t="shared" ca="1" si="3"/>
        <v>1291.5</v>
      </c>
    </row>
    <row r="24" spans="1:13" x14ac:dyDescent="0.25">
      <c r="A24" t="str">
        <f t="shared" si="0"/>
        <v>G0011GTe</v>
      </c>
      <c r="B24" t="str">
        <f t="shared" si="1"/>
        <v>G0011</v>
      </c>
      <c r="C24" t="s">
        <v>740</v>
      </c>
      <c r="D24" t="s">
        <v>645</v>
      </c>
      <c r="E24" t="str">
        <f>VLOOKUP(D24,countrylist[[countryname]:[region]],4)</f>
        <v>Asia</v>
      </c>
      <c r="F24" t="str">
        <f>VLOOKUP(D24,countrylist[[countryname]:[region]],5)</f>
        <v>Western Asia</v>
      </c>
      <c r="G24">
        <v>1</v>
      </c>
      <c r="H24">
        <v>3</v>
      </c>
      <c r="I24">
        <v>1</v>
      </c>
      <c r="J24">
        <v>3</v>
      </c>
      <c r="K24">
        <v>0.5</v>
      </c>
      <c r="L24" s="8">
        <f t="shared" ca="1" si="2"/>
        <v>342</v>
      </c>
      <c r="M24" s="8">
        <f t="shared" ca="1" si="3"/>
        <v>449</v>
      </c>
    </row>
    <row r="25" spans="1:13" x14ac:dyDescent="0.25">
      <c r="A25" t="str">
        <f t="shared" si="0"/>
        <v>G0011GVm</v>
      </c>
      <c r="B25" t="str">
        <f t="shared" si="1"/>
        <v>G0011</v>
      </c>
      <c r="C25" t="s">
        <v>740</v>
      </c>
      <c r="D25" t="s">
        <v>287</v>
      </c>
      <c r="E25" t="str">
        <f>VLOOKUP(D25,countrylist[[countryname]:[region]],4)</f>
        <v>Asia</v>
      </c>
      <c r="F25" t="str">
        <f>VLOOKUP(D25,countrylist[[countryname]:[region]],5)</f>
        <v>South-eastern Asia</v>
      </c>
      <c r="G25">
        <v>1</v>
      </c>
      <c r="H25">
        <v>3</v>
      </c>
      <c r="I25">
        <v>1</v>
      </c>
      <c r="J25">
        <v>3</v>
      </c>
      <c r="K25">
        <v>2</v>
      </c>
      <c r="L25" s="8">
        <f t="shared" ca="1" si="2"/>
        <v>1366</v>
      </c>
      <c r="M25" s="8">
        <f t="shared" ca="1" si="3"/>
        <v>1766</v>
      </c>
    </row>
    <row r="26" spans="1:13" x14ac:dyDescent="0.25">
      <c r="A26" t="str">
        <f t="shared" si="0"/>
        <v>G0011GAa</v>
      </c>
      <c r="B26" t="str">
        <f t="shared" si="1"/>
        <v>G0011</v>
      </c>
      <c r="C26" t="s">
        <v>740</v>
      </c>
      <c r="D26" t="s">
        <v>134</v>
      </c>
      <c r="E26" t="str">
        <f>VLOOKUP(D26,countrylist[[countryname]:[region]],4)</f>
        <v>South America</v>
      </c>
      <c r="F26" t="str">
        <f>VLOOKUP(D26,countrylist[[countryname]:[region]],5)</f>
        <v>South America</v>
      </c>
      <c r="G26">
        <v>1</v>
      </c>
      <c r="H26">
        <v>3</v>
      </c>
      <c r="I26">
        <v>1</v>
      </c>
      <c r="J26">
        <v>3</v>
      </c>
      <c r="K26">
        <v>2</v>
      </c>
      <c r="L26" s="8">
        <f t="shared" ca="1" si="2"/>
        <v>1308</v>
      </c>
      <c r="M26" s="8">
        <f t="shared" ca="1" si="3"/>
        <v>1672</v>
      </c>
    </row>
    <row r="27" spans="1:13" x14ac:dyDescent="0.25">
      <c r="A27" t="str">
        <f t="shared" si="0"/>
        <v>A0022AFe</v>
      </c>
      <c r="B27" t="str">
        <f t="shared" si="1"/>
        <v>A0022</v>
      </c>
      <c r="C27" t="s">
        <v>742</v>
      </c>
      <c r="D27" t="s">
        <v>95</v>
      </c>
      <c r="E27" t="str">
        <f>VLOOKUP(D27,countrylist[[countryname]:[region]],4)</f>
        <v>Europe</v>
      </c>
      <c r="F27" t="str">
        <f>VLOOKUP(D27,countrylist[[countryname]:[region]],5)</f>
        <v>Western Europe</v>
      </c>
      <c r="G27">
        <v>2</v>
      </c>
      <c r="H27">
        <v>5</v>
      </c>
      <c r="I27">
        <v>2</v>
      </c>
      <c r="J27">
        <v>5</v>
      </c>
      <c r="K27">
        <v>3</v>
      </c>
      <c r="L27" s="8">
        <f t="shared" ca="1" si="2"/>
        <v>1860</v>
      </c>
      <c r="M27" s="8">
        <f t="shared" ca="1" si="3"/>
        <v>2622</v>
      </c>
    </row>
    <row r="28" spans="1:13" x14ac:dyDescent="0.25">
      <c r="A28" t="str">
        <f t="shared" si="0"/>
        <v>A0022AIa</v>
      </c>
      <c r="B28" t="str">
        <f t="shared" si="1"/>
        <v>A0022</v>
      </c>
      <c r="C28" t="s">
        <v>742</v>
      </c>
      <c r="D28" t="s">
        <v>198</v>
      </c>
      <c r="E28" t="str">
        <f>VLOOKUP(D28,countrylist[[countryname]:[region]],4)</f>
        <v>Asia</v>
      </c>
      <c r="F28" t="str">
        <f>VLOOKUP(D28,countrylist[[countryname]:[region]],5)</f>
        <v>South-eastern Asia</v>
      </c>
      <c r="G28">
        <v>2</v>
      </c>
      <c r="H28">
        <v>5</v>
      </c>
      <c r="I28">
        <v>2</v>
      </c>
      <c r="J28">
        <v>5</v>
      </c>
      <c r="K28">
        <v>1</v>
      </c>
      <c r="L28" s="8">
        <f t="shared" ca="1" si="2"/>
        <v>651</v>
      </c>
      <c r="M28" s="8">
        <f t="shared" ca="1" si="3"/>
        <v>839</v>
      </c>
    </row>
    <row r="29" spans="1:13" x14ac:dyDescent="0.25">
      <c r="A29" t="str">
        <f t="shared" si="0"/>
        <v>A0022ATe</v>
      </c>
      <c r="B29" t="str">
        <f t="shared" si="1"/>
        <v>A0022</v>
      </c>
      <c r="C29" t="s">
        <v>742</v>
      </c>
      <c r="D29" t="s">
        <v>645</v>
      </c>
      <c r="E29" t="str">
        <f>VLOOKUP(D29,countrylist[[countryname]:[region]],4)</f>
        <v>Asia</v>
      </c>
      <c r="F29" t="str">
        <f>VLOOKUP(D29,countrylist[[countryname]:[region]],5)</f>
        <v>Western Asia</v>
      </c>
      <c r="G29">
        <v>2</v>
      </c>
      <c r="H29">
        <v>5</v>
      </c>
      <c r="I29">
        <v>2</v>
      </c>
      <c r="J29">
        <v>5</v>
      </c>
      <c r="K29">
        <v>3</v>
      </c>
      <c r="L29" s="8">
        <f t="shared" ca="1" si="2"/>
        <v>2001</v>
      </c>
      <c r="M29" s="8">
        <f t="shared" ca="1" si="3"/>
        <v>2598</v>
      </c>
    </row>
    <row r="30" spans="1:13" x14ac:dyDescent="0.25">
      <c r="A30" t="str">
        <f t="shared" si="0"/>
        <v>A0011ATe</v>
      </c>
      <c r="B30" t="str">
        <f t="shared" si="1"/>
        <v>A0011</v>
      </c>
      <c r="C30" t="s">
        <v>742</v>
      </c>
      <c r="D30" t="s">
        <v>645</v>
      </c>
      <c r="E30" t="str">
        <f>VLOOKUP(D30,countrylist[[countryname]:[region]],4)</f>
        <v>Asia</v>
      </c>
      <c r="F30" t="str">
        <f>VLOOKUP(D30,countrylist[[countryname]:[region]],5)</f>
        <v>Western Asia</v>
      </c>
      <c r="G30">
        <v>1</v>
      </c>
      <c r="H30">
        <v>3</v>
      </c>
      <c r="I30">
        <v>1</v>
      </c>
      <c r="J30">
        <v>3</v>
      </c>
      <c r="K30">
        <v>0.5</v>
      </c>
      <c r="L30" s="8">
        <f t="shared" ca="1" si="2"/>
        <v>317.5</v>
      </c>
      <c r="M30" s="8">
        <f t="shared" ca="1" si="3"/>
        <v>420</v>
      </c>
    </row>
    <row r="31" spans="1:13" x14ac:dyDescent="0.25">
      <c r="A31" t="str">
        <f t="shared" si="0"/>
        <v>M00410MAa</v>
      </c>
      <c r="B31" t="str">
        <f t="shared" si="1"/>
        <v>M00410</v>
      </c>
      <c r="C31" t="s">
        <v>717</v>
      </c>
      <c r="D31" t="s">
        <v>134</v>
      </c>
      <c r="E31" t="str">
        <f>VLOOKUP(D31,countrylist[[countryname]:[region]],4)</f>
        <v>South America</v>
      </c>
      <c r="F31" t="str">
        <f>VLOOKUP(D31,countrylist[[countryname]:[region]],5)</f>
        <v>South America</v>
      </c>
      <c r="G31">
        <v>4</v>
      </c>
      <c r="H31">
        <v>10</v>
      </c>
      <c r="I31">
        <v>10</v>
      </c>
      <c r="J31">
        <v>20</v>
      </c>
      <c r="K31">
        <v>2</v>
      </c>
      <c r="L31" s="8">
        <f t="shared" ca="1" si="2"/>
        <v>1212</v>
      </c>
      <c r="M31" s="8">
        <f t="shared" ca="1" si="3"/>
        <v>1716</v>
      </c>
    </row>
    <row r="32" spans="1:13" x14ac:dyDescent="0.25">
      <c r="A32" t="str">
        <f t="shared" si="0"/>
        <v>M00410MCa</v>
      </c>
      <c r="B32" t="str">
        <f t="shared" si="1"/>
        <v>M00410</v>
      </c>
      <c r="C32" t="s">
        <v>717</v>
      </c>
      <c r="D32" t="s">
        <v>96</v>
      </c>
      <c r="E32" t="str">
        <f>VLOOKUP(D32,countrylist[[countryname]:[region]],4)</f>
        <v>North America</v>
      </c>
      <c r="F32" t="str">
        <f>VLOOKUP(D32,countrylist[[countryname]:[region]],5)</f>
        <v>Northern America</v>
      </c>
      <c r="G32">
        <v>4</v>
      </c>
      <c r="H32">
        <v>10</v>
      </c>
      <c r="I32">
        <v>10</v>
      </c>
      <c r="J32">
        <v>20</v>
      </c>
      <c r="K32">
        <v>2</v>
      </c>
      <c r="L32" s="8">
        <f t="shared" ca="1" si="2"/>
        <v>1342</v>
      </c>
      <c r="M32" s="8">
        <f t="shared" ca="1" si="3"/>
        <v>1718</v>
      </c>
    </row>
    <row r="33" spans="1:13" x14ac:dyDescent="0.25">
      <c r="A33" t="str">
        <f t="shared" si="0"/>
        <v>M00410MDk</v>
      </c>
      <c r="B33" t="str">
        <f t="shared" si="1"/>
        <v>M00410</v>
      </c>
      <c r="C33" t="s">
        <v>717</v>
      </c>
      <c r="D33" t="s">
        <v>167</v>
      </c>
      <c r="E33" t="str">
        <f>VLOOKUP(D33,countrylist[[countryname]:[region]],4)</f>
        <v>Europe</v>
      </c>
      <c r="F33" t="str">
        <f>VLOOKUP(D33,countrylist[[countryname]:[region]],5)</f>
        <v>Northern Europe</v>
      </c>
      <c r="G33">
        <v>4</v>
      </c>
      <c r="H33">
        <v>10</v>
      </c>
      <c r="I33">
        <v>10</v>
      </c>
      <c r="J33">
        <v>20</v>
      </c>
      <c r="K33">
        <v>2</v>
      </c>
      <c r="L33" s="8">
        <f t="shared" ca="1" si="2"/>
        <v>1344</v>
      </c>
      <c r="M33" s="8">
        <f t="shared" ca="1" si="3"/>
        <v>1672</v>
      </c>
    </row>
    <row r="34" spans="1:13" x14ac:dyDescent="0.25">
      <c r="A34" t="str">
        <f t="shared" ref="A34:A65" si="4">B34&amp;LEFT(C34,1)&amp;LEFT(D34,1)&amp;RIGHT(D34,1)</f>
        <v>M00410MFe</v>
      </c>
      <c r="B34" t="str">
        <f t="shared" ref="B34:B65" si="5">LEFT(C34,1)&amp;"00"&amp;G34&amp;I34</f>
        <v>M00410</v>
      </c>
      <c r="C34" t="s">
        <v>717</v>
      </c>
      <c r="D34" t="s">
        <v>95</v>
      </c>
      <c r="E34" t="str">
        <f>VLOOKUP(D34,countrylist[[countryname]:[region]],4)</f>
        <v>Europe</v>
      </c>
      <c r="F34" t="str">
        <f>VLOOKUP(D34,countrylist[[countryname]:[region]],5)</f>
        <v>Western Europe</v>
      </c>
      <c r="G34">
        <v>4</v>
      </c>
      <c r="H34">
        <v>10</v>
      </c>
      <c r="I34">
        <v>10</v>
      </c>
      <c r="J34">
        <v>20</v>
      </c>
      <c r="K34">
        <v>2</v>
      </c>
      <c r="L34" s="8">
        <f t="shared" ref="L34:L65" ca="1" si="6">(RANDBETWEEN(600,700)*K34)</f>
        <v>1300</v>
      </c>
      <c r="M34" s="8">
        <f t="shared" ref="M34:M70" ca="1" si="7">(RANDBETWEEN(800,900)*K34)</f>
        <v>1708</v>
      </c>
    </row>
    <row r="35" spans="1:13" x14ac:dyDescent="0.25">
      <c r="A35" t="str">
        <f t="shared" si="4"/>
        <v>M00410MGy</v>
      </c>
      <c r="B35" t="str">
        <f t="shared" si="5"/>
        <v>M00410</v>
      </c>
      <c r="C35" t="s">
        <v>717</v>
      </c>
      <c r="D35" t="s">
        <v>94</v>
      </c>
      <c r="E35" t="str">
        <f>VLOOKUP(D35,countrylist[[countryname]:[region]],4)</f>
        <v>Europe</v>
      </c>
      <c r="F35" t="str">
        <f>VLOOKUP(D35,countrylist[[countryname]:[region]],5)</f>
        <v>Western Europe</v>
      </c>
      <c r="G35">
        <v>4</v>
      </c>
      <c r="H35">
        <v>10</v>
      </c>
      <c r="I35">
        <v>10</v>
      </c>
      <c r="J35">
        <v>20</v>
      </c>
      <c r="K35">
        <v>5</v>
      </c>
      <c r="L35" s="8">
        <f t="shared" ca="1" si="6"/>
        <v>3285</v>
      </c>
      <c r="M35" s="8">
        <f t="shared" ca="1" si="7"/>
        <v>4330</v>
      </c>
    </row>
    <row r="36" spans="1:13" x14ac:dyDescent="0.25">
      <c r="A36" t="str">
        <f t="shared" si="4"/>
        <v>M00410MIa</v>
      </c>
      <c r="B36" t="str">
        <f t="shared" si="5"/>
        <v>M00410</v>
      </c>
      <c r="C36" t="s">
        <v>717</v>
      </c>
      <c r="D36" t="s">
        <v>198</v>
      </c>
      <c r="E36" t="str">
        <f>VLOOKUP(D36,countrylist[[countryname]:[region]],4)</f>
        <v>Asia</v>
      </c>
      <c r="F36" t="str">
        <f>VLOOKUP(D36,countrylist[[countryname]:[region]],5)</f>
        <v>South-eastern Asia</v>
      </c>
      <c r="G36">
        <v>4</v>
      </c>
      <c r="H36">
        <v>10</v>
      </c>
      <c r="I36">
        <v>10</v>
      </c>
      <c r="J36">
        <v>20</v>
      </c>
      <c r="K36">
        <v>1</v>
      </c>
      <c r="L36" s="8">
        <f t="shared" ca="1" si="6"/>
        <v>663</v>
      </c>
      <c r="M36" s="8">
        <f t="shared" ca="1" si="7"/>
        <v>840</v>
      </c>
    </row>
    <row r="37" spans="1:13" x14ac:dyDescent="0.25">
      <c r="A37" t="str">
        <f t="shared" si="4"/>
        <v>M00410MLa</v>
      </c>
      <c r="B37" t="str">
        <f t="shared" si="5"/>
        <v>M00410</v>
      </c>
      <c r="C37" t="s">
        <v>717</v>
      </c>
      <c r="D37" t="s">
        <v>211</v>
      </c>
      <c r="E37" t="str">
        <f>VLOOKUP(D37,countrylist[[countryname]:[region]],4)</f>
        <v>Europe</v>
      </c>
      <c r="F37" t="str">
        <f>VLOOKUP(D37,countrylist[[countryname]:[region]],5)</f>
        <v>Northern Europe</v>
      </c>
      <c r="G37">
        <v>4</v>
      </c>
      <c r="H37">
        <v>10</v>
      </c>
      <c r="I37">
        <v>10</v>
      </c>
      <c r="J37">
        <v>20</v>
      </c>
      <c r="K37">
        <v>1.5</v>
      </c>
      <c r="L37" s="8">
        <f t="shared" ca="1" si="6"/>
        <v>957</v>
      </c>
      <c r="M37" s="8">
        <f t="shared" ca="1" si="7"/>
        <v>1297.5</v>
      </c>
    </row>
    <row r="38" spans="1:13" x14ac:dyDescent="0.25">
      <c r="A38" t="str">
        <f t="shared" si="4"/>
        <v>M00410MMa</v>
      </c>
      <c r="B38" t="str">
        <f t="shared" si="5"/>
        <v>M00410</v>
      </c>
      <c r="C38" t="s">
        <v>717</v>
      </c>
      <c r="D38" t="s">
        <v>124</v>
      </c>
      <c r="E38" t="str">
        <f>VLOOKUP(D38,countrylist[[countryname]:[region]],4)</f>
        <v>Asia</v>
      </c>
      <c r="F38" t="str">
        <f>VLOOKUP(D38,countrylist[[countryname]:[region]],5)</f>
        <v>South-eastern Asia</v>
      </c>
      <c r="G38">
        <v>4</v>
      </c>
      <c r="H38">
        <v>10</v>
      </c>
      <c r="I38">
        <v>10</v>
      </c>
      <c r="J38">
        <v>20</v>
      </c>
      <c r="K38">
        <v>1</v>
      </c>
      <c r="L38" s="8">
        <f t="shared" ca="1" si="6"/>
        <v>667</v>
      </c>
      <c r="M38" s="8">
        <f t="shared" ca="1" si="7"/>
        <v>800</v>
      </c>
    </row>
    <row r="39" spans="1:13" x14ac:dyDescent="0.25">
      <c r="A39" t="str">
        <f t="shared" si="4"/>
        <v>M00410MPl</v>
      </c>
      <c r="B39" t="str">
        <f t="shared" si="5"/>
        <v>M00410</v>
      </c>
      <c r="C39" t="s">
        <v>717</v>
      </c>
      <c r="D39" t="s">
        <v>248</v>
      </c>
      <c r="E39" t="str">
        <f>VLOOKUP(D39,countrylist[[countryname]:[region]],4)</f>
        <v>Europe</v>
      </c>
      <c r="F39" t="str">
        <f>VLOOKUP(D39,countrylist[[countryname]:[region]],5)</f>
        <v>Southern Europe</v>
      </c>
      <c r="G39">
        <v>4</v>
      </c>
      <c r="H39">
        <v>10</v>
      </c>
      <c r="I39">
        <v>10</v>
      </c>
      <c r="J39">
        <v>20</v>
      </c>
      <c r="K39">
        <v>1</v>
      </c>
      <c r="L39" s="8">
        <f t="shared" ca="1" si="6"/>
        <v>674</v>
      </c>
      <c r="M39" s="8">
        <f t="shared" ca="1" si="7"/>
        <v>876</v>
      </c>
    </row>
    <row r="40" spans="1:13" x14ac:dyDescent="0.25">
      <c r="A40" t="str">
        <f t="shared" si="4"/>
        <v>M00410MPl</v>
      </c>
      <c r="B40" t="str">
        <f t="shared" si="5"/>
        <v>M00410</v>
      </c>
      <c r="C40" t="s">
        <v>717</v>
      </c>
      <c r="D40" t="s">
        <v>248</v>
      </c>
      <c r="E40" t="str">
        <f>VLOOKUP(D40,countrylist[[countryname]:[region]],4)</f>
        <v>Europe</v>
      </c>
      <c r="F40" t="str">
        <f>VLOOKUP(D40,countrylist[[countryname]:[region]],5)</f>
        <v>Southern Europe</v>
      </c>
      <c r="G40">
        <v>4</v>
      </c>
      <c r="H40">
        <v>10</v>
      </c>
      <c r="I40">
        <v>10</v>
      </c>
      <c r="J40">
        <v>20</v>
      </c>
      <c r="K40">
        <v>0.5</v>
      </c>
      <c r="L40" s="8">
        <f t="shared" ca="1" si="6"/>
        <v>325.5</v>
      </c>
      <c r="M40" s="8">
        <f t="shared" ca="1" si="7"/>
        <v>412</v>
      </c>
    </row>
    <row r="41" spans="1:13" x14ac:dyDescent="0.25">
      <c r="A41" t="str">
        <f t="shared" si="4"/>
        <v>M00410MSe</v>
      </c>
      <c r="B41" t="str">
        <f t="shared" si="5"/>
        <v>M00410</v>
      </c>
      <c r="C41" t="s">
        <v>717</v>
      </c>
      <c r="D41" t="s">
        <v>123</v>
      </c>
      <c r="E41" t="str">
        <f>VLOOKUP(D41,countrylist[[countryname]:[region]],4)</f>
        <v>Asia</v>
      </c>
      <c r="F41" t="str">
        <f>VLOOKUP(D41,countrylist[[countryname]:[region]],5)</f>
        <v>South-eastern Asia</v>
      </c>
      <c r="G41">
        <v>4</v>
      </c>
      <c r="H41">
        <v>10</v>
      </c>
      <c r="I41">
        <v>10</v>
      </c>
      <c r="J41">
        <v>20</v>
      </c>
      <c r="K41">
        <v>2</v>
      </c>
      <c r="L41" s="8">
        <f t="shared" ca="1" si="6"/>
        <v>1296</v>
      </c>
      <c r="M41" s="8">
        <f t="shared" ca="1" si="7"/>
        <v>1654</v>
      </c>
    </row>
    <row r="42" spans="1:13" x14ac:dyDescent="0.25">
      <c r="A42" t="str">
        <f t="shared" si="4"/>
        <v>M00410MSn</v>
      </c>
      <c r="B42" t="str">
        <f t="shared" si="5"/>
        <v>M00410</v>
      </c>
      <c r="C42" t="s">
        <v>717</v>
      </c>
      <c r="D42" t="s">
        <v>268</v>
      </c>
      <c r="E42" t="str">
        <f>VLOOKUP(D42,countrylist[[countryname]:[region]],4)</f>
        <v>Europe</v>
      </c>
      <c r="F42" t="str">
        <f>VLOOKUP(D42,countrylist[[countryname]:[region]],5)</f>
        <v>Southern Europe</v>
      </c>
      <c r="G42">
        <v>4</v>
      </c>
      <c r="H42">
        <v>10</v>
      </c>
      <c r="I42">
        <v>10</v>
      </c>
      <c r="J42">
        <v>20</v>
      </c>
      <c r="K42">
        <v>3.5</v>
      </c>
      <c r="L42" s="8">
        <f t="shared" ca="1" si="6"/>
        <v>2369.5</v>
      </c>
      <c r="M42" s="8">
        <f t="shared" ca="1" si="7"/>
        <v>2835</v>
      </c>
    </row>
    <row r="43" spans="1:13" x14ac:dyDescent="0.25">
      <c r="A43" t="str">
        <f t="shared" si="4"/>
        <v>M00410MTd</v>
      </c>
      <c r="B43" t="str">
        <f t="shared" si="5"/>
        <v>M00410</v>
      </c>
      <c r="C43" t="s">
        <v>717</v>
      </c>
      <c r="D43" t="s">
        <v>276</v>
      </c>
      <c r="E43" t="str">
        <f>VLOOKUP(D43,countrylist[[countryname]:[region]],4)</f>
        <v>Asia</v>
      </c>
      <c r="F43" t="str">
        <f>VLOOKUP(D43,countrylist[[countryname]:[region]],5)</f>
        <v>South-eastern Asia</v>
      </c>
      <c r="G43">
        <v>4</v>
      </c>
      <c r="H43">
        <v>10</v>
      </c>
      <c r="I43">
        <v>10</v>
      </c>
      <c r="J43">
        <v>20</v>
      </c>
      <c r="K43">
        <v>1.5</v>
      </c>
      <c r="L43" s="8">
        <f t="shared" ca="1" si="6"/>
        <v>904.5</v>
      </c>
      <c r="M43" s="8">
        <f t="shared" ca="1" si="7"/>
        <v>1306.5</v>
      </c>
    </row>
    <row r="44" spans="1:13" x14ac:dyDescent="0.25">
      <c r="A44" t="str">
        <f t="shared" si="4"/>
        <v>M00410MVm</v>
      </c>
      <c r="B44" t="str">
        <f t="shared" si="5"/>
        <v>M00410</v>
      </c>
      <c r="C44" t="s">
        <v>717</v>
      </c>
      <c r="D44" t="s">
        <v>287</v>
      </c>
      <c r="E44" t="str">
        <f>VLOOKUP(D44,countrylist[[countryname]:[region]],4)</f>
        <v>Asia</v>
      </c>
      <c r="F44" t="str">
        <f>VLOOKUP(D44,countrylist[[countryname]:[region]],5)</f>
        <v>South-eastern Asia</v>
      </c>
      <c r="G44">
        <v>4</v>
      </c>
      <c r="H44">
        <v>10</v>
      </c>
      <c r="I44">
        <v>10</v>
      </c>
      <c r="J44">
        <v>20</v>
      </c>
      <c r="K44">
        <v>2</v>
      </c>
      <c r="L44" s="8">
        <f t="shared" ca="1" si="6"/>
        <v>1224</v>
      </c>
      <c r="M44" s="8">
        <f t="shared" ca="1" si="7"/>
        <v>1796</v>
      </c>
    </row>
    <row r="45" spans="1:13" x14ac:dyDescent="0.25">
      <c r="A45" t="str">
        <f t="shared" si="4"/>
        <v>S0044SAa</v>
      </c>
      <c r="B45" t="str">
        <f t="shared" si="5"/>
        <v>S0044</v>
      </c>
      <c r="C45" t="s">
        <v>743</v>
      </c>
      <c r="D45" t="s">
        <v>134</v>
      </c>
      <c r="E45" t="str">
        <f>VLOOKUP(D45,countrylist[[countryname]:[region]],4)</f>
        <v>South America</v>
      </c>
      <c r="F45" t="str">
        <f>VLOOKUP(D45,countrylist[[countryname]:[region]],5)</f>
        <v>South America</v>
      </c>
      <c r="G45">
        <v>4</v>
      </c>
      <c r="H45">
        <v>6</v>
      </c>
      <c r="I45">
        <v>4</v>
      </c>
      <c r="J45">
        <v>6</v>
      </c>
      <c r="K45">
        <v>2</v>
      </c>
      <c r="L45" s="8">
        <f t="shared" ca="1" si="6"/>
        <v>1270</v>
      </c>
      <c r="M45" s="8">
        <f t="shared" ca="1" si="7"/>
        <v>1608</v>
      </c>
    </row>
    <row r="46" spans="1:13" x14ac:dyDescent="0.25">
      <c r="A46" t="str">
        <f t="shared" si="4"/>
        <v>S0044SCa</v>
      </c>
      <c r="B46" t="str">
        <f t="shared" si="5"/>
        <v>S0044</v>
      </c>
      <c r="C46" t="s">
        <v>743</v>
      </c>
      <c r="D46" t="s">
        <v>96</v>
      </c>
      <c r="E46" t="str">
        <f>VLOOKUP(D46,countrylist[[countryname]:[region]],4)</f>
        <v>North America</v>
      </c>
      <c r="F46" t="str">
        <f>VLOOKUP(D46,countrylist[[countryname]:[region]],5)</f>
        <v>Northern America</v>
      </c>
      <c r="G46">
        <v>4</v>
      </c>
      <c r="H46">
        <v>6</v>
      </c>
      <c r="I46">
        <v>4</v>
      </c>
      <c r="J46">
        <v>6</v>
      </c>
      <c r="K46">
        <v>2</v>
      </c>
      <c r="L46" s="8">
        <f t="shared" ca="1" si="6"/>
        <v>1398</v>
      </c>
      <c r="M46" s="8">
        <f t="shared" ca="1" si="7"/>
        <v>1754</v>
      </c>
    </row>
    <row r="47" spans="1:13" x14ac:dyDescent="0.25">
      <c r="A47" t="str">
        <f t="shared" si="4"/>
        <v>S0044SDk</v>
      </c>
      <c r="B47" t="str">
        <f t="shared" si="5"/>
        <v>S0044</v>
      </c>
      <c r="C47" t="s">
        <v>743</v>
      </c>
      <c r="D47" t="s">
        <v>167</v>
      </c>
      <c r="E47" t="str">
        <f>VLOOKUP(D47,countrylist[[countryname]:[region]],4)</f>
        <v>Europe</v>
      </c>
      <c r="F47" t="str">
        <f>VLOOKUP(D47,countrylist[[countryname]:[region]],5)</f>
        <v>Northern Europe</v>
      </c>
      <c r="G47">
        <v>4</v>
      </c>
      <c r="H47">
        <v>6</v>
      </c>
      <c r="I47">
        <v>4</v>
      </c>
      <c r="J47">
        <v>6</v>
      </c>
      <c r="K47">
        <v>2</v>
      </c>
      <c r="L47" s="8">
        <f t="shared" ca="1" si="6"/>
        <v>1270</v>
      </c>
      <c r="M47" s="8">
        <f t="shared" ca="1" si="7"/>
        <v>1618</v>
      </c>
    </row>
    <row r="48" spans="1:13" x14ac:dyDescent="0.25">
      <c r="A48" t="str">
        <f t="shared" si="4"/>
        <v>S0044SGy</v>
      </c>
      <c r="B48" t="str">
        <f t="shared" si="5"/>
        <v>S0044</v>
      </c>
      <c r="C48" t="s">
        <v>743</v>
      </c>
      <c r="D48" t="s">
        <v>94</v>
      </c>
      <c r="E48" t="str">
        <f>VLOOKUP(D48,countrylist[[countryname]:[region]],4)</f>
        <v>Europe</v>
      </c>
      <c r="F48" t="str">
        <f>VLOOKUP(D48,countrylist[[countryname]:[region]],5)</f>
        <v>Western Europe</v>
      </c>
      <c r="G48">
        <v>4</v>
      </c>
      <c r="H48">
        <v>6</v>
      </c>
      <c r="I48">
        <v>4</v>
      </c>
      <c r="J48">
        <v>6</v>
      </c>
      <c r="K48">
        <v>5</v>
      </c>
      <c r="L48" s="8">
        <f t="shared" ca="1" si="6"/>
        <v>3500</v>
      </c>
      <c r="M48" s="8">
        <f t="shared" ca="1" si="7"/>
        <v>4185</v>
      </c>
    </row>
    <row r="49" spans="1:13" x14ac:dyDescent="0.25">
      <c r="A49" t="str">
        <f t="shared" si="4"/>
        <v>S0044SIa</v>
      </c>
      <c r="B49" t="str">
        <f t="shared" si="5"/>
        <v>S0044</v>
      </c>
      <c r="C49" t="s">
        <v>743</v>
      </c>
      <c r="D49" t="s">
        <v>198</v>
      </c>
      <c r="E49" t="str">
        <f>VLOOKUP(D49,countrylist[[countryname]:[region]],4)</f>
        <v>Asia</v>
      </c>
      <c r="F49" t="str">
        <f>VLOOKUP(D49,countrylist[[countryname]:[region]],5)</f>
        <v>South-eastern Asia</v>
      </c>
      <c r="G49">
        <v>4</v>
      </c>
      <c r="H49">
        <v>6</v>
      </c>
      <c r="I49">
        <v>4</v>
      </c>
      <c r="J49">
        <v>6</v>
      </c>
      <c r="K49">
        <v>1</v>
      </c>
      <c r="L49" s="8">
        <f t="shared" ca="1" si="6"/>
        <v>637</v>
      </c>
      <c r="M49" s="8">
        <f t="shared" ca="1" si="7"/>
        <v>815</v>
      </c>
    </row>
    <row r="50" spans="1:13" x14ac:dyDescent="0.25">
      <c r="A50" t="str">
        <f t="shared" si="4"/>
        <v>S0044SJn</v>
      </c>
      <c r="B50" t="str">
        <f t="shared" si="5"/>
        <v>S0044</v>
      </c>
      <c r="C50" t="s">
        <v>743</v>
      </c>
      <c r="D50" t="s">
        <v>205</v>
      </c>
      <c r="E50" t="str">
        <f>VLOOKUP(D50,countrylist[[countryname]:[region]],4)</f>
        <v>Asia</v>
      </c>
      <c r="F50" t="str">
        <f>VLOOKUP(D50,countrylist[[countryname]:[region]],5)</f>
        <v>Eastern Asia</v>
      </c>
      <c r="G50">
        <v>4</v>
      </c>
      <c r="H50">
        <v>6</v>
      </c>
      <c r="I50">
        <v>4</v>
      </c>
      <c r="J50">
        <v>6</v>
      </c>
      <c r="K50">
        <v>3</v>
      </c>
      <c r="L50" s="8">
        <f t="shared" ca="1" si="6"/>
        <v>2031</v>
      </c>
      <c r="M50" s="8">
        <f t="shared" ca="1" si="7"/>
        <v>2448</v>
      </c>
    </row>
    <row r="51" spans="1:13" x14ac:dyDescent="0.25">
      <c r="A51" t="str">
        <f t="shared" si="4"/>
        <v>S0044SLa</v>
      </c>
      <c r="B51" t="str">
        <f t="shared" si="5"/>
        <v>S0044</v>
      </c>
      <c r="C51" t="s">
        <v>743</v>
      </c>
      <c r="D51" t="s">
        <v>211</v>
      </c>
      <c r="E51" t="str">
        <f>VLOOKUP(D51,countrylist[[countryname]:[region]],4)</f>
        <v>Europe</v>
      </c>
      <c r="F51" t="str">
        <f>VLOOKUP(D51,countrylist[[countryname]:[region]],5)</f>
        <v>Northern Europe</v>
      </c>
      <c r="G51">
        <v>4</v>
      </c>
      <c r="H51">
        <v>6</v>
      </c>
      <c r="I51">
        <v>4</v>
      </c>
      <c r="J51">
        <v>6</v>
      </c>
      <c r="K51">
        <v>1.5</v>
      </c>
      <c r="L51" s="8">
        <f t="shared" ca="1" si="6"/>
        <v>1023</v>
      </c>
      <c r="M51" s="8">
        <f t="shared" ca="1" si="7"/>
        <v>1315.5</v>
      </c>
    </row>
    <row r="52" spans="1:13" x14ac:dyDescent="0.25">
      <c r="A52" t="str">
        <f t="shared" si="4"/>
        <v>S0044SMa</v>
      </c>
      <c r="B52" t="str">
        <f t="shared" si="5"/>
        <v>S0044</v>
      </c>
      <c r="C52" t="s">
        <v>743</v>
      </c>
      <c r="D52" t="s">
        <v>124</v>
      </c>
      <c r="E52" t="str">
        <f>VLOOKUP(D52,countrylist[[countryname]:[region]],4)</f>
        <v>Asia</v>
      </c>
      <c r="F52" t="str">
        <f>VLOOKUP(D52,countrylist[[countryname]:[region]],5)</f>
        <v>South-eastern Asia</v>
      </c>
      <c r="G52">
        <v>4</v>
      </c>
      <c r="H52">
        <v>6</v>
      </c>
      <c r="I52">
        <v>4</v>
      </c>
      <c r="J52">
        <v>6</v>
      </c>
      <c r="K52">
        <v>1</v>
      </c>
      <c r="L52" s="8">
        <f t="shared" ca="1" si="6"/>
        <v>696</v>
      </c>
      <c r="M52" s="8">
        <f t="shared" ca="1" si="7"/>
        <v>872</v>
      </c>
    </row>
    <row r="53" spans="1:13" x14ac:dyDescent="0.25">
      <c r="A53" t="str">
        <f t="shared" si="4"/>
        <v>S0044SSe</v>
      </c>
      <c r="B53" t="str">
        <f t="shared" si="5"/>
        <v>S0044</v>
      </c>
      <c r="C53" t="s">
        <v>743</v>
      </c>
      <c r="D53" t="s">
        <v>123</v>
      </c>
      <c r="E53" t="str">
        <f>VLOOKUP(D53,countrylist[[countryname]:[region]],4)</f>
        <v>Asia</v>
      </c>
      <c r="F53" t="str">
        <f>VLOOKUP(D53,countrylist[[countryname]:[region]],5)</f>
        <v>South-eastern Asia</v>
      </c>
      <c r="G53">
        <v>4</v>
      </c>
      <c r="H53">
        <v>6</v>
      </c>
      <c r="I53">
        <v>4</v>
      </c>
      <c r="J53">
        <v>6</v>
      </c>
      <c r="K53">
        <v>2</v>
      </c>
      <c r="L53" s="8">
        <f t="shared" ca="1" si="6"/>
        <v>1294</v>
      </c>
      <c r="M53" s="8">
        <f t="shared" ca="1" si="7"/>
        <v>1650</v>
      </c>
    </row>
    <row r="54" spans="1:13" x14ac:dyDescent="0.25">
      <c r="A54" t="str">
        <f t="shared" si="4"/>
        <v>S0044SSn</v>
      </c>
      <c r="B54" t="str">
        <f t="shared" si="5"/>
        <v>S0044</v>
      </c>
      <c r="C54" t="s">
        <v>743</v>
      </c>
      <c r="D54" t="s">
        <v>268</v>
      </c>
      <c r="E54" t="str">
        <f>VLOOKUP(D54,countrylist[[countryname]:[region]],4)</f>
        <v>Europe</v>
      </c>
      <c r="F54" t="str">
        <f>VLOOKUP(D54,countrylist[[countryname]:[region]],5)</f>
        <v>Southern Europe</v>
      </c>
      <c r="G54">
        <v>4</v>
      </c>
      <c r="H54">
        <v>6</v>
      </c>
      <c r="I54">
        <v>4</v>
      </c>
      <c r="J54">
        <v>6</v>
      </c>
      <c r="K54">
        <v>3.5</v>
      </c>
      <c r="L54" s="8">
        <f t="shared" ca="1" si="6"/>
        <v>2292.5</v>
      </c>
      <c r="M54" s="8">
        <f t="shared" ca="1" si="7"/>
        <v>2929.5</v>
      </c>
    </row>
    <row r="55" spans="1:13" x14ac:dyDescent="0.25">
      <c r="A55" t="str">
        <f t="shared" si="4"/>
        <v>S0044STd</v>
      </c>
      <c r="B55" t="str">
        <f t="shared" si="5"/>
        <v>S0044</v>
      </c>
      <c r="C55" t="s">
        <v>743</v>
      </c>
      <c r="D55" t="s">
        <v>276</v>
      </c>
      <c r="E55" t="str">
        <f>VLOOKUP(D55,countrylist[[countryname]:[region]],4)</f>
        <v>Asia</v>
      </c>
      <c r="F55" t="str">
        <f>VLOOKUP(D55,countrylist[[countryname]:[region]],5)</f>
        <v>South-eastern Asia</v>
      </c>
      <c r="G55">
        <v>4</v>
      </c>
      <c r="H55">
        <v>6</v>
      </c>
      <c r="I55">
        <v>4</v>
      </c>
      <c r="J55">
        <v>6</v>
      </c>
      <c r="K55">
        <v>1.5</v>
      </c>
      <c r="L55" s="8">
        <f t="shared" ca="1" si="6"/>
        <v>1014</v>
      </c>
      <c r="M55" s="8">
        <f t="shared" ca="1" si="7"/>
        <v>1222.5</v>
      </c>
    </row>
    <row r="56" spans="1:13" x14ac:dyDescent="0.25">
      <c r="A56" t="str">
        <f t="shared" si="4"/>
        <v>S0044STe</v>
      </c>
      <c r="B56" t="str">
        <f t="shared" si="5"/>
        <v>S0044</v>
      </c>
      <c r="C56" t="s">
        <v>743</v>
      </c>
      <c r="D56" t="s">
        <v>645</v>
      </c>
      <c r="E56" t="str">
        <f>VLOOKUP(D56,countrylist[[countryname]:[region]],4)</f>
        <v>Asia</v>
      </c>
      <c r="F56" t="str">
        <f>VLOOKUP(D56,countrylist[[countryname]:[region]],5)</f>
        <v>Western Asia</v>
      </c>
      <c r="G56">
        <v>4</v>
      </c>
      <c r="H56">
        <v>6</v>
      </c>
      <c r="I56">
        <v>4</v>
      </c>
      <c r="J56">
        <v>6</v>
      </c>
      <c r="K56">
        <v>0.5</v>
      </c>
      <c r="L56" s="8">
        <f t="shared" ca="1" si="6"/>
        <v>310</v>
      </c>
      <c r="M56" s="8">
        <f t="shared" ca="1" si="7"/>
        <v>443.5</v>
      </c>
    </row>
    <row r="57" spans="1:13" x14ac:dyDescent="0.25">
      <c r="A57" t="str">
        <f t="shared" si="4"/>
        <v>S0044SVm</v>
      </c>
      <c r="B57" t="str">
        <f t="shared" si="5"/>
        <v>S0044</v>
      </c>
      <c r="C57" t="s">
        <v>743</v>
      </c>
      <c r="D57" t="s">
        <v>287</v>
      </c>
      <c r="E57" t="str">
        <f>VLOOKUP(D57,countrylist[[countryname]:[region]],4)</f>
        <v>Asia</v>
      </c>
      <c r="F57" t="str">
        <f>VLOOKUP(D57,countrylist[[countryname]:[region]],5)</f>
        <v>South-eastern Asia</v>
      </c>
      <c r="G57">
        <v>4</v>
      </c>
      <c r="H57">
        <v>6</v>
      </c>
      <c r="I57">
        <v>4</v>
      </c>
      <c r="J57">
        <v>6</v>
      </c>
      <c r="K57">
        <v>2</v>
      </c>
      <c r="L57" s="8">
        <f t="shared" ca="1" si="6"/>
        <v>1292</v>
      </c>
      <c r="M57" s="8">
        <f t="shared" ca="1" si="7"/>
        <v>1750</v>
      </c>
    </row>
    <row r="58" spans="1:13" x14ac:dyDescent="0.25">
      <c r="A58" t="str">
        <f t="shared" si="4"/>
        <v>H003010HAa</v>
      </c>
      <c r="B58" t="str">
        <f t="shared" si="5"/>
        <v>H003010</v>
      </c>
      <c r="C58" t="s">
        <v>739</v>
      </c>
      <c r="D58" t="s">
        <v>134</v>
      </c>
      <c r="E58" t="str">
        <f>VLOOKUP(D58,countrylist[[countryname]:[region]],4)</f>
        <v>South America</v>
      </c>
      <c r="F58" t="str">
        <f>VLOOKUP(D58,countrylist[[countryname]:[region]],5)</f>
        <v>South America</v>
      </c>
      <c r="G58">
        <v>30</v>
      </c>
      <c r="H58">
        <v>40</v>
      </c>
      <c r="I58">
        <v>10</v>
      </c>
      <c r="J58">
        <v>30</v>
      </c>
      <c r="K58">
        <v>6</v>
      </c>
      <c r="L58" s="8">
        <f t="shared" ca="1" si="6"/>
        <v>3678</v>
      </c>
      <c r="M58" s="8">
        <f t="shared" ca="1" si="7"/>
        <v>5190</v>
      </c>
    </row>
    <row r="59" spans="1:13" x14ac:dyDescent="0.25">
      <c r="A59" t="str">
        <f t="shared" si="4"/>
        <v>H003010HCa</v>
      </c>
      <c r="B59" t="str">
        <f t="shared" si="5"/>
        <v>H003010</v>
      </c>
      <c r="C59" t="s">
        <v>739</v>
      </c>
      <c r="D59" t="s">
        <v>96</v>
      </c>
      <c r="E59" t="str">
        <f>VLOOKUP(D59,countrylist[[countryname]:[region]],4)</f>
        <v>North America</v>
      </c>
      <c r="F59" t="str">
        <f>VLOOKUP(D59,countrylist[[countryname]:[region]],5)</f>
        <v>Northern America</v>
      </c>
      <c r="G59">
        <v>30</v>
      </c>
      <c r="H59">
        <v>40</v>
      </c>
      <c r="I59">
        <v>10</v>
      </c>
      <c r="J59">
        <v>30</v>
      </c>
      <c r="K59">
        <v>6</v>
      </c>
      <c r="L59" s="8">
        <f t="shared" ca="1" si="6"/>
        <v>3996</v>
      </c>
      <c r="M59" s="8">
        <f t="shared" ca="1" si="7"/>
        <v>4824</v>
      </c>
    </row>
    <row r="60" spans="1:13" x14ac:dyDescent="0.25">
      <c r="A60" t="str">
        <f t="shared" si="4"/>
        <v>H003010HDk</v>
      </c>
      <c r="B60" t="str">
        <f t="shared" si="5"/>
        <v>H003010</v>
      </c>
      <c r="C60" t="s">
        <v>739</v>
      </c>
      <c r="D60" t="s">
        <v>167</v>
      </c>
      <c r="E60" t="str">
        <f>VLOOKUP(D60,countrylist[[countryname]:[region]],4)</f>
        <v>Europe</v>
      </c>
      <c r="F60" t="str">
        <f>VLOOKUP(D60,countrylist[[countryname]:[region]],5)</f>
        <v>Northern Europe</v>
      </c>
      <c r="G60">
        <v>30</v>
      </c>
      <c r="H60">
        <v>40</v>
      </c>
      <c r="I60">
        <v>10</v>
      </c>
      <c r="J60">
        <v>30</v>
      </c>
      <c r="K60">
        <v>6</v>
      </c>
      <c r="L60" s="8">
        <f t="shared" ca="1" si="6"/>
        <v>3966</v>
      </c>
      <c r="M60" s="8">
        <f t="shared" ca="1" si="7"/>
        <v>4806</v>
      </c>
    </row>
    <row r="61" spans="1:13" x14ac:dyDescent="0.25">
      <c r="A61" t="str">
        <f t="shared" si="4"/>
        <v>H003010HFe</v>
      </c>
      <c r="B61" t="str">
        <f t="shared" si="5"/>
        <v>H003010</v>
      </c>
      <c r="C61" t="s">
        <v>739</v>
      </c>
      <c r="D61" t="s">
        <v>95</v>
      </c>
      <c r="E61" t="str">
        <f>VLOOKUP(D61,countrylist[[countryname]:[region]],4)</f>
        <v>Europe</v>
      </c>
      <c r="F61" t="str">
        <f>VLOOKUP(D61,countrylist[[countryname]:[region]],5)</f>
        <v>Western Europe</v>
      </c>
      <c r="G61">
        <v>30</v>
      </c>
      <c r="H61">
        <v>40</v>
      </c>
      <c r="I61">
        <v>10</v>
      </c>
      <c r="J61">
        <v>30</v>
      </c>
      <c r="K61">
        <v>6</v>
      </c>
      <c r="L61" s="8">
        <f t="shared" ca="1" si="6"/>
        <v>3672</v>
      </c>
      <c r="M61" s="8">
        <f t="shared" ca="1" si="7"/>
        <v>5076</v>
      </c>
    </row>
    <row r="62" spans="1:13" x14ac:dyDescent="0.25">
      <c r="A62" t="str">
        <f t="shared" si="4"/>
        <v>H003010HGy</v>
      </c>
      <c r="B62" t="str">
        <f t="shared" si="5"/>
        <v>H003010</v>
      </c>
      <c r="C62" t="s">
        <v>739</v>
      </c>
      <c r="D62" t="s">
        <v>94</v>
      </c>
      <c r="E62" t="str">
        <f>VLOOKUP(D62,countrylist[[countryname]:[region]],4)</f>
        <v>Europe</v>
      </c>
      <c r="F62" t="str">
        <f>VLOOKUP(D62,countrylist[[countryname]:[region]],5)</f>
        <v>Western Europe</v>
      </c>
      <c r="G62">
        <v>30</v>
      </c>
      <c r="H62">
        <v>40</v>
      </c>
      <c r="I62">
        <v>10</v>
      </c>
      <c r="J62">
        <v>30</v>
      </c>
      <c r="K62">
        <v>5</v>
      </c>
      <c r="L62" s="8">
        <f t="shared" ca="1" si="6"/>
        <v>3390</v>
      </c>
      <c r="M62" s="8">
        <f t="shared" ca="1" si="7"/>
        <v>4200</v>
      </c>
    </row>
    <row r="63" spans="1:13" x14ac:dyDescent="0.25">
      <c r="A63" t="str">
        <f t="shared" si="4"/>
        <v>H003010HIa</v>
      </c>
      <c r="B63" t="str">
        <f t="shared" si="5"/>
        <v>H003010</v>
      </c>
      <c r="C63" t="s">
        <v>739</v>
      </c>
      <c r="D63" t="s">
        <v>198</v>
      </c>
      <c r="E63" t="str">
        <f>VLOOKUP(D63,countrylist[[countryname]:[region]],4)</f>
        <v>Asia</v>
      </c>
      <c r="F63" t="str">
        <f>VLOOKUP(D63,countrylist[[countryname]:[region]],5)</f>
        <v>South-eastern Asia</v>
      </c>
      <c r="G63">
        <v>30</v>
      </c>
      <c r="H63">
        <v>40</v>
      </c>
      <c r="I63">
        <v>10</v>
      </c>
      <c r="J63">
        <v>30</v>
      </c>
      <c r="K63">
        <v>5</v>
      </c>
      <c r="L63" s="8">
        <f t="shared" ca="1" si="6"/>
        <v>3275</v>
      </c>
      <c r="M63" s="8">
        <f t="shared" ca="1" si="7"/>
        <v>4335</v>
      </c>
    </row>
    <row r="64" spans="1:13" x14ac:dyDescent="0.25">
      <c r="A64" t="str">
        <f t="shared" si="4"/>
        <v>H003010HLa</v>
      </c>
      <c r="B64" t="str">
        <f t="shared" si="5"/>
        <v>H003010</v>
      </c>
      <c r="C64" t="s">
        <v>739</v>
      </c>
      <c r="D64" t="s">
        <v>211</v>
      </c>
      <c r="E64" t="str">
        <f>VLOOKUP(D64,countrylist[[countryname]:[region]],4)</f>
        <v>Europe</v>
      </c>
      <c r="F64" t="str">
        <f>VLOOKUP(D64,countrylist[[countryname]:[region]],5)</f>
        <v>Northern Europe</v>
      </c>
      <c r="G64">
        <v>30</v>
      </c>
      <c r="H64">
        <v>40</v>
      </c>
      <c r="I64">
        <v>10</v>
      </c>
      <c r="J64">
        <v>30</v>
      </c>
      <c r="K64">
        <v>5</v>
      </c>
      <c r="L64" s="8">
        <f t="shared" ca="1" si="6"/>
        <v>3000</v>
      </c>
      <c r="M64" s="8">
        <f t="shared" ca="1" si="7"/>
        <v>4330</v>
      </c>
    </row>
    <row r="65" spans="1:13" x14ac:dyDescent="0.25">
      <c r="A65" t="str">
        <f t="shared" si="4"/>
        <v>H003010HMa</v>
      </c>
      <c r="B65" t="str">
        <f t="shared" si="5"/>
        <v>H003010</v>
      </c>
      <c r="C65" t="s">
        <v>739</v>
      </c>
      <c r="D65" t="s">
        <v>124</v>
      </c>
      <c r="E65" t="str">
        <f>VLOOKUP(D65,countrylist[[countryname]:[region]],4)</f>
        <v>Asia</v>
      </c>
      <c r="F65" t="str">
        <f>VLOOKUP(D65,countrylist[[countryname]:[region]],5)</f>
        <v>South-eastern Asia</v>
      </c>
      <c r="G65">
        <v>30</v>
      </c>
      <c r="H65">
        <v>40</v>
      </c>
      <c r="I65">
        <v>10</v>
      </c>
      <c r="J65">
        <v>30</v>
      </c>
      <c r="K65">
        <v>4</v>
      </c>
      <c r="L65" s="8">
        <f t="shared" ca="1" si="6"/>
        <v>2424</v>
      </c>
      <c r="M65" s="8">
        <f t="shared" ca="1" si="7"/>
        <v>3296</v>
      </c>
    </row>
    <row r="66" spans="1:13" x14ac:dyDescent="0.25">
      <c r="A66" t="str">
        <f t="shared" ref="A66:A70" si="8">B66&amp;LEFT(C66,1)&amp;LEFT(D66,1)&amp;RIGHT(D66,1)</f>
        <v>H003010HSe</v>
      </c>
      <c r="B66" t="str">
        <f t="shared" ref="B66:B70" si="9">LEFT(C66,1)&amp;"00"&amp;G66&amp;I66</f>
        <v>H003010</v>
      </c>
      <c r="C66" t="s">
        <v>739</v>
      </c>
      <c r="D66" t="s">
        <v>123</v>
      </c>
      <c r="E66" t="str">
        <f>VLOOKUP(D66,countrylist[[countryname]:[region]],4)</f>
        <v>Asia</v>
      </c>
      <c r="F66" t="str">
        <f>VLOOKUP(D66,countrylist[[countryname]:[region]],5)</f>
        <v>South-eastern Asia</v>
      </c>
      <c r="G66">
        <v>30</v>
      </c>
      <c r="H66">
        <v>40</v>
      </c>
      <c r="I66">
        <v>10</v>
      </c>
      <c r="J66">
        <v>30</v>
      </c>
      <c r="K66">
        <v>8</v>
      </c>
      <c r="L66" s="8">
        <f t="shared" ref="L66:L70" ca="1" si="10">(RANDBETWEEN(600,700)*K66)</f>
        <v>5568</v>
      </c>
      <c r="M66" s="8">
        <f t="shared" ca="1" si="7"/>
        <v>6816</v>
      </c>
    </row>
    <row r="67" spans="1:13" x14ac:dyDescent="0.25">
      <c r="A67" t="str">
        <f t="shared" si="8"/>
        <v>H003010HSn</v>
      </c>
      <c r="B67" t="str">
        <f t="shared" si="9"/>
        <v>H003010</v>
      </c>
      <c r="C67" t="s">
        <v>739</v>
      </c>
      <c r="D67" t="s">
        <v>268</v>
      </c>
      <c r="E67" t="str">
        <f>VLOOKUP(D67,countrylist[[countryname]:[region]],4)</f>
        <v>Europe</v>
      </c>
      <c r="F67" t="str">
        <f>VLOOKUP(D67,countrylist[[countryname]:[region]],5)</f>
        <v>Southern Europe</v>
      </c>
      <c r="G67">
        <v>30</v>
      </c>
      <c r="H67">
        <v>40</v>
      </c>
      <c r="I67">
        <v>10</v>
      </c>
      <c r="J67">
        <v>30</v>
      </c>
      <c r="K67">
        <v>8</v>
      </c>
      <c r="L67" s="8">
        <f t="shared" ca="1" si="10"/>
        <v>5064</v>
      </c>
      <c r="M67" s="8">
        <f t="shared" ca="1" si="7"/>
        <v>7032</v>
      </c>
    </row>
    <row r="68" spans="1:13" x14ac:dyDescent="0.25">
      <c r="A68" t="str">
        <f t="shared" si="8"/>
        <v>H003010HTd</v>
      </c>
      <c r="B68" t="str">
        <f t="shared" si="9"/>
        <v>H003010</v>
      </c>
      <c r="C68" t="s">
        <v>739</v>
      </c>
      <c r="D68" t="s">
        <v>276</v>
      </c>
      <c r="E68" t="str">
        <f>VLOOKUP(D68,countrylist[[countryname]:[region]],4)</f>
        <v>Asia</v>
      </c>
      <c r="F68" t="str">
        <f>VLOOKUP(D68,countrylist[[countryname]:[region]],5)</f>
        <v>South-eastern Asia</v>
      </c>
      <c r="G68">
        <v>30</v>
      </c>
      <c r="H68">
        <v>40</v>
      </c>
      <c r="I68">
        <v>10</v>
      </c>
      <c r="J68">
        <v>30</v>
      </c>
      <c r="K68">
        <v>8</v>
      </c>
      <c r="L68" s="8">
        <f t="shared" ca="1" si="10"/>
        <v>5360</v>
      </c>
      <c r="M68" s="8">
        <f t="shared" ca="1" si="7"/>
        <v>6984</v>
      </c>
    </row>
    <row r="69" spans="1:13" x14ac:dyDescent="0.25">
      <c r="A69" t="str">
        <f t="shared" si="8"/>
        <v>H003010HTe</v>
      </c>
      <c r="B69" t="str">
        <f t="shared" si="9"/>
        <v>H003010</v>
      </c>
      <c r="C69" t="s">
        <v>739</v>
      </c>
      <c r="D69" t="s">
        <v>645</v>
      </c>
      <c r="E69" t="str">
        <f>VLOOKUP(D69,countrylist[[countryname]:[region]],4)</f>
        <v>Asia</v>
      </c>
      <c r="F69" t="str">
        <f>VLOOKUP(D69,countrylist[[countryname]:[region]],5)</f>
        <v>Western Asia</v>
      </c>
      <c r="G69">
        <v>30</v>
      </c>
      <c r="H69">
        <v>40</v>
      </c>
      <c r="I69">
        <v>10</v>
      </c>
      <c r="J69">
        <v>30</v>
      </c>
      <c r="K69">
        <v>6</v>
      </c>
      <c r="L69" s="8">
        <f t="shared" ca="1" si="10"/>
        <v>4146</v>
      </c>
      <c r="M69" s="8">
        <f t="shared" ca="1" si="7"/>
        <v>5112</v>
      </c>
    </row>
    <row r="70" spans="1:13" x14ac:dyDescent="0.25">
      <c r="A70" t="str">
        <f t="shared" si="8"/>
        <v>H003010HVm</v>
      </c>
      <c r="B70" t="str">
        <f t="shared" si="9"/>
        <v>H003010</v>
      </c>
      <c r="C70" t="s">
        <v>739</v>
      </c>
      <c r="D70" t="s">
        <v>287</v>
      </c>
      <c r="E70" t="str">
        <f>VLOOKUP(D70,countrylist[[countryname]:[region]],4)</f>
        <v>Asia</v>
      </c>
      <c r="F70" t="str">
        <f>VLOOKUP(D70,countrylist[[countryname]:[region]],5)</f>
        <v>South-eastern Asia</v>
      </c>
      <c r="G70">
        <v>30</v>
      </c>
      <c r="H70">
        <v>40</v>
      </c>
      <c r="I70">
        <v>10</v>
      </c>
      <c r="J70">
        <v>30</v>
      </c>
      <c r="K70">
        <v>6</v>
      </c>
      <c r="L70" s="8">
        <f t="shared" ca="1" si="10"/>
        <v>4176</v>
      </c>
      <c r="M70" s="8">
        <f t="shared" ca="1" si="7"/>
        <v>4836</v>
      </c>
    </row>
  </sheetData>
  <sortState xmlns:xlrd2="http://schemas.microsoft.com/office/spreadsheetml/2017/richdata2" ref="A2:M70">
    <sortCondition ref="C3:C7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86EC-C83E-4852-B92D-C47B55583AC6}">
  <dimension ref="A1:M70"/>
  <sheetViews>
    <sheetView zoomScale="130" zoomScaleNormal="130" workbookViewId="0">
      <selection activeCell="K71" sqref="K71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18.7109375" customWidth="1"/>
    <col min="4" max="4" width="15.42578125" bestFit="1" customWidth="1"/>
    <col min="6" max="6" width="18" bestFit="1" customWidth="1"/>
    <col min="12" max="13" width="10" bestFit="1" customWidth="1"/>
  </cols>
  <sheetData>
    <row r="1" spans="1:13" x14ac:dyDescent="0.25">
      <c r="A1" t="s">
        <v>714</v>
      </c>
      <c r="B1" t="s">
        <v>729</v>
      </c>
      <c r="C1" t="s">
        <v>728</v>
      </c>
      <c r="D1" t="s">
        <v>106</v>
      </c>
      <c r="E1" t="s">
        <v>738</v>
      </c>
      <c r="F1" t="s">
        <v>727</v>
      </c>
      <c r="G1" t="s">
        <v>723</v>
      </c>
      <c r="H1" t="s">
        <v>724</v>
      </c>
      <c r="I1" t="s">
        <v>721</v>
      </c>
      <c r="J1" t="s">
        <v>722</v>
      </c>
      <c r="K1" t="s">
        <v>737</v>
      </c>
      <c r="L1" t="s">
        <v>725</v>
      </c>
      <c r="M1" t="s">
        <v>726</v>
      </c>
    </row>
    <row r="2" spans="1:13" x14ac:dyDescent="0.25">
      <c r="A2" t="str">
        <f t="shared" ref="A2:A33" si="0">B2&amp;LEFT(C2,1)&amp;LEFT(D2,1)&amp;RIGHT(D2,1)</f>
        <v>AZ101EFe</v>
      </c>
      <c r="B2" t="s">
        <v>730</v>
      </c>
      <c r="C2" t="s">
        <v>715</v>
      </c>
      <c r="D2" t="s">
        <v>95</v>
      </c>
      <c r="E2" t="str">
        <f>VLOOKUP(D2,countrylist[[countryname]:[region]],4)</f>
        <v>Europe</v>
      </c>
      <c r="F2" t="str">
        <f>VLOOKUP(D2,countrylist[[countryname]:[region]],5)</f>
        <v>Western Europe</v>
      </c>
      <c r="G2">
        <v>1</v>
      </c>
      <c r="H2">
        <v>3</v>
      </c>
      <c r="I2">
        <v>1</v>
      </c>
      <c r="J2">
        <v>3</v>
      </c>
      <c r="K2">
        <v>1</v>
      </c>
      <c r="L2" s="8">
        <f t="shared" ref="L2:L33" ca="1" si="1">(RANDBETWEEN(600,700)*K2)</f>
        <v>642</v>
      </c>
      <c r="M2" s="8">
        <f t="shared" ref="M2:M33" ca="1" si="2">(RANDBETWEEN(800,900)*K2)</f>
        <v>859</v>
      </c>
    </row>
    <row r="3" spans="1:13" x14ac:dyDescent="0.25">
      <c r="A3" t="str">
        <f t="shared" si="0"/>
        <v>AZ103MFe</v>
      </c>
      <c r="B3" t="s">
        <v>732</v>
      </c>
      <c r="C3" t="s">
        <v>717</v>
      </c>
      <c r="D3" t="s">
        <v>95</v>
      </c>
      <c r="E3" t="str">
        <f>VLOOKUP(D3,countrylist[[countryname]:[region]],4)</f>
        <v>Europe</v>
      </c>
      <c r="F3" t="str">
        <f>VLOOKUP(D3,countrylist[[countryname]:[region]],5)</f>
        <v>Western Europe</v>
      </c>
      <c r="G3">
        <v>4</v>
      </c>
      <c r="H3">
        <v>10</v>
      </c>
      <c r="I3">
        <v>10</v>
      </c>
      <c r="J3">
        <v>20</v>
      </c>
      <c r="K3">
        <v>2</v>
      </c>
      <c r="L3" s="8">
        <f t="shared" ca="1" si="1"/>
        <v>1370</v>
      </c>
      <c r="M3" s="8">
        <f t="shared" ca="1" si="2"/>
        <v>1710</v>
      </c>
    </row>
    <row r="4" spans="1:13" x14ac:dyDescent="0.25">
      <c r="A4" t="str">
        <f t="shared" si="0"/>
        <v>AZ105GFe</v>
      </c>
      <c r="B4" t="s">
        <v>734</v>
      </c>
      <c r="C4" t="s">
        <v>719</v>
      </c>
      <c r="D4" t="s">
        <v>95</v>
      </c>
      <c r="E4" t="str">
        <f>VLOOKUP(D4,countrylist[[countryname]:[region]],4)</f>
        <v>Europe</v>
      </c>
      <c r="F4" t="str">
        <f>VLOOKUP(D4,countrylist[[countryname]:[region]],5)</f>
        <v>Western Europe</v>
      </c>
      <c r="G4">
        <v>2</v>
      </c>
      <c r="H4">
        <v>5</v>
      </c>
      <c r="I4">
        <v>2</v>
      </c>
      <c r="J4">
        <v>5</v>
      </c>
      <c r="K4">
        <v>3</v>
      </c>
      <c r="L4" s="8">
        <f t="shared" ca="1" si="1"/>
        <v>1860</v>
      </c>
      <c r="M4" s="8">
        <f t="shared" ca="1" si="2"/>
        <v>2553</v>
      </c>
    </row>
    <row r="5" spans="1:13" x14ac:dyDescent="0.25">
      <c r="A5" t="str">
        <f t="shared" si="0"/>
        <v>AZ106NFe</v>
      </c>
      <c r="B5" t="s">
        <v>735</v>
      </c>
      <c r="C5" t="s">
        <v>720</v>
      </c>
      <c r="D5" t="s">
        <v>95</v>
      </c>
      <c r="E5" t="str">
        <f>VLOOKUP(D5,countrylist[[countryname]:[region]],4)</f>
        <v>Europe</v>
      </c>
      <c r="F5" t="str">
        <f>VLOOKUP(D5,countrylist[[countryname]:[region]],5)</f>
        <v>Western Europe</v>
      </c>
      <c r="G5">
        <v>1</v>
      </c>
      <c r="H5">
        <v>3</v>
      </c>
      <c r="I5">
        <v>1</v>
      </c>
      <c r="J5">
        <v>3</v>
      </c>
      <c r="K5">
        <v>3</v>
      </c>
      <c r="L5" s="8">
        <f t="shared" ca="1" si="1"/>
        <v>2031</v>
      </c>
      <c r="M5" s="8">
        <f t="shared" ca="1" si="2"/>
        <v>2553</v>
      </c>
    </row>
    <row r="6" spans="1:13" x14ac:dyDescent="0.25">
      <c r="A6" t="str">
        <f t="shared" si="0"/>
        <v>AZ102MIa</v>
      </c>
      <c r="B6" t="s">
        <v>731</v>
      </c>
      <c r="C6" t="s">
        <v>716</v>
      </c>
      <c r="D6" t="s">
        <v>198</v>
      </c>
      <c r="E6" t="str">
        <f>VLOOKUP(D6,countrylist[[countryname]:[region]],4)</f>
        <v>Asia</v>
      </c>
      <c r="F6" t="str">
        <f>VLOOKUP(D6,countrylist[[countryname]:[region]],5)</f>
        <v>South-eastern Asia</v>
      </c>
      <c r="G6">
        <v>4</v>
      </c>
      <c r="H6">
        <v>6</v>
      </c>
      <c r="I6">
        <v>4</v>
      </c>
      <c r="J6">
        <v>6</v>
      </c>
      <c r="K6">
        <v>1</v>
      </c>
      <c r="L6" s="8">
        <f t="shared" ca="1" si="1"/>
        <v>655</v>
      </c>
      <c r="M6" s="8">
        <f t="shared" ca="1" si="2"/>
        <v>877</v>
      </c>
    </row>
    <row r="7" spans="1:13" x14ac:dyDescent="0.25">
      <c r="A7" t="str">
        <f t="shared" si="0"/>
        <v>AZ101EJn</v>
      </c>
      <c r="B7" t="s">
        <v>730</v>
      </c>
      <c r="C7" t="s">
        <v>715</v>
      </c>
      <c r="D7" t="s">
        <v>205</v>
      </c>
      <c r="E7" t="str">
        <f>VLOOKUP(D7,countrylist[[countryname]:[region]],4)</f>
        <v>Asia</v>
      </c>
      <c r="F7" t="str">
        <f>VLOOKUP(D7,countrylist[[countryname]:[region]],5)</f>
        <v>Eastern Asia</v>
      </c>
      <c r="G7">
        <v>1</v>
      </c>
      <c r="H7">
        <v>3</v>
      </c>
      <c r="I7">
        <v>1</v>
      </c>
      <c r="J7">
        <v>3</v>
      </c>
      <c r="K7">
        <v>3</v>
      </c>
      <c r="L7" s="8">
        <f t="shared" ca="1" si="1"/>
        <v>1851</v>
      </c>
      <c r="M7" s="8">
        <f t="shared" ca="1" si="2"/>
        <v>2601</v>
      </c>
    </row>
    <row r="8" spans="1:13" x14ac:dyDescent="0.25">
      <c r="A8" t="str">
        <f t="shared" si="0"/>
        <v>AZ102MJn</v>
      </c>
      <c r="B8" t="s">
        <v>731</v>
      </c>
      <c r="C8" t="s">
        <v>716</v>
      </c>
      <c r="D8" t="s">
        <v>205</v>
      </c>
      <c r="E8" t="str">
        <f>VLOOKUP(D8,countrylist[[countryname]:[region]],4)</f>
        <v>Asia</v>
      </c>
      <c r="F8" t="str">
        <f>VLOOKUP(D8,countrylist[[countryname]:[region]],5)</f>
        <v>Eastern Asia</v>
      </c>
      <c r="G8">
        <v>4</v>
      </c>
      <c r="H8">
        <v>6</v>
      </c>
      <c r="I8">
        <v>4</v>
      </c>
      <c r="J8">
        <v>6</v>
      </c>
      <c r="K8">
        <v>3</v>
      </c>
      <c r="L8" s="8">
        <f t="shared" ca="1" si="1"/>
        <v>1896</v>
      </c>
      <c r="M8" s="8">
        <f t="shared" ca="1" si="2"/>
        <v>2445</v>
      </c>
    </row>
    <row r="9" spans="1:13" x14ac:dyDescent="0.25">
      <c r="A9" t="str">
        <f t="shared" si="0"/>
        <v>AZ101EMa</v>
      </c>
      <c r="B9" t="s">
        <v>730</v>
      </c>
      <c r="C9" t="s">
        <v>715</v>
      </c>
      <c r="D9" t="s">
        <v>124</v>
      </c>
      <c r="E9" t="str">
        <f>VLOOKUP(D9,countrylist[[countryname]:[region]],4)</f>
        <v>Asia</v>
      </c>
      <c r="F9" t="str">
        <f>VLOOKUP(D9,countrylist[[countryname]:[region]],5)</f>
        <v>South-eastern Asia</v>
      </c>
      <c r="G9">
        <v>1</v>
      </c>
      <c r="H9">
        <v>3</v>
      </c>
      <c r="I9">
        <v>1</v>
      </c>
      <c r="J9">
        <v>3</v>
      </c>
      <c r="K9">
        <v>1</v>
      </c>
      <c r="L9" s="8">
        <f t="shared" ca="1" si="1"/>
        <v>601</v>
      </c>
      <c r="M9" s="8">
        <f t="shared" ca="1" si="2"/>
        <v>824</v>
      </c>
    </row>
    <row r="10" spans="1:13" x14ac:dyDescent="0.25">
      <c r="A10" t="str">
        <f t="shared" si="0"/>
        <v>AZ102MMa</v>
      </c>
      <c r="B10" t="s">
        <v>731</v>
      </c>
      <c r="C10" t="s">
        <v>716</v>
      </c>
      <c r="D10" t="s">
        <v>124</v>
      </c>
      <c r="E10" t="str">
        <f>VLOOKUP(D10,countrylist[[countryname]:[region]],4)</f>
        <v>Asia</v>
      </c>
      <c r="F10" t="str">
        <f>VLOOKUP(D10,countrylist[[countryname]:[region]],5)</f>
        <v>South-eastern Asia</v>
      </c>
      <c r="G10">
        <v>4</v>
      </c>
      <c r="H10">
        <v>6</v>
      </c>
      <c r="I10">
        <v>4</v>
      </c>
      <c r="J10">
        <v>6</v>
      </c>
      <c r="K10">
        <v>1</v>
      </c>
      <c r="L10" s="8">
        <f t="shared" ca="1" si="1"/>
        <v>625</v>
      </c>
      <c r="M10" s="8">
        <f t="shared" ca="1" si="2"/>
        <v>871</v>
      </c>
    </row>
    <row r="11" spans="1:13" x14ac:dyDescent="0.25">
      <c r="A11" t="str">
        <f t="shared" si="0"/>
        <v>AZ103MMa</v>
      </c>
      <c r="B11" t="s">
        <v>732</v>
      </c>
      <c r="C11" t="s">
        <v>717</v>
      </c>
      <c r="D11" t="s">
        <v>124</v>
      </c>
      <c r="E11" t="str">
        <f>VLOOKUP(D11,countrylist[[countryname]:[region]],4)</f>
        <v>Asia</v>
      </c>
      <c r="F11" t="str">
        <f>VLOOKUP(D11,countrylist[[countryname]:[region]],5)</f>
        <v>South-eastern Asia</v>
      </c>
      <c r="G11">
        <v>4</v>
      </c>
      <c r="H11">
        <v>10</v>
      </c>
      <c r="I11">
        <v>10</v>
      </c>
      <c r="J11">
        <v>20</v>
      </c>
      <c r="K11">
        <v>1</v>
      </c>
      <c r="L11" s="8">
        <f t="shared" ca="1" si="1"/>
        <v>617</v>
      </c>
      <c r="M11" s="8">
        <f t="shared" ca="1" si="2"/>
        <v>835</v>
      </c>
    </row>
    <row r="12" spans="1:13" x14ac:dyDescent="0.25">
      <c r="A12" t="str">
        <f t="shared" si="0"/>
        <v>AZ104CMa</v>
      </c>
      <c r="B12" t="s">
        <v>733</v>
      </c>
      <c r="C12" t="s">
        <v>718</v>
      </c>
      <c r="D12" t="s">
        <v>124</v>
      </c>
      <c r="E12" t="str">
        <f>VLOOKUP(D12,countrylist[[countryname]:[region]],4)</f>
        <v>Asia</v>
      </c>
      <c r="F12" t="str">
        <f>VLOOKUP(D12,countrylist[[countryname]:[region]],5)</f>
        <v>South-eastern Asia</v>
      </c>
      <c r="G12">
        <v>10</v>
      </c>
      <c r="H12">
        <v>20</v>
      </c>
      <c r="I12">
        <v>4</v>
      </c>
      <c r="J12">
        <v>6</v>
      </c>
      <c r="K12">
        <v>1</v>
      </c>
      <c r="L12" s="8">
        <f t="shared" ca="1" si="1"/>
        <v>647</v>
      </c>
      <c r="M12" s="8">
        <f t="shared" ca="1" si="2"/>
        <v>826</v>
      </c>
    </row>
    <row r="13" spans="1:13" x14ac:dyDescent="0.25">
      <c r="A13" t="str">
        <f t="shared" si="0"/>
        <v>AZ106NMa</v>
      </c>
      <c r="B13" t="s">
        <v>735</v>
      </c>
      <c r="C13" t="s">
        <v>720</v>
      </c>
      <c r="D13" t="s">
        <v>124</v>
      </c>
      <c r="E13" t="str">
        <f>VLOOKUP(D13,countrylist[[countryname]:[region]],4)</f>
        <v>Asia</v>
      </c>
      <c r="F13" t="str">
        <f>VLOOKUP(D13,countrylist[[countryname]:[region]],5)</f>
        <v>South-eastern Asia</v>
      </c>
      <c r="G13">
        <v>1</v>
      </c>
      <c r="H13">
        <v>3</v>
      </c>
      <c r="I13">
        <v>1</v>
      </c>
      <c r="J13">
        <v>3</v>
      </c>
      <c r="K13">
        <v>1</v>
      </c>
      <c r="L13" s="8">
        <f t="shared" ca="1" si="1"/>
        <v>692</v>
      </c>
      <c r="M13" s="8">
        <f t="shared" ca="1" si="2"/>
        <v>849</v>
      </c>
    </row>
    <row r="14" spans="1:13" x14ac:dyDescent="0.25">
      <c r="A14" t="str">
        <f t="shared" si="0"/>
        <v>AZ101ESe</v>
      </c>
      <c r="B14" t="s">
        <v>730</v>
      </c>
      <c r="C14" t="s">
        <v>715</v>
      </c>
      <c r="D14" t="s">
        <v>123</v>
      </c>
      <c r="E14" t="str">
        <f>VLOOKUP(D14,countrylist[[countryname]:[region]],4)</f>
        <v>Asia</v>
      </c>
      <c r="F14" t="str">
        <f>VLOOKUP(D14,countrylist[[countryname]:[region]],5)</f>
        <v>South-eastern Asia</v>
      </c>
      <c r="G14">
        <v>1</v>
      </c>
      <c r="H14">
        <v>3</v>
      </c>
      <c r="I14">
        <v>1</v>
      </c>
      <c r="J14">
        <v>3</v>
      </c>
      <c r="K14">
        <v>2</v>
      </c>
      <c r="L14" s="8">
        <f t="shared" ca="1" si="1"/>
        <v>1324</v>
      </c>
      <c r="M14" s="8">
        <f t="shared" ca="1" si="2"/>
        <v>1716</v>
      </c>
    </row>
    <row r="15" spans="1:13" x14ac:dyDescent="0.25">
      <c r="A15" t="str">
        <f t="shared" si="0"/>
        <v>AZ102MSe</v>
      </c>
      <c r="B15" t="s">
        <v>731</v>
      </c>
      <c r="C15" t="s">
        <v>716</v>
      </c>
      <c r="D15" t="s">
        <v>123</v>
      </c>
      <c r="E15" t="str">
        <f>VLOOKUP(D15,countrylist[[countryname]:[region]],4)</f>
        <v>Asia</v>
      </c>
      <c r="F15" t="str">
        <f>VLOOKUP(D15,countrylist[[countryname]:[region]],5)</f>
        <v>South-eastern Asia</v>
      </c>
      <c r="G15">
        <v>4</v>
      </c>
      <c r="H15">
        <v>6</v>
      </c>
      <c r="I15">
        <v>4</v>
      </c>
      <c r="J15">
        <v>6</v>
      </c>
      <c r="K15">
        <v>2</v>
      </c>
      <c r="L15" s="8">
        <f t="shared" ca="1" si="1"/>
        <v>1386</v>
      </c>
      <c r="M15" s="8">
        <f t="shared" ca="1" si="2"/>
        <v>1742</v>
      </c>
    </row>
    <row r="16" spans="1:13" x14ac:dyDescent="0.25">
      <c r="A16" t="str">
        <f t="shared" si="0"/>
        <v>AZ103MSe</v>
      </c>
      <c r="B16" t="s">
        <v>732</v>
      </c>
      <c r="C16" t="s">
        <v>717</v>
      </c>
      <c r="D16" t="s">
        <v>123</v>
      </c>
      <c r="E16" t="str">
        <f>VLOOKUP(D16,countrylist[[countryname]:[region]],4)</f>
        <v>Asia</v>
      </c>
      <c r="F16" t="str">
        <f>VLOOKUP(D16,countrylist[[countryname]:[region]],5)</f>
        <v>South-eastern Asia</v>
      </c>
      <c r="G16">
        <v>4</v>
      </c>
      <c r="H16">
        <v>10</v>
      </c>
      <c r="I16">
        <v>10</v>
      </c>
      <c r="J16">
        <v>20</v>
      </c>
      <c r="K16">
        <v>2</v>
      </c>
      <c r="L16" s="8">
        <f t="shared" ca="1" si="1"/>
        <v>1236</v>
      </c>
      <c r="M16" s="8">
        <f t="shared" ca="1" si="2"/>
        <v>1668</v>
      </c>
    </row>
    <row r="17" spans="1:13" x14ac:dyDescent="0.25">
      <c r="A17" t="str">
        <f t="shared" si="0"/>
        <v>AZ104CSe</v>
      </c>
      <c r="B17" t="s">
        <v>733</v>
      </c>
      <c r="C17" t="s">
        <v>718</v>
      </c>
      <c r="D17" t="s">
        <v>123</v>
      </c>
      <c r="E17" t="str">
        <f>VLOOKUP(D17,countrylist[[countryname]:[region]],4)</f>
        <v>Asia</v>
      </c>
      <c r="F17" t="str">
        <f>VLOOKUP(D17,countrylist[[countryname]:[region]],5)</f>
        <v>South-eastern Asia</v>
      </c>
      <c r="G17">
        <v>10</v>
      </c>
      <c r="H17">
        <v>20</v>
      </c>
      <c r="I17">
        <v>4</v>
      </c>
      <c r="J17">
        <v>6</v>
      </c>
      <c r="K17">
        <v>2</v>
      </c>
      <c r="L17" s="8">
        <f t="shared" ca="1" si="1"/>
        <v>1306</v>
      </c>
      <c r="M17" s="8">
        <f t="shared" ca="1" si="2"/>
        <v>1604</v>
      </c>
    </row>
    <row r="18" spans="1:13" x14ac:dyDescent="0.25">
      <c r="A18" t="str">
        <f t="shared" si="0"/>
        <v>AZ106NSe</v>
      </c>
      <c r="B18" t="s">
        <v>735</v>
      </c>
      <c r="C18" t="s">
        <v>720</v>
      </c>
      <c r="D18" t="s">
        <v>123</v>
      </c>
      <c r="E18" t="str">
        <f>VLOOKUP(D18,countrylist[[countryname]:[region]],4)</f>
        <v>Asia</v>
      </c>
      <c r="F18" t="str">
        <f>VLOOKUP(D18,countrylist[[countryname]:[region]],5)</f>
        <v>South-eastern Asia</v>
      </c>
      <c r="G18">
        <v>1</v>
      </c>
      <c r="H18">
        <v>3</v>
      </c>
      <c r="I18">
        <v>1</v>
      </c>
      <c r="J18">
        <v>3</v>
      </c>
      <c r="K18">
        <v>2</v>
      </c>
      <c r="L18" s="8">
        <f t="shared" ca="1" si="1"/>
        <v>1244</v>
      </c>
      <c r="M18" s="8">
        <f t="shared" ca="1" si="2"/>
        <v>1602</v>
      </c>
    </row>
    <row r="19" spans="1:13" x14ac:dyDescent="0.25">
      <c r="A19" t="str">
        <f t="shared" si="0"/>
        <v>AZ103MUm</v>
      </c>
      <c r="B19" t="s">
        <v>732</v>
      </c>
      <c r="C19" t="s">
        <v>717</v>
      </c>
      <c r="D19" t="s">
        <v>736</v>
      </c>
      <c r="E19" t="str">
        <f>VLOOKUP(D19,countrylist[[countryname]:[region]],4)</f>
        <v>Asia</v>
      </c>
      <c r="F19" t="str">
        <f>VLOOKUP(D19,countrylist[[countryname]:[region]],5)</f>
        <v>Western Asia</v>
      </c>
      <c r="G19">
        <v>4</v>
      </c>
      <c r="H19">
        <v>10</v>
      </c>
      <c r="I19">
        <v>10</v>
      </c>
      <c r="J19">
        <v>20</v>
      </c>
      <c r="K19">
        <v>1</v>
      </c>
      <c r="L19" s="8">
        <f t="shared" ca="1" si="1"/>
        <v>633</v>
      </c>
      <c r="M19" s="8">
        <f t="shared" ca="1" si="2"/>
        <v>855</v>
      </c>
    </row>
    <row r="20" spans="1:13" x14ac:dyDescent="0.25">
      <c r="A20" t="str">
        <f t="shared" si="0"/>
        <v>AZ105GUm</v>
      </c>
      <c r="B20" t="s">
        <v>734</v>
      </c>
      <c r="C20" t="s">
        <v>719</v>
      </c>
      <c r="D20" t="s">
        <v>736</v>
      </c>
      <c r="E20" t="str">
        <f>VLOOKUP(D20,countrylist[[countryname]:[region]],4)</f>
        <v>Asia</v>
      </c>
      <c r="F20" t="str">
        <f>VLOOKUP(D20,countrylist[[countryname]:[region]],5)</f>
        <v>Western Asia</v>
      </c>
      <c r="G20">
        <v>2</v>
      </c>
      <c r="H20">
        <v>5</v>
      </c>
      <c r="I20">
        <v>2</v>
      </c>
      <c r="J20">
        <v>5</v>
      </c>
      <c r="K20">
        <v>3</v>
      </c>
      <c r="L20" s="8">
        <f t="shared" ca="1" si="1"/>
        <v>1965</v>
      </c>
      <c r="M20" s="8">
        <f t="shared" ca="1" si="2"/>
        <v>2601</v>
      </c>
    </row>
    <row r="21" spans="1:13" x14ac:dyDescent="0.25">
      <c r="A21" t="str">
        <f t="shared" si="0"/>
        <v>AZ106NUm</v>
      </c>
      <c r="B21" t="s">
        <v>735</v>
      </c>
      <c r="C21" t="s">
        <v>720</v>
      </c>
      <c r="D21" t="s">
        <v>736</v>
      </c>
      <c r="E21" t="str">
        <f>VLOOKUP(D21,countrylist[[countryname]:[region]],4)</f>
        <v>Asia</v>
      </c>
      <c r="F21" t="str">
        <f>VLOOKUP(D21,countrylist[[countryname]:[region]],5)</f>
        <v>Western Asia</v>
      </c>
      <c r="G21">
        <v>1</v>
      </c>
      <c r="H21">
        <v>3</v>
      </c>
      <c r="I21">
        <v>1</v>
      </c>
      <c r="J21">
        <v>3</v>
      </c>
      <c r="K21">
        <v>3</v>
      </c>
      <c r="L21" s="8">
        <f t="shared" ca="1" si="1"/>
        <v>2043</v>
      </c>
      <c r="M21" s="8">
        <f t="shared" ca="1" si="2"/>
        <v>2487</v>
      </c>
    </row>
    <row r="22" spans="1:13" x14ac:dyDescent="0.25">
      <c r="A22" t="str">
        <f t="shared" si="0"/>
        <v>AZ101EIa</v>
      </c>
      <c r="B22" t="s">
        <v>730</v>
      </c>
      <c r="C22" t="s">
        <v>715</v>
      </c>
      <c r="D22" t="s">
        <v>198</v>
      </c>
      <c r="E22" t="str">
        <f>VLOOKUP(D22,countrylist[[countryname]:[region]],4)</f>
        <v>Asia</v>
      </c>
      <c r="F22" t="str">
        <f>VLOOKUP(D22,countrylist[[countryname]:[region]],5)</f>
        <v>South-eastern Asia</v>
      </c>
      <c r="G22">
        <v>1</v>
      </c>
      <c r="H22">
        <v>3</v>
      </c>
      <c r="I22">
        <v>1</v>
      </c>
      <c r="J22">
        <v>3</v>
      </c>
      <c r="K22">
        <v>1</v>
      </c>
      <c r="L22" s="8">
        <f t="shared" ca="1" si="1"/>
        <v>653</v>
      </c>
      <c r="M22" s="8">
        <f t="shared" ca="1" si="2"/>
        <v>880</v>
      </c>
    </row>
    <row r="23" spans="1:13" x14ac:dyDescent="0.25">
      <c r="A23" t="str">
        <f t="shared" si="0"/>
        <v>AZ103MIa</v>
      </c>
      <c r="B23" t="s">
        <v>732</v>
      </c>
      <c r="C23" t="s">
        <v>717</v>
      </c>
      <c r="D23" t="s">
        <v>198</v>
      </c>
      <c r="E23" t="str">
        <f>VLOOKUP(D23,countrylist[[countryname]:[region]],4)</f>
        <v>Asia</v>
      </c>
      <c r="F23" t="str">
        <f>VLOOKUP(D23,countrylist[[countryname]:[region]],5)</f>
        <v>South-eastern Asia</v>
      </c>
      <c r="G23">
        <v>4</v>
      </c>
      <c r="H23">
        <v>10</v>
      </c>
      <c r="I23">
        <v>10</v>
      </c>
      <c r="J23">
        <v>20</v>
      </c>
      <c r="K23">
        <v>1</v>
      </c>
      <c r="L23" s="8">
        <f t="shared" ca="1" si="1"/>
        <v>605</v>
      </c>
      <c r="M23" s="8">
        <f t="shared" ca="1" si="2"/>
        <v>841</v>
      </c>
    </row>
    <row r="24" spans="1:13" x14ac:dyDescent="0.25">
      <c r="A24" t="str">
        <f t="shared" si="0"/>
        <v>AZ105GIa</v>
      </c>
      <c r="B24" t="s">
        <v>734</v>
      </c>
      <c r="C24" t="s">
        <v>719</v>
      </c>
      <c r="D24" t="s">
        <v>198</v>
      </c>
      <c r="E24" t="str">
        <f>VLOOKUP(D24,countrylist[[countryname]:[region]],4)</f>
        <v>Asia</v>
      </c>
      <c r="F24" t="str">
        <f>VLOOKUP(D24,countrylist[[countryname]:[region]],5)</f>
        <v>South-eastern Asia</v>
      </c>
      <c r="G24">
        <v>2</v>
      </c>
      <c r="H24">
        <v>5</v>
      </c>
      <c r="I24">
        <v>2</v>
      </c>
      <c r="J24">
        <v>5</v>
      </c>
      <c r="K24">
        <v>1</v>
      </c>
      <c r="L24" s="8">
        <f t="shared" ca="1" si="1"/>
        <v>609</v>
      </c>
      <c r="M24" s="8">
        <f t="shared" ca="1" si="2"/>
        <v>893</v>
      </c>
    </row>
    <row r="25" spans="1:13" x14ac:dyDescent="0.25">
      <c r="A25" t="str">
        <f t="shared" si="0"/>
        <v>AZ106NIa</v>
      </c>
      <c r="B25" t="s">
        <v>735</v>
      </c>
      <c r="C25" t="s">
        <v>720</v>
      </c>
      <c r="D25" t="s">
        <v>198</v>
      </c>
      <c r="E25" t="str">
        <f>VLOOKUP(D25,countrylist[[countryname]:[region]],4)</f>
        <v>Asia</v>
      </c>
      <c r="F25" t="str">
        <f>VLOOKUP(D25,countrylist[[countryname]:[region]],5)</f>
        <v>South-eastern Asia</v>
      </c>
      <c r="G25">
        <v>1</v>
      </c>
      <c r="H25">
        <v>3</v>
      </c>
      <c r="I25">
        <v>1</v>
      </c>
      <c r="J25">
        <v>3</v>
      </c>
      <c r="K25">
        <v>1</v>
      </c>
      <c r="L25" s="8">
        <f t="shared" ca="1" si="1"/>
        <v>676</v>
      </c>
      <c r="M25" s="8">
        <f t="shared" ca="1" si="2"/>
        <v>808</v>
      </c>
    </row>
    <row r="26" spans="1:13" x14ac:dyDescent="0.25">
      <c r="A26" t="str">
        <f t="shared" si="0"/>
        <v>AZ101EGy</v>
      </c>
      <c r="B26" t="s">
        <v>730</v>
      </c>
      <c r="C26" t="s">
        <v>715</v>
      </c>
      <c r="D26" t="s">
        <v>94</v>
      </c>
      <c r="E26" t="str">
        <f>VLOOKUP(D26,countrylist[[countryname]:[region]],4)</f>
        <v>Europe</v>
      </c>
      <c r="F26" t="str">
        <f>VLOOKUP(D26,countrylist[[countryname]:[region]],5)</f>
        <v>Western Europe</v>
      </c>
      <c r="G26">
        <v>1</v>
      </c>
      <c r="H26">
        <v>3</v>
      </c>
      <c r="I26">
        <v>1</v>
      </c>
      <c r="J26">
        <v>3</v>
      </c>
      <c r="K26">
        <v>4.5</v>
      </c>
      <c r="L26" s="8">
        <f t="shared" ca="1" si="1"/>
        <v>2772</v>
      </c>
      <c r="M26" s="8">
        <f t="shared" ca="1" si="2"/>
        <v>3793.5</v>
      </c>
    </row>
    <row r="27" spans="1:13" x14ac:dyDescent="0.25">
      <c r="A27" t="str">
        <f t="shared" si="0"/>
        <v>AZ102MGy</v>
      </c>
      <c r="B27" t="s">
        <v>731</v>
      </c>
      <c r="C27" t="s">
        <v>716</v>
      </c>
      <c r="D27" t="s">
        <v>94</v>
      </c>
      <c r="E27" t="str">
        <f>VLOOKUP(D27,countrylist[[countryname]:[region]],4)</f>
        <v>Europe</v>
      </c>
      <c r="F27" t="str">
        <f>VLOOKUP(D27,countrylist[[countryname]:[region]],5)</f>
        <v>Western Europe</v>
      </c>
      <c r="G27">
        <v>4</v>
      </c>
      <c r="H27">
        <v>6</v>
      </c>
      <c r="I27">
        <v>4</v>
      </c>
      <c r="J27">
        <v>6</v>
      </c>
      <c r="K27">
        <v>5</v>
      </c>
      <c r="L27" s="8">
        <f t="shared" ca="1" si="1"/>
        <v>3500</v>
      </c>
      <c r="M27" s="8">
        <f t="shared" ca="1" si="2"/>
        <v>4360</v>
      </c>
    </row>
    <row r="28" spans="1:13" x14ac:dyDescent="0.25">
      <c r="A28" t="str">
        <f t="shared" si="0"/>
        <v>AZ103MGy</v>
      </c>
      <c r="B28" t="s">
        <v>732</v>
      </c>
      <c r="C28" t="s">
        <v>717</v>
      </c>
      <c r="D28" t="s">
        <v>94</v>
      </c>
      <c r="E28" t="str">
        <f>VLOOKUP(D28,countrylist[[countryname]:[region]],4)</f>
        <v>Europe</v>
      </c>
      <c r="F28" t="str">
        <f>VLOOKUP(D28,countrylist[[countryname]:[region]],5)</f>
        <v>Western Europe</v>
      </c>
      <c r="G28">
        <v>4</v>
      </c>
      <c r="H28">
        <v>10</v>
      </c>
      <c r="I28">
        <v>10</v>
      </c>
      <c r="J28">
        <v>20</v>
      </c>
      <c r="K28">
        <v>5</v>
      </c>
      <c r="L28" s="8">
        <f t="shared" ca="1" si="1"/>
        <v>3405</v>
      </c>
      <c r="M28" s="8">
        <f t="shared" ca="1" si="2"/>
        <v>4145</v>
      </c>
    </row>
    <row r="29" spans="1:13" x14ac:dyDescent="0.25">
      <c r="A29" t="str">
        <f t="shared" si="0"/>
        <v>AZ104CGy</v>
      </c>
      <c r="B29" t="s">
        <v>733</v>
      </c>
      <c r="C29" t="s">
        <v>718</v>
      </c>
      <c r="D29" t="s">
        <v>94</v>
      </c>
      <c r="E29" t="str">
        <f>VLOOKUP(D29,countrylist[[countryname]:[region]],4)</f>
        <v>Europe</v>
      </c>
      <c r="F29" t="str">
        <f>VLOOKUP(D29,countrylist[[countryname]:[region]],5)</f>
        <v>Western Europe</v>
      </c>
      <c r="G29">
        <v>10</v>
      </c>
      <c r="H29">
        <v>20</v>
      </c>
      <c r="I29">
        <v>4</v>
      </c>
      <c r="J29">
        <v>6</v>
      </c>
      <c r="K29">
        <v>5</v>
      </c>
      <c r="L29" s="8">
        <f t="shared" ca="1" si="1"/>
        <v>3300</v>
      </c>
      <c r="M29" s="8">
        <f t="shared" ca="1" si="2"/>
        <v>4320</v>
      </c>
    </row>
    <row r="30" spans="1:13" x14ac:dyDescent="0.25">
      <c r="A30" t="str">
        <f t="shared" si="0"/>
        <v>AZ106NGy</v>
      </c>
      <c r="B30" t="s">
        <v>735</v>
      </c>
      <c r="C30" t="s">
        <v>720</v>
      </c>
      <c r="D30" t="s">
        <v>94</v>
      </c>
      <c r="E30" t="str">
        <f>VLOOKUP(D30,countrylist[[countryname]:[region]],4)</f>
        <v>Europe</v>
      </c>
      <c r="F30" t="str">
        <f>VLOOKUP(D30,countrylist[[countryname]:[region]],5)</f>
        <v>Western Europe</v>
      </c>
      <c r="G30">
        <v>1</v>
      </c>
      <c r="H30">
        <v>3</v>
      </c>
      <c r="I30">
        <v>1</v>
      </c>
      <c r="J30">
        <v>3</v>
      </c>
      <c r="K30">
        <v>5</v>
      </c>
      <c r="L30" s="8">
        <f t="shared" ca="1" si="1"/>
        <v>3485</v>
      </c>
      <c r="M30" s="8">
        <f t="shared" ca="1" si="2"/>
        <v>4090</v>
      </c>
    </row>
    <row r="31" spans="1:13" x14ac:dyDescent="0.25">
      <c r="A31" t="str">
        <f t="shared" si="0"/>
        <v>AZ101EBm</v>
      </c>
      <c r="B31" t="s">
        <v>730</v>
      </c>
      <c r="C31" t="s">
        <v>715</v>
      </c>
      <c r="D31" t="s">
        <v>142</v>
      </c>
      <c r="E31" t="str">
        <f>VLOOKUP(D31,countrylist[[countryname]:[region]],4)</f>
        <v>Europe</v>
      </c>
      <c r="F31" t="str">
        <f>VLOOKUP(D31,countrylist[[countryname]:[region]],5)</f>
        <v>Western Europe</v>
      </c>
      <c r="G31">
        <v>1</v>
      </c>
      <c r="H31">
        <v>3</v>
      </c>
      <c r="I31">
        <v>1</v>
      </c>
      <c r="J31">
        <v>3</v>
      </c>
      <c r="K31">
        <v>3.5</v>
      </c>
      <c r="L31" s="8">
        <f t="shared" ca="1" si="1"/>
        <v>2201.5</v>
      </c>
      <c r="M31" s="8">
        <f t="shared" ca="1" si="2"/>
        <v>2877</v>
      </c>
    </row>
    <row r="32" spans="1:13" x14ac:dyDescent="0.25">
      <c r="A32" t="str">
        <f t="shared" si="0"/>
        <v>AZ102MBm</v>
      </c>
      <c r="B32" t="s">
        <v>731</v>
      </c>
      <c r="C32" t="s">
        <v>716</v>
      </c>
      <c r="D32" t="s">
        <v>142</v>
      </c>
      <c r="E32" t="str">
        <f>VLOOKUP(D32,countrylist[[countryname]:[region]],4)</f>
        <v>Europe</v>
      </c>
      <c r="F32" t="str">
        <f>VLOOKUP(D32,countrylist[[countryname]:[region]],5)</f>
        <v>Western Europe</v>
      </c>
      <c r="G32">
        <v>4</v>
      </c>
      <c r="H32">
        <v>6</v>
      </c>
      <c r="I32">
        <v>4</v>
      </c>
      <c r="J32">
        <v>6</v>
      </c>
      <c r="K32">
        <v>3.5</v>
      </c>
      <c r="L32" s="8">
        <f t="shared" ca="1" si="1"/>
        <v>2156</v>
      </c>
      <c r="M32" s="8">
        <f t="shared" ca="1" si="2"/>
        <v>3013.5</v>
      </c>
    </row>
    <row r="33" spans="1:13" x14ac:dyDescent="0.25">
      <c r="A33" t="str">
        <f t="shared" si="0"/>
        <v>AZ103MBm</v>
      </c>
      <c r="B33" t="s">
        <v>732</v>
      </c>
      <c r="C33" t="s">
        <v>717</v>
      </c>
      <c r="D33" t="s">
        <v>142</v>
      </c>
      <c r="E33" t="str">
        <f>VLOOKUP(D33,countrylist[[countryname]:[region]],4)</f>
        <v>Europe</v>
      </c>
      <c r="F33" t="str">
        <f>VLOOKUP(D33,countrylist[[countryname]:[region]],5)</f>
        <v>Western Europe</v>
      </c>
      <c r="G33">
        <v>4</v>
      </c>
      <c r="H33">
        <v>10</v>
      </c>
      <c r="I33">
        <v>10</v>
      </c>
      <c r="J33">
        <v>20</v>
      </c>
      <c r="K33">
        <v>3.5</v>
      </c>
      <c r="L33" s="8">
        <f t="shared" ca="1" si="1"/>
        <v>2226</v>
      </c>
      <c r="M33" s="8">
        <f t="shared" ca="1" si="2"/>
        <v>2975</v>
      </c>
    </row>
    <row r="34" spans="1:13" x14ac:dyDescent="0.25">
      <c r="A34" t="str">
        <f t="shared" ref="A34:A65" si="3">B34&amp;LEFT(C34,1)&amp;LEFT(D34,1)&amp;RIGHT(D34,1)</f>
        <v>AZ104CBm</v>
      </c>
      <c r="B34" t="s">
        <v>733</v>
      </c>
      <c r="C34" t="s">
        <v>718</v>
      </c>
      <c r="D34" t="s">
        <v>142</v>
      </c>
      <c r="E34" t="str">
        <f>VLOOKUP(D34,countrylist[[countryname]:[region]],4)</f>
        <v>Europe</v>
      </c>
      <c r="F34" t="str">
        <f>VLOOKUP(D34,countrylist[[countryname]:[region]],5)</f>
        <v>Western Europe</v>
      </c>
      <c r="G34">
        <v>10</v>
      </c>
      <c r="H34">
        <v>20</v>
      </c>
      <c r="I34">
        <v>4</v>
      </c>
      <c r="J34">
        <v>6</v>
      </c>
      <c r="K34">
        <v>3.5</v>
      </c>
      <c r="L34" s="8">
        <f t="shared" ref="L34:L65" ca="1" si="4">(RANDBETWEEN(600,700)*K34)</f>
        <v>2289</v>
      </c>
      <c r="M34" s="8">
        <f t="shared" ref="M34:M70" ca="1" si="5">(RANDBETWEEN(800,900)*K34)</f>
        <v>2828</v>
      </c>
    </row>
    <row r="35" spans="1:13" x14ac:dyDescent="0.25">
      <c r="A35" t="str">
        <f t="shared" si="3"/>
        <v>AZ106NBm</v>
      </c>
      <c r="B35" t="s">
        <v>735</v>
      </c>
      <c r="C35" t="s">
        <v>720</v>
      </c>
      <c r="D35" t="s">
        <v>142</v>
      </c>
      <c r="E35" t="str">
        <f>VLOOKUP(D35,countrylist[[countryname]:[region]],4)</f>
        <v>Europe</v>
      </c>
      <c r="F35" t="str">
        <f>VLOOKUP(D35,countrylist[[countryname]:[region]],5)</f>
        <v>Western Europe</v>
      </c>
      <c r="G35">
        <v>1</v>
      </c>
      <c r="H35">
        <v>3</v>
      </c>
      <c r="I35">
        <v>1</v>
      </c>
      <c r="J35">
        <v>3</v>
      </c>
      <c r="K35">
        <v>3.5</v>
      </c>
      <c r="L35" s="8">
        <f t="shared" ca="1" si="4"/>
        <v>2278.5</v>
      </c>
      <c r="M35" s="8">
        <f t="shared" ca="1" si="5"/>
        <v>2873.5</v>
      </c>
    </row>
    <row r="36" spans="1:13" x14ac:dyDescent="0.25">
      <c r="A36" t="str">
        <f t="shared" si="3"/>
        <v>AZ101EDk</v>
      </c>
      <c r="B36" t="s">
        <v>730</v>
      </c>
      <c r="C36" t="s">
        <v>715</v>
      </c>
      <c r="D36" t="s">
        <v>167</v>
      </c>
      <c r="E36" t="str">
        <f>VLOOKUP(D36,countrylist[[countryname]:[region]],4)</f>
        <v>Europe</v>
      </c>
      <c r="F36" t="str">
        <f>VLOOKUP(D36,countrylist[[countryname]:[region]],5)</f>
        <v>Northern Europe</v>
      </c>
      <c r="G36">
        <v>1</v>
      </c>
      <c r="H36">
        <v>3</v>
      </c>
      <c r="I36">
        <v>1</v>
      </c>
      <c r="J36">
        <v>3</v>
      </c>
      <c r="K36">
        <v>2</v>
      </c>
      <c r="L36" s="8">
        <f t="shared" ca="1" si="4"/>
        <v>1282</v>
      </c>
      <c r="M36" s="8">
        <f t="shared" ca="1" si="5"/>
        <v>1612</v>
      </c>
    </row>
    <row r="37" spans="1:13" x14ac:dyDescent="0.25">
      <c r="A37" t="str">
        <f t="shared" si="3"/>
        <v>AZ102MDk</v>
      </c>
      <c r="B37" t="s">
        <v>731</v>
      </c>
      <c r="C37" t="s">
        <v>716</v>
      </c>
      <c r="D37" t="s">
        <v>167</v>
      </c>
      <c r="E37" t="str">
        <f>VLOOKUP(D37,countrylist[[countryname]:[region]],4)</f>
        <v>Europe</v>
      </c>
      <c r="F37" t="str">
        <f>VLOOKUP(D37,countrylist[[countryname]:[region]],5)</f>
        <v>Northern Europe</v>
      </c>
      <c r="G37">
        <v>4</v>
      </c>
      <c r="H37">
        <v>6</v>
      </c>
      <c r="I37">
        <v>4</v>
      </c>
      <c r="J37">
        <v>6</v>
      </c>
      <c r="K37">
        <v>2</v>
      </c>
      <c r="L37" s="8">
        <f t="shared" ca="1" si="4"/>
        <v>1202</v>
      </c>
      <c r="M37" s="8">
        <f t="shared" ca="1" si="5"/>
        <v>1772</v>
      </c>
    </row>
    <row r="38" spans="1:13" x14ac:dyDescent="0.25">
      <c r="A38" t="str">
        <f t="shared" si="3"/>
        <v>AZ103MDk</v>
      </c>
      <c r="B38" t="s">
        <v>732</v>
      </c>
      <c r="C38" t="s">
        <v>717</v>
      </c>
      <c r="D38" t="s">
        <v>167</v>
      </c>
      <c r="E38" t="str">
        <f>VLOOKUP(D38,countrylist[[countryname]:[region]],4)</f>
        <v>Europe</v>
      </c>
      <c r="F38" t="str">
        <f>VLOOKUP(D38,countrylist[[countryname]:[region]],5)</f>
        <v>Northern Europe</v>
      </c>
      <c r="G38">
        <v>4</v>
      </c>
      <c r="H38">
        <v>10</v>
      </c>
      <c r="I38">
        <v>10</v>
      </c>
      <c r="J38">
        <v>20</v>
      </c>
      <c r="K38">
        <v>2</v>
      </c>
      <c r="L38" s="8">
        <f t="shared" ca="1" si="4"/>
        <v>1400</v>
      </c>
      <c r="M38" s="8">
        <f t="shared" ca="1" si="5"/>
        <v>1784</v>
      </c>
    </row>
    <row r="39" spans="1:13" x14ac:dyDescent="0.25">
      <c r="A39" t="str">
        <f t="shared" si="3"/>
        <v>AZ104CDk</v>
      </c>
      <c r="B39" t="s">
        <v>733</v>
      </c>
      <c r="C39" t="s">
        <v>718</v>
      </c>
      <c r="D39" t="s">
        <v>167</v>
      </c>
      <c r="E39" t="str">
        <f>VLOOKUP(D39,countrylist[[countryname]:[region]],4)</f>
        <v>Europe</v>
      </c>
      <c r="F39" t="str">
        <f>VLOOKUP(D39,countrylist[[countryname]:[region]],5)</f>
        <v>Northern Europe</v>
      </c>
      <c r="G39">
        <v>10</v>
      </c>
      <c r="H39">
        <v>20</v>
      </c>
      <c r="I39">
        <v>4</v>
      </c>
      <c r="J39">
        <v>6</v>
      </c>
      <c r="K39">
        <v>2</v>
      </c>
      <c r="L39" s="8">
        <f t="shared" ca="1" si="4"/>
        <v>1376</v>
      </c>
      <c r="M39" s="8">
        <f t="shared" ca="1" si="5"/>
        <v>1794</v>
      </c>
    </row>
    <row r="40" spans="1:13" x14ac:dyDescent="0.25">
      <c r="A40" t="str">
        <f t="shared" si="3"/>
        <v>AZ106NDk</v>
      </c>
      <c r="B40" t="s">
        <v>735</v>
      </c>
      <c r="C40" t="s">
        <v>720</v>
      </c>
      <c r="D40" t="s">
        <v>167</v>
      </c>
      <c r="E40" t="str">
        <f>VLOOKUP(D40,countrylist[[countryname]:[region]],4)</f>
        <v>Europe</v>
      </c>
      <c r="F40" t="str">
        <f>VLOOKUP(D40,countrylist[[countryname]:[region]],5)</f>
        <v>Northern Europe</v>
      </c>
      <c r="G40">
        <v>1</v>
      </c>
      <c r="H40">
        <v>3</v>
      </c>
      <c r="I40">
        <v>1</v>
      </c>
      <c r="J40">
        <v>3</v>
      </c>
      <c r="K40">
        <v>2</v>
      </c>
      <c r="L40" s="8">
        <f t="shared" ca="1" si="4"/>
        <v>1356</v>
      </c>
      <c r="M40" s="8">
        <f t="shared" ca="1" si="5"/>
        <v>1632</v>
      </c>
    </row>
    <row r="41" spans="1:13" x14ac:dyDescent="0.25">
      <c r="A41" t="str">
        <f t="shared" si="3"/>
        <v>AZ101ELa</v>
      </c>
      <c r="B41" t="s">
        <v>730</v>
      </c>
      <c r="C41" t="s">
        <v>715</v>
      </c>
      <c r="D41" t="s">
        <v>211</v>
      </c>
      <c r="E41" t="str">
        <f>VLOOKUP(D41,countrylist[[countryname]:[region]],4)</f>
        <v>Europe</v>
      </c>
      <c r="F41" t="str">
        <f>VLOOKUP(D41,countrylist[[countryname]:[region]],5)</f>
        <v>Northern Europe</v>
      </c>
      <c r="G41">
        <v>1</v>
      </c>
      <c r="H41">
        <v>3</v>
      </c>
      <c r="I41">
        <v>1</v>
      </c>
      <c r="J41">
        <v>3</v>
      </c>
      <c r="K41">
        <v>1.5</v>
      </c>
      <c r="L41" s="8">
        <f t="shared" ca="1" si="4"/>
        <v>996</v>
      </c>
      <c r="M41" s="8">
        <f t="shared" ca="1" si="5"/>
        <v>1336.5</v>
      </c>
    </row>
    <row r="42" spans="1:13" x14ac:dyDescent="0.25">
      <c r="A42" t="str">
        <f t="shared" si="3"/>
        <v>AZ102MLa</v>
      </c>
      <c r="B42" t="s">
        <v>731</v>
      </c>
      <c r="C42" t="s">
        <v>716</v>
      </c>
      <c r="D42" t="s">
        <v>211</v>
      </c>
      <c r="E42" t="str">
        <f>VLOOKUP(D42,countrylist[[countryname]:[region]],4)</f>
        <v>Europe</v>
      </c>
      <c r="F42" t="str">
        <f>VLOOKUP(D42,countrylist[[countryname]:[region]],5)</f>
        <v>Northern Europe</v>
      </c>
      <c r="G42">
        <v>4</v>
      </c>
      <c r="H42">
        <v>6</v>
      </c>
      <c r="I42">
        <v>4</v>
      </c>
      <c r="J42">
        <v>6</v>
      </c>
      <c r="K42">
        <v>1.5</v>
      </c>
      <c r="L42" s="8">
        <f t="shared" ca="1" si="4"/>
        <v>1015.5</v>
      </c>
      <c r="M42" s="8">
        <f t="shared" ca="1" si="5"/>
        <v>1209</v>
      </c>
    </row>
    <row r="43" spans="1:13" x14ac:dyDescent="0.25">
      <c r="A43" t="str">
        <f t="shared" si="3"/>
        <v>AZ103MLa</v>
      </c>
      <c r="B43" t="s">
        <v>732</v>
      </c>
      <c r="C43" t="s">
        <v>717</v>
      </c>
      <c r="D43" t="s">
        <v>211</v>
      </c>
      <c r="E43" t="str">
        <f>VLOOKUP(D43,countrylist[[countryname]:[region]],4)</f>
        <v>Europe</v>
      </c>
      <c r="F43" t="str">
        <f>VLOOKUP(D43,countrylist[[countryname]:[region]],5)</f>
        <v>Northern Europe</v>
      </c>
      <c r="G43">
        <v>4</v>
      </c>
      <c r="H43">
        <v>10</v>
      </c>
      <c r="I43">
        <v>10</v>
      </c>
      <c r="J43">
        <v>20</v>
      </c>
      <c r="K43">
        <v>1.5</v>
      </c>
      <c r="L43" s="8">
        <f t="shared" ca="1" si="4"/>
        <v>1003.5</v>
      </c>
      <c r="M43" s="8">
        <f t="shared" ca="1" si="5"/>
        <v>1312.5</v>
      </c>
    </row>
    <row r="44" spans="1:13" x14ac:dyDescent="0.25">
      <c r="A44" t="str">
        <f t="shared" si="3"/>
        <v>AZ104CLa</v>
      </c>
      <c r="B44" t="s">
        <v>733</v>
      </c>
      <c r="C44" t="s">
        <v>718</v>
      </c>
      <c r="D44" t="s">
        <v>211</v>
      </c>
      <c r="E44" t="str">
        <f>VLOOKUP(D44,countrylist[[countryname]:[region]],4)</f>
        <v>Europe</v>
      </c>
      <c r="F44" t="str">
        <f>VLOOKUP(D44,countrylist[[countryname]:[region]],5)</f>
        <v>Northern Europe</v>
      </c>
      <c r="G44">
        <v>10</v>
      </c>
      <c r="H44">
        <v>20</v>
      </c>
      <c r="I44">
        <v>4</v>
      </c>
      <c r="J44">
        <v>6</v>
      </c>
      <c r="K44">
        <v>1.5</v>
      </c>
      <c r="L44" s="8">
        <f t="shared" ca="1" si="4"/>
        <v>1047</v>
      </c>
      <c r="M44" s="8">
        <f t="shared" ca="1" si="5"/>
        <v>1345.5</v>
      </c>
    </row>
    <row r="45" spans="1:13" x14ac:dyDescent="0.25">
      <c r="A45" t="str">
        <f t="shared" si="3"/>
        <v>AZ106NLa</v>
      </c>
      <c r="B45" t="s">
        <v>735</v>
      </c>
      <c r="C45" t="s">
        <v>720</v>
      </c>
      <c r="D45" t="s">
        <v>211</v>
      </c>
      <c r="E45" t="str">
        <f>VLOOKUP(D45,countrylist[[countryname]:[region]],4)</f>
        <v>Europe</v>
      </c>
      <c r="F45" t="str">
        <f>VLOOKUP(D45,countrylist[[countryname]:[region]],5)</f>
        <v>Northern Europe</v>
      </c>
      <c r="G45">
        <v>1</v>
      </c>
      <c r="H45">
        <v>3</v>
      </c>
      <c r="I45">
        <v>1</v>
      </c>
      <c r="J45">
        <v>3</v>
      </c>
      <c r="K45">
        <v>1.5</v>
      </c>
      <c r="L45" s="8">
        <f t="shared" ca="1" si="4"/>
        <v>984</v>
      </c>
      <c r="M45" s="8">
        <f t="shared" ca="1" si="5"/>
        <v>1269</v>
      </c>
    </row>
    <row r="46" spans="1:13" x14ac:dyDescent="0.25">
      <c r="A46" t="str">
        <f t="shared" si="3"/>
        <v>AZ101EBl</v>
      </c>
      <c r="B46" t="s">
        <v>730</v>
      </c>
      <c r="C46" t="s">
        <v>715</v>
      </c>
      <c r="D46" t="s">
        <v>148</v>
      </c>
      <c r="E46" t="str">
        <f>VLOOKUP(D46,countrylist[[countryname]:[region]],4)</f>
        <v>South America</v>
      </c>
      <c r="F46" t="str">
        <f>VLOOKUP(D46,countrylist[[countryname]:[region]],5)</f>
        <v>South America</v>
      </c>
      <c r="G46">
        <v>1</v>
      </c>
      <c r="H46">
        <v>3</v>
      </c>
      <c r="I46">
        <v>1</v>
      </c>
      <c r="J46">
        <v>3</v>
      </c>
      <c r="K46">
        <v>1.5</v>
      </c>
      <c r="L46" s="8">
        <f t="shared" ca="1" si="4"/>
        <v>1038</v>
      </c>
      <c r="M46" s="8">
        <f t="shared" ca="1" si="5"/>
        <v>1300.5</v>
      </c>
    </row>
    <row r="47" spans="1:13" x14ac:dyDescent="0.25">
      <c r="A47" t="str">
        <f t="shared" si="3"/>
        <v>AZ102MBl</v>
      </c>
      <c r="B47" t="s">
        <v>731</v>
      </c>
      <c r="C47" t="s">
        <v>716</v>
      </c>
      <c r="D47" t="s">
        <v>148</v>
      </c>
      <c r="E47" t="str">
        <f>VLOOKUP(D47,countrylist[[countryname]:[region]],4)</f>
        <v>South America</v>
      </c>
      <c r="F47" t="str">
        <f>VLOOKUP(D47,countrylist[[countryname]:[region]],5)</f>
        <v>South America</v>
      </c>
      <c r="G47">
        <v>4</v>
      </c>
      <c r="H47">
        <v>6</v>
      </c>
      <c r="I47">
        <v>4</v>
      </c>
      <c r="J47">
        <v>6</v>
      </c>
      <c r="K47">
        <v>1.5</v>
      </c>
      <c r="L47" s="8">
        <f t="shared" ca="1" si="4"/>
        <v>940.5</v>
      </c>
      <c r="M47" s="8">
        <f t="shared" ca="1" si="5"/>
        <v>1219.5</v>
      </c>
    </row>
    <row r="48" spans="1:13" x14ac:dyDescent="0.25">
      <c r="A48" t="str">
        <f t="shared" si="3"/>
        <v>AZ103MBl</v>
      </c>
      <c r="B48" t="s">
        <v>732</v>
      </c>
      <c r="C48" t="s">
        <v>717</v>
      </c>
      <c r="D48" t="s">
        <v>148</v>
      </c>
      <c r="E48" t="str">
        <f>VLOOKUP(D48,countrylist[[countryname]:[region]],4)</f>
        <v>South America</v>
      </c>
      <c r="F48" t="str">
        <f>VLOOKUP(D48,countrylist[[countryname]:[region]],5)</f>
        <v>South America</v>
      </c>
      <c r="G48">
        <v>4</v>
      </c>
      <c r="H48">
        <v>10</v>
      </c>
      <c r="I48">
        <v>10</v>
      </c>
      <c r="J48">
        <v>20</v>
      </c>
      <c r="K48">
        <v>1.5</v>
      </c>
      <c r="L48" s="8">
        <f t="shared" ca="1" si="4"/>
        <v>1048.5</v>
      </c>
      <c r="M48" s="8">
        <f t="shared" ca="1" si="5"/>
        <v>1216.5</v>
      </c>
    </row>
    <row r="49" spans="1:13" x14ac:dyDescent="0.25">
      <c r="A49" t="str">
        <f t="shared" si="3"/>
        <v>AZ104CBl</v>
      </c>
      <c r="B49" t="s">
        <v>733</v>
      </c>
      <c r="C49" t="s">
        <v>718</v>
      </c>
      <c r="D49" t="s">
        <v>148</v>
      </c>
      <c r="E49" t="str">
        <f>VLOOKUP(D49,countrylist[[countryname]:[region]],4)</f>
        <v>South America</v>
      </c>
      <c r="F49" t="str">
        <f>VLOOKUP(D49,countrylist[[countryname]:[region]],5)</f>
        <v>South America</v>
      </c>
      <c r="G49">
        <v>10</v>
      </c>
      <c r="H49">
        <v>20</v>
      </c>
      <c r="I49">
        <v>4</v>
      </c>
      <c r="J49">
        <v>6</v>
      </c>
      <c r="K49">
        <v>1.5</v>
      </c>
      <c r="L49" s="8">
        <f t="shared" ca="1" si="4"/>
        <v>1045.5</v>
      </c>
      <c r="M49" s="8">
        <f t="shared" ca="1" si="5"/>
        <v>1347</v>
      </c>
    </row>
    <row r="50" spans="1:13" x14ac:dyDescent="0.25">
      <c r="A50" t="str">
        <f t="shared" si="3"/>
        <v>AZ106NBl</v>
      </c>
      <c r="B50" t="s">
        <v>735</v>
      </c>
      <c r="C50" t="s">
        <v>720</v>
      </c>
      <c r="D50" t="s">
        <v>148</v>
      </c>
      <c r="E50" t="str">
        <f>VLOOKUP(D50,countrylist[[countryname]:[region]],4)</f>
        <v>South America</v>
      </c>
      <c r="F50" t="str">
        <f>VLOOKUP(D50,countrylist[[countryname]:[region]],5)</f>
        <v>South America</v>
      </c>
      <c r="G50">
        <v>1</v>
      </c>
      <c r="H50">
        <v>3</v>
      </c>
      <c r="I50">
        <v>1</v>
      </c>
      <c r="J50">
        <v>3</v>
      </c>
      <c r="K50">
        <v>1.5</v>
      </c>
      <c r="L50" s="8">
        <f t="shared" ca="1" si="4"/>
        <v>906</v>
      </c>
      <c r="M50" s="8">
        <f t="shared" ca="1" si="5"/>
        <v>1258.5</v>
      </c>
    </row>
    <row r="51" spans="1:13" x14ac:dyDescent="0.25">
      <c r="A51" t="str">
        <f t="shared" si="3"/>
        <v>AZ101EAa</v>
      </c>
      <c r="B51" t="s">
        <v>730</v>
      </c>
      <c r="C51" t="s">
        <v>715</v>
      </c>
      <c r="D51" t="s">
        <v>134</v>
      </c>
      <c r="E51" t="str">
        <f>VLOOKUP(D51,countrylist[[countryname]:[region]],4)</f>
        <v>South America</v>
      </c>
      <c r="F51" t="str">
        <f>VLOOKUP(D51,countrylist[[countryname]:[region]],5)</f>
        <v>South America</v>
      </c>
      <c r="G51">
        <v>1</v>
      </c>
      <c r="H51">
        <v>3</v>
      </c>
      <c r="I51">
        <v>1</v>
      </c>
      <c r="J51">
        <v>3</v>
      </c>
      <c r="K51">
        <v>2</v>
      </c>
      <c r="L51" s="8">
        <f t="shared" ca="1" si="4"/>
        <v>1200</v>
      </c>
      <c r="M51" s="8">
        <f t="shared" ca="1" si="5"/>
        <v>1650</v>
      </c>
    </row>
    <row r="52" spans="1:13" x14ac:dyDescent="0.25">
      <c r="A52" t="str">
        <f t="shared" si="3"/>
        <v>AZ102MAa</v>
      </c>
      <c r="B52" t="s">
        <v>731</v>
      </c>
      <c r="C52" t="s">
        <v>716</v>
      </c>
      <c r="D52" t="s">
        <v>134</v>
      </c>
      <c r="E52" t="str">
        <f>VLOOKUP(D52,countrylist[[countryname]:[region]],4)</f>
        <v>South America</v>
      </c>
      <c r="F52" t="str">
        <f>VLOOKUP(D52,countrylist[[countryname]:[region]],5)</f>
        <v>South America</v>
      </c>
      <c r="G52">
        <v>4</v>
      </c>
      <c r="H52">
        <v>6</v>
      </c>
      <c r="I52">
        <v>4</v>
      </c>
      <c r="J52">
        <v>6</v>
      </c>
      <c r="K52">
        <v>2</v>
      </c>
      <c r="L52" s="8">
        <f t="shared" ca="1" si="4"/>
        <v>1348</v>
      </c>
      <c r="M52" s="8">
        <f t="shared" ca="1" si="5"/>
        <v>1656</v>
      </c>
    </row>
    <row r="53" spans="1:13" x14ac:dyDescent="0.25">
      <c r="A53" t="str">
        <f t="shared" si="3"/>
        <v>AZ103MAa</v>
      </c>
      <c r="B53" t="s">
        <v>732</v>
      </c>
      <c r="C53" t="s">
        <v>717</v>
      </c>
      <c r="D53" t="s">
        <v>134</v>
      </c>
      <c r="E53" t="str">
        <f>VLOOKUP(D53,countrylist[[countryname]:[region]],4)</f>
        <v>South America</v>
      </c>
      <c r="F53" t="str">
        <f>VLOOKUP(D53,countrylist[[countryname]:[region]],5)</f>
        <v>South America</v>
      </c>
      <c r="G53">
        <v>4</v>
      </c>
      <c r="H53">
        <v>10</v>
      </c>
      <c r="I53">
        <v>10</v>
      </c>
      <c r="J53">
        <v>20</v>
      </c>
      <c r="K53">
        <v>2</v>
      </c>
      <c r="L53" s="8">
        <f t="shared" ca="1" si="4"/>
        <v>1250</v>
      </c>
      <c r="M53" s="8">
        <f t="shared" ca="1" si="5"/>
        <v>1678</v>
      </c>
    </row>
    <row r="54" spans="1:13" x14ac:dyDescent="0.25">
      <c r="A54" t="str">
        <f t="shared" si="3"/>
        <v>AZ104CAa</v>
      </c>
      <c r="B54" t="s">
        <v>733</v>
      </c>
      <c r="C54" t="s">
        <v>718</v>
      </c>
      <c r="D54" t="s">
        <v>134</v>
      </c>
      <c r="E54" t="str">
        <f>VLOOKUP(D54,countrylist[[countryname]:[region]],4)</f>
        <v>South America</v>
      </c>
      <c r="F54" t="str">
        <f>VLOOKUP(D54,countrylist[[countryname]:[region]],5)</f>
        <v>South America</v>
      </c>
      <c r="G54">
        <v>10</v>
      </c>
      <c r="H54">
        <v>20</v>
      </c>
      <c r="I54">
        <v>4</v>
      </c>
      <c r="J54">
        <v>6</v>
      </c>
      <c r="K54">
        <v>2</v>
      </c>
      <c r="L54" s="8">
        <f t="shared" ca="1" si="4"/>
        <v>1238</v>
      </c>
      <c r="M54" s="8">
        <f t="shared" ca="1" si="5"/>
        <v>1656</v>
      </c>
    </row>
    <row r="55" spans="1:13" x14ac:dyDescent="0.25">
      <c r="A55" t="str">
        <f t="shared" si="3"/>
        <v>AZ106NAa</v>
      </c>
      <c r="B55" t="s">
        <v>735</v>
      </c>
      <c r="C55" t="s">
        <v>720</v>
      </c>
      <c r="D55" t="s">
        <v>134</v>
      </c>
      <c r="E55" t="str">
        <f>VLOOKUP(D55,countrylist[[countryname]:[region]],4)</f>
        <v>South America</v>
      </c>
      <c r="F55" t="str">
        <f>VLOOKUP(D55,countrylist[[countryname]:[region]],5)</f>
        <v>South America</v>
      </c>
      <c r="G55">
        <v>1</v>
      </c>
      <c r="H55">
        <v>3</v>
      </c>
      <c r="I55">
        <v>1</v>
      </c>
      <c r="J55">
        <v>3</v>
      </c>
      <c r="K55">
        <v>2</v>
      </c>
      <c r="L55" s="8">
        <f t="shared" ca="1" si="4"/>
        <v>1350</v>
      </c>
      <c r="M55" s="8">
        <f t="shared" ca="1" si="5"/>
        <v>1612</v>
      </c>
    </row>
    <row r="56" spans="1:13" x14ac:dyDescent="0.25">
      <c r="A56" t="str">
        <f t="shared" si="3"/>
        <v>AZ101ECa</v>
      </c>
      <c r="B56" t="s">
        <v>730</v>
      </c>
      <c r="C56" t="s">
        <v>715</v>
      </c>
      <c r="D56" t="s">
        <v>96</v>
      </c>
      <c r="E56" t="str">
        <f>VLOOKUP(D56,countrylist[[countryname]:[region]],4)</f>
        <v>North America</v>
      </c>
      <c r="F56" t="str">
        <f>VLOOKUP(D56,countrylist[[countryname]:[region]],5)</f>
        <v>Northern America</v>
      </c>
      <c r="G56">
        <v>1</v>
      </c>
      <c r="H56">
        <v>3</v>
      </c>
      <c r="I56">
        <v>1</v>
      </c>
      <c r="J56">
        <v>3</v>
      </c>
      <c r="K56">
        <v>2</v>
      </c>
      <c r="L56" s="8">
        <f t="shared" ca="1" si="4"/>
        <v>1206</v>
      </c>
      <c r="M56" s="8">
        <f t="shared" ca="1" si="5"/>
        <v>1602</v>
      </c>
    </row>
    <row r="57" spans="1:13" x14ac:dyDescent="0.25">
      <c r="A57" t="str">
        <f t="shared" si="3"/>
        <v>AZ102MCa</v>
      </c>
      <c r="B57" t="s">
        <v>731</v>
      </c>
      <c r="C57" t="s">
        <v>716</v>
      </c>
      <c r="D57" t="s">
        <v>96</v>
      </c>
      <c r="E57" t="str">
        <f>VLOOKUP(D57,countrylist[[countryname]:[region]],4)</f>
        <v>North America</v>
      </c>
      <c r="F57" t="str">
        <f>VLOOKUP(D57,countrylist[[countryname]:[region]],5)</f>
        <v>Northern America</v>
      </c>
      <c r="G57">
        <v>4</v>
      </c>
      <c r="H57">
        <v>6</v>
      </c>
      <c r="I57">
        <v>4</v>
      </c>
      <c r="J57">
        <v>6</v>
      </c>
      <c r="K57">
        <v>2</v>
      </c>
      <c r="L57" s="8">
        <f t="shared" ca="1" si="4"/>
        <v>1290</v>
      </c>
      <c r="M57" s="8">
        <f t="shared" ca="1" si="5"/>
        <v>1700</v>
      </c>
    </row>
    <row r="58" spans="1:13" x14ac:dyDescent="0.25">
      <c r="A58" t="str">
        <f t="shared" si="3"/>
        <v>AZ103MCa</v>
      </c>
      <c r="B58" t="s">
        <v>732</v>
      </c>
      <c r="C58" t="s">
        <v>717</v>
      </c>
      <c r="D58" t="s">
        <v>96</v>
      </c>
      <c r="E58" t="str">
        <f>VLOOKUP(D58,countrylist[[countryname]:[region]],4)</f>
        <v>North America</v>
      </c>
      <c r="F58" t="str">
        <f>VLOOKUP(D58,countrylist[[countryname]:[region]],5)</f>
        <v>Northern America</v>
      </c>
      <c r="G58">
        <v>4</v>
      </c>
      <c r="H58">
        <v>10</v>
      </c>
      <c r="I58">
        <v>10</v>
      </c>
      <c r="J58">
        <v>20</v>
      </c>
      <c r="K58">
        <v>2</v>
      </c>
      <c r="L58" s="8">
        <f t="shared" ca="1" si="4"/>
        <v>1384</v>
      </c>
      <c r="M58" s="8">
        <f t="shared" ca="1" si="5"/>
        <v>1684</v>
      </c>
    </row>
    <row r="59" spans="1:13" x14ac:dyDescent="0.25">
      <c r="A59" t="str">
        <f t="shared" si="3"/>
        <v>AZ104CCa</v>
      </c>
      <c r="B59" t="s">
        <v>733</v>
      </c>
      <c r="C59" t="s">
        <v>718</v>
      </c>
      <c r="D59" t="s">
        <v>96</v>
      </c>
      <c r="E59" t="str">
        <f>VLOOKUP(D59,countrylist[[countryname]:[region]],4)</f>
        <v>North America</v>
      </c>
      <c r="F59" t="str">
        <f>VLOOKUP(D59,countrylist[[countryname]:[region]],5)</f>
        <v>Northern America</v>
      </c>
      <c r="G59">
        <v>10</v>
      </c>
      <c r="H59">
        <v>20</v>
      </c>
      <c r="I59">
        <v>4</v>
      </c>
      <c r="J59">
        <v>6</v>
      </c>
      <c r="K59">
        <v>2</v>
      </c>
      <c r="L59" s="8">
        <f t="shared" ca="1" si="4"/>
        <v>1204</v>
      </c>
      <c r="M59" s="8">
        <f t="shared" ca="1" si="5"/>
        <v>1632</v>
      </c>
    </row>
    <row r="60" spans="1:13" x14ac:dyDescent="0.25">
      <c r="A60" t="str">
        <f t="shared" si="3"/>
        <v>AZ106NCa</v>
      </c>
      <c r="B60" t="s">
        <v>735</v>
      </c>
      <c r="C60" t="s">
        <v>720</v>
      </c>
      <c r="D60" t="s">
        <v>96</v>
      </c>
      <c r="E60" t="str">
        <f>VLOOKUP(D60,countrylist[[countryname]:[region]],4)</f>
        <v>North America</v>
      </c>
      <c r="F60" t="str">
        <f>VLOOKUP(D60,countrylist[[countryname]:[region]],5)</f>
        <v>Northern America</v>
      </c>
      <c r="G60">
        <v>1</v>
      </c>
      <c r="H60">
        <v>3</v>
      </c>
      <c r="I60">
        <v>1</v>
      </c>
      <c r="J60">
        <v>3</v>
      </c>
      <c r="K60">
        <v>2</v>
      </c>
      <c r="L60" s="8">
        <f t="shared" ca="1" si="4"/>
        <v>1284</v>
      </c>
      <c r="M60" s="8">
        <f t="shared" ca="1" si="5"/>
        <v>1754</v>
      </c>
    </row>
    <row r="61" spans="1:13" x14ac:dyDescent="0.25">
      <c r="A61" t="str">
        <f t="shared" si="3"/>
        <v>AZ101EUa</v>
      </c>
      <c r="B61" t="s">
        <v>730</v>
      </c>
      <c r="C61" t="s">
        <v>715</v>
      </c>
      <c r="D61" t="s">
        <v>84</v>
      </c>
      <c r="E61" t="str">
        <f>VLOOKUP(D61,countrylist[[countryname]:[region]],4)</f>
        <v>North America</v>
      </c>
      <c r="F61" t="str">
        <f>VLOOKUP(D61,countrylist[[countryname]:[region]],5)</f>
        <v>Northern America</v>
      </c>
      <c r="G61">
        <v>1</v>
      </c>
      <c r="H61">
        <v>3</v>
      </c>
      <c r="I61">
        <v>1</v>
      </c>
      <c r="J61">
        <v>3</v>
      </c>
      <c r="K61">
        <v>0.5</v>
      </c>
      <c r="L61" s="8">
        <f t="shared" ca="1" si="4"/>
        <v>301</v>
      </c>
      <c r="M61" s="8">
        <f t="shared" ca="1" si="5"/>
        <v>441.5</v>
      </c>
    </row>
    <row r="62" spans="1:13" x14ac:dyDescent="0.25">
      <c r="A62" t="str">
        <f t="shared" si="3"/>
        <v>AZ102MUa</v>
      </c>
      <c r="B62" t="s">
        <v>731</v>
      </c>
      <c r="C62" t="s">
        <v>716</v>
      </c>
      <c r="D62" t="s">
        <v>84</v>
      </c>
      <c r="E62" t="str">
        <f>VLOOKUP(D62,countrylist[[countryname]:[region]],4)</f>
        <v>North America</v>
      </c>
      <c r="F62" t="str">
        <f>VLOOKUP(D62,countrylist[[countryname]:[region]],5)</f>
        <v>Northern America</v>
      </c>
      <c r="G62">
        <v>4</v>
      </c>
      <c r="H62">
        <v>6</v>
      </c>
      <c r="I62">
        <v>4</v>
      </c>
      <c r="J62">
        <v>6</v>
      </c>
      <c r="K62">
        <v>0.5</v>
      </c>
      <c r="L62" s="8">
        <f t="shared" ca="1" si="4"/>
        <v>346.5</v>
      </c>
      <c r="M62" s="8">
        <f t="shared" ca="1" si="5"/>
        <v>400.5</v>
      </c>
    </row>
    <row r="63" spans="1:13" x14ac:dyDescent="0.25">
      <c r="A63" t="str">
        <f t="shared" si="3"/>
        <v>AZ103MUa</v>
      </c>
      <c r="B63" t="s">
        <v>732</v>
      </c>
      <c r="C63" t="s">
        <v>717</v>
      </c>
      <c r="D63" t="s">
        <v>84</v>
      </c>
      <c r="E63" t="str">
        <f>VLOOKUP(D63,countrylist[[countryname]:[region]],4)</f>
        <v>North America</v>
      </c>
      <c r="F63" t="str">
        <f>VLOOKUP(D63,countrylist[[countryname]:[region]],5)</f>
        <v>Northern America</v>
      </c>
      <c r="G63">
        <v>4</v>
      </c>
      <c r="H63">
        <v>10</v>
      </c>
      <c r="I63">
        <v>10</v>
      </c>
      <c r="J63">
        <v>20</v>
      </c>
      <c r="K63">
        <v>0.5</v>
      </c>
      <c r="L63" s="8">
        <f t="shared" ca="1" si="4"/>
        <v>331</v>
      </c>
      <c r="M63" s="8">
        <f t="shared" ca="1" si="5"/>
        <v>423.5</v>
      </c>
    </row>
    <row r="64" spans="1:13" x14ac:dyDescent="0.25">
      <c r="A64" t="str">
        <f t="shared" si="3"/>
        <v>AZ104CUa</v>
      </c>
      <c r="B64" t="s">
        <v>733</v>
      </c>
      <c r="C64" t="s">
        <v>718</v>
      </c>
      <c r="D64" t="s">
        <v>84</v>
      </c>
      <c r="E64" t="str">
        <f>VLOOKUP(D64,countrylist[[countryname]:[region]],4)</f>
        <v>North America</v>
      </c>
      <c r="F64" t="str">
        <f>VLOOKUP(D64,countrylist[[countryname]:[region]],5)</f>
        <v>Northern America</v>
      </c>
      <c r="G64">
        <v>10</v>
      </c>
      <c r="H64">
        <v>20</v>
      </c>
      <c r="I64">
        <v>4</v>
      </c>
      <c r="J64">
        <v>6</v>
      </c>
      <c r="K64">
        <v>0.5</v>
      </c>
      <c r="L64" s="8">
        <f t="shared" ca="1" si="4"/>
        <v>339</v>
      </c>
      <c r="M64" s="8">
        <f t="shared" ca="1" si="5"/>
        <v>433</v>
      </c>
    </row>
    <row r="65" spans="1:13" x14ac:dyDescent="0.25">
      <c r="A65" t="str">
        <f t="shared" si="3"/>
        <v>AZ106NUa</v>
      </c>
      <c r="B65" t="s">
        <v>735</v>
      </c>
      <c r="C65" t="s">
        <v>720</v>
      </c>
      <c r="D65" t="s">
        <v>84</v>
      </c>
      <c r="E65" t="str">
        <f>VLOOKUP(D65,countrylist[[countryname]:[region]],4)</f>
        <v>North America</v>
      </c>
      <c r="F65" t="str">
        <f>VLOOKUP(D65,countrylist[[countryname]:[region]],5)</f>
        <v>Northern America</v>
      </c>
      <c r="G65">
        <v>1</v>
      </c>
      <c r="H65">
        <v>3</v>
      </c>
      <c r="I65">
        <v>1</v>
      </c>
      <c r="J65">
        <v>3</v>
      </c>
      <c r="K65">
        <v>0.5</v>
      </c>
      <c r="L65" s="8">
        <f t="shared" ca="1" si="4"/>
        <v>327.5</v>
      </c>
      <c r="M65" s="8">
        <f t="shared" ca="1" si="5"/>
        <v>437</v>
      </c>
    </row>
    <row r="66" spans="1:13" x14ac:dyDescent="0.25">
      <c r="A66" t="str">
        <f t="shared" ref="A66:A70" si="6">B66&amp;LEFT(C66,1)&amp;LEFT(D66,1)&amp;RIGHT(D66,1)</f>
        <v>AZ101ECe</v>
      </c>
      <c r="B66" t="s">
        <v>730</v>
      </c>
      <c r="C66" t="s">
        <v>715</v>
      </c>
      <c r="D66" t="s">
        <v>158</v>
      </c>
      <c r="E66" t="str">
        <f>VLOOKUP(D66,countrylist[[countryname]:[region]],4)</f>
        <v>South America</v>
      </c>
      <c r="F66" t="str">
        <f>VLOOKUP(D66,countrylist[[countryname]:[region]],5)</f>
        <v>South America</v>
      </c>
      <c r="G66">
        <v>1</v>
      </c>
      <c r="H66">
        <v>3</v>
      </c>
      <c r="I66">
        <v>1</v>
      </c>
      <c r="J66">
        <v>3</v>
      </c>
      <c r="K66">
        <v>2</v>
      </c>
      <c r="L66" s="8">
        <f t="shared" ref="L66:L70" ca="1" si="7">(RANDBETWEEN(600,700)*K66)</f>
        <v>1276</v>
      </c>
      <c r="M66" s="8">
        <f t="shared" ca="1" si="5"/>
        <v>1798</v>
      </c>
    </row>
    <row r="67" spans="1:13" x14ac:dyDescent="0.25">
      <c r="A67" t="str">
        <f t="shared" si="6"/>
        <v>AZ102MCe</v>
      </c>
      <c r="B67" t="s">
        <v>731</v>
      </c>
      <c r="C67" t="s">
        <v>716</v>
      </c>
      <c r="D67" t="s">
        <v>158</v>
      </c>
      <c r="E67" t="str">
        <f>VLOOKUP(D67,countrylist[[countryname]:[region]],4)</f>
        <v>South America</v>
      </c>
      <c r="F67" t="str">
        <f>VLOOKUP(D67,countrylist[[countryname]:[region]],5)</f>
        <v>South America</v>
      </c>
      <c r="G67">
        <v>4</v>
      </c>
      <c r="H67">
        <v>6</v>
      </c>
      <c r="I67">
        <v>4</v>
      </c>
      <c r="J67">
        <v>6</v>
      </c>
      <c r="K67">
        <v>2</v>
      </c>
      <c r="L67" s="8">
        <f t="shared" ca="1" si="7"/>
        <v>1386</v>
      </c>
      <c r="M67" s="8">
        <f t="shared" ca="1" si="5"/>
        <v>1600</v>
      </c>
    </row>
    <row r="68" spans="1:13" x14ac:dyDescent="0.25">
      <c r="A68" t="str">
        <f t="shared" si="6"/>
        <v>AZ103MCe</v>
      </c>
      <c r="B68" t="s">
        <v>732</v>
      </c>
      <c r="C68" t="s">
        <v>717</v>
      </c>
      <c r="D68" t="s">
        <v>158</v>
      </c>
      <c r="E68" t="str">
        <f>VLOOKUP(D68,countrylist[[countryname]:[region]],4)</f>
        <v>South America</v>
      </c>
      <c r="F68" t="str">
        <f>VLOOKUP(D68,countrylist[[countryname]:[region]],5)</f>
        <v>South America</v>
      </c>
      <c r="G68">
        <v>4</v>
      </c>
      <c r="H68">
        <v>10</v>
      </c>
      <c r="I68">
        <v>10</v>
      </c>
      <c r="J68">
        <v>20</v>
      </c>
      <c r="K68">
        <v>2</v>
      </c>
      <c r="L68" s="8">
        <f t="shared" ca="1" si="7"/>
        <v>1400</v>
      </c>
      <c r="M68" s="8">
        <f t="shared" ca="1" si="5"/>
        <v>1708</v>
      </c>
    </row>
    <row r="69" spans="1:13" x14ac:dyDescent="0.25">
      <c r="A69" t="str">
        <f t="shared" si="6"/>
        <v>AZ104CCe</v>
      </c>
      <c r="B69" t="s">
        <v>733</v>
      </c>
      <c r="C69" t="s">
        <v>718</v>
      </c>
      <c r="D69" t="s">
        <v>158</v>
      </c>
      <c r="E69" t="str">
        <f>VLOOKUP(D69,countrylist[[countryname]:[region]],4)</f>
        <v>South America</v>
      </c>
      <c r="F69" t="str">
        <f>VLOOKUP(D69,countrylist[[countryname]:[region]],5)</f>
        <v>South America</v>
      </c>
      <c r="G69">
        <v>10</v>
      </c>
      <c r="H69">
        <v>20</v>
      </c>
      <c r="I69">
        <v>4</v>
      </c>
      <c r="J69">
        <v>6</v>
      </c>
      <c r="K69">
        <v>2</v>
      </c>
      <c r="L69" s="8">
        <f t="shared" ca="1" si="7"/>
        <v>1302</v>
      </c>
      <c r="M69" s="8">
        <f t="shared" ca="1" si="5"/>
        <v>1666</v>
      </c>
    </row>
    <row r="70" spans="1:13" x14ac:dyDescent="0.25">
      <c r="A70" t="str">
        <f t="shared" si="6"/>
        <v>AZ106NCe</v>
      </c>
      <c r="B70" t="s">
        <v>735</v>
      </c>
      <c r="C70" t="s">
        <v>720</v>
      </c>
      <c r="D70" t="s">
        <v>158</v>
      </c>
      <c r="E70" t="str">
        <f>VLOOKUP(D70,countrylist[[countryname]:[region]],4)</f>
        <v>South America</v>
      </c>
      <c r="F70" t="str">
        <f>VLOOKUP(D70,countrylist[[countryname]:[region]],5)</f>
        <v>South America</v>
      </c>
      <c r="G70">
        <v>1</v>
      </c>
      <c r="H70">
        <v>3</v>
      </c>
      <c r="I70">
        <v>1</v>
      </c>
      <c r="J70">
        <v>3</v>
      </c>
      <c r="K70">
        <v>2</v>
      </c>
      <c r="L70" s="8">
        <f t="shared" ca="1" si="7"/>
        <v>1222</v>
      </c>
      <c r="M70" s="8">
        <f t="shared" ca="1" si="5"/>
        <v>1742</v>
      </c>
    </row>
  </sheetData>
  <sortState xmlns:xlrd2="http://schemas.microsoft.com/office/spreadsheetml/2017/richdata2" ref="A2:M21">
    <sortCondition ref="D6:D2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24C1-E050-4DBE-ADE1-E08CFFD20C51}">
  <dimension ref="A1:M70"/>
  <sheetViews>
    <sheetView topLeftCell="A49" zoomScale="130" zoomScaleNormal="130" workbookViewId="0">
      <selection activeCell="B64" sqref="B64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18.7109375" customWidth="1"/>
    <col min="4" max="4" width="15.42578125" bestFit="1" customWidth="1"/>
    <col min="6" max="6" width="18" bestFit="1" customWidth="1"/>
    <col min="12" max="13" width="10" bestFit="1" customWidth="1"/>
  </cols>
  <sheetData>
    <row r="1" spans="1:13" x14ac:dyDescent="0.25">
      <c r="A1" t="s">
        <v>714</v>
      </c>
      <c r="B1" t="s">
        <v>729</v>
      </c>
      <c r="C1" t="s">
        <v>728</v>
      </c>
      <c r="D1" t="s">
        <v>106</v>
      </c>
      <c r="E1" t="s">
        <v>738</v>
      </c>
      <c r="F1" t="s">
        <v>727</v>
      </c>
      <c r="G1" t="s">
        <v>723</v>
      </c>
      <c r="H1" t="s">
        <v>724</v>
      </c>
      <c r="I1" t="s">
        <v>721</v>
      </c>
      <c r="J1" t="s">
        <v>722</v>
      </c>
      <c r="K1" t="s">
        <v>737</v>
      </c>
      <c r="L1" t="s">
        <v>725</v>
      </c>
      <c r="M1" t="s">
        <v>726</v>
      </c>
    </row>
    <row r="2" spans="1:13" x14ac:dyDescent="0.25">
      <c r="A2" t="str">
        <f t="shared" ref="A2:A33" si="0">B2&amp;LEFT(C2,1)&amp;LEFT(D2,1)&amp;RIGHT(D2,1)</f>
        <v>E0011EAa</v>
      </c>
      <c r="B2" t="str">
        <f t="shared" ref="B2:B33" si="1">LEFT(C2,1)&amp;"00"&amp;G2&amp;I2</f>
        <v>E0011</v>
      </c>
      <c r="C2" t="s">
        <v>715</v>
      </c>
      <c r="D2" t="s">
        <v>134</v>
      </c>
      <c r="E2" t="str">
        <f>VLOOKUP(D2,countrylist[[countryname]:[region]],4)</f>
        <v>South America</v>
      </c>
      <c r="F2" t="str">
        <f>VLOOKUP(D2,countrylist[[countryname]:[region]],5)</f>
        <v>South America</v>
      </c>
      <c r="G2">
        <v>1</v>
      </c>
      <c r="H2">
        <v>3</v>
      </c>
      <c r="I2">
        <v>1</v>
      </c>
      <c r="J2">
        <v>3</v>
      </c>
      <c r="K2">
        <v>2</v>
      </c>
      <c r="L2" s="8">
        <f t="shared" ref="L2:L33" ca="1" si="2">(RANDBETWEEN(600,700)*K2)</f>
        <v>1258</v>
      </c>
      <c r="M2" s="8">
        <f t="shared" ref="M2:M33" ca="1" si="3">(RANDBETWEEN(800,900)*K2)</f>
        <v>1736</v>
      </c>
    </row>
    <row r="3" spans="1:13" x14ac:dyDescent="0.25">
      <c r="A3" t="str">
        <f t="shared" si="0"/>
        <v>M0044MAa</v>
      </c>
      <c r="B3" t="str">
        <f t="shared" si="1"/>
        <v>M0044</v>
      </c>
      <c r="C3" t="s">
        <v>716</v>
      </c>
      <c r="D3" t="s">
        <v>134</v>
      </c>
      <c r="E3" t="str">
        <f>VLOOKUP(D3,countrylist[[countryname]:[region]],4)</f>
        <v>South America</v>
      </c>
      <c r="F3" t="str">
        <f>VLOOKUP(D3,countrylist[[countryname]:[region]],5)</f>
        <v>South America</v>
      </c>
      <c r="G3">
        <v>4</v>
      </c>
      <c r="H3">
        <v>6</v>
      </c>
      <c r="I3">
        <v>4</v>
      </c>
      <c r="J3">
        <v>6</v>
      </c>
      <c r="K3">
        <v>2</v>
      </c>
      <c r="L3" s="8">
        <f t="shared" ca="1" si="2"/>
        <v>1236</v>
      </c>
      <c r="M3" s="8">
        <f t="shared" ca="1" si="3"/>
        <v>1606</v>
      </c>
    </row>
    <row r="4" spans="1:13" x14ac:dyDescent="0.25">
      <c r="A4" t="str">
        <f t="shared" si="0"/>
        <v>M00410MAa</v>
      </c>
      <c r="B4" t="str">
        <f t="shared" si="1"/>
        <v>M00410</v>
      </c>
      <c r="C4" t="s">
        <v>717</v>
      </c>
      <c r="D4" t="s">
        <v>134</v>
      </c>
      <c r="E4" t="str">
        <f>VLOOKUP(D4,countrylist[[countryname]:[region]],4)</f>
        <v>South America</v>
      </c>
      <c r="F4" t="str">
        <f>VLOOKUP(D4,countrylist[[countryname]:[region]],5)</f>
        <v>South America</v>
      </c>
      <c r="G4">
        <v>4</v>
      </c>
      <c r="H4">
        <v>10</v>
      </c>
      <c r="I4">
        <v>10</v>
      </c>
      <c r="J4">
        <v>20</v>
      </c>
      <c r="K4">
        <v>2</v>
      </c>
      <c r="L4" s="8">
        <f t="shared" ca="1" si="2"/>
        <v>1308</v>
      </c>
      <c r="M4" s="8">
        <f t="shared" ca="1" si="3"/>
        <v>1740</v>
      </c>
    </row>
    <row r="5" spans="1:13" x14ac:dyDescent="0.25">
      <c r="A5" t="str">
        <f t="shared" si="0"/>
        <v>C00104CAa</v>
      </c>
      <c r="B5" t="str">
        <f t="shared" si="1"/>
        <v>C00104</v>
      </c>
      <c r="C5" t="s">
        <v>718</v>
      </c>
      <c r="D5" t="s">
        <v>134</v>
      </c>
      <c r="E5" t="str">
        <f>VLOOKUP(D5,countrylist[[countryname]:[region]],4)</f>
        <v>South America</v>
      </c>
      <c r="F5" t="str">
        <f>VLOOKUP(D5,countrylist[[countryname]:[region]],5)</f>
        <v>South America</v>
      </c>
      <c r="G5">
        <v>10</v>
      </c>
      <c r="H5">
        <v>20</v>
      </c>
      <c r="I5">
        <v>4</v>
      </c>
      <c r="J5">
        <v>6</v>
      </c>
      <c r="K5">
        <v>2</v>
      </c>
      <c r="L5" s="8">
        <f t="shared" ca="1" si="2"/>
        <v>1276</v>
      </c>
      <c r="M5" s="8">
        <f t="shared" ca="1" si="3"/>
        <v>1620</v>
      </c>
    </row>
    <row r="6" spans="1:13" x14ac:dyDescent="0.25">
      <c r="A6" t="str">
        <f t="shared" si="0"/>
        <v>N0011NAa</v>
      </c>
      <c r="B6" t="str">
        <f t="shared" si="1"/>
        <v>N0011</v>
      </c>
      <c r="C6" t="s">
        <v>720</v>
      </c>
      <c r="D6" t="s">
        <v>134</v>
      </c>
      <c r="E6" t="str">
        <f>VLOOKUP(D6,countrylist[[countryname]:[region]],4)</f>
        <v>South America</v>
      </c>
      <c r="F6" t="str">
        <f>VLOOKUP(D6,countrylist[[countryname]:[region]],5)</f>
        <v>South America</v>
      </c>
      <c r="G6">
        <v>1</v>
      </c>
      <c r="H6">
        <v>3</v>
      </c>
      <c r="I6">
        <v>1</v>
      </c>
      <c r="J6">
        <v>3</v>
      </c>
      <c r="K6">
        <v>2</v>
      </c>
      <c r="L6" s="8">
        <f t="shared" ca="1" si="2"/>
        <v>1200</v>
      </c>
      <c r="M6" s="8">
        <f t="shared" ca="1" si="3"/>
        <v>1646</v>
      </c>
    </row>
    <row r="7" spans="1:13" x14ac:dyDescent="0.25">
      <c r="A7" t="str">
        <f t="shared" si="0"/>
        <v>E0011ECa</v>
      </c>
      <c r="B7" t="str">
        <f t="shared" si="1"/>
        <v>E0011</v>
      </c>
      <c r="C7" t="s">
        <v>715</v>
      </c>
      <c r="D7" t="s">
        <v>96</v>
      </c>
      <c r="E7" t="str">
        <f>VLOOKUP(D7,countrylist[[countryname]:[region]],4)</f>
        <v>North America</v>
      </c>
      <c r="F7" t="str">
        <f>VLOOKUP(D7,countrylist[[countryname]:[region]],5)</f>
        <v>Northern America</v>
      </c>
      <c r="G7">
        <v>1</v>
      </c>
      <c r="H7">
        <v>3</v>
      </c>
      <c r="I7">
        <v>1</v>
      </c>
      <c r="J7">
        <v>3</v>
      </c>
      <c r="K7">
        <v>2</v>
      </c>
      <c r="L7" s="8">
        <f t="shared" ca="1" si="2"/>
        <v>1400</v>
      </c>
      <c r="M7" s="8">
        <f t="shared" ca="1" si="3"/>
        <v>1624</v>
      </c>
    </row>
    <row r="8" spans="1:13" x14ac:dyDescent="0.25">
      <c r="A8" t="str">
        <f t="shared" si="0"/>
        <v>M0044MCa</v>
      </c>
      <c r="B8" t="str">
        <f t="shared" si="1"/>
        <v>M0044</v>
      </c>
      <c r="C8" t="s">
        <v>716</v>
      </c>
      <c r="D8" t="s">
        <v>96</v>
      </c>
      <c r="E8" t="str">
        <f>VLOOKUP(D8,countrylist[[countryname]:[region]],4)</f>
        <v>North America</v>
      </c>
      <c r="F8" t="str">
        <f>VLOOKUP(D8,countrylist[[countryname]:[region]],5)</f>
        <v>Northern America</v>
      </c>
      <c r="G8">
        <v>4</v>
      </c>
      <c r="H8">
        <v>6</v>
      </c>
      <c r="I8">
        <v>4</v>
      </c>
      <c r="J8">
        <v>6</v>
      </c>
      <c r="K8">
        <v>2</v>
      </c>
      <c r="L8" s="8">
        <f t="shared" ca="1" si="2"/>
        <v>1210</v>
      </c>
      <c r="M8" s="8">
        <f t="shared" ca="1" si="3"/>
        <v>1754</v>
      </c>
    </row>
    <row r="9" spans="1:13" x14ac:dyDescent="0.25">
      <c r="A9" t="str">
        <f t="shared" si="0"/>
        <v>M00410MCa</v>
      </c>
      <c r="B9" t="str">
        <f t="shared" si="1"/>
        <v>M00410</v>
      </c>
      <c r="C9" t="s">
        <v>717</v>
      </c>
      <c r="D9" t="s">
        <v>96</v>
      </c>
      <c r="E9" t="str">
        <f>VLOOKUP(D9,countrylist[[countryname]:[region]],4)</f>
        <v>North America</v>
      </c>
      <c r="F9" t="str">
        <f>VLOOKUP(D9,countrylist[[countryname]:[region]],5)</f>
        <v>Northern America</v>
      </c>
      <c r="G9">
        <v>4</v>
      </c>
      <c r="H9">
        <v>10</v>
      </c>
      <c r="I9">
        <v>10</v>
      </c>
      <c r="J9">
        <v>20</v>
      </c>
      <c r="K9">
        <v>2</v>
      </c>
      <c r="L9" s="8">
        <f t="shared" ca="1" si="2"/>
        <v>1276</v>
      </c>
      <c r="M9" s="8">
        <f t="shared" ca="1" si="3"/>
        <v>1614</v>
      </c>
    </row>
    <row r="10" spans="1:13" x14ac:dyDescent="0.25">
      <c r="A10" t="str">
        <f t="shared" si="0"/>
        <v>C00104CCa</v>
      </c>
      <c r="B10" t="str">
        <f t="shared" si="1"/>
        <v>C00104</v>
      </c>
      <c r="C10" t="s">
        <v>718</v>
      </c>
      <c r="D10" t="s">
        <v>96</v>
      </c>
      <c r="E10" t="str">
        <f>VLOOKUP(D10,countrylist[[countryname]:[region]],4)</f>
        <v>North America</v>
      </c>
      <c r="F10" t="str">
        <f>VLOOKUP(D10,countrylist[[countryname]:[region]],5)</f>
        <v>Northern America</v>
      </c>
      <c r="G10">
        <v>10</v>
      </c>
      <c r="H10">
        <v>20</v>
      </c>
      <c r="I10">
        <v>4</v>
      </c>
      <c r="J10">
        <v>6</v>
      </c>
      <c r="K10">
        <v>2</v>
      </c>
      <c r="L10" s="8">
        <f t="shared" ca="1" si="2"/>
        <v>1368</v>
      </c>
      <c r="M10" s="8">
        <f t="shared" ca="1" si="3"/>
        <v>1704</v>
      </c>
    </row>
    <row r="11" spans="1:13" x14ac:dyDescent="0.25">
      <c r="A11" t="str">
        <f t="shared" si="0"/>
        <v>N0011NCa</v>
      </c>
      <c r="B11" t="str">
        <f t="shared" si="1"/>
        <v>N0011</v>
      </c>
      <c r="C11" t="s">
        <v>720</v>
      </c>
      <c r="D11" t="s">
        <v>96</v>
      </c>
      <c r="E11" t="str">
        <f>VLOOKUP(D11,countrylist[[countryname]:[region]],4)</f>
        <v>North America</v>
      </c>
      <c r="F11" t="str">
        <f>VLOOKUP(D11,countrylist[[countryname]:[region]],5)</f>
        <v>Northern America</v>
      </c>
      <c r="G11">
        <v>1</v>
      </c>
      <c r="H11">
        <v>3</v>
      </c>
      <c r="I11">
        <v>1</v>
      </c>
      <c r="J11">
        <v>3</v>
      </c>
      <c r="K11">
        <v>2</v>
      </c>
      <c r="L11" s="8">
        <f t="shared" ca="1" si="2"/>
        <v>1376</v>
      </c>
      <c r="M11" s="8">
        <f t="shared" ca="1" si="3"/>
        <v>1630</v>
      </c>
    </row>
    <row r="12" spans="1:13" x14ac:dyDescent="0.25">
      <c r="A12" t="str">
        <f t="shared" si="0"/>
        <v>E0011EDk</v>
      </c>
      <c r="B12" t="str">
        <f t="shared" si="1"/>
        <v>E0011</v>
      </c>
      <c r="C12" t="s">
        <v>715</v>
      </c>
      <c r="D12" t="s">
        <v>167</v>
      </c>
      <c r="E12" t="str">
        <f>VLOOKUP(D12,countrylist[[countryname]:[region]],4)</f>
        <v>Europe</v>
      </c>
      <c r="F12" t="str">
        <f>VLOOKUP(D12,countrylist[[countryname]:[region]],5)</f>
        <v>Northern Europe</v>
      </c>
      <c r="G12">
        <v>1</v>
      </c>
      <c r="H12">
        <v>3</v>
      </c>
      <c r="I12">
        <v>1</v>
      </c>
      <c r="J12">
        <v>3</v>
      </c>
      <c r="K12">
        <v>2</v>
      </c>
      <c r="L12" s="8">
        <f t="shared" ca="1" si="2"/>
        <v>1396</v>
      </c>
      <c r="M12" s="8">
        <f t="shared" ca="1" si="3"/>
        <v>1756</v>
      </c>
    </row>
    <row r="13" spans="1:13" x14ac:dyDescent="0.25">
      <c r="A13" t="str">
        <f t="shared" si="0"/>
        <v>M0044MDk</v>
      </c>
      <c r="B13" t="str">
        <f t="shared" si="1"/>
        <v>M0044</v>
      </c>
      <c r="C13" t="s">
        <v>716</v>
      </c>
      <c r="D13" t="s">
        <v>167</v>
      </c>
      <c r="E13" t="str">
        <f>VLOOKUP(D13,countrylist[[countryname]:[region]],4)</f>
        <v>Europe</v>
      </c>
      <c r="F13" t="str">
        <f>VLOOKUP(D13,countrylist[[countryname]:[region]],5)</f>
        <v>Northern Europe</v>
      </c>
      <c r="G13">
        <v>4</v>
      </c>
      <c r="H13">
        <v>6</v>
      </c>
      <c r="I13">
        <v>4</v>
      </c>
      <c r="J13">
        <v>6</v>
      </c>
      <c r="K13">
        <v>2</v>
      </c>
      <c r="L13" s="8">
        <f t="shared" ca="1" si="2"/>
        <v>1360</v>
      </c>
      <c r="M13" s="8">
        <f t="shared" ca="1" si="3"/>
        <v>1682</v>
      </c>
    </row>
    <row r="14" spans="1:13" x14ac:dyDescent="0.25">
      <c r="A14" t="str">
        <f t="shared" si="0"/>
        <v>M00410MDk</v>
      </c>
      <c r="B14" t="str">
        <f t="shared" si="1"/>
        <v>M00410</v>
      </c>
      <c r="C14" t="s">
        <v>717</v>
      </c>
      <c r="D14" t="s">
        <v>167</v>
      </c>
      <c r="E14" t="str">
        <f>VLOOKUP(D14,countrylist[[countryname]:[region]],4)</f>
        <v>Europe</v>
      </c>
      <c r="F14" t="str">
        <f>VLOOKUP(D14,countrylist[[countryname]:[region]],5)</f>
        <v>Northern Europe</v>
      </c>
      <c r="G14">
        <v>4</v>
      </c>
      <c r="H14">
        <v>10</v>
      </c>
      <c r="I14">
        <v>10</v>
      </c>
      <c r="J14">
        <v>20</v>
      </c>
      <c r="K14">
        <v>2</v>
      </c>
      <c r="L14" s="8">
        <f t="shared" ca="1" si="2"/>
        <v>1350</v>
      </c>
      <c r="M14" s="8">
        <f t="shared" ca="1" si="3"/>
        <v>1666</v>
      </c>
    </row>
    <row r="15" spans="1:13" x14ac:dyDescent="0.25">
      <c r="A15" t="str">
        <f t="shared" si="0"/>
        <v>C00104CDk</v>
      </c>
      <c r="B15" t="str">
        <f t="shared" si="1"/>
        <v>C00104</v>
      </c>
      <c r="C15" t="s">
        <v>718</v>
      </c>
      <c r="D15" t="s">
        <v>167</v>
      </c>
      <c r="E15" t="str">
        <f>VLOOKUP(D15,countrylist[[countryname]:[region]],4)</f>
        <v>Europe</v>
      </c>
      <c r="F15" t="str">
        <f>VLOOKUP(D15,countrylist[[countryname]:[region]],5)</f>
        <v>Northern Europe</v>
      </c>
      <c r="G15">
        <v>10</v>
      </c>
      <c r="H15">
        <v>20</v>
      </c>
      <c r="I15">
        <v>4</v>
      </c>
      <c r="J15">
        <v>6</v>
      </c>
      <c r="K15">
        <v>2</v>
      </c>
      <c r="L15" s="8">
        <f t="shared" ca="1" si="2"/>
        <v>1288</v>
      </c>
      <c r="M15" s="8">
        <f t="shared" ca="1" si="3"/>
        <v>1768</v>
      </c>
    </row>
    <row r="16" spans="1:13" x14ac:dyDescent="0.25">
      <c r="A16" t="str">
        <f t="shared" si="0"/>
        <v>N0011NDk</v>
      </c>
      <c r="B16" t="str">
        <f t="shared" si="1"/>
        <v>N0011</v>
      </c>
      <c r="C16" t="s">
        <v>720</v>
      </c>
      <c r="D16" t="s">
        <v>167</v>
      </c>
      <c r="E16" t="str">
        <f>VLOOKUP(D16,countrylist[[countryname]:[region]],4)</f>
        <v>Europe</v>
      </c>
      <c r="F16" t="str">
        <f>VLOOKUP(D16,countrylist[[countryname]:[region]],5)</f>
        <v>Northern Europe</v>
      </c>
      <c r="G16">
        <v>1</v>
      </c>
      <c r="H16">
        <v>3</v>
      </c>
      <c r="I16">
        <v>1</v>
      </c>
      <c r="J16">
        <v>3</v>
      </c>
      <c r="K16">
        <v>2</v>
      </c>
      <c r="L16" s="8">
        <f t="shared" ca="1" si="2"/>
        <v>1386</v>
      </c>
      <c r="M16" s="8">
        <f t="shared" ca="1" si="3"/>
        <v>1784</v>
      </c>
    </row>
    <row r="17" spans="1:13" x14ac:dyDescent="0.25">
      <c r="A17" t="str">
        <f t="shared" si="0"/>
        <v>E0011EFe</v>
      </c>
      <c r="B17" t="str">
        <f t="shared" si="1"/>
        <v>E0011</v>
      </c>
      <c r="C17" t="s">
        <v>715</v>
      </c>
      <c r="D17" t="s">
        <v>95</v>
      </c>
      <c r="E17" t="str">
        <f>VLOOKUP(D17,countrylist[[countryname]:[region]],4)</f>
        <v>Europe</v>
      </c>
      <c r="F17" t="str">
        <f>VLOOKUP(D17,countrylist[[countryname]:[region]],5)</f>
        <v>Western Europe</v>
      </c>
      <c r="G17">
        <v>1</v>
      </c>
      <c r="H17">
        <v>3</v>
      </c>
      <c r="I17">
        <v>1</v>
      </c>
      <c r="J17">
        <v>3</v>
      </c>
      <c r="K17">
        <v>1</v>
      </c>
      <c r="L17" s="8">
        <f t="shared" ca="1" si="2"/>
        <v>696</v>
      </c>
      <c r="M17" s="8">
        <f t="shared" ca="1" si="3"/>
        <v>826</v>
      </c>
    </row>
    <row r="18" spans="1:13" x14ac:dyDescent="0.25">
      <c r="A18" t="str">
        <f t="shared" si="0"/>
        <v>M00410MFe</v>
      </c>
      <c r="B18" t="str">
        <f t="shared" si="1"/>
        <v>M00410</v>
      </c>
      <c r="C18" t="s">
        <v>717</v>
      </c>
      <c r="D18" t="s">
        <v>95</v>
      </c>
      <c r="E18" t="str">
        <f>VLOOKUP(D18,countrylist[[countryname]:[region]],4)</f>
        <v>Europe</v>
      </c>
      <c r="F18" t="str">
        <f>VLOOKUP(D18,countrylist[[countryname]:[region]],5)</f>
        <v>Western Europe</v>
      </c>
      <c r="G18">
        <v>4</v>
      </c>
      <c r="H18">
        <v>10</v>
      </c>
      <c r="I18">
        <v>10</v>
      </c>
      <c r="J18">
        <v>20</v>
      </c>
      <c r="K18">
        <v>2</v>
      </c>
      <c r="L18" s="8">
        <f t="shared" ca="1" si="2"/>
        <v>1346</v>
      </c>
      <c r="M18" s="8">
        <f t="shared" ca="1" si="3"/>
        <v>1764</v>
      </c>
    </row>
    <row r="19" spans="1:13" x14ac:dyDescent="0.25">
      <c r="A19" t="str">
        <f t="shared" si="0"/>
        <v>G0022GFe</v>
      </c>
      <c r="B19" t="str">
        <f t="shared" si="1"/>
        <v>G0022</v>
      </c>
      <c r="C19" t="s">
        <v>719</v>
      </c>
      <c r="D19" t="s">
        <v>95</v>
      </c>
      <c r="E19" t="str">
        <f>VLOOKUP(D19,countrylist[[countryname]:[region]],4)</f>
        <v>Europe</v>
      </c>
      <c r="F19" t="str">
        <f>VLOOKUP(D19,countrylist[[countryname]:[region]],5)</f>
        <v>Western Europe</v>
      </c>
      <c r="G19">
        <v>2</v>
      </c>
      <c r="H19">
        <v>5</v>
      </c>
      <c r="I19">
        <v>2</v>
      </c>
      <c r="J19">
        <v>5</v>
      </c>
      <c r="K19">
        <v>3</v>
      </c>
      <c r="L19" s="8">
        <f t="shared" ca="1" si="2"/>
        <v>1953</v>
      </c>
      <c r="M19" s="8">
        <f t="shared" ca="1" si="3"/>
        <v>2541</v>
      </c>
    </row>
    <row r="20" spans="1:13" x14ac:dyDescent="0.25">
      <c r="A20" t="str">
        <f t="shared" si="0"/>
        <v>N0011NFe</v>
      </c>
      <c r="B20" t="str">
        <f t="shared" si="1"/>
        <v>N0011</v>
      </c>
      <c r="C20" t="s">
        <v>720</v>
      </c>
      <c r="D20" t="s">
        <v>95</v>
      </c>
      <c r="E20" t="str">
        <f>VLOOKUP(D20,countrylist[[countryname]:[region]],4)</f>
        <v>Europe</v>
      </c>
      <c r="F20" t="str">
        <f>VLOOKUP(D20,countrylist[[countryname]:[region]],5)</f>
        <v>Western Europe</v>
      </c>
      <c r="G20">
        <v>1</v>
      </c>
      <c r="H20">
        <v>3</v>
      </c>
      <c r="I20">
        <v>1</v>
      </c>
      <c r="J20">
        <v>3</v>
      </c>
      <c r="K20">
        <v>3</v>
      </c>
      <c r="L20" s="8">
        <f t="shared" ca="1" si="2"/>
        <v>1854</v>
      </c>
      <c r="M20" s="8">
        <f t="shared" ca="1" si="3"/>
        <v>2586</v>
      </c>
    </row>
    <row r="21" spans="1:13" x14ac:dyDescent="0.25">
      <c r="A21" t="str">
        <f t="shared" si="0"/>
        <v>E0011EGy</v>
      </c>
      <c r="B21" t="str">
        <f t="shared" si="1"/>
        <v>E0011</v>
      </c>
      <c r="C21" t="s">
        <v>715</v>
      </c>
      <c r="D21" t="s">
        <v>94</v>
      </c>
      <c r="E21" t="str">
        <f>VLOOKUP(D21,countrylist[[countryname]:[region]],4)</f>
        <v>Europe</v>
      </c>
      <c r="F21" t="str">
        <f>VLOOKUP(D21,countrylist[[countryname]:[region]],5)</f>
        <v>Western Europe</v>
      </c>
      <c r="G21">
        <v>1</v>
      </c>
      <c r="H21">
        <v>3</v>
      </c>
      <c r="I21">
        <v>1</v>
      </c>
      <c r="J21">
        <v>3</v>
      </c>
      <c r="K21">
        <v>4.5</v>
      </c>
      <c r="L21" s="8">
        <f t="shared" ca="1" si="2"/>
        <v>2880</v>
      </c>
      <c r="M21" s="8">
        <f t="shared" ca="1" si="3"/>
        <v>3834</v>
      </c>
    </row>
    <row r="22" spans="1:13" x14ac:dyDescent="0.25">
      <c r="A22" t="str">
        <f t="shared" si="0"/>
        <v>M0044MGy</v>
      </c>
      <c r="B22" t="str">
        <f t="shared" si="1"/>
        <v>M0044</v>
      </c>
      <c r="C22" t="s">
        <v>716</v>
      </c>
      <c r="D22" t="s">
        <v>94</v>
      </c>
      <c r="E22" t="str">
        <f>VLOOKUP(D22,countrylist[[countryname]:[region]],4)</f>
        <v>Europe</v>
      </c>
      <c r="F22" t="str">
        <f>VLOOKUP(D22,countrylist[[countryname]:[region]],5)</f>
        <v>Western Europe</v>
      </c>
      <c r="G22">
        <v>4</v>
      </c>
      <c r="H22">
        <v>6</v>
      </c>
      <c r="I22">
        <v>4</v>
      </c>
      <c r="J22">
        <v>6</v>
      </c>
      <c r="K22">
        <v>5</v>
      </c>
      <c r="L22" s="8">
        <f t="shared" ca="1" si="2"/>
        <v>3275</v>
      </c>
      <c r="M22" s="8">
        <f t="shared" ca="1" si="3"/>
        <v>4430</v>
      </c>
    </row>
    <row r="23" spans="1:13" x14ac:dyDescent="0.25">
      <c r="A23" t="str">
        <f t="shared" si="0"/>
        <v>M00410MGy</v>
      </c>
      <c r="B23" t="str">
        <f t="shared" si="1"/>
        <v>M00410</v>
      </c>
      <c r="C23" t="s">
        <v>717</v>
      </c>
      <c r="D23" t="s">
        <v>94</v>
      </c>
      <c r="E23" t="str">
        <f>VLOOKUP(D23,countrylist[[countryname]:[region]],4)</f>
        <v>Europe</v>
      </c>
      <c r="F23" t="str">
        <f>VLOOKUP(D23,countrylist[[countryname]:[region]],5)</f>
        <v>Western Europe</v>
      </c>
      <c r="G23">
        <v>4</v>
      </c>
      <c r="H23">
        <v>10</v>
      </c>
      <c r="I23">
        <v>10</v>
      </c>
      <c r="J23">
        <v>20</v>
      </c>
      <c r="K23">
        <v>5</v>
      </c>
      <c r="L23" s="8">
        <f t="shared" ca="1" si="2"/>
        <v>3370</v>
      </c>
      <c r="M23" s="8">
        <f t="shared" ca="1" si="3"/>
        <v>4230</v>
      </c>
    </row>
    <row r="24" spans="1:13" x14ac:dyDescent="0.25">
      <c r="A24" t="str">
        <f t="shared" si="0"/>
        <v>C00104CGy</v>
      </c>
      <c r="B24" t="str">
        <f t="shared" si="1"/>
        <v>C00104</v>
      </c>
      <c r="C24" t="s">
        <v>718</v>
      </c>
      <c r="D24" t="s">
        <v>94</v>
      </c>
      <c r="E24" t="str">
        <f>VLOOKUP(D24,countrylist[[countryname]:[region]],4)</f>
        <v>Europe</v>
      </c>
      <c r="F24" t="str">
        <f>VLOOKUP(D24,countrylist[[countryname]:[region]],5)</f>
        <v>Western Europe</v>
      </c>
      <c r="G24">
        <v>10</v>
      </c>
      <c r="H24">
        <v>20</v>
      </c>
      <c r="I24">
        <v>4</v>
      </c>
      <c r="J24">
        <v>6</v>
      </c>
      <c r="K24">
        <v>5</v>
      </c>
      <c r="L24" s="8">
        <f t="shared" ca="1" si="2"/>
        <v>3090</v>
      </c>
      <c r="M24" s="8">
        <f t="shared" ca="1" si="3"/>
        <v>4280</v>
      </c>
    </row>
    <row r="25" spans="1:13" x14ac:dyDescent="0.25">
      <c r="A25" t="str">
        <f t="shared" si="0"/>
        <v>N0011NGy</v>
      </c>
      <c r="B25" t="str">
        <f t="shared" si="1"/>
        <v>N0011</v>
      </c>
      <c r="C25" t="s">
        <v>720</v>
      </c>
      <c r="D25" t="s">
        <v>94</v>
      </c>
      <c r="E25" t="str">
        <f>VLOOKUP(D25,countrylist[[countryname]:[region]],4)</f>
        <v>Europe</v>
      </c>
      <c r="F25" t="str">
        <f>VLOOKUP(D25,countrylist[[countryname]:[region]],5)</f>
        <v>Western Europe</v>
      </c>
      <c r="G25">
        <v>1</v>
      </c>
      <c r="H25">
        <v>3</v>
      </c>
      <c r="I25">
        <v>1</v>
      </c>
      <c r="J25">
        <v>3</v>
      </c>
      <c r="K25">
        <v>5</v>
      </c>
      <c r="L25" s="8">
        <f t="shared" ca="1" si="2"/>
        <v>3210</v>
      </c>
      <c r="M25" s="8">
        <f t="shared" ca="1" si="3"/>
        <v>4300</v>
      </c>
    </row>
    <row r="26" spans="1:13" x14ac:dyDescent="0.25">
      <c r="A26" t="str">
        <f t="shared" si="0"/>
        <v>M0044MIa</v>
      </c>
      <c r="B26" t="str">
        <f t="shared" si="1"/>
        <v>M0044</v>
      </c>
      <c r="C26" t="s">
        <v>716</v>
      </c>
      <c r="D26" t="s">
        <v>198</v>
      </c>
      <c r="E26" t="str">
        <f>VLOOKUP(D26,countrylist[[countryname]:[region]],4)</f>
        <v>Asia</v>
      </c>
      <c r="F26" t="str">
        <f>VLOOKUP(D26,countrylist[[countryname]:[region]],5)</f>
        <v>South-eastern Asia</v>
      </c>
      <c r="G26">
        <v>4</v>
      </c>
      <c r="H26">
        <v>6</v>
      </c>
      <c r="I26">
        <v>4</v>
      </c>
      <c r="J26">
        <v>6</v>
      </c>
      <c r="K26">
        <v>1</v>
      </c>
      <c r="L26" s="8">
        <f t="shared" ca="1" si="2"/>
        <v>664</v>
      </c>
      <c r="M26" s="8">
        <f t="shared" ca="1" si="3"/>
        <v>867</v>
      </c>
    </row>
    <row r="27" spans="1:13" x14ac:dyDescent="0.25">
      <c r="A27" t="str">
        <f t="shared" si="0"/>
        <v>E0011EIa</v>
      </c>
      <c r="B27" t="str">
        <f t="shared" si="1"/>
        <v>E0011</v>
      </c>
      <c r="C27" t="s">
        <v>715</v>
      </c>
      <c r="D27" t="s">
        <v>198</v>
      </c>
      <c r="E27" t="str">
        <f>VLOOKUP(D27,countrylist[[countryname]:[region]],4)</f>
        <v>Asia</v>
      </c>
      <c r="F27" t="str">
        <f>VLOOKUP(D27,countrylist[[countryname]:[region]],5)</f>
        <v>South-eastern Asia</v>
      </c>
      <c r="G27">
        <v>1</v>
      </c>
      <c r="H27">
        <v>3</v>
      </c>
      <c r="I27">
        <v>1</v>
      </c>
      <c r="J27">
        <v>3</v>
      </c>
      <c r="K27">
        <v>1</v>
      </c>
      <c r="L27" s="8">
        <f t="shared" ca="1" si="2"/>
        <v>618</v>
      </c>
      <c r="M27" s="8">
        <f t="shared" ca="1" si="3"/>
        <v>879</v>
      </c>
    </row>
    <row r="28" spans="1:13" x14ac:dyDescent="0.25">
      <c r="A28" t="str">
        <f t="shared" si="0"/>
        <v>M00410MIa</v>
      </c>
      <c r="B28" t="str">
        <f t="shared" si="1"/>
        <v>M00410</v>
      </c>
      <c r="C28" t="s">
        <v>717</v>
      </c>
      <c r="D28" t="s">
        <v>198</v>
      </c>
      <c r="E28" t="str">
        <f>VLOOKUP(D28,countrylist[[countryname]:[region]],4)</f>
        <v>Asia</v>
      </c>
      <c r="F28" t="str">
        <f>VLOOKUP(D28,countrylist[[countryname]:[region]],5)</f>
        <v>South-eastern Asia</v>
      </c>
      <c r="G28">
        <v>4</v>
      </c>
      <c r="H28">
        <v>10</v>
      </c>
      <c r="I28">
        <v>10</v>
      </c>
      <c r="J28">
        <v>20</v>
      </c>
      <c r="K28">
        <v>1</v>
      </c>
      <c r="L28" s="8">
        <f t="shared" ca="1" si="2"/>
        <v>677</v>
      </c>
      <c r="M28" s="8">
        <f t="shared" ca="1" si="3"/>
        <v>804</v>
      </c>
    </row>
    <row r="29" spans="1:13" x14ac:dyDescent="0.25">
      <c r="A29" t="str">
        <f t="shared" si="0"/>
        <v>G0022GIa</v>
      </c>
      <c r="B29" t="str">
        <f t="shared" si="1"/>
        <v>G0022</v>
      </c>
      <c r="C29" t="s">
        <v>719</v>
      </c>
      <c r="D29" t="s">
        <v>198</v>
      </c>
      <c r="E29" t="str">
        <f>VLOOKUP(D29,countrylist[[countryname]:[region]],4)</f>
        <v>Asia</v>
      </c>
      <c r="F29" t="str">
        <f>VLOOKUP(D29,countrylist[[countryname]:[region]],5)</f>
        <v>South-eastern Asia</v>
      </c>
      <c r="G29">
        <v>2</v>
      </c>
      <c r="H29">
        <v>5</v>
      </c>
      <c r="I29">
        <v>2</v>
      </c>
      <c r="J29">
        <v>5</v>
      </c>
      <c r="K29">
        <v>1</v>
      </c>
      <c r="L29" s="8">
        <f t="shared" ca="1" si="2"/>
        <v>640</v>
      </c>
      <c r="M29" s="8">
        <f t="shared" ca="1" si="3"/>
        <v>862</v>
      </c>
    </row>
    <row r="30" spans="1:13" x14ac:dyDescent="0.25">
      <c r="A30" t="str">
        <f t="shared" si="0"/>
        <v>N0011NIa</v>
      </c>
      <c r="B30" t="str">
        <f t="shared" si="1"/>
        <v>N0011</v>
      </c>
      <c r="C30" t="s">
        <v>720</v>
      </c>
      <c r="D30" t="s">
        <v>198</v>
      </c>
      <c r="E30" t="str">
        <f>VLOOKUP(D30,countrylist[[countryname]:[region]],4)</f>
        <v>Asia</v>
      </c>
      <c r="F30" t="str">
        <f>VLOOKUP(D30,countrylist[[countryname]:[region]],5)</f>
        <v>South-eastern Asia</v>
      </c>
      <c r="G30">
        <v>1</v>
      </c>
      <c r="H30">
        <v>3</v>
      </c>
      <c r="I30">
        <v>1</v>
      </c>
      <c r="J30">
        <v>3</v>
      </c>
      <c r="K30">
        <v>1</v>
      </c>
      <c r="L30" s="8">
        <f t="shared" ca="1" si="2"/>
        <v>648</v>
      </c>
      <c r="M30" s="8">
        <f t="shared" ca="1" si="3"/>
        <v>888</v>
      </c>
    </row>
    <row r="31" spans="1:13" x14ac:dyDescent="0.25">
      <c r="A31" t="str">
        <f t="shared" si="0"/>
        <v>E0011EJn</v>
      </c>
      <c r="B31" t="str">
        <f t="shared" si="1"/>
        <v>E0011</v>
      </c>
      <c r="C31" t="s">
        <v>715</v>
      </c>
      <c r="D31" t="s">
        <v>205</v>
      </c>
      <c r="E31" t="str">
        <f>VLOOKUP(D31,countrylist[[countryname]:[region]],4)</f>
        <v>Asia</v>
      </c>
      <c r="F31" t="str">
        <f>VLOOKUP(D31,countrylist[[countryname]:[region]],5)</f>
        <v>Eastern Asia</v>
      </c>
      <c r="G31">
        <v>1</v>
      </c>
      <c r="H31">
        <v>3</v>
      </c>
      <c r="I31">
        <v>1</v>
      </c>
      <c r="J31">
        <v>3</v>
      </c>
      <c r="K31">
        <v>3</v>
      </c>
      <c r="L31" s="8">
        <f t="shared" ca="1" si="2"/>
        <v>1986</v>
      </c>
      <c r="M31" s="8">
        <f t="shared" ca="1" si="3"/>
        <v>2415</v>
      </c>
    </row>
    <row r="32" spans="1:13" x14ac:dyDescent="0.25">
      <c r="A32" t="str">
        <f t="shared" si="0"/>
        <v>M0044MJn</v>
      </c>
      <c r="B32" t="str">
        <f t="shared" si="1"/>
        <v>M0044</v>
      </c>
      <c r="C32" t="s">
        <v>716</v>
      </c>
      <c r="D32" t="s">
        <v>205</v>
      </c>
      <c r="E32" t="str">
        <f>VLOOKUP(D32,countrylist[[countryname]:[region]],4)</f>
        <v>Asia</v>
      </c>
      <c r="F32" t="str">
        <f>VLOOKUP(D32,countrylist[[countryname]:[region]],5)</f>
        <v>Eastern Asia</v>
      </c>
      <c r="G32">
        <v>4</v>
      </c>
      <c r="H32">
        <v>6</v>
      </c>
      <c r="I32">
        <v>4</v>
      </c>
      <c r="J32">
        <v>6</v>
      </c>
      <c r="K32">
        <v>3</v>
      </c>
      <c r="L32" s="8">
        <f t="shared" ca="1" si="2"/>
        <v>1914</v>
      </c>
      <c r="M32" s="8">
        <f t="shared" ca="1" si="3"/>
        <v>2697</v>
      </c>
    </row>
    <row r="33" spans="1:13" x14ac:dyDescent="0.25">
      <c r="A33" t="str">
        <f t="shared" si="0"/>
        <v>E0011ELa</v>
      </c>
      <c r="B33" t="str">
        <f t="shared" si="1"/>
        <v>E0011</v>
      </c>
      <c r="C33" t="s">
        <v>715</v>
      </c>
      <c r="D33" t="s">
        <v>211</v>
      </c>
      <c r="E33" t="str">
        <f>VLOOKUP(D33,countrylist[[countryname]:[region]],4)</f>
        <v>Europe</v>
      </c>
      <c r="F33" t="str">
        <f>VLOOKUP(D33,countrylist[[countryname]:[region]],5)</f>
        <v>Northern Europe</v>
      </c>
      <c r="G33">
        <v>1</v>
      </c>
      <c r="H33">
        <v>3</v>
      </c>
      <c r="I33">
        <v>1</v>
      </c>
      <c r="J33">
        <v>3</v>
      </c>
      <c r="K33">
        <v>1.5</v>
      </c>
      <c r="L33" s="8">
        <f t="shared" ca="1" si="2"/>
        <v>1020</v>
      </c>
      <c r="M33" s="8">
        <f t="shared" ca="1" si="3"/>
        <v>1243.5</v>
      </c>
    </row>
    <row r="34" spans="1:13" x14ac:dyDescent="0.25">
      <c r="A34" t="str">
        <f t="shared" ref="A34:A65" si="4">B34&amp;LEFT(C34,1)&amp;LEFT(D34,1)&amp;RIGHT(D34,1)</f>
        <v>M0044MLa</v>
      </c>
      <c r="B34" t="str">
        <f t="shared" ref="B34:B65" si="5">LEFT(C34,1)&amp;"00"&amp;G34&amp;I34</f>
        <v>M0044</v>
      </c>
      <c r="C34" t="s">
        <v>716</v>
      </c>
      <c r="D34" t="s">
        <v>211</v>
      </c>
      <c r="E34" t="str">
        <f>VLOOKUP(D34,countrylist[[countryname]:[region]],4)</f>
        <v>Europe</v>
      </c>
      <c r="F34" t="str">
        <f>VLOOKUP(D34,countrylist[[countryname]:[region]],5)</f>
        <v>Northern Europe</v>
      </c>
      <c r="G34">
        <v>4</v>
      </c>
      <c r="H34">
        <v>6</v>
      </c>
      <c r="I34">
        <v>4</v>
      </c>
      <c r="J34">
        <v>6</v>
      </c>
      <c r="K34">
        <v>1.5</v>
      </c>
      <c r="L34" s="8">
        <f t="shared" ref="L34:L65" ca="1" si="6">(RANDBETWEEN(600,700)*K34)</f>
        <v>939</v>
      </c>
      <c r="M34" s="8">
        <f t="shared" ref="M34:M70" ca="1" si="7">(RANDBETWEEN(800,900)*K34)</f>
        <v>1297.5</v>
      </c>
    </row>
    <row r="35" spans="1:13" x14ac:dyDescent="0.25">
      <c r="A35" t="str">
        <f t="shared" si="4"/>
        <v>M00410MLa</v>
      </c>
      <c r="B35" t="str">
        <f t="shared" si="5"/>
        <v>M00410</v>
      </c>
      <c r="C35" t="s">
        <v>717</v>
      </c>
      <c r="D35" t="s">
        <v>211</v>
      </c>
      <c r="E35" t="str">
        <f>VLOOKUP(D35,countrylist[[countryname]:[region]],4)</f>
        <v>Europe</v>
      </c>
      <c r="F35" t="str">
        <f>VLOOKUP(D35,countrylist[[countryname]:[region]],5)</f>
        <v>Northern Europe</v>
      </c>
      <c r="G35">
        <v>4</v>
      </c>
      <c r="H35">
        <v>10</v>
      </c>
      <c r="I35">
        <v>10</v>
      </c>
      <c r="J35">
        <v>20</v>
      </c>
      <c r="K35">
        <v>1.5</v>
      </c>
      <c r="L35" s="8">
        <f t="shared" ca="1" si="6"/>
        <v>978</v>
      </c>
      <c r="M35" s="8">
        <f t="shared" ca="1" si="7"/>
        <v>1300.5</v>
      </c>
    </row>
    <row r="36" spans="1:13" x14ac:dyDescent="0.25">
      <c r="A36" t="str">
        <f t="shared" si="4"/>
        <v>C00104CLa</v>
      </c>
      <c r="B36" t="str">
        <f t="shared" si="5"/>
        <v>C00104</v>
      </c>
      <c r="C36" t="s">
        <v>718</v>
      </c>
      <c r="D36" t="s">
        <v>211</v>
      </c>
      <c r="E36" t="str">
        <f>VLOOKUP(D36,countrylist[[countryname]:[region]],4)</f>
        <v>Europe</v>
      </c>
      <c r="F36" t="str">
        <f>VLOOKUP(D36,countrylist[[countryname]:[region]],5)</f>
        <v>Northern Europe</v>
      </c>
      <c r="G36">
        <v>10</v>
      </c>
      <c r="H36">
        <v>20</v>
      </c>
      <c r="I36">
        <v>4</v>
      </c>
      <c r="J36">
        <v>6</v>
      </c>
      <c r="K36">
        <v>1.5</v>
      </c>
      <c r="L36" s="8">
        <f t="shared" ca="1" si="6"/>
        <v>903</v>
      </c>
      <c r="M36" s="8">
        <f t="shared" ca="1" si="7"/>
        <v>1210.5</v>
      </c>
    </row>
    <row r="37" spans="1:13" x14ac:dyDescent="0.25">
      <c r="A37" t="str">
        <f t="shared" si="4"/>
        <v>N0011NLa</v>
      </c>
      <c r="B37" t="str">
        <f t="shared" si="5"/>
        <v>N0011</v>
      </c>
      <c r="C37" t="s">
        <v>720</v>
      </c>
      <c r="D37" t="s">
        <v>211</v>
      </c>
      <c r="E37" t="str">
        <f>VLOOKUP(D37,countrylist[[countryname]:[region]],4)</f>
        <v>Europe</v>
      </c>
      <c r="F37" t="str">
        <f>VLOOKUP(D37,countrylist[[countryname]:[region]],5)</f>
        <v>Northern Europe</v>
      </c>
      <c r="G37">
        <v>1</v>
      </c>
      <c r="H37">
        <v>3</v>
      </c>
      <c r="I37">
        <v>1</v>
      </c>
      <c r="J37">
        <v>3</v>
      </c>
      <c r="K37">
        <v>1.5</v>
      </c>
      <c r="L37" s="8">
        <f t="shared" ca="1" si="6"/>
        <v>1000.5</v>
      </c>
      <c r="M37" s="8">
        <f t="shared" ca="1" si="7"/>
        <v>1302</v>
      </c>
    </row>
    <row r="38" spans="1:13" x14ac:dyDescent="0.25">
      <c r="A38" t="str">
        <f t="shared" si="4"/>
        <v>E0011EMa</v>
      </c>
      <c r="B38" t="str">
        <f t="shared" si="5"/>
        <v>E0011</v>
      </c>
      <c r="C38" t="s">
        <v>715</v>
      </c>
      <c r="D38" t="s">
        <v>124</v>
      </c>
      <c r="E38" t="str">
        <f>VLOOKUP(D38,countrylist[[countryname]:[region]],4)</f>
        <v>Asia</v>
      </c>
      <c r="F38" t="str">
        <f>VLOOKUP(D38,countrylist[[countryname]:[region]],5)</f>
        <v>South-eastern Asia</v>
      </c>
      <c r="G38">
        <v>1</v>
      </c>
      <c r="H38">
        <v>3</v>
      </c>
      <c r="I38">
        <v>1</v>
      </c>
      <c r="J38">
        <v>3</v>
      </c>
      <c r="K38">
        <v>1</v>
      </c>
      <c r="L38" s="8">
        <f t="shared" ca="1" si="6"/>
        <v>624</v>
      </c>
      <c r="M38" s="8">
        <f t="shared" ca="1" si="7"/>
        <v>827</v>
      </c>
    </row>
    <row r="39" spans="1:13" x14ac:dyDescent="0.25">
      <c r="A39" t="str">
        <f t="shared" si="4"/>
        <v>M0044MMa</v>
      </c>
      <c r="B39" t="str">
        <f t="shared" si="5"/>
        <v>M0044</v>
      </c>
      <c r="C39" t="s">
        <v>716</v>
      </c>
      <c r="D39" t="s">
        <v>124</v>
      </c>
      <c r="E39" t="str">
        <f>VLOOKUP(D39,countrylist[[countryname]:[region]],4)</f>
        <v>Asia</v>
      </c>
      <c r="F39" t="str">
        <f>VLOOKUP(D39,countrylist[[countryname]:[region]],5)</f>
        <v>South-eastern Asia</v>
      </c>
      <c r="G39">
        <v>4</v>
      </c>
      <c r="H39">
        <v>6</v>
      </c>
      <c r="I39">
        <v>4</v>
      </c>
      <c r="J39">
        <v>6</v>
      </c>
      <c r="K39">
        <v>1</v>
      </c>
      <c r="L39" s="8">
        <f t="shared" ca="1" si="6"/>
        <v>610</v>
      </c>
      <c r="M39" s="8">
        <f t="shared" ca="1" si="7"/>
        <v>837</v>
      </c>
    </row>
    <row r="40" spans="1:13" x14ac:dyDescent="0.25">
      <c r="A40" t="str">
        <f t="shared" si="4"/>
        <v>M00410MMa</v>
      </c>
      <c r="B40" t="str">
        <f t="shared" si="5"/>
        <v>M00410</v>
      </c>
      <c r="C40" t="s">
        <v>717</v>
      </c>
      <c r="D40" t="s">
        <v>124</v>
      </c>
      <c r="E40" t="str">
        <f>VLOOKUP(D40,countrylist[[countryname]:[region]],4)</f>
        <v>Asia</v>
      </c>
      <c r="F40" t="str">
        <f>VLOOKUP(D40,countrylist[[countryname]:[region]],5)</f>
        <v>South-eastern Asia</v>
      </c>
      <c r="G40">
        <v>4</v>
      </c>
      <c r="H40">
        <v>10</v>
      </c>
      <c r="I40">
        <v>10</v>
      </c>
      <c r="J40">
        <v>20</v>
      </c>
      <c r="K40">
        <v>1</v>
      </c>
      <c r="L40" s="8">
        <f t="shared" ca="1" si="6"/>
        <v>646</v>
      </c>
      <c r="M40" s="8">
        <f t="shared" ca="1" si="7"/>
        <v>853</v>
      </c>
    </row>
    <row r="41" spans="1:13" x14ac:dyDescent="0.25">
      <c r="A41" t="str">
        <f t="shared" si="4"/>
        <v>C00104CMa</v>
      </c>
      <c r="B41" t="str">
        <f t="shared" si="5"/>
        <v>C00104</v>
      </c>
      <c r="C41" t="s">
        <v>718</v>
      </c>
      <c r="D41" t="s">
        <v>124</v>
      </c>
      <c r="E41" t="str">
        <f>VLOOKUP(D41,countrylist[[countryname]:[region]],4)</f>
        <v>Asia</v>
      </c>
      <c r="F41" t="str">
        <f>VLOOKUP(D41,countrylist[[countryname]:[region]],5)</f>
        <v>South-eastern Asia</v>
      </c>
      <c r="G41">
        <v>10</v>
      </c>
      <c r="H41">
        <v>20</v>
      </c>
      <c r="I41">
        <v>4</v>
      </c>
      <c r="J41">
        <v>6</v>
      </c>
      <c r="K41">
        <v>1</v>
      </c>
      <c r="L41" s="8">
        <f t="shared" ca="1" si="6"/>
        <v>674</v>
      </c>
      <c r="M41" s="8">
        <f t="shared" ca="1" si="7"/>
        <v>805</v>
      </c>
    </row>
    <row r="42" spans="1:13" x14ac:dyDescent="0.25">
      <c r="A42" t="str">
        <f t="shared" si="4"/>
        <v>N0011NMa</v>
      </c>
      <c r="B42" t="str">
        <f t="shared" si="5"/>
        <v>N0011</v>
      </c>
      <c r="C42" t="s">
        <v>720</v>
      </c>
      <c r="D42" t="s">
        <v>124</v>
      </c>
      <c r="E42" t="str">
        <f>VLOOKUP(D42,countrylist[[countryname]:[region]],4)</f>
        <v>Asia</v>
      </c>
      <c r="F42" t="str">
        <f>VLOOKUP(D42,countrylist[[countryname]:[region]],5)</f>
        <v>South-eastern Asia</v>
      </c>
      <c r="G42">
        <v>1</v>
      </c>
      <c r="H42">
        <v>3</v>
      </c>
      <c r="I42">
        <v>1</v>
      </c>
      <c r="J42">
        <v>3</v>
      </c>
      <c r="K42">
        <v>1</v>
      </c>
      <c r="L42" s="8">
        <f t="shared" ca="1" si="6"/>
        <v>620</v>
      </c>
      <c r="M42" s="8">
        <f t="shared" ca="1" si="7"/>
        <v>842</v>
      </c>
    </row>
    <row r="43" spans="1:13" x14ac:dyDescent="0.25">
      <c r="A43" t="str">
        <f t="shared" si="4"/>
        <v>M00410MPl</v>
      </c>
      <c r="B43" t="str">
        <f t="shared" si="5"/>
        <v>M00410</v>
      </c>
      <c r="C43" t="s">
        <v>717</v>
      </c>
      <c r="D43" t="s">
        <v>248</v>
      </c>
      <c r="E43" t="str">
        <f>VLOOKUP(D43,countrylist[[countryname]:[region]],4)</f>
        <v>Europe</v>
      </c>
      <c r="F43" t="str">
        <f>VLOOKUP(D43,countrylist[[countryname]:[region]],5)</f>
        <v>Southern Europe</v>
      </c>
      <c r="G43">
        <v>4</v>
      </c>
      <c r="H43">
        <v>10</v>
      </c>
      <c r="I43">
        <v>10</v>
      </c>
      <c r="J43">
        <v>20</v>
      </c>
      <c r="K43">
        <v>1</v>
      </c>
      <c r="L43" s="8">
        <f t="shared" ca="1" si="6"/>
        <v>600</v>
      </c>
      <c r="M43" s="8">
        <f t="shared" ca="1" si="7"/>
        <v>810</v>
      </c>
    </row>
    <row r="44" spans="1:13" x14ac:dyDescent="0.25">
      <c r="A44" t="str">
        <f t="shared" si="4"/>
        <v>M00410MPl</v>
      </c>
      <c r="B44" t="str">
        <f t="shared" si="5"/>
        <v>M00410</v>
      </c>
      <c r="C44" t="s">
        <v>717</v>
      </c>
      <c r="D44" t="s">
        <v>248</v>
      </c>
      <c r="E44" t="str">
        <f>VLOOKUP(D44,countrylist[[countryname]:[region]],4)</f>
        <v>Europe</v>
      </c>
      <c r="F44" t="str">
        <f>VLOOKUP(D44,countrylist[[countryname]:[region]],5)</f>
        <v>Southern Europe</v>
      </c>
      <c r="G44">
        <v>4</v>
      </c>
      <c r="H44">
        <v>10</v>
      </c>
      <c r="I44">
        <v>10</v>
      </c>
      <c r="J44">
        <v>20</v>
      </c>
      <c r="K44">
        <v>0.5</v>
      </c>
      <c r="L44" s="8">
        <f t="shared" ca="1" si="6"/>
        <v>342.5</v>
      </c>
      <c r="M44" s="8">
        <f t="shared" ca="1" si="7"/>
        <v>419.5</v>
      </c>
    </row>
    <row r="45" spans="1:13" x14ac:dyDescent="0.25">
      <c r="A45" t="str">
        <f t="shared" si="4"/>
        <v>E0011ESe</v>
      </c>
      <c r="B45" t="str">
        <f t="shared" si="5"/>
        <v>E0011</v>
      </c>
      <c r="C45" t="s">
        <v>715</v>
      </c>
      <c r="D45" t="s">
        <v>123</v>
      </c>
      <c r="E45" t="str">
        <f>VLOOKUP(D45,countrylist[[countryname]:[region]],4)</f>
        <v>Asia</v>
      </c>
      <c r="F45" t="str">
        <f>VLOOKUP(D45,countrylist[[countryname]:[region]],5)</f>
        <v>South-eastern Asia</v>
      </c>
      <c r="G45">
        <v>1</v>
      </c>
      <c r="H45">
        <v>3</v>
      </c>
      <c r="I45">
        <v>1</v>
      </c>
      <c r="J45">
        <v>3</v>
      </c>
      <c r="K45">
        <v>2</v>
      </c>
      <c r="L45" s="8">
        <f t="shared" ca="1" si="6"/>
        <v>1396</v>
      </c>
      <c r="M45" s="8">
        <f t="shared" ca="1" si="7"/>
        <v>1770</v>
      </c>
    </row>
    <row r="46" spans="1:13" x14ac:dyDescent="0.25">
      <c r="A46" t="str">
        <f t="shared" si="4"/>
        <v>M0044MSe</v>
      </c>
      <c r="B46" t="str">
        <f t="shared" si="5"/>
        <v>M0044</v>
      </c>
      <c r="C46" t="s">
        <v>716</v>
      </c>
      <c r="D46" t="s">
        <v>123</v>
      </c>
      <c r="E46" t="str">
        <f>VLOOKUP(D46,countrylist[[countryname]:[region]],4)</f>
        <v>Asia</v>
      </c>
      <c r="F46" t="str">
        <f>VLOOKUP(D46,countrylist[[countryname]:[region]],5)</f>
        <v>South-eastern Asia</v>
      </c>
      <c r="G46">
        <v>4</v>
      </c>
      <c r="H46">
        <v>6</v>
      </c>
      <c r="I46">
        <v>4</v>
      </c>
      <c r="J46">
        <v>6</v>
      </c>
      <c r="K46">
        <v>2</v>
      </c>
      <c r="L46" s="8">
        <f t="shared" ca="1" si="6"/>
        <v>1358</v>
      </c>
      <c r="M46" s="8">
        <f t="shared" ca="1" si="7"/>
        <v>1672</v>
      </c>
    </row>
    <row r="47" spans="1:13" x14ac:dyDescent="0.25">
      <c r="A47" t="str">
        <f t="shared" si="4"/>
        <v>M00410MSe</v>
      </c>
      <c r="B47" t="str">
        <f t="shared" si="5"/>
        <v>M00410</v>
      </c>
      <c r="C47" t="s">
        <v>717</v>
      </c>
      <c r="D47" t="s">
        <v>123</v>
      </c>
      <c r="E47" t="str">
        <f>VLOOKUP(D47,countrylist[[countryname]:[region]],4)</f>
        <v>Asia</v>
      </c>
      <c r="F47" t="str">
        <f>VLOOKUP(D47,countrylist[[countryname]:[region]],5)</f>
        <v>South-eastern Asia</v>
      </c>
      <c r="G47">
        <v>4</v>
      </c>
      <c r="H47">
        <v>10</v>
      </c>
      <c r="I47">
        <v>10</v>
      </c>
      <c r="J47">
        <v>20</v>
      </c>
      <c r="K47">
        <v>2</v>
      </c>
      <c r="L47" s="8">
        <f t="shared" ca="1" si="6"/>
        <v>1316</v>
      </c>
      <c r="M47" s="8">
        <f t="shared" ca="1" si="7"/>
        <v>1716</v>
      </c>
    </row>
    <row r="48" spans="1:13" x14ac:dyDescent="0.25">
      <c r="A48" t="str">
        <f t="shared" si="4"/>
        <v>C00104CSe</v>
      </c>
      <c r="B48" t="str">
        <f t="shared" si="5"/>
        <v>C00104</v>
      </c>
      <c r="C48" t="s">
        <v>718</v>
      </c>
      <c r="D48" t="s">
        <v>123</v>
      </c>
      <c r="E48" t="str">
        <f>VLOOKUP(D48,countrylist[[countryname]:[region]],4)</f>
        <v>Asia</v>
      </c>
      <c r="F48" t="str">
        <f>VLOOKUP(D48,countrylist[[countryname]:[region]],5)</f>
        <v>South-eastern Asia</v>
      </c>
      <c r="G48">
        <v>10</v>
      </c>
      <c r="H48">
        <v>20</v>
      </c>
      <c r="I48">
        <v>4</v>
      </c>
      <c r="J48">
        <v>6</v>
      </c>
      <c r="K48">
        <v>2</v>
      </c>
      <c r="L48" s="8">
        <f t="shared" ca="1" si="6"/>
        <v>1246</v>
      </c>
      <c r="M48" s="8">
        <f t="shared" ca="1" si="7"/>
        <v>1684</v>
      </c>
    </row>
    <row r="49" spans="1:13" x14ac:dyDescent="0.25">
      <c r="A49" t="str">
        <f t="shared" si="4"/>
        <v>N0011NSe</v>
      </c>
      <c r="B49" t="str">
        <f t="shared" si="5"/>
        <v>N0011</v>
      </c>
      <c r="C49" t="s">
        <v>720</v>
      </c>
      <c r="D49" t="s">
        <v>123</v>
      </c>
      <c r="E49" t="str">
        <f>VLOOKUP(D49,countrylist[[countryname]:[region]],4)</f>
        <v>Asia</v>
      </c>
      <c r="F49" t="str">
        <f>VLOOKUP(D49,countrylist[[countryname]:[region]],5)</f>
        <v>South-eastern Asia</v>
      </c>
      <c r="G49">
        <v>1</v>
      </c>
      <c r="H49">
        <v>3</v>
      </c>
      <c r="I49">
        <v>1</v>
      </c>
      <c r="J49">
        <v>3</v>
      </c>
      <c r="K49">
        <v>2</v>
      </c>
      <c r="L49" s="8">
        <f t="shared" ca="1" si="6"/>
        <v>1374</v>
      </c>
      <c r="M49" s="8">
        <f t="shared" ca="1" si="7"/>
        <v>1726</v>
      </c>
    </row>
    <row r="50" spans="1:13" x14ac:dyDescent="0.25">
      <c r="A50" t="str">
        <f t="shared" si="4"/>
        <v>E0011ESn</v>
      </c>
      <c r="B50" t="str">
        <f t="shared" si="5"/>
        <v>E0011</v>
      </c>
      <c r="C50" t="s">
        <v>715</v>
      </c>
      <c r="D50" t="s">
        <v>268</v>
      </c>
      <c r="E50" t="str">
        <f>VLOOKUP(D50,countrylist[[countryname]:[region]],4)</f>
        <v>Europe</v>
      </c>
      <c r="F50" t="str">
        <f>VLOOKUP(D50,countrylist[[countryname]:[region]],5)</f>
        <v>Southern Europe</v>
      </c>
      <c r="G50">
        <v>1</v>
      </c>
      <c r="H50">
        <v>3</v>
      </c>
      <c r="I50">
        <v>1</v>
      </c>
      <c r="J50">
        <v>3</v>
      </c>
      <c r="K50">
        <v>3.5</v>
      </c>
      <c r="L50" s="8">
        <f t="shared" ca="1" si="6"/>
        <v>2355.5</v>
      </c>
      <c r="M50" s="8">
        <f t="shared" ca="1" si="7"/>
        <v>2957.5</v>
      </c>
    </row>
    <row r="51" spans="1:13" x14ac:dyDescent="0.25">
      <c r="A51" t="str">
        <f t="shared" si="4"/>
        <v>M0044MSn</v>
      </c>
      <c r="B51" t="str">
        <f t="shared" si="5"/>
        <v>M0044</v>
      </c>
      <c r="C51" t="s">
        <v>716</v>
      </c>
      <c r="D51" t="s">
        <v>268</v>
      </c>
      <c r="E51" t="str">
        <f>VLOOKUP(D51,countrylist[[countryname]:[region]],4)</f>
        <v>Europe</v>
      </c>
      <c r="F51" t="str">
        <f>VLOOKUP(D51,countrylist[[countryname]:[region]],5)</f>
        <v>Southern Europe</v>
      </c>
      <c r="G51">
        <v>4</v>
      </c>
      <c r="H51">
        <v>6</v>
      </c>
      <c r="I51">
        <v>4</v>
      </c>
      <c r="J51">
        <v>6</v>
      </c>
      <c r="K51">
        <v>3.5</v>
      </c>
      <c r="L51" s="8">
        <f t="shared" ca="1" si="6"/>
        <v>2250.5</v>
      </c>
      <c r="M51" s="8">
        <f t="shared" ca="1" si="7"/>
        <v>3136</v>
      </c>
    </row>
    <row r="52" spans="1:13" x14ac:dyDescent="0.25">
      <c r="A52" t="str">
        <f t="shared" si="4"/>
        <v>M00410MSn</v>
      </c>
      <c r="B52" t="str">
        <f t="shared" si="5"/>
        <v>M00410</v>
      </c>
      <c r="C52" t="s">
        <v>717</v>
      </c>
      <c r="D52" t="s">
        <v>268</v>
      </c>
      <c r="E52" t="str">
        <f>VLOOKUP(D52,countrylist[[countryname]:[region]],4)</f>
        <v>Europe</v>
      </c>
      <c r="F52" t="str">
        <f>VLOOKUP(D52,countrylist[[countryname]:[region]],5)</f>
        <v>Southern Europe</v>
      </c>
      <c r="G52">
        <v>4</v>
      </c>
      <c r="H52">
        <v>10</v>
      </c>
      <c r="I52">
        <v>10</v>
      </c>
      <c r="J52">
        <v>20</v>
      </c>
      <c r="K52">
        <v>3.5</v>
      </c>
      <c r="L52" s="8">
        <f t="shared" ca="1" si="6"/>
        <v>2334.5</v>
      </c>
      <c r="M52" s="8">
        <f t="shared" ca="1" si="7"/>
        <v>3101</v>
      </c>
    </row>
    <row r="53" spans="1:13" x14ac:dyDescent="0.25">
      <c r="A53" t="str">
        <f t="shared" si="4"/>
        <v>C00104CSn</v>
      </c>
      <c r="B53" t="str">
        <f t="shared" si="5"/>
        <v>C00104</v>
      </c>
      <c r="C53" t="s">
        <v>718</v>
      </c>
      <c r="D53" t="s">
        <v>268</v>
      </c>
      <c r="E53" t="str">
        <f>VLOOKUP(D53,countrylist[[countryname]:[region]],4)</f>
        <v>Europe</v>
      </c>
      <c r="F53" t="str">
        <f>VLOOKUP(D53,countrylist[[countryname]:[region]],5)</f>
        <v>Southern Europe</v>
      </c>
      <c r="G53">
        <v>10</v>
      </c>
      <c r="H53">
        <v>20</v>
      </c>
      <c r="I53">
        <v>4</v>
      </c>
      <c r="J53">
        <v>6</v>
      </c>
      <c r="K53">
        <v>3.5</v>
      </c>
      <c r="L53" s="8">
        <f t="shared" ca="1" si="6"/>
        <v>2264.5</v>
      </c>
      <c r="M53" s="8">
        <f t="shared" ca="1" si="7"/>
        <v>2800</v>
      </c>
    </row>
    <row r="54" spans="1:13" x14ac:dyDescent="0.25">
      <c r="A54" t="str">
        <f t="shared" si="4"/>
        <v>N0011NSn</v>
      </c>
      <c r="B54" t="str">
        <f t="shared" si="5"/>
        <v>N0011</v>
      </c>
      <c r="C54" t="s">
        <v>720</v>
      </c>
      <c r="D54" t="s">
        <v>268</v>
      </c>
      <c r="E54" t="str">
        <f>VLOOKUP(D54,countrylist[[countryname]:[region]],4)</f>
        <v>Europe</v>
      </c>
      <c r="F54" t="str">
        <f>VLOOKUP(D54,countrylist[[countryname]:[region]],5)</f>
        <v>Southern Europe</v>
      </c>
      <c r="G54">
        <v>1</v>
      </c>
      <c r="H54">
        <v>3</v>
      </c>
      <c r="I54">
        <v>1</v>
      </c>
      <c r="J54">
        <v>3</v>
      </c>
      <c r="K54">
        <v>3.5</v>
      </c>
      <c r="L54" s="8">
        <f t="shared" ca="1" si="6"/>
        <v>2383.5</v>
      </c>
      <c r="M54" s="8">
        <f t="shared" ca="1" si="7"/>
        <v>3013.5</v>
      </c>
    </row>
    <row r="55" spans="1:13" x14ac:dyDescent="0.25">
      <c r="A55" t="str">
        <f t="shared" si="4"/>
        <v>E0011ETd</v>
      </c>
      <c r="B55" t="str">
        <f t="shared" si="5"/>
        <v>E0011</v>
      </c>
      <c r="C55" t="s">
        <v>715</v>
      </c>
      <c r="D55" t="s">
        <v>276</v>
      </c>
      <c r="E55" t="str">
        <f>VLOOKUP(D55,countrylist[[countryname]:[region]],4)</f>
        <v>Asia</v>
      </c>
      <c r="F55" t="str">
        <f>VLOOKUP(D55,countrylist[[countryname]:[region]],5)</f>
        <v>South-eastern Asia</v>
      </c>
      <c r="G55">
        <v>1</v>
      </c>
      <c r="H55">
        <v>3</v>
      </c>
      <c r="I55">
        <v>1</v>
      </c>
      <c r="J55">
        <v>3</v>
      </c>
      <c r="K55">
        <v>1.5</v>
      </c>
      <c r="L55" s="8">
        <f t="shared" ca="1" si="6"/>
        <v>1026</v>
      </c>
      <c r="M55" s="8">
        <f t="shared" ca="1" si="7"/>
        <v>1269</v>
      </c>
    </row>
    <row r="56" spans="1:13" x14ac:dyDescent="0.25">
      <c r="A56" t="str">
        <f t="shared" si="4"/>
        <v>M0044MTd</v>
      </c>
      <c r="B56" t="str">
        <f t="shared" si="5"/>
        <v>M0044</v>
      </c>
      <c r="C56" t="s">
        <v>716</v>
      </c>
      <c r="D56" t="s">
        <v>276</v>
      </c>
      <c r="E56" t="str">
        <f>VLOOKUP(D56,countrylist[[countryname]:[region]],4)</f>
        <v>Asia</v>
      </c>
      <c r="F56" t="str">
        <f>VLOOKUP(D56,countrylist[[countryname]:[region]],5)</f>
        <v>South-eastern Asia</v>
      </c>
      <c r="G56">
        <v>4</v>
      </c>
      <c r="H56">
        <v>6</v>
      </c>
      <c r="I56">
        <v>4</v>
      </c>
      <c r="J56">
        <v>6</v>
      </c>
      <c r="K56">
        <v>1.5</v>
      </c>
      <c r="L56" s="8">
        <f t="shared" ca="1" si="6"/>
        <v>955.5</v>
      </c>
      <c r="M56" s="8">
        <f t="shared" ca="1" si="7"/>
        <v>1335</v>
      </c>
    </row>
    <row r="57" spans="1:13" x14ac:dyDescent="0.25">
      <c r="A57" t="str">
        <f t="shared" si="4"/>
        <v>M00410MTd</v>
      </c>
      <c r="B57" t="str">
        <f t="shared" si="5"/>
        <v>M00410</v>
      </c>
      <c r="C57" t="s">
        <v>717</v>
      </c>
      <c r="D57" t="s">
        <v>276</v>
      </c>
      <c r="E57" t="str">
        <f>VLOOKUP(D57,countrylist[[countryname]:[region]],4)</f>
        <v>Asia</v>
      </c>
      <c r="F57" t="str">
        <f>VLOOKUP(D57,countrylist[[countryname]:[region]],5)</f>
        <v>South-eastern Asia</v>
      </c>
      <c r="G57">
        <v>4</v>
      </c>
      <c r="H57">
        <v>10</v>
      </c>
      <c r="I57">
        <v>10</v>
      </c>
      <c r="J57">
        <v>20</v>
      </c>
      <c r="K57">
        <v>1.5</v>
      </c>
      <c r="L57" s="8">
        <f t="shared" ca="1" si="6"/>
        <v>930</v>
      </c>
      <c r="M57" s="8">
        <f t="shared" ca="1" si="7"/>
        <v>1342.5</v>
      </c>
    </row>
    <row r="58" spans="1:13" x14ac:dyDescent="0.25">
      <c r="A58" t="str">
        <f t="shared" si="4"/>
        <v>C00104CTd</v>
      </c>
      <c r="B58" t="str">
        <f t="shared" si="5"/>
        <v>C00104</v>
      </c>
      <c r="C58" t="s">
        <v>718</v>
      </c>
      <c r="D58" t="s">
        <v>276</v>
      </c>
      <c r="E58" t="str">
        <f>VLOOKUP(D58,countrylist[[countryname]:[region]],4)</f>
        <v>Asia</v>
      </c>
      <c r="F58" t="str">
        <f>VLOOKUP(D58,countrylist[[countryname]:[region]],5)</f>
        <v>South-eastern Asia</v>
      </c>
      <c r="G58">
        <v>10</v>
      </c>
      <c r="H58">
        <v>20</v>
      </c>
      <c r="I58">
        <v>4</v>
      </c>
      <c r="J58">
        <v>6</v>
      </c>
      <c r="K58">
        <v>1.5</v>
      </c>
      <c r="L58" s="8">
        <f t="shared" ca="1" si="6"/>
        <v>999</v>
      </c>
      <c r="M58" s="8">
        <f t="shared" ca="1" si="7"/>
        <v>1225.5</v>
      </c>
    </row>
    <row r="59" spans="1:13" x14ac:dyDescent="0.25">
      <c r="A59" t="str">
        <f t="shared" si="4"/>
        <v>N0011NTd</v>
      </c>
      <c r="B59" t="str">
        <f t="shared" si="5"/>
        <v>N0011</v>
      </c>
      <c r="C59" t="s">
        <v>720</v>
      </c>
      <c r="D59" t="s">
        <v>276</v>
      </c>
      <c r="E59" t="str">
        <f>VLOOKUP(D59,countrylist[[countryname]:[region]],4)</f>
        <v>Asia</v>
      </c>
      <c r="F59" t="str">
        <f>VLOOKUP(D59,countrylist[[countryname]:[region]],5)</f>
        <v>South-eastern Asia</v>
      </c>
      <c r="G59">
        <v>1</v>
      </c>
      <c r="H59">
        <v>3</v>
      </c>
      <c r="I59">
        <v>1</v>
      </c>
      <c r="J59">
        <v>3</v>
      </c>
      <c r="K59">
        <v>1.5</v>
      </c>
      <c r="L59" s="8">
        <f t="shared" ca="1" si="6"/>
        <v>970.5</v>
      </c>
      <c r="M59" s="8">
        <f t="shared" ca="1" si="7"/>
        <v>1333.5</v>
      </c>
    </row>
    <row r="60" spans="1:13" x14ac:dyDescent="0.25">
      <c r="A60" t="str">
        <f t="shared" si="4"/>
        <v>G0022GTe</v>
      </c>
      <c r="B60" t="str">
        <f t="shared" si="5"/>
        <v>G0022</v>
      </c>
      <c r="C60" t="s">
        <v>719</v>
      </c>
      <c r="D60" t="s">
        <v>645</v>
      </c>
      <c r="E60" t="str">
        <f>VLOOKUP(D60,countrylist[[countryname]:[region]],4)</f>
        <v>Asia</v>
      </c>
      <c r="F60" t="str">
        <f>VLOOKUP(D60,countrylist[[countryname]:[region]],5)</f>
        <v>Western Asia</v>
      </c>
      <c r="G60">
        <v>2</v>
      </c>
      <c r="H60">
        <v>5</v>
      </c>
      <c r="I60">
        <v>2</v>
      </c>
      <c r="J60">
        <v>5</v>
      </c>
      <c r="K60">
        <v>3</v>
      </c>
      <c r="L60" s="8">
        <f t="shared" ca="1" si="6"/>
        <v>1992</v>
      </c>
      <c r="M60" s="8">
        <f t="shared" ca="1" si="7"/>
        <v>2589</v>
      </c>
    </row>
    <row r="61" spans="1:13" x14ac:dyDescent="0.25">
      <c r="A61" t="str">
        <f t="shared" si="4"/>
        <v>N0011NTe</v>
      </c>
      <c r="B61" t="str">
        <f t="shared" si="5"/>
        <v>N0011</v>
      </c>
      <c r="C61" t="s">
        <v>720</v>
      </c>
      <c r="D61" t="s">
        <v>645</v>
      </c>
      <c r="E61" t="str">
        <f>VLOOKUP(D61,countrylist[[countryname]:[region]],4)</f>
        <v>Asia</v>
      </c>
      <c r="F61" t="str">
        <f>VLOOKUP(D61,countrylist[[countryname]:[region]],5)</f>
        <v>Western Asia</v>
      </c>
      <c r="G61">
        <v>1</v>
      </c>
      <c r="H61">
        <v>3</v>
      </c>
      <c r="I61">
        <v>1</v>
      </c>
      <c r="J61">
        <v>3</v>
      </c>
      <c r="K61">
        <v>3</v>
      </c>
      <c r="L61" s="8">
        <f t="shared" ca="1" si="6"/>
        <v>1980</v>
      </c>
      <c r="M61" s="8">
        <f t="shared" ca="1" si="7"/>
        <v>2508</v>
      </c>
    </row>
    <row r="62" spans="1:13" x14ac:dyDescent="0.25">
      <c r="A62" t="str">
        <f t="shared" si="4"/>
        <v>E0011ETe</v>
      </c>
      <c r="B62" t="str">
        <f t="shared" si="5"/>
        <v>E0011</v>
      </c>
      <c r="C62" t="s">
        <v>715</v>
      </c>
      <c r="D62" t="s">
        <v>645</v>
      </c>
      <c r="E62" t="str">
        <f>VLOOKUP(D62,countrylist[[countryname]:[region]],4)</f>
        <v>Asia</v>
      </c>
      <c r="F62" t="str">
        <f>VLOOKUP(D62,countrylist[[countryname]:[region]],5)</f>
        <v>Western Asia</v>
      </c>
      <c r="G62">
        <v>1</v>
      </c>
      <c r="H62">
        <v>3</v>
      </c>
      <c r="I62">
        <v>1</v>
      </c>
      <c r="J62">
        <v>3</v>
      </c>
      <c r="K62">
        <v>0.5</v>
      </c>
      <c r="L62" s="8">
        <f t="shared" ca="1" si="6"/>
        <v>300.5</v>
      </c>
      <c r="M62" s="8">
        <f t="shared" ca="1" si="7"/>
        <v>420.5</v>
      </c>
    </row>
    <row r="63" spans="1:13" x14ac:dyDescent="0.25">
      <c r="A63" t="str">
        <f t="shared" si="4"/>
        <v>M0044MTe</v>
      </c>
      <c r="B63" t="str">
        <f t="shared" si="5"/>
        <v>M0044</v>
      </c>
      <c r="C63" t="s">
        <v>716</v>
      </c>
      <c r="D63" t="s">
        <v>645</v>
      </c>
      <c r="E63" t="str">
        <f>VLOOKUP(D63,countrylist[[countryname]:[region]],4)</f>
        <v>Asia</v>
      </c>
      <c r="F63" t="str">
        <f>VLOOKUP(D63,countrylist[[countryname]:[region]],5)</f>
        <v>Western Asia</v>
      </c>
      <c r="G63">
        <v>4</v>
      </c>
      <c r="H63">
        <v>6</v>
      </c>
      <c r="I63">
        <v>4</v>
      </c>
      <c r="J63">
        <v>6</v>
      </c>
      <c r="K63">
        <v>0.5</v>
      </c>
      <c r="L63" s="8">
        <f t="shared" ca="1" si="6"/>
        <v>324.5</v>
      </c>
      <c r="M63" s="8">
        <f t="shared" ca="1" si="7"/>
        <v>445.5</v>
      </c>
    </row>
    <row r="64" spans="1:13" x14ac:dyDescent="0.25">
      <c r="A64" t="str">
        <f t="shared" si="4"/>
        <v>C00104CTe</v>
      </c>
      <c r="B64" t="str">
        <f t="shared" si="5"/>
        <v>C00104</v>
      </c>
      <c r="C64" t="s">
        <v>718</v>
      </c>
      <c r="D64" t="s">
        <v>645</v>
      </c>
      <c r="E64" t="str">
        <f>VLOOKUP(D64,countrylist[[countryname]:[region]],4)</f>
        <v>Asia</v>
      </c>
      <c r="F64" t="str">
        <f>VLOOKUP(D64,countrylist[[countryname]:[region]],5)</f>
        <v>Western Asia</v>
      </c>
      <c r="G64">
        <v>10</v>
      </c>
      <c r="H64">
        <v>20</v>
      </c>
      <c r="I64">
        <v>4</v>
      </c>
      <c r="J64">
        <v>6</v>
      </c>
      <c r="K64">
        <v>0.5</v>
      </c>
      <c r="L64" s="8">
        <f t="shared" ca="1" si="6"/>
        <v>300</v>
      </c>
      <c r="M64" s="8">
        <f t="shared" ca="1" si="7"/>
        <v>432</v>
      </c>
    </row>
    <row r="65" spans="1:13" x14ac:dyDescent="0.25">
      <c r="A65" t="str">
        <f t="shared" si="4"/>
        <v>H0011HTe</v>
      </c>
      <c r="B65" t="str">
        <f t="shared" si="5"/>
        <v>H0011</v>
      </c>
      <c r="C65" t="s">
        <v>739</v>
      </c>
      <c r="D65" t="s">
        <v>645</v>
      </c>
      <c r="E65" t="str">
        <f>VLOOKUP(D65,countrylist[[countryname]:[region]],4)</f>
        <v>Asia</v>
      </c>
      <c r="F65" t="str">
        <f>VLOOKUP(D65,countrylist[[countryname]:[region]],5)</f>
        <v>Western Asia</v>
      </c>
      <c r="G65">
        <v>1</v>
      </c>
      <c r="H65">
        <v>3</v>
      </c>
      <c r="I65">
        <v>1</v>
      </c>
      <c r="J65">
        <v>3</v>
      </c>
      <c r="K65">
        <v>0.5</v>
      </c>
      <c r="L65" s="8">
        <f t="shared" ca="1" si="6"/>
        <v>303.5</v>
      </c>
      <c r="M65" s="8">
        <f t="shared" ca="1" si="7"/>
        <v>437.5</v>
      </c>
    </row>
    <row r="66" spans="1:13" x14ac:dyDescent="0.25">
      <c r="A66" t="str">
        <f t="shared" ref="A66:A70" si="8">B66&amp;LEFT(C66,1)&amp;LEFT(D66,1)&amp;RIGHT(D66,1)</f>
        <v>E0011EVm</v>
      </c>
      <c r="B66" t="str">
        <f t="shared" ref="B66:B70" si="9">LEFT(C66,1)&amp;"00"&amp;G66&amp;I66</f>
        <v>E0011</v>
      </c>
      <c r="C66" t="s">
        <v>715</v>
      </c>
      <c r="D66" t="s">
        <v>287</v>
      </c>
      <c r="E66" t="str">
        <f>VLOOKUP(D66,countrylist[[countryname]:[region]],4)</f>
        <v>Asia</v>
      </c>
      <c r="F66" t="str">
        <f>VLOOKUP(D66,countrylist[[countryname]:[region]],5)</f>
        <v>South-eastern Asia</v>
      </c>
      <c r="G66">
        <v>1</v>
      </c>
      <c r="H66">
        <v>3</v>
      </c>
      <c r="I66">
        <v>1</v>
      </c>
      <c r="J66">
        <v>3</v>
      </c>
      <c r="K66">
        <v>2</v>
      </c>
      <c r="L66" s="8">
        <f t="shared" ref="L66:L70" ca="1" si="10">(RANDBETWEEN(600,700)*K66)</f>
        <v>1250</v>
      </c>
      <c r="M66" s="8">
        <f t="shared" ca="1" si="7"/>
        <v>1678</v>
      </c>
    </row>
    <row r="67" spans="1:13" x14ac:dyDescent="0.25">
      <c r="A67" t="str">
        <f t="shared" si="8"/>
        <v>M0044MVm</v>
      </c>
      <c r="B67" t="str">
        <f t="shared" si="9"/>
        <v>M0044</v>
      </c>
      <c r="C67" t="s">
        <v>716</v>
      </c>
      <c r="D67" t="s">
        <v>287</v>
      </c>
      <c r="E67" t="str">
        <f>VLOOKUP(D67,countrylist[[countryname]:[region]],4)</f>
        <v>Asia</v>
      </c>
      <c r="F67" t="str">
        <f>VLOOKUP(D67,countrylist[[countryname]:[region]],5)</f>
        <v>South-eastern Asia</v>
      </c>
      <c r="G67">
        <v>4</v>
      </c>
      <c r="H67">
        <v>6</v>
      </c>
      <c r="I67">
        <v>4</v>
      </c>
      <c r="J67">
        <v>6</v>
      </c>
      <c r="K67">
        <v>2</v>
      </c>
      <c r="L67" s="8">
        <f t="shared" ca="1" si="10"/>
        <v>1342</v>
      </c>
      <c r="M67" s="8">
        <f t="shared" ca="1" si="7"/>
        <v>1674</v>
      </c>
    </row>
    <row r="68" spans="1:13" x14ac:dyDescent="0.25">
      <c r="A68" t="str">
        <f t="shared" si="8"/>
        <v>M00410MVm</v>
      </c>
      <c r="B68" t="str">
        <f t="shared" si="9"/>
        <v>M00410</v>
      </c>
      <c r="C68" t="s">
        <v>717</v>
      </c>
      <c r="D68" t="s">
        <v>287</v>
      </c>
      <c r="E68" t="str">
        <f>VLOOKUP(D68,countrylist[[countryname]:[region]],4)</f>
        <v>Asia</v>
      </c>
      <c r="F68" t="str">
        <f>VLOOKUP(D68,countrylist[[countryname]:[region]],5)</f>
        <v>South-eastern Asia</v>
      </c>
      <c r="G68">
        <v>4</v>
      </c>
      <c r="H68">
        <v>10</v>
      </c>
      <c r="I68">
        <v>10</v>
      </c>
      <c r="J68">
        <v>20</v>
      </c>
      <c r="K68">
        <v>2</v>
      </c>
      <c r="L68" s="8">
        <f t="shared" ca="1" si="10"/>
        <v>1344</v>
      </c>
      <c r="M68" s="8">
        <f t="shared" ca="1" si="7"/>
        <v>1724</v>
      </c>
    </row>
    <row r="69" spans="1:13" x14ac:dyDescent="0.25">
      <c r="A69" t="str">
        <f t="shared" si="8"/>
        <v>C00104CVm</v>
      </c>
      <c r="B69" t="str">
        <f t="shared" si="9"/>
        <v>C00104</v>
      </c>
      <c r="C69" t="s">
        <v>718</v>
      </c>
      <c r="D69" t="s">
        <v>287</v>
      </c>
      <c r="E69" t="str">
        <f>VLOOKUP(D69,countrylist[[countryname]:[region]],4)</f>
        <v>Asia</v>
      </c>
      <c r="F69" t="str">
        <f>VLOOKUP(D69,countrylist[[countryname]:[region]],5)</f>
        <v>South-eastern Asia</v>
      </c>
      <c r="G69">
        <v>10</v>
      </c>
      <c r="H69">
        <v>20</v>
      </c>
      <c r="I69">
        <v>4</v>
      </c>
      <c r="J69">
        <v>6</v>
      </c>
      <c r="K69">
        <v>2</v>
      </c>
      <c r="L69" s="8">
        <f t="shared" ca="1" si="10"/>
        <v>1288</v>
      </c>
      <c r="M69" s="8">
        <f t="shared" ca="1" si="7"/>
        <v>1706</v>
      </c>
    </row>
    <row r="70" spans="1:13" x14ac:dyDescent="0.25">
      <c r="A70" t="str">
        <f t="shared" si="8"/>
        <v>N0011NVm</v>
      </c>
      <c r="B70" t="str">
        <f t="shared" si="9"/>
        <v>N0011</v>
      </c>
      <c r="C70" t="s">
        <v>720</v>
      </c>
      <c r="D70" t="s">
        <v>287</v>
      </c>
      <c r="E70" t="str">
        <f>VLOOKUP(D70,countrylist[[countryname]:[region]],4)</f>
        <v>Asia</v>
      </c>
      <c r="F70" t="str">
        <f>VLOOKUP(D70,countrylist[[countryname]:[region]],5)</f>
        <v>South-eastern Asia</v>
      </c>
      <c r="G70">
        <v>1</v>
      </c>
      <c r="H70">
        <v>3</v>
      </c>
      <c r="I70">
        <v>1</v>
      </c>
      <c r="J70">
        <v>3</v>
      </c>
      <c r="K70">
        <v>2</v>
      </c>
      <c r="L70" s="8">
        <f t="shared" ca="1" si="10"/>
        <v>1384</v>
      </c>
      <c r="M70" s="8">
        <f t="shared" ca="1" si="7"/>
        <v>1670</v>
      </c>
    </row>
  </sheetData>
  <sortState xmlns:xlrd2="http://schemas.microsoft.com/office/spreadsheetml/2017/richdata2" ref="A2:M70">
    <sortCondition ref="D68:D7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D3E6-0D78-4361-873E-519F252977A3}">
  <dimension ref="A1:E9"/>
  <sheetViews>
    <sheetView zoomScale="205" zoomScaleNormal="205" workbookViewId="0">
      <selection activeCell="C2" sqref="C2"/>
    </sheetView>
  </sheetViews>
  <sheetFormatPr defaultColWidth="9.140625" defaultRowHeight="12" x14ac:dyDescent="0.2"/>
  <cols>
    <col min="1" max="1" width="9.140625" style="23"/>
    <col min="2" max="2" width="53.85546875" style="23" customWidth="1"/>
    <col min="3" max="3" width="43.28515625" style="23" customWidth="1"/>
    <col min="4" max="16384" width="9.140625" style="23"/>
  </cols>
  <sheetData>
    <row r="1" spans="1:5" x14ac:dyDescent="0.2">
      <c r="A1" s="23" t="s">
        <v>779</v>
      </c>
      <c r="B1" s="23" t="s">
        <v>776</v>
      </c>
      <c r="C1" s="23" t="s">
        <v>777</v>
      </c>
      <c r="D1" s="23" t="s">
        <v>788</v>
      </c>
      <c r="E1" s="23" t="s">
        <v>778</v>
      </c>
    </row>
    <row r="2" spans="1:5" ht="102" customHeight="1" x14ac:dyDescent="0.2">
      <c r="A2" s="23" t="s">
        <v>780</v>
      </c>
      <c r="B2" s="24" t="s">
        <v>784</v>
      </c>
      <c r="C2" s="28" t="s">
        <v>785</v>
      </c>
      <c r="D2" s="23" t="s">
        <v>786</v>
      </c>
    </row>
    <row r="3" spans="1:5" ht="228" x14ac:dyDescent="0.2">
      <c r="A3" s="23" t="s">
        <v>782</v>
      </c>
      <c r="B3" s="25" t="s">
        <v>781</v>
      </c>
      <c r="C3" s="28" t="s">
        <v>783</v>
      </c>
      <c r="D3" s="23" t="s">
        <v>787</v>
      </c>
    </row>
    <row r="4" spans="1:5" x14ac:dyDescent="0.2">
      <c r="B4" s="26"/>
    </row>
    <row r="5" spans="1:5" x14ac:dyDescent="0.2">
      <c r="B5" s="26"/>
    </row>
    <row r="6" spans="1:5" x14ac:dyDescent="0.2">
      <c r="B6" s="26"/>
    </row>
    <row r="7" spans="1:5" x14ac:dyDescent="0.2">
      <c r="B7" s="26"/>
    </row>
    <row r="8" spans="1:5" x14ac:dyDescent="0.2">
      <c r="B8" s="26"/>
    </row>
    <row r="9" spans="1:5" x14ac:dyDescent="0.2">
      <c r="B9" s="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F10-0360-49BB-8146-C99C74359E56}">
  <dimension ref="A1:M4901"/>
  <sheetViews>
    <sheetView workbookViewId="0">
      <pane ySplit="1" topLeftCell="A65" activePane="bottomLeft" state="frozen"/>
      <selection pane="bottomLeft" activeCell="B83" sqref="B83"/>
    </sheetView>
  </sheetViews>
  <sheetFormatPr defaultRowHeight="15" x14ac:dyDescent="0.25"/>
  <cols>
    <col min="1" max="1" width="16.140625" bestFit="1" customWidth="1"/>
    <col min="2" max="2" width="22.140625" bestFit="1" customWidth="1"/>
    <col min="3" max="3" width="11.7109375" bestFit="1" customWidth="1"/>
    <col min="4" max="4" width="17.7109375" bestFit="1" customWidth="1"/>
    <col min="5" max="5" width="12.42578125" bestFit="1" customWidth="1"/>
    <col min="6" max="6" width="13.5703125" bestFit="1" customWidth="1"/>
    <col min="7" max="7" width="15.7109375" bestFit="1" customWidth="1"/>
    <col min="8" max="8" width="13.85546875" bestFit="1" customWidth="1"/>
    <col min="9" max="9" width="15.7109375" bestFit="1" customWidth="1"/>
    <col min="10" max="11" width="13.85546875" bestFit="1" customWidth="1"/>
    <col min="12" max="12" width="10.7109375" style="15" bestFit="1" customWidth="1"/>
    <col min="13" max="13" width="16.5703125" bestFit="1" customWidth="1"/>
  </cols>
  <sheetData>
    <row r="1" spans="1:13" x14ac:dyDescent="0.25">
      <c r="A1" t="s">
        <v>107</v>
      </c>
      <c r="B1" t="s">
        <v>106</v>
      </c>
      <c r="C1" s="9" t="s">
        <v>19</v>
      </c>
      <c r="D1" s="9" t="s">
        <v>104</v>
      </c>
      <c r="E1" t="s">
        <v>103</v>
      </c>
      <c r="F1" s="7" t="s">
        <v>102</v>
      </c>
      <c r="G1" s="7" t="s">
        <v>101</v>
      </c>
      <c r="H1" s="7" t="s">
        <v>100</v>
      </c>
      <c r="I1" s="7" t="s">
        <v>757</v>
      </c>
      <c r="J1" s="7" t="s">
        <v>98</v>
      </c>
      <c r="K1" s="7" t="s">
        <v>97</v>
      </c>
      <c r="L1" s="16" t="s">
        <v>744</v>
      </c>
      <c r="M1" s="7" t="s">
        <v>670</v>
      </c>
    </row>
    <row r="2" spans="1:13" x14ac:dyDescent="0.25">
      <c r="A2" t="s">
        <v>86</v>
      </c>
      <c r="B2" s="6" t="s">
        <v>644</v>
      </c>
      <c r="C2" s="13">
        <v>106</v>
      </c>
      <c r="D2" s="14" t="s">
        <v>91</v>
      </c>
      <c r="E2">
        <v>13</v>
      </c>
      <c r="F2" s="8">
        <f>VLOOKUP(financials[[#This Row],[productid]],Products!$B$2:$H$10,3)</f>
        <v>25</v>
      </c>
      <c r="G2" s="8">
        <f>financials[[#This Row],[Units Sold]]*financials[[#This Row],[Sale Price]]</f>
        <v>325</v>
      </c>
      <c r="H2" s="8">
        <f>IF(financials[[#This Row],[Discount Band]]="low",0.1,IF(financials[[#This Row],[Discount Band]]="medium",0.15,0.3))</f>
        <v>0.1</v>
      </c>
      <c r="I2" s="8">
        <f>financials[[#This Row],[Gross Sales]]-financials[[#This Row],[Gross Sales]]*financials[[#This Row],[Discounts]]</f>
        <v>292.5</v>
      </c>
      <c r="J2" s="8">
        <f>VLOOKUP(financials[[#This Row],[productid]],Products!$B$2:$H$10,4)</f>
        <v>9.1</v>
      </c>
      <c r="K2" s="8">
        <f>financials[[#This Row],[Net Sales]]-financials[[#This Row],[COGS]]</f>
        <v>283.39999999999998</v>
      </c>
      <c r="L2" s="15">
        <v>44405</v>
      </c>
      <c r="M2" t="s">
        <v>696</v>
      </c>
    </row>
    <row r="3" spans="1:13" x14ac:dyDescent="0.25">
      <c r="A3" t="s">
        <v>86</v>
      </c>
      <c r="B3" s="6" t="s">
        <v>644</v>
      </c>
      <c r="C3" s="13">
        <v>102</v>
      </c>
      <c r="D3" s="14" t="s">
        <v>90</v>
      </c>
      <c r="E3">
        <v>15</v>
      </c>
      <c r="F3" s="8">
        <f>VLOOKUP(financials[[#This Row],[productid]],Products!$B$2:$H$10,3)</f>
        <v>15</v>
      </c>
      <c r="G3" s="8">
        <f>financials[[#This Row],[Units Sold]]*financials[[#This Row],[Sale Price]]</f>
        <v>225</v>
      </c>
      <c r="H3" s="8">
        <f>IF(financials[[#This Row],[Discount Band]]="low",0.1,IF(financials[[#This Row],[Discount Band]]="medium",0.15,0.3))</f>
        <v>0.15</v>
      </c>
      <c r="I3" s="8">
        <f>financials[[#This Row],[Gross Sales]]-financials[[#This Row],[Gross Sales]]*financials[[#This Row],[Discounts]]</f>
        <v>191.25</v>
      </c>
      <c r="J3" s="8">
        <f>VLOOKUP(financials[[#This Row],[productid]],Products!$B$2:$H$10,4)</f>
        <v>13.95</v>
      </c>
      <c r="K3" s="8">
        <f>financials[[#This Row],[Net Sales]]-financials[[#This Row],[COGS]]</f>
        <v>177.3</v>
      </c>
      <c r="L3" s="15">
        <v>45089</v>
      </c>
      <c r="M3" t="s">
        <v>696</v>
      </c>
    </row>
    <row r="4" spans="1:13" x14ac:dyDescent="0.25">
      <c r="A4" t="s">
        <v>86</v>
      </c>
      <c r="B4" s="6" t="s">
        <v>644</v>
      </c>
      <c r="C4" s="13">
        <v>103</v>
      </c>
      <c r="D4" s="14" t="s">
        <v>90</v>
      </c>
      <c r="E4">
        <v>15</v>
      </c>
      <c r="F4" s="8">
        <f>VLOOKUP(financials[[#This Row],[productid]],Products!$B$2:$H$10,3)</f>
        <v>28</v>
      </c>
      <c r="G4" s="8">
        <f>financials[[#This Row],[Units Sold]]*financials[[#This Row],[Sale Price]]</f>
        <v>420</v>
      </c>
      <c r="H4" s="8">
        <f>IF(financials[[#This Row],[Discount Band]]="low",0.1,IF(financials[[#This Row],[Discount Band]]="medium",0.15,0.3))</f>
        <v>0.15</v>
      </c>
      <c r="I4" s="8">
        <f>financials[[#This Row],[Gross Sales]]-financials[[#This Row],[Gross Sales]]*financials[[#This Row],[Discounts]]</f>
        <v>357</v>
      </c>
      <c r="J4" s="8">
        <f>VLOOKUP(financials[[#This Row],[productid]],Products!$B$2:$H$10,4)</f>
        <v>15</v>
      </c>
      <c r="K4" s="8">
        <f>financials[[#This Row],[Net Sales]]-financials[[#This Row],[COGS]]</f>
        <v>342</v>
      </c>
      <c r="L4" s="15">
        <v>45188</v>
      </c>
      <c r="M4" t="s">
        <v>690</v>
      </c>
    </row>
    <row r="5" spans="1:13" x14ac:dyDescent="0.25">
      <c r="A5" t="s">
        <v>86</v>
      </c>
      <c r="B5" s="6" t="s">
        <v>644</v>
      </c>
      <c r="C5" s="13">
        <v>105</v>
      </c>
      <c r="D5" s="14" t="s">
        <v>83</v>
      </c>
      <c r="E5">
        <v>11</v>
      </c>
      <c r="F5" s="8">
        <f>VLOOKUP(financials[[#This Row],[productid]],Products!$B$2:$H$10,3)</f>
        <v>15</v>
      </c>
      <c r="G5" s="8">
        <f>financials[[#This Row],[Units Sold]]*financials[[#This Row],[Sale Price]]</f>
        <v>165</v>
      </c>
      <c r="H5" s="8">
        <f>IF(financials[[#This Row],[Discount Band]]="low",0.1,IF(financials[[#This Row],[Discount Band]]="medium",0.15,0.3))</f>
        <v>0.3</v>
      </c>
      <c r="I5" s="8">
        <f>financials[[#This Row],[Gross Sales]]-financials[[#This Row],[Gross Sales]]*financials[[#This Row],[Discounts]]</f>
        <v>115.5</v>
      </c>
      <c r="J5" s="8">
        <f>VLOOKUP(financials[[#This Row],[productid]],Products!$B$2:$H$10,4)</f>
        <v>10</v>
      </c>
      <c r="K5" s="8">
        <f>financials[[#This Row],[Net Sales]]-financials[[#This Row],[COGS]]</f>
        <v>105.5</v>
      </c>
      <c r="L5" s="15">
        <v>44087</v>
      </c>
      <c r="M5" t="s">
        <v>697</v>
      </c>
    </row>
    <row r="6" spans="1:13" x14ac:dyDescent="0.25">
      <c r="A6" t="s">
        <v>86</v>
      </c>
      <c r="B6" s="6" t="s">
        <v>644</v>
      </c>
      <c r="C6" s="11">
        <v>103</v>
      </c>
      <c r="D6" s="9" t="s">
        <v>90</v>
      </c>
      <c r="E6">
        <v>18</v>
      </c>
      <c r="F6" s="8">
        <f>VLOOKUP(financials[[#This Row],[productid]],Products!$B$2:$H$10,3)</f>
        <v>28</v>
      </c>
      <c r="G6" s="8">
        <f>financials[[#This Row],[Units Sold]]*financials[[#This Row],[Sale Price]]</f>
        <v>504</v>
      </c>
      <c r="H6" s="8">
        <f>IF(financials[[#This Row],[Discount Band]]="low",0.1,IF(financials[[#This Row],[Discount Band]]="medium",0.15,0.3))</f>
        <v>0.15</v>
      </c>
      <c r="I6" s="8">
        <f>financials[[#This Row],[Gross Sales]]-financials[[#This Row],[Gross Sales]]*financials[[#This Row],[Discounts]]</f>
        <v>428.4</v>
      </c>
      <c r="J6" s="8">
        <f>VLOOKUP(financials[[#This Row],[productid]],Products!$B$2:$H$10,4)</f>
        <v>15</v>
      </c>
      <c r="K6" s="8">
        <f>financials[[#This Row],[Net Sales]]-financials[[#This Row],[COGS]]</f>
        <v>413.4</v>
      </c>
      <c r="L6" s="15">
        <v>44598</v>
      </c>
      <c r="M6" t="s">
        <v>700</v>
      </c>
    </row>
    <row r="7" spans="1:13" x14ac:dyDescent="0.25">
      <c r="A7" t="s">
        <v>89</v>
      </c>
      <c r="B7" s="6" t="s">
        <v>644</v>
      </c>
      <c r="C7" s="13">
        <v>101</v>
      </c>
      <c r="D7" s="14" t="s">
        <v>91</v>
      </c>
      <c r="E7">
        <v>10</v>
      </c>
      <c r="F7" s="8">
        <f>VLOOKUP(financials[[#This Row],[productid]],Products!$B$2:$H$10,3)</f>
        <v>23</v>
      </c>
      <c r="G7" s="8">
        <f>financials[[#This Row],[Units Sold]]*financials[[#This Row],[Sale Price]]</f>
        <v>230</v>
      </c>
      <c r="H7" s="8">
        <f>IF(financials[[#This Row],[Discount Band]]="low",0.1,IF(financials[[#This Row],[Discount Band]]="medium",0.15,0.3))</f>
        <v>0.1</v>
      </c>
      <c r="I7" s="8">
        <f>financials[[#This Row],[Gross Sales]]-financials[[#This Row],[Gross Sales]]*financials[[#This Row],[Discounts]]</f>
        <v>207</v>
      </c>
      <c r="J7" s="8">
        <f>VLOOKUP(financials[[#This Row],[productid]],Products!$B$2:$H$10,4)</f>
        <v>9.9499999999999993</v>
      </c>
      <c r="K7" s="8">
        <f>financials[[#This Row],[Net Sales]]-financials[[#This Row],[COGS]]</f>
        <v>197.05</v>
      </c>
      <c r="L7" s="15">
        <v>44780</v>
      </c>
      <c r="M7" t="s">
        <v>697</v>
      </c>
    </row>
    <row r="8" spans="1:13" x14ac:dyDescent="0.25">
      <c r="A8" t="s">
        <v>86</v>
      </c>
      <c r="B8" s="6" t="s">
        <v>644</v>
      </c>
      <c r="C8" s="13">
        <v>109</v>
      </c>
      <c r="D8" s="14" t="s">
        <v>83</v>
      </c>
      <c r="E8">
        <v>9</v>
      </c>
      <c r="F8" s="8">
        <f>VLOOKUP(financials[[#This Row],[productid]],Products!$B$2:$H$10,3)</f>
        <v>36</v>
      </c>
      <c r="G8" s="8">
        <f>financials[[#This Row],[Units Sold]]*financials[[#This Row],[Sale Price]]</f>
        <v>324</v>
      </c>
      <c r="H8" s="8">
        <f>IF(financials[[#This Row],[Discount Band]]="low",0.1,IF(financials[[#This Row],[Discount Band]]="medium",0.15,0.3))</f>
        <v>0.3</v>
      </c>
      <c r="I8" s="8">
        <f>financials[[#This Row],[Gross Sales]]-financials[[#This Row],[Gross Sales]]*financials[[#This Row],[Discounts]]</f>
        <v>226.8</v>
      </c>
      <c r="J8" s="8">
        <f>VLOOKUP(financials[[#This Row],[productid]],Products!$B$2:$H$10,4)</f>
        <v>16.8</v>
      </c>
      <c r="K8" s="8">
        <f>financials[[#This Row],[Net Sales]]-financials[[#This Row],[COGS]]</f>
        <v>210</v>
      </c>
      <c r="L8" s="15">
        <v>45189</v>
      </c>
      <c r="M8" t="s">
        <v>691</v>
      </c>
    </row>
    <row r="9" spans="1:13" x14ac:dyDescent="0.25">
      <c r="A9" t="s">
        <v>85</v>
      </c>
      <c r="B9" s="6" t="s">
        <v>644</v>
      </c>
      <c r="C9" s="13">
        <v>109</v>
      </c>
      <c r="D9" s="14" t="s">
        <v>83</v>
      </c>
      <c r="E9">
        <v>5</v>
      </c>
      <c r="F9" s="8">
        <f>VLOOKUP(financials[[#This Row],[productid]],Products!$B$2:$H$10,3)</f>
        <v>36</v>
      </c>
      <c r="G9" s="8">
        <f>financials[[#This Row],[Units Sold]]*financials[[#This Row],[Sale Price]]</f>
        <v>180</v>
      </c>
      <c r="H9" s="8">
        <f>IF(financials[[#This Row],[Discount Band]]="low",0.1,IF(financials[[#This Row],[Discount Band]]="medium",0.15,0.3))</f>
        <v>0.3</v>
      </c>
      <c r="I9" s="8">
        <f>financials[[#This Row],[Gross Sales]]-financials[[#This Row],[Gross Sales]]*financials[[#This Row],[Discounts]]</f>
        <v>126</v>
      </c>
      <c r="J9" s="8">
        <f>VLOOKUP(financials[[#This Row],[productid]],Products!$B$2:$H$10,4)</f>
        <v>16.8</v>
      </c>
      <c r="K9" s="8">
        <f>financials[[#This Row],[Net Sales]]-financials[[#This Row],[COGS]]</f>
        <v>109.2</v>
      </c>
      <c r="L9" s="15">
        <v>44265</v>
      </c>
      <c r="M9" t="s">
        <v>700</v>
      </c>
    </row>
    <row r="10" spans="1:13" x14ac:dyDescent="0.25">
      <c r="A10" t="s">
        <v>86</v>
      </c>
      <c r="B10" s="6" t="s">
        <v>644</v>
      </c>
      <c r="C10" s="13">
        <v>108</v>
      </c>
      <c r="D10" s="14" t="s">
        <v>90</v>
      </c>
      <c r="E10">
        <v>18</v>
      </c>
      <c r="F10" s="8">
        <f>VLOOKUP(financials[[#This Row],[productid]],Products!$B$2:$H$10,3)</f>
        <v>5.5</v>
      </c>
      <c r="G10" s="8">
        <f>financials[[#This Row],[Units Sold]]*financials[[#This Row],[Sale Price]]</f>
        <v>99</v>
      </c>
      <c r="H10" s="8">
        <f>IF(financials[[#This Row],[Discount Band]]="low",0.1,IF(financials[[#This Row],[Discount Band]]="medium",0.15,0.3))</f>
        <v>0.15</v>
      </c>
      <c r="I10" s="8">
        <f>financials[[#This Row],[Gross Sales]]-financials[[#This Row],[Gross Sales]]*financials[[#This Row],[Discounts]]</f>
        <v>84.15</v>
      </c>
      <c r="J10" s="8">
        <f>VLOOKUP(financials[[#This Row],[productid]],Products!$B$2:$H$10,4)</f>
        <v>3.99</v>
      </c>
      <c r="K10" s="8">
        <f>financials[[#This Row],[Net Sales]]-financials[[#This Row],[COGS]]</f>
        <v>80.160000000000011</v>
      </c>
      <c r="L10" s="15">
        <v>44585</v>
      </c>
      <c r="M10" t="s">
        <v>696</v>
      </c>
    </row>
    <row r="11" spans="1:13" x14ac:dyDescent="0.25">
      <c r="A11" t="s">
        <v>86</v>
      </c>
      <c r="B11" s="6" t="s">
        <v>644</v>
      </c>
      <c r="C11" s="13">
        <v>102</v>
      </c>
      <c r="D11" s="14" t="s">
        <v>83</v>
      </c>
      <c r="E11">
        <v>13</v>
      </c>
      <c r="F11" s="8">
        <f>VLOOKUP(financials[[#This Row],[productid]],Products!$B$2:$H$10,3)</f>
        <v>15</v>
      </c>
      <c r="G11" s="8">
        <f>financials[[#This Row],[Units Sold]]*financials[[#This Row],[Sale Price]]</f>
        <v>195</v>
      </c>
      <c r="H11" s="8">
        <f>IF(financials[[#This Row],[Discount Band]]="low",0.1,IF(financials[[#This Row],[Discount Band]]="medium",0.15,0.3))</f>
        <v>0.3</v>
      </c>
      <c r="I11" s="8">
        <f>financials[[#This Row],[Gross Sales]]-financials[[#This Row],[Gross Sales]]*financials[[#This Row],[Discounts]]</f>
        <v>136.5</v>
      </c>
      <c r="J11" s="8">
        <f>VLOOKUP(financials[[#This Row],[productid]],Products!$B$2:$H$10,4)</f>
        <v>13.95</v>
      </c>
      <c r="K11" s="8">
        <f>financials[[#This Row],[Net Sales]]-financials[[#This Row],[COGS]]</f>
        <v>122.55</v>
      </c>
      <c r="L11" s="15">
        <v>44891</v>
      </c>
      <c r="M11" t="s">
        <v>696</v>
      </c>
    </row>
    <row r="12" spans="1:13" x14ac:dyDescent="0.25">
      <c r="A12" t="s">
        <v>89</v>
      </c>
      <c r="B12" s="6" t="s">
        <v>644</v>
      </c>
      <c r="C12" s="13">
        <v>104</v>
      </c>
      <c r="D12" s="14" t="s">
        <v>83</v>
      </c>
      <c r="E12">
        <v>11</v>
      </c>
      <c r="F12" s="8">
        <f>VLOOKUP(financials[[#This Row],[productid]],Products!$B$2:$H$10,3)</f>
        <v>5.9</v>
      </c>
      <c r="G12" s="8">
        <f>financials[[#This Row],[Units Sold]]*financials[[#This Row],[Sale Price]]</f>
        <v>64.900000000000006</v>
      </c>
      <c r="H12" s="8">
        <f>IF(financials[[#This Row],[Discount Band]]="low",0.1,IF(financials[[#This Row],[Discount Band]]="medium",0.15,0.3))</f>
        <v>0.3</v>
      </c>
      <c r="I12" s="8">
        <f>financials[[#This Row],[Gross Sales]]-financials[[#This Row],[Gross Sales]]*financials[[#This Row],[Discounts]]</f>
        <v>45.430000000000007</v>
      </c>
      <c r="J12" s="8">
        <f>VLOOKUP(financials[[#This Row],[productid]],Products!$B$2:$H$10,4)</f>
        <v>2.9</v>
      </c>
      <c r="K12" s="8">
        <f>financials[[#This Row],[Net Sales]]-financials[[#This Row],[COGS]]</f>
        <v>42.530000000000008</v>
      </c>
      <c r="L12" s="15">
        <v>45232</v>
      </c>
      <c r="M12" t="s">
        <v>697</v>
      </c>
    </row>
    <row r="13" spans="1:13" x14ac:dyDescent="0.25">
      <c r="A13" t="s">
        <v>86</v>
      </c>
      <c r="B13" s="6" t="s">
        <v>644</v>
      </c>
      <c r="C13" s="13">
        <v>105</v>
      </c>
      <c r="D13" s="14" t="s">
        <v>83</v>
      </c>
      <c r="E13">
        <v>11</v>
      </c>
      <c r="F13" s="8">
        <f>VLOOKUP(financials[[#This Row],[productid]],Products!$B$2:$H$10,3)</f>
        <v>15</v>
      </c>
      <c r="G13" s="8">
        <f>financials[[#This Row],[Units Sold]]*financials[[#This Row],[Sale Price]]</f>
        <v>165</v>
      </c>
      <c r="H13" s="8">
        <f>IF(financials[[#This Row],[Discount Band]]="low",0.1,IF(financials[[#This Row],[Discount Band]]="medium",0.15,0.3))</f>
        <v>0.3</v>
      </c>
      <c r="I13" s="8">
        <f>financials[[#This Row],[Gross Sales]]-financials[[#This Row],[Gross Sales]]*financials[[#This Row],[Discounts]]</f>
        <v>115.5</v>
      </c>
      <c r="J13" s="8">
        <f>VLOOKUP(financials[[#This Row],[productid]],Products!$B$2:$H$10,4)</f>
        <v>10</v>
      </c>
      <c r="K13" s="8">
        <f>financials[[#This Row],[Net Sales]]-financials[[#This Row],[COGS]]</f>
        <v>105.5</v>
      </c>
      <c r="L13" s="15">
        <v>44040</v>
      </c>
      <c r="M13" t="s">
        <v>697</v>
      </c>
    </row>
    <row r="14" spans="1:13" x14ac:dyDescent="0.25">
      <c r="A14" t="s">
        <v>86</v>
      </c>
      <c r="B14" s="6" t="s">
        <v>644</v>
      </c>
      <c r="C14" s="13">
        <v>108</v>
      </c>
      <c r="D14" s="14" t="s">
        <v>90</v>
      </c>
      <c r="E14">
        <v>18</v>
      </c>
      <c r="F14" s="8">
        <f>VLOOKUP(financials[[#This Row],[productid]],Products!$B$2:$H$10,3)</f>
        <v>5.5</v>
      </c>
      <c r="G14" s="8">
        <f>financials[[#This Row],[Units Sold]]*financials[[#This Row],[Sale Price]]</f>
        <v>99</v>
      </c>
      <c r="H14" s="8">
        <f>IF(financials[[#This Row],[Discount Band]]="low",0.1,IF(financials[[#This Row],[Discount Band]]="medium",0.15,0.3))</f>
        <v>0.15</v>
      </c>
      <c r="I14" s="8">
        <f>financials[[#This Row],[Gross Sales]]-financials[[#This Row],[Gross Sales]]*financials[[#This Row],[Discounts]]</f>
        <v>84.15</v>
      </c>
      <c r="J14" s="8">
        <f>VLOOKUP(financials[[#This Row],[productid]],Products!$B$2:$H$10,4)</f>
        <v>3.99</v>
      </c>
      <c r="K14" s="8">
        <f>financials[[#This Row],[Net Sales]]-financials[[#This Row],[COGS]]</f>
        <v>80.160000000000011</v>
      </c>
      <c r="L14" s="15">
        <v>44511</v>
      </c>
      <c r="M14" t="s">
        <v>697</v>
      </c>
    </row>
    <row r="15" spans="1:13" x14ac:dyDescent="0.25">
      <c r="A15" t="s">
        <v>85</v>
      </c>
      <c r="B15" s="6" t="s">
        <v>644</v>
      </c>
      <c r="C15" s="11">
        <v>102</v>
      </c>
      <c r="D15" s="9" t="s">
        <v>90</v>
      </c>
      <c r="E15">
        <v>15</v>
      </c>
      <c r="F15" s="8">
        <f>VLOOKUP(financials[[#This Row],[productid]],Products!$B$2:$H$10,3)</f>
        <v>15</v>
      </c>
      <c r="G15" s="8">
        <f>financials[[#This Row],[Units Sold]]*financials[[#This Row],[Sale Price]]</f>
        <v>225</v>
      </c>
      <c r="H15" s="8">
        <f>IF(financials[[#This Row],[Discount Band]]="low",0.1,IF(financials[[#This Row],[Discount Band]]="medium",0.15,0.3))</f>
        <v>0.15</v>
      </c>
      <c r="I15" s="8">
        <f>financials[[#This Row],[Gross Sales]]-financials[[#This Row],[Gross Sales]]*financials[[#This Row],[Discounts]]</f>
        <v>191.25</v>
      </c>
      <c r="J15" s="8">
        <f>VLOOKUP(financials[[#This Row],[productid]],Products!$B$2:$H$10,4)</f>
        <v>13.95</v>
      </c>
      <c r="K15" s="8">
        <f>financials[[#This Row],[Net Sales]]-financials[[#This Row],[COGS]]</f>
        <v>177.3</v>
      </c>
      <c r="L15" s="15">
        <v>45179</v>
      </c>
      <c r="M15" t="s">
        <v>690</v>
      </c>
    </row>
    <row r="16" spans="1:13" x14ac:dyDescent="0.25">
      <c r="A16" t="s">
        <v>85</v>
      </c>
      <c r="B16" s="6" t="s">
        <v>644</v>
      </c>
      <c r="C16" s="13">
        <v>109</v>
      </c>
      <c r="D16" s="14" t="s">
        <v>83</v>
      </c>
      <c r="E16">
        <v>20</v>
      </c>
      <c r="F16" s="8">
        <f>VLOOKUP(financials[[#This Row],[productid]],Products!$B$2:$H$10,3)</f>
        <v>36</v>
      </c>
      <c r="G16" s="8">
        <f>financials[[#This Row],[Units Sold]]*financials[[#This Row],[Sale Price]]</f>
        <v>720</v>
      </c>
      <c r="H16" s="8">
        <f>IF(financials[[#This Row],[Discount Band]]="low",0.1,IF(financials[[#This Row],[Discount Band]]="medium",0.15,0.3))</f>
        <v>0.3</v>
      </c>
      <c r="I16" s="8">
        <f>financials[[#This Row],[Gross Sales]]-financials[[#This Row],[Gross Sales]]*financials[[#This Row],[Discounts]]</f>
        <v>504</v>
      </c>
      <c r="J16" s="8">
        <f>VLOOKUP(financials[[#This Row],[productid]],Products!$B$2:$H$10,4)</f>
        <v>16.8</v>
      </c>
      <c r="K16" s="8">
        <f>financials[[#This Row],[Net Sales]]-financials[[#This Row],[COGS]]</f>
        <v>487.2</v>
      </c>
      <c r="L16" s="15">
        <v>44234</v>
      </c>
      <c r="M16" t="s">
        <v>696</v>
      </c>
    </row>
    <row r="17" spans="1:13" x14ac:dyDescent="0.25">
      <c r="A17" t="s">
        <v>86</v>
      </c>
      <c r="B17" s="6" t="s">
        <v>644</v>
      </c>
      <c r="C17" s="13">
        <v>107</v>
      </c>
      <c r="D17" s="14" t="s">
        <v>90</v>
      </c>
      <c r="E17">
        <v>5</v>
      </c>
      <c r="F17" s="8">
        <f>VLOOKUP(financials[[#This Row],[productid]],Products!$B$2:$H$10,3)</f>
        <v>15</v>
      </c>
      <c r="G17" s="8">
        <f>financials[[#This Row],[Units Sold]]*financials[[#This Row],[Sale Price]]</f>
        <v>75</v>
      </c>
      <c r="H17" s="8">
        <f>IF(financials[[#This Row],[Discount Band]]="low",0.1,IF(financials[[#This Row],[Discount Band]]="medium",0.15,0.3))</f>
        <v>0.15</v>
      </c>
      <c r="I17" s="8">
        <f>financials[[#This Row],[Gross Sales]]-financials[[#This Row],[Gross Sales]]*financials[[#This Row],[Discounts]]</f>
        <v>63.75</v>
      </c>
      <c r="J17" s="8">
        <f>VLOOKUP(financials[[#This Row],[productid]],Products!$B$2:$H$10,4)</f>
        <v>5.5</v>
      </c>
      <c r="K17" s="8">
        <f>financials[[#This Row],[Net Sales]]-financials[[#This Row],[COGS]]</f>
        <v>58.25</v>
      </c>
      <c r="L17" s="15">
        <v>44668</v>
      </c>
      <c r="M17" t="s">
        <v>700</v>
      </c>
    </row>
    <row r="18" spans="1:13" x14ac:dyDescent="0.25">
      <c r="A18" t="s">
        <v>86</v>
      </c>
      <c r="B18" s="6" t="s">
        <v>644</v>
      </c>
      <c r="C18" s="13">
        <v>105</v>
      </c>
      <c r="D18" s="14" t="s">
        <v>90</v>
      </c>
      <c r="E18">
        <v>7</v>
      </c>
      <c r="F18" s="8">
        <f>VLOOKUP(financials[[#This Row],[productid]],Products!$B$2:$H$10,3)</f>
        <v>15</v>
      </c>
      <c r="G18" s="8">
        <f>financials[[#This Row],[Units Sold]]*financials[[#This Row],[Sale Price]]</f>
        <v>105</v>
      </c>
      <c r="H18" s="8">
        <f>IF(financials[[#This Row],[Discount Band]]="low",0.1,IF(financials[[#This Row],[Discount Band]]="medium",0.15,0.3))</f>
        <v>0.15</v>
      </c>
      <c r="I18" s="8">
        <f>financials[[#This Row],[Gross Sales]]-financials[[#This Row],[Gross Sales]]*financials[[#This Row],[Discounts]]</f>
        <v>89.25</v>
      </c>
      <c r="J18" s="8">
        <f>VLOOKUP(financials[[#This Row],[productid]],Products!$B$2:$H$10,4)</f>
        <v>10</v>
      </c>
      <c r="K18" s="8">
        <f>financials[[#This Row],[Net Sales]]-financials[[#This Row],[COGS]]</f>
        <v>79.25</v>
      </c>
      <c r="L18" s="15">
        <v>45067</v>
      </c>
      <c r="M18" t="s">
        <v>697</v>
      </c>
    </row>
    <row r="19" spans="1:13" x14ac:dyDescent="0.25">
      <c r="A19" t="s">
        <v>86</v>
      </c>
      <c r="B19" s="6" t="s">
        <v>644</v>
      </c>
      <c r="C19" s="13">
        <v>102</v>
      </c>
      <c r="D19" s="14" t="s">
        <v>83</v>
      </c>
      <c r="E19">
        <v>5</v>
      </c>
      <c r="F19" s="8">
        <f>VLOOKUP(financials[[#This Row],[productid]],Products!$B$2:$H$10,3)</f>
        <v>15</v>
      </c>
      <c r="G19" s="8">
        <f>financials[[#This Row],[Units Sold]]*financials[[#This Row],[Sale Price]]</f>
        <v>75</v>
      </c>
      <c r="H19" s="8">
        <f>IF(financials[[#This Row],[Discount Band]]="low",0.1,IF(financials[[#This Row],[Discount Band]]="medium",0.15,0.3))</f>
        <v>0.3</v>
      </c>
      <c r="I19" s="8">
        <f>financials[[#This Row],[Gross Sales]]-financials[[#This Row],[Gross Sales]]*financials[[#This Row],[Discounts]]</f>
        <v>52.5</v>
      </c>
      <c r="J19" s="8">
        <f>VLOOKUP(financials[[#This Row],[productid]],Products!$B$2:$H$10,4)</f>
        <v>13.95</v>
      </c>
      <c r="K19" s="8">
        <f>financials[[#This Row],[Net Sales]]-financials[[#This Row],[COGS]]</f>
        <v>38.549999999999997</v>
      </c>
      <c r="L19" s="15">
        <v>44953</v>
      </c>
      <c r="M19" t="s">
        <v>700</v>
      </c>
    </row>
    <row r="20" spans="1:13" x14ac:dyDescent="0.25">
      <c r="A20" t="s">
        <v>85</v>
      </c>
      <c r="B20" s="6" t="s">
        <v>644</v>
      </c>
      <c r="C20" s="13">
        <v>108</v>
      </c>
      <c r="D20" s="14" t="s">
        <v>83</v>
      </c>
      <c r="E20">
        <v>15</v>
      </c>
      <c r="F20" s="8">
        <f>VLOOKUP(financials[[#This Row],[productid]],Products!$B$2:$H$10,3)</f>
        <v>5.5</v>
      </c>
      <c r="G20" s="8">
        <f>financials[[#This Row],[Units Sold]]*financials[[#This Row],[Sale Price]]</f>
        <v>82.5</v>
      </c>
      <c r="H20" s="8">
        <f>IF(financials[[#This Row],[Discount Band]]="low",0.1,IF(financials[[#This Row],[Discount Band]]="medium",0.15,0.3))</f>
        <v>0.3</v>
      </c>
      <c r="I20" s="8">
        <f>financials[[#This Row],[Gross Sales]]-financials[[#This Row],[Gross Sales]]*financials[[#This Row],[Discounts]]</f>
        <v>57.75</v>
      </c>
      <c r="J20" s="8">
        <f>VLOOKUP(financials[[#This Row],[productid]],Products!$B$2:$H$10,4)</f>
        <v>3.99</v>
      </c>
      <c r="K20" s="8">
        <f>financials[[#This Row],[Net Sales]]-financials[[#This Row],[COGS]]</f>
        <v>53.76</v>
      </c>
      <c r="L20" s="15">
        <v>45228</v>
      </c>
      <c r="M20" t="s">
        <v>690</v>
      </c>
    </row>
    <row r="21" spans="1:13" x14ac:dyDescent="0.25">
      <c r="A21" t="s">
        <v>85</v>
      </c>
      <c r="B21" s="6" t="s">
        <v>644</v>
      </c>
      <c r="C21" s="13">
        <v>104</v>
      </c>
      <c r="D21" s="14" t="s">
        <v>90</v>
      </c>
      <c r="E21">
        <v>20</v>
      </c>
      <c r="F21" s="8">
        <f>VLOOKUP(financials[[#This Row],[productid]],Products!$B$2:$H$10,3)</f>
        <v>5.9</v>
      </c>
      <c r="G21" s="8">
        <f>financials[[#This Row],[Units Sold]]*financials[[#This Row],[Sale Price]]</f>
        <v>118</v>
      </c>
      <c r="H21" s="8">
        <f>IF(financials[[#This Row],[Discount Band]]="low",0.1,IF(financials[[#This Row],[Discount Band]]="medium",0.15,0.3))</f>
        <v>0.15</v>
      </c>
      <c r="I21" s="8">
        <f>financials[[#This Row],[Gross Sales]]-financials[[#This Row],[Gross Sales]]*financials[[#This Row],[Discounts]]</f>
        <v>100.3</v>
      </c>
      <c r="J21" s="8">
        <f>VLOOKUP(financials[[#This Row],[productid]],Products!$B$2:$H$10,4)</f>
        <v>2.9</v>
      </c>
      <c r="K21" s="8">
        <f>financials[[#This Row],[Net Sales]]-financials[[#This Row],[COGS]]</f>
        <v>97.399999999999991</v>
      </c>
      <c r="L21" s="15">
        <v>44769</v>
      </c>
      <c r="M21" t="s">
        <v>697</v>
      </c>
    </row>
    <row r="22" spans="1:13" x14ac:dyDescent="0.25">
      <c r="A22" t="s">
        <v>86</v>
      </c>
      <c r="B22" s="6" t="s">
        <v>644</v>
      </c>
      <c r="C22" s="11">
        <v>105</v>
      </c>
      <c r="D22" s="9" t="s">
        <v>90</v>
      </c>
      <c r="E22">
        <v>11</v>
      </c>
      <c r="F22" s="8">
        <f>VLOOKUP(financials[[#This Row],[productid]],Products!$B$2:$H$10,3)</f>
        <v>15</v>
      </c>
      <c r="G22" s="8">
        <f>financials[[#This Row],[Units Sold]]*financials[[#This Row],[Sale Price]]</f>
        <v>165</v>
      </c>
      <c r="H22" s="8">
        <f>IF(financials[[#This Row],[Discount Band]]="low",0.1,IF(financials[[#This Row],[Discount Band]]="medium",0.15,0.3))</f>
        <v>0.15</v>
      </c>
      <c r="I22" s="8">
        <f>financials[[#This Row],[Gross Sales]]-financials[[#This Row],[Gross Sales]]*financials[[#This Row],[Discounts]]</f>
        <v>140.25</v>
      </c>
      <c r="J22" s="8">
        <f>VLOOKUP(financials[[#This Row],[productid]],Products!$B$2:$H$10,4)</f>
        <v>10</v>
      </c>
      <c r="K22" s="8">
        <f>financials[[#This Row],[Net Sales]]-financials[[#This Row],[COGS]]</f>
        <v>130.25</v>
      </c>
      <c r="L22" s="15">
        <v>44705</v>
      </c>
      <c r="M22" t="s">
        <v>700</v>
      </c>
    </row>
    <row r="23" spans="1:13" x14ac:dyDescent="0.25">
      <c r="A23" t="s">
        <v>86</v>
      </c>
      <c r="B23" s="6" t="s">
        <v>644</v>
      </c>
      <c r="C23" s="13">
        <v>106</v>
      </c>
      <c r="D23" s="14" t="s">
        <v>83</v>
      </c>
      <c r="E23">
        <v>15</v>
      </c>
      <c r="F23" s="8">
        <f>VLOOKUP(financials[[#This Row],[productid]],Products!$B$2:$H$10,3)</f>
        <v>25</v>
      </c>
      <c r="G23" s="8">
        <f>financials[[#This Row],[Units Sold]]*financials[[#This Row],[Sale Price]]</f>
        <v>375</v>
      </c>
      <c r="H23" s="8">
        <f>IF(financials[[#This Row],[Discount Band]]="low",0.1,IF(financials[[#This Row],[Discount Band]]="medium",0.15,0.3))</f>
        <v>0.3</v>
      </c>
      <c r="I23" s="8">
        <f>financials[[#This Row],[Gross Sales]]-financials[[#This Row],[Gross Sales]]*financials[[#This Row],[Discounts]]</f>
        <v>262.5</v>
      </c>
      <c r="J23" s="8">
        <f>VLOOKUP(financials[[#This Row],[productid]],Products!$B$2:$H$10,4)</f>
        <v>9.1</v>
      </c>
      <c r="K23" s="8">
        <f>financials[[#This Row],[Net Sales]]-financials[[#This Row],[COGS]]</f>
        <v>253.4</v>
      </c>
      <c r="L23" s="15">
        <v>43875</v>
      </c>
      <c r="M23" t="s">
        <v>696</v>
      </c>
    </row>
    <row r="24" spans="1:13" x14ac:dyDescent="0.25">
      <c r="A24" t="s">
        <v>86</v>
      </c>
      <c r="B24" s="6" t="s">
        <v>266</v>
      </c>
      <c r="C24" s="13">
        <v>102</v>
      </c>
      <c r="D24" s="14" t="s">
        <v>92</v>
      </c>
      <c r="E24">
        <v>7</v>
      </c>
      <c r="F24" s="8">
        <f>VLOOKUP(financials[[#This Row],[productid]],Products!$B$2:$H$10,3)</f>
        <v>15</v>
      </c>
      <c r="G24" s="8">
        <f>financials[[#This Row],[Units Sold]]*financials[[#This Row],[Sale Price]]</f>
        <v>105</v>
      </c>
      <c r="H24" s="8">
        <f>IF(financials[[#This Row],[Discount Band]]="low",0.1,IF(financials[[#This Row],[Discount Band]]="medium",0.15,0.3))</f>
        <v>0.3</v>
      </c>
      <c r="I24" s="8">
        <f>financials[[#This Row],[Gross Sales]]-financials[[#This Row],[Gross Sales]]*financials[[#This Row],[Discounts]]</f>
        <v>73.5</v>
      </c>
      <c r="J24" s="8">
        <f>VLOOKUP(financials[[#This Row],[productid]],Products!$B$2:$H$10,4)</f>
        <v>13.95</v>
      </c>
      <c r="K24" s="8">
        <f>financials[[#This Row],[Net Sales]]-financials[[#This Row],[COGS]]</f>
        <v>59.55</v>
      </c>
      <c r="L24" s="15">
        <v>45140</v>
      </c>
      <c r="M24" t="s">
        <v>696</v>
      </c>
    </row>
    <row r="25" spans="1:13" x14ac:dyDescent="0.25">
      <c r="A25" t="s">
        <v>86</v>
      </c>
      <c r="B25" s="6" t="s">
        <v>545</v>
      </c>
      <c r="C25" s="13">
        <v>107</v>
      </c>
      <c r="D25" s="14" t="s">
        <v>83</v>
      </c>
      <c r="E25">
        <v>14</v>
      </c>
      <c r="F25" s="8">
        <f>VLOOKUP(financials[[#This Row],[productid]],Products!$B$2:$H$10,3)</f>
        <v>15</v>
      </c>
      <c r="G25" s="8">
        <f>financials[[#This Row],[Units Sold]]*financials[[#This Row],[Sale Price]]</f>
        <v>210</v>
      </c>
      <c r="H25" s="8">
        <f>IF(financials[[#This Row],[Discount Band]]="low",0.1,IF(financials[[#This Row],[Discount Band]]="medium",0.15,0.3))</f>
        <v>0.3</v>
      </c>
      <c r="I25" s="8">
        <f>financials[[#This Row],[Gross Sales]]-financials[[#This Row],[Gross Sales]]*financials[[#This Row],[Discounts]]</f>
        <v>147</v>
      </c>
      <c r="J25" s="8">
        <f>VLOOKUP(financials[[#This Row],[productid]],Products!$B$2:$H$10,4)</f>
        <v>5.5</v>
      </c>
      <c r="K25" s="8">
        <f>financials[[#This Row],[Net Sales]]-financials[[#This Row],[COGS]]</f>
        <v>141.5</v>
      </c>
      <c r="L25" s="15">
        <v>45652</v>
      </c>
      <c r="M25" t="s">
        <v>700</v>
      </c>
    </row>
    <row r="26" spans="1:13" x14ac:dyDescent="0.25">
      <c r="A26" t="s">
        <v>86</v>
      </c>
      <c r="B26" s="6" t="s">
        <v>644</v>
      </c>
      <c r="C26" s="13">
        <v>109</v>
      </c>
      <c r="D26" s="14" t="s">
        <v>91</v>
      </c>
      <c r="E26">
        <v>13</v>
      </c>
      <c r="F26" s="8">
        <f>VLOOKUP(financials[[#This Row],[productid]],Products!$B$2:$H$10,3)</f>
        <v>36</v>
      </c>
      <c r="G26" s="8">
        <f>financials[[#This Row],[Units Sold]]*financials[[#This Row],[Sale Price]]</f>
        <v>468</v>
      </c>
      <c r="H26" s="8">
        <f>IF(financials[[#This Row],[Discount Band]]="low",0.1,IF(financials[[#This Row],[Discount Band]]="medium",0.15,0.3))</f>
        <v>0.1</v>
      </c>
      <c r="I26" s="8">
        <f>financials[[#This Row],[Gross Sales]]-financials[[#This Row],[Gross Sales]]*financials[[#This Row],[Discounts]]</f>
        <v>421.2</v>
      </c>
      <c r="J26" s="8">
        <f>VLOOKUP(financials[[#This Row],[productid]],Products!$B$2:$H$10,4)</f>
        <v>16.8</v>
      </c>
      <c r="K26" s="8">
        <f>financials[[#This Row],[Net Sales]]-financials[[#This Row],[COGS]]</f>
        <v>404.4</v>
      </c>
      <c r="L26" s="15">
        <v>45239</v>
      </c>
      <c r="M26" t="s">
        <v>696</v>
      </c>
    </row>
    <row r="27" spans="1:13" x14ac:dyDescent="0.25">
      <c r="A27" t="s">
        <v>86</v>
      </c>
      <c r="B27" s="6" t="s">
        <v>644</v>
      </c>
      <c r="C27" s="13">
        <v>108</v>
      </c>
      <c r="D27" s="14" t="s">
        <v>90</v>
      </c>
      <c r="E27">
        <v>8</v>
      </c>
      <c r="F27" s="8">
        <f>VLOOKUP(financials[[#This Row],[productid]],Products!$B$2:$H$10,3)</f>
        <v>5.5</v>
      </c>
      <c r="G27" s="8">
        <f>financials[[#This Row],[Units Sold]]*financials[[#This Row],[Sale Price]]</f>
        <v>44</v>
      </c>
      <c r="H27" s="8">
        <f>IF(financials[[#This Row],[Discount Band]]="low",0.1,IF(financials[[#This Row],[Discount Band]]="medium",0.15,0.3))</f>
        <v>0.15</v>
      </c>
      <c r="I27" s="8">
        <f>financials[[#This Row],[Gross Sales]]-financials[[#This Row],[Gross Sales]]*financials[[#This Row],[Discounts]]</f>
        <v>37.4</v>
      </c>
      <c r="J27" s="8">
        <f>VLOOKUP(financials[[#This Row],[productid]],Products!$B$2:$H$10,4)</f>
        <v>3.99</v>
      </c>
      <c r="K27" s="8">
        <f>financials[[#This Row],[Net Sales]]-financials[[#This Row],[COGS]]</f>
        <v>33.409999999999997</v>
      </c>
      <c r="L27" s="15">
        <v>44020</v>
      </c>
      <c r="M27" t="s">
        <v>700</v>
      </c>
    </row>
    <row r="28" spans="1:13" x14ac:dyDescent="0.25">
      <c r="A28" t="s">
        <v>86</v>
      </c>
      <c r="B28" s="6" t="s">
        <v>545</v>
      </c>
      <c r="C28" s="13">
        <v>109</v>
      </c>
      <c r="D28" s="14" t="s">
        <v>90</v>
      </c>
      <c r="E28">
        <v>13</v>
      </c>
      <c r="F28" s="8">
        <f>VLOOKUP(financials[[#This Row],[productid]],Products!$B$2:$H$10,3)</f>
        <v>36</v>
      </c>
      <c r="G28" s="8">
        <f>financials[[#This Row],[Units Sold]]*financials[[#This Row],[Sale Price]]</f>
        <v>468</v>
      </c>
      <c r="H28" s="8">
        <f>IF(financials[[#This Row],[Discount Band]]="low",0.1,IF(financials[[#This Row],[Discount Band]]="medium",0.15,0.3))</f>
        <v>0.15</v>
      </c>
      <c r="I28" s="8">
        <f>financials[[#This Row],[Gross Sales]]-financials[[#This Row],[Gross Sales]]*financials[[#This Row],[Discounts]]</f>
        <v>397.8</v>
      </c>
      <c r="J28" s="8">
        <f>VLOOKUP(financials[[#This Row],[productid]],Products!$B$2:$H$10,4)</f>
        <v>16.8</v>
      </c>
      <c r="K28" s="8">
        <f>financials[[#This Row],[Net Sales]]-financials[[#This Row],[COGS]]</f>
        <v>381</v>
      </c>
      <c r="L28" s="15">
        <v>44210</v>
      </c>
      <c r="M28" t="s">
        <v>700</v>
      </c>
    </row>
    <row r="29" spans="1:13" x14ac:dyDescent="0.25">
      <c r="A29" t="s">
        <v>85</v>
      </c>
      <c r="B29" s="6" t="s">
        <v>545</v>
      </c>
      <c r="C29" s="11">
        <v>104</v>
      </c>
      <c r="D29" s="9" t="s">
        <v>83</v>
      </c>
      <c r="E29">
        <v>15</v>
      </c>
      <c r="F29" s="8">
        <f>VLOOKUP(financials[[#This Row],[productid]],Products!$B$2:$H$10,3)</f>
        <v>5.9</v>
      </c>
      <c r="G29" s="8">
        <f>financials[[#This Row],[Units Sold]]*financials[[#This Row],[Sale Price]]</f>
        <v>88.5</v>
      </c>
      <c r="H29" s="8">
        <f>IF(financials[[#This Row],[Discount Band]]="low",0.1,IF(financials[[#This Row],[Discount Band]]="medium",0.15,0.3))</f>
        <v>0.3</v>
      </c>
      <c r="I29" s="8">
        <f>financials[[#This Row],[Gross Sales]]-financials[[#This Row],[Gross Sales]]*financials[[#This Row],[Discounts]]</f>
        <v>61.95</v>
      </c>
      <c r="J29" s="8">
        <f>VLOOKUP(financials[[#This Row],[productid]],Products!$B$2:$H$10,4)</f>
        <v>2.9</v>
      </c>
      <c r="K29" s="8">
        <f>financials[[#This Row],[Net Sales]]-financials[[#This Row],[COGS]]</f>
        <v>59.050000000000004</v>
      </c>
      <c r="L29" s="15">
        <v>45356</v>
      </c>
      <c r="M29" t="s">
        <v>697</v>
      </c>
    </row>
    <row r="30" spans="1:13" x14ac:dyDescent="0.25">
      <c r="A30" t="s">
        <v>86</v>
      </c>
      <c r="B30" s="6" t="s">
        <v>266</v>
      </c>
      <c r="C30" s="13">
        <v>102</v>
      </c>
      <c r="D30" s="14" t="s">
        <v>83</v>
      </c>
      <c r="E30">
        <v>6</v>
      </c>
      <c r="F30" s="8">
        <f>VLOOKUP(financials[[#This Row],[productid]],Products!$B$2:$H$10,3)</f>
        <v>15</v>
      </c>
      <c r="G30" s="8">
        <f>financials[[#This Row],[Units Sold]]*financials[[#This Row],[Sale Price]]</f>
        <v>90</v>
      </c>
      <c r="H30" s="8">
        <f>IF(financials[[#This Row],[Discount Band]]="low",0.1,IF(financials[[#This Row],[Discount Band]]="medium",0.15,0.3))</f>
        <v>0.3</v>
      </c>
      <c r="I30" s="8">
        <f>financials[[#This Row],[Gross Sales]]-financials[[#This Row],[Gross Sales]]*financials[[#This Row],[Discounts]]</f>
        <v>63</v>
      </c>
      <c r="J30" s="8">
        <f>VLOOKUP(financials[[#This Row],[productid]],Products!$B$2:$H$10,4)</f>
        <v>13.95</v>
      </c>
      <c r="K30" s="8">
        <f>financials[[#This Row],[Net Sales]]-financials[[#This Row],[COGS]]</f>
        <v>49.05</v>
      </c>
      <c r="L30" s="15">
        <v>44449</v>
      </c>
      <c r="M30" t="s">
        <v>696</v>
      </c>
    </row>
    <row r="31" spans="1:13" x14ac:dyDescent="0.25">
      <c r="A31" t="s">
        <v>86</v>
      </c>
      <c r="B31" s="6" t="s">
        <v>644</v>
      </c>
      <c r="C31" s="13">
        <v>109</v>
      </c>
      <c r="D31" s="14" t="s">
        <v>83</v>
      </c>
      <c r="E31">
        <v>7</v>
      </c>
      <c r="F31" s="8">
        <f>VLOOKUP(financials[[#This Row],[productid]],Products!$B$2:$H$10,3)</f>
        <v>36</v>
      </c>
      <c r="G31" s="8">
        <f>financials[[#This Row],[Units Sold]]*financials[[#This Row],[Sale Price]]</f>
        <v>252</v>
      </c>
      <c r="H31" s="8">
        <f>IF(financials[[#This Row],[Discount Band]]="low",0.1,IF(financials[[#This Row],[Discount Band]]="medium",0.15,0.3))</f>
        <v>0.3</v>
      </c>
      <c r="I31" s="8">
        <f>financials[[#This Row],[Gross Sales]]-financials[[#This Row],[Gross Sales]]*financials[[#This Row],[Discounts]]</f>
        <v>176.4</v>
      </c>
      <c r="J31" s="8">
        <f>VLOOKUP(financials[[#This Row],[productid]],Products!$B$2:$H$10,4)</f>
        <v>16.8</v>
      </c>
      <c r="K31" s="8">
        <f>financials[[#This Row],[Net Sales]]-financials[[#This Row],[COGS]]</f>
        <v>159.6</v>
      </c>
      <c r="L31" s="15">
        <v>43856</v>
      </c>
      <c r="M31" t="s">
        <v>690</v>
      </c>
    </row>
    <row r="32" spans="1:13" x14ac:dyDescent="0.25">
      <c r="A32" t="s">
        <v>86</v>
      </c>
      <c r="B32" s="6" t="s">
        <v>266</v>
      </c>
      <c r="C32" s="13">
        <v>104</v>
      </c>
      <c r="D32" s="14" t="s">
        <v>90</v>
      </c>
      <c r="E32">
        <v>11</v>
      </c>
      <c r="F32" s="8">
        <f>VLOOKUP(financials[[#This Row],[productid]],Products!$B$2:$H$10,3)</f>
        <v>5.9</v>
      </c>
      <c r="G32" s="8">
        <f>financials[[#This Row],[Units Sold]]*financials[[#This Row],[Sale Price]]</f>
        <v>64.900000000000006</v>
      </c>
      <c r="H32" s="8">
        <f>IF(financials[[#This Row],[Discount Band]]="low",0.1,IF(financials[[#This Row],[Discount Band]]="medium",0.15,0.3))</f>
        <v>0.15</v>
      </c>
      <c r="I32" s="8">
        <f>financials[[#This Row],[Gross Sales]]-financials[[#This Row],[Gross Sales]]*financials[[#This Row],[Discounts]]</f>
        <v>55.165000000000006</v>
      </c>
      <c r="J32" s="8">
        <f>VLOOKUP(financials[[#This Row],[productid]],Products!$B$2:$H$10,4)</f>
        <v>2.9</v>
      </c>
      <c r="K32" s="8">
        <f>financials[[#This Row],[Net Sales]]-financials[[#This Row],[COGS]]</f>
        <v>52.265000000000008</v>
      </c>
      <c r="L32" s="15">
        <v>44757</v>
      </c>
      <c r="M32" t="s">
        <v>691</v>
      </c>
    </row>
    <row r="33" spans="1:13" x14ac:dyDescent="0.25">
      <c r="A33" t="s">
        <v>86</v>
      </c>
      <c r="B33" s="6" t="s">
        <v>644</v>
      </c>
      <c r="C33" s="11">
        <v>104</v>
      </c>
      <c r="D33" s="9" t="s">
        <v>90</v>
      </c>
      <c r="E33">
        <v>5</v>
      </c>
      <c r="F33" s="8">
        <f>VLOOKUP(financials[[#This Row],[productid]],Products!$B$2:$H$10,3)</f>
        <v>5.9</v>
      </c>
      <c r="G33" s="8">
        <f>financials[[#This Row],[Units Sold]]*financials[[#This Row],[Sale Price]]</f>
        <v>29.5</v>
      </c>
      <c r="H33" s="8">
        <f>IF(financials[[#This Row],[Discount Band]]="low",0.1,IF(financials[[#This Row],[Discount Band]]="medium",0.15,0.3))</f>
        <v>0.15</v>
      </c>
      <c r="I33" s="8">
        <f>financials[[#This Row],[Gross Sales]]-financials[[#This Row],[Gross Sales]]*financials[[#This Row],[Discounts]]</f>
        <v>25.074999999999999</v>
      </c>
      <c r="J33" s="8">
        <f>VLOOKUP(financials[[#This Row],[productid]],Products!$B$2:$H$10,4)</f>
        <v>2.9</v>
      </c>
      <c r="K33" s="8">
        <f>financials[[#This Row],[Net Sales]]-financials[[#This Row],[COGS]]</f>
        <v>22.175000000000001</v>
      </c>
      <c r="L33" s="15">
        <v>45381</v>
      </c>
      <c r="M33" t="s">
        <v>696</v>
      </c>
    </row>
    <row r="34" spans="1:13" x14ac:dyDescent="0.25">
      <c r="A34" t="s">
        <v>86</v>
      </c>
      <c r="B34" s="6" t="s">
        <v>644</v>
      </c>
      <c r="C34" s="13">
        <v>103</v>
      </c>
      <c r="D34" s="14" t="s">
        <v>90</v>
      </c>
      <c r="E34">
        <v>18</v>
      </c>
      <c r="F34" s="8">
        <f>VLOOKUP(financials[[#This Row],[productid]],Products!$B$2:$H$10,3)</f>
        <v>28</v>
      </c>
      <c r="G34" s="8">
        <f>financials[[#This Row],[Units Sold]]*financials[[#This Row],[Sale Price]]</f>
        <v>504</v>
      </c>
      <c r="H34" s="8">
        <f>IF(financials[[#This Row],[Discount Band]]="low",0.1,IF(financials[[#This Row],[Discount Band]]="medium",0.15,0.3))</f>
        <v>0.15</v>
      </c>
      <c r="I34" s="8">
        <f>financials[[#This Row],[Gross Sales]]-financials[[#This Row],[Gross Sales]]*financials[[#This Row],[Discounts]]</f>
        <v>428.4</v>
      </c>
      <c r="J34" s="8">
        <f>VLOOKUP(financials[[#This Row],[productid]],Products!$B$2:$H$10,4)</f>
        <v>15</v>
      </c>
      <c r="K34" s="8">
        <f>financials[[#This Row],[Net Sales]]-financials[[#This Row],[COGS]]</f>
        <v>413.4</v>
      </c>
      <c r="L34" s="15">
        <v>45120</v>
      </c>
      <c r="M34" t="s">
        <v>697</v>
      </c>
    </row>
    <row r="35" spans="1:13" x14ac:dyDescent="0.25">
      <c r="A35" t="s">
        <v>86</v>
      </c>
      <c r="B35" s="6" t="s">
        <v>266</v>
      </c>
      <c r="C35" s="13">
        <v>105</v>
      </c>
      <c r="D35" s="14" t="s">
        <v>90</v>
      </c>
      <c r="E35">
        <v>8</v>
      </c>
      <c r="F35" s="8">
        <f>VLOOKUP(financials[[#This Row],[productid]],Products!$B$2:$H$10,3)</f>
        <v>15</v>
      </c>
      <c r="G35" s="8">
        <f>financials[[#This Row],[Units Sold]]*financials[[#This Row],[Sale Price]]</f>
        <v>120</v>
      </c>
      <c r="H35" s="8">
        <f>IF(financials[[#This Row],[Discount Band]]="low",0.1,IF(financials[[#This Row],[Discount Band]]="medium",0.15,0.3))</f>
        <v>0.15</v>
      </c>
      <c r="I35" s="8">
        <f>financials[[#This Row],[Gross Sales]]-financials[[#This Row],[Gross Sales]]*financials[[#This Row],[Discounts]]</f>
        <v>102</v>
      </c>
      <c r="J35" s="8">
        <f>VLOOKUP(financials[[#This Row],[productid]],Products!$B$2:$H$10,4)</f>
        <v>10</v>
      </c>
      <c r="K35" s="8">
        <f>financials[[#This Row],[Net Sales]]-financials[[#This Row],[COGS]]</f>
        <v>92</v>
      </c>
      <c r="L35" s="15">
        <v>44711</v>
      </c>
      <c r="M35" t="s">
        <v>691</v>
      </c>
    </row>
    <row r="36" spans="1:13" x14ac:dyDescent="0.25">
      <c r="A36" t="s">
        <v>89</v>
      </c>
      <c r="B36" s="6" t="s">
        <v>545</v>
      </c>
      <c r="C36" s="13">
        <v>103</v>
      </c>
      <c r="D36" s="14" t="s">
        <v>91</v>
      </c>
      <c r="E36">
        <v>17</v>
      </c>
      <c r="F36" s="8">
        <f>VLOOKUP(financials[[#This Row],[productid]],Products!$B$2:$H$10,3)</f>
        <v>28</v>
      </c>
      <c r="G36" s="8">
        <f>financials[[#This Row],[Units Sold]]*financials[[#This Row],[Sale Price]]</f>
        <v>476</v>
      </c>
      <c r="H36" s="8">
        <f>IF(financials[[#This Row],[Discount Band]]="low",0.1,IF(financials[[#This Row],[Discount Band]]="medium",0.15,0.3))</f>
        <v>0.1</v>
      </c>
      <c r="I36" s="8">
        <f>financials[[#This Row],[Gross Sales]]-financials[[#This Row],[Gross Sales]]*financials[[#This Row],[Discounts]]</f>
        <v>428.4</v>
      </c>
      <c r="J36" s="8">
        <f>VLOOKUP(financials[[#This Row],[productid]],Products!$B$2:$H$10,4)</f>
        <v>15</v>
      </c>
      <c r="K36" s="8">
        <f>financials[[#This Row],[Net Sales]]-financials[[#This Row],[COGS]]</f>
        <v>413.4</v>
      </c>
      <c r="L36" s="15">
        <v>44971</v>
      </c>
      <c r="M36" t="s">
        <v>691</v>
      </c>
    </row>
    <row r="37" spans="1:13" x14ac:dyDescent="0.25">
      <c r="A37" t="s">
        <v>85</v>
      </c>
      <c r="B37" s="6" t="s">
        <v>644</v>
      </c>
      <c r="C37" s="11">
        <v>105</v>
      </c>
      <c r="D37" s="9" t="s">
        <v>90</v>
      </c>
      <c r="E37">
        <v>12</v>
      </c>
      <c r="F37" s="8">
        <f>VLOOKUP(financials[[#This Row],[productid]],Products!$B$2:$H$10,3)</f>
        <v>15</v>
      </c>
      <c r="G37" s="8">
        <f>financials[[#This Row],[Units Sold]]*financials[[#This Row],[Sale Price]]</f>
        <v>180</v>
      </c>
      <c r="H37" s="8">
        <f>IF(financials[[#This Row],[Discount Band]]="low",0.1,IF(financials[[#This Row],[Discount Band]]="medium",0.15,0.3))</f>
        <v>0.15</v>
      </c>
      <c r="I37" s="8">
        <f>financials[[#This Row],[Gross Sales]]-financials[[#This Row],[Gross Sales]]*financials[[#This Row],[Discounts]]</f>
        <v>153</v>
      </c>
      <c r="J37" s="8">
        <f>VLOOKUP(financials[[#This Row],[productid]],Products!$B$2:$H$10,4)</f>
        <v>10</v>
      </c>
      <c r="K37" s="8">
        <f>financials[[#This Row],[Net Sales]]-financials[[#This Row],[COGS]]</f>
        <v>143</v>
      </c>
      <c r="L37" s="15">
        <v>45151</v>
      </c>
      <c r="M37" t="s">
        <v>691</v>
      </c>
    </row>
    <row r="38" spans="1:13" x14ac:dyDescent="0.25">
      <c r="A38" t="s">
        <v>89</v>
      </c>
      <c r="B38" s="6" t="s">
        <v>644</v>
      </c>
      <c r="C38" s="13">
        <v>102</v>
      </c>
      <c r="D38" s="14" t="s">
        <v>92</v>
      </c>
      <c r="E38">
        <v>6</v>
      </c>
      <c r="F38" s="8">
        <f>VLOOKUP(financials[[#This Row],[productid]],Products!$B$2:$H$10,3)</f>
        <v>15</v>
      </c>
      <c r="G38" s="8">
        <f>financials[[#This Row],[Units Sold]]*financials[[#This Row],[Sale Price]]</f>
        <v>90</v>
      </c>
      <c r="H38" s="8">
        <f>IF(financials[[#This Row],[Discount Band]]="low",0.1,IF(financials[[#This Row],[Discount Band]]="medium",0.15,0.3))</f>
        <v>0.3</v>
      </c>
      <c r="I38" s="8">
        <f>financials[[#This Row],[Gross Sales]]-financials[[#This Row],[Gross Sales]]*financials[[#This Row],[Discounts]]</f>
        <v>63</v>
      </c>
      <c r="J38" s="8">
        <f>VLOOKUP(financials[[#This Row],[productid]],Products!$B$2:$H$10,4)</f>
        <v>13.95</v>
      </c>
      <c r="K38" s="8">
        <f>financials[[#This Row],[Net Sales]]-financials[[#This Row],[COGS]]</f>
        <v>49.05</v>
      </c>
      <c r="L38" s="15">
        <v>43937</v>
      </c>
      <c r="M38" t="s">
        <v>691</v>
      </c>
    </row>
    <row r="39" spans="1:13" x14ac:dyDescent="0.25">
      <c r="A39" t="s">
        <v>89</v>
      </c>
      <c r="B39" s="6" t="s">
        <v>644</v>
      </c>
      <c r="C39" s="13">
        <v>105</v>
      </c>
      <c r="D39" s="14" t="s">
        <v>91</v>
      </c>
      <c r="E39">
        <v>7</v>
      </c>
      <c r="F39" s="8">
        <f>VLOOKUP(financials[[#This Row],[productid]],Products!$B$2:$H$10,3)</f>
        <v>15</v>
      </c>
      <c r="G39" s="8">
        <f>financials[[#This Row],[Units Sold]]*financials[[#This Row],[Sale Price]]</f>
        <v>105</v>
      </c>
      <c r="H39" s="8">
        <f>IF(financials[[#This Row],[Discount Band]]="low",0.1,IF(financials[[#This Row],[Discount Band]]="medium",0.15,0.3))</f>
        <v>0.1</v>
      </c>
      <c r="I39" s="8">
        <f>financials[[#This Row],[Gross Sales]]-financials[[#This Row],[Gross Sales]]*financials[[#This Row],[Discounts]]</f>
        <v>94.5</v>
      </c>
      <c r="J39" s="8">
        <f>VLOOKUP(financials[[#This Row],[productid]],Products!$B$2:$H$10,4)</f>
        <v>10</v>
      </c>
      <c r="K39" s="8">
        <f>financials[[#This Row],[Net Sales]]-financials[[#This Row],[COGS]]</f>
        <v>84.5</v>
      </c>
      <c r="L39" s="15">
        <v>44115</v>
      </c>
      <c r="M39" t="s">
        <v>696</v>
      </c>
    </row>
    <row r="40" spans="1:13" x14ac:dyDescent="0.25">
      <c r="A40" t="s">
        <v>85</v>
      </c>
      <c r="B40" s="6" t="s">
        <v>644</v>
      </c>
      <c r="C40" s="13">
        <v>105</v>
      </c>
      <c r="D40" s="14" t="s">
        <v>91</v>
      </c>
      <c r="E40">
        <v>10</v>
      </c>
      <c r="F40" s="8">
        <f>VLOOKUP(financials[[#This Row],[productid]],Products!$B$2:$H$10,3)</f>
        <v>15</v>
      </c>
      <c r="G40" s="8">
        <f>financials[[#This Row],[Units Sold]]*financials[[#This Row],[Sale Price]]</f>
        <v>150</v>
      </c>
      <c r="H40" s="8">
        <f>IF(financials[[#This Row],[Discount Band]]="low",0.1,IF(financials[[#This Row],[Discount Band]]="medium",0.15,0.3))</f>
        <v>0.1</v>
      </c>
      <c r="I40" s="8">
        <f>financials[[#This Row],[Gross Sales]]-financials[[#This Row],[Gross Sales]]*financials[[#This Row],[Discounts]]</f>
        <v>135</v>
      </c>
      <c r="J40" s="8">
        <f>VLOOKUP(financials[[#This Row],[productid]],Products!$B$2:$H$10,4)</f>
        <v>10</v>
      </c>
      <c r="K40" s="8">
        <f>financials[[#This Row],[Net Sales]]-financials[[#This Row],[COGS]]</f>
        <v>125</v>
      </c>
      <c r="L40" s="15">
        <v>44400</v>
      </c>
      <c r="M40" t="s">
        <v>691</v>
      </c>
    </row>
    <row r="41" spans="1:13" x14ac:dyDescent="0.25">
      <c r="A41" t="s">
        <v>85</v>
      </c>
      <c r="B41" s="6" t="s">
        <v>266</v>
      </c>
      <c r="C41" s="13">
        <v>102</v>
      </c>
      <c r="D41" s="14" t="s">
        <v>91</v>
      </c>
      <c r="E41">
        <v>8</v>
      </c>
      <c r="F41" s="8">
        <f>VLOOKUP(financials[[#This Row],[productid]],Products!$B$2:$H$10,3)</f>
        <v>15</v>
      </c>
      <c r="G41" s="8">
        <f>financials[[#This Row],[Units Sold]]*financials[[#This Row],[Sale Price]]</f>
        <v>120</v>
      </c>
      <c r="H41" s="8">
        <f>IF(financials[[#This Row],[Discount Band]]="low",0.1,IF(financials[[#This Row],[Discount Band]]="medium",0.15,0.3))</f>
        <v>0.1</v>
      </c>
      <c r="I41" s="8">
        <f>financials[[#This Row],[Gross Sales]]-financials[[#This Row],[Gross Sales]]*financials[[#This Row],[Discounts]]</f>
        <v>108</v>
      </c>
      <c r="J41" s="8">
        <f>VLOOKUP(financials[[#This Row],[productid]],Products!$B$2:$H$10,4)</f>
        <v>13.95</v>
      </c>
      <c r="K41" s="8">
        <f>financials[[#This Row],[Net Sales]]-financials[[#This Row],[COGS]]</f>
        <v>94.05</v>
      </c>
      <c r="L41" s="15">
        <v>44962</v>
      </c>
      <c r="M41" t="s">
        <v>696</v>
      </c>
    </row>
    <row r="42" spans="1:13" x14ac:dyDescent="0.25">
      <c r="A42" t="s">
        <v>89</v>
      </c>
      <c r="B42" s="6" t="s">
        <v>545</v>
      </c>
      <c r="C42" s="13">
        <v>105</v>
      </c>
      <c r="D42" s="14" t="s">
        <v>83</v>
      </c>
      <c r="E42">
        <v>9</v>
      </c>
      <c r="F42" s="8">
        <f>VLOOKUP(financials[[#This Row],[productid]],Products!$B$2:$H$10,3)</f>
        <v>15</v>
      </c>
      <c r="G42" s="8">
        <f>financials[[#This Row],[Units Sold]]*financials[[#This Row],[Sale Price]]</f>
        <v>135</v>
      </c>
      <c r="H42" s="8">
        <f>IF(financials[[#This Row],[Discount Band]]="low",0.1,IF(financials[[#This Row],[Discount Band]]="medium",0.15,0.3))</f>
        <v>0.3</v>
      </c>
      <c r="I42" s="8">
        <f>financials[[#This Row],[Gross Sales]]-financials[[#This Row],[Gross Sales]]*financials[[#This Row],[Discounts]]</f>
        <v>94.5</v>
      </c>
      <c r="J42" s="8">
        <f>VLOOKUP(financials[[#This Row],[productid]],Products!$B$2:$H$10,4)</f>
        <v>10</v>
      </c>
      <c r="K42" s="8">
        <f>financials[[#This Row],[Net Sales]]-financials[[#This Row],[COGS]]</f>
        <v>84.5</v>
      </c>
      <c r="L42" s="15">
        <v>44115</v>
      </c>
      <c r="M42" t="s">
        <v>690</v>
      </c>
    </row>
    <row r="43" spans="1:13" x14ac:dyDescent="0.25">
      <c r="A43" t="s">
        <v>85</v>
      </c>
      <c r="B43" s="6" t="s">
        <v>644</v>
      </c>
      <c r="C43" s="13">
        <v>102</v>
      </c>
      <c r="D43" s="14" t="s">
        <v>91</v>
      </c>
      <c r="E43">
        <v>5</v>
      </c>
      <c r="F43" s="8">
        <f>VLOOKUP(financials[[#This Row],[productid]],Products!$B$2:$H$10,3)</f>
        <v>15</v>
      </c>
      <c r="G43" s="8">
        <f>financials[[#This Row],[Units Sold]]*financials[[#This Row],[Sale Price]]</f>
        <v>75</v>
      </c>
      <c r="H43" s="8">
        <f>IF(financials[[#This Row],[Discount Band]]="low",0.1,IF(financials[[#This Row],[Discount Band]]="medium",0.15,0.3))</f>
        <v>0.1</v>
      </c>
      <c r="I43" s="8">
        <f>financials[[#This Row],[Gross Sales]]-financials[[#This Row],[Gross Sales]]*financials[[#This Row],[Discounts]]</f>
        <v>67.5</v>
      </c>
      <c r="J43" s="8">
        <f>VLOOKUP(financials[[#This Row],[productid]],Products!$B$2:$H$10,4)</f>
        <v>13.95</v>
      </c>
      <c r="K43" s="8">
        <f>financials[[#This Row],[Net Sales]]-financials[[#This Row],[COGS]]</f>
        <v>53.55</v>
      </c>
      <c r="L43" s="15">
        <v>45254</v>
      </c>
      <c r="M43" t="s">
        <v>697</v>
      </c>
    </row>
    <row r="44" spans="1:13" x14ac:dyDescent="0.25">
      <c r="A44" t="s">
        <v>85</v>
      </c>
      <c r="B44" s="6" t="s">
        <v>266</v>
      </c>
      <c r="C44" s="13">
        <v>102</v>
      </c>
      <c r="D44" s="14" t="s">
        <v>90</v>
      </c>
      <c r="E44">
        <v>5</v>
      </c>
      <c r="F44" s="8">
        <f>VLOOKUP(financials[[#This Row],[productid]],Products!$B$2:$H$10,3)</f>
        <v>15</v>
      </c>
      <c r="G44" s="8">
        <f>financials[[#This Row],[Units Sold]]*financials[[#This Row],[Sale Price]]</f>
        <v>75</v>
      </c>
      <c r="H44" s="8">
        <f>IF(financials[[#This Row],[Discount Band]]="low",0.1,IF(financials[[#This Row],[Discount Band]]="medium",0.15,0.3))</f>
        <v>0.15</v>
      </c>
      <c r="I44" s="8">
        <f>financials[[#This Row],[Gross Sales]]-financials[[#This Row],[Gross Sales]]*financials[[#This Row],[Discounts]]</f>
        <v>63.75</v>
      </c>
      <c r="J44" s="8">
        <f>VLOOKUP(financials[[#This Row],[productid]],Products!$B$2:$H$10,4)</f>
        <v>13.95</v>
      </c>
      <c r="K44" s="8">
        <f>financials[[#This Row],[Net Sales]]-financials[[#This Row],[COGS]]</f>
        <v>49.8</v>
      </c>
      <c r="L44" s="15">
        <v>44949</v>
      </c>
      <c r="M44" t="s">
        <v>691</v>
      </c>
    </row>
    <row r="45" spans="1:13" x14ac:dyDescent="0.25">
      <c r="A45" t="s">
        <v>85</v>
      </c>
      <c r="B45" s="6" t="s">
        <v>266</v>
      </c>
      <c r="C45" s="13">
        <v>103</v>
      </c>
      <c r="D45" s="14" t="s">
        <v>90</v>
      </c>
      <c r="E45">
        <v>7</v>
      </c>
      <c r="F45" s="8">
        <f>VLOOKUP(financials[[#This Row],[productid]],Products!$B$2:$H$10,3)</f>
        <v>28</v>
      </c>
      <c r="G45" s="8">
        <f>financials[[#This Row],[Units Sold]]*financials[[#This Row],[Sale Price]]</f>
        <v>196</v>
      </c>
      <c r="H45" s="8">
        <f>IF(financials[[#This Row],[Discount Band]]="low",0.1,IF(financials[[#This Row],[Discount Band]]="medium",0.15,0.3))</f>
        <v>0.15</v>
      </c>
      <c r="I45" s="8">
        <f>financials[[#This Row],[Gross Sales]]-financials[[#This Row],[Gross Sales]]*financials[[#This Row],[Discounts]]</f>
        <v>166.6</v>
      </c>
      <c r="J45" s="8">
        <f>VLOOKUP(financials[[#This Row],[productid]],Products!$B$2:$H$10,4)</f>
        <v>15</v>
      </c>
      <c r="K45" s="8">
        <f>financials[[#This Row],[Net Sales]]-financials[[#This Row],[COGS]]</f>
        <v>151.6</v>
      </c>
      <c r="L45" s="15">
        <v>44952</v>
      </c>
      <c r="M45" t="s">
        <v>700</v>
      </c>
    </row>
    <row r="46" spans="1:13" x14ac:dyDescent="0.25">
      <c r="A46" t="s">
        <v>86</v>
      </c>
      <c r="B46" s="6" t="s">
        <v>644</v>
      </c>
      <c r="C46" s="13">
        <v>105</v>
      </c>
      <c r="D46" s="14" t="s">
        <v>90</v>
      </c>
      <c r="E46">
        <v>11</v>
      </c>
      <c r="F46" s="8">
        <f>VLOOKUP(financials[[#This Row],[productid]],Products!$B$2:$H$10,3)</f>
        <v>15</v>
      </c>
      <c r="G46" s="8">
        <f>financials[[#This Row],[Units Sold]]*financials[[#This Row],[Sale Price]]</f>
        <v>165</v>
      </c>
      <c r="H46" s="8">
        <f>IF(financials[[#This Row],[Discount Band]]="low",0.1,IF(financials[[#This Row],[Discount Band]]="medium",0.15,0.3))</f>
        <v>0.15</v>
      </c>
      <c r="I46" s="8">
        <f>financials[[#This Row],[Gross Sales]]-financials[[#This Row],[Gross Sales]]*financials[[#This Row],[Discounts]]</f>
        <v>140.25</v>
      </c>
      <c r="J46" s="8">
        <f>VLOOKUP(financials[[#This Row],[productid]],Products!$B$2:$H$10,4)</f>
        <v>10</v>
      </c>
      <c r="K46" s="8">
        <f>financials[[#This Row],[Net Sales]]-financials[[#This Row],[COGS]]</f>
        <v>130.25</v>
      </c>
      <c r="L46" s="15">
        <v>44864</v>
      </c>
      <c r="M46" t="s">
        <v>700</v>
      </c>
    </row>
    <row r="47" spans="1:13" x14ac:dyDescent="0.25">
      <c r="A47" t="s">
        <v>86</v>
      </c>
      <c r="B47" s="6" t="s">
        <v>644</v>
      </c>
      <c r="C47" s="13">
        <v>104</v>
      </c>
      <c r="D47" s="14" t="s">
        <v>90</v>
      </c>
      <c r="E47">
        <v>14</v>
      </c>
      <c r="F47" s="8">
        <f>VLOOKUP(financials[[#This Row],[productid]],Products!$B$2:$H$10,3)</f>
        <v>5.9</v>
      </c>
      <c r="G47" s="8">
        <f>financials[[#This Row],[Units Sold]]*financials[[#This Row],[Sale Price]]</f>
        <v>82.600000000000009</v>
      </c>
      <c r="H47" s="8">
        <f>IF(financials[[#This Row],[Discount Band]]="low",0.1,IF(financials[[#This Row],[Discount Band]]="medium",0.15,0.3))</f>
        <v>0.15</v>
      </c>
      <c r="I47" s="8">
        <f>financials[[#This Row],[Gross Sales]]-financials[[#This Row],[Gross Sales]]*financials[[#This Row],[Discounts]]</f>
        <v>70.210000000000008</v>
      </c>
      <c r="J47" s="8">
        <f>VLOOKUP(financials[[#This Row],[productid]],Products!$B$2:$H$10,4)</f>
        <v>2.9</v>
      </c>
      <c r="K47" s="8">
        <f>financials[[#This Row],[Net Sales]]-financials[[#This Row],[COGS]]</f>
        <v>67.31</v>
      </c>
      <c r="L47" s="15">
        <v>44578</v>
      </c>
      <c r="M47" t="s">
        <v>697</v>
      </c>
    </row>
    <row r="48" spans="1:13" x14ac:dyDescent="0.25">
      <c r="A48" t="s">
        <v>89</v>
      </c>
      <c r="B48" s="6" t="s">
        <v>644</v>
      </c>
      <c r="C48" s="13">
        <v>109</v>
      </c>
      <c r="D48" s="14" t="s">
        <v>90</v>
      </c>
      <c r="E48">
        <v>15</v>
      </c>
      <c r="F48" s="8">
        <f>VLOOKUP(financials[[#This Row],[productid]],Products!$B$2:$H$10,3)</f>
        <v>36</v>
      </c>
      <c r="G48" s="8">
        <f>financials[[#This Row],[Units Sold]]*financials[[#This Row],[Sale Price]]</f>
        <v>540</v>
      </c>
      <c r="H48" s="8">
        <f>IF(financials[[#This Row],[Discount Band]]="low",0.1,IF(financials[[#This Row],[Discount Band]]="medium",0.15,0.3))</f>
        <v>0.15</v>
      </c>
      <c r="I48" s="8">
        <f>financials[[#This Row],[Gross Sales]]-financials[[#This Row],[Gross Sales]]*financials[[#This Row],[Discounts]]</f>
        <v>459</v>
      </c>
      <c r="J48" s="8">
        <f>VLOOKUP(financials[[#This Row],[productid]],Products!$B$2:$H$10,4)</f>
        <v>16.8</v>
      </c>
      <c r="K48" s="8">
        <f>financials[[#This Row],[Net Sales]]-financials[[#This Row],[COGS]]</f>
        <v>442.2</v>
      </c>
      <c r="L48" s="15">
        <v>45362</v>
      </c>
      <c r="M48" t="s">
        <v>700</v>
      </c>
    </row>
    <row r="49" spans="1:13" x14ac:dyDescent="0.25">
      <c r="A49" t="s">
        <v>86</v>
      </c>
      <c r="B49" s="6" t="s">
        <v>545</v>
      </c>
      <c r="C49" s="13">
        <v>102</v>
      </c>
      <c r="D49" s="14" t="s">
        <v>90</v>
      </c>
      <c r="E49">
        <v>10</v>
      </c>
      <c r="F49" s="8">
        <f>VLOOKUP(financials[[#This Row],[productid]],Products!$B$2:$H$10,3)</f>
        <v>15</v>
      </c>
      <c r="G49" s="8">
        <f>financials[[#This Row],[Units Sold]]*financials[[#This Row],[Sale Price]]</f>
        <v>150</v>
      </c>
      <c r="H49" s="8">
        <f>IF(financials[[#This Row],[Discount Band]]="low",0.1,IF(financials[[#This Row],[Discount Band]]="medium",0.15,0.3))</f>
        <v>0.15</v>
      </c>
      <c r="I49" s="8">
        <f>financials[[#This Row],[Gross Sales]]-financials[[#This Row],[Gross Sales]]*financials[[#This Row],[Discounts]]</f>
        <v>127.5</v>
      </c>
      <c r="J49" s="8">
        <f>VLOOKUP(financials[[#This Row],[productid]],Products!$B$2:$H$10,4)</f>
        <v>13.95</v>
      </c>
      <c r="K49" s="8">
        <f>financials[[#This Row],[Net Sales]]-financials[[#This Row],[COGS]]</f>
        <v>113.55</v>
      </c>
      <c r="L49" s="15">
        <v>44919</v>
      </c>
      <c r="M49" t="s">
        <v>691</v>
      </c>
    </row>
    <row r="50" spans="1:13" x14ac:dyDescent="0.25">
      <c r="A50" t="s">
        <v>86</v>
      </c>
      <c r="B50" s="6" t="s">
        <v>266</v>
      </c>
      <c r="C50" s="13">
        <v>104</v>
      </c>
      <c r="D50" s="14" t="s">
        <v>90</v>
      </c>
      <c r="E50">
        <v>15</v>
      </c>
      <c r="F50" s="8">
        <f>VLOOKUP(financials[[#This Row],[productid]],Products!$B$2:$H$10,3)</f>
        <v>5.9</v>
      </c>
      <c r="G50" s="8">
        <f>financials[[#This Row],[Units Sold]]*financials[[#This Row],[Sale Price]]</f>
        <v>88.5</v>
      </c>
      <c r="H50" s="8">
        <f>IF(financials[[#This Row],[Discount Band]]="low",0.1,IF(financials[[#This Row],[Discount Band]]="medium",0.15,0.3))</f>
        <v>0.15</v>
      </c>
      <c r="I50" s="8">
        <f>financials[[#This Row],[Gross Sales]]-financials[[#This Row],[Gross Sales]]*financials[[#This Row],[Discounts]]</f>
        <v>75.224999999999994</v>
      </c>
      <c r="J50" s="8">
        <f>VLOOKUP(financials[[#This Row],[productid]],Products!$B$2:$H$10,4)</f>
        <v>2.9</v>
      </c>
      <c r="K50" s="8">
        <f>financials[[#This Row],[Net Sales]]-financials[[#This Row],[COGS]]</f>
        <v>72.324999999999989</v>
      </c>
      <c r="L50" s="15">
        <v>44369</v>
      </c>
      <c r="M50" t="s">
        <v>700</v>
      </c>
    </row>
    <row r="51" spans="1:13" x14ac:dyDescent="0.25">
      <c r="A51" t="s">
        <v>86</v>
      </c>
      <c r="B51" s="6" t="s">
        <v>644</v>
      </c>
      <c r="C51" s="13">
        <v>108</v>
      </c>
      <c r="D51" s="14" t="s">
        <v>90</v>
      </c>
      <c r="E51">
        <v>16</v>
      </c>
      <c r="F51" s="8">
        <f>VLOOKUP(financials[[#This Row],[productid]],Products!$B$2:$H$10,3)</f>
        <v>5.5</v>
      </c>
      <c r="G51" s="8">
        <f>financials[[#This Row],[Units Sold]]*financials[[#This Row],[Sale Price]]</f>
        <v>88</v>
      </c>
      <c r="H51" s="8">
        <f>IF(financials[[#This Row],[Discount Band]]="low",0.1,IF(financials[[#This Row],[Discount Band]]="medium",0.15,0.3))</f>
        <v>0.15</v>
      </c>
      <c r="I51" s="8">
        <f>financials[[#This Row],[Gross Sales]]-financials[[#This Row],[Gross Sales]]*financials[[#This Row],[Discounts]]</f>
        <v>74.8</v>
      </c>
      <c r="J51" s="8">
        <f>VLOOKUP(financials[[#This Row],[productid]],Products!$B$2:$H$10,4)</f>
        <v>3.99</v>
      </c>
      <c r="K51" s="8">
        <f>financials[[#This Row],[Net Sales]]-financials[[#This Row],[COGS]]</f>
        <v>70.81</v>
      </c>
      <c r="L51" s="15">
        <v>45316</v>
      </c>
      <c r="M51" t="s">
        <v>691</v>
      </c>
    </row>
    <row r="52" spans="1:13" x14ac:dyDescent="0.25">
      <c r="A52" t="s">
        <v>89</v>
      </c>
      <c r="B52" s="6" t="s">
        <v>644</v>
      </c>
      <c r="C52" s="13">
        <v>101</v>
      </c>
      <c r="D52" s="14" t="s">
        <v>92</v>
      </c>
      <c r="E52">
        <v>11</v>
      </c>
      <c r="F52" s="8">
        <f>VLOOKUP(financials[[#This Row],[productid]],Products!$B$2:$H$10,3)</f>
        <v>23</v>
      </c>
      <c r="G52" s="8">
        <f>financials[[#This Row],[Units Sold]]*financials[[#This Row],[Sale Price]]</f>
        <v>253</v>
      </c>
      <c r="H52" s="8">
        <f>IF(financials[[#This Row],[Discount Band]]="low",0.1,IF(financials[[#This Row],[Discount Band]]="medium",0.15,0.3))</f>
        <v>0.3</v>
      </c>
      <c r="I52" s="8">
        <f>financials[[#This Row],[Gross Sales]]-financials[[#This Row],[Gross Sales]]*financials[[#This Row],[Discounts]]</f>
        <v>177.10000000000002</v>
      </c>
      <c r="J52" s="8">
        <f>VLOOKUP(financials[[#This Row],[productid]],Products!$B$2:$H$10,4)</f>
        <v>9.9499999999999993</v>
      </c>
      <c r="K52" s="8">
        <f>financials[[#This Row],[Net Sales]]-financials[[#This Row],[COGS]]</f>
        <v>167.15000000000003</v>
      </c>
      <c r="L52" s="15">
        <v>44791</v>
      </c>
      <c r="M52" t="s">
        <v>690</v>
      </c>
    </row>
    <row r="53" spans="1:13" x14ac:dyDescent="0.25">
      <c r="A53" t="s">
        <v>89</v>
      </c>
      <c r="B53" s="6" t="s">
        <v>545</v>
      </c>
      <c r="C53" s="13">
        <v>109</v>
      </c>
      <c r="D53" s="14" t="s">
        <v>83</v>
      </c>
      <c r="E53">
        <v>6</v>
      </c>
      <c r="F53" s="8">
        <f>VLOOKUP(financials[[#This Row],[productid]],Products!$B$2:$H$10,3)</f>
        <v>36</v>
      </c>
      <c r="G53" s="8">
        <f>financials[[#This Row],[Units Sold]]*financials[[#This Row],[Sale Price]]</f>
        <v>216</v>
      </c>
      <c r="H53" s="8">
        <f>IF(financials[[#This Row],[Discount Band]]="low",0.1,IF(financials[[#This Row],[Discount Band]]="medium",0.15,0.3))</f>
        <v>0.3</v>
      </c>
      <c r="I53" s="8">
        <f>financials[[#This Row],[Gross Sales]]-financials[[#This Row],[Gross Sales]]*financials[[#This Row],[Discounts]]</f>
        <v>151.19999999999999</v>
      </c>
      <c r="J53" s="8">
        <f>VLOOKUP(financials[[#This Row],[productid]],Products!$B$2:$H$10,4)</f>
        <v>16.8</v>
      </c>
      <c r="K53" s="8">
        <f>financials[[#This Row],[Net Sales]]-financials[[#This Row],[COGS]]</f>
        <v>134.39999999999998</v>
      </c>
      <c r="L53" s="15">
        <v>44752</v>
      </c>
      <c r="M53" t="s">
        <v>697</v>
      </c>
    </row>
    <row r="54" spans="1:13" x14ac:dyDescent="0.25">
      <c r="A54" t="s">
        <v>86</v>
      </c>
      <c r="B54" s="6" t="s">
        <v>266</v>
      </c>
      <c r="C54" s="13">
        <v>108</v>
      </c>
      <c r="D54" s="14" t="s">
        <v>90</v>
      </c>
      <c r="E54">
        <v>17</v>
      </c>
      <c r="F54" s="8">
        <f>VLOOKUP(financials[[#This Row],[productid]],Products!$B$2:$H$10,3)</f>
        <v>5.5</v>
      </c>
      <c r="G54" s="8">
        <f>financials[[#This Row],[Units Sold]]*financials[[#This Row],[Sale Price]]</f>
        <v>93.5</v>
      </c>
      <c r="H54" s="8">
        <f>IF(financials[[#This Row],[Discount Band]]="low",0.1,IF(financials[[#This Row],[Discount Band]]="medium",0.15,0.3))</f>
        <v>0.15</v>
      </c>
      <c r="I54" s="8">
        <f>financials[[#This Row],[Gross Sales]]-financials[[#This Row],[Gross Sales]]*financials[[#This Row],[Discounts]]</f>
        <v>79.474999999999994</v>
      </c>
      <c r="J54" s="8">
        <f>VLOOKUP(financials[[#This Row],[productid]],Products!$B$2:$H$10,4)</f>
        <v>3.99</v>
      </c>
      <c r="K54" s="8">
        <f>financials[[#This Row],[Net Sales]]-financials[[#This Row],[COGS]]</f>
        <v>75.484999999999999</v>
      </c>
      <c r="L54" s="15">
        <v>43948</v>
      </c>
      <c r="M54" t="s">
        <v>691</v>
      </c>
    </row>
    <row r="55" spans="1:13" x14ac:dyDescent="0.25">
      <c r="A55" t="s">
        <v>85</v>
      </c>
      <c r="B55" s="6" t="s">
        <v>266</v>
      </c>
      <c r="C55" s="13">
        <v>107</v>
      </c>
      <c r="D55" s="14" t="s">
        <v>90</v>
      </c>
      <c r="E55">
        <v>15</v>
      </c>
      <c r="F55" s="8">
        <f>VLOOKUP(financials[[#This Row],[productid]],Products!$B$2:$H$10,3)</f>
        <v>15</v>
      </c>
      <c r="G55" s="8">
        <f>financials[[#This Row],[Units Sold]]*financials[[#This Row],[Sale Price]]</f>
        <v>225</v>
      </c>
      <c r="H55" s="8">
        <f>IF(financials[[#This Row],[Discount Band]]="low",0.1,IF(financials[[#This Row],[Discount Band]]="medium",0.15,0.3))</f>
        <v>0.15</v>
      </c>
      <c r="I55" s="8">
        <f>financials[[#This Row],[Gross Sales]]-financials[[#This Row],[Gross Sales]]*financials[[#This Row],[Discounts]]</f>
        <v>191.25</v>
      </c>
      <c r="J55" s="8">
        <f>VLOOKUP(financials[[#This Row],[productid]],Products!$B$2:$H$10,4)</f>
        <v>5.5</v>
      </c>
      <c r="K55" s="8">
        <f>financials[[#This Row],[Net Sales]]-financials[[#This Row],[COGS]]</f>
        <v>185.75</v>
      </c>
      <c r="L55" s="15">
        <v>44090</v>
      </c>
      <c r="M55" t="s">
        <v>696</v>
      </c>
    </row>
    <row r="56" spans="1:13" x14ac:dyDescent="0.25">
      <c r="A56" t="s">
        <v>86</v>
      </c>
      <c r="B56" s="6" t="s">
        <v>644</v>
      </c>
      <c r="C56" s="11">
        <v>102</v>
      </c>
      <c r="D56" s="9" t="s">
        <v>90</v>
      </c>
      <c r="E56">
        <v>14</v>
      </c>
      <c r="F56" s="8">
        <f>VLOOKUP(financials[[#This Row],[productid]],Products!$B$2:$H$10,3)</f>
        <v>15</v>
      </c>
      <c r="G56" s="8">
        <f>financials[[#This Row],[Units Sold]]*financials[[#This Row],[Sale Price]]</f>
        <v>210</v>
      </c>
      <c r="H56" s="8">
        <f>IF(financials[[#This Row],[Discount Band]]="low",0.1,IF(financials[[#This Row],[Discount Band]]="medium",0.15,0.3))</f>
        <v>0.15</v>
      </c>
      <c r="I56" s="8">
        <f>financials[[#This Row],[Gross Sales]]-financials[[#This Row],[Gross Sales]]*financials[[#This Row],[Discounts]]</f>
        <v>178.5</v>
      </c>
      <c r="J56" s="8">
        <f>VLOOKUP(financials[[#This Row],[productid]],Products!$B$2:$H$10,4)</f>
        <v>13.95</v>
      </c>
      <c r="K56" s="8">
        <f>financials[[#This Row],[Net Sales]]-financials[[#This Row],[COGS]]</f>
        <v>164.55</v>
      </c>
      <c r="L56" s="15">
        <v>45254</v>
      </c>
      <c r="M56" t="s">
        <v>700</v>
      </c>
    </row>
    <row r="57" spans="1:13" x14ac:dyDescent="0.25">
      <c r="A57" t="s">
        <v>86</v>
      </c>
      <c r="B57" s="6" t="s">
        <v>644</v>
      </c>
      <c r="C57" s="13">
        <v>106</v>
      </c>
      <c r="D57" s="14" t="s">
        <v>91</v>
      </c>
      <c r="E57">
        <v>8</v>
      </c>
      <c r="F57" s="8">
        <f>VLOOKUP(financials[[#This Row],[productid]],Products!$B$2:$H$10,3)</f>
        <v>25</v>
      </c>
      <c r="G57" s="8">
        <f>financials[[#This Row],[Units Sold]]*financials[[#This Row],[Sale Price]]</f>
        <v>200</v>
      </c>
      <c r="H57" s="8">
        <f>IF(financials[[#This Row],[Discount Band]]="low",0.1,IF(financials[[#This Row],[Discount Band]]="medium",0.15,0.3))</f>
        <v>0.1</v>
      </c>
      <c r="I57" s="8">
        <f>financials[[#This Row],[Gross Sales]]-financials[[#This Row],[Gross Sales]]*financials[[#This Row],[Discounts]]</f>
        <v>180</v>
      </c>
      <c r="J57" s="8">
        <f>VLOOKUP(financials[[#This Row],[productid]],Products!$B$2:$H$10,4)</f>
        <v>9.1</v>
      </c>
      <c r="K57" s="8">
        <f>financials[[#This Row],[Net Sales]]-financials[[#This Row],[COGS]]</f>
        <v>170.9</v>
      </c>
      <c r="L57" s="15">
        <v>45540</v>
      </c>
      <c r="M57" t="s">
        <v>696</v>
      </c>
    </row>
    <row r="58" spans="1:13" x14ac:dyDescent="0.25">
      <c r="A58" t="s">
        <v>86</v>
      </c>
      <c r="B58" s="6" t="s">
        <v>93</v>
      </c>
      <c r="C58" s="13">
        <v>104</v>
      </c>
      <c r="D58" s="14" t="s">
        <v>90</v>
      </c>
      <c r="E58">
        <v>19</v>
      </c>
      <c r="F58" s="8">
        <f>VLOOKUP(financials[[#This Row],[productid]],Products!$B$2:$H$10,3)</f>
        <v>5.9</v>
      </c>
      <c r="G58" s="8">
        <f>financials[[#This Row],[Units Sold]]*financials[[#This Row],[Sale Price]]</f>
        <v>112.10000000000001</v>
      </c>
      <c r="H58" s="8">
        <f>IF(financials[[#This Row],[Discount Band]]="low",0.1,IF(financials[[#This Row],[Discount Band]]="medium",0.15,0.3))</f>
        <v>0.15</v>
      </c>
      <c r="I58" s="8">
        <f>financials[[#This Row],[Gross Sales]]-financials[[#This Row],[Gross Sales]]*financials[[#This Row],[Discounts]]</f>
        <v>95.285000000000011</v>
      </c>
      <c r="J58" s="8">
        <f>VLOOKUP(financials[[#This Row],[productid]],Products!$B$2:$H$10,4)</f>
        <v>2.9</v>
      </c>
      <c r="K58" s="8">
        <f>financials[[#This Row],[Net Sales]]-financials[[#This Row],[COGS]]</f>
        <v>92.385000000000005</v>
      </c>
      <c r="L58" s="15">
        <v>45084</v>
      </c>
      <c r="M58" t="s">
        <v>696</v>
      </c>
    </row>
    <row r="59" spans="1:13" x14ac:dyDescent="0.25">
      <c r="A59" t="s">
        <v>86</v>
      </c>
      <c r="B59" s="6" t="s">
        <v>644</v>
      </c>
      <c r="C59" s="13">
        <v>103</v>
      </c>
      <c r="D59" s="14" t="s">
        <v>90</v>
      </c>
      <c r="E59">
        <v>19</v>
      </c>
      <c r="F59" s="8">
        <f>VLOOKUP(financials[[#This Row],[productid]],Products!$B$2:$H$10,3)</f>
        <v>28</v>
      </c>
      <c r="G59" s="8">
        <f>financials[[#This Row],[Units Sold]]*financials[[#This Row],[Sale Price]]</f>
        <v>532</v>
      </c>
      <c r="H59" s="8">
        <f>IF(financials[[#This Row],[Discount Band]]="low",0.1,IF(financials[[#This Row],[Discount Band]]="medium",0.15,0.3))</f>
        <v>0.15</v>
      </c>
      <c r="I59" s="8">
        <f>financials[[#This Row],[Gross Sales]]-financials[[#This Row],[Gross Sales]]*financials[[#This Row],[Discounts]]</f>
        <v>452.2</v>
      </c>
      <c r="J59" s="8">
        <f>VLOOKUP(financials[[#This Row],[productid]],Products!$B$2:$H$10,4)</f>
        <v>15</v>
      </c>
      <c r="K59" s="8">
        <f>financials[[#This Row],[Net Sales]]-financials[[#This Row],[COGS]]</f>
        <v>437.2</v>
      </c>
      <c r="L59" s="15">
        <v>45599</v>
      </c>
      <c r="M59" t="s">
        <v>691</v>
      </c>
    </row>
    <row r="60" spans="1:13" x14ac:dyDescent="0.25">
      <c r="A60" t="s">
        <v>89</v>
      </c>
      <c r="B60" s="6" t="s">
        <v>644</v>
      </c>
      <c r="C60" s="13">
        <v>101</v>
      </c>
      <c r="D60" s="14" t="s">
        <v>92</v>
      </c>
      <c r="E60">
        <v>13</v>
      </c>
      <c r="F60" s="8">
        <f>VLOOKUP(financials[[#This Row],[productid]],Products!$B$2:$H$10,3)</f>
        <v>23</v>
      </c>
      <c r="G60" s="8">
        <f>financials[[#This Row],[Units Sold]]*financials[[#This Row],[Sale Price]]</f>
        <v>299</v>
      </c>
      <c r="H60" s="8">
        <f>IF(financials[[#This Row],[Discount Band]]="low",0.1,IF(financials[[#This Row],[Discount Band]]="medium",0.15,0.3))</f>
        <v>0.3</v>
      </c>
      <c r="I60" s="8">
        <f>financials[[#This Row],[Gross Sales]]-financials[[#This Row],[Gross Sales]]*financials[[#This Row],[Discounts]]</f>
        <v>209.3</v>
      </c>
      <c r="J60" s="8">
        <f>VLOOKUP(financials[[#This Row],[productid]],Products!$B$2:$H$10,4)</f>
        <v>9.9499999999999993</v>
      </c>
      <c r="K60" s="8">
        <f>financials[[#This Row],[Net Sales]]-financials[[#This Row],[COGS]]</f>
        <v>199.35000000000002</v>
      </c>
      <c r="L60" s="15">
        <v>45484</v>
      </c>
      <c r="M60" t="s">
        <v>697</v>
      </c>
    </row>
    <row r="61" spans="1:13" x14ac:dyDescent="0.25">
      <c r="A61" t="s">
        <v>85</v>
      </c>
      <c r="B61" s="6" t="s">
        <v>266</v>
      </c>
      <c r="C61" s="13">
        <v>109</v>
      </c>
      <c r="D61" s="14" t="s">
        <v>92</v>
      </c>
      <c r="E61">
        <v>8</v>
      </c>
      <c r="F61" s="8">
        <f>VLOOKUP(financials[[#This Row],[productid]],Products!$B$2:$H$10,3)</f>
        <v>36</v>
      </c>
      <c r="G61" s="8">
        <f>financials[[#This Row],[Units Sold]]*financials[[#This Row],[Sale Price]]</f>
        <v>288</v>
      </c>
      <c r="H61" s="8">
        <f>IF(financials[[#This Row],[Discount Band]]="low",0.1,IF(financials[[#This Row],[Discount Band]]="medium",0.15,0.3))</f>
        <v>0.3</v>
      </c>
      <c r="I61" s="8">
        <f>financials[[#This Row],[Gross Sales]]-financials[[#This Row],[Gross Sales]]*financials[[#This Row],[Discounts]]</f>
        <v>201.60000000000002</v>
      </c>
      <c r="J61" s="8">
        <f>VLOOKUP(financials[[#This Row],[productid]],Products!$B$2:$H$10,4)</f>
        <v>16.8</v>
      </c>
      <c r="K61" s="8">
        <f>financials[[#This Row],[Net Sales]]-financials[[#This Row],[COGS]]</f>
        <v>184.8</v>
      </c>
      <c r="L61" s="15">
        <v>45148</v>
      </c>
      <c r="M61" t="s">
        <v>700</v>
      </c>
    </row>
    <row r="62" spans="1:13" x14ac:dyDescent="0.25">
      <c r="A62" t="s">
        <v>86</v>
      </c>
      <c r="B62" s="6" t="s">
        <v>93</v>
      </c>
      <c r="C62" s="13">
        <v>106</v>
      </c>
      <c r="D62" s="14" t="s">
        <v>83</v>
      </c>
      <c r="E62">
        <v>14</v>
      </c>
      <c r="F62" s="8">
        <f>VLOOKUP(financials[[#This Row],[productid]],Products!$B$2:$H$10,3)</f>
        <v>25</v>
      </c>
      <c r="G62" s="8">
        <f>financials[[#This Row],[Units Sold]]*financials[[#This Row],[Sale Price]]</f>
        <v>350</v>
      </c>
      <c r="H62" s="8">
        <f>IF(financials[[#This Row],[Discount Band]]="low",0.1,IF(financials[[#This Row],[Discount Band]]="medium",0.15,0.3))</f>
        <v>0.3</v>
      </c>
      <c r="I62" s="8">
        <f>financials[[#This Row],[Gross Sales]]-financials[[#This Row],[Gross Sales]]*financials[[#This Row],[Discounts]]</f>
        <v>245</v>
      </c>
      <c r="J62" s="8">
        <f>VLOOKUP(financials[[#This Row],[productid]],Products!$B$2:$H$10,4)</f>
        <v>9.1</v>
      </c>
      <c r="K62" s="8">
        <f>financials[[#This Row],[Net Sales]]-financials[[#This Row],[COGS]]</f>
        <v>235.9</v>
      </c>
      <c r="L62" s="15">
        <v>45603</v>
      </c>
      <c r="M62" t="s">
        <v>700</v>
      </c>
    </row>
    <row r="63" spans="1:13" x14ac:dyDescent="0.25">
      <c r="A63" t="s">
        <v>89</v>
      </c>
      <c r="B63" s="6" t="s">
        <v>644</v>
      </c>
      <c r="C63" s="13">
        <v>101</v>
      </c>
      <c r="D63" s="14" t="s">
        <v>83</v>
      </c>
      <c r="E63">
        <v>13</v>
      </c>
      <c r="F63" s="8">
        <f>VLOOKUP(financials[[#This Row],[productid]],Products!$B$2:$H$10,3)</f>
        <v>23</v>
      </c>
      <c r="G63" s="8">
        <f>financials[[#This Row],[Units Sold]]*financials[[#This Row],[Sale Price]]</f>
        <v>299</v>
      </c>
      <c r="H63" s="8">
        <f>IF(financials[[#This Row],[Discount Band]]="low",0.1,IF(financials[[#This Row],[Discount Band]]="medium",0.15,0.3))</f>
        <v>0.3</v>
      </c>
      <c r="I63" s="8">
        <f>financials[[#This Row],[Gross Sales]]-financials[[#This Row],[Gross Sales]]*financials[[#This Row],[Discounts]]</f>
        <v>209.3</v>
      </c>
      <c r="J63" s="8">
        <f>VLOOKUP(financials[[#This Row],[productid]],Products!$B$2:$H$10,4)</f>
        <v>9.9499999999999993</v>
      </c>
      <c r="K63" s="8">
        <f>financials[[#This Row],[Net Sales]]-financials[[#This Row],[COGS]]</f>
        <v>199.35000000000002</v>
      </c>
      <c r="L63" s="15">
        <v>45625</v>
      </c>
      <c r="M63" t="s">
        <v>690</v>
      </c>
    </row>
    <row r="64" spans="1:13" x14ac:dyDescent="0.25">
      <c r="A64" t="s">
        <v>85</v>
      </c>
      <c r="B64" s="6" t="s">
        <v>644</v>
      </c>
      <c r="C64" s="13">
        <v>109</v>
      </c>
      <c r="D64" s="14" t="s">
        <v>90</v>
      </c>
      <c r="E64">
        <v>19</v>
      </c>
      <c r="F64" s="8">
        <f>VLOOKUP(financials[[#This Row],[productid]],Products!$B$2:$H$10,3)</f>
        <v>36</v>
      </c>
      <c r="G64" s="8">
        <f>financials[[#This Row],[Units Sold]]*financials[[#This Row],[Sale Price]]</f>
        <v>684</v>
      </c>
      <c r="H64" s="8">
        <f>IF(financials[[#This Row],[Discount Band]]="low",0.1,IF(financials[[#This Row],[Discount Band]]="medium",0.15,0.3))</f>
        <v>0.15</v>
      </c>
      <c r="I64" s="8">
        <f>financials[[#This Row],[Gross Sales]]-financials[[#This Row],[Gross Sales]]*financials[[#This Row],[Discounts]]</f>
        <v>581.4</v>
      </c>
      <c r="J64" s="8">
        <f>VLOOKUP(financials[[#This Row],[productid]],Products!$B$2:$H$10,4)</f>
        <v>16.8</v>
      </c>
      <c r="K64" s="8">
        <f>financials[[#This Row],[Net Sales]]-financials[[#This Row],[COGS]]</f>
        <v>564.6</v>
      </c>
      <c r="L64" s="15">
        <v>44261</v>
      </c>
      <c r="M64" t="s">
        <v>690</v>
      </c>
    </row>
    <row r="65" spans="1:13" x14ac:dyDescent="0.25">
      <c r="A65" t="s">
        <v>89</v>
      </c>
      <c r="B65" s="6" t="s">
        <v>644</v>
      </c>
      <c r="C65" s="13">
        <v>102</v>
      </c>
      <c r="D65" s="14" t="s">
        <v>83</v>
      </c>
      <c r="E65">
        <v>18</v>
      </c>
      <c r="F65" s="8">
        <f>VLOOKUP(financials[[#This Row],[productid]],Products!$B$2:$H$10,3)</f>
        <v>15</v>
      </c>
      <c r="G65" s="8">
        <f>financials[[#This Row],[Units Sold]]*financials[[#This Row],[Sale Price]]</f>
        <v>270</v>
      </c>
      <c r="H65" s="8">
        <f>IF(financials[[#This Row],[Discount Band]]="low",0.1,IF(financials[[#This Row],[Discount Band]]="medium",0.15,0.3))</f>
        <v>0.3</v>
      </c>
      <c r="I65" s="8">
        <f>financials[[#This Row],[Gross Sales]]-financials[[#This Row],[Gross Sales]]*financials[[#This Row],[Discounts]]</f>
        <v>189</v>
      </c>
      <c r="J65" s="8">
        <f>VLOOKUP(financials[[#This Row],[productid]],Products!$B$2:$H$10,4)</f>
        <v>13.95</v>
      </c>
      <c r="K65" s="8">
        <f>financials[[#This Row],[Net Sales]]-financials[[#This Row],[COGS]]</f>
        <v>175.05</v>
      </c>
      <c r="L65" s="15">
        <v>44389</v>
      </c>
      <c r="M65" t="s">
        <v>696</v>
      </c>
    </row>
    <row r="66" spans="1:13" x14ac:dyDescent="0.25">
      <c r="A66" t="s">
        <v>85</v>
      </c>
      <c r="B66" s="6" t="s">
        <v>266</v>
      </c>
      <c r="C66" s="13">
        <v>101</v>
      </c>
      <c r="D66" s="14" t="s">
        <v>90</v>
      </c>
      <c r="E66">
        <v>15</v>
      </c>
      <c r="F66" s="8">
        <f>VLOOKUP(financials[[#This Row],[productid]],Products!$B$2:$H$10,3)</f>
        <v>23</v>
      </c>
      <c r="G66" s="8">
        <f>financials[[#This Row],[Units Sold]]*financials[[#This Row],[Sale Price]]</f>
        <v>345</v>
      </c>
      <c r="H66" s="8">
        <f>IF(financials[[#This Row],[Discount Band]]="low",0.1,IF(financials[[#This Row],[Discount Band]]="medium",0.15,0.3))</f>
        <v>0.15</v>
      </c>
      <c r="I66" s="8">
        <f>financials[[#This Row],[Gross Sales]]-financials[[#This Row],[Gross Sales]]*financials[[#This Row],[Discounts]]</f>
        <v>293.25</v>
      </c>
      <c r="J66" s="8">
        <f>VLOOKUP(financials[[#This Row],[productid]],Products!$B$2:$H$10,4)</f>
        <v>9.9499999999999993</v>
      </c>
      <c r="K66" s="8">
        <f>financials[[#This Row],[Net Sales]]-financials[[#This Row],[COGS]]</f>
        <v>283.3</v>
      </c>
      <c r="L66" s="15">
        <v>44600</v>
      </c>
      <c r="M66" t="s">
        <v>690</v>
      </c>
    </row>
    <row r="67" spans="1:13" x14ac:dyDescent="0.25">
      <c r="A67" t="s">
        <v>86</v>
      </c>
      <c r="B67" s="6" t="s">
        <v>644</v>
      </c>
      <c r="C67" s="13">
        <v>107</v>
      </c>
      <c r="D67" s="14" t="s">
        <v>91</v>
      </c>
      <c r="E67">
        <v>15</v>
      </c>
      <c r="F67" s="8">
        <f>VLOOKUP(financials[[#This Row],[productid]],Products!$B$2:$H$10,3)</f>
        <v>15</v>
      </c>
      <c r="G67" s="8">
        <f>financials[[#This Row],[Units Sold]]*financials[[#This Row],[Sale Price]]</f>
        <v>225</v>
      </c>
      <c r="H67" s="8">
        <f>IF(financials[[#This Row],[Discount Band]]="low",0.1,IF(financials[[#This Row],[Discount Band]]="medium",0.15,0.3))</f>
        <v>0.1</v>
      </c>
      <c r="I67" s="8">
        <f>financials[[#This Row],[Gross Sales]]-financials[[#This Row],[Gross Sales]]*financials[[#This Row],[Discounts]]</f>
        <v>202.5</v>
      </c>
      <c r="J67" s="8">
        <f>VLOOKUP(financials[[#This Row],[productid]],Products!$B$2:$H$10,4)</f>
        <v>5.5</v>
      </c>
      <c r="K67" s="8">
        <f>financials[[#This Row],[Net Sales]]-financials[[#This Row],[COGS]]</f>
        <v>197</v>
      </c>
      <c r="L67" s="15">
        <v>45404</v>
      </c>
      <c r="M67" t="s">
        <v>691</v>
      </c>
    </row>
    <row r="68" spans="1:13" x14ac:dyDescent="0.25">
      <c r="A68" t="s">
        <v>89</v>
      </c>
      <c r="B68" s="6" t="s">
        <v>644</v>
      </c>
      <c r="C68" s="13">
        <v>106</v>
      </c>
      <c r="D68" s="14" t="s">
        <v>90</v>
      </c>
      <c r="E68">
        <v>5</v>
      </c>
      <c r="F68" s="8">
        <f>VLOOKUP(financials[[#This Row],[productid]],Products!$B$2:$H$10,3)</f>
        <v>25</v>
      </c>
      <c r="G68" s="8">
        <f>financials[[#This Row],[Units Sold]]*financials[[#This Row],[Sale Price]]</f>
        <v>125</v>
      </c>
      <c r="H68" s="8">
        <f>IF(financials[[#This Row],[Discount Band]]="low",0.1,IF(financials[[#This Row],[Discount Band]]="medium",0.15,0.3))</f>
        <v>0.15</v>
      </c>
      <c r="I68" s="8">
        <f>financials[[#This Row],[Gross Sales]]-financials[[#This Row],[Gross Sales]]*financials[[#This Row],[Discounts]]</f>
        <v>106.25</v>
      </c>
      <c r="J68" s="8">
        <f>VLOOKUP(financials[[#This Row],[productid]],Products!$B$2:$H$10,4)</f>
        <v>9.1</v>
      </c>
      <c r="K68" s="8">
        <f>financials[[#This Row],[Net Sales]]-financials[[#This Row],[COGS]]</f>
        <v>97.15</v>
      </c>
      <c r="L68" s="15">
        <v>43930</v>
      </c>
      <c r="M68" t="s">
        <v>696</v>
      </c>
    </row>
    <row r="69" spans="1:13" x14ac:dyDescent="0.25">
      <c r="A69" t="s">
        <v>89</v>
      </c>
      <c r="B69" s="6" t="s">
        <v>644</v>
      </c>
      <c r="C69" s="13">
        <v>108</v>
      </c>
      <c r="D69" s="14" t="s">
        <v>90</v>
      </c>
      <c r="E69">
        <v>13</v>
      </c>
      <c r="F69" s="8">
        <f>VLOOKUP(financials[[#This Row],[productid]],Products!$B$2:$H$10,3)</f>
        <v>5.5</v>
      </c>
      <c r="G69" s="8">
        <f>financials[[#This Row],[Units Sold]]*financials[[#This Row],[Sale Price]]</f>
        <v>71.5</v>
      </c>
      <c r="H69" s="8">
        <f>IF(financials[[#This Row],[Discount Band]]="low",0.1,IF(financials[[#This Row],[Discount Band]]="medium",0.15,0.3))</f>
        <v>0.15</v>
      </c>
      <c r="I69" s="8">
        <f>financials[[#This Row],[Gross Sales]]-financials[[#This Row],[Gross Sales]]*financials[[#This Row],[Discounts]]</f>
        <v>60.774999999999999</v>
      </c>
      <c r="J69" s="8">
        <f>VLOOKUP(financials[[#This Row],[productid]],Products!$B$2:$H$10,4)</f>
        <v>3.99</v>
      </c>
      <c r="K69" s="8">
        <f>financials[[#This Row],[Net Sales]]-financials[[#This Row],[COGS]]</f>
        <v>56.784999999999997</v>
      </c>
      <c r="L69" s="15">
        <v>45657</v>
      </c>
      <c r="M69" t="s">
        <v>691</v>
      </c>
    </row>
    <row r="70" spans="1:13" x14ac:dyDescent="0.25">
      <c r="A70" t="s">
        <v>85</v>
      </c>
      <c r="B70" s="6" t="s">
        <v>644</v>
      </c>
      <c r="C70" s="13">
        <v>102</v>
      </c>
      <c r="D70" s="14" t="s">
        <v>83</v>
      </c>
      <c r="E70">
        <v>20</v>
      </c>
      <c r="F70" s="8">
        <f>VLOOKUP(financials[[#This Row],[productid]],Products!$B$2:$H$10,3)</f>
        <v>15</v>
      </c>
      <c r="G70" s="8">
        <f>financials[[#This Row],[Units Sold]]*financials[[#This Row],[Sale Price]]</f>
        <v>300</v>
      </c>
      <c r="H70" s="8">
        <f>IF(financials[[#This Row],[Discount Band]]="low",0.1,IF(financials[[#This Row],[Discount Band]]="medium",0.15,0.3))</f>
        <v>0.3</v>
      </c>
      <c r="I70" s="8">
        <f>financials[[#This Row],[Gross Sales]]-financials[[#This Row],[Gross Sales]]*financials[[#This Row],[Discounts]]</f>
        <v>210</v>
      </c>
      <c r="J70" s="8">
        <f>VLOOKUP(financials[[#This Row],[productid]],Products!$B$2:$H$10,4)</f>
        <v>13.95</v>
      </c>
      <c r="K70" s="8">
        <f>financials[[#This Row],[Net Sales]]-financials[[#This Row],[COGS]]</f>
        <v>196.05</v>
      </c>
      <c r="L70" s="15">
        <v>45392</v>
      </c>
      <c r="M70" t="s">
        <v>700</v>
      </c>
    </row>
    <row r="71" spans="1:13" x14ac:dyDescent="0.25">
      <c r="A71" t="s">
        <v>85</v>
      </c>
      <c r="B71" s="6" t="s">
        <v>266</v>
      </c>
      <c r="C71" s="13">
        <v>109</v>
      </c>
      <c r="D71" s="14" t="s">
        <v>83</v>
      </c>
      <c r="E71">
        <v>16</v>
      </c>
      <c r="F71" s="8">
        <f>VLOOKUP(financials[[#This Row],[productid]],Products!$B$2:$H$10,3)</f>
        <v>36</v>
      </c>
      <c r="G71" s="8">
        <f>financials[[#This Row],[Units Sold]]*financials[[#This Row],[Sale Price]]</f>
        <v>576</v>
      </c>
      <c r="H71" s="8">
        <f>IF(financials[[#This Row],[Discount Band]]="low",0.1,IF(financials[[#This Row],[Discount Band]]="medium",0.15,0.3))</f>
        <v>0.3</v>
      </c>
      <c r="I71" s="8">
        <f>financials[[#This Row],[Gross Sales]]-financials[[#This Row],[Gross Sales]]*financials[[#This Row],[Discounts]]</f>
        <v>403.20000000000005</v>
      </c>
      <c r="J71" s="8">
        <f>VLOOKUP(financials[[#This Row],[productid]],Products!$B$2:$H$10,4)</f>
        <v>16.8</v>
      </c>
      <c r="K71" s="8">
        <f>financials[[#This Row],[Net Sales]]-financials[[#This Row],[COGS]]</f>
        <v>386.40000000000003</v>
      </c>
      <c r="L71" s="15">
        <v>43933</v>
      </c>
      <c r="M71" t="s">
        <v>696</v>
      </c>
    </row>
    <row r="72" spans="1:13" x14ac:dyDescent="0.25">
      <c r="A72" t="s">
        <v>86</v>
      </c>
      <c r="B72" s="6" t="s">
        <v>266</v>
      </c>
      <c r="C72" s="13">
        <v>101</v>
      </c>
      <c r="D72" s="14" t="s">
        <v>91</v>
      </c>
      <c r="E72">
        <v>17</v>
      </c>
      <c r="F72" s="8">
        <f>VLOOKUP(financials[[#This Row],[productid]],Products!$B$2:$H$10,3)</f>
        <v>23</v>
      </c>
      <c r="G72" s="8">
        <f>financials[[#This Row],[Units Sold]]*financials[[#This Row],[Sale Price]]</f>
        <v>391</v>
      </c>
      <c r="H72" s="8">
        <f>IF(financials[[#This Row],[Discount Band]]="low",0.1,IF(financials[[#This Row],[Discount Band]]="medium",0.15,0.3))</f>
        <v>0.1</v>
      </c>
      <c r="I72" s="8">
        <f>financials[[#This Row],[Gross Sales]]-financials[[#This Row],[Gross Sales]]*financials[[#This Row],[Discounts]]</f>
        <v>351.9</v>
      </c>
      <c r="J72" s="8">
        <f>VLOOKUP(financials[[#This Row],[productid]],Products!$B$2:$H$10,4)</f>
        <v>9.9499999999999993</v>
      </c>
      <c r="K72" s="8">
        <f>financials[[#This Row],[Net Sales]]-financials[[#This Row],[COGS]]</f>
        <v>341.95</v>
      </c>
      <c r="L72" s="15">
        <v>45102</v>
      </c>
      <c r="M72" t="s">
        <v>700</v>
      </c>
    </row>
    <row r="73" spans="1:13" x14ac:dyDescent="0.25">
      <c r="A73" t="s">
        <v>85</v>
      </c>
      <c r="B73" s="6" t="s">
        <v>545</v>
      </c>
      <c r="C73" s="11">
        <v>108</v>
      </c>
      <c r="D73" s="9" t="s">
        <v>90</v>
      </c>
      <c r="E73">
        <v>19</v>
      </c>
      <c r="F73" s="8">
        <f>VLOOKUP(financials[[#This Row],[productid]],Products!$B$2:$H$10,3)</f>
        <v>5.5</v>
      </c>
      <c r="G73" s="8">
        <f>financials[[#This Row],[Units Sold]]*financials[[#This Row],[Sale Price]]</f>
        <v>104.5</v>
      </c>
      <c r="H73" s="8">
        <f>IF(financials[[#This Row],[Discount Band]]="low",0.1,IF(financials[[#This Row],[Discount Band]]="medium",0.15,0.3))</f>
        <v>0.15</v>
      </c>
      <c r="I73" s="8">
        <f>financials[[#This Row],[Gross Sales]]-financials[[#This Row],[Gross Sales]]*financials[[#This Row],[Discounts]]</f>
        <v>88.825000000000003</v>
      </c>
      <c r="J73" s="8">
        <f>VLOOKUP(financials[[#This Row],[productid]],Products!$B$2:$H$10,4)</f>
        <v>3.99</v>
      </c>
      <c r="K73" s="8">
        <f>financials[[#This Row],[Net Sales]]-financials[[#This Row],[COGS]]</f>
        <v>84.835000000000008</v>
      </c>
      <c r="L73" s="15">
        <v>44063</v>
      </c>
      <c r="M73" t="s">
        <v>696</v>
      </c>
    </row>
    <row r="74" spans="1:13" x14ac:dyDescent="0.25">
      <c r="A74" t="s">
        <v>85</v>
      </c>
      <c r="B74" s="6" t="s">
        <v>266</v>
      </c>
      <c r="C74" s="13">
        <v>105</v>
      </c>
      <c r="D74" s="14" t="s">
        <v>83</v>
      </c>
      <c r="E74">
        <v>12</v>
      </c>
      <c r="F74" s="8">
        <f>VLOOKUP(financials[[#This Row],[productid]],Products!$B$2:$H$10,3)</f>
        <v>15</v>
      </c>
      <c r="G74" s="8">
        <f>financials[[#This Row],[Units Sold]]*financials[[#This Row],[Sale Price]]</f>
        <v>180</v>
      </c>
      <c r="H74" s="8">
        <f>IF(financials[[#This Row],[Discount Band]]="low",0.1,IF(financials[[#This Row],[Discount Band]]="medium",0.15,0.3))</f>
        <v>0.3</v>
      </c>
      <c r="I74" s="8">
        <f>financials[[#This Row],[Gross Sales]]-financials[[#This Row],[Gross Sales]]*financials[[#This Row],[Discounts]]</f>
        <v>126</v>
      </c>
      <c r="J74" s="8">
        <f>VLOOKUP(financials[[#This Row],[productid]],Products!$B$2:$H$10,4)</f>
        <v>10</v>
      </c>
      <c r="K74" s="8">
        <f>financials[[#This Row],[Net Sales]]-financials[[#This Row],[COGS]]</f>
        <v>116</v>
      </c>
      <c r="L74" s="15">
        <v>44121</v>
      </c>
      <c r="M74" t="s">
        <v>691</v>
      </c>
    </row>
    <row r="75" spans="1:13" x14ac:dyDescent="0.25">
      <c r="A75" t="s">
        <v>86</v>
      </c>
      <c r="B75" s="6" t="s">
        <v>266</v>
      </c>
      <c r="C75" s="13">
        <v>101</v>
      </c>
      <c r="D75" s="14" t="s">
        <v>90</v>
      </c>
      <c r="E75">
        <v>16</v>
      </c>
      <c r="F75" s="8">
        <f>VLOOKUP(financials[[#This Row],[productid]],Products!$B$2:$H$10,3)</f>
        <v>23</v>
      </c>
      <c r="G75" s="8">
        <f>financials[[#This Row],[Units Sold]]*financials[[#This Row],[Sale Price]]</f>
        <v>368</v>
      </c>
      <c r="H75" s="8">
        <f>IF(financials[[#This Row],[Discount Band]]="low",0.1,IF(financials[[#This Row],[Discount Band]]="medium",0.15,0.3))</f>
        <v>0.15</v>
      </c>
      <c r="I75" s="8">
        <f>financials[[#This Row],[Gross Sales]]-financials[[#This Row],[Gross Sales]]*financials[[#This Row],[Discounts]]</f>
        <v>312.8</v>
      </c>
      <c r="J75" s="8">
        <f>VLOOKUP(financials[[#This Row],[productid]],Products!$B$2:$H$10,4)</f>
        <v>9.9499999999999993</v>
      </c>
      <c r="K75" s="8">
        <f>financials[[#This Row],[Net Sales]]-financials[[#This Row],[COGS]]</f>
        <v>302.85000000000002</v>
      </c>
      <c r="L75" s="15">
        <v>45198</v>
      </c>
      <c r="M75" t="s">
        <v>697</v>
      </c>
    </row>
    <row r="76" spans="1:13" x14ac:dyDescent="0.25">
      <c r="A76" t="s">
        <v>85</v>
      </c>
      <c r="B76" s="6" t="s">
        <v>644</v>
      </c>
      <c r="C76" s="13">
        <v>109</v>
      </c>
      <c r="D76" s="14" t="s">
        <v>91</v>
      </c>
      <c r="E76">
        <v>5</v>
      </c>
      <c r="F76" s="8">
        <f>VLOOKUP(financials[[#This Row],[productid]],Products!$B$2:$H$10,3)</f>
        <v>36</v>
      </c>
      <c r="G76" s="8">
        <f>financials[[#This Row],[Units Sold]]*financials[[#This Row],[Sale Price]]</f>
        <v>180</v>
      </c>
      <c r="H76" s="8">
        <f>IF(financials[[#This Row],[Discount Band]]="low",0.1,IF(financials[[#This Row],[Discount Band]]="medium",0.15,0.3))</f>
        <v>0.1</v>
      </c>
      <c r="I76" s="8">
        <f>financials[[#This Row],[Gross Sales]]-financials[[#This Row],[Gross Sales]]*financials[[#This Row],[Discounts]]</f>
        <v>162</v>
      </c>
      <c r="J76" s="8">
        <f>VLOOKUP(financials[[#This Row],[productid]],Products!$B$2:$H$10,4)</f>
        <v>16.8</v>
      </c>
      <c r="K76" s="8">
        <f>financials[[#This Row],[Net Sales]]-financials[[#This Row],[COGS]]</f>
        <v>145.19999999999999</v>
      </c>
      <c r="L76" s="15">
        <v>44715</v>
      </c>
      <c r="M76" t="s">
        <v>690</v>
      </c>
    </row>
    <row r="77" spans="1:13" x14ac:dyDescent="0.25">
      <c r="A77" t="s">
        <v>89</v>
      </c>
      <c r="B77" s="6" t="s">
        <v>266</v>
      </c>
      <c r="C77" s="13">
        <v>108</v>
      </c>
      <c r="D77" s="14" t="s">
        <v>83</v>
      </c>
      <c r="E77">
        <v>7</v>
      </c>
      <c r="F77" s="8">
        <f>VLOOKUP(financials[[#This Row],[productid]],Products!$B$2:$H$10,3)</f>
        <v>5.5</v>
      </c>
      <c r="G77" s="8">
        <f>financials[[#This Row],[Units Sold]]*financials[[#This Row],[Sale Price]]</f>
        <v>38.5</v>
      </c>
      <c r="H77" s="8">
        <f>IF(financials[[#This Row],[Discount Band]]="low",0.1,IF(financials[[#This Row],[Discount Band]]="medium",0.15,0.3))</f>
        <v>0.3</v>
      </c>
      <c r="I77" s="8">
        <f>financials[[#This Row],[Gross Sales]]-financials[[#This Row],[Gross Sales]]*financials[[#This Row],[Discounts]]</f>
        <v>26.950000000000003</v>
      </c>
      <c r="J77" s="8">
        <f>VLOOKUP(financials[[#This Row],[productid]],Products!$B$2:$H$10,4)</f>
        <v>3.99</v>
      </c>
      <c r="K77" s="8">
        <f>financials[[#This Row],[Net Sales]]-financials[[#This Row],[COGS]]</f>
        <v>22.96</v>
      </c>
      <c r="L77" s="15">
        <v>44064</v>
      </c>
      <c r="M77" t="s">
        <v>696</v>
      </c>
    </row>
    <row r="78" spans="1:13" x14ac:dyDescent="0.25">
      <c r="A78" t="s">
        <v>86</v>
      </c>
      <c r="B78" s="6" t="s">
        <v>545</v>
      </c>
      <c r="C78" s="13">
        <v>101</v>
      </c>
      <c r="D78" s="14" t="s">
        <v>90</v>
      </c>
      <c r="E78">
        <v>10</v>
      </c>
      <c r="F78" s="8">
        <f>VLOOKUP(financials[[#This Row],[productid]],Products!$B$2:$H$10,3)</f>
        <v>23</v>
      </c>
      <c r="G78" s="8">
        <f>financials[[#This Row],[Units Sold]]*financials[[#This Row],[Sale Price]]</f>
        <v>230</v>
      </c>
      <c r="H78" s="8">
        <f>IF(financials[[#This Row],[Discount Band]]="low",0.1,IF(financials[[#This Row],[Discount Band]]="medium",0.15,0.3))</f>
        <v>0.15</v>
      </c>
      <c r="I78" s="8">
        <f>financials[[#This Row],[Gross Sales]]-financials[[#This Row],[Gross Sales]]*financials[[#This Row],[Discounts]]</f>
        <v>195.5</v>
      </c>
      <c r="J78" s="8">
        <f>VLOOKUP(financials[[#This Row],[productid]],Products!$B$2:$H$10,4)</f>
        <v>9.9499999999999993</v>
      </c>
      <c r="K78" s="8">
        <f>financials[[#This Row],[Net Sales]]-financials[[#This Row],[COGS]]</f>
        <v>185.55</v>
      </c>
      <c r="L78" s="15">
        <v>44145</v>
      </c>
      <c r="M78" t="s">
        <v>691</v>
      </c>
    </row>
    <row r="79" spans="1:13" x14ac:dyDescent="0.25">
      <c r="A79" t="s">
        <v>86</v>
      </c>
      <c r="B79" s="6" t="s">
        <v>545</v>
      </c>
      <c r="C79" s="13">
        <v>109</v>
      </c>
      <c r="D79" s="14" t="s">
        <v>83</v>
      </c>
      <c r="E79">
        <v>10</v>
      </c>
      <c r="F79" s="8">
        <f>VLOOKUP(financials[[#This Row],[productid]],Products!$B$2:$H$10,3)</f>
        <v>36</v>
      </c>
      <c r="G79" s="8">
        <f>financials[[#This Row],[Units Sold]]*financials[[#This Row],[Sale Price]]</f>
        <v>360</v>
      </c>
      <c r="H79" s="8">
        <f>IF(financials[[#This Row],[Discount Band]]="low",0.1,IF(financials[[#This Row],[Discount Band]]="medium",0.15,0.3))</f>
        <v>0.3</v>
      </c>
      <c r="I79" s="8">
        <f>financials[[#This Row],[Gross Sales]]-financials[[#This Row],[Gross Sales]]*financials[[#This Row],[Discounts]]</f>
        <v>252</v>
      </c>
      <c r="J79" s="8">
        <f>VLOOKUP(financials[[#This Row],[productid]],Products!$B$2:$H$10,4)</f>
        <v>16.8</v>
      </c>
      <c r="K79" s="8">
        <f>financials[[#This Row],[Net Sales]]-financials[[#This Row],[COGS]]</f>
        <v>235.2</v>
      </c>
      <c r="L79" s="15">
        <v>44676</v>
      </c>
      <c r="M79" t="s">
        <v>700</v>
      </c>
    </row>
    <row r="80" spans="1:13" x14ac:dyDescent="0.25">
      <c r="A80" t="s">
        <v>86</v>
      </c>
      <c r="B80" s="6" t="s">
        <v>93</v>
      </c>
      <c r="C80" s="13">
        <v>103</v>
      </c>
      <c r="D80" s="14" t="s">
        <v>83</v>
      </c>
      <c r="E80">
        <v>9</v>
      </c>
      <c r="F80" s="8">
        <f>VLOOKUP(financials[[#This Row],[productid]],Products!$B$2:$H$10,3)</f>
        <v>28</v>
      </c>
      <c r="G80" s="8">
        <f>financials[[#This Row],[Units Sold]]*financials[[#This Row],[Sale Price]]</f>
        <v>252</v>
      </c>
      <c r="H80" s="8">
        <f>IF(financials[[#This Row],[Discount Band]]="low",0.1,IF(financials[[#This Row],[Discount Band]]="medium",0.15,0.3))</f>
        <v>0.3</v>
      </c>
      <c r="I80" s="8">
        <f>financials[[#This Row],[Gross Sales]]-financials[[#This Row],[Gross Sales]]*financials[[#This Row],[Discounts]]</f>
        <v>176.4</v>
      </c>
      <c r="J80" s="8">
        <f>VLOOKUP(financials[[#This Row],[productid]],Products!$B$2:$H$10,4)</f>
        <v>15</v>
      </c>
      <c r="K80" s="8">
        <f>financials[[#This Row],[Net Sales]]-financials[[#This Row],[COGS]]</f>
        <v>161.4</v>
      </c>
      <c r="L80" s="15">
        <v>43958</v>
      </c>
      <c r="M80" t="s">
        <v>697</v>
      </c>
    </row>
    <row r="81" spans="1:13" x14ac:dyDescent="0.25">
      <c r="A81" t="s">
        <v>86</v>
      </c>
      <c r="B81" s="6" t="s">
        <v>545</v>
      </c>
      <c r="C81" s="13">
        <v>105</v>
      </c>
      <c r="D81" s="14" t="s">
        <v>83</v>
      </c>
      <c r="E81">
        <v>20</v>
      </c>
      <c r="F81" s="8">
        <f>VLOOKUP(financials[[#This Row],[productid]],Products!$B$2:$H$10,3)</f>
        <v>15</v>
      </c>
      <c r="G81" s="8">
        <f>financials[[#This Row],[Units Sold]]*financials[[#This Row],[Sale Price]]</f>
        <v>300</v>
      </c>
      <c r="H81" s="8">
        <f>IF(financials[[#This Row],[Discount Band]]="low",0.1,IF(financials[[#This Row],[Discount Band]]="medium",0.15,0.3))</f>
        <v>0.3</v>
      </c>
      <c r="I81" s="8">
        <f>financials[[#This Row],[Gross Sales]]-financials[[#This Row],[Gross Sales]]*financials[[#This Row],[Discounts]]</f>
        <v>210</v>
      </c>
      <c r="J81" s="8">
        <f>VLOOKUP(financials[[#This Row],[productid]],Products!$B$2:$H$10,4)</f>
        <v>10</v>
      </c>
      <c r="K81" s="8">
        <f>financials[[#This Row],[Net Sales]]-financials[[#This Row],[COGS]]</f>
        <v>200</v>
      </c>
      <c r="L81" s="15">
        <v>44806</v>
      </c>
      <c r="M81" t="s">
        <v>696</v>
      </c>
    </row>
    <row r="82" spans="1:13" x14ac:dyDescent="0.25">
      <c r="A82" t="s">
        <v>86</v>
      </c>
      <c r="B82" s="6" t="s">
        <v>93</v>
      </c>
      <c r="C82" s="11">
        <v>109</v>
      </c>
      <c r="D82" s="9" t="s">
        <v>91</v>
      </c>
      <c r="E82">
        <v>17</v>
      </c>
      <c r="F82" s="8">
        <f>VLOOKUP(financials[[#This Row],[productid]],Products!$B$2:$H$10,3)</f>
        <v>36</v>
      </c>
      <c r="G82" s="8">
        <f>financials[[#This Row],[Units Sold]]*financials[[#This Row],[Sale Price]]</f>
        <v>612</v>
      </c>
      <c r="H82" s="8">
        <f>IF(financials[[#This Row],[Discount Band]]="low",0.1,IF(financials[[#This Row],[Discount Band]]="medium",0.15,0.3))</f>
        <v>0.1</v>
      </c>
      <c r="I82" s="8">
        <f>financials[[#This Row],[Gross Sales]]-financials[[#This Row],[Gross Sales]]*financials[[#This Row],[Discounts]]</f>
        <v>550.79999999999995</v>
      </c>
      <c r="J82" s="8">
        <f>VLOOKUP(financials[[#This Row],[productid]],Products!$B$2:$H$10,4)</f>
        <v>16.8</v>
      </c>
      <c r="K82" s="8">
        <f>financials[[#This Row],[Net Sales]]-financials[[#This Row],[COGS]]</f>
        <v>534</v>
      </c>
      <c r="L82" s="15">
        <v>44059</v>
      </c>
      <c r="M82" t="s">
        <v>690</v>
      </c>
    </row>
    <row r="83" spans="1:13" x14ac:dyDescent="0.25">
      <c r="A83" t="s">
        <v>86</v>
      </c>
      <c r="B83" s="6" t="s">
        <v>287</v>
      </c>
      <c r="C83" s="13">
        <v>107</v>
      </c>
      <c r="D83" s="14" t="s">
        <v>91</v>
      </c>
      <c r="E83">
        <v>7</v>
      </c>
      <c r="F83" s="8">
        <f>VLOOKUP(financials[[#This Row],[productid]],Products!$B$2:$H$10,3)</f>
        <v>15</v>
      </c>
      <c r="G83" s="8">
        <f>financials[[#This Row],[Units Sold]]*financials[[#This Row],[Sale Price]]</f>
        <v>105</v>
      </c>
      <c r="H83" s="8">
        <f>IF(financials[[#This Row],[Discount Band]]="low",0.1,IF(financials[[#This Row],[Discount Band]]="medium",0.15,0.3))</f>
        <v>0.1</v>
      </c>
      <c r="I83" s="8">
        <f>financials[[#This Row],[Gross Sales]]-financials[[#This Row],[Gross Sales]]*financials[[#This Row],[Discounts]]</f>
        <v>94.5</v>
      </c>
      <c r="J83" s="8">
        <f>VLOOKUP(financials[[#This Row],[productid]],Products!$B$2:$H$10,4)</f>
        <v>5.5</v>
      </c>
      <c r="K83" s="8">
        <f>financials[[#This Row],[Net Sales]]-financials[[#This Row],[COGS]]</f>
        <v>89</v>
      </c>
      <c r="L83" s="15">
        <v>45608</v>
      </c>
      <c r="M83" t="s">
        <v>696</v>
      </c>
    </row>
    <row r="84" spans="1:13" x14ac:dyDescent="0.25">
      <c r="A84" t="s">
        <v>86</v>
      </c>
      <c r="B84" s="6" t="s">
        <v>93</v>
      </c>
      <c r="C84" s="13">
        <v>102</v>
      </c>
      <c r="D84" s="14" t="s">
        <v>83</v>
      </c>
      <c r="E84">
        <v>6</v>
      </c>
      <c r="F84" s="8">
        <f>VLOOKUP(financials[[#This Row],[productid]],Products!$B$2:$H$10,3)</f>
        <v>15</v>
      </c>
      <c r="G84" s="8">
        <f>financials[[#This Row],[Units Sold]]*financials[[#This Row],[Sale Price]]</f>
        <v>90</v>
      </c>
      <c r="H84" s="8">
        <f>IF(financials[[#This Row],[Discount Band]]="low",0.1,IF(financials[[#This Row],[Discount Band]]="medium",0.15,0.3))</f>
        <v>0.3</v>
      </c>
      <c r="I84" s="8">
        <f>financials[[#This Row],[Gross Sales]]-financials[[#This Row],[Gross Sales]]*financials[[#This Row],[Discounts]]</f>
        <v>63</v>
      </c>
      <c r="J84" s="8">
        <f>VLOOKUP(financials[[#This Row],[productid]],Products!$B$2:$H$10,4)</f>
        <v>13.95</v>
      </c>
      <c r="K84" s="8">
        <f>financials[[#This Row],[Net Sales]]-financials[[#This Row],[COGS]]</f>
        <v>49.05</v>
      </c>
      <c r="L84" s="15">
        <v>44307</v>
      </c>
      <c r="M84" t="s">
        <v>700</v>
      </c>
    </row>
    <row r="85" spans="1:13" x14ac:dyDescent="0.25">
      <c r="A85" t="s">
        <v>85</v>
      </c>
      <c r="B85" s="6" t="s">
        <v>266</v>
      </c>
      <c r="C85" s="13">
        <v>109</v>
      </c>
      <c r="D85" s="14" t="s">
        <v>90</v>
      </c>
      <c r="E85">
        <v>5</v>
      </c>
      <c r="F85" s="8">
        <f>VLOOKUP(financials[[#This Row],[productid]],Products!$B$2:$H$10,3)</f>
        <v>36</v>
      </c>
      <c r="G85" s="8">
        <f>financials[[#This Row],[Units Sold]]*financials[[#This Row],[Sale Price]]</f>
        <v>180</v>
      </c>
      <c r="H85" s="8">
        <f>IF(financials[[#This Row],[Discount Band]]="low",0.1,IF(financials[[#This Row],[Discount Band]]="medium",0.15,0.3))</f>
        <v>0.15</v>
      </c>
      <c r="I85" s="8">
        <f>financials[[#This Row],[Gross Sales]]-financials[[#This Row],[Gross Sales]]*financials[[#This Row],[Discounts]]</f>
        <v>153</v>
      </c>
      <c r="J85" s="8">
        <f>VLOOKUP(financials[[#This Row],[productid]],Products!$B$2:$H$10,4)</f>
        <v>16.8</v>
      </c>
      <c r="K85" s="8">
        <f>financials[[#This Row],[Net Sales]]-financials[[#This Row],[COGS]]</f>
        <v>136.19999999999999</v>
      </c>
      <c r="L85" s="15">
        <v>44834</v>
      </c>
      <c r="M85" t="s">
        <v>696</v>
      </c>
    </row>
    <row r="86" spans="1:13" x14ac:dyDescent="0.25">
      <c r="A86" t="s">
        <v>86</v>
      </c>
      <c r="B86" s="6" t="s">
        <v>274</v>
      </c>
      <c r="C86" s="13">
        <v>104</v>
      </c>
      <c r="D86" s="14" t="s">
        <v>92</v>
      </c>
      <c r="E86">
        <v>17</v>
      </c>
      <c r="F86" s="8">
        <f>VLOOKUP(financials[[#This Row],[productid]],Products!$B$2:$H$10,3)</f>
        <v>5.9</v>
      </c>
      <c r="G86" s="8">
        <f>financials[[#This Row],[Units Sold]]*financials[[#This Row],[Sale Price]]</f>
        <v>100.30000000000001</v>
      </c>
      <c r="H86" s="8">
        <f>IF(financials[[#This Row],[Discount Band]]="low",0.1,IF(financials[[#This Row],[Discount Band]]="medium",0.15,0.3))</f>
        <v>0.3</v>
      </c>
      <c r="I86" s="8">
        <f>financials[[#This Row],[Gross Sales]]-financials[[#This Row],[Gross Sales]]*financials[[#This Row],[Discounts]]</f>
        <v>70.210000000000008</v>
      </c>
      <c r="J86" s="8">
        <f>VLOOKUP(financials[[#This Row],[productid]],Products!$B$2:$H$10,4)</f>
        <v>2.9</v>
      </c>
      <c r="K86" s="8">
        <f>financials[[#This Row],[Net Sales]]-financials[[#This Row],[COGS]]</f>
        <v>67.31</v>
      </c>
      <c r="L86" s="15">
        <v>44275</v>
      </c>
      <c r="M86" t="s">
        <v>691</v>
      </c>
    </row>
    <row r="87" spans="1:13" x14ac:dyDescent="0.25">
      <c r="A87" t="s">
        <v>86</v>
      </c>
      <c r="B87" s="6" t="s">
        <v>287</v>
      </c>
      <c r="C87" s="11">
        <v>103</v>
      </c>
      <c r="D87" s="9" t="s">
        <v>90</v>
      </c>
      <c r="E87">
        <v>19</v>
      </c>
      <c r="F87" s="8">
        <f>VLOOKUP(financials[[#This Row],[productid]],Products!$B$2:$H$10,3)</f>
        <v>28</v>
      </c>
      <c r="G87" s="8">
        <f>financials[[#This Row],[Units Sold]]*financials[[#This Row],[Sale Price]]</f>
        <v>532</v>
      </c>
      <c r="H87" s="8">
        <f>IF(financials[[#This Row],[Discount Band]]="low",0.1,IF(financials[[#This Row],[Discount Band]]="medium",0.15,0.3))</f>
        <v>0.15</v>
      </c>
      <c r="I87" s="8">
        <f>financials[[#This Row],[Gross Sales]]-financials[[#This Row],[Gross Sales]]*financials[[#This Row],[Discounts]]</f>
        <v>452.2</v>
      </c>
      <c r="J87" s="8">
        <f>VLOOKUP(financials[[#This Row],[productid]],Products!$B$2:$H$10,4)</f>
        <v>15</v>
      </c>
      <c r="K87" s="8">
        <f>financials[[#This Row],[Net Sales]]-financials[[#This Row],[COGS]]</f>
        <v>437.2</v>
      </c>
      <c r="L87" s="15">
        <v>45184</v>
      </c>
      <c r="M87" t="s">
        <v>700</v>
      </c>
    </row>
    <row r="88" spans="1:13" x14ac:dyDescent="0.25">
      <c r="A88" t="s">
        <v>86</v>
      </c>
      <c r="B88" s="6" t="s">
        <v>545</v>
      </c>
      <c r="C88" s="11">
        <v>101</v>
      </c>
      <c r="D88" s="9" t="s">
        <v>90</v>
      </c>
      <c r="E88">
        <v>11</v>
      </c>
      <c r="F88" s="8">
        <f>VLOOKUP(financials[[#This Row],[productid]],Products!$B$2:$H$10,3)</f>
        <v>23</v>
      </c>
      <c r="G88" s="8">
        <f>financials[[#This Row],[Units Sold]]*financials[[#This Row],[Sale Price]]</f>
        <v>253</v>
      </c>
      <c r="H88" s="8">
        <f>IF(financials[[#This Row],[Discount Band]]="low",0.1,IF(financials[[#This Row],[Discount Band]]="medium",0.15,0.3))</f>
        <v>0.15</v>
      </c>
      <c r="I88" s="8">
        <f>financials[[#This Row],[Gross Sales]]-financials[[#This Row],[Gross Sales]]*financials[[#This Row],[Discounts]]</f>
        <v>215.05</v>
      </c>
      <c r="J88" s="8">
        <f>VLOOKUP(financials[[#This Row],[productid]],Products!$B$2:$H$10,4)</f>
        <v>9.9499999999999993</v>
      </c>
      <c r="K88" s="8">
        <f>financials[[#This Row],[Net Sales]]-financials[[#This Row],[COGS]]</f>
        <v>205.10000000000002</v>
      </c>
      <c r="L88" s="15">
        <v>45549</v>
      </c>
      <c r="M88" t="s">
        <v>690</v>
      </c>
    </row>
    <row r="89" spans="1:13" x14ac:dyDescent="0.25">
      <c r="A89" t="s">
        <v>86</v>
      </c>
      <c r="B89" s="6" t="s">
        <v>125</v>
      </c>
      <c r="C89" s="13">
        <v>105</v>
      </c>
      <c r="D89" s="14" t="s">
        <v>83</v>
      </c>
      <c r="E89">
        <v>19</v>
      </c>
      <c r="F89" s="8">
        <f>VLOOKUP(financials[[#This Row],[productid]],Products!$B$2:$H$10,3)</f>
        <v>15</v>
      </c>
      <c r="G89" s="8">
        <f>financials[[#This Row],[Units Sold]]*financials[[#This Row],[Sale Price]]</f>
        <v>285</v>
      </c>
      <c r="H89" s="8">
        <f>IF(financials[[#This Row],[Discount Band]]="low",0.1,IF(financials[[#This Row],[Discount Band]]="medium",0.15,0.3))</f>
        <v>0.3</v>
      </c>
      <c r="I89" s="8">
        <f>financials[[#This Row],[Gross Sales]]-financials[[#This Row],[Gross Sales]]*financials[[#This Row],[Discounts]]</f>
        <v>199.5</v>
      </c>
      <c r="J89" s="8">
        <f>VLOOKUP(financials[[#This Row],[productid]],Products!$B$2:$H$10,4)</f>
        <v>10</v>
      </c>
      <c r="K89" s="8">
        <f>financials[[#This Row],[Net Sales]]-financials[[#This Row],[COGS]]</f>
        <v>189.5</v>
      </c>
      <c r="L89" s="15">
        <v>44068</v>
      </c>
      <c r="M89" t="s">
        <v>700</v>
      </c>
    </row>
    <row r="90" spans="1:13" x14ac:dyDescent="0.25">
      <c r="A90" t="s">
        <v>85</v>
      </c>
      <c r="B90" s="6" t="s">
        <v>644</v>
      </c>
      <c r="C90" s="13">
        <v>108</v>
      </c>
      <c r="D90" s="14" t="s">
        <v>83</v>
      </c>
      <c r="E90">
        <v>8</v>
      </c>
      <c r="F90" s="8">
        <f>VLOOKUP(financials[[#This Row],[productid]],Products!$B$2:$H$10,3)</f>
        <v>5.5</v>
      </c>
      <c r="G90" s="8">
        <f>financials[[#This Row],[Units Sold]]*financials[[#This Row],[Sale Price]]</f>
        <v>44</v>
      </c>
      <c r="H90" s="8">
        <f>IF(financials[[#This Row],[Discount Band]]="low",0.1,IF(financials[[#This Row],[Discount Band]]="medium",0.15,0.3))</f>
        <v>0.3</v>
      </c>
      <c r="I90" s="8">
        <f>financials[[#This Row],[Gross Sales]]-financials[[#This Row],[Gross Sales]]*financials[[#This Row],[Discounts]]</f>
        <v>30.8</v>
      </c>
      <c r="J90" s="8">
        <f>VLOOKUP(financials[[#This Row],[productid]],Products!$B$2:$H$10,4)</f>
        <v>3.99</v>
      </c>
      <c r="K90" s="8">
        <f>financials[[#This Row],[Net Sales]]-financials[[#This Row],[COGS]]</f>
        <v>26.810000000000002</v>
      </c>
      <c r="L90" s="15">
        <v>44069</v>
      </c>
      <c r="M90" t="s">
        <v>691</v>
      </c>
    </row>
    <row r="91" spans="1:13" x14ac:dyDescent="0.25">
      <c r="A91" t="s">
        <v>86</v>
      </c>
      <c r="B91" s="6" t="s">
        <v>158</v>
      </c>
      <c r="C91" s="13">
        <v>104</v>
      </c>
      <c r="D91" s="14" t="s">
        <v>90</v>
      </c>
      <c r="E91">
        <v>18</v>
      </c>
      <c r="F91" s="8">
        <f>VLOOKUP(financials[[#This Row],[productid]],Products!$B$2:$H$10,3)</f>
        <v>5.9</v>
      </c>
      <c r="G91" s="8">
        <f>financials[[#This Row],[Units Sold]]*financials[[#This Row],[Sale Price]]</f>
        <v>106.2</v>
      </c>
      <c r="H91" s="8">
        <f>IF(financials[[#This Row],[Discount Band]]="low",0.1,IF(financials[[#This Row],[Discount Band]]="medium",0.15,0.3))</f>
        <v>0.15</v>
      </c>
      <c r="I91" s="8">
        <f>financials[[#This Row],[Gross Sales]]-financials[[#This Row],[Gross Sales]]*financials[[#This Row],[Discounts]]</f>
        <v>90.27000000000001</v>
      </c>
      <c r="J91" s="8">
        <f>VLOOKUP(financials[[#This Row],[productid]],Products!$B$2:$H$10,4)</f>
        <v>2.9</v>
      </c>
      <c r="K91" s="8">
        <f>financials[[#This Row],[Net Sales]]-financials[[#This Row],[COGS]]</f>
        <v>87.37</v>
      </c>
      <c r="L91" s="15">
        <v>44350</v>
      </c>
      <c r="M91" t="s">
        <v>690</v>
      </c>
    </row>
    <row r="92" spans="1:13" x14ac:dyDescent="0.25">
      <c r="A92" t="s">
        <v>89</v>
      </c>
      <c r="B92" s="6" t="s">
        <v>644</v>
      </c>
      <c r="C92" s="11">
        <v>109</v>
      </c>
      <c r="D92" s="9" t="s">
        <v>83</v>
      </c>
      <c r="E92">
        <v>7</v>
      </c>
      <c r="F92" s="8">
        <f>VLOOKUP(financials[[#This Row],[productid]],Products!$B$2:$H$10,3)</f>
        <v>36</v>
      </c>
      <c r="G92" s="8">
        <f>financials[[#This Row],[Units Sold]]*financials[[#This Row],[Sale Price]]</f>
        <v>252</v>
      </c>
      <c r="H92" s="8">
        <f>IF(financials[[#This Row],[Discount Band]]="low",0.1,IF(financials[[#This Row],[Discount Band]]="medium",0.15,0.3))</f>
        <v>0.3</v>
      </c>
      <c r="I92" s="8">
        <f>financials[[#This Row],[Gross Sales]]-financials[[#This Row],[Gross Sales]]*financials[[#This Row],[Discounts]]</f>
        <v>176.4</v>
      </c>
      <c r="J92" s="8">
        <f>VLOOKUP(financials[[#This Row],[productid]],Products!$B$2:$H$10,4)</f>
        <v>16.8</v>
      </c>
      <c r="K92" s="8">
        <f>financials[[#This Row],[Net Sales]]-financials[[#This Row],[COGS]]</f>
        <v>159.6</v>
      </c>
      <c r="L92" s="15">
        <v>44821</v>
      </c>
      <c r="M92" t="s">
        <v>697</v>
      </c>
    </row>
    <row r="93" spans="1:13" x14ac:dyDescent="0.25">
      <c r="A93" t="s">
        <v>89</v>
      </c>
      <c r="B93" s="6" t="s">
        <v>266</v>
      </c>
      <c r="C93" s="13">
        <v>102</v>
      </c>
      <c r="D93" s="14" t="s">
        <v>83</v>
      </c>
      <c r="E93">
        <v>7</v>
      </c>
      <c r="F93" s="8">
        <f>VLOOKUP(financials[[#This Row],[productid]],Products!$B$2:$H$10,3)</f>
        <v>15</v>
      </c>
      <c r="G93" s="8">
        <f>financials[[#This Row],[Units Sold]]*financials[[#This Row],[Sale Price]]</f>
        <v>105</v>
      </c>
      <c r="H93" s="8">
        <f>IF(financials[[#This Row],[Discount Band]]="low",0.1,IF(financials[[#This Row],[Discount Band]]="medium",0.15,0.3))</f>
        <v>0.3</v>
      </c>
      <c r="I93" s="8">
        <f>financials[[#This Row],[Gross Sales]]-financials[[#This Row],[Gross Sales]]*financials[[#This Row],[Discounts]]</f>
        <v>73.5</v>
      </c>
      <c r="J93" s="8">
        <f>VLOOKUP(financials[[#This Row],[productid]],Products!$B$2:$H$10,4)</f>
        <v>13.95</v>
      </c>
      <c r="K93" s="8">
        <f>financials[[#This Row],[Net Sales]]-financials[[#This Row],[COGS]]</f>
        <v>59.55</v>
      </c>
      <c r="L93" s="15">
        <v>44921</v>
      </c>
      <c r="M93" t="s">
        <v>697</v>
      </c>
    </row>
    <row r="94" spans="1:13" x14ac:dyDescent="0.25">
      <c r="A94" t="s">
        <v>86</v>
      </c>
      <c r="B94" s="6" t="s">
        <v>266</v>
      </c>
      <c r="C94" s="11">
        <v>104</v>
      </c>
      <c r="D94" s="9" t="s">
        <v>83</v>
      </c>
      <c r="E94">
        <v>6</v>
      </c>
      <c r="F94" s="8">
        <f>VLOOKUP(financials[[#This Row],[productid]],Products!$B$2:$H$10,3)</f>
        <v>5.9</v>
      </c>
      <c r="G94" s="8">
        <f>financials[[#This Row],[Units Sold]]*financials[[#This Row],[Sale Price]]</f>
        <v>35.400000000000006</v>
      </c>
      <c r="H94" s="8">
        <f>IF(financials[[#This Row],[Discount Band]]="low",0.1,IF(financials[[#This Row],[Discount Band]]="medium",0.15,0.3))</f>
        <v>0.3</v>
      </c>
      <c r="I94" s="8">
        <f>financials[[#This Row],[Gross Sales]]-financials[[#This Row],[Gross Sales]]*financials[[#This Row],[Discounts]]</f>
        <v>24.780000000000005</v>
      </c>
      <c r="J94" s="8">
        <f>VLOOKUP(financials[[#This Row],[productid]],Products!$B$2:$H$10,4)</f>
        <v>2.9</v>
      </c>
      <c r="K94" s="8">
        <f>financials[[#This Row],[Net Sales]]-financials[[#This Row],[COGS]]</f>
        <v>21.880000000000006</v>
      </c>
      <c r="L94" s="15">
        <v>45538</v>
      </c>
      <c r="M94" t="s">
        <v>697</v>
      </c>
    </row>
    <row r="95" spans="1:13" x14ac:dyDescent="0.25">
      <c r="A95" t="s">
        <v>86</v>
      </c>
      <c r="B95" s="6" t="s">
        <v>158</v>
      </c>
      <c r="C95" s="13">
        <v>106</v>
      </c>
      <c r="D95" s="14" t="s">
        <v>83</v>
      </c>
      <c r="E95">
        <v>12</v>
      </c>
      <c r="F95" s="8">
        <f>VLOOKUP(financials[[#This Row],[productid]],Products!$B$2:$H$10,3)</f>
        <v>25</v>
      </c>
      <c r="G95" s="8">
        <f>financials[[#This Row],[Units Sold]]*financials[[#This Row],[Sale Price]]</f>
        <v>300</v>
      </c>
      <c r="H95" s="8">
        <f>IF(financials[[#This Row],[Discount Band]]="low",0.1,IF(financials[[#This Row],[Discount Band]]="medium",0.15,0.3))</f>
        <v>0.3</v>
      </c>
      <c r="I95" s="8">
        <f>financials[[#This Row],[Gross Sales]]-financials[[#This Row],[Gross Sales]]*financials[[#This Row],[Discounts]]</f>
        <v>210</v>
      </c>
      <c r="J95" s="8">
        <f>VLOOKUP(financials[[#This Row],[productid]],Products!$B$2:$H$10,4)</f>
        <v>9.1</v>
      </c>
      <c r="K95" s="8">
        <f>financials[[#This Row],[Net Sales]]-financials[[#This Row],[COGS]]</f>
        <v>200.9</v>
      </c>
      <c r="L95" s="15">
        <v>44880</v>
      </c>
      <c r="M95" t="s">
        <v>696</v>
      </c>
    </row>
    <row r="96" spans="1:13" x14ac:dyDescent="0.25">
      <c r="A96" t="s">
        <v>86</v>
      </c>
      <c r="B96" s="6" t="s">
        <v>125</v>
      </c>
      <c r="C96" s="13">
        <v>101</v>
      </c>
      <c r="D96" s="14" t="s">
        <v>83</v>
      </c>
      <c r="E96">
        <v>7</v>
      </c>
      <c r="F96" s="8">
        <f>VLOOKUP(financials[[#This Row],[productid]],Products!$B$2:$H$10,3)</f>
        <v>23</v>
      </c>
      <c r="G96" s="8">
        <f>financials[[#This Row],[Units Sold]]*financials[[#This Row],[Sale Price]]</f>
        <v>161</v>
      </c>
      <c r="H96" s="8">
        <f>IF(financials[[#This Row],[Discount Band]]="low",0.1,IF(financials[[#This Row],[Discount Band]]="medium",0.15,0.3))</f>
        <v>0.3</v>
      </c>
      <c r="I96" s="8">
        <f>financials[[#This Row],[Gross Sales]]-financials[[#This Row],[Gross Sales]]*financials[[#This Row],[Discounts]]</f>
        <v>112.7</v>
      </c>
      <c r="J96" s="8">
        <f>VLOOKUP(financials[[#This Row],[productid]],Products!$B$2:$H$10,4)</f>
        <v>9.9499999999999993</v>
      </c>
      <c r="K96" s="8">
        <f>financials[[#This Row],[Net Sales]]-financials[[#This Row],[COGS]]</f>
        <v>102.75</v>
      </c>
      <c r="L96" s="15">
        <v>44510</v>
      </c>
      <c r="M96" t="s">
        <v>700</v>
      </c>
    </row>
    <row r="97" spans="1:13" x14ac:dyDescent="0.25">
      <c r="A97" t="s">
        <v>86</v>
      </c>
      <c r="B97" s="6" t="s">
        <v>274</v>
      </c>
      <c r="C97" s="11">
        <v>102</v>
      </c>
      <c r="D97" s="9" t="s">
        <v>83</v>
      </c>
      <c r="E97">
        <v>13</v>
      </c>
      <c r="F97" s="8">
        <f>VLOOKUP(financials[[#This Row],[productid]],Products!$B$2:$H$10,3)</f>
        <v>15</v>
      </c>
      <c r="G97" s="8">
        <f>financials[[#This Row],[Units Sold]]*financials[[#This Row],[Sale Price]]</f>
        <v>195</v>
      </c>
      <c r="H97" s="8">
        <f>IF(financials[[#This Row],[Discount Band]]="low",0.1,IF(financials[[#This Row],[Discount Band]]="medium",0.15,0.3))</f>
        <v>0.3</v>
      </c>
      <c r="I97" s="8">
        <f>financials[[#This Row],[Gross Sales]]-financials[[#This Row],[Gross Sales]]*financials[[#This Row],[Discounts]]</f>
        <v>136.5</v>
      </c>
      <c r="J97" s="8">
        <f>VLOOKUP(financials[[#This Row],[productid]],Products!$B$2:$H$10,4)</f>
        <v>13.95</v>
      </c>
      <c r="K97" s="8">
        <f>financials[[#This Row],[Net Sales]]-financials[[#This Row],[COGS]]</f>
        <v>122.55</v>
      </c>
      <c r="L97" s="15">
        <v>45543</v>
      </c>
      <c r="M97" t="s">
        <v>700</v>
      </c>
    </row>
    <row r="98" spans="1:13" x14ac:dyDescent="0.25">
      <c r="A98" t="s">
        <v>86</v>
      </c>
      <c r="B98" s="6" t="s">
        <v>96</v>
      </c>
      <c r="C98" s="13">
        <v>109</v>
      </c>
      <c r="D98" s="14" t="s">
        <v>92</v>
      </c>
      <c r="E98">
        <v>19</v>
      </c>
      <c r="F98" s="8">
        <f>VLOOKUP(financials[[#This Row],[productid]],Products!$B$2:$H$10,3)</f>
        <v>36</v>
      </c>
      <c r="G98" s="8">
        <f>financials[[#This Row],[Units Sold]]*financials[[#This Row],[Sale Price]]</f>
        <v>684</v>
      </c>
      <c r="H98" s="8">
        <f>IF(financials[[#This Row],[Discount Band]]="low",0.1,IF(financials[[#This Row],[Discount Band]]="medium",0.15,0.3))</f>
        <v>0.3</v>
      </c>
      <c r="I98" s="8">
        <f>financials[[#This Row],[Gross Sales]]-financials[[#This Row],[Gross Sales]]*financials[[#This Row],[Discounts]]</f>
        <v>478.8</v>
      </c>
      <c r="J98" s="8">
        <f>VLOOKUP(financials[[#This Row],[productid]],Products!$B$2:$H$10,4)</f>
        <v>16.8</v>
      </c>
      <c r="K98" s="8">
        <f>financials[[#This Row],[Net Sales]]-financials[[#This Row],[COGS]]</f>
        <v>462</v>
      </c>
      <c r="L98" s="15">
        <v>44203</v>
      </c>
      <c r="M98" t="s">
        <v>690</v>
      </c>
    </row>
    <row r="99" spans="1:13" x14ac:dyDescent="0.25">
      <c r="A99" t="s">
        <v>89</v>
      </c>
      <c r="B99" s="6" t="s">
        <v>644</v>
      </c>
      <c r="C99" s="13">
        <v>109</v>
      </c>
      <c r="D99" s="14" t="s">
        <v>83</v>
      </c>
      <c r="E99">
        <v>11</v>
      </c>
      <c r="F99" s="8">
        <f>VLOOKUP(financials[[#This Row],[productid]],Products!$B$2:$H$10,3)</f>
        <v>36</v>
      </c>
      <c r="G99" s="8">
        <f>financials[[#This Row],[Units Sold]]*financials[[#This Row],[Sale Price]]</f>
        <v>396</v>
      </c>
      <c r="H99" s="8">
        <f>IF(financials[[#This Row],[Discount Band]]="low",0.1,IF(financials[[#This Row],[Discount Band]]="medium",0.15,0.3))</f>
        <v>0.3</v>
      </c>
      <c r="I99" s="8">
        <f>financials[[#This Row],[Gross Sales]]-financials[[#This Row],[Gross Sales]]*financials[[#This Row],[Discounts]]</f>
        <v>277.2</v>
      </c>
      <c r="J99" s="8">
        <f>VLOOKUP(financials[[#This Row],[productid]],Products!$B$2:$H$10,4)</f>
        <v>16.8</v>
      </c>
      <c r="K99" s="8">
        <f>financials[[#This Row],[Net Sales]]-financials[[#This Row],[COGS]]</f>
        <v>260.39999999999998</v>
      </c>
      <c r="L99" s="15">
        <v>44733</v>
      </c>
      <c r="M99" t="s">
        <v>696</v>
      </c>
    </row>
    <row r="100" spans="1:13" x14ac:dyDescent="0.25">
      <c r="A100" t="s">
        <v>86</v>
      </c>
      <c r="B100" s="6" t="s">
        <v>158</v>
      </c>
      <c r="C100" s="13">
        <v>102</v>
      </c>
      <c r="D100" s="14" t="s">
        <v>91</v>
      </c>
      <c r="E100">
        <v>11</v>
      </c>
      <c r="F100" s="8">
        <f>VLOOKUP(financials[[#This Row],[productid]],Products!$B$2:$H$10,3)</f>
        <v>15</v>
      </c>
      <c r="G100" s="8">
        <f>financials[[#This Row],[Units Sold]]*financials[[#This Row],[Sale Price]]</f>
        <v>165</v>
      </c>
      <c r="H100" s="8">
        <f>IF(financials[[#This Row],[Discount Band]]="low",0.1,IF(financials[[#This Row],[Discount Band]]="medium",0.15,0.3))</f>
        <v>0.1</v>
      </c>
      <c r="I100" s="8">
        <f>financials[[#This Row],[Gross Sales]]-financials[[#This Row],[Gross Sales]]*financials[[#This Row],[Discounts]]</f>
        <v>148.5</v>
      </c>
      <c r="J100" s="8">
        <f>VLOOKUP(financials[[#This Row],[productid]],Products!$B$2:$H$10,4)</f>
        <v>13.95</v>
      </c>
      <c r="K100" s="8">
        <f>financials[[#This Row],[Net Sales]]-financials[[#This Row],[COGS]]</f>
        <v>134.55000000000001</v>
      </c>
      <c r="L100" s="15">
        <v>45216</v>
      </c>
      <c r="M100" t="s">
        <v>690</v>
      </c>
    </row>
    <row r="101" spans="1:13" x14ac:dyDescent="0.25">
      <c r="A101" t="s">
        <v>86</v>
      </c>
      <c r="B101" s="6" t="s">
        <v>274</v>
      </c>
      <c r="C101" s="13">
        <v>106</v>
      </c>
      <c r="D101" s="14" t="s">
        <v>91</v>
      </c>
      <c r="E101">
        <v>13</v>
      </c>
      <c r="F101" s="8">
        <f>VLOOKUP(financials[[#This Row],[productid]],Products!$B$2:$H$10,3)</f>
        <v>25</v>
      </c>
      <c r="G101" s="8">
        <f>financials[[#This Row],[Units Sold]]*financials[[#This Row],[Sale Price]]</f>
        <v>325</v>
      </c>
      <c r="H101" s="8">
        <f>IF(financials[[#This Row],[Discount Band]]="low",0.1,IF(financials[[#This Row],[Discount Band]]="medium",0.15,0.3))</f>
        <v>0.1</v>
      </c>
      <c r="I101" s="8">
        <f>financials[[#This Row],[Gross Sales]]-financials[[#This Row],[Gross Sales]]*financials[[#This Row],[Discounts]]</f>
        <v>292.5</v>
      </c>
      <c r="J101" s="8">
        <f>VLOOKUP(financials[[#This Row],[productid]],Products!$B$2:$H$10,4)</f>
        <v>9.1</v>
      </c>
      <c r="K101" s="8">
        <f>financials[[#This Row],[Net Sales]]-financials[[#This Row],[COGS]]</f>
        <v>283.39999999999998</v>
      </c>
      <c r="L101" s="15">
        <v>43894</v>
      </c>
      <c r="M101" t="s">
        <v>690</v>
      </c>
    </row>
    <row r="102" spans="1:13" x14ac:dyDescent="0.25">
      <c r="A102" t="s">
        <v>86</v>
      </c>
      <c r="B102" s="6" t="s">
        <v>274</v>
      </c>
      <c r="C102" s="13">
        <v>101</v>
      </c>
      <c r="D102" s="14" t="s">
        <v>90</v>
      </c>
      <c r="E102">
        <v>14</v>
      </c>
      <c r="F102" s="8">
        <f>VLOOKUP(financials[[#This Row],[productid]],Products!$B$2:$H$10,3)</f>
        <v>23</v>
      </c>
      <c r="G102" s="8">
        <f>financials[[#This Row],[Units Sold]]*financials[[#This Row],[Sale Price]]</f>
        <v>322</v>
      </c>
      <c r="H102" s="8">
        <f>IF(financials[[#This Row],[Discount Band]]="low",0.1,IF(financials[[#This Row],[Discount Band]]="medium",0.15,0.3))</f>
        <v>0.15</v>
      </c>
      <c r="I102" s="8">
        <f>financials[[#This Row],[Gross Sales]]-financials[[#This Row],[Gross Sales]]*financials[[#This Row],[Discounts]]</f>
        <v>273.7</v>
      </c>
      <c r="J102" s="8">
        <f>VLOOKUP(financials[[#This Row],[productid]],Products!$B$2:$H$10,4)</f>
        <v>9.9499999999999993</v>
      </c>
      <c r="K102" s="8">
        <f>financials[[#This Row],[Net Sales]]-financials[[#This Row],[COGS]]</f>
        <v>263.75</v>
      </c>
      <c r="L102" s="15">
        <v>44057</v>
      </c>
      <c r="M102" t="s">
        <v>690</v>
      </c>
    </row>
    <row r="103" spans="1:13" x14ac:dyDescent="0.25">
      <c r="A103" t="s">
        <v>86</v>
      </c>
      <c r="B103" s="6" t="s">
        <v>125</v>
      </c>
      <c r="C103" s="13">
        <v>108</v>
      </c>
      <c r="D103" s="14" t="s">
        <v>92</v>
      </c>
      <c r="E103">
        <v>19</v>
      </c>
      <c r="F103" s="8">
        <f>VLOOKUP(financials[[#This Row],[productid]],Products!$B$2:$H$10,3)</f>
        <v>5.5</v>
      </c>
      <c r="G103" s="8">
        <f>financials[[#This Row],[Units Sold]]*financials[[#This Row],[Sale Price]]</f>
        <v>104.5</v>
      </c>
      <c r="H103" s="8">
        <f>IF(financials[[#This Row],[Discount Band]]="low",0.1,IF(financials[[#This Row],[Discount Band]]="medium",0.15,0.3))</f>
        <v>0.3</v>
      </c>
      <c r="I103" s="8">
        <f>financials[[#This Row],[Gross Sales]]-financials[[#This Row],[Gross Sales]]*financials[[#This Row],[Discounts]]</f>
        <v>73.150000000000006</v>
      </c>
      <c r="J103" s="8">
        <f>VLOOKUP(financials[[#This Row],[productid]],Products!$B$2:$H$10,4)</f>
        <v>3.99</v>
      </c>
      <c r="K103" s="8">
        <f>financials[[#This Row],[Net Sales]]-financials[[#This Row],[COGS]]</f>
        <v>69.160000000000011</v>
      </c>
      <c r="L103" s="15">
        <v>45102</v>
      </c>
      <c r="M103" t="s">
        <v>697</v>
      </c>
    </row>
    <row r="104" spans="1:13" x14ac:dyDescent="0.25">
      <c r="A104" t="s">
        <v>86</v>
      </c>
      <c r="B104" s="6" t="s">
        <v>148</v>
      </c>
      <c r="C104" s="13">
        <v>103</v>
      </c>
      <c r="D104" s="14" t="s">
        <v>92</v>
      </c>
      <c r="E104">
        <v>7</v>
      </c>
      <c r="F104" s="8">
        <f>VLOOKUP(financials[[#This Row],[productid]],Products!$B$2:$H$10,3)</f>
        <v>28</v>
      </c>
      <c r="G104" s="8">
        <f>financials[[#This Row],[Units Sold]]*financials[[#This Row],[Sale Price]]</f>
        <v>196</v>
      </c>
      <c r="H104" s="8">
        <f>IF(financials[[#This Row],[Discount Band]]="low",0.1,IF(financials[[#This Row],[Discount Band]]="medium",0.15,0.3))</f>
        <v>0.3</v>
      </c>
      <c r="I104" s="8">
        <f>financials[[#This Row],[Gross Sales]]-financials[[#This Row],[Gross Sales]]*financials[[#This Row],[Discounts]]</f>
        <v>137.19999999999999</v>
      </c>
      <c r="J104" s="8">
        <f>VLOOKUP(financials[[#This Row],[productid]],Products!$B$2:$H$10,4)</f>
        <v>15</v>
      </c>
      <c r="K104" s="8">
        <f>financials[[#This Row],[Net Sales]]-financials[[#This Row],[COGS]]</f>
        <v>122.19999999999999</v>
      </c>
      <c r="L104" s="15">
        <v>44874</v>
      </c>
      <c r="M104" t="s">
        <v>696</v>
      </c>
    </row>
    <row r="105" spans="1:13" x14ac:dyDescent="0.25">
      <c r="A105" t="s">
        <v>86</v>
      </c>
      <c r="B105" s="6" t="s">
        <v>158</v>
      </c>
      <c r="C105" s="13">
        <v>102</v>
      </c>
      <c r="D105" s="14" t="s">
        <v>83</v>
      </c>
      <c r="E105">
        <v>20</v>
      </c>
      <c r="F105" s="8">
        <f>VLOOKUP(financials[[#This Row],[productid]],Products!$B$2:$H$10,3)</f>
        <v>15</v>
      </c>
      <c r="G105" s="8">
        <f>financials[[#This Row],[Units Sold]]*financials[[#This Row],[Sale Price]]</f>
        <v>300</v>
      </c>
      <c r="H105" s="8">
        <f>IF(financials[[#This Row],[Discount Band]]="low",0.1,IF(financials[[#This Row],[Discount Band]]="medium",0.15,0.3))</f>
        <v>0.3</v>
      </c>
      <c r="I105" s="8">
        <f>financials[[#This Row],[Gross Sales]]-financials[[#This Row],[Gross Sales]]*financials[[#This Row],[Discounts]]</f>
        <v>210</v>
      </c>
      <c r="J105" s="8">
        <f>VLOOKUP(financials[[#This Row],[productid]],Products!$B$2:$H$10,4)</f>
        <v>13.95</v>
      </c>
      <c r="K105" s="8">
        <f>financials[[#This Row],[Net Sales]]-financials[[#This Row],[COGS]]</f>
        <v>196.05</v>
      </c>
      <c r="L105" s="15">
        <v>45089</v>
      </c>
      <c r="M105" t="s">
        <v>696</v>
      </c>
    </row>
    <row r="106" spans="1:13" x14ac:dyDescent="0.25">
      <c r="A106" t="s">
        <v>86</v>
      </c>
      <c r="B106" s="6" t="s">
        <v>96</v>
      </c>
      <c r="C106" s="13">
        <v>104</v>
      </c>
      <c r="D106" s="14" t="s">
        <v>91</v>
      </c>
      <c r="E106">
        <v>11</v>
      </c>
      <c r="F106" s="8">
        <f>VLOOKUP(financials[[#This Row],[productid]],Products!$B$2:$H$10,3)</f>
        <v>5.9</v>
      </c>
      <c r="G106" s="8">
        <f>financials[[#This Row],[Units Sold]]*financials[[#This Row],[Sale Price]]</f>
        <v>64.900000000000006</v>
      </c>
      <c r="H106" s="8">
        <f>IF(financials[[#This Row],[Discount Band]]="low",0.1,IF(financials[[#This Row],[Discount Band]]="medium",0.15,0.3))</f>
        <v>0.1</v>
      </c>
      <c r="I106" s="8">
        <f>financials[[#This Row],[Gross Sales]]-financials[[#This Row],[Gross Sales]]*financials[[#This Row],[Discounts]]</f>
        <v>58.410000000000004</v>
      </c>
      <c r="J106" s="8">
        <f>VLOOKUP(financials[[#This Row],[productid]],Products!$B$2:$H$10,4)</f>
        <v>2.9</v>
      </c>
      <c r="K106" s="8">
        <f>financials[[#This Row],[Net Sales]]-financials[[#This Row],[COGS]]</f>
        <v>55.510000000000005</v>
      </c>
      <c r="L106" s="15">
        <v>45323</v>
      </c>
      <c r="M106" t="s">
        <v>700</v>
      </c>
    </row>
    <row r="107" spans="1:13" x14ac:dyDescent="0.25">
      <c r="A107" t="s">
        <v>85</v>
      </c>
      <c r="B107" s="6" t="s">
        <v>266</v>
      </c>
      <c r="C107" s="13">
        <v>105</v>
      </c>
      <c r="D107" s="14" t="s">
        <v>90</v>
      </c>
      <c r="E107">
        <v>6</v>
      </c>
      <c r="F107" s="8">
        <f>VLOOKUP(financials[[#This Row],[productid]],Products!$B$2:$H$10,3)</f>
        <v>15</v>
      </c>
      <c r="G107" s="8">
        <f>financials[[#This Row],[Units Sold]]*financials[[#This Row],[Sale Price]]</f>
        <v>90</v>
      </c>
      <c r="H107" s="8">
        <f>IF(financials[[#This Row],[Discount Band]]="low",0.1,IF(financials[[#This Row],[Discount Band]]="medium",0.15,0.3))</f>
        <v>0.15</v>
      </c>
      <c r="I107" s="8">
        <f>financials[[#This Row],[Gross Sales]]-financials[[#This Row],[Gross Sales]]*financials[[#This Row],[Discounts]]</f>
        <v>76.5</v>
      </c>
      <c r="J107" s="8">
        <f>VLOOKUP(financials[[#This Row],[productid]],Products!$B$2:$H$10,4)</f>
        <v>10</v>
      </c>
      <c r="K107" s="8">
        <f>financials[[#This Row],[Net Sales]]-financials[[#This Row],[COGS]]</f>
        <v>66.5</v>
      </c>
      <c r="L107" s="15">
        <v>44350</v>
      </c>
      <c r="M107" t="s">
        <v>691</v>
      </c>
    </row>
    <row r="108" spans="1:13" x14ac:dyDescent="0.25">
      <c r="A108" t="s">
        <v>86</v>
      </c>
      <c r="B108" s="6" t="s">
        <v>240</v>
      </c>
      <c r="C108" s="13">
        <v>103</v>
      </c>
      <c r="D108" s="14" t="s">
        <v>92</v>
      </c>
      <c r="E108">
        <v>17</v>
      </c>
      <c r="F108" s="8">
        <f>VLOOKUP(financials[[#This Row],[productid]],Products!$B$2:$H$10,3)</f>
        <v>28</v>
      </c>
      <c r="G108" s="8">
        <f>financials[[#This Row],[Units Sold]]*financials[[#This Row],[Sale Price]]</f>
        <v>476</v>
      </c>
      <c r="H108" s="8">
        <f>IF(financials[[#This Row],[Discount Band]]="low",0.1,IF(financials[[#This Row],[Discount Band]]="medium",0.15,0.3))</f>
        <v>0.3</v>
      </c>
      <c r="I108" s="8">
        <f>financials[[#This Row],[Gross Sales]]-financials[[#This Row],[Gross Sales]]*financials[[#This Row],[Discounts]]</f>
        <v>333.20000000000005</v>
      </c>
      <c r="J108" s="8">
        <f>VLOOKUP(financials[[#This Row],[productid]],Products!$B$2:$H$10,4)</f>
        <v>15</v>
      </c>
      <c r="K108" s="8">
        <f>financials[[#This Row],[Net Sales]]-financials[[#This Row],[COGS]]</f>
        <v>318.20000000000005</v>
      </c>
      <c r="L108" s="15">
        <v>45003</v>
      </c>
      <c r="M108" t="s">
        <v>690</v>
      </c>
    </row>
    <row r="109" spans="1:13" x14ac:dyDescent="0.25">
      <c r="A109" t="s">
        <v>86</v>
      </c>
      <c r="B109" s="6" t="s">
        <v>125</v>
      </c>
      <c r="C109" s="13">
        <v>104</v>
      </c>
      <c r="D109" s="14" t="s">
        <v>91</v>
      </c>
      <c r="E109">
        <v>15</v>
      </c>
      <c r="F109" s="8">
        <f>VLOOKUP(financials[[#This Row],[productid]],Products!$B$2:$H$10,3)</f>
        <v>5.9</v>
      </c>
      <c r="G109" s="8">
        <f>financials[[#This Row],[Units Sold]]*financials[[#This Row],[Sale Price]]</f>
        <v>88.5</v>
      </c>
      <c r="H109" s="8">
        <f>IF(financials[[#This Row],[Discount Band]]="low",0.1,IF(financials[[#This Row],[Discount Band]]="medium",0.15,0.3))</f>
        <v>0.1</v>
      </c>
      <c r="I109" s="8">
        <f>financials[[#This Row],[Gross Sales]]-financials[[#This Row],[Gross Sales]]*financials[[#This Row],[Discounts]]</f>
        <v>79.650000000000006</v>
      </c>
      <c r="J109" s="8">
        <f>VLOOKUP(financials[[#This Row],[productid]],Products!$B$2:$H$10,4)</f>
        <v>2.9</v>
      </c>
      <c r="K109" s="8">
        <f>financials[[#This Row],[Net Sales]]-financials[[#This Row],[COGS]]</f>
        <v>76.75</v>
      </c>
      <c r="L109" s="15">
        <v>45201</v>
      </c>
      <c r="M109" t="s">
        <v>700</v>
      </c>
    </row>
    <row r="110" spans="1:13" x14ac:dyDescent="0.25">
      <c r="A110" t="s">
        <v>86</v>
      </c>
      <c r="B110" s="6" t="s">
        <v>240</v>
      </c>
      <c r="C110" s="13">
        <v>106</v>
      </c>
      <c r="D110" s="14" t="s">
        <v>83</v>
      </c>
      <c r="E110">
        <v>19</v>
      </c>
      <c r="F110" s="8">
        <f>VLOOKUP(financials[[#This Row],[productid]],Products!$B$2:$H$10,3)</f>
        <v>25</v>
      </c>
      <c r="G110" s="8">
        <f>financials[[#This Row],[Units Sold]]*financials[[#This Row],[Sale Price]]</f>
        <v>475</v>
      </c>
      <c r="H110" s="8">
        <f>IF(financials[[#This Row],[Discount Band]]="low",0.1,IF(financials[[#This Row],[Discount Band]]="medium",0.15,0.3))</f>
        <v>0.3</v>
      </c>
      <c r="I110" s="8">
        <f>financials[[#This Row],[Gross Sales]]-financials[[#This Row],[Gross Sales]]*financials[[#This Row],[Discounts]]</f>
        <v>332.5</v>
      </c>
      <c r="J110" s="8">
        <f>VLOOKUP(financials[[#This Row],[productid]],Products!$B$2:$H$10,4)</f>
        <v>9.1</v>
      </c>
      <c r="K110" s="8">
        <f>financials[[#This Row],[Net Sales]]-financials[[#This Row],[COGS]]</f>
        <v>323.39999999999998</v>
      </c>
      <c r="L110" s="15">
        <v>44886</v>
      </c>
      <c r="M110" t="s">
        <v>690</v>
      </c>
    </row>
    <row r="111" spans="1:13" x14ac:dyDescent="0.25">
      <c r="A111" t="s">
        <v>86</v>
      </c>
      <c r="B111" s="6" t="s">
        <v>96</v>
      </c>
      <c r="C111" s="13">
        <v>103</v>
      </c>
      <c r="D111" s="14" t="s">
        <v>83</v>
      </c>
      <c r="E111">
        <v>5</v>
      </c>
      <c r="F111" s="8">
        <f>VLOOKUP(financials[[#This Row],[productid]],Products!$B$2:$H$10,3)</f>
        <v>28</v>
      </c>
      <c r="G111" s="8">
        <f>financials[[#This Row],[Units Sold]]*financials[[#This Row],[Sale Price]]</f>
        <v>140</v>
      </c>
      <c r="H111" s="8">
        <f>IF(financials[[#This Row],[Discount Band]]="low",0.1,IF(financials[[#This Row],[Discount Band]]="medium",0.15,0.3))</f>
        <v>0.3</v>
      </c>
      <c r="I111" s="8">
        <f>financials[[#This Row],[Gross Sales]]-financials[[#This Row],[Gross Sales]]*financials[[#This Row],[Discounts]]</f>
        <v>98</v>
      </c>
      <c r="J111" s="8">
        <f>VLOOKUP(financials[[#This Row],[productid]],Products!$B$2:$H$10,4)</f>
        <v>15</v>
      </c>
      <c r="K111" s="8">
        <f>financials[[#This Row],[Net Sales]]-financials[[#This Row],[COGS]]</f>
        <v>83</v>
      </c>
      <c r="L111" s="15">
        <v>45291</v>
      </c>
      <c r="M111" t="s">
        <v>700</v>
      </c>
    </row>
    <row r="112" spans="1:13" x14ac:dyDescent="0.25">
      <c r="A112" t="s">
        <v>86</v>
      </c>
      <c r="B112" s="6" t="s">
        <v>287</v>
      </c>
      <c r="C112" s="13">
        <v>108</v>
      </c>
      <c r="D112" s="14" t="s">
        <v>91</v>
      </c>
      <c r="E112">
        <v>8</v>
      </c>
      <c r="F112" s="8">
        <f>VLOOKUP(financials[[#This Row],[productid]],Products!$B$2:$H$10,3)</f>
        <v>5.5</v>
      </c>
      <c r="G112" s="8">
        <f>financials[[#This Row],[Units Sold]]*financials[[#This Row],[Sale Price]]</f>
        <v>44</v>
      </c>
      <c r="H112" s="8">
        <f>IF(financials[[#This Row],[Discount Band]]="low",0.1,IF(financials[[#This Row],[Discount Band]]="medium",0.15,0.3))</f>
        <v>0.1</v>
      </c>
      <c r="I112" s="8">
        <f>financials[[#This Row],[Gross Sales]]-financials[[#This Row],[Gross Sales]]*financials[[#This Row],[Discounts]]</f>
        <v>39.6</v>
      </c>
      <c r="J112" s="8">
        <f>VLOOKUP(financials[[#This Row],[productid]],Products!$B$2:$H$10,4)</f>
        <v>3.99</v>
      </c>
      <c r="K112" s="8">
        <f>financials[[#This Row],[Net Sales]]-financials[[#This Row],[COGS]]</f>
        <v>35.61</v>
      </c>
      <c r="L112" s="15">
        <v>44939</v>
      </c>
      <c r="M112" t="s">
        <v>700</v>
      </c>
    </row>
    <row r="113" spans="1:13" x14ac:dyDescent="0.25">
      <c r="A113" t="s">
        <v>86</v>
      </c>
      <c r="B113" s="6" t="s">
        <v>274</v>
      </c>
      <c r="C113" s="13">
        <v>104</v>
      </c>
      <c r="D113" s="14" t="s">
        <v>83</v>
      </c>
      <c r="E113">
        <v>6</v>
      </c>
      <c r="F113" s="8">
        <f>VLOOKUP(financials[[#This Row],[productid]],Products!$B$2:$H$10,3)</f>
        <v>5.9</v>
      </c>
      <c r="G113" s="8">
        <f>financials[[#This Row],[Units Sold]]*financials[[#This Row],[Sale Price]]</f>
        <v>35.400000000000006</v>
      </c>
      <c r="H113" s="8">
        <f>IF(financials[[#This Row],[Discount Band]]="low",0.1,IF(financials[[#This Row],[Discount Band]]="medium",0.15,0.3))</f>
        <v>0.3</v>
      </c>
      <c r="I113" s="8">
        <f>financials[[#This Row],[Gross Sales]]-financials[[#This Row],[Gross Sales]]*financials[[#This Row],[Discounts]]</f>
        <v>24.780000000000005</v>
      </c>
      <c r="J113" s="8">
        <f>VLOOKUP(financials[[#This Row],[productid]],Products!$B$2:$H$10,4)</f>
        <v>2.9</v>
      </c>
      <c r="K113" s="8">
        <f>financials[[#This Row],[Net Sales]]-financials[[#This Row],[COGS]]</f>
        <v>21.880000000000006</v>
      </c>
      <c r="L113" s="15">
        <v>45044</v>
      </c>
      <c r="M113" t="s">
        <v>700</v>
      </c>
    </row>
    <row r="114" spans="1:13" x14ac:dyDescent="0.25">
      <c r="A114" t="s">
        <v>86</v>
      </c>
      <c r="B114" s="6" t="s">
        <v>266</v>
      </c>
      <c r="C114" s="13">
        <v>103</v>
      </c>
      <c r="D114" s="14" t="s">
        <v>90</v>
      </c>
      <c r="E114">
        <v>13</v>
      </c>
      <c r="F114" s="8">
        <f>VLOOKUP(financials[[#This Row],[productid]],Products!$B$2:$H$10,3)</f>
        <v>28</v>
      </c>
      <c r="G114" s="8">
        <f>financials[[#This Row],[Units Sold]]*financials[[#This Row],[Sale Price]]</f>
        <v>364</v>
      </c>
      <c r="H114" s="8">
        <f>IF(financials[[#This Row],[Discount Band]]="low",0.1,IF(financials[[#This Row],[Discount Band]]="medium",0.15,0.3))</f>
        <v>0.15</v>
      </c>
      <c r="I114" s="8">
        <f>financials[[#This Row],[Gross Sales]]-financials[[#This Row],[Gross Sales]]*financials[[#This Row],[Discounts]]</f>
        <v>309.39999999999998</v>
      </c>
      <c r="J114" s="8">
        <f>VLOOKUP(financials[[#This Row],[productid]],Products!$B$2:$H$10,4)</f>
        <v>15</v>
      </c>
      <c r="K114" s="8">
        <f>financials[[#This Row],[Net Sales]]-financials[[#This Row],[COGS]]</f>
        <v>294.39999999999998</v>
      </c>
      <c r="L114" s="15">
        <v>45641</v>
      </c>
      <c r="M114" t="s">
        <v>690</v>
      </c>
    </row>
    <row r="115" spans="1:13" x14ac:dyDescent="0.25">
      <c r="A115" t="s">
        <v>86</v>
      </c>
      <c r="B115" s="6" t="s">
        <v>158</v>
      </c>
      <c r="C115" s="13">
        <v>103</v>
      </c>
      <c r="D115" s="14" t="s">
        <v>91</v>
      </c>
      <c r="E115">
        <v>9</v>
      </c>
      <c r="F115" s="8">
        <f>VLOOKUP(financials[[#This Row],[productid]],Products!$B$2:$H$10,3)</f>
        <v>28</v>
      </c>
      <c r="G115" s="8">
        <f>financials[[#This Row],[Units Sold]]*financials[[#This Row],[Sale Price]]</f>
        <v>252</v>
      </c>
      <c r="H115" s="8">
        <f>IF(financials[[#This Row],[Discount Band]]="low",0.1,IF(financials[[#This Row],[Discount Band]]="medium",0.15,0.3))</f>
        <v>0.1</v>
      </c>
      <c r="I115" s="8">
        <f>financials[[#This Row],[Gross Sales]]-financials[[#This Row],[Gross Sales]]*financials[[#This Row],[Discounts]]</f>
        <v>226.8</v>
      </c>
      <c r="J115" s="8">
        <f>VLOOKUP(financials[[#This Row],[productid]],Products!$B$2:$H$10,4)</f>
        <v>15</v>
      </c>
      <c r="K115" s="8">
        <f>financials[[#This Row],[Net Sales]]-financials[[#This Row],[COGS]]</f>
        <v>211.8</v>
      </c>
      <c r="L115" s="15">
        <v>45105</v>
      </c>
      <c r="M115" t="s">
        <v>700</v>
      </c>
    </row>
    <row r="116" spans="1:13" x14ac:dyDescent="0.25">
      <c r="A116" t="s">
        <v>86</v>
      </c>
      <c r="B116" s="6" t="s">
        <v>125</v>
      </c>
      <c r="C116" s="13">
        <v>105</v>
      </c>
      <c r="D116" s="14" t="s">
        <v>91</v>
      </c>
      <c r="E116">
        <v>7</v>
      </c>
      <c r="F116" s="8">
        <f>VLOOKUP(financials[[#This Row],[productid]],Products!$B$2:$H$10,3)</f>
        <v>15</v>
      </c>
      <c r="G116" s="8">
        <f>financials[[#This Row],[Units Sold]]*financials[[#This Row],[Sale Price]]</f>
        <v>105</v>
      </c>
      <c r="H116" s="8">
        <f>IF(financials[[#This Row],[Discount Band]]="low",0.1,IF(financials[[#This Row],[Discount Band]]="medium",0.15,0.3))</f>
        <v>0.1</v>
      </c>
      <c r="I116" s="8">
        <f>financials[[#This Row],[Gross Sales]]-financials[[#This Row],[Gross Sales]]*financials[[#This Row],[Discounts]]</f>
        <v>94.5</v>
      </c>
      <c r="J116" s="8">
        <f>VLOOKUP(financials[[#This Row],[productid]],Products!$B$2:$H$10,4)</f>
        <v>10</v>
      </c>
      <c r="K116" s="8">
        <f>financials[[#This Row],[Net Sales]]-financials[[#This Row],[COGS]]</f>
        <v>84.5</v>
      </c>
      <c r="L116" s="15">
        <v>45148</v>
      </c>
      <c r="M116" t="s">
        <v>691</v>
      </c>
    </row>
    <row r="117" spans="1:13" x14ac:dyDescent="0.25">
      <c r="A117" t="s">
        <v>86</v>
      </c>
      <c r="B117" s="6" t="s">
        <v>197</v>
      </c>
      <c r="C117" s="11">
        <v>108</v>
      </c>
      <c r="D117" s="9" t="s">
        <v>83</v>
      </c>
      <c r="E117">
        <v>7</v>
      </c>
      <c r="F117" s="8">
        <f>VLOOKUP(financials[[#This Row],[productid]],Products!$B$2:$H$10,3)</f>
        <v>5.5</v>
      </c>
      <c r="G117" s="8">
        <f>financials[[#This Row],[Units Sold]]*financials[[#This Row],[Sale Price]]</f>
        <v>38.5</v>
      </c>
      <c r="H117" s="8">
        <f>IF(financials[[#This Row],[Discount Band]]="low",0.1,IF(financials[[#This Row],[Discount Band]]="medium",0.15,0.3))</f>
        <v>0.3</v>
      </c>
      <c r="I117" s="8">
        <f>financials[[#This Row],[Gross Sales]]-financials[[#This Row],[Gross Sales]]*financials[[#This Row],[Discounts]]</f>
        <v>26.950000000000003</v>
      </c>
      <c r="J117" s="8">
        <f>VLOOKUP(financials[[#This Row],[productid]],Products!$B$2:$H$10,4)</f>
        <v>3.99</v>
      </c>
      <c r="K117" s="8">
        <f>financials[[#This Row],[Net Sales]]-financials[[#This Row],[COGS]]</f>
        <v>22.96</v>
      </c>
      <c r="L117" s="15">
        <v>45135</v>
      </c>
      <c r="M117" t="s">
        <v>690</v>
      </c>
    </row>
    <row r="118" spans="1:13" x14ac:dyDescent="0.25">
      <c r="A118" t="s">
        <v>86</v>
      </c>
      <c r="B118" s="6" t="s">
        <v>287</v>
      </c>
      <c r="C118" s="13">
        <v>104</v>
      </c>
      <c r="D118" s="14" t="s">
        <v>90</v>
      </c>
      <c r="E118">
        <v>6</v>
      </c>
      <c r="F118" s="8">
        <f>VLOOKUP(financials[[#This Row],[productid]],Products!$B$2:$H$10,3)</f>
        <v>5.9</v>
      </c>
      <c r="G118" s="8">
        <f>financials[[#This Row],[Units Sold]]*financials[[#This Row],[Sale Price]]</f>
        <v>35.400000000000006</v>
      </c>
      <c r="H118" s="8">
        <f>IF(financials[[#This Row],[Discount Band]]="low",0.1,IF(financials[[#This Row],[Discount Band]]="medium",0.15,0.3))</f>
        <v>0.15</v>
      </c>
      <c r="I118" s="8">
        <f>financials[[#This Row],[Gross Sales]]-financials[[#This Row],[Gross Sales]]*financials[[#This Row],[Discounts]]</f>
        <v>30.090000000000003</v>
      </c>
      <c r="J118" s="8">
        <f>VLOOKUP(financials[[#This Row],[productid]],Products!$B$2:$H$10,4)</f>
        <v>2.9</v>
      </c>
      <c r="K118" s="8">
        <f>financials[[#This Row],[Net Sales]]-financials[[#This Row],[COGS]]</f>
        <v>27.190000000000005</v>
      </c>
      <c r="L118" s="15">
        <v>44470</v>
      </c>
      <c r="M118" t="s">
        <v>690</v>
      </c>
    </row>
    <row r="119" spans="1:13" x14ac:dyDescent="0.25">
      <c r="A119" t="s">
        <v>86</v>
      </c>
      <c r="B119" s="6" t="s">
        <v>266</v>
      </c>
      <c r="C119" s="13">
        <v>104</v>
      </c>
      <c r="D119" s="14" t="s">
        <v>92</v>
      </c>
      <c r="E119">
        <v>19</v>
      </c>
      <c r="F119" s="8">
        <f>VLOOKUP(financials[[#This Row],[productid]],Products!$B$2:$H$10,3)</f>
        <v>5.9</v>
      </c>
      <c r="G119" s="8">
        <f>financials[[#This Row],[Units Sold]]*financials[[#This Row],[Sale Price]]</f>
        <v>112.10000000000001</v>
      </c>
      <c r="H119" s="8">
        <f>IF(financials[[#This Row],[Discount Band]]="low",0.1,IF(financials[[#This Row],[Discount Band]]="medium",0.15,0.3))</f>
        <v>0.3</v>
      </c>
      <c r="I119" s="8">
        <f>financials[[#This Row],[Gross Sales]]-financials[[#This Row],[Gross Sales]]*financials[[#This Row],[Discounts]]</f>
        <v>78.47</v>
      </c>
      <c r="J119" s="8">
        <f>VLOOKUP(financials[[#This Row],[productid]],Products!$B$2:$H$10,4)</f>
        <v>2.9</v>
      </c>
      <c r="K119" s="8">
        <f>financials[[#This Row],[Net Sales]]-financials[[#This Row],[COGS]]</f>
        <v>75.569999999999993</v>
      </c>
      <c r="L119" s="15">
        <v>44288</v>
      </c>
      <c r="M119" t="s">
        <v>691</v>
      </c>
    </row>
    <row r="120" spans="1:13" x14ac:dyDescent="0.25">
      <c r="A120" t="s">
        <v>86</v>
      </c>
      <c r="B120" s="6" t="s">
        <v>148</v>
      </c>
      <c r="C120" s="11">
        <v>108</v>
      </c>
      <c r="D120" s="9" t="s">
        <v>91</v>
      </c>
      <c r="E120">
        <v>8</v>
      </c>
      <c r="F120" s="8">
        <f>VLOOKUP(financials[[#This Row],[productid]],Products!$B$2:$H$10,3)</f>
        <v>5.5</v>
      </c>
      <c r="G120" s="8">
        <f>financials[[#This Row],[Units Sold]]*financials[[#This Row],[Sale Price]]</f>
        <v>44</v>
      </c>
      <c r="H120" s="8">
        <f>IF(financials[[#This Row],[Discount Band]]="low",0.1,IF(financials[[#This Row],[Discount Band]]="medium",0.15,0.3))</f>
        <v>0.1</v>
      </c>
      <c r="I120" s="8">
        <f>financials[[#This Row],[Gross Sales]]-financials[[#This Row],[Gross Sales]]*financials[[#This Row],[Discounts]]</f>
        <v>39.6</v>
      </c>
      <c r="J120" s="8">
        <f>VLOOKUP(financials[[#This Row],[productid]],Products!$B$2:$H$10,4)</f>
        <v>3.99</v>
      </c>
      <c r="K120" s="8">
        <f>financials[[#This Row],[Net Sales]]-financials[[#This Row],[COGS]]</f>
        <v>35.61</v>
      </c>
      <c r="L120" s="15">
        <v>44603</v>
      </c>
      <c r="M120" t="s">
        <v>700</v>
      </c>
    </row>
    <row r="121" spans="1:13" x14ac:dyDescent="0.25">
      <c r="A121" t="s">
        <v>86</v>
      </c>
      <c r="B121" s="6" t="s">
        <v>545</v>
      </c>
      <c r="C121" s="13">
        <v>106</v>
      </c>
      <c r="D121" s="14" t="s">
        <v>83</v>
      </c>
      <c r="E121">
        <v>5</v>
      </c>
      <c r="F121" s="8">
        <f>VLOOKUP(financials[[#This Row],[productid]],Products!$B$2:$H$10,3)</f>
        <v>25</v>
      </c>
      <c r="G121" s="8">
        <f>financials[[#This Row],[Units Sold]]*financials[[#This Row],[Sale Price]]</f>
        <v>125</v>
      </c>
      <c r="H121" s="8">
        <f>IF(financials[[#This Row],[Discount Band]]="low",0.1,IF(financials[[#This Row],[Discount Band]]="medium",0.15,0.3))</f>
        <v>0.3</v>
      </c>
      <c r="I121" s="8">
        <f>financials[[#This Row],[Gross Sales]]-financials[[#This Row],[Gross Sales]]*financials[[#This Row],[Discounts]]</f>
        <v>87.5</v>
      </c>
      <c r="J121" s="8">
        <f>VLOOKUP(financials[[#This Row],[productid]],Products!$B$2:$H$10,4)</f>
        <v>9.1</v>
      </c>
      <c r="K121" s="8">
        <f>financials[[#This Row],[Net Sales]]-financials[[#This Row],[COGS]]</f>
        <v>78.400000000000006</v>
      </c>
      <c r="L121" s="15">
        <v>44052</v>
      </c>
      <c r="M121" t="s">
        <v>691</v>
      </c>
    </row>
    <row r="122" spans="1:13" x14ac:dyDescent="0.25">
      <c r="A122" t="s">
        <v>85</v>
      </c>
      <c r="B122" s="6" t="s">
        <v>644</v>
      </c>
      <c r="C122" s="13">
        <v>104</v>
      </c>
      <c r="D122" s="14" t="s">
        <v>91</v>
      </c>
      <c r="E122">
        <v>14</v>
      </c>
      <c r="F122" s="8">
        <f>VLOOKUP(financials[[#This Row],[productid]],Products!$B$2:$H$10,3)</f>
        <v>5.9</v>
      </c>
      <c r="G122" s="8">
        <f>financials[[#This Row],[Units Sold]]*financials[[#This Row],[Sale Price]]</f>
        <v>82.600000000000009</v>
      </c>
      <c r="H122" s="8">
        <f>IF(financials[[#This Row],[Discount Band]]="low",0.1,IF(financials[[#This Row],[Discount Band]]="medium",0.15,0.3))</f>
        <v>0.1</v>
      </c>
      <c r="I122" s="8">
        <f>financials[[#This Row],[Gross Sales]]-financials[[#This Row],[Gross Sales]]*financials[[#This Row],[Discounts]]</f>
        <v>74.34</v>
      </c>
      <c r="J122" s="8">
        <f>VLOOKUP(financials[[#This Row],[productid]],Products!$B$2:$H$10,4)</f>
        <v>2.9</v>
      </c>
      <c r="K122" s="8">
        <f>financials[[#This Row],[Net Sales]]-financials[[#This Row],[COGS]]</f>
        <v>71.44</v>
      </c>
      <c r="L122" s="15">
        <v>44097</v>
      </c>
      <c r="M122" t="s">
        <v>690</v>
      </c>
    </row>
    <row r="123" spans="1:13" x14ac:dyDescent="0.25">
      <c r="A123" t="s">
        <v>86</v>
      </c>
      <c r="B123" s="6" t="s">
        <v>96</v>
      </c>
      <c r="C123" s="11">
        <v>106</v>
      </c>
      <c r="D123" s="9" t="s">
        <v>83</v>
      </c>
      <c r="E123">
        <v>13</v>
      </c>
      <c r="F123" s="8">
        <f>VLOOKUP(financials[[#This Row],[productid]],Products!$B$2:$H$10,3)</f>
        <v>25</v>
      </c>
      <c r="G123" s="8">
        <f>financials[[#This Row],[Units Sold]]*financials[[#This Row],[Sale Price]]</f>
        <v>325</v>
      </c>
      <c r="H123" s="8">
        <f>IF(financials[[#This Row],[Discount Band]]="low",0.1,IF(financials[[#This Row],[Discount Band]]="medium",0.15,0.3))</f>
        <v>0.3</v>
      </c>
      <c r="I123" s="8">
        <f>financials[[#This Row],[Gross Sales]]-financials[[#This Row],[Gross Sales]]*financials[[#This Row],[Discounts]]</f>
        <v>227.5</v>
      </c>
      <c r="J123" s="8">
        <f>VLOOKUP(financials[[#This Row],[productid]],Products!$B$2:$H$10,4)</f>
        <v>9.1</v>
      </c>
      <c r="K123" s="8">
        <f>financials[[#This Row],[Net Sales]]-financials[[#This Row],[COGS]]</f>
        <v>218.4</v>
      </c>
      <c r="L123" s="15">
        <v>45431</v>
      </c>
      <c r="M123" t="s">
        <v>697</v>
      </c>
    </row>
    <row r="124" spans="1:13" x14ac:dyDescent="0.25">
      <c r="A124" t="s">
        <v>86</v>
      </c>
      <c r="B124" s="6" t="s">
        <v>240</v>
      </c>
      <c r="C124" s="11">
        <v>109</v>
      </c>
      <c r="D124" s="9" t="s">
        <v>91</v>
      </c>
      <c r="E124">
        <v>8</v>
      </c>
      <c r="F124" s="8">
        <f>VLOOKUP(financials[[#This Row],[productid]],Products!$B$2:$H$10,3)</f>
        <v>36</v>
      </c>
      <c r="G124" s="8">
        <f>financials[[#This Row],[Units Sold]]*financials[[#This Row],[Sale Price]]</f>
        <v>288</v>
      </c>
      <c r="H124" s="8">
        <f>IF(financials[[#This Row],[Discount Band]]="low",0.1,IF(financials[[#This Row],[Discount Band]]="medium",0.15,0.3))</f>
        <v>0.1</v>
      </c>
      <c r="I124" s="8">
        <f>financials[[#This Row],[Gross Sales]]-financials[[#This Row],[Gross Sales]]*financials[[#This Row],[Discounts]]</f>
        <v>259.2</v>
      </c>
      <c r="J124" s="8">
        <f>VLOOKUP(financials[[#This Row],[productid]],Products!$B$2:$H$10,4)</f>
        <v>16.8</v>
      </c>
      <c r="K124" s="8">
        <f>financials[[#This Row],[Net Sales]]-financials[[#This Row],[COGS]]</f>
        <v>242.39999999999998</v>
      </c>
      <c r="L124" s="15">
        <v>45400</v>
      </c>
      <c r="M124" t="s">
        <v>697</v>
      </c>
    </row>
    <row r="125" spans="1:13" x14ac:dyDescent="0.25">
      <c r="A125" t="s">
        <v>86</v>
      </c>
      <c r="B125" s="6" t="s">
        <v>287</v>
      </c>
      <c r="C125" s="13">
        <v>101</v>
      </c>
      <c r="D125" s="14" t="s">
        <v>83</v>
      </c>
      <c r="E125">
        <v>5</v>
      </c>
      <c r="F125" s="8">
        <f>VLOOKUP(financials[[#This Row],[productid]],Products!$B$2:$H$10,3)</f>
        <v>23</v>
      </c>
      <c r="G125" s="8">
        <f>financials[[#This Row],[Units Sold]]*financials[[#This Row],[Sale Price]]</f>
        <v>115</v>
      </c>
      <c r="H125" s="8">
        <f>IF(financials[[#This Row],[Discount Band]]="low",0.1,IF(financials[[#This Row],[Discount Band]]="medium",0.15,0.3))</f>
        <v>0.3</v>
      </c>
      <c r="I125" s="8">
        <f>financials[[#This Row],[Gross Sales]]-financials[[#This Row],[Gross Sales]]*financials[[#This Row],[Discounts]]</f>
        <v>80.5</v>
      </c>
      <c r="J125" s="8">
        <f>VLOOKUP(financials[[#This Row],[productid]],Products!$B$2:$H$10,4)</f>
        <v>9.9499999999999993</v>
      </c>
      <c r="K125" s="8">
        <f>financials[[#This Row],[Net Sales]]-financials[[#This Row],[COGS]]</f>
        <v>70.55</v>
      </c>
      <c r="L125" s="15">
        <v>45459</v>
      </c>
      <c r="M125" t="s">
        <v>696</v>
      </c>
    </row>
    <row r="126" spans="1:13" x14ac:dyDescent="0.25">
      <c r="A126" t="s">
        <v>86</v>
      </c>
      <c r="B126" s="6" t="s">
        <v>617</v>
      </c>
      <c r="C126" s="13">
        <v>104</v>
      </c>
      <c r="D126" s="14" t="s">
        <v>83</v>
      </c>
      <c r="E126">
        <v>17</v>
      </c>
      <c r="F126" s="8">
        <f>VLOOKUP(financials[[#This Row],[productid]],Products!$B$2:$H$10,3)</f>
        <v>5.9</v>
      </c>
      <c r="G126" s="8">
        <f>financials[[#This Row],[Units Sold]]*financials[[#This Row],[Sale Price]]</f>
        <v>100.30000000000001</v>
      </c>
      <c r="H126" s="8">
        <f>IF(financials[[#This Row],[Discount Band]]="low",0.1,IF(financials[[#This Row],[Discount Band]]="medium",0.15,0.3))</f>
        <v>0.3</v>
      </c>
      <c r="I126" s="8">
        <f>financials[[#This Row],[Gross Sales]]-financials[[#This Row],[Gross Sales]]*financials[[#This Row],[Discounts]]</f>
        <v>70.210000000000008</v>
      </c>
      <c r="J126" s="8">
        <f>VLOOKUP(financials[[#This Row],[productid]],Products!$B$2:$H$10,4)</f>
        <v>2.9</v>
      </c>
      <c r="K126" s="8">
        <f>financials[[#This Row],[Net Sales]]-financials[[#This Row],[COGS]]</f>
        <v>67.31</v>
      </c>
      <c r="L126" s="15">
        <v>45062</v>
      </c>
      <c r="M126" t="s">
        <v>690</v>
      </c>
    </row>
    <row r="127" spans="1:13" x14ac:dyDescent="0.25">
      <c r="A127" t="s">
        <v>86</v>
      </c>
      <c r="B127" s="6" t="s">
        <v>545</v>
      </c>
      <c r="C127" s="13">
        <v>109</v>
      </c>
      <c r="D127" s="14" t="s">
        <v>83</v>
      </c>
      <c r="E127">
        <v>10</v>
      </c>
      <c r="F127" s="8">
        <f>VLOOKUP(financials[[#This Row],[productid]],Products!$B$2:$H$10,3)</f>
        <v>36</v>
      </c>
      <c r="G127" s="8">
        <f>financials[[#This Row],[Units Sold]]*financials[[#This Row],[Sale Price]]</f>
        <v>360</v>
      </c>
      <c r="H127" s="8">
        <f>IF(financials[[#This Row],[Discount Band]]="low",0.1,IF(financials[[#This Row],[Discount Band]]="medium",0.15,0.3))</f>
        <v>0.3</v>
      </c>
      <c r="I127" s="8">
        <f>financials[[#This Row],[Gross Sales]]-financials[[#This Row],[Gross Sales]]*financials[[#This Row],[Discounts]]</f>
        <v>252</v>
      </c>
      <c r="J127" s="8">
        <f>VLOOKUP(financials[[#This Row],[productid]],Products!$B$2:$H$10,4)</f>
        <v>16.8</v>
      </c>
      <c r="K127" s="8">
        <f>financials[[#This Row],[Net Sales]]-financials[[#This Row],[COGS]]</f>
        <v>235.2</v>
      </c>
      <c r="L127" s="15">
        <v>45643</v>
      </c>
      <c r="M127" t="s">
        <v>691</v>
      </c>
    </row>
    <row r="128" spans="1:13" x14ac:dyDescent="0.25">
      <c r="A128" t="s">
        <v>86</v>
      </c>
      <c r="B128" s="6" t="s">
        <v>617</v>
      </c>
      <c r="C128" s="13">
        <v>101</v>
      </c>
      <c r="D128" s="14" t="s">
        <v>91</v>
      </c>
      <c r="E128">
        <v>11</v>
      </c>
      <c r="F128" s="8">
        <f>VLOOKUP(financials[[#This Row],[productid]],Products!$B$2:$H$10,3)</f>
        <v>23</v>
      </c>
      <c r="G128" s="8">
        <f>financials[[#This Row],[Units Sold]]*financials[[#This Row],[Sale Price]]</f>
        <v>253</v>
      </c>
      <c r="H128" s="8">
        <f>IF(financials[[#This Row],[Discount Band]]="low",0.1,IF(financials[[#This Row],[Discount Band]]="medium",0.15,0.3))</f>
        <v>0.1</v>
      </c>
      <c r="I128" s="8">
        <f>financials[[#This Row],[Gross Sales]]-financials[[#This Row],[Gross Sales]]*financials[[#This Row],[Discounts]]</f>
        <v>227.7</v>
      </c>
      <c r="J128" s="8">
        <f>VLOOKUP(financials[[#This Row],[productid]],Products!$B$2:$H$10,4)</f>
        <v>9.9499999999999993</v>
      </c>
      <c r="K128" s="8">
        <f>financials[[#This Row],[Net Sales]]-financials[[#This Row],[COGS]]</f>
        <v>217.75</v>
      </c>
      <c r="L128" s="15">
        <v>45377</v>
      </c>
      <c r="M128" t="s">
        <v>696</v>
      </c>
    </row>
    <row r="129" spans="1:13" x14ac:dyDescent="0.25">
      <c r="A129" t="s">
        <v>86</v>
      </c>
      <c r="B129" s="6" t="s">
        <v>274</v>
      </c>
      <c r="C129" s="13">
        <v>107</v>
      </c>
      <c r="D129" s="14" t="s">
        <v>90</v>
      </c>
      <c r="E129">
        <v>19</v>
      </c>
      <c r="F129" s="8">
        <f>VLOOKUP(financials[[#This Row],[productid]],Products!$B$2:$H$10,3)</f>
        <v>15</v>
      </c>
      <c r="G129" s="8">
        <f>financials[[#This Row],[Units Sold]]*financials[[#This Row],[Sale Price]]</f>
        <v>285</v>
      </c>
      <c r="H129" s="8">
        <f>IF(financials[[#This Row],[Discount Band]]="low",0.1,IF(financials[[#This Row],[Discount Band]]="medium",0.15,0.3))</f>
        <v>0.15</v>
      </c>
      <c r="I129" s="8">
        <f>financials[[#This Row],[Gross Sales]]-financials[[#This Row],[Gross Sales]]*financials[[#This Row],[Discounts]]</f>
        <v>242.25</v>
      </c>
      <c r="J129" s="8">
        <f>VLOOKUP(financials[[#This Row],[productid]],Products!$B$2:$H$10,4)</f>
        <v>5.5</v>
      </c>
      <c r="K129" s="8">
        <f>financials[[#This Row],[Net Sales]]-financials[[#This Row],[COGS]]</f>
        <v>236.75</v>
      </c>
      <c r="L129" s="15">
        <v>45140</v>
      </c>
      <c r="M129" t="s">
        <v>690</v>
      </c>
    </row>
    <row r="130" spans="1:13" x14ac:dyDescent="0.25">
      <c r="A130" t="s">
        <v>86</v>
      </c>
      <c r="B130" s="6" t="s">
        <v>266</v>
      </c>
      <c r="C130" s="13">
        <v>105</v>
      </c>
      <c r="D130" s="14" t="s">
        <v>83</v>
      </c>
      <c r="E130">
        <v>20</v>
      </c>
      <c r="F130" s="8">
        <f>VLOOKUP(financials[[#This Row],[productid]],Products!$B$2:$H$10,3)</f>
        <v>15</v>
      </c>
      <c r="G130" s="8">
        <f>financials[[#This Row],[Units Sold]]*financials[[#This Row],[Sale Price]]</f>
        <v>300</v>
      </c>
      <c r="H130" s="8">
        <f>IF(financials[[#This Row],[Discount Band]]="low",0.1,IF(financials[[#This Row],[Discount Band]]="medium",0.15,0.3))</f>
        <v>0.3</v>
      </c>
      <c r="I130" s="8">
        <f>financials[[#This Row],[Gross Sales]]-financials[[#This Row],[Gross Sales]]*financials[[#This Row],[Discounts]]</f>
        <v>210</v>
      </c>
      <c r="J130" s="8">
        <f>VLOOKUP(financials[[#This Row],[productid]],Products!$B$2:$H$10,4)</f>
        <v>10</v>
      </c>
      <c r="K130" s="8">
        <f>financials[[#This Row],[Net Sales]]-financials[[#This Row],[COGS]]</f>
        <v>200</v>
      </c>
      <c r="L130" s="15">
        <v>44243</v>
      </c>
      <c r="M130" t="s">
        <v>691</v>
      </c>
    </row>
    <row r="131" spans="1:13" x14ac:dyDescent="0.25">
      <c r="A131" t="s">
        <v>86</v>
      </c>
      <c r="B131" s="6" t="s">
        <v>287</v>
      </c>
      <c r="C131" s="13">
        <v>101</v>
      </c>
      <c r="D131" s="14" t="s">
        <v>83</v>
      </c>
      <c r="E131">
        <v>13</v>
      </c>
      <c r="F131" s="8">
        <f>VLOOKUP(financials[[#This Row],[productid]],Products!$B$2:$H$10,3)</f>
        <v>23</v>
      </c>
      <c r="G131" s="8">
        <f>financials[[#This Row],[Units Sold]]*financials[[#This Row],[Sale Price]]</f>
        <v>299</v>
      </c>
      <c r="H131" s="8">
        <f>IF(financials[[#This Row],[Discount Band]]="low",0.1,IF(financials[[#This Row],[Discount Band]]="medium",0.15,0.3))</f>
        <v>0.3</v>
      </c>
      <c r="I131" s="8">
        <f>financials[[#This Row],[Gross Sales]]-financials[[#This Row],[Gross Sales]]*financials[[#This Row],[Discounts]]</f>
        <v>209.3</v>
      </c>
      <c r="J131" s="8">
        <f>VLOOKUP(financials[[#This Row],[productid]],Products!$B$2:$H$10,4)</f>
        <v>9.9499999999999993</v>
      </c>
      <c r="K131" s="8">
        <f>financials[[#This Row],[Net Sales]]-financials[[#This Row],[COGS]]</f>
        <v>199.35000000000002</v>
      </c>
      <c r="L131" s="15">
        <v>43934</v>
      </c>
      <c r="M131" t="s">
        <v>700</v>
      </c>
    </row>
    <row r="132" spans="1:13" x14ac:dyDescent="0.25">
      <c r="A132" t="s">
        <v>86</v>
      </c>
      <c r="B132" s="6" t="s">
        <v>617</v>
      </c>
      <c r="C132" s="13">
        <v>103</v>
      </c>
      <c r="D132" s="14" t="s">
        <v>90</v>
      </c>
      <c r="E132">
        <v>6</v>
      </c>
      <c r="F132" s="8">
        <f>VLOOKUP(financials[[#This Row],[productid]],Products!$B$2:$H$10,3)</f>
        <v>28</v>
      </c>
      <c r="G132" s="8">
        <f>financials[[#This Row],[Units Sold]]*financials[[#This Row],[Sale Price]]</f>
        <v>168</v>
      </c>
      <c r="H132" s="8">
        <f>IF(financials[[#This Row],[Discount Band]]="low",0.1,IF(financials[[#This Row],[Discount Band]]="medium",0.15,0.3))</f>
        <v>0.15</v>
      </c>
      <c r="I132" s="8">
        <f>financials[[#This Row],[Gross Sales]]-financials[[#This Row],[Gross Sales]]*financials[[#This Row],[Discounts]]</f>
        <v>142.80000000000001</v>
      </c>
      <c r="J132" s="8">
        <f>VLOOKUP(financials[[#This Row],[productid]],Products!$B$2:$H$10,4)</f>
        <v>15</v>
      </c>
      <c r="K132" s="8">
        <f>financials[[#This Row],[Net Sales]]-financials[[#This Row],[COGS]]</f>
        <v>127.80000000000001</v>
      </c>
      <c r="L132" s="15">
        <v>44476</v>
      </c>
      <c r="M132" t="s">
        <v>691</v>
      </c>
    </row>
    <row r="133" spans="1:13" x14ac:dyDescent="0.25">
      <c r="A133" t="s">
        <v>86</v>
      </c>
      <c r="B133" s="6" t="s">
        <v>240</v>
      </c>
      <c r="C133" s="13">
        <v>103</v>
      </c>
      <c r="D133" s="14" t="s">
        <v>83</v>
      </c>
      <c r="E133">
        <v>10</v>
      </c>
      <c r="F133" s="8">
        <f>VLOOKUP(financials[[#This Row],[productid]],Products!$B$2:$H$10,3)</f>
        <v>28</v>
      </c>
      <c r="G133" s="8">
        <f>financials[[#This Row],[Units Sold]]*financials[[#This Row],[Sale Price]]</f>
        <v>280</v>
      </c>
      <c r="H133" s="8">
        <f>IF(financials[[#This Row],[Discount Band]]="low",0.1,IF(financials[[#This Row],[Discount Band]]="medium",0.15,0.3))</f>
        <v>0.3</v>
      </c>
      <c r="I133" s="8">
        <f>financials[[#This Row],[Gross Sales]]-financials[[#This Row],[Gross Sales]]*financials[[#This Row],[Discounts]]</f>
        <v>196</v>
      </c>
      <c r="J133" s="8">
        <f>VLOOKUP(financials[[#This Row],[productid]],Products!$B$2:$H$10,4)</f>
        <v>15</v>
      </c>
      <c r="K133" s="8">
        <f>financials[[#This Row],[Net Sales]]-financials[[#This Row],[COGS]]</f>
        <v>181</v>
      </c>
      <c r="L133" s="15">
        <v>44786</v>
      </c>
      <c r="M133" t="s">
        <v>700</v>
      </c>
    </row>
    <row r="134" spans="1:13" x14ac:dyDescent="0.25">
      <c r="A134" t="s">
        <v>86</v>
      </c>
      <c r="B134" s="6" t="s">
        <v>645</v>
      </c>
      <c r="C134" s="11">
        <v>106</v>
      </c>
      <c r="D134" s="9" t="s">
        <v>83</v>
      </c>
      <c r="E134">
        <v>10</v>
      </c>
      <c r="F134" s="8">
        <f>VLOOKUP(financials[[#This Row],[productid]],Products!$B$2:$H$10,3)</f>
        <v>25</v>
      </c>
      <c r="G134" s="8">
        <f>financials[[#This Row],[Units Sold]]*financials[[#This Row],[Sale Price]]</f>
        <v>250</v>
      </c>
      <c r="H134" s="8">
        <f>IF(financials[[#This Row],[Discount Band]]="low",0.1,IF(financials[[#This Row],[Discount Band]]="medium",0.15,0.3))</f>
        <v>0.3</v>
      </c>
      <c r="I134" s="8">
        <f>financials[[#This Row],[Gross Sales]]-financials[[#This Row],[Gross Sales]]*financials[[#This Row],[Discounts]]</f>
        <v>175</v>
      </c>
      <c r="J134" s="8">
        <f>VLOOKUP(financials[[#This Row],[productid]],Products!$B$2:$H$10,4)</f>
        <v>9.1</v>
      </c>
      <c r="K134" s="8">
        <f>financials[[#This Row],[Net Sales]]-financials[[#This Row],[COGS]]</f>
        <v>165.9</v>
      </c>
      <c r="L134" s="15">
        <v>45637</v>
      </c>
      <c r="M134" t="s">
        <v>691</v>
      </c>
    </row>
    <row r="135" spans="1:13" x14ac:dyDescent="0.25">
      <c r="A135" t="s">
        <v>86</v>
      </c>
      <c r="B135" s="6" t="s">
        <v>617</v>
      </c>
      <c r="C135" s="11">
        <v>109</v>
      </c>
      <c r="D135" s="9" t="s">
        <v>83</v>
      </c>
      <c r="E135">
        <v>12</v>
      </c>
      <c r="F135" s="8">
        <f>VLOOKUP(financials[[#This Row],[productid]],Products!$B$2:$H$10,3)</f>
        <v>36</v>
      </c>
      <c r="G135" s="8">
        <f>financials[[#This Row],[Units Sold]]*financials[[#This Row],[Sale Price]]</f>
        <v>432</v>
      </c>
      <c r="H135" s="8">
        <f>IF(financials[[#This Row],[Discount Band]]="low",0.1,IF(financials[[#This Row],[Discount Band]]="medium",0.15,0.3))</f>
        <v>0.3</v>
      </c>
      <c r="I135" s="8">
        <f>financials[[#This Row],[Gross Sales]]-financials[[#This Row],[Gross Sales]]*financials[[#This Row],[Discounts]]</f>
        <v>302.39999999999998</v>
      </c>
      <c r="J135" s="8">
        <f>VLOOKUP(financials[[#This Row],[productid]],Products!$B$2:$H$10,4)</f>
        <v>16.8</v>
      </c>
      <c r="K135" s="8">
        <f>financials[[#This Row],[Net Sales]]-financials[[#This Row],[COGS]]</f>
        <v>285.59999999999997</v>
      </c>
      <c r="L135" s="15">
        <v>45602</v>
      </c>
      <c r="M135" t="s">
        <v>696</v>
      </c>
    </row>
    <row r="136" spans="1:13" x14ac:dyDescent="0.25">
      <c r="A136" t="s">
        <v>86</v>
      </c>
      <c r="B136" s="6" t="s">
        <v>240</v>
      </c>
      <c r="C136" s="13">
        <v>105</v>
      </c>
      <c r="D136" s="14" t="s">
        <v>90</v>
      </c>
      <c r="E136">
        <v>17</v>
      </c>
      <c r="F136" s="8">
        <f>VLOOKUP(financials[[#This Row],[productid]],Products!$B$2:$H$10,3)</f>
        <v>15</v>
      </c>
      <c r="G136" s="8">
        <f>financials[[#This Row],[Units Sold]]*financials[[#This Row],[Sale Price]]</f>
        <v>255</v>
      </c>
      <c r="H136" s="8">
        <f>IF(financials[[#This Row],[Discount Band]]="low",0.1,IF(financials[[#This Row],[Discount Band]]="medium",0.15,0.3))</f>
        <v>0.15</v>
      </c>
      <c r="I136" s="8">
        <f>financials[[#This Row],[Gross Sales]]-financials[[#This Row],[Gross Sales]]*financials[[#This Row],[Discounts]]</f>
        <v>216.75</v>
      </c>
      <c r="J136" s="8">
        <f>VLOOKUP(financials[[#This Row],[productid]],Products!$B$2:$H$10,4)</f>
        <v>10</v>
      </c>
      <c r="K136" s="8">
        <f>financials[[#This Row],[Net Sales]]-financials[[#This Row],[COGS]]</f>
        <v>206.75</v>
      </c>
      <c r="L136" s="15">
        <v>44901</v>
      </c>
      <c r="M136" t="s">
        <v>690</v>
      </c>
    </row>
    <row r="137" spans="1:13" x14ac:dyDescent="0.25">
      <c r="A137" t="s">
        <v>86</v>
      </c>
      <c r="B137" s="6" t="s">
        <v>93</v>
      </c>
      <c r="C137" s="13">
        <v>101</v>
      </c>
      <c r="D137" s="14" t="s">
        <v>90</v>
      </c>
      <c r="E137">
        <v>15</v>
      </c>
      <c r="F137" s="8">
        <f>VLOOKUP(financials[[#This Row],[productid]],Products!$B$2:$H$10,3)</f>
        <v>23</v>
      </c>
      <c r="G137" s="8">
        <f>financials[[#This Row],[Units Sold]]*financials[[#This Row],[Sale Price]]</f>
        <v>345</v>
      </c>
      <c r="H137" s="8">
        <f>IF(financials[[#This Row],[Discount Band]]="low",0.1,IF(financials[[#This Row],[Discount Band]]="medium",0.15,0.3))</f>
        <v>0.15</v>
      </c>
      <c r="I137" s="8">
        <f>financials[[#This Row],[Gross Sales]]-financials[[#This Row],[Gross Sales]]*financials[[#This Row],[Discounts]]</f>
        <v>293.25</v>
      </c>
      <c r="J137" s="8">
        <f>VLOOKUP(financials[[#This Row],[productid]],Products!$B$2:$H$10,4)</f>
        <v>9.9499999999999993</v>
      </c>
      <c r="K137" s="8">
        <f>financials[[#This Row],[Net Sales]]-financials[[#This Row],[COGS]]</f>
        <v>283.3</v>
      </c>
      <c r="L137" s="15">
        <v>44585</v>
      </c>
      <c r="M137" t="s">
        <v>696</v>
      </c>
    </row>
    <row r="138" spans="1:13" x14ac:dyDescent="0.25">
      <c r="A138" t="s">
        <v>85</v>
      </c>
      <c r="B138" s="6" t="s">
        <v>266</v>
      </c>
      <c r="C138" s="13">
        <v>106</v>
      </c>
      <c r="D138" s="14" t="s">
        <v>83</v>
      </c>
      <c r="E138">
        <v>8</v>
      </c>
      <c r="F138" s="8">
        <f>VLOOKUP(financials[[#This Row],[productid]],Products!$B$2:$H$10,3)</f>
        <v>25</v>
      </c>
      <c r="G138" s="8">
        <f>financials[[#This Row],[Units Sold]]*financials[[#This Row],[Sale Price]]</f>
        <v>200</v>
      </c>
      <c r="H138" s="8">
        <f>IF(financials[[#This Row],[Discount Band]]="low",0.1,IF(financials[[#This Row],[Discount Band]]="medium",0.15,0.3))</f>
        <v>0.3</v>
      </c>
      <c r="I138" s="8">
        <f>financials[[#This Row],[Gross Sales]]-financials[[#This Row],[Gross Sales]]*financials[[#This Row],[Discounts]]</f>
        <v>140</v>
      </c>
      <c r="J138" s="8">
        <f>VLOOKUP(financials[[#This Row],[productid]],Products!$B$2:$H$10,4)</f>
        <v>9.1</v>
      </c>
      <c r="K138" s="8">
        <f>financials[[#This Row],[Net Sales]]-financials[[#This Row],[COGS]]</f>
        <v>130.9</v>
      </c>
      <c r="L138" s="15">
        <v>45559</v>
      </c>
      <c r="M138" t="s">
        <v>690</v>
      </c>
    </row>
    <row r="139" spans="1:13" x14ac:dyDescent="0.25">
      <c r="A139" t="s">
        <v>86</v>
      </c>
      <c r="B139" s="6" t="s">
        <v>197</v>
      </c>
      <c r="C139" s="13">
        <v>102</v>
      </c>
      <c r="D139" s="14" t="s">
        <v>83</v>
      </c>
      <c r="E139">
        <v>16</v>
      </c>
      <c r="F139" s="8">
        <f>VLOOKUP(financials[[#This Row],[productid]],Products!$B$2:$H$10,3)</f>
        <v>15</v>
      </c>
      <c r="G139" s="8">
        <f>financials[[#This Row],[Units Sold]]*financials[[#This Row],[Sale Price]]</f>
        <v>240</v>
      </c>
      <c r="H139" s="8">
        <f>IF(financials[[#This Row],[Discount Band]]="low",0.1,IF(financials[[#This Row],[Discount Band]]="medium",0.15,0.3))</f>
        <v>0.3</v>
      </c>
      <c r="I139" s="8">
        <f>financials[[#This Row],[Gross Sales]]-financials[[#This Row],[Gross Sales]]*financials[[#This Row],[Discounts]]</f>
        <v>168</v>
      </c>
      <c r="J139" s="8">
        <f>VLOOKUP(financials[[#This Row],[productid]],Products!$B$2:$H$10,4)</f>
        <v>13.95</v>
      </c>
      <c r="K139" s="8">
        <f>financials[[#This Row],[Net Sales]]-financials[[#This Row],[COGS]]</f>
        <v>154.05000000000001</v>
      </c>
      <c r="L139" s="15">
        <v>44513</v>
      </c>
      <c r="M139" t="s">
        <v>690</v>
      </c>
    </row>
    <row r="140" spans="1:13" x14ac:dyDescent="0.25">
      <c r="A140" t="s">
        <v>86</v>
      </c>
      <c r="B140" s="6" t="s">
        <v>93</v>
      </c>
      <c r="C140" s="13">
        <v>105</v>
      </c>
      <c r="D140" s="14" t="s">
        <v>83</v>
      </c>
      <c r="E140">
        <v>16</v>
      </c>
      <c r="F140" s="8">
        <f>VLOOKUP(financials[[#This Row],[productid]],Products!$B$2:$H$10,3)</f>
        <v>15</v>
      </c>
      <c r="G140" s="8">
        <f>financials[[#This Row],[Units Sold]]*financials[[#This Row],[Sale Price]]</f>
        <v>240</v>
      </c>
      <c r="H140" s="8">
        <f>IF(financials[[#This Row],[Discount Band]]="low",0.1,IF(financials[[#This Row],[Discount Band]]="medium",0.15,0.3))</f>
        <v>0.3</v>
      </c>
      <c r="I140" s="8">
        <f>financials[[#This Row],[Gross Sales]]-financials[[#This Row],[Gross Sales]]*financials[[#This Row],[Discounts]]</f>
        <v>168</v>
      </c>
      <c r="J140" s="8">
        <f>VLOOKUP(financials[[#This Row],[productid]],Products!$B$2:$H$10,4)</f>
        <v>10</v>
      </c>
      <c r="K140" s="8">
        <f>financials[[#This Row],[Net Sales]]-financials[[#This Row],[COGS]]</f>
        <v>158</v>
      </c>
      <c r="L140" s="15">
        <v>44101</v>
      </c>
      <c r="M140" t="s">
        <v>700</v>
      </c>
    </row>
    <row r="141" spans="1:13" x14ac:dyDescent="0.25">
      <c r="A141" t="s">
        <v>86</v>
      </c>
      <c r="B141" s="6" t="s">
        <v>158</v>
      </c>
      <c r="C141" s="11">
        <v>108</v>
      </c>
      <c r="D141" s="9" t="s">
        <v>83</v>
      </c>
      <c r="E141">
        <v>14</v>
      </c>
      <c r="F141" s="8">
        <f>VLOOKUP(financials[[#This Row],[productid]],Products!$B$2:$H$10,3)</f>
        <v>5.5</v>
      </c>
      <c r="G141" s="8">
        <f>financials[[#This Row],[Units Sold]]*financials[[#This Row],[Sale Price]]</f>
        <v>77</v>
      </c>
      <c r="H141" s="8">
        <f>IF(financials[[#This Row],[Discount Band]]="low",0.1,IF(financials[[#This Row],[Discount Band]]="medium",0.15,0.3))</f>
        <v>0.3</v>
      </c>
      <c r="I141" s="8">
        <f>financials[[#This Row],[Gross Sales]]-financials[[#This Row],[Gross Sales]]*financials[[#This Row],[Discounts]]</f>
        <v>53.900000000000006</v>
      </c>
      <c r="J141" s="8">
        <f>VLOOKUP(financials[[#This Row],[productid]],Products!$B$2:$H$10,4)</f>
        <v>3.99</v>
      </c>
      <c r="K141" s="8">
        <f>financials[[#This Row],[Net Sales]]-financials[[#This Row],[COGS]]</f>
        <v>49.910000000000004</v>
      </c>
      <c r="L141" s="15">
        <v>44680</v>
      </c>
      <c r="M141" t="s">
        <v>691</v>
      </c>
    </row>
    <row r="142" spans="1:13" x14ac:dyDescent="0.25">
      <c r="A142" t="s">
        <v>86</v>
      </c>
      <c r="B142" s="6" t="s">
        <v>96</v>
      </c>
      <c r="C142" s="13">
        <v>109</v>
      </c>
      <c r="D142" s="14" t="s">
        <v>90</v>
      </c>
      <c r="E142">
        <v>10</v>
      </c>
      <c r="F142" s="8">
        <f>VLOOKUP(financials[[#This Row],[productid]],Products!$B$2:$H$10,3)</f>
        <v>36</v>
      </c>
      <c r="G142" s="8">
        <f>financials[[#This Row],[Units Sold]]*financials[[#This Row],[Sale Price]]</f>
        <v>360</v>
      </c>
      <c r="H142" s="8">
        <f>IF(financials[[#This Row],[Discount Band]]="low",0.1,IF(financials[[#This Row],[Discount Band]]="medium",0.15,0.3))</f>
        <v>0.15</v>
      </c>
      <c r="I142" s="8">
        <f>financials[[#This Row],[Gross Sales]]-financials[[#This Row],[Gross Sales]]*financials[[#This Row],[Discounts]]</f>
        <v>306</v>
      </c>
      <c r="J142" s="8">
        <f>VLOOKUP(financials[[#This Row],[productid]],Products!$B$2:$H$10,4)</f>
        <v>16.8</v>
      </c>
      <c r="K142" s="8">
        <f>financials[[#This Row],[Net Sales]]-financials[[#This Row],[COGS]]</f>
        <v>289.2</v>
      </c>
      <c r="L142" s="15">
        <v>45391</v>
      </c>
      <c r="M142" t="s">
        <v>691</v>
      </c>
    </row>
    <row r="143" spans="1:13" x14ac:dyDescent="0.25">
      <c r="A143" t="s">
        <v>86</v>
      </c>
      <c r="B143" s="6" t="s">
        <v>287</v>
      </c>
      <c r="C143" s="13">
        <v>103</v>
      </c>
      <c r="D143" s="14" t="s">
        <v>92</v>
      </c>
      <c r="E143">
        <v>12</v>
      </c>
      <c r="F143" s="8">
        <f>VLOOKUP(financials[[#This Row],[productid]],Products!$B$2:$H$10,3)</f>
        <v>28</v>
      </c>
      <c r="G143" s="8">
        <f>financials[[#This Row],[Units Sold]]*financials[[#This Row],[Sale Price]]</f>
        <v>336</v>
      </c>
      <c r="H143" s="8">
        <f>IF(financials[[#This Row],[Discount Band]]="low",0.1,IF(financials[[#This Row],[Discount Band]]="medium",0.15,0.3))</f>
        <v>0.3</v>
      </c>
      <c r="I143" s="8">
        <f>financials[[#This Row],[Gross Sales]]-financials[[#This Row],[Gross Sales]]*financials[[#This Row],[Discounts]]</f>
        <v>235.2</v>
      </c>
      <c r="J143" s="8">
        <f>VLOOKUP(financials[[#This Row],[productid]],Products!$B$2:$H$10,4)</f>
        <v>15</v>
      </c>
      <c r="K143" s="8">
        <f>financials[[#This Row],[Net Sales]]-financials[[#This Row],[COGS]]</f>
        <v>220.2</v>
      </c>
      <c r="L143" s="15">
        <v>44516</v>
      </c>
      <c r="M143" t="s">
        <v>697</v>
      </c>
    </row>
    <row r="144" spans="1:13" x14ac:dyDescent="0.25">
      <c r="A144" t="s">
        <v>86</v>
      </c>
      <c r="B144" s="6" t="s">
        <v>287</v>
      </c>
      <c r="C144" s="13">
        <v>101</v>
      </c>
      <c r="D144" s="14" t="s">
        <v>83</v>
      </c>
      <c r="E144">
        <v>19</v>
      </c>
      <c r="F144" s="8">
        <f>VLOOKUP(financials[[#This Row],[productid]],Products!$B$2:$H$10,3)</f>
        <v>23</v>
      </c>
      <c r="G144" s="8">
        <f>financials[[#This Row],[Units Sold]]*financials[[#This Row],[Sale Price]]</f>
        <v>437</v>
      </c>
      <c r="H144" s="8">
        <f>IF(financials[[#This Row],[Discount Band]]="low",0.1,IF(financials[[#This Row],[Discount Band]]="medium",0.15,0.3))</f>
        <v>0.3</v>
      </c>
      <c r="I144" s="8">
        <f>financials[[#This Row],[Gross Sales]]-financials[[#This Row],[Gross Sales]]*financials[[#This Row],[Discounts]]</f>
        <v>305.89999999999998</v>
      </c>
      <c r="J144" s="8">
        <f>VLOOKUP(financials[[#This Row],[productid]],Products!$B$2:$H$10,4)</f>
        <v>9.9499999999999993</v>
      </c>
      <c r="K144" s="8">
        <f>financials[[#This Row],[Net Sales]]-financials[[#This Row],[COGS]]</f>
        <v>295.95</v>
      </c>
      <c r="L144" s="15">
        <v>45157</v>
      </c>
      <c r="M144" t="s">
        <v>696</v>
      </c>
    </row>
    <row r="145" spans="1:13" x14ac:dyDescent="0.25">
      <c r="A145" t="s">
        <v>86</v>
      </c>
      <c r="B145" s="6" t="s">
        <v>266</v>
      </c>
      <c r="C145" s="13">
        <v>108</v>
      </c>
      <c r="D145" s="14" t="s">
        <v>90</v>
      </c>
      <c r="E145">
        <v>10</v>
      </c>
      <c r="F145" s="8">
        <f>VLOOKUP(financials[[#This Row],[productid]],Products!$B$2:$H$10,3)</f>
        <v>5.5</v>
      </c>
      <c r="G145" s="8">
        <f>financials[[#This Row],[Units Sold]]*financials[[#This Row],[Sale Price]]</f>
        <v>55</v>
      </c>
      <c r="H145" s="8">
        <f>IF(financials[[#This Row],[Discount Band]]="low",0.1,IF(financials[[#This Row],[Discount Band]]="medium",0.15,0.3))</f>
        <v>0.15</v>
      </c>
      <c r="I145" s="8">
        <f>financials[[#This Row],[Gross Sales]]-financials[[#This Row],[Gross Sales]]*financials[[#This Row],[Discounts]]</f>
        <v>46.75</v>
      </c>
      <c r="J145" s="8">
        <f>VLOOKUP(financials[[#This Row],[productid]],Products!$B$2:$H$10,4)</f>
        <v>3.99</v>
      </c>
      <c r="K145" s="8">
        <f>financials[[#This Row],[Net Sales]]-financials[[#This Row],[COGS]]</f>
        <v>42.76</v>
      </c>
      <c r="L145" s="15">
        <v>44973</v>
      </c>
      <c r="M145" t="s">
        <v>700</v>
      </c>
    </row>
    <row r="146" spans="1:13" x14ac:dyDescent="0.25">
      <c r="A146" t="s">
        <v>86</v>
      </c>
      <c r="B146" s="6" t="s">
        <v>274</v>
      </c>
      <c r="C146" s="13">
        <v>109</v>
      </c>
      <c r="D146" s="14" t="s">
        <v>90</v>
      </c>
      <c r="E146">
        <v>6</v>
      </c>
      <c r="F146" s="8">
        <f>VLOOKUP(financials[[#This Row],[productid]],Products!$B$2:$H$10,3)</f>
        <v>36</v>
      </c>
      <c r="G146" s="8">
        <f>financials[[#This Row],[Units Sold]]*financials[[#This Row],[Sale Price]]</f>
        <v>216</v>
      </c>
      <c r="H146" s="8">
        <f>IF(financials[[#This Row],[Discount Band]]="low",0.1,IF(financials[[#This Row],[Discount Band]]="medium",0.15,0.3))</f>
        <v>0.15</v>
      </c>
      <c r="I146" s="8">
        <f>financials[[#This Row],[Gross Sales]]-financials[[#This Row],[Gross Sales]]*financials[[#This Row],[Discounts]]</f>
        <v>183.6</v>
      </c>
      <c r="J146" s="8">
        <f>VLOOKUP(financials[[#This Row],[productid]],Products!$B$2:$H$10,4)</f>
        <v>16.8</v>
      </c>
      <c r="K146" s="8">
        <f>financials[[#This Row],[Net Sales]]-financials[[#This Row],[COGS]]</f>
        <v>166.79999999999998</v>
      </c>
      <c r="L146" s="15">
        <v>44955</v>
      </c>
      <c r="M146" t="s">
        <v>691</v>
      </c>
    </row>
    <row r="147" spans="1:13" x14ac:dyDescent="0.25">
      <c r="A147" t="s">
        <v>86</v>
      </c>
      <c r="B147" s="6" t="s">
        <v>93</v>
      </c>
      <c r="C147" s="13">
        <v>104</v>
      </c>
      <c r="D147" s="14" t="s">
        <v>90</v>
      </c>
      <c r="E147">
        <v>8</v>
      </c>
      <c r="F147" s="8">
        <f>VLOOKUP(financials[[#This Row],[productid]],Products!$B$2:$H$10,3)</f>
        <v>5.9</v>
      </c>
      <c r="G147" s="8">
        <f>financials[[#This Row],[Units Sold]]*financials[[#This Row],[Sale Price]]</f>
        <v>47.2</v>
      </c>
      <c r="H147" s="8">
        <f>IF(financials[[#This Row],[Discount Band]]="low",0.1,IF(financials[[#This Row],[Discount Band]]="medium",0.15,0.3))</f>
        <v>0.15</v>
      </c>
      <c r="I147" s="8">
        <f>financials[[#This Row],[Gross Sales]]-financials[[#This Row],[Gross Sales]]*financials[[#This Row],[Discounts]]</f>
        <v>40.120000000000005</v>
      </c>
      <c r="J147" s="8">
        <f>VLOOKUP(financials[[#This Row],[productid]],Products!$B$2:$H$10,4)</f>
        <v>2.9</v>
      </c>
      <c r="K147" s="8">
        <f>financials[[#This Row],[Net Sales]]-financials[[#This Row],[COGS]]</f>
        <v>37.220000000000006</v>
      </c>
      <c r="L147" s="15">
        <v>45447</v>
      </c>
      <c r="M147" t="s">
        <v>691</v>
      </c>
    </row>
    <row r="148" spans="1:13" x14ac:dyDescent="0.25">
      <c r="A148" t="s">
        <v>86</v>
      </c>
      <c r="B148" s="6" t="s">
        <v>266</v>
      </c>
      <c r="C148" s="13">
        <v>108</v>
      </c>
      <c r="D148" s="14" t="s">
        <v>90</v>
      </c>
      <c r="E148">
        <v>16</v>
      </c>
      <c r="F148" s="8">
        <f>VLOOKUP(financials[[#This Row],[productid]],Products!$B$2:$H$10,3)</f>
        <v>5.5</v>
      </c>
      <c r="G148" s="8">
        <f>financials[[#This Row],[Units Sold]]*financials[[#This Row],[Sale Price]]</f>
        <v>88</v>
      </c>
      <c r="H148" s="8">
        <f>IF(financials[[#This Row],[Discount Band]]="low",0.1,IF(financials[[#This Row],[Discount Band]]="medium",0.15,0.3))</f>
        <v>0.15</v>
      </c>
      <c r="I148" s="8">
        <f>financials[[#This Row],[Gross Sales]]-financials[[#This Row],[Gross Sales]]*financials[[#This Row],[Discounts]]</f>
        <v>74.8</v>
      </c>
      <c r="J148" s="8">
        <f>VLOOKUP(financials[[#This Row],[productid]],Products!$B$2:$H$10,4)</f>
        <v>3.99</v>
      </c>
      <c r="K148" s="8">
        <f>financials[[#This Row],[Net Sales]]-financials[[#This Row],[COGS]]</f>
        <v>70.81</v>
      </c>
      <c r="L148" s="15">
        <v>44293</v>
      </c>
      <c r="M148" t="s">
        <v>690</v>
      </c>
    </row>
    <row r="149" spans="1:13" x14ac:dyDescent="0.25">
      <c r="A149" t="s">
        <v>89</v>
      </c>
      <c r="B149" s="6" t="s">
        <v>545</v>
      </c>
      <c r="C149" s="13">
        <v>108</v>
      </c>
      <c r="D149" s="14" t="s">
        <v>90</v>
      </c>
      <c r="E149">
        <v>12</v>
      </c>
      <c r="F149" s="8">
        <f>VLOOKUP(financials[[#This Row],[productid]],Products!$B$2:$H$10,3)</f>
        <v>5.5</v>
      </c>
      <c r="G149" s="8">
        <f>financials[[#This Row],[Units Sold]]*financials[[#This Row],[Sale Price]]</f>
        <v>66</v>
      </c>
      <c r="H149" s="8">
        <f>IF(financials[[#This Row],[Discount Band]]="low",0.1,IF(financials[[#This Row],[Discount Band]]="medium",0.15,0.3))</f>
        <v>0.15</v>
      </c>
      <c r="I149" s="8">
        <f>financials[[#This Row],[Gross Sales]]-financials[[#This Row],[Gross Sales]]*financials[[#This Row],[Discounts]]</f>
        <v>56.1</v>
      </c>
      <c r="J149" s="8">
        <f>VLOOKUP(financials[[#This Row],[productid]],Products!$B$2:$H$10,4)</f>
        <v>3.99</v>
      </c>
      <c r="K149" s="8">
        <f>financials[[#This Row],[Net Sales]]-financials[[#This Row],[COGS]]</f>
        <v>52.11</v>
      </c>
      <c r="L149" s="15">
        <v>45137</v>
      </c>
      <c r="M149" t="s">
        <v>700</v>
      </c>
    </row>
    <row r="150" spans="1:13" x14ac:dyDescent="0.25">
      <c r="A150" t="s">
        <v>86</v>
      </c>
      <c r="B150" s="6" t="s">
        <v>148</v>
      </c>
      <c r="C150" s="11">
        <v>106</v>
      </c>
      <c r="D150" s="9" t="s">
        <v>90</v>
      </c>
      <c r="E150">
        <v>18</v>
      </c>
      <c r="F150" s="8">
        <f>VLOOKUP(financials[[#This Row],[productid]],Products!$B$2:$H$10,3)</f>
        <v>25</v>
      </c>
      <c r="G150" s="8">
        <f>financials[[#This Row],[Units Sold]]*financials[[#This Row],[Sale Price]]</f>
        <v>450</v>
      </c>
      <c r="H150" s="8">
        <f>IF(financials[[#This Row],[Discount Band]]="low",0.1,IF(financials[[#This Row],[Discount Band]]="medium",0.15,0.3))</f>
        <v>0.15</v>
      </c>
      <c r="I150" s="8">
        <f>financials[[#This Row],[Gross Sales]]-financials[[#This Row],[Gross Sales]]*financials[[#This Row],[Discounts]]</f>
        <v>382.5</v>
      </c>
      <c r="J150" s="8">
        <f>VLOOKUP(financials[[#This Row],[productid]],Products!$B$2:$H$10,4)</f>
        <v>9.1</v>
      </c>
      <c r="K150" s="8">
        <f>financials[[#This Row],[Net Sales]]-financials[[#This Row],[COGS]]</f>
        <v>373.4</v>
      </c>
      <c r="L150" s="15">
        <v>44738</v>
      </c>
      <c r="M150" t="s">
        <v>696</v>
      </c>
    </row>
    <row r="151" spans="1:13" x14ac:dyDescent="0.25">
      <c r="A151" t="s">
        <v>86</v>
      </c>
      <c r="B151" s="6" t="s">
        <v>93</v>
      </c>
      <c r="C151" s="13">
        <v>101</v>
      </c>
      <c r="D151" s="14" t="s">
        <v>90</v>
      </c>
      <c r="E151">
        <v>20</v>
      </c>
      <c r="F151" s="8">
        <f>VLOOKUP(financials[[#This Row],[productid]],Products!$B$2:$H$10,3)</f>
        <v>23</v>
      </c>
      <c r="G151" s="8">
        <f>financials[[#This Row],[Units Sold]]*financials[[#This Row],[Sale Price]]</f>
        <v>460</v>
      </c>
      <c r="H151" s="8">
        <f>IF(financials[[#This Row],[Discount Band]]="low",0.1,IF(financials[[#This Row],[Discount Band]]="medium",0.15,0.3))</f>
        <v>0.15</v>
      </c>
      <c r="I151" s="8">
        <f>financials[[#This Row],[Gross Sales]]-financials[[#This Row],[Gross Sales]]*financials[[#This Row],[Discounts]]</f>
        <v>391</v>
      </c>
      <c r="J151" s="8">
        <f>VLOOKUP(financials[[#This Row],[productid]],Products!$B$2:$H$10,4)</f>
        <v>9.9499999999999993</v>
      </c>
      <c r="K151" s="8">
        <f>financials[[#This Row],[Net Sales]]-financials[[#This Row],[COGS]]</f>
        <v>381.05</v>
      </c>
      <c r="L151" s="15">
        <v>45123</v>
      </c>
      <c r="M151" t="s">
        <v>697</v>
      </c>
    </row>
    <row r="152" spans="1:13" x14ac:dyDescent="0.25">
      <c r="A152" t="s">
        <v>85</v>
      </c>
      <c r="B152" s="6" t="s">
        <v>266</v>
      </c>
      <c r="C152" s="13">
        <v>107</v>
      </c>
      <c r="D152" s="14" t="s">
        <v>91</v>
      </c>
      <c r="E152">
        <v>20</v>
      </c>
      <c r="F152" s="8">
        <f>VLOOKUP(financials[[#This Row],[productid]],Products!$B$2:$H$10,3)</f>
        <v>15</v>
      </c>
      <c r="G152" s="8">
        <f>financials[[#This Row],[Units Sold]]*financials[[#This Row],[Sale Price]]</f>
        <v>300</v>
      </c>
      <c r="H152" s="8">
        <f>IF(financials[[#This Row],[Discount Band]]="low",0.1,IF(financials[[#This Row],[Discount Band]]="medium",0.15,0.3))</f>
        <v>0.1</v>
      </c>
      <c r="I152" s="8">
        <f>financials[[#This Row],[Gross Sales]]-financials[[#This Row],[Gross Sales]]*financials[[#This Row],[Discounts]]</f>
        <v>270</v>
      </c>
      <c r="J152" s="8">
        <f>VLOOKUP(financials[[#This Row],[productid]],Products!$B$2:$H$10,4)</f>
        <v>5.5</v>
      </c>
      <c r="K152" s="8">
        <f>financials[[#This Row],[Net Sales]]-financials[[#This Row],[COGS]]</f>
        <v>264.5</v>
      </c>
      <c r="L152" s="15">
        <v>45114</v>
      </c>
      <c r="M152" t="s">
        <v>690</v>
      </c>
    </row>
    <row r="153" spans="1:13" x14ac:dyDescent="0.25">
      <c r="A153" t="s">
        <v>86</v>
      </c>
      <c r="B153" s="6" t="s">
        <v>158</v>
      </c>
      <c r="C153" s="13">
        <v>106</v>
      </c>
      <c r="D153" s="14" t="s">
        <v>83</v>
      </c>
      <c r="E153">
        <v>9</v>
      </c>
      <c r="F153" s="8">
        <f>VLOOKUP(financials[[#This Row],[productid]],Products!$B$2:$H$10,3)</f>
        <v>25</v>
      </c>
      <c r="G153" s="8">
        <f>financials[[#This Row],[Units Sold]]*financials[[#This Row],[Sale Price]]</f>
        <v>225</v>
      </c>
      <c r="H153" s="8">
        <f>IF(financials[[#This Row],[Discount Band]]="low",0.1,IF(financials[[#This Row],[Discount Band]]="medium",0.15,0.3))</f>
        <v>0.3</v>
      </c>
      <c r="I153" s="8">
        <f>financials[[#This Row],[Gross Sales]]-financials[[#This Row],[Gross Sales]]*financials[[#This Row],[Discounts]]</f>
        <v>157.5</v>
      </c>
      <c r="J153" s="8">
        <f>VLOOKUP(financials[[#This Row],[productid]],Products!$B$2:$H$10,4)</f>
        <v>9.1</v>
      </c>
      <c r="K153" s="8">
        <f>financials[[#This Row],[Net Sales]]-financials[[#This Row],[COGS]]</f>
        <v>148.4</v>
      </c>
      <c r="L153" s="15">
        <v>45059</v>
      </c>
      <c r="M153" t="s">
        <v>700</v>
      </c>
    </row>
    <row r="154" spans="1:13" x14ac:dyDescent="0.25">
      <c r="A154" t="s">
        <v>86</v>
      </c>
      <c r="B154" s="6" t="s">
        <v>125</v>
      </c>
      <c r="C154" s="13">
        <v>107</v>
      </c>
      <c r="D154" s="14" t="s">
        <v>83</v>
      </c>
      <c r="E154">
        <v>12</v>
      </c>
      <c r="F154" s="8">
        <f>VLOOKUP(financials[[#This Row],[productid]],Products!$B$2:$H$10,3)</f>
        <v>15</v>
      </c>
      <c r="G154" s="8">
        <f>financials[[#This Row],[Units Sold]]*financials[[#This Row],[Sale Price]]</f>
        <v>180</v>
      </c>
      <c r="H154" s="8">
        <f>IF(financials[[#This Row],[Discount Band]]="low",0.1,IF(financials[[#This Row],[Discount Band]]="medium",0.15,0.3))</f>
        <v>0.3</v>
      </c>
      <c r="I154" s="8">
        <f>financials[[#This Row],[Gross Sales]]-financials[[#This Row],[Gross Sales]]*financials[[#This Row],[Discounts]]</f>
        <v>126</v>
      </c>
      <c r="J154" s="8">
        <f>VLOOKUP(financials[[#This Row],[productid]],Products!$B$2:$H$10,4)</f>
        <v>5.5</v>
      </c>
      <c r="K154" s="8">
        <f>financials[[#This Row],[Net Sales]]-financials[[#This Row],[COGS]]</f>
        <v>120.5</v>
      </c>
      <c r="L154" s="15">
        <v>44036</v>
      </c>
      <c r="M154" t="s">
        <v>690</v>
      </c>
    </row>
    <row r="155" spans="1:13" x14ac:dyDescent="0.25">
      <c r="A155" t="s">
        <v>86</v>
      </c>
      <c r="B155" s="6" t="s">
        <v>266</v>
      </c>
      <c r="C155" s="13">
        <v>106</v>
      </c>
      <c r="D155" s="14" t="s">
        <v>90</v>
      </c>
      <c r="E155">
        <v>14</v>
      </c>
      <c r="F155" s="8">
        <f>VLOOKUP(financials[[#This Row],[productid]],Products!$B$2:$H$10,3)</f>
        <v>25</v>
      </c>
      <c r="G155" s="8">
        <f>financials[[#This Row],[Units Sold]]*financials[[#This Row],[Sale Price]]</f>
        <v>350</v>
      </c>
      <c r="H155" s="8">
        <f>IF(financials[[#This Row],[Discount Band]]="low",0.1,IF(financials[[#This Row],[Discount Band]]="medium",0.15,0.3))</f>
        <v>0.15</v>
      </c>
      <c r="I155" s="8">
        <f>financials[[#This Row],[Gross Sales]]-financials[[#This Row],[Gross Sales]]*financials[[#This Row],[Discounts]]</f>
        <v>297.5</v>
      </c>
      <c r="J155" s="8">
        <f>VLOOKUP(financials[[#This Row],[productid]],Products!$B$2:$H$10,4)</f>
        <v>9.1</v>
      </c>
      <c r="K155" s="8">
        <f>financials[[#This Row],[Net Sales]]-financials[[#This Row],[COGS]]</f>
        <v>288.39999999999998</v>
      </c>
      <c r="L155" s="15">
        <v>44065</v>
      </c>
      <c r="M155" t="s">
        <v>696</v>
      </c>
    </row>
    <row r="156" spans="1:13" x14ac:dyDescent="0.25">
      <c r="A156" t="s">
        <v>86</v>
      </c>
      <c r="B156" s="6" t="s">
        <v>148</v>
      </c>
      <c r="C156" s="11">
        <v>107</v>
      </c>
      <c r="D156" s="9" t="s">
        <v>90</v>
      </c>
      <c r="E156">
        <v>18</v>
      </c>
      <c r="F156" s="8">
        <f>VLOOKUP(financials[[#This Row],[productid]],Products!$B$2:$H$10,3)</f>
        <v>15</v>
      </c>
      <c r="G156" s="8">
        <f>financials[[#This Row],[Units Sold]]*financials[[#This Row],[Sale Price]]</f>
        <v>270</v>
      </c>
      <c r="H156" s="8">
        <f>IF(financials[[#This Row],[Discount Band]]="low",0.1,IF(financials[[#This Row],[Discount Band]]="medium",0.15,0.3))</f>
        <v>0.15</v>
      </c>
      <c r="I156" s="8">
        <f>financials[[#This Row],[Gross Sales]]-financials[[#This Row],[Gross Sales]]*financials[[#This Row],[Discounts]]</f>
        <v>229.5</v>
      </c>
      <c r="J156" s="8">
        <f>VLOOKUP(financials[[#This Row],[productid]],Products!$B$2:$H$10,4)</f>
        <v>5.5</v>
      </c>
      <c r="K156" s="8">
        <f>financials[[#This Row],[Net Sales]]-financials[[#This Row],[COGS]]</f>
        <v>224</v>
      </c>
      <c r="L156" s="15">
        <v>44253</v>
      </c>
      <c r="M156" t="s">
        <v>697</v>
      </c>
    </row>
    <row r="157" spans="1:13" x14ac:dyDescent="0.25">
      <c r="A157" t="s">
        <v>86</v>
      </c>
      <c r="B157" s="6" t="s">
        <v>645</v>
      </c>
      <c r="C157" s="13">
        <v>106</v>
      </c>
      <c r="D157" s="14" t="s">
        <v>83</v>
      </c>
      <c r="E157">
        <v>17</v>
      </c>
      <c r="F157" s="8">
        <f>VLOOKUP(financials[[#This Row],[productid]],Products!$B$2:$H$10,3)</f>
        <v>25</v>
      </c>
      <c r="G157" s="8">
        <f>financials[[#This Row],[Units Sold]]*financials[[#This Row],[Sale Price]]</f>
        <v>425</v>
      </c>
      <c r="H157" s="8">
        <f>IF(financials[[#This Row],[Discount Band]]="low",0.1,IF(financials[[#This Row],[Discount Band]]="medium",0.15,0.3))</f>
        <v>0.3</v>
      </c>
      <c r="I157" s="8">
        <f>financials[[#This Row],[Gross Sales]]-financials[[#This Row],[Gross Sales]]*financials[[#This Row],[Discounts]]</f>
        <v>297.5</v>
      </c>
      <c r="J157" s="8">
        <f>VLOOKUP(financials[[#This Row],[productid]],Products!$B$2:$H$10,4)</f>
        <v>9.1</v>
      </c>
      <c r="K157" s="8">
        <f>financials[[#This Row],[Net Sales]]-financials[[#This Row],[COGS]]</f>
        <v>288.39999999999998</v>
      </c>
      <c r="L157" s="15">
        <v>43926</v>
      </c>
      <c r="M157" t="s">
        <v>691</v>
      </c>
    </row>
    <row r="158" spans="1:13" x14ac:dyDescent="0.25">
      <c r="A158" t="s">
        <v>86</v>
      </c>
      <c r="B158" s="6" t="s">
        <v>617</v>
      </c>
      <c r="C158" s="13">
        <v>108</v>
      </c>
      <c r="D158" s="14" t="s">
        <v>90</v>
      </c>
      <c r="E158">
        <v>12</v>
      </c>
      <c r="F158" s="8">
        <f>VLOOKUP(financials[[#This Row],[productid]],Products!$B$2:$H$10,3)</f>
        <v>5.5</v>
      </c>
      <c r="G158" s="8">
        <f>financials[[#This Row],[Units Sold]]*financials[[#This Row],[Sale Price]]</f>
        <v>66</v>
      </c>
      <c r="H158" s="8">
        <f>IF(financials[[#This Row],[Discount Band]]="low",0.1,IF(financials[[#This Row],[Discount Band]]="medium",0.15,0.3))</f>
        <v>0.15</v>
      </c>
      <c r="I158" s="8">
        <f>financials[[#This Row],[Gross Sales]]-financials[[#This Row],[Gross Sales]]*financials[[#This Row],[Discounts]]</f>
        <v>56.1</v>
      </c>
      <c r="J158" s="8">
        <f>VLOOKUP(financials[[#This Row],[productid]],Products!$B$2:$H$10,4)</f>
        <v>3.99</v>
      </c>
      <c r="K158" s="8">
        <f>financials[[#This Row],[Net Sales]]-financials[[#This Row],[COGS]]</f>
        <v>52.11</v>
      </c>
      <c r="L158" s="15">
        <v>45225</v>
      </c>
      <c r="M158" t="s">
        <v>700</v>
      </c>
    </row>
    <row r="159" spans="1:13" x14ac:dyDescent="0.25">
      <c r="A159" t="s">
        <v>86</v>
      </c>
      <c r="B159" s="6" t="s">
        <v>148</v>
      </c>
      <c r="C159" s="13">
        <v>106</v>
      </c>
      <c r="D159" s="14" t="s">
        <v>83</v>
      </c>
      <c r="E159">
        <v>8</v>
      </c>
      <c r="F159" s="8">
        <f>VLOOKUP(financials[[#This Row],[productid]],Products!$B$2:$H$10,3)</f>
        <v>25</v>
      </c>
      <c r="G159" s="8">
        <f>financials[[#This Row],[Units Sold]]*financials[[#This Row],[Sale Price]]</f>
        <v>200</v>
      </c>
      <c r="H159" s="8">
        <f>IF(financials[[#This Row],[Discount Band]]="low",0.1,IF(financials[[#This Row],[Discount Band]]="medium",0.15,0.3))</f>
        <v>0.3</v>
      </c>
      <c r="I159" s="8">
        <f>financials[[#This Row],[Gross Sales]]-financials[[#This Row],[Gross Sales]]*financials[[#This Row],[Discounts]]</f>
        <v>140</v>
      </c>
      <c r="J159" s="8">
        <f>VLOOKUP(financials[[#This Row],[productid]],Products!$B$2:$H$10,4)</f>
        <v>9.1</v>
      </c>
      <c r="K159" s="8">
        <f>financials[[#This Row],[Net Sales]]-financials[[#This Row],[COGS]]</f>
        <v>130.9</v>
      </c>
      <c r="L159" s="15">
        <v>45565</v>
      </c>
      <c r="M159" t="s">
        <v>690</v>
      </c>
    </row>
    <row r="160" spans="1:13" x14ac:dyDescent="0.25">
      <c r="A160" t="s">
        <v>89</v>
      </c>
      <c r="B160" s="6" t="s">
        <v>266</v>
      </c>
      <c r="C160" s="11">
        <v>109</v>
      </c>
      <c r="D160" s="9" t="s">
        <v>92</v>
      </c>
      <c r="E160">
        <v>12</v>
      </c>
      <c r="F160" s="8">
        <f>VLOOKUP(financials[[#This Row],[productid]],Products!$B$2:$H$10,3)</f>
        <v>36</v>
      </c>
      <c r="G160" s="8">
        <f>financials[[#This Row],[Units Sold]]*financials[[#This Row],[Sale Price]]</f>
        <v>432</v>
      </c>
      <c r="H160" s="8">
        <f>IF(financials[[#This Row],[Discount Band]]="low",0.1,IF(financials[[#This Row],[Discount Band]]="medium",0.15,0.3))</f>
        <v>0.3</v>
      </c>
      <c r="I160" s="8">
        <f>financials[[#This Row],[Gross Sales]]-financials[[#This Row],[Gross Sales]]*financials[[#This Row],[Discounts]]</f>
        <v>302.39999999999998</v>
      </c>
      <c r="J160" s="8">
        <f>VLOOKUP(financials[[#This Row],[productid]],Products!$B$2:$H$10,4)</f>
        <v>16.8</v>
      </c>
      <c r="K160" s="8">
        <f>financials[[#This Row],[Net Sales]]-financials[[#This Row],[COGS]]</f>
        <v>285.59999999999997</v>
      </c>
      <c r="L160" s="15">
        <v>44710</v>
      </c>
      <c r="M160" t="s">
        <v>700</v>
      </c>
    </row>
    <row r="161" spans="1:13" x14ac:dyDescent="0.25">
      <c r="A161" t="s">
        <v>89</v>
      </c>
      <c r="B161" s="6" t="s">
        <v>545</v>
      </c>
      <c r="C161" s="13">
        <v>107</v>
      </c>
      <c r="D161" s="14" t="s">
        <v>83</v>
      </c>
      <c r="E161">
        <v>11</v>
      </c>
      <c r="F161" s="8">
        <f>VLOOKUP(financials[[#This Row],[productid]],Products!$B$2:$H$10,3)</f>
        <v>15</v>
      </c>
      <c r="G161" s="8">
        <f>financials[[#This Row],[Units Sold]]*financials[[#This Row],[Sale Price]]</f>
        <v>165</v>
      </c>
      <c r="H161" s="8">
        <f>IF(financials[[#This Row],[Discount Band]]="low",0.1,IF(financials[[#This Row],[Discount Band]]="medium",0.15,0.3))</f>
        <v>0.3</v>
      </c>
      <c r="I161" s="8">
        <f>financials[[#This Row],[Gross Sales]]-financials[[#This Row],[Gross Sales]]*financials[[#This Row],[Discounts]]</f>
        <v>115.5</v>
      </c>
      <c r="J161" s="8">
        <f>VLOOKUP(financials[[#This Row],[productid]],Products!$B$2:$H$10,4)</f>
        <v>5.5</v>
      </c>
      <c r="K161" s="8">
        <f>financials[[#This Row],[Net Sales]]-financials[[#This Row],[COGS]]</f>
        <v>110</v>
      </c>
      <c r="L161" s="15">
        <v>44199</v>
      </c>
      <c r="M161" t="s">
        <v>690</v>
      </c>
    </row>
    <row r="162" spans="1:13" x14ac:dyDescent="0.25">
      <c r="A162" t="s">
        <v>86</v>
      </c>
      <c r="B162" s="6" t="s">
        <v>158</v>
      </c>
      <c r="C162" s="13">
        <v>106</v>
      </c>
      <c r="D162" s="14" t="s">
        <v>90</v>
      </c>
      <c r="E162">
        <v>19</v>
      </c>
      <c r="F162" s="8">
        <f>VLOOKUP(financials[[#This Row],[productid]],Products!$B$2:$H$10,3)</f>
        <v>25</v>
      </c>
      <c r="G162" s="8">
        <f>financials[[#This Row],[Units Sold]]*financials[[#This Row],[Sale Price]]</f>
        <v>475</v>
      </c>
      <c r="H162" s="8">
        <f>IF(financials[[#This Row],[Discount Band]]="low",0.1,IF(financials[[#This Row],[Discount Band]]="medium",0.15,0.3))</f>
        <v>0.15</v>
      </c>
      <c r="I162" s="8">
        <f>financials[[#This Row],[Gross Sales]]-financials[[#This Row],[Gross Sales]]*financials[[#This Row],[Discounts]]</f>
        <v>403.75</v>
      </c>
      <c r="J162" s="8">
        <f>VLOOKUP(financials[[#This Row],[productid]],Products!$B$2:$H$10,4)</f>
        <v>9.1</v>
      </c>
      <c r="K162" s="8">
        <f>financials[[#This Row],[Net Sales]]-financials[[#This Row],[COGS]]</f>
        <v>394.65</v>
      </c>
      <c r="L162" s="15">
        <v>44627</v>
      </c>
      <c r="M162" t="s">
        <v>700</v>
      </c>
    </row>
    <row r="163" spans="1:13" x14ac:dyDescent="0.25">
      <c r="A163" t="s">
        <v>86</v>
      </c>
      <c r="B163" s="6" t="s">
        <v>644</v>
      </c>
      <c r="C163" s="11">
        <v>104</v>
      </c>
      <c r="D163" s="9" t="s">
        <v>83</v>
      </c>
      <c r="E163">
        <v>20</v>
      </c>
      <c r="F163" s="8">
        <f>VLOOKUP(financials[[#This Row],[productid]],Products!$B$2:$H$10,3)</f>
        <v>5.9</v>
      </c>
      <c r="G163" s="8">
        <f>financials[[#This Row],[Units Sold]]*financials[[#This Row],[Sale Price]]</f>
        <v>118</v>
      </c>
      <c r="H163" s="8">
        <f>IF(financials[[#This Row],[Discount Band]]="low",0.1,IF(financials[[#This Row],[Discount Band]]="medium",0.15,0.3))</f>
        <v>0.3</v>
      </c>
      <c r="I163" s="8">
        <f>financials[[#This Row],[Gross Sales]]-financials[[#This Row],[Gross Sales]]*financials[[#This Row],[Discounts]]</f>
        <v>82.6</v>
      </c>
      <c r="J163" s="8">
        <f>VLOOKUP(financials[[#This Row],[productid]],Products!$B$2:$H$10,4)</f>
        <v>2.9</v>
      </c>
      <c r="K163" s="8">
        <f>financials[[#This Row],[Net Sales]]-financials[[#This Row],[COGS]]</f>
        <v>79.699999999999989</v>
      </c>
      <c r="L163" s="15">
        <v>45613</v>
      </c>
      <c r="M163" t="s">
        <v>690</v>
      </c>
    </row>
    <row r="164" spans="1:13" x14ac:dyDescent="0.25">
      <c r="A164" t="s">
        <v>86</v>
      </c>
      <c r="B164" s="6" t="s">
        <v>644</v>
      </c>
      <c r="C164" s="13">
        <v>101</v>
      </c>
      <c r="D164" s="14" t="s">
        <v>90</v>
      </c>
      <c r="E164">
        <v>5</v>
      </c>
      <c r="F164" s="8">
        <f>VLOOKUP(financials[[#This Row],[productid]],Products!$B$2:$H$10,3)</f>
        <v>23</v>
      </c>
      <c r="G164" s="8">
        <f>financials[[#This Row],[Units Sold]]*financials[[#This Row],[Sale Price]]</f>
        <v>115</v>
      </c>
      <c r="H164" s="8">
        <f>IF(financials[[#This Row],[Discount Band]]="low",0.1,IF(financials[[#This Row],[Discount Band]]="medium",0.15,0.3))</f>
        <v>0.15</v>
      </c>
      <c r="I164" s="8">
        <f>financials[[#This Row],[Gross Sales]]-financials[[#This Row],[Gross Sales]]*financials[[#This Row],[Discounts]]</f>
        <v>97.75</v>
      </c>
      <c r="J164" s="8">
        <f>VLOOKUP(financials[[#This Row],[productid]],Products!$B$2:$H$10,4)</f>
        <v>9.9499999999999993</v>
      </c>
      <c r="K164" s="8">
        <f>financials[[#This Row],[Net Sales]]-financials[[#This Row],[COGS]]</f>
        <v>87.8</v>
      </c>
      <c r="L164" s="15">
        <v>44446</v>
      </c>
      <c r="M164" t="s">
        <v>696</v>
      </c>
    </row>
    <row r="165" spans="1:13" x14ac:dyDescent="0.25">
      <c r="A165" t="s">
        <v>86</v>
      </c>
      <c r="B165" s="6" t="s">
        <v>240</v>
      </c>
      <c r="C165" s="13">
        <v>108</v>
      </c>
      <c r="D165" s="14" t="s">
        <v>90</v>
      </c>
      <c r="E165">
        <v>12</v>
      </c>
      <c r="F165" s="8">
        <f>VLOOKUP(financials[[#This Row],[productid]],Products!$B$2:$H$10,3)</f>
        <v>5.5</v>
      </c>
      <c r="G165" s="8">
        <f>financials[[#This Row],[Units Sold]]*financials[[#This Row],[Sale Price]]</f>
        <v>66</v>
      </c>
      <c r="H165" s="8">
        <f>IF(financials[[#This Row],[Discount Band]]="low",0.1,IF(financials[[#This Row],[Discount Band]]="medium",0.15,0.3))</f>
        <v>0.15</v>
      </c>
      <c r="I165" s="8">
        <f>financials[[#This Row],[Gross Sales]]-financials[[#This Row],[Gross Sales]]*financials[[#This Row],[Discounts]]</f>
        <v>56.1</v>
      </c>
      <c r="J165" s="8">
        <f>VLOOKUP(financials[[#This Row],[productid]],Products!$B$2:$H$10,4)</f>
        <v>3.99</v>
      </c>
      <c r="K165" s="8">
        <f>financials[[#This Row],[Net Sales]]-financials[[#This Row],[COGS]]</f>
        <v>52.11</v>
      </c>
      <c r="L165" s="15">
        <v>44421</v>
      </c>
      <c r="M165" t="s">
        <v>690</v>
      </c>
    </row>
    <row r="166" spans="1:13" x14ac:dyDescent="0.25">
      <c r="A166" t="s">
        <v>86</v>
      </c>
      <c r="B166" s="6" t="s">
        <v>274</v>
      </c>
      <c r="C166" s="13">
        <v>107</v>
      </c>
      <c r="D166" s="14" t="s">
        <v>90</v>
      </c>
      <c r="E166">
        <v>5</v>
      </c>
      <c r="F166" s="8">
        <f>VLOOKUP(financials[[#This Row],[productid]],Products!$B$2:$H$10,3)</f>
        <v>15</v>
      </c>
      <c r="G166" s="8">
        <f>financials[[#This Row],[Units Sold]]*financials[[#This Row],[Sale Price]]</f>
        <v>75</v>
      </c>
      <c r="H166" s="8">
        <f>IF(financials[[#This Row],[Discount Band]]="low",0.1,IF(financials[[#This Row],[Discount Band]]="medium",0.15,0.3))</f>
        <v>0.15</v>
      </c>
      <c r="I166" s="8">
        <f>financials[[#This Row],[Gross Sales]]-financials[[#This Row],[Gross Sales]]*financials[[#This Row],[Discounts]]</f>
        <v>63.75</v>
      </c>
      <c r="J166" s="8">
        <f>VLOOKUP(financials[[#This Row],[productid]],Products!$B$2:$H$10,4)</f>
        <v>5.5</v>
      </c>
      <c r="K166" s="8">
        <f>financials[[#This Row],[Net Sales]]-financials[[#This Row],[COGS]]</f>
        <v>58.25</v>
      </c>
      <c r="L166" s="15">
        <v>44557</v>
      </c>
      <c r="M166" t="s">
        <v>697</v>
      </c>
    </row>
    <row r="167" spans="1:13" x14ac:dyDescent="0.25">
      <c r="A167" t="s">
        <v>86</v>
      </c>
      <c r="B167" s="6" t="s">
        <v>125</v>
      </c>
      <c r="C167" s="13">
        <v>104</v>
      </c>
      <c r="D167" s="14" t="s">
        <v>83</v>
      </c>
      <c r="E167">
        <v>20</v>
      </c>
      <c r="F167" s="8">
        <f>VLOOKUP(financials[[#This Row],[productid]],Products!$B$2:$H$10,3)</f>
        <v>5.9</v>
      </c>
      <c r="G167" s="8">
        <f>financials[[#This Row],[Units Sold]]*financials[[#This Row],[Sale Price]]</f>
        <v>118</v>
      </c>
      <c r="H167" s="8">
        <f>IF(financials[[#This Row],[Discount Band]]="low",0.1,IF(financials[[#This Row],[Discount Band]]="medium",0.15,0.3))</f>
        <v>0.3</v>
      </c>
      <c r="I167" s="8">
        <f>financials[[#This Row],[Gross Sales]]-financials[[#This Row],[Gross Sales]]*financials[[#This Row],[Discounts]]</f>
        <v>82.6</v>
      </c>
      <c r="J167" s="8">
        <f>VLOOKUP(financials[[#This Row],[productid]],Products!$B$2:$H$10,4)</f>
        <v>2.9</v>
      </c>
      <c r="K167" s="8">
        <f>financials[[#This Row],[Net Sales]]-financials[[#This Row],[COGS]]</f>
        <v>79.699999999999989</v>
      </c>
      <c r="L167" s="15">
        <v>43936</v>
      </c>
      <c r="M167" t="s">
        <v>700</v>
      </c>
    </row>
    <row r="168" spans="1:13" x14ac:dyDescent="0.25">
      <c r="A168" t="s">
        <v>86</v>
      </c>
      <c r="B168" s="6" t="s">
        <v>266</v>
      </c>
      <c r="C168" s="11">
        <v>109</v>
      </c>
      <c r="D168" s="9" t="s">
        <v>83</v>
      </c>
      <c r="E168">
        <v>13</v>
      </c>
      <c r="F168" s="8">
        <f>VLOOKUP(financials[[#This Row],[productid]],Products!$B$2:$H$10,3)</f>
        <v>36</v>
      </c>
      <c r="G168" s="8">
        <f>financials[[#This Row],[Units Sold]]*financials[[#This Row],[Sale Price]]</f>
        <v>468</v>
      </c>
      <c r="H168" s="8">
        <f>IF(financials[[#This Row],[Discount Band]]="low",0.1,IF(financials[[#This Row],[Discount Band]]="medium",0.15,0.3))</f>
        <v>0.3</v>
      </c>
      <c r="I168" s="8">
        <f>financials[[#This Row],[Gross Sales]]-financials[[#This Row],[Gross Sales]]*financials[[#This Row],[Discounts]]</f>
        <v>327.60000000000002</v>
      </c>
      <c r="J168" s="8">
        <f>VLOOKUP(financials[[#This Row],[productid]],Products!$B$2:$H$10,4)</f>
        <v>16.8</v>
      </c>
      <c r="K168" s="8">
        <f>financials[[#This Row],[Net Sales]]-financials[[#This Row],[COGS]]</f>
        <v>310.8</v>
      </c>
      <c r="L168" s="15">
        <v>44039</v>
      </c>
      <c r="M168" t="s">
        <v>697</v>
      </c>
    </row>
    <row r="169" spans="1:13" x14ac:dyDescent="0.25">
      <c r="A169" t="s">
        <v>86</v>
      </c>
      <c r="B169" s="6" t="s">
        <v>96</v>
      </c>
      <c r="C169" s="13">
        <v>103</v>
      </c>
      <c r="D169" s="14" t="s">
        <v>92</v>
      </c>
      <c r="E169">
        <v>13</v>
      </c>
      <c r="F169" s="8">
        <f>VLOOKUP(financials[[#This Row],[productid]],Products!$B$2:$H$10,3)</f>
        <v>28</v>
      </c>
      <c r="G169" s="8">
        <f>financials[[#This Row],[Units Sold]]*financials[[#This Row],[Sale Price]]</f>
        <v>364</v>
      </c>
      <c r="H169" s="8">
        <f>IF(financials[[#This Row],[Discount Band]]="low",0.1,IF(financials[[#This Row],[Discount Band]]="medium",0.15,0.3))</f>
        <v>0.3</v>
      </c>
      <c r="I169" s="8">
        <f>financials[[#This Row],[Gross Sales]]-financials[[#This Row],[Gross Sales]]*financials[[#This Row],[Discounts]]</f>
        <v>254.8</v>
      </c>
      <c r="J169" s="8">
        <f>VLOOKUP(financials[[#This Row],[productid]],Products!$B$2:$H$10,4)</f>
        <v>15</v>
      </c>
      <c r="K169" s="8">
        <f>financials[[#This Row],[Net Sales]]-financials[[#This Row],[COGS]]</f>
        <v>239.8</v>
      </c>
      <c r="L169" s="15">
        <v>44170</v>
      </c>
      <c r="M169" t="s">
        <v>690</v>
      </c>
    </row>
    <row r="170" spans="1:13" x14ac:dyDescent="0.25">
      <c r="A170" t="s">
        <v>86</v>
      </c>
      <c r="B170" s="6" t="s">
        <v>240</v>
      </c>
      <c r="C170" s="13">
        <v>103</v>
      </c>
      <c r="D170" s="14" t="s">
        <v>83</v>
      </c>
      <c r="E170">
        <v>12</v>
      </c>
      <c r="F170" s="8">
        <f>VLOOKUP(financials[[#This Row],[productid]],Products!$B$2:$H$10,3)</f>
        <v>28</v>
      </c>
      <c r="G170" s="8">
        <f>financials[[#This Row],[Units Sold]]*financials[[#This Row],[Sale Price]]</f>
        <v>336</v>
      </c>
      <c r="H170" s="8">
        <f>IF(financials[[#This Row],[Discount Band]]="low",0.1,IF(financials[[#This Row],[Discount Band]]="medium",0.15,0.3))</f>
        <v>0.3</v>
      </c>
      <c r="I170" s="8">
        <f>financials[[#This Row],[Gross Sales]]-financials[[#This Row],[Gross Sales]]*financials[[#This Row],[Discounts]]</f>
        <v>235.2</v>
      </c>
      <c r="J170" s="8">
        <f>VLOOKUP(financials[[#This Row],[productid]],Products!$B$2:$H$10,4)</f>
        <v>15</v>
      </c>
      <c r="K170" s="8">
        <f>financials[[#This Row],[Net Sales]]-financials[[#This Row],[COGS]]</f>
        <v>220.2</v>
      </c>
      <c r="L170" s="15">
        <v>44050</v>
      </c>
      <c r="M170" t="s">
        <v>691</v>
      </c>
    </row>
    <row r="171" spans="1:13" x14ac:dyDescent="0.25">
      <c r="A171" t="s">
        <v>86</v>
      </c>
      <c r="B171" s="6" t="s">
        <v>125</v>
      </c>
      <c r="C171" s="13">
        <v>102</v>
      </c>
      <c r="D171" s="14" t="s">
        <v>83</v>
      </c>
      <c r="E171">
        <v>10</v>
      </c>
      <c r="F171" s="8">
        <f>VLOOKUP(financials[[#This Row],[productid]],Products!$B$2:$H$10,3)</f>
        <v>15</v>
      </c>
      <c r="G171" s="8">
        <f>financials[[#This Row],[Units Sold]]*financials[[#This Row],[Sale Price]]</f>
        <v>150</v>
      </c>
      <c r="H171" s="8">
        <f>IF(financials[[#This Row],[Discount Band]]="low",0.1,IF(financials[[#This Row],[Discount Band]]="medium",0.15,0.3))</f>
        <v>0.3</v>
      </c>
      <c r="I171" s="8">
        <f>financials[[#This Row],[Gross Sales]]-financials[[#This Row],[Gross Sales]]*financials[[#This Row],[Discounts]]</f>
        <v>105</v>
      </c>
      <c r="J171" s="8">
        <f>VLOOKUP(financials[[#This Row],[productid]],Products!$B$2:$H$10,4)</f>
        <v>13.95</v>
      </c>
      <c r="K171" s="8">
        <f>financials[[#This Row],[Net Sales]]-financials[[#This Row],[COGS]]</f>
        <v>91.05</v>
      </c>
      <c r="L171" s="15">
        <v>45044</v>
      </c>
      <c r="M171" t="s">
        <v>691</v>
      </c>
    </row>
    <row r="172" spans="1:13" x14ac:dyDescent="0.25">
      <c r="A172" t="s">
        <v>86</v>
      </c>
      <c r="B172" s="6" t="s">
        <v>240</v>
      </c>
      <c r="C172" s="13">
        <v>108</v>
      </c>
      <c r="D172" s="14" t="s">
        <v>83</v>
      </c>
      <c r="E172">
        <v>20</v>
      </c>
      <c r="F172" s="8">
        <f>VLOOKUP(financials[[#This Row],[productid]],Products!$B$2:$H$10,3)</f>
        <v>5.5</v>
      </c>
      <c r="G172" s="8">
        <f>financials[[#This Row],[Units Sold]]*financials[[#This Row],[Sale Price]]</f>
        <v>110</v>
      </c>
      <c r="H172" s="8">
        <f>IF(financials[[#This Row],[Discount Band]]="low",0.1,IF(financials[[#This Row],[Discount Band]]="medium",0.15,0.3))</f>
        <v>0.3</v>
      </c>
      <c r="I172" s="8">
        <f>financials[[#This Row],[Gross Sales]]-financials[[#This Row],[Gross Sales]]*financials[[#This Row],[Discounts]]</f>
        <v>77</v>
      </c>
      <c r="J172" s="8">
        <f>VLOOKUP(financials[[#This Row],[productid]],Products!$B$2:$H$10,4)</f>
        <v>3.99</v>
      </c>
      <c r="K172" s="8">
        <f>financials[[#This Row],[Net Sales]]-financials[[#This Row],[COGS]]</f>
        <v>73.010000000000005</v>
      </c>
      <c r="L172" s="15">
        <v>44685</v>
      </c>
      <c r="M172" t="s">
        <v>691</v>
      </c>
    </row>
    <row r="173" spans="1:13" x14ac:dyDescent="0.25">
      <c r="A173" t="s">
        <v>85</v>
      </c>
      <c r="B173" s="6" t="s">
        <v>644</v>
      </c>
      <c r="C173" s="11">
        <v>106</v>
      </c>
      <c r="D173" s="9" t="s">
        <v>91</v>
      </c>
      <c r="E173">
        <v>12</v>
      </c>
      <c r="F173" s="8">
        <f>VLOOKUP(financials[[#This Row],[productid]],Products!$B$2:$H$10,3)</f>
        <v>25</v>
      </c>
      <c r="G173" s="8">
        <f>financials[[#This Row],[Units Sold]]*financials[[#This Row],[Sale Price]]</f>
        <v>300</v>
      </c>
      <c r="H173" s="8">
        <f>IF(financials[[#This Row],[Discount Band]]="low",0.1,IF(financials[[#This Row],[Discount Band]]="medium",0.15,0.3))</f>
        <v>0.1</v>
      </c>
      <c r="I173" s="8">
        <f>financials[[#This Row],[Gross Sales]]-financials[[#This Row],[Gross Sales]]*financials[[#This Row],[Discounts]]</f>
        <v>270</v>
      </c>
      <c r="J173" s="8">
        <f>VLOOKUP(financials[[#This Row],[productid]],Products!$B$2:$H$10,4)</f>
        <v>9.1</v>
      </c>
      <c r="K173" s="8">
        <f>financials[[#This Row],[Net Sales]]-financials[[#This Row],[COGS]]</f>
        <v>260.89999999999998</v>
      </c>
      <c r="L173" s="15">
        <v>44489</v>
      </c>
      <c r="M173" t="s">
        <v>700</v>
      </c>
    </row>
    <row r="174" spans="1:13" x14ac:dyDescent="0.25">
      <c r="A174" t="s">
        <v>85</v>
      </c>
      <c r="B174" s="6" t="s">
        <v>266</v>
      </c>
      <c r="C174" s="13">
        <v>106</v>
      </c>
      <c r="D174" s="14" t="s">
        <v>92</v>
      </c>
      <c r="E174">
        <v>6</v>
      </c>
      <c r="F174" s="8">
        <f>VLOOKUP(financials[[#This Row],[productid]],Products!$B$2:$H$10,3)</f>
        <v>25</v>
      </c>
      <c r="G174" s="8">
        <f>financials[[#This Row],[Units Sold]]*financials[[#This Row],[Sale Price]]</f>
        <v>150</v>
      </c>
      <c r="H174" s="8">
        <f>IF(financials[[#This Row],[Discount Band]]="low",0.1,IF(financials[[#This Row],[Discount Band]]="medium",0.15,0.3))</f>
        <v>0.3</v>
      </c>
      <c r="I174" s="8">
        <f>financials[[#This Row],[Gross Sales]]-financials[[#This Row],[Gross Sales]]*financials[[#This Row],[Discounts]]</f>
        <v>105</v>
      </c>
      <c r="J174" s="8">
        <f>VLOOKUP(financials[[#This Row],[productid]],Products!$B$2:$H$10,4)</f>
        <v>9.1</v>
      </c>
      <c r="K174" s="8">
        <f>financials[[#This Row],[Net Sales]]-financials[[#This Row],[COGS]]</f>
        <v>95.9</v>
      </c>
      <c r="L174" s="15">
        <v>44454</v>
      </c>
      <c r="M174" t="s">
        <v>696</v>
      </c>
    </row>
    <row r="175" spans="1:13" x14ac:dyDescent="0.25">
      <c r="A175" t="s">
        <v>86</v>
      </c>
      <c r="B175" s="6" t="s">
        <v>240</v>
      </c>
      <c r="C175" s="13">
        <v>106</v>
      </c>
      <c r="D175" s="14" t="s">
        <v>83</v>
      </c>
      <c r="E175">
        <v>20</v>
      </c>
      <c r="F175" s="8">
        <f>VLOOKUP(financials[[#This Row],[productid]],Products!$B$2:$H$10,3)</f>
        <v>25</v>
      </c>
      <c r="G175" s="8">
        <f>financials[[#This Row],[Units Sold]]*financials[[#This Row],[Sale Price]]</f>
        <v>500</v>
      </c>
      <c r="H175" s="8">
        <f>IF(financials[[#This Row],[Discount Band]]="low",0.1,IF(financials[[#This Row],[Discount Band]]="medium",0.15,0.3))</f>
        <v>0.3</v>
      </c>
      <c r="I175" s="8">
        <f>financials[[#This Row],[Gross Sales]]-financials[[#This Row],[Gross Sales]]*financials[[#This Row],[Discounts]]</f>
        <v>350</v>
      </c>
      <c r="J175" s="8">
        <f>VLOOKUP(financials[[#This Row],[productid]],Products!$B$2:$H$10,4)</f>
        <v>9.1</v>
      </c>
      <c r="K175" s="8">
        <f>financials[[#This Row],[Net Sales]]-financials[[#This Row],[COGS]]</f>
        <v>340.9</v>
      </c>
      <c r="L175" s="15">
        <v>44425</v>
      </c>
      <c r="M175" t="s">
        <v>690</v>
      </c>
    </row>
    <row r="176" spans="1:13" x14ac:dyDescent="0.25">
      <c r="A176" t="s">
        <v>86</v>
      </c>
      <c r="B176" s="6" t="s">
        <v>197</v>
      </c>
      <c r="C176" s="13">
        <v>102</v>
      </c>
      <c r="D176" s="14" t="s">
        <v>91</v>
      </c>
      <c r="E176">
        <v>12</v>
      </c>
      <c r="F176" s="8">
        <f>VLOOKUP(financials[[#This Row],[productid]],Products!$B$2:$H$10,3)</f>
        <v>15</v>
      </c>
      <c r="G176" s="8">
        <f>financials[[#This Row],[Units Sold]]*financials[[#This Row],[Sale Price]]</f>
        <v>180</v>
      </c>
      <c r="H176" s="8">
        <f>IF(financials[[#This Row],[Discount Band]]="low",0.1,IF(financials[[#This Row],[Discount Band]]="medium",0.15,0.3))</f>
        <v>0.1</v>
      </c>
      <c r="I176" s="8">
        <f>financials[[#This Row],[Gross Sales]]-financials[[#This Row],[Gross Sales]]*financials[[#This Row],[Discounts]]</f>
        <v>162</v>
      </c>
      <c r="J176" s="8">
        <f>VLOOKUP(financials[[#This Row],[productid]],Products!$B$2:$H$10,4)</f>
        <v>13.95</v>
      </c>
      <c r="K176" s="8">
        <f>financials[[#This Row],[Net Sales]]-financials[[#This Row],[COGS]]</f>
        <v>148.05000000000001</v>
      </c>
      <c r="L176" s="15">
        <v>44995</v>
      </c>
      <c r="M176" t="s">
        <v>697</v>
      </c>
    </row>
    <row r="177" spans="1:13" x14ac:dyDescent="0.25">
      <c r="A177" t="s">
        <v>86</v>
      </c>
      <c r="B177" s="6" t="s">
        <v>287</v>
      </c>
      <c r="C177" s="13">
        <v>104</v>
      </c>
      <c r="D177" s="14" t="s">
        <v>90</v>
      </c>
      <c r="E177">
        <v>7</v>
      </c>
      <c r="F177" s="8">
        <f>VLOOKUP(financials[[#This Row],[productid]],Products!$B$2:$H$10,3)</f>
        <v>5.9</v>
      </c>
      <c r="G177" s="8">
        <f>financials[[#This Row],[Units Sold]]*financials[[#This Row],[Sale Price]]</f>
        <v>41.300000000000004</v>
      </c>
      <c r="H177" s="8">
        <f>IF(financials[[#This Row],[Discount Band]]="low",0.1,IF(financials[[#This Row],[Discount Band]]="medium",0.15,0.3))</f>
        <v>0.15</v>
      </c>
      <c r="I177" s="8">
        <f>financials[[#This Row],[Gross Sales]]-financials[[#This Row],[Gross Sales]]*financials[[#This Row],[Discounts]]</f>
        <v>35.105000000000004</v>
      </c>
      <c r="J177" s="8">
        <f>VLOOKUP(financials[[#This Row],[productid]],Products!$B$2:$H$10,4)</f>
        <v>2.9</v>
      </c>
      <c r="K177" s="8">
        <f>financials[[#This Row],[Net Sales]]-financials[[#This Row],[COGS]]</f>
        <v>32.205000000000005</v>
      </c>
      <c r="L177" s="15">
        <v>44462</v>
      </c>
      <c r="M177" t="s">
        <v>691</v>
      </c>
    </row>
    <row r="178" spans="1:13" x14ac:dyDescent="0.25">
      <c r="A178" t="s">
        <v>86</v>
      </c>
      <c r="B178" s="6" t="s">
        <v>158</v>
      </c>
      <c r="C178" s="13">
        <v>109</v>
      </c>
      <c r="D178" s="14" t="s">
        <v>90</v>
      </c>
      <c r="E178">
        <v>14</v>
      </c>
      <c r="F178" s="8">
        <f>VLOOKUP(financials[[#This Row],[productid]],Products!$B$2:$H$10,3)</f>
        <v>36</v>
      </c>
      <c r="G178" s="8">
        <f>financials[[#This Row],[Units Sold]]*financials[[#This Row],[Sale Price]]</f>
        <v>504</v>
      </c>
      <c r="H178" s="8">
        <f>IF(financials[[#This Row],[Discount Band]]="low",0.1,IF(financials[[#This Row],[Discount Band]]="medium",0.15,0.3))</f>
        <v>0.15</v>
      </c>
      <c r="I178" s="8">
        <f>financials[[#This Row],[Gross Sales]]-financials[[#This Row],[Gross Sales]]*financials[[#This Row],[Discounts]]</f>
        <v>428.4</v>
      </c>
      <c r="J178" s="8">
        <f>VLOOKUP(financials[[#This Row],[productid]],Products!$B$2:$H$10,4)</f>
        <v>16.8</v>
      </c>
      <c r="K178" s="8">
        <f>financials[[#This Row],[Net Sales]]-financials[[#This Row],[COGS]]</f>
        <v>411.59999999999997</v>
      </c>
      <c r="L178" s="15">
        <v>44090</v>
      </c>
      <c r="M178" t="s">
        <v>691</v>
      </c>
    </row>
    <row r="179" spans="1:13" x14ac:dyDescent="0.25">
      <c r="A179" t="s">
        <v>86</v>
      </c>
      <c r="B179" s="6" t="s">
        <v>645</v>
      </c>
      <c r="C179" s="13">
        <v>106</v>
      </c>
      <c r="D179" s="14" t="s">
        <v>90</v>
      </c>
      <c r="E179">
        <v>14</v>
      </c>
      <c r="F179" s="8">
        <f>VLOOKUP(financials[[#This Row],[productid]],Products!$B$2:$H$10,3)</f>
        <v>25</v>
      </c>
      <c r="G179" s="8">
        <f>financials[[#This Row],[Units Sold]]*financials[[#This Row],[Sale Price]]</f>
        <v>350</v>
      </c>
      <c r="H179" s="8">
        <f>IF(financials[[#This Row],[Discount Band]]="low",0.1,IF(financials[[#This Row],[Discount Band]]="medium",0.15,0.3))</f>
        <v>0.15</v>
      </c>
      <c r="I179" s="8">
        <f>financials[[#This Row],[Gross Sales]]-financials[[#This Row],[Gross Sales]]*financials[[#This Row],[Discounts]]</f>
        <v>297.5</v>
      </c>
      <c r="J179" s="8">
        <f>VLOOKUP(financials[[#This Row],[productid]],Products!$B$2:$H$10,4)</f>
        <v>9.1</v>
      </c>
      <c r="K179" s="8">
        <f>financials[[#This Row],[Net Sales]]-financials[[#This Row],[COGS]]</f>
        <v>288.39999999999998</v>
      </c>
      <c r="L179" s="15">
        <v>44149</v>
      </c>
      <c r="M179" t="s">
        <v>691</v>
      </c>
    </row>
    <row r="180" spans="1:13" x14ac:dyDescent="0.25">
      <c r="A180" t="s">
        <v>85</v>
      </c>
      <c r="B180" s="6" t="s">
        <v>644</v>
      </c>
      <c r="C180" s="13">
        <v>107</v>
      </c>
      <c r="D180" s="14" t="s">
        <v>92</v>
      </c>
      <c r="E180">
        <v>10</v>
      </c>
      <c r="F180" s="8">
        <f>VLOOKUP(financials[[#This Row],[productid]],Products!$B$2:$H$10,3)</f>
        <v>15</v>
      </c>
      <c r="G180" s="8">
        <f>financials[[#This Row],[Units Sold]]*financials[[#This Row],[Sale Price]]</f>
        <v>150</v>
      </c>
      <c r="H180" s="8">
        <f>IF(financials[[#This Row],[Discount Band]]="low",0.1,IF(financials[[#This Row],[Discount Band]]="medium",0.15,0.3))</f>
        <v>0.3</v>
      </c>
      <c r="I180" s="8">
        <f>financials[[#This Row],[Gross Sales]]-financials[[#This Row],[Gross Sales]]*financials[[#This Row],[Discounts]]</f>
        <v>105</v>
      </c>
      <c r="J180" s="8">
        <f>VLOOKUP(financials[[#This Row],[productid]],Products!$B$2:$H$10,4)</f>
        <v>5.5</v>
      </c>
      <c r="K180" s="8">
        <f>financials[[#This Row],[Net Sales]]-financials[[#This Row],[COGS]]</f>
        <v>99.5</v>
      </c>
      <c r="L180" s="15">
        <v>45567</v>
      </c>
      <c r="M180" t="s">
        <v>691</v>
      </c>
    </row>
    <row r="181" spans="1:13" x14ac:dyDescent="0.25">
      <c r="A181" t="s">
        <v>85</v>
      </c>
      <c r="B181" s="6" t="s">
        <v>644</v>
      </c>
      <c r="C181" s="13">
        <v>107</v>
      </c>
      <c r="D181" s="14" t="s">
        <v>90</v>
      </c>
      <c r="E181">
        <v>13</v>
      </c>
      <c r="F181" s="8">
        <f>VLOOKUP(financials[[#This Row],[productid]],Products!$B$2:$H$10,3)</f>
        <v>15</v>
      </c>
      <c r="G181" s="8">
        <f>financials[[#This Row],[Units Sold]]*financials[[#This Row],[Sale Price]]</f>
        <v>195</v>
      </c>
      <c r="H181" s="8">
        <f>IF(financials[[#This Row],[Discount Band]]="low",0.1,IF(financials[[#This Row],[Discount Band]]="medium",0.15,0.3))</f>
        <v>0.15</v>
      </c>
      <c r="I181" s="8">
        <f>financials[[#This Row],[Gross Sales]]-financials[[#This Row],[Gross Sales]]*financials[[#This Row],[Discounts]]</f>
        <v>165.75</v>
      </c>
      <c r="J181" s="8">
        <f>VLOOKUP(financials[[#This Row],[productid]],Products!$B$2:$H$10,4)</f>
        <v>5.5</v>
      </c>
      <c r="K181" s="8">
        <f>financials[[#This Row],[Net Sales]]-financials[[#This Row],[COGS]]</f>
        <v>160.25</v>
      </c>
      <c r="L181" s="15">
        <v>44682</v>
      </c>
      <c r="M181" t="s">
        <v>697</v>
      </c>
    </row>
    <row r="182" spans="1:13" x14ac:dyDescent="0.25">
      <c r="A182" t="s">
        <v>86</v>
      </c>
      <c r="B182" s="6" t="s">
        <v>266</v>
      </c>
      <c r="C182" s="13">
        <v>106</v>
      </c>
      <c r="D182" s="14" t="s">
        <v>90</v>
      </c>
      <c r="E182">
        <v>9</v>
      </c>
      <c r="F182" s="8">
        <f>VLOOKUP(financials[[#This Row],[productid]],Products!$B$2:$H$10,3)</f>
        <v>25</v>
      </c>
      <c r="G182" s="8">
        <f>financials[[#This Row],[Units Sold]]*financials[[#This Row],[Sale Price]]</f>
        <v>225</v>
      </c>
      <c r="H182" s="8">
        <f>IF(financials[[#This Row],[Discount Band]]="low",0.1,IF(financials[[#This Row],[Discount Band]]="medium",0.15,0.3))</f>
        <v>0.15</v>
      </c>
      <c r="I182" s="8">
        <f>financials[[#This Row],[Gross Sales]]-financials[[#This Row],[Gross Sales]]*financials[[#This Row],[Discounts]]</f>
        <v>191.25</v>
      </c>
      <c r="J182" s="8">
        <f>VLOOKUP(financials[[#This Row],[productid]],Products!$B$2:$H$10,4)</f>
        <v>9.1</v>
      </c>
      <c r="K182" s="8">
        <f>financials[[#This Row],[Net Sales]]-financials[[#This Row],[COGS]]</f>
        <v>182.15</v>
      </c>
      <c r="L182" s="15">
        <v>44962</v>
      </c>
      <c r="M182" t="s">
        <v>700</v>
      </c>
    </row>
    <row r="183" spans="1:13" x14ac:dyDescent="0.25">
      <c r="A183" t="s">
        <v>85</v>
      </c>
      <c r="B183" s="6" t="s">
        <v>266</v>
      </c>
      <c r="C183" s="13">
        <v>104</v>
      </c>
      <c r="D183" s="14" t="s">
        <v>90</v>
      </c>
      <c r="E183">
        <v>15</v>
      </c>
      <c r="F183" s="8">
        <f>VLOOKUP(financials[[#This Row],[productid]],Products!$B$2:$H$10,3)</f>
        <v>5.9</v>
      </c>
      <c r="G183" s="8">
        <f>financials[[#This Row],[Units Sold]]*financials[[#This Row],[Sale Price]]</f>
        <v>88.5</v>
      </c>
      <c r="H183" s="8">
        <f>IF(financials[[#This Row],[Discount Band]]="low",0.1,IF(financials[[#This Row],[Discount Band]]="medium",0.15,0.3))</f>
        <v>0.15</v>
      </c>
      <c r="I183" s="8">
        <f>financials[[#This Row],[Gross Sales]]-financials[[#This Row],[Gross Sales]]*financials[[#This Row],[Discounts]]</f>
        <v>75.224999999999994</v>
      </c>
      <c r="J183" s="8">
        <f>VLOOKUP(financials[[#This Row],[productid]],Products!$B$2:$H$10,4)</f>
        <v>2.9</v>
      </c>
      <c r="K183" s="8">
        <f>financials[[#This Row],[Net Sales]]-financials[[#This Row],[COGS]]</f>
        <v>72.324999999999989</v>
      </c>
      <c r="L183" s="15">
        <v>45441</v>
      </c>
      <c r="M183" t="s">
        <v>700</v>
      </c>
    </row>
    <row r="184" spans="1:13" x14ac:dyDescent="0.25">
      <c r="A184" t="s">
        <v>86</v>
      </c>
      <c r="B184" s="6" t="s">
        <v>240</v>
      </c>
      <c r="C184" s="13">
        <v>105</v>
      </c>
      <c r="D184" s="14" t="s">
        <v>91</v>
      </c>
      <c r="E184">
        <v>10</v>
      </c>
      <c r="F184" s="8">
        <f>VLOOKUP(financials[[#This Row],[productid]],Products!$B$2:$H$10,3)</f>
        <v>15</v>
      </c>
      <c r="G184" s="8">
        <f>financials[[#This Row],[Units Sold]]*financials[[#This Row],[Sale Price]]</f>
        <v>150</v>
      </c>
      <c r="H184" s="8">
        <f>IF(financials[[#This Row],[Discount Band]]="low",0.1,IF(financials[[#This Row],[Discount Band]]="medium",0.15,0.3))</f>
        <v>0.1</v>
      </c>
      <c r="I184" s="8">
        <f>financials[[#This Row],[Gross Sales]]-financials[[#This Row],[Gross Sales]]*financials[[#This Row],[Discounts]]</f>
        <v>135</v>
      </c>
      <c r="J184" s="8">
        <f>VLOOKUP(financials[[#This Row],[productid]],Products!$B$2:$H$10,4)</f>
        <v>10</v>
      </c>
      <c r="K184" s="8">
        <f>financials[[#This Row],[Net Sales]]-financials[[#This Row],[COGS]]</f>
        <v>125</v>
      </c>
      <c r="L184" s="15">
        <v>45325</v>
      </c>
      <c r="M184" t="s">
        <v>691</v>
      </c>
    </row>
    <row r="185" spans="1:13" x14ac:dyDescent="0.25">
      <c r="A185" t="s">
        <v>86</v>
      </c>
      <c r="B185" s="6" t="s">
        <v>287</v>
      </c>
      <c r="C185" s="13">
        <v>104</v>
      </c>
      <c r="D185" s="14" t="s">
        <v>91</v>
      </c>
      <c r="E185">
        <v>17</v>
      </c>
      <c r="F185" s="8">
        <f>VLOOKUP(financials[[#This Row],[productid]],Products!$B$2:$H$10,3)</f>
        <v>5.9</v>
      </c>
      <c r="G185" s="8">
        <f>financials[[#This Row],[Units Sold]]*financials[[#This Row],[Sale Price]]</f>
        <v>100.30000000000001</v>
      </c>
      <c r="H185" s="8">
        <f>IF(financials[[#This Row],[Discount Band]]="low",0.1,IF(financials[[#This Row],[Discount Band]]="medium",0.15,0.3))</f>
        <v>0.1</v>
      </c>
      <c r="I185" s="8">
        <f>financials[[#This Row],[Gross Sales]]-financials[[#This Row],[Gross Sales]]*financials[[#This Row],[Discounts]]</f>
        <v>90.27000000000001</v>
      </c>
      <c r="J185" s="8">
        <f>VLOOKUP(financials[[#This Row],[productid]],Products!$B$2:$H$10,4)</f>
        <v>2.9</v>
      </c>
      <c r="K185" s="8">
        <f>financials[[#This Row],[Net Sales]]-financials[[#This Row],[COGS]]</f>
        <v>87.37</v>
      </c>
      <c r="L185" s="15">
        <v>44394</v>
      </c>
      <c r="M185" t="s">
        <v>691</v>
      </c>
    </row>
    <row r="186" spans="1:13" x14ac:dyDescent="0.25">
      <c r="A186" t="s">
        <v>86</v>
      </c>
      <c r="B186" s="6" t="s">
        <v>125</v>
      </c>
      <c r="C186" s="11">
        <v>106</v>
      </c>
      <c r="D186" s="9" t="s">
        <v>83</v>
      </c>
      <c r="E186">
        <v>6</v>
      </c>
      <c r="F186" s="8">
        <f>VLOOKUP(financials[[#This Row],[productid]],Products!$B$2:$H$10,3)</f>
        <v>25</v>
      </c>
      <c r="G186" s="8">
        <f>financials[[#This Row],[Units Sold]]*financials[[#This Row],[Sale Price]]</f>
        <v>150</v>
      </c>
      <c r="H186" s="8">
        <f>IF(financials[[#This Row],[Discount Band]]="low",0.1,IF(financials[[#This Row],[Discount Band]]="medium",0.15,0.3))</f>
        <v>0.3</v>
      </c>
      <c r="I186" s="8">
        <f>financials[[#This Row],[Gross Sales]]-financials[[#This Row],[Gross Sales]]*financials[[#This Row],[Discounts]]</f>
        <v>105</v>
      </c>
      <c r="J186" s="8">
        <f>VLOOKUP(financials[[#This Row],[productid]],Products!$B$2:$H$10,4)</f>
        <v>9.1</v>
      </c>
      <c r="K186" s="8">
        <f>financials[[#This Row],[Net Sales]]-financials[[#This Row],[COGS]]</f>
        <v>95.9</v>
      </c>
      <c r="L186" s="15">
        <v>45189</v>
      </c>
      <c r="M186" t="s">
        <v>690</v>
      </c>
    </row>
    <row r="187" spans="1:13" x14ac:dyDescent="0.25">
      <c r="A187" t="s">
        <v>86</v>
      </c>
      <c r="B187" s="6" t="s">
        <v>158</v>
      </c>
      <c r="C187" s="13">
        <v>102</v>
      </c>
      <c r="D187" s="14" t="s">
        <v>90</v>
      </c>
      <c r="E187">
        <v>9</v>
      </c>
      <c r="F187" s="8">
        <f>VLOOKUP(financials[[#This Row],[productid]],Products!$B$2:$H$10,3)</f>
        <v>15</v>
      </c>
      <c r="G187" s="8">
        <f>financials[[#This Row],[Units Sold]]*financials[[#This Row],[Sale Price]]</f>
        <v>135</v>
      </c>
      <c r="H187" s="8">
        <f>IF(financials[[#This Row],[Discount Band]]="low",0.1,IF(financials[[#This Row],[Discount Band]]="medium",0.15,0.3))</f>
        <v>0.15</v>
      </c>
      <c r="I187" s="8">
        <f>financials[[#This Row],[Gross Sales]]-financials[[#This Row],[Gross Sales]]*financials[[#This Row],[Discounts]]</f>
        <v>114.75</v>
      </c>
      <c r="J187" s="8">
        <f>VLOOKUP(financials[[#This Row],[productid]],Products!$B$2:$H$10,4)</f>
        <v>13.95</v>
      </c>
      <c r="K187" s="8">
        <f>financials[[#This Row],[Net Sales]]-financials[[#This Row],[COGS]]</f>
        <v>100.8</v>
      </c>
      <c r="L187" s="15">
        <v>43851</v>
      </c>
      <c r="M187" t="s">
        <v>696</v>
      </c>
    </row>
    <row r="188" spans="1:13" x14ac:dyDescent="0.25">
      <c r="A188" t="s">
        <v>86</v>
      </c>
      <c r="B188" s="6" t="s">
        <v>240</v>
      </c>
      <c r="C188" s="13">
        <v>101</v>
      </c>
      <c r="D188" s="14" t="s">
        <v>91</v>
      </c>
      <c r="E188">
        <v>17</v>
      </c>
      <c r="F188" s="8">
        <f>VLOOKUP(financials[[#This Row],[productid]],Products!$B$2:$H$10,3)</f>
        <v>23</v>
      </c>
      <c r="G188" s="8">
        <f>financials[[#This Row],[Units Sold]]*financials[[#This Row],[Sale Price]]</f>
        <v>391</v>
      </c>
      <c r="H188" s="8">
        <f>IF(financials[[#This Row],[Discount Band]]="low",0.1,IF(financials[[#This Row],[Discount Band]]="medium",0.15,0.3))</f>
        <v>0.1</v>
      </c>
      <c r="I188" s="8">
        <f>financials[[#This Row],[Gross Sales]]-financials[[#This Row],[Gross Sales]]*financials[[#This Row],[Discounts]]</f>
        <v>351.9</v>
      </c>
      <c r="J188" s="8">
        <f>VLOOKUP(financials[[#This Row],[productid]],Products!$B$2:$H$10,4)</f>
        <v>9.9499999999999993</v>
      </c>
      <c r="K188" s="8">
        <f>financials[[#This Row],[Net Sales]]-financials[[#This Row],[COGS]]</f>
        <v>341.95</v>
      </c>
      <c r="L188" s="15">
        <v>45369</v>
      </c>
      <c r="M188" t="s">
        <v>691</v>
      </c>
    </row>
    <row r="189" spans="1:13" x14ac:dyDescent="0.25">
      <c r="A189" t="s">
        <v>86</v>
      </c>
      <c r="B189" s="6" t="s">
        <v>96</v>
      </c>
      <c r="C189" s="13">
        <v>103</v>
      </c>
      <c r="D189" s="14" t="s">
        <v>90</v>
      </c>
      <c r="E189">
        <v>18</v>
      </c>
      <c r="F189" s="8">
        <f>VLOOKUP(financials[[#This Row],[productid]],Products!$B$2:$H$10,3)</f>
        <v>28</v>
      </c>
      <c r="G189" s="8">
        <f>financials[[#This Row],[Units Sold]]*financials[[#This Row],[Sale Price]]</f>
        <v>504</v>
      </c>
      <c r="H189" s="8">
        <f>IF(financials[[#This Row],[Discount Band]]="low",0.1,IF(financials[[#This Row],[Discount Band]]="medium",0.15,0.3))</f>
        <v>0.15</v>
      </c>
      <c r="I189" s="8">
        <f>financials[[#This Row],[Gross Sales]]-financials[[#This Row],[Gross Sales]]*financials[[#This Row],[Discounts]]</f>
        <v>428.4</v>
      </c>
      <c r="J189" s="8">
        <f>VLOOKUP(financials[[#This Row],[productid]],Products!$B$2:$H$10,4)</f>
        <v>15</v>
      </c>
      <c r="K189" s="8">
        <f>financials[[#This Row],[Net Sales]]-financials[[#This Row],[COGS]]</f>
        <v>413.4</v>
      </c>
      <c r="L189" s="15">
        <v>45188</v>
      </c>
      <c r="M189" t="s">
        <v>691</v>
      </c>
    </row>
    <row r="190" spans="1:13" x14ac:dyDescent="0.25">
      <c r="A190" t="s">
        <v>86</v>
      </c>
      <c r="B190" s="6" t="s">
        <v>96</v>
      </c>
      <c r="C190" s="13">
        <v>105</v>
      </c>
      <c r="D190" s="14" t="s">
        <v>83</v>
      </c>
      <c r="E190">
        <v>10</v>
      </c>
      <c r="F190" s="8">
        <f>VLOOKUP(financials[[#This Row],[productid]],Products!$B$2:$H$10,3)</f>
        <v>15</v>
      </c>
      <c r="G190" s="8">
        <f>financials[[#This Row],[Units Sold]]*financials[[#This Row],[Sale Price]]</f>
        <v>150</v>
      </c>
      <c r="H190" s="8">
        <f>IF(financials[[#This Row],[Discount Band]]="low",0.1,IF(financials[[#This Row],[Discount Band]]="medium",0.15,0.3))</f>
        <v>0.3</v>
      </c>
      <c r="I190" s="8">
        <f>financials[[#This Row],[Gross Sales]]-financials[[#This Row],[Gross Sales]]*financials[[#This Row],[Discounts]]</f>
        <v>105</v>
      </c>
      <c r="J190" s="8">
        <f>VLOOKUP(financials[[#This Row],[productid]],Products!$B$2:$H$10,4)</f>
        <v>10</v>
      </c>
      <c r="K190" s="8">
        <f>financials[[#This Row],[Net Sales]]-financials[[#This Row],[COGS]]</f>
        <v>95</v>
      </c>
      <c r="L190" s="15">
        <v>45140</v>
      </c>
      <c r="M190" t="s">
        <v>696</v>
      </c>
    </row>
    <row r="191" spans="1:13" x14ac:dyDescent="0.25">
      <c r="A191" t="s">
        <v>86</v>
      </c>
      <c r="B191" s="6" t="s">
        <v>545</v>
      </c>
      <c r="C191" s="13">
        <v>102</v>
      </c>
      <c r="D191" s="14" t="s">
        <v>92</v>
      </c>
      <c r="E191">
        <v>14</v>
      </c>
      <c r="F191" s="8">
        <f>VLOOKUP(financials[[#This Row],[productid]],Products!$B$2:$H$10,3)</f>
        <v>15</v>
      </c>
      <c r="G191" s="8">
        <f>financials[[#This Row],[Units Sold]]*financials[[#This Row],[Sale Price]]</f>
        <v>210</v>
      </c>
      <c r="H191" s="8">
        <f>IF(financials[[#This Row],[Discount Band]]="low",0.1,IF(financials[[#This Row],[Discount Band]]="medium",0.15,0.3))</f>
        <v>0.3</v>
      </c>
      <c r="I191" s="8">
        <f>financials[[#This Row],[Gross Sales]]-financials[[#This Row],[Gross Sales]]*financials[[#This Row],[Discounts]]</f>
        <v>147</v>
      </c>
      <c r="J191" s="8">
        <f>VLOOKUP(financials[[#This Row],[productid]],Products!$B$2:$H$10,4)</f>
        <v>13.95</v>
      </c>
      <c r="K191" s="8">
        <f>financials[[#This Row],[Net Sales]]-financials[[#This Row],[COGS]]</f>
        <v>133.05000000000001</v>
      </c>
      <c r="L191" s="15">
        <v>44177</v>
      </c>
      <c r="M191" t="s">
        <v>697</v>
      </c>
    </row>
    <row r="192" spans="1:13" x14ac:dyDescent="0.25">
      <c r="A192" t="s">
        <v>86</v>
      </c>
      <c r="B192" s="6" t="s">
        <v>148</v>
      </c>
      <c r="C192" s="13">
        <v>109</v>
      </c>
      <c r="D192" s="14" t="s">
        <v>90</v>
      </c>
      <c r="E192">
        <v>17</v>
      </c>
      <c r="F192" s="8">
        <f>VLOOKUP(financials[[#This Row],[productid]],Products!$B$2:$H$10,3)</f>
        <v>36</v>
      </c>
      <c r="G192" s="8">
        <f>financials[[#This Row],[Units Sold]]*financials[[#This Row],[Sale Price]]</f>
        <v>612</v>
      </c>
      <c r="H192" s="8">
        <f>IF(financials[[#This Row],[Discount Band]]="low",0.1,IF(financials[[#This Row],[Discount Band]]="medium",0.15,0.3))</f>
        <v>0.15</v>
      </c>
      <c r="I192" s="8">
        <f>financials[[#This Row],[Gross Sales]]-financials[[#This Row],[Gross Sales]]*financials[[#This Row],[Discounts]]</f>
        <v>520.20000000000005</v>
      </c>
      <c r="J192" s="8">
        <f>VLOOKUP(financials[[#This Row],[productid]],Products!$B$2:$H$10,4)</f>
        <v>16.8</v>
      </c>
      <c r="K192" s="8">
        <f>financials[[#This Row],[Net Sales]]-financials[[#This Row],[COGS]]</f>
        <v>503.40000000000003</v>
      </c>
      <c r="L192" s="15">
        <v>45327</v>
      </c>
      <c r="M192" t="s">
        <v>700</v>
      </c>
    </row>
    <row r="193" spans="1:13" x14ac:dyDescent="0.25">
      <c r="A193" t="s">
        <v>86</v>
      </c>
      <c r="B193" s="6" t="s">
        <v>96</v>
      </c>
      <c r="C193" s="13">
        <v>104</v>
      </c>
      <c r="D193" s="14" t="s">
        <v>90</v>
      </c>
      <c r="E193">
        <v>20</v>
      </c>
      <c r="F193" s="8">
        <f>VLOOKUP(financials[[#This Row],[productid]],Products!$B$2:$H$10,3)</f>
        <v>5.9</v>
      </c>
      <c r="G193" s="8">
        <f>financials[[#This Row],[Units Sold]]*financials[[#This Row],[Sale Price]]</f>
        <v>118</v>
      </c>
      <c r="H193" s="8">
        <f>IF(financials[[#This Row],[Discount Band]]="low",0.1,IF(financials[[#This Row],[Discount Band]]="medium",0.15,0.3))</f>
        <v>0.15</v>
      </c>
      <c r="I193" s="8">
        <f>financials[[#This Row],[Gross Sales]]-financials[[#This Row],[Gross Sales]]*financials[[#This Row],[Discounts]]</f>
        <v>100.3</v>
      </c>
      <c r="J193" s="8">
        <f>VLOOKUP(financials[[#This Row],[productid]],Products!$B$2:$H$10,4)</f>
        <v>2.9</v>
      </c>
      <c r="K193" s="8">
        <f>financials[[#This Row],[Net Sales]]-financials[[#This Row],[COGS]]</f>
        <v>97.399999999999991</v>
      </c>
      <c r="L193" s="15">
        <v>45053</v>
      </c>
      <c r="M193" t="s">
        <v>700</v>
      </c>
    </row>
    <row r="194" spans="1:13" x14ac:dyDescent="0.25">
      <c r="A194" t="s">
        <v>86</v>
      </c>
      <c r="B194" s="6" t="s">
        <v>197</v>
      </c>
      <c r="C194" s="13">
        <v>102</v>
      </c>
      <c r="D194" s="14" t="s">
        <v>83</v>
      </c>
      <c r="E194">
        <v>18</v>
      </c>
      <c r="F194" s="8">
        <f>VLOOKUP(financials[[#This Row],[productid]],Products!$B$2:$H$10,3)</f>
        <v>15</v>
      </c>
      <c r="G194" s="8">
        <f>financials[[#This Row],[Units Sold]]*financials[[#This Row],[Sale Price]]</f>
        <v>270</v>
      </c>
      <c r="H194" s="8">
        <f>IF(financials[[#This Row],[Discount Band]]="low",0.1,IF(financials[[#This Row],[Discount Band]]="medium",0.15,0.3))</f>
        <v>0.3</v>
      </c>
      <c r="I194" s="8">
        <f>financials[[#This Row],[Gross Sales]]-financials[[#This Row],[Gross Sales]]*financials[[#This Row],[Discounts]]</f>
        <v>189</v>
      </c>
      <c r="J194" s="8">
        <f>VLOOKUP(financials[[#This Row],[productid]],Products!$B$2:$H$10,4)</f>
        <v>13.95</v>
      </c>
      <c r="K194" s="8">
        <f>financials[[#This Row],[Net Sales]]-financials[[#This Row],[COGS]]</f>
        <v>175.05</v>
      </c>
      <c r="L194" s="15">
        <v>44272</v>
      </c>
      <c r="M194" t="s">
        <v>696</v>
      </c>
    </row>
    <row r="195" spans="1:13" x14ac:dyDescent="0.25">
      <c r="A195" t="s">
        <v>86</v>
      </c>
      <c r="B195" s="6" t="s">
        <v>158</v>
      </c>
      <c r="C195" s="13">
        <v>103</v>
      </c>
      <c r="D195" s="14" t="s">
        <v>91</v>
      </c>
      <c r="E195">
        <v>7</v>
      </c>
      <c r="F195" s="8">
        <f>VLOOKUP(financials[[#This Row],[productid]],Products!$B$2:$H$10,3)</f>
        <v>28</v>
      </c>
      <c r="G195" s="8">
        <f>financials[[#This Row],[Units Sold]]*financials[[#This Row],[Sale Price]]</f>
        <v>196</v>
      </c>
      <c r="H195" s="8">
        <f>IF(financials[[#This Row],[Discount Band]]="low",0.1,IF(financials[[#This Row],[Discount Band]]="medium",0.15,0.3))</f>
        <v>0.1</v>
      </c>
      <c r="I195" s="8">
        <f>financials[[#This Row],[Gross Sales]]-financials[[#This Row],[Gross Sales]]*financials[[#This Row],[Discounts]]</f>
        <v>176.4</v>
      </c>
      <c r="J195" s="8">
        <f>VLOOKUP(financials[[#This Row],[productid]],Products!$B$2:$H$10,4)</f>
        <v>15</v>
      </c>
      <c r="K195" s="8">
        <f>financials[[#This Row],[Net Sales]]-financials[[#This Row],[COGS]]</f>
        <v>161.4</v>
      </c>
      <c r="L195" s="15">
        <v>44906</v>
      </c>
      <c r="M195" t="s">
        <v>691</v>
      </c>
    </row>
    <row r="196" spans="1:13" x14ac:dyDescent="0.25">
      <c r="A196" t="s">
        <v>85</v>
      </c>
      <c r="B196" s="6" t="s">
        <v>266</v>
      </c>
      <c r="C196" s="11">
        <v>104</v>
      </c>
      <c r="D196" s="9" t="s">
        <v>90</v>
      </c>
      <c r="E196">
        <v>9</v>
      </c>
      <c r="F196" s="8">
        <f>VLOOKUP(financials[[#This Row],[productid]],Products!$B$2:$H$10,3)</f>
        <v>5.9</v>
      </c>
      <c r="G196" s="8">
        <f>financials[[#This Row],[Units Sold]]*financials[[#This Row],[Sale Price]]</f>
        <v>53.1</v>
      </c>
      <c r="H196" s="8">
        <f>IF(financials[[#This Row],[Discount Band]]="low",0.1,IF(financials[[#This Row],[Discount Band]]="medium",0.15,0.3))</f>
        <v>0.15</v>
      </c>
      <c r="I196" s="8">
        <f>financials[[#This Row],[Gross Sales]]-financials[[#This Row],[Gross Sales]]*financials[[#This Row],[Discounts]]</f>
        <v>45.135000000000005</v>
      </c>
      <c r="J196" s="8">
        <f>VLOOKUP(financials[[#This Row],[productid]],Products!$B$2:$H$10,4)</f>
        <v>2.9</v>
      </c>
      <c r="K196" s="8">
        <f>financials[[#This Row],[Net Sales]]-financials[[#This Row],[COGS]]</f>
        <v>42.235000000000007</v>
      </c>
      <c r="L196" s="15">
        <v>44063</v>
      </c>
      <c r="M196" t="s">
        <v>697</v>
      </c>
    </row>
    <row r="197" spans="1:13" x14ac:dyDescent="0.25">
      <c r="A197" t="s">
        <v>85</v>
      </c>
      <c r="B197" s="6" t="s">
        <v>93</v>
      </c>
      <c r="C197" s="11">
        <v>108</v>
      </c>
      <c r="D197" s="9" t="s">
        <v>90</v>
      </c>
      <c r="E197">
        <v>18</v>
      </c>
      <c r="F197" s="8">
        <f>VLOOKUP(financials[[#This Row],[productid]],Products!$B$2:$H$10,3)</f>
        <v>5.5</v>
      </c>
      <c r="G197" s="8">
        <f>financials[[#This Row],[Units Sold]]*financials[[#This Row],[Sale Price]]</f>
        <v>99</v>
      </c>
      <c r="H197" s="8">
        <f>IF(financials[[#This Row],[Discount Band]]="low",0.1,IF(financials[[#This Row],[Discount Band]]="medium",0.15,0.3))</f>
        <v>0.15</v>
      </c>
      <c r="I197" s="8">
        <f>financials[[#This Row],[Gross Sales]]-financials[[#This Row],[Gross Sales]]*financials[[#This Row],[Discounts]]</f>
        <v>84.15</v>
      </c>
      <c r="J197" s="8">
        <f>VLOOKUP(financials[[#This Row],[productid]],Products!$B$2:$H$10,4)</f>
        <v>3.99</v>
      </c>
      <c r="K197" s="8">
        <f>financials[[#This Row],[Net Sales]]-financials[[#This Row],[COGS]]</f>
        <v>80.160000000000011</v>
      </c>
      <c r="L197" s="15">
        <v>45194</v>
      </c>
      <c r="M197" t="s">
        <v>696</v>
      </c>
    </row>
    <row r="198" spans="1:13" x14ac:dyDescent="0.25">
      <c r="A198" t="s">
        <v>85</v>
      </c>
      <c r="B198" s="6" t="s">
        <v>644</v>
      </c>
      <c r="C198" s="13">
        <v>106</v>
      </c>
      <c r="D198" s="14" t="s">
        <v>90</v>
      </c>
      <c r="E198">
        <v>20</v>
      </c>
      <c r="F198" s="8">
        <f>VLOOKUP(financials[[#This Row],[productid]],Products!$B$2:$H$10,3)</f>
        <v>25</v>
      </c>
      <c r="G198" s="8">
        <f>financials[[#This Row],[Units Sold]]*financials[[#This Row],[Sale Price]]</f>
        <v>500</v>
      </c>
      <c r="H198" s="8">
        <f>IF(financials[[#This Row],[Discount Band]]="low",0.1,IF(financials[[#This Row],[Discount Band]]="medium",0.15,0.3))</f>
        <v>0.15</v>
      </c>
      <c r="I198" s="8">
        <f>financials[[#This Row],[Gross Sales]]-financials[[#This Row],[Gross Sales]]*financials[[#This Row],[Discounts]]</f>
        <v>425</v>
      </c>
      <c r="J198" s="8">
        <f>VLOOKUP(financials[[#This Row],[productid]],Products!$B$2:$H$10,4)</f>
        <v>9.1</v>
      </c>
      <c r="K198" s="8">
        <f>financials[[#This Row],[Net Sales]]-financials[[#This Row],[COGS]]</f>
        <v>415.9</v>
      </c>
      <c r="L198" s="15">
        <v>45231</v>
      </c>
      <c r="M198" t="s">
        <v>696</v>
      </c>
    </row>
    <row r="199" spans="1:13" x14ac:dyDescent="0.25">
      <c r="A199" t="s">
        <v>86</v>
      </c>
      <c r="B199" s="6" t="s">
        <v>645</v>
      </c>
      <c r="C199" s="11">
        <v>104</v>
      </c>
      <c r="D199" s="9" t="s">
        <v>92</v>
      </c>
      <c r="E199">
        <v>18</v>
      </c>
      <c r="F199" s="8">
        <f>VLOOKUP(financials[[#This Row],[productid]],Products!$B$2:$H$10,3)</f>
        <v>5.9</v>
      </c>
      <c r="G199" s="8">
        <f>financials[[#This Row],[Units Sold]]*financials[[#This Row],[Sale Price]]</f>
        <v>106.2</v>
      </c>
      <c r="H199" s="8">
        <f>IF(financials[[#This Row],[Discount Band]]="low",0.1,IF(financials[[#This Row],[Discount Band]]="medium",0.15,0.3))</f>
        <v>0.3</v>
      </c>
      <c r="I199" s="8">
        <f>financials[[#This Row],[Gross Sales]]-financials[[#This Row],[Gross Sales]]*financials[[#This Row],[Discounts]]</f>
        <v>74.34</v>
      </c>
      <c r="J199" s="8">
        <f>VLOOKUP(financials[[#This Row],[productid]],Products!$B$2:$H$10,4)</f>
        <v>2.9</v>
      </c>
      <c r="K199" s="8">
        <f>financials[[#This Row],[Net Sales]]-financials[[#This Row],[COGS]]</f>
        <v>71.44</v>
      </c>
      <c r="L199" s="15">
        <v>44413</v>
      </c>
      <c r="M199" t="s">
        <v>696</v>
      </c>
    </row>
    <row r="200" spans="1:13" x14ac:dyDescent="0.25">
      <c r="A200" t="s">
        <v>89</v>
      </c>
      <c r="B200" s="6" t="s">
        <v>266</v>
      </c>
      <c r="C200" s="13">
        <v>103</v>
      </c>
      <c r="D200" s="14" t="s">
        <v>83</v>
      </c>
      <c r="E200">
        <v>9</v>
      </c>
      <c r="F200" s="8">
        <f>VLOOKUP(financials[[#This Row],[productid]],Products!$B$2:$H$10,3)</f>
        <v>28</v>
      </c>
      <c r="G200" s="8">
        <f>financials[[#This Row],[Units Sold]]*financials[[#This Row],[Sale Price]]</f>
        <v>252</v>
      </c>
      <c r="H200" s="8">
        <f>IF(financials[[#This Row],[Discount Band]]="low",0.1,IF(financials[[#This Row],[Discount Band]]="medium",0.15,0.3))</f>
        <v>0.3</v>
      </c>
      <c r="I200" s="8">
        <f>financials[[#This Row],[Gross Sales]]-financials[[#This Row],[Gross Sales]]*financials[[#This Row],[Discounts]]</f>
        <v>176.4</v>
      </c>
      <c r="J200" s="8">
        <f>VLOOKUP(financials[[#This Row],[productid]],Products!$B$2:$H$10,4)</f>
        <v>15</v>
      </c>
      <c r="K200" s="8">
        <f>financials[[#This Row],[Net Sales]]-financials[[#This Row],[COGS]]</f>
        <v>161.4</v>
      </c>
      <c r="L200" s="15">
        <v>43836</v>
      </c>
      <c r="M200" t="s">
        <v>697</v>
      </c>
    </row>
    <row r="201" spans="1:13" x14ac:dyDescent="0.25">
      <c r="A201" t="s">
        <v>86</v>
      </c>
      <c r="B201" s="6" t="s">
        <v>125</v>
      </c>
      <c r="C201" s="13">
        <v>109</v>
      </c>
      <c r="D201" s="14" t="s">
        <v>83</v>
      </c>
      <c r="E201">
        <v>10</v>
      </c>
      <c r="F201" s="8">
        <f>VLOOKUP(financials[[#This Row],[productid]],Products!$B$2:$H$10,3)</f>
        <v>36</v>
      </c>
      <c r="G201" s="8">
        <f>financials[[#This Row],[Units Sold]]*financials[[#This Row],[Sale Price]]</f>
        <v>360</v>
      </c>
      <c r="H201" s="8">
        <f>IF(financials[[#This Row],[Discount Band]]="low",0.1,IF(financials[[#This Row],[Discount Band]]="medium",0.15,0.3))</f>
        <v>0.3</v>
      </c>
      <c r="I201" s="8">
        <f>financials[[#This Row],[Gross Sales]]-financials[[#This Row],[Gross Sales]]*financials[[#This Row],[Discounts]]</f>
        <v>252</v>
      </c>
      <c r="J201" s="8">
        <f>VLOOKUP(financials[[#This Row],[productid]],Products!$B$2:$H$10,4)</f>
        <v>16.8</v>
      </c>
      <c r="K201" s="8">
        <f>financials[[#This Row],[Net Sales]]-financials[[#This Row],[COGS]]</f>
        <v>235.2</v>
      </c>
      <c r="L201" s="15">
        <v>45209</v>
      </c>
      <c r="M201" t="s">
        <v>697</v>
      </c>
    </row>
    <row r="202" spans="1:13" x14ac:dyDescent="0.25">
      <c r="A202" t="s">
        <v>86</v>
      </c>
      <c r="B202" s="6" t="s">
        <v>274</v>
      </c>
      <c r="C202" s="13">
        <v>103</v>
      </c>
      <c r="D202" s="14" t="s">
        <v>91</v>
      </c>
      <c r="E202">
        <v>11</v>
      </c>
      <c r="F202" s="8">
        <f>VLOOKUP(financials[[#This Row],[productid]],Products!$B$2:$H$10,3)</f>
        <v>28</v>
      </c>
      <c r="G202" s="8">
        <f>financials[[#This Row],[Units Sold]]*financials[[#This Row],[Sale Price]]</f>
        <v>308</v>
      </c>
      <c r="H202" s="8">
        <f>IF(financials[[#This Row],[Discount Band]]="low",0.1,IF(financials[[#This Row],[Discount Band]]="medium",0.15,0.3))</f>
        <v>0.1</v>
      </c>
      <c r="I202" s="8">
        <f>financials[[#This Row],[Gross Sales]]-financials[[#This Row],[Gross Sales]]*financials[[#This Row],[Discounts]]</f>
        <v>277.2</v>
      </c>
      <c r="J202" s="8">
        <f>VLOOKUP(financials[[#This Row],[productid]],Products!$B$2:$H$10,4)</f>
        <v>15</v>
      </c>
      <c r="K202" s="8">
        <f>financials[[#This Row],[Net Sales]]-financials[[#This Row],[COGS]]</f>
        <v>262.2</v>
      </c>
      <c r="L202" s="15">
        <v>45222</v>
      </c>
      <c r="M202" t="s">
        <v>690</v>
      </c>
    </row>
    <row r="203" spans="1:13" x14ac:dyDescent="0.25">
      <c r="A203" t="s">
        <v>86</v>
      </c>
      <c r="B203" s="6" t="s">
        <v>125</v>
      </c>
      <c r="C203" s="13">
        <v>101</v>
      </c>
      <c r="D203" s="14" t="s">
        <v>91</v>
      </c>
      <c r="E203">
        <v>18</v>
      </c>
      <c r="F203" s="8">
        <f>VLOOKUP(financials[[#This Row],[productid]],Products!$B$2:$H$10,3)</f>
        <v>23</v>
      </c>
      <c r="G203" s="8">
        <f>financials[[#This Row],[Units Sold]]*financials[[#This Row],[Sale Price]]</f>
        <v>414</v>
      </c>
      <c r="H203" s="8">
        <f>IF(financials[[#This Row],[Discount Band]]="low",0.1,IF(financials[[#This Row],[Discount Band]]="medium",0.15,0.3))</f>
        <v>0.1</v>
      </c>
      <c r="I203" s="8">
        <f>financials[[#This Row],[Gross Sales]]-financials[[#This Row],[Gross Sales]]*financials[[#This Row],[Discounts]]</f>
        <v>372.6</v>
      </c>
      <c r="J203" s="8">
        <f>VLOOKUP(financials[[#This Row],[productid]],Products!$B$2:$H$10,4)</f>
        <v>9.9499999999999993</v>
      </c>
      <c r="K203" s="8">
        <f>financials[[#This Row],[Net Sales]]-financials[[#This Row],[COGS]]</f>
        <v>362.65000000000003</v>
      </c>
      <c r="L203" s="15">
        <v>44774</v>
      </c>
      <c r="M203" t="s">
        <v>700</v>
      </c>
    </row>
    <row r="204" spans="1:13" x14ac:dyDescent="0.25">
      <c r="A204" t="s">
        <v>86</v>
      </c>
      <c r="B204" s="6" t="s">
        <v>240</v>
      </c>
      <c r="C204" s="11">
        <v>103</v>
      </c>
      <c r="D204" s="9" t="s">
        <v>83</v>
      </c>
      <c r="E204">
        <v>19</v>
      </c>
      <c r="F204" s="8">
        <f>VLOOKUP(financials[[#This Row],[productid]],Products!$B$2:$H$10,3)</f>
        <v>28</v>
      </c>
      <c r="G204" s="8">
        <f>financials[[#This Row],[Units Sold]]*financials[[#This Row],[Sale Price]]</f>
        <v>532</v>
      </c>
      <c r="H204" s="8">
        <f>IF(financials[[#This Row],[Discount Band]]="low",0.1,IF(financials[[#This Row],[Discount Band]]="medium",0.15,0.3))</f>
        <v>0.3</v>
      </c>
      <c r="I204" s="8">
        <f>financials[[#This Row],[Gross Sales]]-financials[[#This Row],[Gross Sales]]*financials[[#This Row],[Discounts]]</f>
        <v>372.4</v>
      </c>
      <c r="J204" s="8">
        <f>VLOOKUP(financials[[#This Row],[productid]],Products!$B$2:$H$10,4)</f>
        <v>15</v>
      </c>
      <c r="K204" s="8">
        <f>financials[[#This Row],[Net Sales]]-financials[[#This Row],[COGS]]</f>
        <v>357.4</v>
      </c>
      <c r="L204" s="15">
        <v>44024</v>
      </c>
      <c r="M204" t="s">
        <v>697</v>
      </c>
    </row>
    <row r="205" spans="1:13" x14ac:dyDescent="0.25">
      <c r="A205" t="s">
        <v>86</v>
      </c>
      <c r="B205" s="6" t="s">
        <v>148</v>
      </c>
      <c r="C205" s="13">
        <v>109</v>
      </c>
      <c r="D205" s="14" t="s">
        <v>91</v>
      </c>
      <c r="E205">
        <v>16</v>
      </c>
      <c r="F205" s="8">
        <f>VLOOKUP(financials[[#This Row],[productid]],Products!$B$2:$H$10,3)</f>
        <v>36</v>
      </c>
      <c r="G205" s="8">
        <f>financials[[#This Row],[Units Sold]]*financials[[#This Row],[Sale Price]]</f>
        <v>576</v>
      </c>
      <c r="H205" s="8">
        <f>IF(financials[[#This Row],[Discount Band]]="low",0.1,IF(financials[[#This Row],[Discount Band]]="medium",0.15,0.3))</f>
        <v>0.1</v>
      </c>
      <c r="I205" s="8">
        <f>financials[[#This Row],[Gross Sales]]-financials[[#This Row],[Gross Sales]]*financials[[#This Row],[Discounts]]</f>
        <v>518.4</v>
      </c>
      <c r="J205" s="8">
        <f>VLOOKUP(financials[[#This Row],[productid]],Products!$B$2:$H$10,4)</f>
        <v>16.8</v>
      </c>
      <c r="K205" s="8">
        <f>financials[[#This Row],[Net Sales]]-financials[[#This Row],[COGS]]</f>
        <v>501.59999999999997</v>
      </c>
      <c r="L205" s="15">
        <v>44494</v>
      </c>
      <c r="M205" t="s">
        <v>690</v>
      </c>
    </row>
    <row r="206" spans="1:13" x14ac:dyDescent="0.25">
      <c r="A206" t="s">
        <v>86</v>
      </c>
      <c r="B206" s="6" t="s">
        <v>148</v>
      </c>
      <c r="C206" s="13">
        <v>103</v>
      </c>
      <c r="D206" s="14" t="s">
        <v>90</v>
      </c>
      <c r="E206">
        <v>6</v>
      </c>
      <c r="F206" s="8">
        <f>VLOOKUP(financials[[#This Row],[productid]],Products!$B$2:$H$10,3)</f>
        <v>28</v>
      </c>
      <c r="G206" s="8">
        <f>financials[[#This Row],[Units Sold]]*financials[[#This Row],[Sale Price]]</f>
        <v>168</v>
      </c>
      <c r="H206" s="8">
        <f>IF(financials[[#This Row],[Discount Band]]="low",0.1,IF(financials[[#This Row],[Discount Band]]="medium",0.15,0.3))</f>
        <v>0.15</v>
      </c>
      <c r="I206" s="8">
        <f>financials[[#This Row],[Gross Sales]]-financials[[#This Row],[Gross Sales]]*financials[[#This Row],[Discounts]]</f>
        <v>142.80000000000001</v>
      </c>
      <c r="J206" s="8">
        <f>VLOOKUP(financials[[#This Row],[productid]],Products!$B$2:$H$10,4)</f>
        <v>15</v>
      </c>
      <c r="K206" s="8">
        <f>financials[[#This Row],[Net Sales]]-financials[[#This Row],[COGS]]</f>
        <v>127.80000000000001</v>
      </c>
      <c r="L206" s="15">
        <v>44076</v>
      </c>
      <c r="M206" t="s">
        <v>697</v>
      </c>
    </row>
    <row r="207" spans="1:13" x14ac:dyDescent="0.25">
      <c r="A207" t="s">
        <v>86</v>
      </c>
      <c r="B207" s="6" t="s">
        <v>266</v>
      </c>
      <c r="C207" s="13">
        <v>102</v>
      </c>
      <c r="D207" s="14" t="s">
        <v>83</v>
      </c>
      <c r="E207">
        <v>7</v>
      </c>
      <c r="F207" s="8">
        <f>VLOOKUP(financials[[#This Row],[productid]],Products!$B$2:$H$10,3)</f>
        <v>15</v>
      </c>
      <c r="G207" s="8">
        <f>financials[[#This Row],[Units Sold]]*financials[[#This Row],[Sale Price]]</f>
        <v>105</v>
      </c>
      <c r="H207" s="8">
        <f>IF(financials[[#This Row],[Discount Band]]="low",0.1,IF(financials[[#This Row],[Discount Band]]="medium",0.15,0.3))</f>
        <v>0.3</v>
      </c>
      <c r="I207" s="8">
        <f>financials[[#This Row],[Gross Sales]]-financials[[#This Row],[Gross Sales]]*financials[[#This Row],[Discounts]]</f>
        <v>73.5</v>
      </c>
      <c r="J207" s="8">
        <f>VLOOKUP(financials[[#This Row],[productid]],Products!$B$2:$H$10,4)</f>
        <v>13.95</v>
      </c>
      <c r="K207" s="8">
        <f>financials[[#This Row],[Net Sales]]-financials[[#This Row],[COGS]]</f>
        <v>59.55</v>
      </c>
      <c r="L207" s="15">
        <v>45617</v>
      </c>
      <c r="M207" t="s">
        <v>696</v>
      </c>
    </row>
    <row r="208" spans="1:13" x14ac:dyDescent="0.25">
      <c r="A208" t="s">
        <v>86</v>
      </c>
      <c r="B208" s="6" t="s">
        <v>96</v>
      </c>
      <c r="C208" s="13">
        <v>101</v>
      </c>
      <c r="D208" s="14" t="s">
        <v>83</v>
      </c>
      <c r="E208">
        <v>16</v>
      </c>
      <c r="F208" s="8">
        <f>VLOOKUP(financials[[#This Row],[productid]],Products!$B$2:$H$10,3)</f>
        <v>23</v>
      </c>
      <c r="G208" s="8">
        <f>financials[[#This Row],[Units Sold]]*financials[[#This Row],[Sale Price]]</f>
        <v>368</v>
      </c>
      <c r="H208" s="8">
        <f>IF(financials[[#This Row],[Discount Band]]="low",0.1,IF(financials[[#This Row],[Discount Band]]="medium",0.15,0.3))</f>
        <v>0.3</v>
      </c>
      <c r="I208" s="8">
        <f>financials[[#This Row],[Gross Sales]]-financials[[#This Row],[Gross Sales]]*financials[[#This Row],[Discounts]]</f>
        <v>257.60000000000002</v>
      </c>
      <c r="J208" s="8">
        <f>VLOOKUP(financials[[#This Row],[productid]],Products!$B$2:$H$10,4)</f>
        <v>9.9499999999999993</v>
      </c>
      <c r="K208" s="8">
        <f>financials[[#This Row],[Net Sales]]-financials[[#This Row],[COGS]]</f>
        <v>247.65000000000003</v>
      </c>
      <c r="L208" s="15">
        <v>45287</v>
      </c>
      <c r="M208" t="s">
        <v>691</v>
      </c>
    </row>
    <row r="209" spans="1:13" x14ac:dyDescent="0.25">
      <c r="A209" t="s">
        <v>86</v>
      </c>
      <c r="B209" s="6" t="s">
        <v>266</v>
      </c>
      <c r="C209" s="13">
        <v>105</v>
      </c>
      <c r="D209" s="14" t="s">
        <v>90</v>
      </c>
      <c r="E209">
        <v>15</v>
      </c>
      <c r="F209" s="8">
        <f>VLOOKUP(financials[[#This Row],[productid]],Products!$B$2:$H$10,3)</f>
        <v>15</v>
      </c>
      <c r="G209" s="8">
        <f>financials[[#This Row],[Units Sold]]*financials[[#This Row],[Sale Price]]</f>
        <v>225</v>
      </c>
      <c r="H209" s="8">
        <f>IF(financials[[#This Row],[Discount Band]]="low",0.1,IF(financials[[#This Row],[Discount Band]]="medium",0.15,0.3))</f>
        <v>0.15</v>
      </c>
      <c r="I209" s="8">
        <f>financials[[#This Row],[Gross Sales]]-financials[[#This Row],[Gross Sales]]*financials[[#This Row],[Discounts]]</f>
        <v>191.25</v>
      </c>
      <c r="J209" s="8">
        <f>VLOOKUP(financials[[#This Row],[productid]],Products!$B$2:$H$10,4)</f>
        <v>10</v>
      </c>
      <c r="K209" s="8">
        <f>financials[[#This Row],[Net Sales]]-financials[[#This Row],[COGS]]</f>
        <v>181.25</v>
      </c>
      <c r="L209" s="15">
        <v>44304</v>
      </c>
      <c r="M209" t="s">
        <v>691</v>
      </c>
    </row>
    <row r="210" spans="1:13" x14ac:dyDescent="0.25">
      <c r="A210" t="s">
        <v>86</v>
      </c>
      <c r="B210" s="6" t="s">
        <v>240</v>
      </c>
      <c r="C210" s="13">
        <v>104</v>
      </c>
      <c r="D210" s="14" t="s">
        <v>90</v>
      </c>
      <c r="E210">
        <v>19</v>
      </c>
      <c r="F210" s="8">
        <f>VLOOKUP(financials[[#This Row],[productid]],Products!$B$2:$H$10,3)</f>
        <v>5.9</v>
      </c>
      <c r="G210" s="8">
        <f>financials[[#This Row],[Units Sold]]*financials[[#This Row],[Sale Price]]</f>
        <v>112.10000000000001</v>
      </c>
      <c r="H210" s="8">
        <f>IF(financials[[#This Row],[Discount Band]]="low",0.1,IF(financials[[#This Row],[Discount Band]]="medium",0.15,0.3))</f>
        <v>0.15</v>
      </c>
      <c r="I210" s="8">
        <f>financials[[#This Row],[Gross Sales]]-financials[[#This Row],[Gross Sales]]*financials[[#This Row],[Discounts]]</f>
        <v>95.285000000000011</v>
      </c>
      <c r="J210" s="8">
        <f>VLOOKUP(financials[[#This Row],[productid]],Products!$B$2:$H$10,4)</f>
        <v>2.9</v>
      </c>
      <c r="K210" s="8">
        <f>financials[[#This Row],[Net Sales]]-financials[[#This Row],[COGS]]</f>
        <v>92.385000000000005</v>
      </c>
      <c r="L210" s="15">
        <v>45006</v>
      </c>
      <c r="M210" t="s">
        <v>697</v>
      </c>
    </row>
    <row r="211" spans="1:13" x14ac:dyDescent="0.25">
      <c r="A211" t="s">
        <v>86</v>
      </c>
      <c r="B211" s="6" t="s">
        <v>274</v>
      </c>
      <c r="C211" s="13">
        <v>108</v>
      </c>
      <c r="D211" s="14" t="s">
        <v>90</v>
      </c>
      <c r="E211">
        <v>14</v>
      </c>
      <c r="F211" s="8">
        <f>VLOOKUP(financials[[#This Row],[productid]],Products!$B$2:$H$10,3)</f>
        <v>5.5</v>
      </c>
      <c r="G211" s="8">
        <f>financials[[#This Row],[Units Sold]]*financials[[#This Row],[Sale Price]]</f>
        <v>77</v>
      </c>
      <c r="H211" s="8">
        <f>IF(financials[[#This Row],[Discount Band]]="low",0.1,IF(financials[[#This Row],[Discount Band]]="medium",0.15,0.3))</f>
        <v>0.15</v>
      </c>
      <c r="I211" s="8">
        <f>financials[[#This Row],[Gross Sales]]-financials[[#This Row],[Gross Sales]]*financials[[#This Row],[Discounts]]</f>
        <v>65.45</v>
      </c>
      <c r="J211" s="8">
        <f>VLOOKUP(financials[[#This Row],[productid]],Products!$B$2:$H$10,4)</f>
        <v>3.99</v>
      </c>
      <c r="K211" s="8">
        <f>financials[[#This Row],[Net Sales]]-financials[[#This Row],[COGS]]</f>
        <v>61.46</v>
      </c>
      <c r="L211" s="15">
        <v>44654</v>
      </c>
      <c r="M211" t="s">
        <v>696</v>
      </c>
    </row>
    <row r="212" spans="1:13" x14ac:dyDescent="0.25">
      <c r="A212" t="s">
        <v>86</v>
      </c>
      <c r="B212" s="6" t="s">
        <v>274</v>
      </c>
      <c r="C212" s="13">
        <v>102</v>
      </c>
      <c r="D212" s="14" t="s">
        <v>90</v>
      </c>
      <c r="E212">
        <v>12</v>
      </c>
      <c r="F212" s="8">
        <f>VLOOKUP(financials[[#This Row],[productid]],Products!$B$2:$H$10,3)</f>
        <v>15</v>
      </c>
      <c r="G212" s="8">
        <f>financials[[#This Row],[Units Sold]]*financials[[#This Row],[Sale Price]]</f>
        <v>180</v>
      </c>
      <c r="H212" s="8">
        <f>IF(financials[[#This Row],[Discount Band]]="low",0.1,IF(financials[[#This Row],[Discount Band]]="medium",0.15,0.3))</f>
        <v>0.15</v>
      </c>
      <c r="I212" s="8">
        <f>financials[[#This Row],[Gross Sales]]-financials[[#This Row],[Gross Sales]]*financials[[#This Row],[Discounts]]</f>
        <v>153</v>
      </c>
      <c r="J212" s="8">
        <f>VLOOKUP(financials[[#This Row],[productid]],Products!$B$2:$H$10,4)</f>
        <v>13.95</v>
      </c>
      <c r="K212" s="8">
        <f>financials[[#This Row],[Net Sales]]-financials[[#This Row],[COGS]]</f>
        <v>139.05000000000001</v>
      </c>
      <c r="L212" s="15">
        <v>44451</v>
      </c>
      <c r="M212" t="s">
        <v>700</v>
      </c>
    </row>
    <row r="213" spans="1:13" x14ac:dyDescent="0.25">
      <c r="A213" t="s">
        <v>86</v>
      </c>
      <c r="B213" s="6" t="s">
        <v>645</v>
      </c>
      <c r="C213" s="13">
        <v>107</v>
      </c>
      <c r="D213" s="14" t="s">
        <v>90</v>
      </c>
      <c r="E213">
        <v>6</v>
      </c>
      <c r="F213" s="8">
        <f>VLOOKUP(financials[[#This Row],[productid]],Products!$B$2:$H$10,3)</f>
        <v>15</v>
      </c>
      <c r="G213" s="8">
        <f>financials[[#This Row],[Units Sold]]*financials[[#This Row],[Sale Price]]</f>
        <v>90</v>
      </c>
      <c r="H213" s="8">
        <f>IF(financials[[#This Row],[Discount Band]]="low",0.1,IF(financials[[#This Row],[Discount Band]]="medium",0.15,0.3))</f>
        <v>0.15</v>
      </c>
      <c r="I213" s="8">
        <f>financials[[#This Row],[Gross Sales]]-financials[[#This Row],[Gross Sales]]*financials[[#This Row],[Discounts]]</f>
        <v>76.5</v>
      </c>
      <c r="J213" s="8">
        <f>VLOOKUP(financials[[#This Row],[productid]],Products!$B$2:$H$10,4)</f>
        <v>5.5</v>
      </c>
      <c r="K213" s="8">
        <f>financials[[#This Row],[Net Sales]]-financials[[#This Row],[COGS]]</f>
        <v>71</v>
      </c>
      <c r="L213" s="15">
        <v>45160</v>
      </c>
      <c r="M213" t="s">
        <v>690</v>
      </c>
    </row>
    <row r="214" spans="1:13" x14ac:dyDescent="0.25">
      <c r="A214" t="s">
        <v>86</v>
      </c>
      <c r="B214" s="6" t="s">
        <v>197</v>
      </c>
      <c r="C214" s="13">
        <v>101</v>
      </c>
      <c r="D214" s="14" t="s">
        <v>83</v>
      </c>
      <c r="E214">
        <v>11</v>
      </c>
      <c r="F214" s="8">
        <f>VLOOKUP(financials[[#This Row],[productid]],Products!$B$2:$H$10,3)</f>
        <v>23</v>
      </c>
      <c r="G214" s="8">
        <f>financials[[#This Row],[Units Sold]]*financials[[#This Row],[Sale Price]]</f>
        <v>253</v>
      </c>
      <c r="H214" s="8">
        <f>IF(financials[[#This Row],[Discount Band]]="low",0.1,IF(financials[[#This Row],[Discount Band]]="medium",0.15,0.3))</f>
        <v>0.3</v>
      </c>
      <c r="I214" s="8">
        <f>financials[[#This Row],[Gross Sales]]-financials[[#This Row],[Gross Sales]]*financials[[#This Row],[Discounts]]</f>
        <v>177.10000000000002</v>
      </c>
      <c r="J214" s="8">
        <f>VLOOKUP(financials[[#This Row],[productid]],Products!$B$2:$H$10,4)</f>
        <v>9.9499999999999993</v>
      </c>
      <c r="K214" s="8">
        <f>financials[[#This Row],[Net Sales]]-financials[[#This Row],[COGS]]</f>
        <v>167.15000000000003</v>
      </c>
      <c r="L214" s="15">
        <v>44805</v>
      </c>
      <c r="M214" t="s">
        <v>697</v>
      </c>
    </row>
    <row r="215" spans="1:13" x14ac:dyDescent="0.25">
      <c r="A215" t="s">
        <v>89</v>
      </c>
      <c r="B215" s="6" t="s">
        <v>644</v>
      </c>
      <c r="C215" s="11">
        <v>103</v>
      </c>
      <c r="D215" s="9" t="s">
        <v>83</v>
      </c>
      <c r="E215">
        <v>10</v>
      </c>
      <c r="F215" s="8">
        <f>VLOOKUP(financials[[#This Row],[productid]],Products!$B$2:$H$10,3)</f>
        <v>28</v>
      </c>
      <c r="G215" s="8">
        <f>financials[[#This Row],[Units Sold]]*financials[[#This Row],[Sale Price]]</f>
        <v>280</v>
      </c>
      <c r="H215" s="8">
        <f>IF(financials[[#This Row],[Discount Band]]="low",0.1,IF(financials[[#This Row],[Discount Band]]="medium",0.15,0.3))</f>
        <v>0.3</v>
      </c>
      <c r="I215" s="8">
        <f>financials[[#This Row],[Gross Sales]]-financials[[#This Row],[Gross Sales]]*financials[[#This Row],[Discounts]]</f>
        <v>196</v>
      </c>
      <c r="J215" s="8">
        <f>VLOOKUP(financials[[#This Row],[productid]],Products!$B$2:$H$10,4)</f>
        <v>15</v>
      </c>
      <c r="K215" s="8">
        <f>financials[[#This Row],[Net Sales]]-financials[[#This Row],[COGS]]</f>
        <v>181</v>
      </c>
      <c r="L215" s="15">
        <v>45351</v>
      </c>
      <c r="M215" t="s">
        <v>691</v>
      </c>
    </row>
    <row r="216" spans="1:13" x14ac:dyDescent="0.25">
      <c r="A216" t="s">
        <v>89</v>
      </c>
      <c r="B216" s="6" t="s">
        <v>644</v>
      </c>
      <c r="C216" s="13">
        <v>104</v>
      </c>
      <c r="D216" s="14" t="s">
        <v>83</v>
      </c>
      <c r="E216">
        <v>20</v>
      </c>
      <c r="F216" s="8">
        <f>VLOOKUP(financials[[#This Row],[productid]],Products!$B$2:$H$10,3)</f>
        <v>5.9</v>
      </c>
      <c r="G216" s="8">
        <f>financials[[#This Row],[Units Sold]]*financials[[#This Row],[Sale Price]]</f>
        <v>118</v>
      </c>
      <c r="H216" s="8">
        <f>IF(financials[[#This Row],[Discount Band]]="low",0.1,IF(financials[[#This Row],[Discount Band]]="medium",0.15,0.3))</f>
        <v>0.3</v>
      </c>
      <c r="I216" s="8">
        <f>financials[[#This Row],[Gross Sales]]-financials[[#This Row],[Gross Sales]]*financials[[#This Row],[Discounts]]</f>
        <v>82.6</v>
      </c>
      <c r="J216" s="8">
        <f>VLOOKUP(financials[[#This Row],[productid]],Products!$B$2:$H$10,4)</f>
        <v>2.9</v>
      </c>
      <c r="K216" s="8">
        <f>financials[[#This Row],[Net Sales]]-financials[[#This Row],[COGS]]</f>
        <v>79.699999999999989</v>
      </c>
      <c r="L216" s="15">
        <v>44339</v>
      </c>
      <c r="M216" t="s">
        <v>700</v>
      </c>
    </row>
    <row r="217" spans="1:13" x14ac:dyDescent="0.25">
      <c r="A217" t="s">
        <v>86</v>
      </c>
      <c r="B217" s="6" t="s">
        <v>287</v>
      </c>
      <c r="C217" s="11">
        <v>105</v>
      </c>
      <c r="D217" s="9" t="s">
        <v>83</v>
      </c>
      <c r="E217">
        <v>13</v>
      </c>
      <c r="F217" s="8">
        <f>VLOOKUP(financials[[#This Row],[productid]],Products!$B$2:$H$10,3)</f>
        <v>15</v>
      </c>
      <c r="G217" s="8">
        <f>financials[[#This Row],[Units Sold]]*financials[[#This Row],[Sale Price]]</f>
        <v>195</v>
      </c>
      <c r="H217" s="8">
        <f>IF(financials[[#This Row],[Discount Band]]="low",0.1,IF(financials[[#This Row],[Discount Band]]="medium",0.15,0.3))</f>
        <v>0.3</v>
      </c>
      <c r="I217" s="8">
        <f>financials[[#This Row],[Gross Sales]]-financials[[#This Row],[Gross Sales]]*financials[[#This Row],[Discounts]]</f>
        <v>136.5</v>
      </c>
      <c r="J217" s="8">
        <f>VLOOKUP(financials[[#This Row],[productid]],Products!$B$2:$H$10,4)</f>
        <v>10</v>
      </c>
      <c r="K217" s="8">
        <f>financials[[#This Row],[Net Sales]]-financials[[#This Row],[COGS]]</f>
        <v>126.5</v>
      </c>
      <c r="L217" s="15">
        <v>44350</v>
      </c>
      <c r="M217" t="s">
        <v>690</v>
      </c>
    </row>
    <row r="218" spans="1:13" x14ac:dyDescent="0.25">
      <c r="A218" t="s">
        <v>86</v>
      </c>
      <c r="B218" s="6" t="s">
        <v>240</v>
      </c>
      <c r="C218" s="13">
        <v>109</v>
      </c>
      <c r="D218" s="14" t="s">
        <v>83</v>
      </c>
      <c r="E218">
        <v>12</v>
      </c>
      <c r="F218" s="8">
        <f>VLOOKUP(financials[[#This Row],[productid]],Products!$B$2:$H$10,3)</f>
        <v>36</v>
      </c>
      <c r="G218" s="8">
        <f>financials[[#This Row],[Units Sold]]*financials[[#This Row],[Sale Price]]</f>
        <v>432</v>
      </c>
      <c r="H218" s="8">
        <f>IF(financials[[#This Row],[Discount Band]]="low",0.1,IF(financials[[#This Row],[Discount Band]]="medium",0.15,0.3))</f>
        <v>0.3</v>
      </c>
      <c r="I218" s="8">
        <f>financials[[#This Row],[Gross Sales]]-financials[[#This Row],[Gross Sales]]*financials[[#This Row],[Discounts]]</f>
        <v>302.39999999999998</v>
      </c>
      <c r="J218" s="8">
        <f>VLOOKUP(financials[[#This Row],[productid]],Products!$B$2:$H$10,4)</f>
        <v>16.8</v>
      </c>
      <c r="K218" s="8">
        <f>financials[[#This Row],[Net Sales]]-financials[[#This Row],[COGS]]</f>
        <v>285.59999999999997</v>
      </c>
      <c r="L218" s="15">
        <v>44742</v>
      </c>
      <c r="M218" t="s">
        <v>690</v>
      </c>
    </row>
    <row r="219" spans="1:13" x14ac:dyDescent="0.25">
      <c r="A219" t="s">
        <v>86</v>
      </c>
      <c r="B219" s="6" t="s">
        <v>545</v>
      </c>
      <c r="C219" s="13">
        <v>102</v>
      </c>
      <c r="D219" s="14" t="s">
        <v>90</v>
      </c>
      <c r="E219">
        <v>16</v>
      </c>
      <c r="F219" s="8">
        <f>VLOOKUP(financials[[#This Row],[productid]],Products!$B$2:$H$10,3)</f>
        <v>15</v>
      </c>
      <c r="G219" s="8">
        <f>financials[[#This Row],[Units Sold]]*financials[[#This Row],[Sale Price]]</f>
        <v>240</v>
      </c>
      <c r="H219" s="8">
        <f>IF(financials[[#This Row],[Discount Band]]="low",0.1,IF(financials[[#This Row],[Discount Band]]="medium",0.15,0.3))</f>
        <v>0.15</v>
      </c>
      <c r="I219" s="8">
        <f>financials[[#This Row],[Gross Sales]]-financials[[#This Row],[Gross Sales]]*financials[[#This Row],[Discounts]]</f>
        <v>204</v>
      </c>
      <c r="J219" s="8">
        <f>VLOOKUP(financials[[#This Row],[productid]],Products!$B$2:$H$10,4)</f>
        <v>13.95</v>
      </c>
      <c r="K219" s="8">
        <f>financials[[#This Row],[Net Sales]]-financials[[#This Row],[COGS]]</f>
        <v>190.05</v>
      </c>
      <c r="L219" s="15">
        <v>44495</v>
      </c>
      <c r="M219" t="s">
        <v>691</v>
      </c>
    </row>
    <row r="220" spans="1:13" x14ac:dyDescent="0.25">
      <c r="A220" t="s">
        <v>86</v>
      </c>
      <c r="B220" s="6" t="s">
        <v>232</v>
      </c>
      <c r="C220" s="13">
        <v>104</v>
      </c>
      <c r="D220" s="14" t="s">
        <v>83</v>
      </c>
      <c r="E220">
        <v>19</v>
      </c>
      <c r="F220" s="8">
        <f>VLOOKUP(financials[[#This Row],[productid]],Products!$B$2:$H$10,3)</f>
        <v>5.9</v>
      </c>
      <c r="G220" s="8">
        <f>financials[[#This Row],[Units Sold]]*financials[[#This Row],[Sale Price]]</f>
        <v>112.10000000000001</v>
      </c>
      <c r="H220" s="8">
        <f>IF(financials[[#This Row],[Discount Band]]="low",0.1,IF(financials[[#This Row],[Discount Band]]="medium",0.15,0.3))</f>
        <v>0.3</v>
      </c>
      <c r="I220" s="8">
        <f>financials[[#This Row],[Gross Sales]]-financials[[#This Row],[Gross Sales]]*financials[[#This Row],[Discounts]]</f>
        <v>78.47</v>
      </c>
      <c r="J220" s="8">
        <f>VLOOKUP(financials[[#This Row],[productid]],Products!$B$2:$H$10,4)</f>
        <v>2.9</v>
      </c>
      <c r="K220" s="8">
        <f>financials[[#This Row],[Net Sales]]-financials[[#This Row],[COGS]]</f>
        <v>75.569999999999993</v>
      </c>
      <c r="L220" s="15">
        <v>44126</v>
      </c>
      <c r="M220" t="s">
        <v>691</v>
      </c>
    </row>
    <row r="221" spans="1:13" x14ac:dyDescent="0.25">
      <c r="A221" t="s">
        <v>86</v>
      </c>
      <c r="B221" s="6" t="s">
        <v>93</v>
      </c>
      <c r="C221" s="13">
        <v>101</v>
      </c>
      <c r="D221" s="14" t="s">
        <v>90</v>
      </c>
      <c r="E221">
        <v>17</v>
      </c>
      <c r="F221" s="8">
        <f>VLOOKUP(financials[[#This Row],[productid]],Products!$B$2:$H$10,3)</f>
        <v>23</v>
      </c>
      <c r="G221" s="8">
        <f>financials[[#This Row],[Units Sold]]*financials[[#This Row],[Sale Price]]</f>
        <v>391</v>
      </c>
      <c r="H221" s="8">
        <f>IF(financials[[#This Row],[Discount Band]]="low",0.1,IF(financials[[#This Row],[Discount Band]]="medium",0.15,0.3))</f>
        <v>0.15</v>
      </c>
      <c r="I221" s="8">
        <f>financials[[#This Row],[Gross Sales]]-financials[[#This Row],[Gross Sales]]*financials[[#This Row],[Discounts]]</f>
        <v>332.35</v>
      </c>
      <c r="J221" s="8">
        <f>VLOOKUP(financials[[#This Row],[productid]],Products!$B$2:$H$10,4)</f>
        <v>9.9499999999999993</v>
      </c>
      <c r="K221" s="8">
        <f>financials[[#This Row],[Net Sales]]-financials[[#This Row],[COGS]]</f>
        <v>322.40000000000003</v>
      </c>
      <c r="L221" s="15">
        <v>44435</v>
      </c>
      <c r="M221" t="s">
        <v>691</v>
      </c>
    </row>
    <row r="222" spans="1:13" x14ac:dyDescent="0.25">
      <c r="A222" t="s">
        <v>86</v>
      </c>
      <c r="B222" s="6" t="s">
        <v>232</v>
      </c>
      <c r="C222" s="13">
        <v>104</v>
      </c>
      <c r="D222" s="14" t="s">
        <v>90</v>
      </c>
      <c r="E222">
        <v>19</v>
      </c>
      <c r="F222" s="8">
        <f>VLOOKUP(financials[[#This Row],[productid]],Products!$B$2:$H$10,3)</f>
        <v>5.9</v>
      </c>
      <c r="G222" s="8">
        <f>financials[[#This Row],[Units Sold]]*financials[[#This Row],[Sale Price]]</f>
        <v>112.10000000000001</v>
      </c>
      <c r="H222" s="8">
        <f>IF(financials[[#This Row],[Discount Band]]="low",0.1,IF(financials[[#This Row],[Discount Band]]="medium",0.15,0.3))</f>
        <v>0.15</v>
      </c>
      <c r="I222" s="8">
        <f>financials[[#This Row],[Gross Sales]]-financials[[#This Row],[Gross Sales]]*financials[[#This Row],[Discounts]]</f>
        <v>95.285000000000011</v>
      </c>
      <c r="J222" s="8">
        <f>VLOOKUP(financials[[#This Row],[productid]],Products!$B$2:$H$10,4)</f>
        <v>2.9</v>
      </c>
      <c r="K222" s="8">
        <f>financials[[#This Row],[Net Sales]]-financials[[#This Row],[COGS]]</f>
        <v>92.385000000000005</v>
      </c>
      <c r="L222" s="15">
        <v>45099</v>
      </c>
      <c r="M222" t="s">
        <v>691</v>
      </c>
    </row>
    <row r="223" spans="1:13" x14ac:dyDescent="0.25">
      <c r="A223" t="s">
        <v>86</v>
      </c>
      <c r="B223" s="6" t="s">
        <v>125</v>
      </c>
      <c r="C223" s="13">
        <v>107</v>
      </c>
      <c r="D223" s="14" t="s">
        <v>90</v>
      </c>
      <c r="E223">
        <v>9</v>
      </c>
      <c r="F223" s="8">
        <f>VLOOKUP(financials[[#This Row],[productid]],Products!$B$2:$H$10,3)</f>
        <v>15</v>
      </c>
      <c r="G223" s="8">
        <f>financials[[#This Row],[Units Sold]]*financials[[#This Row],[Sale Price]]</f>
        <v>135</v>
      </c>
      <c r="H223" s="8">
        <f>IF(financials[[#This Row],[Discount Band]]="low",0.1,IF(financials[[#This Row],[Discount Band]]="medium",0.15,0.3))</f>
        <v>0.15</v>
      </c>
      <c r="I223" s="8">
        <f>financials[[#This Row],[Gross Sales]]-financials[[#This Row],[Gross Sales]]*financials[[#This Row],[Discounts]]</f>
        <v>114.75</v>
      </c>
      <c r="J223" s="8">
        <f>VLOOKUP(financials[[#This Row],[productid]],Products!$B$2:$H$10,4)</f>
        <v>5.5</v>
      </c>
      <c r="K223" s="8">
        <f>financials[[#This Row],[Net Sales]]-financials[[#This Row],[COGS]]</f>
        <v>109.25</v>
      </c>
      <c r="L223" s="15">
        <v>45531</v>
      </c>
      <c r="M223" t="s">
        <v>696</v>
      </c>
    </row>
    <row r="224" spans="1:13" x14ac:dyDescent="0.25">
      <c r="A224" t="s">
        <v>86</v>
      </c>
      <c r="B224" s="6" t="s">
        <v>148</v>
      </c>
      <c r="C224" s="13">
        <v>101</v>
      </c>
      <c r="D224" s="14" t="s">
        <v>90</v>
      </c>
      <c r="E224">
        <v>14</v>
      </c>
      <c r="F224" s="8">
        <f>VLOOKUP(financials[[#This Row],[productid]],Products!$B$2:$H$10,3)</f>
        <v>23</v>
      </c>
      <c r="G224" s="8">
        <f>financials[[#This Row],[Units Sold]]*financials[[#This Row],[Sale Price]]</f>
        <v>322</v>
      </c>
      <c r="H224" s="8">
        <f>IF(financials[[#This Row],[Discount Band]]="low",0.1,IF(financials[[#This Row],[Discount Band]]="medium",0.15,0.3))</f>
        <v>0.15</v>
      </c>
      <c r="I224" s="8">
        <f>financials[[#This Row],[Gross Sales]]-financials[[#This Row],[Gross Sales]]*financials[[#This Row],[Discounts]]</f>
        <v>273.7</v>
      </c>
      <c r="J224" s="8">
        <f>VLOOKUP(financials[[#This Row],[productid]],Products!$B$2:$H$10,4)</f>
        <v>9.9499999999999993</v>
      </c>
      <c r="K224" s="8">
        <f>financials[[#This Row],[Net Sales]]-financials[[#This Row],[COGS]]</f>
        <v>263.75</v>
      </c>
      <c r="L224" s="15">
        <v>43885</v>
      </c>
      <c r="M224" t="s">
        <v>691</v>
      </c>
    </row>
    <row r="225" spans="1:13" x14ac:dyDescent="0.25">
      <c r="A225" t="s">
        <v>86</v>
      </c>
      <c r="B225" s="6" t="s">
        <v>287</v>
      </c>
      <c r="C225" s="13">
        <v>106</v>
      </c>
      <c r="D225" s="14" t="s">
        <v>91</v>
      </c>
      <c r="E225">
        <v>7</v>
      </c>
      <c r="F225" s="8">
        <f>VLOOKUP(financials[[#This Row],[productid]],Products!$B$2:$H$10,3)</f>
        <v>25</v>
      </c>
      <c r="G225" s="8">
        <f>financials[[#This Row],[Units Sold]]*financials[[#This Row],[Sale Price]]</f>
        <v>175</v>
      </c>
      <c r="H225" s="8">
        <f>IF(financials[[#This Row],[Discount Band]]="low",0.1,IF(financials[[#This Row],[Discount Band]]="medium",0.15,0.3))</f>
        <v>0.1</v>
      </c>
      <c r="I225" s="8">
        <f>financials[[#This Row],[Gross Sales]]-financials[[#This Row],[Gross Sales]]*financials[[#This Row],[Discounts]]</f>
        <v>157.5</v>
      </c>
      <c r="J225" s="8">
        <f>VLOOKUP(financials[[#This Row],[productid]],Products!$B$2:$H$10,4)</f>
        <v>9.1</v>
      </c>
      <c r="K225" s="8">
        <f>financials[[#This Row],[Net Sales]]-financials[[#This Row],[COGS]]</f>
        <v>148.4</v>
      </c>
      <c r="L225" s="15">
        <v>45346</v>
      </c>
      <c r="M225" t="s">
        <v>690</v>
      </c>
    </row>
    <row r="226" spans="1:13" x14ac:dyDescent="0.25">
      <c r="A226" t="s">
        <v>86</v>
      </c>
      <c r="B226" s="6" t="s">
        <v>232</v>
      </c>
      <c r="C226" s="13">
        <v>105</v>
      </c>
      <c r="D226" s="14" t="s">
        <v>90</v>
      </c>
      <c r="E226">
        <v>17</v>
      </c>
      <c r="F226" s="8">
        <f>VLOOKUP(financials[[#This Row],[productid]],Products!$B$2:$H$10,3)</f>
        <v>15</v>
      </c>
      <c r="G226" s="8">
        <f>financials[[#This Row],[Units Sold]]*financials[[#This Row],[Sale Price]]</f>
        <v>255</v>
      </c>
      <c r="H226" s="8">
        <f>IF(financials[[#This Row],[Discount Band]]="low",0.1,IF(financials[[#This Row],[Discount Band]]="medium",0.15,0.3))</f>
        <v>0.15</v>
      </c>
      <c r="I226" s="8">
        <f>financials[[#This Row],[Gross Sales]]-financials[[#This Row],[Gross Sales]]*financials[[#This Row],[Discounts]]</f>
        <v>216.75</v>
      </c>
      <c r="J226" s="8">
        <f>VLOOKUP(financials[[#This Row],[productid]],Products!$B$2:$H$10,4)</f>
        <v>10</v>
      </c>
      <c r="K226" s="8">
        <f>financials[[#This Row],[Net Sales]]-financials[[#This Row],[COGS]]</f>
        <v>206.75</v>
      </c>
      <c r="L226" s="15">
        <v>45349</v>
      </c>
      <c r="M226" t="s">
        <v>696</v>
      </c>
    </row>
    <row r="227" spans="1:13" x14ac:dyDescent="0.25">
      <c r="A227" t="s">
        <v>86</v>
      </c>
      <c r="B227" s="6" t="s">
        <v>617</v>
      </c>
      <c r="C227" s="13">
        <v>102</v>
      </c>
      <c r="D227" s="14" t="s">
        <v>90</v>
      </c>
      <c r="E227">
        <v>17</v>
      </c>
      <c r="F227" s="8">
        <f>VLOOKUP(financials[[#This Row],[productid]],Products!$B$2:$H$10,3)</f>
        <v>15</v>
      </c>
      <c r="G227" s="8">
        <f>financials[[#This Row],[Units Sold]]*financials[[#This Row],[Sale Price]]</f>
        <v>255</v>
      </c>
      <c r="H227" s="8">
        <f>IF(financials[[#This Row],[Discount Band]]="low",0.1,IF(financials[[#This Row],[Discount Band]]="medium",0.15,0.3))</f>
        <v>0.15</v>
      </c>
      <c r="I227" s="8">
        <f>financials[[#This Row],[Gross Sales]]-financials[[#This Row],[Gross Sales]]*financials[[#This Row],[Discounts]]</f>
        <v>216.75</v>
      </c>
      <c r="J227" s="8">
        <f>VLOOKUP(financials[[#This Row],[productid]],Products!$B$2:$H$10,4)</f>
        <v>13.95</v>
      </c>
      <c r="K227" s="8">
        <f>financials[[#This Row],[Net Sales]]-financials[[#This Row],[COGS]]</f>
        <v>202.8</v>
      </c>
      <c r="L227" s="15">
        <v>43898</v>
      </c>
      <c r="M227" t="s">
        <v>700</v>
      </c>
    </row>
    <row r="228" spans="1:13" x14ac:dyDescent="0.25">
      <c r="A228" t="s">
        <v>86</v>
      </c>
      <c r="B228" s="6" t="s">
        <v>148</v>
      </c>
      <c r="C228" s="13">
        <v>109</v>
      </c>
      <c r="D228" s="14" t="s">
        <v>90</v>
      </c>
      <c r="E228">
        <v>15</v>
      </c>
      <c r="F228" s="8">
        <f>VLOOKUP(financials[[#This Row],[productid]],Products!$B$2:$H$10,3)</f>
        <v>36</v>
      </c>
      <c r="G228" s="8">
        <f>financials[[#This Row],[Units Sold]]*financials[[#This Row],[Sale Price]]</f>
        <v>540</v>
      </c>
      <c r="H228" s="8">
        <f>IF(financials[[#This Row],[Discount Band]]="low",0.1,IF(financials[[#This Row],[Discount Band]]="medium",0.15,0.3))</f>
        <v>0.15</v>
      </c>
      <c r="I228" s="8">
        <f>financials[[#This Row],[Gross Sales]]-financials[[#This Row],[Gross Sales]]*financials[[#This Row],[Discounts]]</f>
        <v>459</v>
      </c>
      <c r="J228" s="8">
        <f>VLOOKUP(financials[[#This Row],[productid]],Products!$B$2:$H$10,4)</f>
        <v>16.8</v>
      </c>
      <c r="K228" s="8">
        <f>financials[[#This Row],[Net Sales]]-financials[[#This Row],[COGS]]</f>
        <v>442.2</v>
      </c>
      <c r="L228" s="15">
        <v>45273</v>
      </c>
      <c r="M228" t="s">
        <v>700</v>
      </c>
    </row>
    <row r="229" spans="1:13" x14ac:dyDescent="0.25">
      <c r="A229" t="s">
        <v>86</v>
      </c>
      <c r="B229" s="6" t="s">
        <v>158</v>
      </c>
      <c r="C229" s="13">
        <v>107</v>
      </c>
      <c r="D229" s="14" t="s">
        <v>91</v>
      </c>
      <c r="E229">
        <v>7</v>
      </c>
      <c r="F229" s="8">
        <f>VLOOKUP(financials[[#This Row],[productid]],Products!$B$2:$H$10,3)</f>
        <v>15</v>
      </c>
      <c r="G229" s="8">
        <f>financials[[#This Row],[Units Sold]]*financials[[#This Row],[Sale Price]]</f>
        <v>105</v>
      </c>
      <c r="H229" s="8">
        <f>IF(financials[[#This Row],[Discount Band]]="low",0.1,IF(financials[[#This Row],[Discount Band]]="medium",0.15,0.3))</f>
        <v>0.1</v>
      </c>
      <c r="I229" s="8">
        <f>financials[[#This Row],[Gross Sales]]-financials[[#This Row],[Gross Sales]]*financials[[#This Row],[Discounts]]</f>
        <v>94.5</v>
      </c>
      <c r="J229" s="8">
        <f>VLOOKUP(financials[[#This Row],[productid]],Products!$B$2:$H$10,4)</f>
        <v>5.5</v>
      </c>
      <c r="K229" s="8">
        <f>financials[[#This Row],[Net Sales]]-financials[[#This Row],[COGS]]</f>
        <v>89</v>
      </c>
      <c r="L229" s="15">
        <v>45543</v>
      </c>
      <c r="M229" t="s">
        <v>691</v>
      </c>
    </row>
    <row r="230" spans="1:13" x14ac:dyDescent="0.25">
      <c r="A230" t="s">
        <v>86</v>
      </c>
      <c r="B230" s="6" t="s">
        <v>617</v>
      </c>
      <c r="C230" s="13">
        <v>105</v>
      </c>
      <c r="D230" s="14" t="s">
        <v>83</v>
      </c>
      <c r="E230">
        <v>11</v>
      </c>
      <c r="F230" s="8">
        <f>VLOOKUP(financials[[#This Row],[productid]],Products!$B$2:$H$10,3)</f>
        <v>15</v>
      </c>
      <c r="G230" s="8">
        <f>financials[[#This Row],[Units Sold]]*financials[[#This Row],[Sale Price]]</f>
        <v>165</v>
      </c>
      <c r="H230" s="8">
        <f>IF(financials[[#This Row],[Discount Band]]="low",0.1,IF(financials[[#This Row],[Discount Band]]="medium",0.15,0.3))</f>
        <v>0.3</v>
      </c>
      <c r="I230" s="8">
        <f>financials[[#This Row],[Gross Sales]]-financials[[#This Row],[Gross Sales]]*financials[[#This Row],[Discounts]]</f>
        <v>115.5</v>
      </c>
      <c r="J230" s="8">
        <f>VLOOKUP(financials[[#This Row],[productid]],Products!$B$2:$H$10,4)</f>
        <v>10</v>
      </c>
      <c r="K230" s="8">
        <f>financials[[#This Row],[Net Sales]]-financials[[#This Row],[COGS]]</f>
        <v>105.5</v>
      </c>
      <c r="L230" s="15">
        <v>43898</v>
      </c>
      <c r="M230" t="s">
        <v>700</v>
      </c>
    </row>
    <row r="231" spans="1:13" x14ac:dyDescent="0.25">
      <c r="A231" t="s">
        <v>85</v>
      </c>
      <c r="B231" s="6" t="s">
        <v>266</v>
      </c>
      <c r="C231" s="13">
        <v>103</v>
      </c>
      <c r="D231" s="14" t="s">
        <v>91</v>
      </c>
      <c r="E231">
        <v>12</v>
      </c>
      <c r="F231" s="8">
        <f>VLOOKUP(financials[[#This Row],[productid]],Products!$B$2:$H$10,3)</f>
        <v>28</v>
      </c>
      <c r="G231" s="8">
        <f>financials[[#This Row],[Units Sold]]*financials[[#This Row],[Sale Price]]</f>
        <v>336</v>
      </c>
      <c r="H231" s="8">
        <f>IF(financials[[#This Row],[Discount Band]]="low",0.1,IF(financials[[#This Row],[Discount Band]]="medium",0.15,0.3))</f>
        <v>0.1</v>
      </c>
      <c r="I231" s="8">
        <f>financials[[#This Row],[Gross Sales]]-financials[[#This Row],[Gross Sales]]*financials[[#This Row],[Discounts]]</f>
        <v>302.39999999999998</v>
      </c>
      <c r="J231" s="8">
        <f>VLOOKUP(financials[[#This Row],[productid]],Products!$B$2:$H$10,4)</f>
        <v>15</v>
      </c>
      <c r="K231" s="8">
        <f>financials[[#This Row],[Net Sales]]-financials[[#This Row],[COGS]]</f>
        <v>287.39999999999998</v>
      </c>
      <c r="L231" s="15">
        <v>45047</v>
      </c>
      <c r="M231" t="s">
        <v>691</v>
      </c>
    </row>
    <row r="232" spans="1:13" x14ac:dyDescent="0.25">
      <c r="A232" t="s">
        <v>86</v>
      </c>
      <c r="B232" s="6" t="s">
        <v>240</v>
      </c>
      <c r="C232" s="13">
        <v>105</v>
      </c>
      <c r="D232" s="14" t="s">
        <v>90</v>
      </c>
      <c r="E232">
        <v>5</v>
      </c>
      <c r="F232" s="8">
        <f>VLOOKUP(financials[[#This Row],[productid]],Products!$B$2:$H$10,3)</f>
        <v>15</v>
      </c>
      <c r="G232" s="8">
        <f>financials[[#This Row],[Units Sold]]*financials[[#This Row],[Sale Price]]</f>
        <v>75</v>
      </c>
      <c r="H232" s="8">
        <f>IF(financials[[#This Row],[Discount Band]]="low",0.1,IF(financials[[#This Row],[Discount Band]]="medium",0.15,0.3))</f>
        <v>0.15</v>
      </c>
      <c r="I232" s="8">
        <f>financials[[#This Row],[Gross Sales]]-financials[[#This Row],[Gross Sales]]*financials[[#This Row],[Discounts]]</f>
        <v>63.75</v>
      </c>
      <c r="J232" s="8">
        <f>VLOOKUP(financials[[#This Row],[productid]],Products!$B$2:$H$10,4)</f>
        <v>10</v>
      </c>
      <c r="K232" s="8">
        <f>financials[[#This Row],[Net Sales]]-financials[[#This Row],[COGS]]</f>
        <v>53.75</v>
      </c>
      <c r="L232" s="15">
        <v>44712</v>
      </c>
      <c r="M232" t="s">
        <v>700</v>
      </c>
    </row>
    <row r="233" spans="1:13" x14ac:dyDescent="0.25">
      <c r="A233" t="s">
        <v>86</v>
      </c>
      <c r="B233" s="6" t="s">
        <v>228</v>
      </c>
      <c r="C233" s="11">
        <v>106</v>
      </c>
      <c r="D233" s="9" t="s">
        <v>90</v>
      </c>
      <c r="E233">
        <v>13</v>
      </c>
      <c r="F233" s="8">
        <f>VLOOKUP(financials[[#This Row],[productid]],Products!$B$2:$H$10,3)</f>
        <v>25</v>
      </c>
      <c r="G233" s="8">
        <f>financials[[#This Row],[Units Sold]]*financials[[#This Row],[Sale Price]]</f>
        <v>325</v>
      </c>
      <c r="H233" s="8">
        <f>IF(financials[[#This Row],[Discount Band]]="low",0.1,IF(financials[[#This Row],[Discount Band]]="medium",0.15,0.3))</f>
        <v>0.15</v>
      </c>
      <c r="I233" s="8">
        <f>financials[[#This Row],[Gross Sales]]-financials[[#This Row],[Gross Sales]]*financials[[#This Row],[Discounts]]</f>
        <v>276.25</v>
      </c>
      <c r="J233" s="8">
        <f>VLOOKUP(financials[[#This Row],[productid]],Products!$B$2:$H$10,4)</f>
        <v>9.1</v>
      </c>
      <c r="K233" s="8">
        <f>financials[[#This Row],[Net Sales]]-financials[[#This Row],[COGS]]</f>
        <v>267.14999999999998</v>
      </c>
      <c r="L233" s="15">
        <v>44038</v>
      </c>
      <c r="M233" t="s">
        <v>696</v>
      </c>
    </row>
    <row r="234" spans="1:13" x14ac:dyDescent="0.25">
      <c r="A234" t="s">
        <v>86</v>
      </c>
      <c r="B234" s="6" t="s">
        <v>240</v>
      </c>
      <c r="C234" s="13">
        <v>106</v>
      </c>
      <c r="D234" s="14" t="s">
        <v>83</v>
      </c>
      <c r="E234">
        <v>13</v>
      </c>
      <c r="F234" s="8">
        <f>VLOOKUP(financials[[#This Row],[productid]],Products!$B$2:$H$10,3)</f>
        <v>25</v>
      </c>
      <c r="G234" s="8">
        <f>financials[[#This Row],[Units Sold]]*financials[[#This Row],[Sale Price]]</f>
        <v>325</v>
      </c>
      <c r="H234" s="8">
        <f>IF(financials[[#This Row],[Discount Band]]="low",0.1,IF(financials[[#This Row],[Discount Band]]="medium",0.15,0.3))</f>
        <v>0.3</v>
      </c>
      <c r="I234" s="8">
        <f>financials[[#This Row],[Gross Sales]]-financials[[#This Row],[Gross Sales]]*financials[[#This Row],[Discounts]]</f>
        <v>227.5</v>
      </c>
      <c r="J234" s="8">
        <f>VLOOKUP(financials[[#This Row],[productid]],Products!$B$2:$H$10,4)</f>
        <v>9.1</v>
      </c>
      <c r="K234" s="8">
        <f>financials[[#This Row],[Net Sales]]-financials[[#This Row],[COGS]]</f>
        <v>218.4</v>
      </c>
      <c r="L234" s="15">
        <v>44207</v>
      </c>
      <c r="M234" t="s">
        <v>696</v>
      </c>
    </row>
    <row r="235" spans="1:13" x14ac:dyDescent="0.25">
      <c r="A235" t="s">
        <v>86</v>
      </c>
      <c r="B235" s="6" t="s">
        <v>95</v>
      </c>
      <c r="C235" s="13">
        <v>104</v>
      </c>
      <c r="D235" s="14" t="s">
        <v>83</v>
      </c>
      <c r="E235">
        <v>15</v>
      </c>
      <c r="F235" s="8">
        <f>VLOOKUP(financials[[#This Row],[productid]],Products!$B$2:$H$10,3)</f>
        <v>5.9</v>
      </c>
      <c r="G235" s="8">
        <f>financials[[#This Row],[Units Sold]]*financials[[#This Row],[Sale Price]]</f>
        <v>88.5</v>
      </c>
      <c r="H235" s="8">
        <f>IF(financials[[#This Row],[Discount Band]]="low",0.1,IF(financials[[#This Row],[Discount Band]]="medium",0.15,0.3))</f>
        <v>0.3</v>
      </c>
      <c r="I235" s="8">
        <f>financials[[#This Row],[Gross Sales]]-financials[[#This Row],[Gross Sales]]*financials[[#This Row],[Discounts]]</f>
        <v>61.95</v>
      </c>
      <c r="J235" s="8">
        <f>VLOOKUP(financials[[#This Row],[productid]],Products!$B$2:$H$10,4)</f>
        <v>2.9</v>
      </c>
      <c r="K235" s="8">
        <f>financials[[#This Row],[Net Sales]]-financials[[#This Row],[COGS]]</f>
        <v>59.050000000000004</v>
      </c>
      <c r="L235" s="15">
        <v>44293</v>
      </c>
      <c r="M235" t="s">
        <v>696</v>
      </c>
    </row>
    <row r="236" spans="1:13" x14ac:dyDescent="0.25">
      <c r="A236" t="s">
        <v>89</v>
      </c>
      <c r="B236" s="6" t="s">
        <v>644</v>
      </c>
      <c r="C236" s="13">
        <v>101</v>
      </c>
      <c r="D236" s="14" t="s">
        <v>91</v>
      </c>
      <c r="E236">
        <v>12</v>
      </c>
      <c r="F236" s="8">
        <f>VLOOKUP(financials[[#This Row],[productid]],Products!$B$2:$H$10,3)</f>
        <v>23</v>
      </c>
      <c r="G236" s="8">
        <f>financials[[#This Row],[Units Sold]]*financials[[#This Row],[Sale Price]]</f>
        <v>276</v>
      </c>
      <c r="H236" s="8">
        <f>IF(financials[[#This Row],[Discount Band]]="low",0.1,IF(financials[[#This Row],[Discount Band]]="medium",0.15,0.3))</f>
        <v>0.1</v>
      </c>
      <c r="I236" s="8">
        <f>financials[[#This Row],[Gross Sales]]-financials[[#This Row],[Gross Sales]]*financials[[#This Row],[Discounts]]</f>
        <v>248.4</v>
      </c>
      <c r="J236" s="8">
        <f>VLOOKUP(financials[[#This Row],[productid]],Products!$B$2:$H$10,4)</f>
        <v>9.9499999999999993</v>
      </c>
      <c r="K236" s="8">
        <f>financials[[#This Row],[Net Sales]]-financials[[#This Row],[COGS]]</f>
        <v>238.45000000000002</v>
      </c>
      <c r="L236" s="15">
        <v>45520</v>
      </c>
      <c r="M236" t="s">
        <v>696</v>
      </c>
    </row>
    <row r="237" spans="1:13" x14ac:dyDescent="0.25">
      <c r="A237" t="s">
        <v>86</v>
      </c>
      <c r="B237" s="6" t="s">
        <v>125</v>
      </c>
      <c r="C237" s="11">
        <v>101</v>
      </c>
      <c r="D237" s="9" t="s">
        <v>91</v>
      </c>
      <c r="E237">
        <v>11</v>
      </c>
      <c r="F237" s="8">
        <f>VLOOKUP(financials[[#This Row],[productid]],Products!$B$2:$H$10,3)</f>
        <v>23</v>
      </c>
      <c r="G237" s="8">
        <f>financials[[#This Row],[Units Sold]]*financials[[#This Row],[Sale Price]]</f>
        <v>253</v>
      </c>
      <c r="H237" s="8">
        <f>IF(financials[[#This Row],[Discount Band]]="low",0.1,IF(financials[[#This Row],[Discount Band]]="medium",0.15,0.3))</f>
        <v>0.1</v>
      </c>
      <c r="I237" s="8">
        <f>financials[[#This Row],[Gross Sales]]-financials[[#This Row],[Gross Sales]]*financials[[#This Row],[Discounts]]</f>
        <v>227.7</v>
      </c>
      <c r="J237" s="8">
        <f>VLOOKUP(financials[[#This Row],[productid]],Products!$B$2:$H$10,4)</f>
        <v>9.9499999999999993</v>
      </c>
      <c r="K237" s="8">
        <f>financials[[#This Row],[Net Sales]]-financials[[#This Row],[COGS]]</f>
        <v>217.75</v>
      </c>
      <c r="L237" s="15">
        <v>43892</v>
      </c>
      <c r="M237" t="s">
        <v>691</v>
      </c>
    </row>
    <row r="238" spans="1:13" x14ac:dyDescent="0.25">
      <c r="A238" t="s">
        <v>86</v>
      </c>
      <c r="B238" s="6" t="s">
        <v>228</v>
      </c>
      <c r="C238" s="13">
        <v>104</v>
      </c>
      <c r="D238" s="14" t="s">
        <v>90</v>
      </c>
      <c r="E238">
        <v>10</v>
      </c>
      <c r="F238" s="8">
        <f>VLOOKUP(financials[[#This Row],[productid]],Products!$B$2:$H$10,3)</f>
        <v>5.9</v>
      </c>
      <c r="G238" s="8">
        <f>financials[[#This Row],[Units Sold]]*financials[[#This Row],[Sale Price]]</f>
        <v>59</v>
      </c>
      <c r="H238" s="8">
        <f>IF(financials[[#This Row],[Discount Band]]="low",0.1,IF(financials[[#This Row],[Discount Band]]="medium",0.15,0.3))</f>
        <v>0.15</v>
      </c>
      <c r="I238" s="8">
        <f>financials[[#This Row],[Gross Sales]]-financials[[#This Row],[Gross Sales]]*financials[[#This Row],[Discounts]]</f>
        <v>50.15</v>
      </c>
      <c r="J238" s="8">
        <f>VLOOKUP(financials[[#This Row],[productid]],Products!$B$2:$H$10,4)</f>
        <v>2.9</v>
      </c>
      <c r="K238" s="8">
        <f>financials[[#This Row],[Net Sales]]-financials[[#This Row],[COGS]]</f>
        <v>47.25</v>
      </c>
      <c r="L238" s="15">
        <v>45380</v>
      </c>
      <c r="M238" t="s">
        <v>690</v>
      </c>
    </row>
    <row r="239" spans="1:13" x14ac:dyDescent="0.25">
      <c r="A239" t="s">
        <v>86</v>
      </c>
      <c r="B239" s="6" t="s">
        <v>645</v>
      </c>
      <c r="C239" s="13">
        <v>107</v>
      </c>
      <c r="D239" s="14" t="s">
        <v>90</v>
      </c>
      <c r="E239">
        <v>17</v>
      </c>
      <c r="F239" s="8">
        <f>VLOOKUP(financials[[#This Row],[productid]],Products!$B$2:$H$10,3)</f>
        <v>15</v>
      </c>
      <c r="G239" s="8">
        <f>financials[[#This Row],[Units Sold]]*financials[[#This Row],[Sale Price]]</f>
        <v>255</v>
      </c>
      <c r="H239" s="8">
        <f>IF(financials[[#This Row],[Discount Band]]="low",0.1,IF(financials[[#This Row],[Discount Band]]="medium",0.15,0.3))</f>
        <v>0.15</v>
      </c>
      <c r="I239" s="8">
        <f>financials[[#This Row],[Gross Sales]]-financials[[#This Row],[Gross Sales]]*financials[[#This Row],[Discounts]]</f>
        <v>216.75</v>
      </c>
      <c r="J239" s="8">
        <f>VLOOKUP(financials[[#This Row],[productid]],Products!$B$2:$H$10,4)</f>
        <v>5.5</v>
      </c>
      <c r="K239" s="8">
        <f>financials[[#This Row],[Net Sales]]-financials[[#This Row],[COGS]]</f>
        <v>211.25</v>
      </c>
      <c r="L239" s="15">
        <v>44233</v>
      </c>
      <c r="M239" t="s">
        <v>696</v>
      </c>
    </row>
    <row r="240" spans="1:13" x14ac:dyDescent="0.25">
      <c r="A240" t="s">
        <v>86</v>
      </c>
      <c r="B240" s="6" t="s">
        <v>96</v>
      </c>
      <c r="C240" s="13">
        <v>101</v>
      </c>
      <c r="D240" s="14" t="s">
        <v>91</v>
      </c>
      <c r="E240">
        <v>6</v>
      </c>
      <c r="F240" s="8">
        <f>VLOOKUP(financials[[#This Row],[productid]],Products!$B$2:$H$10,3)</f>
        <v>23</v>
      </c>
      <c r="G240" s="8">
        <f>financials[[#This Row],[Units Sold]]*financials[[#This Row],[Sale Price]]</f>
        <v>138</v>
      </c>
      <c r="H240" s="8">
        <f>IF(financials[[#This Row],[Discount Band]]="low",0.1,IF(financials[[#This Row],[Discount Band]]="medium",0.15,0.3))</f>
        <v>0.1</v>
      </c>
      <c r="I240" s="8">
        <f>financials[[#This Row],[Gross Sales]]-financials[[#This Row],[Gross Sales]]*financials[[#This Row],[Discounts]]</f>
        <v>124.2</v>
      </c>
      <c r="J240" s="8">
        <f>VLOOKUP(financials[[#This Row],[productid]],Products!$B$2:$H$10,4)</f>
        <v>9.9499999999999993</v>
      </c>
      <c r="K240" s="8">
        <f>financials[[#This Row],[Net Sales]]-financials[[#This Row],[COGS]]</f>
        <v>114.25</v>
      </c>
      <c r="L240" s="15">
        <v>44044</v>
      </c>
      <c r="M240" t="s">
        <v>700</v>
      </c>
    </row>
    <row r="241" spans="1:13" x14ac:dyDescent="0.25">
      <c r="A241" t="s">
        <v>86</v>
      </c>
      <c r="B241" s="6" t="s">
        <v>158</v>
      </c>
      <c r="C241" s="13">
        <v>103</v>
      </c>
      <c r="D241" s="14" t="s">
        <v>83</v>
      </c>
      <c r="E241">
        <v>11</v>
      </c>
      <c r="F241" s="8">
        <f>VLOOKUP(financials[[#This Row],[productid]],Products!$B$2:$H$10,3)</f>
        <v>28</v>
      </c>
      <c r="G241" s="8">
        <f>financials[[#This Row],[Units Sold]]*financials[[#This Row],[Sale Price]]</f>
        <v>308</v>
      </c>
      <c r="H241" s="8">
        <f>IF(financials[[#This Row],[Discount Band]]="low",0.1,IF(financials[[#This Row],[Discount Band]]="medium",0.15,0.3))</f>
        <v>0.3</v>
      </c>
      <c r="I241" s="8">
        <f>financials[[#This Row],[Gross Sales]]-financials[[#This Row],[Gross Sales]]*financials[[#This Row],[Discounts]]</f>
        <v>215.60000000000002</v>
      </c>
      <c r="J241" s="8">
        <f>VLOOKUP(financials[[#This Row],[productid]],Products!$B$2:$H$10,4)</f>
        <v>15</v>
      </c>
      <c r="K241" s="8">
        <f>financials[[#This Row],[Net Sales]]-financials[[#This Row],[COGS]]</f>
        <v>200.60000000000002</v>
      </c>
      <c r="L241" s="15">
        <v>44519</v>
      </c>
      <c r="M241" t="s">
        <v>690</v>
      </c>
    </row>
    <row r="242" spans="1:13" x14ac:dyDescent="0.25">
      <c r="A242" t="s">
        <v>86</v>
      </c>
      <c r="B242" s="6" t="s">
        <v>158</v>
      </c>
      <c r="C242" s="13">
        <v>101</v>
      </c>
      <c r="D242" s="14" t="s">
        <v>91</v>
      </c>
      <c r="E242">
        <v>9</v>
      </c>
      <c r="F242" s="8">
        <f>VLOOKUP(financials[[#This Row],[productid]],Products!$B$2:$H$10,3)</f>
        <v>23</v>
      </c>
      <c r="G242" s="8">
        <f>financials[[#This Row],[Units Sold]]*financials[[#This Row],[Sale Price]]</f>
        <v>207</v>
      </c>
      <c r="H242" s="8">
        <f>IF(financials[[#This Row],[Discount Band]]="low",0.1,IF(financials[[#This Row],[Discount Band]]="medium",0.15,0.3))</f>
        <v>0.1</v>
      </c>
      <c r="I242" s="8">
        <f>financials[[#This Row],[Gross Sales]]-financials[[#This Row],[Gross Sales]]*financials[[#This Row],[Discounts]]</f>
        <v>186.3</v>
      </c>
      <c r="J242" s="8">
        <f>VLOOKUP(financials[[#This Row],[productid]],Products!$B$2:$H$10,4)</f>
        <v>9.9499999999999993</v>
      </c>
      <c r="K242" s="8">
        <f>financials[[#This Row],[Net Sales]]-financials[[#This Row],[COGS]]</f>
        <v>176.35000000000002</v>
      </c>
      <c r="L242" s="15">
        <v>45577</v>
      </c>
      <c r="M242" t="s">
        <v>696</v>
      </c>
    </row>
    <row r="243" spans="1:13" x14ac:dyDescent="0.25">
      <c r="A243" t="s">
        <v>86</v>
      </c>
      <c r="B243" s="6" t="s">
        <v>645</v>
      </c>
      <c r="C243" s="11">
        <v>107</v>
      </c>
      <c r="D243" s="9" t="s">
        <v>90</v>
      </c>
      <c r="E243">
        <v>9</v>
      </c>
      <c r="F243" s="8">
        <f>VLOOKUP(financials[[#This Row],[productid]],Products!$B$2:$H$10,3)</f>
        <v>15</v>
      </c>
      <c r="G243" s="8">
        <f>financials[[#This Row],[Units Sold]]*financials[[#This Row],[Sale Price]]</f>
        <v>135</v>
      </c>
      <c r="H243" s="8">
        <f>IF(financials[[#This Row],[Discount Band]]="low",0.1,IF(financials[[#This Row],[Discount Band]]="medium",0.15,0.3))</f>
        <v>0.15</v>
      </c>
      <c r="I243" s="8">
        <f>financials[[#This Row],[Gross Sales]]-financials[[#This Row],[Gross Sales]]*financials[[#This Row],[Discounts]]</f>
        <v>114.75</v>
      </c>
      <c r="J243" s="8">
        <f>VLOOKUP(financials[[#This Row],[productid]],Products!$B$2:$H$10,4)</f>
        <v>5.5</v>
      </c>
      <c r="K243" s="8">
        <f>financials[[#This Row],[Net Sales]]-financials[[#This Row],[COGS]]</f>
        <v>109.25</v>
      </c>
      <c r="L243" s="15">
        <v>45485</v>
      </c>
      <c r="M243" t="s">
        <v>691</v>
      </c>
    </row>
    <row r="244" spans="1:13" x14ac:dyDescent="0.25">
      <c r="A244" t="s">
        <v>86</v>
      </c>
      <c r="B244" s="6" t="s">
        <v>197</v>
      </c>
      <c r="C244" s="13">
        <v>106</v>
      </c>
      <c r="D244" s="14" t="s">
        <v>91</v>
      </c>
      <c r="E244">
        <v>7</v>
      </c>
      <c r="F244" s="8">
        <f>VLOOKUP(financials[[#This Row],[productid]],Products!$B$2:$H$10,3)</f>
        <v>25</v>
      </c>
      <c r="G244" s="8">
        <f>financials[[#This Row],[Units Sold]]*financials[[#This Row],[Sale Price]]</f>
        <v>175</v>
      </c>
      <c r="H244" s="8">
        <f>IF(financials[[#This Row],[Discount Band]]="low",0.1,IF(financials[[#This Row],[Discount Band]]="medium",0.15,0.3))</f>
        <v>0.1</v>
      </c>
      <c r="I244" s="8">
        <f>financials[[#This Row],[Gross Sales]]-financials[[#This Row],[Gross Sales]]*financials[[#This Row],[Discounts]]</f>
        <v>157.5</v>
      </c>
      <c r="J244" s="8">
        <f>VLOOKUP(financials[[#This Row],[productid]],Products!$B$2:$H$10,4)</f>
        <v>9.1</v>
      </c>
      <c r="K244" s="8">
        <f>financials[[#This Row],[Net Sales]]-financials[[#This Row],[COGS]]</f>
        <v>148.4</v>
      </c>
      <c r="L244" s="15">
        <v>44556</v>
      </c>
      <c r="M244" t="s">
        <v>700</v>
      </c>
    </row>
    <row r="245" spans="1:13" x14ac:dyDescent="0.25">
      <c r="A245" t="s">
        <v>86</v>
      </c>
      <c r="B245" s="6" t="s">
        <v>287</v>
      </c>
      <c r="C245" s="13">
        <v>109</v>
      </c>
      <c r="D245" s="14" t="s">
        <v>83</v>
      </c>
      <c r="E245">
        <v>7</v>
      </c>
      <c r="F245" s="8">
        <f>VLOOKUP(financials[[#This Row],[productid]],Products!$B$2:$H$10,3)</f>
        <v>36</v>
      </c>
      <c r="G245" s="8">
        <f>financials[[#This Row],[Units Sold]]*financials[[#This Row],[Sale Price]]</f>
        <v>252</v>
      </c>
      <c r="H245" s="8">
        <f>IF(financials[[#This Row],[Discount Band]]="low",0.1,IF(financials[[#This Row],[Discount Band]]="medium",0.15,0.3))</f>
        <v>0.3</v>
      </c>
      <c r="I245" s="8">
        <f>financials[[#This Row],[Gross Sales]]-financials[[#This Row],[Gross Sales]]*financials[[#This Row],[Discounts]]</f>
        <v>176.4</v>
      </c>
      <c r="J245" s="8">
        <f>VLOOKUP(financials[[#This Row],[productid]],Products!$B$2:$H$10,4)</f>
        <v>16.8</v>
      </c>
      <c r="K245" s="8">
        <f>financials[[#This Row],[Net Sales]]-financials[[#This Row],[COGS]]</f>
        <v>159.6</v>
      </c>
      <c r="L245" s="15">
        <v>44937</v>
      </c>
      <c r="M245" t="s">
        <v>697</v>
      </c>
    </row>
    <row r="246" spans="1:13" x14ac:dyDescent="0.25">
      <c r="A246" t="s">
        <v>86</v>
      </c>
      <c r="B246" s="6" t="s">
        <v>228</v>
      </c>
      <c r="C246" s="13">
        <v>106</v>
      </c>
      <c r="D246" s="14" t="s">
        <v>83</v>
      </c>
      <c r="E246">
        <v>17</v>
      </c>
      <c r="F246" s="8">
        <f>VLOOKUP(financials[[#This Row],[productid]],Products!$B$2:$H$10,3)</f>
        <v>25</v>
      </c>
      <c r="G246" s="8">
        <f>financials[[#This Row],[Units Sold]]*financials[[#This Row],[Sale Price]]</f>
        <v>425</v>
      </c>
      <c r="H246" s="8">
        <f>IF(financials[[#This Row],[Discount Band]]="low",0.1,IF(financials[[#This Row],[Discount Band]]="medium",0.15,0.3))</f>
        <v>0.3</v>
      </c>
      <c r="I246" s="8">
        <f>financials[[#This Row],[Gross Sales]]-financials[[#This Row],[Gross Sales]]*financials[[#This Row],[Discounts]]</f>
        <v>297.5</v>
      </c>
      <c r="J246" s="8">
        <f>VLOOKUP(financials[[#This Row],[productid]],Products!$B$2:$H$10,4)</f>
        <v>9.1</v>
      </c>
      <c r="K246" s="8">
        <f>financials[[#This Row],[Net Sales]]-financials[[#This Row],[COGS]]</f>
        <v>288.39999999999998</v>
      </c>
      <c r="L246" s="15">
        <v>44907</v>
      </c>
      <c r="M246" t="s">
        <v>700</v>
      </c>
    </row>
    <row r="247" spans="1:13" x14ac:dyDescent="0.25">
      <c r="A247" t="s">
        <v>86</v>
      </c>
      <c r="B247" s="6" t="s">
        <v>148</v>
      </c>
      <c r="C247" s="13">
        <v>102</v>
      </c>
      <c r="D247" s="14" t="s">
        <v>90</v>
      </c>
      <c r="E247">
        <v>9</v>
      </c>
      <c r="F247" s="8">
        <f>VLOOKUP(financials[[#This Row],[productid]],Products!$B$2:$H$10,3)</f>
        <v>15</v>
      </c>
      <c r="G247" s="8">
        <f>financials[[#This Row],[Units Sold]]*financials[[#This Row],[Sale Price]]</f>
        <v>135</v>
      </c>
      <c r="H247" s="8">
        <f>IF(financials[[#This Row],[Discount Band]]="low",0.1,IF(financials[[#This Row],[Discount Band]]="medium",0.15,0.3))</f>
        <v>0.15</v>
      </c>
      <c r="I247" s="8">
        <f>financials[[#This Row],[Gross Sales]]-financials[[#This Row],[Gross Sales]]*financials[[#This Row],[Discounts]]</f>
        <v>114.75</v>
      </c>
      <c r="J247" s="8">
        <f>VLOOKUP(financials[[#This Row],[productid]],Products!$B$2:$H$10,4)</f>
        <v>13.95</v>
      </c>
      <c r="K247" s="8">
        <f>financials[[#This Row],[Net Sales]]-financials[[#This Row],[COGS]]</f>
        <v>100.8</v>
      </c>
      <c r="L247" s="15">
        <v>44382</v>
      </c>
      <c r="M247" t="s">
        <v>696</v>
      </c>
    </row>
    <row r="248" spans="1:13" x14ac:dyDescent="0.25">
      <c r="A248" t="s">
        <v>86</v>
      </c>
      <c r="B248" s="6" t="s">
        <v>93</v>
      </c>
      <c r="C248" s="13">
        <v>107</v>
      </c>
      <c r="D248" s="14" t="s">
        <v>90</v>
      </c>
      <c r="E248">
        <v>9</v>
      </c>
      <c r="F248" s="8">
        <f>VLOOKUP(financials[[#This Row],[productid]],Products!$B$2:$H$10,3)</f>
        <v>15</v>
      </c>
      <c r="G248" s="8">
        <f>financials[[#This Row],[Units Sold]]*financials[[#This Row],[Sale Price]]</f>
        <v>135</v>
      </c>
      <c r="H248" s="8">
        <f>IF(financials[[#This Row],[Discount Band]]="low",0.1,IF(financials[[#This Row],[Discount Band]]="medium",0.15,0.3))</f>
        <v>0.15</v>
      </c>
      <c r="I248" s="8">
        <f>financials[[#This Row],[Gross Sales]]-financials[[#This Row],[Gross Sales]]*financials[[#This Row],[Discounts]]</f>
        <v>114.75</v>
      </c>
      <c r="J248" s="8">
        <f>VLOOKUP(financials[[#This Row],[productid]],Products!$B$2:$H$10,4)</f>
        <v>5.5</v>
      </c>
      <c r="K248" s="8">
        <f>financials[[#This Row],[Net Sales]]-financials[[#This Row],[COGS]]</f>
        <v>109.25</v>
      </c>
      <c r="L248" s="15">
        <v>45585</v>
      </c>
      <c r="M248" t="s">
        <v>696</v>
      </c>
    </row>
    <row r="249" spans="1:13" x14ac:dyDescent="0.25">
      <c r="A249" t="s">
        <v>86</v>
      </c>
      <c r="B249" s="6" t="s">
        <v>125</v>
      </c>
      <c r="C249" s="11">
        <v>105</v>
      </c>
      <c r="D249" s="9" t="s">
        <v>90</v>
      </c>
      <c r="E249">
        <v>11</v>
      </c>
      <c r="F249" s="8">
        <f>VLOOKUP(financials[[#This Row],[productid]],Products!$B$2:$H$10,3)</f>
        <v>15</v>
      </c>
      <c r="G249" s="8">
        <f>financials[[#This Row],[Units Sold]]*financials[[#This Row],[Sale Price]]</f>
        <v>165</v>
      </c>
      <c r="H249" s="8">
        <f>IF(financials[[#This Row],[Discount Band]]="low",0.1,IF(financials[[#This Row],[Discount Band]]="medium",0.15,0.3))</f>
        <v>0.15</v>
      </c>
      <c r="I249" s="8">
        <f>financials[[#This Row],[Gross Sales]]-financials[[#This Row],[Gross Sales]]*financials[[#This Row],[Discounts]]</f>
        <v>140.25</v>
      </c>
      <c r="J249" s="8">
        <f>VLOOKUP(financials[[#This Row],[productid]],Products!$B$2:$H$10,4)</f>
        <v>10</v>
      </c>
      <c r="K249" s="8">
        <f>financials[[#This Row],[Net Sales]]-financials[[#This Row],[COGS]]</f>
        <v>130.25</v>
      </c>
      <c r="L249" s="15">
        <v>45426</v>
      </c>
      <c r="M249" t="s">
        <v>696</v>
      </c>
    </row>
    <row r="250" spans="1:13" x14ac:dyDescent="0.25">
      <c r="A250" t="s">
        <v>86</v>
      </c>
      <c r="B250" s="6" t="s">
        <v>266</v>
      </c>
      <c r="C250" s="11">
        <v>103</v>
      </c>
      <c r="D250" s="9" t="s">
        <v>91</v>
      </c>
      <c r="E250">
        <v>14</v>
      </c>
      <c r="F250" s="8">
        <f>VLOOKUP(financials[[#This Row],[productid]],Products!$B$2:$H$10,3)</f>
        <v>28</v>
      </c>
      <c r="G250" s="8">
        <f>financials[[#This Row],[Units Sold]]*financials[[#This Row],[Sale Price]]</f>
        <v>392</v>
      </c>
      <c r="H250" s="8">
        <f>IF(financials[[#This Row],[Discount Band]]="low",0.1,IF(financials[[#This Row],[Discount Band]]="medium",0.15,0.3))</f>
        <v>0.1</v>
      </c>
      <c r="I250" s="8">
        <f>financials[[#This Row],[Gross Sales]]-financials[[#This Row],[Gross Sales]]*financials[[#This Row],[Discounts]]</f>
        <v>352.8</v>
      </c>
      <c r="J250" s="8">
        <f>VLOOKUP(financials[[#This Row],[productid]],Products!$B$2:$H$10,4)</f>
        <v>15</v>
      </c>
      <c r="K250" s="8">
        <f>financials[[#This Row],[Net Sales]]-financials[[#This Row],[COGS]]</f>
        <v>337.8</v>
      </c>
      <c r="L250" s="15">
        <v>45396</v>
      </c>
      <c r="M250" t="s">
        <v>696</v>
      </c>
    </row>
    <row r="251" spans="1:13" x14ac:dyDescent="0.25">
      <c r="A251" t="s">
        <v>86</v>
      </c>
      <c r="B251" s="6" t="s">
        <v>197</v>
      </c>
      <c r="C251" s="13">
        <v>108</v>
      </c>
      <c r="D251" s="14" t="s">
        <v>91</v>
      </c>
      <c r="E251">
        <v>13</v>
      </c>
      <c r="F251" s="8">
        <f>VLOOKUP(financials[[#This Row],[productid]],Products!$B$2:$H$10,3)</f>
        <v>5.5</v>
      </c>
      <c r="G251" s="8">
        <f>financials[[#This Row],[Units Sold]]*financials[[#This Row],[Sale Price]]</f>
        <v>71.5</v>
      </c>
      <c r="H251" s="8">
        <f>IF(financials[[#This Row],[Discount Band]]="low",0.1,IF(financials[[#This Row],[Discount Band]]="medium",0.15,0.3))</f>
        <v>0.1</v>
      </c>
      <c r="I251" s="8">
        <f>financials[[#This Row],[Gross Sales]]-financials[[#This Row],[Gross Sales]]*financials[[#This Row],[Discounts]]</f>
        <v>64.349999999999994</v>
      </c>
      <c r="J251" s="8">
        <f>VLOOKUP(financials[[#This Row],[productid]],Products!$B$2:$H$10,4)</f>
        <v>3.99</v>
      </c>
      <c r="K251" s="8">
        <f>financials[[#This Row],[Net Sales]]-financials[[#This Row],[COGS]]</f>
        <v>60.359999999999992</v>
      </c>
      <c r="L251" s="15">
        <v>44418</v>
      </c>
      <c r="M251" t="s">
        <v>696</v>
      </c>
    </row>
    <row r="252" spans="1:13" x14ac:dyDescent="0.25">
      <c r="A252" t="s">
        <v>86</v>
      </c>
      <c r="B252" s="6" t="s">
        <v>287</v>
      </c>
      <c r="C252" s="13">
        <v>107</v>
      </c>
      <c r="D252" s="14" t="s">
        <v>90</v>
      </c>
      <c r="E252">
        <v>17</v>
      </c>
      <c r="F252" s="8">
        <f>VLOOKUP(financials[[#This Row],[productid]],Products!$B$2:$H$10,3)</f>
        <v>15</v>
      </c>
      <c r="G252" s="8">
        <f>financials[[#This Row],[Units Sold]]*financials[[#This Row],[Sale Price]]</f>
        <v>255</v>
      </c>
      <c r="H252" s="8">
        <f>IF(financials[[#This Row],[Discount Band]]="low",0.1,IF(financials[[#This Row],[Discount Band]]="medium",0.15,0.3))</f>
        <v>0.15</v>
      </c>
      <c r="I252" s="8">
        <f>financials[[#This Row],[Gross Sales]]-financials[[#This Row],[Gross Sales]]*financials[[#This Row],[Discounts]]</f>
        <v>216.75</v>
      </c>
      <c r="J252" s="8">
        <f>VLOOKUP(financials[[#This Row],[productid]],Products!$B$2:$H$10,4)</f>
        <v>5.5</v>
      </c>
      <c r="K252" s="8">
        <f>financials[[#This Row],[Net Sales]]-financials[[#This Row],[COGS]]</f>
        <v>211.25</v>
      </c>
      <c r="L252" s="15">
        <v>44853</v>
      </c>
      <c r="M252" t="s">
        <v>696</v>
      </c>
    </row>
    <row r="253" spans="1:13" x14ac:dyDescent="0.25">
      <c r="A253" t="s">
        <v>86</v>
      </c>
      <c r="B253" s="6" t="s">
        <v>93</v>
      </c>
      <c r="C253" s="13">
        <v>101</v>
      </c>
      <c r="D253" s="14" t="s">
        <v>91</v>
      </c>
      <c r="E253">
        <v>17</v>
      </c>
      <c r="F253" s="8">
        <f>VLOOKUP(financials[[#This Row],[productid]],Products!$B$2:$H$10,3)</f>
        <v>23</v>
      </c>
      <c r="G253" s="8">
        <f>financials[[#This Row],[Units Sold]]*financials[[#This Row],[Sale Price]]</f>
        <v>391</v>
      </c>
      <c r="H253" s="8">
        <f>IF(financials[[#This Row],[Discount Band]]="low",0.1,IF(financials[[#This Row],[Discount Band]]="medium",0.15,0.3))</f>
        <v>0.1</v>
      </c>
      <c r="I253" s="8">
        <f>financials[[#This Row],[Gross Sales]]-financials[[#This Row],[Gross Sales]]*financials[[#This Row],[Discounts]]</f>
        <v>351.9</v>
      </c>
      <c r="J253" s="8">
        <f>VLOOKUP(financials[[#This Row],[productid]],Products!$B$2:$H$10,4)</f>
        <v>9.9499999999999993</v>
      </c>
      <c r="K253" s="8">
        <f>financials[[#This Row],[Net Sales]]-financials[[#This Row],[COGS]]</f>
        <v>341.95</v>
      </c>
      <c r="L253" s="15">
        <v>45479</v>
      </c>
      <c r="M253" t="s">
        <v>690</v>
      </c>
    </row>
    <row r="254" spans="1:13" x14ac:dyDescent="0.25">
      <c r="A254" t="s">
        <v>86</v>
      </c>
      <c r="B254" s="6" t="s">
        <v>95</v>
      </c>
      <c r="C254" s="13">
        <v>101</v>
      </c>
      <c r="D254" s="14" t="s">
        <v>92</v>
      </c>
      <c r="E254">
        <v>12</v>
      </c>
      <c r="F254" s="8">
        <f>VLOOKUP(financials[[#This Row],[productid]],Products!$B$2:$H$10,3)</f>
        <v>23</v>
      </c>
      <c r="G254" s="8">
        <f>financials[[#This Row],[Units Sold]]*financials[[#This Row],[Sale Price]]</f>
        <v>276</v>
      </c>
      <c r="H254" s="8">
        <f>IF(financials[[#This Row],[Discount Band]]="low",0.1,IF(financials[[#This Row],[Discount Band]]="medium",0.15,0.3))</f>
        <v>0.3</v>
      </c>
      <c r="I254" s="8">
        <f>financials[[#This Row],[Gross Sales]]-financials[[#This Row],[Gross Sales]]*financials[[#This Row],[Discounts]]</f>
        <v>193.2</v>
      </c>
      <c r="J254" s="8">
        <f>VLOOKUP(financials[[#This Row],[productid]],Products!$B$2:$H$10,4)</f>
        <v>9.9499999999999993</v>
      </c>
      <c r="K254" s="8">
        <f>financials[[#This Row],[Net Sales]]-financials[[#This Row],[COGS]]</f>
        <v>183.25</v>
      </c>
      <c r="L254" s="15">
        <v>44440</v>
      </c>
      <c r="M254" t="s">
        <v>691</v>
      </c>
    </row>
    <row r="255" spans="1:13" x14ac:dyDescent="0.25">
      <c r="A255" t="s">
        <v>86</v>
      </c>
      <c r="B255" s="6" t="s">
        <v>617</v>
      </c>
      <c r="C255" s="13">
        <v>108</v>
      </c>
      <c r="D255" s="14" t="s">
        <v>90</v>
      </c>
      <c r="E255">
        <v>6</v>
      </c>
      <c r="F255" s="8">
        <f>VLOOKUP(financials[[#This Row],[productid]],Products!$B$2:$H$10,3)</f>
        <v>5.5</v>
      </c>
      <c r="G255" s="8">
        <f>financials[[#This Row],[Units Sold]]*financials[[#This Row],[Sale Price]]</f>
        <v>33</v>
      </c>
      <c r="H255" s="8">
        <f>IF(financials[[#This Row],[Discount Band]]="low",0.1,IF(financials[[#This Row],[Discount Band]]="medium",0.15,0.3))</f>
        <v>0.15</v>
      </c>
      <c r="I255" s="8">
        <f>financials[[#This Row],[Gross Sales]]-financials[[#This Row],[Gross Sales]]*financials[[#This Row],[Discounts]]</f>
        <v>28.05</v>
      </c>
      <c r="J255" s="8">
        <f>VLOOKUP(financials[[#This Row],[productid]],Products!$B$2:$H$10,4)</f>
        <v>3.99</v>
      </c>
      <c r="K255" s="8">
        <f>financials[[#This Row],[Net Sales]]-financials[[#This Row],[COGS]]</f>
        <v>24.060000000000002</v>
      </c>
      <c r="L255" s="15">
        <v>44774</v>
      </c>
      <c r="M255" t="s">
        <v>696</v>
      </c>
    </row>
    <row r="256" spans="1:13" x14ac:dyDescent="0.25">
      <c r="A256" t="s">
        <v>86</v>
      </c>
      <c r="B256" s="6" t="s">
        <v>617</v>
      </c>
      <c r="C256" s="13">
        <v>105</v>
      </c>
      <c r="D256" s="14" t="s">
        <v>91</v>
      </c>
      <c r="E256">
        <v>7</v>
      </c>
      <c r="F256" s="8">
        <f>VLOOKUP(financials[[#This Row],[productid]],Products!$B$2:$H$10,3)</f>
        <v>15</v>
      </c>
      <c r="G256" s="8">
        <f>financials[[#This Row],[Units Sold]]*financials[[#This Row],[Sale Price]]</f>
        <v>105</v>
      </c>
      <c r="H256" s="8">
        <f>IF(financials[[#This Row],[Discount Band]]="low",0.1,IF(financials[[#This Row],[Discount Band]]="medium",0.15,0.3))</f>
        <v>0.1</v>
      </c>
      <c r="I256" s="8">
        <f>financials[[#This Row],[Gross Sales]]-financials[[#This Row],[Gross Sales]]*financials[[#This Row],[Discounts]]</f>
        <v>94.5</v>
      </c>
      <c r="J256" s="8">
        <f>VLOOKUP(financials[[#This Row],[productid]],Products!$B$2:$H$10,4)</f>
        <v>10</v>
      </c>
      <c r="K256" s="8">
        <f>financials[[#This Row],[Net Sales]]-financials[[#This Row],[COGS]]</f>
        <v>84.5</v>
      </c>
      <c r="L256" s="15">
        <v>45623</v>
      </c>
      <c r="M256" t="s">
        <v>697</v>
      </c>
    </row>
    <row r="257" spans="1:13" x14ac:dyDescent="0.25">
      <c r="A257" t="s">
        <v>89</v>
      </c>
      <c r="B257" s="6" t="s">
        <v>644</v>
      </c>
      <c r="C257" s="13">
        <v>102</v>
      </c>
      <c r="D257" s="14" t="s">
        <v>83</v>
      </c>
      <c r="E257">
        <v>12</v>
      </c>
      <c r="F257" s="8">
        <f>VLOOKUP(financials[[#This Row],[productid]],Products!$B$2:$H$10,3)</f>
        <v>15</v>
      </c>
      <c r="G257" s="8">
        <f>financials[[#This Row],[Units Sold]]*financials[[#This Row],[Sale Price]]</f>
        <v>180</v>
      </c>
      <c r="H257" s="8">
        <f>IF(financials[[#This Row],[Discount Band]]="low",0.1,IF(financials[[#This Row],[Discount Band]]="medium",0.15,0.3))</f>
        <v>0.3</v>
      </c>
      <c r="I257" s="8">
        <f>financials[[#This Row],[Gross Sales]]-financials[[#This Row],[Gross Sales]]*financials[[#This Row],[Discounts]]</f>
        <v>126</v>
      </c>
      <c r="J257" s="8">
        <f>VLOOKUP(financials[[#This Row],[productid]],Products!$B$2:$H$10,4)</f>
        <v>13.95</v>
      </c>
      <c r="K257" s="8">
        <f>financials[[#This Row],[Net Sales]]-financials[[#This Row],[COGS]]</f>
        <v>112.05</v>
      </c>
      <c r="L257" s="15">
        <v>45239</v>
      </c>
      <c r="M257" t="s">
        <v>690</v>
      </c>
    </row>
    <row r="258" spans="1:13" x14ac:dyDescent="0.25">
      <c r="A258" t="s">
        <v>86</v>
      </c>
      <c r="B258" s="6" t="s">
        <v>287</v>
      </c>
      <c r="C258" s="11">
        <v>105</v>
      </c>
      <c r="D258" s="9" t="s">
        <v>83</v>
      </c>
      <c r="E258">
        <v>9</v>
      </c>
      <c r="F258" s="8">
        <f>VLOOKUP(financials[[#This Row],[productid]],Products!$B$2:$H$10,3)</f>
        <v>15</v>
      </c>
      <c r="G258" s="8">
        <f>financials[[#This Row],[Units Sold]]*financials[[#This Row],[Sale Price]]</f>
        <v>135</v>
      </c>
      <c r="H258" s="8">
        <f>IF(financials[[#This Row],[Discount Band]]="low",0.1,IF(financials[[#This Row],[Discount Band]]="medium",0.15,0.3))</f>
        <v>0.3</v>
      </c>
      <c r="I258" s="8">
        <f>financials[[#This Row],[Gross Sales]]-financials[[#This Row],[Gross Sales]]*financials[[#This Row],[Discounts]]</f>
        <v>94.5</v>
      </c>
      <c r="J258" s="8">
        <f>VLOOKUP(financials[[#This Row],[productid]],Products!$B$2:$H$10,4)</f>
        <v>10</v>
      </c>
      <c r="K258" s="8">
        <f>financials[[#This Row],[Net Sales]]-financials[[#This Row],[COGS]]</f>
        <v>84.5</v>
      </c>
      <c r="L258" s="15">
        <v>45430</v>
      </c>
      <c r="M258" t="s">
        <v>697</v>
      </c>
    </row>
    <row r="259" spans="1:13" x14ac:dyDescent="0.25">
      <c r="A259" t="s">
        <v>86</v>
      </c>
      <c r="B259" s="6" t="s">
        <v>274</v>
      </c>
      <c r="C259" s="13">
        <v>106</v>
      </c>
      <c r="D259" s="14" t="s">
        <v>91</v>
      </c>
      <c r="E259">
        <v>14</v>
      </c>
      <c r="F259" s="8">
        <f>VLOOKUP(financials[[#This Row],[productid]],Products!$B$2:$H$10,3)</f>
        <v>25</v>
      </c>
      <c r="G259" s="8">
        <f>financials[[#This Row],[Units Sold]]*financials[[#This Row],[Sale Price]]</f>
        <v>350</v>
      </c>
      <c r="H259" s="8">
        <f>IF(financials[[#This Row],[Discount Band]]="low",0.1,IF(financials[[#This Row],[Discount Band]]="medium",0.15,0.3))</f>
        <v>0.1</v>
      </c>
      <c r="I259" s="8">
        <f>financials[[#This Row],[Gross Sales]]-financials[[#This Row],[Gross Sales]]*financials[[#This Row],[Discounts]]</f>
        <v>315</v>
      </c>
      <c r="J259" s="8">
        <f>VLOOKUP(financials[[#This Row],[productid]],Products!$B$2:$H$10,4)</f>
        <v>9.1</v>
      </c>
      <c r="K259" s="8">
        <f>financials[[#This Row],[Net Sales]]-financials[[#This Row],[COGS]]</f>
        <v>305.89999999999998</v>
      </c>
      <c r="L259" s="15">
        <v>45586</v>
      </c>
      <c r="M259" t="s">
        <v>690</v>
      </c>
    </row>
    <row r="260" spans="1:13" x14ac:dyDescent="0.25">
      <c r="A260" t="s">
        <v>86</v>
      </c>
      <c r="B260" s="6" t="s">
        <v>93</v>
      </c>
      <c r="C260" s="13">
        <v>104</v>
      </c>
      <c r="D260" s="14" t="s">
        <v>91</v>
      </c>
      <c r="E260">
        <v>12</v>
      </c>
      <c r="F260" s="8">
        <f>VLOOKUP(financials[[#This Row],[productid]],Products!$B$2:$H$10,3)</f>
        <v>5.9</v>
      </c>
      <c r="G260" s="8">
        <f>financials[[#This Row],[Units Sold]]*financials[[#This Row],[Sale Price]]</f>
        <v>70.800000000000011</v>
      </c>
      <c r="H260" s="8">
        <f>IF(financials[[#This Row],[Discount Band]]="low",0.1,IF(financials[[#This Row],[Discount Band]]="medium",0.15,0.3))</f>
        <v>0.1</v>
      </c>
      <c r="I260" s="8">
        <f>financials[[#This Row],[Gross Sales]]-financials[[#This Row],[Gross Sales]]*financials[[#This Row],[Discounts]]</f>
        <v>63.720000000000013</v>
      </c>
      <c r="J260" s="8">
        <f>VLOOKUP(financials[[#This Row],[productid]],Products!$B$2:$H$10,4)</f>
        <v>2.9</v>
      </c>
      <c r="K260" s="8">
        <f>financials[[#This Row],[Net Sales]]-financials[[#This Row],[COGS]]</f>
        <v>60.820000000000014</v>
      </c>
      <c r="L260" s="15">
        <v>44106</v>
      </c>
      <c r="M260" t="s">
        <v>700</v>
      </c>
    </row>
    <row r="261" spans="1:13" x14ac:dyDescent="0.25">
      <c r="A261" t="s">
        <v>86</v>
      </c>
      <c r="B261" s="6" t="s">
        <v>240</v>
      </c>
      <c r="C261" s="13">
        <v>107</v>
      </c>
      <c r="D261" s="14" t="s">
        <v>91</v>
      </c>
      <c r="E261">
        <v>5</v>
      </c>
      <c r="F261" s="8">
        <f>VLOOKUP(financials[[#This Row],[productid]],Products!$B$2:$H$10,3)</f>
        <v>15</v>
      </c>
      <c r="G261" s="8">
        <f>financials[[#This Row],[Units Sold]]*financials[[#This Row],[Sale Price]]</f>
        <v>75</v>
      </c>
      <c r="H261" s="8">
        <f>IF(financials[[#This Row],[Discount Band]]="low",0.1,IF(financials[[#This Row],[Discount Band]]="medium",0.15,0.3))</f>
        <v>0.1</v>
      </c>
      <c r="I261" s="8">
        <f>financials[[#This Row],[Gross Sales]]-financials[[#This Row],[Gross Sales]]*financials[[#This Row],[Discounts]]</f>
        <v>67.5</v>
      </c>
      <c r="J261" s="8">
        <f>VLOOKUP(financials[[#This Row],[productid]],Products!$B$2:$H$10,4)</f>
        <v>5.5</v>
      </c>
      <c r="K261" s="8">
        <f>financials[[#This Row],[Net Sales]]-financials[[#This Row],[COGS]]</f>
        <v>62</v>
      </c>
      <c r="L261" s="15">
        <v>44740</v>
      </c>
      <c r="M261" t="s">
        <v>697</v>
      </c>
    </row>
    <row r="262" spans="1:13" x14ac:dyDescent="0.25">
      <c r="A262" t="s">
        <v>86</v>
      </c>
      <c r="B262" s="6" t="s">
        <v>158</v>
      </c>
      <c r="C262" s="13">
        <v>107</v>
      </c>
      <c r="D262" s="14" t="s">
        <v>83</v>
      </c>
      <c r="E262">
        <v>18</v>
      </c>
      <c r="F262" s="8">
        <f>VLOOKUP(financials[[#This Row],[productid]],Products!$B$2:$H$10,3)</f>
        <v>15</v>
      </c>
      <c r="G262" s="8">
        <f>financials[[#This Row],[Units Sold]]*financials[[#This Row],[Sale Price]]</f>
        <v>270</v>
      </c>
      <c r="H262" s="8">
        <f>IF(financials[[#This Row],[Discount Band]]="low",0.1,IF(financials[[#This Row],[Discount Band]]="medium",0.15,0.3))</f>
        <v>0.3</v>
      </c>
      <c r="I262" s="8">
        <f>financials[[#This Row],[Gross Sales]]-financials[[#This Row],[Gross Sales]]*financials[[#This Row],[Discounts]]</f>
        <v>189</v>
      </c>
      <c r="J262" s="8">
        <f>VLOOKUP(financials[[#This Row],[productid]],Products!$B$2:$H$10,4)</f>
        <v>5.5</v>
      </c>
      <c r="K262" s="8">
        <f>financials[[#This Row],[Net Sales]]-financials[[#This Row],[COGS]]</f>
        <v>183.5</v>
      </c>
      <c r="L262" s="15">
        <v>44150</v>
      </c>
      <c r="M262" t="s">
        <v>691</v>
      </c>
    </row>
    <row r="263" spans="1:13" x14ac:dyDescent="0.25">
      <c r="A263" t="s">
        <v>86</v>
      </c>
      <c r="B263" s="6" t="s">
        <v>93</v>
      </c>
      <c r="C263" s="13">
        <v>103</v>
      </c>
      <c r="D263" s="14" t="s">
        <v>90</v>
      </c>
      <c r="E263">
        <v>8</v>
      </c>
      <c r="F263" s="8">
        <f>VLOOKUP(financials[[#This Row],[productid]],Products!$B$2:$H$10,3)</f>
        <v>28</v>
      </c>
      <c r="G263" s="8">
        <f>financials[[#This Row],[Units Sold]]*financials[[#This Row],[Sale Price]]</f>
        <v>224</v>
      </c>
      <c r="H263" s="8">
        <f>IF(financials[[#This Row],[Discount Band]]="low",0.1,IF(financials[[#This Row],[Discount Band]]="medium",0.15,0.3))</f>
        <v>0.15</v>
      </c>
      <c r="I263" s="8">
        <f>financials[[#This Row],[Gross Sales]]-financials[[#This Row],[Gross Sales]]*financials[[#This Row],[Discounts]]</f>
        <v>190.4</v>
      </c>
      <c r="J263" s="8">
        <f>VLOOKUP(financials[[#This Row],[productid]],Products!$B$2:$H$10,4)</f>
        <v>15</v>
      </c>
      <c r="K263" s="8">
        <f>financials[[#This Row],[Net Sales]]-financials[[#This Row],[COGS]]</f>
        <v>175.4</v>
      </c>
      <c r="L263" s="15">
        <v>44547</v>
      </c>
      <c r="M263" t="s">
        <v>697</v>
      </c>
    </row>
    <row r="264" spans="1:13" x14ac:dyDescent="0.25">
      <c r="A264" t="s">
        <v>86</v>
      </c>
      <c r="B264" s="6" t="s">
        <v>228</v>
      </c>
      <c r="C264" s="13">
        <v>101</v>
      </c>
      <c r="D264" s="14" t="s">
        <v>91</v>
      </c>
      <c r="E264">
        <v>8</v>
      </c>
      <c r="F264" s="8">
        <f>VLOOKUP(financials[[#This Row],[productid]],Products!$B$2:$H$10,3)</f>
        <v>23</v>
      </c>
      <c r="G264" s="8">
        <f>financials[[#This Row],[Units Sold]]*financials[[#This Row],[Sale Price]]</f>
        <v>184</v>
      </c>
      <c r="H264" s="8">
        <f>IF(financials[[#This Row],[Discount Band]]="low",0.1,IF(financials[[#This Row],[Discount Band]]="medium",0.15,0.3))</f>
        <v>0.1</v>
      </c>
      <c r="I264" s="8">
        <f>financials[[#This Row],[Gross Sales]]-financials[[#This Row],[Gross Sales]]*financials[[#This Row],[Discounts]]</f>
        <v>165.6</v>
      </c>
      <c r="J264" s="8">
        <f>VLOOKUP(financials[[#This Row],[productid]],Products!$B$2:$H$10,4)</f>
        <v>9.9499999999999993</v>
      </c>
      <c r="K264" s="8">
        <f>financials[[#This Row],[Net Sales]]-financials[[#This Row],[COGS]]</f>
        <v>155.65</v>
      </c>
      <c r="L264" s="15">
        <v>44637</v>
      </c>
      <c r="M264" t="s">
        <v>700</v>
      </c>
    </row>
    <row r="265" spans="1:13" x14ac:dyDescent="0.25">
      <c r="A265" t="s">
        <v>86</v>
      </c>
      <c r="B265" s="6" t="s">
        <v>274</v>
      </c>
      <c r="C265" s="13">
        <v>103</v>
      </c>
      <c r="D265" s="14" t="s">
        <v>90</v>
      </c>
      <c r="E265">
        <v>17</v>
      </c>
      <c r="F265" s="8">
        <f>VLOOKUP(financials[[#This Row],[productid]],Products!$B$2:$H$10,3)</f>
        <v>28</v>
      </c>
      <c r="G265" s="8">
        <f>financials[[#This Row],[Units Sold]]*financials[[#This Row],[Sale Price]]</f>
        <v>476</v>
      </c>
      <c r="H265" s="8">
        <f>IF(financials[[#This Row],[Discount Band]]="low",0.1,IF(financials[[#This Row],[Discount Band]]="medium",0.15,0.3))</f>
        <v>0.15</v>
      </c>
      <c r="I265" s="8">
        <f>financials[[#This Row],[Gross Sales]]-financials[[#This Row],[Gross Sales]]*financials[[#This Row],[Discounts]]</f>
        <v>404.6</v>
      </c>
      <c r="J265" s="8">
        <f>VLOOKUP(financials[[#This Row],[productid]],Products!$B$2:$H$10,4)</f>
        <v>15</v>
      </c>
      <c r="K265" s="8">
        <f>financials[[#This Row],[Net Sales]]-financials[[#This Row],[COGS]]</f>
        <v>389.6</v>
      </c>
      <c r="L265" s="15">
        <v>44490</v>
      </c>
      <c r="M265" t="s">
        <v>690</v>
      </c>
    </row>
    <row r="266" spans="1:13" x14ac:dyDescent="0.25">
      <c r="A266" t="s">
        <v>86</v>
      </c>
      <c r="B266" s="6" t="s">
        <v>268</v>
      </c>
      <c r="C266" s="13">
        <v>102</v>
      </c>
      <c r="D266" s="14" t="s">
        <v>91</v>
      </c>
      <c r="E266">
        <v>14</v>
      </c>
      <c r="F266" s="8">
        <f>VLOOKUP(financials[[#This Row],[productid]],Products!$B$2:$H$10,3)</f>
        <v>15</v>
      </c>
      <c r="G266" s="8">
        <f>financials[[#This Row],[Units Sold]]*financials[[#This Row],[Sale Price]]</f>
        <v>210</v>
      </c>
      <c r="H266" s="8">
        <f>IF(financials[[#This Row],[Discount Band]]="low",0.1,IF(financials[[#This Row],[Discount Band]]="medium",0.15,0.3))</f>
        <v>0.1</v>
      </c>
      <c r="I266" s="8">
        <f>financials[[#This Row],[Gross Sales]]-financials[[#This Row],[Gross Sales]]*financials[[#This Row],[Discounts]]</f>
        <v>189</v>
      </c>
      <c r="J266" s="8">
        <f>VLOOKUP(financials[[#This Row],[productid]],Products!$B$2:$H$10,4)</f>
        <v>13.95</v>
      </c>
      <c r="K266" s="8">
        <f>financials[[#This Row],[Net Sales]]-financials[[#This Row],[COGS]]</f>
        <v>175.05</v>
      </c>
      <c r="L266" s="15">
        <v>43945</v>
      </c>
      <c r="M266" t="s">
        <v>700</v>
      </c>
    </row>
    <row r="267" spans="1:13" x14ac:dyDescent="0.25">
      <c r="A267" t="s">
        <v>86</v>
      </c>
      <c r="B267" s="6" t="s">
        <v>228</v>
      </c>
      <c r="C267" s="13">
        <v>105</v>
      </c>
      <c r="D267" s="14" t="s">
        <v>90</v>
      </c>
      <c r="E267">
        <v>7</v>
      </c>
      <c r="F267" s="8">
        <f>VLOOKUP(financials[[#This Row],[productid]],Products!$B$2:$H$10,3)</f>
        <v>15</v>
      </c>
      <c r="G267" s="8">
        <f>financials[[#This Row],[Units Sold]]*financials[[#This Row],[Sale Price]]</f>
        <v>105</v>
      </c>
      <c r="H267" s="8">
        <f>IF(financials[[#This Row],[Discount Band]]="low",0.1,IF(financials[[#This Row],[Discount Band]]="medium",0.15,0.3))</f>
        <v>0.15</v>
      </c>
      <c r="I267" s="8">
        <f>financials[[#This Row],[Gross Sales]]-financials[[#This Row],[Gross Sales]]*financials[[#This Row],[Discounts]]</f>
        <v>89.25</v>
      </c>
      <c r="J267" s="8">
        <f>VLOOKUP(financials[[#This Row],[productid]],Products!$B$2:$H$10,4)</f>
        <v>10</v>
      </c>
      <c r="K267" s="8">
        <f>financials[[#This Row],[Net Sales]]-financials[[#This Row],[COGS]]</f>
        <v>79.25</v>
      </c>
      <c r="L267" s="15">
        <v>44920</v>
      </c>
      <c r="M267" t="s">
        <v>697</v>
      </c>
    </row>
    <row r="268" spans="1:13" x14ac:dyDescent="0.25">
      <c r="A268" t="s">
        <v>86</v>
      </c>
      <c r="B268" s="6" t="s">
        <v>93</v>
      </c>
      <c r="C268" s="13">
        <v>109</v>
      </c>
      <c r="D268" s="14" t="s">
        <v>91</v>
      </c>
      <c r="E268">
        <v>14</v>
      </c>
      <c r="F268" s="8">
        <f>VLOOKUP(financials[[#This Row],[productid]],Products!$B$2:$H$10,3)</f>
        <v>36</v>
      </c>
      <c r="G268" s="8">
        <f>financials[[#This Row],[Units Sold]]*financials[[#This Row],[Sale Price]]</f>
        <v>504</v>
      </c>
      <c r="H268" s="8">
        <f>IF(financials[[#This Row],[Discount Band]]="low",0.1,IF(financials[[#This Row],[Discount Band]]="medium",0.15,0.3))</f>
        <v>0.1</v>
      </c>
      <c r="I268" s="8">
        <f>financials[[#This Row],[Gross Sales]]-financials[[#This Row],[Gross Sales]]*financials[[#This Row],[Discounts]]</f>
        <v>453.6</v>
      </c>
      <c r="J268" s="8">
        <f>VLOOKUP(financials[[#This Row],[productid]],Products!$B$2:$H$10,4)</f>
        <v>16.8</v>
      </c>
      <c r="K268" s="8">
        <f>financials[[#This Row],[Net Sales]]-financials[[#This Row],[COGS]]</f>
        <v>436.8</v>
      </c>
      <c r="L268" s="15">
        <v>44969</v>
      </c>
      <c r="M268" t="s">
        <v>697</v>
      </c>
    </row>
    <row r="269" spans="1:13" x14ac:dyDescent="0.25">
      <c r="A269" t="s">
        <v>86</v>
      </c>
      <c r="B269" s="6" t="s">
        <v>228</v>
      </c>
      <c r="C269" s="13">
        <v>101</v>
      </c>
      <c r="D269" s="14" t="s">
        <v>90</v>
      </c>
      <c r="E269">
        <v>14</v>
      </c>
      <c r="F269" s="8">
        <f>VLOOKUP(financials[[#This Row],[productid]],Products!$B$2:$H$10,3)</f>
        <v>23</v>
      </c>
      <c r="G269" s="8">
        <f>financials[[#This Row],[Units Sold]]*financials[[#This Row],[Sale Price]]</f>
        <v>322</v>
      </c>
      <c r="H269" s="8">
        <f>IF(financials[[#This Row],[Discount Band]]="low",0.1,IF(financials[[#This Row],[Discount Band]]="medium",0.15,0.3))</f>
        <v>0.15</v>
      </c>
      <c r="I269" s="8">
        <f>financials[[#This Row],[Gross Sales]]-financials[[#This Row],[Gross Sales]]*financials[[#This Row],[Discounts]]</f>
        <v>273.7</v>
      </c>
      <c r="J269" s="8">
        <f>VLOOKUP(financials[[#This Row],[productid]],Products!$B$2:$H$10,4)</f>
        <v>9.9499999999999993</v>
      </c>
      <c r="K269" s="8">
        <f>financials[[#This Row],[Net Sales]]-financials[[#This Row],[COGS]]</f>
        <v>263.75</v>
      </c>
      <c r="L269" s="15">
        <v>44421</v>
      </c>
      <c r="M269" t="s">
        <v>697</v>
      </c>
    </row>
    <row r="270" spans="1:13" x14ac:dyDescent="0.25">
      <c r="A270" t="s">
        <v>86</v>
      </c>
      <c r="B270" s="6" t="s">
        <v>148</v>
      </c>
      <c r="C270" s="13">
        <v>101</v>
      </c>
      <c r="D270" s="14" t="s">
        <v>91</v>
      </c>
      <c r="E270">
        <v>15</v>
      </c>
      <c r="F270" s="8">
        <f>VLOOKUP(financials[[#This Row],[productid]],Products!$B$2:$H$10,3)</f>
        <v>23</v>
      </c>
      <c r="G270" s="8">
        <f>financials[[#This Row],[Units Sold]]*financials[[#This Row],[Sale Price]]</f>
        <v>345</v>
      </c>
      <c r="H270" s="8">
        <f>IF(financials[[#This Row],[Discount Band]]="low",0.1,IF(financials[[#This Row],[Discount Band]]="medium",0.15,0.3))</f>
        <v>0.1</v>
      </c>
      <c r="I270" s="8">
        <f>financials[[#This Row],[Gross Sales]]-financials[[#This Row],[Gross Sales]]*financials[[#This Row],[Discounts]]</f>
        <v>310.5</v>
      </c>
      <c r="J270" s="8">
        <f>VLOOKUP(financials[[#This Row],[productid]],Products!$B$2:$H$10,4)</f>
        <v>9.9499999999999993</v>
      </c>
      <c r="K270" s="8">
        <f>financials[[#This Row],[Net Sales]]-financials[[#This Row],[COGS]]</f>
        <v>300.55</v>
      </c>
      <c r="L270" s="15">
        <v>44742</v>
      </c>
      <c r="M270" t="s">
        <v>697</v>
      </c>
    </row>
    <row r="271" spans="1:13" x14ac:dyDescent="0.25">
      <c r="A271" t="s">
        <v>86</v>
      </c>
      <c r="B271" s="6" t="s">
        <v>158</v>
      </c>
      <c r="C271" s="13">
        <v>103</v>
      </c>
      <c r="D271" s="14" t="s">
        <v>83</v>
      </c>
      <c r="E271">
        <v>10</v>
      </c>
      <c r="F271" s="8">
        <f>VLOOKUP(financials[[#This Row],[productid]],Products!$B$2:$H$10,3)</f>
        <v>28</v>
      </c>
      <c r="G271" s="8">
        <f>financials[[#This Row],[Units Sold]]*financials[[#This Row],[Sale Price]]</f>
        <v>280</v>
      </c>
      <c r="H271" s="8">
        <f>IF(financials[[#This Row],[Discount Band]]="low",0.1,IF(financials[[#This Row],[Discount Band]]="medium",0.15,0.3))</f>
        <v>0.3</v>
      </c>
      <c r="I271" s="8">
        <f>financials[[#This Row],[Gross Sales]]-financials[[#This Row],[Gross Sales]]*financials[[#This Row],[Discounts]]</f>
        <v>196</v>
      </c>
      <c r="J271" s="8">
        <f>VLOOKUP(financials[[#This Row],[productid]],Products!$B$2:$H$10,4)</f>
        <v>15</v>
      </c>
      <c r="K271" s="8">
        <f>financials[[#This Row],[Net Sales]]-financials[[#This Row],[COGS]]</f>
        <v>181</v>
      </c>
      <c r="L271" s="15">
        <v>45451</v>
      </c>
      <c r="M271" t="s">
        <v>691</v>
      </c>
    </row>
    <row r="272" spans="1:13" x14ac:dyDescent="0.25">
      <c r="A272" t="s">
        <v>86</v>
      </c>
      <c r="B272" s="6" t="s">
        <v>545</v>
      </c>
      <c r="C272" s="13">
        <v>101</v>
      </c>
      <c r="D272" s="14" t="s">
        <v>90</v>
      </c>
      <c r="E272">
        <v>5</v>
      </c>
      <c r="F272" s="8">
        <f>VLOOKUP(financials[[#This Row],[productid]],Products!$B$2:$H$10,3)</f>
        <v>23</v>
      </c>
      <c r="G272" s="8">
        <f>financials[[#This Row],[Units Sold]]*financials[[#This Row],[Sale Price]]</f>
        <v>115</v>
      </c>
      <c r="H272" s="8">
        <f>IF(financials[[#This Row],[Discount Band]]="low",0.1,IF(financials[[#This Row],[Discount Band]]="medium",0.15,0.3))</f>
        <v>0.15</v>
      </c>
      <c r="I272" s="8">
        <f>financials[[#This Row],[Gross Sales]]-financials[[#This Row],[Gross Sales]]*financials[[#This Row],[Discounts]]</f>
        <v>97.75</v>
      </c>
      <c r="J272" s="8">
        <f>VLOOKUP(financials[[#This Row],[productid]],Products!$B$2:$H$10,4)</f>
        <v>9.9499999999999993</v>
      </c>
      <c r="K272" s="8">
        <f>financials[[#This Row],[Net Sales]]-financials[[#This Row],[COGS]]</f>
        <v>87.8</v>
      </c>
      <c r="L272" s="15">
        <v>44490</v>
      </c>
      <c r="M272" t="s">
        <v>691</v>
      </c>
    </row>
    <row r="273" spans="1:13" x14ac:dyDescent="0.25">
      <c r="A273" t="s">
        <v>89</v>
      </c>
      <c r="B273" s="6" t="s">
        <v>545</v>
      </c>
      <c r="C273" s="13">
        <v>101</v>
      </c>
      <c r="D273" s="14" t="s">
        <v>83</v>
      </c>
      <c r="E273">
        <v>15</v>
      </c>
      <c r="F273" s="8">
        <f>VLOOKUP(financials[[#This Row],[productid]],Products!$B$2:$H$10,3)</f>
        <v>23</v>
      </c>
      <c r="G273" s="8">
        <f>financials[[#This Row],[Units Sold]]*financials[[#This Row],[Sale Price]]</f>
        <v>345</v>
      </c>
      <c r="H273" s="8">
        <f>IF(financials[[#This Row],[Discount Band]]="low",0.1,IF(financials[[#This Row],[Discount Band]]="medium",0.15,0.3))</f>
        <v>0.3</v>
      </c>
      <c r="I273" s="8">
        <f>financials[[#This Row],[Gross Sales]]-financials[[#This Row],[Gross Sales]]*financials[[#This Row],[Discounts]]</f>
        <v>241.5</v>
      </c>
      <c r="J273" s="8">
        <f>VLOOKUP(financials[[#This Row],[productid]],Products!$B$2:$H$10,4)</f>
        <v>9.9499999999999993</v>
      </c>
      <c r="K273" s="8">
        <f>financials[[#This Row],[Net Sales]]-financials[[#This Row],[COGS]]</f>
        <v>231.55</v>
      </c>
      <c r="L273" s="15">
        <v>45022</v>
      </c>
      <c r="M273" t="s">
        <v>700</v>
      </c>
    </row>
    <row r="274" spans="1:13" x14ac:dyDescent="0.25">
      <c r="A274" t="s">
        <v>86</v>
      </c>
      <c r="B274" s="6" t="s">
        <v>645</v>
      </c>
      <c r="C274" s="13">
        <v>106</v>
      </c>
      <c r="D274" s="14" t="s">
        <v>90</v>
      </c>
      <c r="E274">
        <v>9</v>
      </c>
      <c r="F274" s="8">
        <f>VLOOKUP(financials[[#This Row],[productid]],Products!$B$2:$H$10,3)</f>
        <v>25</v>
      </c>
      <c r="G274" s="8">
        <f>financials[[#This Row],[Units Sold]]*financials[[#This Row],[Sale Price]]</f>
        <v>225</v>
      </c>
      <c r="H274" s="8">
        <f>IF(financials[[#This Row],[Discount Band]]="low",0.1,IF(financials[[#This Row],[Discount Band]]="medium",0.15,0.3))</f>
        <v>0.15</v>
      </c>
      <c r="I274" s="8">
        <f>financials[[#This Row],[Gross Sales]]-financials[[#This Row],[Gross Sales]]*financials[[#This Row],[Discounts]]</f>
        <v>191.25</v>
      </c>
      <c r="J274" s="8">
        <f>VLOOKUP(financials[[#This Row],[productid]],Products!$B$2:$H$10,4)</f>
        <v>9.1</v>
      </c>
      <c r="K274" s="8">
        <f>financials[[#This Row],[Net Sales]]-financials[[#This Row],[COGS]]</f>
        <v>182.15</v>
      </c>
      <c r="L274" s="15">
        <v>44467</v>
      </c>
      <c r="M274" t="s">
        <v>690</v>
      </c>
    </row>
    <row r="275" spans="1:13" x14ac:dyDescent="0.25">
      <c r="A275" t="s">
        <v>86</v>
      </c>
      <c r="B275" s="6" t="s">
        <v>228</v>
      </c>
      <c r="C275" s="11">
        <v>108</v>
      </c>
      <c r="D275" s="9" t="s">
        <v>90</v>
      </c>
      <c r="E275">
        <v>13</v>
      </c>
      <c r="F275" s="8">
        <f>VLOOKUP(financials[[#This Row],[productid]],Products!$B$2:$H$10,3)</f>
        <v>5.5</v>
      </c>
      <c r="G275" s="8">
        <f>financials[[#This Row],[Units Sold]]*financials[[#This Row],[Sale Price]]</f>
        <v>71.5</v>
      </c>
      <c r="H275" s="8">
        <f>IF(financials[[#This Row],[Discount Band]]="low",0.1,IF(financials[[#This Row],[Discount Band]]="medium",0.15,0.3))</f>
        <v>0.15</v>
      </c>
      <c r="I275" s="8">
        <f>financials[[#This Row],[Gross Sales]]-financials[[#This Row],[Gross Sales]]*financials[[#This Row],[Discounts]]</f>
        <v>60.774999999999999</v>
      </c>
      <c r="J275" s="8">
        <f>VLOOKUP(financials[[#This Row],[productid]],Products!$B$2:$H$10,4)</f>
        <v>3.99</v>
      </c>
      <c r="K275" s="8">
        <f>financials[[#This Row],[Net Sales]]-financials[[#This Row],[COGS]]</f>
        <v>56.784999999999997</v>
      </c>
      <c r="L275" s="15">
        <v>44023</v>
      </c>
      <c r="M275" t="s">
        <v>700</v>
      </c>
    </row>
    <row r="276" spans="1:13" x14ac:dyDescent="0.25">
      <c r="A276" t="s">
        <v>86</v>
      </c>
      <c r="B276" s="6" t="s">
        <v>240</v>
      </c>
      <c r="C276" s="13">
        <v>105</v>
      </c>
      <c r="D276" s="14" t="s">
        <v>90</v>
      </c>
      <c r="E276">
        <v>10</v>
      </c>
      <c r="F276" s="8">
        <f>VLOOKUP(financials[[#This Row],[productid]],Products!$B$2:$H$10,3)</f>
        <v>15</v>
      </c>
      <c r="G276" s="8">
        <f>financials[[#This Row],[Units Sold]]*financials[[#This Row],[Sale Price]]</f>
        <v>150</v>
      </c>
      <c r="H276" s="8">
        <f>IF(financials[[#This Row],[Discount Band]]="low",0.1,IF(financials[[#This Row],[Discount Band]]="medium",0.15,0.3))</f>
        <v>0.15</v>
      </c>
      <c r="I276" s="8">
        <f>financials[[#This Row],[Gross Sales]]-financials[[#This Row],[Gross Sales]]*financials[[#This Row],[Discounts]]</f>
        <v>127.5</v>
      </c>
      <c r="J276" s="8">
        <f>VLOOKUP(financials[[#This Row],[productid]],Products!$B$2:$H$10,4)</f>
        <v>10</v>
      </c>
      <c r="K276" s="8">
        <f>financials[[#This Row],[Net Sales]]-financials[[#This Row],[COGS]]</f>
        <v>117.5</v>
      </c>
      <c r="L276" s="15">
        <v>44322</v>
      </c>
      <c r="M276" t="s">
        <v>691</v>
      </c>
    </row>
    <row r="277" spans="1:13" x14ac:dyDescent="0.25">
      <c r="A277" t="s">
        <v>86</v>
      </c>
      <c r="B277" s="6" t="s">
        <v>228</v>
      </c>
      <c r="C277" s="13">
        <v>105</v>
      </c>
      <c r="D277" s="14" t="s">
        <v>83</v>
      </c>
      <c r="E277">
        <v>17</v>
      </c>
      <c r="F277" s="8">
        <f>VLOOKUP(financials[[#This Row],[productid]],Products!$B$2:$H$10,3)</f>
        <v>15</v>
      </c>
      <c r="G277" s="8">
        <f>financials[[#This Row],[Units Sold]]*financials[[#This Row],[Sale Price]]</f>
        <v>255</v>
      </c>
      <c r="H277" s="8">
        <f>IF(financials[[#This Row],[Discount Band]]="low",0.1,IF(financials[[#This Row],[Discount Band]]="medium",0.15,0.3))</f>
        <v>0.3</v>
      </c>
      <c r="I277" s="8">
        <f>financials[[#This Row],[Gross Sales]]-financials[[#This Row],[Gross Sales]]*financials[[#This Row],[Discounts]]</f>
        <v>178.5</v>
      </c>
      <c r="J277" s="8">
        <f>VLOOKUP(financials[[#This Row],[productid]],Products!$B$2:$H$10,4)</f>
        <v>10</v>
      </c>
      <c r="K277" s="8">
        <f>financials[[#This Row],[Net Sales]]-financials[[#This Row],[COGS]]</f>
        <v>168.5</v>
      </c>
      <c r="L277" s="15">
        <v>45287</v>
      </c>
      <c r="M277" t="s">
        <v>697</v>
      </c>
    </row>
    <row r="278" spans="1:13" x14ac:dyDescent="0.25">
      <c r="A278" t="s">
        <v>86</v>
      </c>
      <c r="B278" s="6" t="s">
        <v>197</v>
      </c>
      <c r="C278" s="13">
        <v>103</v>
      </c>
      <c r="D278" s="14" t="s">
        <v>83</v>
      </c>
      <c r="E278">
        <v>10</v>
      </c>
      <c r="F278" s="8">
        <f>VLOOKUP(financials[[#This Row],[productid]],Products!$B$2:$H$10,3)</f>
        <v>28</v>
      </c>
      <c r="G278" s="8">
        <f>financials[[#This Row],[Units Sold]]*financials[[#This Row],[Sale Price]]</f>
        <v>280</v>
      </c>
      <c r="H278" s="8">
        <f>IF(financials[[#This Row],[Discount Band]]="low",0.1,IF(financials[[#This Row],[Discount Band]]="medium",0.15,0.3))</f>
        <v>0.3</v>
      </c>
      <c r="I278" s="8">
        <f>financials[[#This Row],[Gross Sales]]-financials[[#This Row],[Gross Sales]]*financials[[#This Row],[Discounts]]</f>
        <v>196</v>
      </c>
      <c r="J278" s="8">
        <f>VLOOKUP(financials[[#This Row],[productid]],Products!$B$2:$H$10,4)</f>
        <v>15</v>
      </c>
      <c r="K278" s="8">
        <f>financials[[#This Row],[Net Sales]]-financials[[#This Row],[COGS]]</f>
        <v>181</v>
      </c>
      <c r="L278" s="15">
        <v>44657</v>
      </c>
      <c r="M278" t="s">
        <v>690</v>
      </c>
    </row>
    <row r="279" spans="1:13" x14ac:dyDescent="0.25">
      <c r="A279" t="s">
        <v>86</v>
      </c>
      <c r="B279" s="6" t="s">
        <v>95</v>
      </c>
      <c r="C279" s="13">
        <v>106</v>
      </c>
      <c r="D279" s="14" t="s">
        <v>90</v>
      </c>
      <c r="E279">
        <v>5</v>
      </c>
      <c r="F279" s="8">
        <f>VLOOKUP(financials[[#This Row],[productid]],Products!$B$2:$H$10,3)</f>
        <v>25</v>
      </c>
      <c r="G279" s="8">
        <f>financials[[#This Row],[Units Sold]]*financials[[#This Row],[Sale Price]]</f>
        <v>125</v>
      </c>
      <c r="H279" s="8">
        <f>IF(financials[[#This Row],[Discount Band]]="low",0.1,IF(financials[[#This Row],[Discount Band]]="medium",0.15,0.3))</f>
        <v>0.15</v>
      </c>
      <c r="I279" s="8">
        <f>financials[[#This Row],[Gross Sales]]-financials[[#This Row],[Gross Sales]]*financials[[#This Row],[Discounts]]</f>
        <v>106.25</v>
      </c>
      <c r="J279" s="8">
        <f>VLOOKUP(financials[[#This Row],[productid]],Products!$B$2:$H$10,4)</f>
        <v>9.1</v>
      </c>
      <c r="K279" s="8">
        <f>financials[[#This Row],[Net Sales]]-financials[[#This Row],[COGS]]</f>
        <v>97.15</v>
      </c>
      <c r="L279" s="15">
        <v>43915</v>
      </c>
      <c r="M279" t="s">
        <v>690</v>
      </c>
    </row>
    <row r="280" spans="1:13" x14ac:dyDescent="0.25">
      <c r="A280" t="s">
        <v>86</v>
      </c>
      <c r="B280" s="6" t="s">
        <v>545</v>
      </c>
      <c r="C280" s="13">
        <v>102</v>
      </c>
      <c r="D280" s="14" t="s">
        <v>91</v>
      </c>
      <c r="E280">
        <v>17</v>
      </c>
      <c r="F280" s="8">
        <f>VLOOKUP(financials[[#This Row],[productid]],Products!$B$2:$H$10,3)</f>
        <v>15</v>
      </c>
      <c r="G280" s="8">
        <f>financials[[#This Row],[Units Sold]]*financials[[#This Row],[Sale Price]]</f>
        <v>255</v>
      </c>
      <c r="H280" s="8">
        <f>IF(financials[[#This Row],[Discount Band]]="low",0.1,IF(financials[[#This Row],[Discount Band]]="medium",0.15,0.3))</f>
        <v>0.1</v>
      </c>
      <c r="I280" s="8">
        <f>financials[[#This Row],[Gross Sales]]-financials[[#This Row],[Gross Sales]]*financials[[#This Row],[Discounts]]</f>
        <v>229.5</v>
      </c>
      <c r="J280" s="8">
        <f>VLOOKUP(financials[[#This Row],[productid]],Products!$B$2:$H$10,4)</f>
        <v>13.95</v>
      </c>
      <c r="K280" s="8">
        <f>financials[[#This Row],[Net Sales]]-financials[[#This Row],[COGS]]</f>
        <v>215.55</v>
      </c>
      <c r="L280" s="15">
        <v>44855</v>
      </c>
      <c r="M280" t="s">
        <v>697</v>
      </c>
    </row>
    <row r="281" spans="1:13" x14ac:dyDescent="0.25">
      <c r="A281" t="s">
        <v>89</v>
      </c>
      <c r="B281" s="6" t="s">
        <v>93</v>
      </c>
      <c r="C281" s="13">
        <v>107</v>
      </c>
      <c r="D281" s="14" t="s">
        <v>90</v>
      </c>
      <c r="E281">
        <v>7</v>
      </c>
      <c r="F281" s="8">
        <f>VLOOKUP(financials[[#This Row],[productid]],Products!$B$2:$H$10,3)</f>
        <v>15</v>
      </c>
      <c r="G281" s="8">
        <f>financials[[#This Row],[Units Sold]]*financials[[#This Row],[Sale Price]]</f>
        <v>105</v>
      </c>
      <c r="H281" s="8">
        <f>IF(financials[[#This Row],[Discount Band]]="low",0.1,IF(financials[[#This Row],[Discount Band]]="medium",0.15,0.3))</f>
        <v>0.15</v>
      </c>
      <c r="I281" s="8">
        <f>financials[[#This Row],[Gross Sales]]-financials[[#This Row],[Gross Sales]]*financials[[#This Row],[Discounts]]</f>
        <v>89.25</v>
      </c>
      <c r="J281" s="8">
        <f>VLOOKUP(financials[[#This Row],[productid]],Products!$B$2:$H$10,4)</f>
        <v>5.5</v>
      </c>
      <c r="K281" s="8">
        <f>financials[[#This Row],[Net Sales]]-financials[[#This Row],[COGS]]</f>
        <v>83.75</v>
      </c>
      <c r="L281" s="15">
        <v>45395</v>
      </c>
      <c r="M281" t="s">
        <v>691</v>
      </c>
    </row>
    <row r="282" spans="1:13" x14ac:dyDescent="0.25">
      <c r="A282" t="s">
        <v>86</v>
      </c>
      <c r="B282" s="6" t="s">
        <v>197</v>
      </c>
      <c r="C282" s="13">
        <v>103</v>
      </c>
      <c r="D282" s="14" t="s">
        <v>83</v>
      </c>
      <c r="E282">
        <v>11</v>
      </c>
      <c r="F282" s="8">
        <f>VLOOKUP(financials[[#This Row],[productid]],Products!$B$2:$H$10,3)</f>
        <v>28</v>
      </c>
      <c r="G282" s="8">
        <f>financials[[#This Row],[Units Sold]]*financials[[#This Row],[Sale Price]]</f>
        <v>308</v>
      </c>
      <c r="H282" s="8">
        <f>IF(financials[[#This Row],[Discount Band]]="low",0.1,IF(financials[[#This Row],[Discount Band]]="medium",0.15,0.3))</f>
        <v>0.3</v>
      </c>
      <c r="I282" s="8">
        <f>financials[[#This Row],[Gross Sales]]-financials[[#This Row],[Gross Sales]]*financials[[#This Row],[Discounts]]</f>
        <v>215.60000000000002</v>
      </c>
      <c r="J282" s="8">
        <f>VLOOKUP(financials[[#This Row],[productid]],Products!$B$2:$H$10,4)</f>
        <v>15</v>
      </c>
      <c r="K282" s="8">
        <f>financials[[#This Row],[Net Sales]]-financials[[#This Row],[COGS]]</f>
        <v>200.60000000000002</v>
      </c>
      <c r="L282" s="15">
        <v>44977</v>
      </c>
      <c r="M282" t="s">
        <v>700</v>
      </c>
    </row>
    <row r="283" spans="1:13" x14ac:dyDescent="0.25">
      <c r="A283" t="s">
        <v>86</v>
      </c>
      <c r="B283" s="6" t="s">
        <v>240</v>
      </c>
      <c r="C283" s="13">
        <v>102</v>
      </c>
      <c r="D283" s="14" t="s">
        <v>90</v>
      </c>
      <c r="E283">
        <v>6</v>
      </c>
      <c r="F283" s="8">
        <f>VLOOKUP(financials[[#This Row],[productid]],Products!$B$2:$H$10,3)</f>
        <v>15</v>
      </c>
      <c r="G283" s="8">
        <f>financials[[#This Row],[Units Sold]]*financials[[#This Row],[Sale Price]]</f>
        <v>90</v>
      </c>
      <c r="H283" s="8">
        <f>IF(financials[[#This Row],[Discount Band]]="low",0.1,IF(financials[[#This Row],[Discount Band]]="medium",0.15,0.3))</f>
        <v>0.15</v>
      </c>
      <c r="I283" s="8">
        <f>financials[[#This Row],[Gross Sales]]-financials[[#This Row],[Gross Sales]]*financials[[#This Row],[Discounts]]</f>
        <v>76.5</v>
      </c>
      <c r="J283" s="8">
        <f>VLOOKUP(financials[[#This Row],[productid]],Products!$B$2:$H$10,4)</f>
        <v>13.95</v>
      </c>
      <c r="K283" s="8">
        <f>financials[[#This Row],[Net Sales]]-financials[[#This Row],[COGS]]</f>
        <v>62.55</v>
      </c>
      <c r="L283" s="15">
        <v>45650</v>
      </c>
      <c r="M283" t="s">
        <v>696</v>
      </c>
    </row>
    <row r="284" spans="1:13" x14ac:dyDescent="0.25">
      <c r="A284" t="s">
        <v>86</v>
      </c>
      <c r="B284" s="6" t="s">
        <v>266</v>
      </c>
      <c r="C284" s="13">
        <v>103</v>
      </c>
      <c r="D284" s="14" t="s">
        <v>90</v>
      </c>
      <c r="E284">
        <v>18</v>
      </c>
      <c r="F284" s="8">
        <f>VLOOKUP(financials[[#This Row],[productid]],Products!$B$2:$H$10,3)</f>
        <v>28</v>
      </c>
      <c r="G284" s="8">
        <f>financials[[#This Row],[Units Sold]]*financials[[#This Row],[Sale Price]]</f>
        <v>504</v>
      </c>
      <c r="H284" s="8">
        <f>IF(financials[[#This Row],[Discount Band]]="low",0.1,IF(financials[[#This Row],[Discount Band]]="medium",0.15,0.3))</f>
        <v>0.15</v>
      </c>
      <c r="I284" s="8">
        <f>financials[[#This Row],[Gross Sales]]-financials[[#This Row],[Gross Sales]]*financials[[#This Row],[Discounts]]</f>
        <v>428.4</v>
      </c>
      <c r="J284" s="8">
        <f>VLOOKUP(financials[[#This Row],[productid]],Products!$B$2:$H$10,4)</f>
        <v>15</v>
      </c>
      <c r="K284" s="8">
        <f>financials[[#This Row],[Net Sales]]-financials[[#This Row],[COGS]]</f>
        <v>413.4</v>
      </c>
      <c r="L284" s="15">
        <v>45113</v>
      </c>
      <c r="M284" t="s">
        <v>691</v>
      </c>
    </row>
    <row r="285" spans="1:13" x14ac:dyDescent="0.25">
      <c r="A285" t="s">
        <v>86</v>
      </c>
      <c r="B285" s="6" t="s">
        <v>197</v>
      </c>
      <c r="C285" s="11">
        <v>107</v>
      </c>
      <c r="D285" s="9" t="s">
        <v>83</v>
      </c>
      <c r="E285">
        <v>8</v>
      </c>
      <c r="F285" s="8">
        <f>VLOOKUP(financials[[#This Row],[productid]],Products!$B$2:$H$10,3)</f>
        <v>15</v>
      </c>
      <c r="G285" s="8">
        <f>financials[[#This Row],[Units Sold]]*financials[[#This Row],[Sale Price]]</f>
        <v>120</v>
      </c>
      <c r="H285" s="8">
        <f>IF(financials[[#This Row],[Discount Band]]="low",0.1,IF(financials[[#This Row],[Discount Band]]="medium",0.15,0.3))</f>
        <v>0.3</v>
      </c>
      <c r="I285" s="8">
        <f>financials[[#This Row],[Gross Sales]]-financials[[#This Row],[Gross Sales]]*financials[[#This Row],[Discounts]]</f>
        <v>84</v>
      </c>
      <c r="J285" s="8">
        <f>VLOOKUP(financials[[#This Row],[productid]],Products!$B$2:$H$10,4)</f>
        <v>5.5</v>
      </c>
      <c r="K285" s="8">
        <f>financials[[#This Row],[Net Sales]]-financials[[#This Row],[COGS]]</f>
        <v>78.5</v>
      </c>
      <c r="L285" s="15">
        <v>44407</v>
      </c>
      <c r="M285" t="s">
        <v>700</v>
      </c>
    </row>
    <row r="286" spans="1:13" x14ac:dyDescent="0.25">
      <c r="A286" t="s">
        <v>86</v>
      </c>
      <c r="B286" s="6" t="s">
        <v>197</v>
      </c>
      <c r="C286" s="13">
        <v>109</v>
      </c>
      <c r="D286" s="14" t="s">
        <v>90</v>
      </c>
      <c r="E286">
        <v>11</v>
      </c>
      <c r="F286" s="8">
        <f>VLOOKUP(financials[[#This Row],[productid]],Products!$B$2:$H$10,3)</f>
        <v>36</v>
      </c>
      <c r="G286" s="8">
        <f>financials[[#This Row],[Units Sold]]*financials[[#This Row],[Sale Price]]</f>
        <v>396</v>
      </c>
      <c r="H286" s="8">
        <f>IF(financials[[#This Row],[Discount Band]]="low",0.1,IF(financials[[#This Row],[Discount Band]]="medium",0.15,0.3))</f>
        <v>0.15</v>
      </c>
      <c r="I286" s="8">
        <f>financials[[#This Row],[Gross Sales]]-financials[[#This Row],[Gross Sales]]*financials[[#This Row],[Discounts]]</f>
        <v>336.6</v>
      </c>
      <c r="J286" s="8">
        <f>VLOOKUP(financials[[#This Row],[productid]],Products!$B$2:$H$10,4)</f>
        <v>16.8</v>
      </c>
      <c r="K286" s="8">
        <f>financials[[#This Row],[Net Sales]]-financials[[#This Row],[COGS]]</f>
        <v>319.8</v>
      </c>
      <c r="L286" s="15">
        <v>45299</v>
      </c>
      <c r="M286" t="s">
        <v>697</v>
      </c>
    </row>
    <row r="287" spans="1:13" x14ac:dyDescent="0.25">
      <c r="A287" t="s">
        <v>86</v>
      </c>
      <c r="B287" s="6" t="s">
        <v>228</v>
      </c>
      <c r="C287" s="13">
        <v>101</v>
      </c>
      <c r="D287" s="14" t="s">
        <v>90</v>
      </c>
      <c r="E287">
        <v>11</v>
      </c>
      <c r="F287" s="8">
        <f>VLOOKUP(financials[[#This Row],[productid]],Products!$B$2:$H$10,3)</f>
        <v>23</v>
      </c>
      <c r="G287" s="8">
        <f>financials[[#This Row],[Units Sold]]*financials[[#This Row],[Sale Price]]</f>
        <v>253</v>
      </c>
      <c r="H287" s="8">
        <f>IF(financials[[#This Row],[Discount Band]]="low",0.1,IF(financials[[#This Row],[Discount Band]]="medium",0.15,0.3))</f>
        <v>0.15</v>
      </c>
      <c r="I287" s="8">
        <f>financials[[#This Row],[Gross Sales]]-financials[[#This Row],[Gross Sales]]*financials[[#This Row],[Discounts]]</f>
        <v>215.05</v>
      </c>
      <c r="J287" s="8">
        <f>VLOOKUP(financials[[#This Row],[productid]],Products!$B$2:$H$10,4)</f>
        <v>9.9499999999999993</v>
      </c>
      <c r="K287" s="8">
        <f>financials[[#This Row],[Net Sales]]-financials[[#This Row],[COGS]]</f>
        <v>205.10000000000002</v>
      </c>
      <c r="L287" s="15">
        <v>44697</v>
      </c>
      <c r="M287" t="s">
        <v>696</v>
      </c>
    </row>
    <row r="288" spans="1:13" x14ac:dyDescent="0.25">
      <c r="A288" t="s">
        <v>86</v>
      </c>
      <c r="B288" s="6" t="s">
        <v>545</v>
      </c>
      <c r="C288" s="13">
        <v>102</v>
      </c>
      <c r="D288" s="14" t="s">
        <v>91</v>
      </c>
      <c r="E288">
        <v>11</v>
      </c>
      <c r="F288" s="8">
        <f>VLOOKUP(financials[[#This Row],[productid]],Products!$B$2:$H$10,3)</f>
        <v>15</v>
      </c>
      <c r="G288" s="8">
        <f>financials[[#This Row],[Units Sold]]*financials[[#This Row],[Sale Price]]</f>
        <v>165</v>
      </c>
      <c r="H288" s="8">
        <f>IF(financials[[#This Row],[Discount Band]]="low",0.1,IF(financials[[#This Row],[Discount Band]]="medium",0.15,0.3))</f>
        <v>0.1</v>
      </c>
      <c r="I288" s="8">
        <f>financials[[#This Row],[Gross Sales]]-financials[[#This Row],[Gross Sales]]*financials[[#This Row],[Discounts]]</f>
        <v>148.5</v>
      </c>
      <c r="J288" s="8">
        <f>VLOOKUP(financials[[#This Row],[productid]],Products!$B$2:$H$10,4)</f>
        <v>13.95</v>
      </c>
      <c r="K288" s="8">
        <f>financials[[#This Row],[Net Sales]]-financials[[#This Row],[COGS]]</f>
        <v>134.55000000000001</v>
      </c>
      <c r="L288" s="15">
        <v>45184</v>
      </c>
      <c r="M288" t="s">
        <v>696</v>
      </c>
    </row>
    <row r="289" spans="1:13" x14ac:dyDescent="0.25">
      <c r="A289" t="s">
        <v>86</v>
      </c>
      <c r="B289" s="6" t="s">
        <v>240</v>
      </c>
      <c r="C289" s="13">
        <v>105</v>
      </c>
      <c r="D289" s="14" t="s">
        <v>91</v>
      </c>
      <c r="E289">
        <v>15</v>
      </c>
      <c r="F289" s="8">
        <f>VLOOKUP(financials[[#This Row],[productid]],Products!$B$2:$H$10,3)</f>
        <v>15</v>
      </c>
      <c r="G289" s="8">
        <f>financials[[#This Row],[Units Sold]]*financials[[#This Row],[Sale Price]]</f>
        <v>225</v>
      </c>
      <c r="H289" s="8">
        <f>IF(financials[[#This Row],[Discount Band]]="low",0.1,IF(financials[[#This Row],[Discount Band]]="medium",0.15,0.3))</f>
        <v>0.1</v>
      </c>
      <c r="I289" s="8">
        <f>financials[[#This Row],[Gross Sales]]-financials[[#This Row],[Gross Sales]]*financials[[#This Row],[Discounts]]</f>
        <v>202.5</v>
      </c>
      <c r="J289" s="8">
        <f>VLOOKUP(financials[[#This Row],[productid]],Products!$B$2:$H$10,4)</f>
        <v>10</v>
      </c>
      <c r="K289" s="8">
        <f>financials[[#This Row],[Net Sales]]-financials[[#This Row],[COGS]]</f>
        <v>192.5</v>
      </c>
      <c r="L289" s="15">
        <v>45457</v>
      </c>
      <c r="M289" t="s">
        <v>696</v>
      </c>
    </row>
    <row r="290" spans="1:13" x14ac:dyDescent="0.25">
      <c r="A290" t="s">
        <v>86</v>
      </c>
      <c r="B290" s="6" t="s">
        <v>545</v>
      </c>
      <c r="C290" s="13">
        <v>109</v>
      </c>
      <c r="D290" s="14" t="s">
        <v>83</v>
      </c>
      <c r="E290">
        <v>16</v>
      </c>
      <c r="F290" s="8">
        <f>VLOOKUP(financials[[#This Row],[productid]],Products!$B$2:$H$10,3)</f>
        <v>36</v>
      </c>
      <c r="G290" s="8">
        <f>financials[[#This Row],[Units Sold]]*financials[[#This Row],[Sale Price]]</f>
        <v>576</v>
      </c>
      <c r="H290" s="8">
        <f>IF(financials[[#This Row],[Discount Band]]="low",0.1,IF(financials[[#This Row],[Discount Band]]="medium",0.15,0.3))</f>
        <v>0.3</v>
      </c>
      <c r="I290" s="8">
        <f>financials[[#This Row],[Gross Sales]]-financials[[#This Row],[Gross Sales]]*financials[[#This Row],[Discounts]]</f>
        <v>403.20000000000005</v>
      </c>
      <c r="J290" s="8">
        <f>VLOOKUP(financials[[#This Row],[productid]],Products!$B$2:$H$10,4)</f>
        <v>16.8</v>
      </c>
      <c r="K290" s="8">
        <f>financials[[#This Row],[Net Sales]]-financials[[#This Row],[COGS]]</f>
        <v>386.40000000000003</v>
      </c>
      <c r="L290" s="15">
        <v>44964</v>
      </c>
      <c r="M290" t="s">
        <v>697</v>
      </c>
    </row>
    <row r="291" spans="1:13" x14ac:dyDescent="0.25">
      <c r="A291" t="s">
        <v>85</v>
      </c>
      <c r="B291" s="6" t="s">
        <v>93</v>
      </c>
      <c r="C291" s="13">
        <v>102</v>
      </c>
      <c r="D291" s="14" t="s">
        <v>83</v>
      </c>
      <c r="E291">
        <v>14</v>
      </c>
      <c r="F291" s="8">
        <f>VLOOKUP(financials[[#This Row],[productid]],Products!$B$2:$H$10,3)</f>
        <v>15</v>
      </c>
      <c r="G291" s="8">
        <f>financials[[#This Row],[Units Sold]]*financials[[#This Row],[Sale Price]]</f>
        <v>210</v>
      </c>
      <c r="H291" s="8">
        <f>IF(financials[[#This Row],[Discount Band]]="low",0.1,IF(financials[[#This Row],[Discount Band]]="medium",0.15,0.3))</f>
        <v>0.3</v>
      </c>
      <c r="I291" s="8">
        <f>financials[[#This Row],[Gross Sales]]-financials[[#This Row],[Gross Sales]]*financials[[#This Row],[Discounts]]</f>
        <v>147</v>
      </c>
      <c r="J291" s="8">
        <f>VLOOKUP(financials[[#This Row],[productid]],Products!$B$2:$H$10,4)</f>
        <v>13.95</v>
      </c>
      <c r="K291" s="8">
        <f>financials[[#This Row],[Net Sales]]-financials[[#This Row],[COGS]]</f>
        <v>133.05000000000001</v>
      </c>
      <c r="L291" s="15">
        <v>44533</v>
      </c>
      <c r="M291" t="s">
        <v>696</v>
      </c>
    </row>
    <row r="292" spans="1:13" x14ac:dyDescent="0.25">
      <c r="A292" t="s">
        <v>87</v>
      </c>
      <c r="B292" s="6" t="s">
        <v>644</v>
      </c>
      <c r="C292" s="13">
        <v>108</v>
      </c>
      <c r="D292" s="14" t="s">
        <v>90</v>
      </c>
      <c r="E292">
        <v>9</v>
      </c>
      <c r="F292" s="8">
        <f>VLOOKUP(financials[[#This Row],[productid]],Products!$B$2:$H$10,3)</f>
        <v>5.5</v>
      </c>
      <c r="G292" s="8">
        <f>financials[[#This Row],[Units Sold]]*financials[[#This Row],[Sale Price]]</f>
        <v>49.5</v>
      </c>
      <c r="H292" s="8">
        <f>IF(financials[[#This Row],[Discount Band]]="low",0.1,IF(financials[[#This Row],[Discount Band]]="medium",0.15,0.3))</f>
        <v>0.15</v>
      </c>
      <c r="I292" s="8">
        <f>financials[[#This Row],[Gross Sales]]-financials[[#This Row],[Gross Sales]]*financials[[#This Row],[Discounts]]</f>
        <v>42.075000000000003</v>
      </c>
      <c r="J292" s="8">
        <f>VLOOKUP(financials[[#This Row],[productid]],Products!$B$2:$H$10,4)</f>
        <v>3.99</v>
      </c>
      <c r="K292" s="8">
        <f>financials[[#This Row],[Net Sales]]-financials[[#This Row],[COGS]]</f>
        <v>38.085000000000001</v>
      </c>
      <c r="L292" s="15">
        <v>45211</v>
      </c>
      <c r="M292" t="s">
        <v>700</v>
      </c>
    </row>
    <row r="293" spans="1:13" x14ac:dyDescent="0.25">
      <c r="A293" t="s">
        <v>86</v>
      </c>
      <c r="B293" s="6" t="s">
        <v>268</v>
      </c>
      <c r="C293" s="13">
        <v>102</v>
      </c>
      <c r="D293" s="14" t="s">
        <v>83</v>
      </c>
      <c r="E293">
        <v>5</v>
      </c>
      <c r="F293" s="8">
        <f>VLOOKUP(financials[[#This Row],[productid]],Products!$B$2:$H$10,3)</f>
        <v>15</v>
      </c>
      <c r="G293" s="8">
        <f>financials[[#This Row],[Units Sold]]*financials[[#This Row],[Sale Price]]</f>
        <v>75</v>
      </c>
      <c r="H293" s="8">
        <f>IF(financials[[#This Row],[Discount Band]]="low",0.1,IF(financials[[#This Row],[Discount Band]]="medium",0.15,0.3))</f>
        <v>0.3</v>
      </c>
      <c r="I293" s="8">
        <f>financials[[#This Row],[Gross Sales]]-financials[[#This Row],[Gross Sales]]*financials[[#This Row],[Discounts]]</f>
        <v>52.5</v>
      </c>
      <c r="J293" s="8">
        <f>VLOOKUP(financials[[#This Row],[productid]],Products!$B$2:$H$10,4)</f>
        <v>13.95</v>
      </c>
      <c r="K293" s="8">
        <f>financials[[#This Row],[Net Sales]]-financials[[#This Row],[COGS]]</f>
        <v>38.549999999999997</v>
      </c>
      <c r="L293" s="15">
        <v>45042</v>
      </c>
      <c r="M293" t="s">
        <v>696</v>
      </c>
    </row>
    <row r="294" spans="1:13" x14ac:dyDescent="0.25">
      <c r="A294" t="s">
        <v>86</v>
      </c>
      <c r="B294" s="6" t="s">
        <v>125</v>
      </c>
      <c r="C294" s="13">
        <v>105</v>
      </c>
      <c r="D294" s="14" t="s">
        <v>91</v>
      </c>
      <c r="E294">
        <v>11</v>
      </c>
      <c r="F294" s="8">
        <f>VLOOKUP(financials[[#This Row],[productid]],Products!$B$2:$H$10,3)</f>
        <v>15</v>
      </c>
      <c r="G294" s="8">
        <f>financials[[#This Row],[Units Sold]]*financials[[#This Row],[Sale Price]]</f>
        <v>165</v>
      </c>
      <c r="H294" s="8">
        <f>IF(financials[[#This Row],[Discount Band]]="low",0.1,IF(financials[[#This Row],[Discount Band]]="medium",0.15,0.3))</f>
        <v>0.1</v>
      </c>
      <c r="I294" s="8">
        <f>financials[[#This Row],[Gross Sales]]-financials[[#This Row],[Gross Sales]]*financials[[#This Row],[Discounts]]</f>
        <v>148.5</v>
      </c>
      <c r="J294" s="8">
        <f>VLOOKUP(financials[[#This Row],[productid]],Products!$B$2:$H$10,4)</f>
        <v>10</v>
      </c>
      <c r="K294" s="8">
        <f>financials[[#This Row],[Net Sales]]-financials[[#This Row],[COGS]]</f>
        <v>138.5</v>
      </c>
      <c r="L294" s="15">
        <v>44099</v>
      </c>
      <c r="M294" t="s">
        <v>697</v>
      </c>
    </row>
    <row r="295" spans="1:13" x14ac:dyDescent="0.25">
      <c r="A295" t="s">
        <v>85</v>
      </c>
      <c r="B295" s="6" t="s">
        <v>266</v>
      </c>
      <c r="C295" s="13">
        <v>107</v>
      </c>
      <c r="D295" s="14" t="s">
        <v>92</v>
      </c>
      <c r="E295">
        <v>9</v>
      </c>
      <c r="F295" s="8">
        <f>VLOOKUP(financials[[#This Row],[productid]],Products!$B$2:$H$10,3)</f>
        <v>15</v>
      </c>
      <c r="G295" s="8">
        <f>financials[[#This Row],[Units Sold]]*financials[[#This Row],[Sale Price]]</f>
        <v>135</v>
      </c>
      <c r="H295" s="8">
        <f>IF(financials[[#This Row],[Discount Band]]="low",0.1,IF(financials[[#This Row],[Discount Band]]="medium",0.15,0.3))</f>
        <v>0.3</v>
      </c>
      <c r="I295" s="8">
        <f>financials[[#This Row],[Gross Sales]]-financials[[#This Row],[Gross Sales]]*financials[[#This Row],[Discounts]]</f>
        <v>94.5</v>
      </c>
      <c r="J295" s="8">
        <f>VLOOKUP(financials[[#This Row],[productid]],Products!$B$2:$H$10,4)</f>
        <v>5.5</v>
      </c>
      <c r="K295" s="8">
        <f>financials[[#This Row],[Net Sales]]-financials[[#This Row],[COGS]]</f>
        <v>89</v>
      </c>
      <c r="L295" s="15">
        <v>44439</v>
      </c>
      <c r="M295" t="s">
        <v>691</v>
      </c>
    </row>
    <row r="296" spans="1:13" x14ac:dyDescent="0.25">
      <c r="A296" t="s">
        <v>85</v>
      </c>
      <c r="B296" s="6" t="s">
        <v>266</v>
      </c>
      <c r="C296" s="13">
        <v>101</v>
      </c>
      <c r="D296" s="14" t="s">
        <v>83</v>
      </c>
      <c r="E296">
        <v>12</v>
      </c>
      <c r="F296" s="8">
        <f>VLOOKUP(financials[[#This Row],[productid]],Products!$B$2:$H$10,3)</f>
        <v>23</v>
      </c>
      <c r="G296" s="8">
        <f>financials[[#This Row],[Units Sold]]*financials[[#This Row],[Sale Price]]</f>
        <v>276</v>
      </c>
      <c r="H296" s="8">
        <f>IF(financials[[#This Row],[Discount Band]]="low",0.1,IF(financials[[#This Row],[Discount Band]]="medium",0.15,0.3))</f>
        <v>0.3</v>
      </c>
      <c r="I296" s="8">
        <f>financials[[#This Row],[Gross Sales]]-financials[[#This Row],[Gross Sales]]*financials[[#This Row],[Discounts]]</f>
        <v>193.2</v>
      </c>
      <c r="J296" s="8">
        <f>VLOOKUP(financials[[#This Row],[productid]],Products!$B$2:$H$10,4)</f>
        <v>9.9499999999999993</v>
      </c>
      <c r="K296" s="8">
        <f>financials[[#This Row],[Net Sales]]-financials[[#This Row],[COGS]]</f>
        <v>183.25</v>
      </c>
      <c r="L296" s="15">
        <v>45034</v>
      </c>
      <c r="M296" t="s">
        <v>700</v>
      </c>
    </row>
    <row r="297" spans="1:13" x14ac:dyDescent="0.25">
      <c r="A297" t="s">
        <v>85</v>
      </c>
      <c r="B297" s="6" t="s">
        <v>545</v>
      </c>
      <c r="C297" s="13">
        <v>109</v>
      </c>
      <c r="D297" s="14" t="s">
        <v>90</v>
      </c>
      <c r="E297">
        <v>13</v>
      </c>
      <c r="F297" s="8">
        <f>VLOOKUP(financials[[#This Row],[productid]],Products!$B$2:$H$10,3)</f>
        <v>36</v>
      </c>
      <c r="G297" s="8">
        <f>financials[[#This Row],[Units Sold]]*financials[[#This Row],[Sale Price]]</f>
        <v>468</v>
      </c>
      <c r="H297" s="8">
        <f>IF(financials[[#This Row],[Discount Band]]="low",0.1,IF(financials[[#This Row],[Discount Band]]="medium",0.15,0.3))</f>
        <v>0.15</v>
      </c>
      <c r="I297" s="8">
        <f>financials[[#This Row],[Gross Sales]]-financials[[#This Row],[Gross Sales]]*financials[[#This Row],[Discounts]]</f>
        <v>397.8</v>
      </c>
      <c r="J297" s="8">
        <f>VLOOKUP(financials[[#This Row],[productid]],Products!$B$2:$H$10,4)</f>
        <v>16.8</v>
      </c>
      <c r="K297" s="8">
        <f>financials[[#This Row],[Net Sales]]-financials[[#This Row],[COGS]]</f>
        <v>381</v>
      </c>
      <c r="L297" s="15">
        <v>44518</v>
      </c>
      <c r="M297" t="s">
        <v>697</v>
      </c>
    </row>
    <row r="298" spans="1:13" x14ac:dyDescent="0.25">
      <c r="A298" t="s">
        <v>85</v>
      </c>
      <c r="B298" s="6" t="s">
        <v>93</v>
      </c>
      <c r="C298" s="13">
        <v>104</v>
      </c>
      <c r="D298" s="14" t="s">
        <v>83</v>
      </c>
      <c r="E298">
        <v>16</v>
      </c>
      <c r="F298" s="8">
        <f>VLOOKUP(financials[[#This Row],[productid]],Products!$B$2:$H$10,3)</f>
        <v>5.9</v>
      </c>
      <c r="G298" s="8">
        <f>financials[[#This Row],[Units Sold]]*financials[[#This Row],[Sale Price]]</f>
        <v>94.4</v>
      </c>
      <c r="H298" s="8">
        <f>IF(financials[[#This Row],[Discount Band]]="low",0.1,IF(financials[[#This Row],[Discount Band]]="medium",0.15,0.3))</f>
        <v>0.3</v>
      </c>
      <c r="I298" s="8">
        <f>financials[[#This Row],[Gross Sales]]-financials[[#This Row],[Gross Sales]]*financials[[#This Row],[Discounts]]</f>
        <v>66.080000000000013</v>
      </c>
      <c r="J298" s="8">
        <f>VLOOKUP(financials[[#This Row],[productid]],Products!$B$2:$H$10,4)</f>
        <v>2.9</v>
      </c>
      <c r="K298" s="8">
        <f>financials[[#This Row],[Net Sales]]-financials[[#This Row],[COGS]]</f>
        <v>63.180000000000014</v>
      </c>
      <c r="L298" s="15">
        <v>43849</v>
      </c>
      <c r="M298" t="s">
        <v>690</v>
      </c>
    </row>
    <row r="299" spans="1:13" x14ac:dyDescent="0.25">
      <c r="A299" t="s">
        <v>89</v>
      </c>
      <c r="B299" s="6" t="s">
        <v>266</v>
      </c>
      <c r="C299" s="13">
        <v>103</v>
      </c>
      <c r="D299" s="14" t="s">
        <v>83</v>
      </c>
      <c r="E299">
        <v>18</v>
      </c>
      <c r="F299" s="8">
        <f>VLOOKUP(financials[[#This Row],[productid]],Products!$B$2:$H$10,3)</f>
        <v>28</v>
      </c>
      <c r="G299" s="8">
        <f>financials[[#This Row],[Units Sold]]*financials[[#This Row],[Sale Price]]</f>
        <v>504</v>
      </c>
      <c r="H299" s="8">
        <f>IF(financials[[#This Row],[Discount Band]]="low",0.1,IF(financials[[#This Row],[Discount Band]]="medium",0.15,0.3))</f>
        <v>0.3</v>
      </c>
      <c r="I299" s="8">
        <f>financials[[#This Row],[Gross Sales]]-financials[[#This Row],[Gross Sales]]*financials[[#This Row],[Discounts]]</f>
        <v>352.8</v>
      </c>
      <c r="J299" s="8">
        <f>VLOOKUP(financials[[#This Row],[productid]],Products!$B$2:$H$10,4)</f>
        <v>15</v>
      </c>
      <c r="K299" s="8">
        <f>financials[[#This Row],[Net Sales]]-financials[[#This Row],[COGS]]</f>
        <v>337.8</v>
      </c>
      <c r="L299" s="15">
        <v>44671</v>
      </c>
      <c r="M299" t="s">
        <v>700</v>
      </c>
    </row>
    <row r="300" spans="1:13" x14ac:dyDescent="0.25">
      <c r="A300" t="s">
        <v>86</v>
      </c>
      <c r="B300" s="6" t="s">
        <v>95</v>
      </c>
      <c r="C300" s="13">
        <v>104</v>
      </c>
      <c r="D300" s="14" t="s">
        <v>90</v>
      </c>
      <c r="E300">
        <v>20</v>
      </c>
      <c r="F300" s="8">
        <f>VLOOKUP(financials[[#This Row],[productid]],Products!$B$2:$H$10,3)</f>
        <v>5.9</v>
      </c>
      <c r="G300" s="8">
        <f>financials[[#This Row],[Units Sold]]*financials[[#This Row],[Sale Price]]</f>
        <v>118</v>
      </c>
      <c r="H300" s="8">
        <f>IF(financials[[#This Row],[Discount Band]]="low",0.1,IF(financials[[#This Row],[Discount Band]]="medium",0.15,0.3))</f>
        <v>0.15</v>
      </c>
      <c r="I300" s="8">
        <f>financials[[#This Row],[Gross Sales]]-financials[[#This Row],[Gross Sales]]*financials[[#This Row],[Discounts]]</f>
        <v>100.3</v>
      </c>
      <c r="J300" s="8">
        <f>VLOOKUP(financials[[#This Row],[productid]],Products!$B$2:$H$10,4)</f>
        <v>2.9</v>
      </c>
      <c r="K300" s="8">
        <f>financials[[#This Row],[Net Sales]]-financials[[#This Row],[COGS]]</f>
        <v>97.399999999999991</v>
      </c>
      <c r="L300" s="15">
        <v>44736</v>
      </c>
      <c r="M300" t="s">
        <v>697</v>
      </c>
    </row>
    <row r="301" spans="1:13" x14ac:dyDescent="0.25">
      <c r="A301" t="s">
        <v>86</v>
      </c>
      <c r="B301" s="6" t="s">
        <v>228</v>
      </c>
      <c r="C301" s="11">
        <v>109</v>
      </c>
      <c r="D301" s="9" t="s">
        <v>91</v>
      </c>
      <c r="E301">
        <v>17</v>
      </c>
      <c r="F301" s="8">
        <f>VLOOKUP(financials[[#This Row],[productid]],Products!$B$2:$H$10,3)</f>
        <v>36</v>
      </c>
      <c r="G301" s="8">
        <f>financials[[#This Row],[Units Sold]]*financials[[#This Row],[Sale Price]]</f>
        <v>612</v>
      </c>
      <c r="H301" s="8">
        <f>IF(financials[[#This Row],[Discount Band]]="low",0.1,IF(financials[[#This Row],[Discount Band]]="medium",0.15,0.3))</f>
        <v>0.1</v>
      </c>
      <c r="I301" s="8">
        <f>financials[[#This Row],[Gross Sales]]-financials[[#This Row],[Gross Sales]]*financials[[#This Row],[Discounts]]</f>
        <v>550.79999999999995</v>
      </c>
      <c r="J301" s="8">
        <f>VLOOKUP(financials[[#This Row],[productid]],Products!$B$2:$H$10,4)</f>
        <v>16.8</v>
      </c>
      <c r="K301" s="8">
        <f>financials[[#This Row],[Net Sales]]-financials[[#This Row],[COGS]]</f>
        <v>534</v>
      </c>
      <c r="L301" s="15">
        <v>44420</v>
      </c>
      <c r="M301" t="s">
        <v>690</v>
      </c>
    </row>
    <row r="302" spans="1:13" x14ac:dyDescent="0.25">
      <c r="A302" t="s">
        <v>86</v>
      </c>
      <c r="B302" s="6" t="s">
        <v>148</v>
      </c>
      <c r="C302" s="13">
        <v>104</v>
      </c>
      <c r="D302" s="14" t="s">
        <v>92</v>
      </c>
      <c r="E302">
        <v>9</v>
      </c>
      <c r="F302" s="8">
        <f>VLOOKUP(financials[[#This Row],[productid]],Products!$B$2:$H$10,3)</f>
        <v>5.9</v>
      </c>
      <c r="G302" s="8">
        <f>financials[[#This Row],[Units Sold]]*financials[[#This Row],[Sale Price]]</f>
        <v>53.1</v>
      </c>
      <c r="H302" s="8">
        <f>IF(financials[[#This Row],[Discount Band]]="low",0.1,IF(financials[[#This Row],[Discount Band]]="medium",0.15,0.3))</f>
        <v>0.3</v>
      </c>
      <c r="I302" s="8">
        <f>financials[[#This Row],[Gross Sales]]-financials[[#This Row],[Gross Sales]]*financials[[#This Row],[Discounts]]</f>
        <v>37.17</v>
      </c>
      <c r="J302" s="8">
        <f>VLOOKUP(financials[[#This Row],[productid]],Products!$B$2:$H$10,4)</f>
        <v>2.9</v>
      </c>
      <c r="K302" s="8">
        <f>financials[[#This Row],[Net Sales]]-financials[[#This Row],[COGS]]</f>
        <v>34.270000000000003</v>
      </c>
      <c r="L302" s="15">
        <v>45446</v>
      </c>
      <c r="M302" t="s">
        <v>696</v>
      </c>
    </row>
    <row r="303" spans="1:13" x14ac:dyDescent="0.25">
      <c r="A303" t="s">
        <v>86</v>
      </c>
      <c r="B303" s="6" t="s">
        <v>617</v>
      </c>
      <c r="C303" s="13">
        <v>107</v>
      </c>
      <c r="D303" s="14" t="s">
        <v>91</v>
      </c>
      <c r="E303">
        <v>16</v>
      </c>
      <c r="F303" s="8">
        <f>VLOOKUP(financials[[#This Row],[productid]],Products!$B$2:$H$10,3)</f>
        <v>15</v>
      </c>
      <c r="G303" s="8">
        <f>financials[[#This Row],[Units Sold]]*financials[[#This Row],[Sale Price]]</f>
        <v>240</v>
      </c>
      <c r="H303" s="8">
        <f>IF(financials[[#This Row],[Discount Band]]="low",0.1,IF(financials[[#This Row],[Discount Band]]="medium",0.15,0.3))</f>
        <v>0.1</v>
      </c>
      <c r="I303" s="8">
        <f>financials[[#This Row],[Gross Sales]]-financials[[#This Row],[Gross Sales]]*financials[[#This Row],[Discounts]]</f>
        <v>216</v>
      </c>
      <c r="J303" s="8">
        <f>VLOOKUP(financials[[#This Row],[productid]],Products!$B$2:$H$10,4)</f>
        <v>5.5</v>
      </c>
      <c r="K303" s="8">
        <f>financials[[#This Row],[Net Sales]]-financials[[#This Row],[COGS]]</f>
        <v>210.5</v>
      </c>
      <c r="L303" s="15">
        <v>43973</v>
      </c>
      <c r="M303" t="s">
        <v>690</v>
      </c>
    </row>
    <row r="304" spans="1:13" x14ac:dyDescent="0.25">
      <c r="A304" t="s">
        <v>86</v>
      </c>
      <c r="B304" s="6" t="s">
        <v>232</v>
      </c>
      <c r="C304" s="13">
        <v>106</v>
      </c>
      <c r="D304" s="14" t="s">
        <v>90</v>
      </c>
      <c r="E304">
        <v>7</v>
      </c>
      <c r="F304" s="8">
        <f>VLOOKUP(financials[[#This Row],[productid]],Products!$B$2:$H$10,3)</f>
        <v>25</v>
      </c>
      <c r="G304" s="8">
        <f>financials[[#This Row],[Units Sold]]*financials[[#This Row],[Sale Price]]</f>
        <v>175</v>
      </c>
      <c r="H304" s="8">
        <f>IF(financials[[#This Row],[Discount Band]]="low",0.1,IF(financials[[#This Row],[Discount Band]]="medium",0.15,0.3))</f>
        <v>0.15</v>
      </c>
      <c r="I304" s="8">
        <f>financials[[#This Row],[Gross Sales]]-financials[[#This Row],[Gross Sales]]*financials[[#This Row],[Discounts]]</f>
        <v>148.75</v>
      </c>
      <c r="J304" s="8">
        <f>VLOOKUP(financials[[#This Row],[productid]],Products!$B$2:$H$10,4)</f>
        <v>9.1</v>
      </c>
      <c r="K304" s="8">
        <f>financials[[#This Row],[Net Sales]]-financials[[#This Row],[COGS]]</f>
        <v>139.65</v>
      </c>
      <c r="L304" s="15">
        <v>44250</v>
      </c>
      <c r="M304" t="s">
        <v>691</v>
      </c>
    </row>
    <row r="305" spans="1:13" x14ac:dyDescent="0.25">
      <c r="A305" t="s">
        <v>86</v>
      </c>
      <c r="B305" s="6" t="s">
        <v>274</v>
      </c>
      <c r="C305" s="13">
        <v>105</v>
      </c>
      <c r="D305" s="14" t="s">
        <v>92</v>
      </c>
      <c r="E305">
        <v>13</v>
      </c>
      <c r="F305" s="8">
        <f>VLOOKUP(financials[[#This Row],[productid]],Products!$B$2:$H$10,3)</f>
        <v>15</v>
      </c>
      <c r="G305" s="8">
        <f>financials[[#This Row],[Units Sold]]*financials[[#This Row],[Sale Price]]</f>
        <v>195</v>
      </c>
      <c r="H305" s="8">
        <f>IF(financials[[#This Row],[Discount Band]]="low",0.1,IF(financials[[#This Row],[Discount Band]]="medium",0.15,0.3))</f>
        <v>0.3</v>
      </c>
      <c r="I305" s="8">
        <f>financials[[#This Row],[Gross Sales]]-financials[[#This Row],[Gross Sales]]*financials[[#This Row],[Discounts]]</f>
        <v>136.5</v>
      </c>
      <c r="J305" s="8">
        <f>VLOOKUP(financials[[#This Row],[productid]],Products!$B$2:$H$10,4)</f>
        <v>10</v>
      </c>
      <c r="K305" s="8">
        <f>financials[[#This Row],[Net Sales]]-financials[[#This Row],[COGS]]</f>
        <v>126.5</v>
      </c>
      <c r="L305" s="15">
        <v>44093</v>
      </c>
      <c r="M305" t="s">
        <v>690</v>
      </c>
    </row>
    <row r="306" spans="1:13" x14ac:dyDescent="0.25">
      <c r="A306" t="s">
        <v>86</v>
      </c>
      <c r="B306" s="6" t="s">
        <v>287</v>
      </c>
      <c r="C306" s="13">
        <v>105</v>
      </c>
      <c r="D306" s="14" t="s">
        <v>90</v>
      </c>
      <c r="E306">
        <v>17</v>
      </c>
      <c r="F306" s="8">
        <f>VLOOKUP(financials[[#This Row],[productid]],Products!$B$2:$H$10,3)</f>
        <v>15</v>
      </c>
      <c r="G306" s="8">
        <f>financials[[#This Row],[Units Sold]]*financials[[#This Row],[Sale Price]]</f>
        <v>255</v>
      </c>
      <c r="H306" s="8">
        <f>IF(financials[[#This Row],[Discount Band]]="low",0.1,IF(financials[[#This Row],[Discount Band]]="medium",0.15,0.3))</f>
        <v>0.15</v>
      </c>
      <c r="I306" s="8">
        <f>financials[[#This Row],[Gross Sales]]-financials[[#This Row],[Gross Sales]]*financials[[#This Row],[Discounts]]</f>
        <v>216.75</v>
      </c>
      <c r="J306" s="8">
        <f>VLOOKUP(financials[[#This Row],[productid]],Products!$B$2:$H$10,4)</f>
        <v>10</v>
      </c>
      <c r="K306" s="8">
        <f>financials[[#This Row],[Net Sales]]-financials[[#This Row],[COGS]]</f>
        <v>206.75</v>
      </c>
      <c r="L306" s="15">
        <v>44816</v>
      </c>
      <c r="M306" t="s">
        <v>696</v>
      </c>
    </row>
    <row r="307" spans="1:13" x14ac:dyDescent="0.25">
      <c r="A307" t="s">
        <v>86</v>
      </c>
      <c r="B307" s="6" t="s">
        <v>545</v>
      </c>
      <c r="C307" s="13">
        <v>106</v>
      </c>
      <c r="D307" s="14" t="s">
        <v>90</v>
      </c>
      <c r="E307">
        <v>9</v>
      </c>
      <c r="F307" s="8">
        <f>VLOOKUP(financials[[#This Row],[productid]],Products!$B$2:$H$10,3)</f>
        <v>25</v>
      </c>
      <c r="G307" s="8">
        <f>financials[[#This Row],[Units Sold]]*financials[[#This Row],[Sale Price]]</f>
        <v>225</v>
      </c>
      <c r="H307" s="8">
        <f>IF(financials[[#This Row],[Discount Band]]="low",0.1,IF(financials[[#This Row],[Discount Band]]="medium",0.15,0.3))</f>
        <v>0.15</v>
      </c>
      <c r="I307" s="8">
        <f>financials[[#This Row],[Gross Sales]]-financials[[#This Row],[Gross Sales]]*financials[[#This Row],[Discounts]]</f>
        <v>191.25</v>
      </c>
      <c r="J307" s="8">
        <f>VLOOKUP(financials[[#This Row],[productid]],Products!$B$2:$H$10,4)</f>
        <v>9.1</v>
      </c>
      <c r="K307" s="8">
        <f>financials[[#This Row],[Net Sales]]-financials[[#This Row],[COGS]]</f>
        <v>182.15</v>
      </c>
      <c r="L307" s="15">
        <v>44118</v>
      </c>
      <c r="M307" t="s">
        <v>696</v>
      </c>
    </row>
    <row r="308" spans="1:13" x14ac:dyDescent="0.25">
      <c r="A308" t="s">
        <v>86</v>
      </c>
      <c r="B308" s="6" t="s">
        <v>232</v>
      </c>
      <c r="C308" s="13">
        <v>105</v>
      </c>
      <c r="D308" s="14" t="s">
        <v>83</v>
      </c>
      <c r="E308">
        <v>5</v>
      </c>
      <c r="F308" s="8">
        <f>VLOOKUP(financials[[#This Row],[productid]],Products!$B$2:$H$10,3)</f>
        <v>15</v>
      </c>
      <c r="G308" s="8">
        <f>financials[[#This Row],[Units Sold]]*financials[[#This Row],[Sale Price]]</f>
        <v>75</v>
      </c>
      <c r="H308" s="8">
        <f>IF(financials[[#This Row],[Discount Band]]="low",0.1,IF(financials[[#This Row],[Discount Band]]="medium",0.15,0.3))</f>
        <v>0.3</v>
      </c>
      <c r="I308" s="8">
        <f>financials[[#This Row],[Gross Sales]]-financials[[#This Row],[Gross Sales]]*financials[[#This Row],[Discounts]]</f>
        <v>52.5</v>
      </c>
      <c r="J308" s="8">
        <f>VLOOKUP(financials[[#This Row],[productid]],Products!$B$2:$H$10,4)</f>
        <v>10</v>
      </c>
      <c r="K308" s="8">
        <f>financials[[#This Row],[Net Sales]]-financials[[#This Row],[COGS]]</f>
        <v>42.5</v>
      </c>
      <c r="L308" s="15">
        <v>45432</v>
      </c>
      <c r="M308" t="s">
        <v>700</v>
      </c>
    </row>
    <row r="309" spans="1:13" x14ac:dyDescent="0.25">
      <c r="A309" t="s">
        <v>85</v>
      </c>
      <c r="B309" s="6" t="s">
        <v>645</v>
      </c>
      <c r="C309" s="13">
        <v>102</v>
      </c>
      <c r="D309" s="14" t="s">
        <v>91</v>
      </c>
      <c r="E309">
        <v>7</v>
      </c>
      <c r="F309" s="8">
        <f>VLOOKUP(financials[[#This Row],[productid]],Products!$B$2:$H$10,3)</f>
        <v>15</v>
      </c>
      <c r="G309" s="8">
        <f>financials[[#This Row],[Units Sold]]*financials[[#This Row],[Sale Price]]</f>
        <v>105</v>
      </c>
      <c r="H309" s="8">
        <f>IF(financials[[#This Row],[Discount Band]]="low",0.1,IF(financials[[#This Row],[Discount Band]]="medium",0.15,0.3))</f>
        <v>0.1</v>
      </c>
      <c r="I309" s="8">
        <f>financials[[#This Row],[Gross Sales]]-financials[[#This Row],[Gross Sales]]*financials[[#This Row],[Discounts]]</f>
        <v>94.5</v>
      </c>
      <c r="J309" s="8">
        <f>VLOOKUP(financials[[#This Row],[productid]],Products!$B$2:$H$10,4)</f>
        <v>13.95</v>
      </c>
      <c r="K309" s="8">
        <f>financials[[#This Row],[Net Sales]]-financials[[#This Row],[COGS]]</f>
        <v>80.55</v>
      </c>
      <c r="L309" s="15">
        <v>45270</v>
      </c>
      <c r="M309" t="s">
        <v>690</v>
      </c>
    </row>
    <row r="310" spans="1:13" x14ac:dyDescent="0.25">
      <c r="A310" t="s">
        <v>85</v>
      </c>
      <c r="B310" s="6" t="s">
        <v>158</v>
      </c>
      <c r="C310" s="13">
        <v>109</v>
      </c>
      <c r="D310" s="14" t="s">
        <v>90</v>
      </c>
      <c r="E310">
        <v>13</v>
      </c>
      <c r="F310" s="8">
        <f>VLOOKUP(financials[[#This Row],[productid]],Products!$B$2:$H$10,3)</f>
        <v>36</v>
      </c>
      <c r="G310" s="8">
        <f>financials[[#This Row],[Units Sold]]*financials[[#This Row],[Sale Price]]</f>
        <v>468</v>
      </c>
      <c r="H310" s="8">
        <f>IF(financials[[#This Row],[Discount Band]]="low",0.1,IF(financials[[#This Row],[Discount Band]]="medium",0.15,0.3))</f>
        <v>0.15</v>
      </c>
      <c r="I310" s="8">
        <f>financials[[#This Row],[Gross Sales]]-financials[[#This Row],[Gross Sales]]*financials[[#This Row],[Discounts]]</f>
        <v>397.8</v>
      </c>
      <c r="J310" s="8">
        <f>VLOOKUP(financials[[#This Row],[productid]],Products!$B$2:$H$10,4)</f>
        <v>16.8</v>
      </c>
      <c r="K310" s="8">
        <f>financials[[#This Row],[Net Sales]]-financials[[#This Row],[COGS]]</f>
        <v>381</v>
      </c>
      <c r="L310" s="15">
        <v>45512</v>
      </c>
      <c r="M310" t="s">
        <v>700</v>
      </c>
    </row>
    <row r="311" spans="1:13" x14ac:dyDescent="0.25">
      <c r="A311" t="s">
        <v>89</v>
      </c>
      <c r="B311" s="6" t="s">
        <v>266</v>
      </c>
      <c r="C311" s="11">
        <v>108</v>
      </c>
      <c r="D311" s="9" t="s">
        <v>91</v>
      </c>
      <c r="E311">
        <v>16</v>
      </c>
      <c r="F311" s="8">
        <f>VLOOKUP(financials[[#This Row],[productid]],Products!$B$2:$H$10,3)</f>
        <v>5.5</v>
      </c>
      <c r="G311" s="8">
        <f>financials[[#This Row],[Units Sold]]*financials[[#This Row],[Sale Price]]</f>
        <v>88</v>
      </c>
      <c r="H311" s="8">
        <f>IF(financials[[#This Row],[Discount Band]]="low",0.1,IF(financials[[#This Row],[Discount Band]]="medium",0.15,0.3))</f>
        <v>0.1</v>
      </c>
      <c r="I311" s="8">
        <f>financials[[#This Row],[Gross Sales]]-financials[[#This Row],[Gross Sales]]*financials[[#This Row],[Discounts]]</f>
        <v>79.2</v>
      </c>
      <c r="J311" s="8">
        <f>VLOOKUP(financials[[#This Row],[productid]],Products!$B$2:$H$10,4)</f>
        <v>3.99</v>
      </c>
      <c r="K311" s="8">
        <f>financials[[#This Row],[Net Sales]]-financials[[#This Row],[COGS]]</f>
        <v>75.210000000000008</v>
      </c>
      <c r="L311" s="15">
        <v>44916</v>
      </c>
      <c r="M311" t="s">
        <v>697</v>
      </c>
    </row>
    <row r="312" spans="1:13" x14ac:dyDescent="0.25">
      <c r="A312" t="s">
        <v>86</v>
      </c>
      <c r="B312" s="6" t="s">
        <v>197</v>
      </c>
      <c r="C312" s="13">
        <v>102</v>
      </c>
      <c r="D312" s="14" t="s">
        <v>83</v>
      </c>
      <c r="E312">
        <v>10</v>
      </c>
      <c r="F312" s="8">
        <f>VLOOKUP(financials[[#This Row],[productid]],Products!$B$2:$H$10,3)</f>
        <v>15</v>
      </c>
      <c r="G312" s="8">
        <f>financials[[#This Row],[Units Sold]]*financials[[#This Row],[Sale Price]]</f>
        <v>150</v>
      </c>
      <c r="H312" s="8">
        <f>IF(financials[[#This Row],[Discount Band]]="low",0.1,IF(financials[[#This Row],[Discount Band]]="medium",0.15,0.3))</f>
        <v>0.3</v>
      </c>
      <c r="I312" s="8">
        <f>financials[[#This Row],[Gross Sales]]-financials[[#This Row],[Gross Sales]]*financials[[#This Row],[Discounts]]</f>
        <v>105</v>
      </c>
      <c r="J312" s="8">
        <f>VLOOKUP(financials[[#This Row],[productid]],Products!$B$2:$H$10,4)</f>
        <v>13.95</v>
      </c>
      <c r="K312" s="8">
        <f>financials[[#This Row],[Net Sales]]-financials[[#This Row],[COGS]]</f>
        <v>91.05</v>
      </c>
      <c r="L312" s="15">
        <v>45223</v>
      </c>
      <c r="M312" t="s">
        <v>690</v>
      </c>
    </row>
    <row r="313" spans="1:13" x14ac:dyDescent="0.25">
      <c r="A313" t="s">
        <v>86</v>
      </c>
      <c r="B313" s="6" t="s">
        <v>228</v>
      </c>
      <c r="C313" s="11">
        <v>108</v>
      </c>
      <c r="D313" s="9" t="s">
        <v>83</v>
      </c>
      <c r="E313">
        <v>6</v>
      </c>
      <c r="F313" s="8">
        <f>VLOOKUP(financials[[#This Row],[productid]],Products!$B$2:$H$10,3)</f>
        <v>5.5</v>
      </c>
      <c r="G313" s="8">
        <f>financials[[#This Row],[Units Sold]]*financials[[#This Row],[Sale Price]]</f>
        <v>33</v>
      </c>
      <c r="H313" s="8">
        <f>IF(financials[[#This Row],[Discount Band]]="low",0.1,IF(financials[[#This Row],[Discount Band]]="medium",0.15,0.3))</f>
        <v>0.3</v>
      </c>
      <c r="I313" s="8">
        <f>financials[[#This Row],[Gross Sales]]-financials[[#This Row],[Gross Sales]]*financials[[#This Row],[Discounts]]</f>
        <v>23.1</v>
      </c>
      <c r="J313" s="8">
        <f>VLOOKUP(financials[[#This Row],[productid]],Products!$B$2:$H$10,4)</f>
        <v>3.99</v>
      </c>
      <c r="K313" s="8">
        <f>financials[[#This Row],[Net Sales]]-financials[[#This Row],[COGS]]</f>
        <v>19.11</v>
      </c>
      <c r="L313" s="15">
        <v>44487</v>
      </c>
      <c r="M313" t="s">
        <v>700</v>
      </c>
    </row>
    <row r="314" spans="1:13" x14ac:dyDescent="0.25">
      <c r="A314" t="s">
        <v>86</v>
      </c>
      <c r="B314" s="6" t="s">
        <v>93</v>
      </c>
      <c r="C314" s="13">
        <v>102</v>
      </c>
      <c r="D314" s="14" t="s">
        <v>83</v>
      </c>
      <c r="E314">
        <v>14</v>
      </c>
      <c r="F314" s="8">
        <f>VLOOKUP(financials[[#This Row],[productid]],Products!$B$2:$H$10,3)</f>
        <v>15</v>
      </c>
      <c r="G314" s="8">
        <f>financials[[#This Row],[Units Sold]]*financials[[#This Row],[Sale Price]]</f>
        <v>210</v>
      </c>
      <c r="H314" s="8">
        <f>IF(financials[[#This Row],[Discount Band]]="low",0.1,IF(financials[[#This Row],[Discount Band]]="medium",0.15,0.3))</f>
        <v>0.3</v>
      </c>
      <c r="I314" s="8">
        <f>financials[[#This Row],[Gross Sales]]-financials[[#This Row],[Gross Sales]]*financials[[#This Row],[Discounts]]</f>
        <v>147</v>
      </c>
      <c r="J314" s="8">
        <f>VLOOKUP(financials[[#This Row],[productid]],Products!$B$2:$H$10,4)</f>
        <v>13.95</v>
      </c>
      <c r="K314" s="8">
        <f>financials[[#This Row],[Net Sales]]-financials[[#This Row],[COGS]]</f>
        <v>133.05000000000001</v>
      </c>
      <c r="L314" s="15">
        <v>45385</v>
      </c>
      <c r="M314" t="s">
        <v>691</v>
      </c>
    </row>
    <row r="315" spans="1:13" x14ac:dyDescent="0.25">
      <c r="A315" t="s">
        <v>89</v>
      </c>
      <c r="B315" s="6" t="s">
        <v>93</v>
      </c>
      <c r="C315" s="13">
        <v>102</v>
      </c>
      <c r="D315" s="14" t="s">
        <v>83</v>
      </c>
      <c r="E315">
        <v>8</v>
      </c>
      <c r="F315" s="8">
        <f>VLOOKUP(financials[[#This Row],[productid]],Products!$B$2:$H$10,3)</f>
        <v>15</v>
      </c>
      <c r="G315" s="8">
        <f>financials[[#This Row],[Units Sold]]*financials[[#This Row],[Sale Price]]</f>
        <v>120</v>
      </c>
      <c r="H315" s="8">
        <f>IF(financials[[#This Row],[Discount Band]]="low",0.1,IF(financials[[#This Row],[Discount Band]]="medium",0.15,0.3))</f>
        <v>0.3</v>
      </c>
      <c r="I315" s="8">
        <f>financials[[#This Row],[Gross Sales]]-financials[[#This Row],[Gross Sales]]*financials[[#This Row],[Discounts]]</f>
        <v>84</v>
      </c>
      <c r="J315" s="8">
        <f>VLOOKUP(financials[[#This Row],[productid]],Products!$B$2:$H$10,4)</f>
        <v>13.95</v>
      </c>
      <c r="K315" s="8">
        <f>financials[[#This Row],[Net Sales]]-financials[[#This Row],[COGS]]</f>
        <v>70.05</v>
      </c>
      <c r="L315" s="15">
        <v>45559</v>
      </c>
      <c r="M315" t="s">
        <v>691</v>
      </c>
    </row>
    <row r="316" spans="1:13" x14ac:dyDescent="0.25">
      <c r="A316" t="s">
        <v>85</v>
      </c>
      <c r="B316" s="6" t="s">
        <v>617</v>
      </c>
      <c r="C316" s="13">
        <v>105</v>
      </c>
      <c r="D316" s="14" t="s">
        <v>92</v>
      </c>
      <c r="E316">
        <v>9</v>
      </c>
      <c r="F316" s="8">
        <f>VLOOKUP(financials[[#This Row],[productid]],Products!$B$2:$H$10,3)</f>
        <v>15</v>
      </c>
      <c r="G316" s="8">
        <f>financials[[#This Row],[Units Sold]]*financials[[#This Row],[Sale Price]]</f>
        <v>135</v>
      </c>
      <c r="H316" s="8">
        <f>IF(financials[[#This Row],[Discount Band]]="low",0.1,IF(financials[[#This Row],[Discount Band]]="medium",0.15,0.3))</f>
        <v>0.3</v>
      </c>
      <c r="I316" s="8">
        <f>financials[[#This Row],[Gross Sales]]-financials[[#This Row],[Gross Sales]]*financials[[#This Row],[Discounts]]</f>
        <v>94.5</v>
      </c>
      <c r="J316" s="8">
        <f>VLOOKUP(financials[[#This Row],[productid]],Products!$B$2:$H$10,4)</f>
        <v>10</v>
      </c>
      <c r="K316" s="8">
        <f>financials[[#This Row],[Net Sales]]-financials[[#This Row],[COGS]]</f>
        <v>84.5</v>
      </c>
      <c r="L316" s="15">
        <v>44416</v>
      </c>
      <c r="M316" t="s">
        <v>700</v>
      </c>
    </row>
    <row r="317" spans="1:13" x14ac:dyDescent="0.25">
      <c r="A317" t="s">
        <v>85</v>
      </c>
      <c r="B317" s="6" t="s">
        <v>274</v>
      </c>
      <c r="C317" s="13">
        <v>102</v>
      </c>
      <c r="D317" s="14" t="s">
        <v>83</v>
      </c>
      <c r="E317">
        <v>16</v>
      </c>
      <c r="F317" s="8">
        <f>VLOOKUP(financials[[#This Row],[productid]],Products!$B$2:$H$10,3)</f>
        <v>15</v>
      </c>
      <c r="G317" s="8">
        <f>financials[[#This Row],[Units Sold]]*financials[[#This Row],[Sale Price]]</f>
        <v>240</v>
      </c>
      <c r="H317" s="8">
        <f>IF(financials[[#This Row],[Discount Band]]="low",0.1,IF(financials[[#This Row],[Discount Band]]="medium",0.15,0.3))</f>
        <v>0.3</v>
      </c>
      <c r="I317" s="8">
        <f>financials[[#This Row],[Gross Sales]]-financials[[#This Row],[Gross Sales]]*financials[[#This Row],[Discounts]]</f>
        <v>168</v>
      </c>
      <c r="J317" s="8">
        <f>VLOOKUP(financials[[#This Row],[productid]],Products!$B$2:$H$10,4)</f>
        <v>13.95</v>
      </c>
      <c r="K317" s="8">
        <f>financials[[#This Row],[Net Sales]]-financials[[#This Row],[COGS]]</f>
        <v>154.05000000000001</v>
      </c>
      <c r="L317" s="15">
        <v>45561</v>
      </c>
      <c r="M317" t="s">
        <v>700</v>
      </c>
    </row>
    <row r="318" spans="1:13" x14ac:dyDescent="0.25">
      <c r="A318" t="s">
        <v>86</v>
      </c>
      <c r="B318" s="6" t="s">
        <v>268</v>
      </c>
      <c r="C318" s="11">
        <v>107</v>
      </c>
      <c r="D318" s="9" t="s">
        <v>90</v>
      </c>
      <c r="E318">
        <v>10</v>
      </c>
      <c r="F318" s="8">
        <f>VLOOKUP(financials[[#This Row],[productid]],Products!$B$2:$H$10,3)</f>
        <v>15</v>
      </c>
      <c r="G318" s="8">
        <f>financials[[#This Row],[Units Sold]]*financials[[#This Row],[Sale Price]]</f>
        <v>150</v>
      </c>
      <c r="H318" s="8">
        <f>IF(financials[[#This Row],[Discount Band]]="low",0.1,IF(financials[[#This Row],[Discount Band]]="medium",0.15,0.3))</f>
        <v>0.15</v>
      </c>
      <c r="I318" s="8">
        <f>financials[[#This Row],[Gross Sales]]-financials[[#This Row],[Gross Sales]]*financials[[#This Row],[Discounts]]</f>
        <v>127.5</v>
      </c>
      <c r="J318" s="8">
        <f>VLOOKUP(financials[[#This Row],[productid]],Products!$B$2:$H$10,4)</f>
        <v>5.5</v>
      </c>
      <c r="K318" s="8">
        <f>financials[[#This Row],[Net Sales]]-financials[[#This Row],[COGS]]</f>
        <v>122</v>
      </c>
      <c r="L318" s="15">
        <v>43835</v>
      </c>
      <c r="M318" t="s">
        <v>700</v>
      </c>
    </row>
    <row r="319" spans="1:13" x14ac:dyDescent="0.25">
      <c r="A319" t="s">
        <v>86</v>
      </c>
      <c r="B319" s="6" t="s">
        <v>148</v>
      </c>
      <c r="C319" s="13">
        <v>107</v>
      </c>
      <c r="D319" s="14" t="s">
        <v>83</v>
      </c>
      <c r="E319">
        <v>9</v>
      </c>
      <c r="F319" s="8">
        <f>VLOOKUP(financials[[#This Row],[productid]],Products!$B$2:$H$10,3)</f>
        <v>15</v>
      </c>
      <c r="G319" s="8">
        <f>financials[[#This Row],[Units Sold]]*financials[[#This Row],[Sale Price]]</f>
        <v>135</v>
      </c>
      <c r="H319" s="8">
        <f>IF(financials[[#This Row],[Discount Band]]="low",0.1,IF(financials[[#This Row],[Discount Band]]="medium",0.15,0.3))</f>
        <v>0.3</v>
      </c>
      <c r="I319" s="8">
        <f>financials[[#This Row],[Gross Sales]]-financials[[#This Row],[Gross Sales]]*financials[[#This Row],[Discounts]]</f>
        <v>94.5</v>
      </c>
      <c r="J319" s="8">
        <f>VLOOKUP(financials[[#This Row],[productid]],Products!$B$2:$H$10,4)</f>
        <v>5.5</v>
      </c>
      <c r="K319" s="8">
        <f>financials[[#This Row],[Net Sales]]-financials[[#This Row],[COGS]]</f>
        <v>89</v>
      </c>
      <c r="L319" s="15">
        <v>45532</v>
      </c>
      <c r="M319" t="s">
        <v>700</v>
      </c>
    </row>
    <row r="320" spans="1:13" x14ac:dyDescent="0.25">
      <c r="A320" t="s">
        <v>86</v>
      </c>
      <c r="B320" s="6" t="s">
        <v>240</v>
      </c>
      <c r="C320" s="13">
        <v>105</v>
      </c>
      <c r="D320" s="14" t="s">
        <v>90</v>
      </c>
      <c r="E320">
        <v>11</v>
      </c>
      <c r="F320" s="8">
        <f>VLOOKUP(financials[[#This Row],[productid]],Products!$B$2:$H$10,3)</f>
        <v>15</v>
      </c>
      <c r="G320" s="8">
        <f>financials[[#This Row],[Units Sold]]*financials[[#This Row],[Sale Price]]</f>
        <v>165</v>
      </c>
      <c r="H320" s="8">
        <f>IF(financials[[#This Row],[Discount Band]]="low",0.1,IF(financials[[#This Row],[Discount Band]]="medium",0.15,0.3))</f>
        <v>0.15</v>
      </c>
      <c r="I320" s="8">
        <f>financials[[#This Row],[Gross Sales]]-financials[[#This Row],[Gross Sales]]*financials[[#This Row],[Discounts]]</f>
        <v>140.25</v>
      </c>
      <c r="J320" s="8">
        <f>VLOOKUP(financials[[#This Row],[productid]],Products!$B$2:$H$10,4)</f>
        <v>10</v>
      </c>
      <c r="K320" s="8">
        <f>financials[[#This Row],[Net Sales]]-financials[[#This Row],[COGS]]</f>
        <v>130.25</v>
      </c>
      <c r="L320" s="15">
        <v>44974</v>
      </c>
      <c r="M320" t="s">
        <v>691</v>
      </c>
    </row>
    <row r="321" spans="1:13" x14ac:dyDescent="0.25">
      <c r="A321" t="s">
        <v>86</v>
      </c>
      <c r="B321" s="6" t="s">
        <v>148</v>
      </c>
      <c r="C321" s="13">
        <v>108</v>
      </c>
      <c r="D321" s="14" t="s">
        <v>83</v>
      </c>
      <c r="E321">
        <v>11</v>
      </c>
      <c r="F321" s="8">
        <f>VLOOKUP(financials[[#This Row],[productid]],Products!$B$2:$H$10,3)</f>
        <v>5.5</v>
      </c>
      <c r="G321" s="8">
        <f>financials[[#This Row],[Units Sold]]*financials[[#This Row],[Sale Price]]</f>
        <v>60.5</v>
      </c>
      <c r="H321" s="8">
        <f>IF(financials[[#This Row],[Discount Band]]="low",0.1,IF(financials[[#This Row],[Discount Band]]="medium",0.15,0.3))</f>
        <v>0.3</v>
      </c>
      <c r="I321" s="8">
        <f>financials[[#This Row],[Gross Sales]]-financials[[#This Row],[Gross Sales]]*financials[[#This Row],[Discounts]]</f>
        <v>42.35</v>
      </c>
      <c r="J321" s="8">
        <f>VLOOKUP(financials[[#This Row],[productid]],Products!$B$2:$H$10,4)</f>
        <v>3.99</v>
      </c>
      <c r="K321" s="8">
        <f>financials[[#This Row],[Net Sales]]-financials[[#This Row],[COGS]]</f>
        <v>38.36</v>
      </c>
      <c r="L321" s="15">
        <v>45283</v>
      </c>
      <c r="M321" t="s">
        <v>696</v>
      </c>
    </row>
    <row r="322" spans="1:13" x14ac:dyDescent="0.25">
      <c r="A322" t="s">
        <v>89</v>
      </c>
      <c r="B322" s="6" t="s">
        <v>266</v>
      </c>
      <c r="C322" s="13">
        <v>106</v>
      </c>
      <c r="D322" s="14" t="s">
        <v>83</v>
      </c>
      <c r="E322">
        <v>15</v>
      </c>
      <c r="F322" s="8">
        <f>VLOOKUP(financials[[#This Row],[productid]],Products!$B$2:$H$10,3)</f>
        <v>25</v>
      </c>
      <c r="G322" s="8">
        <f>financials[[#This Row],[Units Sold]]*financials[[#This Row],[Sale Price]]</f>
        <v>375</v>
      </c>
      <c r="H322" s="8">
        <f>IF(financials[[#This Row],[Discount Band]]="low",0.1,IF(financials[[#This Row],[Discount Band]]="medium",0.15,0.3))</f>
        <v>0.3</v>
      </c>
      <c r="I322" s="8">
        <f>financials[[#This Row],[Gross Sales]]-financials[[#This Row],[Gross Sales]]*financials[[#This Row],[Discounts]]</f>
        <v>262.5</v>
      </c>
      <c r="J322" s="8">
        <f>VLOOKUP(financials[[#This Row],[productid]],Products!$B$2:$H$10,4)</f>
        <v>9.1</v>
      </c>
      <c r="K322" s="8">
        <f>financials[[#This Row],[Net Sales]]-financials[[#This Row],[COGS]]</f>
        <v>253.4</v>
      </c>
      <c r="L322" s="15">
        <v>43954</v>
      </c>
      <c r="M322" t="s">
        <v>690</v>
      </c>
    </row>
    <row r="323" spans="1:13" x14ac:dyDescent="0.25">
      <c r="A323" t="s">
        <v>86</v>
      </c>
      <c r="B323" s="6" t="s">
        <v>617</v>
      </c>
      <c r="C323" s="11">
        <v>103</v>
      </c>
      <c r="D323" s="9" t="s">
        <v>90</v>
      </c>
      <c r="E323">
        <v>20</v>
      </c>
      <c r="F323" s="8">
        <f>VLOOKUP(financials[[#This Row],[productid]],Products!$B$2:$H$10,3)</f>
        <v>28</v>
      </c>
      <c r="G323" s="8">
        <f>financials[[#This Row],[Units Sold]]*financials[[#This Row],[Sale Price]]</f>
        <v>560</v>
      </c>
      <c r="H323" s="8">
        <f>IF(financials[[#This Row],[Discount Band]]="low",0.1,IF(financials[[#This Row],[Discount Band]]="medium",0.15,0.3))</f>
        <v>0.15</v>
      </c>
      <c r="I323" s="8">
        <f>financials[[#This Row],[Gross Sales]]-financials[[#This Row],[Gross Sales]]*financials[[#This Row],[Discounts]]</f>
        <v>476</v>
      </c>
      <c r="J323" s="8">
        <f>VLOOKUP(financials[[#This Row],[productid]],Products!$B$2:$H$10,4)</f>
        <v>15</v>
      </c>
      <c r="K323" s="8">
        <f>financials[[#This Row],[Net Sales]]-financials[[#This Row],[COGS]]</f>
        <v>461</v>
      </c>
      <c r="L323" s="15">
        <v>44483</v>
      </c>
      <c r="M323" t="s">
        <v>691</v>
      </c>
    </row>
    <row r="324" spans="1:13" x14ac:dyDescent="0.25">
      <c r="A324" t="s">
        <v>86</v>
      </c>
      <c r="B324" s="6" t="s">
        <v>197</v>
      </c>
      <c r="C324" s="13">
        <v>109</v>
      </c>
      <c r="D324" s="14" t="s">
        <v>90</v>
      </c>
      <c r="E324">
        <v>5</v>
      </c>
      <c r="F324" s="8">
        <f>VLOOKUP(financials[[#This Row],[productid]],Products!$B$2:$H$10,3)</f>
        <v>36</v>
      </c>
      <c r="G324" s="8">
        <f>financials[[#This Row],[Units Sold]]*financials[[#This Row],[Sale Price]]</f>
        <v>180</v>
      </c>
      <c r="H324" s="8">
        <f>IF(financials[[#This Row],[Discount Band]]="low",0.1,IF(financials[[#This Row],[Discount Band]]="medium",0.15,0.3))</f>
        <v>0.15</v>
      </c>
      <c r="I324" s="8">
        <f>financials[[#This Row],[Gross Sales]]-financials[[#This Row],[Gross Sales]]*financials[[#This Row],[Discounts]]</f>
        <v>153</v>
      </c>
      <c r="J324" s="8">
        <f>VLOOKUP(financials[[#This Row],[productid]],Products!$B$2:$H$10,4)</f>
        <v>16.8</v>
      </c>
      <c r="K324" s="8">
        <f>financials[[#This Row],[Net Sales]]-financials[[#This Row],[COGS]]</f>
        <v>136.19999999999999</v>
      </c>
      <c r="L324" s="15">
        <v>44080</v>
      </c>
      <c r="M324" t="s">
        <v>700</v>
      </c>
    </row>
    <row r="325" spans="1:13" x14ac:dyDescent="0.25">
      <c r="A325" t="s">
        <v>86</v>
      </c>
      <c r="B325" s="6" t="s">
        <v>197</v>
      </c>
      <c r="C325" s="11">
        <v>101</v>
      </c>
      <c r="D325" s="9" t="s">
        <v>83</v>
      </c>
      <c r="E325">
        <v>9</v>
      </c>
      <c r="F325" s="8">
        <f>VLOOKUP(financials[[#This Row],[productid]],Products!$B$2:$H$10,3)</f>
        <v>23</v>
      </c>
      <c r="G325" s="8">
        <f>financials[[#This Row],[Units Sold]]*financials[[#This Row],[Sale Price]]</f>
        <v>207</v>
      </c>
      <c r="H325" s="8">
        <f>IF(financials[[#This Row],[Discount Band]]="low",0.1,IF(financials[[#This Row],[Discount Band]]="medium",0.15,0.3))</f>
        <v>0.3</v>
      </c>
      <c r="I325" s="8">
        <f>financials[[#This Row],[Gross Sales]]-financials[[#This Row],[Gross Sales]]*financials[[#This Row],[Discounts]]</f>
        <v>144.9</v>
      </c>
      <c r="J325" s="8">
        <f>VLOOKUP(financials[[#This Row],[productid]],Products!$B$2:$H$10,4)</f>
        <v>9.9499999999999993</v>
      </c>
      <c r="K325" s="8">
        <f>financials[[#This Row],[Net Sales]]-financials[[#This Row],[COGS]]</f>
        <v>134.95000000000002</v>
      </c>
      <c r="L325" s="15">
        <v>45310</v>
      </c>
      <c r="M325" t="s">
        <v>697</v>
      </c>
    </row>
    <row r="326" spans="1:13" x14ac:dyDescent="0.25">
      <c r="A326" t="s">
        <v>86</v>
      </c>
      <c r="B326" s="6" t="s">
        <v>94</v>
      </c>
      <c r="C326" s="13">
        <v>102</v>
      </c>
      <c r="D326" s="14" t="s">
        <v>91</v>
      </c>
      <c r="E326">
        <v>7</v>
      </c>
      <c r="F326" s="8">
        <f>VLOOKUP(financials[[#This Row],[productid]],Products!$B$2:$H$10,3)</f>
        <v>15</v>
      </c>
      <c r="G326" s="8">
        <f>financials[[#This Row],[Units Sold]]*financials[[#This Row],[Sale Price]]</f>
        <v>105</v>
      </c>
      <c r="H326" s="8">
        <f>IF(financials[[#This Row],[Discount Band]]="low",0.1,IF(financials[[#This Row],[Discount Band]]="medium",0.15,0.3))</f>
        <v>0.1</v>
      </c>
      <c r="I326" s="8">
        <f>financials[[#This Row],[Gross Sales]]-financials[[#This Row],[Gross Sales]]*financials[[#This Row],[Discounts]]</f>
        <v>94.5</v>
      </c>
      <c r="J326" s="8">
        <f>VLOOKUP(financials[[#This Row],[productid]],Products!$B$2:$H$10,4)</f>
        <v>13.95</v>
      </c>
      <c r="K326" s="8">
        <f>financials[[#This Row],[Net Sales]]-financials[[#This Row],[COGS]]</f>
        <v>80.55</v>
      </c>
      <c r="L326" s="15">
        <v>44010</v>
      </c>
      <c r="M326" t="s">
        <v>696</v>
      </c>
    </row>
    <row r="327" spans="1:13" x14ac:dyDescent="0.25">
      <c r="A327" t="s">
        <v>86</v>
      </c>
      <c r="B327" s="6" t="s">
        <v>645</v>
      </c>
      <c r="C327" s="13">
        <v>104</v>
      </c>
      <c r="D327" s="14" t="s">
        <v>90</v>
      </c>
      <c r="E327">
        <v>15</v>
      </c>
      <c r="F327" s="8">
        <f>VLOOKUP(financials[[#This Row],[productid]],Products!$B$2:$H$10,3)</f>
        <v>5.9</v>
      </c>
      <c r="G327" s="8">
        <f>financials[[#This Row],[Units Sold]]*financials[[#This Row],[Sale Price]]</f>
        <v>88.5</v>
      </c>
      <c r="H327" s="8">
        <f>IF(financials[[#This Row],[Discount Band]]="low",0.1,IF(financials[[#This Row],[Discount Band]]="medium",0.15,0.3))</f>
        <v>0.15</v>
      </c>
      <c r="I327" s="8">
        <f>financials[[#This Row],[Gross Sales]]-financials[[#This Row],[Gross Sales]]*financials[[#This Row],[Discounts]]</f>
        <v>75.224999999999994</v>
      </c>
      <c r="J327" s="8">
        <f>VLOOKUP(financials[[#This Row],[productid]],Products!$B$2:$H$10,4)</f>
        <v>2.9</v>
      </c>
      <c r="K327" s="8">
        <f>financials[[#This Row],[Net Sales]]-financials[[#This Row],[COGS]]</f>
        <v>72.324999999999989</v>
      </c>
      <c r="L327" s="15">
        <v>44381</v>
      </c>
      <c r="M327" t="s">
        <v>691</v>
      </c>
    </row>
    <row r="328" spans="1:13" x14ac:dyDescent="0.25">
      <c r="A328" t="s">
        <v>85</v>
      </c>
      <c r="B328" s="6" t="s">
        <v>266</v>
      </c>
      <c r="C328" s="13">
        <v>108</v>
      </c>
      <c r="D328" s="14" t="s">
        <v>90</v>
      </c>
      <c r="E328">
        <v>13</v>
      </c>
      <c r="F328" s="8">
        <f>VLOOKUP(financials[[#This Row],[productid]],Products!$B$2:$H$10,3)</f>
        <v>5.5</v>
      </c>
      <c r="G328" s="8">
        <f>financials[[#This Row],[Units Sold]]*financials[[#This Row],[Sale Price]]</f>
        <v>71.5</v>
      </c>
      <c r="H328" s="8">
        <f>IF(financials[[#This Row],[Discount Band]]="low",0.1,IF(financials[[#This Row],[Discount Band]]="medium",0.15,0.3))</f>
        <v>0.15</v>
      </c>
      <c r="I328" s="8">
        <f>financials[[#This Row],[Gross Sales]]-financials[[#This Row],[Gross Sales]]*financials[[#This Row],[Discounts]]</f>
        <v>60.774999999999999</v>
      </c>
      <c r="J328" s="8">
        <f>VLOOKUP(financials[[#This Row],[productid]],Products!$B$2:$H$10,4)</f>
        <v>3.99</v>
      </c>
      <c r="K328" s="8">
        <f>financials[[#This Row],[Net Sales]]-financials[[#This Row],[COGS]]</f>
        <v>56.784999999999997</v>
      </c>
      <c r="L328" s="15">
        <v>45133</v>
      </c>
      <c r="M328" t="s">
        <v>691</v>
      </c>
    </row>
    <row r="329" spans="1:13" x14ac:dyDescent="0.25">
      <c r="A329" t="s">
        <v>86</v>
      </c>
      <c r="B329" s="6" t="s">
        <v>545</v>
      </c>
      <c r="C329" s="13">
        <v>106</v>
      </c>
      <c r="D329" s="14" t="s">
        <v>83</v>
      </c>
      <c r="E329">
        <v>13</v>
      </c>
      <c r="F329" s="8">
        <f>VLOOKUP(financials[[#This Row],[productid]],Products!$B$2:$H$10,3)</f>
        <v>25</v>
      </c>
      <c r="G329" s="8">
        <f>financials[[#This Row],[Units Sold]]*financials[[#This Row],[Sale Price]]</f>
        <v>325</v>
      </c>
      <c r="H329" s="8">
        <f>IF(financials[[#This Row],[Discount Band]]="low",0.1,IF(financials[[#This Row],[Discount Band]]="medium",0.15,0.3))</f>
        <v>0.3</v>
      </c>
      <c r="I329" s="8">
        <f>financials[[#This Row],[Gross Sales]]-financials[[#This Row],[Gross Sales]]*financials[[#This Row],[Discounts]]</f>
        <v>227.5</v>
      </c>
      <c r="J329" s="8">
        <f>VLOOKUP(financials[[#This Row],[productid]],Products!$B$2:$H$10,4)</f>
        <v>9.1</v>
      </c>
      <c r="K329" s="8">
        <f>financials[[#This Row],[Net Sales]]-financials[[#This Row],[COGS]]</f>
        <v>218.4</v>
      </c>
      <c r="L329" s="15">
        <v>44428</v>
      </c>
      <c r="M329" t="s">
        <v>691</v>
      </c>
    </row>
    <row r="330" spans="1:13" x14ac:dyDescent="0.25">
      <c r="A330" t="s">
        <v>85</v>
      </c>
      <c r="B330" s="6" t="s">
        <v>645</v>
      </c>
      <c r="C330" s="11">
        <v>103</v>
      </c>
      <c r="D330" s="9" t="s">
        <v>92</v>
      </c>
      <c r="E330">
        <v>8</v>
      </c>
      <c r="F330" s="8">
        <f>VLOOKUP(financials[[#This Row],[productid]],Products!$B$2:$H$10,3)</f>
        <v>28</v>
      </c>
      <c r="G330" s="8">
        <f>financials[[#This Row],[Units Sold]]*financials[[#This Row],[Sale Price]]</f>
        <v>224</v>
      </c>
      <c r="H330" s="8">
        <f>IF(financials[[#This Row],[Discount Band]]="low",0.1,IF(financials[[#This Row],[Discount Band]]="medium",0.15,0.3))</f>
        <v>0.3</v>
      </c>
      <c r="I330" s="8">
        <f>financials[[#This Row],[Gross Sales]]-financials[[#This Row],[Gross Sales]]*financials[[#This Row],[Discounts]]</f>
        <v>156.80000000000001</v>
      </c>
      <c r="J330" s="8">
        <f>VLOOKUP(financials[[#This Row],[productid]],Products!$B$2:$H$10,4)</f>
        <v>15</v>
      </c>
      <c r="K330" s="8">
        <f>financials[[#This Row],[Net Sales]]-financials[[#This Row],[COGS]]</f>
        <v>141.80000000000001</v>
      </c>
      <c r="L330" s="15">
        <v>44775</v>
      </c>
      <c r="M330" t="s">
        <v>690</v>
      </c>
    </row>
    <row r="331" spans="1:13" x14ac:dyDescent="0.25">
      <c r="A331" t="s">
        <v>86</v>
      </c>
      <c r="B331" s="6" t="s">
        <v>158</v>
      </c>
      <c r="C331" s="11">
        <v>104</v>
      </c>
      <c r="D331" s="9" t="s">
        <v>90</v>
      </c>
      <c r="E331">
        <v>9</v>
      </c>
      <c r="F331" s="8">
        <f>VLOOKUP(financials[[#This Row],[productid]],Products!$B$2:$H$10,3)</f>
        <v>5.9</v>
      </c>
      <c r="G331" s="8">
        <f>financials[[#This Row],[Units Sold]]*financials[[#This Row],[Sale Price]]</f>
        <v>53.1</v>
      </c>
      <c r="H331" s="8">
        <f>IF(financials[[#This Row],[Discount Band]]="low",0.1,IF(financials[[#This Row],[Discount Band]]="medium",0.15,0.3))</f>
        <v>0.15</v>
      </c>
      <c r="I331" s="8">
        <f>financials[[#This Row],[Gross Sales]]-financials[[#This Row],[Gross Sales]]*financials[[#This Row],[Discounts]]</f>
        <v>45.135000000000005</v>
      </c>
      <c r="J331" s="8">
        <f>VLOOKUP(financials[[#This Row],[productid]],Products!$B$2:$H$10,4)</f>
        <v>2.9</v>
      </c>
      <c r="K331" s="8">
        <f>financials[[#This Row],[Net Sales]]-financials[[#This Row],[COGS]]</f>
        <v>42.235000000000007</v>
      </c>
      <c r="L331" s="15">
        <v>44594</v>
      </c>
      <c r="M331" t="s">
        <v>696</v>
      </c>
    </row>
    <row r="332" spans="1:13" x14ac:dyDescent="0.25">
      <c r="A332" t="s">
        <v>86</v>
      </c>
      <c r="B332" s="6" t="s">
        <v>617</v>
      </c>
      <c r="C332" s="13">
        <v>107</v>
      </c>
      <c r="D332" s="14" t="s">
        <v>90</v>
      </c>
      <c r="E332">
        <v>17</v>
      </c>
      <c r="F332" s="8">
        <f>VLOOKUP(financials[[#This Row],[productid]],Products!$B$2:$H$10,3)</f>
        <v>15</v>
      </c>
      <c r="G332" s="8">
        <f>financials[[#This Row],[Units Sold]]*financials[[#This Row],[Sale Price]]</f>
        <v>255</v>
      </c>
      <c r="H332" s="8">
        <f>IF(financials[[#This Row],[Discount Band]]="low",0.1,IF(financials[[#This Row],[Discount Band]]="medium",0.15,0.3))</f>
        <v>0.15</v>
      </c>
      <c r="I332" s="8">
        <f>financials[[#This Row],[Gross Sales]]-financials[[#This Row],[Gross Sales]]*financials[[#This Row],[Discounts]]</f>
        <v>216.75</v>
      </c>
      <c r="J332" s="8">
        <f>VLOOKUP(financials[[#This Row],[productid]],Products!$B$2:$H$10,4)</f>
        <v>5.5</v>
      </c>
      <c r="K332" s="8">
        <f>financials[[#This Row],[Net Sales]]-financials[[#This Row],[COGS]]</f>
        <v>211.25</v>
      </c>
      <c r="L332" s="15">
        <v>44503</v>
      </c>
      <c r="M332" t="s">
        <v>696</v>
      </c>
    </row>
    <row r="333" spans="1:13" x14ac:dyDescent="0.25">
      <c r="A333" t="s">
        <v>85</v>
      </c>
      <c r="B333" s="6" t="s">
        <v>287</v>
      </c>
      <c r="C333" s="13">
        <v>108</v>
      </c>
      <c r="D333" s="14" t="s">
        <v>90</v>
      </c>
      <c r="E333">
        <v>12</v>
      </c>
      <c r="F333" s="8">
        <f>VLOOKUP(financials[[#This Row],[productid]],Products!$B$2:$H$10,3)</f>
        <v>5.5</v>
      </c>
      <c r="G333" s="8">
        <f>financials[[#This Row],[Units Sold]]*financials[[#This Row],[Sale Price]]</f>
        <v>66</v>
      </c>
      <c r="H333" s="8">
        <f>IF(financials[[#This Row],[Discount Band]]="low",0.1,IF(financials[[#This Row],[Discount Band]]="medium",0.15,0.3))</f>
        <v>0.15</v>
      </c>
      <c r="I333" s="8">
        <f>financials[[#This Row],[Gross Sales]]-financials[[#This Row],[Gross Sales]]*financials[[#This Row],[Discounts]]</f>
        <v>56.1</v>
      </c>
      <c r="J333" s="8">
        <f>VLOOKUP(financials[[#This Row],[productid]],Products!$B$2:$H$10,4)</f>
        <v>3.99</v>
      </c>
      <c r="K333" s="8">
        <f>financials[[#This Row],[Net Sales]]-financials[[#This Row],[COGS]]</f>
        <v>52.11</v>
      </c>
      <c r="L333" s="15">
        <v>45087</v>
      </c>
      <c r="M333" t="s">
        <v>696</v>
      </c>
    </row>
    <row r="334" spans="1:13" x14ac:dyDescent="0.25">
      <c r="A334" t="s">
        <v>86</v>
      </c>
      <c r="B334" s="6" t="s">
        <v>645</v>
      </c>
      <c r="C334" s="13">
        <v>108</v>
      </c>
      <c r="D334" s="14" t="s">
        <v>90</v>
      </c>
      <c r="E334">
        <v>12</v>
      </c>
      <c r="F334" s="8">
        <f>VLOOKUP(financials[[#This Row],[productid]],Products!$B$2:$H$10,3)</f>
        <v>5.5</v>
      </c>
      <c r="G334" s="8">
        <f>financials[[#This Row],[Units Sold]]*financials[[#This Row],[Sale Price]]</f>
        <v>66</v>
      </c>
      <c r="H334" s="8">
        <f>IF(financials[[#This Row],[Discount Band]]="low",0.1,IF(financials[[#This Row],[Discount Band]]="medium",0.15,0.3))</f>
        <v>0.15</v>
      </c>
      <c r="I334" s="8">
        <f>financials[[#This Row],[Gross Sales]]-financials[[#This Row],[Gross Sales]]*financials[[#This Row],[Discounts]]</f>
        <v>56.1</v>
      </c>
      <c r="J334" s="8">
        <f>VLOOKUP(financials[[#This Row],[productid]],Products!$B$2:$H$10,4)</f>
        <v>3.99</v>
      </c>
      <c r="K334" s="8">
        <f>financials[[#This Row],[Net Sales]]-financials[[#This Row],[COGS]]</f>
        <v>52.11</v>
      </c>
      <c r="L334" s="15">
        <v>44082</v>
      </c>
      <c r="M334" t="s">
        <v>700</v>
      </c>
    </row>
    <row r="335" spans="1:13" x14ac:dyDescent="0.25">
      <c r="A335" t="s">
        <v>85</v>
      </c>
      <c r="B335" s="6" t="s">
        <v>158</v>
      </c>
      <c r="C335" s="13">
        <v>109</v>
      </c>
      <c r="D335" s="14" t="s">
        <v>83</v>
      </c>
      <c r="E335">
        <v>20</v>
      </c>
      <c r="F335" s="8">
        <f>VLOOKUP(financials[[#This Row],[productid]],Products!$B$2:$H$10,3)</f>
        <v>36</v>
      </c>
      <c r="G335" s="8">
        <f>financials[[#This Row],[Units Sold]]*financials[[#This Row],[Sale Price]]</f>
        <v>720</v>
      </c>
      <c r="H335" s="8">
        <f>IF(financials[[#This Row],[Discount Band]]="low",0.1,IF(financials[[#This Row],[Discount Band]]="medium",0.15,0.3))</f>
        <v>0.3</v>
      </c>
      <c r="I335" s="8">
        <f>financials[[#This Row],[Gross Sales]]-financials[[#This Row],[Gross Sales]]*financials[[#This Row],[Discounts]]</f>
        <v>504</v>
      </c>
      <c r="J335" s="8">
        <f>VLOOKUP(financials[[#This Row],[productid]],Products!$B$2:$H$10,4)</f>
        <v>16.8</v>
      </c>
      <c r="K335" s="8">
        <f>financials[[#This Row],[Net Sales]]-financials[[#This Row],[COGS]]</f>
        <v>487.2</v>
      </c>
      <c r="L335" s="15">
        <v>44830</v>
      </c>
      <c r="M335" t="s">
        <v>690</v>
      </c>
    </row>
    <row r="336" spans="1:13" x14ac:dyDescent="0.25">
      <c r="A336" t="s">
        <v>85</v>
      </c>
      <c r="B336" s="6" t="s">
        <v>287</v>
      </c>
      <c r="C336" s="13">
        <v>108</v>
      </c>
      <c r="D336" s="14" t="s">
        <v>83</v>
      </c>
      <c r="E336">
        <v>16</v>
      </c>
      <c r="F336" s="8">
        <f>VLOOKUP(financials[[#This Row],[productid]],Products!$B$2:$H$10,3)</f>
        <v>5.5</v>
      </c>
      <c r="G336" s="8">
        <f>financials[[#This Row],[Units Sold]]*financials[[#This Row],[Sale Price]]</f>
        <v>88</v>
      </c>
      <c r="H336" s="8">
        <f>IF(financials[[#This Row],[Discount Band]]="low",0.1,IF(financials[[#This Row],[Discount Band]]="medium",0.15,0.3))</f>
        <v>0.3</v>
      </c>
      <c r="I336" s="8">
        <f>financials[[#This Row],[Gross Sales]]-financials[[#This Row],[Gross Sales]]*financials[[#This Row],[Discounts]]</f>
        <v>61.6</v>
      </c>
      <c r="J336" s="8">
        <f>VLOOKUP(financials[[#This Row],[productid]],Products!$B$2:$H$10,4)</f>
        <v>3.99</v>
      </c>
      <c r="K336" s="8">
        <f>financials[[#This Row],[Net Sales]]-financials[[#This Row],[COGS]]</f>
        <v>57.61</v>
      </c>
      <c r="L336" s="15">
        <v>45452</v>
      </c>
      <c r="M336" t="s">
        <v>700</v>
      </c>
    </row>
    <row r="337" spans="1:13" x14ac:dyDescent="0.25">
      <c r="A337" t="s">
        <v>86</v>
      </c>
      <c r="B337" s="6" t="s">
        <v>287</v>
      </c>
      <c r="C337" s="13">
        <v>105</v>
      </c>
      <c r="D337" s="14" t="s">
        <v>91</v>
      </c>
      <c r="E337">
        <v>9</v>
      </c>
      <c r="F337" s="8">
        <f>VLOOKUP(financials[[#This Row],[productid]],Products!$B$2:$H$10,3)</f>
        <v>15</v>
      </c>
      <c r="G337" s="8">
        <f>financials[[#This Row],[Units Sold]]*financials[[#This Row],[Sale Price]]</f>
        <v>135</v>
      </c>
      <c r="H337" s="8">
        <f>IF(financials[[#This Row],[Discount Band]]="low",0.1,IF(financials[[#This Row],[Discount Band]]="medium",0.15,0.3))</f>
        <v>0.1</v>
      </c>
      <c r="I337" s="8">
        <f>financials[[#This Row],[Gross Sales]]-financials[[#This Row],[Gross Sales]]*financials[[#This Row],[Discounts]]</f>
        <v>121.5</v>
      </c>
      <c r="J337" s="8">
        <f>VLOOKUP(financials[[#This Row],[productid]],Products!$B$2:$H$10,4)</f>
        <v>10</v>
      </c>
      <c r="K337" s="8">
        <f>financials[[#This Row],[Net Sales]]-financials[[#This Row],[COGS]]</f>
        <v>111.5</v>
      </c>
      <c r="L337" s="15">
        <v>44232</v>
      </c>
      <c r="M337" t="s">
        <v>697</v>
      </c>
    </row>
    <row r="338" spans="1:13" x14ac:dyDescent="0.25">
      <c r="A338" t="s">
        <v>86</v>
      </c>
      <c r="B338" s="6" t="s">
        <v>545</v>
      </c>
      <c r="C338" s="13">
        <v>104</v>
      </c>
      <c r="D338" s="14" t="s">
        <v>83</v>
      </c>
      <c r="E338">
        <v>17</v>
      </c>
      <c r="F338" s="8">
        <f>VLOOKUP(financials[[#This Row],[productid]],Products!$B$2:$H$10,3)</f>
        <v>5.9</v>
      </c>
      <c r="G338" s="8">
        <f>financials[[#This Row],[Units Sold]]*financials[[#This Row],[Sale Price]]</f>
        <v>100.30000000000001</v>
      </c>
      <c r="H338" s="8">
        <f>IF(financials[[#This Row],[Discount Band]]="low",0.1,IF(financials[[#This Row],[Discount Band]]="medium",0.15,0.3))</f>
        <v>0.3</v>
      </c>
      <c r="I338" s="8">
        <f>financials[[#This Row],[Gross Sales]]-financials[[#This Row],[Gross Sales]]*financials[[#This Row],[Discounts]]</f>
        <v>70.210000000000008</v>
      </c>
      <c r="J338" s="8">
        <f>VLOOKUP(financials[[#This Row],[productid]],Products!$B$2:$H$10,4)</f>
        <v>2.9</v>
      </c>
      <c r="K338" s="8">
        <f>financials[[#This Row],[Net Sales]]-financials[[#This Row],[COGS]]</f>
        <v>67.31</v>
      </c>
      <c r="L338" s="15">
        <v>44299</v>
      </c>
      <c r="M338" t="s">
        <v>700</v>
      </c>
    </row>
    <row r="339" spans="1:13" x14ac:dyDescent="0.25">
      <c r="A339" t="s">
        <v>86</v>
      </c>
      <c r="B339" s="6" t="s">
        <v>96</v>
      </c>
      <c r="C339" s="13">
        <v>109</v>
      </c>
      <c r="D339" s="14" t="s">
        <v>83</v>
      </c>
      <c r="E339">
        <v>16</v>
      </c>
      <c r="F339" s="8">
        <f>VLOOKUP(financials[[#This Row],[productid]],Products!$B$2:$H$10,3)</f>
        <v>36</v>
      </c>
      <c r="G339" s="8">
        <f>financials[[#This Row],[Units Sold]]*financials[[#This Row],[Sale Price]]</f>
        <v>576</v>
      </c>
      <c r="H339" s="8">
        <f>IF(financials[[#This Row],[Discount Band]]="low",0.1,IF(financials[[#This Row],[Discount Band]]="medium",0.15,0.3))</f>
        <v>0.3</v>
      </c>
      <c r="I339" s="8">
        <f>financials[[#This Row],[Gross Sales]]-financials[[#This Row],[Gross Sales]]*financials[[#This Row],[Discounts]]</f>
        <v>403.20000000000005</v>
      </c>
      <c r="J339" s="8">
        <f>VLOOKUP(financials[[#This Row],[productid]],Products!$B$2:$H$10,4)</f>
        <v>16.8</v>
      </c>
      <c r="K339" s="8">
        <f>financials[[#This Row],[Net Sales]]-financials[[#This Row],[COGS]]</f>
        <v>386.40000000000003</v>
      </c>
      <c r="L339" s="15">
        <v>45380</v>
      </c>
      <c r="M339" t="s">
        <v>696</v>
      </c>
    </row>
    <row r="340" spans="1:13" x14ac:dyDescent="0.25">
      <c r="A340" t="s">
        <v>86</v>
      </c>
      <c r="B340" s="6" t="s">
        <v>617</v>
      </c>
      <c r="C340" s="13">
        <v>104</v>
      </c>
      <c r="D340" s="14" t="s">
        <v>90</v>
      </c>
      <c r="E340">
        <v>8</v>
      </c>
      <c r="F340" s="8">
        <f>VLOOKUP(financials[[#This Row],[productid]],Products!$B$2:$H$10,3)</f>
        <v>5.9</v>
      </c>
      <c r="G340" s="8">
        <f>financials[[#This Row],[Units Sold]]*financials[[#This Row],[Sale Price]]</f>
        <v>47.2</v>
      </c>
      <c r="H340" s="8">
        <f>IF(financials[[#This Row],[Discount Band]]="low",0.1,IF(financials[[#This Row],[Discount Band]]="medium",0.15,0.3))</f>
        <v>0.15</v>
      </c>
      <c r="I340" s="8">
        <f>financials[[#This Row],[Gross Sales]]-financials[[#This Row],[Gross Sales]]*financials[[#This Row],[Discounts]]</f>
        <v>40.120000000000005</v>
      </c>
      <c r="J340" s="8">
        <f>VLOOKUP(financials[[#This Row],[productid]],Products!$B$2:$H$10,4)</f>
        <v>2.9</v>
      </c>
      <c r="K340" s="8">
        <f>financials[[#This Row],[Net Sales]]-financials[[#This Row],[COGS]]</f>
        <v>37.220000000000006</v>
      </c>
      <c r="L340" s="15">
        <v>44868</v>
      </c>
      <c r="M340" t="s">
        <v>690</v>
      </c>
    </row>
    <row r="341" spans="1:13" x14ac:dyDescent="0.25">
      <c r="A341" t="s">
        <v>89</v>
      </c>
      <c r="B341" s="6" t="s">
        <v>93</v>
      </c>
      <c r="C341" s="13">
        <v>101</v>
      </c>
      <c r="D341" s="14" t="s">
        <v>90</v>
      </c>
      <c r="E341">
        <v>20</v>
      </c>
      <c r="F341" s="8">
        <f>VLOOKUP(financials[[#This Row],[productid]],Products!$B$2:$H$10,3)</f>
        <v>23</v>
      </c>
      <c r="G341" s="8">
        <f>financials[[#This Row],[Units Sold]]*financials[[#This Row],[Sale Price]]</f>
        <v>460</v>
      </c>
      <c r="H341" s="8">
        <f>IF(financials[[#This Row],[Discount Band]]="low",0.1,IF(financials[[#This Row],[Discount Band]]="medium",0.15,0.3))</f>
        <v>0.15</v>
      </c>
      <c r="I341" s="8">
        <f>financials[[#This Row],[Gross Sales]]-financials[[#This Row],[Gross Sales]]*financials[[#This Row],[Discounts]]</f>
        <v>391</v>
      </c>
      <c r="J341" s="8">
        <f>VLOOKUP(financials[[#This Row],[productid]],Products!$B$2:$H$10,4)</f>
        <v>9.9499999999999993</v>
      </c>
      <c r="K341" s="8">
        <f>financials[[#This Row],[Net Sales]]-financials[[#This Row],[COGS]]</f>
        <v>381.05</v>
      </c>
      <c r="L341" s="15">
        <v>45263</v>
      </c>
      <c r="M341" t="s">
        <v>690</v>
      </c>
    </row>
    <row r="342" spans="1:13" x14ac:dyDescent="0.25">
      <c r="A342" t="s">
        <v>86</v>
      </c>
      <c r="B342" s="6" t="s">
        <v>228</v>
      </c>
      <c r="C342" s="13">
        <v>106</v>
      </c>
      <c r="D342" s="14" t="s">
        <v>90</v>
      </c>
      <c r="E342">
        <v>14</v>
      </c>
      <c r="F342" s="8">
        <f>VLOOKUP(financials[[#This Row],[productid]],Products!$B$2:$H$10,3)</f>
        <v>25</v>
      </c>
      <c r="G342" s="8">
        <f>financials[[#This Row],[Units Sold]]*financials[[#This Row],[Sale Price]]</f>
        <v>350</v>
      </c>
      <c r="H342" s="8">
        <f>IF(financials[[#This Row],[Discount Band]]="low",0.1,IF(financials[[#This Row],[Discount Band]]="medium",0.15,0.3))</f>
        <v>0.15</v>
      </c>
      <c r="I342" s="8">
        <f>financials[[#This Row],[Gross Sales]]-financials[[#This Row],[Gross Sales]]*financials[[#This Row],[Discounts]]</f>
        <v>297.5</v>
      </c>
      <c r="J342" s="8">
        <f>VLOOKUP(financials[[#This Row],[productid]],Products!$B$2:$H$10,4)</f>
        <v>9.1</v>
      </c>
      <c r="K342" s="8">
        <f>financials[[#This Row],[Net Sales]]-financials[[#This Row],[COGS]]</f>
        <v>288.39999999999998</v>
      </c>
      <c r="L342" s="15">
        <v>44245</v>
      </c>
      <c r="M342" t="s">
        <v>691</v>
      </c>
    </row>
    <row r="343" spans="1:13" x14ac:dyDescent="0.25">
      <c r="A343" t="s">
        <v>86</v>
      </c>
      <c r="B343" s="6" t="s">
        <v>148</v>
      </c>
      <c r="C343" s="13">
        <v>109</v>
      </c>
      <c r="D343" s="14" t="s">
        <v>90</v>
      </c>
      <c r="E343">
        <v>19</v>
      </c>
      <c r="F343" s="8">
        <f>VLOOKUP(financials[[#This Row],[productid]],Products!$B$2:$H$10,3)</f>
        <v>36</v>
      </c>
      <c r="G343" s="8">
        <f>financials[[#This Row],[Units Sold]]*financials[[#This Row],[Sale Price]]</f>
        <v>684</v>
      </c>
      <c r="H343" s="8">
        <f>IF(financials[[#This Row],[Discount Band]]="low",0.1,IF(financials[[#This Row],[Discount Band]]="medium",0.15,0.3))</f>
        <v>0.15</v>
      </c>
      <c r="I343" s="8">
        <f>financials[[#This Row],[Gross Sales]]-financials[[#This Row],[Gross Sales]]*financials[[#This Row],[Discounts]]</f>
        <v>581.4</v>
      </c>
      <c r="J343" s="8">
        <f>VLOOKUP(financials[[#This Row],[productid]],Products!$B$2:$H$10,4)</f>
        <v>16.8</v>
      </c>
      <c r="K343" s="8">
        <f>financials[[#This Row],[Net Sales]]-financials[[#This Row],[COGS]]</f>
        <v>564.6</v>
      </c>
      <c r="L343" s="15">
        <v>44643</v>
      </c>
      <c r="M343" t="s">
        <v>700</v>
      </c>
    </row>
    <row r="344" spans="1:13" x14ac:dyDescent="0.25">
      <c r="A344" t="s">
        <v>86</v>
      </c>
      <c r="B344" s="6" t="s">
        <v>93</v>
      </c>
      <c r="C344" s="13">
        <v>102</v>
      </c>
      <c r="D344" s="14" t="s">
        <v>91</v>
      </c>
      <c r="E344">
        <v>13</v>
      </c>
      <c r="F344" s="8">
        <f>VLOOKUP(financials[[#This Row],[productid]],Products!$B$2:$H$10,3)</f>
        <v>15</v>
      </c>
      <c r="G344" s="8">
        <f>financials[[#This Row],[Units Sold]]*financials[[#This Row],[Sale Price]]</f>
        <v>195</v>
      </c>
      <c r="H344" s="8">
        <f>IF(financials[[#This Row],[Discount Band]]="low",0.1,IF(financials[[#This Row],[Discount Band]]="medium",0.15,0.3))</f>
        <v>0.1</v>
      </c>
      <c r="I344" s="8">
        <f>financials[[#This Row],[Gross Sales]]-financials[[#This Row],[Gross Sales]]*financials[[#This Row],[Discounts]]</f>
        <v>175.5</v>
      </c>
      <c r="J344" s="8">
        <f>VLOOKUP(financials[[#This Row],[productid]],Products!$B$2:$H$10,4)</f>
        <v>13.95</v>
      </c>
      <c r="K344" s="8">
        <f>financials[[#This Row],[Net Sales]]-financials[[#This Row],[COGS]]</f>
        <v>161.55000000000001</v>
      </c>
      <c r="L344" s="15">
        <v>45295</v>
      </c>
      <c r="M344" t="s">
        <v>696</v>
      </c>
    </row>
    <row r="345" spans="1:13" x14ac:dyDescent="0.25">
      <c r="A345" t="s">
        <v>86</v>
      </c>
      <c r="B345" s="6" t="s">
        <v>94</v>
      </c>
      <c r="C345" s="13">
        <v>109</v>
      </c>
      <c r="D345" s="14" t="s">
        <v>92</v>
      </c>
      <c r="E345">
        <v>6</v>
      </c>
      <c r="F345" s="8">
        <f>VLOOKUP(financials[[#This Row],[productid]],Products!$B$2:$H$10,3)</f>
        <v>36</v>
      </c>
      <c r="G345" s="8">
        <f>financials[[#This Row],[Units Sold]]*financials[[#This Row],[Sale Price]]</f>
        <v>216</v>
      </c>
      <c r="H345" s="8">
        <f>IF(financials[[#This Row],[Discount Band]]="low",0.1,IF(financials[[#This Row],[Discount Band]]="medium",0.15,0.3))</f>
        <v>0.3</v>
      </c>
      <c r="I345" s="8">
        <f>financials[[#This Row],[Gross Sales]]-financials[[#This Row],[Gross Sales]]*financials[[#This Row],[Discounts]]</f>
        <v>151.19999999999999</v>
      </c>
      <c r="J345" s="8">
        <f>VLOOKUP(financials[[#This Row],[productid]],Products!$B$2:$H$10,4)</f>
        <v>16.8</v>
      </c>
      <c r="K345" s="8">
        <f>financials[[#This Row],[Net Sales]]-financials[[#This Row],[COGS]]</f>
        <v>134.39999999999998</v>
      </c>
      <c r="L345" s="15">
        <v>45152</v>
      </c>
      <c r="M345" t="s">
        <v>697</v>
      </c>
    </row>
    <row r="346" spans="1:13" x14ac:dyDescent="0.25">
      <c r="A346" t="s">
        <v>86</v>
      </c>
      <c r="B346" s="6" t="s">
        <v>617</v>
      </c>
      <c r="C346" s="13">
        <v>102</v>
      </c>
      <c r="D346" s="14" t="s">
        <v>92</v>
      </c>
      <c r="E346">
        <v>13</v>
      </c>
      <c r="F346" s="8">
        <f>VLOOKUP(financials[[#This Row],[productid]],Products!$B$2:$H$10,3)</f>
        <v>15</v>
      </c>
      <c r="G346" s="8">
        <f>financials[[#This Row],[Units Sold]]*financials[[#This Row],[Sale Price]]</f>
        <v>195</v>
      </c>
      <c r="H346" s="8">
        <f>IF(financials[[#This Row],[Discount Band]]="low",0.1,IF(financials[[#This Row],[Discount Band]]="medium",0.15,0.3))</f>
        <v>0.3</v>
      </c>
      <c r="I346" s="8">
        <f>financials[[#This Row],[Gross Sales]]-financials[[#This Row],[Gross Sales]]*financials[[#This Row],[Discounts]]</f>
        <v>136.5</v>
      </c>
      <c r="J346" s="8">
        <f>VLOOKUP(financials[[#This Row],[productid]],Products!$B$2:$H$10,4)</f>
        <v>13.95</v>
      </c>
      <c r="K346" s="8">
        <f>financials[[#This Row],[Net Sales]]-financials[[#This Row],[COGS]]</f>
        <v>122.55</v>
      </c>
      <c r="L346" s="15">
        <v>44103</v>
      </c>
      <c r="M346" t="s">
        <v>700</v>
      </c>
    </row>
    <row r="347" spans="1:13" x14ac:dyDescent="0.25">
      <c r="A347" t="s">
        <v>85</v>
      </c>
      <c r="B347" s="6" t="s">
        <v>158</v>
      </c>
      <c r="C347" s="11">
        <v>108</v>
      </c>
      <c r="D347" s="9" t="s">
        <v>91</v>
      </c>
      <c r="E347">
        <v>13</v>
      </c>
      <c r="F347" s="8">
        <f>VLOOKUP(financials[[#This Row],[productid]],Products!$B$2:$H$10,3)</f>
        <v>5.5</v>
      </c>
      <c r="G347" s="8">
        <f>financials[[#This Row],[Units Sold]]*financials[[#This Row],[Sale Price]]</f>
        <v>71.5</v>
      </c>
      <c r="H347" s="8">
        <f>IF(financials[[#This Row],[Discount Band]]="low",0.1,IF(financials[[#This Row],[Discount Band]]="medium",0.15,0.3))</f>
        <v>0.1</v>
      </c>
      <c r="I347" s="8">
        <f>financials[[#This Row],[Gross Sales]]-financials[[#This Row],[Gross Sales]]*financials[[#This Row],[Discounts]]</f>
        <v>64.349999999999994</v>
      </c>
      <c r="J347" s="8">
        <f>VLOOKUP(financials[[#This Row],[productid]],Products!$B$2:$H$10,4)</f>
        <v>3.99</v>
      </c>
      <c r="K347" s="8">
        <f>financials[[#This Row],[Net Sales]]-financials[[#This Row],[COGS]]</f>
        <v>60.359999999999992</v>
      </c>
      <c r="L347" s="15">
        <v>45017</v>
      </c>
      <c r="M347" t="s">
        <v>691</v>
      </c>
    </row>
    <row r="348" spans="1:13" x14ac:dyDescent="0.25">
      <c r="A348" t="s">
        <v>86</v>
      </c>
      <c r="B348" s="6" t="s">
        <v>644</v>
      </c>
      <c r="C348" s="13">
        <v>106</v>
      </c>
      <c r="D348" s="14" t="s">
        <v>92</v>
      </c>
      <c r="E348">
        <v>16</v>
      </c>
      <c r="F348" s="8">
        <f>VLOOKUP(financials[[#This Row],[productid]],Products!$B$2:$H$10,3)</f>
        <v>25</v>
      </c>
      <c r="G348" s="8">
        <f>financials[[#This Row],[Units Sold]]*financials[[#This Row],[Sale Price]]</f>
        <v>400</v>
      </c>
      <c r="H348" s="8">
        <f>IF(financials[[#This Row],[Discount Band]]="low",0.1,IF(financials[[#This Row],[Discount Band]]="medium",0.15,0.3))</f>
        <v>0.3</v>
      </c>
      <c r="I348" s="8">
        <f>financials[[#This Row],[Gross Sales]]-financials[[#This Row],[Gross Sales]]*financials[[#This Row],[Discounts]]</f>
        <v>280</v>
      </c>
      <c r="J348" s="8">
        <f>VLOOKUP(financials[[#This Row],[productid]],Products!$B$2:$H$10,4)</f>
        <v>9.1</v>
      </c>
      <c r="K348" s="8">
        <f>financials[[#This Row],[Net Sales]]-financials[[#This Row],[COGS]]</f>
        <v>270.89999999999998</v>
      </c>
      <c r="L348" s="15">
        <v>44454</v>
      </c>
      <c r="M348" t="s">
        <v>696</v>
      </c>
    </row>
    <row r="349" spans="1:13" x14ac:dyDescent="0.25">
      <c r="A349" t="s">
        <v>86</v>
      </c>
      <c r="B349" s="6" t="s">
        <v>644</v>
      </c>
      <c r="C349" s="13">
        <v>107</v>
      </c>
      <c r="D349" s="14" t="s">
        <v>91</v>
      </c>
      <c r="E349">
        <v>13</v>
      </c>
      <c r="F349" s="8">
        <f>VLOOKUP(financials[[#This Row],[productid]],Products!$B$2:$H$10,3)</f>
        <v>15</v>
      </c>
      <c r="G349" s="8">
        <f>financials[[#This Row],[Units Sold]]*financials[[#This Row],[Sale Price]]</f>
        <v>195</v>
      </c>
      <c r="H349" s="8">
        <f>IF(financials[[#This Row],[Discount Band]]="low",0.1,IF(financials[[#This Row],[Discount Band]]="medium",0.15,0.3))</f>
        <v>0.1</v>
      </c>
      <c r="I349" s="8">
        <f>financials[[#This Row],[Gross Sales]]-financials[[#This Row],[Gross Sales]]*financials[[#This Row],[Discounts]]</f>
        <v>175.5</v>
      </c>
      <c r="J349" s="8">
        <f>VLOOKUP(financials[[#This Row],[productid]],Products!$B$2:$H$10,4)</f>
        <v>5.5</v>
      </c>
      <c r="K349" s="8">
        <f>financials[[#This Row],[Net Sales]]-financials[[#This Row],[COGS]]</f>
        <v>170</v>
      </c>
      <c r="L349" s="15">
        <v>45136</v>
      </c>
      <c r="M349" t="s">
        <v>691</v>
      </c>
    </row>
    <row r="350" spans="1:13" x14ac:dyDescent="0.25">
      <c r="A350" t="s">
        <v>86</v>
      </c>
      <c r="B350" s="6" t="s">
        <v>266</v>
      </c>
      <c r="C350" s="13">
        <v>108</v>
      </c>
      <c r="D350" s="14" t="s">
        <v>90</v>
      </c>
      <c r="E350">
        <v>19</v>
      </c>
      <c r="F350" s="8">
        <f>VLOOKUP(financials[[#This Row],[productid]],Products!$B$2:$H$10,3)</f>
        <v>5.5</v>
      </c>
      <c r="G350" s="8">
        <f>financials[[#This Row],[Units Sold]]*financials[[#This Row],[Sale Price]]</f>
        <v>104.5</v>
      </c>
      <c r="H350" s="8">
        <f>IF(financials[[#This Row],[Discount Band]]="low",0.1,IF(financials[[#This Row],[Discount Band]]="medium",0.15,0.3))</f>
        <v>0.15</v>
      </c>
      <c r="I350" s="8">
        <f>financials[[#This Row],[Gross Sales]]-financials[[#This Row],[Gross Sales]]*financials[[#This Row],[Discounts]]</f>
        <v>88.825000000000003</v>
      </c>
      <c r="J350" s="8">
        <f>VLOOKUP(financials[[#This Row],[productid]],Products!$B$2:$H$10,4)</f>
        <v>3.99</v>
      </c>
      <c r="K350" s="8">
        <f>financials[[#This Row],[Net Sales]]-financials[[#This Row],[COGS]]</f>
        <v>84.835000000000008</v>
      </c>
      <c r="L350" s="15">
        <v>44744</v>
      </c>
      <c r="M350" t="s">
        <v>697</v>
      </c>
    </row>
    <row r="351" spans="1:13" x14ac:dyDescent="0.25">
      <c r="A351" t="s">
        <v>86</v>
      </c>
      <c r="B351" s="6" t="s">
        <v>93</v>
      </c>
      <c r="C351" s="13">
        <v>105</v>
      </c>
      <c r="D351" s="14" t="s">
        <v>83</v>
      </c>
      <c r="E351">
        <v>18</v>
      </c>
      <c r="F351" s="8">
        <f>VLOOKUP(financials[[#This Row],[productid]],Products!$B$2:$H$10,3)</f>
        <v>15</v>
      </c>
      <c r="G351" s="8">
        <f>financials[[#This Row],[Units Sold]]*financials[[#This Row],[Sale Price]]</f>
        <v>270</v>
      </c>
      <c r="H351" s="8">
        <f>IF(financials[[#This Row],[Discount Band]]="low",0.1,IF(financials[[#This Row],[Discount Band]]="medium",0.15,0.3))</f>
        <v>0.3</v>
      </c>
      <c r="I351" s="8">
        <f>financials[[#This Row],[Gross Sales]]-financials[[#This Row],[Gross Sales]]*financials[[#This Row],[Discounts]]</f>
        <v>189</v>
      </c>
      <c r="J351" s="8">
        <f>VLOOKUP(financials[[#This Row],[productid]],Products!$B$2:$H$10,4)</f>
        <v>10</v>
      </c>
      <c r="K351" s="8">
        <f>financials[[#This Row],[Net Sales]]-financials[[#This Row],[COGS]]</f>
        <v>179</v>
      </c>
      <c r="L351" s="15">
        <v>44885</v>
      </c>
      <c r="M351" t="s">
        <v>696</v>
      </c>
    </row>
    <row r="352" spans="1:13" x14ac:dyDescent="0.25">
      <c r="A352" t="s">
        <v>86</v>
      </c>
      <c r="B352" s="6" t="s">
        <v>94</v>
      </c>
      <c r="C352" s="13">
        <v>108</v>
      </c>
      <c r="D352" s="14" t="s">
        <v>83</v>
      </c>
      <c r="E352">
        <v>20</v>
      </c>
      <c r="F352" s="8">
        <f>VLOOKUP(financials[[#This Row],[productid]],Products!$B$2:$H$10,3)</f>
        <v>5.5</v>
      </c>
      <c r="G352" s="8">
        <f>financials[[#This Row],[Units Sold]]*financials[[#This Row],[Sale Price]]</f>
        <v>110</v>
      </c>
      <c r="H352" s="8">
        <f>IF(financials[[#This Row],[Discount Band]]="low",0.1,IF(financials[[#This Row],[Discount Band]]="medium",0.15,0.3))</f>
        <v>0.3</v>
      </c>
      <c r="I352" s="8">
        <f>financials[[#This Row],[Gross Sales]]-financials[[#This Row],[Gross Sales]]*financials[[#This Row],[Discounts]]</f>
        <v>77</v>
      </c>
      <c r="J352" s="8">
        <f>VLOOKUP(financials[[#This Row],[productid]],Products!$B$2:$H$10,4)</f>
        <v>3.99</v>
      </c>
      <c r="K352" s="8">
        <f>financials[[#This Row],[Net Sales]]-financials[[#This Row],[COGS]]</f>
        <v>73.010000000000005</v>
      </c>
      <c r="L352" s="15">
        <v>45069</v>
      </c>
      <c r="M352" t="s">
        <v>700</v>
      </c>
    </row>
    <row r="353" spans="1:13" x14ac:dyDescent="0.25">
      <c r="A353" t="s">
        <v>86</v>
      </c>
      <c r="B353" s="6" t="s">
        <v>273</v>
      </c>
      <c r="C353" s="13">
        <v>103</v>
      </c>
      <c r="D353" s="14" t="s">
        <v>90</v>
      </c>
      <c r="E353">
        <v>5</v>
      </c>
      <c r="F353" s="8">
        <f>VLOOKUP(financials[[#This Row],[productid]],Products!$B$2:$H$10,3)</f>
        <v>28</v>
      </c>
      <c r="G353" s="8">
        <f>financials[[#This Row],[Units Sold]]*financials[[#This Row],[Sale Price]]</f>
        <v>140</v>
      </c>
      <c r="H353" s="8">
        <f>IF(financials[[#This Row],[Discount Band]]="low",0.1,IF(financials[[#This Row],[Discount Band]]="medium",0.15,0.3))</f>
        <v>0.15</v>
      </c>
      <c r="I353" s="8">
        <f>financials[[#This Row],[Gross Sales]]-financials[[#This Row],[Gross Sales]]*financials[[#This Row],[Discounts]]</f>
        <v>119</v>
      </c>
      <c r="J353" s="8">
        <f>VLOOKUP(financials[[#This Row],[productid]],Products!$B$2:$H$10,4)</f>
        <v>15</v>
      </c>
      <c r="K353" s="8">
        <f>financials[[#This Row],[Net Sales]]-financials[[#This Row],[COGS]]</f>
        <v>104</v>
      </c>
      <c r="L353" s="15">
        <v>44202</v>
      </c>
      <c r="M353" t="s">
        <v>700</v>
      </c>
    </row>
    <row r="354" spans="1:13" x14ac:dyDescent="0.25">
      <c r="A354" t="s">
        <v>89</v>
      </c>
      <c r="B354" s="6" t="s">
        <v>93</v>
      </c>
      <c r="C354" s="11">
        <v>109</v>
      </c>
      <c r="D354" s="9" t="s">
        <v>92</v>
      </c>
      <c r="E354">
        <v>6</v>
      </c>
      <c r="F354" s="8">
        <f>VLOOKUP(financials[[#This Row],[productid]],Products!$B$2:$H$10,3)</f>
        <v>36</v>
      </c>
      <c r="G354" s="8">
        <f>financials[[#This Row],[Units Sold]]*financials[[#This Row],[Sale Price]]</f>
        <v>216</v>
      </c>
      <c r="H354" s="8">
        <f>IF(financials[[#This Row],[Discount Band]]="low",0.1,IF(financials[[#This Row],[Discount Band]]="medium",0.15,0.3))</f>
        <v>0.3</v>
      </c>
      <c r="I354" s="8">
        <f>financials[[#This Row],[Gross Sales]]-financials[[#This Row],[Gross Sales]]*financials[[#This Row],[Discounts]]</f>
        <v>151.19999999999999</v>
      </c>
      <c r="J354" s="8">
        <f>VLOOKUP(financials[[#This Row],[productid]],Products!$B$2:$H$10,4)</f>
        <v>16.8</v>
      </c>
      <c r="K354" s="8">
        <f>financials[[#This Row],[Net Sales]]-financials[[#This Row],[COGS]]</f>
        <v>134.39999999999998</v>
      </c>
      <c r="L354" s="15">
        <v>44762</v>
      </c>
      <c r="M354" t="s">
        <v>691</v>
      </c>
    </row>
    <row r="355" spans="1:13" x14ac:dyDescent="0.25">
      <c r="A355" t="s">
        <v>86</v>
      </c>
      <c r="B355" s="6" t="s">
        <v>228</v>
      </c>
      <c r="C355" s="11">
        <v>109</v>
      </c>
      <c r="D355" s="9" t="s">
        <v>91</v>
      </c>
      <c r="E355">
        <v>17</v>
      </c>
      <c r="F355" s="8">
        <f>VLOOKUP(financials[[#This Row],[productid]],Products!$B$2:$H$10,3)</f>
        <v>36</v>
      </c>
      <c r="G355" s="8">
        <f>financials[[#This Row],[Units Sold]]*financials[[#This Row],[Sale Price]]</f>
        <v>612</v>
      </c>
      <c r="H355" s="8">
        <f>IF(financials[[#This Row],[Discount Band]]="low",0.1,IF(financials[[#This Row],[Discount Band]]="medium",0.15,0.3))</f>
        <v>0.1</v>
      </c>
      <c r="I355" s="8">
        <f>financials[[#This Row],[Gross Sales]]-financials[[#This Row],[Gross Sales]]*financials[[#This Row],[Discounts]]</f>
        <v>550.79999999999995</v>
      </c>
      <c r="J355" s="8">
        <f>VLOOKUP(financials[[#This Row],[productid]],Products!$B$2:$H$10,4)</f>
        <v>16.8</v>
      </c>
      <c r="K355" s="8">
        <f>financials[[#This Row],[Net Sales]]-financials[[#This Row],[COGS]]</f>
        <v>534</v>
      </c>
      <c r="L355" s="15">
        <v>44864</v>
      </c>
      <c r="M355" t="s">
        <v>697</v>
      </c>
    </row>
    <row r="356" spans="1:13" x14ac:dyDescent="0.25">
      <c r="A356" t="s">
        <v>86</v>
      </c>
      <c r="B356" s="6" t="s">
        <v>617</v>
      </c>
      <c r="C356" s="13">
        <v>102</v>
      </c>
      <c r="D356" s="14" t="s">
        <v>90</v>
      </c>
      <c r="E356">
        <v>13</v>
      </c>
      <c r="F356" s="8">
        <f>VLOOKUP(financials[[#This Row],[productid]],Products!$B$2:$H$10,3)</f>
        <v>15</v>
      </c>
      <c r="G356" s="8">
        <f>financials[[#This Row],[Units Sold]]*financials[[#This Row],[Sale Price]]</f>
        <v>195</v>
      </c>
      <c r="H356" s="8">
        <f>IF(financials[[#This Row],[Discount Band]]="low",0.1,IF(financials[[#This Row],[Discount Band]]="medium",0.15,0.3))</f>
        <v>0.15</v>
      </c>
      <c r="I356" s="8">
        <f>financials[[#This Row],[Gross Sales]]-financials[[#This Row],[Gross Sales]]*financials[[#This Row],[Discounts]]</f>
        <v>165.75</v>
      </c>
      <c r="J356" s="8">
        <f>VLOOKUP(financials[[#This Row],[productid]],Products!$B$2:$H$10,4)</f>
        <v>13.95</v>
      </c>
      <c r="K356" s="8">
        <f>financials[[#This Row],[Net Sales]]-financials[[#This Row],[COGS]]</f>
        <v>151.80000000000001</v>
      </c>
      <c r="L356" s="15">
        <v>45404</v>
      </c>
      <c r="M356" t="s">
        <v>690</v>
      </c>
    </row>
    <row r="357" spans="1:13" x14ac:dyDescent="0.25">
      <c r="A357" t="s">
        <v>86</v>
      </c>
      <c r="B357" s="6" t="s">
        <v>644</v>
      </c>
      <c r="C357" s="13">
        <v>105</v>
      </c>
      <c r="D357" s="14" t="s">
        <v>90</v>
      </c>
      <c r="E357">
        <v>20</v>
      </c>
      <c r="F357" s="8">
        <f>VLOOKUP(financials[[#This Row],[productid]],Products!$B$2:$H$10,3)</f>
        <v>15</v>
      </c>
      <c r="G357" s="8">
        <f>financials[[#This Row],[Units Sold]]*financials[[#This Row],[Sale Price]]</f>
        <v>300</v>
      </c>
      <c r="H357" s="8">
        <f>IF(financials[[#This Row],[Discount Band]]="low",0.1,IF(financials[[#This Row],[Discount Band]]="medium",0.15,0.3))</f>
        <v>0.15</v>
      </c>
      <c r="I357" s="8">
        <f>financials[[#This Row],[Gross Sales]]-financials[[#This Row],[Gross Sales]]*financials[[#This Row],[Discounts]]</f>
        <v>255</v>
      </c>
      <c r="J357" s="8">
        <f>VLOOKUP(financials[[#This Row],[productid]],Products!$B$2:$H$10,4)</f>
        <v>10</v>
      </c>
      <c r="K357" s="8">
        <f>financials[[#This Row],[Net Sales]]-financials[[#This Row],[COGS]]</f>
        <v>245</v>
      </c>
      <c r="L357" s="15">
        <v>44470</v>
      </c>
      <c r="M357" t="s">
        <v>690</v>
      </c>
    </row>
    <row r="358" spans="1:13" x14ac:dyDescent="0.25">
      <c r="A358" t="s">
        <v>86</v>
      </c>
      <c r="B358" s="6" t="s">
        <v>197</v>
      </c>
      <c r="C358" s="13">
        <v>101</v>
      </c>
      <c r="D358" s="14" t="s">
        <v>83</v>
      </c>
      <c r="E358">
        <v>9</v>
      </c>
      <c r="F358" s="8">
        <f>VLOOKUP(financials[[#This Row],[productid]],Products!$B$2:$H$10,3)</f>
        <v>23</v>
      </c>
      <c r="G358" s="8">
        <f>financials[[#This Row],[Units Sold]]*financials[[#This Row],[Sale Price]]</f>
        <v>207</v>
      </c>
      <c r="H358" s="8">
        <f>IF(financials[[#This Row],[Discount Band]]="low",0.1,IF(financials[[#This Row],[Discount Band]]="medium",0.15,0.3))</f>
        <v>0.3</v>
      </c>
      <c r="I358" s="8">
        <f>financials[[#This Row],[Gross Sales]]-financials[[#This Row],[Gross Sales]]*financials[[#This Row],[Discounts]]</f>
        <v>144.9</v>
      </c>
      <c r="J358" s="8">
        <f>VLOOKUP(financials[[#This Row],[productid]],Products!$B$2:$H$10,4)</f>
        <v>9.9499999999999993</v>
      </c>
      <c r="K358" s="8">
        <f>financials[[#This Row],[Net Sales]]-financials[[#This Row],[COGS]]</f>
        <v>134.95000000000002</v>
      </c>
      <c r="L358" s="15">
        <v>43877</v>
      </c>
      <c r="M358" t="s">
        <v>690</v>
      </c>
    </row>
    <row r="359" spans="1:13" x14ac:dyDescent="0.25">
      <c r="A359" t="s">
        <v>85</v>
      </c>
      <c r="B359" s="6" t="s">
        <v>545</v>
      </c>
      <c r="C359" s="13">
        <v>107</v>
      </c>
      <c r="D359" s="14" t="s">
        <v>91</v>
      </c>
      <c r="E359">
        <v>18</v>
      </c>
      <c r="F359" s="8">
        <f>VLOOKUP(financials[[#This Row],[productid]],Products!$B$2:$H$10,3)</f>
        <v>15</v>
      </c>
      <c r="G359" s="8">
        <f>financials[[#This Row],[Units Sold]]*financials[[#This Row],[Sale Price]]</f>
        <v>270</v>
      </c>
      <c r="H359" s="8">
        <f>IF(financials[[#This Row],[Discount Band]]="low",0.1,IF(financials[[#This Row],[Discount Band]]="medium",0.15,0.3))</f>
        <v>0.1</v>
      </c>
      <c r="I359" s="8">
        <f>financials[[#This Row],[Gross Sales]]-financials[[#This Row],[Gross Sales]]*financials[[#This Row],[Discounts]]</f>
        <v>243</v>
      </c>
      <c r="J359" s="8">
        <f>VLOOKUP(financials[[#This Row],[productid]],Products!$B$2:$H$10,4)</f>
        <v>5.5</v>
      </c>
      <c r="K359" s="8">
        <f>financials[[#This Row],[Net Sales]]-financials[[#This Row],[COGS]]</f>
        <v>237.5</v>
      </c>
      <c r="L359" s="15">
        <v>45069</v>
      </c>
      <c r="M359" t="s">
        <v>690</v>
      </c>
    </row>
    <row r="360" spans="1:13" x14ac:dyDescent="0.25">
      <c r="A360" t="s">
        <v>86</v>
      </c>
      <c r="B360" s="6" t="s">
        <v>96</v>
      </c>
      <c r="C360" s="13">
        <v>103</v>
      </c>
      <c r="D360" s="14" t="s">
        <v>90</v>
      </c>
      <c r="E360">
        <v>15</v>
      </c>
      <c r="F360" s="8">
        <f>VLOOKUP(financials[[#This Row],[productid]],Products!$B$2:$H$10,3)</f>
        <v>28</v>
      </c>
      <c r="G360" s="8">
        <f>financials[[#This Row],[Units Sold]]*financials[[#This Row],[Sale Price]]</f>
        <v>420</v>
      </c>
      <c r="H360" s="8">
        <f>IF(financials[[#This Row],[Discount Band]]="low",0.1,IF(financials[[#This Row],[Discount Band]]="medium",0.15,0.3))</f>
        <v>0.15</v>
      </c>
      <c r="I360" s="8">
        <f>financials[[#This Row],[Gross Sales]]-financials[[#This Row],[Gross Sales]]*financials[[#This Row],[Discounts]]</f>
        <v>357</v>
      </c>
      <c r="J360" s="8">
        <f>VLOOKUP(financials[[#This Row],[productid]],Products!$B$2:$H$10,4)</f>
        <v>15</v>
      </c>
      <c r="K360" s="8">
        <f>financials[[#This Row],[Net Sales]]-financials[[#This Row],[COGS]]</f>
        <v>342</v>
      </c>
      <c r="L360" s="15">
        <v>45386</v>
      </c>
      <c r="M360" t="s">
        <v>690</v>
      </c>
    </row>
    <row r="361" spans="1:13" x14ac:dyDescent="0.25">
      <c r="A361" t="s">
        <v>86</v>
      </c>
      <c r="B361" s="6" t="s">
        <v>205</v>
      </c>
      <c r="C361" s="13">
        <v>101</v>
      </c>
      <c r="D361" s="14" t="s">
        <v>91</v>
      </c>
      <c r="E361">
        <v>6</v>
      </c>
      <c r="F361" s="8">
        <f>VLOOKUP(financials[[#This Row],[productid]],Products!$B$2:$H$10,3)</f>
        <v>23</v>
      </c>
      <c r="G361" s="8">
        <f>financials[[#This Row],[Units Sold]]*financials[[#This Row],[Sale Price]]</f>
        <v>138</v>
      </c>
      <c r="H361" s="8">
        <f>IF(financials[[#This Row],[Discount Band]]="low",0.1,IF(financials[[#This Row],[Discount Band]]="medium",0.15,0.3))</f>
        <v>0.1</v>
      </c>
      <c r="I361" s="8">
        <f>financials[[#This Row],[Gross Sales]]-financials[[#This Row],[Gross Sales]]*financials[[#This Row],[Discounts]]</f>
        <v>124.2</v>
      </c>
      <c r="J361" s="8">
        <f>VLOOKUP(financials[[#This Row],[productid]],Products!$B$2:$H$10,4)</f>
        <v>9.9499999999999993</v>
      </c>
      <c r="K361" s="8">
        <f>financials[[#This Row],[Net Sales]]-financials[[#This Row],[COGS]]</f>
        <v>114.25</v>
      </c>
      <c r="L361" s="15">
        <v>45274</v>
      </c>
      <c r="M361" t="s">
        <v>696</v>
      </c>
    </row>
    <row r="362" spans="1:13" x14ac:dyDescent="0.25">
      <c r="A362" t="s">
        <v>86</v>
      </c>
      <c r="B362" s="6" t="s">
        <v>96</v>
      </c>
      <c r="C362" s="11">
        <v>101</v>
      </c>
      <c r="D362" s="9" t="s">
        <v>83</v>
      </c>
      <c r="E362">
        <v>16</v>
      </c>
      <c r="F362" s="8">
        <f>VLOOKUP(financials[[#This Row],[productid]],Products!$B$2:$H$10,3)</f>
        <v>23</v>
      </c>
      <c r="G362" s="8">
        <f>financials[[#This Row],[Units Sold]]*financials[[#This Row],[Sale Price]]</f>
        <v>368</v>
      </c>
      <c r="H362" s="8">
        <f>IF(financials[[#This Row],[Discount Band]]="low",0.1,IF(financials[[#This Row],[Discount Band]]="medium",0.15,0.3))</f>
        <v>0.3</v>
      </c>
      <c r="I362" s="8">
        <f>financials[[#This Row],[Gross Sales]]-financials[[#This Row],[Gross Sales]]*financials[[#This Row],[Discounts]]</f>
        <v>257.60000000000002</v>
      </c>
      <c r="J362" s="8">
        <f>VLOOKUP(financials[[#This Row],[productid]],Products!$B$2:$H$10,4)</f>
        <v>9.9499999999999993</v>
      </c>
      <c r="K362" s="8">
        <f>financials[[#This Row],[Net Sales]]-financials[[#This Row],[COGS]]</f>
        <v>247.65000000000003</v>
      </c>
      <c r="L362" s="15">
        <v>45287</v>
      </c>
      <c r="M362" t="s">
        <v>690</v>
      </c>
    </row>
    <row r="363" spans="1:13" x14ac:dyDescent="0.25">
      <c r="A363" t="s">
        <v>86</v>
      </c>
      <c r="B363" s="6" t="s">
        <v>158</v>
      </c>
      <c r="C363" s="13">
        <v>104</v>
      </c>
      <c r="D363" s="14" t="s">
        <v>90</v>
      </c>
      <c r="E363">
        <v>5</v>
      </c>
      <c r="F363" s="8">
        <f>VLOOKUP(financials[[#This Row],[productid]],Products!$B$2:$H$10,3)</f>
        <v>5.9</v>
      </c>
      <c r="G363" s="8">
        <f>financials[[#This Row],[Units Sold]]*financials[[#This Row],[Sale Price]]</f>
        <v>29.5</v>
      </c>
      <c r="H363" s="8">
        <f>IF(financials[[#This Row],[Discount Band]]="low",0.1,IF(financials[[#This Row],[Discount Band]]="medium",0.15,0.3))</f>
        <v>0.15</v>
      </c>
      <c r="I363" s="8">
        <f>financials[[#This Row],[Gross Sales]]-financials[[#This Row],[Gross Sales]]*financials[[#This Row],[Discounts]]</f>
        <v>25.074999999999999</v>
      </c>
      <c r="J363" s="8">
        <f>VLOOKUP(financials[[#This Row],[productid]],Products!$B$2:$H$10,4)</f>
        <v>2.9</v>
      </c>
      <c r="K363" s="8">
        <f>financials[[#This Row],[Net Sales]]-financials[[#This Row],[COGS]]</f>
        <v>22.175000000000001</v>
      </c>
      <c r="L363" s="15">
        <v>44555</v>
      </c>
      <c r="M363" t="s">
        <v>697</v>
      </c>
    </row>
    <row r="364" spans="1:13" x14ac:dyDescent="0.25">
      <c r="A364" t="s">
        <v>86</v>
      </c>
      <c r="B364" s="6" t="s">
        <v>232</v>
      </c>
      <c r="C364" s="13">
        <v>103</v>
      </c>
      <c r="D364" s="14" t="s">
        <v>91</v>
      </c>
      <c r="E364">
        <v>17</v>
      </c>
      <c r="F364" s="8">
        <f>VLOOKUP(financials[[#This Row],[productid]],Products!$B$2:$H$10,3)</f>
        <v>28</v>
      </c>
      <c r="G364" s="8">
        <f>financials[[#This Row],[Units Sold]]*financials[[#This Row],[Sale Price]]</f>
        <v>476</v>
      </c>
      <c r="H364" s="8">
        <f>IF(financials[[#This Row],[Discount Band]]="low",0.1,IF(financials[[#This Row],[Discount Band]]="medium",0.15,0.3))</f>
        <v>0.1</v>
      </c>
      <c r="I364" s="8">
        <f>financials[[#This Row],[Gross Sales]]-financials[[#This Row],[Gross Sales]]*financials[[#This Row],[Discounts]]</f>
        <v>428.4</v>
      </c>
      <c r="J364" s="8">
        <f>VLOOKUP(financials[[#This Row],[productid]],Products!$B$2:$H$10,4)</f>
        <v>15</v>
      </c>
      <c r="K364" s="8">
        <f>financials[[#This Row],[Net Sales]]-financials[[#This Row],[COGS]]</f>
        <v>413.4</v>
      </c>
      <c r="L364" s="15">
        <v>43934</v>
      </c>
      <c r="M364" t="s">
        <v>696</v>
      </c>
    </row>
    <row r="365" spans="1:13" x14ac:dyDescent="0.25">
      <c r="A365" t="s">
        <v>85</v>
      </c>
      <c r="B365" s="6" t="s">
        <v>287</v>
      </c>
      <c r="C365" s="13">
        <v>108</v>
      </c>
      <c r="D365" s="14" t="s">
        <v>90</v>
      </c>
      <c r="E365">
        <v>8</v>
      </c>
      <c r="F365" s="8">
        <f>VLOOKUP(financials[[#This Row],[productid]],Products!$B$2:$H$10,3)</f>
        <v>5.5</v>
      </c>
      <c r="G365" s="8">
        <f>financials[[#This Row],[Units Sold]]*financials[[#This Row],[Sale Price]]</f>
        <v>44</v>
      </c>
      <c r="H365" s="8">
        <f>IF(financials[[#This Row],[Discount Band]]="low",0.1,IF(financials[[#This Row],[Discount Band]]="medium",0.15,0.3))</f>
        <v>0.15</v>
      </c>
      <c r="I365" s="8">
        <f>financials[[#This Row],[Gross Sales]]-financials[[#This Row],[Gross Sales]]*financials[[#This Row],[Discounts]]</f>
        <v>37.4</v>
      </c>
      <c r="J365" s="8">
        <f>VLOOKUP(financials[[#This Row],[productid]],Products!$B$2:$H$10,4)</f>
        <v>3.99</v>
      </c>
      <c r="K365" s="8">
        <f>financials[[#This Row],[Net Sales]]-financials[[#This Row],[COGS]]</f>
        <v>33.409999999999997</v>
      </c>
      <c r="L365" s="15">
        <v>44094</v>
      </c>
      <c r="M365" t="s">
        <v>700</v>
      </c>
    </row>
    <row r="366" spans="1:13" x14ac:dyDescent="0.25">
      <c r="A366" t="s">
        <v>86</v>
      </c>
      <c r="B366" s="6" t="s">
        <v>266</v>
      </c>
      <c r="C366" s="13">
        <v>107</v>
      </c>
      <c r="D366" s="14" t="s">
        <v>90</v>
      </c>
      <c r="E366">
        <v>19</v>
      </c>
      <c r="F366" s="8">
        <f>VLOOKUP(financials[[#This Row],[productid]],Products!$B$2:$H$10,3)</f>
        <v>15</v>
      </c>
      <c r="G366" s="8">
        <f>financials[[#This Row],[Units Sold]]*financials[[#This Row],[Sale Price]]</f>
        <v>285</v>
      </c>
      <c r="H366" s="8">
        <f>IF(financials[[#This Row],[Discount Band]]="low",0.1,IF(financials[[#This Row],[Discount Band]]="medium",0.15,0.3))</f>
        <v>0.15</v>
      </c>
      <c r="I366" s="8">
        <f>financials[[#This Row],[Gross Sales]]-financials[[#This Row],[Gross Sales]]*financials[[#This Row],[Discounts]]</f>
        <v>242.25</v>
      </c>
      <c r="J366" s="8">
        <f>VLOOKUP(financials[[#This Row],[productid]],Products!$B$2:$H$10,4)</f>
        <v>5.5</v>
      </c>
      <c r="K366" s="8">
        <f>financials[[#This Row],[Net Sales]]-financials[[#This Row],[COGS]]</f>
        <v>236.75</v>
      </c>
      <c r="L366" s="15">
        <v>45168</v>
      </c>
      <c r="M366" t="s">
        <v>690</v>
      </c>
    </row>
    <row r="367" spans="1:13" x14ac:dyDescent="0.25">
      <c r="A367" t="s">
        <v>86</v>
      </c>
      <c r="B367" s="6" t="s">
        <v>644</v>
      </c>
      <c r="C367" s="13">
        <v>105</v>
      </c>
      <c r="D367" s="14" t="s">
        <v>83</v>
      </c>
      <c r="E367">
        <v>9</v>
      </c>
      <c r="F367" s="8">
        <f>VLOOKUP(financials[[#This Row],[productid]],Products!$B$2:$H$10,3)</f>
        <v>15</v>
      </c>
      <c r="G367" s="8">
        <f>financials[[#This Row],[Units Sold]]*financials[[#This Row],[Sale Price]]</f>
        <v>135</v>
      </c>
      <c r="H367" s="8">
        <f>IF(financials[[#This Row],[Discount Band]]="low",0.1,IF(financials[[#This Row],[Discount Band]]="medium",0.15,0.3))</f>
        <v>0.3</v>
      </c>
      <c r="I367" s="8">
        <f>financials[[#This Row],[Gross Sales]]-financials[[#This Row],[Gross Sales]]*financials[[#This Row],[Discounts]]</f>
        <v>94.5</v>
      </c>
      <c r="J367" s="8">
        <f>VLOOKUP(financials[[#This Row],[productid]],Products!$B$2:$H$10,4)</f>
        <v>10</v>
      </c>
      <c r="K367" s="8">
        <f>financials[[#This Row],[Net Sales]]-financials[[#This Row],[COGS]]</f>
        <v>84.5</v>
      </c>
      <c r="L367" s="15">
        <v>44798</v>
      </c>
      <c r="M367" t="s">
        <v>700</v>
      </c>
    </row>
    <row r="368" spans="1:13" x14ac:dyDescent="0.25">
      <c r="A368" t="s">
        <v>86</v>
      </c>
      <c r="B368" s="6" t="s">
        <v>93</v>
      </c>
      <c r="C368" s="13">
        <v>106</v>
      </c>
      <c r="D368" s="14" t="s">
        <v>83</v>
      </c>
      <c r="E368">
        <v>20</v>
      </c>
      <c r="F368" s="8">
        <f>VLOOKUP(financials[[#This Row],[productid]],Products!$B$2:$H$10,3)</f>
        <v>25</v>
      </c>
      <c r="G368" s="8">
        <f>financials[[#This Row],[Units Sold]]*financials[[#This Row],[Sale Price]]</f>
        <v>500</v>
      </c>
      <c r="H368" s="8">
        <f>IF(financials[[#This Row],[Discount Band]]="low",0.1,IF(financials[[#This Row],[Discount Band]]="medium",0.15,0.3))</f>
        <v>0.3</v>
      </c>
      <c r="I368" s="8">
        <f>financials[[#This Row],[Gross Sales]]-financials[[#This Row],[Gross Sales]]*financials[[#This Row],[Discounts]]</f>
        <v>350</v>
      </c>
      <c r="J368" s="8">
        <f>VLOOKUP(financials[[#This Row],[productid]],Products!$B$2:$H$10,4)</f>
        <v>9.1</v>
      </c>
      <c r="K368" s="8">
        <f>financials[[#This Row],[Net Sales]]-financials[[#This Row],[COGS]]</f>
        <v>340.9</v>
      </c>
      <c r="L368" s="15">
        <v>44404</v>
      </c>
      <c r="M368" t="s">
        <v>696</v>
      </c>
    </row>
    <row r="369" spans="1:13" x14ac:dyDescent="0.25">
      <c r="A369" t="s">
        <v>89</v>
      </c>
      <c r="B369" s="6" t="s">
        <v>93</v>
      </c>
      <c r="C369" s="13">
        <v>107</v>
      </c>
      <c r="D369" s="14" t="s">
        <v>90</v>
      </c>
      <c r="E369">
        <v>6</v>
      </c>
      <c r="F369" s="8">
        <f>VLOOKUP(financials[[#This Row],[productid]],Products!$B$2:$H$10,3)</f>
        <v>15</v>
      </c>
      <c r="G369" s="8">
        <f>financials[[#This Row],[Units Sold]]*financials[[#This Row],[Sale Price]]</f>
        <v>90</v>
      </c>
      <c r="H369" s="8">
        <f>IF(financials[[#This Row],[Discount Band]]="low",0.1,IF(financials[[#This Row],[Discount Band]]="medium",0.15,0.3))</f>
        <v>0.15</v>
      </c>
      <c r="I369" s="8">
        <f>financials[[#This Row],[Gross Sales]]-financials[[#This Row],[Gross Sales]]*financials[[#This Row],[Discounts]]</f>
        <v>76.5</v>
      </c>
      <c r="J369" s="8">
        <f>VLOOKUP(financials[[#This Row],[productid]],Products!$B$2:$H$10,4)</f>
        <v>5.5</v>
      </c>
      <c r="K369" s="8">
        <f>financials[[#This Row],[Net Sales]]-financials[[#This Row],[COGS]]</f>
        <v>71</v>
      </c>
      <c r="L369" s="15">
        <v>44308</v>
      </c>
      <c r="M369" t="s">
        <v>696</v>
      </c>
    </row>
    <row r="370" spans="1:13" x14ac:dyDescent="0.25">
      <c r="A370" t="s">
        <v>86</v>
      </c>
      <c r="B370" s="6" t="s">
        <v>645</v>
      </c>
      <c r="C370" s="13">
        <v>104</v>
      </c>
      <c r="D370" s="14" t="s">
        <v>83</v>
      </c>
      <c r="E370">
        <v>9</v>
      </c>
      <c r="F370" s="8">
        <f>VLOOKUP(financials[[#This Row],[productid]],Products!$B$2:$H$10,3)</f>
        <v>5.9</v>
      </c>
      <c r="G370" s="8">
        <f>financials[[#This Row],[Units Sold]]*financials[[#This Row],[Sale Price]]</f>
        <v>53.1</v>
      </c>
      <c r="H370" s="8">
        <f>IF(financials[[#This Row],[Discount Band]]="low",0.1,IF(financials[[#This Row],[Discount Band]]="medium",0.15,0.3))</f>
        <v>0.3</v>
      </c>
      <c r="I370" s="8">
        <f>financials[[#This Row],[Gross Sales]]-financials[[#This Row],[Gross Sales]]*financials[[#This Row],[Discounts]]</f>
        <v>37.17</v>
      </c>
      <c r="J370" s="8">
        <f>VLOOKUP(financials[[#This Row],[productid]],Products!$B$2:$H$10,4)</f>
        <v>2.9</v>
      </c>
      <c r="K370" s="8">
        <f>financials[[#This Row],[Net Sales]]-financials[[#This Row],[COGS]]</f>
        <v>34.270000000000003</v>
      </c>
      <c r="L370" s="15">
        <v>44314</v>
      </c>
      <c r="M370" t="s">
        <v>697</v>
      </c>
    </row>
    <row r="371" spans="1:13" x14ac:dyDescent="0.25">
      <c r="A371" t="s">
        <v>86</v>
      </c>
      <c r="B371" s="6" t="s">
        <v>228</v>
      </c>
      <c r="C371" s="13">
        <v>102</v>
      </c>
      <c r="D371" s="14" t="s">
        <v>83</v>
      </c>
      <c r="E371">
        <v>20</v>
      </c>
      <c r="F371" s="8">
        <f>VLOOKUP(financials[[#This Row],[productid]],Products!$B$2:$H$10,3)</f>
        <v>15</v>
      </c>
      <c r="G371" s="8">
        <f>financials[[#This Row],[Units Sold]]*financials[[#This Row],[Sale Price]]</f>
        <v>300</v>
      </c>
      <c r="H371" s="8">
        <f>IF(financials[[#This Row],[Discount Band]]="low",0.1,IF(financials[[#This Row],[Discount Band]]="medium",0.15,0.3))</f>
        <v>0.3</v>
      </c>
      <c r="I371" s="8">
        <f>financials[[#This Row],[Gross Sales]]-financials[[#This Row],[Gross Sales]]*financials[[#This Row],[Discounts]]</f>
        <v>210</v>
      </c>
      <c r="J371" s="8">
        <f>VLOOKUP(financials[[#This Row],[productid]],Products!$B$2:$H$10,4)</f>
        <v>13.95</v>
      </c>
      <c r="K371" s="8">
        <f>financials[[#This Row],[Net Sales]]-financials[[#This Row],[COGS]]</f>
        <v>196.05</v>
      </c>
      <c r="L371" s="15">
        <v>45243</v>
      </c>
      <c r="M371" t="s">
        <v>696</v>
      </c>
    </row>
    <row r="372" spans="1:13" x14ac:dyDescent="0.25">
      <c r="A372" t="s">
        <v>86</v>
      </c>
      <c r="B372" s="6" t="s">
        <v>96</v>
      </c>
      <c r="C372" s="13">
        <v>102</v>
      </c>
      <c r="D372" s="14" t="s">
        <v>83</v>
      </c>
      <c r="E372">
        <v>10</v>
      </c>
      <c r="F372" s="8">
        <f>VLOOKUP(financials[[#This Row],[productid]],Products!$B$2:$H$10,3)</f>
        <v>15</v>
      </c>
      <c r="G372" s="8">
        <f>financials[[#This Row],[Units Sold]]*financials[[#This Row],[Sale Price]]</f>
        <v>150</v>
      </c>
      <c r="H372" s="8">
        <f>IF(financials[[#This Row],[Discount Band]]="low",0.1,IF(financials[[#This Row],[Discount Band]]="medium",0.15,0.3))</f>
        <v>0.3</v>
      </c>
      <c r="I372" s="8">
        <f>financials[[#This Row],[Gross Sales]]-financials[[#This Row],[Gross Sales]]*financials[[#This Row],[Discounts]]</f>
        <v>105</v>
      </c>
      <c r="J372" s="8">
        <f>VLOOKUP(financials[[#This Row],[productid]],Products!$B$2:$H$10,4)</f>
        <v>13.95</v>
      </c>
      <c r="K372" s="8">
        <f>financials[[#This Row],[Net Sales]]-financials[[#This Row],[COGS]]</f>
        <v>91.05</v>
      </c>
      <c r="L372" s="15">
        <v>44832</v>
      </c>
      <c r="M372" t="s">
        <v>691</v>
      </c>
    </row>
    <row r="373" spans="1:13" x14ac:dyDescent="0.25">
      <c r="A373" t="s">
        <v>86</v>
      </c>
      <c r="B373" s="6" t="s">
        <v>274</v>
      </c>
      <c r="C373" s="13">
        <v>104</v>
      </c>
      <c r="D373" s="14" t="s">
        <v>90</v>
      </c>
      <c r="E373">
        <v>16</v>
      </c>
      <c r="F373" s="8">
        <f>VLOOKUP(financials[[#This Row],[productid]],Products!$B$2:$H$10,3)</f>
        <v>5.9</v>
      </c>
      <c r="G373" s="8">
        <f>financials[[#This Row],[Units Sold]]*financials[[#This Row],[Sale Price]]</f>
        <v>94.4</v>
      </c>
      <c r="H373" s="8">
        <f>IF(financials[[#This Row],[Discount Band]]="low",0.1,IF(financials[[#This Row],[Discount Band]]="medium",0.15,0.3))</f>
        <v>0.15</v>
      </c>
      <c r="I373" s="8">
        <f>financials[[#This Row],[Gross Sales]]-financials[[#This Row],[Gross Sales]]*financials[[#This Row],[Discounts]]</f>
        <v>80.240000000000009</v>
      </c>
      <c r="J373" s="8">
        <f>VLOOKUP(financials[[#This Row],[productid]],Products!$B$2:$H$10,4)</f>
        <v>2.9</v>
      </c>
      <c r="K373" s="8">
        <f>financials[[#This Row],[Net Sales]]-financials[[#This Row],[COGS]]</f>
        <v>77.34</v>
      </c>
      <c r="L373" s="15">
        <v>45385</v>
      </c>
      <c r="M373" t="s">
        <v>697</v>
      </c>
    </row>
    <row r="374" spans="1:13" x14ac:dyDescent="0.25">
      <c r="A374" t="s">
        <v>86</v>
      </c>
      <c r="B374" s="6" t="s">
        <v>228</v>
      </c>
      <c r="C374" s="13">
        <v>101</v>
      </c>
      <c r="D374" s="14" t="s">
        <v>83</v>
      </c>
      <c r="E374">
        <v>14</v>
      </c>
      <c r="F374" s="8">
        <f>VLOOKUP(financials[[#This Row],[productid]],Products!$B$2:$H$10,3)</f>
        <v>23</v>
      </c>
      <c r="G374" s="8">
        <f>financials[[#This Row],[Units Sold]]*financials[[#This Row],[Sale Price]]</f>
        <v>322</v>
      </c>
      <c r="H374" s="8">
        <f>IF(financials[[#This Row],[Discount Band]]="low",0.1,IF(financials[[#This Row],[Discount Band]]="medium",0.15,0.3))</f>
        <v>0.3</v>
      </c>
      <c r="I374" s="8">
        <f>financials[[#This Row],[Gross Sales]]-financials[[#This Row],[Gross Sales]]*financials[[#This Row],[Discounts]]</f>
        <v>225.4</v>
      </c>
      <c r="J374" s="8">
        <f>VLOOKUP(financials[[#This Row],[productid]],Products!$B$2:$H$10,4)</f>
        <v>9.9499999999999993</v>
      </c>
      <c r="K374" s="8">
        <f>financials[[#This Row],[Net Sales]]-financials[[#This Row],[COGS]]</f>
        <v>215.45000000000002</v>
      </c>
      <c r="L374" s="15">
        <v>43907</v>
      </c>
      <c r="M374" t="s">
        <v>696</v>
      </c>
    </row>
    <row r="375" spans="1:13" x14ac:dyDescent="0.25">
      <c r="A375" t="s">
        <v>86</v>
      </c>
      <c r="B375" s="6" t="s">
        <v>148</v>
      </c>
      <c r="C375" s="13">
        <v>107</v>
      </c>
      <c r="D375" s="14" t="s">
        <v>90</v>
      </c>
      <c r="E375">
        <v>15</v>
      </c>
      <c r="F375" s="8">
        <f>VLOOKUP(financials[[#This Row],[productid]],Products!$B$2:$H$10,3)</f>
        <v>15</v>
      </c>
      <c r="G375" s="8">
        <f>financials[[#This Row],[Units Sold]]*financials[[#This Row],[Sale Price]]</f>
        <v>225</v>
      </c>
      <c r="H375" s="8">
        <f>IF(financials[[#This Row],[Discount Band]]="low",0.1,IF(financials[[#This Row],[Discount Band]]="medium",0.15,0.3))</f>
        <v>0.15</v>
      </c>
      <c r="I375" s="8">
        <f>financials[[#This Row],[Gross Sales]]-financials[[#This Row],[Gross Sales]]*financials[[#This Row],[Discounts]]</f>
        <v>191.25</v>
      </c>
      <c r="J375" s="8">
        <f>VLOOKUP(financials[[#This Row],[productid]],Products!$B$2:$H$10,4)</f>
        <v>5.5</v>
      </c>
      <c r="K375" s="8">
        <f>financials[[#This Row],[Net Sales]]-financials[[#This Row],[COGS]]</f>
        <v>185.75</v>
      </c>
      <c r="L375" s="15">
        <v>44240</v>
      </c>
      <c r="M375" t="s">
        <v>700</v>
      </c>
    </row>
    <row r="376" spans="1:13" x14ac:dyDescent="0.25">
      <c r="A376" t="s">
        <v>86</v>
      </c>
      <c r="B376" s="6" t="s">
        <v>125</v>
      </c>
      <c r="C376" s="13">
        <v>105</v>
      </c>
      <c r="D376" s="14" t="s">
        <v>90</v>
      </c>
      <c r="E376">
        <v>15</v>
      </c>
      <c r="F376" s="8">
        <f>VLOOKUP(financials[[#This Row],[productid]],Products!$B$2:$H$10,3)</f>
        <v>15</v>
      </c>
      <c r="G376" s="8">
        <f>financials[[#This Row],[Units Sold]]*financials[[#This Row],[Sale Price]]</f>
        <v>225</v>
      </c>
      <c r="H376" s="8">
        <f>IF(financials[[#This Row],[Discount Band]]="low",0.1,IF(financials[[#This Row],[Discount Band]]="medium",0.15,0.3))</f>
        <v>0.15</v>
      </c>
      <c r="I376" s="8">
        <f>financials[[#This Row],[Gross Sales]]-financials[[#This Row],[Gross Sales]]*financials[[#This Row],[Discounts]]</f>
        <v>191.25</v>
      </c>
      <c r="J376" s="8">
        <f>VLOOKUP(financials[[#This Row],[productid]],Products!$B$2:$H$10,4)</f>
        <v>10</v>
      </c>
      <c r="K376" s="8">
        <f>financials[[#This Row],[Net Sales]]-financials[[#This Row],[COGS]]</f>
        <v>181.25</v>
      </c>
      <c r="L376" s="15">
        <v>44011</v>
      </c>
      <c r="M376" t="s">
        <v>691</v>
      </c>
    </row>
    <row r="377" spans="1:13" x14ac:dyDescent="0.25">
      <c r="A377" t="s">
        <v>85</v>
      </c>
      <c r="B377" s="6" t="s">
        <v>266</v>
      </c>
      <c r="C377" s="13">
        <v>108</v>
      </c>
      <c r="D377" s="14" t="s">
        <v>90</v>
      </c>
      <c r="E377">
        <v>14</v>
      </c>
      <c r="F377" s="8">
        <f>VLOOKUP(financials[[#This Row],[productid]],Products!$B$2:$H$10,3)</f>
        <v>5.5</v>
      </c>
      <c r="G377" s="8">
        <f>financials[[#This Row],[Units Sold]]*financials[[#This Row],[Sale Price]]</f>
        <v>77</v>
      </c>
      <c r="H377" s="8">
        <f>IF(financials[[#This Row],[Discount Band]]="low",0.1,IF(financials[[#This Row],[Discount Band]]="medium",0.15,0.3))</f>
        <v>0.15</v>
      </c>
      <c r="I377" s="8">
        <f>financials[[#This Row],[Gross Sales]]-financials[[#This Row],[Gross Sales]]*financials[[#This Row],[Discounts]]</f>
        <v>65.45</v>
      </c>
      <c r="J377" s="8">
        <f>VLOOKUP(financials[[#This Row],[productid]],Products!$B$2:$H$10,4)</f>
        <v>3.99</v>
      </c>
      <c r="K377" s="8">
        <f>financials[[#This Row],[Net Sales]]-financials[[#This Row],[COGS]]</f>
        <v>61.46</v>
      </c>
      <c r="L377" s="15">
        <v>44653</v>
      </c>
      <c r="M377" t="s">
        <v>696</v>
      </c>
    </row>
    <row r="378" spans="1:13" x14ac:dyDescent="0.25">
      <c r="A378" t="s">
        <v>89</v>
      </c>
      <c r="B378" s="6" t="s">
        <v>93</v>
      </c>
      <c r="C378" s="13">
        <v>102</v>
      </c>
      <c r="D378" s="14" t="s">
        <v>83</v>
      </c>
      <c r="E378">
        <v>6</v>
      </c>
      <c r="F378" s="8">
        <f>VLOOKUP(financials[[#This Row],[productid]],Products!$B$2:$H$10,3)</f>
        <v>15</v>
      </c>
      <c r="G378" s="8">
        <f>financials[[#This Row],[Units Sold]]*financials[[#This Row],[Sale Price]]</f>
        <v>90</v>
      </c>
      <c r="H378" s="8">
        <f>IF(financials[[#This Row],[Discount Band]]="low",0.1,IF(financials[[#This Row],[Discount Band]]="medium",0.15,0.3))</f>
        <v>0.3</v>
      </c>
      <c r="I378" s="8">
        <f>financials[[#This Row],[Gross Sales]]-financials[[#This Row],[Gross Sales]]*financials[[#This Row],[Discounts]]</f>
        <v>63</v>
      </c>
      <c r="J378" s="8">
        <f>VLOOKUP(financials[[#This Row],[productid]],Products!$B$2:$H$10,4)</f>
        <v>13.95</v>
      </c>
      <c r="K378" s="8">
        <f>financials[[#This Row],[Net Sales]]-financials[[#This Row],[COGS]]</f>
        <v>49.05</v>
      </c>
      <c r="L378" s="15">
        <v>43932</v>
      </c>
      <c r="M378" t="s">
        <v>700</v>
      </c>
    </row>
    <row r="379" spans="1:13" x14ac:dyDescent="0.25">
      <c r="A379" t="s">
        <v>86</v>
      </c>
      <c r="B379" s="6" t="s">
        <v>617</v>
      </c>
      <c r="C379" s="11">
        <v>102</v>
      </c>
      <c r="D379" s="9" t="s">
        <v>90</v>
      </c>
      <c r="E379">
        <v>11</v>
      </c>
      <c r="F379" s="8">
        <f>VLOOKUP(financials[[#This Row],[productid]],Products!$B$2:$H$10,3)</f>
        <v>15</v>
      </c>
      <c r="G379" s="8">
        <f>financials[[#This Row],[Units Sold]]*financials[[#This Row],[Sale Price]]</f>
        <v>165</v>
      </c>
      <c r="H379" s="8">
        <f>IF(financials[[#This Row],[Discount Band]]="low",0.1,IF(financials[[#This Row],[Discount Band]]="medium",0.15,0.3))</f>
        <v>0.15</v>
      </c>
      <c r="I379" s="8">
        <f>financials[[#This Row],[Gross Sales]]-financials[[#This Row],[Gross Sales]]*financials[[#This Row],[Discounts]]</f>
        <v>140.25</v>
      </c>
      <c r="J379" s="8">
        <f>VLOOKUP(financials[[#This Row],[productid]],Products!$B$2:$H$10,4)</f>
        <v>13.95</v>
      </c>
      <c r="K379" s="8">
        <f>financials[[#This Row],[Net Sales]]-financials[[#This Row],[COGS]]</f>
        <v>126.3</v>
      </c>
      <c r="L379" s="15">
        <v>44477</v>
      </c>
      <c r="M379" t="s">
        <v>696</v>
      </c>
    </row>
    <row r="380" spans="1:13" x14ac:dyDescent="0.25">
      <c r="A380" t="s">
        <v>86</v>
      </c>
      <c r="B380" s="6" t="s">
        <v>645</v>
      </c>
      <c r="C380" s="13">
        <v>105</v>
      </c>
      <c r="D380" s="14" t="s">
        <v>90</v>
      </c>
      <c r="E380">
        <v>5</v>
      </c>
      <c r="F380" s="8">
        <f>VLOOKUP(financials[[#This Row],[productid]],Products!$B$2:$H$10,3)</f>
        <v>15</v>
      </c>
      <c r="G380" s="8">
        <f>financials[[#This Row],[Units Sold]]*financials[[#This Row],[Sale Price]]</f>
        <v>75</v>
      </c>
      <c r="H380" s="8">
        <f>IF(financials[[#This Row],[Discount Band]]="low",0.1,IF(financials[[#This Row],[Discount Band]]="medium",0.15,0.3))</f>
        <v>0.15</v>
      </c>
      <c r="I380" s="8">
        <f>financials[[#This Row],[Gross Sales]]-financials[[#This Row],[Gross Sales]]*financials[[#This Row],[Discounts]]</f>
        <v>63.75</v>
      </c>
      <c r="J380" s="8">
        <f>VLOOKUP(financials[[#This Row],[productid]],Products!$B$2:$H$10,4)</f>
        <v>10</v>
      </c>
      <c r="K380" s="8">
        <f>financials[[#This Row],[Net Sales]]-financials[[#This Row],[COGS]]</f>
        <v>53.75</v>
      </c>
      <c r="L380" s="15">
        <v>44469</v>
      </c>
      <c r="M380" t="s">
        <v>691</v>
      </c>
    </row>
    <row r="381" spans="1:13" x14ac:dyDescent="0.25">
      <c r="A381" t="s">
        <v>86</v>
      </c>
      <c r="B381" s="6" t="s">
        <v>94</v>
      </c>
      <c r="C381" s="13">
        <v>101</v>
      </c>
      <c r="D381" s="14" t="s">
        <v>83</v>
      </c>
      <c r="E381">
        <v>11</v>
      </c>
      <c r="F381" s="8">
        <f>VLOOKUP(financials[[#This Row],[productid]],Products!$B$2:$H$10,3)</f>
        <v>23</v>
      </c>
      <c r="G381" s="8">
        <f>financials[[#This Row],[Units Sold]]*financials[[#This Row],[Sale Price]]</f>
        <v>253</v>
      </c>
      <c r="H381" s="8">
        <f>IF(financials[[#This Row],[Discount Band]]="low",0.1,IF(financials[[#This Row],[Discount Band]]="medium",0.15,0.3))</f>
        <v>0.3</v>
      </c>
      <c r="I381" s="8">
        <f>financials[[#This Row],[Gross Sales]]-financials[[#This Row],[Gross Sales]]*financials[[#This Row],[Discounts]]</f>
        <v>177.10000000000002</v>
      </c>
      <c r="J381" s="8">
        <f>VLOOKUP(financials[[#This Row],[productid]],Products!$B$2:$H$10,4)</f>
        <v>9.9499999999999993</v>
      </c>
      <c r="K381" s="8">
        <f>financials[[#This Row],[Net Sales]]-financials[[#This Row],[COGS]]</f>
        <v>167.15000000000003</v>
      </c>
      <c r="L381" s="15">
        <v>45279</v>
      </c>
      <c r="M381" t="s">
        <v>696</v>
      </c>
    </row>
    <row r="382" spans="1:13" x14ac:dyDescent="0.25">
      <c r="A382" t="s">
        <v>86</v>
      </c>
      <c r="B382" s="6" t="s">
        <v>287</v>
      </c>
      <c r="C382" s="13">
        <v>103</v>
      </c>
      <c r="D382" s="14" t="s">
        <v>83</v>
      </c>
      <c r="E382">
        <v>5</v>
      </c>
      <c r="F382" s="8">
        <f>VLOOKUP(financials[[#This Row],[productid]],Products!$B$2:$H$10,3)</f>
        <v>28</v>
      </c>
      <c r="G382" s="8">
        <f>financials[[#This Row],[Units Sold]]*financials[[#This Row],[Sale Price]]</f>
        <v>140</v>
      </c>
      <c r="H382" s="8">
        <f>IF(financials[[#This Row],[Discount Band]]="low",0.1,IF(financials[[#This Row],[Discount Band]]="medium",0.15,0.3))</f>
        <v>0.3</v>
      </c>
      <c r="I382" s="8">
        <f>financials[[#This Row],[Gross Sales]]-financials[[#This Row],[Gross Sales]]*financials[[#This Row],[Discounts]]</f>
        <v>98</v>
      </c>
      <c r="J382" s="8">
        <f>VLOOKUP(financials[[#This Row],[productid]],Products!$B$2:$H$10,4)</f>
        <v>15</v>
      </c>
      <c r="K382" s="8">
        <f>financials[[#This Row],[Net Sales]]-financials[[#This Row],[COGS]]</f>
        <v>83</v>
      </c>
      <c r="L382" s="15">
        <v>44450</v>
      </c>
      <c r="M382" t="s">
        <v>691</v>
      </c>
    </row>
    <row r="383" spans="1:13" x14ac:dyDescent="0.25">
      <c r="A383" t="s">
        <v>86</v>
      </c>
      <c r="B383" s="6" t="s">
        <v>95</v>
      </c>
      <c r="C383" s="13">
        <v>104</v>
      </c>
      <c r="D383" s="14" t="s">
        <v>90</v>
      </c>
      <c r="E383">
        <v>15</v>
      </c>
      <c r="F383" s="8">
        <f>VLOOKUP(financials[[#This Row],[productid]],Products!$B$2:$H$10,3)</f>
        <v>5.9</v>
      </c>
      <c r="G383" s="8">
        <f>financials[[#This Row],[Units Sold]]*financials[[#This Row],[Sale Price]]</f>
        <v>88.5</v>
      </c>
      <c r="H383" s="8">
        <f>IF(financials[[#This Row],[Discount Band]]="low",0.1,IF(financials[[#This Row],[Discount Band]]="medium",0.15,0.3))</f>
        <v>0.15</v>
      </c>
      <c r="I383" s="8">
        <f>financials[[#This Row],[Gross Sales]]-financials[[#This Row],[Gross Sales]]*financials[[#This Row],[Discounts]]</f>
        <v>75.224999999999994</v>
      </c>
      <c r="J383" s="8">
        <f>VLOOKUP(financials[[#This Row],[productid]],Products!$B$2:$H$10,4)</f>
        <v>2.9</v>
      </c>
      <c r="K383" s="8">
        <f>financials[[#This Row],[Net Sales]]-financials[[#This Row],[COGS]]</f>
        <v>72.324999999999989</v>
      </c>
      <c r="L383" s="15">
        <v>45228</v>
      </c>
      <c r="M383" t="s">
        <v>696</v>
      </c>
    </row>
    <row r="384" spans="1:13" x14ac:dyDescent="0.25">
      <c r="A384" t="s">
        <v>86</v>
      </c>
      <c r="B384" s="6" t="s">
        <v>96</v>
      </c>
      <c r="C384" s="13">
        <v>106</v>
      </c>
      <c r="D384" s="14" t="s">
        <v>91</v>
      </c>
      <c r="E384">
        <v>13</v>
      </c>
      <c r="F384" s="8">
        <f>VLOOKUP(financials[[#This Row],[productid]],Products!$B$2:$H$10,3)</f>
        <v>25</v>
      </c>
      <c r="G384" s="8">
        <f>financials[[#This Row],[Units Sold]]*financials[[#This Row],[Sale Price]]</f>
        <v>325</v>
      </c>
      <c r="H384" s="8">
        <f>IF(financials[[#This Row],[Discount Band]]="low",0.1,IF(financials[[#This Row],[Discount Band]]="medium",0.15,0.3))</f>
        <v>0.1</v>
      </c>
      <c r="I384" s="8">
        <f>financials[[#This Row],[Gross Sales]]-financials[[#This Row],[Gross Sales]]*financials[[#This Row],[Discounts]]</f>
        <v>292.5</v>
      </c>
      <c r="J384" s="8">
        <f>VLOOKUP(financials[[#This Row],[productid]],Products!$B$2:$H$10,4)</f>
        <v>9.1</v>
      </c>
      <c r="K384" s="8">
        <f>financials[[#This Row],[Net Sales]]-financials[[#This Row],[COGS]]</f>
        <v>283.39999999999998</v>
      </c>
      <c r="L384" s="15">
        <v>44198</v>
      </c>
      <c r="M384" t="s">
        <v>691</v>
      </c>
    </row>
    <row r="385" spans="1:13" x14ac:dyDescent="0.25">
      <c r="A385" t="s">
        <v>86</v>
      </c>
      <c r="B385" s="6" t="s">
        <v>545</v>
      </c>
      <c r="C385" s="13">
        <v>108</v>
      </c>
      <c r="D385" s="14" t="s">
        <v>83</v>
      </c>
      <c r="E385">
        <v>8</v>
      </c>
      <c r="F385" s="8">
        <f>VLOOKUP(financials[[#This Row],[productid]],Products!$B$2:$H$10,3)</f>
        <v>5.5</v>
      </c>
      <c r="G385" s="8">
        <f>financials[[#This Row],[Units Sold]]*financials[[#This Row],[Sale Price]]</f>
        <v>44</v>
      </c>
      <c r="H385" s="8">
        <f>IF(financials[[#This Row],[Discount Band]]="low",0.1,IF(financials[[#This Row],[Discount Band]]="medium",0.15,0.3))</f>
        <v>0.3</v>
      </c>
      <c r="I385" s="8">
        <f>financials[[#This Row],[Gross Sales]]-financials[[#This Row],[Gross Sales]]*financials[[#This Row],[Discounts]]</f>
        <v>30.8</v>
      </c>
      <c r="J385" s="8">
        <f>VLOOKUP(financials[[#This Row],[productid]],Products!$B$2:$H$10,4)</f>
        <v>3.99</v>
      </c>
      <c r="K385" s="8">
        <f>financials[[#This Row],[Net Sales]]-financials[[#This Row],[COGS]]</f>
        <v>26.810000000000002</v>
      </c>
      <c r="L385" s="15">
        <v>44868</v>
      </c>
      <c r="M385" t="s">
        <v>700</v>
      </c>
    </row>
    <row r="386" spans="1:13" x14ac:dyDescent="0.25">
      <c r="A386" t="s">
        <v>86</v>
      </c>
      <c r="B386" s="6" t="s">
        <v>167</v>
      </c>
      <c r="C386" s="13">
        <v>107</v>
      </c>
      <c r="D386" s="14" t="s">
        <v>90</v>
      </c>
      <c r="E386">
        <v>6</v>
      </c>
      <c r="F386" s="8">
        <f>VLOOKUP(financials[[#This Row],[productid]],Products!$B$2:$H$10,3)</f>
        <v>15</v>
      </c>
      <c r="G386" s="8">
        <f>financials[[#This Row],[Units Sold]]*financials[[#This Row],[Sale Price]]</f>
        <v>90</v>
      </c>
      <c r="H386" s="8">
        <f>IF(financials[[#This Row],[Discount Band]]="low",0.1,IF(financials[[#This Row],[Discount Band]]="medium",0.15,0.3))</f>
        <v>0.15</v>
      </c>
      <c r="I386" s="8">
        <f>financials[[#This Row],[Gross Sales]]-financials[[#This Row],[Gross Sales]]*financials[[#This Row],[Discounts]]</f>
        <v>76.5</v>
      </c>
      <c r="J386" s="8">
        <f>VLOOKUP(financials[[#This Row],[productid]],Products!$B$2:$H$10,4)</f>
        <v>5.5</v>
      </c>
      <c r="K386" s="8">
        <f>financials[[#This Row],[Net Sales]]-financials[[#This Row],[COGS]]</f>
        <v>71</v>
      </c>
      <c r="L386" s="15">
        <v>45569</v>
      </c>
      <c r="M386" t="s">
        <v>696</v>
      </c>
    </row>
    <row r="387" spans="1:13" x14ac:dyDescent="0.25">
      <c r="A387" t="s">
        <v>86</v>
      </c>
      <c r="B387" s="6" t="s">
        <v>617</v>
      </c>
      <c r="C387" s="13">
        <v>102</v>
      </c>
      <c r="D387" s="14" t="s">
        <v>83</v>
      </c>
      <c r="E387">
        <v>20</v>
      </c>
      <c r="F387" s="8">
        <f>VLOOKUP(financials[[#This Row],[productid]],Products!$B$2:$H$10,3)</f>
        <v>15</v>
      </c>
      <c r="G387" s="8">
        <f>financials[[#This Row],[Units Sold]]*financials[[#This Row],[Sale Price]]</f>
        <v>300</v>
      </c>
      <c r="H387" s="8">
        <f>IF(financials[[#This Row],[Discount Band]]="low",0.1,IF(financials[[#This Row],[Discount Band]]="medium",0.15,0.3))</f>
        <v>0.3</v>
      </c>
      <c r="I387" s="8">
        <f>financials[[#This Row],[Gross Sales]]-financials[[#This Row],[Gross Sales]]*financials[[#This Row],[Discounts]]</f>
        <v>210</v>
      </c>
      <c r="J387" s="8">
        <f>VLOOKUP(financials[[#This Row],[productid]],Products!$B$2:$H$10,4)</f>
        <v>13.95</v>
      </c>
      <c r="K387" s="8">
        <f>financials[[#This Row],[Net Sales]]-financials[[#This Row],[COGS]]</f>
        <v>196.05</v>
      </c>
      <c r="L387" s="15">
        <v>45280</v>
      </c>
      <c r="M387" t="s">
        <v>690</v>
      </c>
    </row>
    <row r="388" spans="1:13" x14ac:dyDescent="0.25">
      <c r="A388" t="s">
        <v>89</v>
      </c>
      <c r="B388" s="6" t="s">
        <v>266</v>
      </c>
      <c r="C388" s="13">
        <v>106</v>
      </c>
      <c r="D388" s="14" t="s">
        <v>90</v>
      </c>
      <c r="E388">
        <v>15</v>
      </c>
      <c r="F388" s="8">
        <f>VLOOKUP(financials[[#This Row],[productid]],Products!$B$2:$H$10,3)</f>
        <v>25</v>
      </c>
      <c r="G388" s="8">
        <f>financials[[#This Row],[Units Sold]]*financials[[#This Row],[Sale Price]]</f>
        <v>375</v>
      </c>
      <c r="H388" s="8">
        <f>IF(financials[[#This Row],[Discount Band]]="low",0.1,IF(financials[[#This Row],[Discount Band]]="medium",0.15,0.3))</f>
        <v>0.15</v>
      </c>
      <c r="I388" s="8">
        <f>financials[[#This Row],[Gross Sales]]-financials[[#This Row],[Gross Sales]]*financials[[#This Row],[Discounts]]</f>
        <v>318.75</v>
      </c>
      <c r="J388" s="8">
        <f>VLOOKUP(financials[[#This Row],[productid]],Products!$B$2:$H$10,4)</f>
        <v>9.1</v>
      </c>
      <c r="K388" s="8">
        <f>financials[[#This Row],[Net Sales]]-financials[[#This Row],[COGS]]</f>
        <v>309.64999999999998</v>
      </c>
      <c r="L388" s="15">
        <v>44605</v>
      </c>
      <c r="M388" t="s">
        <v>690</v>
      </c>
    </row>
    <row r="389" spans="1:13" x14ac:dyDescent="0.25">
      <c r="A389" t="s">
        <v>86</v>
      </c>
      <c r="B389" s="6" t="s">
        <v>228</v>
      </c>
      <c r="C389" s="13">
        <v>101</v>
      </c>
      <c r="D389" s="14" t="s">
        <v>90</v>
      </c>
      <c r="E389">
        <v>7</v>
      </c>
      <c r="F389" s="8">
        <f>VLOOKUP(financials[[#This Row],[productid]],Products!$B$2:$H$10,3)</f>
        <v>23</v>
      </c>
      <c r="G389" s="8">
        <f>financials[[#This Row],[Units Sold]]*financials[[#This Row],[Sale Price]]</f>
        <v>161</v>
      </c>
      <c r="H389" s="8">
        <f>IF(financials[[#This Row],[Discount Band]]="low",0.1,IF(financials[[#This Row],[Discount Band]]="medium",0.15,0.3))</f>
        <v>0.15</v>
      </c>
      <c r="I389" s="8">
        <f>financials[[#This Row],[Gross Sales]]-financials[[#This Row],[Gross Sales]]*financials[[#This Row],[Discounts]]</f>
        <v>136.85</v>
      </c>
      <c r="J389" s="8">
        <f>VLOOKUP(financials[[#This Row],[productid]],Products!$B$2:$H$10,4)</f>
        <v>9.9499999999999993</v>
      </c>
      <c r="K389" s="8">
        <f>financials[[#This Row],[Net Sales]]-financials[[#This Row],[COGS]]</f>
        <v>126.89999999999999</v>
      </c>
      <c r="L389" s="15">
        <v>45629</v>
      </c>
      <c r="M389" t="s">
        <v>697</v>
      </c>
    </row>
    <row r="390" spans="1:13" x14ac:dyDescent="0.25">
      <c r="A390" t="s">
        <v>85</v>
      </c>
      <c r="B390" s="6" t="s">
        <v>617</v>
      </c>
      <c r="C390" s="11">
        <v>103</v>
      </c>
      <c r="D390" s="9" t="s">
        <v>90</v>
      </c>
      <c r="E390">
        <v>19</v>
      </c>
      <c r="F390" s="8">
        <f>VLOOKUP(financials[[#This Row],[productid]],Products!$B$2:$H$10,3)</f>
        <v>28</v>
      </c>
      <c r="G390" s="8">
        <f>financials[[#This Row],[Units Sold]]*financials[[#This Row],[Sale Price]]</f>
        <v>532</v>
      </c>
      <c r="H390" s="8">
        <f>IF(financials[[#This Row],[Discount Band]]="low",0.1,IF(financials[[#This Row],[Discount Band]]="medium",0.15,0.3))</f>
        <v>0.15</v>
      </c>
      <c r="I390" s="8">
        <f>financials[[#This Row],[Gross Sales]]-financials[[#This Row],[Gross Sales]]*financials[[#This Row],[Discounts]]</f>
        <v>452.2</v>
      </c>
      <c r="J390" s="8">
        <f>VLOOKUP(financials[[#This Row],[productid]],Products!$B$2:$H$10,4)</f>
        <v>15</v>
      </c>
      <c r="K390" s="8">
        <f>financials[[#This Row],[Net Sales]]-financials[[#This Row],[COGS]]</f>
        <v>437.2</v>
      </c>
      <c r="L390" s="15">
        <v>44907</v>
      </c>
      <c r="M390" t="s">
        <v>700</v>
      </c>
    </row>
    <row r="391" spans="1:13" x14ac:dyDescent="0.25">
      <c r="A391" t="s">
        <v>85</v>
      </c>
      <c r="B391" s="6" t="s">
        <v>274</v>
      </c>
      <c r="C391" s="13">
        <v>109</v>
      </c>
      <c r="D391" s="14" t="s">
        <v>92</v>
      </c>
      <c r="E391">
        <v>7</v>
      </c>
      <c r="F391" s="8">
        <f>VLOOKUP(financials[[#This Row],[productid]],Products!$B$2:$H$10,3)</f>
        <v>36</v>
      </c>
      <c r="G391" s="8">
        <f>financials[[#This Row],[Units Sold]]*financials[[#This Row],[Sale Price]]</f>
        <v>252</v>
      </c>
      <c r="H391" s="8">
        <f>IF(financials[[#This Row],[Discount Band]]="low",0.1,IF(financials[[#This Row],[Discount Band]]="medium",0.15,0.3))</f>
        <v>0.3</v>
      </c>
      <c r="I391" s="8">
        <f>financials[[#This Row],[Gross Sales]]-financials[[#This Row],[Gross Sales]]*financials[[#This Row],[Discounts]]</f>
        <v>176.4</v>
      </c>
      <c r="J391" s="8">
        <f>VLOOKUP(financials[[#This Row],[productid]],Products!$B$2:$H$10,4)</f>
        <v>16.8</v>
      </c>
      <c r="K391" s="8">
        <f>financials[[#This Row],[Net Sales]]-financials[[#This Row],[COGS]]</f>
        <v>159.6</v>
      </c>
      <c r="L391" s="15">
        <v>45445</v>
      </c>
      <c r="M391" t="s">
        <v>690</v>
      </c>
    </row>
    <row r="392" spans="1:13" x14ac:dyDescent="0.25">
      <c r="A392" t="s">
        <v>86</v>
      </c>
      <c r="B392" s="6" t="s">
        <v>645</v>
      </c>
      <c r="C392" s="13">
        <v>101</v>
      </c>
      <c r="D392" s="14" t="s">
        <v>83</v>
      </c>
      <c r="E392">
        <v>6</v>
      </c>
      <c r="F392" s="8">
        <f>VLOOKUP(financials[[#This Row],[productid]],Products!$B$2:$H$10,3)</f>
        <v>23</v>
      </c>
      <c r="G392" s="8">
        <f>financials[[#This Row],[Units Sold]]*financials[[#This Row],[Sale Price]]</f>
        <v>138</v>
      </c>
      <c r="H392" s="8">
        <f>IF(financials[[#This Row],[Discount Band]]="low",0.1,IF(financials[[#This Row],[Discount Band]]="medium",0.15,0.3))</f>
        <v>0.3</v>
      </c>
      <c r="I392" s="8">
        <f>financials[[#This Row],[Gross Sales]]-financials[[#This Row],[Gross Sales]]*financials[[#This Row],[Discounts]]</f>
        <v>96.6</v>
      </c>
      <c r="J392" s="8">
        <f>VLOOKUP(financials[[#This Row],[productid]],Products!$B$2:$H$10,4)</f>
        <v>9.9499999999999993</v>
      </c>
      <c r="K392" s="8">
        <f>financials[[#This Row],[Net Sales]]-financials[[#This Row],[COGS]]</f>
        <v>86.649999999999991</v>
      </c>
      <c r="L392" s="15">
        <v>44045</v>
      </c>
      <c r="M392" t="s">
        <v>700</v>
      </c>
    </row>
    <row r="393" spans="1:13" x14ac:dyDescent="0.25">
      <c r="A393" t="s">
        <v>89</v>
      </c>
      <c r="B393" s="6" t="s">
        <v>545</v>
      </c>
      <c r="C393" s="13">
        <v>106</v>
      </c>
      <c r="D393" s="14" t="s">
        <v>92</v>
      </c>
      <c r="E393">
        <v>11</v>
      </c>
      <c r="F393" s="8">
        <f>VLOOKUP(financials[[#This Row],[productid]],Products!$B$2:$H$10,3)</f>
        <v>25</v>
      </c>
      <c r="G393" s="8">
        <f>financials[[#This Row],[Units Sold]]*financials[[#This Row],[Sale Price]]</f>
        <v>275</v>
      </c>
      <c r="H393" s="8">
        <f>IF(financials[[#This Row],[Discount Band]]="low",0.1,IF(financials[[#This Row],[Discount Band]]="medium",0.15,0.3))</f>
        <v>0.3</v>
      </c>
      <c r="I393" s="8">
        <f>financials[[#This Row],[Gross Sales]]-financials[[#This Row],[Gross Sales]]*financials[[#This Row],[Discounts]]</f>
        <v>192.5</v>
      </c>
      <c r="J393" s="8">
        <f>VLOOKUP(financials[[#This Row],[productid]],Products!$B$2:$H$10,4)</f>
        <v>9.1</v>
      </c>
      <c r="K393" s="8">
        <f>financials[[#This Row],[Net Sales]]-financials[[#This Row],[COGS]]</f>
        <v>183.4</v>
      </c>
      <c r="L393" s="15">
        <v>45268</v>
      </c>
      <c r="M393" t="s">
        <v>696</v>
      </c>
    </row>
    <row r="394" spans="1:13" x14ac:dyDescent="0.25">
      <c r="A394" t="s">
        <v>85</v>
      </c>
      <c r="B394" s="6" t="s">
        <v>266</v>
      </c>
      <c r="C394" s="11">
        <v>104</v>
      </c>
      <c r="D394" s="9" t="s">
        <v>90</v>
      </c>
      <c r="E394">
        <v>7</v>
      </c>
      <c r="F394" s="8">
        <f>VLOOKUP(financials[[#This Row],[productid]],Products!$B$2:$H$10,3)</f>
        <v>5.9</v>
      </c>
      <c r="G394" s="8">
        <f>financials[[#This Row],[Units Sold]]*financials[[#This Row],[Sale Price]]</f>
        <v>41.300000000000004</v>
      </c>
      <c r="H394" s="8">
        <f>IF(financials[[#This Row],[Discount Band]]="low",0.1,IF(financials[[#This Row],[Discount Band]]="medium",0.15,0.3))</f>
        <v>0.15</v>
      </c>
      <c r="I394" s="8">
        <f>financials[[#This Row],[Gross Sales]]-financials[[#This Row],[Gross Sales]]*financials[[#This Row],[Discounts]]</f>
        <v>35.105000000000004</v>
      </c>
      <c r="J394" s="8">
        <f>VLOOKUP(financials[[#This Row],[productid]],Products!$B$2:$H$10,4)</f>
        <v>2.9</v>
      </c>
      <c r="K394" s="8">
        <f>financials[[#This Row],[Net Sales]]-financials[[#This Row],[COGS]]</f>
        <v>32.205000000000005</v>
      </c>
      <c r="L394" s="15">
        <v>44174</v>
      </c>
      <c r="M394" t="s">
        <v>691</v>
      </c>
    </row>
    <row r="395" spans="1:13" x14ac:dyDescent="0.25">
      <c r="A395" t="s">
        <v>85</v>
      </c>
      <c r="B395" s="6" t="s">
        <v>617</v>
      </c>
      <c r="C395" s="13">
        <v>102</v>
      </c>
      <c r="D395" s="14" t="s">
        <v>90</v>
      </c>
      <c r="E395">
        <v>20</v>
      </c>
      <c r="F395" s="8">
        <f>VLOOKUP(financials[[#This Row],[productid]],Products!$B$2:$H$10,3)</f>
        <v>15</v>
      </c>
      <c r="G395" s="8">
        <f>financials[[#This Row],[Units Sold]]*financials[[#This Row],[Sale Price]]</f>
        <v>300</v>
      </c>
      <c r="H395" s="8">
        <f>IF(financials[[#This Row],[Discount Band]]="low",0.1,IF(financials[[#This Row],[Discount Band]]="medium",0.15,0.3))</f>
        <v>0.15</v>
      </c>
      <c r="I395" s="8">
        <f>financials[[#This Row],[Gross Sales]]-financials[[#This Row],[Gross Sales]]*financials[[#This Row],[Discounts]]</f>
        <v>255</v>
      </c>
      <c r="J395" s="8">
        <f>VLOOKUP(financials[[#This Row],[productid]],Products!$B$2:$H$10,4)</f>
        <v>13.95</v>
      </c>
      <c r="K395" s="8">
        <f>financials[[#This Row],[Net Sales]]-financials[[#This Row],[COGS]]</f>
        <v>241.05</v>
      </c>
      <c r="L395" s="15">
        <v>44596</v>
      </c>
      <c r="M395" t="s">
        <v>690</v>
      </c>
    </row>
    <row r="396" spans="1:13" x14ac:dyDescent="0.25">
      <c r="A396" t="s">
        <v>86</v>
      </c>
      <c r="B396" s="6" t="s">
        <v>197</v>
      </c>
      <c r="C396" s="13">
        <v>105</v>
      </c>
      <c r="D396" s="14" t="s">
        <v>90</v>
      </c>
      <c r="E396">
        <v>5</v>
      </c>
      <c r="F396" s="8">
        <f>VLOOKUP(financials[[#This Row],[productid]],Products!$B$2:$H$10,3)</f>
        <v>15</v>
      </c>
      <c r="G396" s="8">
        <f>financials[[#This Row],[Units Sold]]*financials[[#This Row],[Sale Price]]</f>
        <v>75</v>
      </c>
      <c r="H396" s="8">
        <f>IF(financials[[#This Row],[Discount Band]]="low",0.1,IF(financials[[#This Row],[Discount Band]]="medium",0.15,0.3))</f>
        <v>0.15</v>
      </c>
      <c r="I396" s="8">
        <f>financials[[#This Row],[Gross Sales]]-financials[[#This Row],[Gross Sales]]*financials[[#This Row],[Discounts]]</f>
        <v>63.75</v>
      </c>
      <c r="J396" s="8">
        <f>VLOOKUP(financials[[#This Row],[productid]],Products!$B$2:$H$10,4)</f>
        <v>10</v>
      </c>
      <c r="K396" s="8">
        <f>financials[[#This Row],[Net Sales]]-financials[[#This Row],[COGS]]</f>
        <v>53.75</v>
      </c>
      <c r="L396" s="15">
        <v>44696</v>
      </c>
      <c r="M396" t="s">
        <v>700</v>
      </c>
    </row>
    <row r="397" spans="1:13" x14ac:dyDescent="0.25">
      <c r="A397" t="s">
        <v>86</v>
      </c>
      <c r="B397" s="6" t="s">
        <v>273</v>
      </c>
      <c r="C397" s="13">
        <v>106</v>
      </c>
      <c r="D397" s="14" t="s">
        <v>91</v>
      </c>
      <c r="E397">
        <v>11</v>
      </c>
      <c r="F397" s="8">
        <f>VLOOKUP(financials[[#This Row],[productid]],Products!$B$2:$H$10,3)</f>
        <v>25</v>
      </c>
      <c r="G397" s="8">
        <f>financials[[#This Row],[Units Sold]]*financials[[#This Row],[Sale Price]]</f>
        <v>275</v>
      </c>
      <c r="H397" s="8">
        <f>IF(financials[[#This Row],[Discount Band]]="low",0.1,IF(financials[[#This Row],[Discount Band]]="medium",0.15,0.3))</f>
        <v>0.1</v>
      </c>
      <c r="I397" s="8">
        <f>financials[[#This Row],[Gross Sales]]-financials[[#This Row],[Gross Sales]]*financials[[#This Row],[Discounts]]</f>
        <v>247.5</v>
      </c>
      <c r="J397" s="8">
        <f>VLOOKUP(financials[[#This Row],[productid]],Products!$B$2:$H$10,4)</f>
        <v>9.1</v>
      </c>
      <c r="K397" s="8">
        <f>financials[[#This Row],[Net Sales]]-financials[[#This Row],[COGS]]</f>
        <v>238.4</v>
      </c>
      <c r="L397" s="15">
        <v>43918</v>
      </c>
      <c r="M397" t="s">
        <v>691</v>
      </c>
    </row>
    <row r="398" spans="1:13" x14ac:dyDescent="0.25">
      <c r="A398" t="s">
        <v>86</v>
      </c>
      <c r="B398" s="6" t="s">
        <v>232</v>
      </c>
      <c r="C398" s="13">
        <v>105</v>
      </c>
      <c r="D398" s="14" t="s">
        <v>83</v>
      </c>
      <c r="E398">
        <v>12</v>
      </c>
      <c r="F398" s="8">
        <f>VLOOKUP(financials[[#This Row],[productid]],Products!$B$2:$H$10,3)</f>
        <v>15</v>
      </c>
      <c r="G398" s="8">
        <f>financials[[#This Row],[Units Sold]]*financials[[#This Row],[Sale Price]]</f>
        <v>180</v>
      </c>
      <c r="H398" s="8">
        <f>IF(financials[[#This Row],[Discount Band]]="low",0.1,IF(financials[[#This Row],[Discount Band]]="medium",0.15,0.3))</f>
        <v>0.3</v>
      </c>
      <c r="I398" s="8">
        <f>financials[[#This Row],[Gross Sales]]-financials[[#This Row],[Gross Sales]]*financials[[#This Row],[Discounts]]</f>
        <v>126</v>
      </c>
      <c r="J398" s="8">
        <f>VLOOKUP(financials[[#This Row],[productid]],Products!$B$2:$H$10,4)</f>
        <v>10</v>
      </c>
      <c r="K398" s="8">
        <f>financials[[#This Row],[Net Sales]]-financials[[#This Row],[COGS]]</f>
        <v>116</v>
      </c>
      <c r="L398" s="15">
        <v>45160</v>
      </c>
      <c r="M398" t="s">
        <v>697</v>
      </c>
    </row>
    <row r="399" spans="1:13" x14ac:dyDescent="0.25">
      <c r="A399" t="s">
        <v>86</v>
      </c>
      <c r="B399" s="6" t="s">
        <v>125</v>
      </c>
      <c r="C399" s="13">
        <v>105</v>
      </c>
      <c r="D399" s="14" t="s">
        <v>90</v>
      </c>
      <c r="E399">
        <v>19</v>
      </c>
      <c r="F399" s="8">
        <f>VLOOKUP(financials[[#This Row],[productid]],Products!$B$2:$H$10,3)</f>
        <v>15</v>
      </c>
      <c r="G399" s="8">
        <f>financials[[#This Row],[Units Sold]]*financials[[#This Row],[Sale Price]]</f>
        <v>285</v>
      </c>
      <c r="H399" s="8">
        <f>IF(financials[[#This Row],[Discount Band]]="low",0.1,IF(financials[[#This Row],[Discount Band]]="medium",0.15,0.3))</f>
        <v>0.15</v>
      </c>
      <c r="I399" s="8">
        <f>financials[[#This Row],[Gross Sales]]-financials[[#This Row],[Gross Sales]]*financials[[#This Row],[Discounts]]</f>
        <v>242.25</v>
      </c>
      <c r="J399" s="8">
        <f>VLOOKUP(financials[[#This Row],[productid]],Products!$B$2:$H$10,4)</f>
        <v>10</v>
      </c>
      <c r="K399" s="8">
        <f>financials[[#This Row],[Net Sales]]-financials[[#This Row],[COGS]]</f>
        <v>232.25</v>
      </c>
      <c r="L399" s="15">
        <v>44494</v>
      </c>
      <c r="M399" t="s">
        <v>690</v>
      </c>
    </row>
    <row r="400" spans="1:13" x14ac:dyDescent="0.25">
      <c r="A400" t="s">
        <v>85</v>
      </c>
      <c r="B400" s="6" t="s">
        <v>645</v>
      </c>
      <c r="C400" s="13">
        <v>108</v>
      </c>
      <c r="D400" s="14" t="s">
        <v>90</v>
      </c>
      <c r="E400">
        <v>17</v>
      </c>
      <c r="F400" s="8">
        <f>VLOOKUP(financials[[#This Row],[productid]],Products!$B$2:$H$10,3)</f>
        <v>5.5</v>
      </c>
      <c r="G400" s="8">
        <f>financials[[#This Row],[Units Sold]]*financials[[#This Row],[Sale Price]]</f>
        <v>93.5</v>
      </c>
      <c r="H400" s="8">
        <f>IF(financials[[#This Row],[Discount Band]]="low",0.1,IF(financials[[#This Row],[Discount Band]]="medium",0.15,0.3))</f>
        <v>0.15</v>
      </c>
      <c r="I400" s="8">
        <f>financials[[#This Row],[Gross Sales]]-financials[[#This Row],[Gross Sales]]*financials[[#This Row],[Discounts]]</f>
        <v>79.474999999999994</v>
      </c>
      <c r="J400" s="8">
        <f>VLOOKUP(financials[[#This Row],[productid]],Products!$B$2:$H$10,4)</f>
        <v>3.99</v>
      </c>
      <c r="K400" s="8">
        <f>financials[[#This Row],[Net Sales]]-financials[[#This Row],[COGS]]</f>
        <v>75.484999999999999</v>
      </c>
      <c r="L400" s="15">
        <v>45110</v>
      </c>
      <c r="M400" t="s">
        <v>700</v>
      </c>
    </row>
    <row r="401" spans="1:13" x14ac:dyDescent="0.25">
      <c r="A401" t="s">
        <v>85</v>
      </c>
      <c r="B401" s="6" t="s">
        <v>240</v>
      </c>
      <c r="C401" s="13">
        <v>107</v>
      </c>
      <c r="D401" s="14" t="s">
        <v>91</v>
      </c>
      <c r="E401">
        <v>19</v>
      </c>
      <c r="F401" s="8">
        <f>VLOOKUP(financials[[#This Row],[productid]],Products!$B$2:$H$10,3)</f>
        <v>15</v>
      </c>
      <c r="G401" s="8">
        <f>financials[[#This Row],[Units Sold]]*financials[[#This Row],[Sale Price]]</f>
        <v>285</v>
      </c>
      <c r="H401" s="8">
        <f>IF(financials[[#This Row],[Discount Band]]="low",0.1,IF(financials[[#This Row],[Discount Band]]="medium",0.15,0.3))</f>
        <v>0.1</v>
      </c>
      <c r="I401" s="8">
        <f>financials[[#This Row],[Gross Sales]]-financials[[#This Row],[Gross Sales]]*financials[[#This Row],[Discounts]]</f>
        <v>256.5</v>
      </c>
      <c r="J401" s="8">
        <f>VLOOKUP(financials[[#This Row],[productid]],Products!$B$2:$H$10,4)</f>
        <v>5.5</v>
      </c>
      <c r="K401" s="8">
        <f>financials[[#This Row],[Net Sales]]-financials[[#This Row],[COGS]]</f>
        <v>251</v>
      </c>
      <c r="L401" s="15">
        <v>44632</v>
      </c>
      <c r="M401" t="s">
        <v>700</v>
      </c>
    </row>
    <row r="402" spans="1:13" x14ac:dyDescent="0.25">
      <c r="A402" t="s">
        <v>85</v>
      </c>
      <c r="B402" s="6" t="s">
        <v>158</v>
      </c>
      <c r="C402" s="13">
        <v>102</v>
      </c>
      <c r="D402" s="14" t="s">
        <v>91</v>
      </c>
      <c r="E402">
        <v>11</v>
      </c>
      <c r="F402" s="8">
        <f>VLOOKUP(financials[[#This Row],[productid]],Products!$B$2:$H$10,3)</f>
        <v>15</v>
      </c>
      <c r="G402" s="8">
        <f>financials[[#This Row],[Units Sold]]*financials[[#This Row],[Sale Price]]</f>
        <v>165</v>
      </c>
      <c r="H402" s="8">
        <f>IF(financials[[#This Row],[Discount Band]]="low",0.1,IF(financials[[#This Row],[Discount Band]]="medium",0.15,0.3))</f>
        <v>0.1</v>
      </c>
      <c r="I402" s="8">
        <f>financials[[#This Row],[Gross Sales]]-financials[[#This Row],[Gross Sales]]*financials[[#This Row],[Discounts]]</f>
        <v>148.5</v>
      </c>
      <c r="J402" s="8">
        <f>VLOOKUP(financials[[#This Row],[productid]],Products!$B$2:$H$10,4)</f>
        <v>13.95</v>
      </c>
      <c r="K402" s="8">
        <f>financials[[#This Row],[Net Sales]]-financials[[#This Row],[COGS]]</f>
        <v>134.55000000000001</v>
      </c>
      <c r="L402" s="15">
        <v>44400</v>
      </c>
      <c r="M402" t="s">
        <v>697</v>
      </c>
    </row>
    <row r="403" spans="1:13" x14ac:dyDescent="0.25">
      <c r="A403" t="s">
        <v>89</v>
      </c>
      <c r="B403" s="6" t="s">
        <v>545</v>
      </c>
      <c r="C403" s="13">
        <v>102</v>
      </c>
      <c r="D403" s="14" t="s">
        <v>90</v>
      </c>
      <c r="E403">
        <v>10</v>
      </c>
      <c r="F403" s="8">
        <f>VLOOKUP(financials[[#This Row],[productid]],Products!$B$2:$H$10,3)</f>
        <v>15</v>
      </c>
      <c r="G403" s="8">
        <f>financials[[#This Row],[Units Sold]]*financials[[#This Row],[Sale Price]]</f>
        <v>150</v>
      </c>
      <c r="H403" s="8">
        <f>IF(financials[[#This Row],[Discount Band]]="low",0.1,IF(financials[[#This Row],[Discount Band]]="medium",0.15,0.3))</f>
        <v>0.15</v>
      </c>
      <c r="I403" s="8">
        <f>financials[[#This Row],[Gross Sales]]-financials[[#This Row],[Gross Sales]]*financials[[#This Row],[Discounts]]</f>
        <v>127.5</v>
      </c>
      <c r="J403" s="8">
        <f>VLOOKUP(financials[[#This Row],[productid]],Products!$B$2:$H$10,4)</f>
        <v>13.95</v>
      </c>
      <c r="K403" s="8">
        <f>financials[[#This Row],[Net Sales]]-financials[[#This Row],[COGS]]</f>
        <v>113.55</v>
      </c>
      <c r="L403" s="15">
        <v>43865</v>
      </c>
      <c r="M403" t="s">
        <v>697</v>
      </c>
    </row>
    <row r="404" spans="1:13" x14ac:dyDescent="0.25">
      <c r="A404" t="s">
        <v>86</v>
      </c>
      <c r="B404" s="6" t="s">
        <v>93</v>
      </c>
      <c r="C404" s="13">
        <v>102</v>
      </c>
      <c r="D404" s="14" t="s">
        <v>83</v>
      </c>
      <c r="E404">
        <v>14</v>
      </c>
      <c r="F404" s="8">
        <f>VLOOKUP(financials[[#This Row],[productid]],Products!$B$2:$H$10,3)</f>
        <v>15</v>
      </c>
      <c r="G404" s="8">
        <f>financials[[#This Row],[Units Sold]]*financials[[#This Row],[Sale Price]]</f>
        <v>210</v>
      </c>
      <c r="H404" s="8">
        <f>IF(financials[[#This Row],[Discount Band]]="low",0.1,IF(financials[[#This Row],[Discount Band]]="medium",0.15,0.3))</f>
        <v>0.3</v>
      </c>
      <c r="I404" s="8">
        <f>financials[[#This Row],[Gross Sales]]-financials[[#This Row],[Gross Sales]]*financials[[#This Row],[Discounts]]</f>
        <v>147</v>
      </c>
      <c r="J404" s="8">
        <f>VLOOKUP(financials[[#This Row],[productid]],Products!$B$2:$H$10,4)</f>
        <v>13.95</v>
      </c>
      <c r="K404" s="8">
        <f>financials[[#This Row],[Net Sales]]-financials[[#This Row],[COGS]]</f>
        <v>133.05000000000001</v>
      </c>
      <c r="L404" s="15">
        <v>45240</v>
      </c>
      <c r="M404" t="s">
        <v>700</v>
      </c>
    </row>
    <row r="405" spans="1:13" x14ac:dyDescent="0.25">
      <c r="A405" t="s">
        <v>86</v>
      </c>
      <c r="B405" s="6" t="s">
        <v>232</v>
      </c>
      <c r="C405" s="13">
        <v>101</v>
      </c>
      <c r="D405" s="14" t="s">
        <v>83</v>
      </c>
      <c r="E405">
        <v>15</v>
      </c>
      <c r="F405" s="8">
        <f>VLOOKUP(financials[[#This Row],[productid]],Products!$B$2:$H$10,3)</f>
        <v>23</v>
      </c>
      <c r="G405" s="8">
        <f>financials[[#This Row],[Units Sold]]*financials[[#This Row],[Sale Price]]</f>
        <v>345</v>
      </c>
      <c r="H405" s="8">
        <f>IF(financials[[#This Row],[Discount Band]]="low",0.1,IF(financials[[#This Row],[Discount Band]]="medium",0.15,0.3))</f>
        <v>0.3</v>
      </c>
      <c r="I405" s="8">
        <f>financials[[#This Row],[Gross Sales]]-financials[[#This Row],[Gross Sales]]*financials[[#This Row],[Discounts]]</f>
        <v>241.5</v>
      </c>
      <c r="J405" s="8">
        <f>VLOOKUP(financials[[#This Row],[productid]],Products!$B$2:$H$10,4)</f>
        <v>9.9499999999999993</v>
      </c>
      <c r="K405" s="8">
        <f>financials[[#This Row],[Net Sales]]-financials[[#This Row],[COGS]]</f>
        <v>231.55</v>
      </c>
      <c r="L405" s="15">
        <v>45566</v>
      </c>
      <c r="M405" t="s">
        <v>691</v>
      </c>
    </row>
    <row r="406" spans="1:13" x14ac:dyDescent="0.25">
      <c r="A406" t="s">
        <v>86</v>
      </c>
      <c r="B406" s="6" t="s">
        <v>545</v>
      </c>
      <c r="C406" s="11">
        <v>107</v>
      </c>
      <c r="D406" s="9" t="s">
        <v>91</v>
      </c>
      <c r="E406">
        <v>15</v>
      </c>
      <c r="F406" s="8">
        <f>VLOOKUP(financials[[#This Row],[productid]],Products!$B$2:$H$10,3)</f>
        <v>15</v>
      </c>
      <c r="G406" s="8">
        <f>financials[[#This Row],[Units Sold]]*financials[[#This Row],[Sale Price]]</f>
        <v>225</v>
      </c>
      <c r="H406" s="8">
        <f>IF(financials[[#This Row],[Discount Band]]="low",0.1,IF(financials[[#This Row],[Discount Band]]="medium",0.15,0.3))</f>
        <v>0.1</v>
      </c>
      <c r="I406" s="8">
        <f>financials[[#This Row],[Gross Sales]]-financials[[#This Row],[Gross Sales]]*financials[[#This Row],[Discounts]]</f>
        <v>202.5</v>
      </c>
      <c r="J406" s="8">
        <f>VLOOKUP(financials[[#This Row],[productid]],Products!$B$2:$H$10,4)</f>
        <v>5.5</v>
      </c>
      <c r="K406" s="8">
        <f>financials[[#This Row],[Net Sales]]-financials[[#This Row],[COGS]]</f>
        <v>197</v>
      </c>
      <c r="L406" s="15">
        <v>44918</v>
      </c>
      <c r="M406" t="s">
        <v>696</v>
      </c>
    </row>
    <row r="407" spans="1:13" x14ac:dyDescent="0.25">
      <c r="A407" t="s">
        <v>85</v>
      </c>
      <c r="B407" s="6" t="s">
        <v>617</v>
      </c>
      <c r="C407" s="13">
        <v>102</v>
      </c>
      <c r="D407" s="14" t="s">
        <v>91</v>
      </c>
      <c r="E407">
        <v>12</v>
      </c>
      <c r="F407" s="8">
        <f>VLOOKUP(financials[[#This Row],[productid]],Products!$B$2:$H$10,3)</f>
        <v>15</v>
      </c>
      <c r="G407" s="8">
        <f>financials[[#This Row],[Units Sold]]*financials[[#This Row],[Sale Price]]</f>
        <v>180</v>
      </c>
      <c r="H407" s="8">
        <f>IF(financials[[#This Row],[Discount Band]]="low",0.1,IF(financials[[#This Row],[Discount Band]]="medium",0.15,0.3))</f>
        <v>0.1</v>
      </c>
      <c r="I407" s="8">
        <f>financials[[#This Row],[Gross Sales]]-financials[[#This Row],[Gross Sales]]*financials[[#This Row],[Discounts]]</f>
        <v>162</v>
      </c>
      <c r="J407" s="8">
        <f>VLOOKUP(financials[[#This Row],[productid]],Products!$B$2:$H$10,4)</f>
        <v>13.95</v>
      </c>
      <c r="K407" s="8">
        <f>financials[[#This Row],[Net Sales]]-financials[[#This Row],[COGS]]</f>
        <v>148.05000000000001</v>
      </c>
      <c r="L407" s="15">
        <v>45407</v>
      </c>
      <c r="M407" t="s">
        <v>691</v>
      </c>
    </row>
    <row r="408" spans="1:13" x14ac:dyDescent="0.25">
      <c r="A408" t="s">
        <v>86</v>
      </c>
      <c r="B408" s="6" t="s">
        <v>95</v>
      </c>
      <c r="C408" s="13">
        <v>104</v>
      </c>
      <c r="D408" s="14" t="s">
        <v>90</v>
      </c>
      <c r="E408">
        <v>20</v>
      </c>
      <c r="F408" s="8">
        <f>VLOOKUP(financials[[#This Row],[productid]],Products!$B$2:$H$10,3)</f>
        <v>5.9</v>
      </c>
      <c r="G408" s="8">
        <f>financials[[#This Row],[Units Sold]]*financials[[#This Row],[Sale Price]]</f>
        <v>118</v>
      </c>
      <c r="H408" s="8">
        <f>IF(financials[[#This Row],[Discount Band]]="low",0.1,IF(financials[[#This Row],[Discount Band]]="medium",0.15,0.3))</f>
        <v>0.15</v>
      </c>
      <c r="I408" s="8">
        <f>financials[[#This Row],[Gross Sales]]-financials[[#This Row],[Gross Sales]]*financials[[#This Row],[Discounts]]</f>
        <v>100.3</v>
      </c>
      <c r="J408" s="8">
        <f>VLOOKUP(financials[[#This Row],[productid]],Products!$B$2:$H$10,4)</f>
        <v>2.9</v>
      </c>
      <c r="K408" s="8">
        <f>financials[[#This Row],[Net Sales]]-financials[[#This Row],[COGS]]</f>
        <v>97.399999999999991</v>
      </c>
      <c r="L408" s="15">
        <v>45622</v>
      </c>
      <c r="M408" t="s">
        <v>700</v>
      </c>
    </row>
    <row r="409" spans="1:13" x14ac:dyDescent="0.25">
      <c r="A409" t="s">
        <v>86</v>
      </c>
      <c r="B409" s="6" t="s">
        <v>268</v>
      </c>
      <c r="C409" s="13">
        <v>106</v>
      </c>
      <c r="D409" s="14" t="s">
        <v>83</v>
      </c>
      <c r="E409">
        <v>8</v>
      </c>
      <c r="F409" s="8">
        <f>VLOOKUP(financials[[#This Row],[productid]],Products!$B$2:$H$10,3)</f>
        <v>25</v>
      </c>
      <c r="G409" s="8">
        <f>financials[[#This Row],[Units Sold]]*financials[[#This Row],[Sale Price]]</f>
        <v>200</v>
      </c>
      <c r="H409" s="8">
        <f>IF(financials[[#This Row],[Discount Band]]="low",0.1,IF(financials[[#This Row],[Discount Band]]="medium",0.15,0.3))</f>
        <v>0.3</v>
      </c>
      <c r="I409" s="8">
        <f>financials[[#This Row],[Gross Sales]]-financials[[#This Row],[Gross Sales]]*financials[[#This Row],[Discounts]]</f>
        <v>140</v>
      </c>
      <c r="J409" s="8">
        <f>VLOOKUP(financials[[#This Row],[productid]],Products!$B$2:$H$10,4)</f>
        <v>9.1</v>
      </c>
      <c r="K409" s="8">
        <f>financials[[#This Row],[Net Sales]]-financials[[#This Row],[COGS]]</f>
        <v>130.9</v>
      </c>
      <c r="L409" s="15">
        <v>45528</v>
      </c>
      <c r="M409" t="s">
        <v>696</v>
      </c>
    </row>
    <row r="410" spans="1:13" x14ac:dyDescent="0.25">
      <c r="A410" t="s">
        <v>85</v>
      </c>
      <c r="B410" s="6" t="s">
        <v>287</v>
      </c>
      <c r="C410" s="13">
        <v>101</v>
      </c>
      <c r="D410" s="14" t="s">
        <v>83</v>
      </c>
      <c r="E410">
        <v>17</v>
      </c>
      <c r="F410" s="8">
        <f>VLOOKUP(financials[[#This Row],[productid]],Products!$B$2:$H$10,3)</f>
        <v>23</v>
      </c>
      <c r="G410" s="8">
        <f>financials[[#This Row],[Units Sold]]*financials[[#This Row],[Sale Price]]</f>
        <v>391</v>
      </c>
      <c r="H410" s="8">
        <f>IF(financials[[#This Row],[Discount Band]]="low",0.1,IF(financials[[#This Row],[Discount Band]]="medium",0.15,0.3))</f>
        <v>0.3</v>
      </c>
      <c r="I410" s="8">
        <f>financials[[#This Row],[Gross Sales]]-financials[[#This Row],[Gross Sales]]*financials[[#This Row],[Discounts]]</f>
        <v>273.7</v>
      </c>
      <c r="J410" s="8">
        <f>VLOOKUP(financials[[#This Row],[productid]],Products!$B$2:$H$10,4)</f>
        <v>9.9499999999999993</v>
      </c>
      <c r="K410" s="8">
        <f>financials[[#This Row],[Net Sales]]-financials[[#This Row],[COGS]]</f>
        <v>263.75</v>
      </c>
      <c r="L410" s="15">
        <v>44364</v>
      </c>
      <c r="M410" t="s">
        <v>700</v>
      </c>
    </row>
    <row r="411" spans="1:13" x14ac:dyDescent="0.25">
      <c r="A411" t="s">
        <v>89</v>
      </c>
      <c r="B411" s="6" t="s">
        <v>93</v>
      </c>
      <c r="C411" s="13">
        <v>105</v>
      </c>
      <c r="D411" s="14" t="s">
        <v>90</v>
      </c>
      <c r="E411">
        <v>9</v>
      </c>
      <c r="F411" s="8">
        <f>VLOOKUP(financials[[#This Row],[productid]],Products!$B$2:$H$10,3)</f>
        <v>15</v>
      </c>
      <c r="G411" s="8">
        <f>financials[[#This Row],[Units Sold]]*financials[[#This Row],[Sale Price]]</f>
        <v>135</v>
      </c>
      <c r="H411" s="8">
        <f>IF(financials[[#This Row],[Discount Band]]="low",0.1,IF(financials[[#This Row],[Discount Band]]="medium",0.15,0.3))</f>
        <v>0.15</v>
      </c>
      <c r="I411" s="8">
        <f>financials[[#This Row],[Gross Sales]]-financials[[#This Row],[Gross Sales]]*financials[[#This Row],[Discounts]]</f>
        <v>114.75</v>
      </c>
      <c r="J411" s="8">
        <f>VLOOKUP(financials[[#This Row],[productid]],Products!$B$2:$H$10,4)</f>
        <v>10</v>
      </c>
      <c r="K411" s="8">
        <f>financials[[#This Row],[Net Sales]]-financials[[#This Row],[COGS]]</f>
        <v>104.75</v>
      </c>
      <c r="L411" s="15">
        <v>44143</v>
      </c>
      <c r="M411" t="s">
        <v>700</v>
      </c>
    </row>
    <row r="412" spans="1:13" x14ac:dyDescent="0.25">
      <c r="A412" t="s">
        <v>86</v>
      </c>
      <c r="B412" s="6" t="s">
        <v>232</v>
      </c>
      <c r="C412" s="13">
        <v>106</v>
      </c>
      <c r="D412" s="14" t="s">
        <v>91</v>
      </c>
      <c r="E412">
        <v>20</v>
      </c>
      <c r="F412" s="8">
        <f>VLOOKUP(financials[[#This Row],[productid]],Products!$B$2:$H$10,3)</f>
        <v>25</v>
      </c>
      <c r="G412" s="8">
        <f>financials[[#This Row],[Units Sold]]*financials[[#This Row],[Sale Price]]</f>
        <v>500</v>
      </c>
      <c r="H412" s="8">
        <f>IF(financials[[#This Row],[Discount Band]]="low",0.1,IF(financials[[#This Row],[Discount Band]]="medium",0.15,0.3))</f>
        <v>0.1</v>
      </c>
      <c r="I412" s="8">
        <f>financials[[#This Row],[Gross Sales]]-financials[[#This Row],[Gross Sales]]*financials[[#This Row],[Discounts]]</f>
        <v>450</v>
      </c>
      <c r="J412" s="8">
        <f>VLOOKUP(financials[[#This Row],[productid]],Products!$B$2:$H$10,4)</f>
        <v>9.1</v>
      </c>
      <c r="K412" s="8">
        <f>financials[[#This Row],[Net Sales]]-financials[[#This Row],[COGS]]</f>
        <v>440.9</v>
      </c>
      <c r="L412" s="15">
        <v>45651</v>
      </c>
      <c r="M412" t="s">
        <v>696</v>
      </c>
    </row>
    <row r="413" spans="1:13" x14ac:dyDescent="0.25">
      <c r="A413" t="s">
        <v>86</v>
      </c>
      <c r="B413" s="6" t="s">
        <v>228</v>
      </c>
      <c r="C413" s="13">
        <v>107</v>
      </c>
      <c r="D413" s="14" t="s">
        <v>83</v>
      </c>
      <c r="E413">
        <v>7</v>
      </c>
      <c r="F413" s="8">
        <f>VLOOKUP(financials[[#This Row],[productid]],Products!$B$2:$H$10,3)</f>
        <v>15</v>
      </c>
      <c r="G413" s="8">
        <f>financials[[#This Row],[Units Sold]]*financials[[#This Row],[Sale Price]]</f>
        <v>105</v>
      </c>
      <c r="H413" s="8">
        <f>IF(financials[[#This Row],[Discount Band]]="low",0.1,IF(financials[[#This Row],[Discount Band]]="medium",0.15,0.3))</f>
        <v>0.3</v>
      </c>
      <c r="I413" s="8">
        <f>financials[[#This Row],[Gross Sales]]-financials[[#This Row],[Gross Sales]]*financials[[#This Row],[Discounts]]</f>
        <v>73.5</v>
      </c>
      <c r="J413" s="8">
        <f>VLOOKUP(financials[[#This Row],[productid]],Products!$B$2:$H$10,4)</f>
        <v>5.5</v>
      </c>
      <c r="K413" s="8">
        <f>financials[[#This Row],[Net Sales]]-financials[[#This Row],[COGS]]</f>
        <v>68</v>
      </c>
      <c r="L413" s="15">
        <v>45192</v>
      </c>
      <c r="M413" t="s">
        <v>690</v>
      </c>
    </row>
    <row r="414" spans="1:13" x14ac:dyDescent="0.25">
      <c r="A414" t="s">
        <v>86</v>
      </c>
      <c r="B414" s="6" t="s">
        <v>96</v>
      </c>
      <c r="C414" s="13">
        <v>102</v>
      </c>
      <c r="D414" s="14" t="s">
        <v>83</v>
      </c>
      <c r="E414">
        <v>14</v>
      </c>
      <c r="F414" s="8">
        <f>VLOOKUP(financials[[#This Row],[productid]],Products!$B$2:$H$10,3)</f>
        <v>15</v>
      </c>
      <c r="G414" s="8">
        <f>financials[[#This Row],[Units Sold]]*financials[[#This Row],[Sale Price]]</f>
        <v>210</v>
      </c>
      <c r="H414" s="8">
        <f>IF(financials[[#This Row],[Discount Band]]="low",0.1,IF(financials[[#This Row],[Discount Band]]="medium",0.15,0.3))</f>
        <v>0.3</v>
      </c>
      <c r="I414" s="8">
        <f>financials[[#This Row],[Gross Sales]]-financials[[#This Row],[Gross Sales]]*financials[[#This Row],[Discounts]]</f>
        <v>147</v>
      </c>
      <c r="J414" s="8">
        <f>VLOOKUP(financials[[#This Row],[productid]],Products!$B$2:$H$10,4)</f>
        <v>13.95</v>
      </c>
      <c r="K414" s="8">
        <f>financials[[#This Row],[Net Sales]]-financials[[#This Row],[COGS]]</f>
        <v>133.05000000000001</v>
      </c>
      <c r="L414" s="15">
        <v>44399</v>
      </c>
      <c r="M414" t="s">
        <v>691</v>
      </c>
    </row>
    <row r="415" spans="1:13" x14ac:dyDescent="0.25">
      <c r="A415" t="s">
        <v>86</v>
      </c>
      <c r="B415" s="6" t="s">
        <v>205</v>
      </c>
      <c r="C415" s="13">
        <v>108</v>
      </c>
      <c r="D415" s="14" t="s">
        <v>90</v>
      </c>
      <c r="E415">
        <v>6</v>
      </c>
      <c r="F415" s="8">
        <f>VLOOKUP(financials[[#This Row],[productid]],Products!$B$2:$H$10,3)</f>
        <v>5.5</v>
      </c>
      <c r="G415" s="8">
        <f>financials[[#This Row],[Units Sold]]*financials[[#This Row],[Sale Price]]</f>
        <v>33</v>
      </c>
      <c r="H415" s="8">
        <f>IF(financials[[#This Row],[Discount Band]]="low",0.1,IF(financials[[#This Row],[Discount Band]]="medium",0.15,0.3))</f>
        <v>0.15</v>
      </c>
      <c r="I415" s="8">
        <f>financials[[#This Row],[Gross Sales]]-financials[[#This Row],[Gross Sales]]*financials[[#This Row],[Discounts]]</f>
        <v>28.05</v>
      </c>
      <c r="J415" s="8">
        <f>VLOOKUP(financials[[#This Row],[productid]],Products!$B$2:$H$10,4)</f>
        <v>3.99</v>
      </c>
      <c r="K415" s="8">
        <f>financials[[#This Row],[Net Sales]]-financials[[#This Row],[COGS]]</f>
        <v>24.060000000000002</v>
      </c>
      <c r="L415" s="15">
        <v>45497</v>
      </c>
      <c r="M415" t="s">
        <v>697</v>
      </c>
    </row>
    <row r="416" spans="1:13" x14ac:dyDescent="0.25">
      <c r="A416" t="s">
        <v>86</v>
      </c>
      <c r="B416" s="6" t="s">
        <v>125</v>
      </c>
      <c r="C416" s="13">
        <v>107</v>
      </c>
      <c r="D416" s="14" t="s">
        <v>92</v>
      </c>
      <c r="E416">
        <v>9</v>
      </c>
      <c r="F416" s="8">
        <f>VLOOKUP(financials[[#This Row],[productid]],Products!$B$2:$H$10,3)</f>
        <v>15</v>
      </c>
      <c r="G416" s="8">
        <f>financials[[#This Row],[Units Sold]]*financials[[#This Row],[Sale Price]]</f>
        <v>135</v>
      </c>
      <c r="H416" s="8">
        <f>IF(financials[[#This Row],[Discount Band]]="low",0.1,IF(financials[[#This Row],[Discount Band]]="medium",0.15,0.3))</f>
        <v>0.3</v>
      </c>
      <c r="I416" s="8">
        <f>financials[[#This Row],[Gross Sales]]-financials[[#This Row],[Gross Sales]]*financials[[#This Row],[Discounts]]</f>
        <v>94.5</v>
      </c>
      <c r="J416" s="8">
        <f>VLOOKUP(financials[[#This Row],[productid]],Products!$B$2:$H$10,4)</f>
        <v>5.5</v>
      </c>
      <c r="K416" s="8">
        <f>financials[[#This Row],[Net Sales]]-financials[[#This Row],[COGS]]</f>
        <v>89</v>
      </c>
      <c r="L416" s="15">
        <v>45593</v>
      </c>
      <c r="M416" t="s">
        <v>690</v>
      </c>
    </row>
    <row r="417" spans="1:13" x14ac:dyDescent="0.25">
      <c r="A417" t="s">
        <v>85</v>
      </c>
      <c r="B417" s="6" t="s">
        <v>287</v>
      </c>
      <c r="C417" s="13">
        <v>109</v>
      </c>
      <c r="D417" s="14" t="s">
        <v>83</v>
      </c>
      <c r="E417">
        <v>17</v>
      </c>
      <c r="F417" s="8">
        <f>VLOOKUP(financials[[#This Row],[productid]],Products!$B$2:$H$10,3)</f>
        <v>36</v>
      </c>
      <c r="G417" s="8">
        <f>financials[[#This Row],[Units Sold]]*financials[[#This Row],[Sale Price]]</f>
        <v>612</v>
      </c>
      <c r="H417" s="8">
        <f>IF(financials[[#This Row],[Discount Band]]="low",0.1,IF(financials[[#This Row],[Discount Band]]="medium",0.15,0.3))</f>
        <v>0.3</v>
      </c>
      <c r="I417" s="8">
        <f>financials[[#This Row],[Gross Sales]]-financials[[#This Row],[Gross Sales]]*financials[[#This Row],[Discounts]]</f>
        <v>428.4</v>
      </c>
      <c r="J417" s="8">
        <f>VLOOKUP(financials[[#This Row],[productid]],Products!$B$2:$H$10,4)</f>
        <v>16.8</v>
      </c>
      <c r="K417" s="8">
        <f>financials[[#This Row],[Net Sales]]-financials[[#This Row],[COGS]]</f>
        <v>411.59999999999997</v>
      </c>
      <c r="L417" s="15">
        <v>44364</v>
      </c>
      <c r="M417" t="s">
        <v>691</v>
      </c>
    </row>
    <row r="418" spans="1:13" x14ac:dyDescent="0.25">
      <c r="A418" t="s">
        <v>85</v>
      </c>
      <c r="B418" s="6" t="s">
        <v>148</v>
      </c>
      <c r="C418" s="13">
        <v>106</v>
      </c>
      <c r="D418" s="14" t="s">
        <v>91</v>
      </c>
      <c r="E418">
        <v>9</v>
      </c>
      <c r="F418" s="8">
        <f>VLOOKUP(financials[[#This Row],[productid]],Products!$B$2:$H$10,3)</f>
        <v>25</v>
      </c>
      <c r="G418" s="8">
        <f>financials[[#This Row],[Units Sold]]*financials[[#This Row],[Sale Price]]</f>
        <v>225</v>
      </c>
      <c r="H418" s="8">
        <f>IF(financials[[#This Row],[Discount Band]]="low",0.1,IF(financials[[#This Row],[Discount Band]]="medium",0.15,0.3))</f>
        <v>0.1</v>
      </c>
      <c r="I418" s="8">
        <f>financials[[#This Row],[Gross Sales]]-financials[[#This Row],[Gross Sales]]*financials[[#This Row],[Discounts]]</f>
        <v>202.5</v>
      </c>
      <c r="J418" s="8">
        <f>VLOOKUP(financials[[#This Row],[productid]],Products!$B$2:$H$10,4)</f>
        <v>9.1</v>
      </c>
      <c r="K418" s="8">
        <f>financials[[#This Row],[Net Sales]]-financials[[#This Row],[COGS]]</f>
        <v>193.4</v>
      </c>
      <c r="L418" s="15">
        <v>45262</v>
      </c>
      <c r="M418" t="s">
        <v>691</v>
      </c>
    </row>
    <row r="419" spans="1:13" x14ac:dyDescent="0.25">
      <c r="A419" t="s">
        <v>86</v>
      </c>
      <c r="B419" s="6" t="s">
        <v>645</v>
      </c>
      <c r="C419" s="13">
        <v>109</v>
      </c>
      <c r="D419" s="14" t="s">
        <v>83</v>
      </c>
      <c r="E419">
        <v>13</v>
      </c>
      <c r="F419" s="8">
        <f>VLOOKUP(financials[[#This Row],[productid]],Products!$B$2:$H$10,3)</f>
        <v>36</v>
      </c>
      <c r="G419" s="8">
        <f>financials[[#This Row],[Units Sold]]*financials[[#This Row],[Sale Price]]</f>
        <v>468</v>
      </c>
      <c r="H419" s="8">
        <f>IF(financials[[#This Row],[Discount Band]]="low",0.1,IF(financials[[#This Row],[Discount Band]]="medium",0.15,0.3))</f>
        <v>0.3</v>
      </c>
      <c r="I419" s="8">
        <f>financials[[#This Row],[Gross Sales]]-financials[[#This Row],[Gross Sales]]*financials[[#This Row],[Discounts]]</f>
        <v>327.60000000000002</v>
      </c>
      <c r="J419" s="8">
        <f>VLOOKUP(financials[[#This Row],[productid]],Products!$B$2:$H$10,4)</f>
        <v>16.8</v>
      </c>
      <c r="K419" s="8">
        <f>financials[[#This Row],[Net Sales]]-financials[[#This Row],[COGS]]</f>
        <v>310.8</v>
      </c>
      <c r="L419" s="15">
        <v>44638</v>
      </c>
      <c r="M419" t="s">
        <v>690</v>
      </c>
    </row>
    <row r="420" spans="1:13" x14ac:dyDescent="0.25">
      <c r="A420" t="s">
        <v>86</v>
      </c>
      <c r="B420" s="6" t="s">
        <v>645</v>
      </c>
      <c r="C420" s="13">
        <v>102</v>
      </c>
      <c r="D420" s="14" t="s">
        <v>90</v>
      </c>
      <c r="E420">
        <v>14</v>
      </c>
      <c r="F420" s="8">
        <f>VLOOKUP(financials[[#This Row],[productid]],Products!$B$2:$H$10,3)</f>
        <v>15</v>
      </c>
      <c r="G420" s="8">
        <f>financials[[#This Row],[Units Sold]]*financials[[#This Row],[Sale Price]]</f>
        <v>210</v>
      </c>
      <c r="H420" s="8">
        <f>IF(financials[[#This Row],[Discount Band]]="low",0.1,IF(financials[[#This Row],[Discount Band]]="medium",0.15,0.3))</f>
        <v>0.15</v>
      </c>
      <c r="I420" s="8">
        <f>financials[[#This Row],[Gross Sales]]-financials[[#This Row],[Gross Sales]]*financials[[#This Row],[Discounts]]</f>
        <v>178.5</v>
      </c>
      <c r="J420" s="8">
        <f>VLOOKUP(financials[[#This Row],[productid]],Products!$B$2:$H$10,4)</f>
        <v>13.95</v>
      </c>
      <c r="K420" s="8">
        <f>financials[[#This Row],[Net Sales]]-financials[[#This Row],[COGS]]</f>
        <v>164.55</v>
      </c>
      <c r="L420" s="15">
        <v>43846</v>
      </c>
      <c r="M420" t="s">
        <v>697</v>
      </c>
    </row>
    <row r="421" spans="1:13" x14ac:dyDescent="0.25">
      <c r="A421" t="s">
        <v>86</v>
      </c>
      <c r="B421" s="6" t="s">
        <v>232</v>
      </c>
      <c r="C421" s="13">
        <v>103</v>
      </c>
      <c r="D421" s="14" t="s">
        <v>90</v>
      </c>
      <c r="E421">
        <v>15</v>
      </c>
      <c r="F421" s="8">
        <f>VLOOKUP(financials[[#This Row],[productid]],Products!$B$2:$H$10,3)</f>
        <v>28</v>
      </c>
      <c r="G421" s="8">
        <f>financials[[#This Row],[Units Sold]]*financials[[#This Row],[Sale Price]]</f>
        <v>420</v>
      </c>
      <c r="H421" s="8">
        <f>IF(financials[[#This Row],[Discount Band]]="low",0.1,IF(financials[[#This Row],[Discount Band]]="medium",0.15,0.3))</f>
        <v>0.15</v>
      </c>
      <c r="I421" s="8">
        <f>financials[[#This Row],[Gross Sales]]-financials[[#This Row],[Gross Sales]]*financials[[#This Row],[Discounts]]</f>
        <v>357</v>
      </c>
      <c r="J421" s="8">
        <f>VLOOKUP(financials[[#This Row],[productid]],Products!$B$2:$H$10,4)</f>
        <v>15</v>
      </c>
      <c r="K421" s="8">
        <f>financials[[#This Row],[Net Sales]]-financials[[#This Row],[COGS]]</f>
        <v>342</v>
      </c>
      <c r="L421" s="15">
        <v>44742</v>
      </c>
      <c r="M421" t="s">
        <v>700</v>
      </c>
    </row>
    <row r="422" spans="1:13" x14ac:dyDescent="0.25">
      <c r="A422" t="s">
        <v>85</v>
      </c>
      <c r="B422" s="6" t="s">
        <v>96</v>
      </c>
      <c r="C422" s="11">
        <v>107</v>
      </c>
      <c r="D422" s="9" t="s">
        <v>91</v>
      </c>
      <c r="E422">
        <v>15</v>
      </c>
      <c r="F422" s="8">
        <f>VLOOKUP(financials[[#This Row],[productid]],Products!$B$2:$H$10,3)</f>
        <v>15</v>
      </c>
      <c r="G422" s="8">
        <f>financials[[#This Row],[Units Sold]]*financials[[#This Row],[Sale Price]]</f>
        <v>225</v>
      </c>
      <c r="H422" s="8">
        <f>IF(financials[[#This Row],[Discount Band]]="low",0.1,IF(financials[[#This Row],[Discount Band]]="medium",0.15,0.3))</f>
        <v>0.1</v>
      </c>
      <c r="I422" s="8">
        <f>financials[[#This Row],[Gross Sales]]-financials[[#This Row],[Gross Sales]]*financials[[#This Row],[Discounts]]</f>
        <v>202.5</v>
      </c>
      <c r="J422" s="8">
        <f>VLOOKUP(financials[[#This Row],[productid]],Products!$B$2:$H$10,4)</f>
        <v>5.5</v>
      </c>
      <c r="K422" s="8">
        <f>financials[[#This Row],[Net Sales]]-financials[[#This Row],[COGS]]</f>
        <v>197</v>
      </c>
      <c r="L422" s="15">
        <v>44637</v>
      </c>
      <c r="M422" t="s">
        <v>696</v>
      </c>
    </row>
    <row r="423" spans="1:13" x14ac:dyDescent="0.25">
      <c r="A423" t="s">
        <v>89</v>
      </c>
      <c r="B423" s="6" t="s">
        <v>93</v>
      </c>
      <c r="C423" s="13">
        <v>109</v>
      </c>
      <c r="D423" s="14" t="s">
        <v>83</v>
      </c>
      <c r="E423">
        <v>19</v>
      </c>
      <c r="F423" s="8">
        <f>VLOOKUP(financials[[#This Row],[productid]],Products!$B$2:$H$10,3)</f>
        <v>36</v>
      </c>
      <c r="G423" s="8">
        <f>financials[[#This Row],[Units Sold]]*financials[[#This Row],[Sale Price]]</f>
        <v>684</v>
      </c>
      <c r="H423" s="8">
        <f>IF(financials[[#This Row],[Discount Band]]="low",0.1,IF(financials[[#This Row],[Discount Band]]="medium",0.15,0.3))</f>
        <v>0.3</v>
      </c>
      <c r="I423" s="8">
        <f>financials[[#This Row],[Gross Sales]]-financials[[#This Row],[Gross Sales]]*financials[[#This Row],[Discounts]]</f>
        <v>478.8</v>
      </c>
      <c r="J423" s="8">
        <f>VLOOKUP(financials[[#This Row],[productid]],Products!$B$2:$H$10,4)</f>
        <v>16.8</v>
      </c>
      <c r="K423" s="8">
        <f>financials[[#This Row],[Net Sales]]-financials[[#This Row],[COGS]]</f>
        <v>462</v>
      </c>
      <c r="L423" s="15">
        <v>45553</v>
      </c>
      <c r="M423" t="s">
        <v>691</v>
      </c>
    </row>
    <row r="424" spans="1:13" x14ac:dyDescent="0.25">
      <c r="A424" t="s">
        <v>89</v>
      </c>
      <c r="B424" s="6" t="s">
        <v>93</v>
      </c>
      <c r="C424" s="13">
        <v>103</v>
      </c>
      <c r="D424" s="14" t="s">
        <v>83</v>
      </c>
      <c r="E424">
        <v>13</v>
      </c>
      <c r="F424" s="8">
        <f>VLOOKUP(financials[[#This Row],[productid]],Products!$B$2:$H$10,3)</f>
        <v>28</v>
      </c>
      <c r="G424" s="8">
        <f>financials[[#This Row],[Units Sold]]*financials[[#This Row],[Sale Price]]</f>
        <v>364</v>
      </c>
      <c r="H424" s="8">
        <f>IF(financials[[#This Row],[Discount Band]]="low",0.1,IF(financials[[#This Row],[Discount Band]]="medium",0.15,0.3))</f>
        <v>0.3</v>
      </c>
      <c r="I424" s="8">
        <f>financials[[#This Row],[Gross Sales]]-financials[[#This Row],[Gross Sales]]*financials[[#This Row],[Discounts]]</f>
        <v>254.8</v>
      </c>
      <c r="J424" s="8">
        <f>VLOOKUP(financials[[#This Row],[productid]],Products!$B$2:$H$10,4)</f>
        <v>15</v>
      </c>
      <c r="K424" s="8">
        <f>financials[[#This Row],[Net Sales]]-financials[[#This Row],[COGS]]</f>
        <v>239.8</v>
      </c>
      <c r="L424" s="15">
        <v>44864</v>
      </c>
      <c r="M424" t="s">
        <v>696</v>
      </c>
    </row>
    <row r="425" spans="1:13" x14ac:dyDescent="0.25">
      <c r="A425" t="s">
        <v>85</v>
      </c>
      <c r="B425" s="6" t="s">
        <v>197</v>
      </c>
      <c r="C425" s="13">
        <v>104</v>
      </c>
      <c r="D425" s="14" t="s">
        <v>92</v>
      </c>
      <c r="E425">
        <v>13</v>
      </c>
      <c r="F425" s="8">
        <f>VLOOKUP(financials[[#This Row],[productid]],Products!$B$2:$H$10,3)</f>
        <v>5.9</v>
      </c>
      <c r="G425" s="8">
        <f>financials[[#This Row],[Units Sold]]*financials[[#This Row],[Sale Price]]</f>
        <v>76.7</v>
      </c>
      <c r="H425" s="8">
        <f>IF(financials[[#This Row],[Discount Band]]="low",0.1,IF(financials[[#This Row],[Discount Band]]="medium",0.15,0.3))</f>
        <v>0.3</v>
      </c>
      <c r="I425" s="8">
        <f>financials[[#This Row],[Gross Sales]]-financials[[#This Row],[Gross Sales]]*financials[[#This Row],[Discounts]]</f>
        <v>53.69</v>
      </c>
      <c r="J425" s="8">
        <f>VLOOKUP(financials[[#This Row],[productid]],Products!$B$2:$H$10,4)</f>
        <v>2.9</v>
      </c>
      <c r="K425" s="8">
        <f>financials[[#This Row],[Net Sales]]-financials[[#This Row],[COGS]]</f>
        <v>50.79</v>
      </c>
      <c r="L425" s="15">
        <v>45284</v>
      </c>
      <c r="M425" t="s">
        <v>697</v>
      </c>
    </row>
    <row r="426" spans="1:13" x14ac:dyDescent="0.25">
      <c r="A426" t="s">
        <v>85</v>
      </c>
      <c r="B426" s="6" t="s">
        <v>645</v>
      </c>
      <c r="C426" s="13">
        <v>106</v>
      </c>
      <c r="D426" s="14" t="s">
        <v>92</v>
      </c>
      <c r="E426">
        <v>5</v>
      </c>
      <c r="F426" s="8">
        <f>VLOOKUP(financials[[#This Row],[productid]],Products!$B$2:$H$10,3)</f>
        <v>25</v>
      </c>
      <c r="G426" s="8">
        <f>financials[[#This Row],[Units Sold]]*financials[[#This Row],[Sale Price]]</f>
        <v>125</v>
      </c>
      <c r="H426" s="8">
        <f>IF(financials[[#This Row],[Discount Band]]="low",0.1,IF(financials[[#This Row],[Discount Band]]="medium",0.15,0.3))</f>
        <v>0.3</v>
      </c>
      <c r="I426" s="8">
        <f>financials[[#This Row],[Gross Sales]]-financials[[#This Row],[Gross Sales]]*financials[[#This Row],[Discounts]]</f>
        <v>87.5</v>
      </c>
      <c r="J426" s="8">
        <f>VLOOKUP(financials[[#This Row],[productid]],Products!$B$2:$H$10,4)</f>
        <v>9.1</v>
      </c>
      <c r="K426" s="8">
        <f>financials[[#This Row],[Net Sales]]-financials[[#This Row],[COGS]]</f>
        <v>78.400000000000006</v>
      </c>
      <c r="L426" s="15">
        <v>45224</v>
      </c>
      <c r="M426" t="s">
        <v>696</v>
      </c>
    </row>
    <row r="427" spans="1:13" x14ac:dyDescent="0.25">
      <c r="A427" t="s">
        <v>86</v>
      </c>
      <c r="B427" s="6" t="s">
        <v>274</v>
      </c>
      <c r="C427" s="13">
        <v>102</v>
      </c>
      <c r="D427" s="14" t="s">
        <v>90</v>
      </c>
      <c r="E427">
        <v>8</v>
      </c>
      <c r="F427" s="8">
        <f>VLOOKUP(financials[[#This Row],[productid]],Products!$B$2:$H$10,3)</f>
        <v>15</v>
      </c>
      <c r="G427" s="8">
        <f>financials[[#This Row],[Units Sold]]*financials[[#This Row],[Sale Price]]</f>
        <v>120</v>
      </c>
      <c r="H427" s="8">
        <f>IF(financials[[#This Row],[Discount Band]]="low",0.1,IF(financials[[#This Row],[Discount Band]]="medium",0.15,0.3))</f>
        <v>0.15</v>
      </c>
      <c r="I427" s="8">
        <f>financials[[#This Row],[Gross Sales]]-financials[[#This Row],[Gross Sales]]*financials[[#This Row],[Discounts]]</f>
        <v>102</v>
      </c>
      <c r="J427" s="8">
        <f>VLOOKUP(financials[[#This Row],[productid]],Products!$B$2:$H$10,4)</f>
        <v>13.95</v>
      </c>
      <c r="K427" s="8">
        <f>financials[[#This Row],[Net Sales]]-financials[[#This Row],[COGS]]</f>
        <v>88.05</v>
      </c>
      <c r="L427" s="15">
        <v>44262</v>
      </c>
      <c r="M427" t="s">
        <v>700</v>
      </c>
    </row>
    <row r="428" spans="1:13" x14ac:dyDescent="0.25">
      <c r="A428" t="s">
        <v>86</v>
      </c>
      <c r="B428" s="6" t="s">
        <v>232</v>
      </c>
      <c r="C428" s="13">
        <v>108</v>
      </c>
      <c r="D428" s="14" t="s">
        <v>91</v>
      </c>
      <c r="E428">
        <v>17</v>
      </c>
      <c r="F428" s="8">
        <f>VLOOKUP(financials[[#This Row],[productid]],Products!$B$2:$H$10,3)</f>
        <v>5.5</v>
      </c>
      <c r="G428" s="8">
        <f>financials[[#This Row],[Units Sold]]*financials[[#This Row],[Sale Price]]</f>
        <v>93.5</v>
      </c>
      <c r="H428" s="8">
        <f>IF(financials[[#This Row],[Discount Band]]="low",0.1,IF(financials[[#This Row],[Discount Band]]="medium",0.15,0.3))</f>
        <v>0.1</v>
      </c>
      <c r="I428" s="8">
        <f>financials[[#This Row],[Gross Sales]]-financials[[#This Row],[Gross Sales]]*financials[[#This Row],[Discounts]]</f>
        <v>84.15</v>
      </c>
      <c r="J428" s="8">
        <f>VLOOKUP(financials[[#This Row],[productid]],Products!$B$2:$H$10,4)</f>
        <v>3.99</v>
      </c>
      <c r="K428" s="8">
        <f>financials[[#This Row],[Net Sales]]-financials[[#This Row],[COGS]]</f>
        <v>80.160000000000011</v>
      </c>
      <c r="L428" s="15">
        <v>44386</v>
      </c>
      <c r="M428" t="s">
        <v>700</v>
      </c>
    </row>
    <row r="429" spans="1:13" x14ac:dyDescent="0.25">
      <c r="A429" t="s">
        <v>86</v>
      </c>
      <c r="B429" s="6" t="s">
        <v>273</v>
      </c>
      <c r="C429" s="13">
        <v>105</v>
      </c>
      <c r="D429" s="14" t="s">
        <v>91</v>
      </c>
      <c r="E429">
        <v>16</v>
      </c>
      <c r="F429" s="8">
        <f>VLOOKUP(financials[[#This Row],[productid]],Products!$B$2:$H$10,3)</f>
        <v>15</v>
      </c>
      <c r="G429" s="8">
        <f>financials[[#This Row],[Units Sold]]*financials[[#This Row],[Sale Price]]</f>
        <v>240</v>
      </c>
      <c r="H429" s="8">
        <f>IF(financials[[#This Row],[Discount Band]]="low",0.1,IF(financials[[#This Row],[Discount Band]]="medium",0.15,0.3))</f>
        <v>0.1</v>
      </c>
      <c r="I429" s="8">
        <f>financials[[#This Row],[Gross Sales]]-financials[[#This Row],[Gross Sales]]*financials[[#This Row],[Discounts]]</f>
        <v>216</v>
      </c>
      <c r="J429" s="8">
        <f>VLOOKUP(financials[[#This Row],[productid]],Products!$B$2:$H$10,4)</f>
        <v>10</v>
      </c>
      <c r="K429" s="8">
        <f>financials[[#This Row],[Net Sales]]-financials[[#This Row],[COGS]]</f>
        <v>206</v>
      </c>
      <c r="L429" s="15">
        <v>43857</v>
      </c>
      <c r="M429" t="s">
        <v>696</v>
      </c>
    </row>
    <row r="430" spans="1:13" x14ac:dyDescent="0.25">
      <c r="A430" t="s">
        <v>86</v>
      </c>
      <c r="B430" s="6" t="s">
        <v>274</v>
      </c>
      <c r="C430" s="13">
        <v>102</v>
      </c>
      <c r="D430" s="14" t="s">
        <v>90</v>
      </c>
      <c r="E430">
        <v>18</v>
      </c>
      <c r="F430" s="8">
        <f>VLOOKUP(financials[[#This Row],[productid]],Products!$B$2:$H$10,3)</f>
        <v>15</v>
      </c>
      <c r="G430" s="8">
        <f>financials[[#This Row],[Units Sold]]*financials[[#This Row],[Sale Price]]</f>
        <v>270</v>
      </c>
      <c r="H430" s="8">
        <f>IF(financials[[#This Row],[Discount Band]]="low",0.1,IF(financials[[#This Row],[Discount Band]]="medium",0.15,0.3))</f>
        <v>0.15</v>
      </c>
      <c r="I430" s="8">
        <f>financials[[#This Row],[Gross Sales]]-financials[[#This Row],[Gross Sales]]*financials[[#This Row],[Discounts]]</f>
        <v>229.5</v>
      </c>
      <c r="J430" s="8">
        <f>VLOOKUP(financials[[#This Row],[productid]],Products!$B$2:$H$10,4)</f>
        <v>13.95</v>
      </c>
      <c r="K430" s="8">
        <f>financials[[#This Row],[Net Sales]]-financials[[#This Row],[COGS]]</f>
        <v>215.55</v>
      </c>
      <c r="L430" s="15">
        <v>45366</v>
      </c>
      <c r="M430" t="s">
        <v>696</v>
      </c>
    </row>
    <row r="431" spans="1:13" x14ac:dyDescent="0.25">
      <c r="A431" t="s">
        <v>85</v>
      </c>
      <c r="B431" s="6" t="s">
        <v>158</v>
      </c>
      <c r="C431" s="13">
        <v>104</v>
      </c>
      <c r="D431" s="14" t="s">
        <v>91</v>
      </c>
      <c r="E431">
        <v>8</v>
      </c>
      <c r="F431" s="8">
        <f>VLOOKUP(financials[[#This Row],[productid]],Products!$B$2:$H$10,3)</f>
        <v>5.9</v>
      </c>
      <c r="G431" s="8">
        <f>financials[[#This Row],[Units Sold]]*financials[[#This Row],[Sale Price]]</f>
        <v>47.2</v>
      </c>
      <c r="H431" s="8">
        <f>IF(financials[[#This Row],[Discount Band]]="low",0.1,IF(financials[[#This Row],[Discount Band]]="medium",0.15,0.3))</f>
        <v>0.1</v>
      </c>
      <c r="I431" s="8">
        <f>financials[[#This Row],[Gross Sales]]-financials[[#This Row],[Gross Sales]]*financials[[#This Row],[Discounts]]</f>
        <v>42.480000000000004</v>
      </c>
      <c r="J431" s="8">
        <f>VLOOKUP(financials[[#This Row],[productid]],Products!$B$2:$H$10,4)</f>
        <v>2.9</v>
      </c>
      <c r="K431" s="8">
        <f>financials[[#This Row],[Net Sales]]-financials[[#This Row],[COGS]]</f>
        <v>39.580000000000005</v>
      </c>
      <c r="L431" s="15">
        <v>44450</v>
      </c>
      <c r="M431" t="s">
        <v>690</v>
      </c>
    </row>
    <row r="432" spans="1:13" x14ac:dyDescent="0.25">
      <c r="A432" t="s">
        <v>86</v>
      </c>
      <c r="B432" s="6" t="s">
        <v>545</v>
      </c>
      <c r="C432" s="11">
        <v>105</v>
      </c>
      <c r="D432" s="9" t="s">
        <v>91</v>
      </c>
      <c r="E432">
        <v>8</v>
      </c>
      <c r="F432" s="8">
        <f>VLOOKUP(financials[[#This Row],[productid]],Products!$B$2:$H$10,3)</f>
        <v>15</v>
      </c>
      <c r="G432" s="8">
        <f>financials[[#This Row],[Units Sold]]*financials[[#This Row],[Sale Price]]</f>
        <v>120</v>
      </c>
      <c r="H432" s="8">
        <f>IF(financials[[#This Row],[Discount Band]]="low",0.1,IF(financials[[#This Row],[Discount Band]]="medium",0.15,0.3))</f>
        <v>0.1</v>
      </c>
      <c r="I432" s="8">
        <f>financials[[#This Row],[Gross Sales]]-financials[[#This Row],[Gross Sales]]*financials[[#This Row],[Discounts]]</f>
        <v>108</v>
      </c>
      <c r="J432" s="8">
        <f>VLOOKUP(financials[[#This Row],[productid]],Products!$B$2:$H$10,4)</f>
        <v>10</v>
      </c>
      <c r="K432" s="8">
        <f>financials[[#This Row],[Net Sales]]-financials[[#This Row],[COGS]]</f>
        <v>98</v>
      </c>
      <c r="L432" s="15">
        <v>45391</v>
      </c>
      <c r="M432" t="s">
        <v>700</v>
      </c>
    </row>
    <row r="433" spans="1:13" x14ac:dyDescent="0.25">
      <c r="A433" t="s">
        <v>86</v>
      </c>
      <c r="B433" s="6" t="s">
        <v>96</v>
      </c>
      <c r="C433" s="13">
        <v>106</v>
      </c>
      <c r="D433" s="14" t="s">
        <v>91</v>
      </c>
      <c r="E433">
        <v>5</v>
      </c>
      <c r="F433" s="8">
        <f>VLOOKUP(financials[[#This Row],[productid]],Products!$B$2:$H$10,3)</f>
        <v>25</v>
      </c>
      <c r="G433" s="8">
        <f>financials[[#This Row],[Units Sold]]*financials[[#This Row],[Sale Price]]</f>
        <v>125</v>
      </c>
      <c r="H433" s="8">
        <f>IF(financials[[#This Row],[Discount Band]]="low",0.1,IF(financials[[#This Row],[Discount Band]]="medium",0.15,0.3))</f>
        <v>0.1</v>
      </c>
      <c r="I433" s="8">
        <f>financials[[#This Row],[Gross Sales]]-financials[[#This Row],[Gross Sales]]*financials[[#This Row],[Discounts]]</f>
        <v>112.5</v>
      </c>
      <c r="J433" s="8">
        <f>VLOOKUP(financials[[#This Row],[productid]],Products!$B$2:$H$10,4)</f>
        <v>9.1</v>
      </c>
      <c r="K433" s="8">
        <f>financials[[#This Row],[Net Sales]]-financials[[#This Row],[COGS]]</f>
        <v>103.4</v>
      </c>
      <c r="L433" s="15">
        <v>45563</v>
      </c>
      <c r="M433" t="s">
        <v>700</v>
      </c>
    </row>
    <row r="434" spans="1:13" x14ac:dyDescent="0.25">
      <c r="A434" t="s">
        <v>86</v>
      </c>
      <c r="B434" s="6" t="s">
        <v>645</v>
      </c>
      <c r="C434" s="13">
        <v>103</v>
      </c>
      <c r="D434" s="14" t="s">
        <v>90</v>
      </c>
      <c r="E434">
        <v>15</v>
      </c>
      <c r="F434" s="8">
        <f>VLOOKUP(financials[[#This Row],[productid]],Products!$B$2:$H$10,3)</f>
        <v>28</v>
      </c>
      <c r="G434" s="8">
        <f>financials[[#This Row],[Units Sold]]*financials[[#This Row],[Sale Price]]</f>
        <v>420</v>
      </c>
      <c r="H434" s="8">
        <f>IF(financials[[#This Row],[Discount Band]]="low",0.1,IF(financials[[#This Row],[Discount Band]]="medium",0.15,0.3))</f>
        <v>0.15</v>
      </c>
      <c r="I434" s="8">
        <f>financials[[#This Row],[Gross Sales]]-financials[[#This Row],[Gross Sales]]*financials[[#This Row],[Discounts]]</f>
        <v>357</v>
      </c>
      <c r="J434" s="8">
        <f>VLOOKUP(financials[[#This Row],[productid]],Products!$B$2:$H$10,4)</f>
        <v>15</v>
      </c>
      <c r="K434" s="8">
        <f>financials[[#This Row],[Net Sales]]-financials[[#This Row],[COGS]]</f>
        <v>342</v>
      </c>
      <c r="L434" s="15">
        <v>44853</v>
      </c>
      <c r="M434" t="s">
        <v>696</v>
      </c>
    </row>
    <row r="435" spans="1:13" x14ac:dyDescent="0.25">
      <c r="A435" t="s">
        <v>86</v>
      </c>
      <c r="B435" s="6" t="s">
        <v>93</v>
      </c>
      <c r="C435" s="13">
        <v>108</v>
      </c>
      <c r="D435" s="14" t="s">
        <v>90</v>
      </c>
      <c r="E435">
        <v>14</v>
      </c>
      <c r="F435" s="8">
        <f>VLOOKUP(financials[[#This Row],[productid]],Products!$B$2:$H$10,3)</f>
        <v>5.5</v>
      </c>
      <c r="G435" s="8">
        <f>financials[[#This Row],[Units Sold]]*financials[[#This Row],[Sale Price]]</f>
        <v>77</v>
      </c>
      <c r="H435" s="8">
        <f>IF(financials[[#This Row],[Discount Band]]="low",0.1,IF(financials[[#This Row],[Discount Band]]="medium",0.15,0.3))</f>
        <v>0.15</v>
      </c>
      <c r="I435" s="8">
        <f>financials[[#This Row],[Gross Sales]]-financials[[#This Row],[Gross Sales]]*financials[[#This Row],[Discounts]]</f>
        <v>65.45</v>
      </c>
      <c r="J435" s="8">
        <f>VLOOKUP(financials[[#This Row],[productid]],Products!$B$2:$H$10,4)</f>
        <v>3.99</v>
      </c>
      <c r="K435" s="8">
        <f>financials[[#This Row],[Net Sales]]-financials[[#This Row],[COGS]]</f>
        <v>61.46</v>
      </c>
      <c r="L435" s="15">
        <v>45608</v>
      </c>
      <c r="M435" t="s">
        <v>690</v>
      </c>
    </row>
    <row r="436" spans="1:13" x14ac:dyDescent="0.25">
      <c r="A436" t="s">
        <v>87</v>
      </c>
      <c r="B436" s="6" t="s">
        <v>644</v>
      </c>
      <c r="C436" s="13">
        <v>108</v>
      </c>
      <c r="D436" s="14" t="s">
        <v>83</v>
      </c>
      <c r="E436">
        <v>10</v>
      </c>
      <c r="F436" s="8">
        <f>VLOOKUP(financials[[#This Row],[productid]],Products!$B$2:$H$10,3)</f>
        <v>5.5</v>
      </c>
      <c r="G436" s="8">
        <f>financials[[#This Row],[Units Sold]]*financials[[#This Row],[Sale Price]]</f>
        <v>55</v>
      </c>
      <c r="H436" s="8">
        <f>IF(financials[[#This Row],[Discount Band]]="low",0.1,IF(financials[[#This Row],[Discount Band]]="medium",0.15,0.3))</f>
        <v>0.3</v>
      </c>
      <c r="I436" s="8">
        <f>financials[[#This Row],[Gross Sales]]-financials[[#This Row],[Gross Sales]]*financials[[#This Row],[Discounts]]</f>
        <v>38.5</v>
      </c>
      <c r="J436" s="8">
        <f>VLOOKUP(financials[[#This Row],[productid]],Products!$B$2:$H$10,4)</f>
        <v>3.99</v>
      </c>
      <c r="K436" s="8">
        <f>financials[[#This Row],[Net Sales]]-financials[[#This Row],[COGS]]</f>
        <v>34.51</v>
      </c>
      <c r="L436" s="15">
        <v>44223</v>
      </c>
      <c r="M436" t="s">
        <v>696</v>
      </c>
    </row>
    <row r="437" spans="1:13" x14ac:dyDescent="0.25">
      <c r="A437" t="s">
        <v>86</v>
      </c>
      <c r="B437" s="6" t="s">
        <v>545</v>
      </c>
      <c r="C437" s="13">
        <v>103</v>
      </c>
      <c r="D437" s="14" t="s">
        <v>90</v>
      </c>
      <c r="E437">
        <v>16</v>
      </c>
      <c r="F437" s="8">
        <f>VLOOKUP(financials[[#This Row],[productid]],Products!$B$2:$H$10,3)</f>
        <v>28</v>
      </c>
      <c r="G437" s="8">
        <f>financials[[#This Row],[Units Sold]]*financials[[#This Row],[Sale Price]]</f>
        <v>448</v>
      </c>
      <c r="H437" s="8">
        <f>IF(financials[[#This Row],[Discount Band]]="low",0.1,IF(financials[[#This Row],[Discount Band]]="medium",0.15,0.3))</f>
        <v>0.15</v>
      </c>
      <c r="I437" s="8">
        <f>financials[[#This Row],[Gross Sales]]-financials[[#This Row],[Gross Sales]]*financials[[#This Row],[Discounts]]</f>
        <v>380.8</v>
      </c>
      <c r="J437" s="8">
        <f>VLOOKUP(financials[[#This Row],[productid]],Products!$B$2:$H$10,4)</f>
        <v>15</v>
      </c>
      <c r="K437" s="8">
        <f>financials[[#This Row],[Net Sales]]-financials[[#This Row],[COGS]]</f>
        <v>365.8</v>
      </c>
      <c r="L437" s="15">
        <v>45272</v>
      </c>
      <c r="M437" t="s">
        <v>696</v>
      </c>
    </row>
    <row r="438" spans="1:13" x14ac:dyDescent="0.25">
      <c r="A438" t="s">
        <v>86</v>
      </c>
      <c r="B438" s="6" t="s">
        <v>287</v>
      </c>
      <c r="C438" s="13">
        <v>104</v>
      </c>
      <c r="D438" s="14" t="s">
        <v>83</v>
      </c>
      <c r="E438">
        <v>20</v>
      </c>
      <c r="F438" s="8">
        <f>VLOOKUP(financials[[#This Row],[productid]],Products!$B$2:$H$10,3)</f>
        <v>5.9</v>
      </c>
      <c r="G438" s="8">
        <f>financials[[#This Row],[Units Sold]]*financials[[#This Row],[Sale Price]]</f>
        <v>118</v>
      </c>
      <c r="H438" s="8">
        <f>IF(financials[[#This Row],[Discount Band]]="low",0.1,IF(financials[[#This Row],[Discount Band]]="medium",0.15,0.3))</f>
        <v>0.3</v>
      </c>
      <c r="I438" s="8">
        <f>financials[[#This Row],[Gross Sales]]-financials[[#This Row],[Gross Sales]]*financials[[#This Row],[Discounts]]</f>
        <v>82.6</v>
      </c>
      <c r="J438" s="8">
        <f>VLOOKUP(financials[[#This Row],[productid]],Products!$B$2:$H$10,4)</f>
        <v>2.9</v>
      </c>
      <c r="K438" s="8">
        <f>financials[[#This Row],[Net Sales]]-financials[[#This Row],[COGS]]</f>
        <v>79.699999999999989</v>
      </c>
      <c r="L438" s="15">
        <v>44813</v>
      </c>
      <c r="M438" t="s">
        <v>691</v>
      </c>
    </row>
    <row r="439" spans="1:13" x14ac:dyDescent="0.25">
      <c r="A439" t="s">
        <v>86</v>
      </c>
      <c r="B439" s="6" t="s">
        <v>645</v>
      </c>
      <c r="C439" s="13">
        <v>108</v>
      </c>
      <c r="D439" s="14" t="s">
        <v>90</v>
      </c>
      <c r="E439">
        <v>8</v>
      </c>
      <c r="F439" s="8">
        <f>VLOOKUP(financials[[#This Row],[productid]],Products!$B$2:$H$10,3)</f>
        <v>5.5</v>
      </c>
      <c r="G439" s="8">
        <f>financials[[#This Row],[Units Sold]]*financials[[#This Row],[Sale Price]]</f>
        <v>44</v>
      </c>
      <c r="H439" s="8">
        <f>IF(financials[[#This Row],[Discount Band]]="low",0.1,IF(financials[[#This Row],[Discount Band]]="medium",0.15,0.3))</f>
        <v>0.15</v>
      </c>
      <c r="I439" s="8">
        <f>financials[[#This Row],[Gross Sales]]-financials[[#This Row],[Gross Sales]]*financials[[#This Row],[Discounts]]</f>
        <v>37.4</v>
      </c>
      <c r="J439" s="8">
        <f>VLOOKUP(financials[[#This Row],[productid]],Products!$B$2:$H$10,4)</f>
        <v>3.99</v>
      </c>
      <c r="K439" s="8">
        <f>financials[[#This Row],[Net Sales]]-financials[[#This Row],[COGS]]</f>
        <v>33.409999999999997</v>
      </c>
      <c r="L439" s="15">
        <v>45393</v>
      </c>
      <c r="M439" t="s">
        <v>691</v>
      </c>
    </row>
    <row r="440" spans="1:13" x14ac:dyDescent="0.25">
      <c r="A440" t="s">
        <v>86</v>
      </c>
      <c r="B440" s="6" t="s">
        <v>125</v>
      </c>
      <c r="C440" s="13">
        <v>102</v>
      </c>
      <c r="D440" s="14" t="s">
        <v>91</v>
      </c>
      <c r="E440">
        <v>12</v>
      </c>
      <c r="F440" s="8">
        <f>VLOOKUP(financials[[#This Row],[productid]],Products!$B$2:$H$10,3)</f>
        <v>15</v>
      </c>
      <c r="G440" s="8">
        <f>financials[[#This Row],[Units Sold]]*financials[[#This Row],[Sale Price]]</f>
        <v>180</v>
      </c>
      <c r="H440" s="8">
        <f>IF(financials[[#This Row],[Discount Band]]="low",0.1,IF(financials[[#This Row],[Discount Band]]="medium",0.15,0.3))</f>
        <v>0.1</v>
      </c>
      <c r="I440" s="8">
        <f>financials[[#This Row],[Gross Sales]]-financials[[#This Row],[Gross Sales]]*financials[[#This Row],[Discounts]]</f>
        <v>162</v>
      </c>
      <c r="J440" s="8">
        <f>VLOOKUP(financials[[#This Row],[productid]],Products!$B$2:$H$10,4)</f>
        <v>13.95</v>
      </c>
      <c r="K440" s="8">
        <f>financials[[#This Row],[Net Sales]]-financials[[#This Row],[COGS]]</f>
        <v>148.05000000000001</v>
      </c>
      <c r="L440" s="15">
        <v>44810</v>
      </c>
      <c r="M440" t="s">
        <v>697</v>
      </c>
    </row>
    <row r="441" spans="1:13" x14ac:dyDescent="0.25">
      <c r="A441" t="s">
        <v>86</v>
      </c>
      <c r="B441" s="6" t="s">
        <v>228</v>
      </c>
      <c r="C441" s="13">
        <v>104</v>
      </c>
      <c r="D441" s="14" t="s">
        <v>92</v>
      </c>
      <c r="E441">
        <v>13</v>
      </c>
      <c r="F441" s="8">
        <f>VLOOKUP(financials[[#This Row],[productid]],Products!$B$2:$H$10,3)</f>
        <v>5.9</v>
      </c>
      <c r="G441" s="8">
        <f>financials[[#This Row],[Units Sold]]*financials[[#This Row],[Sale Price]]</f>
        <v>76.7</v>
      </c>
      <c r="H441" s="8">
        <f>IF(financials[[#This Row],[Discount Band]]="low",0.1,IF(financials[[#This Row],[Discount Band]]="medium",0.15,0.3))</f>
        <v>0.3</v>
      </c>
      <c r="I441" s="8">
        <f>financials[[#This Row],[Gross Sales]]-financials[[#This Row],[Gross Sales]]*financials[[#This Row],[Discounts]]</f>
        <v>53.69</v>
      </c>
      <c r="J441" s="8">
        <f>VLOOKUP(financials[[#This Row],[productid]],Products!$B$2:$H$10,4)</f>
        <v>2.9</v>
      </c>
      <c r="K441" s="8">
        <f>financials[[#This Row],[Net Sales]]-financials[[#This Row],[COGS]]</f>
        <v>50.79</v>
      </c>
      <c r="L441" s="15">
        <v>44600</v>
      </c>
      <c r="M441" t="s">
        <v>696</v>
      </c>
    </row>
    <row r="442" spans="1:13" x14ac:dyDescent="0.25">
      <c r="A442" t="s">
        <v>85</v>
      </c>
      <c r="B442" s="6" t="s">
        <v>274</v>
      </c>
      <c r="C442" s="13">
        <v>104</v>
      </c>
      <c r="D442" s="14" t="s">
        <v>91</v>
      </c>
      <c r="E442">
        <v>17</v>
      </c>
      <c r="F442" s="8">
        <f>VLOOKUP(financials[[#This Row],[productid]],Products!$B$2:$H$10,3)</f>
        <v>5.9</v>
      </c>
      <c r="G442" s="8">
        <f>financials[[#This Row],[Units Sold]]*financials[[#This Row],[Sale Price]]</f>
        <v>100.30000000000001</v>
      </c>
      <c r="H442" s="8">
        <f>IF(financials[[#This Row],[Discount Band]]="low",0.1,IF(financials[[#This Row],[Discount Band]]="medium",0.15,0.3))</f>
        <v>0.1</v>
      </c>
      <c r="I442" s="8">
        <f>financials[[#This Row],[Gross Sales]]-financials[[#This Row],[Gross Sales]]*financials[[#This Row],[Discounts]]</f>
        <v>90.27000000000001</v>
      </c>
      <c r="J442" s="8">
        <f>VLOOKUP(financials[[#This Row],[productid]],Products!$B$2:$H$10,4)</f>
        <v>2.9</v>
      </c>
      <c r="K442" s="8">
        <f>financials[[#This Row],[Net Sales]]-financials[[#This Row],[COGS]]</f>
        <v>87.37</v>
      </c>
      <c r="L442" s="15">
        <v>44312</v>
      </c>
      <c r="M442" t="s">
        <v>697</v>
      </c>
    </row>
    <row r="443" spans="1:13" x14ac:dyDescent="0.25">
      <c r="A443" t="s">
        <v>86</v>
      </c>
      <c r="B443" s="6" t="s">
        <v>228</v>
      </c>
      <c r="C443" s="11">
        <v>107</v>
      </c>
      <c r="D443" s="9" t="s">
        <v>90</v>
      </c>
      <c r="E443">
        <v>6</v>
      </c>
      <c r="F443" s="8">
        <f>VLOOKUP(financials[[#This Row],[productid]],Products!$B$2:$H$10,3)</f>
        <v>15</v>
      </c>
      <c r="G443" s="8">
        <f>financials[[#This Row],[Units Sold]]*financials[[#This Row],[Sale Price]]</f>
        <v>90</v>
      </c>
      <c r="H443" s="8">
        <f>IF(financials[[#This Row],[Discount Band]]="low",0.1,IF(financials[[#This Row],[Discount Band]]="medium",0.15,0.3))</f>
        <v>0.15</v>
      </c>
      <c r="I443" s="8">
        <f>financials[[#This Row],[Gross Sales]]-financials[[#This Row],[Gross Sales]]*financials[[#This Row],[Discounts]]</f>
        <v>76.5</v>
      </c>
      <c r="J443" s="8">
        <f>VLOOKUP(financials[[#This Row],[productid]],Products!$B$2:$H$10,4)</f>
        <v>5.5</v>
      </c>
      <c r="K443" s="8">
        <f>financials[[#This Row],[Net Sales]]-financials[[#This Row],[COGS]]</f>
        <v>71</v>
      </c>
      <c r="L443" s="15">
        <v>45190</v>
      </c>
      <c r="M443" t="s">
        <v>700</v>
      </c>
    </row>
    <row r="444" spans="1:13" x14ac:dyDescent="0.25">
      <c r="A444" t="s">
        <v>86</v>
      </c>
      <c r="B444" s="6" t="s">
        <v>125</v>
      </c>
      <c r="C444" s="13">
        <v>104</v>
      </c>
      <c r="D444" s="14" t="s">
        <v>83</v>
      </c>
      <c r="E444">
        <v>18</v>
      </c>
      <c r="F444" s="8">
        <f>VLOOKUP(financials[[#This Row],[productid]],Products!$B$2:$H$10,3)</f>
        <v>5.9</v>
      </c>
      <c r="G444" s="8">
        <f>financials[[#This Row],[Units Sold]]*financials[[#This Row],[Sale Price]]</f>
        <v>106.2</v>
      </c>
      <c r="H444" s="8">
        <f>IF(financials[[#This Row],[Discount Band]]="low",0.1,IF(financials[[#This Row],[Discount Band]]="medium",0.15,0.3))</f>
        <v>0.3</v>
      </c>
      <c r="I444" s="8">
        <f>financials[[#This Row],[Gross Sales]]-financials[[#This Row],[Gross Sales]]*financials[[#This Row],[Discounts]]</f>
        <v>74.34</v>
      </c>
      <c r="J444" s="8">
        <f>VLOOKUP(financials[[#This Row],[productid]],Products!$B$2:$H$10,4)</f>
        <v>2.9</v>
      </c>
      <c r="K444" s="8">
        <f>financials[[#This Row],[Net Sales]]-financials[[#This Row],[COGS]]</f>
        <v>71.44</v>
      </c>
      <c r="L444" s="15">
        <v>44929</v>
      </c>
      <c r="M444" t="s">
        <v>696</v>
      </c>
    </row>
    <row r="445" spans="1:13" x14ac:dyDescent="0.25">
      <c r="A445" t="s">
        <v>86</v>
      </c>
      <c r="B445" s="6" t="s">
        <v>93</v>
      </c>
      <c r="C445" s="13">
        <v>103</v>
      </c>
      <c r="D445" s="14" t="s">
        <v>83</v>
      </c>
      <c r="E445">
        <v>8</v>
      </c>
      <c r="F445" s="8">
        <f>VLOOKUP(financials[[#This Row],[productid]],Products!$B$2:$H$10,3)</f>
        <v>28</v>
      </c>
      <c r="G445" s="8">
        <f>financials[[#This Row],[Units Sold]]*financials[[#This Row],[Sale Price]]</f>
        <v>224</v>
      </c>
      <c r="H445" s="8">
        <f>IF(financials[[#This Row],[Discount Band]]="low",0.1,IF(financials[[#This Row],[Discount Band]]="medium",0.15,0.3))</f>
        <v>0.3</v>
      </c>
      <c r="I445" s="8">
        <f>financials[[#This Row],[Gross Sales]]-financials[[#This Row],[Gross Sales]]*financials[[#This Row],[Discounts]]</f>
        <v>156.80000000000001</v>
      </c>
      <c r="J445" s="8">
        <f>VLOOKUP(financials[[#This Row],[productid]],Products!$B$2:$H$10,4)</f>
        <v>15</v>
      </c>
      <c r="K445" s="8">
        <f>financials[[#This Row],[Net Sales]]-financials[[#This Row],[COGS]]</f>
        <v>141.80000000000001</v>
      </c>
      <c r="L445" s="15">
        <v>44755</v>
      </c>
      <c r="M445" t="s">
        <v>697</v>
      </c>
    </row>
    <row r="446" spans="1:13" x14ac:dyDescent="0.25">
      <c r="A446" t="s">
        <v>85</v>
      </c>
      <c r="B446" s="6" t="s">
        <v>287</v>
      </c>
      <c r="C446" s="11">
        <v>101</v>
      </c>
      <c r="D446" s="9" t="s">
        <v>91</v>
      </c>
      <c r="E446">
        <v>19</v>
      </c>
      <c r="F446" s="8">
        <f>VLOOKUP(financials[[#This Row],[productid]],Products!$B$2:$H$10,3)</f>
        <v>23</v>
      </c>
      <c r="G446" s="8">
        <f>financials[[#This Row],[Units Sold]]*financials[[#This Row],[Sale Price]]</f>
        <v>437</v>
      </c>
      <c r="H446" s="8">
        <f>IF(financials[[#This Row],[Discount Band]]="low",0.1,IF(financials[[#This Row],[Discount Band]]="medium",0.15,0.3))</f>
        <v>0.1</v>
      </c>
      <c r="I446" s="8">
        <f>financials[[#This Row],[Gross Sales]]-financials[[#This Row],[Gross Sales]]*financials[[#This Row],[Discounts]]</f>
        <v>393.3</v>
      </c>
      <c r="J446" s="8">
        <f>VLOOKUP(financials[[#This Row],[productid]],Products!$B$2:$H$10,4)</f>
        <v>9.9499999999999993</v>
      </c>
      <c r="K446" s="8">
        <f>financials[[#This Row],[Net Sales]]-financials[[#This Row],[COGS]]</f>
        <v>383.35</v>
      </c>
      <c r="L446" s="15">
        <v>44727</v>
      </c>
      <c r="M446" t="s">
        <v>700</v>
      </c>
    </row>
    <row r="447" spans="1:13" x14ac:dyDescent="0.25">
      <c r="A447" t="s">
        <v>86</v>
      </c>
      <c r="B447" s="6" t="s">
        <v>94</v>
      </c>
      <c r="C447" s="13">
        <v>104</v>
      </c>
      <c r="D447" s="14" t="s">
        <v>90</v>
      </c>
      <c r="E447">
        <v>5</v>
      </c>
      <c r="F447" s="8">
        <f>VLOOKUP(financials[[#This Row],[productid]],Products!$B$2:$H$10,3)</f>
        <v>5.9</v>
      </c>
      <c r="G447" s="8">
        <f>financials[[#This Row],[Units Sold]]*financials[[#This Row],[Sale Price]]</f>
        <v>29.5</v>
      </c>
      <c r="H447" s="8">
        <f>IF(financials[[#This Row],[Discount Band]]="low",0.1,IF(financials[[#This Row],[Discount Band]]="medium",0.15,0.3))</f>
        <v>0.15</v>
      </c>
      <c r="I447" s="8">
        <f>financials[[#This Row],[Gross Sales]]-financials[[#This Row],[Gross Sales]]*financials[[#This Row],[Discounts]]</f>
        <v>25.074999999999999</v>
      </c>
      <c r="J447" s="8">
        <f>VLOOKUP(financials[[#This Row],[productid]],Products!$B$2:$H$10,4)</f>
        <v>2.9</v>
      </c>
      <c r="K447" s="8">
        <f>financials[[#This Row],[Net Sales]]-financials[[#This Row],[COGS]]</f>
        <v>22.175000000000001</v>
      </c>
      <c r="L447" s="15">
        <v>45526</v>
      </c>
      <c r="M447" t="s">
        <v>690</v>
      </c>
    </row>
    <row r="448" spans="1:13" x14ac:dyDescent="0.25">
      <c r="A448" t="s">
        <v>86</v>
      </c>
      <c r="B448" s="6" t="s">
        <v>96</v>
      </c>
      <c r="C448" s="13">
        <v>109</v>
      </c>
      <c r="D448" s="14" t="s">
        <v>90</v>
      </c>
      <c r="E448">
        <v>19</v>
      </c>
      <c r="F448" s="8">
        <f>VLOOKUP(financials[[#This Row],[productid]],Products!$B$2:$H$10,3)</f>
        <v>36</v>
      </c>
      <c r="G448" s="8">
        <f>financials[[#This Row],[Units Sold]]*financials[[#This Row],[Sale Price]]</f>
        <v>684</v>
      </c>
      <c r="H448" s="8">
        <f>IF(financials[[#This Row],[Discount Band]]="low",0.1,IF(financials[[#This Row],[Discount Band]]="medium",0.15,0.3))</f>
        <v>0.15</v>
      </c>
      <c r="I448" s="8">
        <f>financials[[#This Row],[Gross Sales]]-financials[[#This Row],[Gross Sales]]*financials[[#This Row],[Discounts]]</f>
        <v>581.4</v>
      </c>
      <c r="J448" s="8">
        <f>VLOOKUP(financials[[#This Row],[productid]],Products!$B$2:$H$10,4)</f>
        <v>16.8</v>
      </c>
      <c r="K448" s="8">
        <f>financials[[#This Row],[Net Sales]]-financials[[#This Row],[COGS]]</f>
        <v>564.6</v>
      </c>
      <c r="L448" s="15">
        <v>44583</v>
      </c>
      <c r="M448" t="s">
        <v>691</v>
      </c>
    </row>
    <row r="449" spans="1:13" x14ac:dyDescent="0.25">
      <c r="A449" t="s">
        <v>86</v>
      </c>
      <c r="B449" s="6" t="s">
        <v>266</v>
      </c>
      <c r="C449" s="13">
        <v>107</v>
      </c>
      <c r="D449" s="14" t="s">
        <v>83</v>
      </c>
      <c r="E449">
        <v>15</v>
      </c>
      <c r="F449" s="8">
        <f>VLOOKUP(financials[[#This Row],[productid]],Products!$B$2:$H$10,3)</f>
        <v>15</v>
      </c>
      <c r="G449" s="8">
        <f>financials[[#This Row],[Units Sold]]*financials[[#This Row],[Sale Price]]</f>
        <v>225</v>
      </c>
      <c r="H449" s="8">
        <f>IF(financials[[#This Row],[Discount Band]]="low",0.1,IF(financials[[#This Row],[Discount Band]]="medium",0.15,0.3))</f>
        <v>0.3</v>
      </c>
      <c r="I449" s="8">
        <f>financials[[#This Row],[Gross Sales]]-financials[[#This Row],[Gross Sales]]*financials[[#This Row],[Discounts]]</f>
        <v>157.5</v>
      </c>
      <c r="J449" s="8">
        <f>VLOOKUP(financials[[#This Row],[productid]],Products!$B$2:$H$10,4)</f>
        <v>5.5</v>
      </c>
      <c r="K449" s="8">
        <f>financials[[#This Row],[Net Sales]]-financials[[#This Row],[COGS]]</f>
        <v>152</v>
      </c>
      <c r="L449" s="15">
        <v>44107</v>
      </c>
      <c r="M449" t="s">
        <v>697</v>
      </c>
    </row>
    <row r="450" spans="1:13" x14ac:dyDescent="0.25">
      <c r="A450" t="s">
        <v>86</v>
      </c>
      <c r="B450" s="6" t="s">
        <v>93</v>
      </c>
      <c r="C450" s="13">
        <v>107</v>
      </c>
      <c r="D450" s="14" t="s">
        <v>91</v>
      </c>
      <c r="E450">
        <v>17</v>
      </c>
      <c r="F450" s="8">
        <f>VLOOKUP(financials[[#This Row],[productid]],Products!$B$2:$H$10,3)</f>
        <v>15</v>
      </c>
      <c r="G450" s="8">
        <f>financials[[#This Row],[Units Sold]]*financials[[#This Row],[Sale Price]]</f>
        <v>255</v>
      </c>
      <c r="H450" s="8">
        <f>IF(financials[[#This Row],[Discount Band]]="low",0.1,IF(financials[[#This Row],[Discount Band]]="medium",0.15,0.3))</f>
        <v>0.1</v>
      </c>
      <c r="I450" s="8">
        <f>financials[[#This Row],[Gross Sales]]-financials[[#This Row],[Gross Sales]]*financials[[#This Row],[Discounts]]</f>
        <v>229.5</v>
      </c>
      <c r="J450" s="8">
        <f>VLOOKUP(financials[[#This Row],[productid]],Products!$B$2:$H$10,4)</f>
        <v>5.5</v>
      </c>
      <c r="K450" s="8">
        <f>financials[[#This Row],[Net Sales]]-financials[[#This Row],[COGS]]</f>
        <v>224</v>
      </c>
      <c r="L450" s="15">
        <v>44545</v>
      </c>
      <c r="M450" t="s">
        <v>691</v>
      </c>
    </row>
    <row r="451" spans="1:13" x14ac:dyDescent="0.25">
      <c r="A451" t="s">
        <v>86</v>
      </c>
      <c r="B451" s="6" t="s">
        <v>125</v>
      </c>
      <c r="C451" s="13">
        <v>107</v>
      </c>
      <c r="D451" s="14" t="s">
        <v>83</v>
      </c>
      <c r="E451">
        <v>10</v>
      </c>
      <c r="F451" s="8">
        <f>VLOOKUP(financials[[#This Row],[productid]],Products!$B$2:$H$10,3)</f>
        <v>15</v>
      </c>
      <c r="G451" s="8">
        <f>financials[[#This Row],[Units Sold]]*financials[[#This Row],[Sale Price]]</f>
        <v>150</v>
      </c>
      <c r="H451" s="8">
        <f>IF(financials[[#This Row],[Discount Band]]="low",0.1,IF(financials[[#This Row],[Discount Band]]="medium",0.15,0.3))</f>
        <v>0.3</v>
      </c>
      <c r="I451" s="8">
        <f>financials[[#This Row],[Gross Sales]]-financials[[#This Row],[Gross Sales]]*financials[[#This Row],[Discounts]]</f>
        <v>105</v>
      </c>
      <c r="J451" s="8">
        <f>VLOOKUP(financials[[#This Row],[productid]],Products!$B$2:$H$10,4)</f>
        <v>5.5</v>
      </c>
      <c r="K451" s="8">
        <f>financials[[#This Row],[Net Sales]]-financials[[#This Row],[COGS]]</f>
        <v>99.5</v>
      </c>
      <c r="L451" s="15">
        <v>44142</v>
      </c>
      <c r="M451" t="s">
        <v>691</v>
      </c>
    </row>
    <row r="452" spans="1:13" x14ac:dyDescent="0.25">
      <c r="A452" t="s">
        <v>86</v>
      </c>
      <c r="B452" s="6" t="s">
        <v>266</v>
      </c>
      <c r="C452" s="13">
        <v>102</v>
      </c>
      <c r="D452" s="14" t="s">
        <v>83</v>
      </c>
      <c r="E452">
        <v>16</v>
      </c>
      <c r="F452" s="8">
        <f>VLOOKUP(financials[[#This Row],[productid]],Products!$B$2:$H$10,3)</f>
        <v>15</v>
      </c>
      <c r="G452" s="8">
        <f>financials[[#This Row],[Units Sold]]*financials[[#This Row],[Sale Price]]</f>
        <v>240</v>
      </c>
      <c r="H452" s="8">
        <f>IF(financials[[#This Row],[Discount Band]]="low",0.1,IF(financials[[#This Row],[Discount Band]]="medium",0.15,0.3))</f>
        <v>0.3</v>
      </c>
      <c r="I452" s="8">
        <f>financials[[#This Row],[Gross Sales]]-financials[[#This Row],[Gross Sales]]*financials[[#This Row],[Discounts]]</f>
        <v>168</v>
      </c>
      <c r="J452" s="8">
        <f>VLOOKUP(financials[[#This Row],[productid]],Products!$B$2:$H$10,4)</f>
        <v>13.95</v>
      </c>
      <c r="K452" s="8">
        <f>financials[[#This Row],[Net Sales]]-financials[[#This Row],[COGS]]</f>
        <v>154.05000000000001</v>
      </c>
      <c r="L452" s="15">
        <v>44769</v>
      </c>
      <c r="M452" t="s">
        <v>697</v>
      </c>
    </row>
    <row r="453" spans="1:13" x14ac:dyDescent="0.25">
      <c r="A453" t="s">
        <v>85</v>
      </c>
      <c r="B453" s="6" t="s">
        <v>125</v>
      </c>
      <c r="C453" s="13">
        <v>106</v>
      </c>
      <c r="D453" s="14" t="s">
        <v>90</v>
      </c>
      <c r="E453">
        <v>14</v>
      </c>
      <c r="F453" s="8">
        <f>VLOOKUP(financials[[#This Row],[productid]],Products!$B$2:$H$10,3)</f>
        <v>25</v>
      </c>
      <c r="G453" s="8">
        <f>financials[[#This Row],[Units Sold]]*financials[[#This Row],[Sale Price]]</f>
        <v>350</v>
      </c>
      <c r="H453" s="8">
        <f>IF(financials[[#This Row],[Discount Band]]="low",0.1,IF(financials[[#This Row],[Discount Band]]="medium",0.15,0.3))</f>
        <v>0.15</v>
      </c>
      <c r="I453" s="8">
        <f>financials[[#This Row],[Gross Sales]]-financials[[#This Row],[Gross Sales]]*financials[[#This Row],[Discounts]]</f>
        <v>297.5</v>
      </c>
      <c r="J453" s="8">
        <f>VLOOKUP(financials[[#This Row],[productid]],Products!$B$2:$H$10,4)</f>
        <v>9.1</v>
      </c>
      <c r="K453" s="8">
        <f>financials[[#This Row],[Net Sales]]-financials[[#This Row],[COGS]]</f>
        <v>288.39999999999998</v>
      </c>
      <c r="L453" s="15">
        <v>44970</v>
      </c>
      <c r="M453" t="s">
        <v>690</v>
      </c>
    </row>
    <row r="454" spans="1:13" x14ac:dyDescent="0.25">
      <c r="A454" t="s">
        <v>86</v>
      </c>
      <c r="B454" s="6" t="s">
        <v>228</v>
      </c>
      <c r="C454" s="13">
        <v>106</v>
      </c>
      <c r="D454" s="14" t="s">
        <v>90</v>
      </c>
      <c r="E454">
        <v>8</v>
      </c>
      <c r="F454" s="8">
        <f>VLOOKUP(financials[[#This Row],[productid]],Products!$B$2:$H$10,3)</f>
        <v>25</v>
      </c>
      <c r="G454" s="8">
        <f>financials[[#This Row],[Units Sold]]*financials[[#This Row],[Sale Price]]</f>
        <v>200</v>
      </c>
      <c r="H454" s="8">
        <f>IF(financials[[#This Row],[Discount Band]]="low",0.1,IF(financials[[#This Row],[Discount Band]]="medium",0.15,0.3))</f>
        <v>0.15</v>
      </c>
      <c r="I454" s="8">
        <f>financials[[#This Row],[Gross Sales]]-financials[[#This Row],[Gross Sales]]*financials[[#This Row],[Discounts]]</f>
        <v>170</v>
      </c>
      <c r="J454" s="8">
        <f>VLOOKUP(financials[[#This Row],[productid]],Products!$B$2:$H$10,4)</f>
        <v>9.1</v>
      </c>
      <c r="K454" s="8">
        <f>financials[[#This Row],[Net Sales]]-financials[[#This Row],[COGS]]</f>
        <v>160.9</v>
      </c>
      <c r="L454" s="15">
        <v>45339</v>
      </c>
      <c r="M454" t="s">
        <v>690</v>
      </c>
    </row>
    <row r="455" spans="1:13" x14ac:dyDescent="0.25">
      <c r="A455" t="s">
        <v>86</v>
      </c>
      <c r="B455" s="6" t="s">
        <v>232</v>
      </c>
      <c r="C455" s="13">
        <v>103</v>
      </c>
      <c r="D455" s="14" t="s">
        <v>90</v>
      </c>
      <c r="E455">
        <v>14</v>
      </c>
      <c r="F455" s="8">
        <f>VLOOKUP(financials[[#This Row],[productid]],Products!$B$2:$H$10,3)</f>
        <v>28</v>
      </c>
      <c r="G455" s="8">
        <f>financials[[#This Row],[Units Sold]]*financials[[#This Row],[Sale Price]]</f>
        <v>392</v>
      </c>
      <c r="H455" s="8">
        <f>IF(financials[[#This Row],[Discount Band]]="low",0.1,IF(financials[[#This Row],[Discount Band]]="medium",0.15,0.3))</f>
        <v>0.15</v>
      </c>
      <c r="I455" s="8">
        <f>financials[[#This Row],[Gross Sales]]-financials[[#This Row],[Gross Sales]]*financials[[#This Row],[Discounts]]</f>
        <v>333.2</v>
      </c>
      <c r="J455" s="8">
        <f>VLOOKUP(financials[[#This Row],[productid]],Products!$B$2:$H$10,4)</f>
        <v>15</v>
      </c>
      <c r="K455" s="8">
        <f>financials[[#This Row],[Net Sales]]-financials[[#This Row],[COGS]]</f>
        <v>318.2</v>
      </c>
      <c r="L455" s="15">
        <v>45194</v>
      </c>
      <c r="M455" t="s">
        <v>691</v>
      </c>
    </row>
    <row r="456" spans="1:13" x14ac:dyDescent="0.25">
      <c r="A456" t="s">
        <v>86</v>
      </c>
      <c r="B456" s="6" t="s">
        <v>617</v>
      </c>
      <c r="C456" s="11">
        <v>107</v>
      </c>
      <c r="D456" s="9" t="s">
        <v>90</v>
      </c>
      <c r="E456">
        <v>6</v>
      </c>
      <c r="F456" s="8">
        <f>VLOOKUP(financials[[#This Row],[productid]],Products!$B$2:$H$10,3)</f>
        <v>15</v>
      </c>
      <c r="G456" s="8">
        <f>financials[[#This Row],[Units Sold]]*financials[[#This Row],[Sale Price]]</f>
        <v>90</v>
      </c>
      <c r="H456" s="8">
        <f>IF(financials[[#This Row],[Discount Band]]="low",0.1,IF(financials[[#This Row],[Discount Band]]="medium",0.15,0.3))</f>
        <v>0.15</v>
      </c>
      <c r="I456" s="8">
        <f>financials[[#This Row],[Gross Sales]]-financials[[#This Row],[Gross Sales]]*financials[[#This Row],[Discounts]]</f>
        <v>76.5</v>
      </c>
      <c r="J456" s="8">
        <f>VLOOKUP(financials[[#This Row],[productid]],Products!$B$2:$H$10,4)</f>
        <v>5.5</v>
      </c>
      <c r="K456" s="8">
        <f>financials[[#This Row],[Net Sales]]-financials[[#This Row],[COGS]]</f>
        <v>71</v>
      </c>
      <c r="L456" s="15">
        <v>44789</v>
      </c>
      <c r="M456" t="s">
        <v>691</v>
      </c>
    </row>
    <row r="457" spans="1:13" x14ac:dyDescent="0.25">
      <c r="A457" t="s">
        <v>85</v>
      </c>
      <c r="B457" s="6" t="s">
        <v>148</v>
      </c>
      <c r="C457" s="13">
        <v>108</v>
      </c>
      <c r="D457" s="14" t="s">
        <v>83</v>
      </c>
      <c r="E457">
        <v>16</v>
      </c>
      <c r="F457" s="8">
        <f>VLOOKUP(financials[[#This Row],[productid]],Products!$B$2:$H$10,3)</f>
        <v>5.5</v>
      </c>
      <c r="G457" s="8">
        <f>financials[[#This Row],[Units Sold]]*financials[[#This Row],[Sale Price]]</f>
        <v>88</v>
      </c>
      <c r="H457" s="8">
        <f>IF(financials[[#This Row],[Discount Band]]="low",0.1,IF(financials[[#This Row],[Discount Band]]="medium",0.15,0.3))</f>
        <v>0.3</v>
      </c>
      <c r="I457" s="8">
        <f>financials[[#This Row],[Gross Sales]]-financials[[#This Row],[Gross Sales]]*financials[[#This Row],[Discounts]]</f>
        <v>61.6</v>
      </c>
      <c r="J457" s="8">
        <f>VLOOKUP(financials[[#This Row],[productid]],Products!$B$2:$H$10,4)</f>
        <v>3.99</v>
      </c>
      <c r="K457" s="8">
        <f>financials[[#This Row],[Net Sales]]-financials[[#This Row],[COGS]]</f>
        <v>57.61</v>
      </c>
      <c r="L457" s="15">
        <v>45431</v>
      </c>
      <c r="M457" t="s">
        <v>700</v>
      </c>
    </row>
    <row r="458" spans="1:13" x14ac:dyDescent="0.25">
      <c r="A458" t="s">
        <v>86</v>
      </c>
      <c r="B458" s="6" t="s">
        <v>545</v>
      </c>
      <c r="C458" s="13">
        <v>105</v>
      </c>
      <c r="D458" s="14" t="s">
        <v>83</v>
      </c>
      <c r="E458">
        <v>11</v>
      </c>
      <c r="F458" s="8">
        <f>VLOOKUP(financials[[#This Row],[productid]],Products!$B$2:$H$10,3)</f>
        <v>15</v>
      </c>
      <c r="G458" s="8">
        <f>financials[[#This Row],[Units Sold]]*financials[[#This Row],[Sale Price]]</f>
        <v>165</v>
      </c>
      <c r="H458" s="8">
        <f>IF(financials[[#This Row],[Discount Band]]="low",0.1,IF(financials[[#This Row],[Discount Band]]="medium",0.15,0.3))</f>
        <v>0.3</v>
      </c>
      <c r="I458" s="8">
        <f>financials[[#This Row],[Gross Sales]]-financials[[#This Row],[Gross Sales]]*financials[[#This Row],[Discounts]]</f>
        <v>115.5</v>
      </c>
      <c r="J458" s="8">
        <f>VLOOKUP(financials[[#This Row],[productid]],Products!$B$2:$H$10,4)</f>
        <v>10</v>
      </c>
      <c r="K458" s="8">
        <f>financials[[#This Row],[Net Sales]]-financials[[#This Row],[COGS]]</f>
        <v>105.5</v>
      </c>
      <c r="L458" s="15">
        <v>44363</v>
      </c>
      <c r="M458" t="s">
        <v>697</v>
      </c>
    </row>
    <row r="459" spans="1:13" x14ac:dyDescent="0.25">
      <c r="A459" t="s">
        <v>86</v>
      </c>
      <c r="B459" s="6" t="s">
        <v>268</v>
      </c>
      <c r="C459" s="13">
        <v>108</v>
      </c>
      <c r="D459" s="14" t="s">
        <v>83</v>
      </c>
      <c r="E459">
        <v>11</v>
      </c>
      <c r="F459" s="8">
        <f>VLOOKUP(financials[[#This Row],[productid]],Products!$B$2:$H$10,3)</f>
        <v>5.5</v>
      </c>
      <c r="G459" s="8">
        <f>financials[[#This Row],[Units Sold]]*financials[[#This Row],[Sale Price]]</f>
        <v>60.5</v>
      </c>
      <c r="H459" s="8">
        <f>IF(financials[[#This Row],[Discount Band]]="low",0.1,IF(financials[[#This Row],[Discount Band]]="medium",0.15,0.3))</f>
        <v>0.3</v>
      </c>
      <c r="I459" s="8">
        <f>financials[[#This Row],[Gross Sales]]-financials[[#This Row],[Gross Sales]]*financials[[#This Row],[Discounts]]</f>
        <v>42.35</v>
      </c>
      <c r="J459" s="8">
        <f>VLOOKUP(financials[[#This Row],[productid]],Products!$B$2:$H$10,4)</f>
        <v>3.99</v>
      </c>
      <c r="K459" s="8">
        <f>financials[[#This Row],[Net Sales]]-financials[[#This Row],[COGS]]</f>
        <v>38.36</v>
      </c>
      <c r="L459" s="15">
        <v>44990</v>
      </c>
      <c r="M459" t="s">
        <v>696</v>
      </c>
    </row>
    <row r="460" spans="1:13" x14ac:dyDescent="0.25">
      <c r="A460" t="s">
        <v>86</v>
      </c>
      <c r="B460" s="6" t="s">
        <v>266</v>
      </c>
      <c r="C460" s="13">
        <v>103</v>
      </c>
      <c r="D460" s="14" t="s">
        <v>92</v>
      </c>
      <c r="E460">
        <v>7</v>
      </c>
      <c r="F460" s="8">
        <f>VLOOKUP(financials[[#This Row],[productid]],Products!$B$2:$H$10,3)</f>
        <v>28</v>
      </c>
      <c r="G460" s="8">
        <f>financials[[#This Row],[Units Sold]]*financials[[#This Row],[Sale Price]]</f>
        <v>196</v>
      </c>
      <c r="H460" s="8">
        <f>IF(financials[[#This Row],[Discount Band]]="low",0.1,IF(financials[[#This Row],[Discount Band]]="medium",0.15,0.3))</f>
        <v>0.3</v>
      </c>
      <c r="I460" s="8">
        <f>financials[[#This Row],[Gross Sales]]-financials[[#This Row],[Gross Sales]]*financials[[#This Row],[Discounts]]</f>
        <v>137.19999999999999</v>
      </c>
      <c r="J460" s="8">
        <f>VLOOKUP(financials[[#This Row],[productid]],Products!$B$2:$H$10,4)</f>
        <v>15</v>
      </c>
      <c r="K460" s="8">
        <f>financials[[#This Row],[Net Sales]]-financials[[#This Row],[COGS]]</f>
        <v>122.19999999999999</v>
      </c>
      <c r="L460" s="15">
        <v>44179</v>
      </c>
      <c r="M460" t="s">
        <v>700</v>
      </c>
    </row>
    <row r="461" spans="1:13" x14ac:dyDescent="0.25">
      <c r="A461" t="s">
        <v>85</v>
      </c>
      <c r="B461" s="6" t="s">
        <v>274</v>
      </c>
      <c r="C461" s="13">
        <v>105</v>
      </c>
      <c r="D461" s="14" t="s">
        <v>90</v>
      </c>
      <c r="E461">
        <v>13</v>
      </c>
      <c r="F461" s="8">
        <f>VLOOKUP(financials[[#This Row],[productid]],Products!$B$2:$H$10,3)</f>
        <v>15</v>
      </c>
      <c r="G461" s="8">
        <f>financials[[#This Row],[Units Sold]]*financials[[#This Row],[Sale Price]]</f>
        <v>195</v>
      </c>
      <c r="H461" s="8">
        <f>IF(financials[[#This Row],[Discount Band]]="low",0.1,IF(financials[[#This Row],[Discount Band]]="medium",0.15,0.3))</f>
        <v>0.15</v>
      </c>
      <c r="I461" s="8">
        <f>financials[[#This Row],[Gross Sales]]-financials[[#This Row],[Gross Sales]]*financials[[#This Row],[Discounts]]</f>
        <v>165.75</v>
      </c>
      <c r="J461" s="8">
        <f>VLOOKUP(financials[[#This Row],[productid]],Products!$B$2:$H$10,4)</f>
        <v>10</v>
      </c>
      <c r="K461" s="8">
        <f>financials[[#This Row],[Net Sales]]-financials[[#This Row],[COGS]]</f>
        <v>155.75</v>
      </c>
      <c r="L461" s="15">
        <v>44296</v>
      </c>
      <c r="M461" t="s">
        <v>700</v>
      </c>
    </row>
    <row r="462" spans="1:13" x14ac:dyDescent="0.25">
      <c r="A462" t="s">
        <v>85</v>
      </c>
      <c r="B462" s="6" t="s">
        <v>197</v>
      </c>
      <c r="C462" s="13">
        <v>107</v>
      </c>
      <c r="D462" s="14" t="s">
        <v>91</v>
      </c>
      <c r="E462">
        <v>8</v>
      </c>
      <c r="F462" s="8">
        <f>VLOOKUP(financials[[#This Row],[productid]],Products!$B$2:$H$10,3)</f>
        <v>15</v>
      </c>
      <c r="G462" s="8">
        <f>financials[[#This Row],[Units Sold]]*financials[[#This Row],[Sale Price]]</f>
        <v>120</v>
      </c>
      <c r="H462" s="8">
        <f>IF(financials[[#This Row],[Discount Band]]="low",0.1,IF(financials[[#This Row],[Discount Band]]="medium",0.15,0.3))</f>
        <v>0.1</v>
      </c>
      <c r="I462" s="8">
        <f>financials[[#This Row],[Gross Sales]]-financials[[#This Row],[Gross Sales]]*financials[[#This Row],[Discounts]]</f>
        <v>108</v>
      </c>
      <c r="J462" s="8">
        <f>VLOOKUP(financials[[#This Row],[productid]],Products!$B$2:$H$10,4)</f>
        <v>5.5</v>
      </c>
      <c r="K462" s="8">
        <f>financials[[#This Row],[Net Sales]]-financials[[#This Row],[COGS]]</f>
        <v>102.5</v>
      </c>
      <c r="L462" s="15">
        <v>44045</v>
      </c>
      <c r="M462" t="s">
        <v>691</v>
      </c>
    </row>
    <row r="463" spans="1:13" x14ac:dyDescent="0.25">
      <c r="A463" t="s">
        <v>85</v>
      </c>
      <c r="B463" s="6" t="s">
        <v>197</v>
      </c>
      <c r="C463" s="13">
        <v>109</v>
      </c>
      <c r="D463" s="14" t="s">
        <v>91</v>
      </c>
      <c r="E463">
        <v>19</v>
      </c>
      <c r="F463" s="8">
        <f>VLOOKUP(financials[[#This Row],[productid]],Products!$B$2:$H$10,3)</f>
        <v>36</v>
      </c>
      <c r="G463" s="8">
        <f>financials[[#This Row],[Units Sold]]*financials[[#This Row],[Sale Price]]</f>
        <v>684</v>
      </c>
      <c r="H463" s="8">
        <f>IF(financials[[#This Row],[Discount Band]]="low",0.1,IF(financials[[#This Row],[Discount Band]]="medium",0.15,0.3))</f>
        <v>0.1</v>
      </c>
      <c r="I463" s="8">
        <f>financials[[#This Row],[Gross Sales]]-financials[[#This Row],[Gross Sales]]*financials[[#This Row],[Discounts]]</f>
        <v>615.6</v>
      </c>
      <c r="J463" s="8">
        <f>VLOOKUP(financials[[#This Row],[productid]],Products!$B$2:$H$10,4)</f>
        <v>16.8</v>
      </c>
      <c r="K463" s="8">
        <f>financials[[#This Row],[Net Sales]]-financials[[#This Row],[COGS]]</f>
        <v>598.80000000000007</v>
      </c>
      <c r="L463" s="15">
        <v>44436</v>
      </c>
      <c r="M463" t="s">
        <v>700</v>
      </c>
    </row>
    <row r="464" spans="1:13" x14ac:dyDescent="0.25">
      <c r="A464" t="s">
        <v>86</v>
      </c>
      <c r="B464" s="6" t="s">
        <v>228</v>
      </c>
      <c r="C464" s="13">
        <v>106</v>
      </c>
      <c r="D464" s="14" t="s">
        <v>90</v>
      </c>
      <c r="E464">
        <v>10</v>
      </c>
      <c r="F464" s="8">
        <f>VLOOKUP(financials[[#This Row],[productid]],Products!$B$2:$H$10,3)</f>
        <v>25</v>
      </c>
      <c r="G464" s="8">
        <f>financials[[#This Row],[Units Sold]]*financials[[#This Row],[Sale Price]]</f>
        <v>250</v>
      </c>
      <c r="H464" s="8">
        <f>IF(financials[[#This Row],[Discount Band]]="low",0.1,IF(financials[[#This Row],[Discount Band]]="medium",0.15,0.3))</f>
        <v>0.15</v>
      </c>
      <c r="I464" s="8">
        <f>financials[[#This Row],[Gross Sales]]-financials[[#This Row],[Gross Sales]]*financials[[#This Row],[Discounts]]</f>
        <v>212.5</v>
      </c>
      <c r="J464" s="8">
        <f>VLOOKUP(financials[[#This Row],[productid]],Products!$B$2:$H$10,4)</f>
        <v>9.1</v>
      </c>
      <c r="K464" s="8">
        <f>financials[[#This Row],[Net Sales]]-financials[[#This Row],[COGS]]</f>
        <v>203.4</v>
      </c>
      <c r="L464" s="15">
        <v>44748</v>
      </c>
      <c r="M464" t="s">
        <v>696</v>
      </c>
    </row>
    <row r="465" spans="1:13" x14ac:dyDescent="0.25">
      <c r="A465" t="s">
        <v>86</v>
      </c>
      <c r="B465" s="6" t="s">
        <v>228</v>
      </c>
      <c r="C465" s="13">
        <v>103</v>
      </c>
      <c r="D465" s="14" t="s">
        <v>90</v>
      </c>
      <c r="E465">
        <v>15</v>
      </c>
      <c r="F465" s="8">
        <f>VLOOKUP(financials[[#This Row],[productid]],Products!$B$2:$H$10,3)</f>
        <v>28</v>
      </c>
      <c r="G465" s="8">
        <f>financials[[#This Row],[Units Sold]]*financials[[#This Row],[Sale Price]]</f>
        <v>420</v>
      </c>
      <c r="H465" s="8">
        <f>IF(financials[[#This Row],[Discount Band]]="low",0.1,IF(financials[[#This Row],[Discount Band]]="medium",0.15,0.3))</f>
        <v>0.15</v>
      </c>
      <c r="I465" s="8">
        <f>financials[[#This Row],[Gross Sales]]-financials[[#This Row],[Gross Sales]]*financials[[#This Row],[Discounts]]</f>
        <v>357</v>
      </c>
      <c r="J465" s="8">
        <f>VLOOKUP(financials[[#This Row],[productid]],Products!$B$2:$H$10,4)</f>
        <v>15</v>
      </c>
      <c r="K465" s="8">
        <f>financials[[#This Row],[Net Sales]]-financials[[#This Row],[COGS]]</f>
        <v>342</v>
      </c>
      <c r="L465" s="15">
        <v>45506</v>
      </c>
      <c r="M465" t="s">
        <v>700</v>
      </c>
    </row>
    <row r="466" spans="1:13" x14ac:dyDescent="0.25">
      <c r="A466" t="s">
        <v>86</v>
      </c>
      <c r="B466" s="6" t="s">
        <v>125</v>
      </c>
      <c r="C466" s="13">
        <v>101</v>
      </c>
      <c r="D466" s="14" t="s">
        <v>83</v>
      </c>
      <c r="E466">
        <v>7</v>
      </c>
      <c r="F466" s="8">
        <f>VLOOKUP(financials[[#This Row],[productid]],Products!$B$2:$H$10,3)</f>
        <v>23</v>
      </c>
      <c r="G466" s="8">
        <f>financials[[#This Row],[Units Sold]]*financials[[#This Row],[Sale Price]]</f>
        <v>161</v>
      </c>
      <c r="H466" s="8">
        <f>IF(financials[[#This Row],[Discount Band]]="low",0.1,IF(financials[[#This Row],[Discount Band]]="medium",0.15,0.3))</f>
        <v>0.3</v>
      </c>
      <c r="I466" s="8">
        <f>financials[[#This Row],[Gross Sales]]-financials[[#This Row],[Gross Sales]]*financials[[#This Row],[Discounts]]</f>
        <v>112.7</v>
      </c>
      <c r="J466" s="8">
        <f>VLOOKUP(financials[[#This Row],[productid]],Products!$B$2:$H$10,4)</f>
        <v>9.9499999999999993</v>
      </c>
      <c r="K466" s="8">
        <f>financials[[#This Row],[Net Sales]]-financials[[#This Row],[COGS]]</f>
        <v>102.75</v>
      </c>
      <c r="L466" s="15">
        <v>45127</v>
      </c>
      <c r="M466" t="s">
        <v>700</v>
      </c>
    </row>
    <row r="467" spans="1:13" x14ac:dyDescent="0.25">
      <c r="A467" t="s">
        <v>86</v>
      </c>
      <c r="B467" s="6" t="s">
        <v>158</v>
      </c>
      <c r="C467" s="13">
        <v>105</v>
      </c>
      <c r="D467" s="14" t="s">
        <v>91</v>
      </c>
      <c r="E467">
        <v>12</v>
      </c>
      <c r="F467" s="8">
        <f>VLOOKUP(financials[[#This Row],[productid]],Products!$B$2:$H$10,3)</f>
        <v>15</v>
      </c>
      <c r="G467" s="8">
        <f>financials[[#This Row],[Units Sold]]*financials[[#This Row],[Sale Price]]</f>
        <v>180</v>
      </c>
      <c r="H467" s="8">
        <f>IF(financials[[#This Row],[Discount Band]]="low",0.1,IF(financials[[#This Row],[Discount Band]]="medium",0.15,0.3))</f>
        <v>0.1</v>
      </c>
      <c r="I467" s="8">
        <f>financials[[#This Row],[Gross Sales]]-financials[[#This Row],[Gross Sales]]*financials[[#This Row],[Discounts]]</f>
        <v>162</v>
      </c>
      <c r="J467" s="8">
        <f>VLOOKUP(financials[[#This Row],[productid]],Products!$B$2:$H$10,4)</f>
        <v>10</v>
      </c>
      <c r="K467" s="8">
        <f>financials[[#This Row],[Net Sales]]-financials[[#This Row],[COGS]]</f>
        <v>152</v>
      </c>
      <c r="L467" s="15">
        <v>44250</v>
      </c>
      <c r="M467" t="s">
        <v>696</v>
      </c>
    </row>
    <row r="468" spans="1:13" x14ac:dyDescent="0.25">
      <c r="A468" t="s">
        <v>86</v>
      </c>
      <c r="B468" s="6" t="s">
        <v>167</v>
      </c>
      <c r="C468" s="13">
        <v>104</v>
      </c>
      <c r="D468" s="14" t="s">
        <v>83</v>
      </c>
      <c r="E468">
        <v>13</v>
      </c>
      <c r="F468" s="8">
        <f>VLOOKUP(financials[[#This Row],[productid]],Products!$B$2:$H$10,3)</f>
        <v>5.9</v>
      </c>
      <c r="G468" s="8">
        <f>financials[[#This Row],[Units Sold]]*financials[[#This Row],[Sale Price]]</f>
        <v>76.7</v>
      </c>
      <c r="H468" s="8">
        <f>IF(financials[[#This Row],[Discount Band]]="low",0.1,IF(financials[[#This Row],[Discount Band]]="medium",0.15,0.3))</f>
        <v>0.3</v>
      </c>
      <c r="I468" s="8">
        <f>financials[[#This Row],[Gross Sales]]-financials[[#This Row],[Gross Sales]]*financials[[#This Row],[Discounts]]</f>
        <v>53.69</v>
      </c>
      <c r="J468" s="8">
        <f>VLOOKUP(financials[[#This Row],[productid]],Products!$B$2:$H$10,4)</f>
        <v>2.9</v>
      </c>
      <c r="K468" s="8">
        <f>financials[[#This Row],[Net Sales]]-financials[[#This Row],[COGS]]</f>
        <v>50.79</v>
      </c>
      <c r="L468" s="15">
        <v>45428</v>
      </c>
      <c r="M468" t="s">
        <v>691</v>
      </c>
    </row>
    <row r="469" spans="1:13" x14ac:dyDescent="0.25">
      <c r="A469" t="s">
        <v>89</v>
      </c>
      <c r="B469" s="6" t="s">
        <v>93</v>
      </c>
      <c r="C469" s="11">
        <v>101</v>
      </c>
      <c r="D469" s="9" t="s">
        <v>83</v>
      </c>
      <c r="E469">
        <v>17</v>
      </c>
      <c r="F469" s="8">
        <f>VLOOKUP(financials[[#This Row],[productid]],Products!$B$2:$H$10,3)</f>
        <v>23</v>
      </c>
      <c r="G469" s="8">
        <f>financials[[#This Row],[Units Sold]]*financials[[#This Row],[Sale Price]]</f>
        <v>391</v>
      </c>
      <c r="H469" s="8">
        <f>IF(financials[[#This Row],[Discount Band]]="low",0.1,IF(financials[[#This Row],[Discount Band]]="medium",0.15,0.3))</f>
        <v>0.3</v>
      </c>
      <c r="I469" s="8">
        <f>financials[[#This Row],[Gross Sales]]-financials[[#This Row],[Gross Sales]]*financials[[#This Row],[Discounts]]</f>
        <v>273.7</v>
      </c>
      <c r="J469" s="8">
        <f>VLOOKUP(financials[[#This Row],[productid]],Products!$B$2:$H$10,4)</f>
        <v>9.9499999999999993</v>
      </c>
      <c r="K469" s="8">
        <f>financials[[#This Row],[Net Sales]]-financials[[#This Row],[COGS]]</f>
        <v>263.75</v>
      </c>
      <c r="L469" s="15">
        <v>43969</v>
      </c>
      <c r="M469" t="s">
        <v>696</v>
      </c>
    </row>
    <row r="470" spans="1:13" x14ac:dyDescent="0.25">
      <c r="A470" t="s">
        <v>86</v>
      </c>
      <c r="B470" s="6" t="s">
        <v>125</v>
      </c>
      <c r="C470" s="13">
        <v>105</v>
      </c>
      <c r="D470" s="14" t="s">
        <v>90</v>
      </c>
      <c r="E470">
        <v>15</v>
      </c>
      <c r="F470" s="8">
        <f>VLOOKUP(financials[[#This Row],[productid]],Products!$B$2:$H$10,3)</f>
        <v>15</v>
      </c>
      <c r="G470" s="8">
        <f>financials[[#This Row],[Units Sold]]*financials[[#This Row],[Sale Price]]</f>
        <v>225</v>
      </c>
      <c r="H470" s="8">
        <f>IF(financials[[#This Row],[Discount Band]]="low",0.1,IF(financials[[#This Row],[Discount Band]]="medium",0.15,0.3))</f>
        <v>0.15</v>
      </c>
      <c r="I470" s="8">
        <f>financials[[#This Row],[Gross Sales]]-financials[[#This Row],[Gross Sales]]*financials[[#This Row],[Discounts]]</f>
        <v>191.25</v>
      </c>
      <c r="J470" s="8">
        <f>VLOOKUP(financials[[#This Row],[productid]],Products!$B$2:$H$10,4)</f>
        <v>10</v>
      </c>
      <c r="K470" s="8">
        <f>financials[[#This Row],[Net Sales]]-financials[[#This Row],[COGS]]</f>
        <v>181.25</v>
      </c>
      <c r="L470" s="15">
        <v>45279</v>
      </c>
      <c r="M470" t="s">
        <v>697</v>
      </c>
    </row>
    <row r="471" spans="1:13" x14ac:dyDescent="0.25">
      <c r="A471" t="s">
        <v>86</v>
      </c>
      <c r="B471" s="6" t="s">
        <v>228</v>
      </c>
      <c r="C471" s="13">
        <v>106</v>
      </c>
      <c r="D471" s="14" t="s">
        <v>91</v>
      </c>
      <c r="E471">
        <v>5</v>
      </c>
      <c r="F471" s="8">
        <f>VLOOKUP(financials[[#This Row],[productid]],Products!$B$2:$H$10,3)</f>
        <v>25</v>
      </c>
      <c r="G471" s="8">
        <f>financials[[#This Row],[Units Sold]]*financials[[#This Row],[Sale Price]]</f>
        <v>125</v>
      </c>
      <c r="H471" s="8">
        <f>IF(financials[[#This Row],[Discount Band]]="low",0.1,IF(financials[[#This Row],[Discount Band]]="medium",0.15,0.3))</f>
        <v>0.1</v>
      </c>
      <c r="I471" s="8">
        <f>financials[[#This Row],[Gross Sales]]-financials[[#This Row],[Gross Sales]]*financials[[#This Row],[Discounts]]</f>
        <v>112.5</v>
      </c>
      <c r="J471" s="8">
        <f>VLOOKUP(financials[[#This Row],[productid]],Products!$B$2:$H$10,4)</f>
        <v>9.1</v>
      </c>
      <c r="K471" s="8">
        <f>financials[[#This Row],[Net Sales]]-financials[[#This Row],[COGS]]</f>
        <v>103.4</v>
      </c>
      <c r="L471" s="15">
        <v>43934</v>
      </c>
      <c r="M471" t="s">
        <v>691</v>
      </c>
    </row>
    <row r="472" spans="1:13" x14ac:dyDescent="0.25">
      <c r="A472" t="s">
        <v>86</v>
      </c>
      <c r="B472" s="6" t="s">
        <v>545</v>
      </c>
      <c r="C472" s="13">
        <v>107</v>
      </c>
      <c r="D472" s="14" t="s">
        <v>83</v>
      </c>
      <c r="E472">
        <v>18</v>
      </c>
      <c r="F472" s="8">
        <f>VLOOKUP(financials[[#This Row],[productid]],Products!$B$2:$H$10,3)</f>
        <v>15</v>
      </c>
      <c r="G472" s="8">
        <f>financials[[#This Row],[Units Sold]]*financials[[#This Row],[Sale Price]]</f>
        <v>270</v>
      </c>
      <c r="H472" s="8">
        <f>IF(financials[[#This Row],[Discount Band]]="low",0.1,IF(financials[[#This Row],[Discount Band]]="medium",0.15,0.3))</f>
        <v>0.3</v>
      </c>
      <c r="I472" s="8">
        <f>financials[[#This Row],[Gross Sales]]-financials[[#This Row],[Gross Sales]]*financials[[#This Row],[Discounts]]</f>
        <v>189</v>
      </c>
      <c r="J472" s="8">
        <f>VLOOKUP(financials[[#This Row],[productid]],Products!$B$2:$H$10,4)</f>
        <v>5.5</v>
      </c>
      <c r="K472" s="8">
        <f>financials[[#This Row],[Net Sales]]-financials[[#This Row],[COGS]]</f>
        <v>183.5</v>
      </c>
      <c r="L472" s="15">
        <v>45642</v>
      </c>
      <c r="M472" t="s">
        <v>690</v>
      </c>
    </row>
    <row r="473" spans="1:13" x14ac:dyDescent="0.25">
      <c r="A473" t="s">
        <v>86</v>
      </c>
      <c r="B473" s="6" t="s">
        <v>617</v>
      </c>
      <c r="C473" s="13">
        <v>103</v>
      </c>
      <c r="D473" s="14" t="s">
        <v>90</v>
      </c>
      <c r="E473">
        <v>19</v>
      </c>
      <c r="F473" s="8">
        <f>VLOOKUP(financials[[#This Row],[productid]],Products!$B$2:$H$10,3)</f>
        <v>28</v>
      </c>
      <c r="G473" s="8">
        <f>financials[[#This Row],[Units Sold]]*financials[[#This Row],[Sale Price]]</f>
        <v>532</v>
      </c>
      <c r="H473" s="8">
        <f>IF(financials[[#This Row],[Discount Band]]="low",0.1,IF(financials[[#This Row],[Discount Band]]="medium",0.15,0.3))</f>
        <v>0.15</v>
      </c>
      <c r="I473" s="8">
        <f>financials[[#This Row],[Gross Sales]]-financials[[#This Row],[Gross Sales]]*financials[[#This Row],[Discounts]]</f>
        <v>452.2</v>
      </c>
      <c r="J473" s="8">
        <f>VLOOKUP(financials[[#This Row],[productid]],Products!$B$2:$H$10,4)</f>
        <v>15</v>
      </c>
      <c r="K473" s="8">
        <f>financials[[#This Row],[Net Sales]]-financials[[#This Row],[COGS]]</f>
        <v>437.2</v>
      </c>
      <c r="L473" s="15">
        <v>45589</v>
      </c>
      <c r="M473" t="s">
        <v>690</v>
      </c>
    </row>
    <row r="474" spans="1:13" x14ac:dyDescent="0.25">
      <c r="A474" t="s">
        <v>85</v>
      </c>
      <c r="B474" s="6" t="s">
        <v>148</v>
      </c>
      <c r="C474" s="13">
        <v>102</v>
      </c>
      <c r="D474" s="14" t="s">
        <v>90</v>
      </c>
      <c r="E474">
        <v>13</v>
      </c>
      <c r="F474" s="8">
        <f>VLOOKUP(financials[[#This Row],[productid]],Products!$B$2:$H$10,3)</f>
        <v>15</v>
      </c>
      <c r="G474" s="8">
        <f>financials[[#This Row],[Units Sold]]*financials[[#This Row],[Sale Price]]</f>
        <v>195</v>
      </c>
      <c r="H474" s="8">
        <f>IF(financials[[#This Row],[Discount Band]]="low",0.1,IF(financials[[#This Row],[Discount Band]]="medium",0.15,0.3))</f>
        <v>0.15</v>
      </c>
      <c r="I474" s="8">
        <f>financials[[#This Row],[Gross Sales]]-financials[[#This Row],[Gross Sales]]*financials[[#This Row],[Discounts]]</f>
        <v>165.75</v>
      </c>
      <c r="J474" s="8">
        <f>VLOOKUP(financials[[#This Row],[productid]],Products!$B$2:$H$10,4)</f>
        <v>13.95</v>
      </c>
      <c r="K474" s="8">
        <f>financials[[#This Row],[Net Sales]]-financials[[#This Row],[COGS]]</f>
        <v>151.80000000000001</v>
      </c>
      <c r="L474" s="15">
        <v>44700</v>
      </c>
      <c r="M474" t="s">
        <v>690</v>
      </c>
    </row>
    <row r="475" spans="1:13" x14ac:dyDescent="0.25">
      <c r="A475" t="s">
        <v>86</v>
      </c>
      <c r="B475" s="6" t="s">
        <v>94</v>
      </c>
      <c r="C475" s="13">
        <v>106</v>
      </c>
      <c r="D475" s="14" t="s">
        <v>90</v>
      </c>
      <c r="E475">
        <v>13</v>
      </c>
      <c r="F475" s="8">
        <f>VLOOKUP(financials[[#This Row],[productid]],Products!$B$2:$H$10,3)</f>
        <v>25</v>
      </c>
      <c r="G475" s="8">
        <f>financials[[#This Row],[Units Sold]]*financials[[#This Row],[Sale Price]]</f>
        <v>325</v>
      </c>
      <c r="H475" s="8">
        <f>IF(financials[[#This Row],[Discount Band]]="low",0.1,IF(financials[[#This Row],[Discount Band]]="medium",0.15,0.3))</f>
        <v>0.15</v>
      </c>
      <c r="I475" s="8">
        <f>financials[[#This Row],[Gross Sales]]-financials[[#This Row],[Gross Sales]]*financials[[#This Row],[Discounts]]</f>
        <v>276.25</v>
      </c>
      <c r="J475" s="8">
        <f>VLOOKUP(financials[[#This Row],[productid]],Products!$B$2:$H$10,4)</f>
        <v>9.1</v>
      </c>
      <c r="K475" s="8">
        <f>financials[[#This Row],[Net Sales]]-financials[[#This Row],[COGS]]</f>
        <v>267.14999999999998</v>
      </c>
      <c r="L475" s="15">
        <v>44184</v>
      </c>
      <c r="M475" t="s">
        <v>690</v>
      </c>
    </row>
    <row r="476" spans="1:13" x14ac:dyDescent="0.25">
      <c r="A476" t="s">
        <v>86</v>
      </c>
      <c r="B476" s="6" t="s">
        <v>197</v>
      </c>
      <c r="C476" s="13">
        <v>103</v>
      </c>
      <c r="D476" s="14" t="s">
        <v>83</v>
      </c>
      <c r="E476">
        <v>18</v>
      </c>
      <c r="F476" s="8">
        <f>VLOOKUP(financials[[#This Row],[productid]],Products!$B$2:$H$10,3)</f>
        <v>28</v>
      </c>
      <c r="G476" s="8">
        <f>financials[[#This Row],[Units Sold]]*financials[[#This Row],[Sale Price]]</f>
        <v>504</v>
      </c>
      <c r="H476" s="8">
        <f>IF(financials[[#This Row],[Discount Band]]="low",0.1,IF(financials[[#This Row],[Discount Band]]="medium",0.15,0.3))</f>
        <v>0.3</v>
      </c>
      <c r="I476" s="8">
        <f>financials[[#This Row],[Gross Sales]]-financials[[#This Row],[Gross Sales]]*financials[[#This Row],[Discounts]]</f>
        <v>352.8</v>
      </c>
      <c r="J476" s="8">
        <f>VLOOKUP(financials[[#This Row],[productid]],Products!$B$2:$H$10,4)</f>
        <v>15</v>
      </c>
      <c r="K476" s="8">
        <f>financials[[#This Row],[Net Sales]]-financials[[#This Row],[COGS]]</f>
        <v>337.8</v>
      </c>
      <c r="L476" s="15">
        <v>44463</v>
      </c>
      <c r="M476" t="s">
        <v>691</v>
      </c>
    </row>
    <row r="477" spans="1:13" x14ac:dyDescent="0.25">
      <c r="A477" t="s">
        <v>86</v>
      </c>
      <c r="B477" s="6" t="s">
        <v>645</v>
      </c>
      <c r="C477" s="13">
        <v>106</v>
      </c>
      <c r="D477" s="14" t="s">
        <v>91</v>
      </c>
      <c r="E477">
        <v>11</v>
      </c>
      <c r="F477" s="8">
        <f>VLOOKUP(financials[[#This Row],[productid]],Products!$B$2:$H$10,3)</f>
        <v>25</v>
      </c>
      <c r="G477" s="8">
        <f>financials[[#This Row],[Units Sold]]*financials[[#This Row],[Sale Price]]</f>
        <v>275</v>
      </c>
      <c r="H477" s="8">
        <f>IF(financials[[#This Row],[Discount Band]]="low",0.1,IF(financials[[#This Row],[Discount Band]]="medium",0.15,0.3))</f>
        <v>0.1</v>
      </c>
      <c r="I477" s="8">
        <f>financials[[#This Row],[Gross Sales]]-financials[[#This Row],[Gross Sales]]*financials[[#This Row],[Discounts]]</f>
        <v>247.5</v>
      </c>
      <c r="J477" s="8">
        <f>VLOOKUP(financials[[#This Row],[productid]],Products!$B$2:$H$10,4)</f>
        <v>9.1</v>
      </c>
      <c r="K477" s="8">
        <f>financials[[#This Row],[Net Sales]]-financials[[#This Row],[COGS]]</f>
        <v>238.4</v>
      </c>
      <c r="L477" s="15">
        <v>45271</v>
      </c>
      <c r="M477" t="s">
        <v>691</v>
      </c>
    </row>
    <row r="478" spans="1:13" x14ac:dyDescent="0.25">
      <c r="A478" t="s">
        <v>86</v>
      </c>
      <c r="B478" s="6" t="s">
        <v>148</v>
      </c>
      <c r="C478" s="13">
        <v>103</v>
      </c>
      <c r="D478" s="14" t="s">
        <v>83</v>
      </c>
      <c r="E478">
        <v>5</v>
      </c>
      <c r="F478" s="8">
        <f>VLOOKUP(financials[[#This Row],[productid]],Products!$B$2:$H$10,3)</f>
        <v>28</v>
      </c>
      <c r="G478" s="8">
        <f>financials[[#This Row],[Units Sold]]*financials[[#This Row],[Sale Price]]</f>
        <v>140</v>
      </c>
      <c r="H478" s="8">
        <f>IF(financials[[#This Row],[Discount Band]]="low",0.1,IF(financials[[#This Row],[Discount Band]]="medium",0.15,0.3))</f>
        <v>0.3</v>
      </c>
      <c r="I478" s="8">
        <f>financials[[#This Row],[Gross Sales]]-financials[[#This Row],[Gross Sales]]*financials[[#This Row],[Discounts]]</f>
        <v>98</v>
      </c>
      <c r="J478" s="8">
        <f>VLOOKUP(financials[[#This Row],[productid]],Products!$B$2:$H$10,4)</f>
        <v>15</v>
      </c>
      <c r="K478" s="8">
        <f>financials[[#This Row],[Net Sales]]-financials[[#This Row],[COGS]]</f>
        <v>83</v>
      </c>
      <c r="L478" s="15">
        <v>44312</v>
      </c>
      <c r="M478" t="s">
        <v>697</v>
      </c>
    </row>
    <row r="479" spans="1:13" x14ac:dyDescent="0.25">
      <c r="A479" t="s">
        <v>85</v>
      </c>
      <c r="B479" s="6" t="s">
        <v>287</v>
      </c>
      <c r="C479" s="11">
        <v>105</v>
      </c>
      <c r="D479" s="9" t="s">
        <v>90</v>
      </c>
      <c r="E479">
        <v>18</v>
      </c>
      <c r="F479" s="8">
        <f>VLOOKUP(financials[[#This Row],[productid]],Products!$B$2:$H$10,3)</f>
        <v>15</v>
      </c>
      <c r="G479" s="8">
        <f>financials[[#This Row],[Units Sold]]*financials[[#This Row],[Sale Price]]</f>
        <v>270</v>
      </c>
      <c r="H479" s="8">
        <f>IF(financials[[#This Row],[Discount Band]]="low",0.1,IF(financials[[#This Row],[Discount Band]]="medium",0.15,0.3))</f>
        <v>0.15</v>
      </c>
      <c r="I479" s="8">
        <f>financials[[#This Row],[Gross Sales]]-financials[[#This Row],[Gross Sales]]*financials[[#This Row],[Discounts]]</f>
        <v>229.5</v>
      </c>
      <c r="J479" s="8">
        <f>VLOOKUP(financials[[#This Row],[productid]],Products!$B$2:$H$10,4)</f>
        <v>10</v>
      </c>
      <c r="K479" s="8">
        <f>financials[[#This Row],[Net Sales]]-financials[[#This Row],[COGS]]</f>
        <v>219.5</v>
      </c>
      <c r="L479" s="15">
        <v>45119</v>
      </c>
      <c r="M479" t="s">
        <v>690</v>
      </c>
    </row>
    <row r="480" spans="1:13" x14ac:dyDescent="0.25">
      <c r="A480" t="s">
        <v>85</v>
      </c>
      <c r="B480" s="6" t="s">
        <v>148</v>
      </c>
      <c r="C480" s="13">
        <v>103</v>
      </c>
      <c r="D480" s="14" t="s">
        <v>83</v>
      </c>
      <c r="E480">
        <v>12</v>
      </c>
      <c r="F480" s="8">
        <f>VLOOKUP(financials[[#This Row],[productid]],Products!$B$2:$H$10,3)</f>
        <v>28</v>
      </c>
      <c r="G480" s="8">
        <f>financials[[#This Row],[Units Sold]]*financials[[#This Row],[Sale Price]]</f>
        <v>336</v>
      </c>
      <c r="H480" s="8">
        <f>IF(financials[[#This Row],[Discount Band]]="low",0.1,IF(financials[[#This Row],[Discount Band]]="medium",0.15,0.3))</f>
        <v>0.3</v>
      </c>
      <c r="I480" s="8">
        <f>financials[[#This Row],[Gross Sales]]-financials[[#This Row],[Gross Sales]]*financials[[#This Row],[Discounts]]</f>
        <v>235.2</v>
      </c>
      <c r="J480" s="8">
        <f>VLOOKUP(financials[[#This Row],[productid]],Products!$B$2:$H$10,4)</f>
        <v>15</v>
      </c>
      <c r="K480" s="8">
        <f>financials[[#This Row],[Net Sales]]-financials[[#This Row],[COGS]]</f>
        <v>220.2</v>
      </c>
      <c r="L480" s="15">
        <v>44899</v>
      </c>
      <c r="M480" t="s">
        <v>691</v>
      </c>
    </row>
    <row r="481" spans="1:13" x14ac:dyDescent="0.25">
      <c r="A481" t="s">
        <v>85</v>
      </c>
      <c r="B481" s="6" t="s">
        <v>545</v>
      </c>
      <c r="C481" s="13">
        <v>107</v>
      </c>
      <c r="D481" s="14" t="s">
        <v>83</v>
      </c>
      <c r="E481">
        <v>19</v>
      </c>
      <c r="F481" s="8">
        <f>VLOOKUP(financials[[#This Row],[productid]],Products!$B$2:$H$10,3)</f>
        <v>15</v>
      </c>
      <c r="G481" s="8">
        <f>financials[[#This Row],[Units Sold]]*financials[[#This Row],[Sale Price]]</f>
        <v>285</v>
      </c>
      <c r="H481" s="8">
        <f>IF(financials[[#This Row],[Discount Band]]="low",0.1,IF(financials[[#This Row],[Discount Band]]="medium",0.15,0.3))</f>
        <v>0.3</v>
      </c>
      <c r="I481" s="8">
        <f>financials[[#This Row],[Gross Sales]]-financials[[#This Row],[Gross Sales]]*financials[[#This Row],[Discounts]]</f>
        <v>199.5</v>
      </c>
      <c r="J481" s="8">
        <f>VLOOKUP(financials[[#This Row],[productid]],Products!$B$2:$H$10,4)</f>
        <v>5.5</v>
      </c>
      <c r="K481" s="8">
        <f>financials[[#This Row],[Net Sales]]-financials[[#This Row],[COGS]]</f>
        <v>194</v>
      </c>
      <c r="L481" s="15">
        <v>44442</v>
      </c>
      <c r="M481" t="s">
        <v>696</v>
      </c>
    </row>
    <row r="482" spans="1:13" x14ac:dyDescent="0.25">
      <c r="A482" t="s">
        <v>86</v>
      </c>
      <c r="B482" s="6" t="s">
        <v>232</v>
      </c>
      <c r="C482" s="13">
        <v>108</v>
      </c>
      <c r="D482" s="14" t="s">
        <v>90</v>
      </c>
      <c r="E482">
        <v>6</v>
      </c>
      <c r="F482" s="8">
        <f>VLOOKUP(financials[[#This Row],[productid]],Products!$B$2:$H$10,3)</f>
        <v>5.5</v>
      </c>
      <c r="G482" s="8">
        <f>financials[[#This Row],[Units Sold]]*financials[[#This Row],[Sale Price]]</f>
        <v>33</v>
      </c>
      <c r="H482" s="8">
        <f>IF(financials[[#This Row],[Discount Band]]="low",0.1,IF(financials[[#This Row],[Discount Band]]="medium",0.15,0.3))</f>
        <v>0.15</v>
      </c>
      <c r="I482" s="8">
        <f>financials[[#This Row],[Gross Sales]]-financials[[#This Row],[Gross Sales]]*financials[[#This Row],[Discounts]]</f>
        <v>28.05</v>
      </c>
      <c r="J482" s="8">
        <f>VLOOKUP(financials[[#This Row],[productid]],Products!$B$2:$H$10,4)</f>
        <v>3.99</v>
      </c>
      <c r="K482" s="8">
        <f>financials[[#This Row],[Net Sales]]-financials[[#This Row],[COGS]]</f>
        <v>24.060000000000002</v>
      </c>
      <c r="L482" s="15">
        <v>44736</v>
      </c>
      <c r="M482" t="s">
        <v>691</v>
      </c>
    </row>
    <row r="483" spans="1:13" x14ac:dyDescent="0.25">
      <c r="A483" t="s">
        <v>86</v>
      </c>
      <c r="B483" s="6" t="s">
        <v>228</v>
      </c>
      <c r="C483" s="13">
        <v>108</v>
      </c>
      <c r="D483" s="14" t="s">
        <v>90</v>
      </c>
      <c r="E483">
        <v>15</v>
      </c>
      <c r="F483" s="8">
        <f>VLOOKUP(financials[[#This Row],[productid]],Products!$B$2:$H$10,3)</f>
        <v>5.5</v>
      </c>
      <c r="G483" s="8">
        <f>financials[[#This Row],[Units Sold]]*financials[[#This Row],[Sale Price]]</f>
        <v>82.5</v>
      </c>
      <c r="H483" s="8">
        <f>IF(financials[[#This Row],[Discount Band]]="low",0.1,IF(financials[[#This Row],[Discount Band]]="medium",0.15,0.3))</f>
        <v>0.15</v>
      </c>
      <c r="I483" s="8">
        <f>financials[[#This Row],[Gross Sales]]-financials[[#This Row],[Gross Sales]]*financials[[#This Row],[Discounts]]</f>
        <v>70.125</v>
      </c>
      <c r="J483" s="8">
        <f>VLOOKUP(financials[[#This Row],[productid]],Products!$B$2:$H$10,4)</f>
        <v>3.99</v>
      </c>
      <c r="K483" s="8">
        <f>financials[[#This Row],[Net Sales]]-financials[[#This Row],[COGS]]</f>
        <v>66.135000000000005</v>
      </c>
      <c r="L483" s="15">
        <v>45237</v>
      </c>
      <c r="M483" t="s">
        <v>696</v>
      </c>
    </row>
    <row r="484" spans="1:13" x14ac:dyDescent="0.25">
      <c r="A484" t="s">
        <v>85</v>
      </c>
      <c r="B484" s="6" t="s">
        <v>125</v>
      </c>
      <c r="C484" s="13">
        <v>109</v>
      </c>
      <c r="D484" s="14" t="s">
        <v>90</v>
      </c>
      <c r="E484">
        <v>18</v>
      </c>
      <c r="F484" s="8">
        <f>VLOOKUP(financials[[#This Row],[productid]],Products!$B$2:$H$10,3)</f>
        <v>36</v>
      </c>
      <c r="G484" s="8">
        <f>financials[[#This Row],[Units Sold]]*financials[[#This Row],[Sale Price]]</f>
        <v>648</v>
      </c>
      <c r="H484" s="8">
        <f>IF(financials[[#This Row],[Discount Band]]="low",0.1,IF(financials[[#This Row],[Discount Band]]="medium",0.15,0.3))</f>
        <v>0.15</v>
      </c>
      <c r="I484" s="8">
        <f>financials[[#This Row],[Gross Sales]]-financials[[#This Row],[Gross Sales]]*financials[[#This Row],[Discounts]]</f>
        <v>550.79999999999995</v>
      </c>
      <c r="J484" s="8">
        <f>VLOOKUP(financials[[#This Row],[productid]],Products!$B$2:$H$10,4)</f>
        <v>16.8</v>
      </c>
      <c r="K484" s="8">
        <f>financials[[#This Row],[Net Sales]]-financials[[#This Row],[COGS]]</f>
        <v>534</v>
      </c>
      <c r="L484" s="15">
        <v>45079</v>
      </c>
      <c r="M484" t="s">
        <v>690</v>
      </c>
    </row>
    <row r="485" spans="1:13" x14ac:dyDescent="0.25">
      <c r="A485" t="s">
        <v>89</v>
      </c>
      <c r="B485" s="6" t="s">
        <v>287</v>
      </c>
      <c r="C485" s="13">
        <v>101</v>
      </c>
      <c r="D485" s="14" t="s">
        <v>83</v>
      </c>
      <c r="E485">
        <v>8</v>
      </c>
      <c r="F485" s="8">
        <f>VLOOKUP(financials[[#This Row],[productid]],Products!$B$2:$H$10,3)</f>
        <v>23</v>
      </c>
      <c r="G485" s="8">
        <f>financials[[#This Row],[Units Sold]]*financials[[#This Row],[Sale Price]]</f>
        <v>184</v>
      </c>
      <c r="H485" s="8">
        <f>IF(financials[[#This Row],[Discount Band]]="low",0.1,IF(financials[[#This Row],[Discount Band]]="medium",0.15,0.3))</f>
        <v>0.3</v>
      </c>
      <c r="I485" s="8">
        <f>financials[[#This Row],[Gross Sales]]-financials[[#This Row],[Gross Sales]]*financials[[#This Row],[Discounts]]</f>
        <v>128.80000000000001</v>
      </c>
      <c r="J485" s="8">
        <f>VLOOKUP(financials[[#This Row],[productid]],Products!$B$2:$H$10,4)</f>
        <v>9.9499999999999993</v>
      </c>
      <c r="K485" s="8">
        <f>financials[[#This Row],[Net Sales]]-financials[[#This Row],[COGS]]</f>
        <v>118.85000000000001</v>
      </c>
      <c r="L485" s="15">
        <v>45224</v>
      </c>
      <c r="M485" t="s">
        <v>697</v>
      </c>
    </row>
    <row r="486" spans="1:13" x14ac:dyDescent="0.25">
      <c r="A486" t="s">
        <v>86</v>
      </c>
      <c r="B486" s="6" t="s">
        <v>266</v>
      </c>
      <c r="C486" s="13">
        <v>108</v>
      </c>
      <c r="D486" s="14" t="s">
        <v>91</v>
      </c>
      <c r="E486">
        <v>18</v>
      </c>
      <c r="F486" s="8">
        <f>VLOOKUP(financials[[#This Row],[productid]],Products!$B$2:$H$10,3)</f>
        <v>5.5</v>
      </c>
      <c r="G486" s="8">
        <f>financials[[#This Row],[Units Sold]]*financials[[#This Row],[Sale Price]]</f>
        <v>99</v>
      </c>
      <c r="H486" s="8">
        <f>IF(financials[[#This Row],[Discount Band]]="low",0.1,IF(financials[[#This Row],[Discount Band]]="medium",0.15,0.3))</f>
        <v>0.1</v>
      </c>
      <c r="I486" s="8">
        <f>financials[[#This Row],[Gross Sales]]-financials[[#This Row],[Gross Sales]]*financials[[#This Row],[Discounts]]</f>
        <v>89.1</v>
      </c>
      <c r="J486" s="8">
        <f>VLOOKUP(financials[[#This Row],[productid]],Products!$B$2:$H$10,4)</f>
        <v>3.99</v>
      </c>
      <c r="K486" s="8">
        <f>financials[[#This Row],[Net Sales]]-financials[[#This Row],[COGS]]</f>
        <v>85.11</v>
      </c>
      <c r="L486" s="15">
        <v>45194</v>
      </c>
      <c r="M486" t="s">
        <v>691</v>
      </c>
    </row>
    <row r="487" spans="1:13" x14ac:dyDescent="0.25">
      <c r="A487" t="s">
        <v>85</v>
      </c>
      <c r="B487" s="6" t="s">
        <v>148</v>
      </c>
      <c r="C487" s="13">
        <v>101</v>
      </c>
      <c r="D487" s="14" t="s">
        <v>90</v>
      </c>
      <c r="E487">
        <v>17</v>
      </c>
      <c r="F487" s="8">
        <f>VLOOKUP(financials[[#This Row],[productid]],Products!$B$2:$H$10,3)</f>
        <v>23</v>
      </c>
      <c r="G487" s="8">
        <f>financials[[#This Row],[Units Sold]]*financials[[#This Row],[Sale Price]]</f>
        <v>391</v>
      </c>
      <c r="H487" s="8">
        <f>IF(financials[[#This Row],[Discount Band]]="low",0.1,IF(financials[[#This Row],[Discount Band]]="medium",0.15,0.3))</f>
        <v>0.15</v>
      </c>
      <c r="I487" s="8">
        <f>financials[[#This Row],[Gross Sales]]-financials[[#This Row],[Gross Sales]]*financials[[#This Row],[Discounts]]</f>
        <v>332.35</v>
      </c>
      <c r="J487" s="8">
        <f>VLOOKUP(financials[[#This Row],[productid]],Products!$B$2:$H$10,4)</f>
        <v>9.9499999999999993</v>
      </c>
      <c r="K487" s="8">
        <f>financials[[#This Row],[Net Sales]]-financials[[#This Row],[COGS]]</f>
        <v>322.40000000000003</v>
      </c>
      <c r="L487" s="15">
        <v>44664</v>
      </c>
      <c r="M487" t="s">
        <v>700</v>
      </c>
    </row>
    <row r="488" spans="1:13" x14ac:dyDescent="0.25">
      <c r="A488" t="s">
        <v>85</v>
      </c>
      <c r="B488" s="6" t="s">
        <v>158</v>
      </c>
      <c r="C488" s="13">
        <v>101</v>
      </c>
      <c r="D488" s="14" t="s">
        <v>90</v>
      </c>
      <c r="E488">
        <v>10</v>
      </c>
      <c r="F488" s="8">
        <f>VLOOKUP(financials[[#This Row],[productid]],Products!$B$2:$H$10,3)</f>
        <v>23</v>
      </c>
      <c r="G488" s="8">
        <f>financials[[#This Row],[Units Sold]]*financials[[#This Row],[Sale Price]]</f>
        <v>230</v>
      </c>
      <c r="H488" s="8">
        <f>IF(financials[[#This Row],[Discount Band]]="low",0.1,IF(financials[[#This Row],[Discount Band]]="medium",0.15,0.3))</f>
        <v>0.15</v>
      </c>
      <c r="I488" s="8">
        <f>financials[[#This Row],[Gross Sales]]-financials[[#This Row],[Gross Sales]]*financials[[#This Row],[Discounts]]</f>
        <v>195.5</v>
      </c>
      <c r="J488" s="8">
        <f>VLOOKUP(financials[[#This Row],[productid]],Products!$B$2:$H$10,4)</f>
        <v>9.9499999999999993</v>
      </c>
      <c r="K488" s="8">
        <f>financials[[#This Row],[Net Sales]]-financials[[#This Row],[COGS]]</f>
        <v>185.55</v>
      </c>
      <c r="L488" s="15">
        <v>45509</v>
      </c>
      <c r="M488" t="s">
        <v>697</v>
      </c>
    </row>
    <row r="489" spans="1:13" x14ac:dyDescent="0.25">
      <c r="A489" t="s">
        <v>86</v>
      </c>
      <c r="B489" s="6" t="s">
        <v>273</v>
      </c>
      <c r="C489" s="13">
        <v>103</v>
      </c>
      <c r="D489" s="14" t="s">
        <v>90</v>
      </c>
      <c r="E489">
        <v>9</v>
      </c>
      <c r="F489" s="8">
        <f>VLOOKUP(financials[[#This Row],[productid]],Products!$B$2:$H$10,3)</f>
        <v>28</v>
      </c>
      <c r="G489" s="8">
        <f>financials[[#This Row],[Units Sold]]*financials[[#This Row],[Sale Price]]</f>
        <v>252</v>
      </c>
      <c r="H489" s="8">
        <f>IF(financials[[#This Row],[Discount Band]]="low",0.1,IF(financials[[#This Row],[Discount Band]]="medium",0.15,0.3))</f>
        <v>0.15</v>
      </c>
      <c r="I489" s="8">
        <f>financials[[#This Row],[Gross Sales]]-financials[[#This Row],[Gross Sales]]*financials[[#This Row],[Discounts]]</f>
        <v>214.2</v>
      </c>
      <c r="J489" s="8">
        <f>VLOOKUP(financials[[#This Row],[productid]],Products!$B$2:$H$10,4)</f>
        <v>15</v>
      </c>
      <c r="K489" s="8">
        <f>financials[[#This Row],[Net Sales]]-financials[[#This Row],[COGS]]</f>
        <v>199.2</v>
      </c>
      <c r="L489" s="15">
        <v>43894</v>
      </c>
      <c r="M489" t="s">
        <v>691</v>
      </c>
    </row>
    <row r="490" spans="1:13" x14ac:dyDescent="0.25">
      <c r="A490" t="s">
        <v>89</v>
      </c>
      <c r="B490" s="6" t="s">
        <v>158</v>
      </c>
      <c r="C490" s="13">
        <v>109</v>
      </c>
      <c r="D490" s="14" t="s">
        <v>91</v>
      </c>
      <c r="E490">
        <v>20</v>
      </c>
      <c r="F490" s="8">
        <f>VLOOKUP(financials[[#This Row],[productid]],Products!$B$2:$H$10,3)</f>
        <v>36</v>
      </c>
      <c r="G490" s="8">
        <f>financials[[#This Row],[Units Sold]]*financials[[#This Row],[Sale Price]]</f>
        <v>720</v>
      </c>
      <c r="H490" s="8">
        <f>IF(financials[[#This Row],[Discount Band]]="low",0.1,IF(financials[[#This Row],[Discount Band]]="medium",0.15,0.3))</f>
        <v>0.1</v>
      </c>
      <c r="I490" s="8">
        <f>financials[[#This Row],[Gross Sales]]-financials[[#This Row],[Gross Sales]]*financials[[#This Row],[Discounts]]</f>
        <v>648</v>
      </c>
      <c r="J490" s="8">
        <f>VLOOKUP(financials[[#This Row],[productid]],Products!$B$2:$H$10,4)</f>
        <v>16.8</v>
      </c>
      <c r="K490" s="8">
        <f>financials[[#This Row],[Net Sales]]-financials[[#This Row],[COGS]]</f>
        <v>631.20000000000005</v>
      </c>
      <c r="L490" s="15">
        <v>45512</v>
      </c>
      <c r="M490" t="s">
        <v>697</v>
      </c>
    </row>
    <row r="491" spans="1:13" x14ac:dyDescent="0.25">
      <c r="A491" t="s">
        <v>86</v>
      </c>
      <c r="B491" s="6" t="s">
        <v>268</v>
      </c>
      <c r="C491" s="13">
        <v>105</v>
      </c>
      <c r="D491" s="14" t="s">
        <v>90</v>
      </c>
      <c r="E491">
        <v>12</v>
      </c>
      <c r="F491" s="8">
        <f>VLOOKUP(financials[[#This Row],[productid]],Products!$B$2:$H$10,3)</f>
        <v>15</v>
      </c>
      <c r="G491" s="8">
        <f>financials[[#This Row],[Units Sold]]*financials[[#This Row],[Sale Price]]</f>
        <v>180</v>
      </c>
      <c r="H491" s="8">
        <f>IF(financials[[#This Row],[Discount Band]]="low",0.1,IF(financials[[#This Row],[Discount Band]]="medium",0.15,0.3))</f>
        <v>0.15</v>
      </c>
      <c r="I491" s="8">
        <f>financials[[#This Row],[Gross Sales]]-financials[[#This Row],[Gross Sales]]*financials[[#This Row],[Discounts]]</f>
        <v>153</v>
      </c>
      <c r="J491" s="8">
        <f>VLOOKUP(financials[[#This Row],[productid]],Products!$B$2:$H$10,4)</f>
        <v>10</v>
      </c>
      <c r="K491" s="8">
        <f>financials[[#This Row],[Net Sales]]-financials[[#This Row],[COGS]]</f>
        <v>143</v>
      </c>
      <c r="L491" s="15">
        <v>45208</v>
      </c>
      <c r="M491" t="s">
        <v>696</v>
      </c>
    </row>
    <row r="492" spans="1:13" x14ac:dyDescent="0.25">
      <c r="A492" t="s">
        <v>85</v>
      </c>
      <c r="B492" s="6" t="s">
        <v>645</v>
      </c>
      <c r="C492" s="11">
        <v>109</v>
      </c>
      <c r="D492" s="9" t="s">
        <v>91</v>
      </c>
      <c r="E492">
        <v>13</v>
      </c>
      <c r="F492" s="8">
        <f>VLOOKUP(financials[[#This Row],[productid]],Products!$B$2:$H$10,3)</f>
        <v>36</v>
      </c>
      <c r="G492" s="8">
        <f>financials[[#This Row],[Units Sold]]*financials[[#This Row],[Sale Price]]</f>
        <v>468</v>
      </c>
      <c r="H492" s="8">
        <f>IF(financials[[#This Row],[Discount Band]]="low",0.1,IF(financials[[#This Row],[Discount Band]]="medium",0.15,0.3))</f>
        <v>0.1</v>
      </c>
      <c r="I492" s="8">
        <f>financials[[#This Row],[Gross Sales]]-financials[[#This Row],[Gross Sales]]*financials[[#This Row],[Discounts]]</f>
        <v>421.2</v>
      </c>
      <c r="J492" s="8">
        <f>VLOOKUP(financials[[#This Row],[productid]],Products!$B$2:$H$10,4)</f>
        <v>16.8</v>
      </c>
      <c r="K492" s="8">
        <f>financials[[#This Row],[Net Sales]]-financials[[#This Row],[COGS]]</f>
        <v>404.4</v>
      </c>
      <c r="L492" s="15">
        <v>44180</v>
      </c>
      <c r="M492" t="s">
        <v>696</v>
      </c>
    </row>
    <row r="493" spans="1:13" x14ac:dyDescent="0.25">
      <c r="A493" t="s">
        <v>85</v>
      </c>
      <c r="B493" s="6" t="s">
        <v>96</v>
      </c>
      <c r="C493" s="13">
        <v>109</v>
      </c>
      <c r="D493" s="14" t="s">
        <v>83</v>
      </c>
      <c r="E493">
        <v>20</v>
      </c>
      <c r="F493" s="8">
        <f>VLOOKUP(financials[[#This Row],[productid]],Products!$B$2:$H$10,3)</f>
        <v>36</v>
      </c>
      <c r="G493" s="8">
        <f>financials[[#This Row],[Units Sold]]*financials[[#This Row],[Sale Price]]</f>
        <v>720</v>
      </c>
      <c r="H493" s="8">
        <f>IF(financials[[#This Row],[Discount Band]]="low",0.1,IF(financials[[#This Row],[Discount Band]]="medium",0.15,0.3))</f>
        <v>0.3</v>
      </c>
      <c r="I493" s="8">
        <f>financials[[#This Row],[Gross Sales]]-financials[[#This Row],[Gross Sales]]*financials[[#This Row],[Discounts]]</f>
        <v>504</v>
      </c>
      <c r="J493" s="8">
        <f>VLOOKUP(financials[[#This Row],[productid]],Products!$B$2:$H$10,4)</f>
        <v>16.8</v>
      </c>
      <c r="K493" s="8">
        <f>financials[[#This Row],[Net Sales]]-financials[[#This Row],[COGS]]</f>
        <v>487.2</v>
      </c>
      <c r="L493" s="15">
        <v>44584</v>
      </c>
      <c r="M493" t="s">
        <v>691</v>
      </c>
    </row>
    <row r="494" spans="1:13" x14ac:dyDescent="0.25">
      <c r="A494" t="s">
        <v>86</v>
      </c>
      <c r="B494" s="6" t="s">
        <v>276</v>
      </c>
      <c r="C494" s="13">
        <v>107</v>
      </c>
      <c r="D494" s="14" t="s">
        <v>83</v>
      </c>
      <c r="E494">
        <v>12</v>
      </c>
      <c r="F494" s="8">
        <f>VLOOKUP(financials[[#This Row],[productid]],Products!$B$2:$H$10,3)</f>
        <v>15</v>
      </c>
      <c r="G494" s="8">
        <f>financials[[#This Row],[Units Sold]]*financials[[#This Row],[Sale Price]]</f>
        <v>180</v>
      </c>
      <c r="H494" s="8">
        <f>IF(financials[[#This Row],[Discount Band]]="low",0.1,IF(financials[[#This Row],[Discount Band]]="medium",0.15,0.3))</f>
        <v>0.3</v>
      </c>
      <c r="I494" s="8">
        <f>financials[[#This Row],[Gross Sales]]-financials[[#This Row],[Gross Sales]]*financials[[#This Row],[Discounts]]</f>
        <v>126</v>
      </c>
      <c r="J494" s="8">
        <f>VLOOKUP(financials[[#This Row],[productid]],Products!$B$2:$H$10,4)</f>
        <v>5.5</v>
      </c>
      <c r="K494" s="8">
        <f>financials[[#This Row],[Net Sales]]-financials[[#This Row],[COGS]]</f>
        <v>120.5</v>
      </c>
      <c r="L494" s="15">
        <v>44800</v>
      </c>
      <c r="M494" t="s">
        <v>700</v>
      </c>
    </row>
    <row r="495" spans="1:13" x14ac:dyDescent="0.25">
      <c r="A495" t="s">
        <v>85</v>
      </c>
      <c r="B495" s="6" t="s">
        <v>96</v>
      </c>
      <c r="C495" s="13">
        <v>105</v>
      </c>
      <c r="D495" s="14" t="s">
        <v>92</v>
      </c>
      <c r="E495">
        <v>11</v>
      </c>
      <c r="F495" s="8">
        <f>VLOOKUP(financials[[#This Row],[productid]],Products!$B$2:$H$10,3)</f>
        <v>15</v>
      </c>
      <c r="G495" s="8">
        <f>financials[[#This Row],[Units Sold]]*financials[[#This Row],[Sale Price]]</f>
        <v>165</v>
      </c>
      <c r="H495" s="8">
        <f>IF(financials[[#This Row],[Discount Band]]="low",0.1,IF(financials[[#This Row],[Discount Band]]="medium",0.15,0.3))</f>
        <v>0.3</v>
      </c>
      <c r="I495" s="8">
        <f>financials[[#This Row],[Gross Sales]]-financials[[#This Row],[Gross Sales]]*financials[[#This Row],[Discounts]]</f>
        <v>115.5</v>
      </c>
      <c r="J495" s="8">
        <f>VLOOKUP(financials[[#This Row],[productid]],Products!$B$2:$H$10,4)</f>
        <v>10</v>
      </c>
      <c r="K495" s="8">
        <f>financials[[#This Row],[Net Sales]]-financials[[#This Row],[COGS]]</f>
        <v>105.5</v>
      </c>
      <c r="L495" s="15">
        <v>45377</v>
      </c>
      <c r="M495" t="s">
        <v>691</v>
      </c>
    </row>
    <row r="496" spans="1:13" x14ac:dyDescent="0.25">
      <c r="A496" t="s">
        <v>89</v>
      </c>
      <c r="B496" s="6" t="s">
        <v>96</v>
      </c>
      <c r="C496" s="13">
        <v>105</v>
      </c>
      <c r="D496" s="14" t="s">
        <v>83</v>
      </c>
      <c r="E496">
        <v>18</v>
      </c>
      <c r="F496" s="8">
        <f>VLOOKUP(financials[[#This Row],[productid]],Products!$B$2:$H$10,3)</f>
        <v>15</v>
      </c>
      <c r="G496" s="8">
        <f>financials[[#This Row],[Units Sold]]*financials[[#This Row],[Sale Price]]</f>
        <v>270</v>
      </c>
      <c r="H496" s="8">
        <f>IF(financials[[#This Row],[Discount Band]]="low",0.1,IF(financials[[#This Row],[Discount Band]]="medium",0.15,0.3))</f>
        <v>0.3</v>
      </c>
      <c r="I496" s="8">
        <f>financials[[#This Row],[Gross Sales]]-financials[[#This Row],[Gross Sales]]*financials[[#This Row],[Discounts]]</f>
        <v>189</v>
      </c>
      <c r="J496" s="8">
        <f>VLOOKUP(financials[[#This Row],[productid]],Products!$B$2:$H$10,4)</f>
        <v>10</v>
      </c>
      <c r="K496" s="8">
        <f>financials[[#This Row],[Net Sales]]-financials[[#This Row],[COGS]]</f>
        <v>179</v>
      </c>
      <c r="L496" s="15">
        <v>44082</v>
      </c>
      <c r="M496" t="s">
        <v>691</v>
      </c>
    </row>
    <row r="497" spans="1:13" x14ac:dyDescent="0.25">
      <c r="A497" t="s">
        <v>85</v>
      </c>
      <c r="B497" s="6" t="s">
        <v>158</v>
      </c>
      <c r="C497" s="13">
        <v>106</v>
      </c>
      <c r="D497" s="14" t="s">
        <v>90</v>
      </c>
      <c r="E497">
        <v>12</v>
      </c>
      <c r="F497" s="8">
        <f>VLOOKUP(financials[[#This Row],[productid]],Products!$B$2:$H$10,3)</f>
        <v>25</v>
      </c>
      <c r="G497" s="8">
        <f>financials[[#This Row],[Units Sold]]*financials[[#This Row],[Sale Price]]</f>
        <v>300</v>
      </c>
      <c r="H497" s="8">
        <f>IF(financials[[#This Row],[Discount Band]]="low",0.1,IF(financials[[#This Row],[Discount Band]]="medium",0.15,0.3))</f>
        <v>0.15</v>
      </c>
      <c r="I497" s="8">
        <f>financials[[#This Row],[Gross Sales]]-financials[[#This Row],[Gross Sales]]*financials[[#This Row],[Discounts]]</f>
        <v>255</v>
      </c>
      <c r="J497" s="8">
        <f>VLOOKUP(financials[[#This Row],[productid]],Products!$B$2:$H$10,4)</f>
        <v>9.1</v>
      </c>
      <c r="K497" s="8">
        <f>financials[[#This Row],[Net Sales]]-financials[[#This Row],[COGS]]</f>
        <v>245.9</v>
      </c>
      <c r="L497" s="15">
        <v>43862</v>
      </c>
      <c r="M497" t="s">
        <v>700</v>
      </c>
    </row>
    <row r="498" spans="1:13" x14ac:dyDescent="0.25">
      <c r="A498" t="s">
        <v>86</v>
      </c>
      <c r="B498" s="6" t="s">
        <v>95</v>
      </c>
      <c r="C498" s="13">
        <v>103</v>
      </c>
      <c r="D498" s="14" t="s">
        <v>91</v>
      </c>
      <c r="E498">
        <v>16</v>
      </c>
      <c r="F498" s="8">
        <f>VLOOKUP(financials[[#This Row],[productid]],Products!$B$2:$H$10,3)</f>
        <v>28</v>
      </c>
      <c r="G498" s="8">
        <f>financials[[#This Row],[Units Sold]]*financials[[#This Row],[Sale Price]]</f>
        <v>448</v>
      </c>
      <c r="H498" s="8">
        <f>IF(financials[[#This Row],[Discount Band]]="low",0.1,IF(financials[[#This Row],[Discount Band]]="medium",0.15,0.3))</f>
        <v>0.1</v>
      </c>
      <c r="I498" s="8">
        <f>financials[[#This Row],[Gross Sales]]-financials[[#This Row],[Gross Sales]]*financials[[#This Row],[Discounts]]</f>
        <v>403.2</v>
      </c>
      <c r="J498" s="8">
        <f>VLOOKUP(financials[[#This Row],[productid]],Products!$B$2:$H$10,4)</f>
        <v>15</v>
      </c>
      <c r="K498" s="8">
        <f>financials[[#This Row],[Net Sales]]-financials[[#This Row],[COGS]]</f>
        <v>388.2</v>
      </c>
      <c r="L498" s="15">
        <v>45400</v>
      </c>
      <c r="M498" t="s">
        <v>697</v>
      </c>
    </row>
    <row r="499" spans="1:13" x14ac:dyDescent="0.25">
      <c r="A499" t="s">
        <v>86</v>
      </c>
      <c r="B499" s="6" t="s">
        <v>276</v>
      </c>
      <c r="C499" s="13">
        <v>103</v>
      </c>
      <c r="D499" s="14" t="s">
        <v>83</v>
      </c>
      <c r="E499">
        <v>5</v>
      </c>
      <c r="F499" s="8">
        <f>VLOOKUP(financials[[#This Row],[productid]],Products!$B$2:$H$10,3)</f>
        <v>28</v>
      </c>
      <c r="G499" s="8">
        <f>financials[[#This Row],[Units Sold]]*financials[[#This Row],[Sale Price]]</f>
        <v>140</v>
      </c>
      <c r="H499" s="8">
        <f>IF(financials[[#This Row],[Discount Band]]="low",0.1,IF(financials[[#This Row],[Discount Band]]="medium",0.15,0.3))</f>
        <v>0.3</v>
      </c>
      <c r="I499" s="8">
        <f>financials[[#This Row],[Gross Sales]]-financials[[#This Row],[Gross Sales]]*financials[[#This Row],[Discounts]]</f>
        <v>98</v>
      </c>
      <c r="J499" s="8">
        <f>VLOOKUP(financials[[#This Row],[productid]],Products!$B$2:$H$10,4)</f>
        <v>15</v>
      </c>
      <c r="K499" s="8">
        <f>financials[[#This Row],[Net Sales]]-financials[[#This Row],[COGS]]</f>
        <v>83</v>
      </c>
      <c r="L499" s="15">
        <v>44204</v>
      </c>
      <c r="M499" t="s">
        <v>691</v>
      </c>
    </row>
    <row r="500" spans="1:13" x14ac:dyDescent="0.25">
      <c r="A500" t="s">
        <v>86</v>
      </c>
      <c r="B500" s="6" t="s">
        <v>95</v>
      </c>
      <c r="C500" s="13">
        <v>103</v>
      </c>
      <c r="D500" s="14" t="s">
        <v>83</v>
      </c>
      <c r="E500">
        <v>17</v>
      </c>
      <c r="F500" s="8">
        <f>VLOOKUP(financials[[#This Row],[productid]],Products!$B$2:$H$10,3)</f>
        <v>28</v>
      </c>
      <c r="G500" s="8">
        <f>financials[[#This Row],[Units Sold]]*financials[[#This Row],[Sale Price]]</f>
        <v>476</v>
      </c>
      <c r="H500" s="8">
        <f>IF(financials[[#This Row],[Discount Band]]="low",0.1,IF(financials[[#This Row],[Discount Band]]="medium",0.15,0.3))</f>
        <v>0.3</v>
      </c>
      <c r="I500" s="8">
        <f>financials[[#This Row],[Gross Sales]]-financials[[#This Row],[Gross Sales]]*financials[[#This Row],[Discounts]]</f>
        <v>333.20000000000005</v>
      </c>
      <c r="J500" s="8">
        <f>VLOOKUP(financials[[#This Row],[productid]],Products!$B$2:$H$10,4)</f>
        <v>15</v>
      </c>
      <c r="K500" s="8">
        <f>financials[[#This Row],[Net Sales]]-financials[[#This Row],[COGS]]</f>
        <v>318.20000000000005</v>
      </c>
      <c r="L500" s="15">
        <v>45532</v>
      </c>
      <c r="M500" t="s">
        <v>697</v>
      </c>
    </row>
    <row r="501" spans="1:13" x14ac:dyDescent="0.25">
      <c r="A501" t="s">
        <v>89</v>
      </c>
      <c r="B501" s="6" t="s">
        <v>125</v>
      </c>
      <c r="C501" s="13">
        <v>109</v>
      </c>
      <c r="D501" s="14" t="s">
        <v>92</v>
      </c>
      <c r="E501">
        <v>12</v>
      </c>
      <c r="F501" s="8">
        <f>VLOOKUP(financials[[#This Row],[productid]],Products!$B$2:$H$10,3)</f>
        <v>36</v>
      </c>
      <c r="G501" s="8">
        <f>financials[[#This Row],[Units Sold]]*financials[[#This Row],[Sale Price]]</f>
        <v>432</v>
      </c>
      <c r="H501" s="8">
        <f>IF(financials[[#This Row],[Discount Band]]="low",0.1,IF(financials[[#This Row],[Discount Band]]="medium",0.15,0.3))</f>
        <v>0.3</v>
      </c>
      <c r="I501" s="8">
        <f>financials[[#This Row],[Gross Sales]]-financials[[#This Row],[Gross Sales]]*financials[[#This Row],[Discounts]]</f>
        <v>302.39999999999998</v>
      </c>
      <c r="J501" s="8">
        <f>VLOOKUP(financials[[#This Row],[productid]],Products!$B$2:$H$10,4)</f>
        <v>16.8</v>
      </c>
      <c r="K501" s="8">
        <f>financials[[#This Row],[Net Sales]]-financials[[#This Row],[COGS]]</f>
        <v>285.59999999999997</v>
      </c>
      <c r="L501" s="15">
        <v>45273</v>
      </c>
      <c r="M501" t="s">
        <v>690</v>
      </c>
    </row>
    <row r="502" spans="1:13" x14ac:dyDescent="0.25">
      <c r="A502" t="s">
        <v>85</v>
      </c>
      <c r="B502" s="6" t="s">
        <v>617</v>
      </c>
      <c r="C502" s="13">
        <v>104</v>
      </c>
      <c r="D502" s="14" t="s">
        <v>83</v>
      </c>
      <c r="E502">
        <v>19</v>
      </c>
      <c r="F502" s="8">
        <f>VLOOKUP(financials[[#This Row],[productid]],Products!$B$2:$H$10,3)</f>
        <v>5.9</v>
      </c>
      <c r="G502" s="8">
        <f>financials[[#This Row],[Units Sold]]*financials[[#This Row],[Sale Price]]</f>
        <v>112.10000000000001</v>
      </c>
      <c r="H502" s="8">
        <f>IF(financials[[#This Row],[Discount Band]]="low",0.1,IF(financials[[#This Row],[Discount Band]]="medium",0.15,0.3))</f>
        <v>0.3</v>
      </c>
      <c r="I502" s="8">
        <f>financials[[#This Row],[Gross Sales]]-financials[[#This Row],[Gross Sales]]*financials[[#This Row],[Discounts]]</f>
        <v>78.47</v>
      </c>
      <c r="J502" s="8">
        <f>VLOOKUP(financials[[#This Row],[productid]],Products!$B$2:$H$10,4)</f>
        <v>2.9</v>
      </c>
      <c r="K502" s="8">
        <f>financials[[#This Row],[Net Sales]]-financials[[#This Row],[COGS]]</f>
        <v>75.569999999999993</v>
      </c>
      <c r="L502" s="15">
        <v>44437</v>
      </c>
      <c r="M502" t="s">
        <v>690</v>
      </c>
    </row>
    <row r="503" spans="1:13" x14ac:dyDescent="0.25">
      <c r="A503" t="s">
        <v>86</v>
      </c>
      <c r="B503" s="6" t="s">
        <v>167</v>
      </c>
      <c r="C503" s="13">
        <v>107</v>
      </c>
      <c r="D503" s="14" t="s">
        <v>90</v>
      </c>
      <c r="E503">
        <v>13</v>
      </c>
      <c r="F503" s="8">
        <f>VLOOKUP(financials[[#This Row],[productid]],Products!$B$2:$H$10,3)</f>
        <v>15</v>
      </c>
      <c r="G503" s="8">
        <f>financials[[#This Row],[Units Sold]]*financials[[#This Row],[Sale Price]]</f>
        <v>195</v>
      </c>
      <c r="H503" s="8">
        <f>IF(financials[[#This Row],[Discount Band]]="low",0.1,IF(financials[[#This Row],[Discount Band]]="medium",0.15,0.3))</f>
        <v>0.15</v>
      </c>
      <c r="I503" s="8">
        <f>financials[[#This Row],[Gross Sales]]-financials[[#This Row],[Gross Sales]]*financials[[#This Row],[Discounts]]</f>
        <v>165.75</v>
      </c>
      <c r="J503" s="8">
        <f>VLOOKUP(financials[[#This Row],[productid]],Products!$B$2:$H$10,4)</f>
        <v>5.5</v>
      </c>
      <c r="K503" s="8">
        <f>financials[[#This Row],[Net Sales]]-financials[[#This Row],[COGS]]</f>
        <v>160.25</v>
      </c>
      <c r="L503" s="15">
        <v>45410</v>
      </c>
      <c r="M503" t="s">
        <v>697</v>
      </c>
    </row>
    <row r="504" spans="1:13" x14ac:dyDescent="0.25">
      <c r="A504" t="s">
        <v>85</v>
      </c>
      <c r="B504" s="6" t="s">
        <v>93</v>
      </c>
      <c r="C504" s="13">
        <v>108</v>
      </c>
      <c r="D504" s="14" t="s">
        <v>90</v>
      </c>
      <c r="E504">
        <v>14</v>
      </c>
      <c r="F504" s="8">
        <f>VLOOKUP(financials[[#This Row],[productid]],Products!$B$2:$H$10,3)</f>
        <v>5.5</v>
      </c>
      <c r="G504" s="8">
        <f>financials[[#This Row],[Units Sold]]*financials[[#This Row],[Sale Price]]</f>
        <v>77</v>
      </c>
      <c r="H504" s="8">
        <f>IF(financials[[#This Row],[Discount Band]]="low",0.1,IF(financials[[#This Row],[Discount Band]]="medium",0.15,0.3))</f>
        <v>0.15</v>
      </c>
      <c r="I504" s="8">
        <f>financials[[#This Row],[Gross Sales]]-financials[[#This Row],[Gross Sales]]*financials[[#This Row],[Discounts]]</f>
        <v>65.45</v>
      </c>
      <c r="J504" s="8">
        <f>VLOOKUP(financials[[#This Row],[productid]],Products!$B$2:$H$10,4)</f>
        <v>3.99</v>
      </c>
      <c r="K504" s="8">
        <f>financials[[#This Row],[Net Sales]]-financials[[#This Row],[COGS]]</f>
        <v>61.46</v>
      </c>
      <c r="L504" s="15">
        <v>44296</v>
      </c>
      <c r="M504" t="s">
        <v>697</v>
      </c>
    </row>
    <row r="505" spans="1:13" x14ac:dyDescent="0.25">
      <c r="A505" t="s">
        <v>85</v>
      </c>
      <c r="B505" s="6" t="s">
        <v>240</v>
      </c>
      <c r="C505" s="13">
        <v>106</v>
      </c>
      <c r="D505" s="14" t="s">
        <v>83</v>
      </c>
      <c r="E505">
        <v>20</v>
      </c>
      <c r="F505" s="8">
        <f>VLOOKUP(financials[[#This Row],[productid]],Products!$B$2:$H$10,3)</f>
        <v>25</v>
      </c>
      <c r="G505" s="8">
        <f>financials[[#This Row],[Units Sold]]*financials[[#This Row],[Sale Price]]</f>
        <v>500</v>
      </c>
      <c r="H505" s="8">
        <f>IF(financials[[#This Row],[Discount Band]]="low",0.1,IF(financials[[#This Row],[Discount Band]]="medium",0.15,0.3))</f>
        <v>0.3</v>
      </c>
      <c r="I505" s="8">
        <f>financials[[#This Row],[Gross Sales]]-financials[[#This Row],[Gross Sales]]*financials[[#This Row],[Discounts]]</f>
        <v>350</v>
      </c>
      <c r="J505" s="8">
        <f>VLOOKUP(financials[[#This Row],[productid]],Products!$B$2:$H$10,4)</f>
        <v>9.1</v>
      </c>
      <c r="K505" s="8">
        <f>financials[[#This Row],[Net Sales]]-financials[[#This Row],[COGS]]</f>
        <v>340.9</v>
      </c>
      <c r="L505" s="15">
        <v>43962</v>
      </c>
      <c r="M505" t="s">
        <v>697</v>
      </c>
    </row>
    <row r="506" spans="1:13" x14ac:dyDescent="0.25">
      <c r="A506" t="s">
        <v>89</v>
      </c>
      <c r="B506" s="6" t="s">
        <v>93</v>
      </c>
      <c r="C506" s="11">
        <v>109</v>
      </c>
      <c r="D506" s="9" t="s">
        <v>90</v>
      </c>
      <c r="E506">
        <v>17</v>
      </c>
      <c r="F506" s="8">
        <f>VLOOKUP(financials[[#This Row],[productid]],Products!$B$2:$H$10,3)</f>
        <v>36</v>
      </c>
      <c r="G506" s="8">
        <f>financials[[#This Row],[Units Sold]]*financials[[#This Row],[Sale Price]]</f>
        <v>612</v>
      </c>
      <c r="H506" s="8">
        <f>IF(financials[[#This Row],[Discount Band]]="low",0.1,IF(financials[[#This Row],[Discount Band]]="medium",0.15,0.3))</f>
        <v>0.15</v>
      </c>
      <c r="I506" s="8">
        <f>financials[[#This Row],[Gross Sales]]-financials[[#This Row],[Gross Sales]]*financials[[#This Row],[Discounts]]</f>
        <v>520.20000000000005</v>
      </c>
      <c r="J506" s="8">
        <f>VLOOKUP(financials[[#This Row],[productid]],Products!$B$2:$H$10,4)</f>
        <v>16.8</v>
      </c>
      <c r="K506" s="8">
        <f>financials[[#This Row],[Net Sales]]-financials[[#This Row],[COGS]]</f>
        <v>503.40000000000003</v>
      </c>
      <c r="L506" s="15">
        <v>44444</v>
      </c>
      <c r="M506" t="s">
        <v>696</v>
      </c>
    </row>
    <row r="507" spans="1:13" x14ac:dyDescent="0.25">
      <c r="A507" t="s">
        <v>89</v>
      </c>
      <c r="B507" s="6" t="s">
        <v>148</v>
      </c>
      <c r="C507" s="13">
        <v>103</v>
      </c>
      <c r="D507" s="14" t="s">
        <v>91</v>
      </c>
      <c r="E507">
        <v>18</v>
      </c>
      <c r="F507" s="8">
        <f>VLOOKUP(financials[[#This Row],[productid]],Products!$B$2:$H$10,3)</f>
        <v>28</v>
      </c>
      <c r="G507" s="8">
        <f>financials[[#This Row],[Units Sold]]*financials[[#This Row],[Sale Price]]</f>
        <v>504</v>
      </c>
      <c r="H507" s="8">
        <f>IF(financials[[#This Row],[Discount Band]]="low",0.1,IF(financials[[#This Row],[Discount Band]]="medium",0.15,0.3))</f>
        <v>0.1</v>
      </c>
      <c r="I507" s="8">
        <f>financials[[#This Row],[Gross Sales]]-financials[[#This Row],[Gross Sales]]*financials[[#This Row],[Discounts]]</f>
        <v>453.6</v>
      </c>
      <c r="J507" s="8">
        <f>VLOOKUP(financials[[#This Row],[productid]],Products!$B$2:$H$10,4)</f>
        <v>15</v>
      </c>
      <c r="K507" s="8">
        <f>financials[[#This Row],[Net Sales]]-financials[[#This Row],[COGS]]</f>
        <v>438.6</v>
      </c>
      <c r="L507" s="15">
        <v>44296</v>
      </c>
      <c r="M507" t="s">
        <v>700</v>
      </c>
    </row>
    <row r="508" spans="1:13" x14ac:dyDescent="0.25">
      <c r="A508" t="s">
        <v>89</v>
      </c>
      <c r="B508" s="6" t="s">
        <v>274</v>
      </c>
      <c r="C508" s="13">
        <v>104</v>
      </c>
      <c r="D508" s="14" t="s">
        <v>90</v>
      </c>
      <c r="E508">
        <v>10</v>
      </c>
      <c r="F508" s="8">
        <f>VLOOKUP(financials[[#This Row],[productid]],Products!$B$2:$H$10,3)</f>
        <v>5.9</v>
      </c>
      <c r="G508" s="8">
        <f>financials[[#This Row],[Units Sold]]*financials[[#This Row],[Sale Price]]</f>
        <v>59</v>
      </c>
      <c r="H508" s="8">
        <f>IF(financials[[#This Row],[Discount Band]]="low",0.1,IF(financials[[#This Row],[Discount Band]]="medium",0.15,0.3))</f>
        <v>0.15</v>
      </c>
      <c r="I508" s="8">
        <f>financials[[#This Row],[Gross Sales]]-financials[[#This Row],[Gross Sales]]*financials[[#This Row],[Discounts]]</f>
        <v>50.15</v>
      </c>
      <c r="J508" s="8">
        <f>VLOOKUP(financials[[#This Row],[productid]],Products!$B$2:$H$10,4)</f>
        <v>2.9</v>
      </c>
      <c r="K508" s="8">
        <f>financials[[#This Row],[Net Sales]]-financials[[#This Row],[COGS]]</f>
        <v>47.25</v>
      </c>
      <c r="L508" s="15">
        <v>44176</v>
      </c>
      <c r="M508" t="s">
        <v>696</v>
      </c>
    </row>
    <row r="509" spans="1:13" x14ac:dyDescent="0.25">
      <c r="A509" t="s">
        <v>85</v>
      </c>
      <c r="B509" s="6" t="s">
        <v>645</v>
      </c>
      <c r="C509" s="13">
        <v>109</v>
      </c>
      <c r="D509" s="14" t="s">
        <v>83</v>
      </c>
      <c r="E509">
        <v>6</v>
      </c>
      <c r="F509" s="8">
        <f>VLOOKUP(financials[[#This Row],[productid]],Products!$B$2:$H$10,3)</f>
        <v>36</v>
      </c>
      <c r="G509" s="8">
        <f>financials[[#This Row],[Units Sold]]*financials[[#This Row],[Sale Price]]</f>
        <v>216</v>
      </c>
      <c r="H509" s="8">
        <f>IF(financials[[#This Row],[Discount Band]]="low",0.1,IF(financials[[#This Row],[Discount Band]]="medium",0.15,0.3))</f>
        <v>0.3</v>
      </c>
      <c r="I509" s="8">
        <f>financials[[#This Row],[Gross Sales]]-financials[[#This Row],[Gross Sales]]*financials[[#This Row],[Discounts]]</f>
        <v>151.19999999999999</v>
      </c>
      <c r="J509" s="8">
        <f>VLOOKUP(financials[[#This Row],[productid]],Products!$B$2:$H$10,4)</f>
        <v>16.8</v>
      </c>
      <c r="K509" s="8">
        <f>financials[[#This Row],[Net Sales]]-financials[[#This Row],[COGS]]</f>
        <v>134.39999999999998</v>
      </c>
      <c r="L509" s="15">
        <v>44803</v>
      </c>
      <c r="M509" t="s">
        <v>697</v>
      </c>
    </row>
    <row r="510" spans="1:13" x14ac:dyDescent="0.25">
      <c r="A510" t="s">
        <v>85</v>
      </c>
      <c r="B510" s="6" t="s">
        <v>125</v>
      </c>
      <c r="C510" s="13">
        <v>104</v>
      </c>
      <c r="D510" s="14" t="s">
        <v>83</v>
      </c>
      <c r="E510">
        <v>14</v>
      </c>
      <c r="F510" s="8">
        <f>VLOOKUP(financials[[#This Row],[productid]],Products!$B$2:$H$10,3)</f>
        <v>5.9</v>
      </c>
      <c r="G510" s="8">
        <f>financials[[#This Row],[Units Sold]]*financials[[#This Row],[Sale Price]]</f>
        <v>82.600000000000009</v>
      </c>
      <c r="H510" s="8">
        <f>IF(financials[[#This Row],[Discount Band]]="low",0.1,IF(financials[[#This Row],[Discount Band]]="medium",0.15,0.3))</f>
        <v>0.3</v>
      </c>
      <c r="I510" s="8">
        <f>financials[[#This Row],[Gross Sales]]-financials[[#This Row],[Gross Sales]]*financials[[#This Row],[Discounts]]</f>
        <v>57.820000000000007</v>
      </c>
      <c r="J510" s="8">
        <f>VLOOKUP(financials[[#This Row],[productid]],Products!$B$2:$H$10,4)</f>
        <v>2.9</v>
      </c>
      <c r="K510" s="8">
        <f>financials[[#This Row],[Net Sales]]-financials[[#This Row],[COGS]]</f>
        <v>54.920000000000009</v>
      </c>
      <c r="L510" s="15">
        <v>43852</v>
      </c>
      <c r="M510" t="s">
        <v>697</v>
      </c>
    </row>
    <row r="511" spans="1:13" x14ac:dyDescent="0.25">
      <c r="A511" t="s">
        <v>86</v>
      </c>
      <c r="B511" s="6" t="s">
        <v>268</v>
      </c>
      <c r="C511" s="13">
        <v>103</v>
      </c>
      <c r="D511" s="14" t="s">
        <v>90</v>
      </c>
      <c r="E511">
        <v>20</v>
      </c>
      <c r="F511" s="8">
        <f>VLOOKUP(financials[[#This Row],[productid]],Products!$B$2:$H$10,3)</f>
        <v>28</v>
      </c>
      <c r="G511" s="8">
        <f>financials[[#This Row],[Units Sold]]*financials[[#This Row],[Sale Price]]</f>
        <v>560</v>
      </c>
      <c r="H511" s="8">
        <f>IF(financials[[#This Row],[Discount Band]]="low",0.1,IF(financials[[#This Row],[Discount Band]]="medium",0.15,0.3))</f>
        <v>0.15</v>
      </c>
      <c r="I511" s="8">
        <f>financials[[#This Row],[Gross Sales]]-financials[[#This Row],[Gross Sales]]*financials[[#This Row],[Discounts]]</f>
        <v>476</v>
      </c>
      <c r="J511" s="8">
        <f>VLOOKUP(financials[[#This Row],[productid]],Products!$B$2:$H$10,4)</f>
        <v>15</v>
      </c>
      <c r="K511" s="8">
        <f>financials[[#This Row],[Net Sales]]-financials[[#This Row],[COGS]]</f>
        <v>461</v>
      </c>
      <c r="L511" s="15">
        <v>45059</v>
      </c>
      <c r="M511" t="s">
        <v>700</v>
      </c>
    </row>
    <row r="512" spans="1:13" x14ac:dyDescent="0.25">
      <c r="A512" t="s">
        <v>86</v>
      </c>
      <c r="B512" s="6" t="s">
        <v>95</v>
      </c>
      <c r="C512" s="13">
        <v>106</v>
      </c>
      <c r="D512" s="14" t="s">
        <v>91</v>
      </c>
      <c r="E512">
        <v>20</v>
      </c>
      <c r="F512" s="8">
        <f>VLOOKUP(financials[[#This Row],[productid]],Products!$B$2:$H$10,3)</f>
        <v>25</v>
      </c>
      <c r="G512" s="8">
        <f>financials[[#This Row],[Units Sold]]*financials[[#This Row],[Sale Price]]</f>
        <v>500</v>
      </c>
      <c r="H512" s="8">
        <f>IF(financials[[#This Row],[Discount Band]]="low",0.1,IF(financials[[#This Row],[Discount Band]]="medium",0.15,0.3))</f>
        <v>0.1</v>
      </c>
      <c r="I512" s="8">
        <f>financials[[#This Row],[Gross Sales]]-financials[[#This Row],[Gross Sales]]*financials[[#This Row],[Discounts]]</f>
        <v>450</v>
      </c>
      <c r="J512" s="8">
        <f>VLOOKUP(financials[[#This Row],[productid]],Products!$B$2:$H$10,4)</f>
        <v>9.1</v>
      </c>
      <c r="K512" s="8">
        <f>financials[[#This Row],[Net Sales]]-financials[[#This Row],[COGS]]</f>
        <v>440.9</v>
      </c>
      <c r="L512" s="15">
        <v>44103</v>
      </c>
      <c r="M512" t="s">
        <v>690</v>
      </c>
    </row>
    <row r="513" spans="1:13" x14ac:dyDescent="0.25">
      <c r="A513" t="s">
        <v>85</v>
      </c>
      <c r="B513" s="6" t="s">
        <v>240</v>
      </c>
      <c r="C513" s="13">
        <v>103</v>
      </c>
      <c r="D513" s="14" t="s">
        <v>83</v>
      </c>
      <c r="E513">
        <v>17</v>
      </c>
      <c r="F513" s="8">
        <f>VLOOKUP(financials[[#This Row],[productid]],Products!$B$2:$H$10,3)</f>
        <v>28</v>
      </c>
      <c r="G513" s="8">
        <f>financials[[#This Row],[Units Sold]]*financials[[#This Row],[Sale Price]]</f>
        <v>476</v>
      </c>
      <c r="H513" s="8">
        <f>IF(financials[[#This Row],[Discount Band]]="low",0.1,IF(financials[[#This Row],[Discount Band]]="medium",0.15,0.3))</f>
        <v>0.3</v>
      </c>
      <c r="I513" s="8">
        <f>financials[[#This Row],[Gross Sales]]-financials[[#This Row],[Gross Sales]]*financials[[#This Row],[Discounts]]</f>
        <v>333.20000000000005</v>
      </c>
      <c r="J513" s="8">
        <f>VLOOKUP(financials[[#This Row],[productid]],Products!$B$2:$H$10,4)</f>
        <v>15</v>
      </c>
      <c r="K513" s="8">
        <f>financials[[#This Row],[Net Sales]]-financials[[#This Row],[COGS]]</f>
        <v>318.20000000000005</v>
      </c>
      <c r="L513" s="15">
        <v>45059</v>
      </c>
      <c r="M513" t="s">
        <v>700</v>
      </c>
    </row>
    <row r="514" spans="1:13" x14ac:dyDescent="0.25">
      <c r="A514" t="s">
        <v>86</v>
      </c>
      <c r="B514" s="6" t="s">
        <v>266</v>
      </c>
      <c r="C514" s="13">
        <v>102</v>
      </c>
      <c r="D514" s="14" t="s">
        <v>90</v>
      </c>
      <c r="E514">
        <v>7</v>
      </c>
      <c r="F514" s="8">
        <f>VLOOKUP(financials[[#This Row],[productid]],Products!$B$2:$H$10,3)</f>
        <v>15</v>
      </c>
      <c r="G514" s="8">
        <f>financials[[#This Row],[Units Sold]]*financials[[#This Row],[Sale Price]]</f>
        <v>105</v>
      </c>
      <c r="H514" s="8">
        <f>IF(financials[[#This Row],[Discount Band]]="low",0.1,IF(financials[[#This Row],[Discount Band]]="medium",0.15,0.3))</f>
        <v>0.15</v>
      </c>
      <c r="I514" s="8">
        <f>financials[[#This Row],[Gross Sales]]-financials[[#This Row],[Gross Sales]]*financials[[#This Row],[Discounts]]</f>
        <v>89.25</v>
      </c>
      <c r="J514" s="8">
        <f>VLOOKUP(financials[[#This Row],[productid]],Products!$B$2:$H$10,4)</f>
        <v>13.95</v>
      </c>
      <c r="K514" s="8">
        <f>financials[[#This Row],[Net Sales]]-financials[[#This Row],[COGS]]</f>
        <v>75.3</v>
      </c>
      <c r="L514" s="15">
        <v>45279</v>
      </c>
      <c r="M514" t="s">
        <v>690</v>
      </c>
    </row>
    <row r="515" spans="1:13" x14ac:dyDescent="0.25">
      <c r="A515" t="s">
        <v>86</v>
      </c>
      <c r="B515" s="6" t="s">
        <v>644</v>
      </c>
      <c r="C515" s="13">
        <v>105</v>
      </c>
      <c r="D515" s="14" t="s">
        <v>91</v>
      </c>
      <c r="E515">
        <v>14</v>
      </c>
      <c r="F515" s="8">
        <f>VLOOKUP(financials[[#This Row],[productid]],Products!$B$2:$H$10,3)</f>
        <v>15</v>
      </c>
      <c r="G515" s="8">
        <f>financials[[#This Row],[Units Sold]]*financials[[#This Row],[Sale Price]]</f>
        <v>210</v>
      </c>
      <c r="H515" s="8">
        <f>IF(financials[[#This Row],[Discount Band]]="low",0.1,IF(financials[[#This Row],[Discount Band]]="medium",0.15,0.3))</f>
        <v>0.1</v>
      </c>
      <c r="I515" s="8">
        <f>financials[[#This Row],[Gross Sales]]-financials[[#This Row],[Gross Sales]]*financials[[#This Row],[Discounts]]</f>
        <v>189</v>
      </c>
      <c r="J515" s="8">
        <f>VLOOKUP(financials[[#This Row],[productid]],Products!$B$2:$H$10,4)</f>
        <v>10</v>
      </c>
      <c r="K515" s="8">
        <f>financials[[#This Row],[Net Sales]]-financials[[#This Row],[COGS]]</f>
        <v>179</v>
      </c>
      <c r="L515" s="15">
        <v>43886</v>
      </c>
      <c r="M515" t="s">
        <v>696</v>
      </c>
    </row>
    <row r="516" spans="1:13" x14ac:dyDescent="0.25">
      <c r="A516" t="s">
        <v>86</v>
      </c>
      <c r="B516" s="6" t="s">
        <v>644</v>
      </c>
      <c r="C516" s="13">
        <v>107</v>
      </c>
      <c r="D516" s="14" t="s">
        <v>90</v>
      </c>
      <c r="E516">
        <v>5</v>
      </c>
      <c r="F516" s="8">
        <f>VLOOKUP(financials[[#This Row],[productid]],Products!$B$2:$H$10,3)</f>
        <v>15</v>
      </c>
      <c r="G516" s="8">
        <f>financials[[#This Row],[Units Sold]]*financials[[#This Row],[Sale Price]]</f>
        <v>75</v>
      </c>
      <c r="H516" s="8">
        <f>IF(financials[[#This Row],[Discount Band]]="low",0.1,IF(financials[[#This Row],[Discount Band]]="medium",0.15,0.3))</f>
        <v>0.15</v>
      </c>
      <c r="I516" s="8">
        <f>financials[[#This Row],[Gross Sales]]-financials[[#This Row],[Gross Sales]]*financials[[#This Row],[Discounts]]</f>
        <v>63.75</v>
      </c>
      <c r="J516" s="8">
        <f>VLOOKUP(financials[[#This Row],[productid]],Products!$B$2:$H$10,4)</f>
        <v>5.5</v>
      </c>
      <c r="K516" s="8">
        <f>financials[[#This Row],[Net Sales]]-financials[[#This Row],[COGS]]</f>
        <v>58.25</v>
      </c>
      <c r="L516" s="15">
        <v>44036</v>
      </c>
      <c r="M516" t="s">
        <v>700</v>
      </c>
    </row>
    <row r="517" spans="1:13" x14ac:dyDescent="0.25">
      <c r="A517" t="s">
        <v>89</v>
      </c>
      <c r="B517" s="6" t="s">
        <v>148</v>
      </c>
      <c r="C517" s="13">
        <v>101</v>
      </c>
      <c r="D517" s="14" t="s">
        <v>83</v>
      </c>
      <c r="E517">
        <v>10</v>
      </c>
      <c r="F517" s="8">
        <f>VLOOKUP(financials[[#This Row],[productid]],Products!$B$2:$H$10,3)</f>
        <v>23</v>
      </c>
      <c r="G517" s="8">
        <f>financials[[#This Row],[Units Sold]]*financials[[#This Row],[Sale Price]]</f>
        <v>230</v>
      </c>
      <c r="H517" s="8">
        <f>IF(financials[[#This Row],[Discount Band]]="low",0.1,IF(financials[[#This Row],[Discount Band]]="medium",0.15,0.3))</f>
        <v>0.3</v>
      </c>
      <c r="I517" s="8">
        <f>financials[[#This Row],[Gross Sales]]-financials[[#This Row],[Gross Sales]]*financials[[#This Row],[Discounts]]</f>
        <v>161</v>
      </c>
      <c r="J517" s="8">
        <f>VLOOKUP(financials[[#This Row],[productid]],Products!$B$2:$H$10,4)</f>
        <v>9.9499999999999993</v>
      </c>
      <c r="K517" s="8">
        <f>financials[[#This Row],[Net Sales]]-financials[[#This Row],[COGS]]</f>
        <v>151.05000000000001</v>
      </c>
      <c r="L517" s="15">
        <v>45026</v>
      </c>
      <c r="M517" t="s">
        <v>697</v>
      </c>
    </row>
    <row r="518" spans="1:13" x14ac:dyDescent="0.25">
      <c r="A518" t="s">
        <v>89</v>
      </c>
      <c r="B518" s="6" t="s">
        <v>617</v>
      </c>
      <c r="C518" s="13">
        <v>101</v>
      </c>
      <c r="D518" s="14" t="s">
        <v>90</v>
      </c>
      <c r="E518">
        <v>5</v>
      </c>
      <c r="F518" s="8">
        <f>VLOOKUP(financials[[#This Row],[productid]],Products!$B$2:$H$10,3)</f>
        <v>23</v>
      </c>
      <c r="G518" s="8">
        <f>financials[[#This Row],[Units Sold]]*financials[[#This Row],[Sale Price]]</f>
        <v>115</v>
      </c>
      <c r="H518" s="8">
        <f>IF(financials[[#This Row],[Discount Band]]="low",0.1,IF(financials[[#This Row],[Discount Band]]="medium",0.15,0.3))</f>
        <v>0.15</v>
      </c>
      <c r="I518" s="8">
        <f>financials[[#This Row],[Gross Sales]]-financials[[#This Row],[Gross Sales]]*financials[[#This Row],[Discounts]]</f>
        <v>97.75</v>
      </c>
      <c r="J518" s="8">
        <f>VLOOKUP(financials[[#This Row],[productid]],Products!$B$2:$H$10,4)</f>
        <v>9.9499999999999993</v>
      </c>
      <c r="K518" s="8">
        <f>financials[[#This Row],[Net Sales]]-financials[[#This Row],[COGS]]</f>
        <v>87.8</v>
      </c>
      <c r="L518" s="15">
        <v>45035</v>
      </c>
      <c r="M518" t="s">
        <v>696</v>
      </c>
    </row>
    <row r="519" spans="1:13" x14ac:dyDescent="0.25">
      <c r="A519" t="s">
        <v>89</v>
      </c>
      <c r="B519" s="6" t="s">
        <v>266</v>
      </c>
      <c r="C519" s="13">
        <v>105</v>
      </c>
      <c r="D519" s="14" t="s">
        <v>91</v>
      </c>
      <c r="E519">
        <v>6</v>
      </c>
      <c r="F519" s="8">
        <f>VLOOKUP(financials[[#This Row],[productid]],Products!$B$2:$H$10,3)</f>
        <v>15</v>
      </c>
      <c r="G519" s="8">
        <f>financials[[#This Row],[Units Sold]]*financials[[#This Row],[Sale Price]]</f>
        <v>90</v>
      </c>
      <c r="H519" s="8">
        <f>IF(financials[[#This Row],[Discount Band]]="low",0.1,IF(financials[[#This Row],[Discount Band]]="medium",0.15,0.3))</f>
        <v>0.1</v>
      </c>
      <c r="I519" s="8">
        <f>financials[[#This Row],[Gross Sales]]-financials[[#This Row],[Gross Sales]]*financials[[#This Row],[Discounts]]</f>
        <v>81</v>
      </c>
      <c r="J519" s="8">
        <f>VLOOKUP(financials[[#This Row],[productid]],Products!$B$2:$H$10,4)</f>
        <v>10</v>
      </c>
      <c r="K519" s="8">
        <f>financials[[#This Row],[Net Sales]]-financials[[#This Row],[COGS]]</f>
        <v>71</v>
      </c>
      <c r="L519" s="15">
        <v>43861</v>
      </c>
      <c r="M519" t="s">
        <v>696</v>
      </c>
    </row>
    <row r="520" spans="1:13" x14ac:dyDescent="0.25">
      <c r="A520" t="s">
        <v>85</v>
      </c>
      <c r="B520" s="6" t="s">
        <v>287</v>
      </c>
      <c r="C520" s="13">
        <v>109</v>
      </c>
      <c r="D520" s="14" t="s">
        <v>91</v>
      </c>
      <c r="E520">
        <v>12</v>
      </c>
      <c r="F520" s="8">
        <f>VLOOKUP(financials[[#This Row],[productid]],Products!$B$2:$H$10,3)</f>
        <v>36</v>
      </c>
      <c r="G520" s="8">
        <f>financials[[#This Row],[Units Sold]]*financials[[#This Row],[Sale Price]]</f>
        <v>432</v>
      </c>
      <c r="H520" s="8">
        <f>IF(financials[[#This Row],[Discount Band]]="low",0.1,IF(financials[[#This Row],[Discount Band]]="medium",0.15,0.3))</f>
        <v>0.1</v>
      </c>
      <c r="I520" s="8">
        <f>financials[[#This Row],[Gross Sales]]-financials[[#This Row],[Gross Sales]]*financials[[#This Row],[Discounts]]</f>
        <v>388.8</v>
      </c>
      <c r="J520" s="8">
        <f>VLOOKUP(financials[[#This Row],[productid]],Products!$B$2:$H$10,4)</f>
        <v>16.8</v>
      </c>
      <c r="K520" s="8">
        <f>financials[[#This Row],[Net Sales]]-financials[[#This Row],[COGS]]</f>
        <v>372</v>
      </c>
      <c r="L520" s="15">
        <v>44998</v>
      </c>
      <c r="M520" t="s">
        <v>696</v>
      </c>
    </row>
    <row r="521" spans="1:13" x14ac:dyDescent="0.25">
      <c r="A521" t="s">
        <v>85</v>
      </c>
      <c r="B521" s="6" t="s">
        <v>274</v>
      </c>
      <c r="C521" s="13">
        <v>104</v>
      </c>
      <c r="D521" s="14" t="s">
        <v>83</v>
      </c>
      <c r="E521">
        <v>10</v>
      </c>
      <c r="F521" s="8">
        <f>VLOOKUP(financials[[#This Row],[productid]],Products!$B$2:$H$10,3)</f>
        <v>5.9</v>
      </c>
      <c r="G521" s="8">
        <f>financials[[#This Row],[Units Sold]]*financials[[#This Row],[Sale Price]]</f>
        <v>59</v>
      </c>
      <c r="H521" s="8">
        <f>IF(financials[[#This Row],[Discount Band]]="low",0.1,IF(financials[[#This Row],[Discount Band]]="medium",0.15,0.3))</f>
        <v>0.3</v>
      </c>
      <c r="I521" s="8">
        <f>financials[[#This Row],[Gross Sales]]-financials[[#This Row],[Gross Sales]]*financials[[#This Row],[Discounts]]</f>
        <v>41.3</v>
      </c>
      <c r="J521" s="8">
        <f>VLOOKUP(financials[[#This Row],[productid]],Products!$B$2:$H$10,4)</f>
        <v>2.9</v>
      </c>
      <c r="K521" s="8">
        <f>financials[[#This Row],[Net Sales]]-financials[[#This Row],[COGS]]</f>
        <v>38.4</v>
      </c>
      <c r="L521" s="15">
        <v>44522</v>
      </c>
      <c r="M521" t="s">
        <v>700</v>
      </c>
    </row>
    <row r="522" spans="1:13" x14ac:dyDescent="0.25">
      <c r="A522" t="s">
        <v>86</v>
      </c>
      <c r="B522" s="6" t="s">
        <v>95</v>
      </c>
      <c r="C522" s="11">
        <v>106</v>
      </c>
      <c r="D522" s="9" t="s">
        <v>90</v>
      </c>
      <c r="E522">
        <v>11</v>
      </c>
      <c r="F522" s="8">
        <f>VLOOKUP(financials[[#This Row],[productid]],Products!$B$2:$H$10,3)</f>
        <v>25</v>
      </c>
      <c r="G522" s="8">
        <f>financials[[#This Row],[Units Sold]]*financials[[#This Row],[Sale Price]]</f>
        <v>275</v>
      </c>
      <c r="H522" s="8">
        <f>IF(financials[[#This Row],[Discount Band]]="low",0.1,IF(financials[[#This Row],[Discount Band]]="medium",0.15,0.3))</f>
        <v>0.15</v>
      </c>
      <c r="I522" s="8">
        <f>financials[[#This Row],[Gross Sales]]-financials[[#This Row],[Gross Sales]]*financials[[#This Row],[Discounts]]</f>
        <v>233.75</v>
      </c>
      <c r="J522" s="8">
        <f>VLOOKUP(financials[[#This Row],[productid]],Products!$B$2:$H$10,4)</f>
        <v>9.1</v>
      </c>
      <c r="K522" s="8">
        <f>financials[[#This Row],[Net Sales]]-financials[[#This Row],[COGS]]</f>
        <v>224.65</v>
      </c>
      <c r="L522" s="15">
        <v>43994</v>
      </c>
      <c r="M522" t="s">
        <v>700</v>
      </c>
    </row>
    <row r="523" spans="1:13" x14ac:dyDescent="0.25">
      <c r="A523" t="s">
        <v>89</v>
      </c>
      <c r="B523" s="6" t="s">
        <v>274</v>
      </c>
      <c r="C523" s="13">
        <v>108</v>
      </c>
      <c r="D523" s="14" t="s">
        <v>92</v>
      </c>
      <c r="E523">
        <v>18</v>
      </c>
      <c r="F523" s="8">
        <f>VLOOKUP(financials[[#This Row],[productid]],Products!$B$2:$H$10,3)</f>
        <v>5.5</v>
      </c>
      <c r="G523" s="8">
        <f>financials[[#This Row],[Units Sold]]*financials[[#This Row],[Sale Price]]</f>
        <v>99</v>
      </c>
      <c r="H523" s="8">
        <f>IF(financials[[#This Row],[Discount Band]]="low",0.1,IF(financials[[#This Row],[Discount Band]]="medium",0.15,0.3))</f>
        <v>0.3</v>
      </c>
      <c r="I523" s="8">
        <f>financials[[#This Row],[Gross Sales]]-financials[[#This Row],[Gross Sales]]*financials[[#This Row],[Discounts]]</f>
        <v>69.3</v>
      </c>
      <c r="J523" s="8">
        <f>VLOOKUP(financials[[#This Row],[productid]],Products!$B$2:$H$10,4)</f>
        <v>3.99</v>
      </c>
      <c r="K523" s="8">
        <f>financials[[#This Row],[Net Sales]]-financials[[#This Row],[COGS]]</f>
        <v>65.31</v>
      </c>
      <c r="L523" s="15">
        <v>43967</v>
      </c>
      <c r="M523" t="s">
        <v>700</v>
      </c>
    </row>
    <row r="524" spans="1:13" x14ac:dyDescent="0.25">
      <c r="A524" t="s">
        <v>85</v>
      </c>
      <c r="B524" s="6" t="s">
        <v>96</v>
      </c>
      <c r="C524" s="13">
        <v>109</v>
      </c>
      <c r="D524" s="14" t="s">
        <v>90</v>
      </c>
      <c r="E524">
        <v>18</v>
      </c>
      <c r="F524" s="8">
        <f>VLOOKUP(financials[[#This Row],[productid]],Products!$B$2:$H$10,3)</f>
        <v>36</v>
      </c>
      <c r="G524" s="8">
        <f>financials[[#This Row],[Units Sold]]*financials[[#This Row],[Sale Price]]</f>
        <v>648</v>
      </c>
      <c r="H524" s="8">
        <f>IF(financials[[#This Row],[Discount Band]]="low",0.1,IF(financials[[#This Row],[Discount Band]]="medium",0.15,0.3))</f>
        <v>0.15</v>
      </c>
      <c r="I524" s="8">
        <f>financials[[#This Row],[Gross Sales]]-financials[[#This Row],[Gross Sales]]*financials[[#This Row],[Discounts]]</f>
        <v>550.79999999999995</v>
      </c>
      <c r="J524" s="8">
        <f>VLOOKUP(financials[[#This Row],[productid]],Products!$B$2:$H$10,4)</f>
        <v>16.8</v>
      </c>
      <c r="K524" s="8">
        <f>financials[[#This Row],[Net Sales]]-financials[[#This Row],[COGS]]</f>
        <v>534</v>
      </c>
      <c r="L524" s="15">
        <v>44405</v>
      </c>
      <c r="M524" t="s">
        <v>690</v>
      </c>
    </row>
    <row r="525" spans="1:13" x14ac:dyDescent="0.25">
      <c r="A525" t="s">
        <v>85</v>
      </c>
      <c r="B525" s="6" t="s">
        <v>287</v>
      </c>
      <c r="C525" s="13">
        <v>105</v>
      </c>
      <c r="D525" s="14" t="s">
        <v>90</v>
      </c>
      <c r="E525">
        <v>10</v>
      </c>
      <c r="F525" s="8">
        <f>VLOOKUP(financials[[#This Row],[productid]],Products!$B$2:$H$10,3)</f>
        <v>15</v>
      </c>
      <c r="G525" s="8">
        <f>financials[[#This Row],[Units Sold]]*financials[[#This Row],[Sale Price]]</f>
        <v>150</v>
      </c>
      <c r="H525" s="8">
        <f>IF(financials[[#This Row],[Discount Band]]="low",0.1,IF(financials[[#This Row],[Discount Band]]="medium",0.15,0.3))</f>
        <v>0.15</v>
      </c>
      <c r="I525" s="8">
        <f>financials[[#This Row],[Gross Sales]]-financials[[#This Row],[Gross Sales]]*financials[[#This Row],[Discounts]]</f>
        <v>127.5</v>
      </c>
      <c r="J525" s="8">
        <f>VLOOKUP(financials[[#This Row],[productid]],Products!$B$2:$H$10,4)</f>
        <v>10</v>
      </c>
      <c r="K525" s="8">
        <f>financials[[#This Row],[Net Sales]]-financials[[#This Row],[COGS]]</f>
        <v>117.5</v>
      </c>
      <c r="L525" s="15">
        <v>45521</v>
      </c>
      <c r="M525" t="s">
        <v>691</v>
      </c>
    </row>
    <row r="526" spans="1:13" x14ac:dyDescent="0.25">
      <c r="A526" t="s">
        <v>86</v>
      </c>
      <c r="B526" s="6" t="s">
        <v>198</v>
      </c>
      <c r="C526" s="13">
        <v>104</v>
      </c>
      <c r="D526" s="14" t="s">
        <v>90</v>
      </c>
      <c r="E526">
        <v>14</v>
      </c>
      <c r="F526" s="8">
        <f>VLOOKUP(financials[[#This Row],[productid]],Products!$B$2:$H$10,3)</f>
        <v>5.9</v>
      </c>
      <c r="G526" s="8">
        <f>financials[[#This Row],[Units Sold]]*financials[[#This Row],[Sale Price]]</f>
        <v>82.600000000000009</v>
      </c>
      <c r="H526" s="8">
        <f>IF(financials[[#This Row],[Discount Band]]="low",0.1,IF(financials[[#This Row],[Discount Band]]="medium",0.15,0.3))</f>
        <v>0.15</v>
      </c>
      <c r="I526" s="8">
        <f>financials[[#This Row],[Gross Sales]]-financials[[#This Row],[Gross Sales]]*financials[[#This Row],[Discounts]]</f>
        <v>70.210000000000008</v>
      </c>
      <c r="J526" s="8">
        <f>VLOOKUP(financials[[#This Row],[productid]],Products!$B$2:$H$10,4)</f>
        <v>2.9</v>
      </c>
      <c r="K526" s="8">
        <f>financials[[#This Row],[Net Sales]]-financials[[#This Row],[COGS]]</f>
        <v>67.31</v>
      </c>
      <c r="L526" s="15">
        <v>45101</v>
      </c>
      <c r="M526" t="s">
        <v>690</v>
      </c>
    </row>
    <row r="527" spans="1:13" x14ac:dyDescent="0.25">
      <c r="A527" t="s">
        <v>89</v>
      </c>
      <c r="B527" s="6" t="s">
        <v>645</v>
      </c>
      <c r="C527" s="13">
        <v>107</v>
      </c>
      <c r="D527" s="14" t="s">
        <v>83</v>
      </c>
      <c r="E527">
        <v>16</v>
      </c>
      <c r="F527" s="8">
        <f>VLOOKUP(financials[[#This Row],[productid]],Products!$B$2:$H$10,3)</f>
        <v>15</v>
      </c>
      <c r="G527" s="8">
        <f>financials[[#This Row],[Units Sold]]*financials[[#This Row],[Sale Price]]</f>
        <v>240</v>
      </c>
      <c r="H527" s="8">
        <f>IF(financials[[#This Row],[Discount Band]]="low",0.1,IF(financials[[#This Row],[Discount Band]]="medium",0.15,0.3))</f>
        <v>0.3</v>
      </c>
      <c r="I527" s="8">
        <f>financials[[#This Row],[Gross Sales]]-financials[[#This Row],[Gross Sales]]*financials[[#This Row],[Discounts]]</f>
        <v>168</v>
      </c>
      <c r="J527" s="8">
        <f>VLOOKUP(financials[[#This Row],[productid]],Products!$B$2:$H$10,4)</f>
        <v>5.5</v>
      </c>
      <c r="K527" s="8">
        <f>financials[[#This Row],[Net Sales]]-financials[[#This Row],[COGS]]</f>
        <v>162.5</v>
      </c>
      <c r="L527" s="15">
        <v>45447</v>
      </c>
      <c r="M527" t="s">
        <v>697</v>
      </c>
    </row>
    <row r="528" spans="1:13" x14ac:dyDescent="0.25">
      <c r="A528" t="s">
        <v>89</v>
      </c>
      <c r="B528" s="6" t="s">
        <v>125</v>
      </c>
      <c r="C528" s="13">
        <v>107</v>
      </c>
      <c r="D528" s="14" t="s">
        <v>83</v>
      </c>
      <c r="E528">
        <v>12</v>
      </c>
      <c r="F528" s="8">
        <f>VLOOKUP(financials[[#This Row],[productid]],Products!$B$2:$H$10,3)</f>
        <v>15</v>
      </c>
      <c r="G528" s="8">
        <f>financials[[#This Row],[Units Sold]]*financials[[#This Row],[Sale Price]]</f>
        <v>180</v>
      </c>
      <c r="H528" s="8">
        <f>IF(financials[[#This Row],[Discount Band]]="low",0.1,IF(financials[[#This Row],[Discount Band]]="medium",0.15,0.3))</f>
        <v>0.3</v>
      </c>
      <c r="I528" s="8">
        <f>financials[[#This Row],[Gross Sales]]-financials[[#This Row],[Gross Sales]]*financials[[#This Row],[Discounts]]</f>
        <v>126</v>
      </c>
      <c r="J528" s="8">
        <f>VLOOKUP(financials[[#This Row],[productid]],Products!$B$2:$H$10,4)</f>
        <v>5.5</v>
      </c>
      <c r="K528" s="8">
        <f>financials[[#This Row],[Net Sales]]-financials[[#This Row],[COGS]]</f>
        <v>120.5</v>
      </c>
      <c r="L528" s="15">
        <v>45158</v>
      </c>
      <c r="M528" t="s">
        <v>690</v>
      </c>
    </row>
    <row r="529" spans="1:13" x14ac:dyDescent="0.25">
      <c r="A529" t="s">
        <v>86</v>
      </c>
      <c r="B529" s="6" t="s">
        <v>545</v>
      </c>
      <c r="C529" s="13">
        <v>101</v>
      </c>
      <c r="D529" s="14" t="s">
        <v>83</v>
      </c>
      <c r="E529">
        <v>19</v>
      </c>
      <c r="F529" s="8">
        <f>VLOOKUP(financials[[#This Row],[productid]],Products!$B$2:$H$10,3)</f>
        <v>23</v>
      </c>
      <c r="G529" s="8">
        <f>financials[[#This Row],[Units Sold]]*financials[[#This Row],[Sale Price]]</f>
        <v>437</v>
      </c>
      <c r="H529" s="8">
        <f>IF(financials[[#This Row],[Discount Band]]="low",0.1,IF(financials[[#This Row],[Discount Band]]="medium",0.15,0.3))</f>
        <v>0.3</v>
      </c>
      <c r="I529" s="8">
        <f>financials[[#This Row],[Gross Sales]]-financials[[#This Row],[Gross Sales]]*financials[[#This Row],[Discounts]]</f>
        <v>305.89999999999998</v>
      </c>
      <c r="J529" s="8">
        <f>VLOOKUP(financials[[#This Row],[productid]],Products!$B$2:$H$10,4)</f>
        <v>9.9499999999999993</v>
      </c>
      <c r="K529" s="8">
        <f>financials[[#This Row],[Net Sales]]-financials[[#This Row],[COGS]]</f>
        <v>295.95</v>
      </c>
      <c r="L529" s="15">
        <v>44874</v>
      </c>
      <c r="M529" t="s">
        <v>697</v>
      </c>
    </row>
    <row r="530" spans="1:13" x14ac:dyDescent="0.25">
      <c r="A530" t="s">
        <v>85</v>
      </c>
      <c r="B530" s="6" t="s">
        <v>274</v>
      </c>
      <c r="C530" s="11">
        <v>105</v>
      </c>
      <c r="D530" s="9" t="s">
        <v>91</v>
      </c>
      <c r="E530">
        <v>16</v>
      </c>
      <c r="F530" s="8">
        <f>VLOOKUP(financials[[#This Row],[productid]],Products!$B$2:$H$10,3)</f>
        <v>15</v>
      </c>
      <c r="G530" s="8">
        <f>financials[[#This Row],[Units Sold]]*financials[[#This Row],[Sale Price]]</f>
        <v>240</v>
      </c>
      <c r="H530" s="8">
        <f>IF(financials[[#This Row],[Discount Band]]="low",0.1,IF(financials[[#This Row],[Discount Band]]="medium",0.15,0.3))</f>
        <v>0.1</v>
      </c>
      <c r="I530" s="8">
        <f>financials[[#This Row],[Gross Sales]]-financials[[#This Row],[Gross Sales]]*financials[[#This Row],[Discounts]]</f>
        <v>216</v>
      </c>
      <c r="J530" s="8">
        <f>VLOOKUP(financials[[#This Row],[productid]],Products!$B$2:$H$10,4)</f>
        <v>10</v>
      </c>
      <c r="K530" s="8">
        <f>financials[[#This Row],[Net Sales]]-financials[[#This Row],[COGS]]</f>
        <v>206</v>
      </c>
      <c r="L530" s="15">
        <v>44321</v>
      </c>
      <c r="M530" t="s">
        <v>691</v>
      </c>
    </row>
    <row r="531" spans="1:13" x14ac:dyDescent="0.25">
      <c r="A531" t="s">
        <v>85</v>
      </c>
      <c r="B531" s="6" t="s">
        <v>93</v>
      </c>
      <c r="C531" s="13">
        <v>109</v>
      </c>
      <c r="D531" s="14" t="s">
        <v>92</v>
      </c>
      <c r="E531">
        <v>12</v>
      </c>
      <c r="F531" s="8">
        <f>VLOOKUP(financials[[#This Row],[productid]],Products!$B$2:$H$10,3)</f>
        <v>36</v>
      </c>
      <c r="G531" s="8">
        <f>financials[[#This Row],[Units Sold]]*financials[[#This Row],[Sale Price]]</f>
        <v>432</v>
      </c>
      <c r="H531" s="8">
        <f>IF(financials[[#This Row],[Discount Band]]="low",0.1,IF(financials[[#This Row],[Discount Band]]="medium",0.15,0.3))</f>
        <v>0.3</v>
      </c>
      <c r="I531" s="8">
        <f>financials[[#This Row],[Gross Sales]]-financials[[#This Row],[Gross Sales]]*financials[[#This Row],[Discounts]]</f>
        <v>302.39999999999998</v>
      </c>
      <c r="J531" s="8">
        <f>VLOOKUP(financials[[#This Row],[productid]],Products!$B$2:$H$10,4)</f>
        <v>16.8</v>
      </c>
      <c r="K531" s="8">
        <f>financials[[#This Row],[Net Sales]]-financials[[#This Row],[COGS]]</f>
        <v>285.59999999999997</v>
      </c>
      <c r="L531" s="15">
        <v>44999</v>
      </c>
      <c r="M531" t="s">
        <v>700</v>
      </c>
    </row>
    <row r="532" spans="1:13" x14ac:dyDescent="0.25">
      <c r="A532" t="s">
        <v>85</v>
      </c>
      <c r="B532" s="6" t="s">
        <v>240</v>
      </c>
      <c r="C532" s="13">
        <v>106</v>
      </c>
      <c r="D532" s="14" t="s">
        <v>83</v>
      </c>
      <c r="E532">
        <v>5</v>
      </c>
      <c r="F532" s="8">
        <f>VLOOKUP(financials[[#This Row],[productid]],Products!$B$2:$H$10,3)</f>
        <v>25</v>
      </c>
      <c r="G532" s="8">
        <f>financials[[#This Row],[Units Sold]]*financials[[#This Row],[Sale Price]]</f>
        <v>125</v>
      </c>
      <c r="H532" s="8">
        <f>IF(financials[[#This Row],[Discount Band]]="low",0.1,IF(financials[[#This Row],[Discount Band]]="medium",0.15,0.3))</f>
        <v>0.3</v>
      </c>
      <c r="I532" s="8">
        <f>financials[[#This Row],[Gross Sales]]-financials[[#This Row],[Gross Sales]]*financials[[#This Row],[Discounts]]</f>
        <v>87.5</v>
      </c>
      <c r="J532" s="8">
        <f>VLOOKUP(financials[[#This Row],[productid]],Products!$B$2:$H$10,4)</f>
        <v>9.1</v>
      </c>
      <c r="K532" s="8">
        <f>financials[[#This Row],[Net Sales]]-financials[[#This Row],[COGS]]</f>
        <v>78.400000000000006</v>
      </c>
      <c r="L532" s="15">
        <v>44868</v>
      </c>
      <c r="M532" t="s">
        <v>697</v>
      </c>
    </row>
    <row r="533" spans="1:13" x14ac:dyDescent="0.25">
      <c r="A533" t="s">
        <v>86</v>
      </c>
      <c r="B533" s="6" t="s">
        <v>198</v>
      </c>
      <c r="C533" s="13">
        <v>108</v>
      </c>
      <c r="D533" s="14" t="s">
        <v>83</v>
      </c>
      <c r="E533">
        <v>7</v>
      </c>
      <c r="F533" s="8">
        <f>VLOOKUP(financials[[#This Row],[productid]],Products!$B$2:$H$10,3)</f>
        <v>5.5</v>
      </c>
      <c r="G533" s="8">
        <f>financials[[#This Row],[Units Sold]]*financials[[#This Row],[Sale Price]]</f>
        <v>38.5</v>
      </c>
      <c r="H533" s="8">
        <f>IF(financials[[#This Row],[Discount Band]]="low",0.1,IF(financials[[#This Row],[Discount Band]]="medium",0.15,0.3))</f>
        <v>0.3</v>
      </c>
      <c r="I533" s="8">
        <f>financials[[#This Row],[Gross Sales]]-financials[[#This Row],[Gross Sales]]*financials[[#This Row],[Discounts]]</f>
        <v>26.950000000000003</v>
      </c>
      <c r="J533" s="8">
        <f>VLOOKUP(financials[[#This Row],[productid]],Products!$B$2:$H$10,4)</f>
        <v>3.99</v>
      </c>
      <c r="K533" s="8">
        <f>financials[[#This Row],[Net Sales]]-financials[[#This Row],[COGS]]</f>
        <v>22.96</v>
      </c>
      <c r="L533" s="15">
        <v>45295</v>
      </c>
      <c r="M533" t="s">
        <v>690</v>
      </c>
    </row>
    <row r="534" spans="1:13" x14ac:dyDescent="0.25">
      <c r="A534" t="s">
        <v>86</v>
      </c>
      <c r="B534" s="6" t="s">
        <v>198</v>
      </c>
      <c r="C534" s="13">
        <v>104</v>
      </c>
      <c r="D534" s="14" t="s">
        <v>83</v>
      </c>
      <c r="E534">
        <v>7</v>
      </c>
      <c r="F534" s="8">
        <f>VLOOKUP(financials[[#This Row],[productid]],Products!$B$2:$H$10,3)</f>
        <v>5.9</v>
      </c>
      <c r="G534" s="8">
        <f>financials[[#This Row],[Units Sold]]*financials[[#This Row],[Sale Price]]</f>
        <v>41.300000000000004</v>
      </c>
      <c r="H534" s="8">
        <f>IF(financials[[#This Row],[Discount Band]]="low",0.1,IF(financials[[#This Row],[Discount Band]]="medium",0.15,0.3))</f>
        <v>0.3</v>
      </c>
      <c r="I534" s="8">
        <f>financials[[#This Row],[Gross Sales]]-financials[[#This Row],[Gross Sales]]*financials[[#This Row],[Discounts]]</f>
        <v>28.910000000000004</v>
      </c>
      <c r="J534" s="8">
        <f>VLOOKUP(financials[[#This Row],[productid]],Products!$B$2:$H$10,4)</f>
        <v>2.9</v>
      </c>
      <c r="K534" s="8">
        <f>financials[[#This Row],[Net Sales]]-financials[[#This Row],[COGS]]</f>
        <v>26.010000000000005</v>
      </c>
      <c r="L534" s="15">
        <v>43918</v>
      </c>
      <c r="M534" t="s">
        <v>691</v>
      </c>
    </row>
    <row r="535" spans="1:13" x14ac:dyDescent="0.25">
      <c r="A535" t="s">
        <v>86</v>
      </c>
      <c r="B535" s="6" t="s">
        <v>198</v>
      </c>
      <c r="C535" s="13">
        <v>102</v>
      </c>
      <c r="D535" s="14" t="s">
        <v>91</v>
      </c>
      <c r="E535">
        <v>18</v>
      </c>
      <c r="F535" s="8">
        <f>VLOOKUP(financials[[#This Row],[productid]],Products!$B$2:$H$10,3)</f>
        <v>15</v>
      </c>
      <c r="G535" s="8">
        <f>financials[[#This Row],[Units Sold]]*financials[[#This Row],[Sale Price]]</f>
        <v>270</v>
      </c>
      <c r="H535" s="8">
        <f>IF(financials[[#This Row],[Discount Band]]="low",0.1,IF(financials[[#This Row],[Discount Band]]="medium",0.15,0.3))</f>
        <v>0.1</v>
      </c>
      <c r="I535" s="8">
        <f>financials[[#This Row],[Gross Sales]]-financials[[#This Row],[Gross Sales]]*financials[[#This Row],[Discounts]]</f>
        <v>243</v>
      </c>
      <c r="J535" s="8">
        <f>VLOOKUP(financials[[#This Row],[productid]],Products!$B$2:$H$10,4)</f>
        <v>13.95</v>
      </c>
      <c r="K535" s="8">
        <f>financials[[#This Row],[Net Sales]]-financials[[#This Row],[COGS]]</f>
        <v>229.05</v>
      </c>
      <c r="L535" s="15">
        <v>45419</v>
      </c>
      <c r="M535" t="s">
        <v>690</v>
      </c>
    </row>
    <row r="536" spans="1:13" x14ac:dyDescent="0.25">
      <c r="A536" t="s">
        <v>89</v>
      </c>
      <c r="B536" s="6" t="s">
        <v>125</v>
      </c>
      <c r="C536" s="13">
        <v>108</v>
      </c>
      <c r="D536" s="14" t="s">
        <v>83</v>
      </c>
      <c r="E536">
        <v>16</v>
      </c>
      <c r="F536" s="8">
        <f>VLOOKUP(financials[[#This Row],[productid]],Products!$B$2:$H$10,3)</f>
        <v>5.5</v>
      </c>
      <c r="G536" s="8">
        <f>financials[[#This Row],[Units Sold]]*financials[[#This Row],[Sale Price]]</f>
        <v>88</v>
      </c>
      <c r="H536" s="8">
        <f>IF(financials[[#This Row],[Discount Band]]="low",0.1,IF(financials[[#This Row],[Discount Band]]="medium",0.15,0.3))</f>
        <v>0.3</v>
      </c>
      <c r="I536" s="8">
        <f>financials[[#This Row],[Gross Sales]]-financials[[#This Row],[Gross Sales]]*financials[[#This Row],[Discounts]]</f>
        <v>61.6</v>
      </c>
      <c r="J536" s="8">
        <f>VLOOKUP(financials[[#This Row],[productid]],Products!$B$2:$H$10,4)</f>
        <v>3.99</v>
      </c>
      <c r="K536" s="8">
        <f>financials[[#This Row],[Net Sales]]-financials[[#This Row],[COGS]]</f>
        <v>57.61</v>
      </c>
      <c r="L536" s="15">
        <v>45313</v>
      </c>
      <c r="M536" t="s">
        <v>696</v>
      </c>
    </row>
    <row r="537" spans="1:13" x14ac:dyDescent="0.25">
      <c r="A537" t="s">
        <v>85</v>
      </c>
      <c r="B537" s="6" t="s">
        <v>96</v>
      </c>
      <c r="C537" s="11">
        <v>104</v>
      </c>
      <c r="D537" s="9" t="s">
        <v>83</v>
      </c>
      <c r="E537">
        <v>15</v>
      </c>
      <c r="F537" s="8">
        <f>VLOOKUP(financials[[#This Row],[productid]],Products!$B$2:$H$10,3)</f>
        <v>5.9</v>
      </c>
      <c r="G537" s="8">
        <f>financials[[#This Row],[Units Sold]]*financials[[#This Row],[Sale Price]]</f>
        <v>88.5</v>
      </c>
      <c r="H537" s="8">
        <f>IF(financials[[#This Row],[Discount Band]]="low",0.1,IF(financials[[#This Row],[Discount Band]]="medium",0.15,0.3))</f>
        <v>0.3</v>
      </c>
      <c r="I537" s="8">
        <f>financials[[#This Row],[Gross Sales]]-financials[[#This Row],[Gross Sales]]*financials[[#This Row],[Discounts]]</f>
        <v>61.95</v>
      </c>
      <c r="J537" s="8">
        <f>VLOOKUP(financials[[#This Row],[productid]],Products!$B$2:$H$10,4)</f>
        <v>2.9</v>
      </c>
      <c r="K537" s="8">
        <f>financials[[#This Row],[Net Sales]]-financials[[#This Row],[COGS]]</f>
        <v>59.050000000000004</v>
      </c>
      <c r="L537" s="15">
        <v>44927</v>
      </c>
      <c r="M537" t="s">
        <v>696</v>
      </c>
    </row>
    <row r="538" spans="1:13" x14ac:dyDescent="0.25">
      <c r="A538" t="s">
        <v>86</v>
      </c>
      <c r="B538" s="6" t="s">
        <v>276</v>
      </c>
      <c r="C538" s="13">
        <v>103</v>
      </c>
      <c r="D538" s="14" t="s">
        <v>83</v>
      </c>
      <c r="E538">
        <v>10</v>
      </c>
      <c r="F538" s="8">
        <f>VLOOKUP(financials[[#This Row],[productid]],Products!$B$2:$H$10,3)</f>
        <v>28</v>
      </c>
      <c r="G538" s="8">
        <f>financials[[#This Row],[Units Sold]]*financials[[#This Row],[Sale Price]]</f>
        <v>280</v>
      </c>
      <c r="H538" s="8">
        <f>IF(financials[[#This Row],[Discount Band]]="low",0.1,IF(financials[[#This Row],[Discount Band]]="medium",0.15,0.3))</f>
        <v>0.3</v>
      </c>
      <c r="I538" s="8">
        <f>financials[[#This Row],[Gross Sales]]-financials[[#This Row],[Gross Sales]]*financials[[#This Row],[Discounts]]</f>
        <v>196</v>
      </c>
      <c r="J538" s="8">
        <f>VLOOKUP(financials[[#This Row],[productid]],Products!$B$2:$H$10,4)</f>
        <v>15</v>
      </c>
      <c r="K538" s="8">
        <f>financials[[#This Row],[Net Sales]]-financials[[#This Row],[COGS]]</f>
        <v>181</v>
      </c>
      <c r="L538" s="15">
        <v>45496</v>
      </c>
      <c r="M538" t="s">
        <v>690</v>
      </c>
    </row>
    <row r="539" spans="1:13" x14ac:dyDescent="0.25">
      <c r="A539" t="s">
        <v>85</v>
      </c>
      <c r="B539" s="6" t="s">
        <v>125</v>
      </c>
      <c r="C539" s="13">
        <v>106</v>
      </c>
      <c r="D539" s="14" t="s">
        <v>83</v>
      </c>
      <c r="E539">
        <v>5</v>
      </c>
      <c r="F539" s="8">
        <f>VLOOKUP(financials[[#This Row],[productid]],Products!$B$2:$H$10,3)</f>
        <v>25</v>
      </c>
      <c r="G539" s="8">
        <f>financials[[#This Row],[Units Sold]]*financials[[#This Row],[Sale Price]]</f>
        <v>125</v>
      </c>
      <c r="H539" s="8">
        <f>IF(financials[[#This Row],[Discount Band]]="low",0.1,IF(financials[[#This Row],[Discount Band]]="medium",0.15,0.3))</f>
        <v>0.3</v>
      </c>
      <c r="I539" s="8">
        <f>financials[[#This Row],[Gross Sales]]-financials[[#This Row],[Gross Sales]]*financials[[#This Row],[Discounts]]</f>
        <v>87.5</v>
      </c>
      <c r="J539" s="8">
        <f>VLOOKUP(financials[[#This Row],[productid]],Products!$B$2:$H$10,4)</f>
        <v>9.1</v>
      </c>
      <c r="K539" s="8">
        <f>financials[[#This Row],[Net Sales]]-financials[[#This Row],[COGS]]</f>
        <v>78.400000000000006</v>
      </c>
      <c r="L539" s="15">
        <v>43863</v>
      </c>
      <c r="M539" t="s">
        <v>696</v>
      </c>
    </row>
    <row r="540" spans="1:13" x14ac:dyDescent="0.25">
      <c r="A540" t="s">
        <v>86</v>
      </c>
      <c r="B540" s="6" t="s">
        <v>94</v>
      </c>
      <c r="C540" s="13">
        <v>103</v>
      </c>
      <c r="D540" s="14" t="s">
        <v>90</v>
      </c>
      <c r="E540">
        <v>9</v>
      </c>
      <c r="F540" s="8">
        <f>VLOOKUP(financials[[#This Row],[productid]],Products!$B$2:$H$10,3)</f>
        <v>28</v>
      </c>
      <c r="G540" s="8">
        <f>financials[[#This Row],[Units Sold]]*financials[[#This Row],[Sale Price]]</f>
        <v>252</v>
      </c>
      <c r="H540" s="8">
        <f>IF(financials[[#This Row],[Discount Band]]="low",0.1,IF(financials[[#This Row],[Discount Band]]="medium",0.15,0.3))</f>
        <v>0.15</v>
      </c>
      <c r="I540" s="8">
        <f>financials[[#This Row],[Gross Sales]]-financials[[#This Row],[Gross Sales]]*financials[[#This Row],[Discounts]]</f>
        <v>214.2</v>
      </c>
      <c r="J540" s="8">
        <f>VLOOKUP(financials[[#This Row],[productid]],Products!$B$2:$H$10,4)</f>
        <v>15</v>
      </c>
      <c r="K540" s="8">
        <f>financials[[#This Row],[Net Sales]]-financials[[#This Row],[COGS]]</f>
        <v>199.2</v>
      </c>
      <c r="L540" s="15">
        <v>44679</v>
      </c>
      <c r="M540" t="s">
        <v>696</v>
      </c>
    </row>
    <row r="541" spans="1:13" x14ac:dyDescent="0.25">
      <c r="A541" t="s">
        <v>85</v>
      </c>
      <c r="B541" s="6" t="s">
        <v>125</v>
      </c>
      <c r="C541" s="13">
        <v>108</v>
      </c>
      <c r="D541" s="14" t="s">
        <v>83</v>
      </c>
      <c r="E541">
        <v>20</v>
      </c>
      <c r="F541" s="8">
        <f>VLOOKUP(financials[[#This Row],[productid]],Products!$B$2:$H$10,3)</f>
        <v>5.5</v>
      </c>
      <c r="G541" s="8">
        <f>financials[[#This Row],[Units Sold]]*financials[[#This Row],[Sale Price]]</f>
        <v>110</v>
      </c>
      <c r="H541" s="8">
        <f>IF(financials[[#This Row],[Discount Band]]="low",0.1,IF(financials[[#This Row],[Discount Band]]="medium",0.15,0.3))</f>
        <v>0.3</v>
      </c>
      <c r="I541" s="8">
        <f>financials[[#This Row],[Gross Sales]]-financials[[#This Row],[Gross Sales]]*financials[[#This Row],[Discounts]]</f>
        <v>77</v>
      </c>
      <c r="J541" s="8">
        <f>VLOOKUP(financials[[#This Row],[productid]],Products!$B$2:$H$10,4)</f>
        <v>3.99</v>
      </c>
      <c r="K541" s="8">
        <f>financials[[#This Row],[Net Sales]]-financials[[#This Row],[COGS]]</f>
        <v>73.010000000000005</v>
      </c>
      <c r="L541" s="15">
        <v>44944</v>
      </c>
      <c r="M541" t="s">
        <v>690</v>
      </c>
    </row>
    <row r="542" spans="1:13" x14ac:dyDescent="0.25">
      <c r="A542" t="s">
        <v>86</v>
      </c>
      <c r="B542" s="6" t="s">
        <v>95</v>
      </c>
      <c r="C542" s="11">
        <v>109</v>
      </c>
      <c r="D542" s="9" t="s">
        <v>90</v>
      </c>
      <c r="E542">
        <v>20</v>
      </c>
      <c r="F542" s="8">
        <f>VLOOKUP(financials[[#This Row],[productid]],Products!$B$2:$H$10,3)</f>
        <v>36</v>
      </c>
      <c r="G542" s="8">
        <f>financials[[#This Row],[Units Sold]]*financials[[#This Row],[Sale Price]]</f>
        <v>720</v>
      </c>
      <c r="H542" s="8">
        <f>IF(financials[[#This Row],[Discount Band]]="low",0.1,IF(financials[[#This Row],[Discount Band]]="medium",0.15,0.3))</f>
        <v>0.15</v>
      </c>
      <c r="I542" s="8">
        <f>financials[[#This Row],[Gross Sales]]-financials[[#This Row],[Gross Sales]]*financials[[#This Row],[Discounts]]</f>
        <v>612</v>
      </c>
      <c r="J542" s="8">
        <f>VLOOKUP(financials[[#This Row],[productid]],Products!$B$2:$H$10,4)</f>
        <v>16.8</v>
      </c>
      <c r="K542" s="8">
        <f>financials[[#This Row],[Net Sales]]-financials[[#This Row],[COGS]]</f>
        <v>595.20000000000005</v>
      </c>
      <c r="L542" s="15">
        <v>44827</v>
      </c>
      <c r="M542" t="s">
        <v>697</v>
      </c>
    </row>
    <row r="543" spans="1:13" x14ac:dyDescent="0.25">
      <c r="A543" t="s">
        <v>86</v>
      </c>
      <c r="B543" s="6" t="s">
        <v>197</v>
      </c>
      <c r="C543" s="11">
        <v>105</v>
      </c>
      <c r="D543" s="9" t="s">
        <v>90</v>
      </c>
      <c r="E543">
        <v>7</v>
      </c>
      <c r="F543" s="8">
        <f>VLOOKUP(financials[[#This Row],[productid]],Products!$B$2:$H$10,3)</f>
        <v>15</v>
      </c>
      <c r="G543" s="8">
        <f>financials[[#This Row],[Units Sold]]*financials[[#This Row],[Sale Price]]</f>
        <v>105</v>
      </c>
      <c r="H543" s="8">
        <f>IF(financials[[#This Row],[Discount Band]]="low",0.1,IF(financials[[#This Row],[Discount Band]]="medium",0.15,0.3))</f>
        <v>0.15</v>
      </c>
      <c r="I543" s="8">
        <f>financials[[#This Row],[Gross Sales]]-financials[[#This Row],[Gross Sales]]*financials[[#This Row],[Discounts]]</f>
        <v>89.25</v>
      </c>
      <c r="J543" s="8">
        <f>VLOOKUP(financials[[#This Row],[productid]],Products!$B$2:$H$10,4)</f>
        <v>10</v>
      </c>
      <c r="K543" s="8">
        <f>financials[[#This Row],[Net Sales]]-financials[[#This Row],[COGS]]</f>
        <v>79.25</v>
      </c>
      <c r="L543" s="15">
        <v>44259</v>
      </c>
      <c r="M543" t="s">
        <v>697</v>
      </c>
    </row>
    <row r="544" spans="1:13" x14ac:dyDescent="0.25">
      <c r="A544" t="s">
        <v>89</v>
      </c>
      <c r="B544" s="6" t="s">
        <v>197</v>
      </c>
      <c r="C544" s="13">
        <v>102</v>
      </c>
      <c r="D544" s="14" t="s">
        <v>83</v>
      </c>
      <c r="E544">
        <v>5</v>
      </c>
      <c r="F544" s="8">
        <f>VLOOKUP(financials[[#This Row],[productid]],Products!$B$2:$H$10,3)</f>
        <v>15</v>
      </c>
      <c r="G544" s="8">
        <f>financials[[#This Row],[Units Sold]]*financials[[#This Row],[Sale Price]]</f>
        <v>75</v>
      </c>
      <c r="H544" s="8">
        <f>IF(financials[[#This Row],[Discount Band]]="low",0.1,IF(financials[[#This Row],[Discount Band]]="medium",0.15,0.3))</f>
        <v>0.3</v>
      </c>
      <c r="I544" s="8">
        <f>financials[[#This Row],[Gross Sales]]-financials[[#This Row],[Gross Sales]]*financials[[#This Row],[Discounts]]</f>
        <v>52.5</v>
      </c>
      <c r="J544" s="8">
        <f>VLOOKUP(financials[[#This Row],[productid]],Products!$B$2:$H$10,4)</f>
        <v>13.95</v>
      </c>
      <c r="K544" s="8">
        <f>financials[[#This Row],[Net Sales]]-financials[[#This Row],[COGS]]</f>
        <v>38.549999999999997</v>
      </c>
      <c r="L544" s="15">
        <v>44361</v>
      </c>
      <c r="M544" t="s">
        <v>690</v>
      </c>
    </row>
    <row r="545" spans="1:13" x14ac:dyDescent="0.25">
      <c r="A545" t="s">
        <v>89</v>
      </c>
      <c r="B545" s="6" t="s">
        <v>274</v>
      </c>
      <c r="C545" s="13">
        <v>108</v>
      </c>
      <c r="D545" s="14" t="s">
        <v>90</v>
      </c>
      <c r="E545">
        <v>19</v>
      </c>
      <c r="F545" s="8">
        <f>VLOOKUP(financials[[#This Row],[productid]],Products!$B$2:$H$10,3)</f>
        <v>5.5</v>
      </c>
      <c r="G545" s="8">
        <f>financials[[#This Row],[Units Sold]]*financials[[#This Row],[Sale Price]]</f>
        <v>104.5</v>
      </c>
      <c r="H545" s="8">
        <f>IF(financials[[#This Row],[Discount Band]]="low",0.1,IF(financials[[#This Row],[Discount Band]]="medium",0.15,0.3))</f>
        <v>0.15</v>
      </c>
      <c r="I545" s="8">
        <f>financials[[#This Row],[Gross Sales]]-financials[[#This Row],[Gross Sales]]*financials[[#This Row],[Discounts]]</f>
        <v>88.825000000000003</v>
      </c>
      <c r="J545" s="8">
        <f>VLOOKUP(financials[[#This Row],[productid]],Products!$B$2:$H$10,4)</f>
        <v>3.99</v>
      </c>
      <c r="K545" s="8">
        <f>financials[[#This Row],[Net Sales]]-financials[[#This Row],[COGS]]</f>
        <v>84.835000000000008</v>
      </c>
      <c r="L545" s="15">
        <v>43947</v>
      </c>
      <c r="M545" t="s">
        <v>700</v>
      </c>
    </row>
    <row r="546" spans="1:13" x14ac:dyDescent="0.25">
      <c r="A546" t="s">
        <v>89</v>
      </c>
      <c r="B546" s="6" t="s">
        <v>148</v>
      </c>
      <c r="C546" s="13">
        <v>106</v>
      </c>
      <c r="D546" s="14" t="s">
        <v>83</v>
      </c>
      <c r="E546">
        <v>15</v>
      </c>
      <c r="F546" s="8">
        <f>VLOOKUP(financials[[#This Row],[productid]],Products!$B$2:$H$10,3)</f>
        <v>25</v>
      </c>
      <c r="G546" s="8">
        <f>financials[[#This Row],[Units Sold]]*financials[[#This Row],[Sale Price]]</f>
        <v>375</v>
      </c>
      <c r="H546" s="8">
        <f>IF(financials[[#This Row],[Discount Band]]="low",0.1,IF(financials[[#This Row],[Discount Band]]="medium",0.15,0.3))</f>
        <v>0.3</v>
      </c>
      <c r="I546" s="8">
        <f>financials[[#This Row],[Gross Sales]]-financials[[#This Row],[Gross Sales]]*financials[[#This Row],[Discounts]]</f>
        <v>262.5</v>
      </c>
      <c r="J546" s="8">
        <f>VLOOKUP(financials[[#This Row],[productid]],Products!$B$2:$H$10,4)</f>
        <v>9.1</v>
      </c>
      <c r="K546" s="8">
        <f>financials[[#This Row],[Net Sales]]-financials[[#This Row],[COGS]]</f>
        <v>253.4</v>
      </c>
      <c r="L546" s="15">
        <v>44740</v>
      </c>
      <c r="M546" t="s">
        <v>696</v>
      </c>
    </row>
    <row r="547" spans="1:13" x14ac:dyDescent="0.25">
      <c r="A547" t="s">
        <v>86</v>
      </c>
      <c r="B547" s="6" t="s">
        <v>198</v>
      </c>
      <c r="C547" s="13">
        <v>105</v>
      </c>
      <c r="D547" s="14" t="s">
        <v>90</v>
      </c>
      <c r="E547">
        <v>10</v>
      </c>
      <c r="F547" s="8">
        <f>VLOOKUP(financials[[#This Row],[productid]],Products!$B$2:$H$10,3)</f>
        <v>15</v>
      </c>
      <c r="G547" s="8">
        <f>financials[[#This Row],[Units Sold]]*financials[[#This Row],[Sale Price]]</f>
        <v>150</v>
      </c>
      <c r="H547" s="8">
        <f>IF(financials[[#This Row],[Discount Band]]="low",0.1,IF(financials[[#This Row],[Discount Band]]="medium",0.15,0.3))</f>
        <v>0.15</v>
      </c>
      <c r="I547" s="8">
        <f>financials[[#This Row],[Gross Sales]]-financials[[#This Row],[Gross Sales]]*financials[[#This Row],[Discounts]]</f>
        <v>127.5</v>
      </c>
      <c r="J547" s="8">
        <f>VLOOKUP(financials[[#This Row],[productid]],Products!$B$2:$H$10,4)</f>
        <v>10</v>
      </c>
      <c r="K547" s="8">
        <f>financials[[#This Row],[Net Sales]]-financials[[#This Row],[COGS]]</f>
        <v>117.5</v>
      </c>
      <c r="L547" s="15">
        <v>45353</v>
      </c>
      <c r="M547" t="s">
        <v>697</v>
      </c>
    </row>
    <row r="548" spans="1:13" x14ac:dyDescent="0.25">
      <c r="A548" t="s">
        <v>85</v>
      </c>
      <c r="B548" s="6" t="s">
        <v>93</v>
      </c>
      <c r="C548" s="13">
        <v>107</v>
      </c>
      <c r="D548" s="14" t="s">
        <v>91</v>
      </c>
      <c r="E548">
        <v>8</v>
      </c>
      <c r="F548" s="8">
        <f>VLOOKUP(financials[[#This Row],[productid]],Products!$B$2:$H$10,3)</f>
        <v>15</v>
      </c>
      <c r="G548" s="8">
        <f>financials[[#This Row],[Units Sold]]*financials[[#This Row],[Sale Price]]</f>
        <v>120</v>
      </c>
      <c r="H548" s="8">
        <f>IF(financials[[#This Row],[Discount Band]]="low",0.1,IF(financials[[#This Row],[Discount Band]]="medium",0.15,0.3))</f>
        <v>0.1</v>
      </c>
      <c r="I548" s="8">
        <f>financials[[#This Row],[Gross Sales]]-financials[[#This Row],[Gross Sales]]*financials[[#This Row],[Discounts]]</f>
        <v>108</v>
      </c>
      <c r="J548" s="8">
        <f>VLOOKUP(financials[[#This Row],[productid]],Products!$B$2:$H$10,4)</f>
        <v>5.5</v>
      </c>
      <c r="K548" s="8">
        <f>financials[[#This Row],[Net Sales]]-financials[[#This Row],[COGS]]</f>
        <v>102.5</v>
      </c>
      <c r="L548" s="15">
        <v>44201</v>
      </c>
      <c r="M548" t="s">
        <v>700</v>
      </c>
    </row>
    <row r="549" spans="1:13" x14ac:dyDescent="0.25">
      <c r="A549" t="s">
        <v>85</v>
      </c>
      <c r="B549" s="6" t="s">
        <v>240</v>
      </c>
      <c r="C549" s="13">
        <v>107</v>
      </c>
      <c r="D549" s="14" t="s">
        <v>91</v>
      </c>
      <c r="E549">
        <v>5</v>
      </c>
      <c r="F549" s="8">
        <f>VLOOKUP(financials[[#This Row],[productid]],Products!$B$2:$H$10,3)</f>
        <v>15</v>
      </c>
      <c r="G549" s="8">
        <f>financials[[#This Row],[Units Sold]]*financials[[#This Row],[Sale Price]]</f>
        <v>75</v>
      </c>
      <c r="H549" s="8">
        <f>IF(financials[[#This Row],[Discount Band]]="low",0.1,IF(financials[[#This Row],[Discount Band]]="medium",0.15,0.3))</f>
        <v>0.1</v>
      </c>
      <c r="I549" s="8">
        <f>financials[[#This Row],[Gross Sales]]-financials[[#This Row],[Gross Sales]]*financials[[#This Row],[Discounts]]</f>
        <v>67.5</v>
      </c>
      <c r="J549" s="8">
        <f>VLOOKUP(financials[[#This Row],[productid]],Products!$B$2:$H$10,4)</f>
        <v>5.5</v>
      </c>
      <c r="K549" s="8">
        <f>financials[[#This Row],[Net Sales]]-financials[[#This Row],[COGS]]</f>
        <v>62</v>
      </c>
      <c r="L549" s="15">
        <v>44920</v>
      </c>
      <c r="M549" t="s">
        <v>691</v>
      </c>
    </row>
    <row r="550" spans="1:13" x14ac:dyDescent="0.25">
      <c r="A550" t="s">
        <v>89</v>
      </c>
      <c r="B550" s="6" t="s">
        <v>274</v>
      </c>
      <c r="C550" s="13">
        <v>101</v>
      </c>
      <c r="D550" s="14" t="s">
        <v>83</v>
      </c>
      <c r="E550">
        <v>7</v>
      </c>
      <c r="F550" s="8">
        <f>VLOOKUP(financials[[#This Row],[productid]],Products!$B$2:$H$10,3)</f>
        <v>23</v>
      </c>
      <c r="G550" s="8">
        <f>financials[[#This Row],[Units Sold]]*financials[[#This Row],[Sale Price]]</f>
        <v>161</v>
      </c>
      <c r="H550" s="8">
        <f>IF(financials[[#This Row],[Discount Band]]="low",0.1,IF(financials[[#This Row],[Discount Band]]="medium",0.15,0.3))</f>
        <v>0.3</v>
      </c>
      <c r="I550" s="8">
        <f>financials[[#This Row],[Gross Sales]]-financials[[#This Row],[Gross Sales]]*financials[[#This Row],[Discounts]]</f>
        <v>112.7</v>
      </c>
      <c r="J550" s="8">
        <f>VLOOKUP(financials[[#This Row],[productid]],Products!$B$2:$H$10,4)</f>
        <v>9.9499999999999993</v>
      </c>
      <c r="K550" s="8">
        <f>financials[[#This Row],[Net Sales]]-financials[[#This Row],[COGS]]</f>
        <v>102.75</v>
      </c>
      <c r="L550" s="15">
        <v>44439</v>
      </c>
      <c r="M550" t="s">
        <v>696</v>
      </c>
    </row>
    <row r="551" spans="1:13" x14ac:dyDescent="0.25">
      <c r="A551" t="s">
        <v>86</v>
      </c>
      <c r="B551" s="6" t="s">
        <v>197</v>
      </c>
      <c r="C551" s="11">
        <v>105</v>
      </c>
      <c r="D551" s="9" t="s">
        <v>90</v>
      </c>
      <c r="E551">
        <v>9</v>
      </c>
      <c r="F551" s="8">
        <f>VLOOKUP(financials[[#This Row],[productid]],Products!$B$2:$H$10,3)</f>
        <v>15</v>
      </c>
      <c r="G551" s="8">
        <f>financials[[#This Row],[Units Sold]]*financials[[#This Row],[Sale Price]]</f>
        <v>135</v>
      </c>
      <c r="H551" s="8">
        <f>IF(financials[[#This Row],[Discount Band]]="low",0.1,IF(financials[[#This Row],[Discount Band]]="medium",0.15,0.3))</f>
        <v>0.15</v>
      </c>
      <c r="I551" s="8">
        <f>financials[[#This Row],[Gross Sales]]-financials[[#This Row],[Gross Sales]]*financials[[#This Row],[Discounts]]</f>
        <v>114.75</v>
      </c>
      <c r="J551" s="8">
        <f>VLOOKUP(financials[[#This Row],[productid]],Products!$B$2:$H$10,4)</f>
        <v>10</v>
      </c>
      <c r="K551" s="8">
        <f>financials[[#This Row],[Net Sales]]-financials[[#This Row],[COGS]]</f>
        <v>104.75</v>
      </c>
      <c r="L551" s="15">
        <v>44276</v>
      </c>
      <c r="M551" t="s">
        <v>700</v>
      </c>
    </row>
    <row r="552" spans="1:13" x14ac:dyDescent="0.25">
      <c r="A552" t="s">
        <v>85</v>
      </c>
      <c r="B552" s="6" t="s">
        <v>197</v>
      </c>
      <c r="C552" s="13">
        <v>108</v>
      </c>
      <c r="D552" s="14" t="s">
        <v>83</v>
      </c>
      <c r="E552">
        <v>15</v>
      </c>
      <c r="F552" s="8">
        <f>VLOOKUP(financials[[#This Row],[productid]],Products!$B$2:$H$10,3)</f>
        <v>5.5</v>
      </c>
      <c r="G552" s="8">
        <f>financials[[#This Row],[Units Sold]]*financials[[#This Row],[Sale Price]]</f>
        <v>82.5</v>
      </c>
      <c r="H552" s="8">
        <f>IF(financials[[#This Row],[Discount Band]]="low",0.1,IF(financials[[#This Row],[Discount Band]]="medium",0.15,0.3))</f>
        <v>0.3</v>
      </c>
      <c r="I552" s="8">
        <f>financials[[#This Row],[Gross Sales]]-financials[[#This Row],[Gross Sales]]*financials[[#This Row],[Discounts]]</f>
        <v>57.75</v>
      </c>
      <c r="J552" s="8">
        <f>VLOOKUP(financials[[#This Row],[productid]],Products!$B$2:$H$10,4)</f>
        <v>3.99</v>
      </c>
      <c r="K552" s="8">
        <f>financials[[#This Row],[Net Sales]]-financials[[#This Row],[COGS]]</f>
        <v>53.76</v>
      </c>
      <c r="L552" s="15">
        <v>45004</v>
      </c>
      <c r="M552" t="s">
        <v>691</v>
      </c>
    </row>
    <row r="553" spans="1:13" x14ac:dyDescent="0.25">
      <c r="A553" t="s">
        <v>86</v>
      </c>
      <c r="B553" s="6" t="s">
        <v>95</v>
      </c>
      <c r="C553" s="13">
        <v>107</v>
      </c>
      <c r="D553" s="14" t="s">
        <v>83</v>
      </c>
      <c r="E553">
        <v>13</v>
      </c>
      <c r="F553" s="8">
        <f>VLOOKUP(financials[[#This Row],[productid]],Products!$B$2:$H$10,3)</f>
        <v>15</v>
      </c>
      <c r="G553" s="8">
        <f>financials[[#This Row],[Units Sold]]*financials[[#This Row],[Sale Price]]</f>
        <v>195</v>
      </c>
      <c r="H553" s="8">
        <f>IF(financials[[#This Row],[Discount Band]]="low",0.1,IF(financials[[#This Row],[Discount Band]]="medium",0.15,0.3))</f>
        <v>0.3</v>
      </c>
      <c r="I553" s="8">
        <f>financials[[#This Row],[Gross Sales]]-financials[[#This Row],[Gross Sales]]*financials[[#This Row],[Discounts]]</f>
        <v>136.5</v>
      </c>
      <c r="J553" s="8">
        <f>VLOOKUP(financials[[#This Row],[productid]],Products!$B$2:$H$10,4)</f>
        <v>5.5</v>
      </c>
      <c r="K553" s="8">
        <f>financials[[#This Row],[Net Sales]]-financials[[#This Row],[COGS]]</f>
        <v>131</v>
      </c>
      <c r="L553" s="15">
        <v>44175</v>
      </c>
      <c r="M553" t="s">
        <v>696</v>
      </c>
    </row>
    <row r="554" spans="1:13" x14ac:dyDescent="0.25">
      <c r="A554" t="s">
        <v>86</v>
      </c>
      <c r="B554" s="6" t="s">
        <v>94</v>
      </c>
      <c r="C554" s="13">
        <v>105</v>
      </c>
      <c r="D554" s="14" t="s">
        <v>83</v>
      </c>
      <c r="E554">
        <v>14</v>
      </c>
      <c r="F554" s="8">
        <f>VLOOKUP(financials[[#This Row],[productid]],Products!$B$2:$H$10,3)</f>
        <v>15</v>
      </c>
      <c r="G554" s="8">
        <f>financials[[#This Row],[Units Sold]]*financials[[#This Row],[Sale Price]]</f>
        <v>210</v>
      </c>
      <c r="H554" s="8">
        <f>IF(financials[[#This Row],[Discount Band]]="low",0.1,IF(financials[[#This Row],[Discount Band]]="medium",0.15,0.3))</f>
        <v>0.3</v>
      </c>
      <c r="I554" s="8">
        <f>financials[[#This Row],[Gross Sales]]-financials[[#This Row],[Gross Sales]]*financials[[#This Row],[Discounts]]</f>
        <v>147</v>
      </c>
      <c r="J554" s="8">
        <f>VLOOKUP(financials[[#This Row],[productid]],Products!$B$2:$H$10,4)</f>
        <v>10</v>
      </c>
      <c r="K554" s="8">
        <f>financials[[#This Row],[Net Sales]]-financials[[#This Row],[COGS]]</f>
        <v>137</v>
      </c>
      <c r="L554" s="15">
        <v>44191</v>
      </c>
      <c r="M554" t="s">
        <v>700</v>
      </c>
    </row>
    <row r="555" spans="1:13" x14ac:dyDescent="0.25">
      <c r="A555" t="s">
        <v>89</v>
      </c>
      <c r="B555" s="6" t="s">
        <v>645</v>
      </c>
      <c r="C555" s="13">
        <v>105</v>
      </c>
      <c r="D555" s="14" t="s">
        <v>91</v>
      </c>
      <c r="E555">
        <v>17</v>
      </c>
      <c r="F555" s="8">
        <f>VLOOKUP(financials[[#This Row],[productid]],Products!$B$2:$H$10,3)</f>
        <v>15</v>
      </c>
      <c r="G555" s="8">
        <f>financials[[#This Row],[Units Sold]]*financials[[#This Row],[Sale Price]]</f>
        <v>255</v>
      </c>
      <c r="H555" s="8">
        <f>IF(financials[[#This Row],[Discount Band]]="low",0.1,IF(financials[[#This Row],[Discount Band]]="medium",0.15,0.3))</f>
        <v>0.1</v>
      </c>
      <c r="I555" s="8">
        <f>financials[[#This Row],[Gross Sales]]-financials[[#This Row],[Gross Sales]]*financials[[#This Row],[Discounts]]</f>
        <v>229.5</v>
      </c>
      <c r="J555" s="8">
        <f>VLOOKUP(financials[[#This Row],[productid]],Products!$B$2:$H$10,4)</f>
        <v>10</v>
      </c>
      <c r="K555" s="8">
        <f>financials[[#This Row],[Net Sales]]-financials[[#This Row],[COGS]]</f>
        <v>219.5</v>
      </c>
      <c r="L555" s="15">
        <v>44005</v>
      </c>
      <c r="M555" t="s">
        <v>690</v>
      </c>
    </row>
    <row r="556" spans="1:13" x14ac:dyDescent="0.25">
      <c r="A556" t="s">
        <v>86</v>
      </c>
      <c r="B556" s="6" t="s">
        <v>545</v>
      </c>
      <c r="C556" s="13">
        <v>109</v>
      </c>
      <c r="D556" s="14" t="s">
        <v>90</v>
      </c>
      <c r="E556">
        <v>13</v>
      </c>
      <c r="F556" s="8">
        <f>VLOOKUP(financials[[#This Row],[productid]],Products!$B$2:$H$10,3)</f>
        <v>36</v>
      </c>
      <c r="G556" s="8">
        <f>financials[[#This Row],[Units Sold]]*financials[[#This Row],[Sale Price]]</f>
        <v>468</v>
      </c>
      <c r="H556" s="8">
        <f>IF(financials[[#This Row],[Discount Band]]="low",0.1,IF(financials[[#This Row],[Discount Band]]="medium",0.15,0.3))</f>
        <v>0.15</v>
      </c>
      <c r="I556" s="8">
        <f>financials[[#This Row],[Gross Sales]]-financials[[#This Row],[Gross Sales]]*financials[[#This Row],[Discounts]]</f>
        <v>397.8</v>
      </c>
      <c r="J556" s="8">
        <f>VLOOKUP(financials[[#This Row],[productid]],Products!$B$2:$H$10,4)</f>
        <v>16.8</v>
      </c>
      <c r="K556" s="8">
        <f>financials[[#This Row],[Net Sales]]-financials[[#This Row],[COGS]]</f>
        <v>381</v>
      </c>
      <c r="L556" s="15">
        <v>45586</v>
      </c>
      <c r="M556" t="s">
        <v>696</v>
      </c>
    </row>
    <row r="557" spans="1:13" x14ac:dyDescent="0.25">
      <c r="A557" t="s">
        <v>86</v>
      </c>
      <c r="B557" s="6" t="s">
        <v>268</v>
      </c>
      <c r="C557" s="13">
        <v>104</v>
      </c>
      <c r="D557" s="14" t="s">
        <v>83</v>
      </c>
      <c r="E557">
        <v>17</v>
      </c>
      <c r="F557" s="8">
        <f>VLOOKUP(financials[[#This Row],[productid]],Products!$B$2:$H$10,3)</f>
        <v>5.9</v>
      </c>
      <c r="G557" s="8">
        <f>financials[[#This Row],[Units Sold]]*financials[[#This Row],[Sale Price]]</f>
        <v>100.30000000000001</v>
      </c>
      <c r="H557" s="8">
        <f>IF(financials[[#This Row],[Discount Band]]="low",0.1,IF(financials[[#This Row],[Discount Band]]="medium",0.15,0.3))</f>
        <v>0.3</v>
      </c>
      <c r="I557" s="8">
        <f>financials[[#This Row],[Gross Sales]]-financials[[#This Row],[Gross Sales]]*financials[[#This Row],[Discounts]]</f>
        <v>70.210000000000008</v>
      </c>
      <c r="J557" s="8">
        <f>VLOOKUP(financials[[#This Row],[productid]],Products!$B$2:$H$10,4)</f>
        <v>2.9</v>
      </c>
      <c r="K557" s="8">
        <f>financials[[#This Row],[Net Sales]]-financials[[#This Row],[COGS]]</f>
        <v>67.31</v>
      </c>
      <c r="L557" s="15">
        <v>45433</v>
      </c>
      <c r="M557" t="s">
        <v>690</v>
      </c>
    </row>
    <row r="558" spans="1:13" x14ac:dyDescent="0.25">
      <c r="A558" t="s">
        <v>89</v>
      </c>
      <c r="B558" s="6" t="s">
        <v>93</v>
      </c>
      <c r="C558" s="13">
        <v>107</v>
      </c>
      <c r="D558" s="14" t="s">
        <v>91</v>
      </c>
      <c r="E558">
        <v>12</v>
      </c>
      <c r="F558" s="8">
        <f>VLOOKUP(financials[[#This Row],[productid]],Products!$B$2:$H$10,3)</f>
        <v>15</v>
      </c>
      <c r="G558" s="8">
        <f>financials[[#This Row],[Units Sold]]*financials[[#This Row],[Sale Price]]</f>
        <v>180</v>
      </c>
      <c r="H558" s="8">
        <f>IF(financials[[#This Row],[Discount Band]]="low",0.1,IF(financials[[#This Row],[Discount Band]]="medium",0.15,0.3))</f>
        <v>0.1</v>
      </c>
      <c r="I558" s="8">
        <f>financials[[#This Row],[Gross Sales]]-financials[[#This Row],[Gross Sales]]*financials[[#This Row],[Discounts]]</f>
        <v>162</v>
      </c>
      <c r="J558" s="8">
        <f>VLOOKUP(financials[[#This Row],[productid]],Products!$B$2:$H$10,4)</f>
        <v>5.5</v>
      </c>
      <c r="K558" s="8">
        <f>financials[[#This Row],[Net Sales]]-financials[[#This Row],[COGS]]</f>
        <v>156.5</v>
      </c>
      <c r="L558" s="15">
        <v>43964</v>
      </c>
      <c r="M558" t="s">
        <v>691</v>
      </c>
    </row>
    <row r="559" spans="1:13" x14ac:dyDescent="0.25">
      <c r="A559" t="s">
        <v>85</v>
      </c>
      <c r="B559" s="6" t="s">
        <v>148</v>
      </c>
      <c r="C559" s="13">
        <v>104</v>
      </c>
      <c r="D559" s="14" t="s">
        <v>83</v>
      </c>
      <c r="E559">
        <v>16</v>
      </c>
      <c r="F559" s="8">
        <f>VLOOKUP(financials[[#This Row],[productid]],Products!$B$2:$H$10,3)</f>
        <v>5.9</v>
      </c>
      <c r="G559" s="8">
        <f>financials[[#This Row],[Units Sold]]*financials[[#This Row],[Sale Price]]</f>
        <v>94.4</v>
      </c>
      <c r="H559" s="8">
        <f>IF(financials[[#This Row],[Discount Band]]="low",0.1,IF(financials[[#This Row],[Discount Band]]="medium",0.15,0.3))</f>
        <v>0.3</v>
      </c>
      <c r="I559" s="8">
        <f>financials[[#This Row],[Gross Sales]]-financials[[#This Row],[Gross Sales]]*financials[[#This Row],[Discounts]]</f>
        <v>66.080000000000013</v>
      </c>
      <c r="J559" s="8">
        <f>VLOOKUP(financials[[#This Row],[productid]],Products!$B$2:$H$10,4)</f>
        <v>2.9</v>
      </c>
      <c r="K559" s="8">
        <f>financials[[#This Row],[Net Sales]]-financials[[#This Row],[COGS]]</f>
        <v>63.180000000000014</v>
      </c>
      <c r="L559" s="15">
        <v>45239</v>
      </c>
      <c r="M559" t="s">
        <v>696</v>
      </c>
    </row>
    <row r="560" spans="1:13" x14ac:dyDescent="0.25">
      <c r="A560" t="s">
        <v>89</v>
      </c>
      <c r="B560" s="6" t="s">
        <v>240</v>
      </c>
      <c r="C560" s="13">
        <v>108</v>
      </c>
      <c r="D560" s="14" t="s">
        <v>83</v>
      </c>
      <c r="E560">
        <v>5</v>
      </c>
      <c r="F560" s="8">
        <f>VLOOKUP(financials[[#This Row],[productid]],Products!$B$2:$H$10,3)</f>
        <v>5.5</v>
      </c>
      <c r="G560" s="8">
        <f>financials[[#This Row],[Units Sold]]*financials[[#This Row],[Sale Price]]</f>
        <v>27.5</v>
      </c>
      <c r="H560" s="8">
        <f>IF(financials[[#This Row],[Discount Band]]="low",0.1,IF(financials[[#This Row],[Discount Band]]="medium",0.15,0.3))</f>
        <v>0.3</v>
      </c>
      <c r="I560" s="8">
        <f>financials[[#This Row],[Gross Sales]]-financials[[#This Row],[Gross Sales]]*financials[[#This Row],[Discounts]]</f>
        <v>19.25</v>
      </c>
      <c r="J560" s="8">
        <f>VLOOKUP(financials[[#This Row],[productid]],Products!$B$2:$H$10,4)</f>
        <v>3.99</v>
      </c>
      <c r="K560" s="8">
        <f>financials[[#This Row],[Net Sales]]-financials[[#This Row],[COGS]]</f>
        <v>15.26</v>
      </c>
      <c r="L560" s="15">
        <v>45584</v>
      </c>
      <c r="M560" t="s">
        <v>696</v>
      </c>
    </row>
    <row r="561" spans="1:13" x14ac:dyDescent="0.25">
      <c r="A561" t="s">
        <v>86</v>
      </c>
      <c r="B561" s="6" t="s">
        <v>93</v>
      </c>
      <c r="C561" s="13">
        <v>102</v>
      </c>
      <c r="D561" s="14" t="s">
        <v>92</v>
      </c>
      <c r="E561">
        <v>5</v>
      </c>
      <c r="F561" s="8">
        <f>VLOOKUP(financials[[#This Row],[productid]],Products!$B$2:$H$10,3)</f>
        <v>15</v>
      </c>
      <c r="G561" s="8">
        <f>financials[[#This Row],[Units Sold]]*financials[[#This Row],[Sale Price]]</f>
        <v>75</v>
      </c>
      <c r="H561" s="8">
        <f>IF(financials[[#This Row],[Discount Band]]="low",0.1,IF(financials[[#This Row],[Discount Band]]="medium",0.15,0.3))</f>
        <v>0.3</v>
      </c>
      <c r="I561" s="8">
        <f>financials[[#This Row],[Gross Sales]]-financials[[#This Row],[Gross Sales]]*financials[[#This Row],[Discounts]]</f>
        <v>52.5</v>
      </c>
      <c r="J561" s="8">
        <f>VLOOKUP(financials[[#This Row],[productid]],Products!$B$2:$H$10,4)</f>
        <v>13.95</v>
      </c>
      <c r="K561" s="8">
        <f>financials[[#This Row],[Net Sales]]-financials[[#This Row],[COGS]]</f>
        <v>38.549999999999997</v>
      </c>
      <c r="L561" s="15">
        <v>45399</v>
      </c>
      <c r="M561" t="s">
        <v>691</v>
      </c>
    </row>
    <row r="562" spans="1:13" x14ac:dyDescent="0.25">
      <c r="A562" t="s">
        <v>86</v>
      </c>
      <c r="B562" s="6" t="s">
        <v>94</v>
      </c>
      <c r="C562" s="13">
        <v>109</v>
      </c>
      <c r="D562" s="14" t="s">
        <v>90</v>
      </c>
      <c r="E562">
        <v>8</v>
      </c>
      <c r="F562" s="8">
        <f>VLOOKUP(financials[[#This Row],[productid]],Products!$B$2:$H$10,3)</f>
        <v>36</v>
      </c>
      <c r="G562" s="8">
        <f>financials[[#This Row],[Units Sold]]*financials[[#This Row],[Sale Price]]</f>
        <v>288</v>
      </c>
      <c r="H562" s="8">
        <f>IF(financials[[#This Row],[Discount Band]]="low",0.1,IF(financials[[#This Row],[Discount Band]]="medium",0.15,0.3))</f>
        <v>0.15</v>
      </c>
      <c r="I562" s="8">
        <f>financials[[#This Row],[Gross Sales]]-financials[[#This Row],[Gross Sales]]*financials[[#This Row],[Discounts]]</f>
        <v>244.8</v>
      </c>
      <c r="J562" s="8">
        <f>VLOOKUP(financials[[#This Row],[productid]],Products!$B$2:$H$10,4)</f>
        <v>16.8</v>
      </c>
      <c r="K562" s="8">
        <f>financials[[#This Row],[Net Sales]]-financials[[#This Row],[COGS]]</f>
        <v>228</v>
      </c>
      <c r="L562" s="15">
        <v>45109</v>
      </c>
      <c r="M562" t="s">
        <v>700</v>
      </c>
    </row>
    <row r="563" spans="1:13" x14ac:dyDescent="0.25">
      <c r="A563" t="s">
        <v>86</v>
      </c>
      <c r="B563" s="6" t="s">
        <v>94</v>
      </c>
      <c r="C563" s="13">
        <v>103</v>
      </c>
      <c r="D563" s="14" t="s">
        <v>90</v>
      </c>
      <c r="E563">
        <v>17</v>
      </c>
      <c r="F563" s="8">
        <f>VLOOKUP(financials[[#This Row],[productid]],Products!$B$2:$H$10,3)</f>
        <v>28</v>
      </c>
      <c r="G563" s="8">
        <f>financials[[#This Row],[Units Sold]]*financials[[#This Row],[Sale Price]]</f>
        <v>476</v>
      </c>
      <c r="H563" s="8">
        <f>IF(financials[[#This Row],[Discount Band]]="low",0.1,IF(financials[[#This Row],[Discount Band]]="medium",0.15,0.3))</f>
        <v>0.15</v>
      </c>
      <c r="I563" s="8">
        <f>financials[[#This Row],[Gross Sales]]-financials[[#This Row],[Gross Sales]]*financials[[#This Row],[Discounts]]</f>
        <v>404.6</v>
      </c>
      <c r="J563" s="8">
        <f>VLOOKUP(financials[[#This Row],[productid]],Products!$B$2:$H$10,4)</f>
        <v>15</v>
      </c>
      <c r="K563" s="8">
        <f>financials[[#This Row],[Net Sales]]-financials[[#This Row],[COGS]]</f>
        <v>389.6</v>
      </c>
      <c r="L563" s="15">
        <v>44255</v>
      </c>
      <c r="M563" t="s">
        <v>700</v>
      </c>
    </row>
    <row r="564" spans="1:13" x14ac:dyDescent="0.25">
      <c r="A564" t="s">
        <v>86</v>
      </c>
      <c r="B564" s="6" t="s">
        <v>167</v>
      </c>
      <c r="C564" s="13">
        <v>105</v>
      </c>
      <c r="D564" s="14" t="s">
        <v>83</v>
      </c>
      <c r="E564">
        <v>7</v>
      </c>
      <c r="F564" s="8">
        <f>VLOOKUP(financials[[#This Row],[productid]],Products!$B$2:$H$10,3)</f>
        <v>15</v>
      </c>
      <c r="G564" s="8">
        <f>financials[[#This Row],[Units Sold]]*financials[[#This Row],[Sale Price]]</f>
        <v>105</v>
      </c>
      <c r="H564" s="8">
        <f>IF(financials[[#This Row],[Discount Band]]="low",0.1,IF(financials[[#This Row],[Discount Band]]="medium",0.15,0.3))</f>
        <v>0.3</v>
      </c>
      <c r="I564" s="8">
        <f>financials[[#This Row],[Gross Sales]]-financials[[#This Row],[Gross Sales]]*financials[[#This Row],[Discounts]]</f>
        <v>73.5</v>
      </c>
      <c r="J564" s="8">
        <f>VLOOKUP(financials[[#This Row],[productid]],Products!$B$2:$H$10,4)</f>
        <v>10</v>
      </c>
      <c r="K564" s="8">
        <f>financials[[#This Row],[Net Sales]]-financials[[#This Row],[COGS]]</f>
        <v>63.5</v>
      </c>
      <c r="L564" s="15">
        <v>43914</v>
      </c>
      <c r="M564" t="s">
        <v>690</v>
      </c>
    </row>
    <row r="565" spans="1:13" x14ac:dyDescent="0.25">
      <c r="A565" t="s">
        <v>86</v>
      </c>
      <c r="B565" s="6" t="s">
        <v>167</v>
      </c>
      <c r="C565" s="13">
        <v>107</v>
      </c>
      <c r="D565" s="14" t="s">
        <v>83</v>
      </c>
      <c r="E565">
        <v>13</v>
      </c>
      <c r="F565" s="8">
        <f>VLOOKUP(financials[[#This Row],[productid]],Products!$B$2:$H$10,3)</f>
        <v>15</v>
      </c>
      <c r="G565" s="8">
        <f>financials[[#This Row],[Units Sold]]*financials[[#This Row],[Sale Price]]</f>
        <v>195</v>
      </c>
      <c r="H565" s="8">
        <f>IF(financials[[#This Row],[Discount Band]]="low",0.1,IF(financials[[#This Row],[Discount Band]]="medium",0.15,0.3))</f>
        <v>0.3</v>
      </c>
      <c r="I565" s="8">
        <f>financials[[#This Row],[Gross Sales]]-financials[[#This Row],[Gross Sales]]*financials[[#This Row],[Discounts]]</f>
        <v>136.5</v>
      </c>
      <c r="J565" s="8">
        <f>VLOOKUP(financials[[#This Row],[productid]],Products!$B$2:$H$10,4)</f>
        <v>5.5</v>
      </c>
      <c r="K565" s="8">
        <f>financials[[#This Row],[Net Sales]]-financials[[#This Row],[COGS]]</f>
        <v>131</v>
      </c>
      <c r="L565" s="15">
        <v>45585</v>
      </c>
      <c r="M565" t="s">
        <v>691</v>
      </c>
    </row>
    <row r="566" spans="1:13" x14ac:dyDescent="0.25">
      <c r="A566" t="s">
        <v>85</v>
      </c>
      <c r="B566" s="6" t="s">
        <v>158</v>
      </c>
      <c r="C566" s="13">
        <v>105</v>
      </c>
      <c r="D566" s="14" t="s">
        <v>83</v>
      </c>
      <c r="E566">
        <v>13</v>
      </c>
      <c r="F566" s="8">
        <f>VLOOKUP(financials[[#This Row],[productid]],Products!$B$2:$H$10,3)</f>
        <v>15</v>
      </c>
      <c r="G566" s="8">
        <f>financials[[#This Row],[Units Sold]]*financials[[#This Row],[Sale Price]]</f>
        <v>195</v>
      </c>
      <c r="H566" s="8">
        <f>IF(financials[[#This Row],[Discount Band]]="low",0.1,IF(financials[[#This Row],[Discount Band]]="medium",0.15,0.3))</f>
        <v>0.3</v>
      </c>
      <c r="I566" s="8">
        <f>financials[[#This Row],[Gross Sales]]-financials[[#This Row],[Gross Sales]]*financials[[#This Row],[Discounts]]</f>
        <v>136.5</v>
      </c>
      <c r="J566" s="8">
        <f>VLOOKUP(financials[[#This Row],[productid]],Products!$B$2:$H$10,4)</f>
        <v>10</v>
      </c>
      <c r="K566" s="8">
        <f>financials[[#This Row],[Net Sales]]-financials[[#This Row],[COGS]]</f>
        <v>126.5</v>
      </c>
      <c r="L566" s="15">
        <v>44260</v>
      </c>
      <c r="M566" t="s">
        <v>690</v>
      </c>
    </row>
    <row r="567" spans="1:13" x14ac:dyDescent="0.25">
      <c r="A567" t="s">
        <v>89</v>
      </c>
      <c r="B567" s="6" t="s">
        <v>617</v>
      </c>
      <c r="C567" s="13">
        <v>106</v>
      </c>
      <c r="D567" s="14" t="s">
        <v>83</v>
      </c>
      <c r="E567">
        <v>19</v>
      </c>
      <c r="F567" s="8">
        <f>VLOOKUP(financials[[#This Row],[productid]],Products!$B$2:$H$10,3)</f>
        <v>25</v>
      </c>
      <c r="G567" s="8">
        <f>financials[[#This Row],[Units Sold]]*financials[[#This Row],[Sale Price]]</f>
        <v>475</v>
      </c>
      <c r="H567" s="8">
        <f>IF(financials[[#This Row],[Discount Band]]="low",0.1,IF(financials[[#This Row],[Discount Band]]="medium",0.15,0.3))</f>
        <v>0.3</v>
      </c>
      <c r="I567" s="8">
        <f>financials[[#This Row],[Gross Sales]]-financials[[#This Row],[Gross Sales]]*financials[[#This Row],[Discounts]]</f>
        <v>332.5</v>
      </c>
      <c r="J567" s="8">
        <f>VLOOKUP(financials[[#This Row],[productid]],Products!$B$2:$H$10,4)</f>
        <v>9.1</v>
      </c>
      <c r="K567" s="8">
        <f>financials[[#This Row],[Net Sales]]-financials[[#This Row],[COGS]]</f>
        <v>323.39999999999998</v>
      </c>
      <c r="L567" s="15">
        <v>45116</v>
      </c>
      <c r="M567" t="s">
        <v>690</v>
      </c>
    </row>
    <row r="568" spans="1:13" x14ac:dyDescent="0.25">
      <c r="A568" t="s">
        <v>89</v>
      </c>
      <c r="B568" s="6" t="s">
        <v>274</v>
      </c>
      <c r="C568" s="13">
        <v>104</v>
      </c>
      <c r="D568" s="14" t="s">
        <v>91</v>
      </c>
      <c r="E568">
        <v>13</v>
      </c>
      <c r="F568" s="8">
        <f>VLOOKUP(financials[[#This Row],[productid]],Products!$B$2:$H$10,3)</f>
        <v>5.9</v>
      </c>
      <c r="G568" s="8">
        <f>financials[[#This Row],[Units Sold]]*financials[[#This Row],[Sale Price]]</f>
        <v>76.7</v>
      </c>
      <c r="H568" s="8">
        <f>IF(financials[[#This Row],[Discount Band]]="low",0.1,IF(financials[[#This Row],[Discount Band]]="medium",0.15,0.3))</f>
        <v>0.1</v>
      </c>
      <c r="I568" s="8">
        <f>financials[[#This Row],[Gross Sales]]-financials[[#This Row],[Gross Sales]]*financials[[#This Row],[Discounts]]</f>
        <v>69.03</v>
      </c>
      <c r="J568" s="8">
        <f>VLOOKUP(financials[[#This Row],[productid]],Products!$B$2:$H$10,4)</f>
        <v>2.9</v>
      </c>
      <c r="K568" s="8">
        <f>financials[[#This Row],[Net Sales]]-financials[[#This Row],[COGS]]</f>
        <v>66.13</v>
      </c>
      <c r="L568" s="15">
        <v>43953</v>
      </c>
      <c r="M568" t="s">
        <v>696</v>
      </c>
    </row>
    <row r="569" spans="1:13" x14ac:dyDescent="0.25">
      <c r="A569" t="s">
        <v>89</v>
      </c>
      <c r="B569" s="6" t="s">
        <v>197</v>
      </c>
      <c r="C569" s="13">
        <v>108</v>
      </c>
      <c r="D569" s="14" t="s">
        <v>91</v>
      </c>
      <c r="E569">
        <v>8</v>
      </c>
      <c r="F569" s="8">
        <f>VLOOKUP(financials[[#This Row],[productid]],Products!$B$2:$H$10,3)</f>
        <v>5.5</v>
      </c>
      <c r="G569" s="8">
        <f>financials[[#This Row],[Units Sold]]*financials[[#This Row],[Sale Price]]</f>
        <v>44</v>
      </c>
      <c r="H569" s="8">
        <f>IF(financials[[#This Row],[Discount Band]]="low",0.1,IF(financials[[#This Row],[Discount Band]]="medium",0.15,0.3))</f>
        <v>0.1</v>
      </c>
      <c r="I569" s="8">
        <f>financials[[#This Row],[Gross Sales]]-financials[[#This Row],[Gross Sales]]*financials[[#This Row],[Discounts]]</f>
        <v>39.6</v>
      </c>
      <c r="J569" s="8">
        <f>VLOOKUP(financials[[#This Row],[productid]],Products!$B$2:$H$10,4)</f>
        <v>3.99</v>
      </c>
      <c r="K569" s="8">
        <f>financials[[#This Row],[Net Sales]]-financials[[#This Row],[COGS]]</f>
        <v>35.61</v>
      </c>
      <c r="L569" s="15">
        <v>44457</v>
      </c>
      <c r="M569" t="s">
        <v>700</v>
      </c>
    </row>
    <row r="570" spans="1:13" x14ac:dyDescent="0.25">
      <c r="A570" t="s">
        <v>85</v>
      </c>
      <c r="B570" s="6" t="s">
        <v>125</v>
      </c>
      <c r="C570" s="13">
        <v>109</v>
      </c>
      <c r="D570" s="14" t="s">
        <v>92</v>
      </c>
      <c r="E570">
        <v>10</v>
      </c>
      <c r="F570" s="8">
        <f>VLOOKUP(financials[[#This Row],[productid]],Products!$B$2:$H$10,3)</f>
        <v>36</v>
      </c>
      <c r="G570" s="8">
        <f>financials[[#This Row],[Units Sold]]*financials[[#This Row],[Sale Price]]</f>
        <v>360</v>
      </c>
      <c r="H570" s="8">
        <f>IF(financials[[#This Row],[Discount Band]]="low",0.1,IF(financials[[#This Row],[Discount Band]]="medium",0.15,0.3))</f>
        <v>0.3</v>
      </c>
      <c r="I570" s="8">
        <f>financials[[#This Row],[Gross Sales]]-financials[[#This Row],[Gross Sales]]*financials[[#This Row],[Discounts]]</f>
        <v>252</v>
      </c>
      <c r="J570" s="8">
        <f>VLOOKUP(financials[[#This Row],[productid]],Products!$B$2:$H$10,4)</f>
        <v>16.8</v>
      </c>
      <c r="K570" s="8">
        <f>financials[[#This Row],[Net Sales]]-financials[[#This Row],[COGS]]</f>
        <v>235.2</v>
      </c>
      <c r="L570" s="15">
        <v>44292</v>
      </c>
      <c r="M570" t="s">
        <v>690</v>
      </c>
    </row>
    <row r="571" spans="1:13" x14ac:dyDescent="0.25">
      <c r="A571" t="s">
        <v>86</v>
      </c>
      <c r="B571" s="6" t="s">
        <v>198</v>
      </c>
      <c r="C571" s="13">
        <v>101</v>
      </c>
      <c r="D571" s="14" t="s">
        <v>90</v>
      </c>
      <c r="E571">
        <v>17</v>
      </c>
      <c r="F571" s="8">
        <f>VLOOKUP(financials[[#This Row],[productid]],Products!$B$2:$H$10,3)</f>
        <v>23</v>
      </c>
      <c r="G571" s="8">
        <f>financials[[#This Row],[Units Sold]]*financials[[#This Row],[Sale Price]]</f>
        <v>391</v>
      </c>
      <c r="H571" s="8">
        <f>IF(financials[[#This Row],[Discount Band]]="low",0.1,IF(financials[[#This Row],[Discount Band]]="medium",0.15,0.3))</f>
        <v>0.15</v>
      </c>
      <c r="I571" s="8">
        <f>financials[[#This Row],[Gross Sales]]-financials[[#This Row],[Gross Sales]]*financials[[#This Row],[Discounts]]</f>
        <v>332.35</v>
      </c>
      <c r="J571" s="8">
        <f>VLOOKUP(financials[[#This Row],[productid]],Products!$B$2:$H$10,4)</f>
        <v>9.9499999999999993</v>
      </c>
      <c r="K571" s="8">
        <f>financials[[#This Row],[Net Sales]]-financials[[#This Row],[COGS]]</f>
        <v>322.40000000000003</v>
      </c>
      <c r="L571" s="15">
        <v>45296</v>
      </c>
      <c r="M571" t="s">
        <v>690</v>
      </c>
    </row>
    <row r="572" spans="1:13" x14ac:dyDescent="0.25">
      <c r="A572" t="s">
        <v>86</v>
      </c>
      <c r="B572" s="6" t="s">
        <v>276</v>
      </c>
      <c r="C572" s="13">
        <v>108</v>
      </c>
      <c r="D572" s="14" t="s">
        <v>83</v>
      </c>
      <c r="E572">
        <v>15</v>
      </c>
      <c r="F572" s="8">
        <f>VLOOKUP(financials[[#This Row],[productid]],Products!$B$2:$H$10,3)</f>
        <v>5.5</v>
      </c>
      <c r="G572" s="8">
        <f>financials[[#This Row],[Units Sold]]*financials[[#This Row],[Sale Price]]</f>
        <v>82.5</v>
      </c>
      <c r="H572" s="8">
        <f>IF(financials[[#This Row],[Discount Band]]="low",0.1,IF(financials[[#This Row],[Discount Band]]="medium",0.15,0.3))</f>
        <v>0.3</v>
      </c>
      <c r="I572" s="8">
        <f>financials[[#This Row],[Gross Sales]]-financials[[#This Row],[Gross Sales]]*financials[[#This Row],[Discounts]]</f>
        <v>57.75</v>
      </c>
      <c r="J572" s="8">
        <f>VLOOKUP(financials[[#This Row],[productid]],Products!$B$2:$H$10,4)</f>
        <v>3.99</v>
      </c>
      <c r="K572" s="8">
        <f>financials[[#This Row],[Net Sales]]-financials[[#This Row],[COGS]]</f>
        <v>53.76</v>
      </c>
      <c r="L572" s="15">
        <v>44246</v>
      </c>
      <c r="M572" t="s">
        <v>691</v>
      </c>
    </row>
    <row r="573" spans="1:13" x14ac:dyDescent="0.25">
      <c r="A573" t="s">
        <v>89</v>
      </c>
      <c r="B573" s="6" t="s">
        <v>96</v>
      </c>
      <c r="C573" s="13">
        <v>103</v>
      </c>
      <c r="D573" s="14" t="s">
        <v>83</v>
      </c>
      <c r="E573">
        <v>11</v>
      </c>
      <c r="F573" s="8">
        <f>VLOOKUP(financials[[#This Row],[productid]],Products!$B$2:$H$10,3)</f>
        <v>28</v>
      </c>
      <c r="G573" s="8">
        <f>financials[[#This Row],[Units Sold]]*financials[[#This Row],[Sale Price]]</f>
        <v>308</v>
      </c>
      <c r="H573" s="8">
        <f>IF(financials[[#This Row],[Discount Band]]="low",0.1,IF(financials[[#This Row],[Discount Band]]="medium",0.15,0.3))</f>
        <v>0.3</v>
      </c>
      <c r="I573" s="8">
        <f>financials[[#This Row],[Gross Sales]]-financials[[#This Row],[Gross Sales]]*financials[[#This Row],[Discounts]]</f>
        <v>215.60000000000002</v>
      </c>
      <c r="J573" s="8">
        <f>VLOOKUP(financials[[#This Row],[productid]],Products!$B$2:$H$10,4)</f>
        <v>15</v>
      </c>
      <c r="K573" s="8">
        <f>financials[[#This Row],[Net Sales]]-financials[[#This Row],[COGS]]</f>
        <v>200.60000000000002</v>
      </c>
      <c r="L573" s="15">
        <v>44862</v>
      </c>
      <c r="M573" t="s">
        <v>697</v>
      </c>
    </row>
    <row r="574" spans="1:13" x14ac:dyDescent="0.25">
      <c r="A574" t="s">
        <v>85</v>
      </c>
      <c r="B574" s="6" t="s">
        <v>617</v>
      </c>
      <c r="C574" s="11">
        <v>103</v>
      </c>
      <c r="D574" s="9" t="s">
        <v>90</v>
      </c>
      <c r="E574">
        <v>20</v>
      </c>
      <c r="F574" s="8">
        <f>VLOOKUP(financials[[#This Row],[productid]],Products!$B$2:$H$10,3)</f>
        <v>28</v>
      </c>
      <c r="G574" s="8">
        <f>financials[[#This Row],[Units Sold]]*financials[[#This Row],[Sale Price]]</f>
        <v>560</v>
      </c>
      <c r="H574" s="8">
        <f>IF(financials[[#This Row],[Discount Band]]="low",0.1,IF(financials[[#This Row],[Discount Band]]="medium",0.15,0.3))</f>
        <v>0.15</v>
      </c>
      <c r="I574" s="8">
        <f>financials[[#This Row],[Gross Sales]]-financials[[#This Row],[Gross Sales]]*financials[[#This Row],[Discounts]]</f>
        <v>476</v>
      </c>
      <c r="J574" s="8">
        <f>VLOOKUP(financials[[#This Row],[productid]],Products!$B$2:$H$10,4)</f>
        <v>15</v>
      </c>
      <c r="K574" s="8">
        <f>financials[[#This Row],[Net Sales]]-financials[[#This Row],[COGS]]</f>
        <v>461</v>
      </c>
      <c r="L574" s="15">
        <v>43957</v>
      </c>
      <c r="M574" t="s">
        <v>697</v>
      </c>
    </row>
    <row r="575" spans="1:13" x14ac:dyDescent="0.25">
      <c r="A575" t="s">
        <v>85</v>
      </c>
      <c r="B575" s="6" t="s">
        <v>158</v>
      </c>
      <c r="C575" s="13">
        <v>106</v>
      </c>
      <c r="D575" s="14" t="s">
        <v>90</v>
      </c>
      <c r="E575">
        <v>20</v>
      </c>
      <c r="F575" s="8">
        <f>VLOOKUP(financials[[#This Row],[productid]],Products!$B$2:$H$10,3)</f>
        <v>25</v>
      </c>
      <c r="G575" s="8">
        <f>financials[[#This Row],[Units Sold]]*financials[[#This Row],[Sale Price]]</f>
        <v>500</v>
      </c>
      <c r="H575" s="8">
        <f>IF(financials[[#This Row],[Discount Band]]="low",0.1,IF(financials[[#This Row],[Discount Band]]="medium",0.15,0.3))</f>
        <v>0.15</v>
      </c>
      <c r="I575" s="8">
        <f>financials[[#This Row],[Gross Sales]]-financials[[#This Row],[Gross Sales]]*financials[[#This Row],[Discounts]]</f>
        <v>425</v>
      </c>
      <c r="J575" s="8">
        <f>VLOOKUP(financials[[#This Row],[productid]],Products!$B$2:$H$10,4)</f>
        <v>9.1</v>
      </c>
      <c r="K575" s="8">
        <f>financials[[#This Row],[Net Sales]]-financials[[#This Row],[COGS]]</f>
        <v>415.9</v>
      </c>
      <c r="L575" s="15">
        <v>45472</v>
      </c>
      <c r="M575" t="s">
        <v>697</v>
      </c>
    </row>
    <row r="576" spans="1:13" x14ac:dyDescent="0.25">
      <c r="A576" t="s">
        <v>85</v>
      </c>
      <c r="B576" s="6" t="s">
        <v>240</v>
      </c>
      <c r="C576" s="13">
        <v>105</v>
      </c>
      <c r="D576" s="14" t="s">
        <v>83</v>
      </c>
      <c r="E576">
        <v>10</v>
      </c>
      <c r="F576" s="8">
        <f>VLOOKUP(financials[[#This Row],[productid]],Products!$B$2:$H$10,3)</f>
        <v>15</v>
      </c>
      <c r="G576" s="8">
        <f>financials[[#This Row],[Units Sold]]*financials[[#This Row],[Sale Price]]</f>
        <v>150</v>
      </c>
      <c r="H576" s="8">
        <f>IF(financials[[#This Row],[Discount Band]]="low",0.1,IF(financials[[#This Row],[Discount Band]]="medium",0.15,0.3))</f>
        <v>0.3</v>
      </c>
      <c r="I576" s="8">
        <f>financials[[#This Row],[Gross Sales]]-financials[[#This Row],[Gross Sales]]*financials[[#This Row],[Discounts]]</f>
        <v>105</v>
      </c>
      <c r="J576" s="8">
        <f>VLOOKUP(financials[[#This Row],[productid]],Products!$B$2:$H$10,4)</f>
        <v>10</v>
      </c>
      <c r="K576" s="8">
        <f>financials[[#This Row],[Net Sales]]-financials[[#This Row],[COGS]]</f>
        <v>95</v>
      </c>
      <c r="L576" s="15">
        <v>44270</v>
      </c>
      <c r="M576" t="s">
        <v>691</v>
      </c>
    </row>
    <row r="577" spans="1:13" x14ac:dyDescent="0.25">
      <c r="A577" t="s">
        <v>85</v>
      </c>
      <c r="B577" s="6" t="s">
        <v>274</v>
      </c>
      <c r="C577" s="13">
        <v>102</v>
      </c>
      <c r="D577" s="14" t="s">
        <v>91</v>
      </c>
      <c r="E577">
        <v>14</v>
      </c>
      <c r="F577" s="8">
        <f>VLOOKUP(financials[[#This Row],[productid]],Products!$B$2:$H$10,3)</f>
        <v>15</v>
      </c>
      <c r="G577" s="8">
        <f>financials[[#This Row],[Units Sold]]*financials[[#This Row],[Sale Price]]</f>
        <v>210</v>
      </c>
      <c r="H577" s="8">
        <f>IF(financials[[#This Row],[Discount Band]]="low",0.1,IF(financials[[#This Row],[Discount Band]]="medium",0.15,0.3))</f>
        <v>0.1</v>
      </c>
      <c r="I577" s="8">
        <f>financials[[#This Row],[Gross Sales]]-financials[[#This Row],[Gross Sales]]*financials[[#This Row],[Discounts]]</f>
        <v>189</v>
      </c>
      <c r="J577" s="8">
        <f>VLOOKUP(financials[[#This Row],[productid]],Products!$B$2:$H$10,4)</f>
        <v>13.95</v>
      </c>
      <c r="K577" s="8">
        <f>financials[[#This Row],[Net Sales]]-financials[[#This Row],[COGS]]</f>
        <v>175.05</v>
      </c>
      <c r="L577" s="15">
        <v>44354</v>
      </c>
      <c r="M577" t="s">
        <v>697</v>
      </c>
    </row>
    <row r="578" spans="1:13" x14ac:dyDescent="0.25">
      <c r="A578" t="s">
        <v>86</v>
      </c>
      <c r="B578" s="6" t="s">
        <v>273</v>
      </c>
      <c r="C578" s="13">
        <v>104</v>
      </c>
      <c r="D578" s="14" t="s">
        <v>91</v>
      </c>
      <c r="E578">
        <v>6</v>
      </c>
      <c r="F578" s="8">
        <f>VLOOKUP(financials[[#This Row],[productid]],Products!$B$2:$H$10,3)</f>
        <v>5.9</v>
      </c>
      <c r="G578" s="8">
        <f>financials[[#This Row],[Units Sold]]*financials[[#This Row],[Sale Price]]</f>
        <v>35.400000000000006</v>
      </c>
      <c r="H578" s="8">
        <f>IF(financials[[#This Row],[Discount Band]]="low",0.1,IF(financials[[#This Row],[Discount Band]]="medium",0.15,0.3))</f>
        <v>0.1</v>
      </c>
      <c r="I578" s="8">
        <f>financials[[#This Row],[Gross Sales]]-financials[[#This Row],[Gross Sales]]*financials[[#This Row],[Discounts]]</f>
        <v>31.860000000000007</v>
      </c>
      <c r="J578" s="8">
        <f>VLOOKUP(financials[[#This Row],[productid]],Products!$B$2:$H$10,4)</f>
        <v>2.9</v>
      </c>
      <c r="K578" s="8">
        <f>financials[[#This Row],[Net Sales]]-financials[[#This Row],[COGS]]</f>
        <v>28.960000000000008</v>
      </c>
      <c r="L578" s="15">
        <v>45323</v>
      </c>
      <c r="M578" t="s">
        <v>691</v>
      </c>
    </row>
    <row r="579" spans="1:13" x14ac:dyDescent="0.25">
      <c r="A579" t="s">
        <v>89</v>
      </c>
      <c r="B579" s="6" t="s">
        <v>158</v>
      </c>
      <c r="C579" s="11">
        <v>105</v>
      </c>
      <c r="D579" s="9" t="s">
        <v>83</v>
      </c>
      <c r="E579">
        <v>8</v>
      </c>
      <c r="F579" s="8">
        <f>VLOOKUP(financials[[#This Row],[productid]],Products!$B$2:$H$10,3)</f>
        <v>15</v>
      </c>
      <c r="G579" s="8">
        <f>financials[[#This Row],[Units Sold]]*financials[[#This Row],[Sale Price]]</f>
        <v>120</v>
      </c>
      <c r="H579" s="8">
        <f>IF(financials[[#This Row],[Discount Band]]="low",0.1,IF(financials[[#This Row],[Discount Band]]="medium",0.15,0.3))</f>
        <v>0.3</v>
      </c>
      <c r="I579" s="8">
        <f>financials[[#This Row],[Gross Sales]]-financials[[#This Row],[Gross Sales]]*financials[[#This Row],[Discounts]]</f>
        <v>84</v>
      </c>
      <c r="J579" s="8">
        <f>VLOOKUP(financials[[#This Row],[productid]],Products!$B$2:$H$10,4)</f>
        <v>10</v>
      </c>
      <c r="K579" s="8">
        <f>financials[[#This Row],[Net Sales]]-financials[[#This Row],[COGS]]</f>
        <v>74</v>
      </c>
      <c r="L579" s="15">
        <v>45332</v>
      </c>
      <c r="M579" t="s">
        <v>700</v>
      </c>
    </row>
    <row r="580" spans="1:13" x14ac:dyDescent="0.25">
      <c r="A580" t="s">
        <v>86</v>
      </c>
      <c r="B580" s="6" t="s">
        <v>93</v>
      </c>
      <c r="C580" s="13">
        <v>102</v>
      </c>
      <c r="D580" s="14" t="s">
        <v>90</v>
      </c>
      <c r="E580">
        <v>20</v>
      </c>
      <c r="F580" s="8">
        <f>VLOOKUP(financials[[#This Row],[productid]],Products!$B$2:$H$10,3)</f>
        <v>15</v>
      </c>
      <c r="G580" s="8">
        <f>financials[[#This Row],[Units Sold]]*financials[[#This Row],[Sale Price]]</f>
        <v>300</v>
      </c>
      <c r="H580" s="8">
        <f>IF(financials[[#This Row],[Discount Band]]="low",0.1,IF(financials[[#This Row],[Discount Band]]="medium",0.15,0.3))</f>
        <v>0.15</v>
      </c>
      <c r="I580" s="8">
        <f>financials[[#This Row],[Gross Sales]]-financials[[#This Row],[Gross Sales]]*financials[[#This Row],[Discounts]]</f>
        <v>255</v>
      </c>
      <c r="J580" s="8">
        <f>VLOOKUP(financials[[#This Row],[productid]],Products!$B$2:$H$10,4)</f>
        <v>13.95</v>
      </c>
      <c r="K580" s="8">
        <f>financials[[#This Row],[Net Sales]]-financials[[#This Row],[COGS]]</f>
        <v>241.05</v>
      </c>
      <c r="L580" s="15">
        <v>44934</v>
      </c>
      <c r="M580" t="s">
        <v>700</v>
      </c>
    </row>
    <row r="581" spans="1:13" x14ac:dyDescent="0.25">
      <c r="A581" t="s">
        <v>85</v>
      </c>
      <c r="B581" s="6" t="s">
        <v>197</v>
      </c>
      <c r="C581" s="13">
        <v>102</v>
      </c>
      <c r="D581" s="14" t="s">
        <v>91</v>
      </c>
      <c r="E581">
        <v>16</v>
      </c>
      <c r="F581" s="8">
        <f>VLOOKUP(financials[[#This Row],[productid]],Products!$B$2:$H$10,3)</f>
        <v>15</v>
      </c>
      <c r="G581" s="8">
        <f>financials[[#This Row],[Units Sold]]*financials[[#This Row],[Sale Price]]</f>
        <v>240</v>
      </c>
      <c r="H581" s="8">
        <f>IF(financials[[#This Row],[Discount Band]]="low",0.1,IF(financials[[#This Row],[Discount Band]]="medium",0.15,0.3))</f>
        <v>0.1</v>
      </c>
      <c r="I581" s="8">
        <f>financials[[#This Row],[Gross Sales]]-financials[[#This Row],[Gross Sales]]*financials[[#This Row],[Discounts]]</f>
        <v>216</v>
      </c>
      <c r="J581" s="8">
        <f>VLOOKUP(financials[[#This Row],[productid]],Products!$B$2:$H$10,4)</f>
        <v>13.95</v>
      </c>
      <c r="K581" s="8">
        <f>financials[[#This Row],[Net Sales]]-financials[[#This Row],[COGS]]</f>
        <v>202.05</v>
      </c>
      <c r="L581" s="15">
        <v>44864</v>
      </c>
      <c r="M581" t="s">
        <v>690</v>
      </c>
    </row>
    <row r="582" spans="1:13" x14ac:dyDescent="0.25">
      <c r="A582" t="s">
        <v>85</v>
      </c>
      <c r="B582" s="6" t="s">
        <v>228</v>
      </c>
      <c r="C582" s="13">
        <v>108</v>
      </c>
      <c r="D582" s="14" t="s">
        <v>91</v>
      </c>
      <c r="E582">
        <v>6</v>
      </c>
      <c r="F582" s="8">
        <f>VLOOKUP(financials[[#This Row],[productid]],Products!$B$2:$H$10,3)</f>
        <v>5.5</v>
      </c>
      <c r="G582" s="8">
        <f>financials[[#This Row],[Units Sold]]*financials[[#This Row],[Sale Price]]</f>
        <v>33</v>
      </c>
      <c r="H582" s="8">
        <f>IF(financials[[#This Row],[Discount Band]]="low",0.1,IF(financials[[#This Row],[Discount Band]]="medium",0.15,0.3))</f>
        <v>0.1</v>
      </c>
      <c r="I582" s="8">
        <f>financials[[#This Row],[Gross Sales]]-financials[[#This Row],[Gross Sales]]*financials[[#This Row],[Discounts]]</f>
        <v>29.7</v>
      </c>
      <c r="J582" s="8">
        <f>VLOOKUP(financials[[#This Row],[productid]],Products!$B$2:$H$10,4)</f>
        <v>3.99</v>
      </c>
      <c r="K582" s="8">
        <f>financials[[#This Row],[Net Sales]]-financials[[#This Row],[COGS]]</f>
        <v>25.71</v>
      </c>
      <c r="L582" s="15">
        <v>45050</v>
      </c>
      <c r="M582" t="s">
        <v>690</v>
      </c>
    </row>
    <row r="583" spans="1:13" x14ac:dyDescent="0.25">
      <c r="A583" t="s">
        <v>89</v>
      </c>
      <c r="B583" s="6" t="s">
        <v>96</v>
      </c>
      <c r="C583" s="13">
        <v>105</v>
      </c>
      <c r="D583" s="14" t="s">
        <v>91</v>
      </c>
      <c r="E583">
        <v>19</v>
      </c>
      <c r="F583" s="8">
        <f>VLOOKUP(financials[[#This Row],[productid]],Products!$B$2:$H$10,3)</f>
        <v>15</v>
      </c>
      <c r="G583" s="8">
        <f>financials[[#This Row],[Units Sold]]*financials[[#This Row],[Sale Price]]</f>
        <v>285</v>
      </c>
      <c r="H583" s="8">
        <f>IF(financials[[#This Row],[Discount Band]]="low",0.1,IF(financials[[#This Row],[Discount Band]]="medium",0.15,0.3))</f>
        <v>0.1</v>
      </c>
      <c r="I583" s="8">
        <f>financials[[#This Row],[Gross Sales]]-financials[[#This Row],[Gross Sales]]*financials[[#This Row],[Discounts]]</f>
        <v>256.5</v>
      </c>
      <c r="J583" s="8">
        <f>VLOOKUP(financials[[#This Row],[productid]],Products!$B$2:$H$10,4)</f>
        <v>10</v>
      </c>
      <c r="K583" s="8">
        <f>financials[[#This Row],[Net Sales]]-financials[[#This Row],[COGS]]</f>
        <v>246.5</v>
      </c>
      <c r="L583" s="15">
        <v>45218</v>
      </c>
      <c r="M583" t="s">
        <v>690</v>
      </c>
    </row>
    <row r="584" spans="1:13" x14ac:dyDescent="0.25">
      <c r="A584" t="s">
        <v>89</v>
      </c>
      <c r="B584" s="6" t="s">
        <v>96</v>
      </c>
      <c r="C584" s="13">
        <v>103</v>
      </c>
      <c r="D584" s="14" t="s">
        <v>83</v>
      </c>
      <c r="E584">
        <v>12</v>
      </c>
      <c r="F584" s="8">
        <f>VLOOKUP(financials[[#This Row],[productid]],Products!$B$2:$H$10,3)</f>
        <v>28</v>
      </c>
      <c r="G584" s="8">
        <f>financials[[#This Row],[Units Sold]]*financials[[#This Row],[Sale Price]]</f>
        <v>336</v>
      </c>
      <c r="H584" s="8">
        <f>IF(financials[[#This Row],[Discount Band]]="low",0.1,IF(financials[[#This Row],[Discount Band]]="medium",0.15,0.3))</f>
        <v>0.3</v>
      </c>
      <c r="I584" s="8">
        <f>financials[[#This Row],[Gross Sales]]-financials[[#This Row],[Gross Sales]]*financials[[#This Row],[Discounts]]</f>
        <v>235.2</v>
      </c>
      <c r="J584" s="8">
        <f>VLOOKUP(financials[[#This Row],[productid]],Products!$B$2:$H$10,4)</f>
        <v>15</v>
      </c>
      <c r="K584" s="8">
        <f>financials[[#This Row],[Net Sales]]-financials[[#This Row],[COGS]]</f>
        <v>220.2</v>
      </c>
      <c r="L584" s="15">
        <v>45457</v>
      </c>
      <c r="M584" t="s">
        <v>690</v>
      </c>
    </row>
    <row r="585" spans="1:13" x14ac:dyDescent="0.25">
      <c r="A585" t="s">
        <v>85</v>
      </c>
      <c r="B585" s="6" t="s">
        <v>274</v>
      </c>
      <c r="C585" s="13">
        <v>108</v>
      </c>
      <c r="D585" s="14" t="s">
        <v>91</v>
      </c>
      <c r="E585">
        <v>6</v>
      </c>
      <c r="F585" s="8">
        <f>VLOOKUP(financials[[#This Row],[productid]],Products!$B$2:$H$10,3)</f>
        <v>5.5</v>
      </c>
      <c r="G585" s="8">
        <f>financials[[#This Row],[Units Sold]]*financials[[#This Row],[Sale Price]]</f>
        <v>33</v>
      </c>
      <c r="H585" s="8">
        <f>IF(financials[[#This Row],[Discount Band]]="low",0.1,IF(financials[[#This Row],[Discount Band]]="medium",0.15,0.3))</f>
        <v>0.1</v>
      </c>
      <c r="I585" s="8">
        <f>financials[[#This Row],[Gross Sales]]-financials[[#This Row],[Gross Sales]]*financials[[#This Row],[Discounts]]</f>
        <v>29.7</v>
      </c>
      <c r="J585" s="8">
        <f>VLOOKUP(financials[[#This Row],[productid]],Products!$B$2:$H$10,4)</f>
        <v>3.99</v>
      </c>
      <c r="K585" s="8">
        <f>financials[[#This Row],[Net Sales]]-financials[[#This Row],[COGS]]</f>
        <v>25.71</v>
      </c>
      <c r="L585" s="15">
        <v>43938</v>
      </c>
      <c r="M585" t="s">
        <v>696</v>
      </c>
    </row>
    <row r="586" spans="1:13" x14ac:dyDescent="0.25">
      <c r="A586" t="s">
        <v>86</v>
      </c>
      <c r="B586" s="6" t="s">
        <v>276</v>
      </c>
      <c r="C586" s="13">
        <v>107</v>
      </c>
      <c r="D586" s="14" t="s">
        <v>90</v>
      </c>
      <c r="E586">
        <v>17</v>
      </c>
      <c r="F586" s="8">
        <f>VLOOKUP(financials[[#This Row],[productid]],Products!$B$2:$H$10,3)</f>
        <v>15</v>
      </c>
      <c r="G586" s="8">
        <f>financials[[#This Row],[Units Sold]]*financials[[#This Row],[Sale Price]]</f>
        <v>255</v>
      </c>
      <c r="H586" s="8">
        <f>IF(financials[[#This Row],[Discount Band]]="low",0.1,IF(financials[[#This Row],[Discount Band]]="medium",0.15,0.3))</f>
        <v>0.15</v>
      </c>
      <c r="I586" s="8">
        <f>financials[[#This Row],[Gross Sales]]-financials[[#This Row],[Gross Sales]]*financials[[#This Row],[Discounts]]</f>
        <v>216.75</v>
      </c>
      <c r="J586" s="8">
        <f>VLOOKUP(financials[[#This Row],[productid]],Products!$B$2:$H$10,4)</f>
        <v>5.5</v>
      </c>
      <c r="K586" s="8">
        <f>financials[[#This Row],[Net Sales]]-financials[[#This Row],[COGS]]</f>
        <v>211.25</v>
      </c>
      <c r="L586" s="15">
        <v>44958</v>
      </c>
      <c r="M586" t="s">
        <v>700</v>
      </c>
    </row>
    <row r="587" spans="1:13" x14ac:dyDescent="0.25">
      <c r="A587" t="s">
        <v>86</v>
      </c>
      <c r="B587" s="6" t="s">
        <v>197</v>
      </c>
      <c r="C587" s="13">
        <v>106</v>
      </c>
      <c r="D587" s="14" t="s">
        <v>90</v>
      </c>
      <c r="E587">
        <v>17</v>
      </c>
      <c r="F587" s="8">
        <f>VLOOKUP(financials[[#This Row],[productid]],Products!$B$2:$H$10,3)</f>
        <v>25</v>
      </c>
      <c r="G587" s="8">
        <f>financials[[#This Row],[Units Sold]]*financials[[#This Row],[Sale Price]]</f>
        <v>425</v>
      </c>
      <c r="H587" s="8">
        <f>IF(financials[[#This Row],[Discount Band]]="low",0.1,IF(financials[[#This Row],[Discount Band]]="medium",0.15,0.3))</f>
        <v>0.15</v>
      </c>
      <c r="I587" s="8">
        <f>financials[[#This Row],[Gross Sales]]-financials[[#This Row],[Gross Sales]]*financials[[#This Row],[Discounts]]</f>
        <v>361.25</v>
      </c>
      <c r="J587" s="8">
        <f>VLOOKUP(financials[[#This Row],[productid]],Products!$B$2:$H$10,4)</f>
        <v>9.1</v>
      </c>
      <c r="K587" s="8">
        <f>financials[[#This Row],[Net Sales]]-financials[[#This Row],[COGS]]</f>
        <v>352.15</v>
      </c>
      <c r="L587" s="15">
        <v>44154</v>
      </c>
      <c r="M587" t="s">
        <v>700</v>
      </c>
    </row>
    <row r="588" spans="1:13" x14ac:dyDescent="0.25">
      <c r="A588" t="s">
        <v>86</v>
      </c>
      <c r="B588" s="6" t="s">
        <v>276</v>
      </c>
      <c r="C588" s="13">
        <v>104</v>
      </c>
      <c r="D588" s="14" t="s">
        <v>83</v>
      </c>
      <c r="E588">
        <v>15</v>
      </c>
      <c r="F588" s="8">
        <f>VLOOKUP(financials[[#This Row],[productid]],Products!$B$2:$H$10,3)</f>
        <v>5.9</v>
      </c>
      <c r="G588" s="8">
        <f>financials[[#This Row],[Units Sold]]*financials[[#This Row],[Sale Price]]</f>
        <v>88.5</v>
      </c>
      <c r="H588" s="8">
        <f>IF(financials[[#This Row],[Discount Band]]="low",0.1,IF(financials[[#This Row],[Discount Band]]="medium",0.15,0.3))</f>
        <v>0.3</v>
      </c>
      <c r="I588" s="8">
        <f>financials[[#This Row],[Gross Sales]]-financials[[#This Row],[Gross Sales]]*financials[[#This Row],[Discounts]]</f>
        <v>61.95</v>
      </c>
      <c r="J588" s="8">
        <f>VLOOKUP(financials[[#This Row],[productid]],Products!$B$2:$H$10,4)</f>
        <v>2.9</v>
      </c>
      <c r="K588" s="8">
        <f>financials[[#This Row],[Net Sales]]-financials[[#This Row],[COGS]]</f>
        <v>59.050000000000004</v>
      </c>
      <c r="L588" s="15">
        <v>45265</v>
      </c>
      <c r="M588" t="s">
        <v>700</v>
      </c>
    </row>
    <row r="589" spans="1:13" x14ac:dyDescent="0.25">
      <c r="A589" t="s">
        <v>85</v>
      </c>
      <c r="B589" s="6" t="s">
        <v>158</v>
      </c>
      <c r="C589" s="11">
        <v>107</v>
      </c>
      <c r="D589" s="9" t="s">
        <v>83</v>
      </c>
      <c r="E589">
        <v>14</v>
      </c>
      <c r="F589" s="8">
        <f>VLOOKUP(financials[[#This Row],[productid]],Products!$B$2:$H$10,3)</f>
        <v>15</v>
      </c>
      <c r="G589" s="8">
        <f>financials[[#This Row],[Units Sold]]*financials[[#This Row],[Sale Price]]</f>
        <v>210</v>
      </c>
      <c r="H589" s="8">
        <f>IF(financials[[#This Row],[Discount Band]]="low",0.1,IF(financials[[#This Row],[Discount Band]]="medium",0.15,0.3))</f>
        <v>0.3</v>
      </c>
      <c r="I589" s="8">
        <f>financials[[#This Row],[Gross Sales]]-financials[[#This Row],[Gross Sales]]*financials[[#This Row],[Discounts]]</f>
        <v>147</v>
      </c>
      <c r="J589" s="8">
        <f>VLOOKUP(financials[[#This Row],[productid]],Products!$B$2:$H$10,4)</f>
        <v>5.5</v>
      </c>
      <c r="K589" s="8">
        <f>financials[[#This Row],[Net Sales]]-financials[[#This Row],[COGS]]</f>
        <v>141.5</v>
      </c>
      <c r="L589" s="15">
        <v>45294</v>
      </c>
      <c r="M589" t="s">
        <v>691</v>
      </c>
    </row>
    <row r="590" spans="1:13" x14ac:dyDescent="0.25">
      <c r="A590" t="s">
        <v>85</v>
      </c>
      <c r="B590" s="6" t="s">
        <v>228</v>
      </c>
      <c r="C590" s="13">
        <v>107</v>
      </c>
      <c r="D590" s="14" t="s">
        <v>83</v>
      </c>
      <c r="E590">
        <v>17</v>
      </c>
      <c r="F590" s="8">
        <f>VLOOKUP(financials[[#This Row],[productid]],Products!$B$2:$H$10,3)</f>
        <v>15</v>
      </c>
      <c r="G590" s="8">
        <f>financials[[#This Row],[Units Sold]]*financials[[#This Row],[Sale Price]]</f>
        <v>255</v>
      </c>
      <c r="H590" s="8">
        <f>IF(financials[[#This Row],[Discount Band]]="low",0.1,IF(financials[[#This Row],[Discount Band]]="medium",0.15,0.3))</f>
        <v>0.3</v>
      </c>
      <c r="I590" s="8">
        <f>financials[[#This Row],[Gross Sales]]-financials[[#This Row],[Gross Sales]]*financials[[#This Row],[Discounts]]</f>
        <v>178.5</v>
      </c>
      <c r="J590" s="8">
        <f>VLOOKUP(financials[[#This Row],[productid]],Products!$B$2:$H$10,4)</f>
        <v>5.5</v>
      </c>
      <c r="K590" s="8">
        <f>financials[[#This Row],[Net Sales]]-financials[[#This Row],[COGS]]</f>
        <v>173</v>
      </c>
      <c r="L590" s="15">
        <v>45486</v>
      </c>
      <c r="M590" t="s">
        <v>696</v>
      </c>
    </row>
    <row r="591" spans="1:13" x14ac:dyDescent="0.25">
      <c r="A591" t="s">
        <v>85</v>
      </c>
      <c r="B591" s="6" t="s">
        <v>617</v>
      </c>
      <c r="C591" s="13">
        <v>109</v>
      </c>
      <c r="D591" s="14" t="s">
        <v>90</v>
      </c>
      <c r="E591">
        <v>6</v>
      </c>
      <c r="F591" s="8">
        <f>VLOOKUP(financials[[#This Row],[productid]],Products!$B$2:$H$10,3)</f>
        <v>36</v>
      </c>
      <c r="G591" s="8">
        <f>financials[[#This Row],[Units Sold]]*financials[[#This Row],[Sale Price]]</f>
        <v>216</v>
      </c>
      <c r="H591" s="8">
        <f>IF(financials[[#This Row],[Discount Band]]="low",0.1,IF(financials[[#This Row],[Discount Band]]="medium",0.15,0.3))</f>
        <v>0.15</v>
      </c>
      <c r="I591" s="8">
        <f>financials[[#This Row],[Gross Sales]]-financials[[#This Row],[Gross Sales]]*financials[[#This Row],[Discounts]]</f>
        <v>183.6</v>
      </c>
      <c r="J591" s="8">
        <f>VLOOKUP(financials[[#This Row],[productid]],Products!$B$2:$H$10,4)</f>
        <v>16.8</v>
      </c>
      <c r="K591" s="8">
        <f>financials[[#This Row],[Net Sales]]-financials[[#This Row],[COGS]]</f>
        <v>166.79999999999998</v>
      </c>
      <c r="L591" s="15">
        <v>44650</v>
      </c>
      <c r="M591" t="s">
        <v>696</v>
      </c>
    </row>
    <row r="592" spans="1:13" x14ac:dyDescent="0.25">
      <c r="A592" t="s">
        <v>85</v>
      </c>
      <c r="B592" s="6" t="s">
        <v>167</v>
      </c>
      <c r="C592" s="13">
        <v>101</v>
      </c>
      <c r="D592" s="14" t="s">
        <v>90</v>
      </c>
      <c r="E592">
        <v>13</v>
      </c>
      <c r="F592" s="8">
        <f>VLOOKUP(financials[[#This Row],[productid]],Products!$B$2:$H$10,3)</f>
        <v>23</v>
      </c>
      <c r="G592" s="8">
        <f>financials[[#This Row],[Units Sold]]*financials[[#This Row],[Sale Price]]</f>
        <v>299</v>
      </c>
      <c r="H592" s="8">
        <f>IF(financials[[#This Row],[Discount Band]]="low",0.1,IF(financials[[#This Row],[Discount Band]]="medium",0.15,0.3))</f>
        <v>0.15</v>
      </c>
      <c r="I592" s="8">
        <f>financials[[#This Row],[Gross Sales]]-financials[[#This Row],[Gross Sales]]*financials[[#This Row],[Discounts]]</f>
        <v>254.15</v>
      </c>
      <c r="J592" s="8">
        <f>VLOOKUP(financials[[#This Row],[productid]],Products!$B$2:$H$10,4)</f>
        <v>9.9499999999999993</v>
      </c>
      <c r="K592" s="8">
        <f>financials[[#This Row],[Net Sales]]-financials[[#This Row],[COGS]]</f>
        <v>244.20000000000002</v>
      </c>
      <c r="L592" s="15">
        <v>44640</v>
      </c>
      <c r="M592" t="s">
        <v>690</v>
      </c>
    </row>
    <row r="593" spans="1:13" x14ac:dyDescent="0.25">
      <c r="A593" t="s">
        <v>85</v>
      </c>
      <c r="B593" s="6" t="s">
        <v>645</v>
      </c>
      <c r="C593" s="13">
        <v>109</v>
      </c>
      <c r="D593" s="14" t="s">
        <v>91</v>
      </c>
      <c r="E593">
        <v>10</v>
      </c>
      <c r="F593" s="8">
        <f>VLOOKUP(financials[[#This Row],[productid]],Products!$B$2:$H$10,3)</f>
        <v>36</v>
      </c>
      <c r="G593" s="8">
        <f>financials[[#This Row],[Units Sold]]*financials[[#This Row],[Sale Price]]</f>
        <v>360</v>
      </c>
      <c r="H593" s="8">
        <f>IF(financials[[#This Row],[Discount Band]]="low",0.1,IF(financials[[#This Row],[Discount Band]]="medium",0.15,0.3))</f>
        <v>0.1</v>
      </c>
      <c r="I593" s="8">
        <f>financials[[#This Row],[Gross Sales]]-financials[[#This Row],[Gross Sales]]*financials[[#This Row],[Discounts]]</f>
        <v>324</v>
      </c>
      <c r="J593" s="8">
        <f>VLOOKUP(financials[[#This Row],[productid]],Products!$B$2:$H$10,4)</f>
        <v>16.8</v>
      </c>
      <c r="K593" s="8">
        <f>financials[[#This Row],[Net Sales]]-financials[[#This Row],[COGS]]</f>
        <v>307.2</v>
      </c>
      <c r="L593" s="15">
        <v>43873</v>
      </c>
      <c r="M593" t="s">
        <v>691</v>
      </c>
    </row>
    <row r="594" spans="1:13" x14ac:dyDescent="0.25">
      <c r="A594" t="s">
        <v>85</v>
      </c>
      <c r="B594" s="6" t="s">
        <v>148</v>
      </c>
      <c r="C594" s="13">
        <v>105</v>
      </c>
      <c r="D594" s="14" t="s">
        <v>83</v>
      </c>
      <c r="E594">
        <v>11</v>
      </c>
      <c r="F594" s="8">
        <f>VLOOKUP(financials[[#This Row],[productid]],Products!$B$2:$H$10,3)</f>
        <v>15</v>
      </c>
      <c r="G594" s="8">
        <f>financials[[#This Row],[Units Sold]]*financials[[#This Row],[Sale Price]]</f>
        <v>165</v>
      </c>
      <c r="H594" s="8">
        <f>IF(financials[[#This Row],[Discount Band]]="low",0.1,IF(financials[[#This Row],[Discount Band]]="medium",0.15,0.3))</f>
        <v>0.3</v>
      </c>
      <c r="I594" s="8">
        <f>financials[[#This Row],[Gross Sales]]-financials[[#This Row],[Gross Sales]]*financials[[#This Row],[Discounts]]</f>
        <v>115.5</v>
      </c>
      <c r="J594" s="8">
        <f>VLOOKUP(financials[[#This Row],[productid]],Products!$B$2:$H$10,4)</f>
        <v>10</v>
      </c>
      <c r="K594" s="8">
        <f>financials[[#This Row],[Net Sales]]-financials[[#This Row],[COGS]]</f>
        <v>105.5</v>
      </c>
      <c r="L594" s="15">
        <v>45334</v>
      </c>
      <c r="M594" t="s">
        <v>691</v>
      </c>
    </row>
    <row r="595" spans="1:13" x14ac:dyDescent="0.25">
      <c r="A595" t="s">
        <v>86</v>
      </c>
      <c r="B595" s="6" t="s">
        <v>197</v>
      </c>
      <c r="C595" s="11">
        <v>103</v>
      </c>
      <c r="D595" s="9" t="s">
        <v>83</v>
      </c>
      <c r="E595">
        <v>6</v>
      </c>
      <c r="F595" s="8">
        <f>VLOOKUP(financials[[#This Row],[productid]],Products!$B$2:$H$10,3)</f>
        <v>28</v>
      </c>
      <c r="G595" s="8">
        <f>financials[[#This Row],[Units Sold]]*financials[[#This Row],[Sale Price]]</f>
        <v>168</v>
      </c>
      <c r="H595" s="8">
        <f>IF(financials[[#This Row],[Discount Band]]="low",0.1,IF(financials[[#This Row],[Discount Band]]="medium",0.15,0.3))</f>
        <v>0.3</v>
      </c>
      <c r="I595" s="8">
        <f>financials[[#This Row],[Gross Sales]]-financials[[#This Row],[Gross Sales]]*financials[[#This Row],[Discounts]]</f>
        <v>117.6</v>
      </c>
      <c r="J595" s="8">
        <f>VLOOKUP(financials[[#This Row],[productid]],Products!$B$2:$H$10,4)</f>
        <v>15</v>
      </c>
      <c r="K595" s="8">
        <f>financials[[#This Row],[Net Sales]]-financials[[#This Row],[COGS]]</f>
        <v>102.6</v>
      </c>
      <c r="L595" s="15">
        <v>43983</v>
      </c>
      <c r="M595" t="s">
        <v>697</v>
      </c>
    </row>
    <row r="596" spans="1:13" x14ac:dyDescent="0.25">
      <c r="A596" t="s">
        <v>86</v>
      </c>
      <c r="B596" s="6" t="s">
        <v>94</v>
      </c>
      <c r="C596" s="13">
        <v>109</v>
      </c>
      <c r="D596" s="14" t="s">
        <v>83</v>
      </c>
      <c r="E596">
        <v>13</v>
      </c>
      <c r="F596" s="8">
        <f>VLOOKUP(financials[[#This Row],[productid]],Products!$B$2:$H$10,3)</f>
        <v>36</v>
      </c>
      <c r="G596" s="8">
        <f>financials[[#This Row],[Units Sold]]*financials[[#This Row],[Sale Price]]</f>
        <v>468</v>
      </c>
      <c r="H596" s="8">
        <f>IF(financials[[#This Row],[Discount Band]]="low",0.1,IF(financials[[#This Row],[Discount Band]]="medium",0.15,0.3))</f>
        <v>0.3</v>
      </c>
      <c r="I596" s="8">
        <f>financials[[#This Row],[Gross Sales]]-financials[[#This Row],[Gross Sales]]*financials[[#This Row],[Discounts]]</f>
        <v>327.60000000000002</v>
      </c>
      <c r="J596" s="8">
        <f>VLOOKUP(financials[[#This Row],[productid]],Products!$B$2:$H$10,4)</f>
        <v>16.8</v>
      </c>
      <c r="K596" s="8">
        <f>financials[[#This Row],[Net Sales]]-financials[[#This Row],[COGS]]</f>
        <v>310.8</v>
      </c>
      <c r="L596" s="15">
        <v>43831</v>
      </c>
      <c r="M596" t="s">
        <v>696</v>
      </c>
    </row>
    <row r="597" spans="1:13" x14ac:dyDescent="0.25">
      <c r="A597" t="s">
        <v>89</v>
      </c>
      <c r="B597" s="6" t="s">
        <v>93</v>
      </c>
      <c r="C597" s="11">
        <v>106</v>
      </c>
      <c r="D597" s="9" t="s">
        <v>91</v>
      </c>
      <c r="E597">
        <v>20</v>
      </c>
      <c r="F597" s="8">
        <f>VLOOKUP(financials[[#This Row],[productid]],Products!$B$2:$H$10,3)</f>
        <v>25</v>
      </c>
      <c r="G597" s="8">
        <f>financials[[#This Row],[Units Sold]]*financials[[#This Row],[Sale Price]]</f>
        <v>500</v>
      </c>
      <c r="H597" s="8">
        <f>IF(financials[[#This Row],[Discount Band]]="low",0.1,IF(financials[[#This Row],[Discount Band]]="medium",0.15,0.3))</f>
        <v>0.1</v>
      </c>
      <c r="I597" s="8">
        <f>financials[[#This Row],[Gross Sales]]-financials[[#This Row],[Gross Sales]]*financials[[#This Row],[Discounts]]</f>
        <v>450</v>
      </c>
      <c r="J597" s="8">
        <f>VLOOKUP(financials[[#This Row],[productid]],Products!$B$2:$H$10,4)</f>
        <v>9.1</v>
      </c>
      <c r="K597" s="8">
        <f>financials[[#This Row],[Net Sales]]-financials[[#This Row],[COGS]]</f>
        <v>440.9</v>
      </c>
      <c r="L597" s="15">
        <v>45100</v>
      </c>
      <c r="M597" t="s">
        <v>700</v>
      </c>
    </row>
    <row r="598" spans="1:13" x14ac:dyDescent="0.25">
      <c r="A598" t="s">
        <v>85</v>
      </c>
      <c r="B598" s="6" t="s">
        <v>95</v>
      </c>
      <c r="C598" s="13">
        <v>104</v>
      </c>
      <c r="D598" s="14" t="s">
        <v>83</v>
      </c>
      <c r="E598">
        <v>5</v>
      </c>
      <c r="F598" s="8">
        <f>VLOOKUP(financials[[#This Row],[productid]],Products!$B$2:$H$10,3)</f>
        <v>5.9</v>
      </c>
      <c r="G598" s="8">
        <f>financials[[#This Row],[Units Sold]]*financials[[#This Row],[Sale Price]]</f>
        <v>29.5</v>
      </c>
      <c r="H598" s="8">
        <f>IF(financials[[#This Row],[Discount Band]]="low",0.1,IF(financials[[#This Row],[Discount Band]]="medium",0.15,0.3))</f>
        <v>0.3</v>
      </c>
      <c r="I598" s="8">
        <f>financials[[#This Row],[Gross Sales]]-financials[[#This Row],[Gross Sales]]*financials[[#This Row],[Discounts]]</f>
        <v>20.65</v>
      </c>
      <c r="J598" s="8">
        <f>VLOOKUP(financials[[#This Row],[productid]],Products!$B$2:$H$10,4)</f>
        <v>2.9</v>
      </c>
      <c r="K598" s="8">
        <f>financials[[#This Row],[Net Sales]]-financials[[#This Row],[COGS]]</f>
        <v>17.75</v>
      </c>
      <c r="L598" s="15">
        <v>44824</v>
      </c>
      <c r="M598" t="s">
        <v>696</v>
      </c>
    </row>
    <row r="599" spans="1:13" x14ac:dyDescent="0.25">
      <c r="A599" t="s">
        <v>85</v>
      </c>
      <c r="B599" s="6" t="s">
        <v>274</v>
      </c>
      <c r="C599" s="13">
        <v>109</v>
      </c>
      <c r="D599" s="14" t="s">
        <v>90</v>
      </c>
      <c r="E599">
        <v>9</v>
      </c>
      <c r="F599" s="8">
        <f>VLOOKUP(financials[[#This Row],[productid]],Products!$B$2:$H$10,3)</f>
        <v>36</v>
      </c>
      <c r="G599" s="8">
        <f>financials[[#This Row],[Units Sold]]*financials[[#This Row],[Sale Price]]</f>
        <v>324</v>
      </c>
      <c r="H599" s="8">
        <f>IF(financials[[#This Row],[Discount Band]]="low",0.1,IF(financials[[#This Row],[Discount Band]]="medium",0.15,0.3))</f>
        <v>0.15</v>
      </c>
      <c r="I599" s="8">
        <f>financials[[#This Row],[Gross Sales]]-financials[[#This Row],[Gross Sales]]*financials[[#This Row],[Discounts]]</f>
        <v>275.39999999999998</v>
      </c>
      <c r="J599" s="8">
        <f>VLOOKUP(financials[[#This Row],[productid]],Products!$B$2:$H$10,4)</f>
        <v>16.8</v>
      </c>
      <c r="K599" s="8">
        <f>financials[[#This Row],[Net Sales]]-financials[[#This Row],[COGS]]</f>
        <v>258.59999999999997</v>
      </c>
      <c r="L599" s="15">
        <v>45046</v>
      </c>
      <c r="M599" t="s">
        <v>690</v>
      </c>
    </row>
    <row r="600" spans="1:13" x14ac:dyDescent="0.25">
      <c r="A600" t="s">
        <v>86</v>
      </c>
      <c r="B600" s="6" t="s">
        <v>94</v>
      </c>
      <c r="C600" s="13">
        <v>102</v>
      </c>
      <c r="D600" s="14" t="s">
        <v>83</v>
      </c>
      <c r="E600">
        <v>14</v>
      </c>
      <c r="F600" s="8">
        <f>VLOOKUP(financials[[#This Row],[productid]],Products!$B$2:$H$10,3)</f>
        <v>15</v>
      </c>
      <c r="G600" s="8">
        <f>financials[[#This Row],[Units Sold]]*financials[[#This Row],[Sale Price]]</f>
        <v>210</v>
      </c>
      <c r="H600" s="8">
        <f>IF(financials[[#This Row],[Discount Band]]="low",0.1,IF(financials[[#This Row],[Discount Band]]="medium",0.15,0.3))</f>
        <v>0.3</v>
      </c>
      <c r="I600" s="8">
        <f>financials[[#This Row],[Gross Sales]]-financials[[#This Row],[Gross Sales]]*financials[[#This Row],[Discounts]]</f>
        <v>147</v>
      </c>
      <c r="J600" s="8">
        <f>VLOOKUP(financials[[#This Row],[productid]],Products!$B$2:$H$10,4)</f>
        <v>13.95</v>
      </c>
      <c r="K600" s="8">
        <f>financials[[#This Row],[Net Sales]]-financials[[#This Row],[COGS]]</f>
        <v>133.05000000000001</v>
      </c>
      <c r="L600" s="15">
        <v>44254</v>
      </c>
      <c r="M600" t="s">
        <v>690</v>
      </c>
    </row>
    <row r="601" spans="1:13" x14ac:dyDescent="0.25">
      <c r="A601" t="s">
        <v>89</v>
      </c>
      <c r="B601" s="6" t="s">
        <v>274</v>
      </c>
      <c r="C601" s="11">
        <v>105</v>
      </c>
      <c r="D601" s="9" t="s">
        <v>90</v>
      </c>
      <c r="E601">
        <v>9</v>
      </c>
      <c r="F601" s="8">
        <f>VLOOKUP(financials[[#This Row],[productid]],Products!$B$2:$H$10,3)</f>
        <v>15</v>
      </c>
      <c r="G601" s="8">
        <f>financials[[#This Row],[Units Sold]]*financials[[#This Row],[Sale Price]]</f>
        <v>135</v>
      </c>
      <c r="H601" s="8">
        <f>IF(financials[[#This Row],[Discount Band]]="low",0.1,IF(financials[[#This Row],[Discount Band]]="medium",0.15,0.3))</f>
        <v>0.15</v>
      </c>
      <c r="I601" s="8">
        <f>financials[[#This Row],[Gross Sales]]-financials[[#This Row],[Gross Sales]]*financials[[#This Row],[Discounts]]</f>
        <v>114.75</v>
      </c>
      <c r="J601" s="8">
        <f>VLOOKUP(financials[[#This Row],[productid]],Products!$B$2:$H$10,4)</f>
        <v>10</v>
      </c>
      <c r="K601" s="8">
        <f>financials[[#This Row],[Net Sales]]-financials[[#This Row],[COGS]]</f>
        <v>104.75</v>
      </c>
      <c r="L601" s="15">
        <v>44435</v>
      </c>
      <c r="M601" t="s">
        <v>697</v>
      </c>
    </row>
    <row r="602" spans="1:13" x14ac:dyDescent="0.25">
      <c r="A602" t="s">
        <v>85</v>
      </c>
      <c r="B602" s="6" t="s">
        <v>197</v>
      </c>
      <c r="C602" s="13">
        <v>108</v>
      </c>
      <c r="D602" s="14" t="s">
        <v>83</v>
      </c>
      <c r="E602">
        <v>11</v>
      </c>
      <c r="F602" s="8">
        <f>VLOOKUP(financials[[#This Row],[productid]],Products!$B$2:$H$10,3)</f>
        <v>5.5</v>
      </c>
      <c r="G602" s="8">
        <f>financials[[#This Row],[Units Sold]]*financials[[#This Row],[Sale Price]]</f>
        <v>60.5</v>
      </c>
      <c r="H602" s="8">
        <f>IF(financials[[#This Row],[Discount Band]]="low",0.1,IF(financials[[#This Row],[Discount Band]]="medium",0.15,0.3))</f>
        <v>0.3</v>
      </c>
      <c r="I602" s="8">
        <f>financials[[#This Row],[Gross Sales]]-financials[[#This Row],[Gross Sales]]*financials[[#This Row],[Discounts]]</f>
        <v>42.35</v>
      </c>
      <c r="J602" s="8">
        <f>VLOOKUP(financials[[#This Row],[productid]],Products!$B$2:$H$10,4)</f>
        <v>3.99</v>
      </c>
      <c r="K602" s="8">
        <f>financials[[#This Row],[Net Sales]]-financials[[#This Row],[COGS]]</f>
        <v>38.36</v>
      </c>
      <c r="L602" s="15">
        <v>45457</v>
      </c>
      <c r="M602" t="s">
        <v>697</v>
      </c>
    </row>
    <row r="603" spans="1:13" x14ac:dyDescent="0.25">
      <c r="A603" t="s">
        <v>86</v>
      </c>
      <c r="B603" s="6" t="s">
        <v>198</v>
      </c>
      <c r="C603" s="13">
        <v>101</v>
      </c>
      <c r="D603" s="14" t="s">
        <v>83</v>
      </c>
      <c r="E603">
        <v>7</v>
      </c>
      <c r="F603" s="8">
        <f>VLOOKUP(financials[[#This Row],[productid]],Products!$B$2:$H$10,3)</f>
        <v>23</v>
      </c>
      <c r="G603" s="8">
        <f>financials[[#This Row],[Units Sold]]*financials[[#This Row],[Sale Price]]</f>
        <v>161</v>
      </c>
      <c r="H603" s="8">
        <f>IF(financials[[#This Row],[Discount Band]]="low",0.1,IF(financials[[#This Row],[Discount Band]]="medium",0.15,0.3))</f>
        <v>0.3</v>
      </c>
      <c r="I603" s="8">
        <f>financials[[#This Row],[Gross Sales]]-financials[[#This Row],[Gross Sales]]*financials[[#This Row],[Discounts]]</f>
        <v>112.7</v>
      </c>
      <c r="J603" s="8">
        <f>VLOOKUP(financials[[#This Row],[productid]],Products!$B$2:$H$10,4)</f>
        <v>9.9499999999999993</v>
      </c>
      <c r="K603" s="8">
        <f>financials[[#This Row],[Net Sales]]-financials[[#This Row],[COGS]]</f>
        <v>102.75</v>
      </c>
      <c r="L603" s="15">
        <v>44712</v>
      </c>
      <c r="M603" t="s">
        <v>691</v>
      </c>
    </row>
    <row r="604" spans="1:13" x14ac:dyDescent="0.25">
      <c r="A604" t="s">
        <v>86</v>
      </c>
      <c r="B604" s="6" t="s">
        <v>266</v>
      </c>
      <c r="C604" s="11">
        <v>102</v>
      </c>
      <c r="D604" s="9" t="s">
        <v>90</v>
      </c>
      <c r="E604">
        <v>7</v>
      </c>
      <c r="F604" s="8">
        <f>VLOOKUP(financials[[#This Row],[productid]],Products!$B$2:$H$10,3)</f>
        <v>15</v>
      </c>
      <c r="G604" s="8">
        <f>financials[[#This Row],[Units Sold]]*financials[[#This Row],[Sale Price]]</f>
        <v>105</v>
      </c>
      <c r="H604" s="8">
        <f>IF(financials[[#This Row],[Discount Band]]="low",0.1,IF(financials[[#This Row],[Discount Band]]="medium",0.15,0.3))</f>
        <v>0.15</v>
      </c>
      <c r="I604" s="8">
        <f>financials[[#This Row],[Gross Sales]]-financials[[#This Row],[Gross Sales]]*financials[[#This Row],[Discounts]]</f>
        <v>89.25</v>
      </c>
      <c r="J604" s="8">
        <f>VLOOKUP(financials[[#This Row],[productid]],Products!$B$2:$H$10,4)</f>
        <v>13.95</v>
      </c>
      <c r="K604" s="8">
        <f>financials[[#This Row],[Net Sales]]-financials[[#This Row],[COGS]]</f>
        <v>75.3</v>
      </c>
      <c r="L604" s="15">
        <v>44817</v>
      </c>
      <c r="M604" t="s">
        <v>690</v>
      </c>
    </row>
    <row r="605" spans="1:13" x14ac:dyDescent="0.25">
      <c r="A605" t="s">
        <v>89</v>
      </c>
      <c r="B605" s="6" t="s">
        <v>148</v>
      </c>
      <c r="C605" s="13">
        <v>106</v>
      </c>
      <c r="D605" s="14" t="s">
        <v>92</v>
      </c>
      <c r="E605">
        <v>14</v>
      </c>
      <c r="F605" s="8">
        <f>VLOOKUP(financials[[#This Row],[productid]],Products!$B$2:$H$10,3)</f>
        <v>25</v>
      </c>
      <c r="G605" s="8">
        <f>financials[[#This Row],[Units Sold]]*financials[[#This Row],[Sale Price]]</f>
        <v>350</v>
      </c>
      <c r="H605" s="8">
        <f>IF(financials[[#This Row],[Discount Band]]="low",0.1,IF(financials[[#This Row],[Discount Band]]="medium",0.15,0.3))</f>
        <v>0.3</v>
      </c>
      <c r="I605" s="8">
        <f>financials[[#This Row],[Gross Sales]]-financials[[#This Row],[Gross Sales]]*financials[[#This Row],[Discounts]]</f>
        <v>245</v>
      </c>
      <c r="J605" s="8">
        <f>VLOOKUP(financials[[#This Row],[productid]],Products!$B$2:$H$10,4)</f>
        <v>9.1</v>
      </c>
      <c r="K605" s="8">
        <f>financials[[#This Row],[Net Sales]]-financials[[#This Row],[COGS]]</f>
        <v>235.9</v>
      </c>
      <c r="L605" s="15">
        <v>43945</v>
      </c>
      <c r="M605" t="s">
        <v>696</v>
      </c>
    </row>
    <row r="606" spans="1:13" x14ac:dyDescent="0.25">
      <c r="A606" t="s">
        <v>89</v>
      </c>
      <c r="B606" s="6" t="s">
        <v>197</v>
      </c>
      <c r="C606" s="13">
        <v>108</v>
      </c>
      <c r="D606" s="14" t="s">
        <v>91</v>
      </c>
      <c r="E606">
        <v>19</v>
      </c>
      <c r="F606" s="8">
        <f>VLOOKUP(financials[[#This Row],[productid]],Products!$B$2:$H$10,3)</f>
        <v>5.5</v>
      </c>
      <c r="G606" s="8">
        <f>financials[[#This Row],[Units Sold]]*financials[[#This Row],[Sale Price]]</f>
        <v>104.5</v>
      </c>
      <c r="H606" s="8">
        <f>IF(financials[[#This Row],[Discount Band]]="low",0.1,IF(financials[[#This Row],[Discount Band]]="medium",0.15,0.3))</f>
        <v>0.1</v>
      </c>
      <c r="I606" s="8">
        <f>financials[[#This Row],[Gross Sales]]-financials[[#This Row],[Gross Sales]]*financials[[#This Row],[Discounts]]</f>
        <v>94.05</v>
      </c>
      <c r="J606" s="8">
        <f>VLOOKUP(financials[[#This Row],[productid]],Products!$B$2:$H$10,4)</f>
        <v>3.99</v>
      </c>
      <c r="K606" s="8">
        <f>financials[[#This Row],[Net Sales]]-financials[[#This Row],[COGS]]</f>
        <v>90.06</v>
      </c>
      <c r="L606" s="15">
        <v>44838</v>
      </c>
      <c r="M606" t="s">
        <v>700</v>
      </c>
    </row>
    <row r="607" spans="1:13" x14ac:dyDescent="0.25">
      <c r="A607" t="s">
        <v>85</v>
      </c>
      <c r="B607" s="6" t="s">
        <v>232</v>
      </c>
      <c r="C607" s="13">
        <v>102</v>
      </c>
      <c r="D607" s="14" t="s">
        <v>83</v>
      </c>
      <c r="E607">
        <v>12</v>
      </c>
      <c r="F607" s="8">
        <f>VLOOKUP(financials[[#This Row],[productid]],Products!$B$2:$H$10,3)</f>
        <v>15</v>
      </c>
      <c r="G607" s="8">
        <f>financials[[#This Row],[Units Sold]]*financials[[#This Row],[Sale Price]]</f>
        <v>180</v>
      </c>
      <c r="H607" s="8">
        <f>IF(financials[[#This Row],[Discount Band]]="low",0.1,IF(financials[[#This Row],[Discount Band]]="medium",0.15,0.3))</f>
        <v>0.3</v>
      </c>
      <c r="I607" s="8">
        <f>financials[[#This Row],[Gross Sales]]-financials[[#This Row],[Gross Sales]]*financials[[#This Row],[Discounts]]</f>
        <v>126</v>
      </c>
      <c r="J607" s="8">
        <f>VLOOKUP(financials[[#This Row],[productid]],Products!$B$2:$H$10,4)</f>
        <v>13.95</v>
      </c>
      <c r="K607" s="8">
        <f>financials[[#This Row],[Net Sales]]-financials[[#This Row],[COGS]]</f>
        <v>112.05</v>
      </c>
      <c r="L607" s="15">
        <v>45223</v>
      </c>
      <c r="M607" t="s">
        <v>690</v>
      </c>
    </row>
    <row r="608" spans="1:13" x14ac:dyDescent="0.25">
      <c r="A608" t="s">
        <v>85</v>
      </c>
      <c r="B608" s="6" t="s">
        <v>274</v>
      </c>
      <c r="C608" s="13">
        <v>103</v>
      </c>
      <c r="D608" s="14" t="s">
        <v>83</v>
      </c>
      <c r="E608">
        <v>7</v>
      </c>
      <c r="F608" s="8">
        <f>VLOOKUP(financials[[#This Row],[productid]],Products!$B$2:$H$10,3)</f>
        <v>28</v>
      </c>
      <c r="G608" s="8">
        <f>financials[[#This Row],[Units Sold]]*financials[[#This Row],[Sale Price]]</f>
        <v>196</v>
      </c>
      <c r="H608" s="8">
        <f>IF(financials[[#This Row],[Discount Band]]="low",0.1,IF(financials[[#This Row],[Discount Band]]="medium",0.15,0.3))</f>
        <v>0.3</v>
      </c>
      <c r="I608" s="8">
        <f>financials[[#This Row],[Gross Sales]]-financials[[#This Row],[Gross Sales]]*financials[[#This Row],[Discounts]]</f>
        <v>137.19999999999999</v>
      </c>
      <c r="J608" s="8">
        <f>VLOOKUP(financials[[#This Row],[productid]],Products!$B$2:$H$10,4)</f>
        <v>15</v>
      </c>
      <c r="K608" s="8">
        <f>financials[[#This Row],[Net Sales]]-financials[[#This Row],[COGS]]</f>
        <v>122.19999999999999</v>
      </c>
      <c r="L608" s="15">
        <v>45449</v>
      </c>
      <c r="M608" t="s">
        <v>690</v>
      </c>
    </row>
    <row r="609" spans="1:13" x14ac:dyDescent="0.25">
      <c r="A609" t="s">
        <v>86</v>
      </c>
      <c r="B609" s="6" t="s">
        <v>95</v>
      </c>
      <c r="C609" s="13">
        <v>102</v>
      </c>
      <c r="D609" s="14" t="s">
        <v>91</v>
      </c>
      <c r="E609">
        <v>6</v>
      </c>
      <c r="F609" s="8">
        <f>VLOOKUP(financials[[#This Row],[productid]],Products!$B$2:$H$10,3)</f>
        <v>15</v>
      </c>
      <c r="G609" s="8">
        <f>financials[[#This Row],[Units Sold]]*financials[[#This Row],[Sale Price]]</f>
        <v>90</v>
      </c>
      <c r="H609" s="8">
        <f>IF(financials[[#This Row],[Discount Band]]="low",0.1,IF(financials[[#This Row],[Discount Band]]="medium",0.15,0.3))</f>
        <v>0.1</v>
      </c>
      <c r="I609" s="8">
        <f>financials[[#This Row],[Gross Sales]]-financials[[#This Row],[Gross Sales]]*financials[[#This Row],[Discounts]]</f>
        <v>81</v>
      </c>
      <c r="J609" s="8">
        <f>VLOOKUP(financials[[#This Row],[productid]],Products!$B$2:$H$10,4)</f>
        <v>13.95</v>
      </c>
      <c r="K609" s="8">
        <f>financials[[#This Row],[Net Sales]]-financials[[#This Row],[COGS]]</f>
        <v>67.05</v>
      </c>
      <c r="L609" s="15">
        <v>44929</v>
      </c>
      <c r="M609" t="s">
        <v>700</v>
      </c>
    </row>
    <row r="610" spans="1:13" x14ac:dyDescent="0.25">
      <c r="A610" t="s">
        <v>85</v>
      </c>
      <c r="B610" s="6" t="s">
        <v>158</v>
      </c>
      <c r="C610" s="11">
        <v>104</v>
      </c>
      <c r="D610" s="9" t="s">
        <v>91</v>
      </c>
      <c r="E610">
        <v>17</v>
      </c>
      <c r="F610" s="8">
        <f>VLOOKUP(financials[[#This Row],[productid]],Products!$B$2:$H$10,3)</f>
        <v>5.9</v>
      </c>
      <c r="G610" s="8">
        <f>financials[[#This Row],[Units Sold]]*financials[[#This Row],[Sale Price]]</f>
        <v>100.30000000000001</v>
      </c>
      <c r="H610" s="8">
        <f>IF(financials[[#This Row],[Discount Band]]="low",0.1,IF(financials[[#This Row],[Discount Band]]="medium",0.15,0.3))</f>
        <v>0.1</v>
      </c>
      <c r="I610" s="8">
        <f>financials[[#This Row],[Gross Sales]]-financials[[#This Row],[Gross Sales]]*financials[[#This Row],[Discounts]]</f>
        <v>90.27000000000001</v>
      </c>
      <c r="J610" s="8">
        <f>VLOOKUP(financials[[#This Row],[productid]],Products!$B$2:$H$10,4)</f>
        <v>2.9</v>
      </c>
      <c r="K610" s="8">
        <f>financials[[#This Row],[Net Sales]]-financials[[#This Row],[COGS]]</f>
        <v>87.37</v>
      </c>
      <c r="L610" s="15">
        <v>44329</v>
      </c>
      <c r="M610" t="s">
        <v>690</v>
      </c>
    </row>
    <row r="611" spans="1:13" x14ac:dyDescent="0.25">
      <c r="A611" t="s">
        <v>85</v>
      </c>
      <c r="B611" s="6" t="s">
        <v>94</v>
      </c>
      <c r="C611" s="13">
        <v>102</v>
      </c>
      <c r="D611" s="14" t="s">
        <v>83</v>
      </c>
      <c r="E611">
        <v>16</v>
      </c>
      <c r="F611" s="8">
        <f>VLOOKUP(financials[[#This Row],[productid]],Products!$B$2:$H$10,3)</f>
        <v>15</v>
      </c>
      <c r="G611" s="8">
        <f>financials[[#This Row],[Units Sold]]*financials[[#This Row],[Sale Price]]</f>
        <v>240</v>
      </c>
      <c r="H611" s="8">
        <f>IF(financials[[#This Row],[Discount Band]]="low",0.1,IF(financials[[#This Row],[Discount Band]]="medium",0.15,0.3))</f>
        <v>0.3</v>
      </c>
      <c r="I611" s="8">
        <f>financials[[#This Row],[Gross Sales]]-financials[[#This Row],[Gross Sales]]*financials[[#This Row],[Discounts]]</f>
        <v>168</v>
      </c>
      <c r="J611" s="8">
        <f>VLOOKUP(financials[[#This Row],[productid]],Products!$B$2:$H$10,4)</f>
        <v>13.95</v>
      </c>
      <c r="K611" s="8">
        <f>financials[[#This Row],[Net Sales]]-financials[[#This Row],[COGS]]</f>
        <v>154.05000000000001</v>
      </c>
      <c r="L611" s="15">
        <v>45405</v>
      </c>
      <c r="M611" t="s">
        <v>696</v>
      </c>
    </row>
    <row r="612" spans="1:13" x14ac:dyDescent="0.25">
      <c r="A612" t="s">
        <v>89</v>
      </c>
      <c r="B612" s="6" t="s">
        <v>645</v>
      </c>
      <c r="C612" s="13">
        <v>101</v>
      </c>
      <c r="D612" s="14" t="s">
        <v>91</v>
      </c>
      <c r="E612">
        <v>20</v>
      </c>
      <c r="F612" s="8">
        <f>VLOOKUP(financials[[#This Row],[productid]],Products!$B$2:$H$10,3)</f>
        <v>23</v>
      </c>
      <c r="G612" s="8">
        <f>financials[[#This Row],[Units Sold]]*financials[[#This Row],[Sale Price]]</f>
        <v>460</v>
      </c>
      <c r="H612" s="8">
        <f>IF(financials[[#This Row],[Discount Band]]="low",0.1,IF(financials[[#This Row],[Discount Band]]="medium",0.15,0.3))</f>
        <v>0.1</v>
      </c>
      <c r="I612" s="8">
        <f>financials[[#This Row],[Gross Sales]]-financials[[#This Row],[Gross Sales]]*financials[[#This Row],[Discounts]]</f>
        <v>414</v>
      </c>
      <c r="J612" s="8">
        <f>VLOOKUP(financials[[#This Row],[productid]],Products!$B$2:$H$10,4)</f>
        <v>9.9499999999999993</v>
      </c>
      <c r="K612" s="8">
        <f>financials[[#This Row],[Net Sales]]-financials[[#This Row],[COGS]]</f>
        <v>404.05</v>
      </c>
      <c r="L612" s="15">
        <v>45050</v>
      </c>
      <c r="M612" t="s">
        <v>696</v>
      </c>
    </row>
    <row r="613" spans="1:13" x14ac:dyDescent="0.25">
      <c r="A613" t="s">
        <v>86</v>
      </c>
      <c r="B613" s="6" t="s">
        <v>266</v>
      </c>
      <c r="C613" s="11">
        <v>105</v>
      </c>
      <c r="D613" s="9" t="s">
        <v>83</v>
      </c>
      <c r="E613">
        <v>15</v>
      </c>
      <c r="F613" s="8">
        <f>VLOOKUP(financials[[#This Row],[productid]],Products!$B$2:$H$10,3)</f>
        <v>15</v>
      </c>
      <c r="G613" s="8">
        <f>financials[[#This Row],[Units Sold]]*financials[[#This Row],[Sale Price]]</f>
        <v>225</v>
      </c>
      <c r="H613" s="8">
        <f>IF(financials[[#This Row],[Discount Band]]="low",0.1,IF(financials[[#This Row],[Discount Band]]="medium",0.15,0.3))</f>
        <v>0.3</v>
      </c>
      <c r="I613" s="8">
        <f>financials[[#This Row],[Gross Sales]]-financials[[#This Row],[Gross Sales]]*financials[[#This Row],[Discounts]]</f>
        <v>157.5</v>
      </c>
      <c r="J613" s="8">
        <f>VLOOKUP(financials[[#This Row],[productid]],Products!$B$2:$H$10,4)</f>
        <v>10</v>
      </c>
      <c r="K613" s="8">
        <f>financials[[#This Row],[Net Sales]]-financials[[#This Row],[COGS]]</f>
        <v>147.5</v>
      </c>
      <c r="L613" s="15">
        <v>45436</v>
      </c>
      <c r="M613" t="s">
        <v>691</v>
      </c>
    </row>
    <row r="614" spans="1:13" x14ac:dyDescent="0.25">
      <c r="A614" t="s">
        <v>85</v>
      </c>
      <c r="B614" s="6" t="s">
        <v>645</v>
      </c>
      <c r="C614" s="11">
        <v>102</v>
      </c>
      <c r="D614" s="9" t="s">
        <v>91</v>
      </c>
      <c r="E614">
        <v>19</v>
      </c>
      <c r="F614" s="8">
        <f>VLOOKUP(financials[[#This Row],[productid]],Products!$B$2:$H$10,3)</f>
        <v>15</v>
      </c>
      <c r="G614" s="8">
        <f>financials[[#This Row],[Units Sold]]*financials[[#This Row],[Sale Price]]</f>
        <v>285</v>
      </c>
      <c r="H614" s="8">
        <f>IF(financials[[#This Row],[Discount Band]]="low",0.1,IF(financials[[#This Row],[Discount Band]]="medium",0.15,0.3))</f>
        <v>0.1</v>
      </c>
      <c r="I614" s="8">
        <f>financials[[#This Row],[Gross Sales]]-financials[[#This Row],[Gross Sales]]*financials[[#This Row],[Discounts]]</f>
        <v>256.5</v>
      </c>
      <c r="J614" s="8">
        <f>VLOOKUP(financials[[#This Row],[productid]],Products!$B$2:$H$10,4)</f>
        <v>13.95</v>
      </c>
      <c r="K614" s="8">
        <f>financials[[#This Row],[Net Sales]]-financials[[#This Row],[COGS]]</f>
        <v>242.55</v>
      </c>
      <c r="L614" s="15">
        <v>44190</v>
      </c>
      <c r="M614" t="s">
        <v>690</v>
      </c>
    </row>
    <row r="615" spans="1:13" x14ac:dyDescent="0.25">
      <c r="A615" t="s">
        <v>85</v>
      </c>
      <c r="B615" s="6" t="s">
        <v>645</v>
      </c>
      <c r="C615" s="11">
        <v>105</v>
      </c>
      <c r="D615" s="9" t="s">
        <v>92</v>
      </c>
      <c r="E615">
        <v>15</v>
      </c>
      <c r="F615" s="8">
        <f>VLOOKUP(financials[[#This Row],[productid]],Products!$B$2:$H$10,3)</f>
        <v>15</v>
      </c>
      <c r="G615" s="8">
        <f>financials[[#This Row],[Units Sold]]*financials[[#This Row],[Sale Price]]</f>
        <v>225</v>
      </c>
      <c r="H615" s="8">
        <f>IF(financials[[#This Row],[Discount Band]]="low",0.1,IF(financials[[#This Row],[Discount Band]]="medium",0.15,0.3))</f>
        <v>0.3</v>
      </c>
      <c r="I615" s="8">
        <f>financials[[#This Row],[Gross Sales]]-financials[[#This Row],[Gross Sales]]*financials[[#This Row],[Discounts]]</f>
        <v>157.5</v>
      </c>
      <c r="J615" s="8">
        <f>VLOOKUP(financials[[#This Row],[productid]],Products!$B$2:$H$10,4)</f>
        <v>10</v>
      </c>
      <c r="K615" s="8">
        <f>financials[[#This Row],[Net Sales]]-financials[[#This Row],[COGS]]</f>
        <v>147.5</v>
      </c>
      <c r="L615" s="15">
        <v>44043</v>
      </c>
      <c r="M615" t="s">
        <v>700</v>
      </c>
    </row>
    <row r="616" spans="1:13" x14ac:dyDescent="0.25">
      <c r="A616" t="s">
        <v>89</v>
      </c>
      <c r="B616" s="6" t="s">
        <v>148</v>
      </c>
      <c r="C616" s="11">
        <v>109</v>
      </c>
      <c r="D616" s="9" t="s">
        <v>92</v>
      </c>
      <c r="E616">
        <v>5</v>
      </c>
      <c r="F616" s="8">
        <f>VLOOKUP(financials[[#This Row],[productid]],Products!$B$2:$H$10,3)</f>
        <v>36</v>
      </c>
      <c r="G616" s="8">
        <f>financials[[#This Row],[Units Sold]]*financials[[#This Row],[Sale Price]]</f>
        <v>180</v>
      </c>
      <c r="H616" s="8">
        <f>IF(financials[[#This Row],[Discount Band]]="low",0.1,IF(financials[[#This Row],[Discount Band]]="medium",0.15,0.3))</f>
        <v>0.3</v>
      </c>
      <c r="I616" s="8">
        <f>financials[[#This Row],[Gross Sales]]-financials[[#This Row],[Gross Sales]]*financials[[#This Row],[Discounts]]</f>
        <v>126</v>
      </c>
      <c r="J616" s="8">
        <f>VLOOKUP(financials[[#This Row],[productid]],Products!$B$2:$H$10,4)</f>
        <v>16.8</v>
      </c>
      <c r="K616" s="8">
        <f>financials[[#This Row],[Net Sales]]-financials[[#This Row],[COGS]]</f>
        <v>109.2</v>
      </c>
      <c r="L616" s="15">
        <v>44437</v>
      </c>
      <c r="M616" t="s">
        <v>696</v>
      </c>
    </row>
    <row r="617" spans="1:13" x14ac:dyDescent="0.25">
      <c r="A617" t="s">
        <v>85</v>
      </c>
      <c r="B617" s="6" t="s">
        <v>232</v>
      </c>
      <c r="C617" s="13">
        <v>106</v>
      </c>
      <c r="D617" s="14" t="s">
        <v>83</v>
      </c>
      <c r="E617">
        <v>18</v>
      </c>
      <c r="F617" s="8">
        <f>VLOOKUP(financials[[#This Row],[productid]],Products!$B$2:$H$10,3)</f>
        <v>25</v>
      </c>
      <c r="G617" s="8">
        <f>financials[[#This Row],[Units Sold]]*financials[[#This Row],[Sale Price]]</f>
        <v>450</v>
      </c>
      <c r="H617" s="8">
        <f>IF(financials[[#This Row],[Discount Band]]="low",0.1,IF(financials[[#This Row],[Discount Band]]="medium",0.15,0.3))</f>
        <v>0.3</v>
      </c>
      <c r="I617" s="8">
        <f>financials[[#This Row],[Gross Sales]]-financials[[#This Row],[Gross Sales]]*financials[[#This Row],[Discounts]]</f>
        <v>315</v>
      </c>
      <c r="J617" s="8">
        <f>VLOOKUP(financials[[#This Row],[productid]],Products!$B$2:$H$10,4)</f>
        <v>9.1</v>
      </c>
      <c r="K617" s="8">
        <f>financials[[#This Row],[Net Sales]]-financials[[#This Row],[COGS]]</f>
        <v>305.89999999999998</v>
      </c>
      <c r="L617" s="15">
        <v>44467</v>
      </c>
      <c r="M617" t="s">
        <v>690</v>
      </c>
    </row>
    <row r="618" spans="1:13" x14ac:dyDescent="0.25">
      <c r="A618" t="s">
        <v>89</v>
      </c>
      <c r="B618" s="6" t="s">
        <v>274</v>
      </c>
      <c r="C618" s="13">
        <v>102</v>
      </c>
      <c r="D618" s="14" t="s">
        <v>90</v>
      </c>
      <c r="E618">
        <v>8</v>
      </c>
      <c r="F618" s="8">
        <f>VLOOKUP(financials[[#This Row],[productid]],Products!$B$2:$H$10,3)</f>
        <v>15</v>
      </c>
      <c r="G618" s="8">
        <f>financials[[#This Row],[Units Sold]]*financials[[#This Row],[Sale Price]]</f>
        <v>120</v>
      </c>
      <c r="H618" s="8">
        <f>IF(financials[[#This Row],[Discount Band]]="low",0.1,IF(financials[[#This Row],[Discount Band]]="medium",0.15,0.3))</f>
        <v>0.15</v>
      </c>
      <c r="I618" s="8">
        <f>financials[[#This Row],[Gross Sales]]-financials[[#This Row],[Gross Sales]]*financials[[#This Row],[Discounts]]</f>
        <v>102</v>
      </c>
      <c r="J618" s="8">
        <f>VLOOKUP(financials[[#This Row],[productid]],Products!$B$2:$H$10,4)</f>
        <v>13.95</v>
      </c>
      <c r="K618" s="8">
        <f>financials[[#This Row],[Net Sales]]-financials[[#This Row],[COGS]]</f>
        <v>88.05</v>
      </c>
      <c r="L618" s="15">
        <v>45283</v>
      </c>
      <c r="M618" t="s">
        <v>697</v>
      </c>
    </row>
    <row r="619" spans="1:13" x14ac:dyDescent="0.25">
      <c r="A619" t="s">
        <v>89</v>
      </c>
      <c r="B619" s="6" t="s">
        <v>240</v>
      </c>
      <c r="C619" s="13">
        <v>106</v>
      </c>
      <c r="D619" s="14" t="s">
        <v>90</v>
      </c>
      <c r="E619">
        <v>15</v>
      </c>
      <c r="F619" s="8">
        <f>VLOOKUP(financials[[#This Row],[productid]],Products!$B$2:$H$10,3)</f>
        <v>25</v>
      </c>
      <c r="G619" s="8">
        <f>financials[[#This Row],[Units Sold]]*financials[[#This Row],[Sale Price]]</f>
        <v>375</v>
      </c>
      <c r="H619" s="8">
        <f>IF(financials[[#This Row],[Discount Band]]="low",0.1,IF(financials[[#This Row],[Discount Band]]="medium",0.15,0.3))</f>
        <v>0.15</v>
      </c>
      <c r="I619" s="8">
        <f>financials[[#This Row],[Gross Sales]]-financials[[#This Row],[Gross Sales]]*financials[[#This Row],[Discounts]]</f>
        <v>318.75</v>
      </c>
      <c r="J619" s="8">
        <f>VLOOKUP(financials[[#This Row],[productid]],Products!$B$2:$H$10,4)</f>
        <v>9.1</v>
      </c>
      <c r="K619" s="8">
        <f>financials[[#This Row],[Net Sales]]-financials[[#This Row],[COGS]]</f>
        <v>309.64999999999998</v>
      </c>
      <c r="L619" s="15">
        <v>44959</v>
      </c>
      <c r="M619" t="s">
        <v>697</v>
      </c>
    </row>
    <row r="620" spans="1:13" x14ac:dyDescent="0.25">
      <c r="A620" t="s">
        <v>89</v>
      </c>
      <c r="B620" s="6" t="s">
        <v>125</v>
      </c>
      <c r="C620" s="13">
        <v>105</v>
      </c>
      <c r="D620" s="14" t="s">
        <v>90</v>
      </c>
      <c r="E620">
        <v>11</v>
      </c>
      <c r="F620" s="8">
        <f>VLOOKUP(financials[[#This Row],[productid]],Products!$B$2:$H$10,3)</f>
        <v>15</v>
      </c>
      <c r="G620" s="8">
        <f>financials[[#This Row],[Units Sold]]*financials[[#This Row],[Sale Price]]</f>
        <v>165</v>
      </c>
      <c r="H620" s="8">
        <f>IF(financials[[#This Row],[Discount Band]]="low",0.1,IF(financials[[#This Row],[Discount Band]]="medium",0.15,0.3))</f>
        <v>0.15</v>
      </c>
      <c r="I620" s="8">
        <f>financials[[#This Row],[Gross Sales]]-financials[[#This Row],[Gross Sales]]*financials[[#This Row],[Discounts]]</f>
        <v>140.25</v>
      </c>
      <c r="J620" s="8">
        <f>VLOOKUP(financials[[#This Row],[productid]],Products!$B$2:$H$10,4)</f>
        <v>10</v>
      </c>
      <c r="K620" s="8">
        <f>financials[[#This Row],[Net Sales]]-financials[[#This Row],[COGS]]</f>
        <v>130.25</v>
      </c>
      <c r="L620" s="15">
        <v>44861</v>
      </c>
      <c r="M620" t="s">
        <v>691</v>
      </c>
    </row>
    <row r="621" spans="1:13" x14ac:dyDescent="0.25">
      <c r="A621" t="s">
        <v>86</v>
      </c>
      <c r="B621" s="6" t="s">
        <v>545</v>
      </c>
      <c r="C621" s="11">
        <v>103</v>
      </c>
      <c r="D621" s="9" t="s">
        <v>90</v>
      </c>
      <c r="E621">
        <v>19</v>
      </c>
      <c r="F621" s="8">
        <f>VLOOKUP(financials[[#This Row],[productid]],Products!$B$2:$H$10,3)</f>
        <v>28</v>
      </c>
      <c r="G621" s="8">
        <f>financials[[#This Row],[Units Sold]]*financials[[#This Row],[Sale Price]]</f>
        <v>532</v>
      </c>
      <c r="H621" s="8">
        <f>IF(financials[[#This Row],[Discount Band]]="low",0.1,IF(financials[[#This Row],[Discount Band]]="medium",0.15,0.3))</f>
        <v>0.15</v>
      </c>
      <c r="I621" s="8">
        <f>financials[[#This Row],[Gross Sales]]-financials[[#This Row],[Gross Sales]]*financials[[#This Row],[Discounts]]</f>
        <v>452.2</v>
      </c>
      <c r="J621" s="8">
        <f>VLOOKUP(financials[[#This Row],[productid]],Products!$B$2:$H$10,4)</f>
        <v>15</v>
      </c>
      <c r="K621" s="8">
        <f>financials[[#This Row],[Net Sales]]-financials[[#This Row],[COGS]]</f>
        <v>437.2</v>
      </c>
      <c r="L621" s="15">
        <v>45580</v>
      </c>
      <c r="M621" t="s">
        <v>696</v>
      </c>
    </row>
    <row r="622" spans="1:13" x14ac:dyDescent="0.25">
      <c r="A622" t="s">
        <v>86</v>
      </c>
      <c r="B622" s="6" t="s">
        <v>167</v>
      </c>
      <c r="C622" s="11">
        <v>107</v>
      </c>
      <c r="D622" s="9" t="s">
        <v>83</v>
      </c>
      <c r="E622">
        <v>11</v>
      </c>
      <c r="F622" s="8">
        <f>VLOOKUP(financials[[#This Row],[productid]],Products!$B$2:$H$10,3)</f>
        <v>15</v>
      </c>
      <c r="G622" s="8">
        <f>financials[[#This Row],[Units Sold]]*financials[[#This Row],[Sale Price]]</f>
        <v>165</v>
      </c>
      <c r="H622" s="8">
        <f>IF(financials[[#This Row],[Discount Band]]="low",0.1,IF(financials[[#This Row],[Discount Band]]="medium",0.15,0.3))</f>
        <v>0.3</v>
      </c>
      <c r="I622" s="8">
        <f>financials[[#This Row],[Gross Sales]]-financials[[#This Row],[Gross Sales]]*financials[[#This Row],[Discounts]]</f>
        <v>115.5</v>
      </c>
      <c r="J622" s="8">
        <f>VLOOKUP(financials[[#This Row],[productid]],Products!$B$2:$H$10,4)</f>
        <v>5.5</v>
      </c>
      <c r="K622" s="8">
        <f>financials[[#This Row],[Net Sales]]-financials[[#This Row],[COGS]]</f>
        <v>110</v>
      </c>
      <c r="L622" s="15">
        <v>44154</v>
      </c>
      <c r="M622" t="s">
        <v>700</v>
      </c>
    </row>
    <row r="623" spans="1:13" x14ac:dyDescent="0.25">
      <c r="A623" t="s">
        <v>85</v>
      </c>
      <c r="B623" s="6" t="s">
        <v>228</v>
      </c>
      <c r="C623" s="13">
        <v>104</v>
      </c>
      <c r="D623" s="14" t="s">
        <v>91</v>
      </c>
      <c r="E623">
        <v>19</v>
      </c>
      <c r="F623" s="8">
        <f>VLOOKUP(financials[[#This Row],[productid]],Products!$B$2:$H$10,3)</f>
        <v>5.9</v>
      </c>
      <c r="G623" s="8">
        <f>financials[[#This Row],[Units Sold]]*financials[[#This Row],[Sale Price]]</f>
        <v>112.10000000000001</v>
      </c>
      <c r="H623" s="8">
        <f>IF(financials[[#This Row],[Discount Band]]="low",0.1,IF(financials[[#This Row],[Discount Band]]="medium",0.15,0.3))</f>
        <v>0.1</v>
      </c>
      <c r="I623" s="8">
        <f>financials[[#This Row],[Gross Sales]]-financials[[#This Row],[Gross Sales]]*financials[[#This Row],[Discounts]]</f>
        <v>100.89000000000001</v>
      </c>
      <c r="J623" s="8">
        <f>VLOOKUP(financials[[#This Row],[productid]],Products!$B$2:$H$10,4)</f>
        <v>2.9</v>
      </c>
      <c r="K623" s="8">
        <f>financials[[#This Row],[Net Sales]]-financials[[#This Row],[COGS]]</f>
        <v>97.990000000000009</v>
      </c>
      <c r="L623" s="15">
        <v>44867</v>
      </c>
      <c r="M623" t="s">
        <v>691</v>
      </c>
    </row>
    <row r="624" spans="1:13" x14ac:dyDescent="0.25">
      <c r="A624" t="s">
        <v>85</v>
      </c>
      <c r="B624" s="6" t="s">
        <v>617</v>
      </c>
      <c r="C624" s="13">
        <v>103</v>
      </c>
      <c r="D624" s="14" t="s">
        <v>92</v>
      </c>
      <c r="E624">
        <v>12</v>
      </c>
      <c r="F624" s="8">
        <f>VLOOKUP(financials[[#This Row],[productid]],Products!$B$2:$H$10,3)</f>
        <v>28</v>
      </c>
      <c r="G624" s="8">
        <f>financials[[#This Row],[Units Sold]]*financials[[#This Row],[Sale Price]]</f>
        <v>336</v>
      </c>
      <c r="H624" s="8">
        <f>IF(financials[[#This Row],[Discount Band]]="low",0.1,IF(financials[[#This Row],[Discount Band]]="medium",0.15,0.3))</f>
        <v>0.3</v>
      </c>
      <c r="I624" s="8">
        <f>financials[[#This Row],[Gross Sales]]-financials[[#This Row],[Gross Sales]]*financials[[#This Row],[Discounts]]</f>
        <v>235.2</v>
      </c>
      <c r="J624" s="8">
        <f>VLOOKUP(financials[[#This Row],[productid]],Products!$B$2:$H$10,4)</f>
        <v>15</v>
      </c>
      <c r="K624" s="8">
        <f>financials[[#This Row],[Net Sales]]-financials[[#This Row],[COGS]]</f>
        <v>220.2</v>
      </c>
      <c r="L624" s="15">
        <v>44663</v>
      </c>
      <c r="M624" t="s">
        <v>691</v>
      </c>
    </row>
    <row r="625" spans="1:13" x14ac:dyDescent="0.25">
      <c r="A625" t="s">
        <v>89</v>
      </c>
      <c r="B625" s="6" t="s">
        <v>158</v>
      </c>
      <c r="C625" s="13">
        <v>109</v>
      </c>
      <c r="D625" s="14" t="s">
        <v>91</v>
      </c>
      <c r="E625">
        <v>7</v>
      </c>
      <c r="F625" s="8">
        <f>VLOOKUP(financials[[#This Row],[productid]],Products!$B$2:$H$10,3)</f>
        <v>36</v>
      </c>
      <c r="G625" s="8">
        <f>financials[[#This Row],[Units Sold]]*financials[[#This Row],[Sale Price]]</f>
        <v>252</v>
      </c>
      <c r="H625" s="8">
        <f>IF(financials[[#This Row],[Discount Band]]="low",0.1,IF(financials[[#This Row],[Discount Band]]="medium",0.15,0.3))</f>
        <v>0.1</v>
      </c>
      <c r="I625" s="8">
        <f>financials[[#This Row],[Gross Sales]]-financials[[#This Row],[Gross Sales]]*financials[[#This Row],[Discounts]]</f>
        <v>226.8</v>
      </c>
      <c r="J625" s="8">
        <f>VLOOKUP(financials[[#This Row],[productid]],Products!$B$2:$H$10,4)</f>
        <v>16.8</v>
      </c>
      <c r="K625" s="8">
        <f>financials[[#This Row],[Net Sales]]-financials[[#This Row],[COGS]]</f>
        <v>210</v>
      </c>
      <c r="L625" s="15">
        <v>45029</v>
      </c>
      <c r="M625" t="s">
        <v>696</v>
      </c>
    </row>
    <row r="626" spans="1:13" x14ac:dyDescent="0.25">
      <c r="A626" t="s">
        <v>85</v>
      </c>
      <c r="B626" s="6" t="s">
        <v>617</v>
      </c>
      <c r="C626" s="13">
        <v>101</v>
      </c>
      <c r="D626" s="14" t="s">
        <v>92</v>
      </c>
      <c r="E626">
        <v>19</v>
      </c>
      <c r="F626" s="8">
        <f>VLOOKUP(financials[[#This Row],[productid]],Products!$B$2:$H$10,3)</f>
        <v>23</v>
      </c>
      <c r="G626" s="8">
        <f>financials[[#This Row],[Units Sold]]*financials[[#This Row],[Sale Price]]</f>
        <v>437</v>
      </c>
      <c r="H626" s="8">
        <f>IF(financials[[#This Row],[Discount Band]]="low",0.1,IF(financials[[#This Row],[Discount Band]]="medium",0.15,0.3))</f>
        <v>0.3</v>
      </c>
      <c r="I626" s="8">
        <f>financials[[#This Row],[Gross Sales]]-financials[[#This Row],[Gross Sales]]*financials[[#This Row],[Discounts]]</f>
        <v>305.89999999999998</v>
      </c>
      <c r="J626" s="8">
        <f>VLOOKUP(financials[[#This Row],[productid]],Products!$B$2:$H$10,4)</f>
        <v>9.9499999999999993</v>
      </c>
      <c r="K626" s="8">
        <f>financials[[#This Row],[Net Sales]]-financials[[#This Row],[COGS]]</f>
        <v>295.95</v>
      </c>
      <c r="L626" s="15">
        <v>44530</v>
      </c>
      <c r="M626" t="s">
        <v>700</v>
      </c>
    </row>
    <row r="627" spans="1:13" x14ac:dyDescent="0.25">
      <c r="A627" t="s">
        <v>85</v>
      </c>
      <c r="B627" s="6" t="s">
        <v>158</v>
      </c>
      <c r="C627" s="13">
        <v>103</v>
      </c>
      <c r="D627" s="14" t="s">
        <v>92</v>
      </c>
      <c r="E627">
        <v>10</v>
      </c>
      <c r="F627" s="8">
        <f>VLOOKUP(financials[[#This Row],[productid]],Products!$B$2:$H$10,3)</f>
        <v>28</v>
      </c>
      <c r="G627" s="8">
        <f>financials[[#This Row],[Units Sold]]*financials[[#This Row],[Sale Price]]</f>
        <v>280</v>
      </c>
      <c r="H627" s="8">
        <f>IF(financials[[#This Row],[Discount Band]]="low",0.1,IF(financials[[#This Row],[Discount Band]]="medium",0.15,0.3))</f>
        <v>0.3</v>
      </c>
      <c r="I627" s="8">
        <f>financials[[#This Row],[Gross Sales]]-financials[[#This Row],[Gross Sales]]*financials[[#This Row],[Discounts]]</f>
        <v>196</v>
      </c>
      <c r="J627" s="8">
        <f>VLOOKUP(financials[[#This Row],[productid]],Products!$B$2:$H$10,4)</f>
        <v>15</v>
      </c>
      <c r="K627" s="8">
        <f>financials[[#This Row],[Net Sales]]-financials[[#This Row],[COGS]]</f>
        <v>181</v>
      </c>
      <c r="L627" s="15">
        <v>43936</v>
      </c>
      <c r="M627" t="s">
        <v>697</v>
      </c>
    </row>
    <row r="628" spans="1:13" x14ac:dyDescent="0.25">
      <c r="A628" t="s">
        <v>86</v>
      </c>
      <c r="B628" s="6" t="s">
        <v>167</v>
      </c>
      <c r="C628" s="13">
        <v>104</v>
      </c>
      <c r="D628" s="14" t="s">
        <v>90</v>
      </c>
      <c r="E628">
        <v>19</v>
      </c>
      <c r="F628" s="8">
        <f>VLOOKUP(financials[[#This Row],[productid]],Products!$B$2:$H$10,3)</f>
        <v>5.9</v>
      </c>
      <c r="G628" s="8">
        <f>financials[[#This Row],[Units Sold]]*financials[[#This Row],[Sale Price]]</f>
        <v>112.10000000000001</v>
      </c>
      <c r="H628" s="8">
        <f>IF(financials[[#This Row],[Discount Band]]="low",0.1,IF(financials[[#This Row],[Discount Band]]="medium",0.15,0.3))</f>
        <v>0.15</v>
      </c>
      <c r="I628" s="8">
        <f>financials[[#This Row],[Gross Sales]]-financials[[#This Row],[Gross Sales]]*financials[[#This Row],[Discounts]]</f>
        <v>95.285000000000011</v>
      </c>
      <c r="J628" s="8">
        <f>VLOOKUP(financials[[#This Row],[productid]],Products!$B$2:$H$10,4)</f>
        <v>2.9</v>
      </c>
      <c r="K628" s="8">
        <f>financials[[#This Row],[Net Sales]]-financials[[#This Row],[COGS]]</f>
        <v>92.385000000000005</v>
      </c>
      <c r="L628" s="15">
        <v>45657</v>
      </c>
      <c r="M628" t="s">
        <v>691</v>
      </c>
    </row>
    <row r="629" spans="1:13" x14ac:dyDescent="0.25">
      <c r="A629" t="s">
        <v>89</v>
      </c>
      <c r="B629" s="6" t="s">
        <v>158</v>
      </c>
      <c r="C629" s="11">
        <v>107</v>
      </c>
      <c r="D629" s="9" t="s">
        <v>90</v>
      </c>
      <c r="E629">
        <v>6</v>
      </c>
      <c r="F629" s="8">
        <f>VLOOKUP(financials[[#This Row],[productid]],Products!$B$2:$H$10,3)</f>
        <v>15</v>
      </c>
      <c r="G629" s="8">
        <f>financials[[#This Row],[Units Sold]]*financials[[#This Row],[Sale Price]]</f>
        <v>90</v>
      </c>
      <c r="H629" s="8">
        <f>IF(financials[[#This Row],[Discount Band]]="low",0.1,IF(financials[[#This Row],[Discount Band]]="medium",0.15,0.3))</f>
        <v>0.15</v>
      </c>
      <c r="I629" s="8">
        <f>financials[[#This Row],[Gross Sales]]-financials[[#This Row],[Gross Sales]]*financials[[#This Row],[Discounts]]</f>
        <v>76.5</v>
      </c>
      <c r="J629" s="8">
        <f>VLOOKUP(financials[[#This Row],[productid]],Products!$B$2:$H$10,4)</f>
        <v>5.5</v>
      </c>
      <c r="K629" s="8">
        <f>financials[[#This Row],[Net Sales]]-financials[[#This Row],[COGS]]</f>
        <v>71</v>
      </c>
      <c r="L629" s="15">
        <v>44634</v>
      </c>
      <c r="M629" t="s">
        <v>697</v>
      </c>
    </row>
    <row r="630" spans="1:13" x14ac:dyDescent="0.25">
      <c r="A630" t="s">
        <v>86</v>
      </c>
      <c r="B630" s="6" t="s">
        <v>545</v>
      </c>
      <c r="C630" s="11">
        <v>107</v>
      </c>
      <c r="D630" s="9" t="s">
        <v>90</v>
      </c>
      <c r="E630">
        <v>8</v>
      </c>
      <c r="F630" s="8">
        <f>VLOOKUP(financials[[#This Row],[productid]],Products!$B$2:$H$10,3)</f>
        <v>15</v>
      </c>
      <c r="G630" s="8">
        <f>financials[[#This Row],[Units Sold]]*financials[[#This Row],[Sale Price]]</f>
        <v>120</v>
      </c>
      <c r="H630" s="8">
        <f>IF(financials[[#This Row],[Discount Band]]="low",0.1,IF(financials[[#This Row],[Discount Band]]="medium",0.15,0.3))</f>
        <v>0.15</v>
      </c>
      <c r="I630" s="8">
        <f>financials[[#This Row],[Gross Sales]]-financials[[#This Row],[Gross Sales]]*financials[[#This Row],[Discounts]]</f>
        <v>102</v>
      </c>
      <c r="J630" s="8">
        <f>VLOOKUP(financials[[#This Row],[productid]],Products!$B$2:$H$10,4)</f>
        <v>5.5</v>
      </c>
      <c r="K630" s="8">
        <f>financials[[#This Row],[Net Sales]]-financials[[#This Row],[COGS]]</f>
        <v>96.5</v>
      </c>
      <c r="L630" s="15">
        <v>44577</v>
      </c>
      <c r="M630" t="s">
        <v>696</v>
      </c>
    </row>
    <row r="631" spans="1:13" x14ac:dyDescent="0.25">
      <c r="A631" t="s">
        <v>86</v>
      </c>
      <c r="B631" s="6" t="s">
        <v>94</v>
      </c>
      <c r="C631" s="13">
        <v>102</v>
      </c>
      <c r="D631" s="14" t="s">
        <v>83</v>
      </c>
      <c r="E631">
        <v>9</v>
      </c>
      <c r="F631" s="8">
        <f>VLOOKUP(financials[[#This Row],[productid]],Products!$B$2:$H$10,3)</f>
        <v>15</v>
      </c>
      <c r="G631" s="8">
        <f>financials[[#This Row],[Units Sold]]*financials[[#This Row],[Sale Price]]</f>
        <v>135</v>
      </c>
      <c r="H631" s="8">
        <f>IF(financials[[#This Row],[Discount Band]]="low",0.1,IF(financials[[#This Row],[Discount Band]]="medium",0.15,0.3))</f>
        <v>0.3</v>
      </c>
      <c r="I631" s="8">
        <f>financials[[#This Row],[Gross Sales]]-financials[[#This Row],[Gross Sales]]*financials[[#This Row],[Discounts]]</f>
        <v>94.5</v>
      </c>
      <c r="J631" s="8">
        <f>VLOOKUP(financials[[#This Row],[productid]],Products!$B$2:$H$10,4)</f>
        <v>13.95</v>
      </c>
      <c r="K631" s="8">
        <f>financials[[#This Row],[Net Sales]]-financials[[#This Row],[COGS]]</f>
        <v>80.55</v>
      </c>
      <c r="L631" s="15">
        <v>44694</v>
      </c>
      <c r="M631" t="s">
        <v>697</v>
      </c>
    </row>
    <row r="632" spans="1:13" x14ac:dyDescent="0.25">
      <c r="A632" t="s">
        <v>85</v>
      </c>
      <c r="B632" s="6" t="s">
        <v>232</v>
      </c>
      <c r="C632" s="11">
        <v>102</v>
      </c>
      <c r="D632" s="9" t="s">
        <v>83</v>
      </c>
      <c r="E632">
        <v>13</v>
      </c>
      <c r="F632" s="8">
        <f>VLOOKUP(financials[[#This Row],[productid]],Products!$B$2:$H$10,3)</f>
        <v>15</v>
      </c>
      <c r="G632" s="8">
        <f>financials[[#This Row],[Units Sold]]*financials[[#This Row],[Sale Price]]</f>
        <v>195</v>
      </c>
      <c r="H632" s="8">
        <f>IF(financials[[#This Row],[Discount Band]]="low",0.1,IF(financials[[#This Row],[Discount Band]]="medium",0.15,0.3))</f>
        <v>0.3</v>
      </c>
      <c r="I632" s="8">
        <f>financials[[#This Row],[Gross Sales]]-financials[[#This Row],[Gross Sales]]*financials[[#This Row],[Discounts]]</f>
        <v>136.5</v>
      </c>
      <c r="J632" s="8">
        <f>VLOOKUP(financials[[#This Row],[productid]],Products!$B$2:$H$10,4)</f>
        <v>13.95</v>
      </c>
      <c r="K632" s="8">
        <f>financials[[#This Row],[Net Sales]]-financials[[#This Row],[COGS]]</f>
        <v>122.55</v>
      </c>
      <c r="L632" s="15">
        <v>45011</v>
      </c>
      <c r="M632" t="s">
        <v>696</v>
      </c>
    </row>
    <row r="633" spans="1:13" x14ac:dyDescent="0.25">
      <c r="A633" t="s">
        <v>85</v>
      </c>
      <c r="B633" s="6" t="s">
        <v>228</v>
      </c>
      <c r="C633" s="11">
        <v>102</v>
      </c>
      <c r="D633" s="9" t="s">
        <v>90</v>
      </c>
      <c r="E633">
        <v>13</v>
      </c>
      <c r="F633" s="8">
        <f>VLOOKUP(financials[[#This Row],[productid]],Products!$B$2:$H$10,3)</f>
        <v>15</v>
      </c>
      <c r="G633" s="8">
        <f>financials[[#This Row],[Units Sold]]*financials[[#This Row],[Sale Price]]</f>
        <v>195</v>
      </c>
      <c r="H633" s="8">
        <f>IF(financials[[#This Row],[Discount Band]]="low",0.1,IF(financials[[#This Row],[Discount Band]]="medium",0.15,0.3))</f>
        <v>0.15</v>
      </c>
      <c r="I633" s="8">
        <f>financials[[#This Row],[Gross Sales]]-financials[[#This Row],[Gross Sales]]*financials[[#This Row],[Discounts]]</f>
        <v>165.75</v>
      </c>
      <c r="J633" s="8">
        <f>VLOOKUP(financials[[#This Row],[productid]],Products!$B$2:$H$10,4)</f>
        <v>13.95</v>
      </c>
      <c r="K633" s="8">
        <f>financials[[#This Row],[Net Sales]]-financials[[#This Row],[COGS]]</f>
        <v>151.80000000000001</v>
      </c>
      <c r="L633" s="15">
        <v>44578</v>
      </c>
      <c r="M633" t="s">
        <v>690</v>
      </c>
    </row>
    <row r="634" spans="1:13" x14ac:dyDescent="0.25">
      <c r="A634" t="s">
        <v>85</v>
      </c>
      <c r="B634" s="6" t="s">
        <v>94</v>
      </c>
      <c r="C634" s="13">
        <v>101</v>
      </c>
      <c r="D634" s="14" t="s">
        <v>90</v>
      </c>
      <c r="E634">
        <v>9</v>
      </c>
      <c r="F634" s="8">
        <f>VLOOKUP(financials[[#This Row],[productid]],Products!$B$2:$H$10,3)</f>
        <v>23</v>
      </c>
      <c r="G634" s="8">
        <f>financials[[#This Row],[Units Sold]]*financials[[#This Row],[Sale Price]]</f>
        <v>207</v>
      </c>
      <c r="H634" s="8">
        <f>IF(financials[[#This Row],[Discount Band]]="low",0.1,IF(financials[[#This Row],[Discount Band]]="medium",0.15,0.3))</f>
        <v>0.15</v>
      </c>
      <c r="I634" s="8">
        <f>financials[[#This Row],[Gross Sales]]-financials[[#This Row],[Gross Sales]]*financials[[#This Row],[Discounts]]</f>
        <v>175.95</v>
      </c>
      <c r="J634" s="8">
        <f>VLOOKUP(financials[[#This Row],[productid]],Products!$B$2:$H$10,4)</f>
        <v>9.9499999999999993</v>
      </c>
      <c r="K634" s="8">
        <f>financials[[#This Row],[Net Sales]]-financials[[#This Row],[COGS]]</f>
        <v>166</v>
      </c>
      <c r="L634" s="15">
        <v>44955</v>
      </c>
      <c r="M634" t="s">
        <v>697</v>
      </c>
    </row>
    <row r="635" spans="1:13" x14ac:dyDescent="0.25">
      <c r="A635" t="s">
        <v>85</v>
      </c>
      <c r="B635" s="6" t="s">
        <v>645</v>
      </c>
      <c r="C635" s="13">
        <v>104</v>
      </c>
      <c r="D635" s="14" t="s">
        <v>92</v>
      </c>
      <c r="E635">
        <v>16</v>
      </c>
      <c r="F635" s="8">
        <f>VLOOKUP(financials[[#This Row],[productid]],Products!$B$2:$H$10,3)</f>
        <v>5.9</v>
      </c>
      <c r="G635" s="8">
        <f>financials[[#This Row],[Units Sold]]*financials[[#This Row],[Sale Price]]</f>
        <v>94.4</v>
      </c>
      <c r="H635" s="8">
        <f>IF(financials[[#This Row],[Discount Band]]="low",0.1,IF(financials[[#This Row],[Discount Band]]="medium",0.15,0.3))</f>
        <v>0.3</v>
      </c>
      <c r="I635" s="8">
        <f>financials[[#This Row],[Gross Sales]]-financials[[#This Row],[Gross Sales]]*financials[[#This Row],[Discounts]]</f>
        <v>66.080000000000013</v>
      </c>
      <c r="J635" s="8">
        <f>VLOOKUP(financials[[#This Row],[productid]],Products!$B$2:$H$10,4)</f>
        <v>2.9</v>
      </c>
      <c r="K635" s="8">
        <f>financials[[#This Row],[Net Sales]]-financials[[#This Row],[COGS]]</f>
        <v>63.180000000000014</v>
      </c>
      <c r="L635" s="15">
        <v>43877</v>
      </c>
      <c r="M635" t="s">
        <v>696</v>
      </c>
    </row>
    <row r="636" spans="1:13" x14ac:dyDescent="0.25">
      <c r="A636" t="s">
        <v>89</v>
      </c>
      <c r="B636" s="6" t="s">
        <v>645</v>
      </c>
      <c r="C636" s="13">
        <v>109</v>
      </c>
      <c r="D636" s="14" t="s">
        <v>90</v>
      </c>
      <c r="E636">
        <v>5</v>
      </c>
      <c r="F636" s="8">
        <f>VLOOKUP(financials[[#This Row],[productid]],Products!$B$2:$H$10,3)</f>
        <v>36</v>
      </c>
      <c r="G636" s="8">
        <f>financials[[#This Row],[Units Sold]]*financials[[#This Row],[Sale Price]]</f>
        <v>180</v>
      </c>
      <c r="H636" s="8">
        <f>IF(financials[[#This Row],[Discount Band]]="low",0.1,IF(financials[[#This Row],[Discount Band]]="medium",0.15,0.3))</f>
        <v>0.15</v>
      </c>
      <c r="I636" s="8">
        <f>financials[[#This Row],[Gross Sales]]-financials[[#This Row],[Gross Sales]]*financials[[#This Row],[Discounts]]</f>
        <v>153</v>
      </c>
      <c r="J636" s="8">
        <f>VLOOKUP(financials[[#This Row],[productid]],Products!$B$2:$H$10,4)</f>
        <v>16.8</v>
      </c>
      <c r="K636" s="8">
        <f>financials[[#This Row],[Net Sales]]-financials[[#This Row],[COGS]]</f>
        <v>136.19999999999999</v>
      </c>
      <c r="L636" s="15">
        <v>44374</v>
      </c>
      <c r="M636" t="s">
        <v>696</v>
      </c>
    </row>
    <row r="637" spans="1:13" x14ac:dyDescent="0.25">
      <c r="A637" t="s">
        <v>86</v>
      </c>
      <c r="B637" s="6" t="s">
        <v>167</v>
      </c>
      <c r="C637" s="13">
        <v>105</v>
      </c>
      <c r="D637" s="14" t="s">
        <v>91</v>
      </c>
      <c r="E637">
        <v>6</v>
      </c>
      <c r="F637" s="8">
        <f>VLOOKUP(financials[[#This Row],[productid]],Products!$B$2:$H$10,3)</f>
        <v>15</v>
      </c>
      <c r="G637" s="8">
        <f>financials[[#This Row],[Units Sold]]*financials[[#This Row],[Sale Price]]</f>
        <v>90</v>
      </c>
      <c r="H637" s="8">
        <f>IF(financials[[#This Row],[Discount Band]]="low",0.1,IF(financials[[#This Row],[Discount Band]]="medium",0.15,0.3))</f>
        <v>0.1</v>
      </c>
      <c r="I637" s="8">
        <f>financials[[#This Row],[Gross Sales]]-financials[[#This Row],[Gross Sales]]*financials[[#This Row],[Discounts]]</f>
        <v>81</v>
      </c>
      <c r="J637" s="8">
        <f>VLOOKUP(financials[[#This Row],[productid]],Products!$B$2:$H$10,4)</f>
        <v>10</v>
      </c>
      <c r="K637" s="8">
        <f>financials[[#This Row],[Net Sales]]-financials[[#This Row],[COGS]]</f>
        <v>71</v>
      </c>
      <c r="L637" s="15">
        <v>45324</v>
      </c>
      <c r="M637" t="s">
        <v>696</v>
      </c>
    </row>
    <row r="638" spans="1:13" x14ac:dyDescent="0.25">
      <c r="A638" t="s">
        <v>85</v>
      </c>
      <c r="B638" s="6" t="s">
        <v>645</v>
      </c>
      <c r="C638" s="13">
        <v>106</v>
      </c>
      <c r="D638" s="14" t="s">
        <v>83</v>
      </c>
      <c r="E638">
        <v>20</v>
      </c>
      <c r="F638" s="8">
        <f>VLOOKUP(financials[[#This Row],[productid]],Products!$B$2:$H$10,3)</f>
        <v>25</v>
      </c>
      <c r="G638" s="8">
        <f>financials[[#This Row],[Units Sold]]*financials[[#This Row],[Sale Price]]</f>
        <v>500</v>
      </c>
      <c r="H638" s="8">
        <f>IF(financials[[#This Row],[Discount Band]]="low",0.1,IF(financials[[#This Row],[Discount Band]]="medium",0.15,0.3))</f>
        <v>0.3</v>
      </c>
      <c r="I638" s="8">
        <f>financials[[#This Row],[Gross Sales]]-financials[[#This Row],[Gross Sales]]*financials[[#This Row],[Discounts]]</f>
        <v>350</v>
      </c>
      <c r="J638" s="8">
        <f>VLOOKUP(financials[[#This Row],[productid]],Products!$B$2:$H$10,4)</f>
        <v>9.1</v>
      </c>
      <c r="K638" s="8">
        <f>financials[[#This Row],[Net Sales]]-financials[[#This Row],[COGS]]</f>
        <v>340.9</v>
      </c>
      <c r="L638" s="15">
        <v>44965</v>
      </c>
      <c r="M638" t="s">
        <v>696</v>
      </c>
    </row>
    <row r="639" spans="1:13" x14ac:dyDescent="0.25">
      <c r="A639" t="s">
        <v>85</v>
      </c>
      <c r="B639" s="6" t="s">
        <v>96</v>
      </c>
      <c r="C639" s="13">
        <v>104</v>
      </c>
      <c r="D639" s="14" t="s">
        <v>90</v>
      </c>
      <c r="E639">
        <v>6</v>
      </c>
      <c r="F639" s="8">
        <f>VLOOKUP(financials[[#This Row],[productid]],Products!$B$2:$H$10,3)</f>
        <v>5.9</v>
      </c>
      <c r="G639" s="8">
        <f>financials[[#This Row],[Units Sold]]*financials[[#This Row],[Sale Price]]</f>
        <v>35.400000000000006</v>
      </c>
      <c r="H639" s="8">
        <f>IF(financials[[#This Row],[Discount Band]]="low",0.1,IF(financials[[#This Row],[Discount Band]]="medium",0.15,0.3))</f>
        <v>0.15</v>
      </c>
      <c r="I639" s="8">
        <f>financials[[#This Row],[Gross Sales]]-financials[[#This Row],[Gross Sales]]*financials[[#This Row],[Discounts]]</f>
        <v>30.090000000000003</v>
      </c>
      <c r="J639" s="8">
        <f>VLOOKUP(financials[[#This Row],[productid]],Products!$B$2:$H$10,4)</f>
        <v>2.9</v>
      </c>
      <c r="K639" s="8">
        <f>financials[[#This Row],[Net Sales]]-financials[[#This Row],[COGS]]</f>
        <v>27.190000000000005</v>
      </c>
      <c r="L639" s="15">
        <v>45084</v>
      </c>
      <c r="M639" t="s">
        <v>691</v>
      </c>
    </row>
    <row r="640" spans="1:13" x14ac:dyDescent="0.25">
      <c r="A640" t="s">
        <v>86</v>
      </c>
      <c r="B640" s="6" t="s">
        <v>276</v>
      </c>
      <c r="C640" s="13">
        <v>104</v>
      </c>
      <c r="D640" s="14" t="s">
        <v>90</v>
      </c>
      <c r="E640">
        <v>20</v>
      </c>
      <c r="F640" s="8">
        <f>VLOOKUP(financials[[#This Row],[productid]],Products!$B$2:$H$10,3)</f>
        <v>5.9</v>
      </c>
      <c r="G640" s="8">
        <f>financials[[#This Row],[Units Sold]]*financials[[#This Row],[Sale Price]]</f>
        <v>118</v>
      </c>
      <c r="H640" s="8">
        <f>IF(financials[[#This Row],[Discount Band]]="low",0.1,IF(financials[[#This Row],[Discount Band]]="medium",0.15,0.3))</f>
        <v>0.15</v>
      </c>
      <c r="I640" s="8">
        <f>financials[[#This Row],[Gross Sales]]-financials[[#This Row],[Gross Sales]]*financials[[#This Row],[Discounts]]</f>
        <v>100.3</v>
      </c>
      <c r="J640" s="8">
        <f>VLOOKUP(financials[[#This Row],[productid]],Products!$B$2:$H$10,4)</f>
        <v>2.9</v>
      </c>
      <c r="K640" s="8">
        <f>financials[[#This Row],[Net Sales]]-financials[[#This Row],[COGS]]</f>
        <v>97.399999999999991</v>
      </c>
      <c r="L640" s="15">
        <v>44099</v>
      </c>
      <c r="M640" t="s">
        <v>697</v>
      </c>
    </row>
    <row r="641" spans="1:13" x14ac:dyDescent="0.25">
      <c r="A641" t="s">
        <v>85</v>
      </c>
      <c r="B641" s="6" t="s">
        <v>240</v>
      </c>
      <c r="C641" s="11">
        <v>103</v>
      </c>
      <c r="D641" s="9" t="s">
        <v>91</v>
      </c>
      <c r="E641">
        <v>20</v>
      </c>
      <c r="F641" s="8">
        <f>VLOOKUP(financials[[#This Row],[productid]],Products!$B$2:$H$10,3)</f>
        <v>28</v>
      </c>
      <c r="G641" s="8">
        <f>financials[[#This Row],[Units Sold]]*financials[[#This Row],[Sale Price]]</f>
        <v>560</v>
      </c>
      <c r="H641" s="8">
        <f>IF(financials[[#This Row],[Discount Band]]="low",0.1,IF(financials[[#This Row],[Discount Band]]="medium",0.15,0.3))</f>
        <v>0.1</v>
      </c>
      <c r="I641" s="8">
        <f>financials[[#This Row],[Gross Sales]]-financials[[#This Row],[Gross Sales]]*financials[[#This Row],[Discounts]]</f>
        <v>504</v>
      </c>
      <c r="J641" s="8">
        <f>VLOOKUP(financials[[#This Row],[productid]],Products!$B$2:$H$10,4)</f>
        <v>15</v>
      </c>
      <c r="K641" s="8">
        <f>financials[[#This Row],[Net Sales]]-financials[[#This Row],[COGS]]</f>
        <v>489</v>
      </c>
      <c r="L641" s="15">
        <v>44144</v>
      </c>
      <c r="M641" t="s">
        <v>690</v>
      </c>
    </row>
    <row r="642" spans="1:13" x14ac:dyDescent="0.25">
      <c r="A642" t="s">
        <v>85</v>
      </c>
      <c r="B642" s="6" t="s">
        <v>158</v>
      </c>
      <c r="C642" s="13">
        <v>109</v>
      </c>
      <c r="D642" s="14" t="s">
        <v>83</v>
      </c>
      <c r="E642">
        <v>19</v>
      </c>
      <c r="F642" s="8">
        <f>VLOOKUP(financials[[#This Row],[productid]],Products!$B$2:$H$10,3)</f>
        <v>36</v>
      </c>
      <c r="G642" s="8">
        <f>financials[[#This Row],[Units Sold]]*financials[[#This Row],[Sale Price]]</f>
        <v>684</v>
      </c>
      <c r="H642" s="8">
        <f>IF(financials[[#This Row],[Discount Band]]="low",0.1,IF(financials[[#This Row],[Discount Band]]="medium",0.15,0.3))</f>
        <v>0.3</v>
      </c>
      <c r="I642" s="8">
        <f>financials[[#This Row],[Gross Sales]]-financials[[#This Row],[Gross Sales]]*financials[[#This Row],[Discounts]]</f>
        <v>478.8</v>
      </c>
      <c r="J642" s="8">
        <f>VLOOKUP(financials[[#This Row],[productid]],Products!$B$2:$H$10,4)</f>
        <v>16.8</v>
      </c>
      <c r="K642" s="8">
        <f>financials[[#This Row],[Net Sales]]-financials[[#This Row],[COGS]]</f>
        <v>462</v>
      </c>
      <c r="L642" s="15">
        <v>44903</v>
      </c>
      <c r="M642" t="s">
        <v>690</v>
      </c>
    </row>
    <row r="643" spans="1:13" x14ac:dyDescent="0.25">
      <c r="A643" t="s">
        <v>85</v>
      </c>
      <c r="B643" s="6" t="s">
        <v>274</v>
      </c>
      <c r="C643" s="13">
        <v>106</v>
      </c>
      <c r="D643" s="14" t="s">
        <v>90</v>
      </c>
      <c r="E643">
        <v>12</v>
      </c>
      <c r="F643" s="8">
        <f>VLOOKUP(financials[[#This Row],[productid]],Products!$B$2:$H$10,3)</f>
        <v>25</v>
      </c>
      <c r="G643" s="8">
        <f>financials[[#This Row],[Units Sold]]*financials[[#This Row],[Sale Price]]</f>
        <v>300</v>
      </c>
      <c r="H643" s="8">
        <f>IF(financials[[#This Row],[Discount Band]]="low",0.1,IF(financials[[#This Row],[Discount Band]]="medium",0.15,0.3))</f>
        <v>0.15</v>
      </c>
      <c r="I643" s="8">
        <f>financials[[#This Row],[Gross Sales]]-financials[[#This Row],[Gross Sales]]*financials[[#This Row],[Discounts]]</f>
        <v>255</v>
      </c>
      <c r="J643" s="8">
        <f>VLOOKUP(financials[[#This Row],[productid]],Products!$B$2:$H$10,4)</f>
        <v>9.1</v>
      </c>
      <c r="K643" s="8">
        <f>financials[[#This Row],[Net Sales]]-financials[[#This Row],[COGS]]</f>
        <v>245.9</v>
      </c>
      <c r="L643" s="15">
        <v>45161</v>
      </c>
      <c r="M643" t="s">
        <v>700</v>
      </c>
    </row>
    <row r="644" spans="1:13" x14ac:dyDescent="0.25">
      <c r="A644" t="s">
        <v>85</v>
      </c>
      <c r="B644" s="6" t="s">
        <v>545</v>
      </c>
      <c r="C644" s="13">
        <v>105</v>
      </c>
      <c r="D644" s="14" t="s">
        <v>91</v>
      </c>
      <c r="E644">
        <v>9</v>
      </c>
      <c r="F644" s="8">
        <f>VLOOKUP(financials[[#This Row],[productid]],Products!$B$2:$H$10,3)</f>
        <v>15</v>
      </c>
      <c r="G644" s="8">
        <f>financials[[#This Row],[Units Sold]]*financials[[#This Row],[Sale Price]]</f>
        <v>135</v>
      </c>
      <c r="H644" s="8">
        <f>IF(financials[[#This Row],[Discount Band]]="low",0.1,IF(financials[[#This Row],[Discount Band]]="medium",0.15,0.3))</f>
        <v>0.1</v>
      </c>
      <c r="I644" s="8">
        <f>financials[[#This Row],[Gross Sales]]-financials[[#This Row],[Gross Sales]]*financials[[#This Row],[Discounts]]</f>
        <v>121.5</v>
      </c>
      <c r="J644" s="8">
        <f>VLOOKUP(financials[[#This Row],[productid]],Products!$B$2:$H$10,4)</f>
        <v>10</v>
      </c>
      <c r="K644" s="8">
        <f>financials[[#This Row],[Net Sales]]-financials[[#This Row],[COGS]]</f>
        <v>111.5</v>
      </c>
      <c r="L644" s="15">
        <v>44375</v>
      </c>
      <c r="M644" t="s">
        <v>700</v>
      </c>
    </row>
    <row r="645" spans="1:13" x14ac:dyDescent="0.25">
      <c r="A645" t="s">
        <v>86</v>
      </c>
      <c r="B645" s="6" t="s">
        <v>205</v>
      </c>
      <c r="C645" s="13">
        <v>105</v>
      </c>
      <c r="D645" s="14" t="s">
        <v>92</v>
      </c>
      <c r="E645">
        <v>17</v>
      </c>
      <c r="F645" s="8">
        <f>VLOOKUP(financials[[#This Row],[productid]],Products!$B$2:$H$10,3)</f>
        <v>15</v>
      </c>
      <c r="G645" s="8">
        <f>financials[[#This Row],[Units Sold]]*financials[[#This Row],[Sale Price]]</f>
        <v>255</v>
      </c>
      <c r="H645" s="8">
        <f>IF(financials[[#This Row],[Discount Band]]="low",0.1,IF(financials[[#This Row],[Discount Band]]="medium",0.15,0.3))</f>
        <v>0.3</v>
      </c>
      <c r="I645" s="8">
        <f>financials[[#This Row],[Gross Sales]]-financials[[#This Row],[Gross Sales]]*financials[[#This Row],[Discounts]]</f>
        <v>178.5</v>
      </c>
      <c r="J645" s="8">
        <f>VLOOKUP(financials[[#This Row],[productid]],Products!$B$2:$H$10,4)</f>
        <v>10</v>
      </c>
      <c r="K645" s="8">
        <f>financials[[#This Row],[Net Sales]]-financials[[#This Row],[COGS]]</f>
        <v>168.5</v>
      </c>
      <c r="L645" s="15">
        <v>45243</v>
      </c>
      <c r="M645" t="s">
        <v>700</v>
      </c>
    </row>
    <row r="646" spans="1:13" x14ac:dyDescent="0.25">
      <c r="A646" t="s">
        <v>86</v>
      </c>
      <c r="B646" s="6" t="s">
        <v>273</v>
      </c>
      <c r="C646" s="13">
        <v>103</v>
      </c>
      <c r="D646" s="14" t="s">
        <v>90</v>
      </c>
      <c r="E646">
        <v>10</v>
      </c>
      <c r="F646" s="8">
        <f>VLOOKUP(financials[[#This Row],[productid]],Products!$B$2:$H$10,3)</f>
        <v>28</v>
      </c>
      <c r="G646" s="8">
        <f>financials[[#This Row],[Units Sold]]*financials[[#This Row],[Sale Price]]</f>
        <v>280</v>
      </c>
      <c r="H646" s="8">
        <f>IF(financials[[#This Row],[Discount Band]]="low",0.1,IF(financials[[#This Row],[Discount Band]]="medium",0.15,0.3))</f>
        <v>0.15</v>
      </c>
      <c r="I646" s="8">
        <f>financials[[#This Row],[Gross Sales]]-financials[[#This Row],[Gross Sales]]*financials[[#This Row],[Discounts]]</f>
        <v>238</v>
      </c>
      <c r="J646" s="8">
        <f>VLOOKUP(financials[[#This Row],[productid]],Products!$B$2:$H$10,4)</f>
        <v>15</v>
      </c>
      <c r="K646" s="8">
        <f>financials[[#This Row],[Net Sales]]-financials[[#This Row],[COGS]]</f>
        <v>223</v>
      </c>
      <c r="L646" s="15">
        <v>45057</v>
      </c>
      <c r="M646" t="s">
        <v>696</v>
      </c>
    </row>
    <row r="647" spans="1:13" x14ac:dyDescent="0.25">
      <c r="A647" t="s">
        <v>86</v>
      </c>
      <c r="B647" s="6" t="s">
        <v>273</v>
      </c>
      <c r="C647" s="13">
        <v>104</v>
      </c>
      <c r="D647" s="14" t="s">
        <v>83</v>
      </c>
      <c r="E647">
        <v>9</v>
      </c>
      <c r="F647" s="8">
        <f>VLOOKUP(financials[[#This Row],[productid]],Products!$B$2:$H$10,3)</f>
        <v>5.9</v>
      </c>
      <c r="G647" s="8">
        <f>financials[[#This Row],[Units Sold]]*financials[[#This Row],[Sale Price]]</f>
        <v>53.1</v>
      </c>
      <c r="H647" s="8">
        <f>IF(financials[[#This Row],[Discount Band]]="low",0.1,IF(financials[[#This Row],[Discount Band]]="medium",0.15,0.3))</f>
        <v>0.3</v>
      </c>
      <c r="I647" s="8">
        <f>financials[[#This Row],[Gross Sales]]-financials[[#This Row],[Gross Sales]]*financials[[#This Row],[Discounts]]</f>
        <v>37.17</v>
      </c>
      <c r="J647" s="8">
        <f>VLOOKUP(financials[[#This Row],[productid]],Products!$B$2:$H$10,4)</f>
        <v>2.9</v>
      </c>
      <c r="K647" s="8">
        <f>financials[[#This Row],[Net Sales]]-financials[[#This Row],[COGS]]</f>
        <v>34.270000000000003</v>
      </c>
      <c r="L647" s="15">
        <v>45236</v>
      </c>
      <c r="M647" t="s">
        <v>700</v>
      </c>
    </row>
    <row r="648" spans="1:13" x14ac:dyDescent="0.25">
      <c r="A648" t="s">
        <v>85</v>
      </c>
      <c r="B648" s="6" t="s">
        <v>232</v>
      </c>
      <c r="C648" s="11">
        <v>108</v>
      </c>
      <c r="D648" s="9" t="s">
        <v>90</v>
      </c>
      <c r="E648">
        <v>12</v>
      </c>
      <c r="F648" s="8">
        <f>VLOOKUP(financials[[#This Row],[productid]],Products!$B$2:$H$10,3)</f>
        <v>5.5</v>
      </c>
      <c r="G648" s="8">
        <f>financials[[#This Row],[Units Sold]]*financials[[#This Row],[Sale Price]]</f>
        <v>66</v>
      </c>
      <c r="H648" s="8">
        <f>IF(financials[[#This Row],[Discount Band]]="low",0.1,IF(financials[[#This Row],[Discount Band]]="medium",0.15,0.3))</f>
        <v>0.15</v>
      </c>
      <c r="I648" s="8">
        <f>financials[[#This Row],[Gross Sales]]-financials[[#This Row],[Gross Sales]]*financials[[#This Row],[Discounts]]</f>
        <v>56.1</v>
      </c>
      <c r="J648" s="8">
        <f>VLOOKUP(financials[[#This Row],[productid]],Products!$B$2:$H$10,4)</f>
        <v>3.99</v>
      </c>
      <c r="K648" s="8">
        <f>financials[[#This Row],[Net Sales]]-financials[[#This Row],[COGS]]</f>
        <v>52.11</v>
      </c>
      <c r="L648" s="15">
        <v>44853</v>
      </c>
      <c r="M648" t="s">
        <v>690</v>
      </c>
    </row>
    <row r="649" spans="1:13" x14ac:dyDescent="0.25">
      <c r="A649" t="s">
        <v>85</v>
      </c>
      <c r="B649" s="6" t="s">
        <v>228</v>
      </c>
      <c r="C649" s="13">
        <v>101</v>
      </c>
      <c r="D649" s="14" t="s">
        <v>83</v>
      </c>
      <c r="E649">
        <v>6</v>
      </c>
      <c r="F649" s="8">
        <f>VLOOKUP(financials[[#This Row],[productid]],Products!$B$2:$H$10,3)</f>
        <v>23</v>
      </c>
      <c r="G649" s="8">
        <f>financials[[#This Row],[Units Sold]]*financials[[#This Row],[Sale Price]]</f>
        <v>138</v>
      </c>
      <c r="H649" s="8">
        <f>IF(financials[[#This Row],[Discount Band]]="low",0.1,IF(financials[[#This Row],[Discount Band]]="medium",0.15,0.3))</f>
        <v>0.3</v>
      </c>
      <c r="I649" s="8">
        <f>financials[[#This Row],[Gross Sales]]-financials[[#This Row],[Gross Sales]]*financials[[#This Row],[Discounts]]</f>
        <v>96.6</v>
      </c>
      <c r="J649" s="8">
        <f>VLOOKUP(financials[[#This Row],[productid]],Products!$B$2:$H$10,4)</f>
        <v>9.9499999999999993</v>
      </c>
      <c r="K649" s="8">
        <f>financials[[#This Row],[Net Sales]]-financials[[#This Row],[COGS]]</f>
        <v>86.649999999999991</v>
      </c>
      <c r="L649" s="15">
        <v>44552</v>
      </c>
      <c r="M649" t="s">
        <v>697</v>
      </c>
    </row>
    <row r="650" spans="1:13" x14ac:dyDescent="0.25">
      <c r="A650" t="s">
        <v>85</v>
      </c>
      <c r="B650" s="6" t="s">
        <v>93</v>
      </c>
      <c r="C650" s="13">
        <v>103</v>
      </c>
      <c r="D650" s="14" t="s">
        <v>83</v>
      </c>
      <c r="E650">
        <v>16</v>
      </c>
      <c r="F650" s="8">
        <f>VLOOKUP(financials[[#This Row],[productid]],Products!$B$2:$H$10,3)</f>
        <v>28</v>
      </c>
      <c r="G650" s="8">
        <f>financials[[#This Row],[Units Sold]]*financials[[#This Row],[Sale Price]]</f>
        <v>448</v>
      </c>
      <c r="H650" s="8">
        <f>IF(financials[[#This Row],[Discount Band]]="low",0.1,IF(financials[[#This Row],[Discount Band]]="medium",0.15,0.3))</f>
        <v>0.3</v>
      </c>
      <c r="I650" s="8">
        <f>financials[[#This Row],[Gross Sales]]-financials[[#This Row],[Gross Sales]]*financials[[#This Row],[Discounts]]</f>
        <v>313.60000000000002</v>
      </c>
      <c r="J650" s="8">
        <f>VLOOKUP(financials[[#This Row],[productid]],Products!$B$2:$H$10,4)</f>
        <v>15</v>
      </c>
      <c r="K650" s="8">
        <f>financials[[#This Row],[Net Sales]]-financials[[#This Row],[COGS]]</f>
        <v>298.60000000000002</v>
      </c>
      <c r="L650" s="15">
        <v>44784</v>
      </c>
      <c r="M650" t="s">
        <v>696</v>
      </c>
    </row>
    <row r="651" spans="1:13" x14ac:dyDescent="0.25">
      <c r="A651" t="s">
        <v>85</v>
      </c>
      <c r="B651" s="6" t="s">
        <v>545</v>
      </c>
      <c r="C651" s="13">
        <v>104</v>
      </c>
      <c r="D651" s="14" t="s">
        <v>91</v>
      </c>
      <c r="E651">
        <v>10</v>
      </c>
      <c r="F651" s="8">
        <f>VLOOKUP(financials[[#This Row],[productid]],Products!$B$2:$H$10,3)</f>
        <v>5.9</v>
      </c>
      <c r="G651" s="8">
        <f>financials[[#This Row],[Units Sold]]*financials[[#This Row],[Sale Price]]</f>
        <v>59</v>
      </c>
      <c r="H651" s="8">
        <f>IF(financials[[#This Row],[Discount Band]]="low",0.1,IF(financials[[#This Row],[Discount Band]]="medium",0.15,0.3))</f>
        <v>0.1</v>
      </c>
      <c r="I651" s="8">
        <f>financials[[#This Row],[Gross Sales]]-financials[[#This Row],[Gross Sales]]*financials[[#This Row],[Discounts]]</f>
        <v>53.1</v>
      </c>
      <c r="J651" s="8">
        <f>VLOOKUP(financials[[#This Row],[productid]],Products!$B$2:$H$10,4)</f>
        <v>2.9</v>
      </c>
      <c r="K651" s="8">
        <f>financials[[#This Row],[Net Sales]]-financials[[#This Row],[COGS]]</f>
        <v>50.2</v>
      </c>
      <c r="L651" s="15">
        <v>43875</v>
      </c>
      <c r="M651" t="s">
        <v>696</v>
      </c>
    </row>
    <row r="652" spans="1:13" x14ac:dyDescent="0.25">
      <c r="A652" t="s">
        <v>89</v>
      </c>
      <c r="B652" s="6" t="s">
        <v>240</v>
      </c>
      <c r="C652" s="13">
        <v>103</v>
      </c>
      <c r="D652" s="14" t="s">
        <v>90</v>
      </c>
      <c r="E652">
        <v>18</v>
      </c>
      <c r="F652" s="8">
        <f>VLOOKUP(financials[[#This Row],[productid]],Products!$B$2:$H$10,3)</f>
        <v>28</v>
      </c>
      <c r="G652" s="8">
        <f>financials[[#This Row],[Units Sold]]*financials[[#This Row],[Sale Price]]</f>
        <v>504</v>
      </c>
      <c r="H652" s="8">
        <f>IF(financials[[#This Row],[Discount Band]]="low",0.1,IF(financials[[#This Row],[Discount Band]]="medium",0.15,0.3))</f>
        <v>0.15</v>
      </c>
      <c r="I652" s="8">
        <f>financials[[#This Row],[Gross Sales]]-financials[[#This Row],[Gross Sales]]*financials[[#This Row],[Discounts]]</f>
        <v>428.4</v>
      </c>
      <c r="J652" s="8">
        <f>VLOOKUP(financials[[#This Row],[productid]],Products!$B$2:$H$10,4)</f>
        <v>15</v>
      </c>
      <c r="K652" s="8">
        <f>financials[[#This Row],[Net Sales]]-financials[[#This Row],[COGS]]</f>
        <v>413.4</v>
      </c>
      <c r="L652" s="15">
        <v>44341</v>
      </c>
      <c r="M652" t="s">
        <v>691</v>
      </c>
    </row>
    <row r="653" spans="1:13" x14ac:dyDescent="0.25">
      <c r="A653" t="s">
        <v>86</v>
      </c>
      <c r="B653" s="6" t="s">
        <v>273</v>
      </c>
      <c r="C653" s="13">
        <v>107</v>
      </c>
      <c r="D653" s="14" t="s">
        <v>90</v>
      </c>
      <c r="E653">
        <v>17</v>
      </c>
      <c r="F653" s="8">
        <f>VLOOKUP(financials[[#This Row],[productid]],Products!$B$2:$H$10,3)</f>
        <v>15</v>
      </c>
      <c r="G653" s="8">
        <f>financials[[#This Row],[Units Sold]]*financials[[#This Row],[Sale Price]]</f>
        <v>255</v>
      </c>
      <c r="H653" s="8">
        <f>IF(financials[[#This Row],[Discount Band]]="low",0.1,IF(financials[[#This Row],[Discount Band]]="medium",0.15,0.3))</f>
        <v>0.15</v>
      </c>
      <c r="I653" s="8">
        <f>financials[[#This Row],[Gross Sales]]-financials[[#This Row],[Gross Sales]]*financials[[#This Row],[Discounts]]</f>
        <v>216.75</v>
      </c>
      <c r="J653" s="8">
        <f>VLOOKUP(financials[[#This Row],[productid]],Products!$B$2:$H$10,4)</f>
        <v>5.5</v>
      </c>
      <c r="K653" s="8">
        <f>financials[[#This Row],[Net Sales]]-financials[[#This Row],[COGS]]</f>
        <v>211.25</v>
      </c>
      <c r="L653" s="15">
        <v>45076</v>
      </c>
      <c r="M653" t="s">
        <v>697</v>
      </c>
    </row>
    <row r="654" spans="1:13" x14ac:dyDescent="0.25">
      <c r="A654" t="s">
        <v>85</v>
      </c>
      <c r="B654" s="6" t="s">
        <v>617</v>
      </c>
      <c r="C654" s="13">
        <v>106</v>
      </c>
      <c r="D654" s="14" t="s">
        <v>91</v>
      </c>
      <c r="E654">
        <v>20</v>
      </c>
      <c r="F654" s="8">
        <f>VLOOKUP(financials[[#This Row],[productid]],Products!$B$2:$H$10,3)</f>
        <v>25</v>
      </c>
      <c r="G654" s="8">
        <f>financials[[#This Row],[Units Sold]]*financials[[#This Row],[Sale Price]]</f>
        <v>500</v>
      </c>
      <c r="H654" s="8">
        <f>IF(financials[[#This Row],[Discount Band]]="low",0.1,IF(financials[[#This Row],[Discount Band]]="medium",0.15,0.3))</f>
        <v>0.1</v>
      </c>
      <c r="I654" s="8">
        <f>financials[[#This Row],[Gross Sales]]-financials[[#This Row],[Gross Sales]]*financials[[#This Row],[Discounts]]</f>
        <v>450</v>
      </c>
      <c r="J654" s="8">
        <f>VLOOKUP(financials[[#This Row],[productid]],Products!$B$2:$H$10,4)</f>
        <v>9.1</v>
      </c>
      <c r="K654" s="8">
        <f>financials[[#This Row],[Net Sales]]-financials[[#This Row],[COGS]]</f>
        <v>440.9</v>
      </c>
      <c r="L654" s="15">
        <v>43919</v>
      </c>
      <c r="M654" t="s">
        <v>691</v>
      </c>
    </row>
    <row r="655" spans="1:13" x14ac:dyDescent="0.25">
      <c r="A655" t="s">
        <v>86</v>
      </c>
      <c r="B655" s="6" t="s">
        <v>276</v>
      </c>
      <c r="C655" s="13">
        <v>108</v>
      </c>
      <c r="D655" s="14" t="s">
        <v>92</v>
      </c>
      <c r="E655">
        <v>17</v>
      </c>
      <c r="F655" s="8">
        <f>VLOOKUP(financials[[#This Row],[productid]],Products!$B$2:$H$10,3)</f>
        <v>5.5</v>
      </c>
      <c r="G655" s="8">
        <f>financials[[#This Row],[Units Sold]]*financials[[#This Row],[Sale Price]]</f>
        <v>93.5</v>
      </c>
      <c r="H655" s="8">
        <f>IF(financials[[#This Row],[Discount Band]]="low",0.1,IF(financials[[#This Row],[Discount Band]]="medium",0.15,0.3))</f>
        <v>0.3</v>
      </c>
      <c r="I655" s="8">
        <f>financials[[#This Row],[Gross Sales]]-financials[[#This Row],[Gross Sales]]*financials[[#This Row],[Discounts]]</f>
        <v>65.45</v>
      </c>
      <c r="J655" s="8">
        <f>VLOOKUP(financials[[#This Row],[productid]],Products!$B$2:$H$10,4)</f>
        <v>3.99</v>
      </c>
      <c r="K655" s="8">
        <f>financials[[#This Row],[Net Sales]]-financials[[#This Row],[COGS]]</f>
        <v>61.46</v>
      </c>
      <c r="L655" s="15">
        <v>44962</v>
      </c>
      <c r="M655" t="s">
        <v>697</v>
      </c>
    </row>
    <row r="656" spans="1:13" x14ac:dyDescent="0.25">
      <c r="A656" t="s">
        <v>86</v>
      </c>
      <c r="B656" s="6" t="s">
        <v>198</v>
      </c>
      <c r="C656" s="13">
        <v>107</v>
      </c>
      <c r="D656" s="14" t="s">
        <v>90</v>
      </c>
      <c r="E656">
        <v>12</v>
      </c>
      <c r="F656" s="8">
        <f>VLOOKUP(financials[[#This Row],[productid]],Products!$B$2:$H$10,3)</f>
        <v>15</v>
      </c>
      <c r="G656" s="8">
        <f>financials[[#This Row],[Units Sold]]*financials[[#This Row],[Sale Price]]</f>
        <v>180</v>
      </c>
      <c r="H656" s="8">
        <f>IF(financials[[#This Row],[Discount Band]]="low",0.1,IF(financials[[#This Row],[Discount Band]]="medium",0.15,0.3))</f>
        <v>0.15</v>
      </c>
      <c r="I656" s="8">
        <f>financials[[#This Row],[Gross Sales]]-financials[[#This Row],[Gross Sales]]*financials[[#This Row],[Discounts]]</f>
        <v>153</v>
      </c>
      <c r="J656" s="8">
        <f>VLOOKUP(financials[[#This Row],[productid]],Products!$B$2:$H$10,4)</f>
        <v>5.5</v>
      </c>
      <c r="K656" s="8">
        <f>financials[[#This Row],[Net Sales]]-financials[[#This Row],[COGS]]</f>
        <v>147.5</v>
      </c>
      <c r="L656" s="15">
        <v>43890</v>
      </c>
      <c r="M656" t="s">
        <v>696</v>
      </c>
    </row>
    <row r="657" spans="1:13" x14ac:dyDescent="0.25">
      <c r="A657" t="s">
        <v>85</v>
      </c>
      <c r="B657" s="6" t="s">
        <v>96</v>
      </c>
      <c r="C657" s="13">
        <v>102</v>
      </c>
      <c r="D657" s="14" t="s">
        <v>83</v>
      </c>
      <c r="E657">
        <v>7</v>
      </c>
      <c r="F657" s="8">
        <f>VLOOKUP(financials[[#This Row],[productid]],Products!$B$2:$H$10,3)</f>
        <v>15</v>
      </c>
      <c r="G657" s="8">
        <f>financials[[#This Row],[Units Sold]]*financials[[#This Row],[Sale Price]]</f>
        <v>105</v>
      </c>
      <c r="H657" s="8">
        <f>IF(financials[[#This Row],[Discount Band]]="low",0.1,IF(financials[[#This Row],[Discount Band]]="medium",0.15,0.3))</f>
        <v>0.3</v>
      </c>
      <c r="I657" s="8">
        <f>financials[[#This Row],[Gross Sales]]-financials[[#This Row],[Gross Sales]]*financials[[#This Row],[Discounts]]</f>
        <v>73.5</v>
      </c>
      <c r="J657" s="8">
        <f>VLOOKUP(financials[[#This Row],[productid]],Products!$B$2:$H$10,4)</f>
        <v>13.95</v>
      </c>
      <c r="K657" s="8">
        <f>financials[[#This Row],[Net Sales]]-financials[[#This Row],[COGS]]</f>
        <v>59.55</v>
      </c>
      <c r="L657" s="15">
        <v>43857</v>
      </c>
      <c r="M657" t="s">
        <v>691</v>
      </c>
    </row>
    <row r="658" spans="1:13" x14ac:dyDescent="0.25">
      <c r="A658" t="s">
        <v>85</v>
      </c>
      <c r="B658" s="6" t="s">
        <v>232</v>
      </c>
      <c r="C658" s="13">
        <v>107</v>
      </c>
      <c r="D658" s="14" t="s">
        <v>83</v>
      </c>
      <c r="E658">
        <v>5</v>
      </c>
      <c r="F658" s="8">
        <f>VLOOKUP(financials[[#This Row],[productid]],Products!$B$2:$H$10,3)</f>
        <v>15</v>
      </c>
      <c r="G658" s="8">
        <f>financials[[#This Row],[Units Sold]]*financials[[#This Row],[Sale Price]]</f>
        <v>75</v>
      </c>
      <c r="H658" s="8">
        <f>IF(financials[[#This Row],[Discount Band]]="low",0.1,IF(financials[[#This Row],[Discount Band]]="medium",0.15,0.3))</f>
        <v>0.3</v>
      </c>
      <c r="I658" s="8">
        <f>financials[[#This Row],[Gross Sales]]-financials[[#This Row],[Gross Sales]]*financials[[#This Row],[Discounts]]</f>
        <v>52.5</v>
      </c>
      <c r="J658" s="8">
        <f>VLOOKUP(financials[[#This Row],[productid]],Products!$B$2:$H$10,4)</f>
        <v>5.5</v>
      </c>
      <c r="K658" s="8">
        <f>financials[[#This Row],[Net Sales]]-financials[[#This Row],[COGS]]</f>
        <v>47</v>
      </c>
      <c r="L658" s="15">
        <v>45562</v>
      </c>
      <c r="M658" t="s">
        <v>690</v>
      </c>
    </row>
    <row r="659" spans="1:13" x14ac:dyDescent="0.25">
      <c r="A659" t="s">
        <v>85</v>
      </c>
      <c r="B659" s="6" t="s">
        <v>94</v>
      </c>
      <c r="C659" s="13">
        <v>106</v>
      </c>
      <c r="D659" s="14" t="s">
        <v>83</v>
      </c>
      <c r="E659">
        <v>13</v>
      </c>
      <c r="F659" s="8">
        <f>VLOOKUP(financials[[#This Row],[productid]],Products!$B$2:$H$10,3)</f>
        <v>25</v>
      </c>
      <c r="G659" s="8">
        <f>financials[[#This Row],[Units Sold]]*financials[[#This Row],[Sale Price]]</f>
        <v>325</v>
      </c>
      <c r="H659" s="8">
        <f>IF(financials[[#This Row],[Discount Band]]="low",0.1,IF(financials[[#This Row],[Discount Band]]="medium",0.15,0.3))</f>
        <v>0.3</v>
      </c>
      <c r="I659" s="8">
        <f>financials[[#This Row],[Gross Sales]]-financials[[#This Row],[Gross Sales]]*financials[[#This Row],[Discounts]]</f>
        <v>227.5</v>
      </c>
      <c r="J659" s="8">
        <f>VLOOKUP(financials[[#This Row],[productid]],Products!$B$2:$H$10,4)</f>
        <v>9.1</v>
      </c>
      <c r="K659" s="8">
        <f>financials[[#This Row],[Net Sales]]-financials[[#This Row],[COGS]]</f>
        <v>218.4</v>
      </c>
      <c r="L659" s="15">
        <v>45047</v>
      </c>
      <c r="M659" t="s">
        <v>700</v>
      </c>
    </row>
    <row r="660" spans="1:13" x14ac:dyDescent="0.25">
      <c r="A660" t="s">
        <v>85</v>
      </c>
      <c r="B660" s="6" t="s">
        <v>125</v>
      </c>
      <c r="C660" s="13">
        <v>101</v>
      </c>
      <c r="D660" s="14" t="s">
        <v>90</v>
      </c>
      <c r="E660">
        <v>19</v>
      </c>
      <c r="F660" s="8">
        <f>VLOOKUP(financials[[#This Row],[productid]],Products!$B$2:$H$10,3)</f>
        <v>23</v>
      </c>
      <c r="G660" s="8">
        <f>financials[[#This Row],[Units Sold]]*financials[[#This Row],[Sale Price]]</f>
        <v>437</v>
      </c>
      <c r="H660" s="8">
        <f>IF(financials[[#This Row],[Discount Band]]="low",0.1,IF(financials[[#This Row],[Discount Band]]="medium",0.15,0.3))</f>
        <v>0.15</v>
      </c>
      <c r="I660" s="8">
        <f>financials[[#This Row],[Gross Sales]]-financials[[#This Row],[Gross Sales]]*financials[[#This Row],[Discounts]]</f>
        <v>371.45</v>
      </c>
      <c r="J660" s="8">
        <f>VLOOKUP(financials[[#This Row],[productid]],Products!$B$2:$H$10,4)</f>
        <v>9.9499999999999993</v>
      </c>
      <c r="K660" s="8">
        <f>financials[[#This Row],[Net Sales]]-financials[[#This Row],[COGS]]</f>
        <v>361.5</v>
      </c>
      <c r="L660" s="15">
        <v>45411</v>
      </c>
      <c r="M660" t="s">
        <v>700</v>
      </c>
    </row>
    <row r="661" spans="1:13" x14ac:dyDescent="0.25">
      <c r="A661" t="s">
        <v>89</v>
      </c>
      <c r="B661" s="6" t="s">
        <v>645</v>
      </c>
      <c r="C661" s="11">
        <v>107</v>
      </c>
      <c r="D661" s="9" t="s">
        <v>90</v>
      </c>
      <c r="E661">
        <v>12</v>
      </c>
      <c r="F661" s="8">
        <f>VLOOKUP(financials[[#This Row],[productid]],Products!$B$2:$H$10,3)</f>
        <v>15</v>
      </c>
      <c r="G661" s="8">
        <f>financials[[#This Row],[Units Sold]]*financials[[#This Row],[Sale Price]]</f>
        <v>180</v>
      </c>
      <c r="H661" s="8">
        <f>IF(financials[[#This Row],[Discount Band]]="low",0.1,IF(financials[[#This Row],[Discount Band]]="medium",0.15,0.3))</f>
        <v>0.15</v>
      </c>
      <c r="I661" s="8">
        <f>financials[[#This Row],[Gross Sales]]-financials[[#This Row],[Gross Sales]]*financials[[#This Row],[Discounts]]</f>
        <v>153</v>
      </c>
      <c r="J661" s="8">
        <f>VLOOKUP(financials[[#This Row],[productid]],Products!$B$2:$H$10,4)</f>
        <v>5.5</v>
      </c>
      <c r="K661" s="8">
        <f>financials[[#This Row],[Net Sales]]-financials[[#This Row],[COGS]]</f>
        <v>147.5</v>
      </c>
      <c r="L661" s="15">
        <v>43883</v>
      </c>
      <c r="M661" t="s">
        <v>700</v>
      </c>
    </row>
    <row r="662" spans="1:13" x14ac:dyDescent="0.25">
      <c r="A662" t="s">
        <v>89</v>
      </c>
      <c r="B662" s="6" t="s">
        <v>148</v>
      </c>
      <c r="C662" s="13">
        <v>107</v>
      </c>
      <c r="D662" s="14" t="s">
        <v>92</v>
      </c>
      <c r="E662">
        <v>20</v>
      </c>
      <c r="F662" s="8">
        <f>VLOOKUP(financials[[#This Row],[productid]],Products!$B$2:$H$10,3)</f>
        <v>15</v>
      </c>
      <c r="G662" s="8">
        <f>financials[[#This Row],[Units Sold]]*financials[[#This Row],[Sale Price]]</f>
        <v>300</v>
      </c>
      <c r="H662" s="8">
        <f>IF(financials[[#This Row],[Discount Band]]="low",0.1,IF(financials[[#This Row],[Discount Band]]="medium",0.15,0.3))</f>
        <v>0.3</v>
      </c>
      <c r="I662" s="8">
        <f>financials[[#This Row],[Gross Sales]]-financials[[#This Row],[Gross Sales]]*financials[[#This Row],[Discounts]]</f>
        <v>210</v>
      </c>
      <c r="J662" s="8">
        <f>VLOOKUP(financials[[#This Row],[productid]],Products!$B$2:$H$10,4)</f>
        <v>5.5</v>
      </c>
      <c r="K662" s="8">
        <f>financials[[#This Row],[Net Sales]]-financials[[#This Row],[COGS]]</f>
        <v>204.5</v>
      </c>
      <c r="L662" s="15">
        <v>44684</v>
      </c>
      <c r="M662" t="s">
        <v>696</v>
      </c>
    </row>
    <row r="663" spans="1:13" x14ac:dyDescent="0.25">
      <c r="A663" t="s">
        <v>89</v>
      </c>
      <c r="B663" s="6" t="s">
        <v>266</v>
      </c>
      <c r="C663" s="13">
        <v>107</v>
      </c>
      <c r="D663" s="14" t="s">
        <v>83</v>
      </c>
      <c r="E663">
        <v>10</v>
      </c>
      <c r="F663" s="8">
        <f>VLOOKUP(financials[[#This Row],[productid]],Products!$B$2:$H$10,3)</f>
        <v>15</v>
      </c>
      <c r="G663" s="8">
        <f>financials[[#This Row],[Units Sold]]*financials[[#This Row],[Sale Price]]</f>
        <v>150</v>
      </c>
      <c r="H663" s="8">
        <f>IF(financials[[#This Row],[Discount Band]]="low",0.1,IF(financials[[#This Row],[Discount Band]]="medium",0.15,0.3))</f>
        <v>0.3</v>
      </c>
      <c r="I663" s="8">
        <f>financials[[#This Row],[Gross Sales]]-financials[[#This Row],[Gross Sales]]*financials[[#This Row],[Discounts]]</f>
        <v>105</v>
      </c>
      <c r="J663" s="8">
        <f>VLOOKUP(financials[[#This Row],[productid]],Products!$B$2:$H$10,4)</f>
        <v>5.5</v>
      </c>
      <c r="K663" s="8">
        <f>financials[[#This Row],[Net Sales]]-financials[[#This Row],[COGS]]</f>
        <v>99.5</v>
      </c>
      <c r="L663" s="15">
        <v>44748</v>
      </c>
      <c r="M663" t="s">
        <v>690</v>
      </c>
    </row>
    <row r="664" spans="1:13" x14ac:dyDescent="0.25">
      <c r="A664" t="s">
        <v>86</v>
      </c>
      <c r="B664" s="6" t="s">
        <v>276</v>
      </c>
      <c r="C664" s="13">
        <v>107</v>
      </c>
      <c r="D664" s="14" t="s">
        <v>83</v>
      </c>
      <c r="E664">
        <v>7</v>
      </c>
      <c r="F664" s="8">
        <f>VLOOKUP(financials[[#This Row],[productid]],Products!$B$2:$H$10,3)</f>
        <v>15</v>
      </c>
      <c r="G664" s="8">
        <f>financials[[#This Row],[Units Sold]]*financials[[#This Row],[Sale Price]]</f>
        <v>105</v>
      </c>
      <c r="H664" s="8">
        <f>IF(financials[[#This Row],[Discount Band]]="low",0.1,IF(financials[[#This Row],[Discount Band]]="medium",0.15,0.3))</f>
        <v>0.3</v>
      </c>
      <c r="I664" s="8">
        <f>financials[[#This Row],[Gross Sales]]-financials[[#This Row],[Gross Sales]]*financials[[#This Row],[Discounts]]</f>
        <v>73.5</v>
      </c>
      <c r="J664" s="8">
        <f>VLOOKUP(financials[[#This Row],[productid]],Products!$B$2:$H$10,4)</f>
        <v>5.5</v>
      </c>
      <c r="K664" s="8">
        <f>financials[[#This Row],[Net Sales]]-financials[[#This Row],[COGS]]</f>
        <v>68</v>
      </c>
      <c r="L664" s="15">
        <v>44517</v>
      </c>
      <c r="M664" t="s">
        <v>696</v>
      </c>
    </row>
    <row r="665" spans="1:13" x14ac:dyDescent="0.25">
      <c r="A665" t="s">
        <v>85</v>
      </c>
      <c r="B665" s="6" t="s">
        <v>274</v>
      </c>
      <c r="C665" s="13">
        <v>106</v>
      </c>
      <c r="D665" s="14" t="s">
        <v>83</v>
      </c>
      <c r="E665">
        <v>6</v>
      </c>
      <c r="F665" s="8">
        <f>VLOOKUP(financials[[#This Row],[productid]],Products!$B$2:$H$10,3)</f>
        <v>25</v>
      </c>
      <c r="G665" s="8">
        <f>financials[[#This Row],[Units Sold]]*financials[[#This Row],[Sale Price]]</f>
        <v>150</v>
      </c>
      <c r="H665" s="8">
        <f>IF(financials[[#This Row],[Discount Band]]="low",0.1,IF(financials[[#This Row],[Discount Band]]="medium",0.15,0.3))</f>
        <v>0.3</v>
      </c>
      <c r="I665" s="8">
        <f>financials[[#This Row],[Gross Sales]]-financials[[#This Row],[Gross Sales]]*financials[[#This Row],[Discounts]]</f>
        <v>105</v>
      </c>
      <c r="J665" s="8">
        <f>VLOOKUP(financials[[#This Row],[productid]],Products!$B$2:$H$10,4)</f>
        <v>9.1</v>
      </c>
      <c r="K665" s="8">
        <f>financials[[#This Row],[Net Sales]]-financials[[#This Row],[COGS]]</f>
        <v>95.9</v>
      </c>
      <c r="L665" s="15">
        <v>45630</v>
      </c>
      <c r="M665" t="s">
        <v>697</v>
      </c>
    </row>
    <row r="666" spans="1:13" x14ac:dyDescent="0.25">
      <c r="A666" t="s">
        <v>86</v>
      </c>
      <c r="B666" s="6" t="s">
        <v>198</v>
      </c>
      <c r="C666" s="13">
        <v>108</v>
      </c>
      <c r="D666" s="14" t="s">
        <v>90</v>
      </c>
      <c r="E666">
        <v>7</v>
      </c>
      <c r="F666" s="8">
        <f>VLOOKUP(financials[[#This Row],[productid]],Products!$B$2:$H$10,3)</f>
        <v>5.5</v>
      </c>
      <c r="G666" s="8">
        <f>financials[[#This Row],[Units Sold]]*financials[[#This Row],[Sale Price]]</f>
        <v>38.5</v>
      </c>
      <c r="H666" s="8">
        <f>IF(financials[[#This Row],[Discount Band]]="low",0.1,IF(financials[[#This Row],[Discount Band]]="medium",0.15,0.3))</f>
        <v>0.15</v>
      </c>
      <c r="I666" s="8">
        <f>financials[[#This Row],[Gross Sales]]-financials[[#This Row],[Gross Sales]]*financials[[#This Row],[Discounts]]</f>
        <v>32.725000000000001</v>
      </c>
      <c r="J666" s="8">
        <f>VLOOKUP(financials[[#This Row],[productid]],Products!$B$2:$H$10,4)</f>
        <v>3.99</v>
      </c>
      <c r="K666" s="8">
        <f>financials[[#This Row],[Net Sales]]-financials[[#This Row],[COGS]]</f>
        <v>28.734999999999999</v>
      </c>
      <c r="L666" s="15">
        <v>45230</v>
      </c>
      <c r="M666" t="s">
        <v>691</v>
      </c>
    </row>
    <row r="667" spans="1:13" x14ac:dyDescent="0.25">
      <c r="A667" t="s">
        <v>89</v>
      </c>
      <c r="B667" s="6" t="s">
        <v>148</v>
      </c>
      <c r="C667" s="13">
        <v>101</v>
      </c>
      <c r="D667" s="14" t="s">
        <v>92</v>
      </c>
      <c r="E667">
        <v>19</v>
      </c>
      <c r="F667" s="8">
        <f>VLOOKUP(financials[[#This Row],[productid]],Products!$B$2:$H$10,3)</f>
        <v>23</v>
      </c>
      <c r="G667" s="8">
        <f>financials[[#This Row],[Units Sold]]*financials[[#This Row],[Sale Price]]</f>
        <v>437</v>
      </c>
      <c r="H667" s="8">
        <f>IF(financials[[#This Row],[Discount Band]]="low",0.1,IF(financials[[#This Row],[Discount Band]]="medium",0.15,0.3))</f>
        <v>0.3</v>
      </c>
      <c r="I667" s="8">
        <f>financials[[#This Row],[Gross Sales]]-financials[[#This Row],[Gross Sales]]*financials[[#This Row],[Discounts]]</f>
        <v>305.89999999999998</v>
      </c>
      <c r="J667" s="8">
        <f>VLOOKUP(financials[[#This Row],[productid]],Products!$B$2:$H$10,4)</f>
        <v>9.9499999999999993</v>
      </c>
      <c r="K667" s="8">
        <f>financials[[#This Row],[Net Sales]]-financials[[#This Row],[COGS]]</f>
        <v>295.95</v>
      </c>
      <c r="L667" s="15">
        <v>44647</v>
      </c>
      <c r="M667" t="s">
        <v>697</v>
      </c>
    </row>
    <row r="668" spans="1:13" x14ac:dyDescent="0.25">
      <c r="A668" t="s">
        <v>89</v>
      </c>
      <c r="B668" s="6" t="s">
        <v>125</v>
      </c>
      <c r="C668" s="13">
        <v>102</v>
      </c>
      <c r="D668" s="14" t="s">
        <v>83</v>
      </c>
      <c r="E668">
        <v>16</v>
      </c>
      <c r="F668" s="8">
        <f>VLOOKUP(financials[[#This Row],[productid]],Products!$B$2:$H$10,3)</f>
        <v>15</v>
      </c>
      <c r="G668" s="8">
        <f>financials[[#This Row],[Units Sold]]*financials[[#This Row],[Sale Price]]</f>
        <v>240</v>
      </c>
      <c r="H668" s="8">
        <f>IF(financials[[#This Row],[Discount Band]]="low",0.1,IF(financials[[#This Row],[Discount Band]]="medium",0.15,0.3))</f>
        <v>0.3</v>
      </c>
      <c r="I668" s="8">
        <f>financials[[#This Row],[Gross Sales]]-financials[[#This Row],[Gross Sales]]*financials[[#This Row],[Discounts]]</f>
        <v>168</v>
      </c>
      <c r="J668" s="8">
        <f>VLOOKUP(financials[[#This Row],[productid]],Products!$B$2:$H$10,4)</f>
        <v>13.95</v>
      </c>
      <c r="K668" s="8">
        <f>financials[[#This Row],[Net Sales]]-financials[[#This Row],[COGS]]</f>
        <v>154.05000000000001</v>
      </c>
      <c r="L668" s="15">
        <v>44133</v>
      </c>
      <c r="M668" t="s">
        <v>696</v>
      </c>
    </row>
    <row r="669" spans="1:13" x14ac:dyDescent="0.25">
      <c r="A669" t="s">
        <v>85</v>
      </c>
      <c r="B669" s="6" t="s">
        <v>125</v>
      </c>
      <c r="C669" s="13">
        <v>106</v>
      </c>
      <c r="D669" s="14" t="s">
        <v>92</v>
      </c>
      <c r="E669">
        <v>6</v>
      </c>
      <c r="F669" s="8">
        <f>VLOOKUP(financials[[#This Row],[productid]],Products!$B$2:$H$10,3)</f>
        <v>25</v>
      </c>
      <c r="G669" s="8">
        <f>financials[[#This Row],[Units Sold]]*financials[[#This Row],[Sale Price]]</f>
        <v>150</v>
      </c>
      <c r="H669" s="8">
        <f>IF(financials[[#This Row],[Discount Band]]="low",0.1,IF(financials[[#This Row],[Discount Band]]="medium",0.15,0.3))</f>
        <v>0.3</v>
      </c>
      <c r="I669" s="8">
        <f>financials[[#This Row],[Gross Sales]]-financials[[#This Row],[Gross Sales]]*financials[[#This Row],[Discounts]]</f>
        <v>105</v>
      </c>
      <c r="J669" s="8">
        <f>VLOOKUP(financials[[#This Row],[productid]],Products!$B$2:$H$10,4)</f>
        <v>9.1</v>
      </c>
      <c r="K669" s="8">
        <f>financials[[#This Row],[Net Sales]]-financials[[#This Row],[COGS]]</f>
        <v>95.9</v>
      </c>
      <c r="L669" s="15">
        <v>45269</v>
      </c>
      <c r="M669" t="s">
        <v>697</v>
      </c>
    </row>
    <row r="670" spans="1:13" x14ac:dyDescent="0.25">
      <c r="A670" t="s">
        <v>85</v>
      </c>
      <c r="B670" s="6" t="s">
        <v>148</v>
      </c>
      <c r="C670" s="13">
        <v>103</v>
      </c>
      <c r="D670" s="14" t="s">
        <v>92</v>
      </c>
      <c r="E670">
        <v>11</v>
      </c>
      <c r="F670" s="8">
        <f>VLOOKUP(financials[[#This Row],[productid]],Products!$B$2:$H$10,3)</f>
        <v>28</v>
      </c>
      <c r="G670" s="8">
        <f>financials[[#This Row],[Units Sold]]*financials[[#This Row],[Sale Price]]</f>
        <v>308</v>
      </c>
      <c r="H670" s="8">
        <f>IF(financials[[#This Row],[Discount Band]]="low",0.1,IF(financials[[#This Row],[Discount Band]]="medium",0.15,0.3))</f>
        <v>0.3</v>
      </c>
      <c r="I670" s="8">
        <f>financials[[#This Row],[Gross Sales]]-financials[[#This Row],[Gross Sales]]*financials[[#This Row],[Discounts]]</f>
        <v>215.60000000000002</v>
      </c>
      <c r="J670" s="8">
        <f>VLOOKUP(financials[[#This Row],[productid]],Products!$B$2:$H$10,4)</f>
        <v>15</v>
      </c>
      <c r="K670" s="8">
        <f>financials[[#This Row],[Net Sales]]-financials[[#This Row],[COGS]]</f>
        <v>200.60000000000002</v>
      </c>
      <c r="L670" s="15">
        <v>44465</v>
      </c>
      <c r="M670" t="s">
        <v>696</v>
      </c>
    </row>
    <row r="671" spans="1:13" x14ac:dyDescent="0.25">
      <c r="A671" t="s">
        <v>85</v>
      </c>
      <c r="B671" s="6" t="s">
        <v>148</v>
      </c>
      <c r="C671" s="13">
        <v>101</v>
      </c>
      <c r="D671" s="14" t="s">
        <v>90</v>
      </c>
      <c r="E671">
        <v>7</v>
      </c>
      <c r="F671" s="8">
        <f>VLOOKUP(financials[[#This Row],[productid]],Products!$B$2:$H$10,3)</f>
        <v>23</v>
      </c>
      <c r="G671" s="8">
        <f>financials[[#This Row],[Units Sold]]*financials[[#This Row],[Sale Price]]</f>
        <v>161</v>
      </c>
      <c r="H671" s="8">
        <f>IF(financials[[#This Row],[Discount Band]]="low",0.1,IF(financials[[#This Row],[Discount Band]]="medium",0.15,0.3))</f>
        <v>0.15</v>
      </c>
      <c r="I671" s="8">
        <f>financials[[#This Row],[Gross Sales]]-financials[[#This Row],[Gross Sales]]*financials[[#This Row],[Discounts]]</f>
        <v>136.85</v>
      </c>
      <c r="J671" s="8">
        <f>VLOOKUP(financials[[#This Row],[productid]],Products!$B$2:$H$10,4)</f>
        <v>9.9499999999999993</v>
      </c>
      <c r="K671" s="8">
        <f>financials[[#This Row],[Net Sales]]-financials[[#This Row],[COGS]]</f>
        <v>126.89999999999999</v>
      </c>
      <c r="L671" s="15">
        <v>45345</v>
      </c>
      <c r="M671" t="s">
        <v>696</v>
      </c>
    </row>
    <row r="672" spans="1:13" x14ac:dyDescent="0.25">
      <c r="A672" t="s">
        <v>85</v>
      </c>
      <c r="B672" s="6" t="s">
        <v>148</v>
      </c>
      <c r="C672" s="13">
        <v>106</v>
      </c>
      <c r="D672" s="14" t="s">
        <v>92</v>
      </c>
      <c r="E672">
        <v>16</v>
      </c>
      <c r="F672" s="8">
        <f>VLOOKUP(financials[[#This Row],[productid]],Products!$B$2:$H$10,3)</f>
        <v>25</v>
      </c>
      <c r="G672" s="8">
        <f>financials[[#This Row],[Units Sold]]*financials[[#This Row],[Sale Price]]</f>
        <v>400</v>
      </c>
      <c r="H672" s="8">
        <f>IF(financials[[#This Row],[Discount Band]]="low",0.1,IF(financials[[#This Row],[Discount Band]]="medium",0.15,0.3))</f>
        <v>0.3</v>
      </c>
      <c r="I672" s="8">
        <f>financials[[#This Row],[Gross Sales]]-financials[[#This Row],[Gross Sales]]*financials[[#This Row],[Discounts]]</f>
        <v>280</v>
      </c>
      <c r="J672" s="8">
        <f>VLOOKUP(financials[[#This Row],[productid]],Products!$B$2:$H$10,4)</f>
        <v>9.1</v>
      </c>
      <c r="K672" s="8">
        <f>financials[[#This Row],[Net Sales]]-financials[[#This Row],[COGS]]</f>
        <v>270.89999999999998</v>
      </c>
      <c r="L672" s="15">
        <v>44896</v>
      </c>
      <c r="M672" t="s">
        <v>690</v>
      </c>
    </row>
    <row r="673" spans="1:13" x14ac:dyDescent="0.25">
      <c r="A673" t="s">
        <v>86</v>
      </c>
      <c r="B673" s="6" t="s">
        <v>205</v>
      </c>
      <c r="C673" s="11">
        <v>108</v>
      </c>
      <c r="D673" s="9" t="s">
        <v>83</v>
      </c>
      <c r="E673">
        <v>19</v>
      </c>
      <c r="F673" s="8">
        <f>VLOOKUP(financials[[#This Row],[productid]],Products!$B$2:$H$10,3)</f>
        <v>5.5</v>
      </c>
      <c r="G673" s="8">
        <f>financials[[#This Row],[Units Sold]]*financials[[#This Row],[Sale Price]]</f>
        <v>104.5</v>
      </c>
      <c r="H673" s="8">
        <f>IF(financials[[#This Row],[Discount Band]]="low",0.1,IF(financials[[#This Row],[Discount Band]]="medium",0.15,0.3))</f>
        <v>0.3</v>
      </c>
      <c r="I673" s="8">
        <f>financials[[#This Row],[Gross Sales]]-financials[[#This Row],[Gross Sales]]*financials[[#This Row],[Discounts]]</f>
        <v>73.150000000000006</v>
      </c>
      <c r="J673" s="8">
        <f>VLOOKUP(financials[[#This Row],[productid]],Products!$B$2:$H$10,4)</f>
        <v>3.99</v>
      </c>
      <c r="K673" s="8">
        <f>financials[[#This Row],[Net Sales]]-financials[[#This Row],[COGS]]</f>
        <v>69.160000000000011</v>
      </c>
      <c r="L673" s="15">
        <v>44372</v>
      </c>
      <c r="M673" t="s">
        <v>690</v>
      </c>
    </row>
    <row r="674" spans="1:13" x14ac:dyDescent="0.25">
      <c r="A674" t="s">
        <v>86</v>
      </c>
      <c r="B674" s="6" t="s">
        <v>273</v>
      </c>
      <c r="C674" s="13">
        <v>107</v>
      </c>
      <c r="D674" s="14" t="s">
        <v>83</v>
      </c>
      <c r="E674">
        <v>8</v>
      </c>
      <c r="F674" s="8">
        <f>VLOOKUP(financials[[#This Row],[productid]],Products!$B$2:$H$10,3)</f>
        <v>15</v>
      </c>
      <c r="G674" s="8">
        <f>financials[[#This Row],[Units Sold]]*financials[[#This Row],[Sale Price]]</f>
        <v>120</v>
      </c>
      <c r="H674" s="8">
        <f>IF(financials[[#This Row],[Discount Band]]="low",0.1,IF(financials[[#This Row],[Discount Band]]="medium",0.15,0.3))</f>
        <v>0.3</v>
      </c>
      <c r="I674" s="8">
        <f>financials[[#This Row],[Gross Sales]]-financials[[#This Row],[Gross Sales]]*financials[[#This Row],[Discounts]]</f>
        <v>84</v>
      </c>
      <c r="J674" s="8">
        <f>VLOOKUP(financials[[#This Row],[productid]],Products!$B$2:$H$10,4)</f>
        <v>5.5</v>
      </c>
      <c r="K674" s="8">
        <f>financials[[#This Row],[Net Sales]]-financials[[#This Row],[COGS]]</f>
        <v>78.5</v>
      </c>
      <c r="L674" s="15">
        <v>44382</v>
      </c>
      <c r="M674" t="s">
        <v>697</v>
      </c>
    </row>
    <row r="675" spans="1:13" x14ac:dyDescent="0.25">
      <c r="A675" t="s">
        <v>85</v>
      </c>
      <c r="B675" s="6" t="s">
        <v>232</v>
      </c>
      <c r="C675" s="11">
        <v>103</v>
      </c>
      <c r="D675" s="9" t="s">
        <v>91</v>
      </c>
      <c r="E675">
        <v>11</v>
      </c>
      <c r="F675" s="8">
        <f>VLOOKUP(financials[[#This Row],[productid]],Products!$B$2:$H$10,3)</f>
        <v>28</v>
      </c>
      <c r="G675" s="8">
        <f>financials[[#This Row],[Units Sold]]*financials[[#This Row],[Sale Price]]</f>
        <v>308</v>
      </c>
      <c r="H675" s="8">
        <f>IF(financials[[#This Row],[Discount Band]]="low",0.1,IF(financials[[#This Row],[Discount Band]]="medium",0.15,0.3))</f>
        <v>0.1</v>
      </c>
      <c r="I675" s="8">
        <f>financials[[#This Row],[Gross Sales]]-financials[[#This Row],[Gross Sales]]*financials[[#This Row],[Discounts]]</f>
        <v>277.2</v>
      </c>
      <c r="J675" s="8">
        <f>VLOOKUP(financials[[#This Row],[productid]],Products!$B$2:$H$10,4)</f>
        <v>15</v>
      </c>
      <c r="K675" s="8">
        <f>financials[[#This Row],[Net Sales]]-financials[[#This Row],[COGS]]</f>
        <v>262.2</v>
      </c>
      <c r="L675" s="15">
        <v>45611</v>
      </c>
      <c r="M675" t="s">
        <v>697</v>
      </c>
    </row>
    <row r="676" spans="1:13" x14ac:dyDescent="0.25">
      <c r="A676" t="s">
        <v>89</v>
      </c>
      <c r="B676" s="6" t="s">
        <v>148</v>
      </c>
      <c r="C676" s="11">
        <v>105</v>
      </c>
      <c r="D676" s="9" t="s">
        <v>90</v>
      </c>
      <c r="E676">
        <v>6</v>
      </c>
      <c r="F676" s="8">
        <f>VLOOKUP(financials[[#This Row],[productid]],Products!$B$2:$H$10,3)</f>
        <v>15</v>
      </c>
      <c r="G676" s="8">
        <f>financials[[#This Row],[Units Sold]]*financials[[#This Row],[Sale Price]]</f>
        <v>90</v>
      </c>
      <c r="H676" s="8">
        <f>IF(financials[[#This Row],[Discount Band]]="low",0.1,IF(financials[[#This Row],[Discount Band]]="medium",0.15,0.3))</f>
        <v>0.15</v>
      </c>
      <c r="I676" s="8">
        <f>financials[[#This Row],[Gross Sales]]-financials[[#This Row],[Gross Sales]]*financials[[#This Row],[Discounts]]</f>
        <v>76.5</v>
      </c>
      <c r="J676" s="8">
        <f>VLOOKUP(financials[[#This Row],[productid]],Products!$B$2:$H$10,4)</f>
        <v>10</v>
      </c>
      <c r="K676" s="8">
        <f>financials[[#This Row],[Net Sales]]-financials[[#This Row],[COGS]]</f>
        <v>66.5</v>
      </c>
      <c r="L676" s="15">
        <v>44021</v>
      </c>
      <c r="M676" t="s">
        <v>697</v>
      </c>
    </row>
    <row r="677" spans="1:13" x14ac:dyDescent="0.25">
      <c r="A677" t="s">
        <v>85</v>
      </c>
      <c r="B677" s="6" t="s">
        <v>287</v>
      </c>
      <c r="C677" s="13">
        <v>106</v>
      </c>
      <c r="D677" s="14" t="s">
        <v>83</v>
      </c>
      <c r="E677">
        <v>9</v>
      </c>
      <c r="F677" s="8">
        <f>VLOOKUP(financials[[#This Row],[productid]],Products!$B$2:$H$10,3)</f>
        <v>25</v>
      </c>
      <c r="G677" s="8">
        <f>financials[[#This Row],[Units Sold]]*financials[[#This Row],[Sale Price]]</f>
        <v>225</v>
      </c>
      <c r="H677" s="8">
        <f>IF(financials[[#This Row],[Discount Band]]="low",0.1,IF(financials[[#This Row],[Discount Band]]="medium",0.15,0.3))</f>
        <v>0.3</v>
      </c>
      <c r="I677" s="8">
        <f>financials[[#This Row],[Gross Sales]]-financials[[#This Row],[Gross Sales]]*financials[[#This Row],[Discounts]]</f>
        <v>157.5</v>
      </c>
      <c r="J677" s="8">
        <f>VLOOKUP(financials[[#This Row],[productid]],Products!$B$2:$H$10,4)</f>
        <v>9.1</v>
      </c>
      <c r="K677" s="8">
        <f>financials[[#This Row],[Net Sales]]-financials[[#This Row],[COGS]]</f>
        <v>148.4</v>
      </c>
      <c r="L677" s="15">
        <v>45628</v>
      </c>
      <c r="M677" t="s">
        <v>700</v>
      </c>
    </row>
    <row r="678" spans="1:13" x14ac:dyDescent="0.25">
      <c r="A678" t="s">
        <v>89</v>
      </c>
      <c r="B678" s="6" t="s">
        <v>158</v>
      </c>
      <c r="C678" s="13">
        <v>107</v>
      </c>
      <c r="D678" s="14" t="s">
        <v>83</v>
      </c>
      <c r="E678">
        <v>16</v>
      </c>
      <c r="F678" s="8">
        <f>VLOOKUP(financials[[#This Row],[productid]],Products!$B$2:$H$10,3)</f>
        <v>15</v>
      </c>
      <c r="G678" s="8">
        <f>financials[[#This Row],[Units Sold]]*financials[[#This Row],[Sale Price]]</f>
        <v>240</v>
      </c>
      <c r="H678" s="8">
        <f>IF(financials[[#This Row],[Discount Band]]="low",0.1,IF(financials[[#This Row],[Discount Band]]="medium",0.15,0.3))</f>
        <v>0.3</v>
      </c>
      <c r="I678" s="8">
        <f>financials[[#This Row],[Gross Sales]]-financials[[#This Row],[Gross Sales]]*financials[[#This Row],[Discounts]]</f>
        <v>168</v>
      </c>
      <c r="J678" s="8">
        <f>VLOOKUP(financials[[#This Row],[productid]],Products!$B$2:$H$10,4)</f>
        <v>5.5</v>
      </c>
      <c r="K678" s="8">
        <f>financials[[#This Row],[Net Sales]]-financials[[#This Row],[COGS]]</f>
        <v>162.5</v>
      </c>
      <c r="L678" s="15">
        <v>45185</v>
      </c>
      <c r="M678" t="s">
        <v>700</v>
      </c>
    </row>
    <row r="679" spans="1:13" x14ac:dyDescent="0.25">
      <c r="A679" t="s">
        <v>89</v>
      </c>
      <c r="B679" s="6" t="s">
        <v>93</v>
      </c>
      <c r="C679" s="13">
        <v>101</v>
      </c>
      <c r="D679" s="14" t="s">
        <v>92</v>
      </c>
      <c r="E679">
        <v>11</v>
      </c>
      <c r="F679" s="8">
        <f>VLOOKUP(financials[[#This Row],[productid]],Products!$B$2:$H$10,3)</f>
        <v>23</v>
      </c>
      <c r="G679" s="8">
        <f>financials[[#This Row],[Units Sold]]*financials[[#This Row],[Sale Price]]</f>
        <v>253</v>
      </c>
      <c r="H679" s="8">
        <f>IF(financials[[#This Row],[Discount Band]]="low",0.1,IF(financials[[#This Row],[Discount Band]]="medium",0.15,0.3))</f>
        <v>0.3</v>
      </c>
      <c r="I679" s="8">
        <f>financials[[#This Row],[Gross Sales]]-financials[[#This Row],[Gross Sales]]*financials[[#This Row],[Discounts]]</f>
        <v>177.10000000000002</v>
      </c>
      <c r="J679" s="8">
        <f>VLOOKUP(financials[[#This Row],[productid]],Products!$B$2:$H$10,4)</f>
        <v>9.9499999999999993</v>
      </c>
      <c r="K679" s="8">
        <f>financials[[#This Row],[Net Sales]]-financials[[#This Row],[COGS]]</f>
        <v>167.15000000000003</v>
      </c>
      <c r="L679" s="15">
        <v>45419</v>
      </c>
      <c r="M679" t="s">
        <v>690</v>
      </c>
    </row>
    <row r="680" spans="1:13" x14ac:dyDescent="0.25">
      <c r="A680" t="s">
        <v>89</v>
      </c>
      <c r="B680" s="6" t="s">
        <v>545</v>
      </c>
      <c r="C680" s="13">
        <v>109</v>
      </c>
      <c r="D680" s="14" t="s">
        <v>83</v>
      </c>
      <c r="E680">
        <v>7</v>
      </c>
      <c r="F680" s="8">
        <f>VLOOKUP(financials[[#This Row],[productid]],Products!$B$2:$H$10,3)</f>
        <v>36</v>
      </c>
      <c r="G680" s="8">
        <f>financials[[#This Row],[Units Sold]]*financials[[#This Row],[Sale Price]]</f>
        <v>252</v>
      </c>
      <c r="H680" s="8">
        <f>IF(financials[[#This Row],[Discount Band]]="low",0.1,IF(financials[[#This Row],[Discount Band]]="medium",0.15,0.3))</f>
        <v>0.3</v>
      </c>
      <c r="I680" s="8">
        <f>financials[[#This Row],[Gross Sales]]-financials[[#This Row],[Gross Sales]]*financials[[#This Row],[Discounts]]</f>
        <v>176.4</v>
      </c>
      <c r="J680" s="8">
        <f>VLOOKUP(financials[[#This Row],[productid]],Products!$B$2:$H$10,4)</f>
        <v>16.8</v>
      </c>
      <c r="K680" s="8">
        <f>financials[[#This Row],[Net Sales]]-financials[[#This Row],[COGS]]</f>
        <v>159.6</v>
      </c>
      <c r="L680" s="15">
        <v>43940</v>
      </c>
      <c r="M680" t="s">
        <v>700</v>
      </c>
    </row>
    <row r="681" spans="1:13" x14ac:dyDescent="0.25">
      <c r="A681" t="s">
        <v>85</v>
      </c>
      <c r="B681" s="6" t="s">
        <v>274</v>
      </c>
      <c r="C681" s="13">
        <v>103</v>
      </c>
      <c r="D681" s="14" t="s">
        <v>91</v>
      </c>
      <c r="E681">
        <v>12</v>
      </c>
      <c r="F681" s="8">
        <f>VLOOKUP(financials[[#This Row],[productid]],Products!$B$2:$H$10,3)</f>
        <v>28</v>
      </c>
      <c r="G681" s="8">
        <f>financials[[#This Row],[Units Sold]]*financials[[#This Row],[Sale Price]]</f>
        <v>336</v>
      </c>
      <c r="H681" s="8">
        <f>IF(financials[[#This Row],[Discount Band]]="low",0.1,IF(financials[[#This Row],[Discount Band]]="medium",0.15,0.3))</f>
        <v>0.1</v>
      </c>
      <c r="I681" s="8">
        <f>financials[[#This Row],[Gross Sales]]-financials[[#This Row],[Gross Sales]]*financials[[#This Row],[Discounts]]</f>
        <v>302.39999999999998</v>
      </c>
      <c r="J681" s="8">
        <f>VLOOKUP(financials[[#This Row],[productid]],Products!$B$2:$H$10,4)</f>
        <v>15</v>
      </c>
      <c r="K681" s="8">
        <f>financials[[#This Row],[Net Sales]]-financials[[#This Row],[COGS]]</f>
        <v>287.39999999999998</v>
      </c>
      <c r="L681" s="15">
        <v>44464</v>
      </c>
      <c r="M681" t="s">
        <v>696</v>
      </c>
    </row>
    <row r="682" spans="1:13" x14ac:dyDescent="0.25">
      <c r="A682" t="s">
        <v>85</v>
      </c>
      <c r="B682" s="6" t="s">
        <v>232</v>
      </c>
      <c r="C682" s="13">
        <v>102</v>
      </c>
      <c r="D682" s="14" t="s">
        <v>83</v>
      </c>
      <c r="E682">
        <v>14</v>
      </c>
      <c r="F682" s="8">
        <f>VLOOKUP(financials[[#This Row],[productid]],Products!$B$2:$H$10,3)</f>
        <v>15</v>
      </c>
      <c r="G682" s="8">
        <f>financials[[#This Row],[Units Sold]]*financials[[#This Row],[Sale Price]]</f>
        <v>210</v>
      </c>
      <c r="H682" s="8">
        <f>IF(financials[[#This Row],[Discount Band]]="low",0.1,IF(financials[[#This Row],[Discount Band]]="medium",0.15,0.3))</f>
        <v>0.3</v>
      </c>
      <c r="I682" s="8">
        <f>financials[[#This Row],[Gross Sales]]-financials[[#This Row],[Gross Sales]]*financials[[#This Row],[Discounts]]</f>
        <v>147</v>
      </c>
      <c r="J682" s="8">
        <f>VLOOKUP(financials[[#This Row],[productid]],Products!$B$2:$H$10,4)</f>
        <v>13.95</v>
      </c>
      <c r="K682" s="8">
        <f>financials[[#This Row],[Net Sales]]-financials[[#This Row],[COGS]]</f>
        <v>133.05000000000001</v>
      </c>
      <c r="L682" s="15">
        <v>45355</v>
      </c>
      <c r="M682" t="s">
        <v>690</v>
      </c>
    </row>
    <row r="683" spans="1:13" x14ac:dyDescent="0.25">
      <c r="A683" t="s">
        <v>86</v>
      </c>
      <c r="B683" s="6" t="s">
        <v>268</v>
      </c>
      <c r="C683" s="13">
        <v>104</v>
      </c>
      <c r="D683" s="14" t="s">
        <v>83</v>
      </c>
      <c r="E683">
        <v>6</v>
      </c>
      <c r="F683" s="8">
        <f>VLOOKUP(financials[[#This Row],[productid]],Products!$B$2:$H$10,3)</f>
        <v>5.9</v>
      </c>
      <c r="G683" s="8">
        <f>financials[[#This Row],[Units Sold]]*financials[[#This Row],[Sale Price]]</f>
        <v>35.400000000000006</v>
      </c>
      <c r="H683" s="8">
        <f>IF(financials[[#This Row],[Discount Band]]="low",0.1,IF(financials[[#This Row],[Discount Band]]="medium",0.15,0.3))</f>
        <v>0.3</v>
      </c>
      <c r="I683" s="8">
        <f>financials[[#This Row],[Gross Sales]]-financials[[#This Row],[Gross Sales]]*financials[[#This Row],[Discounts]]</f>
        <v>24.780000000000005</v>
      </c>
      <c r="J683" s="8">
        <f>VLOOKUP(financials[[#This Row],[productid]],Products!$B$2:$H$10,4)</f>
        <v>2.9</v>
      </c>
      <c r="K683" s="8">
        <f>financials[[#This Row],[Net Sales]]-financials[[#This Row],[COGS]]</f>
        <v>21.880000000000006</v>
      </c>
      <c r="L683" s="15">
        <v>45455</v>
      </c>
      <c r="M683" t="s">
        <v>696</v>
      </c>
    </row>
    <row r="684" spans="1:13" x14ac:dyDescent="0.25">
      <c r="A684" t="s">
        <v>86</v>
      </c>
      <c r="B684" s="6" t="s">
        <v>268</v>
      </c>
      <c r="C684" s="13">
        <v>103</v>
      </c>
      <c r="D684" s="14" t="s">
        <v>90</v>
      </c>
      <c r="E684">
        <v>17</v>
      </c>
      <c r="F684" s="8">
        <f>VLOOKUP(financials[[#This Row],[productid]],Products!$B$2:$H$10,3)</f>
        <v>28</v>
      </c>
      <c r="G684" s="8">
        <f>financials[[#This Row],[Units Sold]]*financials[[#This Row],[Sale Price]]</f>
        <v>476</v>
      </c>
      <c r="H684" s="8">
        <f>IF(financials[[#This Row],[Discount Band]]="low",0.1,IF(financials[[#This Row],[Discount Band]]="medium",0.15,0.3))</f>
        <v>0.15</v>
      </c>
      <c r="I684" s="8">
        <f>financials[[#This Row],[Gross Sales]]-financials[[#This Row],[Gross Sales]]*financials[[#This Row],[Discounts]]</f>
        <v>404.6</v>
      </c>
      <c r="J684" s="8">
        <f>VLOOKUP(financials[[#This Row],[productid]],Products!$B$2:$H$10,4)</f>
        <v>15</v>
      </c>
      <c r="K684" s="8">
        <f>financials[[#This Row],[Net Sales]]-financials[[#This Row],[COGS]]</f>
        <v>389.6</v>
      </c>
      <c r="L684" s="15">
        <v>44396</v>
      </c>
      <c r="M684" t="s">
        <v>696</v>
      </c>
    </row>
    <row r="685" spans="1:13" x14ac:dyDescent="0.25">
      <c r="A685" t="s">
        <v>85</v>
      </c>
      <c r="B685" s="6" t="s">
        <v>545</v>
      </c>
      <c r="C685" s="13">
        <v>108</v>
      </c>
      <c r="D685" s="14" t="s">
        <v>91</v>
      </c>
      <c r="E685">
        <v>16</v>
      </c>
      <c r="F685" s="8">
        <f>VLOOKUP(financials[[#This Row],[productid]],Products!$B$2:$H$10,3)</f>
        <v>5.5</v>
      </c>
      <c r="G685" s="8">
        <f>financials[[#This Row],[Units Sold]]*financials[[#This Row],[Sale Price]]</f>
        <v>88</v>
      </c>
      <c r="H685" s="8">
        <f>IF(financials[[#This Row],[Discount Band]]="low",0.1,IF(financials[[#This Row],[Discount Band]]="medium",0.15,0.3))</f>
        <v>0.1</v>
      </c>
      <c r="I685" s="8">
        <f>financials[[#This Row],[Gross Sales]]-financials[[#This Row],[Gross Sales]]*financials[[#This Row],[Discounts]]</f>
        <v>79.2</v>
      </c>
      <c r="J685" s="8">
        <f>VLOOKUP(financials[[#This Row],[productid]],Products!$B$2:$H$10,4)</f>
        <v>3.99</v>
      </c>
      <c r="K685" s="8">
        <f>financials[[#This Row],[Net Sales]]-financials[[#This Row],[COGS]]</f>
        <v>75.210000000000008</v>
      </c>
      <c r="L685" s="15">
        <v>44231</v>
      </c>
      <c r="M685" t="s">
        <v>697</v>
      </c>
    </row>
    <row r="686" spans="1:13" x14ac:dyDescent="0.25">
      <c r="A686" t="s">
        <v>85</v>
      </c>
      <c r="B686" s="6" t="s">
        <v>240</v>
      </c>
      <c r="C686" s="13">
        <v>105</v>
      </c>
      <c r="D686" s="14" t="s">
        <v>83</v>
      </c>
      <c r="E686">
        <v>16</v>
      </c>
      <c r="F686" s="8">
        <f>VLOOKUP(financials[[#This Row],[productid]],Products!$B$2:$H$10,3)</f>
        <v>15</v>
      </c>
      <c r="G686" s="8">
        <f>financials[[#This Row],[Units Sold]]*financials[[#This Row],[Sale Price]]</f>
        <v>240</v>
      </c>
      <c r="H686" s="8">
        <f>IF(financials[[#This Row],[Discount Band]]="low",0.1,IF(financials[[#This Row],[Discount Band]]="medium",0.15,0.3))</f>
        <v>0.3</v>
      </c>
      <c r="I686" s="8">
        <f>financials[[#This Row],[Gross Sales]]-financials[[#This Row],[Gross Sales]]*financials[[#This Row],[Discounts]]</f>
        <v>168</v>
      </c>
      <c r="J686" s="8">
        <f>VLOOKUP(financials[[#This Row],[productid]],Products!$B$2:$H$10,4)</f>
        <v>10</v>
      </c>
      <c r="K686" s="8">
        <f>financials[[#This Row],[Net Sales]]-financials[[#This Row],[COGS]]</f>
        <v>158</v>
      </c>
      <c r="L686" s="15">
        <v>44391</v>
      </c>
      <c r="M686" t="s">
        <v>700</v>
      </c>
    </row>
    <row r="687" spans="1:13" x14ac:dyDescent="0.25">
      <c r="A687" t="s">
        <v>85</v>
      </c>
      <c r="B687" s="6" t="s">
        <v>148</v>
      </c>
      <c r="C687" s="13">
        <v>108</v>
      </c>
      <c r="D687" s="14" t="s">
        <v>83</v>
      </c>
      <c r="E687">
        <v>20</v>
      </c>
      <c r="F687" s="8">
        <f>VLOOKUP(financials[[#This Row],[productid]],Products!$B$2:$H$10,3)</f>
        <v>5.5</v>
      </c>
      <c r="G687" s="8">
        <f>financials[[#This Row],[Units Sold]]*financials[[#This Row],[Sale Price]]</f>
        <v>110</v>
      </c>
      <c r="H687" s="8">
        <f>IF(financials[[#This Row],[Discount Band]]="low",0.1,IF(financials[[#This Row],[Discount Band]]="medium",0.15,0.3))</f>
        <v>0.3</v>
      </c>
      <c r="I687" s="8">
        <f>financials[[#This Row],[Gross Sales]]-financials[[#This Row],[Gross Sales]]*financials[[#This Row],[Discounts]]</f>
        <v>77</v>
      </c>
      <c r="J687" s="8">
        <f>VLOOKUP(financials[[#This Row],[productid]],Products!$B$2:$H$10,4)</f>
        <v>3.99</v>
      </c>
      <c r="K687" s="8">
        <f>financials[[#This Row],[Net Sales]]-financials[[#This Row],[COGS]]</f>
        <v>73.010000000000005</v>
      </c>
      <c r="L687" s="15">
        <v>45502</v>
      </c>
      <c r="M687" t="s">
        <v>691</v>
      </c>
    </row>
    <row r="688" spans="1:13" x14ac:dyDescent="0.25">
      <c r="A688" t="s">
        <v>86</v>
      </c>
      <c r="B688" s="6" t="s">
        <v>276</v>
      </c>
      <c r="C688" s="13">
        <v>109</v>
      </c>
      <c r="D688" s="14" t="s">
        <v>91</v>
      </c>
      <c r="E688">
        <v>8</v>
      </c>
      <c r="F688" s="8">
        <f>VLOOKUP(financials[[#This Row],[productid]],Products!$B$2:$H$10,3)</f>
        <v>36</v>
      </c>
      <c r="G688" s="8">
        <f>financials[[#This Row],[Units Sold]]*financials[[#This Row],[Sale Price]]</f>
        <v>288</v>
      </c>
      <c r="H688" s="8">
        <f>IF(financials[[#This Row],[Discount Band]]="low",0.1,IF(financials[[#This Row],[Discount Band]]="medium",0.15,0.3))</f>
        <v>0.1</v>
      </c>
      <c r="I688" s="8">
        <f>financials[[#This Row],[Gross Sales]]-financials[[#This Row],[Gross Sales]]*financials[[#This Row],[Discounts]]</f>
        <v>259.2</v>
      </c>
      <c r="J688" s="8">
        <f>VLOOKUP(financials[[#This Row],[productid]],Products!$B$2:$H$10,4)</f>
        <v>16.8</v>
      </c>
      <c r="K688" s="8">
        <f>financials[[#This Row],[Net Sales]]-financials[[#This Row],[COGS]]</f>
        <v>242.39999999999998</v>
      </c>
      <c r="L688" s="15">
        <v>44516</v>
      </c>
      <c r="M688" t="s">
        <v>690</v>
      </c>
    </row>
    <row r="689" spans="1:13" x14ac:dyDescent="0.25">
      <c r="A689" t="s">
        <v>86</v>
      </c>
      <c r="B689" s="6" t="s">
        <v>198</v>
      </c>
      <c r="C689" s="13">
        <v>104</v>
      </c>
      <c r="D689" s="14" t="s">
        <v>90</v>
      </c>
      <c r="E689">
        <v>6</v>
      </c>
      <c r="F689" s="8">
        <f>VLOOKUP(financials[[#This Row],[productid]],Products!$B$2:$H$10,3)</f>
        <v>5.9</v>
      </c>
      <c r="G689" s="8">
        <f>financials[[#This Row],[Units Sold]]*financials[[#This Row],[Sale Price]]</f>
        <v>35.400000000000006</v>
      </c>
      <c r="H689" s="8">
        <f>IF(financials[[#This Row],[Discount Band]]="low",0.1,IF(financials[[#This Row],[Discount Band]]="medium",0.15,0.3))</f>
        <v>0.15</v>
      </c>
      <c r="I689" s="8">
        <f>financials[[#This Row],[Gross Sales]]-financials[[#This Row],[Gross Sales]]*financials[[#This Row],[Discounts]]</f>
        <v>30.090000000000003</v>
      </c>
      <c r="J689" s="8">
        <f>VLOOKUP(financials[[#This Row],[productid]],Products!$B$2:$H$10,4)</f>
        <v>2.9</v>
      </c>
      <c r="K689" s="8">
        <f>financials[[#This Row],[Net Sales]]-financials[[#This Row],[COGS]]</f>
        <v>27.190000000000005</v>
      </c>
      <c r="L689" s="15">
        <v>45291</v>
      </c>
      <c r="M689" t="s">
        <v>691</v>
      </c>
    </row>
    <row r="690" spans="1:13" x14ac:dyDescent="0.25">
      <c r="A690" t="s">
        <v>89</v>
      </c>
      <c r="B690" s="6" t="s">
        <v>617</v>
      </c>
      <c r="C690" s="13">
        <v>103</v>
      </c>
      <c r="D690" s="14" t="s">
        <v>83</v>
      </c>
      <c r="E690">
        <v>8</v>
      </c>
      <c r="F690" s="8">
        <f>VLOOKUP(financials[[#This Row],[productid]],Products!$B$2:$H$10,3)</f>
        <v>28</v>
      </c>
      <c r="G690" s="8">
        <f>financials[[#This Row],[Units Sold]]*financials[[#This Row],[Sale Price]]</f>
        <v>224</v>
      </c>
      <c r="H690" s="8">
        <f>IF(financials[[#This Row],[Discount Band]]="low",0.1,IF(financials[[#This Row],[Discount Band]]="medium",0.15,0.3))</f>
        <v>0.3</v>
      </c>
      <c r="I690" s="8">
        <f>financials[[#This Row],[Gross Sales]]-financials[[#This Row],[Gross Sales]]*financials[[#This Row],[Discounts]]</f>
        <v>156.80000000000001</v>
      </c>
      <c r="J690" s="8">
        <f>VLOOKUP(financials[[#This Row],[productid]],Products!$B$2:$H$10,4)</f>
        <v>15</v>
      </c>
      <c r="K690" s="8">
        <f>financials[[#This Row],[Net Sales]]-financials[[#This Row],[COGS]]</f>
        <v>141.80000000000001</v>
      </c>
      <c r="L690" s="15">
        <v>44522</v>
      </c>
      <c r="M690" t="s">
        <v>691</v>
      </c>
    </row>
    <row r="691" spans="1:13" x14ac:dyDescent="0.25">
      <c r="A691" t="s">
        <v>89</v>
      </c>
      <c r="B691" s="6" t="s">
        <v>148</v>
      </c>
      <c r="C691" s="13">
        <v>105</v>
      </c>
      <c r="D691" s="14" t="s">
        <v>90</v>
      </c>
      <c r="E691">
        <v>14</v>
      </c>
      <c r="F691" s="8">
        <f>VLOOKUP(financials[[#This Row],[productid]],Products!$B$2:$H$10,3)</f>
        <v>15</v>
      </c>
      <c r="G691" s="8">
        <f>financials[[#This Row],[Units Sold]]*financials[[#This Row],[Sale Price]]</f>
        <v>210</v>
      </c>
      <c r="H691" s="8">
        <f>IF(financials[[#This Row],[Discount Band]]="low",0.1,IF(financials[[#This Row],[Discount Band]]="medium",0.15,0.3))</f>
        <v>0.15</v>
      </c>
      <c r="I691" s="8">
        <f>financials[[#This Row],[Gross Sales]]-financials[[#This Row],[Gross Sales]]*financials[[#This Row],[Discounts]]</f>
        <v>178.5</v>
      </c>
      <c r="J691" s="8">
        <f>VLOOKUP(financials[[#This Row],[productid]],Products!$B$2:$H$10,4)</f>
        <v>10</v>
      </c>
      <c r="K691" s="8">
        <f>financials[[#This Row],[Net Sales]]-financials[[#This Row],[COGS]]</f>
        <v>168.5</v>
      </c>
      <c r="L691" s="15">
        <v>44081</v>
      </c>
      <c r="M691" t="s">
        <v>700</v>
      </c>
    </row>
    <row r="692" spans="1:13" x14ac:dyDescent="0.25">
      <c r="A692" t="s">
        <v>89</v>
      </c>
      <c r="B692" s="6" t="s">
        <v>266</v>
      </c>
      <c r="C692" s="13">
        <v>106</v>
      </c>
      <c r="D692" s="14" t="s">
        <v>91</v>
      </c>
      <c r="E692">
        <v>11</v>
      </c>
      <c r="F692" s="8">
        <f>VLOOKUP(financials[[#This Row],[productid]],Products!$B$2:$H$10,3)</f>
        <v>25</v>
      </c>
      <c r="G692" s="8">
        <f>financials[[#This Row],[Units Sold]]*financials[[#This Row],[Sale Price]]</f>
        <v>275</v>
      </c>
      <c r="H692" s="8">
        <f>IF(financials[[#This Row],[Discount Band]]="low",0.1,IF(financials[[#This Row],[Discount Band]]="medium",0.15,0.3))</f>
        <v>0.1</v>
      </c>
      <c r="I692" s="8">
        <f>financials[[#This Row],[Gross Sales]]-financials[[#This Row],[Gross Sales]]*financials[[#This Row],[Discounts]]</f>
        <v>247.5</v>
      </c>
      <c r="J692" s="8">
        <f>VLOOKUP(financials[[#This Row],[productid]],Products!$B$2:$H$10,4)</f>
        <v>9.1</v>
      </c>
      <c r="K692" s="8">
        <f>financials[[#This Row],[Net Sales]]-financials[[#This Row],[COGS]]</f>
        <v>238.4</v>
      </c>
      <c r="L692" s="15">
        <v>45628</v>
      </c>
      <c r="M692" t="s">
        <v>700</v>
      </c>
    </row>
    <row r="693" spans="1:13" x14ac:dyDescent="0.25">
      <c r="A693" t="s">
        <v>86</v>
      </c>
      <c r="B693" s="6" t="s">
        <v>266</v>
      </c>
      <c r="C693" s="11">
        <v>107</v>
      </c>
      <c r="D693" s="9" t="s">
        <v>90</v>
      </c>
      <c r="E693">
        <v>18</v>
      </c>
      <c r="F693" s="8">
        <f>VLOOKUP(financials[[#This Row],[productid]],Products!$B$2:$H$10,3)</f>
        <v>15</v>
      </c>
      <c r="G693" s="8">
        <f>financials[[#This Row],[Units Sold]]*financials[[#This Row],[Sale Price]]</f>
        <v>270</v>
      </c>
      <c r="H693" s="8">
        <f>IF(financials[[#This Row],[Discount Band]]="low",0.1,IF(financials[[#This Row],[Discount Band]]="medium",0.15,0.3))</f>
        <v>0.15</v>
      </c>
      <c r="I693" s="8">
        <f>financials[[#This Row],[Gross Sales]]-financials[[#This Row],[Gross Sales]]*financials[[#This Row],[Discounts]]</f>
        <v>229.5</v>
      </c>
      <c r="J693" s="8">
        <f>VLOOKUP(financials[[#This Row],[productid]],Products!$B$2:$H$10,4)</f>
        <v>5.5</v>
      </c>
      <c r="K693" s="8">
        <f>financials[[#This Row],[Net Sales]]-financials[[#This Row],[COGS]]</f>
        <v>224</v>
      </c>
      <c r="L693" s="15">
        <v>43897</v>
      </c>
      <c r="M693" t="s">
        <v>696</v>
      </c>
    </row>
    <row r="694" spans="1:13" x14ac:dyDescent="0.25">
      <c r="A694" t="s">
        <v>86</v>
      </c>
      <c r="B694" s="6" t="s">
        <v>266</v>
      </c>
      <c r="C694" s="13">
        <v>106</v>
      </c>
      <c r="D694" s="14" t="s">
        <v>90</v>
      </c>
      <c r="E694">
        <v>16</v>
      </c>
      <c r="F694" s="8">
        <f>VLOOKUP(financials[[#This Row],[productid]],Products!$B$2:$H$10,3)</f>
        <v>25</v>
      </c>
      <c r="G694" s="8">
        <f>financials[[#This Row],[Units Sold]]*financials[[#This Row],[Sale Price]]</f>
        <v>400</v>
      </c>
      <c r="H694" s="8">
        <f>IF(financials[[#This Row],[Discount Band]]="low",0.1,IF(financials[[#This Row],[Discount Band]]="medium",0.15,0.3))</f>
        <v>0.15</v>
      </c>
      <c r="I694" s="8">
        <f>financials[[#This Row],[Gross Sales]]-financials[[#This Row],[Gross Sales]]*financials[[#This Row],[Discounts]]</f>
        <v>340</v>
      </c>
      <c r="J694" s="8">
        <f>VLOOKUP(financials[[#This Row],[productid]],Products!$B$2:$H$10,4)</f>
        <v>9.1</v>
      </c>
      <c r="K694" s="8">
        <f>financials[[#This Row],[Net Sales]]-financials[[#This Row],[COGS]]</f>
        <v>330.9</v>
      </c>
      <c r="L694" s="15">
        <v>44413</v>
      </c>
      <c r="M694" t="s">
        <v>691</v>
      </c>
    </row>
    <row r="695" spans="1:13" x14ac:dyDescent="0.25">
      <c r="A695" t="s">
        <v>85</v>
      </c>
      <c r="B695" s="6" t="s">
        <v>240</v>
      </c>
      <c r="C695" s="13">
        <v>102</v>
      </c>
      <c r="D695" s="14" t="s">
        <v>90</v>
      </c>
      <c r="E695">
        <v>13</v>
      </c>
      <c r="F695" s="8">
        <f>VLOOKUP(financials[[#This Row],[productid]],Products!$B$2:$H$10,3)</f>
        <v>15</v>
      </c>
      <c r="G695" s="8">
        <f>financials[[#This Row],[Units Sold]]*financials[[#This Row],[Sale Price]]</f>
        <v>195</v>
      </c>
      <c r="H695" s="8">
        <f>IF(financials[[#This Row],[Discount Band]]="low",0.1,IF(financials[[#This Row],[Discount Band]]="medium",0.15,0.3))</f>
        <v>0.15</v>
      </c>
      <c r="I695" s="8">
        <f>financials[[#This Row],[Gross Sales]]-financials[[#This Row],[Gross Sales]]*financials[[#This Row],[Discounts]]</f>
        <v>165.75</v>
      </c>
      <c r="J695" s="8">
        <f>VLOOKUP(financials[[#This Row],[productid]],Products!$B$2:$H$10,4)</f>
        <v>13.95</v>
      </c>
      <c r="K695" s="8">
        <f>financials[[#This Row],[Net Sales]]-financials[[#This Row],[COGS]]</f>
        <v>151.80000000000001</v>
      </c>
      <c r="L695" s="15">
        <v>45308</v>
      </c>
      <c r="M695" t="s">
        <v>697</v>
      </c>
    </row>
    <row r="696" spans="1:13" x14ac:dyDescent="0.25">
      <c r="A696" t="s">
        <v>89</v>
      </c>
      <c r="B696" s="6" t="s">
        <v>545</v>
      </c>
      <c r="C696" s="13">
        <v>106</v>
      </c>
      <c r="D696" s="14" t="s">
        <v>92</v>
      </c>
      <c r="E696">
        <v>11</v>
      </c>
      <c r="F696" s="8">
        <f>VLOOKUP(financials[[#This Row],[productid]],Products!$B$2:$H$10,3)</f>
        <v>25</v>
      </c>
      <c r="G696" s="8">
        <f>financials[[#This Row],[Units Sold]]*financials[[#This Row],[Sale Price]]</f>
        <v>275</v>
      </c>
      <c r="H696" s="8">
        <f>IF(financials[[#This Row],[Discount Band]]="low",0.1,IF(financials[[#This Row],[Discount Band]]="medium",0.15,0.3))</f>
        <v>0.3</v>
      </c>
      <c r="I696" s="8">
        <f>financials[[#This Row],[Gross Sales]]-financials[[#This Row],[Gross Sales]]*financials[[#This Row],[Discounts]]</f>
        <v>192.5</v>
      </c>
      <c r="J696" s="8">
        <f>VLOOKUP(financials[[#This Row],[productid]],Products!$B$2:$H$10,4)</f>
        <v>9.1</v>
      </c>
      <c r="K696" s="8">
        <f>financials[[#This Row],[Net Sales]]-financials[[#This Row],[COGS]]</f>
        <v>183.4</v>
      </c>
      <c r="L696" s="15">
        <v>44122</v>
      </c>
      <c r="M696" t="s">
        <v>700</v>
      </c>
    </row>
    <row r="697" spans="1:13" x14ac:dyDescent="0.25">
      <c r="A697" t="s">
        <v>89</v>
      </c>
      <c r="B697" s="6" t="s">
        <v>545</v>
      </c>
      <c r="C697" s="13">
        <v>105</v>
      </c>
      <c r="D697" s="14" t="s">
        <v>90</v>
      </c>
      <c r="E697">
        <v>16</v>
      </c>
      <c r="F697" s="8">
        <f>VLOOKUP(financials[[#This Row],[productid]],Products!$B$2:$H$10,3)</f>
        <v>15</v>
      </c>
      <c r="G697" s="8">
        <f>financials[[#This Row],[Units Sold]]*financials[[#This Row],[Sale Price]]</f>
        <v>240</v>
      </c>
      <c r="H697" s="8">
        <f>IF(financials[[#This Row],[Discount Band]]="low",0.1,IF(financials[[#This Row],[Discount Band]]="medium",0.15,0.3))</f>
        <v>0.15</v>
      </c>
      <c r="I697" s="8">
        <f>financials[[#This Row],[Gross Sales]]-financials[[#This Row],[Gross Sales]]*financials[[#This Row],[Discounts]]</f>
        <v>204</v>
      </c>
      <c r="J697" s="8">
        <f>VLOOKUP(financials[[#This Row],[productid]],Products!$B$2:$H$10,4)</f>
        <v>10</v>
      </c>
      <c r="K697" s="8">
        <f>financials[[#This Row],[Net Sales]]-financials[[#This Row],[COGS]]</f>
        <v>194</v>
      </c>
      <c r="L697" s="15">
        <v>43957</v>
      </c>
      <c r="M697" t="s">
        <v>696</v>
      </c>
    </row>
    <row r="698" spans="1:13" x14ac:dyDescent="0.25">
      <c r="A698" t="s">
        <v>85</v>
      </c>
      <c r="B698" s="6" t="s">
        <v>148</v>
      </c>
      <c r="C698" s="13">
        <v>107</v>
      </c>
      <c r="D698" s="14" t="s">
        <v>83</v>
      </c>
      <c r="E698">
        <v>18</v>
      </c>
      <c r="F698" s="8">
        <f>VLOOKUP(financials[[#This Row],[productid]],Products!$B$2:$H$10,3)</f>
        <v>15</v>
      </c>
      <c r="G698" s="8">
        <f>financials[[#This Row],[Units Sold]]*financials[[#This Row],[Sale Price]]</f>
        <v>270</v>
      </c>
      <c r="H698" s="8">
        <f>IF(financials[[#This Row],[Discount Band]]="low",0.1,IF(financials[[#This Row],[Discount Band]]="medium",0.15,0.3))</f>
        <v>0.3</v>
      </c>
      <c r="I698" s="8">
        <f>financials[[#This Row],[Gross Sales]]-financials[[#This Row],[Gross Sales]]*financials[[#This Row],[Discounts]]</f>
        <v>189</v>
      </c>
      <c r="J698" s="8">
        <f>VLOOKUP(financials[[#This Row],[productid]],Products!$B$2:$H$10,4)</f>
        <v>5.5</v>
      </c>
      <c r="K698" s="8">
        <f>financials[[#This Row],[Net Sales]]-financials[[#This Row],[COGS]]</f>
        <v>183.5</v>
      </c>
      <c r="L698" s="15">
        <v>44152</v>
      </c>
      <c r="M698" t="s">
        <v>697</v>
      </c>
    </row>
    <row r="699" spans="1:13" x14ac:dyDescent="0.25">
      <c r="A699" t="s">
        <v>89</v>
      </c>
      <c r="B699" s="6" t="s">
        <v>148</v>
      </c>
      <c r="C699" s="11">
        <v>107</v>
      </c>
      <c r="D699" s="9" t="s">
        <v>83</v>
      </c>
      <c r="E699">
        <v>9</v>
      </c>
      <c r="F699" s="8">
        <f>VLOOKUP(financials[[#This Row],[productid]],Products!$B$2:$H$10,3)</f>
        <v>15</v>
      </c>
      <c r="G699" s="8">
        <f>financials[[#This Row],[Units Sold]]*financials[[#This Row],[Sale Price]]</f>
        <v>135</v>
      </c>
      <c r="H699" s="8">
        <f>IF(financials[[#This Row],[Discount Band]]="low",0.1,IF(financials[[#This Row],[Discount Band]]="medium",0.15,0.3))</f>
        <v>0.3</v>
      </c>
      <c r="I699" s="8">
        <f>financials[[#This Row],[Gross Sales]]-financials[[#This Row],[Gross Sales]]*financials[[#This Row],[Discounts]]</f>
        <v>94.5</v>
      </c>
      <c r="J699" s="8">
        <f>VLOOKUP(financials[[#This Row],[productid]],Products!$B$2:$H$10,4)</f>
        <v>5.5</v>
      </c>
      <c r="K699" s="8">
        <f>financials[[#This Row],[Net Sales]]-financials[[#This Row],[COGS]]</f>
        <v>89</v>
      </c>
      <c r="L699" s="15">
        <v>44386</v>
      </c>
      <c r="M699" t="s">
        <v>700</v>
      </c>
    </row>
    <row r="700" spans="1:13" x14ac:dyDescent="0.25">
      <c r="A700" t="s">
        <v>89</v>
      </c>
      <c r="B700" s="6" t="s">
        <v>274</v>
      </c>
      <c r="C700" s="11">
        <v>103</v>
      </c>
      <c r="D700" s="9" t="s">
        <v>90</v>
      </c>
      <c r="E700">
        <v>13</v>
      </c>
      <c r="F700" s="8">
        <f>VLOOKUP(financials[[#This Row],[productid]],Products!$B$2:$H$10,3)</f>
        <v>28</v>
      </c>
      <c r="G700" s="8">
        <f>financials[[#This Row],[Units Sold]]*financials[[#This Row],[Sale Price]]</f>
        <v>364</v>
      </c>
      <c r="H700" s="8">
        <f>IF(financials[[#This Row],[Discount Band]]="low",0.1,IF(financials[[#This Row],[Discount Band]]="medium",0.15,0.3))</f>
        <v>0.15</v>
      </c>
      <c r="I700" s="8">
        <f>financials[[#This Row],[Gross Sales]]-financials[[#This Row],[Gross Sales]]*financials[[#This Row],[Discounts]]</f>
        <v>309.39999999999998</v>
      </c>
      <c r="J700" s="8">
        <f>VLOOKUP(financials[[#This Row],[productid]],Products!$B$2:$H$10,4)</f>
        <v>15</v>
      </c>
      <c r="K700" s="8">
        <f>financials[[#This Row],[Net Sales]]-financials[[#This Row],[COGS]]</f>
        <v>294.39999999999998</v>
      </c>
      <c r="L700" s="15">
        <v>45583</v>
      </c>
      <c r="M700" t="s">
        <v>691</v>
      </c>
    </row>
    <row r="701" spans="1:13" x14ac:dyDescent="0.25">
      <c r="A701" t="s">
        <v>85</v>
      </c>
      <c r="B701" s="6" t="s">
        <v>228</v>
      </c>
      <c r="C701" s="11">
        <v>103</v>
      </c>
      <c r="D701" s="9" t="s">
        <v>90</v>
      </c>
      <c r="E701">
        <v>16</v>
      </c>
      <c r="F701" s="8">
        <f>VLOOKUP(financials[[#This Row],[productid]],Products!$B$2:$H$10,3)</f>
        <v>28</v>
      </c>
      <c r="G701" s="8">
        <f>financials[[#This Row],[Units Sold]]*financials[[#This Row],[Sale Price]]</f>
        <v>448</v>
      </c>
      <c r="H701" s="8">
        <f>IF(financials[[#This Row],[Discount Band]]="low",0.1,IF(financials[[#This Row],[Discount Band]]="medium",0.15,0.3))</f>
        <v>0.15</v>
      </c>
      <c r="I701" s="8">
        <f>financials[[#This Row],[Gross Sales]]-financials[[#This Row],[Gross Sales]]*financials[[#This Row],[Discounts]]</f>
        <v>380.8</v>
      </c>
      <c r="J701" s="8">
        <f>VLOOKUP(financials[[#This Row],[productid]],Products!$B$2:$H$10,4)</f>
        <v>15</v>
      </c>
      <c r="K701" s="8">
        <f>financials[[#This Row],[Net Sales]]-financials[[#This Row],[COGS]]</f>
        <v>365.8</v>
      </c>
      <c r="L701" s="15">
        <v>44403</v>
      </c>
      <c r="M701" t="s">
        <v>697</v>
      </c>
    </row>
    <row r="702" spans="1:13" x14ac:dyDescent="0.25">
      <c r="A702" t="s">
        <v>86</v>
      </c>
      <c r="B702" s="6" t="s">
        <v>198</v>
      </c>
      <c r="C702" s="13">
        <v>104</v>
      </c>
      <c r="D702" s="14" t="s">
        <v>83</v>
      </c>
      <c r="E702">
        <v>17</v>
      </c>
      <c r="F702" s="8">
        <f>VLOOKUP(financials[[#This Row],[productid]],Products!$B$2:$H$10,3)</f>
        <v>5.9</v>
      </c>
      <c r="G702" s="8">
        <f>financials[[#This Row],[Units Sold]]*financials[[#This Row],[Sale Price]]</f>
        <v>100.30000000000001</v>
      </c>
      <c r="H702" s="8">
        <f>IF(financials[[#This Row],[Discount Band]]="low",0.1,IF(financials[[#This Row],[Discount Band]]="medium",0.15,0.3))</f>
        <v>0.3</v>
      </c>
      <c r="I702" s="8">
        <f>financials[[#This Row],[Gross Sales]]-financials[[#This Row],[Gross Sales]]*financials[[#This Row],[Discounts]]</f>
        <v>70.210000000000008</v>
      </c>
      <c r="J702" s="8">
        <f>VLOOKUP(financials[[#This Row],[productid]],Products!$B$2:$H$10,4)</f>
        <v>2.9</v>
      </c>
      <c r="K702" s="8">
        <f>financials[[#This Row],[Net Sales]]-financials[[#This Row],[COGS]]</f>
        <v>67.31</v>
      </c>
      <c r="L702" s="15">
        <v>44372</v>
      </c>
      <c r="M702" t="s">
        <v>700</v>
      </c>
    </row>
    <row r="703" spans="1:13" x14ac:dyDescent="0.25">
      <c r="A703" t="s">
        <v>85</v>
      </c>
      <c r="B703" s="6" t="s">
        <v>125</v>
      </c>
      <c r="C703" s="13">
        <v>109</v>
      </c>
      <c r="D703" s="14" t="s">
        <v>83</v>
      </c>
      <c r="E703">
        <v>11</v>
      </c>
      <c r="F703" s="8">
        <f>VLOOKUP(financials[[#This Row],[productid]],Products!$B$2:$H$10,3)</f>
        <v>36</v>
      </c>
      <c r="G703" s="8">
        <f>financials[[#This Row],[Units Sold]]*financials[[#This Row],[Sale Price]]</f>
        <v>396</v>
      </c>
      <c r="H703" s="8">
        <f>IF(financials[[#This Row],[Discount Band]]="low",0.1,IF(financials[[#This Row],[Discount Band]]="medium",0.15,0.3))</f>
        <v>0.3</v>
      </c>
      <c r="I703" s="8">
        <f>financials[[#This Row],[Gross Sales]]-financials[[#This Row],[Gross Sales]]*financials[[#This Row],[Discounts]]</f>
        <v>277.2</v>
      </c>
      <c r="J703" s="8">
        <f>VLOOKUP(financials[[#This Row],[productid]],Products!$B$2:$H$10,4)</f>
        <v>16.8</v>
      </c>
      <c r="K703" s="8">
        <f>financials[[#This Row],[Net Sales]]-financials[[#This Row],[COGS]]</f>
        <v>260.39999999999998</v>
      </c>
      <c r="L703" s="15">
        <v>45123</v>
      </c>
      <c r="M703" t="s">
        <v>700</v>
      </c>
    </row>
    <row r="704" spans="1:13" x14ac:dyDescent="0.25">
      <c r="A704" t="s">
        <v>85</v>
      </c>
      <c r="B704" s="6" t="s">
        <v>232</v>
      </c>
      <c r="C704" s="13">
        <v>102</v>
      </c>
      <c r="D704" s="14" t="s">
        <v>83</v>
      </c>
      <c r="E704">
        <v>13</v>
      </c>
      <c r="F704" s="8">
        <f>VLOOKUP(financials[[#This Row],[productid]],Products!$B$2:$H$10,3)</f>
        <v>15</v>
      </c>
      <c r="G704" s="8">
        <f>financials[[#This Row],[Units Sold]]*financials[[#This Row],[Sale Price]]</f>
        <v>195</v>
      </c>
      <c r="H704" s="8">
        <f>IF(financials[[#This Row],[Discount Band]]="low",0.1,IF(financials[[#This Row],[Discount Band]]="medium",0.15,0.3))</f>
        <v>0.3</v>
      </c>
      <c r="I704" s="8">
        <f>financials[[#This Row],[Gross Sales]]-financials[[#This Row],[Gross Sales]]*financials[[#This Row],[Discounts]]</f>
        <v>136.5</v>
      </c>
      <c r="J704" s="8">
        <f>VLOOKUP(financials[[#This Row],[productid]],Products!$B$2:$H$10,4)</f>
        <v>13.95</v>
      </c>
      <c r="K704" s="8">
        <f>financials[[#This Row],[Net Sales]]-financials[[#This Row],[COGS]]</f>
        <v>122.55</v>
      </c>
      <c r="L704" s="15">
        <v>45480</v>
      </c>
      <c r="M704" t="s">
        <v>696</v>
      </c>
    </row>
    <row r="705" spans="1:13" x14ac:dyDescent="0.25">
      <c r="A705" t="s">
        <v>85</v>
      </c>
      <c r="B705" s="6" t="s">
        <v>148</v>
      </c>
      <c r="C705" s="13">
        <v>107</v>
      </c>
      <c r="D705" s="14" t="s">
        <v>91</v>
      </c>
      <c r="E705">
        <v>9</v>
      </c>
      <c r="F705" s="8">
        <f>VLOOKUP(financials[[#This Row],[productid]],Products!$B$2:$H$10,3)</f>
        <v>15</v>
      </c>
      <c r="G705" s="8">
        <f>financials[[#This Row],[Units Sold]]*financials[[#This Row],[Sale Price]]</f>
        <v>135</v>
      </c>
      <c r="H705" s="8">
        <f>IF(financials[[#This Row],[Discount Band]]="low",0.1,IF(financials[[#This Row],[Discount Band]]="medium",0.15,0.3))</f>
        <v>0.1</v>
      </c>
      <c r="I705" s="8">
        <f>financials[[#This Row],[Gross Sales]]-financials[[#This Row],[Gross Sales]]*financials[[#This Row],[Discounts]]</f>
        <v>121.5</v>
      </c>
      <c r="J705" s="8">
        <f>VLOOKUP(financials[[#This Row],[productid]],Products!$B$2:$H$10,4)</f>
        <v>5.5</v>
      </c>
      <c r="K705" s="8">
        <f>financials[[#This Row],[Net Sales]]-financials[[#This Row],[COGS]]</f>
        <v>116</v>
      </c>
      <c r="L705" s="15">
        <v>45129</v>
      </c>
      <c r="M705" t="s">
        <v>691</v>
      </c>
    </row>
    <row r="706" spans="1:13" x14ac:dyDescent="0.25">
      <c r="A706" t="s">
        <v>86</v>
      </c>
      <c r="B706" s="6" t="s">
        <v>198</v>
      </c>
      <c r="C706" s="13">
        <v>107</v>
      </c>
      <c r="D706" s="14" t="s">
        <v>92</v>
      </c>
      <c r="E706">
        <v>17</v>
      </c>
      <c r="F706" s="8">
        <f>VLOOKUP(financials[[#This Row],[productid]],Products!$B$2:$H$10,3)</f>
        <v>15</v>
      </c>
      <c r="G706" s="8">
        <f>financials[[#This Row],[Units Sold]]*financials[[#This Row],[Sale Price]]</f>
        <v>255</v>
      </c>
      <c r="H706" s="8">
        <f>IF(financials[[#This Row],[Discount Band]]="low",0.1,IF(financials[[#This Row],[Discount Band]]="medium",0.15,0.3))</f>
        <v>0.3</v>
      </c>
      <c r="I706" s="8">
        <f>financials[[#This Row],[Gross Sales]]-financials[[#This Row],[Gross Sales]]*financials[[#This Row],[Discounts]]</f>
        <v>178.5</v>
      </c>
      <c r="J706" s="8">
        <f>VLOOKUP(financials[[#This Row],[productid]],Products!$B$2:$H$10,4)</f>
        <v>5.5</v>
      </c>
      <c r="K706" s="8">
        <f>financials[[#This Row],[Net Sales]]-financials[[#This Row],[COGS]]</f>
        <v>173</v>
      </c>
      <c r="L706" s="15">
        <v>44956</v>
      </c>
      <c r="M706" t="s">
        <v>697</v>
      </c>
    </row>
    <row r="707" spans="1:13" x14ac:dyDescent="0.25">
      <c r="A707" t="s">
        <v>85</v>
      </c>
      <c r="B707" s="6" t="s">
        <v>240</v>
      </c>
      <c r="C707" s="13">
        <v>109</v>
      </c>
      <c r="D707" s="14" t="s">
        <v>91</v>
      </c>
      <c r="E707">
        <v>10</v>
      </c>
      <c r="F707" s="8">
        <f>VLOOKUP(financials[[#This Row],[productid]],Products!$B$2:$H$10,3)</f>
        <v>36</v>
      </c>
      <c r="G707" s="8">
        <f>financials[[#This Row],[Units Sold]]*financials[[#This Row],[Sale Price]]</f>
        <v>360</v>
      </c>
      <c r="H707" s="8">
        <f>IF(financials[[#This Row],[Discount Band]]="low",0.1,IF(financials[[#This Row],[Discount Band]]="medium",0.15,0.3))</f>
        <v>0.1</v>
      </c>
      <c r="I707" s="8">
        <f>financials[[#This Row],[Gross Sales]]-financials[[#This Row],[Gross Sales]]*financials[[#This Row],[Discounts]]</f>
        <v>324</v>
      </c>
      <c r="J707" s="8">
        <f>VLOOKUP(financials[[#This Row],[productid]],Products!$B$2:$H$10,4)</f>
        <v>16.8</v>
      </c>
      <c r="K707" s="8">
        <f>financials[[#This Row],[Net Sales]]-financials[[#This Row],[COGS]]</f>
        <v>307.2</v>
      </c>
      <c r="L707" s="15">
        <v>44777</v>
      </c>
      <c r="M707" t="s">
        <v>691</v>
      </c>
    </row>
    <row r="708" spans="1:13" x14ac:dyDescent="0.25">
      <c r="A708" t="s">
        <v>86</v>
      </c>
      <c r="B708" s="6" t="s">
        <v>266</v>
      </c>
      <c r="C708" s="13">
        <v>108</v>
      </c>
      <c r="D708" s="14" t="s">
        <v>83</v>
      </c>
      <c r="E708">
        <v>10</v>
      </c>
      <c r="F708" s="8">
        <f>VLOOKUP(financials[[#This Row],[productid]],Products!$B$2:$H$10,3)</f>
        <v>5.5</v>
      </c>
      <c r="G708" s="8">
        <f>financials[[#This Row],[Units Sold]]*financials[[#This Row],[Sale Price]]</f>
        <v>55</v>
      </c>
      <c r="H708" s="8">
        <f>IF(financials[[#This Row],[Discount Band]]="low",0.1,IF(financials[[#This Row],[Discount Band]]="medium",0.15,0.3))</f>
        <v>0.3</v>
      </c>
      <c r="I708" s="8">
        <f>financials[[#This Row],[Gross Sales]]-financials[[#This Row],[Gross Sales]]*financials[[#This Row],[Discounts]]</f>
        <v>38.5</v>
      </c>
      <c r="J708" s="8">
        <f>VLOOKUP(financials[[#This Row],[productid]],Products!$B$2:$H$10,4)</f>
        <v>3.99</v>
      </c>
      <c r="K708" s="8">
        <f>financials[[#This Row],[Net Sales]]-financials[[#This Row],[COGS]]</f>
        <v>34.51</v>
      </c>
      <c r="L708" s="15">
        <v>44831</v>
      </c>
      <c r="M708" t="s">
        <v>697</v>
      </c>
    </row>
    <row r="709" spans="1:13" x14ac:dyDescent="0.25">
      <c r="A709" t="s">
        <v>86</v>
      </c>
      <c r="B709" s="6" t="s">
        <v>276</v>
      </c>
      <c r="C709" s="13">
        <v>104</v>
      </c>
      <c r="D709" s="14" t="s">
        <v>90</v>
      </c>
      <c r="E709">
        <v>19</v>
      </c>
      <c r="F709" s="8">
        <f>VLOOKUP(financials[[#This Row],[productid]],Products!$B$2:$H$10,3)</f>
        <v>5.9</v>
      </c>
      <c r="G709" s="8">
        <f>financials[[#This Row],[Units Sold]]*financials[[#This Row],[Sale Price]]</f>
        <v>112.10000000000001</v>
      </c>
      <c r="H709" s="8">
        <f>IF(financials[[#This Row],[Discount Band]]="low",0.1,IF(financials[[#This Row],[Discount Band]]="medium",0.15,0.3))</f>
        <v>0.15</v>
      </c>
      <c r="I709" s="8">
        <f>financials[[#This Row],[Gross Sales]]-financials[[#This Row],[Gross Sales]]*financials[[#This Row],[Discounts]]</f>
        <v>95.285000000000011</v>
      </c>
      <c r="J709" s="8">
        <f>VLOOKUP(financials[[#This Row],[productid]],Products!$B$2:$H$10,4)</f>
        <v>2.9</v>
      </c>
      <c r="K709" s="8">
        <f>financials[[#This Row],[Net Sales]]-financials[[#This Row],[COGS]]</f>
        <v>92.385000000000005</v>
      </c>
      <c r="L709" s="15">
        <v>44338</v>
      </c>
      <c r="M709" t="s">
        <v>691</v>
      </c>
    </row>
    <row r="710" spans="1:13" x14ac:dyDescent="0.25">
      <c r="A710" t="s">
        <v>85</v>
      </c>
      <c r="B710" s="6" t="s">
        <v>197</v>
      </c>
      <c r="C710" s="11">
        <v>109</v>
      </c>
      <c r="D710" s="9" t="s">
        <v>83</v>
      </c>
      <c r="E710">
        <v>9</v>
      </c>
      <c r="F710" s="8">
        <f>VLOOKUP(financials[[#This Row],[productid]],Products!$B$2:$H$10,3)</f>
        <v>36</v>
      </c>
      <c r="G710" s="8">
        <f>financials[[#This Row],[Units Sold]]*financials[[#This Row],[Sale Price]]</f>
        <v>324</v>
      </c>
      <c r="H710" s="8">
        <f>IF(financials[[#This Row],[Discount Band]]="low",0.1,IF(financials[[#This Row],[Discount Band]]="medium",0.15,0.3))</f>
        <v>0.3</v>
      </c>
      <c r="I710" s="8">
        <f>financials[[#This Row],[Gross Sales]]-financials[[#This Row],[Gross Sales]]*financials[[#This Row],[Discounts]]</f>
        <v>226.8</v>
      </c>
      <c r="J710" s="8">
        <f>VLOOKUP(financials[[#This Row],[productid]],Products!$B$2:$H$10,4)</f>
        <v>16.8</v>
      </c>
      <c r="K710" s="8">
        <f>financials[[#This Row],[Net Sales]]-financials[[#This Row],[COGS]]</f>
        <v>210</v>
      </c>
      <c r="L710" s="15">
        <v>45402</v>
      </c>
      <c r="M710" t="s">
        <v>690</v>
      </c>
    </row>
    <row r="711" spans="1:13" x14ac:dyDescent="0.25">
      <c r="A711" t="s">
        <v>85</v>
      </c>
      <c r="B711" s="6" t="s">
        <v>645</v>
      </c>
      <c r="C711" s="13">
        <v>106</v>
      </c>
      <c r="D711" s="14" t="s">
        <v>90</v>
      </c>
      <c r="E711">
        <v>8</v>
      </c>
      <c r="F711" s="8">
        <f>VLOOKUP(financials[[#This Row],[productid]],Products!$B$2:$H$10,3)</f>
        <v>25</v>
      </c>
      <c r="G711" s="8">
        <f>financials[[#This Row],[Units Sold]]*financials[[#This Row],[Sale Price]]</f>
        <v>200</v>
      </c>
      <c r="H711" s="8">
        <f>IF(financials[[#This Row],[Discount Band]]="low",0.1,IF(financials[[#This Row],[Discount Band]]="medium",0.15,0.3))</f>
        <v>0.15</v>
      </c>
      <c r="I711" s="8">
        <f>financials[[#This Row],[Gross Sales]]-financials[[#This Row],[Gross Sales]]*financials[[#This Row],[Discounts]]</f>
        <v>170</v>
      </c>
      <c r="J711" s="8">
        <f>VLOOKUP(financials[[#This Row],[productid]],Products!$B$2:$H$10,4)</f>
        <v>9.1</v>
      </c>
      <c r="K711" s="8">
        <f>financials[[#This Row],[Net Sales]]-financials[[#This Row],[COGS]]</f>
        <v>160.9</v>
      </c>
      <c r="L711" s="15">
        <v>44362</v>
      </c>
      <c r="M711" t="s">
        <v>690</v>
      </c>
    </row>
    <row r="712" spans="1:13" x14ac:dyDescent="0.25">
      <c r="A712" t="s">
        <v>86</v>
      </c>
      <c r="B712" s="6" t="s">
        <v>198</v>
      </c>
      <c r="C712" s="13">
        <v>103</v>
      </c>
      <c r="D712" s="14" t="s">
        <v>91</v>
      </c>
      <c r="E712">
        <v>14</v>
      </c>
      <c r="F712" s="8">
        <f>VLOOKUP(financials[[#This Row],[productid]],Products!$B$2:$H$10,3)</f>
        <v>28</v>
      </c>
      <c r="G712" s="8">
        <f>financials[[#This Row],[Units Sold]]*financials[[#This Row],[Sale Price]]</f>
        <v>392</v>
      </c>
      <c r="H712" s="8">
        <f>IF(financials[[#This Row],[Discount Band]]="low",0.1,IF(financials[[#This Row],[Discount Band]]="medium",0.15,0.3))</f>
        <v>0.1</v>
      </c>
      <c r="I712" s="8">
        <f>financials[[#This Row],[Gross Sales]]-financials[[#This Row],[Gross Sales]]*financials[[#This Row],[Discounts]]</f>
        <v>352.8</v>
      </c>
      <c r="J712" s="8">
        <f>VLOOKUP(financials[[#This Row],[productid]],Products!$B$2:$H$10,4)</f>
        <v>15</v>
      </c>
      <c r="K712" s="8">
        <f>financials[[#This Row],[Net Sales]]-financials[[#This Row],[COGS]]</f>
        <v>337.8</v>
      </c>
      <c r="L712" s="15">
        <v>44171</v>
      </c>
      <c r="M712" t="s">
        <v>700</v>
      </c>
    </row>
    <row r="713" spans="1:13" x14ac:dyDescent="0.25">
      <c r="A713" t="s">
        <v>86</v>
      </c>
      <c r="B713" s="6" t="s">
        <v>205</v>
      </c>
      <c r="C713" s="13">
        <v>107</v>
      </c>
      <c r="D713" s="14" t="s">
        <v>83</v>
      </c>
      <c r="E713">
        <v>7</v>
      </c>
      <c r="F713" s="8">
        <f>VLOOKUP(financials[[#This Row],[productid]],Products!$B$2:$H$10,3)</f>
        <v>15</v>
      </c>
      <c r="G713" s="8">
        <f>financials[[#This Row],[Units Sold]]*financials[[#This Row],[Sale Price]]</f>
        <v>105</v>
      </c>
      <c r="H713" s="8">
        <f>IF(financials[[#This Row],[Discount Band]]="low",0.1,IF(financials[[#This Row],[Discount Band]]="medium",0.15,0.3))</f>
        <v>0.3</v>
      </c>
      <c r="I713" s="8">
        <f>financials[[#This Row],[Gross Sales]]-financials[[#This Row],[Gross Sales]]*financials[[#This Row],[Discounts]]</f>
        <v>73.5</v>
      </c>
      <c r="J713" s="8">
        <f>VLOOKUP(financials[[#This Row],[productid]],Products!$B$2:$H$10,4)</f>
        <v>5.5</v>
      </c>
      <c r="K713" s="8">
        <f>financials[[#This Row],[Net Sales]]-financials[[#This Row],[COGS]]</f>
        <v>68</v>
      </c>
      <c r="L713" s="15">
        <v>43956</v>
      </c>
      <c r="M713" t="s">
        <v>691</v>
      </c>
    </row>
    <row r="714" spans="1:13" x14ac:dyDescent="0.25">
      <c r="A714" t="s">
        <v>89</v>
      </c>
      <c r="B714" s="6" t="s">
        <v>158</v>
      </c>
      <c r="C714" s="13">
        <v>104</v>
      </c>
      <c r="D714" s="14" t="s">
        <v>91</v>
      </c>
      <c r="E714">
        <v>8</v>
      </c>
      <c r="F714" s="8">
        <f>VLOOKUP(financials[[#This Row],[productid]],Products!$B$2:$H$10,3)</f>
        <v>5.9</v>
      </c>
      <c r="G714" s="8">
        <f>financials[[#This Row],[Units Sold]]*financials[[#This Row],[Sale Price]]</f>
        <v>47.2</v>
      </c>
      <c r="H714" s="8">
        <f>IF(financials[[#This Row],[Discount Band]]="low",0.1,IF(financials[[#This Row],[Discount Band]]="medium",0.15,0.3))</f>
        <v>0.1</v>
      </c>
      <c r="I714" s="8">
        <f>financials[[#This Row],[Gross Sales]]-financials[[#This Row],[Gross Sales]]*financials[[#This Row],[Discounts]]</f>
        <v>42.480000000000004</v>
      </c>
      <c r="J714" s="8">
        <f>VLOOKUP(financials[[#This Row],[productid]],Products!$B$2:$H$10,4)</f>
        <v>2.9</v>
      </c>
      <c r="K714" s="8">
        <f>financials[[#This Row],[Net Sales]]-financials[[#This Row],[COGS]]</f>
        <v>39.580000000000005</v>
      </c>
      <c r="L714" s="15">
        <v>45559</v>
      </c>
      <c r="M714" t="s">
        <v>696</v>
      </c>
    </row>
    <row r="715" spans="1:13" x14ac:dyDescent="0.25">
      <c r="A715" t="s">
        <v>89</v>
      </c>
      <c r="B715" s="6" t="s">
        <v>266</v>
      </c>
      <c r="C715" s="13">
        <v>102</v>
      </c>
      <c r="D715" s="14" t="s">
        <v>92</v>
      </c>
      <c r="E715">
        <v>17</v>
      </c>
      <c r="F715" s="8">
        <f>VLOOKUP(financials[[#This Row],[productid]],Products!$B$2:$H$10,3)</f>
        <v>15</v>
      </c>
      <c r="G715" s="8">
        <f>financials[[#This Row],[Units Sold]]*financials[[#This Row],[Sale Price]]</f>
        <v>255</v>
      </c>
      <c r="H715" s="8">
        <f>IF(financials[[#This Row],[Discount Band]]="low",0.1,IF(financials[[#This Row],[Discount Band]]="medium",0.15,0.3))</f>
        <v>0.3</v>
      </c>
      <c r="I715" s="8">
        <f>financials[[#This Row],[Gross Sales]]-financials[[#This Row],[Gross Sales]]*financials[[#This Row],[Discounts]]</f>
        <v>178.5</v>
      </c>
      <c r="J715" s="8">
        <f>VLOOKUP(financials[[#This Row],[productid]],Products!$B$2:$H$10,4)</f>
        <v>13.95</v>
      </c>
      <c r="K715" s="8">
        <f>financials[[#This Row],[Net Sales]]-financials[[#This Row],[COGS]]</f>
        <v>164.55</v>
      </c>
      <c r="L715" s="15">
        <v>45576</v>
      </c>
      <c r="M715" t="s">
        <v>696</v>
      </c>
    </row>
    <row r="716" spans="1:13" x14ac:dyDescent="0.25">
      <c r="A716" t="s">
        <v>89</v>
      </c>
      <c r="B716" s="6" t="s">
        <v>617</v>
      </c>
      <c r="C716" s="13">
        <v>104</v>
      </c>
      <c r="D716" s="14" t="s">
        <v>90</v>
      </c>
      <c r="E716">
        <v>5</v>
      </c>
      <c r="F716" s="8">
        <f>VLOOKUP(financials[[#This Row],[productid]],Products!$B$2:$H$10,3)</f>
        <v>5.9</v>
      </c>
      <c r="G716" s="8">
        <f>financials[[#This Row],[Units Sold]]*financials[[#This Row],[Sale Price]]</f>
        <v>29.5</v>
      </c>
      <c r="H716" s="8">
        <f>IF(financials[[#This Row],[Discount Band]]="low",0.1,IF(financials[[#This Row],[Discount Band]]="medium",0.15,0.3))</f>
        <v>0.15</v>
      </c>
      <c r="I716" s="8">
        <f>financials[[#This Row],[Gross Sales]]-financials[[#This Row],[Gross Sales]]*financials[[#This Row],[Discounts]]</f>
        <v>25.074999999999999</v>
      </c>
      <c r="J716" s="8">
        <f>VLOOKUP(financials[[#This Row],[productid]],Products!$B$2:$H$10,4)</f>
        <v>2.9</v>
      </c>
      <c r="K716" s="8">
        <f>financials[[#This Row],[Net Sales]]-financials[[#This Row],[COGS]]</f>
        <v>22.175000000000001</v>
      </c>
      <c r="L716" s="15">
        <v>45102</v>
      </c>
      <c r="M716" t="s">
        <v>696</v>
      </c>
    </row>
    <row r="717" spans="1:13" x14ac:dyDescent="0.25">
      <c r="A717" t="s">
        <v>89</v>
      </c>
      <c r="B717" s="6" t="s">
        <v>125</v>
      </c>
      <c r="C717" s="13">
        <v>107</v>
      </c>
      <c r="D717" s="14" t="s">
        <v>83</v>
      </c>
      <c r="E717">
        <v>13</v>
      </c>
      <c r="F717" s="8">
        <f>VLOOKUP(financials[[#This Row],[productid]],Products!$B$2:$H$10,3)</f>
        <v>15</v>
      </c>
      <c r="G717" s="8">
        <f>financials[[#This Row],[Units Sold]]*financials[[#This Row],[Sale Price]]</f>
        <v>195</v>
      </c>
      <c r="H717" s="8">
        <f>IF(financials[[#This Row],[Discount Band]]="low",0.1,IF(financials[[#This Row],[Discount Band]]="medium",0.15,0.3))</f>
        <v>0.3</v>
      </c>
      <c r="I717" s="8">
        <f>financials[[#This Row],[Gross Sales]]-financials[[#This Row],[Gross Sales]]*financials[[#This Row],[Discounts]]</f>
        <v>136.5</v>
      </c>
      <c r="J717" s="8">
        <f>VLOOKUP(financials[[#This Row],[productid]],Products!$B$2:$H$10,4)</f>
        <v>5.5</v>
      </c>
      <c r="K717" s="8">
        <f>financials[[#This Row],[Net Sales]]-financials[[#This Row],[COGS]]</f>
        <v>131</v>
      </c>
      <c r="L717" s="15">
        <v>44088</v>
      </c>
      <c r="M717" t="s">
        <v>697</v>
      </c>
    </row>
    <row r="718" spans="1:13" x14ac:dyDescent="0.25">
      <c r="A718" t="s">
        <v>86</v>
      </c>
      <c r="B718" s="6" t="s">
        <v>268</v>
      </c>
      <c r="C718" s="13">
        <v>105</v>
      </c>
      <c r="D718" s="14" t="s">
        <v>90</v>
      </c>
      <c r="E718">
        <v>20</v>
      </c>
      <c r="F718" s="8">
        <f>VLOOKUP(financials[[#This Row],[productid]],Products!$B$2:$H$10,3)</f>
        <v>15</v>
      </c>
      <c r="G718" s="8">
        <f>financials[[#This Row],[Units Sold]]*financials[[#This Row],[Sale Price]]</f>
        <v>300</v>
      </c>
      <c r="H718" s="8">
        <f>IF(financials[[#This Row],[Discount Band]]="low",0.1,IF(financials[[#This Row],[Discount Band]]="medium",0.15,0.3))</f>
        <v>0.15</v>
      </c>
      <c r="I718" s="8">
        <f>financials[[#This Row],[Gross Sales]]-financials[[#This Row],[Gross Sales]]*financials[[#This Row],[Discounts]]</f>
        <v>255</v>
      </c>
      <c r="J718" s="8">
        <f>VLOOKUP(financials[[#This Row],[productid]],Products!$B$2:$H$10,4)</f>
        <v>10</v>
      </c>
      <c r="K718" s="8">
        <f>financials[[#This Row],[Net Sales]]-financials[[#This Row],[COGS]]</f>
        <v>245</v>
      </c>
      <c r="L718" s="15">
        <v>44528</v>
      </c>
      <c r="M718" t="s">
        <v>700</v>
      </c>
    </row>
    <row r="719" spans="1:13" x14ac:dyDescent="0.25">
      <c r="A719" t="s">
        <v>89</v>
      </c>
      <c r="B719" s="6" t="s">
        <v>645</v>
      </c>
      <c r="C719" s="13">
        <v>108</v>
      </c>
      <c r="D719" s="14" t="s">
        <v>91</v>
      </c>
      <c r="E719">
        <v>5</v>
      </c>
      <c r="F719" s="8">
        <f>VLOOKUP(financials[[#This Row],[productid]],Products!$B$2:$H$10,3)</f>
        <v>5.5</v>
      </c>
      <c r="G719" s="8">
        <f>financials[[#This Row],[Units Sold]]*financials[[#This Row],[Sale Price]]</f>
        <v>27.5</v>
      </c>
      <c r="H719" s="8">
        <f>IF(financials[[#This Row],[Discount Band]]="low",0.1,IF(financials[[#This Row],[Discount Band]]="medium",0.15,0.3))</f>
        <v>0.1</v>
      </c>
      <c r="I719" s="8">
        <f>financials[[#This Row],[Gross Sales]]-financials[[#This Row],[Gross Sales]]*financials[[#This Row],[Discounts]]</f>
        <v>24.75</v>
      </c>
      <c r="J719" s="8">
        <f>VLOOKUP(financials[[#This Row],[productid]],Products!$B$2:$H$10,4)</f>
        <v>3.99</v>
      </c>
      <c r="K719" s="8">
        <f>financials[[#This Row],[Net Sales]]-financials[[#This Row],[COGS]]</f>
        <v>20.759999999999998</v>
      </c>
      <c r="L719" s="15">
        <v>44216</v>
      </c>
      <c r="M719" t="s">
        <v>691</v>
      </c>
    </row>
    <row r="720" spans="1:13" x14ac:dyDescent="0.25">
      <c r="A720" t="s">
        <v>85</v>
      </c>
      <c r="B720" s="6" t="s">
        <v>228</v>
      </c>
      <c r="C720" s="13">
        <v>108</v>
      </c>
      <c r="D720" s="14" t="s">
        <v>83</v>
      </c>
      <c r="E720">
        <v>6</v>
      </c>
      <c r="F720" s="8">
        <f>VLOOKUP(financials[[#This Row],[productid]],Products!$B$2:$H$10,3)</f>
        <v>5.5</v>
      </c>
      <c r="G720" s="8">
        <f>financials[[#This Row],[Units Sold]]*financials[[#This Row],[Sale Price]]</f>
        <v>33</v>
      </c>
      <c r="H720" s="8">
        <f>IF(financials[[#This Row],[Discount Band]]="low",0.1,IF(financials[[#This Row],[Discount Band]]="medium",0.15,0.3))</f>
        <v>0.3</v>
      </c>
      <c r="I720" s="8">
        <f>financials[[#This Row],[Gross Sales]]-financials[[#This Row],[Gross Sales]]*financials[[#This Row],[Discounts]]</f>
        <v>23.1</v>
      </c>
      <c r="J720" s="8">
        <f>VLOOKUP(financials[[#This Row],[productid]],Products!$B$2:$H$10,4)</f>
        <v>3.99</v>
      </c>
      <c r="K720" s="8">
        <f>financials[[#This Row],[Net Sales]]-financials[[#This Row],[COGS]]</f>
        <v>19.11</v>
      </c>
      <c r="L720" s="15">
        <v>44923</v>
      </c>
      <c r="M720" t="s">
        <v>700</v>
      </c>
    </row>
    <row r="721" spans="1:13" x14ac:dyDescent="0.25">
      <c r="A721" t="s">
        <v>86</v>
      </c>
      <c r="B721" s="6" t="s">
        <v>545</v>
      </c>
      <c r="C721" s="13">
        <v>103</v>
      </c>
      <c r="D721" s="14" t="s">
        <v>90</v>
      </c>
      <c r="E721">
        <v>9</v>
      </c>
      <c r="F721" s="8">
        <f>VLOOKUP(financials[[#This Row],[productid]],Products!$B$2:$H$10,3)</f>
        <v>28</v>
      </c>
      <c r="G721" s="8">
        <f>financials[[#This Row],[Units Sold]]*financials[[#This Row],[Sale Price]]</f>
        <v>252</v>
      </c>
      <c r="H721" s="8">
        <f>IF(financials[[#This Row],[Discount Band]]="low",0.1,IF(financials[[#This Row],[Discount Band]]="medium",0.15,0.3))</f>
        <v>0.15</v>
      </c>
      <c r="I721" s="8">
        <f>financials[[#This Row],[Gross Sales]]-financials[[#This Row],[Gross Sales]]*financials[[#This Row],[Discounts]]</f>
        <v>214.2</v>
      </c>
      <c r="J721" s="8">
        <f>VLOOKUP(financials[[#This Row],[productid]],Products!$B$2:$H$10,4)</f>
        <v>15</v>
      </c>
      <c r="K721" s="8">
        <f>financials[[#This Row],[Net Sales]]-financials[[#This Row],[COGS]]</f>
        <v>199.2</v>
      </c>
      <c r="L721" s="15">
        <v>45319</v>
      </c>
      <c r="M721" t="s">
        <v>697</v>
      </c>
    </row>
    <row r="722" spans="1:13" x14ac:dyDescent="0.25">
      <c r="A722" t="s">
        <v>85</v>
      </c>
      <c r="B722" s="6" t="s">
        <v>96</v>
      </c>
      <c r="C722" s="11">
        <v>104</v>
      </c>
      <c r="D722" s="9" t="s">
        <v>91</v>
      </c>
      <c r="E722">
        <v>11</v>
      </c>
      <c r="F722" s="8">
        <f>VLOOKUP(financials[[#This Row],[productid]],Products!$B$2:$H$10,3)</f>
        <v>5.9</v>
      </c>
      <c r="G722" s="8">
        <f>financials[[#This Row],[Units Sold]]*financials[[#This Row],[Sale Price]]</f>
        <v>64.900000000000006</v>
      </c>
      <c r="H722" s="8">
        <f>IF(financials[[#This Row],[Discount Band]]="low",0.1,IF(financials[[#This Row],[Discount Band]]="medium",0.15,0.3))</f>
        <v>0.1</v>
      </c>
      <c r="I722" s="8">
        <f>financials[[#This Row],[Gross Sales]]-financials[[#This Row],[Gross Sales]]*financials[[#This Row],[Discounts]]</f>
        <v>58.410000000000004</v>
      </c>
      <c r="J722" s="8">
        <f>VLOOKUP(financials[[#This Row],[productid]],Products!$B$2:$H$10,4)</f>
        <v>2.9</v>
      </c>
      <c r="K722" s="8">
        <f>financials[[#This Row],[Net Sales]]-financials[[#This Row],[COGS]]</f>
        <v>55.510000000000005</v>
      </c>
      <c r="L722" s="15">
        <v>44246</v>
      </c>
      <c r="M722" t="s">
        <v>700</v>
      </c>
    </row>
    <row r="723" spans="1:13" x14ac:dyDescent="0.25">
      <c r="A723" t="s">
        <v>87</v>
      </c>
      <c r="B723" s="6" t="s">
        <v>644</v>
      </c>
      <c r="C723" s="13">
        <v>103</v>
      </c>
      <c r="D723" s="14" t="s">
        <v>91</v>
      </c>
      <c r="E723">
        <v>9</v>
      </c>
      <c r="F723" s="8">
        <f>VLOOKUP(financials[[#This Row],[productid]],Products!$B$2:$H$10,3)</f>
        <v>28</v>
      </c>
      <c r="G723" s="8">
        <f>financials[[#This Row],[Units Sold]]*financials[[#This Row],[Sale Price]]</f>
        <v>252</v>
      </c>
      <c r="H723" s="8">
        <f>IF(financials[[#This Row],[Discount Band]]="low",0.1,IF(financials[[#This Row],[Discount Band]]="medium",0.15,0.3))</f>
        <v>0.1</v>
      </c>
      <c r="I723" s="8">
        <f>financials[[#This Row],[Gross Sales]]-financials[[#This Row],[Gross Sales]]*financials[[#This Row],[Discounts]]</f>
        <v>226.8</v>
      </c>
      <c r="J723" s="8">
        <f>VLOOKUP(financials[[#This Row],[productid]],Products!$B$2:$H$10,4)</f>
        <v>15</v>
      </c>
      <c r="K723" s="8">
        <f>financials[[#This Row],[Net Sales]]-financials[[#This Row],[COGS]]</f>
        <v>211.8</v>
      </c>
      <c r="L723" s="15">
        <v>44702</v>
      </c>
      <c r="M723" t="s">
        <v>696</v>
      </c>
    </row>
    <row r="724" spans="1:13" x14ac:dyDescent="0.25">
      <c r="A724" t="s">
        <v>86</v>
      </c>
      <c r="B724" s="6" t="s">
        <v>205</v>
      </c>
      <c r="C724" s="11">
        <v>103</v>
      </c>
      <c r="D724" s="9" t="s">
        <v>92</v>
      </c>
      <c r="E724">
        <v>6</v>
      </c>
      <c r="F724" s="8">
        <f>VLOOKUP(financials[[#This Row],[productid]],Products!$B$2:$H$10,3)</f>
        <v>28</v>
      </c>
      <c r="G724" s="8">
        <f>financials[[#This Row],[Units Sold]]*financials[[#This Row],[Sale Price]]</f>
        <v>168</v>
      </c>
      <c r="H724" s="8">
        <f>IF(financials[[#This Row],[Discount Band]]="low",0.1,IF(financials[[#This Row],[Discount Band]]="medium",0.15,0.3))</f>
        <v>0.3</v>
      </c>
      <c r="I724" s="8">
        <f>financials[[#This Row],[Gross Sales]]-financials[[#This Row],[Gross Sales]]*financials[[#This Row],[Discounts]]</f>
        <v>117.6</v>
      </c>
      <c r="J724" s="8">
        <f>VLOOKUP(financials[[#This Row],[productid]],Products!$B$2:$H$10,4)</f>
        <v>15</v>
      </c>
      <c r="K724" s="8">
        <f>financials[[#This Row],[Net Sales]]-financials[[#This Row],[COGS]]</f>
        <v>102.6</v>
      </c>
      <c r="L724" s="15">
        <v>44593</v>
      </c>
      <c r="M724" t="s">
        <v>691</v>
      </c>
    </row>
    <row r="725" spans="1:13" x14ac:dyDescent="0.25">
      <c r="A725" t="s">
        <v>85</v>
      </c>
      <c r="B725" s="6" t="s">
        <v>158</v>
      </c>
      <c r="C725" s="13">
        <v>101</v>
      </c>
      <c r="D725" s="14" t="s">
        <v>83</v>
      </c>
      <c r="E725">
        <v>8</v>
      </c>
      <c r="F725" s="8">
        <f>VLOOKUP(financials[[#This Row],[productid]],Products!$B$2:$H$10,3)</f>
        <v>23</v>
      </c>
      <c r="G725" s="8">
        <f>financials[[#This Row],[Units Sold]]*financials[[#This Row],[Sale Price]]</f>
        <v>184</v>
      </c>
      <c r="H725" s="8">
        <f>IF(financials[[#This Row],[Discount Band]]="low",0.1,IF(financials[[#This Row],[Discount Band]]="medium",0.15,0.3))</f>
        <v>0.3</v>
      </c>
      <c r="I725" s="8">
        <f>financials[[#This Row],[Gross Sales]]-financials[[#This Row],[Gross Sales]]*financials[[#This Row],[Discounts]]</f>
        <v>128.80000000000001</v>
      </c>
      <c r="J725" s="8">
        <f>VLOOKUP(financials[[#This Row],[productid]],Products!$B$2:$H$10,4)</f>
        <v>9.9499999999999993</v>
      </c>
      <c r="K725" s="8">
        <f>financials[[#This Row],[Net Sales]]-financials[[#This Row],[COGS]]</f>
        <v>118.85000000000001</v>
      </c>
      <c r="L725" s="15">
        <v>45454</v>
      </c>
      <c r="M725" t="s">
        <v>696</v>
      </c>
    </row>
    <row r="726" spans="1:13" x14ac:dyDescent="0.25">
      <c r="A726" t="s">
        <v>85</v>
      </c>
      <c r="B726" s="6" t="s">
        <v>228</v>
      </c>
      <c r="C726" s="13">
        <v>108</v>
      </c>
      <c r="D726" s="14" t="s">
        <v>83</v>
      </c>
      <c r="E726">
        <v>11</v>
      </c>
      <c r="F726" s="8">
        <f>VLOOKUP(financials[[#This Row],[productid]],Products!$B$2:$H$10,3)</f>
        <v>5.5</v>
      </c>
      <c r="G726" s="8">
        <f>financials[[#This Row],[Units Sold]]*financials[[#This Row],[Sale Price]]</f>
        <v>60.5</v>
      </c>
      <c r="H726" s="8">
        <f>IF(financials[[#This Row],[Discount Band]]="low",0.1,IF(financials[[#This Row],[Discount Band]]="medium",0.15,0.3))</f>
        <v>0.3</v>
      </c>
      <c r="I726" s="8">
        <f>financials[[#This Row],[Gross Sales]]-financials[[#This Row],[Gross Sales]]*financials[[#This Row],[Discounts]]</f>
        <v>42.35</v>
      </c>
      <c r="J726" s="8">
        <f>VLOOKUP(financials[[#This Row],[productid]],Products!$B$2:$H$10,4)</f>
        <v>3.99</v>
      </c>
      <c r="K726" s="8">
        <f>financials[[#This Row],[Net Sales]]-financials[[#This Row],[COGS]]</f>
        <v>38.36</v>
      </c>
      <c r="L726" s="15">
        <v>45450</v>
      </c>
      <c r="M726" t="s">
        <v>691</v>
      </c>
    </row>
    <row r="727" spans="1:13" x14ac:dyDescent="0.25">
      <c r="A727" t="s">
        <v>86</v>
      </c>
      <c r="B727" s="6" t="s">
        <v>94</v>
      </c>
      <c r="C727" s="13">
        <v>103</v>
      </c>
      <c r="D727" s="14" t="s">
        <v>91</v>
      </c>
      <c r="E727">
        <v>11</v>
      </c>
      <c r="F727" s="8">
        <f>VLOOKUP(financials[[#This Row],[productid]],Products!$B$2:$H$10,3)</f>
        <v>28</v>
      </c>
      <c r="G727" s="8">
        <f>financials[[#This Row],[Units Sold]]*financials[[#This Row],[Sale Price]]</f>
        <v>308</v>
      </c>
      <c r="H727" s="8">
        <f>IF(financials[[#This Row],[Discount Band]]="low",0.1,IF(financials[[#This Row],[Discount Band]]="medium",0.15,0.3))</f>
        <v>0.1</v>
      </c>
      <c r="I727" s="8">
        <f>financials[[#This Row],[Gross Sales]]-financials[[#This Row],[Gross Sales]]*financials[[#This Row],[Discounts]]</f>
        <v>277.2</v>
      </c>
      <c r="J727" s="8">
        <f>VLOOKUP(financials[[#This Row],[productid]],Products!$B$2:$H$10,4)</f>
        <v>15</v>
      </c>
      <c r="K727" s="8">
        <f>financials[[#This Row],[Net Sales]]-financials[[#This Row],[COGS]]</f>
        <v>262.2</v>
      </c>
      <c r="L727" s="15">
        <v>44909</v>
      </c>
      <c r="M727" t="s">
        <v>700</v>
      </c>
    </row>
    <row r="728" spans="1:13" x14ac:dyDescent="0.25">
      <c r="A728" t="s">
        <v>86</v>
      </c>
      <c r="B728" s="6" t="s">
        <v>545</v>
      </c>
      <c r="C728" s="13">
        <v>107</v>
      </c>
      <c r="D728" s="14" t="s">
        <v>91</v>
      </c>
      <c r="E728">
        <v>14</v>
      </c>
      <c r="F728" s="8">
        <f>VLOOKUP(financials[[#This Row],[productid]],Products!$B$2:$H$10,3)</f>
        <v>15</v>
      </c>
      <c r="G728" s="8">
        <f>financials[[#This Row],[Units Sold]]*financials[[#This Row],[Sale Price]]</f>
        <v>210</v>
      </c>
      <c r="H728" s="8">
        <f>IF(financials[[#This Row],[Discount Band]]="low",0.1,IF(financials[[#This Row],[Discount Band]]="medium",0.15,0.3))</f>
        <v>0.1</v>
      </c>
      <c r="I728" s="8">
        <f>financials[[#This Row],[Gross Sales]]-financials[[#This Row],[Gross Sales]]*financials[[#This Row],[Discounts]]</f>
        <v>189</v>
      </c>
      <c r="J728" s="8">
        <f>VLOOKUP(financials[[#This Row],[productid]],Products!$B$2:$H$10,4)</f>
        <v>5.5</v>
      </c>
      <c r="K728" s="8">
        <f>financials[[#This Row],[Net Sales]]-financials[[#This Row],[COGS]]</f>
        <v>183.5</v>
      </c>
      <c r="L728" s="15">
        <v>45459</v>
      </c>
      <c r="M728" t="s">
        <v>696</v>
      </c>
    </row>
    <row r="729" spans="1:13" x14ac:dyDescent="0.25">
      <c r="A729" t="s">
        <v>85</v>
      </c>
      <c r="B729" s="6" t="s">
        <v>167</v>
      </c>
      <c r="C729" s="13">
        <v>106</v>
      </c>
      <c r="D729" s="14" t="s">
        <v>90</v>
      </c>
      <c r="E729">
        <v>8</v>
      </c>
      <c r="F729" s="8">
        <f>VLOOKUP(financials[[#This Row],[productid]],Products!$B$2:$H$10,3)</f>
        <v>25</v>
      </c>
      <c r="G729" s="8">
        <f>financials[[#This Row],[Units Sold]]*financials[[#This Row],[Sale Price]]</f>
        <v>200</v>
      </c>
      <c r="H729" s="8">
        <f>IF(financials[[#This Row],[Discount Band]]="low",0.1,IF(financials[[#This Row],[Discount Band]]="medium",0.15,0.3))</f>
        <v>0.15</v>
      </c>
      <c r="I729" s="8">
        <f>financials[[#This Row],[Gross Sales]]-financials[[#This Row],[Gross Sales]]*financials[[#This Row],[Discounts]]</f>
        <v>170</v>
      </c>
      <c r="J729" s="8">
        <f>VLOOKUP(financials[[#This Row],[productid]],Products!$B$2:$H$10,4)</f>
        <v>9.1</v>
      </c>
      <c r="K729" s="8">
        <f>financials[[#This Row],[Net Sales]]-financials[[#This Row],[COGS]]</f>
        <v>160.9</v>
      </c>
      <c r="L729" s="15">
        <v>44467</v>
      </c>
      <c r="M729" t="s">
        <v>700</v>
      </c>
    </row>
    <row r="730" spans="1:13" x14ac:dyDescent="0.25">
      <c r="A730" t="s">
        <v>85</v>
      </c>
      <c r="B730" s="6" t="s">
        <v>96</v>
      </c>
      <c r="C730" s="13">
        <v>104</v>
      </c>
      <c r="D730" s="14" t="s">
        <v>91</v>
      </c>
      <c r="E730">
        <v>6</v>
      </c>
      <c r="F730" s="8">
        <f>VLOOKUP(financials[[#This Row],[productid]],Products!$B$2:$H$10,3)</f>
        <v>5.9</v>
      </c>
      <c r="G730" s="8">
        <f>financials[[#This Row],[Units Sold]]*financials[[#This Row],[Sale Price]]</f>
        <v>35.400000000000006</v>
      </c>
      <c r="H730" s="8">
        <f>IF(financials[[#This Row],[Discount Band]]="low",0.1,IF(financials[[#This Row],[Discount Band]]="medium",0.15,0.3))</f>
        <v>0.1</v>
      </c>
      <c r="I730" s="8">
        <f>financials[[#This Row],[Gross Sales]]-financials[[#This Row],[Gross Sales]]*financials[[#This Row],[Discounts]]</f>
        <v>31.860000000000007</v>
      </c>
      <c r="J730" s="8">
        <f>VLOOKUP(financials[[#This Row],[productid]],Products!$B$2:$H$10,4)</f>
        <v>2.9</v>
      </c>
      <c r="K730" s="8">
        <f>financials[[#This Row],[Net Sales]]-financials[[#This Row],[COGS]]</f>
        <v>28.960000000000008</v>
      </c>
      <c r="L730" s="15">
        <v>44029</v>
      </c>
      <c r="M730" t="s">
        <v>696</v>
      </c>
    </row>
    <row r="731" spans="1:13" x14ac:dyDescent="0.25">
      <c r="A731" t="s">
        <v>85</v>
      </c>
      <c r="B731" s="6" t="s">
        <v>93</v>
      </c>
      <c r="C731" s="13">
        <v>109</v>
      </c>
      <c r="D731" s="14" t="s">
        <v>92</v>
      </c>
      <c r="E731">
        <v>14</v>
      </c>
      <c r="F731" s="8">
        <f>VLOOKUP(financials[[#This Row],[productid]],Products!$B$2:$H$10,3)</f>
        <v>36</v>
      </c>
      <c r="G731" s="8">
        <f>financials[[#This Row],[Units Sold]]*financials[[#This Row],[Sale Price]]</f>
        <v>504</v>
      </c>
      <c r="H731" s="8">
        <f>IF(financials[[#This Row],[Discount Band]]="low",0.1,IF(financials[[#This Row],[Discount Band]]="medium",0.15,0.3))</f>
        <v>0.3</v>
      </c>
      <c r="I731" s="8">
        <f>financials[[#This Row],[Gross Sales]]-financials[[#This Row],[Gross Sales]]*financials[[#This Row],[Discounts]]</f>
        <v>352.8</v>
      </c>
      <c r="J731" s="8">
        <f>VLOOKUP(financials[[#This Row],[productid]],Products!$B$2:$H$10,4)</f>
        <v>16.8</v>
      </c>
      <c r="K731" s="8">
        <f>financials[[#This Row],[Net Sales]]-financials[[#This Row],[COGS]]</f>
        <v>336</v>
      </c>
      <c r="L731" s="15">
        <v>45210</v>
      </c>
      <c r="M731" t="s">
        <v>700</v>
      </c>
    </row>
    <row r="732" spans="1:13" x14ac:dyDescent="0.25">
      <c r="A732" t="s">
        <v>85</v>
      </c>
      <c r="B732" s="6" t="s">
        <v>617</v>
      </c>
      <c r="C732" s="13">
        <v>101</v>
      </c>
      <c r="D732" s="14" t="s">
        <v>91</v>
      </c>
      <c r="E732">
        <v>15</v>
      </c>
      <c r="F732" s="8">
        <f>VLOOKUP(financials[[#This Row],[productid]],Products!$B$2:$H$10,3)</f>
        <v>23</v>
      </c>
      <c r="G732" s="8">
        <f>financials[[#This Row],[Units Sold]]*financials[[#This Row],[Sale Price]]</f>
        <v>345</v>
      </c>
      <c r="H732" s="8">
        <f>IF(financials[[#This Row],[Discount Band]]="low",0.1,IF(financials[[#This Row],[Discount Band]]="medium",0.15,0.3))</f>
        <v>0.1</v>
      </c>
      <c r="I732" s="8">
        <f>financials[[#This Row],[Gross Sales]]-financials[[#This Row],[Gross Sales]]*financials[[#This Row],[Discounts]]</f>
        <v>310.5</v>
      </c>
      <c r="J732" s="8">
        <f>VLOOKUP(financials[[#This Row],[productid]],Products!$B$2:$H$10,4)</f>
        <v>9.9499999999999993</v>
      </c>
      <c r="K732" s="8">
        <f>financials[[#This Row],[Net Sales]]-financials[[#This Row],[COGS]]</f>
        <v>300.55</v>
      </c>
      <c r="L732" s="15">
        <v>44854</v>
      </c>
      <c r="M732" t="s">
        <v>696</v>
      </c>
    </row>
    <row r="733" spans="1:13" x14ac:dyDescent="0.25">
      <c r="A733" t="s">
        <v>85</v>
      </c>
      <c r="B733" s="6" t="s">
        <v>232</v>
      </c>
      <c r="C733" s="13">
        <v>106</v>
      </c>
      <c r="D733" s="14" t="s">
        <v>91</v>
      </c>
      <c r="E733">
        <v>6</v>
      </c>
      <c r="F733" s="8">
        <f>VLOOKUP(financials[[#This Row],[productid]],Products!$B$2:$H$10,3)</f>
        <v>25</v>
      </c>
      <c r="G733" s="8">
        <f>financials[[#This Row],[Units Sold]]*financials[[#This Row],[Sale Price]]</f>
        <v>150</v>
      </c>
      <c r="H733" s="8">
        <f>IF(financials[[#This Row],[Discount Band]]="low",0.1,IF(financials[[#This Row],[Discount Band]]="medium",0.15,0.3))</f>
        <v>0.1</v>
      </c>
      <c r="I733" s="8">
        <f>financials[[#This Row],[Gross Sales]]-financials[[#This Row],[Gross Sales]]*financials[[#This Row],[Discounts]]</f>
        <v>135</v>
      </c>
      <c r="J733" s="8">
        <f>VLOOKUP(financials[[#This Row],[productid]],Products!$B$2:$H$10,4)</f>
        <v>9.1</v>
      </c>
      <c r="K733" s="8">
        <f>financials[[#This Row],[Net Sales]]-financials[[#This Row],[COGS]]</f>
        <v>125.9</v>
      </c>
      <c r="L733" s="15">
        <v>44532</v>
      </c>
      <c r="M733" t="s">
        <v>696</v>
      </c>
    </row>
    <row r="734" spans="1:13" x14ac:dyDescent="0.25">
      <c r="A734" t="s">
        <v>89</v>
      </c>
      <c r="B734" s="6" t="s">
        <v>125</v>
      </c>
      <c r="C734" s="13">
        <v>109</v>
      </c>
      <c r="D734" s="14" t="s">
        <v>90</v>
      </c>
      <c r="E734">
        <v>10</v>
      </c>
      <c r="F734" s="8">
        <f>VLOOKUP(financials[[#This Row],[productid]],Products!$B$2:$H$10,3)</f>
        <v>36</v>
      </c>
      <c r="G734" s="8">
        <f>financials[[#This Row],[Units Sold]]*financials[[#This Row],[Sale Price]]</f>
        <v>360</v>
      </c>
      <c r="H734" s="8">
        <f>IF(financials[[#This Row],[Discount Band]]="low",0.1,IF(financials[[#This Row],[Discount Band]]="medium",0.15,0.3))</f>
        <v>0.15</v>
      </c>
      <c r="I734" s="8">
        <f>financials[[#This Row],[Gross Sales]]-financials[[#This Row],[Gross Sales]]*financials[[#This Row],[Discounts]]</f>
        <v>306</v>
      </c>
      <c r="J734" s="8">
        <f>VLOOKUP(financials[[#This Row],[productid]],Products!$B$2:$H$10,4)</f>
        <v>16.8</v>
      </c>
      <c r="K734" s="8">
        <f>financials[[#This Row],[Net Sales]]-financials[[#This Row],[COGS]]</f>
        <v>289.2</v>
      </c>
      <c r="L734" s="15">
        <v>44288</v>
      </c>
      <c r="M734" t="s">
        <v>691</v>
      </c>
    </row>
    <row r="735" spans="1:13" x14ac:dyDescent="0.25">
      <c r="A735" t="s">
        <v>85</v>
      </c>
      <c r="B735" s="6" t="s">
        <v>125</v>
      </c>
      <c r="C735" s="13">
        <v>102</v>
      </c>
      <c r="D735" s="14" t="s">
        <v>91</v>
      </c>
      <c r="E735">
        <v>13</v>
      </c>
      <c r="F735" s="8">
        <f>VLOOKUP(financials[[#This Row],[productid]],Products!$B$2:$H$10,3)</f>
        <v>15</v>
      </c>
      <c r="G735" s="8">
        <f>financials[[#This Row],[Units Sold]]*financials[[#This Row],[Sale Price]]</f>
        <v>195</v>
      </c>
      <c r="H735" s="8">
        <f>IF(financials[[#This Row],[Discount Band]]="low",0.1,IF(financials[[#This Row],[Discount Band]]="medium",0.15,0.3))</f>
        <v>0.1</v>
      </c>
      <c r="I735" s="8">
        <f>financials[[#This Row],[Gross Sales]]-financials[[#This Row],[Gross Sales]]*financials[[#This Row],[Discounts]]</f>
        <v>175.5</v>
      </c>
      <c r="J735" s="8">
        <f>VLOOKUP(financials[[#This Row],[productid]],Products!$B$2:$H$10,4)</f>
        <v>13.95</v>
      </c>
      <c r="K735" s="8">
        <f>financials[[#This Row],[Net Sales]]-financials[[#This Row],[COGS]]</f>
        <v>161.55000000000001</v>
      </c>
      <c r="L735" s="15">
        <v>45506</v>
      </c>
      <c r="M735" t="s">
        <v>697</v>
      </c>
    </row>
    <row r="736" spans="1:13" x14ac:dyDescent="0.25">
      <c r="A736" t="s">
        <v>86</v>
      </c>
      <c r="B736" s="6" t="s">
        <v>273</v>
      </c>
      <c r="C736" s="13">
        <v>102</v>
      </c>
      <c r="D736" s="14" t="s">
        <v>92</v>
      </c>
      <c r="E736">
        <v>12</v>
      </c>
      <c r="F736" s="8">
        <f>VLOOKUP(financials[[#This Row],[productid]],Products!$B$2:$H$10,3)</f>
        <v>15</v>
      </c>
      <c r="G736" s="8">
        <f>financials[[#This Row],[Units Sold]]*financials[[#This Row],[Sale Price]]</f>
        <v>180</v>
      </c>
      <c r="H736" s="8">
        <f>IF(financials[[#This Row],[Discount Band]]="low",0.1,IF(financials[[#This Row],[Discount Band]]="medium",0.15,0.3))</f>
        <v>0.3</v>
      </c>
      <c r="I736" s="8">
        <f>financials[[#This Row],[Gross Sales]]-financials[[#This Row],[Gross Sales]]*financials[[#This Row],[Discounts]]</f>
        <v>126</v>
      </c>
      <c r="J736" s="8">
        <f>VLOOKUP(financials[[#This Row],[productid]],Products!$B$2:$H$10,4)</f>
        <v>13.95</v>
      </c>
      <c r="K736" s="8">
        <f>financials[[#This Row],[Net Sales]]-financials[[#This Row],[COGS]]</f>
        <v>112.05</v>
      </c>
      <c r="L736" s="15">
        <v>44646</v>
      </c>
      <c r="M736" t="s">
        <v>697</v>
      </c>
    </row>
    <row r="737" spans="1:13" x14ac:dyDescent="0.25">
      <c r="A737" t="s">
        <v>85</v>
      </c>
      <c r="B737" s="6" t="s">
        <v>240</v>
      </c>
      <c r="C737" s="13">
        <v>102</v>
      </c>
      <c r="D737" s="14" t="s">
        <v>91</v>
      </c>
      <c r="E737">
        <v>8</v>
      </c>
      <c r="F737" s="8">
        <f>VLOOKUP(financials[[#This Row],[productid]],Products!$B$2:$H$10,3)</f>
        <v>15</v>
      </c>
      <c r="G737" s="8">
        <f>financials[[#This Row],[Units Sold]]*financials[[#This Row],[Sale Price]]</f>
        <v>120</v>
      </c>
      <c r="H737" s="8">
        <f>IF(financials[[#This Row],[Discount Band]]="low",0.1,IF(financials[[#This Row],[Discount Band]]="medium",0.15,0.3))</f>
        <v>0.1</v>
      </c>
      <c r="I737" s="8">
        <f>financials[[#This Row],[Gross Sales]]-financials[[#This Row],[Gross Sales]]*financials[[#This Row],[Discounts]]</f>
        <v>108</v>
      </c>
      <c r="J737" s="8">
        <f>VLOOKUP(financials[[#This Row],[productid]],Products!$B$2:$H$10,4)</f>
        <v>13.95</v>
      </c>
      <c r="K737" s="8">
        <f>financials[[#This Row],[Net Sales]]-financials[[#This Row],[COGS]]</f>
        <v>94.05</v>
      </c>
      <c r="L737" s="15">
        <v>44045</v>
      </c>
      <c r="M737" t="s">
        <v>697</v>
      </c>
    </row>
    <row r="738" spans="1:13" x14ac:dyDescent="0.25">
      <c r="A738" t="s">
        <v>85</v>
      </c>
      <c r="B738" s="6" t="s">
        <v>232</v>
      </c>
      <c r="C738" s="13">
        <v>103</v>
      </c>
      <c r="D738" s="14" t="s">
        <v>91</v>
      </c>
      <c r="E738">
        <v>13</v>
      </c>
      <c r="F738" s="8">
        <f>VLOOKUP(financials[[#This Row],[productid]],Products!$B$2:$H$10,3)</f>
        <v>28</v>
      </c>
      <c r="G738" s="8">
        <f>financials[[#This Row],[Units Sold]]*financials[[#This Row],[Sale Price]]</f>
        <v>364</v>
      </c>
      <c r="H738" s="8">
        <f>IF(financials[[#This Row],[Discount Band]]="low",0.1,IF(financials[[#This Row],[Discount Band]]="medium",0.15,0.3))</f>
        <v>0.1</v>
      </c>
      <c r="I738" s="8">
        <f>financials[[#This Row],[Gross Sales]]-financials[[#This Row],[Gross Sales]]*financials[[#This Row],[Discounts]]</f>
        <v>327.60000000000002</v>
      </c>
      <c r="J738" s="8">
        <f>VLOOKUP(financials[[#This Row],[productid]],Products!$B$2:$H$10,4)</f>
        <v>15</v>
      </c>
      <c r="K738" s="8">
        <f>financials[[#This Row],[Net Sales]]-financials[[#This Row],[COGS]]</f>
        <v>312.60000000000002</v>
      </c>
      <c r="L738" s="15">
        <v>45000</v>
      </c>
      <c r="M738" t="s">
        <v>690</v>
      </c>
    </row>
    <row r="739" spans="1:13" x14ac:dyDescent="0.25">
      <c r="A739" t="s">
        <v>85</v>
      </c>
      <c r="B739" s="6" t="s">
        <v>645</v>
      </c>
      <c r="C739" s="13">
        <v>102</v>
      </c>
      <c r="D739" s="14" t="s">
        <v>90</v>
      </c>
      <c r="E739">
        <v>16</v>
      </c>
      <c r="F739" s="8">
        <f>VLOOKUP(financials[[#This Row],[productid]],Products!$B$2:$H$10,3)</f>
        <v>15</v>
      </c>
      <c r="G739" s="8">
        <f>financials[[#This Row],[Units Sold]]*financials[[#This Row],[Sale Price]]</f>
        <v>240</v>
      </c>
      <c r="H739" s="8">
        <f>IF(financials[[#This Row],[Discount Band]]="low",0.1,IF(financials[[#This Row],[Discount Band]]="medium",0.15,0.3))</f>
        <v>0.15</v>
      </c>
      <c r="I739" s="8">
        <f>financials[[#This Row],[Gross Sales]]-financials[[#This Row],[Gross Sales]]*financials[[#This Row],[Discounts]]</f>
        <v>204</v>
      </c>
      <c r="J739" s="8">
        <f>VLOOKUP(financials[[#This Row],[productid]],Products!$B$2:$H$10,4)</f>
        <v>13.95</v>
      </c>
      <c r="K739" s="8">
        <f>financials[[#This Row],[Net Sales]]-financials[[#This Row],[COGS]]</f>
        <v>190.05</v>
      </c>
      <c r="L739" s="15">
        <v>44573</v>
      </c>
      <c r="M739" t="s">
        <v>696</v>
      </c>
    </row>
    <row r="740" spans="1:13" x14ac:dyDescent="0.25">
      <c r="A740" t="s">
        <v>85</v>
      </c>
      <c r="B740" s="6" t="s">
        <v>287</v>
      </c>
      <c r="C740" s="13">
        <v>102</v>
      </c>
      <c r="D740" s="14" t="s">
        <v>90</v>
      </c>
      <c r="E740">
        <v>13</v>
      </c>
      <c r="F740" s="8">
        <f>VLOOKUP(financials[[#This Row],[productid]],Products!$B$2:$H$10,3)</f>
        <v>15</v>
      </c>
      <c r="G740" s="8">
        <f>financials[[#This Row],[Units Sold]]*financials[[#This Row],[Sale Price]]</f>
        <v>195</v>
      </c>
      <c r="H740" s="8">
        <f>IF(financials[[#This Row],[Discount Band]]="low",0.1,IF(financials[[#This Row],[Discount Band]]="medium",0.15,0.3))</f>
        <v>0.15</v>
      </c>
      <c r="I740" s="8">
        <f>financials[[#This Row],[Gross Sales]]-financials[[#This Row],[Gross Sales]]*financials[[#This Row],[Discounts]]</f>
        <v>165.75</v>
      </c>
      <c r="J740" s="8">
        <f>VLOOKUP(financials[[#This Row],[productid]],Products!$B$2:$H$10,4)</f>
        <v>13.95</v>
      </c>
      <c r="K740" s="8">
        <f>financials[[#This Row],[Net Sales]]-financials[[#This Row],[COGS]]</f>
        <v>151.80000000000001</v>
      </c>
      <c r="L740" s="15">
        <v>44862</v>
      </c>
      <c r="M740" t="s">
        <v>691</v>
      </c>
    </row>
    <row r="741" spans="1:13" x14ac:dyDescent="0.25">
      <c r="A741" t="s">
        <v>86</v>
      </c>
      <c r="B741" s="6" t="s">
        <v>158</v>
      </c>
      <c r="C741" s="13">
        <v>106</v>
      </c>
      <c r="D741" s="14" t="s">
        <v>83</v>
      </c>
      <c r="E741">
        <v>6</v>
      </c>
      <c r="F741" s="8">
        <f>VLOOKUP(financials[[#This Row],[productid]],Products!$B$2:$H$10,3)</f>
        <v>25</v>
      </c>
      <c r="G741" s="8">
        <f>financials[[#This Row],[Units Sold]]*financials[[#This Row],[Sale Price]]</f>
        <v>150</v>
      </c>
      <c r="H741" s="8">
        <f>IF(financials[[#This Row],[Discount Band]]="low",0.1,IF(financials[[#This Row],[Discount Band]]="medium",0.15,0.3))</f>
        <v>0.3</v>
      </c>
      <c r="I741" s="8">
        <f>financials[[#This Row],[Gross Sales]]-financials[[#This Row],[Gross Sales]]*financials[[#This Row],[Discounts]]</f>
        <v>105</v>
      </c>
      <c r="J741" s="8">
        <f>VLOOKUP(financials[[#This Row],[productid]],Products!$B$2:$H$10,4)</f>
        <v>9.1</v>
      </c>
      <c r="K741" s="8">
        <f>financials[[#This Row],[Net Sales]]-financials[[#This Row],[COGS]]</f>
        <v>95.9</v>
      </c>
      <c r="L741" s="15">
        <v>44538</v>
      </c>
      <c r="M741" t="s">
        <v>697</v>
      </c>
    </row>
    <row r="742" spans="1:13" x14ac:dyDescent="0.25">
      <c r="A742" t="s">
        <v>89</v>
      </c>
      <c r="B742" s="6" t="s">
        <v>274</v>
      </c>
      <c r="C742" s="13">
        <v>106</v>
      </c>
      <c r="D742" s="14" t="s">
        <v>83</v>
      </c>
      <c r="E742">
        <v>14</v>
      </c>
      <c r="F742" s="8">
        <f>VLOOKUP(financials[[#This Row],[productid]],Products!$B$2:$H$10,3)</f>
        <v>25</v>
      </c>
      <c r="G742" s="8">
        <f>financials[[#This Row],[Units Sold]]*financials[[#This Row],[Sale Price]]</f>
        <v>350</v>
      </c>
      <c r="H742" s="8">
        <f>IF(financials[[#This Row],[Discount Band]]="low",0.1,IF(financials[[#This Row],[Discount Band]]="medium",0.15,0.3))</f>
        <v>0.3</v>
      </c>
      <c r="I742" s="8">
        <f>financials[[#This Row],[Gross Sales]]-financials[[#This Row],[Gross Sales]]*financials[[#This Row],[Discounts]]</f>
        <v>245</v>
      </c>
      <c r="J742" s="8">
        <f>VLOOKUP(financials[[#This Row],[productid]],Products!$B$2:$H$10,4)</f>
        <v>9.1</v>
      </c>
      <c r="K742" s="8">
        <f>financials[[#This Row],[Net Sales]]-financials[[#This Row],[COGS]]</f>
        <v>235.9</v>
      </c>
      <c r="L742" s="15">
        <v>45005</v>
      </c>
      <c r="M742" t="s">
        <v>696</v>
      </c>
    </row>
    <row r="743" spans="1:13" x14ac:dyDescent="0.25">
      <c r="A743" t="s">
        <v>89</v>
      </c>
      <c r="B743" s="6" t="s">
        <v>148</v>
      </c>
      <c r="C743" s="13">
        <v>104</v>
      </c>
      <c r="D743" s="14" t="s">
        <v>91</v>
      </c>
      <c r="E743">
        <v>10</v>
      </c>
      <c r="F743" s="8">
        <f>VLOOKUP(financials[[#This Row],[productid]],Products!$B$2:$H$10,3)</f>
        <v>5.9</v>
      </c>
      <c r="G743" s="8">
        <f>financials[[#This Row],[Units Sold]]*financials[[#This Row],[Sale Price]]</f>
        <v>59</v>
      </c>
      <c r="H743" s="8">
        <f>IF(financials[[#This Row],[Discount Band]]="low",0.1,IF(financials[[#This Row],[Discount Band]]="medium",0.15,0.3))</f>
        <v>0.1</v>
      </c>
      <c r="I743" s="8">
        <f>financials[[#This Row],[Gross Sales]]-financials[[#This Row],[Gross Sales]]*financials[[#This Row],[Discounts]]</f>
        <v>53.1</v>
      </c>
      <c r="J743" s="8">
        <f>VLOOKUP(financials[[#This Row],[productid]],Products!$B$2:$H$10,4)</f>
        <v>2.9</v>
      </c>
      <c r="K743" s="8">
        <f>financials[[#This Row],[Net Sales]]-financials[[#This Row],[COGS]]</f>
        <v>50.2</v>
      </c>
      <c r="L743" s="15">
        <v>45421</v>
      </c>
      <c r="M743" t="s">
        <v>690</v>
      </c>
    </row>
    <row r="744" spans="1:13" x14ac:dyDescent="0.25">
      <c r="A744" t="s">
        <v>85</v>
      </c>
      <c r="B744" s="6" t="s">
        <v>158</v>
      </c>
      <c r="C744" s="11">
        <v>102</v>
      </c>
      <c r="D744" s="9" t="s">
        <v>90</v>
      </c>
      <c r="E744">
        <v>17</v>
      </c>
      <c r="F744" s="8">
        <f>VLOOKUP(financials[[#This Row],[productid]],Products!$B$2:$H$10,3)</f>
        <v>15</v>
      </c>
      <c r="G744" s="8">
        <f>financials[[#This Row],[Units Sold]]*financials[[#This Row],[Sale Price]]</f>
        <v>255</v>
      </c>
      <c r="H744" s="8">
        <f>IF(financials[[#This Row],[Discount Band]]="low",0.1,IF(financials[[#This Row],[Discount Band]]="medium",0.15,0.3))</f>
        <v>0.15</v>
      </c>
      <c r="I744" s="8">
        <f>financials[[#This Row],[Gross Sales]]-financials[[#This Row],[Gross Sales]]*financials[[#This Row],[Discounts]]</f>
        <v>216.75</v>
      </c>
      <c r="J744" s="8">
        <f>VLOOKUP(financials[[#This Row],[productid]],Products!$B$2:$H$10,4)</f>
        <v>13.95</v>
      </c>
      <c r="K744" s="8">
        <f>financials[[#This Row],[Net Sales]]-financials[[#This Row],[COGS]]</f>
        <v>202.8</v>
      </c>
      <c r="L744" s="15">
        <v>44595</v>
      </c>
      <c r="M744" t="s">
        <v>691</v>
      </c>
    </row>
    <row r="745" spans="1:13" x14ac:dyDescent="0.25">
      <c r="A745" t="s">
        <v>85</v>
      </c>
      <c r="B745" s="6" t="s">
        <v>96</v>
      </c>
      <c r="C745" s="13">
        <v>108</v>
      </c>
      <c r="D745" s="14" t="s">
        <v>91</v>
      </c>
      <c r="E745">
        <v>19</v>
      </c>
      <c r="F745" s="8">
        <f>VLOOKUP(financials[[#This Row],[productid]],Products!$B$2:$H$10,3)</f>
        <v>5.5</v>
      </c>
      <c r="G745" s="8">
        <f>financials[[#This Row],[Units Sold]]*financials[[#This Row],[Sale Price]]</f>
        <v>104.5</v>
      </c>
      <c r="H745" s="8">
        <f>IF(financials[[#This Row],[Discount Band]]="low",0.1,IF(financials[[#This Row],[Discount Band]]="medium",0.15,0.3))</f>
        <v>0.1</v>
      </c>
      <c r="I745" s="8">
        <f>financials[[#This Row],[Gross Sales]]-financials[[#This Row],[Gross Sales]]*financials[[#This Row],[Discounts]]</f>
        <v>94.05</v>
      </c>
      <c r="J745" s="8">
        <f>VLOOKUP(financials[[#This Row],[productid]],Products!$B$2:$H$10,4)</f>
        <v>3.99</v>
      </c>
      <c r="K745" s="8">
        <f>financials[[#This Row],[Net Sales]]-financials[[#This Row],[COGS]]</f>
        <v>90.06</v>
      </c>
      <c r="L745" s="15">
        <v>45144</v>
      </c>
      <c r="M745" t="s">
        <v>691</v>
      </c>
    </row>
    <row r="746" spans="1:13" x14ac:dyDescent="0.25">
      <c r="A746" t="s">
        <v>85</v>
      </c>
      <c r="B746" s="6" t="s">
        <v>617</v>
      </c>
      <c r="C746" s="13">
        <v>106</v>
      </c>
      <c r="D746" s="14" t="s">
        <v>90</v>
      </c>
      <c r="E746">
        <v>19</v>
      </c>
      <c r="F746" s="8">
        <f>VLOOKUP(financials[[#This Row],[productid]],Products!$B$2:$H$10,3)</f>
        <v>25</v>
      </c>
      <c r="G746" s="8">
        <f>financials[[#This Row],[Units Sold]]*financials[[#This Row],[Sale Price]]</f>
        <v>475</v>
      </c>
      <c r="H746" s="8">
        <f>IF(financials[[#This Row],[Discount Band]]="low",0.1,IF(financials[[#This Row],[Discount Band]]="medium",0.15,0.3))</f>
        <v>0.15</v>
      </c>
      <c r="I746" s="8">
        <f>financials[[#This Row],[Gross Sales]]-financials[[#This Row],[Gross Sales]]*financials[[#This Row],[Discounts]]</f>
        <v>403.75</v>
      </c>
      <c r="J746" s="8">
        <f>VLOOKUP(financials[[#This Row],[productid]],Products!$B$2:$H$10,4)</f>
        <v>9.1</v>
      </c>
      <c r="K746" s="8">
        <f>financials[[#This Row],[Net Sales]]-financials[[#This Row],[COGS]]</f>
        <v>394.65</v>
      </c>
      <c r="L746" s="15">
        <v>44693</v>
      </c>
      <c r="M746" t="s">
        <v>697</v>
      </c>
    </row>
    <row r="747" spans="1:13" x14ac:dyDescent="0.25">
      <c r="A747" t="s">
        <v>85</v>
      </c>
      <c r="B747" s="6" t="s">
        <v>240</v>
      </c>
      <c r="C747" s="13">
        <v>103</v>
      </c>
      <c r="D747" s="14" t="s">
        <v>83</v>
      </c>
      <c r="E747">
        <v>5</v>
      </c>
      <c r="F747" s="8">
        <f>VLOOKUP(financials[[#This Row],[productid]],Products!$B$2:$H$10,3)</f>
        <v>28</v>
      </c>
      <c r="G747" s="8">
        <f>financials[[#This Row],[Units Sold]]*financials[[#This Row],[Sale Price]]</f>
        <v>140</v>
      </c>
      <c r="H747" s="8">
        <f>IF(financials[[#This Row],[Discount Band]]="low",0.1,IF(financials[[#This Row],[Discount Band]]="medium",0.15,0.3))</f>
        <v>0.3</v>
      </c>
      <c r="I747" s="8">
        <f>financials[[#This Row],[Gross Sales]]-financials[[#This Row],[Gross Sales]]*financials[[#This Row],[Discounts]]</f>
        <v>98</v>
      </c>
      <c r="J747" s="8">
        <f>VLOOKUP(financials[[#This Row],[productid]],Products!$B$2:$H$10,4)</f>
        <v>15</v>
      </c>
      <c r="K747" s="8">
        <f>financials[[#This Row],[Net Sales]]-financials[[#This Row],[COGS]]</f>
        <v>83</v>
      </c>
      <c r="L747" s="15">
        <v>44992</v>
      </c>
      <c r="M747" t="s">
        <v>696</v>
      </c>
    </row>
    <row r="748" spans="1:13" x14ac:dyDescent="0.25">
      <c r="A748" t="s">
        <v>89</v>
      </c>
      <c r="B748" s="6" t="s">
        <v>240</v>
      </c>
      <c r="C748" s="13">
        <v>103</v>
      </c>
      <c r="D748" s="14" t="s">
        <v>90</v>
      </c>
      <c r="E748">
        <v>16</v>
      </c>
      <c r="F748" s="8">
        <f>VLOOKUP(financials[[#This Row],[productid]],Products!$B$2:$H$10,3)</f>
        <v>28</v>
      </c>
      <c r="G748" s="8">
        <f>financials[[#This Row],[Units Sold]]*financials[[#This Row],[Sale Price]]</f>
        <v>448</v>
      </c>
      <c r="H748" s="8">
        <f>IF(financials[[#This Row],[Discount Band]]="low",0.1,IF(financials[[#This Row],[Discount Band]]="medium",0.15,0.3))</f>
        <v>0.15</v>
      </c>
      <c r="I748" s="8">
        <f>financials[[#This Row],[Gross Sales]]-financials[[#This Row],[Gross Sales]]*financials[[#This Row],[Discounts]]</f>
        <v>380.8</v>
      </c>
      <c r="J748" s="8">
        <f>VLOOKUP(financials[[#This Row],[productid]],Products!$B$2:$H$10,4)</f>
        <v>15</v>
      </c>
      <c r="K748" s="8">
        <f>financials[[#This Row],[Net Sales]]-financials[[#This Row],[COGS]]</f>
        <v>365.8</v>
      </c>
      <c r="L748" s="15">
        <v>44579</v>
      </c>
      <c r="M748" t="s">
        <v>700</v>
      </c>
    </row>
    <row r="749" spans="1:13" x14ac:dyDescent="0.25">
      <c r="A749" t="s">
        <v>85</v>
      </c>
      <c r="B749" s="6" t="s">
        <v>287</v>
      </c>
      <c r="C749" s="13">
        <v>103</v>
      </c>
      <c r="D749" s="14" t="s">
        <v>90</v>
      </c>
      <c r="E749">
        <v>19</v>
      </c>
      <c r="F749" s="8">
        <f>VLOOKUP(financials[[#This Row],[productid]],Products!$B$2:$H$10,3)</f>
        <v>28</v>
      </c>
      <c r="G749" s="8">
        <f>financials[[#This Row],[Units Sold]]*financials[[#This Row],[Sale Price]]</f>
        <v>532</v>
      </c>
      <c r="H749" s="8">
        <f>IF(financials[[#This Row],[Discount Band]]="low",0.1,IF(financials[[#This Row],[Discount Band]]="medium",0.15,0.3))</f>
        <v>0.15</v>
      </c>
      <c r="I749" s="8">
        <f>financials[[#This Row],[Gross Sales]]-financials[[#This Row],[Gross Sales]]*financials[[#This Row],[Discounts]]</f>
        <v>452.2</v>
      </c>
      <c r="J749" s="8">
        <f>VLOOKUP(financials[[#This Row],[productid]],Products!$B$2:$H$10,4)</f>
        <v>15</v>
      </c>
      <c r="K749" s="8">
        <f>financials[[#This Row],[Net Sales]]-financials[[#This Row],[COGS]]</f>
        <v>437.2</v>
      </c>
      <c r="L749" s="15">
        <v>45267</v>
      </c>
      <c r="M749" t="s">
        <v>696</v>
      </c>
    </row>
    <row r="750" spans="1:13" x14ac:dyDescent="0.25">
      <c r="A750" t="s">
        <v>86</v>
      </c>
      <c r="B750" s="6" t="s">
        <v>167</v>
      </c>
      <c r="C750" s="13">
        <v>109</v>
      </c>
      <c r="D750" s="14" t="s">
        <v>91</v>
      </c>
      <c r="E750">
        <v>8</v>
      </c>
      <c r="F750" s="8">
        <f>VLOOKUP(financials[[#This Row],[productid]],Products!$B$2:$H$10,3)</f>
        <v>36</v>
      </c>
      <c r="G750" s="8">
        <f>financials[[#This Row],[Units Sold]]*financials[[#This Row],[Sale Price]]</f>
        <v>288</v>
      </c>
      <c r="H750" s="8">
        <f>IF(financials[[#This Row],[Discount Band]]="low",0.1,IF(financials[[#This Row],[Discount Band]]="medium",0.15,0.3))</f>
        <v>0.1</v>
      </c>
      <c r="I750" s="8">
        <f>financials[[#This Row],[Gross Sales]]-financials[[#This Row],[Gross Sales]]*financials[[#This Row],[Discounts]]</f>
        <v>259.2</v>
      </c>
      <c r="J750" s="8">
        <f>VLOOKUP(financials[[#This Row],[productid]],Products!$B$2:$H$10,4)</f>
        <v>16.8</v>
      </c>
      <c r="K750" s="8">
        <f>financials[[#This Row],[Net Sales]]-financials[[#This Row],[COGS]]</f>
        <v>242.39999999999998</v>
      </c>
      <c r="L750" s="15">
        <v>44439</v>
      </c>
      <c r="M750" t="s">
        <v>690</v>
      </c>
    </row>
    <row r="751" spans="1:13" x14ac:dyDescent="0.25">
      <c r="A751" t="s">
        <v>86</v>
      </c>
      <c r="B751" s="6" t="s">
        <v>545</v>
      </c>
      <c r="C751" s="13">
        <v>103</v>
      </c>
      <c r="D751" s="14" t="s">
        <v>90</v>
      </c>
      <c r="E751">
        <v>10</v>
      </c>
      <c r="F751" s="8">
        <f>VLOOKUP(financials[[#This Row],[productid]],Products!$B$2:$H$10,3)</f>
        <v>28</v>
      </c>
      <c r="G751" s="8">
        <f>financials[[#This Row],[Units Sold]]*financials[[#This Row],[Sale Price]]</f>
        <v>280</v>
      </c>
      <c r="H751" s="8">
        <f>IF(financials[[#This Row],[Discount Band]]="low",0.1,IF(financials[[#This Row],[Discount Band]]="medium",0.15,0.3))</f>
        <v>0.15</v>
      </c>
      <c r="I751" s="8">
        <f>financials[[#This Row],[Gross Sales]]-financials[[#This Row],[Gross Sales]]*financials[[#This Row],[Discounts]]</f>
        <v>238</v>
      </c>
      <c r="J751" s="8">
        <f>VLOOKUP(financials[[#This Row],[productid]],Products!$B$2:$H$10,4)</f>
        <v>15</v>
      </c>
      <c r="K751" s="8">
        <f>financials[[#This Row],[Net Sales]]-financials[[#This Row],[COGS]]</f>
        <v>223</v>
      </c>
      <c r="L751" s="15">
        <v>44483</v>
      </c>
      <c r="M751" t="s">
        <v>700</v>
      </c>
    </row>
    <row r="752" spans="1:13" x14ac:dyDescent="0.25">
      <c r="A752" t="s">
        <v>85</v>
      </c>
      <c r="B752" s="6" t="s">
        <v>240</v>
      </c>
      <c r="C752" s="13">
        <v>107</v>
      </c>
      <c r="D752" s="14" t="s">
        <v>90</v>
      </c>
      <c r="E752">
        <v>5</v>
      </c>
      <c r="F752" s="8">
        <f>VLOOKUP(financials[[#This Row],[productid]],Products!$B$2:$H$10,3)</f>
        <v>15</v>
      </c>
      <c r="G752" s="8">
        <f>financials[[#This Row],[Units Sold]]*financials[[#This Row],[Sale Price]]</f>
        <v>75</v>
      </c>
      <c r="H752" s="8">
        <f>IF(financials[[#This Row],[Discount Band]]="low",0.1,IF(financials[[#This Row],[Discount Band]]="medium",0.15,0.3))</f>
        <v>0.15</v>
      </c>
      <c r="I752" s="8">
        <f>financials[[#This Row],[Gross Sales]]-financials[[#This Row],[Gross Sales]]*financials[[#This Row],[Discounts]]</f>
        <v>63.75</v>
      </c>
      <c r="J752" s="8">
        <f>VLOOKUP(financials[[#This Row],[productid]],Products!$B$2:$H$10,4)</f>
        <v>5.5</v>
      </c>
      <c r="K752" s="8">
        <f>financials[[#This Row],[Net Sales]]-financials[[#This Row],[COGS]]</f>
        <v>58.25</v>
      </c>
      <c r="L752" s="15">
        <v>44455</v>
      </c>
      <c r="M752" t="s">
        <v>697</v>
      </c>
    </row>
    <row r="753" spans="1:13" x14ac:dyDescent="0.25">
      <c r="A753" t="s">
        <v>86</v>
      </c>
      <c r="B753" s="6" t="s">
        <v>273</v>
      </c>
      <c r="C753" s="11">
        <v>101</v>
      </c>
      <c r="D753" s="9" t="s">
        <v>83</v>
      </c>
      <c r="E753">
        <v>15</v>
      </c>
      <c r="F753" s="8">
        <f>VLOOKUP(financials[[#This Row],[productid]],Products!$B$2:$H$10,3)</f>
        <v>23</v>
      </c>
      <c r="G753" s="8">
        <f>financials[[#This Row],[Units Sold]]*financials[[#This Row],[Sale Price]]</f>
        <v>345</v>
      </c>
      <c r="H753" s="8">
        <f>IF(financials[[#This Row],[Discount Band]]="low",0.1,IF(financials[[#This Row],[Discount Band]]="medium",0.15,0.3))</f>
        <v>0.3</v>
      </c>
      <c r="I753" s="8">
        <f>financials[[#This Row],[Gross Sales]]-financials[[#This Row],[Gross Sales]]*financials[[#This Row],[Discounts]]</f>
        <v>241.5</v>
      </c>
      <c r="J753" s="8">
        <f>VLOOKUP(financials[[#This Row],[productid]],Products!$B$2:$H$10,4)</f>
        <v>9.9499999999999993</v>
      </c>
      <c r="K753" s="8">
        <f>financials[[#This Row],[Net Sales]]-financials[[#This Row],[COGS]]</f>
        <v>231.55</v>
      </c>
      <c r="L753" s="15">
        <v>45078</v>
      </c>
      <c r="M753" t="s">
        <v>700</v>
      </c>
    </row>
    <row r="754" spans="1:13" x14ac:dyDescent="0.25">
      <c r="A754" t="s">
        <v>86</v>
      </c>
      <c r="B754" s="6" t="s">
        <v>617</v>
      </c>
      <c r="C754" s="13">
        <v>106</v>
      </c>
      <c r="D754" s="14" t="s">
        <v>83</v>
      </c>
      <c r="E754">
        <v>14</v>
      </c>
      <c r="F754" s="8">
        <f>VLOOKUP(financials[[#This Row],[productid]],Products!$B$2:$H$10,3)</f>
        <v>25</v>
      </c>
      <c r="G754" s="8">
        <f>financials[[#This Row],[Units Sold]]*financials[[#This Row],[Sale Price]]</f>
        <v>350</v>
      </c>
      <c r="H754" s="8">
        <f>IF(financials[[#This Row],[Discount Band]]="low",0.1,IF(financials[[#This Row],[Discount Band]]="medium",0.15,0.3))</f>
        <v>0.3</v>
      </c>
      <c r="I754" s="8">
        <f>financials[[#This Row],[Gross Sales]]-financials[[#This Row],[Gross Sales]]*financials[[#This Row],[Discounts]]</f>
        <v>245</v>
      </c>
      <c r="J754" s="8">
        <f>VLOOKUP(financials[[#This Row],[productid]],Products!$B$2:$H$10,4)</f>
        <v>9.1</v>
      </c>
      <c r="K754" s="8">
        <f>financials[[#This Row],[Net Sales]]-financials[[#This Row],[COGS]]</f>
        <v>235.9</v>
      </c>
      <c r="L754" s="15">
        <v>45633</v>
      </c>
      <c r="M754" t="s">
        <v>697</v>
      </c>
    </row>
    <row r="755" spans="1:13" x14ac:dyDescent="0.25">
      <c r="A755" t="s">
        <v>86</v>
      </c>
      <c r="B755" s="6" t="s">
        <v>94</v>
      </c>
      <c r="C755" s="13">
        <v>107</v>
      </c>
      <c r="D755" s="14" t="s">
        <v>90</v>
      </c>
      <c r="E755">
        <v>7</v>
      </c>
      <c r="F755" s="8">
        <f>VLOOKUP(financials[[#This Row],[productid]],Products!$B$2:$H$10,3)</f>
        <v>15</v>
      </c>
      <c r="G755" s="8">
        <f>financials[[#This Row],[Units Sold]]*financials[[#This Row],[Sale Price]]</f>
        <v>105</v>
      </c>
      <c r="H755" s="8">
        <f>IF(financials[[#This Row],[Discount Band]]="low",0.1,IF(financials[[#This Row],[Discount Band]]="medium",0.15,0.3))</f>
        <v>0.15</v>
      </c>
      <c r="I755" s="8">
        <f>financials[[#This Row],[Gross Sales]]-financials[[#This Row],[Gross Sales]]*financials[[#This Row],[Discounts]]</f>
        <v>89.25</v>
      </c>
      <c r="J755" s="8">
        <f>VLOOKUP(financials[[#This Row],[productid]],Products!$B$2:$H$10,4)</f>
        <v>5.5</v>
      </c>
      <c r="K755" s="8">
        <f>financials[[#This Row],[Net Sales]]-financials[[#This Row],[COGS]]</f>
        <v>83.75</v>
      </c>
      <c r="L755" s="15">
        <v>44508</v>
      </c>
      <c r="M755" t="s">
        <v>700</v>
      </c>
    </row>
    <row r="756" spans="1:13" x14ac:dyDescent="0.25">
      <c r="A756" t="s">
        <v>85</v>
      </c>
      <c r="B756" s="6" t="s">
        <v>148</v>
      </c>
      <c r="C756" s="13">
        <v>108</v>
      </c>
      <c r="D756" s="14" t="s">
        <v>90</v>
      </c>
      <c r="E756">
        <v>9</v>
      </c>
      <c r="F756" s="8">
        <f>VLOOKUP(financials[[#This Row],[productid]],Products!$B$2:$H$10,3)</f>
        <v>5.5</v>
      </c>
      <c r="G756" s="8">
        <f>financials[[#This Row],[Units Sold]]*financials[[#This Row],[Sale Price]]</f>
        <v>49.5</v>
      </c>
      <c r="H756" s="8">
        <f>IF(financials[[#This Row],[Discount Band]]="low",0.1,IF(financials[[#This Row],[Discount Band]]="medium",0.15,0.3))</f>
        <v>0.15</v>
      </c>
      <c r="I756" s="8">
        <f>financials[[#This Row],[Gross Sales]]-financials[[#This Row],[Gross Sales]]*financials[[#This Row],[Discounts]]</f>
        <v>42.075000000000003</v>
      </c>
      <c r="J756" s="8">
        <f>VLOOKUP(financials[[#This Row],[productid]],Products!$B$2:$H$10,4)</f>
        <v>3.99</v>
      </c>
      <c r="K756" s="8">
        <f>financials[[#This Row],[Net Sales]]-financials[[#This Row],[COGS]]</f>
        <v>38.085000000000001</v>
      </c>
      <c r="L756" s="15">
        <v>44430</v>
      </c>
      <c r="M756" t="s">
        <v>690</v>
      </c>
    </row>
    <row r="757" spans="1:13" x14ac:dyDescent="0.25">
      <c r="A757" t="s">
        <v>85</v>
      </c>
      <c r="B757" s="6" t="s">
        <v>125</v>
      </c>
      <c r="C757" s="13">
        <v>106</v>
      </c>
      <c r="D757" s="14" t="s">
        <v>91</v>
      </c>
      <c r="E757">
        <v>7</v>
      </c>
      <c r="F757" s="8">
        <f>VLOOKUP(financials[[#This Row],[productid]],Products!$B$2:$H$10,3)</f>
        <v>25</v>
      </c>
      <c r="G757" s="8">
        <f>financials[[#This Row],[Units Sold]]*financials[[#This Row],[Sale Price]]</f>
        <v>175</v>
      </c>
      <c r="H757" s="8">
        <f>IF(financials[[#This Row],[Discount Band]]="low",0.1,IF(financials[[#This Row],[Discount Band]]="medium",0.15,0.3))</f>
        <v>0.1</v>
      </c>
      <c r="I757" s="8">
        <f>financials[[#This Row],[Gross Sales]]-financials[[#This Row],[Gross Sales]]*financials[[#This Row],[Discounts]]</f>
        <v>157.5</v>
      </c>
      <c r="J757" s="8">
        <f>VLOOKUP(financials[[#This Row],[productid]],Products!$B$2:$H$10,4)</f>
        <v>9.1</v>
      </c>
      <c r="K757" s="8">
        <f>financials[[#This Row],[Net Sales]]-financials[[#This Row],[COGS]]</f>
        <v>148.4</v>
      </c>
      <c r="L757" s="15">
        <v>45310</v>
      </c>
      <c r="M757" t="s">
        <v>697</v>
      </c>
    </row>
    <row r="758" spans="1:13" x14ac:dyDescent="0.25">
      <c r="A758" t="s">
        <v>85</v>
      </c>
      <c r="B758" s="6" t="s">
        <v>240</v>
      </c>
      <c r="C758" s="13">
        <v>108</v>
      </c>
      <c r="D758" s="14" t="s">
        <v>92</v>
      </c>
      <c r="E758">
        <v>17</v>
      </c>
      <c r="F758" s="8">
        <f>VLOOKUP(financials[[#This Row],[productid]],Products!$B$2:$H$10,3)</f>
        <v>5.5</v>
      </c>
      <c r="G758" s="8">
        <f>financials[[#This Row],[Units Sold]]*financials[[#This Row],[Sale Price]]</f>
        <v>93.5</v>
      </c>
      <c r="H758" s="8">
        <f>IF(financials[[#This Row],[Discount Band]]="low",0.1,IF(financials[[#This Row],[Discount Band]]="medium",0.15,0.3))</f>
        <v>0.3</v>
      </c>
      <c r="I758" s="8">
        <f>financials[[#This Row],[Gross Sales]]-financials[[#This Row],[Gross Sales]]*financials[[#This Row],[Discounts]]</f>
        <v>65.45</v>
      </c>
      <c r="J758" s="8">
        <f>VLOOKUP(financials[[#This Row],[productid]],Products!$B$2:$H$10,4)</f>
        <v>3.99</v>
      </c>
      <c r="K758" s="8">
        <f>financials[[#This Row],[Net Sales]]-financials[[#This Row],[COGS]]</f>
        <v>61.46</v>
      </c>
      <c r="L758" s="15">
        <v>43883</v>
      </c>
      <c r="M758" t="s">
        <v>697</v>
      </c>
    </row>
    <row r="759" spans="1:13" x14ac:dyDescent="0.25">
      <c r="A759" t="s">
        <v>85</v>
      </c>
      <c r="B759" s="6" t="s">
        <v>228</v>
      </c>
      <c r="C759" s="13">
        <v>108</v>
      </c>
      <c r="D759" s="14" t="s">
        <v>90</v>
      </c>
      <c r="E759">
        <v>9</v>
      </c>
      <c r="F759" s="8">
        <f>VLOOKUP(financials[[#This Row],[productid]],Products!$B$2:$H$10,3)</f>
        <v>5.5</v>
      </c>
      <c r="G759" s="8">
        <f>financials[[#This Row],[Units Sold]]*financials[[#This Row],[Sale Price]]</f>
        <v>49.5</v>
      </c>
      <c r="H759" s="8">
        <f>IF(financials[[#This Row],[Discount Band]]="low",0.1,IF(financials[[#This Row],[Discount Band]]="medium",0.15,0.3))</f>
        <v>0.15</v>
      </c>
      <c r="I759" s="8">
        <f>financials[[#This Row],[Gross Sales]]-financials[[#This Row],[Gross Sales]]*financials[[#This Row],[Discounts]]</f>
        <v>42.075000000000003</v>
      </c>
      <c r="J759" s="8">
        <f>VLOOKUP(financials[[#This Row],[productid]],Products!$B$2:$H$10,4)</f>
        <v>3.99</v>
      </c>
      <c r="K759" s="8">
        <f>financials[[#This Row],[Net Sales]]-financials[[#This Row],[COGS]]</f>
        <v>38.085000000000001</v>
      </c>
      <c r="L759" s="15">
        <v>45399</v>
      </c>
      <c r="M759" t="s">
        <v>696</v>
      </c>
    </row>
    <row r="760" spans="1:13" x14ac:dyDescent="0.25">
      <c r="A760" t="s">
        <v>85</v>
      </c>
      <c r="B760" s="6" t="s">
        <v>125</v>
      </c>
      <c r="C760" s="13">
        <v>108</v>
      </c>
      <c r="D760" s="14" t="s">
        <v>91</v>
      </c>
      <c r="E760">
        <v>20</v>
      </c>
      <c r="F760" s="8">
        <f>VLOOKUP(financials[[#This Row],[productid]],Products!$B$2:$H$10,3)</f>
        <v>5.5</v>
      </c>
      <c r="G760" s="8">
        <f>financials[[#This Row],[Units Sold]]*financials[[#This Row],[Sale Price]]</f>
        <v>110</v>
      </c>
      <c r="H760" s="8">
        <f>IF(financials[[#This Row],[Discount Band]]="low",0.1,IF(financials[[#This Row],[Discount Band]]="medium",0.15,0.3))</f>
        <v>0.1</v>
      </c>
      <c r="I760" s="8">
        <f>financials[[#This Row],[Gross Sales]]-financials[[#This Row],[Gross Sales]]*financials[[#This Row],[Discounts]]</f>
        <v>99</v>
      </c>
      <c r="J760" s="8">
        <f>VLOOKUP(financials[[#This Row],[productid]],Products!$B$2:$H$10,4)</f>
        <v>3.99</v>
      </c>
      <c r="K760" s="8">
        <f>financials[[#This Row],[Net Sales]]-financials[[#This Row],[COGS]]</f>
        <v>95.01</v>
      </c>
      <c r="L760" s="15">
        <v>45125</v>
      </c>
      <c r="M760" t="s">
        <v>700</v>
      </c>
    </row>
    <row r="761" spans="1:13" x14ac:dyDescent="0.25">
      <c r="A761" t="s">
        <v>86</v>
      </c>
      <c r="B761" s="6" t="s">
        <v>205</v>
      </c>
      <c r="C761" s="11">
        <v>109</v>
      </c>
      <c r="D761" s="9" t="s">
        <v>90</v>
      </c>
      <c r="E761">
        <v>9</v>
      </c>
      <c r="F761" s="8">
        <f>VLOOKUP(financials[[#This Row],[productid]],Products!$B$2:$H$10,3)</f>
        <v>36</v>
      </c>
      <c r="G761" s="8">
        <f>financials[[#This Row],[Units Sold]]*financials[[#This Row],[Sale Price]]</f>
        <v>324</v>
      </c>
      <c r="H761" s="8">
        <f>IF(financials[[#This Row],[Discount Band]]="low",0.1,IF(financials[[#This Row],[Discount Band]]="medium",0.15,0.3))</f>
        <v>0.15</v>
      </c>
      <c r="I761" s="8">
        <f>financials[[#This Row],[Gross Sales]]-financials[[#This Row],[Gross Sales]]*financials[[#This Row],[Discounts]]</f>
        <v>275.39999999999998</v>
      </c>
      <c r="J761" s="8">
        <f>VLOOKUP(financials[[#This Row],[productid]],Products!$B$2:$H$10,4)</f>
        <v>16.8</v>
      </c>
      <c r="K761" s="8">
        <f>financials[[#This Row],[Net Sales]]-financials[[#This Row],[COGS]]</f>
        <v>258.59999999999997</v>
      </c>
      <c r="L761" s="15">
        <v>45039</v>
      </c>
      <c r="M761" t="s">
        <v>696</v>
      </c>
    </row>
    <row r="762" spans="1:13" x14ac:dyDescent="0.25">
      <c r="A762" t="s">
        <v>86</v>
      </c>
      <c r="B762" s="6" t="s">
        <v>545</v>
      </c>
      <c r="C762" s="13">
        <v>107</v>
      </c>
      <c r="D762" s="14" t="s">
        <v>83</v>
      </c>
      <c r="E762">
        <v>14</v>
      </c>
      <c r="F762" s="8">
        <f>VLOOKUP(financials[[#This Row],[productid]],Products!$B$2:$H$10,3)</f>
        <v>15</v>
      </c>
      <c r="G762" s="8">
        <f>financials[[#This Row],[Units Sold]]*financials[[#This Row],[Sale Price]]</f>
        <v>210</v>
      </c>
      <c r="H762" s="8">
        <f>IF(financials[[#This Row],[Discount Band]]="low",0.1,IF(financials[[#This Row],[Discount Band]]="medium",0.15,0.3))</f>
        <v>0.3</v>
      </c>
      <c r="I762" s="8">
        <f>financials[[#This Row],[Gross Sales]]-financials[[#This Row],[Gross Sales]]*financials[[#This Row],[Discounts]]</f>
        <v>147</v>
      </c>
      <c r="J762" s="8">
        <f>VLOOKUP(financials[[#This Row],[productid]],Products!$B$2:$H$10,4)</f>
        <v>5.5</v>
      </c>
      <c r="K762" s="8">
        <f>financials[[#This Row],[Net Sales]]-financials[[#This Row],[COGS]]</f>
        <v>141.5</v>
      </c>
      <c r="L762" s="15">
        <v>44519</v>
      </c>
      <c r="M762" t="s">
        <v>691</v>
      </c>
    </row>
    <row r="763" spans="1:13" x14ac:dyDescent="0.25">
      <c r="A763" t="s">
        <v>86</v>
      </c>
      <c r="B763" s="6" t="s">
        <v>158</v>
      </c>
      <c r="C763" s="13">
        <v>108</v>
      </c>
      <c r="D763" s="14" t="s">
        <v>83</v>
      </c>
      <c r="E763">
        <v>16</v>
      </c>
      <c r="F763" s="8">
        <f>VLOOKUP(financials[[#This Row],[productid]],Products!$B$2:$H$10,3)</f>
        <v>5.5</v>
      </c>
      <c r="G763" s="8">
        <f>financials[[#This Row],[Units Sold]]*financials[[#This Row],[Sale Price]]</f>
        <v>88</v>
      </c>
      <c r="H763" s="8">
        <f>IF(financials[[#This Row],[Discount Band]]="low",0.1,IF(financials[[#This Row],[Discount Band]]="medium",0.15,0.3))</f>
        <v>0.3</v>
      </c>
      <c r="I763" s="8">
        <f>financials[[#This Row],[Gross Sales]]-financials[[#This Row],[Gross Sales]]*financials[[#This Row],[Discounts]]</f>
        <v>61.6</v>
      </c>
      <c r="J763" s="8">
        <f>VLOOKUP(financials[[#This Row],[productid]],Products!$B$2:$H$10,4)</f>
        <v>3.99</v>
      </c>
      <c r="K763" s="8">
        <f>financials[[#This Row],[Net Sales]]-financials[[#This Row],[COGS]]</f>
        <v>57.61</v>
      </c>
      <c r="L763" s="15">
        <v>44915</v>
      </c>
      <c r="M763" t="s">
        <v>691</v>
      </c>
    </row>
    <row r="764" spans="1:13" x14ac:dyDescent="0.25">
      <c r="A764" t="s">
        <v>85</v>
      </c>
      <c r="B764" s="6" t="s">
        <v>95</v>
      </c>
      <c r="C764" s="13">
        <v>104</v>
      </c>
      <c r="D764" s="14" t="s">
        <v>92</v>
      </c>
      <c r="E764">
        <v>12</v>
      </c>
      <c r="F764" s="8">
        <f>VLOOKUP(financials[[#This Row],[productid]],Products!$B$2:$H$10,3)</f>
        <v>5.9</v>
      </c>
      <c r="G764" s="8">
        <f>financials[[#This Row],[Units Sold]]*financials[[#This Row],[Sale Price]]</f>
        <v>70.800000000000011</v>
      </c>
      <c r="H764" s="8">
        <f>IF(financials[[#This Row],[Discount Band]]="low",0.1,IF(financials[[#This Row],[Discount Band]]="medium",0.15,0.3))</f>
        <v>0.3</v>
      </c>
      <c r="I764" s="8">
        <f>financials[[#This Row],[Gross Sales]]-financials[[#This Row],[Gross Sales]]*financials[[#This Row],[Discounts]]</f>
        <v>49.560000000000009</v>
      </c>
      <c r="J764" s="8">
        <f>VLOOKUP(financials[[#This Row],[productid]],Products!$B$2:$H$10,4)</f>
        <v>2.9</v>
      </c>
      <c r="K764" s="8">
        <f>financials[[#This Row],[Net Sales]]-financials[[#This Row],[COGS]]</f>
        <v>46.660000000000011</v>
      </c>
      <c r="L764" s="15">
        <v>44620</v>
      </c>
      <c r="M764" t="s">
        <v>697</v>
      </c>
    </row>
    <row r="765" spans="1:13" x14ac:dyDescent="0.25">
      <c r="A765" t="s">
        <v>89</v>
      </c>
      <c r="B765" s="6" t="s">
        <v>545</v>
      </c>
      <c r="C765" s="13">
        <v>105</v>
      </c>
      <c r="D765" s="14" t="s">
        <v>90</v>
      </c>
      <c r="E765">
        <v>13</v>
      </c>
      <c r="F765" s="8">
        <f>VLOOKUP(financials[[#This Row],[productid]],Products!$B$2:$H$10,3)</f>
        <v>15</v>
      </c>
      <c r="G765" s="8">
        <f>financials[[#This Row],[Units Sold]]*financials[[#This Row],[Sale Price]]</f>
        <v>195</v>
      </c>
      <c r="H765" s="8">
        <f>IF(financials[[#This Row],[Discount Band]]="low",0.1,IF(financials[[#This Row],[Discount Band]]="medium",0.15,0.3))</f>
        <v>0.15</v>
      </c>
      <c r="I765" s="8">
        <f>financials[[#This Row],[Gross Sales]]-financials[[#This Row],[Gross Sales]]*financials[[#This Row],[Discounts]]</f>
        <v>165.75</v>
      </c>
      <c r="J765" s="8">
        <f>VLOOKUP(financials[[#This Row],[productid]],Products!$B$2:$H$10,4)</f>
        <v>10</v>
      </c>
      <c r="K765" s="8">
        <f>financials[[#This Row],[Net Sales]]-financials[[#This Row],[COGS]]</f>
        <v>155.75</v>
      </c>
      <c r="L765" s="15">
        <v>43892</v>
      </c>
      <c r="M765" t="s">
        <v>696</v>
      </c>
    </row>
    <row r="766" spans="1:13" x14ac:dyDescent="0.25">
      <c r="A766" t="s">
        <v>86</v>
      </c>
      <c r="B766" s="6" t="s">
        <v>125</v>
      </c>
      <c r="C766" s="13">
        <v>101</v>
      </c>
      <c r="D766" s="14" t="s">
        <v>83</v>
      </c>
      <c r="E766">
        <v>7</v>
      </c>
      <c r="F766" s="8">
        <f>VLOOKUP(financials[[#This Row],[productid]],Products!$B$2:$H$10,3)</f>
        <v>23</v>
      </c>
      <c r="G766" s="8">
        <f>financials[[#This Row],[Units Sold]]*financials[[#This Row],[Sale Price]]</f>
        <v>161</v>
      </c>
      <c r="H766" s="8">
        <f>IF(financials[[#This Row],[Discount Band]]="low",0.1,IF(financials[[#This Row],[Discount Band]]="medium",0.15,0.3))</f>
        <v>0.3</v>
      </c>
      <c r="I766" s="8">
        <f>financials[[#This Row],[Gross Sales]]-financials[[#This Row],[Gross Sales]]*financials[[#This Row],[Discounts]]</f>
        <v>112.7</v>
      </c>
      <c r="J766" s="8">
        <f>VLOOKUP(financials[[#This Row],[productid]],Products!$B$2:$H$10,4)</f>
        <v>9.9499999999999993</v>
      </c>
      <c r="K766" s="8">
        <f>financials[[#This Row],[Net Sales]]-financials[[#This Row],[COGS]]</f>
        <v>102.75</v>
      </c>
      <c r="L766" s="15">
        <v>44018</v>
      </c>
      <c r="M766" t="s">
        <v>696</v>
      </c>
    </row>
    <row r="767" spans="1:13" x14ac:dyDescent="0.25">
      <c r="A767" t="s">
        <v>86</v>
      </c>
      <c r="B767" s="6" t="s">
        <v>93</v>
      </c>
      <c r="C767" s="13">
        <v>106</v>
      </c>
      <c r="D767" s="14" t="s">
        <v>90</v>
      </c>
      <c r="E767">
        <v>8</v>
      </c>
      <c r="F767" s="8">
        <f>VLOOKUP(financials[[#This Row],[productid]],Products!$B$2:$H$10,3)</f>
        <v>25</v>
      </c>
      <c r="G767" s="8">
        <f>financials[[#This Row],[Units Sold]]*financials[[#This Row],[Sale Price]]</f>
        <v>200</v>
      </c>
      <c r="H767" s="8">
        <f>IF(financials[[#This Row],[Discount Band]]="low",0.1,IF(financials[[#This Row],[Discount Band]]="medium",0.15,0.3))</f>
        <v>0.15</v>
      </c>
      <c r="I767" s="8">
        <f>financials[[#This Row],[Gross Sales]]-financials[[#This Row],[Gross Sales]]*financials[[#This Row],[Discounts]]</f>
        <v>170</v>
      </c>
      <c r="J767" s="8">
        <f>VLOOKUP(financials[[#This Row],[productid]],Products!$B$2:$H$10,4)</f>
        <v>9.1</v>
      </c>
      <c r="K767" s="8">
        <f>financials[[#This Row],[Net Sales]]-financials[[#This Row],[COGS]]</f>
        <v>160.9</v>
      </c>
      <c r="L767" s="15">
        <v>45008</v>
      </c>
      <c r="M767" t="s">
        <v>700</v>
      </c>
    </row>
    <row r="768" spans="1:13" x14ac:dyDescent="0.25">
      <c r="A768" t="s">
        <v>86</v>
      </c>
      <c r="B768" s="6" t="s">
        <v>198</v>
      </c>
      <c r="C768" s="13">
        <v>102</v>
      </c>
      <c r="D768" s="14" t="s">
        <v>91</v>
      </c>
      <c r="E768">
        <v>9</v>
      </c>
      <c r="F768" s="8">
        <f>VLOOKUP(financials[[#This Row],[productid]],Products!$B$2:$H$10,3)</f>
        <v>15</v>
      </c>
      <c r="G768" s="8">
        <f>financials[[#This Row],[Units Sold]]*financials[[#This Row],[Sale Price]]</f>
        <v>135</v>
      </c>
      <c r="H768" s="8">
        <f>IF(financials[[#This Row],[Discount Band]]="low",0.1,IF(financials[[#This Row],[Discount Band]]="medium",0.15,0.3))</f>
        <v>0.1</v>
      </c>
      <c r="I768" s="8">
        <f>financials[[#This Row],[Gross Sales]]-financials[[#This Row],[Gross Sales]]*financials[[#This Row],[Discounts]]</f>
        <v>121.5</v>
      </c>
      <c r="J768" s="8">
        <f>VLOOKUP(financials[[#This Row],[productid]],Products!$B$2:$H$10,4)</f>
        <v>13.95</v>
      </c>
      <c r="K768" s="8">
        <f>financials[[#This Row],[Net Sales]]-financials[[#This Row],[COGS]]</f>
        <v>107.55</v>
      </c>
      <c r="L768" s="15">
        <v>43835</v>
      </c>
      <c r="M768" t="s">
        <v>697</v>
      </c>
    </row>
    <row r="769" spans="1:13" x14ac:dyDescent="0.25">
      <c r="A769" t="s">
        <v>86</v>
      </c>
      <c r="B769" s="6" t="s">
        <v>205</v>
      </c>
      <c r="C769" s="13">
        <v>101</v>
      </c>
      <c r="D769" s="14" t="s">
        <v>83</v>
      </c>
      <c r="E769">
        <v>9</v>
      </c>
      <c r="F769" s="8">
        <f>VLOOKUP(financials[[#This Row],[productid]],Products!$B$2:$H$10,3)</f>
        <v>23</v>
      </c>
      <c r="G769" s="8">
        <f>financials[[#This Row],[Units Sold]]*financials[[#This Row],[Sale Price]]</f>
        <v>207</v>
      </c>
      <c r="H769" s="8">
        <f>IF(financials[[#This Row],[Discount Band]]="low",0.1,IF(financials[[#This Row],[Discount Band]]="medium",0.15,0.3))</f>
        <v>0.3</v>
      </c>
      <c r="I769" s="8">
        <f>financials[[#This Row],[Gross Sales]]-financials[[#This Row],[Gross Sales]]*financials[[#This Row],[Discounts]]</f>
        <v>144.9</v>
      </c>
      <c r="J769" s="8">
        <f>VLOOKUP(financials[[#This Row],[productid]],Products!$B$2:$H$10,4)</f>
        <v>9.9499999999999993</v>
      </c>
      <c r="K769" s="8">
        <f>financials[[#This Row],[Net Sales]]-financials[[#This Row],[COGS]]</f>
        <v>134.95000000000002</v>
      </c>
      <c r="L769" s="15">
        <v>44509</v>
      </c>
      <c r="M769" t="s">
        <v>700</v>
      </c>
    </row>
    <row r="770" spans="1:13" x14ac:dyDescent="0.25">
      <c r="A770" t="s">
        <v>85</v>
      </c>
      <c r="B770" s="6" t="s">
        <v>93</v>
      </c>
      <c r="C770" s="13">
        <v>105</v>
      </c>
      <c r="D770" s="14" t="s">
        <v>91</v>
      </c>
      <c r="E770">
        <v>9</v>
      </c>
      <c r="F770" s="8">
        <f>VLOOKUP(financials[[#This Row],[productid]],Products!$B$2:$H$10,3)</f>
        <v>15</v>
      </c>
      <c r="G770" s="8">
        <f>financials[[#This Row],[Units Sold]]*financials[[#This Row],[Sale Price]]</f>
        <v>135</v>
      </c>
      <c r="H770" s="8">
        <f>IF(financials[[#This Row],[Discount Band]]="low",0.1,IF(financials[[#This Row],[Discount Band]]="medium",0.15,0.3))</f>
        <v>0.1</v>
      </c>
      <c r="I770" s="8">
        <f>financials[[#This Row],[Gross Sales]]-financials[[#This Row],[Gross Sales]]*financials[[#This Row],[Discounts]]</f>
        <v>121.5</v>
      </c>
      <c r="J770" s="8">
        <f>VLOOKUP(financials[[#This Row],[productid]],Products!$B$2:$H$10,4)</f>
        <v>10</v>
      </c>
      <c r="K770" s="8">
        <f>financials[[#This Row],[Net Sales]]-financials[[#This Row],[COGS]]</f>
        <v>111.5</v>
      </c>
      <c r="L770" s="15">
        <v>45221</v>
      </c>
      <c r="M770" t="s">
        <v>690</v>
      </c>
    </row>
    <row r="771" spans="1:13" x14ac:dyDescent="0.25">
      <c r="A771" t="s">
        <v>85</v>
      </c>
      <c r="B771" s="6" t="s">
        <v>96</v>
      </c>
      <c r="C771" s="13">
        <v>109</v>
      </c>
      <c r="D771" s="14" t="s">
        <v>91</v>
      </c>
      <c r="E771">
        <v>7</v>
      </c>
      <c r="F771" s="8">
        <f>VLOOKUP(financials[[#This Row],[productid]],Products!$B$2:$H$10,3)</f>
        <v>36</v>
      </c>
      <c r="G771" s="8">
        <f>financials[[#This Row],[Units Sold]]*financials[[#This Row],[Sale Price]]</f>
        <v>252</v>
      </c>
      <c r="H771" s="8">
        <f>IF(financials[[#This Row],[Discount Band]]="low",0.1,IF(financials[[#This Row],[Discount Band]]="medium",0.15,0.3))</f>
        <v>0.1</v>
      </c>
      <c r="I771" s="8">
        <f>financials[[#This Row],[Gross Sales]]-financials[[#This Row],[Gross Sales]]*financials[[#This Row],[Discounts]]</f>
        <v>226.8</v>
      </c>
      <c r="J771" s="8">
        <f>VLOOKUP(financials[[#This Row],[productid]],Products!$B$2:$H$10,4)</f>
        <v>16.8</v>
      </c>
      <c r="K771" s="8">
        <f>financials[[#This Row],[Net Sales]]-financials[[#This Row],[COGS]]</f>
        <v>210</v>
      </c>
      <c r="L771" s="15">
        <v>44710</v>
      </c>
      <c r="M771" t="s">
        <v>691</v>
      </c>
    </row>
    <row r="772" spans="1:13" x14ac:dyDescent="0.25">
      <c r="A772" t="s">
        <v>89</v>
      </c>
      <c r="B772" s="6" t="s">
        <v>274</v>
      </c>
      <c r="C772" s="11">
        <v>105</v>
      </c>
      <c r="D772" s="9" t="s">
        <v>90</v>
      </c>
      <c r="E772">
        <v>6</v>
      </c>
      <c r="F772" s="8">
        <f>VLOOKUP(financials[[#This Row],[productid]],Products!$B$2:$H$10,3)</f>
        <v>15</v>
      </c>
      <c r="G772" s="8">
        <f>financials[[#This Row],[Units Sold]]*financials[[#This Row],[Sale Price]]</f>
        <v>90</v>
      </c>
      <c r="H772" s="8">
        <f>IF(financials[[#This Row],[Discount Band]]="low",0.1,IF(financials[[#This Row],[Discount Band]]="medium",0.15,0.3))</f>
        <v>0.15</v>
      </c>
      <c r="I772" s="8">
        <f>financials[[#This Row],[Gross Sales]]-financials[[#This Row],[Gross Sales]]*financials[[#This Row],[Discounts]]</f>
        <v>76.5</v>
      </c>
      <c r="J772" s="8">
        <f>VLOOKUP(financials[[#This Row],[productid]],Products!$B$2:$H$10,4)</f>
        <v>10</v>
      </c>
      <c r="K772" s="8">
        <f>financials[[#This Row],[Net Sales]]-financials[[#This Row],[COGS]]</f>
        <v>66.5</v>
      </c>
      <c r="L772" s="15">
        <v>45586</v>
      </c>
      <c r="M772" t="s">
        <v>696</v>
      </c>
    </row>
    <row r="773" spans="1:13" x14ac:dyDescent="0.25">
      <c r="A773" t="s">
        <v>89</v>
      </c>
      <c r="B773" s="6" t="s">
        <v>617</v>
      </c>
      <c r="C773" s="13">
        <v>108</v>
      </c>
      <c r="D773" s="14" t="s">
        <v>90</v>
      </c>
      <c r="E773">
        <v>19</v>
      </c>
      <c r="F773" s="8">
        <f>VLOOKUP(financials[[#This Row],[productid]],Products!$B$2:$H$10,3)</f>
        <v>5.5</v>
      </c>
      <c r="G773" s="8">
        <f>financials[[#This Row],[Units Sold]]*financials[[#This Row],[Sale Price]]</f>
        <v>104.5</v>
      </c>
      <c r="H773" s="8">
        <f>IF(financials[[#This Row],[Discount Band]]="low",0.1,IF(financials[[#This Row],[Discount Band]]="medium",0.15,0.3))</f>
        <v>0.15</v>
      </c>
      <c r="I773" s="8">
        <f>financials[[#This Row],[Gross Sales]]-financials[[#This Row],[Gross Sales]]*financials[[#This Row],[Discounts]]</f>
        <v>88.825000000000003</v>
      </c>
      <c r="J773" s="8">
        <f>VLOOKUP(financials[[#This Row],[productid]],Products!$B$2:$H$10,4)</f>
        <v>3.99</v>
      </c>
      <c r="K773" s="8">
        <f>financials[[#This Row],[Net Sales]]-financials[[#This Row],[COGS]]</f>
        <v>84.835000000000008</v>
      </c>
      <c r="L773" s="15">
        <v>44995</v>
      </c>
      <c r="M773" t="s">
        <v>690</v>
      </c>
    </row>
    <row r="774" spans="1:13" x14ac:dyDescent="0.25">
      <c r="A774" t="s">
        <v>86</v>
      </c>
      <c r="B774" s="6" t="s">
        <v>273</v>
      </c>
      <c r="C774" s="13">
        <v>101</v>
      </c>
      <c r="D774" s="14" t="s">
        <v>83</v>
      </c>
      <c r="E774">
        <v>13</v>
      </c>
      <c r="F774" s="8">
        <f>VLOOKUP(financials[[#This Row],[productid]],Products!$B$2:$H$10,3)</f>
        <v>23</v>
      </c>
      <c r="G774" s="8">
        <f>financials[[#This Row],[Units Sold]]*financials[[#This Row],[Sale Price]]</f>
        <v>299</v>
      </c>
      <c r="H774" s="8">
        <f>IF(financials[[#This Row],[Discount Band]]="low",0.1,IF(financials[[#This Row],[Discount Band]]="medium",0.15,0.3))</f>
        <v>0.3</v>
      </c>
      <c r="I774" s="8">
        <f>financials[[#This Row],[Gross Sales]]-financials[[#This Row],[Gross Sales]]*financials[[#This Row],[Discounts]]</f>
        <v>209.3</v>
      </c>
      <c r="J774" s="8">
        <f>VLOOKUP(financials[[#This Row],[productid]],Products!$B$2:$H$10,4)</f>
        <v>9.9499999999999993</v>
      </c>
      <c r="K774" s="8">
        <f>financials[[#This Row],[Net Sales]]-financials[[#This Row],[COGS]]</f>
        <v>199.35000000000002</v>
      </c>
      <c r="L774" s="15">
        <v>43983</v>
      </c>
      <c r="M774" t="s">
        <v>696</v>
      </c>
    </row>
    <row r="775" spans="1:13" x14ac:dyDescent="0.25">
      <c r="A775" t="s">
        <v>86</v>
      </c>
      <c r="B775" s="6" t="s">
        <v>148</v>
      </c>
      <c r="C775" s="13">
        <v>109</v>
      </c>
      <c r="D775" s="14" t="s">
        <v>91</v>
      </c>
      <c r="E775">
        <v>13</v>
      </c>
      <c r="F775" s="8">
        <f>VLOOKUP(financials[[#This Row],[productid]],Products!$B$2:$H$10,3)</f>
        <v>36</v>
      </c>
      <c r="G775" s="8">
        <f>financials[[#This Row],[Units Sold]]*financials[[#This Row],[Sale Price]]</f>
        <v>468</v>
      </c>
      <c r="H775" s="8">
        <f>IF(financials[[#This Row],[Discount Band]]="low",0.1,IF(financials[[#This Row],[Discount Band]]="medium",0.15,0.3))</f>
        <v>0.1</v>
      </c>
      <c r="I775" s="8">
        <f>financials[[#This Row],[Gross Sales]]-financials[[#This Row],[Gross Sales]]*financials[[#This Row],[Discounts]]</f>
        <v>421.2</v>
      </c>
      <c r="J775" s="8">
        <f>VLOOKUP(financials[[#This Row],[productid]],Products!$B$2:$H$10,4)</f>
        <v>16.8</v>
      </c>
      <c r="K775" s="8">
        <f>financials[[#This Row],[Net Sales]]-financials[[#This Row],[COGS]]</f>
        <v>404.4</v>
      </c>
      <c r="L775" s="15">
        <v>44843</v>
      </c>
      <c r="M775" t="s">
        <v>690</v>
      </c>
    </row>
    <row r="776" spans="1:13" x14ac:dyDescent="0.25">
      <c r="A776" t="s">
        <v>85</v>
      </c>
      <c r="B776" s="6" t="s">
        <v>148</v>
      </c>
      <c r="C776" s="13">
        <v>103</v>
      </c>
      <c r="D776" s="14" t="s">
        <v>83</v>
      </c>
      <c r="E776">
        <v>19</v>
      </c>
      <c r="F776" s="8">
        <f>VLOOKUP(financials[[#This Row],[productid]],Products!$B$2:$H$10,3)</f>
        <v>28</v>
      </c>
      <c r="G776" s="8">
        <f>financials[[#This Row],[Units Sold]]*financials[[#This Row],[Sale Price]]</f>
        <v>532</v>
      </c>
      <c r="H776" s="8">
        <f>IF(financials[[#This Row],[Discount Band]]="low",0.1,IF(financials[[#This Row],[Discount Band]]="medium",0.15,0.3))</f>
        <v>0.3</v>
      </c>
      <c r="I776" s="8">
        <f>financials[[#This Row],[Gross Sales]]-financials[[#This Row],[Gross Sales]]*financials[[#This Row],[Discounts]]</f>
        <v>372.4</v>
      </c>
      <c r="J776" s="8">
        <f>VLOOKUP(financials[[#This Row],[productid]],Products!$B$2:$H$10,4)</f>
        <v>15</v>
      </c>
      <c r="K776" s="8">
        <f>financials[[#This Row],[Net Sales]]-financials[[#This Row],[COGS]]</f>
        <v>357.4</v>
      </c>
      <c r="L776" s="15">
        <v>44773</v>
      </c>
      <c r="M776" t="s">
        <v>690</v>
      </c>
    </row>
    <row r="777" spans="1:13" x14ac:dyDescent="0.25">
      <c r="A777" t="s">
        <v>86</v>
      </c>
      <c r="B777" s="6" t="s">
        <v>94</v>
      </c>
      <c r="C777" s="13">
        <v>104</v>
      </c>
      <c r="D777" s="14" t="s">
        <v>83</v>
      </c>
      <c r="E777">
        <v>9</v>
      </c>
      <c r="F777" s="8">
        <f>VLOOKUP(financials[[#This Row],[productid]],Products!$B$2:$H$10,3)</f>
        <v>5.9</v>
      </c>
      <c r="G777" s="8">
        <f>financials[[#This Row],[Units Sold]]*financials[[#This Row],[Sale Price]]</f>
        <v>53.1</v>
      </c>
      <c r="H777" s="8">
        <f>IF(financials[[#This Row],[Discount Band]]="low",0.1,IF(financials[[#This Row],[Discount Band]]="medium",0.15,0.3))</f>
        <v>0.3</v>
      </c>
      <c r="I777" s="8">
        <f>financials[[#This Row],[Gross Sales]]-financials[[#This Row],[Gross Sales]]*financials[[#This Row],[Discounts]]</f>
        <v>37.17</v>
      </c>
      <c r="J777" s="8">
        <f>VLOOKUP(financials[[#This Row],[productid]],Products!$B$2:$H$10,4)</f>
        <v>2.9</v>
      </c>
      <c r="K777" s="8">
        <f>financials[[#This Row],[Net Sales]]-financials[[#This Row],[COGS]]</f>
        <v>34.270000000000003</v>
      </c>
      <c r="L777" s="15">
        <v>44966</v>
      </c>
      <c r="M777" t="s">
        <v>690</v>
      </c>
    </row>
    <row r="778" spans="1:13" x14ac:dyDescent="0.25">
      <c r="A778" t="s">
        <v>89</v>
      </c>
      <c r="B778" s="6" t="s">
        <v>158</v>
      </c>
      <c r="C778" s="13">
        <v>103</v>
      </c>
      <c r="D778" s="14" t="s">
        <v>90</v>
      </c>
      <c r="E778">
        <v>10</v>
      </c>
      <c r="F778" s="8">
        <f>VLOOKUP(financials[[#This Row],[productid]],Products!$B$2:$H$10,3)</f>
        <v>28</v>
      </c>
      <c r="G778" s="8">
        <f>financials[[#This Row],[Units Sold]]*financials[[#This Row],[Sale Price]]</f>
        <v>280</v>
      </c>
      <c r="H778" s="8">
        <f>IF(financials[[#This Row],[Discount Band]]="low",0.1,IF(financials[[#This Row],[Discount Band]]="medium",0.15,0.3))</f>
        <v>0.15</v>
      </c>
      <c r="I778" s="8">
        <f>financials[[#This Row],[Gross Sales]]-financials[[#This Row],[Gross Sales]]*financials[[#This Row],[Discounts]]</f>
        <v>238</v>
      </c>
      <c r="J778" s="8">
        <f>VLOOKUP(financials[[#This Row],[productid]],Products!$B$2:$H$10,4)</f>
        <v>15</v>
      </c>
      <c r="K778" s="8">
        <f>financials[[#This Row],[Net Sales]]-financials[[#This Row],[COGS]]</f>
        <v>223</v>
      </c>
      <c r="L778" s="15">
        <v>44316</v>
      </c>
      <c r="M778" t="s">
        <v>696</v>
      </c>
    </row>
    <row r="779" spans="1:13" x14ac:dyDescent="0.25">
      <c r="A779" t="s">
        <v>89</v>
      </c>
      <c r="B779" s="6" t="s">
        <v>266</v>
      </c>
      <c r="C779" s="13">
        <v>106</v>
      </c>
      <c r="D779" s="14" t="s">
        <v>83</v>
      </c>
      <c r="E779">
        <v>9</v>
      </c>
      <c r="F779" s="8">
        <f>VLOOKUP(financials[[#This Row],[productid]],Products!$B$2:$H$10,3)</f>
        <v>25</v>
      </c>
      <c r="G779" s="8">
        <f>financials[[#This Row],[Units Sold]]*financials[[#This Row],[Sale Price]]</f>
        <v>225</v>
      </c>
      <c r="H779" s="8">
        <f>IF(financials[[#This Row],[Discount Band]]="low",0.1,IF(financials[[#This Row],[Discount Band]]="medium",0.15,0.3))</f>
        <v>0.3</v>
      </c>
      <c r="I779" s="8">
        <f>financials[[#This Row],[Gross Sales]]-financials[[#This Row],[Gross Sales]]*financials[[#This Row],[Discounts]]</f>
        <v>157.5</v>
      </c>
      <c r="J779" s="8">
        <f>VLOOKUP(financials[[#This Row],[productid]],Products!$B$2:$H$10,4)</f>
        <v>9.1</v>
      </c>
      <c r="K779" s="8">
        <f>financials[[#This Row],[Net Sales]]-financials[[#This Row],[COGS]]</f>
        <v>148.4</v>
      </c>
      <c r="L779" s="15">
        <v>45573</v>
      </c>
      <c r="M779" t="s">
        <v>690</v>
      </c>
    </row>
    <row r="780" spans="1:13" x14ac:dyDescent="0.25">
      <c r="A780" t="s">
        <v>86</v>
      </c>
      <c r="B780" s="6" t="s">
        <v>94</v>
      </c>
      <c r="C780" s="13">
        <v>107</v>
      </c>
      <c r="D780" s="14" t="s">
        <v>83</v>
      </c>
      <c r="E780">
        <v>6</v>
      </c>
      <c r="F780" s="8">
        <f>VLOOKUP(financials[[#This Row],[productid]],Products!$B$2:$H$10,3)</f>
        <v>15</v>
      </c>
      <c r="G780" s="8">
        <f>financials[[#This Row],[Units Sold]]*financials[[#This Row],[Sale Price]]</f>
        <v>90</v>
      </c>
      <c r="H780" s="8">
        <f>IF(financials[[#This Row],[Discount Band]]="low",0.1,IF(financials[[#This Row],[Discount Band]]="medium",0.15,0.3))</f>
        <v>0.3</v>
      </c>
      <c r="I780" s="8">
        <f>financials[[#This Row],[Gross Sales]]-financials[[#This Row],[Gross Sales]]*financials[[#This Row],[Discounts]]</f>
        <v>63</v>
      </c>
      <c r="J780" s="8">
        <f>VLOOKUP(financials[[#This Row],[productid]],Products!$B$2:$H$10,4)</f>
        <v>5.5</v>
      </c>
      <c r="K780" s="8">
        <f>financials[[#This Row],[Net Sales]]-financials[[#This Row],[COGS]]</f>
        <v>57.5</v>
      </c>
      <c r="L780" s="15">
        <v>44241</v>
      </c>
      <c r="M780" t="s">
        <v>696</v>
      </c>
    </row>
    <row r="781" spans="1:13" x14ac:dyDescent="0.25">
      <c r="A781" t="s">
        <v>89</v>
      </c>
      <c r="B781" s="6" t="s">
        <v>617</v>
      </c>
      <c r="C781" s="11">
        <v>106</v>
      </c>
      <c r="D781" s="9" t="s">
        <v>83</v>
      </c>
      <c r="E781">
        <v>15</v>
      </c>
      <c r="F781" s="8">
        <f>VLOOKUP(financials[[#This Row],[productid]],Products!$B$2:$H$10,3)</f>
        <v>25</v>
      </c>
      <c r="G781" s="8">
        <f>financials[[#This Row],[Units Sold]]*financials[[#This Row],[Sale Price]]</f>
        <v>375</v>
      </c>
      <c r="H781" s="8">
        <f>IF(financials[[#This Row],[Discount Band]]="low",0.1,IF(financials[[#This Row],[Discount Band]]="medium",0.15,0.3))</f>
        <v>0.3</v>
      </c>
      <c r="I781" s="8">
        <f>financials[[#This Row],[Gross Sales]]-financials[[#This Row],[Gross Sales]]*financials[[#This Row],[Discounts]]</f>
        <v>262.5</v>
      </c>
      <c r="J781" s="8">
        <f>VLOOKUP(financials[[#This Row],[productid]],Products!$B$2:$H$10,4)</f>
        <v>9.1</v>
      </c>
      <c r="K781" s="8">
        <f>financials[[#This Row],[Net Sales]]-financials[[#This Row],[COGS]]</f>
        <v>253.4</v>
      </c>
      <c r="L781" s="15">
        <v>44702</v>
      </c>
      <c r="M781" t="s">
        <v>696</v>
      </c>
    </row>
    <row r="782" spans="1:13" x14ac:dyDescent="0.25">
      <c r="A782" t="s">
        <v>89</v>
      </c>
      <c r="B782" s="6" t="s">
        <v>158</v>
      </c>
      <c r="C782" s="13">
        <v>107</v>
      </c>
      <c r="D782" s="14" t="s">
        <v>91</v>
      </c>
      <c r="E782">
        <v>20</v>
      </c>
      <c r="F782" s="8">
        <f>VLOOKUP(financials[[#This Row],[productid]],Products!$B$2:$H$10,3)</f>
        <v>15</v>
      </c>
      <c r="G782" s="8">
        <f>financials[[#This Row],[Units Sold]]*financials[[#This Row],[Sale Price]]</f>
        <v>300</v>
      </c>
      <c r="H782" s="8">
        <f>IF(financials[[#This Row],[Discount Band]]="low",0.1,IF(financials[[#This Row],[Discount Band]]="medium",0.15,0.3))</f>
        <v>0.1</v>
      </c>
      <c r="I782" s="8">
        <f>financials[[#This Row],[Gross Sales]]-financials[[#This Row],[Gross Sales]]*financials[[#This Row],[Discounts]]</f>
        <v>270</v>
      </c>
      <c r="J782" s="8">
        <f>VLOOKUP(financials[[#This Row],[productid]],Products!$B$2:$H$10,4)</f>
        <v>5.5</v>
      </c>
      <c r="K782" s="8">
        <f>financials[[#This Row],[Net Sales]]-financials[[#This Row],[COGS]]</f>
        <v>264.5</v>
      </c>
      <c r="L782" s="15">
        <v>45547</v>
      </c>
      <c r="M782" t="s">
        <v>696</v>
      </c>
    </row>
    <row r="783" spans="1:13" x14ac:dyDescent="0.25">
      <c r="A783" t="s">
        <v>89</v>
      </c>
      <c r="B783" s="6" t="s">
        <v>287</v>
      </c>
      <c r="C783" s="13">
        <v>109</v>
      </c>
      <c r="D783" s="14" t="s">
        <v>90</v>
      </c>
      <c r="E783">
        <v>17</v>
      </c>
      <c r="F783" s="8">
        <f>VLOOKUP(financials[[#This Row],[productid]],Products!$B$2:$H$10,3)</f>
        <v>36</v>
      </c>
      <c r="G783" s="8">
        <f>financials[[#This Row],[Units Sold]]*financials[[#This Row],[Sale Price]]</f>
        <v>612</v>
      </c>
      <c r="H783" s="8">
        <f>IF(financials[[#This Row],[Discount Band]]="low",0.1,IF(financials[[#This Row],[Discount Band]]="medium",0.15,0.3))</f>
        <v>0.15</v>
      </c>
      <c r="I783" s="8">
        <f>financials[[#This Row],[Gross Sales]]-financials[[#This Row],[Gross Sales]]*financials[[#This Row],[Discounts]]</f>
        <v>520.20000000000005</v>
      </c>
      <c r="J783" s="8">
        <f>VLOOKUP(financials[[#This Row],[productid]],Products!$B$2:$H$10,4)</f>
        <v>16.8</v>
      </c>
      <c r="K783" s="8">
        <f>financials[[#This Row],[Net Sales]]-financials[[#This Row],[COGS]]</f>
        <v>503.40000000000003</v>
      </c>
      <c r="L783" s="15">
        <v>45545</v>
      </c>
      <c r="M783" t="s">
        <v>691</v>
      </c>
    </row>
    <row r="784" spans="1:13" x14ac:dyDescent="0.25">
      <c r="A784" t="s">
        <v>89</v>
      </c>
      <c r="B784" s="6" t="s">
        <v>617</v>
      </c>
      <c r="C784" s="13">
        <v>103</v>
      </c>
      <c r="D784" s="14" t="s">
        <v>83</v>
      </c>
      <c r="E784">
        <v>11</v>
      </c>
      <c r="F784" s="8">
        <f>VLOOKUP(financials[[#This Row],[productid]],Products!$B$2:$H$10,3)</f>
        <v>28</v>
      </c>
      <c r="G784" s="8">
        <f>financials[[#This Row],[Units Sold]]*financials[[#This Row],[Sale Price]]</f>
        <v>308</v>
      </c>
      <c r="H784" s="8">
        <f>IF(financials[[#This Row],[Discount Band]]="low",0.1,IF(financials[[#This Row],[Discount Band]]="medium",0.15,0.3))</f>
        <v>0.3</v>
      </c>
      <c r="I784" s="8">
        <f>financials[[#This Row],[Gross Sales]]-financials[[#This Row],[Gross Sales]]*financials[[#This Row],[Discounts]]</f>
        <v>215.60000000000002</v>
      </c>
      <c r="J784" s="8">
        <f>VLOOKUP(financials[[#This Row],[productid]],Products!$B$2:$H$10,4)</f>
        <v>15</v>
      </c>
      <c r="K784" s="8">
        <f>financials[[#This Row],[Net Sales]]-financials[[#This Row],[COGS]]</f>
        <v>200.60000000000002</v>
      </c>
      <c r="L784" s="15">
        <v>45287</v>
      </c>
      <c r="M784" t="s">
        <v>690</v>
      </c>
    </row>
    <row r="785" spans="1:13" x14ac:dyDescent="0.25">
      <c r="A785" t="s">
        <v>85</v>
      </c>
      <c r="B785" s="6" t="s">
        <v>274</v>
      </c>
      <c r="C785" s="13">
        <v>109</v>
      </c>
      <c r="D785" s="14" t="s">
        <v>91</v>
      </c>
      <c r="E785">
        <v>11</v>
      </c>
      <c r="F785" s="8">
        <f>VLOOKUP(financials[[#This Row],[productid]],Products!$B$2:$H$10,3)</f>
        <v>36</v>
      </c>
      <c r="G785" s="8">
        <f>financials[[#This Row],[Units Sold]]*financials[[#This Row],[Sale Price]]</f>
        <v>396</v>
      </c>
      <c r="H785" s="8">
        <f>IF(financials[[#This Row],[Discount Band]]="low",0.1,IF(financials[[#This Row],[Discount Band]]="medium",0.15,0.3))</f>
        <v>0.1</v>
      </c>
      <c r="I785" s="8">
        <f>financials[[#This Row],[Gross Sales]]-financials[[#This Row],[Gross Sales]]*financials[[#This Row],[Discounts]]</f>
        <v>356.4</v>
      </c>
      <c r="J785" s="8">
        <f>VLOOKUP(financials[[#This Row],[productid]],Products!$B$2:$H$10,4)</f>
        <v>16.8</v>
      </c>
      <c r="K785" s="8">
        <f>financials[[#This Row],[Net Sales]]-financials[[#This Row],[COGS]]</f>
        <v>339.59999999999997</v>
      </c>
      <c r="L785" s="15">
        <v>44759</v>
      </c>
      <c r="M785" t="s">
        <v>690</v>
      </c>
    </row>
    <row r="786" spans="1:13" x14ac:dyDescent="0.25">
      <c r="A786" t="s">
        <v>86</v>
      </c>
      <c r="B786" s="6" t="s">
        <v>198</v>
      </c>
      <c r="C786" s="11">
        <v>104</v>
      </c>
      <c r="D786" s="9" t="s">
        <v>83</v>
      </c>
      <c r="E786">
        <v>10</v>
      </c>
      <c r="F786" s="8">
        <f>VLOOKUP(financials[[#This Row],[productid]],Products!$B$2:$H$10,3)</f>
        <v>5.9</v>
      </c>
      <c r="G786" s="8">
        <f>financials[[#This Row],[Units Sold]]*financials[[#This Row],[Sale Price]]</f>
        <v>59</v>
      </c>
      <c r="H786" s="8">
        <f>IF(financials[[#This Row],[Discount Band]]="low",0.1,IF(financials[[#This Row],[Discount Band]]="medium",0.15,0.3))</f>
        <v>0.3</v>
      </c>
      <c r="I786" s="8">
        <f>financials[[#This Row],[Gross Sales]]-financials[[#This Row],[Gross Sales]]*financials[[#This Row],[Discounts]]</f>
        <v>41.3</v>
      </c>
      <c r="J786" s="8">
        <f>VLOOKUP(financials[[#This Row],[productid]],Products!$B$2:$H$10,4)</f>
        <v>2.9</v>
      </c>
      <c r="K786" s="8">
        <f>financials[[#This Row],[Net Sales]]-financials[[#This Row],[COGS]]</f>
        <v>38.4</v>
      </c>
      <c r="L786" s="15">
        <v>43833</v>
      </c>
      <c r="M786" t="s">
        <v>691</v>
      </c>
    </row>
    <row r="787" spans="1:13" x14ac:dyDescent="0.25">
      <c r="A787" t="s">
        <v>85</v>
      </c>
      <c r="B787" s="6" t="s">
        <v>240</v>
      </c>
      <c r="C787" s="13">
        <v>104</v>
      </c>
      <c r="D787" s="14" t="s">
        <v>83</v>
      </c>
      <c r="E787">
        <v>16</v>
      </c>
      <c r="F787" s="8">
        <f>VLOOKUP(financials[[#This Row],[productid]],Products!$B$2:$H$10,3)</f>
        <v>5.9</v>
      </c>
      <c r="G787" s="8">
        <f>financials[[#This Row],[Units Sold]]*financials[[#This Row],[Sale Price]]</f>
        <v>94.4</v>
      </c>
      <c r="H787" s="8">
        <f>IF(financials[[#This Row],[Discount Band]]="low",0.1,IF(financials[[#This Row],[Discount Band]]="medium",0.15,0.3))</f>
        <v>0.3</v>
      </c>
      <c r="I787" s="8">
        <f>financials[[#This Row],[Gross Sales]]-financials[[#This Row],[Gross Sales]]*financials[[#This Row],[Discounts]]</f>
        <v>66.080000000000013</v>
      </c>
      <c r="J787" s="8">
        <f>VLOOKUP(financials[[#This Row],[productid]],Products!$B$2:$H$10,4)</f>
        <v>2.9</v>
      </c>
      <c r="K787" s="8">
        <f>financials[[#This Row],[Net Sales]]-financials[[#This Row],[COGS]]</f>
        <v>63.180000000000014</v>
      </c>
      <c r="L787" s="15">
        <v>45381</v>
      </c>
      <c r="M787" t="s">
        <v>691</v>
      </c>
    </row>
    <row r="788" spans="1:13" x14ac:dyDescent="0.25">
      <c r="A788" t="s">
        <v>85</v>
      </c>
      <c r="B788" s="6" t="s">
        <v>158</v>
      </c>
      <c r="C788" s="13">
        <v>106</v>
      </c>
      <c r="D788" s="14" t="s">
        <v>91</v>
      </c>
      <c r="E788">
        <v>11</v>
      </c>
      <c r="F788" s="8">
        <f>VLOOKUP(financials[[#This Row],[productid]],Products!$B$2:$H$10,3)</f>
        <v>25</v>
      </c>
      <c r="G788" s="8">
        <f>financials[[#This Row],[Units Sold]]*financials[[#This Row],[Sale Price]]</f>
        <v>275</v>
      </c>
      <c r="H788" s="8">
        <f>IF(financials[[#This Row],[Discount Band]]="low",0.1,IF(financials[[#This Row],[Discount Band]]="medium",0.15,0.3))</f>
        <v>0.1</v>
      </c>
      <c r="I788" s="8">
        <f>financials[[#This Row],[Gross Sales]]-financials[[#This Row],[Gross Sales]]*financials[[#This Row],[Discounts]]</f>
        <v>247.5</v>
      </c>
      <c r="J788" s="8">
        <f>VLOOKUP(financials[[#This Row],[productid]],Products!$B$2:$H$10,4)</f>
        <v>9.1</v>
      </c>
      <c r="K788" s="8">
        <f>financials[[#This Row],[Net Sales]]-financials[[#This Row],[COGS]]</f>
        <v>238.4</v>
      </c>
      <c r="L788" s="15">
        <v>44905</v>
      </c>
      <c r="M788" t="s">
        <v>700</v>
      </c>
    </row>
    <row r="789" spans="1:13" x14ac:dyDescent="0.25">
      <c r="A789" t="s">
        <v>89</v>
      </c>
      <c r="B789" s="6" t="s">
        <v>197</v>
      </c>
      <c r="C789" s="13">
        <v>102</v>
      </c>
      <c r="D789" s="14" t="s">
        <v>90</v>
      </c>
      <c r="E789">
        <v>18</v>
      </c>
      <c r="F789" s="8">
        <f>VLOOKUP(financials[[#This Row],[productid]],Products!$B$2:$H$10,3)</f>
        <v>15</v>
      </c>
      <c r="G789" s="8">
        <f>financials[[#This Row],[Units Sold]]*financials[[#This Row],[Sale Price]]</f>
        <v>270</v>
      </c>
      <c r="H789" s="8">
        <f>IF(financials[[#This Row],[Discount Band]]="low",0.1,IF(financials[[#This Row],[Discount Band]]="medium",0.15,0.3))</f>
        <v>0.15</v>
      </c>
      <c r="I789" s="8">
        <f>financials[[#This Row],[Gross Sales]]-financials[[#This Row],[Gross Sales]]*financials[[#This Row],[Discounts]]</f>
        <v>229.5</v>
      </c>
      <c r="J789" s="8">
        <f>VLOOKUP(financials[[#This Row],[productid]],Products!$B$2:$H$10,4)</f>
        <v>13.95</v>
      </c>
      <c r="K789" s="8">
        <f>financials[[#This Row],[Net Sales]]-financials[[#This Row],[COGS]]</f>
        <v>215.55</v>
      </c>
      <c r="L789" s="15">
        <v>44326</v>
      </c>
      <c r="M789" t="s">
        <v>700</v>
      </c>
    </row>
    <row r="790" spans="1:13" x14ac:dyDescent="0.25">
      <c r="A790" t="s">
        <v>89</v>
      </c>
      <c r="B790" s="6" t="s">
        <v>148</v>
      </c>
      <c r="C790" s="13">
        <v>103</v>
      </c>
      <c r="D790" s="14" t="s">
        <v>83</v>
      </c>
      <c r="E790">
        <v>7</v>
      </c>
      <c r="F790" s="8">
        <f>VLOOKUP(financials[[#This Row],[productid]],Products!$B$2:$H$10,3)</f>
        <v>28</v>
      </c>
      <c r="G790" s="8">
        <f>financials[[#This Row],[Units Sold]]*financials[[#This Row],[Sale Price]]</f>
        <v>196</v>
      </c>
      <c r="H790" s="8">
        <f>IF(financials[[#This Row],[Discount Band]]="low",0.1,IF(financials[[#This Row],[Discount Band]]="medium",0.15,0.3))</f>
        <v>0.3</v>
      </c>
      <c r="I790" s="8">
        <f>financials[[#This Row],[Gross Sales]]-financials[[#This Row],[Gross Sales]]*financials[[#This Row],[Discounts]]</f>
        <v>137.19999999999999</v>
      </c>
      <c r="J790" s="8">
        <f>VLOOKUP(financials[[#This Row],[productid]],Products!$B$2:$H$10,4)</f>
        <v>15</v>
      </c>
      <c r="K790" s="8">
        <f>financials[[#This Row],[Net Sales]]-financials[[#This Row],[COGS]]</f>
        <v>122.19999999999999</v>
      </c>
      <c r="L790" s="15">
        <v>45069</v>
      </c>
      <c r="M790" t="s">
        <v>690</v>
      </c>
    </row>
    <row r="791" spans="1:13" x14ac:dyDescent="0.25">
      <c r="A791" t="s">
        <v>86</v>
      </c>
      <c r="B791" s="6" t="s">
        <v>94</v>
      </c>
      <c r="C791" s="13">
        <v>107</v>
      </c>
      <c r="D791" s="14" t="s">
        <v>83</v>
      </c>
      <c r="E791">
        <v>10</v>
      </c>
      <c r="F791" s="8">
        <f>VLOOKUP(financials[[#This Row],[productid]],Products!$B$2:$H$10,3)</f>
        <v>15</v>
      </c>
      <c r="G791" s="8">
        <f>financials[[#This Row],[Units Sold]]*financials[[#This Row],[Sale Price]]</f>
        <v>150</v>
      </c>
      <c r="H791" s="8">
        <f>IF(financials[[#This Row],[Discount Band]]="low",0.1,IF(financials[[#This Row],[Discount Band]]="medium",0.15,0.3))</f>
        <v>0.3</v>
      </c>
      <c r="I791" s="8">
        <f>financials[[#This Row],[Gross Sales]]-financials[[#This Row],[Gross Sales]]*financials[[#This Row],[Discounts]]</f>
        <v>105</v>
      </c>
      <c r="J791" s="8">
        <f>VLOOKUP(financials[[#This Row],[productid]],Products!$B$2:$H$10,4)</f>
        <v>5.5</v>
      </c>
      <c r="K791" s="8">
        <f>financials[[#This Row],[Net Sales]]-financials[[#This Row],[COGS]]</f>
        <v>99.5</v>
      </c>
      <c r="L791" s="15">
        <v>43950</v>
      </c>
      <c r="M791" t="s">
        <v>700</v>
      </c>
    </row>
    <row r="792" spans="1:13" x14ac:dyDescent="0.25">
      <c r="A792" t="s">
        <v>85</v>
      </c>
      <c r="B792" s="6" t="s">
        <v>545</v>
      </c>
      <c r="C792" s="13">
        <v>102</v>
      </c>
      <c r="D792" s="14" t="s">
        <v>90</v>
      </c>
      <c r="E792">
        <v>17</v>
      </c>
      <c r="F792" s="8">
        <f>VLOOKUP(financials[[#This Row],[productid]],Products!$B$2:$H$10,3)</f>
        <v>15</v>
      </c>
      <c r="G792" s="8">
        <f>financials[[#This Row],[Units Sold]]*financials[[#This Row],[Sale Price]]</f>
        <v>255</v>
      </c>
      <c r="H792" s="8">
        <f>IF(financials[[#This Row],[Discount Band]]="low",0.1,IF(financials[[#This Row],[Discount Band]]="medium",0.15,0.3))</f>
        <v>0.15</v>
      </c>
      <c r="I792" s="8">
        <f>financials[[#This Row],[Gross Sales]]-financials[[#This Row],[Gross Sales]]*financials[[#This Row],[Discounts]]</f>
        <v>216.75</v>
      </c>
      <c r="J792" s="8">
        <f>VLOOKUP(financials[[#This Row],[productid]],Products!$B$2:$H$10,4)</f>
        <v>13.95</v>
      </c>
      <c r="K792" s="8">
        <f>financials[[#This Row],[Net Sales]]-financials[[#This Row],[COGS]]</f>
        <v>202.8</v>
      </c>
      <c r="L792" s="15">
        <v>44433</v>
      </c>
      <c r="M792" t="s">
        <v>697</v>
      </c>
    </row>
    <row r="793" spans="1:13" x14ac:dyDescent="0.25">
      <c r="A793" t="s">
        <v>85</v>
      </c>
      <c r="B793" s="6" t="s">
        <v>93</v>
      </c>
      <c r="C793" s="13">
        <v>101</v>
      </c>
      <c r="D793" s="14" t="s">
        <v>91</v>
      </c>
      <c r="E793">
        <v>11</v>
      </c>
      <c r="F793" s="8">
        <f>VLOOKUP(financials[[#This Row],[productid]],Products!$B$2:$H$10,3)</f>
        <v>23</v>
      </c>
      <c r="G793" s="8">
        <f>financials[[#This Row],[Units Sold]]*financials[[#This Row],[Sale Price]]</f>
        <v>253</v>
      </c>
      <c r="H793" s="8">
        <f>IF(financials[[#This Row],[Discount Band]]="low",0.1,IF(financials[[#This Row],[Discount Band]]="medium",0.15,0.3))</f>
        <v>0.1</v>
      </c>
      <c r="I793" s="8">
        <f>financials[[#This Row],[Gross Sales]]-financials[[#This Row],[Gross Sales]]*financials[[#This Row],[Discounts]]</f>
        <v>227.7</v>
      </c>
      <c r="J793" s="8">
        <f>VLOOKUP(financials[[#This Row],[productid]],Products!$B$2:$H$10,4)</f>
        <v>9.9499999999999993</v>
      </c>
      <c r="K793" s="8">
        <f>financials[[#This Row],[Net Sales]]-financials[[#This Row],[COGS]]</f>
        <v>217.75</v>
      </c>
      <c r="L793" s="15">
        <v>44719</v>
      </c>
      <c r="M793" t="s">
        <v>696</v>
      </c>
    </row>
    <row r="794" spans="1:13" x14ac:dyDescent="0.25">
      <c r="A794" t="s">
        <v>86</v>
      </c>
      <c r="B794" s="6" t="s">
        <v>94</v>
      </c>
      <c r="C794" s="11">
        <v>102</v>
      </c>
      <c r="D794" s="9" t="s">
        <v>92</v>
      </c>
      <c r="E794">
        <v>20</v>
      </c>
      <c r="F794" s="8">
        <f>VLOOKUP(financials[[#This Row],[productid]],Products!$B$2:$H$10,3)</f>
        <v>15</v>
      </c>
      <c r="G794" s="8">
        <f>financials[[#This Row],[Units Sold]]*financials[[#This Row],[Sale Price]]</f>
        <v>300</v>
      </c>
      <c r="H794" s="8">
        <f>IF(financials[[#This Row],[Discount Band]]="low",0.1,IF(financials[[#This Row],[Discount Band]]="medium",0.15,0.3))</f>
        <v>0.3</v>
      </c>
      <c r="I794" s="8">
        <f>financials[[#This Row],[Gross Sales]]-financials[[#This Row],[Gross Sales]]*financials[[#This Row],[Discounts]]</f>
        <v>210</v>
      </c>
      <c r="J794" s="8">
        <f>VLOOKUP(financials[[#This Row],[productid]],Products!$B$2:$H$10,4)</f>
        <v>13.95</v>
      </c>
      <c r="K794" s="8">
        <f>financials[[#This Row],[Net Sales]]-financials[[#This Row],[COGS]]</f>
        <v>196.05</v>
      </c>
      <c r="L794" s="15">
        <v>44294</v>
      </c>
      <c r="M794" t="s">
        <v>697</v>
      </c>
    </row>
    <row r="795" spans="1:13" x14ac:dyDescent="0.25">
      <c r="A795" t="s">
        <v>86</v>
      </c>
      <c r="B795" s="6" t="s">
        <v>95</v>
      </c>
      <c r="C795" s="13">
        <v>105</v>
      </c>
      <c r="D795" s="14" t="s">
        <v>90</v>
      </c>
      <c r="E795">
        <v>10</v>
      </c>
      <c r="F795" s="8">
        <f>VLOOKUP(financials[[#This Row],[productid]],Products!$B$2:$H$10,3)</f>
        <v>15</v>
      </c>
      <c r="G795" s="8">
        <f>financials[[#This Row],[Units Sold]]*financials[[#This Row],[Sale Price]]</f>
        <v>150</v>
      </c>
      <c r="H795" s="8">
        <f>IF(financials[[#This Row],[Discount Band]]="low",0.1,IF(financials[[#This Row],[Discount Band]]="medium",0.15,0.3))</f>
        <v>0.15</v>
      </c>
      <c r="I795" s="8">
        <f>financials[[#This Row],[Gross Sales]]-financials[[#This Row],[Gross Sales]]*financials[[#This Row],[Discounts]]</f>
        <v>127.5</v>
      </c>
      <c r="J795" s="8">
        <f>VLOOKUP(financials[[#This Row],[productid]],Products!$B$2:$H$10,4)</f>
        <v>10</v>
      </c>
      <c r="K795" s="8">
        <f>financials[[#This Row],[Net Sales]]-financials[[#This Row],[COGS]]</f>
        <v>117.5</v>
      </c>
      <c r="L795" s="15">
        <v>44134</v>
      </c>
      <c r="M795" t="s">
        <v>700</v>
      </c>
    </row>
    <row r="796" spans="1:13" x14ac:dyDescent="0.25">
      <c r="A796" t="s">
        <v>86</v>
      </c>
      <c r="B796" s="6" t="s">
        <v>95</v>
      </c>
      <c r="C796" s="13">
        <v>104</v>
      </c>
      <c r="D796" s="14" t="s">
        <v>92</v>
      </c>
      <c r="E796">
        <v>11</v>
      </c>
      <c r="F796" s="8">
        <f>VLOOKUP(financials[[#This Row],[productid]],Products!$B$2:$H$10,3)</f>
        <v>5.9</v>
      </c>
      <c r="G796" s="8">
        <f>financials[[#This Row],[Units Sold]]*financials[[#This Row],[Sale Price]]</f>
        <v>64.900000000000006</v>
      </c>
      <c r="H796" s="8">
        <f>IF(financials[[#This Row],[Discount Band]]="low",0.1,IF(financials[[#This Row],[Discount Band]]="medium",0.15,0.3))</f>
        <v>0.3</v>
      </c>
      <c r="I796" s="8">
        <f>financials[[#This Row],[Gross Sales]]-financials[[#This Row],[Gross Sales]]*financials[[#This Row],[Discounts]]</f>
        <v>45.430000000000007</v>
      </c>
      <c r="J796" s="8">
        <f>VLOOKUP(financials[[#This Row],[productid]],Products!$B$2:$H$10,4)</f>
        <v>2.9</v>
      </c>
      <c r="K796" s="8">
        <f>financials[[#This Row],[Net Sales]]-financials[[#This Row],[COGS]]</f>
        <v>42.530000000000008</v>
      </c>
      <c r="L796" s="15">
        <v>44480</v>
      </c>
      <c r="M796" t="s">
        <v>690</v>
      </c>
    </row>
    <row r="797" spans="1:13" x14ac:dyDescent="0.25">
      <c r="A797" t="s">
        <v>85</v>
      </c>
      <c r="B797" s="6" t="s">
        <v>240</v>
      </c>
      <c r="C797" s="13">
        <v>105</v>
      </c>
      <c r="D797" s="14" t="s">
        <v>83</v>
      </c>
      <c r="E797">
        <v>6</v>
      </c>
      <c r="F797" s="8">
        <f>VLOOKUP(financials[[#This Row],[productid]],Products!$B$2:$H$10,3)</f>
        <v>15</v>
      </c>
      <c r="G797" s="8">
        <f>financials[[#This Row],[Units Sold]]*financials[[#This Row],[Sale Price]]</f>
        <v>90</v>
      </c>
      <c r="H797" s="8">
        <f>IF(financials[[#This Row],[Discount Band]]="low",0.1,IF(financials[[#This Row],[Discount Band]]="medium",0.15,0.3))</f>
        <v>0.3</v>
      </c>
      <c r="I797" s="8">
        <f>financials[[#This Row],[Gross Sales]]-financials[[#This Row],[Gross Sales]]*financials[[#This Row],[Discounts]]</f>
        <v>63</v>
      </c>
      <c r="J797" s="8">
        <f>VLOOKUP(financials[[#This Row],[productid]],Products!$B$2:$H$10,4)</f>
        <v>10</v>
      </c>
      <c r="K797" s="8">
        <f>financials[[#This Row],[Net Sales]]-financials[[#This Row],[COGS]]</f>
        <v>53</v>
      </c>
      <c r="L797" s="15">
        <v>44452</v>
      </c>
      <c r="M797" t="s">
        <v>690</v>
      </c>
    </row>
    <row r="798" spans="1:13" x14ac:dyDescent="0.25">
      <c r="A798" t="s">
        <v>85</v>
      </c>
      <c r="B798" s="6" t="s">
        <v>94</v>
      </c>
      <c r="C798" s="13">
        <v>103</v>
      </c>
      <c r="D798" s="14" t="s">
        <v>91</v>
      </c>
      <c r="E798">
        <v>16</v>
      </c>
      <c r="F798" s="8">
        <f>VLOOKUP(financials[[#This Row],[productid]],Products!$B$2:$H$10,3)</f>
        <v>28</v>
      </c>
      <c r="G798" s="8">
        <f>financials[[#This Row],[Units Sold]]*financials[[#This Row],[Sale Price]]</f>
        <v>448</v>
      </c>
      <c r="H798" s="8">
        <f>IF(financials[[#This Row],[Discount Band]]="low",0.1,IF(financials[[#This Row],[Discount Band]]="medium",0.15,0.3))</f>
        <v>0.1</v>
      </c>
      <c r="I798" s="8">
        <f>financials[[#This Row],[Gross Sales]]-financials[[#This Row],[Gross Sales]]*financials[[#This Row],[Discounts]]</f>
        <v>403.2</v>
      </c>
      <c r="J798" s="8">
        <f>VLOOKUP(financials[[#This Row],[productid]],Products!$B$2:$H$10,4)</f>
        <v>15</v>
      </c>
      <c r="K798" s="8">
        <f>financials[[#This Row],[Net Sales]]-financials[[#This Row],[COGS]]</f>
        <v>388.2</v>
      </c>
      <c r="L798" s="15">
        <v>45157</v>
      </c>
      <c r="M798" t="s">
        <v>691</v>
      </c>
    </row>
    <row r="799" spans="1:13" x14ac:dyDescent="0.25">
      <c r="A799" t="s">
        <v>85</v>
      </c>
      <c r="B799" s="6" t="s">
        <v>125</v>
      </c>
      <c r="C799" s="13">
        <v>104</v>
      </c>
      <c r="D799" s="14" t="s">
        <v>83</v>
      </c>
      <c r="E799">
        <v>14</v>
      </c>
      <c r="F799" s="8">
        <f>VLOOKUP(financials[[#This Row],[productid]],Products!$B$2:$H$10,3)</f>
        <v>5.9</v>
      </c>
      <c r="G799" s="8">
        <f>financials[[#This Row],[Units Sold]]*financials[[#This Row],[Sale Price]]</f>
        <v>82.600000000000009</v>
      </c>
      <c r="H799" s="8">
        <f>IF(financials[[#This Row],[Discount Band]]="low",0.1,IF(financials[[#This Row],[Discount Band]]="medium",0.15,0.3))</f>
        <v>0.3</v>
      </c>
      <c r="I799" s="8">
        <f>financials[[#This Row],[Gross Sales]]-financials[[#This Row],[Gross Sales]]*financials[[#This Row],[Discounts]]</f>
        <v>57.820000000000007</v>
      </c>
      <c r="J799" s="8">
        <f>VLOOKUP(financials[[#This Row],[productid]],Products!$B$2:$H$10,4)</f>
        <v>2.9</v>
      </c>
      <c r="K799" s="8">
        <f>financials[[#This Row],[Net Sales]]-financials[[#This Row],[COGS]]</f>
        <v>54.920000000000009</v>
      </c>
      <c r="L799" s="15">
        <v>45115</v>
      </c>
      <c r="M799" t="s">
        <v>690</v>
      </c>
    </row>
    <row r="800" spans="1:13" x14ac:dyDescent="0.25">
      <c r="A800" t="s">
        <v>89</v>
      </c>
      <c r="B800" s="6" t="s">
        <v>274</v>
      </c>
      <c r="C800" s="11">
        <v>102</v>
      </c>
      <c r="D800" s="9" t="s">
        <v>83</v>
      </c>
      <c r="E800">
        <v>5</v>
      </c>
      <c r="F800" s="8">
        <f>VLOOKUP(financials[[#This Row],[productid]],Products!$B$2:$H$10,3)</f>
        <v>15</v>
      </c>
      <c r="G800" s="8">
        <f>financials[[#This Row],[Units Sold]]*financials[[#This Row],[Sale Price]]</f>
        <v>75</v>
      </c>
      <c r="H800" s="8">
        <f>IF(financials[[#This Row],[Discount Band]]="low",0.1,IF(financials[[#This Row],[Discount Band]]="medium",0.15,0.3))</f>
        <v>0.3</v>
      </c>
      <c r="I800" s="8">
        <f>financials[[#This Row],[Gross Sales]]-financials[[#This Row],[Gross Sales]]*financials[[#This Row],[Discounts]]</f>
        <v>52.5</v>
      </c>
      <c r="J800" s="8">
        <f>VLOOKUP(financials[[#This Row],[productid]],Products!$B$2:$H$10,4)</f>
        <v>13.95</v>
      </c>
      <c r="K800" s="8">
        <f>financials[[#This Row],[Net Sales]]-financials[[#This Row],[COGS]]</f>
        <v>38.549999999999997</v>
      </c>
      <c r="L800" s="15">
        <v>44754</v>
      </c>
      <c r="M800" t="s">
        <v>696</v>
      </c>
    </row>
    <row r="801" spans="1:13" x14ac:dyDescent="0.25">
      <c r="A801" t="s">
        <v>89</v>
      </c>
      <c r="B801" s="6" t="s">
        <v>266</v>
      </c>
      <c r="C801" s="13">
        <v>102</v>
      </c>
      <c r="D801" s="14" t="s">
        <v>91</v>
      </c>
      <c r="E801">
        <v>12</v>
      </c>
      <c r="F801" s="8">
        <f>VLOOKUP(financials[[#This Row],[productid]],Products!$B$2:$H$10,3)</f>
        <v>15</v>
      </c>
      <c r="G801" s="8">
        <f>financials[[#This Row],[Units Sold]]*financials[[#This Row],[Sale Price]]</f>
        <v>180</v>
      </c>
      <c r="H801" s="8">
        <f>IF(financials[[#This Row],[Discount Band]]="low",0.1,IF(financials[[#This Row],[Discount Band]]="medium",0.15,0.3))</f>
        <v>0.1</v>
      </c>
      <c r="I801" s="8">
        <f>financials[[#This Row],[Gross Sales]]-financials[[#This Row],[Gross Sales]]*financials[[#This Row],[Discounts]]</f>
        <v>162</v>
      </c>
      <c r="J801" s="8">
        <f>VLOOKUP(financials[[#This Row],[productid]],Products!$B$2:$H$10,4)</f>
        <v>13.95</v>
      </c>
      <c r="K801" s="8">
        <f>financials[[#This Row],[Net Sales]]-financials[[#This Row],[COGS]]</f>
        <v>148.05000000000001</v>
      </c>
      <c r="L801" s="15">
        <v>45325</v>
      </c>
      <c r="M801" t="s">
        <v>696</v>
      </c>
    </row>
    <row r="802" spans="1:13" x14ac:dyDescent="0.25">
      <c r="A802" t="s">
        <v>89</v>
      </c>
      <c r="B802" s="6" t="s">
        <v>266</v>
      </c>
      <c r="C802" s="13">
        <v>101</v>
      </c>
      <c r="D802" s="14" t="s">
        <v>90</v>
      </c>
      <c r="E802">
        <v>7</v>
      </c>
      <c r="F802" s="8">
        <f>VLOOKUP(financials[[#This Row],[productid]],Products!$B$2:$H$10,3)</f>
        <v>23</v>
      </c>
      <c r="G802" s="8">
        <f>financials[[#This Row],[Units Sold]]*financials[[#This Row],[Sale Price]]</f>
        <v>161</v>
      </c>
      <c r="H802" s="8">
        <f>IF(financials[[#This Row],[Discount Band]]="low",0.1,IF(financials[[#This Row],[Discount Band]]="medium",0.15,0.3))</f>
        <v>0.15</v>
      </c>
      <c r="I802" s="8">
        <f>financials[[#This Row],[Gross Sales]]-financials[[#This Row],[Gross Sales]]*financials[[#This Row],[Discounts]]</f>
        <v>136.85</v>
      </c>
      <c r="J802" s="8">
        <f>VLOOKUP(financials[[#This Row],[productid]],Products!$B$2:$H$10,4)</f>
        <v>9.9499999999999993</v>
      </c>
      <c r="K802" s="8">
        <f>financials[[#This Row],[Net Sales]]-financials[[#This Row],[COGS]]</f>
        <v>126.89999999999999</v>
      </c>
      <c r="L802" s="15">
        <v>44708</v>
      </c>
      <c r="M802" t="s">
        <v>697</v>
      </c>
    </row>
    <row r="803" spans="1:13" x14ac:dyDescent="0.25">
      <c r="A803" t="s">
        <v>89</v>
      </c>
      <c r="B803" s="6" t="s">
        <v>158</v>
      </c>
      <c r="C803" s="13">
        <v>104</v>
      </c>
      <c r="D803" s="14" t="s">
        <v>90</v>
      </c>
      <c r="E803">
        <v>18</v>
      </c>
      <c r="F803" s="8">
        <f>VLOOKUP(financials[[#This Row],[productid]],Products!$B$2:$H$10,3)</f>
        <v>5.9</v>
      </c>
      <c r="G803" s="8">
        <f>financials[[#This Row],[Units Sold]]*financials[[#This Row],[Sale Price]]</f>
        <v>106.2</v>
      </c>
      <c r="H803" s="8">
        <f>IF(financials[[#This Row],[Discount Band]]="low",0.1,IF(financials[[#This Row],[Discount Band]]="medium",0.15,0.3))</f>
        <v>0.15</v>
      </c>
      <c r="I803" s="8">
        <f>financials[[#This Row],[Gross Sales]]-financials[[#This Row],[Gross Sales]]*financials[[#This Row],[Discounts]]</f>
        <v>90.27000000000001</v>
      </c>
      <c r="J803" s="8">
        <f>VLOOKUP(financials[[#This Row],[productid]],Products!$B$2:$H$10,4)</f>
        <v>2.9</v>
      </c>
      <c r="K803" s="8">
        <f>financials[[#This Row],[Net Sales]]-financials[[#This Row],[COGS]]</f>
        <v>87.37</v>
      </c>
      <c r="L803" s="15">
        <v>45257</v>
      </c>
      <c r="M803" t="s">
        <v>690</v>
      </c>
    </row>
    <row r="804" spans="1:13" x14ac:dyDescent="0.25">
      <c r="A804" t="s">
        <v>85</v>
      </c>
      <c r="B804" s="6" t="s">
        <v>197</v>
      </c>
      <c r="C804" s="11">
        <v>102</v>
      </c>
      <c r="D804" s="9" t="s">
        <v>90</v>
      </c>
      <c r="E804">
        <v>20</v>
      </c>
      <c r="F804" s="8">
        <f>VLOOKUP(financials[[#This Row],[productid]],Products!$B$2:$H$10,3)</f>
        <v>15</v>
      </c>
      <c r="G804" s="8">
        <f>financials[[#This Row],[Units Sold]]*financials[[#This Row],[Sale Price]]</f>
        <v>300</v>
      </c>
      <c r="H804" s="8">
        <f>IF(financials[[#This Row],[Discount Band]]="low",0.1,IF(financials[[#This Row],[Discount Band]]="medium",0.15,0.3))</f>
        <v>0.15</v>
      </c>
      <c r="I804" s="8">
        <f>financials[[#This Row],[Gross Sales]]-financials[[#This Row],[Gross Sales]]*financials[[#This Row],[Discounts]]</f>
        <v>255</v>
      </c>
      <c r="J804" s="8">
        <f>VLOOKUP(financials[[#This Row],[productid]],Products!$B$2:$H$10,4)</f>
        <v>13.95</v>
      </c>
      <c r="K804" s="8">
        <f>financials[[#This Row],[Net Sales]]-financials[[#This Row],[COGS]]</f>
        <v>241.05</v>
      </c>
      <c r="L804" s="15">
        <v>45004</v>
      </c>
      <c r="M804" t="s">
        <v>700</v>
      </c>
    </row>
    <row r="805" spans="1:13" x14ac:dyDescent="0.25">
      <c r="A805" t="s">
        <v>85</v>
      </c>
      <c r="B805" s="6" t="s">
        <v>125</v>
      </c>
      <c r="C805" s="13">
        <v>105</v>
      </c>
      <c r="D805" s="14" t="s">
        <v>90</v>
      </c>
      <c r="E805">
        <v>15</v>
      </c>
      <c r="F805" s="8">
        <f>VLOOKUP(financials[[#This Row],[productid]],Products!$B$2:$H$10,3)</f>
        <v>15</v>
      </c>
      <c r="G805" s="8">
        <f>financials[[#This Row],[Units Sold]]*financials[[#This Row],[Sale Price]]</f>
        <v>225</v>
      </c>
      <c r="H805" s="8">
        <f>IF(financials[[#This Row],[Discount Band]]="low",0.1,IF(financials[[#This Row],[Discount Band]]="medium",0.15,0.3))</f>
        <v>0.15</v>
      </c>
      <c r="I805" s="8">
        <f>financials[[#This Row],[Gross Sales]]-financials[[#This Row],[Gross Sales]]*financials[[#This Row],[Discounts]]</f>
        <v>191.25</v>
      </c>
      <c r="J805" s="8">
        <f>VLOOKUP(financials[[#This Row],[productid]],Products!$B$2:$H$10,4)</f>
        <v>10</v>
      </c>
      <c r="K805" s="8">
        <f>financials[[#This Row],[Net Sales]]-financials[[#This Row],[COGS]]</f>
        <v>181.25</v>
      </c>
      <c r="L805" s="15">
        <v>44710</v>
      </c>
      <c r="M805" t="s">
        <v>697</v>
      </c>
    </row>
    <row r="806" spans="1:13" x14ac:dyDescent="0.25">
      <c r="A806" t="s">
        <v>85</v>
      </c>
      <c r="B806" s="6" t="s">
        <v>167</v>
      </c>
      <c r="C806" s="13">
        <v>109</v>
      </c>
      <c r="D806" s="14" t="s">
        <v>83</v>
      </c>
      <c r="E806">
        <v>9</v>
      </c>
      <c r="F806" s="8">
        <f>VLOOKUP(financials[[#This Row],[productid]],Products!$B$2:$H$10,3)</f>
        <v>36</v>
      </c>
      <c r="G806" s="8">
        <f>financials[[#This Row],[Units Sold]]*financials[[#This Row],[Sale Price]]</f>
        <v>324</v>
      </c>
      <c r="H806" s="8">
        <f>IF(financials[[#This Row],[Discount Band]]="low",0.1,IF(financials[[#This Row],[Discount Band]]="medium",0.15,0.3))</f>
        <v>0.3</v>
      </c>
      <c r="I806" s="8">
        <f>financials[[#This Row],[Gross Sales]]-financials[[#This Row],[Gross Sales]]*financials[[#This Row],[Discounts]]</f>
        <v>226.8</v>
      </c>
      <c r="J806" s="8">
        <f>VLOOKUP(financials[[#This Row],[productid]],Products!$B$2:$H$10,4)</f>
        <v>16.8</v>
      </c>
      <c r="K806" s="8">
        <f>financials[[#This Row],[Net Sales]]-financials[[#This Row],[COGS]]</f>
        <v>210</v>
      </c>
      <c r="L806" s="15">
        <v>45054</v>
      </c>
      <c r="M806" t="s">
        <v>697</v>
      </c>
    </row>
    <row r="807" spans="1:13" x14ac:dyDescent="0.25">
      <c r="A807" t="s">
        <v>86</v>
      </c>
      <c r="B807" s="6" t="s">
        <v>287</v>
      </c>
      <c r="C807" s="11">
        <v>105</v>
      </c>
      <c r="D807" s="9" t="s">
        <v>90</v>
      </c>
      <c r="E807">
        <v>11</v>
      </c>
      <c r="F807" s="8">
        <f>VLOOKUP(financials[[#This Row],[productid]],Products!$B$2:$H$10,3)</f>
        <v>15</v>
      </c>
      <c r="G807" s="8">
        <f>financials[[#This Row],[Units Sold]]*financials[[#This Row],[Sale Price]]</f>
        <v>165</v>
      </c>
      <c r="H807" s="8">
        <f>IF(financials[[#This Row],[Discount Band]]="low",0.1,IF(financials[[#This Row],[Discount Band]]="medium",0.15,0.3))</f>
        <v>0.15</v>
      </c>
      <c r="I807" s="8">
        <f>financials[[#This Row],[Gross Sales]]-financials[[#This Row],[Gross Sales]]*financials[[#This Row],[Discounts]]</f>
        <v>140.25</v>
      </c>
      <c r="J807" s="8">
        <f>VLOOKUP(financials[[#This Row],[productid]],Products!$B$2:$H$10,4)</f>
        <v>10</v>
      </c>
      <c r="K807" s="8">
        <f>financials[[#This Row],[Net Sales]]-financials[[#This Row],[COGS]]</f>
        <v>130.25</v>
      </c>
      <c r="L807" s="15">
        <v>43897</v>
      </c>
      <c r="M807" t="s">
        <v>697</v>
      </c>
    </row>
    <row r="808" spans="1:13" x14ac:dyDescent="0.25">
      <c r="A808" t="s">
        <v>89</v>
      </c>
      <c r="B808" s="6" t="s">
        <v>287</v>
      </c>
      <c r="C808" s="13">
        <v>106</v>
      </c>
      <c r="D808" s="14" t="s">
        <v>83</v>
      </c>
      <c r="E808">
        <v>15</v>
      </c>
      <c r="F808" s="8">
        <f>VLOOKUP(financials[[#This Row],[productid]],Products!$B$2:$H$10,3)</f>
        <v>25</v>
      </c>
      <c r="G808" s="8">
        <f>financials[[#This Row],[Units Sold]]*financials[[#This Row],[Sale Price]]</f>
        <v>375</v>
      </c>
      <c r="H808" s="8">
        <f>IF(financials[[#This Row],[Discount Band]]="low",0.1,IF(financials[[#This Row],[Discount Band]]="medium",0.15,0.3))</f>
        <v>0.3</v>
      </c>
      <c r="I808" s="8">
        <f>financials[[#This Row],[Gross Sales]]-financials[[#This Row],[Gross Sales]]*financials[[#This Row],[Discounts]]</f>
        <v>262.5</v>
      </c>
      <c r="J808" s="8">
        <f>VLOOKUP(financials[[#This Row],[productid]],Products!$B$2:$H$10,4)</f>
        <v>9.1</v>
      </c>
      <c r="K808" s="8">
        <f>financials[[#This Row],[Net Sales]]-financials[[#This Row],[COGS]]</f>
        <v>253.4</v>
      </c>
      <c r="L808" s="15">
        <v>44301</v>
      </c>
      <c r="M808" t="s">
        <v>690</v>
      </c>
    </row>
    <row r="809" spans="1:13" x14ac:dyDescent="0.25">
      <c r="A809" t="s">
        <v>85</v>
      </c>
      <c r="B809" s="6" t="s">
        <v>274</v>
      </c>
      <c r="C809" s="13">
        <v>107</v>
      </c>
      <c r="D809" s="14" t="s">
        <v>83</v>
      </c>
      <c r="E809">
        <v>15</v>
      </c>
      <c r="F809" s="8">
        <f>VLOOKUP(financials[[#This Row],[productid]],Products!$B$2:$H$10,3)</f>
        <v>15</v>
      </c>
      <c r="G809" s="8">
        <f>financials[[#This Row],[Units Sold]]*financials[[#This Row],[Sale Price]]</f>
        <v>225</v>
      </c>
      <c r="H809" s="8">
        <f>IF(financials[[#This Row],[Discount Band]]="low",0.1,IF(financials[[#This Row],[Discount Band]]="medium",0.15,0.3))</f>
        <v>0.3</v>
      </c>
      <c r="I809" s="8">
        <f>financials[[#This Row],[Gross Sales]]-financials[[#This Row],[Gross Sales]]*financials[[#This Row],[Discounts]]</f>
        <v>157.5</v>
      </c>
      <c r="J809" s="8">
        <f>VLOOKUP(financials[[#This Row],[productid]],Products!$B$2:$H$10,4)</f>
        <v>5.5</v>
      </c>
      <c r="K809" s="8">
        <f>financials[[#This Row],[Net Sales]]-financials[[#This Row],[COGS]]</f>
        <v>152</v>
      </c>
      <c r="L809" s="15">
        <v>44563</v>
      </c>
      <c r="M809" t="s">
        <v>696</v>
      </c>
    </row>
    <row r="810" spans="1:13" x14ac:dyDescent="0.25">
      <c r="A810" t="s">
        <v>85</v>
      </c>
      <c r="B810" s="6" t="s">
        <v>617</v>
      </c>
      <c r="C810" s="13">
        <v>102</v>
      </c>
      <c r="D810" s="14" t="s">
        <v>90</v>
      </c>
      <c r="E810">
        <v>5</v>
      </c>
      <c r="F810" s="8">
        <f>VLOOKUP(financials[[#This Row],[productid]],Products!$B$2:$H$10,3)</f>
        <v>15</v>
      </c>
      <c r="G810" s="8">
        <f>financials[[#This Row],[Units Sold]]*financials[[#This Row],[Sale Price]]</f>
        <v>75</v>
      </c>
      <c r="H810" s="8">
        <f>IF(financials[[#This Row],[Discount Band]]="low",0.1,IF(financials[[#This Row],[Discount Band]]="medium",0.15,0.3))</f>
        <v>0.15</v>
      </c>
      <c r="I810" s="8">
        <f>financials[[#This Row],[Gross Sales]]-financials[[#This Row],[Gross Sales]]*financials[[#This Row],[Discounts]]</f>
        <v>63.75</v>
      </c>
      <c r="J810" s="8">
        <f>VLOOKUP(financials[[#This Row],[productid]],Products!$B$2:$H$10,4)</f>
        <v>13.95</v>
      </c>
      <c r="K810" s="8">
        <f>financials[[#This Row],[Net Sales]]-financials[[#This Row],[COGS]]</f>
        <v>49.8</v>
      </c>
      <c r="L810" s="15">
        <v>44744</v>
      </c>
      <c r="M810" t="s">
        <v>690</v>
      </c>
    </row>
    <row r="811" spans="1:13" x14ac:dyDescent="0.25">
      <c r="A811" t="s">
        <v>87</v>
      </c>
      <c r="B811" s="6" t="s">
        <v>644</v>
      </c>
      <c r="C811" s="11">
        <v>103</v>
      </c>
      <c r="D811" s="9" t="s">
        <v>91</v>
      </c>
      <c r="E811">
        <v>15</v>
      </c>
      <c r="F811" s="8">
        <f>VLOOKUP(financials[[#This Row],[productid]],Products!$B$2:$H$10,3)</f>
        <v>28</v>
      </c>
      <c r="G811" s="8">
        <f>financials[[#This Row],[Units Sold]]*financials[[#This Row],[Sale Price]]</f>
        <v>420</v>
      </c>
      <c r="H811" s="8">
        <f>IF(financials[[#This Row],[Discount Band]]="low",0.1,IF(financials[[#This Row],[Discount Band]]="medium",0.15,0.3))</f>
        <v>0.1</v>
      </c>
      <c r="I811" s="8">
        <f>financials[[#This Row],[Gross Sales]]-financials[[#This Row],[Gross Sales]]*financials[[#This Row],[Discounts]]</f>
        <v>378</v>
      </c>
      <c r="J811" s="8">
        <f>VLOOKUP(financials[[#This Row],[productid]],Products!$B$2:$H$10,4)</f>
        <v>15</v>
      </c>
      <c r="K811" s="8">
        <f>financials[[#This Row],[Net Sales]]-financials[[#This Row],[COGS]]</f>
        <v>363</v>
      </c>
      <c r="L811" s="15">
        <v>44834</v>
      </c>
      <c r="M811" t="s">
        <v>691</v>
      </c>
    </row>
    <row r="812" spans="1:13" x14ac:dyDescent="0.25">
      <c r="A812" t="s">
        <v>89</v>
      </c>
      <c r="B812" s="6" t="s">
        <v>232</v>
      </c>
      <c r="C812" s="13">
        <v>105</v>
      </c>
      <c r="D812" s="14" t="s">
        <v>83</v>
      </c>
      <c r="E812">
        <v>19</v>
      </c>
      <c r="F812" s="8">
        <f>VLOOKUP(financials[[#This Row],[productid]],Products!$B$2:$H$10,3)</f>
        <v>15</v>
      </c>
      <c r="G812" s="8">
        <f>financials[[#This Row],[Units Sold]]*financials[[#This Row],[Sale Price]]</f>
        <v>285</v>
      </c>
      <c r="H812" s="8">
        <f>IF(financials[[#This Row],[Discount Band]]="low",0.1,IF(financials[[#This Row],[Discount Band]]="medium",0.15,0.3))</f>
        <v>0.3</v>
      </c>
      <c r="I812" s="8">
        <f>financials[[#This Row],[Gross Sales]]-financials[[#This Row],[Gross Sales]]*financials[[#This Row],[Discounts]]</f>
        <v>199.5</v>
      </c>
      <c r="J812" s="8">
        <f>VLOOKUP(financials[[#This Row],[productid]],Products!$B$2:$H$10,4)</f>
        <v>10</v>
      </c>
      <c r="K812" s="8">
        <f>financials[[#This Row],[Net Sales]]-financials[[#This Row],[COGS]]</f>
        <v>189.5</v>
      </c>
      <c r="L812" s="15">
        <v>45551</v>
      </c>
      <c r="M812" t="s">
        <v>697</v>
      </c>
    </row>
    <row r="813" spans="1:13" x14ac:dyDescent="0.25">
      <c r="A813" t="s">
        <v>86</v>
      </c>
      <c r="B813" s="6" t="s">
        <v>93</v>
      </c>
      <c r="C813" s="13">
        <v>105</v>
      </c>
      <c r="D813" s="14" t="s">
        <v>91</v>
      </c>
      <c r="E813">
        <v>8</v>
      </c>
      <c r="F813" s="8">
        <f>VLOOKUP(financials[[#This Row],[productid]],Products!$B$2:$H$10,3)</f>
        <v>15</v>
      </c>
      <c r="G813" s="8">
        <f>financials[[#This Row],[Units Sold]]*financials[[#This Row],[Sale Price]]</f>
        <v>120</v>
      </c>
      <c r="H813" s="8">
        <f>IF(financials[[#This Row],[Discount Band]]="low",0.1,IF(financials[[#This Row],[Discount Band]]="medium",0.15,0.3))</f>
        <v>0.1</v>
      </c>
      <c r="I813" s="8">
        <f>financials[[#This Row],[Gross Sales]]-financials[[#This Row],[Gross Sales]]*financials[[#This Row],[Discounts]]</f>
        <v>108</v>
      </c>
      <c r="J813" s="8">
        <f>VLOOKUP(financials[[#This Row],[productid]],Products!$B$2:$H$10,4)</f>
        <v>10</v>
      </c>
      <c r="K813" s="8">
        <f>financials[[#This Row],[Net Sales]]-financials[[#This Row],[COGS]]</f>
        <v>98</v>
      </c>
      <c r="L813" s="15">
        <v>44156</v>
      </c>
      <c r="M813" t="s">
        <v>691</v>
      </c>
    </row>
    <row r="814" spans="1:13" x14ac:dyDescent="0.25">
      <c r="A814" t="s">
        <v>86</v>
      </c>
      <c r="B814" s="6" t="s">
        <v>158</v>
      </c>
      <c r="C814" s="13">
        <v>108</v>
      </c>
      <c r="D814" s="14" t="s">
        <v>90</v>
      </c>
      <c r="E814">
        <v>16</v>
      </c>
      <c r="F814" s="8">
        <f>VLOOKUP(financials[[#This Row],[productid]],Products!$B$2:$H$10,3)</f>
        <v>5.5</v>
      </c>
      <c r="G814" s="8">
        <f>financials[[#This Row],[Units Sold]]*financials[[#This Row],[Sale Price]]</f>
        <v>88</v>
      </c>
      <c r="H814" s="8">
        <f>IF(financials[[#This Row],[Discount Band]]="low",0.1,IF(financials[[#This Row],[Discount Band]]="medium",0.15,0.3))</f>
        <v>0.15</v>
      </c>
      <c r="I814" s="8">
        <f>financials[[#This Row],[Gross Sales]]-financials[[#This Row],[Gross Sales]]*financials[[#This Row],[Discounts]]</f>
        <v>74.8</v>
      </c>
      <c r="J814" s="8">
        <f>VLOOKUP(financials[[#This Row],[productid]],Products!$B$2:$H$10,4)</f>
        <v>3.99</v>
      </c>
      <c r="K814" s="8">
        <f>financials[[#This Row],[Net Sales]]-financials[[#This Row],[COGS]]</f>
        <v>70.81</v>
      </c>
      <c r="L814" s="15">
        <v>45412</v>
      </c>
      <c r="M814" t="s">
        <v>691</v>
      </c>
    </row>
    <row r="815" spans="1:13" x14ac:dyDescent="0.25">
      <c r="A815" t="s">
        <v>86</v>
      </c>
      <c r="B815" s="6" t="s">
        <v>95</v>
      </c>
      <c r="C815" s="13">
        <v>109</v>
      </c>
      <c r="D815" s="14" t="s">
        <v>91</v>
      </c>
      <c r="E815">
        <v>9</v>
      </c>
      <c r="F815" s="8">
        <f>VLOOKUP(financials[[#This Row],[productid]],Products!$B$2:$H$10,3)</f>
        <v>36</v>
      </c>
      <c r="G815" s="8">
        <f>financials[[#This Row],[Units Sold]]*financials[[#This Row],[Sale Price]]</f>
        <v>324</v>
      </c>
      <c r="H815" s="8">
        <f>IF(financials[[#This Row],[Discount Band]]="low",0.1,IF(financials[[#This Row],[Discount Band]]="medium",0.15,0.3))</f>
        <v>0.1</v>
      </c>
      <c r="I815" s="8">
        <f>financials[[#This Row],[Gross Sales]]-financials[[#This Row],[Gross Sales]]*financials[[#This Row],[Discounts]]</f>
        <v>291.60000000000002</v>
      </c>
      <c r="J815" s="8">
        <f>VLOOKUP(financials[[#This Row],[productid]],Products!$B$2:$H$10,4)</f>
        <v>16.8</v>
      </c>
      <c r="K815" s="8">
        <f>financials[[#This Row],[Net Sales]]-financials[[#This Row],[COGS]]</f>
        <v>274.8</v>
      </c>
      <c r="L815" s="15">
        <v>45585</v>
      </c>
      <c r="M815" t="s">
        <v>697</v>
      </c>
    </row>
    <row r="816" spans="1:13" x14ac:dyDescent="0.25">
      <c r="A816" t="s">
        <v>85</v>
      </c>
      <c r="B816" s="6" t="s">
        <v>125</v>
      </c>
      <c r="C816" s="13">
        <v>106</v>
      </c>
      <c r="D816" s="14" t="s">
        <v>90</v>
      </c>
      <c r="E816">
        <v>19</v>
      </c>
      <c r="F816" s="8">
        <f>VLOOKUP(financials[[#This Row],[productid]],Products!$B$2:$H$10,3)</f>
        <v>25</v>
      </c>
      <c r="G816" s="8">
        <f>financials[[#This Row],[Units Sold]]*financials[[#This Row],[Sale Price]]</f>
        <v>475</v>
      </c>
      <c r="H816" s="8">
        <f>IF(financials[[#This Row],[Discount Band]]="low",0.1,IF(financials[[#This Row],[Discount Band]]="medium",0.15,0.3))</f>
        <v>0.15</v>
      </c>
      <c r="I816" s="8">
        <f>financials[[#This Row],[Gross Sales]]-financials[[#This Row],[Gross Sales]]*financials[[#This Row],[Discounts]]</f>
        <v>403.75</v>
      </c>
      <c r="J816" s="8">
        <f>VLOOKUP(financials[[#This Row],[productid]],Products!$B$2:$H$10,4)</f>
        <v>9.1</v>
      </c>
      <c r="K816" s="8">
        <f>financials[[#This Row],[Net Sales]]-financials[[#This Row],[COGS]]</f>
        <v>394.65</v>
      </c>
      <c r="L816" s="15">
        <v>44205</v>
      </c>
      <c r="M816" t="s">
        <v>697</v>
      </c>
    </row>
    <row r="817" spans="1:13" x14ac:dyDescent="0.25">
      <c r="A817" t="s">
        <v>86</v>
      </c>
      <c r="B817" s="6" t="s">
        <v>617</v>
      </c>
      <c r="C817" s="13">
        <v>104</v>
      </c>
      <c r="D817" s="14" t="s">
        <v>83</v>
      </c>
      <c r="E817">
        <v>10</v>
      </c>
      <c r="F817" s="8">
        <f>VLOOKUP(financials[[#This Row],[productid]],Products!$B$2:$H$10,3)</f>
        <v>5.9</v>
      </c>
      <c r="G817" s="8">
        <f>financials[[#This Row],[Units Sold]]*financials[[#This Row],[Sale Price]]</f>
        <v>59</v>
      </c>
      <c r="H817" s="8">
        <f>IF(financials[[#This Row],[Discount Band]]="low",0.1,IF(financials[[#This Row],[Discount Band]]="medium",0.15,0.3))</f>
        <v>0.3</v>
      </c>
      <c r="I817" s="8">
        <f>financials[[#This Row],[Gross Sales]]-financials[[#This Row],[Gross Sales]]*financials[[#This Row],[Discounts]]</f>
        <v>41.3</v>
      </c>
      <c r="J817" s="8">
        <f>VLOOKUP(financials[[#This Row],[productid]],Products!$B$2:$H$10,4)</f>
        <v>2.9</v>
      </c>
      <c r="K817" s="8">
        <f>financials[[#This Row],[Net Sales]]-financials[[#This Row],[COGS]]</f>
        <v>38.4</v>
      </c>
      <c r="L817" s="15">
        <v>43856</v>
      </c>
      <c r="M817" t="s">
        <v>700</v>
      </c>
    </row>
    <row r="818" spans="1:13" x14ac:dyDescent="0.25">
      <c r="A818" t="s">
        <v>86</v>
      </c>
      <c r="B818" s="6" t="s">
        <v>198</v>
      </c>
      <c r="C818" s="13">
        <v>104</v>
      </c>
      <c r="D818" s="14" t="s">
        <v>90</v>
      </c>
      <c r="E818">
        <v>16</v>
      </c>
      <c r="F818" s="8">
        <f>VLOOKUP(financials[[#This Row],[productid]],Products!$B$2:$H$10,3)</f>
        <v>5.9</v>
      </c>
      <c r="G818" s="8">
        <f>financials[[#This Row],[Units Sold]]*financials[[#This Row],[Sale Price]]</f>
        <v>94.4</v>
      </c>
      <c r="H818" s="8">
        <f>IF(financials[[#This Row],[Discount Band]]="low",0.1,IF(financials[[#This Row],[Discount Band]]="medium",0.15,0.3))</f>
        <v>0.15</v>
      </c>
      <c r="I818" s="8">
        <f>financials[[#This Row],[Gross Sales]]-financials[[#This Row],[Gross Sales]]*financials[[#This Row],[Discounts]]</f>
        <v>80.240000000000009</v>
      </c>
      <c r="J818" s="8">
        <f>VLOOKUP(financials[[#This Row],[productid]],Products!$B$2:$H$10,4)</f>
        <v>2.9</v>
      </c>
      <c r="K818" s="8">
        <f>financials[[#This Row],[Net Sales]]-financials[[#This Row],[COGS]]</f>
        <v>77.34</v>
      </c>
      <c r="L818" s="15">
        <v>45476</v>
      </c>
      <c r="M818" t="s">
        <v>691</v>
      </c>
    </row>
    <row r="819" spans="1:13" x14ac:dyDescent="0.25">
      <c r="A819" t="s">
        <v>85</v>
      </c>
      <c r="B819" s="6" t="s">
        <v>228</v>
      </c>
      <c r="C819" s="13">
        <v>105</v>
      </c>
      <c r="D819" s="14" t="s">
        <v>90</v>
      </c>
      <c r="E819">
        <v>6</v>
      </c>
      <c r="F819" s="8">
        <f>VLOOKUP(financials[[#This Row],[productid]],Products!$B$2:$H$10,3)</f>
        <v>15</v>
      </c>
      <c r="G819" s="8">
        <f>financials[[#This Row],[Units Sold]]*financials[[#This Row],[Sale Price]]</f>
        <v>90</v>
      </c>
      <c r="H819" s="8">
        <f>IF(financials[[#This Row],[Discount Band]]="low",0.1,IF(financials[[#This Row],[Discount Band]]="medium",0.15,0.3))</f>
        <v>0.15</v>
      </c>
      <c r="I819" s="8">
        <f>financials[[#This Row],[Gross Sales]]-financials[[#This Row],[Gross Sales]]*financials[[#This Row],[Discounts]]</f>
        <v>76.5</v>
      </c>
      <c r="J819" s="8">
        <f>VLOOKUP(financials[[#This Row],[productid]],Products!$B$2:$H$10,4)</f>
        <v>10</v>
      </c>
      <c r="K819" s="8">
        <f>financials[[#This Row],[Net Sales]]-financials[[#This Row],[COGS]]</f>
        <v>66.5</v>
      </c>
      <c r="L819" s="15">
        <v>44047</v>
      </c>
      <c r="M819" t="s">
        <v>691</v>
      </c>
    </row>
    <row r="820" spans="1:13" x14ac:dyDescent="0.25">
      <c r="A820" t="s">
        <v>89</v>
      </c>
      <c r="B820" s="6" t="s">
        <v>617</v>
      </c>
      <c r="C820" s="11">
        <v>103</v>
      </c>
      <c r="D820" s="9" t="s">
        <v>91</v>
      </c>
      <c r="E820">
        <v>14</v>
      </c>
      <c r="F820" s="8">
        <f>VLOOKUP(financials[[#This Row],[productid]],Products!$B$2:$H$10,3)</f>
        <v>28</v>
      </c>
      <c r="G820" s="8">
        <f>financials[[#This Row],[Units Sold]]*financials[[#This Row],[Sale Price]]</f>
        <v>392</v>
      </c>
      <c r="H820" s="8">
        <f>IF(financials[[#This Row],[Discount Band]]="low",0.1,IF(financials[[#This Row],[Discount Band]]="medium",0.15,0.3))</f>
        <v>0.1</v>
      </c>
      <c r="I820" s="8">
        <f>financials[[#This Row],[Gross Sales]]-financials[[#This Row],[Gross Sales]]*financials[[#This Row],[Discounts]]</f>
        <v>352.8</v>
      </c>
      <c r="J820" s="8">
        <f>VLOOKUP(financials[[#This Row],[productid]],Products!$B$2:$H$10,4)</f>
        <v>15</v>
      </c>
      <c r="K820" s="8">
        <f>financials[[#This Row],[Net Sales]]-financials[[#This Row],[COGS]]</f>
        <v>337.8</v>
      </c>
      <c r="L820" s="15">
        <v>44061</v>
      </c>
      <c r="M820" t="s">
        <v>690</v>
      </c>
    </row>
    <row r="821" spans="1:13" x14ac:dyDescent="0.25">
      <c r="A821" t="s">
        <v>85</v>
      </c>
      <c r="B821" s="6" t="s">
        <v>95</v>
      </c>
      <c r="C821" s="13">
        <v>107</v>
      </c>
      <c r="D821" s="14" t="s">
        <v>83</v>
      </c>
      <c r="E821">
        <v>11</v>
      </c>
      <c r="F821" s="8">
        <f>VLOOKUP(financials[[#This Row],[productid]],Products!$B$2:$H$10,3)</f>
        <v>15</v>
      </c>
      <c r="G821" s="8">
        <f>financials[[#This Row],[Units Sold]]*financials[[#This Row],[Sale Price]]</f>
        <v>165</v>
      </c>
      <c r="H821" s="8">
        <f>IF(financials[[#This Row],[Discount Band]]="low",0.1,IF(financials[[#This Row],[Discount Band]]="medium",0.15,0.3))</f>
        <v>0.3</v>
      </c>
      <c r="I821" s="8">
        <f>financials[[#This Row],[Gross Sales]]-financials[[#This Row],[Gross Sales]]*financials[[#This Row],[Discounts]]</f>
        <v>115.5</v>
      </c>
      <c r="J821" s="8">
        <f>VLOOKUP(financials[[#This Row],[productid]],Products!$B$2:$H$10,4)</f>
        <v>5.5</v>
      </c>
      <c r="K821" s="8">
        <f>financials[[#This Row],[Net Sales]]-financials[[#This Row],[COGS]]</f>
        <v>110</v>
      </c>
      <c r="L821" s="15">
        <v>44082</v>
      </c>
      <c r="M821" t="s">
        <v>697</v>
      </c>
    </row>
    <row r="822" spans="1:13" x14ac:dyDescent="0.25">
      <c r="A822" t="s">
        <v>86</v>
      </c>
      <c r="B822" s="6" t="s">
        <v>545</v>
      </c>
      <c r="C822" s="13">
        <v>103</v>
      </c>
      <c r="D822" s="14" t="s">
        <v>90</v>
      </c>
      <c r="E822">
        <v>14</v>
      </c>
      <c r="F822" s="8">
        <f>VLOOKUP(financials[[#This Row],[productid]],Products!$B$2:$H$10,3)</f>
        <v>28</v>
      </c>
      <c r="G822" s="8">
        <f>financials[[#This Row],[Units Sold]]*financials[[#This Row],[Sale Price]]</f>
        <v>392</v>
      </c>
      <c r="H822" s="8">
        <f>IF(financials[[#This Row],[Discount Band]]="low",0.1,IF(financials[[#This Row],[Discount Band]]="medium",0.15,0.3))</f>
        <v>0.15</v>
      </c>
      <c r="I822" s="8">
        <f>financials[[#This Row],[Gross Sales]]-financials[[#This Row],[Gross Sales]]*financials[[#This Row],[Discounts]]</f>
        <v>333.2</v>
      </c>
      <c r="J822" s="8">
        <f>VLOOKUP(financials[[#This Row],[productid]],Products!$B$2:$H$10,4)</f>
        <v>15</v>
      </c>
      <c r="K822" s="8">
        <f>financials[[#This Row],[Net Sales]]-financials[[#This Row],[COGS]]</f>
        <v>318.2</v>
      </c>
      <c r="L822" s="15">
        <v>44131</v>
      </c>
      <c r="M822" t="s">
        <v>691</v>
      </c>
    </row>
    <row r="823" spans="1:13" x14ac:dyDescent="0.25">
      <c r="A823" t="s">
        <v>86</v>
      </c>
      <c r="B823" s="6" t="s">
        <v>158</v>
      </c>
      <c r="C823" s="13">
        <v>107</v>
      </c>
      <c r="D823" s="14" t="s">
        <v>91</v>
      </c>
      <c r="E823">
        <v>10</v>
      </c>
      <c r="F823" s="8">
        <f>VLOOKUP(financials[[#This Row],[productid]],Products!$B$2:$H$10,3)</f>
        <v>15</v>
      </c>
      <c r="G823" s="8">
        <f>financials[[#This Row],[Units Sold]]*financials[[#This Row],[Sale Price]]</f>
        <v>150</v>
      </c>
      <c r="H823" s="8">
        <f>IF(financials[[#This Row],[Discount Band]]="low",0.1,IF(financials[[#This Row],[Discount Band]]="medium",0.15,0.3))</f>
        <v>0.1</v>
      </c>
      <c r="I823" s="8">
        <f>financials[[#This Row],[Gross Sales]]-financials[[#This Row],[Gross Sales]]*financials[[#This Row],[Discounts]]</f>
        <v>135</v>
      </c>
      <c r="J823" s="8">
        <f>VLOOKUP(financials[[#This Row],[productid]],Products!$B$2:$H$10,4)</f>
        <v>5.5</v>
      </c>
      <c r="K823" s="8">
        <f>financials[[#This Row],[Net Sales]]-financials[[#This Row],[COGS]]</f>
        <v>129.5</v>
      </c>
      <c r="L823" s="15">
        <v>45170</v>
      </c>
      <c r="M823" t="s">
        <v>691</v>
      </c>
    </row>
    <row r="824" spans="1:13" x14ac:dyDescent="0.25">
      <c r="A824" t="s">
        <v>89</v>
      </c>
      <c r="B824" s="6" t="s">
        <v>240</v>
      </c>
      <c r="C824" s="13">
        <v>109</v>
      </c>
      <c r="D824" s="14" t="s">
        <v>92</v>
      </c>
      <c r="E824">
        <v>6</v>
      </c>
      <c r="F824" s="8">
        <f>VLOOKUP(financials[[#This Row],[productid]],Products!$B$2:$H$10,3)</f>
        <v>36</v>
      </c>
      <c r="G824" s="8">
        <f>financials[[#This Row],[Units Sold]]*financials[[#This Row],[Sale Price]]</f>
        <v>216</v>
      </c>
      <c r="H824" s="8">
        <f>IF(financials[[#This Row],[Discount Band]]="low",0.1,IF(financials[[#This Row],[Discount Band]]="medium",0.15,0.3))</f>
        <v>0.3</v>
      </c>
      <c r="I824" s="8">
        <f>financials[[#This Row],[Gross Sales]]-financials[[#This Row],[Gross Sales]]*financials[[#This Row],[Discounts]]</f>
        <v>151.19999999999999</v>
      </c>
      <c r="J824" s="8">
        <f>VLOOKUP(financials[[#This Row],[productid]],Products!$B$2:$H$10,4)</f>
        <v>16.8</v>
      </c>
      <c r="K824" s="8">
        <f>financials[[#This Row],[Net Sales]]-financials[[#This Row],[COGS]]</f>
        <v>134.39999999999998</v>
      </c>
      <c r="L824" s="15">
        <v>44466</v>
      </c>
      <c r="M824" t="s">
        <v>700</v>
      </c>
    </row>
    <row r="825" spans="1:13" x14ac:dyDescent="0.25">
      <c r="A825" t="s">
        <v>89</v>
      </c>
      <c r="B825" s="6" t="s">
        <v>240</v>
      </c>
      <c r="C825" s="13">
        <v>102</v>
      </c>
      <c r="D825" s="14" t="s">
        <v>91</v>
      </c>
      <c r="E825">
        <v>16</v>
      </c>
      <c r="F825" s="8">
        <f>VLOOKUP(financials[[#This Row],[productid]],Products!$B$2:$H$10,3)</f>
        <v>15</v>
      </c>
      <c r="G825" s="8">
        <f>financials[[#This Row],[Units Sold]]*financials[[#This Row],[Sale Price]]</f>
        <v>240</v>
      </c>
      <c r="H825" s="8">
        <f>IF(financials[[#This Row],[Discount Band]]="low",0.1,IF(financials[[#This Row],[Discount Band]]="medium",0.15,0.3))</f>
        <v>0.1</v>
      </c>
      <c r="I825" s="8">
        <f>financials[[#This Row],[Gross Sales]]-financials[[#This Row],[Gross Sales]]*financials[[#This Row],[Discounts]]</f>
        <v>216</v>
      </c>
      <c r="J825" s="8">
        <f>VLOOKUP(financials[[#This Row],[productid]],Products!$B$2:$H$10,4)</f>
        <v>13.95</v>
      </c>
      <c r="K825" s="8">
        <f>financials[[#This Row],[Net Sales]]-financials[[#This Row],[COGS]]</f>
        <v>202.05</v>
      </c>
      <c r="L825" s="15">
        <v>45317</v>
      </c>
      <c r="M825" t="s">
        <v>690</v>
      </c>
    </row>
    <row r="826" spans="1:13" x14ac:dyDescent="0.25">
      <c r="A826" t="s">
        <v>85</v>
      </c>
      <c r="B826" s="6" t="s">
        <v>545</v>
      </c>
      <c r="C826" s="13">
        <v>106</v>
      </c>
      <c r="D826" s="14" t="s">
        <v>91</v>
      </c>
      <c r="E826">
        <v>18</v>
      </c>
      <c r="F826" s="8">
        <f>VLOOKUP(financials[[#This Row],[productid]],Products!$B$2:$H$10,3)</f>
        <v>25</v>
      </c>
      <c r="G826" s="8">
        <f>financials[[#This Row],[Units Sold]]*financials[[#This Row],[Sale Price]]</f>
        <v>450</v>
      </c>
      <c r="H826" s="8">
        <f>IF(financials[[#This Row],[Discount Band]]="low",0.1,IF(financials[[#This Row],[Discount Band]]="medium",0.15,0.3))</f>
        <v>0.1</v>
      </c>
      <c r="I826" s="8">
        <f>financials[[#This Row],[Gross Sales]]-financials[[#This Row],[Gross Sales]]*financials[[#This Row],[Discounts]]</f>
        <v>405</v>
      </c>
      <c r="J826" s="8">
        <f>VLOOKUP(financials[[#This Row],[productid]],Products!$B$2:$H$10,4)</f>
        <v>9.1</v>
      </c>
      <c r="K826" s="8">
        <f>financials[[#This Row],[Net Sales]]-financials[[#This Row],[COGS]]</f>
        <v>395.9</v>
      </c>
      <c r="L826" s="15">
        <v>45128</v>
      </c>
      <c r="M826" t="s">
        <v>691</v>
      </c>
    </row>
    <row r="827" spans="1:13" x14ac:dyDescent="0.25">
      <c r="A827" t="s">
        <v>86</v>
      </c>
      <c r="B827" s="6" t="s">
        <v>545</v>
      </c>
      <c r="C827" s="13">
        <v>105</v>
      </c>
      <c r="D827" s="14" t="s">
        <v>91</v>
      </c>
      <c r="E827">
        <v>10</v>
      </c>
      <c r="F827" s="8">
        <f>VLOOKUP(financials[[#This Row],[productid]],Products!$B$2:$H$10,3)</f>
        <v>15</v>
      </c>
      <c r="G827" s="8">
        <f>financials[[#This Row],[Units Sold]]*financials[[#This Row],[Sale Price]]</f>
        <v>150</v>
      </c>
      <c r="H827" s="8">
        <f>IF(financials[[#This Row],[Discount Band]]="low",0.1,IF(financials[[#This Row],[Discount Band]]="medium",0.15,0.3))</f>
        <v>0.1</v>
      </c>
      <c r="I827" s="8">
        <f>financials[[#This Row],[Gross Sales]]-financials[[#This Row],[Gross Sales]]*financials[[#This Row],[Discounts]]</f>
        <v>135</v>
      </c>
      <c r="J827" s="8">
        <f>VLOOKUP(financials[[#This Row],[productid]],Products!$B$2:$H$10,4)</f>
        <v>10</v>
      </c>
      <c r="K827" s="8">
        <f>financials[[#This Row],[Net Sales]]-financials[[#This Row],[COGS]]</f>
        <v>125</v>
      </c>
      <c r="L827" s="15">
        <v>44981</v>
      </c>
      <c r="M827" t="s">
        <v>697</v>
      </c>
    </row>
    <row r="828" spans="1:13" x14ac:dyDescent="0.25">
      <c r="A828" t="s">
        <v>89</v>
      </c>
      <c r="B828" s="6" t="s">
        <v>167</v>
      </c>
      <c r="C828" s="13">
        <v>106</v>
      </c>
      <c r="D828" s="14" t="s">
        <v>83</v>
      </c>
      <c r="E828">
        <v>8</v>
      </c>
      <c r="F828" s="8">
        <f>VLOOKUP(financials[[#This Row],[productid]],Products!$B$2:$H$10,3)</f>
        <v>25</v>
      </c>
      <c r="G828" s="8">
        <f>financials[[#This Row],[Units Sold]]*financials[[#This Row],[Sale Price]]</f>
        <v>200</v>
      </c>
      <c r="H828" s="8">
        <f>IF(financials[[#This Row],[Discount Band]]="low",0.1,IF(financials[[#This Row],[Discount Band]]="medium",0.15,0.3))</f>
        <v>0.3</v>
      </c>
      <c r="I828" s="8">
        <f>financials[[#This Row],[Gross Sales]]-financials[[#This Row],[Gross Sales]]*financials[[#This Row],[Discounts]]</f>
        <v>140</v>
      </c>
      <c r="J828" s="8">
        <f>VLOOKUP(financials[[#This Row],[productid]],Products!$B$2:$H$10,4)</f>
        <v>9.1</v>
      </c>
      <c r="K828" s="8">
        <f>financials[[#This Row],[Net Sales]]-financials[[#This Row],[COGS]]</f>
        <v>130.9</v>
      </c>
      <c r="L828" s="15">
        <v>44498</v>
      </c>
      <c r="M828" t="s">
        <v>697</v>
      </c>
    </row>
    <row r="829" spans="1:13" x14ac:dyDescent="0.25">
      <c r="A829" t="s">
        <v>85</v>
      </c>
      <c r="B829" s="6" t="s">
        <v>232</v>
      </c>
      <c r="C829" s="13">
        <v>105</v>
      </c>
      <c r="D829" s="14" t="s">
        <v>83</v>
      </c>
      <c r="E829">
        <v>8</v>
      </c>
      <c r="F829" s="8">
        <f>VLOOKUP(financials[[#This Row],[productid]],Products!$B$2:$H$10,3)</f>
        <v>15</v>
      </c>
      <c r="G829" s="8">
        <f>financials[[#This Row],[Units Sold]]*financials[[#This Row],[Sale Price]]</f>
        <v>120</v>
      </c>
      <c r="H829" s="8">
        <f>IF(financials[[#This Row],[Discount Band]]="low",0.1,IF(financials[[#This Row],[Discount Band]]="medium",0.15,0.3))</f>
        <v>0.3</v>
      </c>
      <c r="I829" s="8">
        <f>financials[[#This Row],[Gross Sales]]-financials[[#This Row],[Gross Sales]]*financials[[#This Row],[Discounts]]</f>
        <v>84</v>
      </c>
      <c r="J829" s="8">
        <f>VLOOKUP(financials[[#This Row],[productid]],Products!$B$2:$H$10,4)</f>
        <v>10</v>
      </c>
      <c r="K829" s="8">
        <f>financials[[#This Row],[Net Sales]]-financials[[#This Row],[COGS]]</f>
        <v>74</v>
      </c>
      <c r="L829" s="15">
        <v>45634</v>
      </c>
      <c r="M829" t="s">
        <v>690</v>
      </c>
    </row>
    <row r="830" spans="1:13" x14ac:dyDescent="0.25">
      <c r="A830" t="s">
        <v>86</v>
      </c>
      <c r="B830" s="6" t="s">
        <v>148</v>
      </c>
      <c r="C830" s="13">
        <v>102</v>
      </c>
      <c r="D830" s="14" t="s">
        <v>83</v>
      </c>
      <c r="E830">
        <v>10</v>
      </c>
      <c r="F830" s="8">
        <f>VLOOKUP(financials[[#This Row],[productid]],Products!$B$2:$H$10,3)</f>
        <v>15</v>
      </c>
      <c r="G830" s="8">
        <f>financials[[#This Row],[Units Sold]]*financials[[#This Row],[Sale Price]]</f>
        <v>150</v>
      </c>
      <c r="H830" s="8">
        <f>IF(financials[[#This Row],[Discount Band]]="low",0.1,IF(financials[[#This Row],[Discount Band]]="medium",0.15,0.3))</f>
        <v>0.3</v>
      </c>
      <c r="I830" s="8">
        <f>financials[[#This Row],[Gross Sales]]-financials[[#This Row],[Gross Sales]]*financials[[#This Row],[Discounts]]</f>
        <v>105</v>
      </c>
      <c r="J830" s="8">
        <f>VLOOKUP(financials[[#This Row],[productid]],Products!$B$2:$H$10,4)</f>
        <v>13.95</v>
      </c>
      <c r="K830" s="8">
        <f>financials[[#This Row],[Net Sales]]-financials[[#This Row],[COGS]]</f>
        <v>91.05</v>
      </c>
      <c r="L830" s="15">
        <v>44806</v>
      </c>
      <c r="M830" t="s">
        <v>696</v>
      </c>
    </row>
    <row r="831" spans="1:13" x14ac:dyDescent="0.25">
      <c r="A831" t="s">
        <v>89</v>
      </c>
      <c r="B831" s="6" t="s">
        <v>240</v>
      </c>
      <c r="C831" s="13">
        <v>104</v>
      </c>
      <c r="D831" s="14" t="s">
        <v>83</v>
      </c>
      <c r="E831">
        <v>16</v>
      </c>
      <c r="F831" s="8">
        <f>VLOOKUP(financials[[#This Row],[productid]],Products!$B$2:$H$10,3)</f>
        <v>5.9</v>
      </c>
      <c r="G831" s="8">
        <f>financials[[#This Row],[Units Sold]]*financials[[#This Row],[Sale Price]]</f>
        <v>94.4</v>
      </c>
      <c r="H831" s="8">
        <f>IF(financials[[#This Row],[Discount Band]]="low",0.1,IF(financials[[#This Row],[Discount Band]]="medium",0.15,0.3))</f>
        <v>0.3</v>
      </c>
      <c r="I831" s="8">
        <f>financials[[#This Row],[Gross Sales]]-financials[[#This Row],[Gross Sales]]*financials[[#This Row],[Discounts]]</f>
        <v>66.080000000000013</v>
      </c>
      <c r="J831" s="8">
        <f>VLOOKUP(financials[[#This Row],[productid]],Products!$B$2:$H$10,4)</f>
        <v>2.9</v>
      </c>
      <c r="K831" s="8">
        <f>financials[[#This Row],[Net Sales]]-financials[[#This Row],[COGS]]</f>
        <v>63.180000000000014</v>
      </c>
      <c r="L831" s="15">
        <v>44001</v>
      </c>
      <c r="M831" t="s">
        <v>697</v>
      </c>
    </row>
    <row r="832" spans="1:13" x14ac:dyDescent="0.25">
      <c r="A832" t="s">
        <v>85</v>
      </c>
      <c r="B832" s="6" t="s">
        <v>232</v>
      </c>
      <c r="C832" s="13">
        <v>106</v>
      </c>
      <c r="D832" s="14" t="s">
        <v>91</v>
      </c>
      <c r="E832">
        <v>5</v>
      </c>
      <c r="F832" s="8">
        <f>VLOOKUP(financials[[#This Row],[productid]],Products!$B$2:$H$10,3)</f>
        <v>25</v>
      </c>
      <c r="G832" s="8">
        <f>financials[[#This Row],[Units Sold]]*financials[[#This Row],[Sale Price]]</f>
        <v>125</v>
      </c>
      <c r="H832" s="8">
        <f>IF(financials[[#This Row],[Discount Band]]="low",0.1,IF(financials[[#This Row],[Discount Band]]="medium",0.15,0.3))</f>
        <v>0.1</v>
      </c>
      <c r="I832" s="8">
        <f>financials[[#This Row],[Gross Sales]]-financials[[#This Row],[Gross Sales]]*financials[[#This Row],[Discounts]]</f>
        <v>112.5</v>
      </c>
      <c r="J832" s="8">
        <f>VLOOKUP(financials[[#This Row],[productid]],Products!$B$2:$H$10,4)</f>
        <v>9.1</v>
      </c>
      <c r="K832" s="8">
        <f>financials[[#This Row],[Net Sales]]-financials[[#This Row],[COGS]]</f>
        <v>103.4</v>
      </c>
      <c r="L832" s="15">
        <v>45403</v>
      </c>
      <c r="M832" t="s">
        <v>690</v>
      </c>
    </row>
    <row r="833" spans="1:13" x14ac:dyDescent="0.25">
      <c r="A833" t="s">
        <v>85</v>
      </c>
      <c r="B833" s="6" t="s">
        <v>158</v>
      </c>
      <c r="C833" s="13">
        <v>108</v>
      </c>
      <c r="D833" s="14" t="s">
        <v>91</v>
      </c>
      <c r="E833">
        <v>14</v>
      </c>
      <c r="F833" s="8">
        <f>VLOOKUP(financials[[#This Row],[productid]],Products!$B$2:$H$10,3)</f>
        <v>5.5</v>
      </c>
      <c r="G833" s="8">
        <f>financials[[#This Row],[Units Sold]]*financials[[#This Row],[Sale Price]]</f>
        <v>77</v>
      </c>
      <c r="H833" s="8">
        <f>IF(financials[[#This Row],[Discount Band]]="low",0.1,IF(financials[[#This Row],[Discount Band]]="medium",0.15,0.3))</f>
        <v>0.1</v>
      </c>
      <c r="I833" s="8">
        <f>financials[[#This Row],[Gross Sales]]-financials[[#This Row],[Gross Sales]]*financials[[#This Row],[Discounts]]</f>
        <v>69.3</v>
      </c>
      <c r="J833" s="8">
        <f>VLOOKUP(financials[[#This Row],[productid]],Products!$B$2:$H$10,4)</f>
        <v>3.99</v>
      </c>
      <c r="K833" s="8">
        <f>financials[[#This Row],[Net Sales]]-financials[[#This Row],[COGS]]</f>
        <v>65.31</v>
      </c>
      <c r="L833" s="15">
        <v>45026</v>
      </c>
      <c r="M833" t="s">
        <v>697</v>
      </c>
    </row>
    <row r="834" spans="1:13" x14ac:dyDescent="0.25">
      <c r="A834" t="s">
        <v>85</v>
      </c>
      <c r="B834" s="6" t="s">
        <v>232</v>
      </c>
      <c r="C834" s="13">
        <v>101</v>
      </c>
      <c r="D834" s="14" t="s">
        <v>83</v>
      </c>
      <c r="E834">
        <v>14</v>
      </c>
      <c r="F834" s="8">
        <f>VLOOKUP(financials[[#This Row],[productid]],Products!$B$2:$H$10,3)</f>
        <v>23</v>
      </c>
      <c r="G834" s="8">
        <f>financials[[#This Row],[Units Sold]]*financials[[#This Row],[Sale Price]]</f>
        <v>322</v>
      </c>
      <c r="H834" s="8">
        <f>IF(financials[[#This Row],[Discount Band]]="low",0.1,IF(financials[[#This Row],[Discount Band]]="medium",0.15,0.3))</f>
        <v>0.3</v>
      </c>
      <c r="I834" s="8">
        <f>financials[[#This Row],[Gross Sales]]-financials[[#This Row],[Gross Sales]]*financials[[#This Row],[Discounts]]</f>
        <v>225.4</v>
      </c>
      <c r="J834" s="8">
        <f>VLOOKUP(financials[[#This Row],[productid]],Products!$B$2:$H$10,4)</f>
        <v>9.9499999999999993</v>
      </c>
      <c r="K834" s="8">
        <f>financials[[#This Row],[Net Sales]]-financials[[#This Row],[COGS]]</f>
        <v>215.45000000000002</v>
      </c>
      <c r="L834" s="15">
        <v>44752</v>
      </c>
      <c r="M834" t="s">
        <v>690</v>
      </c>
    </row>
    <row r="835" spans="1:13" x14ac:dyDescent="0.25">
      <c r="A835" t="s">
        <v>89</v>
      </c>
      <c r="B835" s="6" t="s">
        <v>197</v>
      </c>
      <c r="C835" s="13">
        <v>107</v>
      </c>
      <c r="D835" s="14" t="s">
        <v>83</v>
      </c>
      <c r="E835">
        <v>13</v>
      </c>
      <c r="F835" s="8">
        <f>VLOOKUP(financials[[#This Row],[productid]],Products!$B$2:$H$10,3)</f>
        <v>15</v>
      </c>
      <c r="G835" s="8">
        <f>financials[[#This Row],[Units Sold]]*financials[[#This Row],[Sale Price]]</f>
        <v>195</v>
      </c>
      <c r="H835" s="8">
        <f>IF(financials[[#This Row],[Discount Band]]="low",0.1,IF(financials[[#This Row],[Discount Band]]="medium",0.15,0.3))</f>
        <v>0.3</v>
      </c>
      <c r="I835" s="8">
        <f>financials[[#This Row],[Gross Sales]]-financials[[#This Row],[Gross Sales]]*financials[[#This Row],[Discounts]]</f>
        <v>136.5</v>
      </c>
      <c r="J835" s="8">
        <f>VLOOKUP(financials[[#This Row],[productid]],Products!$B$2:$H$10,4)</f>
        <v>5.5</v>
      </c>
      <c r="K835" s="8">
        <f>financials[[#This Row],[Net Sales]]-financials[[#This Row],[COGS]]</f>
        <v>131</v>
      </c>
      <c r="L835" s="15">
        <v>44863</v>
      </c>
      <c r="M835" t="s">
        <v>696</v>
      </c>
    </row>
    <row r="836" spans="1:13" x14ac:dyDescent="0.25">
      <c r="A836" t="s">
        <v>86</v>
      </c>
      <c r="B836" s="6" t="s">
        <v>95</v>
      </c>
      <c r="C836" s="13">
        <v>106</v>
      </c>
      <c r="D836" s="14" t="s">
        <v>83</v>
      </c>
      <c r="E836">
        <v>14</v>
      </c>
      <c r="F836" s="8">
        <f>VLOOKUP(financials[[#This Row],[productid]],Products!$B$2:$H$10,3)</f>
        <v>25</v>
      </c>
      <c r="G836" s="8">
        <f>financials[[#This Row],[Units Sold]]*financials[[#This Row],[Sale Price]]</f>
        <v>350</v>
      </c>
      <c r="H836" s="8">
        <f>IF(financials[[#This Row],[Discount Band]]="low",0.1,IF(financials[[#This Row],[Discount Band]]="medium",0.15,0.3))</f>
        <v>0.3</v>
      </c>
      <c r="I836" s="8">
        <f>financials[[#This Row],[Gross Sales]]-financials[[#This Row],[Gross Sales]]*financials[[#This Row],[Discounts]]</f>
        <v>245</v>
      </c>
      <c r="J836" s="8">
        <f>VLOOKUP(financials[[#This Row],[productid]],Products!$B$2:$H$10,4)</f>
        <v>9.1</v>
      </c>
      <c r="K836" s="8">
        <f>financials[[#This Row],[Net Sales]]-financials[[#This Row],[COGS]]</f>
        <v>235.9</v>
      </c>
      <c r="L836" s="15">
        <v>43947</v>
      </c>
      <c r="M836" t="s">
        <v>691</v>
      </c>
    </row>
    <row r="837" spans="1:13" x14ac:dyDescent="0.25">
      <c r="A837" t="s">
        <v>86</v>
      </c>
      <c r="B837" s="6" t="s">
        <v>95</v>
      </c>
      <c r="C837" s="13">
        <v>102</v>
      </c>
      <c r="D837" s="14" t="s">
        <v>91</v>
      </c>
      <c r="E837">
        <v>6</v>
      </c>
      <c r="F837" s="8">
        <f>VLOOKUP(financials[[#This Row],[productid]],Products!$B$2:$H$10,3)</f>
        <v>15</v>
      </c>
      <c r="G837" s="8">
        <f>financials[[#This Row],[Units Sold]]*financials[[#This Row],[Sale Price]]</f>
        <v>90</v>
      </c>
      <c r="H837" s="8">
        <f>IF(financials[[#This Row],[Discount Band]]="low",0.1,IF(financials[[#This Row],[Discount Band]]="medium",0.15,0.3))</f>
        <v>0.1</v>
      </c>
      <c r="I837" s="8">
        <f>financials[[#This Row],[Gross Sales]]-financials[[#This Row],[Gross Sales]]*financials[[#This Row],[Discounts]]</f>
        <v>81</v>
      </c>
      <c r="J837" s="8">
        <f>VLOOKUP(financials[[#This Row],[productid]],Products!$B$2:$H$10,4)</f>
        <v>13.95</v>
      </c>
      <c r="K837" s="8">
        <f>financials[[#This Row],[Net Sales]]-financials[[#This Row],[COGS]]</f>
        <v>67.05</v>
      </c>
      <c r="L837" s="15">
        <v>44613</v>
      </c>
      <c r="M837" t="s">
        <v>697</v>
      </c>
    </row>
    <row r="838" spans="1:13" x14ac:dyDescent="0.25">
      <c r="A838" t="s">
        <v>89</v>
      </c>
      <c r="B838" s="6" t="s">
        <v>268</v>
      </c>
      <c r="C838" s="13">
        <v>102</v>
      </c>
      <c r="D838" s="14" t="s">
        <v>90</v>
      </c>
      <c r="E838">
        <v>17</v>
      </c>
      <c r="F838" s="8">
        <f>VLOOKUP(financials[[#This Row],[productid]],Products!$B$2:$H$10,3)</f>
        <v>15</v>
      </c>
      <c r="G838" s="8">
        <f>financials[[#This Row],[Units Sold]]*financials[[#This Row],[Sale Price]]</f>
        <v>255</v>
      </c>
      <c r="H838" s="8">
        <f>IF(financials[[#This Row],[Discount Band]]="low",0.1,IF(financials[[#This Row],[Discount Band]]="medium",0.15,0.3))</f>
        <v>0.15</v>
      </c>
      <c r="I838" s="8">
        <f>financials[[#This Row],[Gross Sales]]-financials[[#This Row],[Gross Sales]]*financials[[#This Row],[Discounts]]</f>
        <v>216.75</v>
      </c>
      <c r="J838" s="8">
        <f>VLOOKUP(financials[[#This Row],[productid]],Products!$B$2:$H$10,4)</f>
        <v>13.95</v>
      </c>
      <c r="K838" s="8">
        <f>financials[[#This Row],[Net Sales]]-financials[[#This Row],[COGS]]</f>
        <v>202.8</v>
      </c>
      <c r="L838" s="15">
        <v>44473</v>
      </c>
      <c r="M838" t="s">
        <v>696</v>
      </c>
    </row>
    <row r="839" spans="1:13" x14ac:dyDescent="0.25">
      <c r="A839" t="s">
        <v>85</v>
      </c>
      <c r="B839" s="6" t="s">
        <v>158</v>
      </c>
      <c r="C839" s="11">
        <v>102</v>
      </c>
      <c r="D839" s="9" t="s">
        <v>91</v>
      </c>
      <c r="E839">
        <v>14</v>
      </c>
      <c r="F839" s="8">
        <f>VLOOKUP(financials[[#This Row],[productid]],Products!$B$2:$H$10,3)</f>
        <v>15</v>
      </c>
      <c r="G839" s="8">
        <f>financials[[#This Row],[Units Sold]]*financials[[#This Row],[Sale Price]]</f>
        <v>210</v>
      </c>
      <c r="H839" s="8">
        <f>IF(financials[[#This Row],[Discount Band]]="low",0.1,IF(financials[[#This Row],[Discount Band]]="medium",0.15,0.3))</f>
        <v>0.1</v>
      </c>
      <c r="I839" s="8">
        <f>financials[[#This Row],[Gross Sales]]-financials[[#This Row],[Gross Sales]]*financials[[#This Row],[Discounts]]</f>
        <v>189</v>
      </c>
      <c r="J839" s="8">
        <f>VLOOKUP(financials[[#This Row],[productid]],Products!$B$2:$H$10,4)</f>
        <v>13.95</v>
      </c>
      <c r="K839" s="8">
        <f>financials[[#This Row],[Net Sales]]-financials[[#This Row],[COGS]]</f>
        <v>175.05</v>
      </c>
      <c r="L839" s="15">
        <v>44077</v>
      </c>
      <c r="M839" t="s">
        <v>700</v>
      </c>
    </row>
    <row r="840" spans="1:13" x14ac:dyDescent="0.25">
      <c r="A840" t="s">
        <v>85</v>
      </c>
      <c r="B840" s="6" t="s">
        <v>287</v>
      </c>
      <c r="C840" s="13">
        <v>101</v>
      </c>
      <c r="D840" s="14" t="s">
        <v>91</v>
      </c>
      <c r="E840">
        <v>17</v>
      </c>
      <c r="F840" s="8">
        <f>VLOOKUP(financials[[#This Row],[productid]],Products!$B$2:$H$10,3)</f>
        <v>23</v>
      </c>
      <c r="G840" s="8">
        <f>financials[[#This Row],[Units Sold]]*financials[[#This Row],[Sale Price]]</f>
        <v>391</v>
      </c>
      <c r="H840" s="8">
        <f>IF(financials[[#This Row],[Discount Band]]="low",0.1,IF(financials[[#This Row],[Discount Band]]="medium",0.15,0.3))</f>
        <v>0.1</v>
      </c>
      <c r="I840" s="8">
        <f>financials[[#This Row],[Gross Sales]]-financials[[#This Row],[Gross Sales]]*financials[[#This Row],[Discounts]]</f>
        <v>351.9</v>
      </c>
      <c r="J840" s="8">
        <f>VLOOKUP(financials[[#This Row],[productid]],Products!$B$2:$H$10,4)</f>
        <v>9.9499999999999993</v>
      </c>
      <c r="K840" s="8">
        <f>financials[[#This Row],[Net Sales]]-financials[[#This Row],[COGS]]</f>
        <v>341.95</v>
      </c>
      <c r="L840" s="15">
        <v>45419</v>
      </c>
      <c r="M840" t="s">
        <v>690</v>
      </c>
    </row>
    <row r="841" spans="1:13" x14ac:dyDescent="0.25">
      <c r="A841" t="s">
        <v>85</v>
      </c>
      <c r="B841" s="6" t="s">
        <v>268</v>
      </c>
      <c r="C841" s="13">
        <v>106</v>
      </c>
      <c r="D841" s="14" t="s">
        <v>83</v>
      </c>
      <c r="E841">
        <v>18</v>
      </c>
      <c r="F841" s="8">
        <f>VLOOKUP(financials[[#This Row],[productid]],Products!$B$2:$H$10,3)</f>
        <v>25</v>
      </c>
      <c r="G841" s="8">
        <f>financials[[#This Row],[Units Sold]]*financials[[#This Row],[Sale Price]]</f>
        <v>450</v>
      </c>
      <c r="H841" s="8">
        <f>IF(financials[[#This Row],[Discount Band]]="low",0.1,IF(financials[[#This Row],[Discount Band]]="medium",0.15,0.3))</f>
        <v>0.3</v>
      </c>
      <c r="I841" s="8">
        <f>financials[[#This Row],[Gross Sales]]-financials[[#This Row],[Gross Sales]]*financials[[#This Row],[Discounts]]</f>
        <v>315</v>
      </c>
      <c r="J841" s="8">
        <f>VLOOKUP(financials[[#This Row],[productid]],Products!$B$2:$H$10,4)</f>
        <v>9.1</v>
      </c>
      <c r="K841" s="8">
        <f>financials[[#This Row],[Net Sales]]-financials[[#This Row],[COGS]]</f>
        <v>305.89999999999998</v>
      </c>
      <c r="L841" s="15">
        <v>44695</v>
      </c>
      <c r="M841" t="s">
        <v>690</v>
      </c>
    </row>
    <row r="842" spans="1:13" x14ac:dyDescent="0.25">
      <c r="A842" t="s">
        <v>86</v>
      </c>
      <c r="B842" s="6" t="s">
        <v>158</v>
      </c>
      <c r="C842" s="13">
        <v>109</v>
      </c>
      <c r="D842" s="14" t="s">
        <v>83</v>
      </c>
      <c r="E842">
        <v>12</v>
      </c>
      <c r="F842" s="8">
        <f>VLOOKUP(financials[[#This Row],[productid]],Products!$B$2:$H$10,3)</f>
        <v>36</v>
      </c>
      <c r="G842" s="8">
        <f>financials[[#This Row],[Units Sold]]*financials[[#This Row],[Sale Price]]</f>
        <v>432</v>
      </c>
      <c r="H842" s="8">
        <f>IF(financials[[#This Row],[Discount Band]]="low",0.1,IF(financials[[#This Row],[Discount Band]]="medium",0.15,0.3))</f>
        <v>0.3</v>
      </c>
      <c r="I842" s="8">
        <f>financials[[#This Row],[Gross Sales]]-financials[[#This Row],[Gross Sales]]*financials[[#This Row],[Discounts]]</f>
        <v>302.39999999999998</v>
      </c>
      <c r="J842" s="8">
        <f>VLOOKUP(financials[[#This Row],[productid]],Products!$B$2:$H$10,4)</f>
        <v>16.8</v>
      </c>
      <c r="K842" s="8">
        <f>financials[[#This Row],[Net Sales]]-financials[[#This Row],[COGS]]</f>
        <v>285.59999999999997</v>
      </c>
      <c r="L842" s="15">
        <v>45494</v>
      </c>
      <c r="M842" t="s">
        <v>690</v>
      </c>
    </row>
    <row r="843" spans="1:13" x14ac:dyDescent="0.25">
      <c r="A843" t="s">
        <v>86</v>
      </c>
      <c r="B843" s="6" t="s">
        <v>617</v>
      </c>
      <c r="C843" s="13">
        <v>107</v>
      </c>
      <c r="D843" s="14" t="s">
        <v>83</v>
      </c>
      <c r="E843">
        <v>19</v>
      </c>
      <c r="F843" s="8">
        <f>VLOOKUP(financials[[#This Row],[productid]],Products!$B$2:$H$10,3)</f>
        <v>15</v>
      </c>
      <c r="G843" s="8">
        <f>financials[[#This Row],[Units Sold]]*financials[[#This Row],[Sale Price]]</f>
        <v>285</v>
      </c>
      <c r="H843" s="8">
        <f>IF(financials[[#This Row],[Discount Band]]="low",0.1,IF(financials[[#This Row],[Discount Band]]="medium",0.15,0.3))</f>
        <v>0.3</v>
      </c>
      <c r="I843" s="8">
        <f>financials[[#This Row],[Gross Sales]]-financials[[#This Row],[Gross Sales]]*financials[[#This Row],[Discounts]]</f>
        <v>199.5</v>
      </c>
      <c r="J843" s="8">
        <f>VLOOKUP(financials[[#This Row],[productid]],Products!$B$2:$H$10,4)</f>
        <v>5.5</v>
      </c>
      <c r="K843" s="8">
        <f>financials[[#This Row],[Net Sales]]-financials[[#This Row],[COGS]]</f>
        <v>194</v>
      </c>
      <c r="L843" s="15">
        <v>44775</v>
      </c>
      <c r="M843" t="s">
        <v>691</v>
      </c>
    </row>
    <row r="844" spans="1:13" x14ac:dyDescent="0.25">
      <c r="A844" t="s">
        <v>86</v>
      </c>
      <c r="B844" s="6" t="s">
        <v>240</v>
      </c>
      <c r="C844" s="13">
        <v>103</v>
      </c>
      <c r="D844" s="14" t="s">
        <v>83</v>
      </c>
      <c r="E844">
        <v>15</v>
      </c>
      <c r="F844" s="8">
        <f>VLOOKUP(financials[[#This Row],[productid]],Products!$B$2:$H$10,3)</f>
        <v>28</v>
      </c>
      <c r="G844" s="8">
        <f>financials[[#This Row],[Units Sold]]*financials[[#This Row],[Sale Price]]</f>
        <v>420</v>
      </c>
      <c r="H844" s="8">
        <f>IF(financials[[#This Row],[Discount Band]]="low",0.1,IF(financials[[#This Row],[Discount Band]]="medium",0.15,0.3))</f>
        <v>0.3</v>
      </c>
      <c r="I844" s="8">
        <f>financials[[#This Row],[Gross Sales]]-financials[[#This Row],[Gross Sales]]*financials[[#This Row],[Discounts]]</f>
        <v>294</v>
      </c>
      <c r="J844" s="8">
        <f>VLOOKUP(financials[[#This Row],[productid]],Products!$B$2:$H$10,4)</f>
        <v>15</v>
      </c>
      <c r="K844" s="8">
        <f>financials[[#This Row],[Net Sales]]-financials[[#This Row],[COGS]]</f>
        <v>279</v>
      </c>
      <c r="L844" s="15">
        <v>44189</v>
      </c>
      <c r="M844" t="s">
        <v>700</v>
      </c>
    </row>
    <row r="845" spans="1:13" x14ac:dyDescent="0.25">
      <c r="A845" t="s">
        <v>89</v>
      </c>
      <c r="B845" s="6" t="s">
        <v>96</v>
      </c>
      <c r="C845" s="13">
        <v>103</v>
      </c>
      <c r="D845" s="14" t="s">
        <v>83</v>
      </c>
      <c r="E845">
        <v>12</v>
      </c>
      <c r="F845" s="8">
        <f>VLOOKUP(financials[[#This Row],[productid]],Products!$B$2:$H$10,3)</f>
        <v>28</v>
      </c>
      <c r="G845" s="8">
        <f>financials[[#This Row],[Units Sold]]*financials[[#This Row],[Sale Price]]</f>
        <v>336</v>
      </c>
      <c r="H845" s="8">
        <f>IF(financials[[#This Row],[Discount Band]]="low",0.1,IF(financials[[#This Row],[Discount Band]]="medium",0.15,0.3))</f>
        <v>0.3</v>
      </c>
      <c r="I845" s="8">
        <f>financials[[#This Row],[Gross Sales]]-financials[[#This Row],[Gross Sales]]*financials[[#This Row],[Discounts]]</f>
        <v>235.2</v>
      </c>
      <c r="J845" s="8">
        <f>VLOOKUP(financials[[#This Row],[productid]],Products!$B$2:$H$10,4)</f>
        <v>15</v>
      </c>
      <c r="K845" s="8">
        <f>financials[[#This Row],[Net Sales]]-financials[[#This Row],[COGS]]</f>
        <v>220.2</v>
      </c>
      <c r="L845" s="15">
        <v>44063</v>
      </c>
      <c r="M845" t="s">
        <v>690</v>
      </c>
    </row>
    <row r="846" spans="1:13" x14ac:dyDescent="0.25">
      <c r="A846" t="s">
        <v>89</v>
      </c>
      <c r="B846" s="6" t="s">
        <v>287</v>
      </c>
      <c r="C846" s="13">
        <v>108</v>
      </c>
      <c r="D846" s="14" t="s">
        <v>83</v>
      </c>
      <c r="E846">
        <v>14</v>
      </c>
      <c r="F846" s="8">
        <f>VLOOKUP(financials[[#This Row],[productid]],Products!$B$2:$H$10,3)</f>
        <v>5.5</v>
      </c>
      <c r="G846" s="8">
        <f>financials[[#This Row],[Units Sold]]*financials[[#This Row],[Sale Price]]</f>
        <v>77</v>
      </c>
      <c r="H846" s="8">
        <f>IF(financials[[#This Row],[Discount Band]]="low",0.1,IF(financials[[#This Row],[Discount Band]]="medium",0.15,0.3))</f>
        <v>0.3</v>
      </c>
      <c r="I846" s="8">
        <f>financials[[#This Row],[Gross Sales]]-financials[[#This Row],[Gross Sales]]*financials[[#This Row],[Discounts]]</f>
        <v>53.900000000000006</v>
      </c>
      <c r="J846" s="8">
        <f>VLOOKUP(financials[[#This Row],[productid]],Products!$B$2:$H$10,4)</f>
        <v>3.99</v>
      </c>
      <c r="K846" s="8">
        <f>financials[[#This Row],[Net Sales]]-financials[[#This Row],[COGS]]</f>
        <v>49.910000000000004</v>
      </c>
      <c r="L846" s="15">
        <v>43998</v>
      </c>
      <c r="M846" t="s">
        <v>697</v>
      </c>
    </row>
    <row r="847" spans="1:13" x14ac:dyDescent="0.25">
      <c r="A847" t="s">
        <v>85</v>
      </c>
      <c r="B847" s="6" t="s">
        <v>274</v>
      </c>
      <c r="C847" s="13">
        <v>106</v>
      </c>
      <c r="D847" s="14" t="s">
        <v>83</v>
      </c>
      <c r="E847">
        <v>17</v>
      </c>
      <c r="F847" s="8">
        <f>VLOOKUP(financials[[#This Row],[productid]],Products!$B$2:$H$10,3)</f>
        <v>25</v>
      </c>
      <c r="G847" s="8">
        <f>financials[[#This Row],[Units Sold]]*financials[[#This Row],[Sale Price]]</f>
        <v>425</v>
      </c>
      <c r="H847" s="8">
        <f>IF(financials[[#This Row],[Discount Band]]="low",0.1,IF(financials[[#This Row],[Discount Band]]="medium",0.15,0.3))</f>
        <v>0.3</v>
      </c>
      <c r="I847" s="8">
        <f>financials[[#This Row],[Gross Sales]]-financials[[#This Row],[Gross Sales]]*financials[[#This Row],[Discounts]]</f>
        <v>297.5</v>
      </c>
      <c r="J847" s="8">
        <f>VLOOKUP(financials[[#This Row],[productid]],Products!$B$2:$H$10,4)</f>
        <v>9.1</v>
      </c>
      <c r="K847" s="8">
        <f>financials[[#This Row],[Net Sales]]-financials[[#This Row],[COGS]]</f>
        <v>288.39999999999998</v>
      </c>
      <c r="L847" s="15">
        <v>43990</v>
      </c>
      <c r="M847" t="s">
        <v>691</v>
      </c>
    </row>
    <row r="848" spans="1:13" x14ac:dyDescent="0.25">
      <c r="A848" t="s">
        <v>85</v>
      </c>
      <c r="B848" s="6" t="s">
        <v>158</v>
      </c>
      <c r="C848" s="13">
        <v>101</v>
      </c>
      <c r="D848" s="14" t="s">
        <v>90</v>
      </c>
      <c r="E848">
        <v>16</v>
      </c>
      <c r="F848" s="8">
        <f>VLOOKUP(financials[[#This Row],[productid]],Products!$B$2:$H$10,3)</f>
        <v>23</v>
      </c>
      <c r="G848" s="8">
        <f>financials[[#This Row],[Units Sold]]*financials[[#This Row],[Sale Price]]</f>
        <v>368</v>
      </c>
      <c r="H848" s="8">
        <f>IF(financials[[#This Row],[Discount Band]]="low",0.1,IF(financials[[#This Row],[Discount Band]]="medium",0.15,0.3))</f>
        <v>0.15</v>
      </c>
      <c r="I848" s="8">
        <f>financials[[#This Row],[Gross Sales]]-financials[[#This Row],[Gross Sales]]*financials[[#This Row],[Discounts]]</f>
        <v>312.8</v>
      </c>
      <c r="J848" s="8">
        <f>VLOOKUP(financials[[#This Row],[productid]],Products!$B$2:$H$10,4)</f>
        <v>9.9499999999999993</v>
      </c>
      <c r="K848" s="8">
        <f>financials[[#This Row],[Net Sales]]-financials[[#This Row],[COGS]]</f>
        <v>302.85000000000002</v>
      </c>
      <c r="L848" s="15">
        <v>44335</v>
      </c>
      <c r="M848" t="s">
        <v>691</v>
      </c>
    </row>
    <row r="849" spans="1:13" x14ac:dyDescent="0.25">
      <c r="A849" t="s">
        <v>85</v>
      </c>
      <c r="B849" s="6" t="s">
        <v>228</v>
      </c>
      <c r="C849" s="13">
        <v>109</v>
      </c>
      <c r="D849" s="14" t="s">
        <v>90</v>
      </c>
      <c r="E849">
        <v>14</v>
      </c>
      <c r="F849" s="8">
        <f>VLOOKUP(financials[[#This Row],[productid]],Products!$B$2:$H$10,3)</f>
        <v>36</v>
      </c>
      <c r="G849" s="8">
        <f>financials[[#This Row],[Units Sold]]*financials[[#This Row],[Sale Price]]</f>
        <v>504</v>
      </c>
      <c r="H849" s="8">
        <f>IF(financials[[#This Row],[Discount Band]]="low",0.1,IF(financials[[#This Row],[Discount Band]]="medium",0.15,0.3))</f>
        <v>0.15</v>
      </c>
      <c r="I849" s="8">
        <f>financials[[#This Row],[Gross Sales]]-financials[[#This Row],[Gross Sales]]*financials[[#This Row],[Discounts]]</f>
        <v>428.4</v>
      </c>
      <c r="J849" s="8">
        <f>VLOOKUP(financials[[#This Row],[productid]],Products!$B$2:$H$10,4)</f>
        <v>16.8</v>
      </c>
      <c r="K849" s="8">
        <f>financials[[#This Row],[Net Sales]]-financials[[#This Row],[COGS]]</f>
        <v>411.59999999999997</v>
      </c>
      <c r="L849" s="15">
        <v>45076</v>
      </c>
      <c r="M849" t="s">
        <v>691</v>
      </c>
    </row>
    <row r="850" spans="1:13" x14ac:dyDescent="0.25">
      <c r="A850" t="s">
        <v>89</v>
      </c>
      <c r="B850" s="6" t="s">
        <v>148</v>
      </c>
      <c r="C850" s="11">
        <v>107</v>
      </c>
      <c r="D850" s="9" t="s">
        <v>83</v>
      </c>
      <c r="E850">
        <v>19</v>
      </c>
      <c r="F850" s="8">
        <f>VLOOKUP(financials[[#This Row],[productid]],Products!$B$2:$H$10,3)</f>
        <v>15</v>
      </c>
      <c r="G850" s="8">
        <f>financials[[#This Row],[Units Sold]]*financials[[#This Row],[Sale Price]]</f>
        <v>285</v>
      </c>
      <c r="H850" s="8">
        <f>IF(financials[[#This Row],[Discount Band]]="low",0.1,IF(financials[[#This Row],[Discount Band]]="medium",0.15,0.3))</f>
        <v>0.3</v>
      </c>
      <c r="I850" s="8">
        <f>financials[[#This Row],[Gross Sales]]-financials[[#This Row],[Gross Sales]]*financials[[#This Row],[Discounts]]</f>
        <v>199.5</v>
      </c>
      <c r="J850" s="8">
        <f>VLOOKUP(financials[[#This Row],[productid]],Products!$B$2:$H$10,4)</f>
        <v>5.5</v>
      </c>
      <c r="K850" s="8">
        <f>financials[[#This Row],[Net Sales]]-financials[[#This Row],[COGS]]</f>
        <v>194</v>
      </c>
      <c r="L850" s="15">
        <v>45426</v>
      </c>
      <c r="M850" t="s">
        <v>700</v>
      </c>
    </row>
    <row r="851" spans="1:13" x14ac:dyDescent="0.25">
      <c r="A851" t="s">
        <v>89</v>
      </c>
      <c r="B851" s="6" t="s">
        <v>158</v>
      </c>
      <c r="C851" s="11">
        <v>102</v>
      </c>
      <c r="D851" s="9" t="s">
        <v>90</v>
      </c>
      <c r="E851">
        <v>19</v>
      </c>
      <c r="F851" s="8">
        <f>VLOOKUP(financials[[#This Row],[productid]],Products!$B$2:$H$10,3)</f>
        <v>15</v>
      </c>
      <c r="G851" s="8">
        <f>financials[[#This Row],[Units Sold]]*financials[[#This Row],[Sale Price]]</f>
        <v>285</v>
      </c>
      <c r="H851" s="8">
        <f>IF(financials[[#This Row],[Discount Band]]="low",0.1,IF(financials[[#This Row],[Discount Band]]="medium",0.15,0.3))</f>
        <v>0.15</v>
      </c>
      <c r="I851" s="8">
        <f>financials[[#This Row],[Gross Sales]]-financials[[#This Row],[Gross Sales]]*financials[[#This Row],[Discounts]]</f>
        <v>242.25</v>
      </c>
      <c r="J851" s="8">
        <f>VLOOKUP(financials[[#This Row],[productid]],Products!$B$2:$H$10,4)</f>
        <v>13.95</v>
      </c>
      <c r="K851" s="8">
        <f>financials[[#This Row],[Net Sales]]-financials[[#This Row],[COGS]]</f>
        <v>228.3</v>
      </c>
      <c r="L851" s="15">
        <v>45538</v>
      </c>
      <c r="M851" t="s">
        <v>690</v>
      </c>
    </row>
    <row r="852" spans="1:13" x14ac:dyDescent="0.25">
      <c r="A852" t="s">
        <v>85</v>
      </c>
      <c r="B852" s="6" t="s">
        <v>232</v>
      </c>
      <c r="C852" s="11">
        <v>101</v>
      </c>
      <c r="D852" s="9" t="s">
        <v>91</v>
      </c>
      <c r="E852">
        <v>8</v>
      </c>
      <c r="F852" s="8">
        <f>VLOOKUP(financials[[#This Row],[productid]],Products!$B$2:$H$10,3)</f>
        <v>23</v>
      </c>
      <c r="G852" s="8">
        <f>financials[[#This Row],[Units Sold]]*financials[[#This Row],[Sale Price]]</f>
        <v>184</v>
      </c>
      <c r="H852" s="8">
        <f>IF(financials[[#This Row],[Discount Band]]="low",0.1,IF(financials[[#This Row],[Discount Band]]="medium",0.15,0.3))</f>
        <v>0.1</v>
      </c>
      <c r="I852" s="8">
        <f>financials[[#This Row],[Gross Sales]]-financials[[#This Row],[Gross Sales]]*financials[[#This Row],[Discounts]]</f>
        <v>165.6</v>
      </c>
      <c r="J852" s="8">
        <f>VLOOKUP(financials[[#This Row],[productid]],Products!$B$2:$H$10,4)</f>
        <v>9.9499999999999993</v>
      </c>
      <c r="K852" s="8">
        <f>financials[[#This Row],[Net Sales]]-financials[[#This Row],[COGS]]</f>
        <v>155.65</v>
      </c>
      <c r="L852" s="15">
        <v>44954</v>
      </c>
      <c r="M852" t="s">
        <v>697</v>
      </c>
    </row>
    <row r="853" spans="1:13" x14ac:dyDescent="0.25">
      <c r="A853" t="s">
        <v>86</v>
      </c>
      <c r="B853" s="6" t="s">
        <v>158</v>
      </c>
      <c r="C853" s="13">
        <v>108</v>
      </c>
      <c r="D853" s="14" t="s">
        <v>90</v>
      </c>
      <c r="E853">
        <v>16</v>
      </c>
      <c r="F853" s="8">
        <f>VLOOKUP(financials[[#This Row],[productid]],Products!$B$2:$H$10,3)</f>
        <v>5.5</v>
      </c>
      <c r="G853" s="8">
        <f>financials[[#This Row],[Units Sold]]*financials[[#This Row],[Sale Price]]</f>
        <v>88</v>
      </c>
      <c r="H853" s="8">
        <f>IF(financials[[#This Row],[Discount Band]]="low",0.1,IF(financials[[#This Row],[Discount Band]]="medium",0.15,0.3))</f>
        <v>0.15</v>
      </c>
      <c r="I853" s="8">
        <f>financials[[#This Row],[Gross Sales]]-financials[[#This Row],[Gross Sales]]*financials[[#This Row],[Discounts]]</f>
        <v>74.8</v>
      </c>
      <c r="J853" s="8">
        <f>VLOOKUP(financials[[#This Row],[productid]],Products!$B$2:$H$10,4)</f>
        <v>3.99</v>
      </c>
      <c r="K853" s="8">
        <f>financials[[#This Row],[Net Sales]]-financials[[#This Row],[COGS]]</f>
        <v>70.81</v>
      </c>
      <c r="L853" s="15">
        <v>43961</v>
      </c>
      <c r="M853" t="s">
        <v>691</v>
      </c>
    </row>
    <row r="854" spans="1:13" x14ac:dyDescent="0.25">
      <c r="A854" t="s">
        <v>89</v>
      </c>
      <c r="B854" s="6" t="s">
        <v>240</v>
      </c>
      <c r="C854" s="13">
        <v>101</v>
      </c>
      <c r="D854" s="14" t="s">
        <v>90</v>
      </c>
      <c r="E854">
        <v>15</v>
      </c>
      <c r="F854" s="8">
        <f>VLOOKUP(financials[[#This Row],[productid]],Products!$B$2:$H$10,3)</f>
        <v>23</v>
      </c>
      <c r="G854" s="8">
        <f>financials[[#This Row],[Units Sold]]*financials[[#This Row],[Sale Price]]</f>
        <v>345</v>
      </c>
      <c r="H854" s="8">
        <f>IF(financials[[#This Row],[Discount Band]]="low",0.1,IF(financials[[#This Row],[Discount Band]]="medium",0.15,0.3))</f>
        <v>0.15</v>
      </c>
      <c r="I854" s="8">
        <f>financials[[#This Row],[Gross Sales]]-financials[[#This Row],[Gross Sales]]*financials[[#This Row],[Discounts]]</f>
        <v>293.25</v>
      </c>
      <c r="J854" s="8">
        <f>VLOOKUP(financials[[#This Row],[productid]],Products!$B$2:$H$10,4)</f>
        <v>9.9499999999999993</v>
      </c>
      <c r="K854" s="8">
        <f>financials[[#This Row],[Net Sales]]-financials[[#This Row],[COGS]]</f>
        <v>283.3</v>
      </c>
      <c r="L854" s="15">
        <v>45414</v>
      </c>
      <c r="M854" t="s">
        <v>691</v>
      </c>
    </row>
    <row r="855" spans="1:13" x14ac:dyDescent="0.25">
      <c r="A855" t="s">
        <v>89</v>
      </c>
      <c r="B855" s="6" t="s">
        <v>240</v>
      </c>
      <c r="C855" s="13">
        <v>109</v>
      </c>
      <c r="D855" s="14" t="s">
        <v>92</v>
      </c>
      <c r="E855">
        <v>11</v>
      </c>
      <c r="F855" s="8">
        <f>VLOOKUP(financials[[#This Row],[productid]],Products!$B$2:$H$10,3)</f>
        <v>36</v>
      </c>
      <c r="G855" s="8">
        <f>financials[[#This Row],[Units Sold]]*financials[[#This Row],[Sale Price]]</f>
        <v>396</v>
      </c>
      <c r="H855" s="8">
        <f>IF(financials[[#This Row],[Discount Band]]="low",0.1,IF(financials[[#This Row],[Discount Band]]="medium",0.15,0.3))</f>
        <v>0.3</v>
      </c>
      <c r="I855" s="8">
        <f>financials[[#This Row],[Gross Sales]]-financials[[#This Row],[Gross Sales]]*financials[[#This Row],[Discounts]]</f>
        <v>277.2</v>
      </c>
      <c r="J855" s="8">
        <f>VLOOKUP(financials[[#This Row],[productid]],Products!$B$2:$H$10,4)</f>
        <v>16.8</v>
      </c>
      <c r="K855" s="8">
        <f>financials[[#This Row],[Net Sales]]-financials[[#This Row],[COGS]]</f>
        <v>260.39999999999998</v>
      </c>
      <c r="L855" s="15">
        <v>44264</v>
      </c>
      <c r="M855" t="s">
        <v>700</v>
      </c>
    </row>
    <row r="856" spans="1:13" x14ac:dyDescent="0.25">
      <c r="A856" t="s">
        <v>87</v>
      </c>
      <c r="B856" s="6" t="s">
        <v>545</v>
      </c>
      <c r="C856" s="11">
        <v>105</v>
      </c>
      <c r="D856" s="9" t="s">
        <v>90</v>
      </c>
      <c r="E856">
        <v>9</v>
      </c>
      <c r="F856" s="8">
        <f>VLOOKUP(financials[[#This Row],[productid]],Products!$B$2:$H$10,3)</f>
        <v>15</v>
      </c>
      <c r="G856" s="8">
        <f>financials[[#This Row],[Units Sold]]*financials[[#This Row],[Sale Price]]</f>
        <v>135</v>
      </c>
      <c r="H856" s="8">
        <f>IF(financials[[#This Row],[Discount Band]]="low",0.1,IF(financials[[#This Row],[Discount Band]]="medium",0.15,0.3))</f>
        <v>0.15</v>
      </c>
      <c r="I856" s="8">
        <f>financials[[#This Row],[Gross Sales]]-financials[[#This Row],[Gross Sales]]*financials[[#This Row],[Discounts]]</f>
        <v>114.75</v>
      </c>
      <c r="J856" s="8">
        <f>VLOOKUP(financials[[#This Row],[productid]],Products!$B$2:$H$10,4)</f>
        <v>10</v>
      </c>
      <c r="K856" s="8">
        <f>financials[[#This Row],[Net Sales]]-financials[[#This Row],[COGS]]</f>
        <v>104.75</v>
      </c>
      <c r="L856" s="15">
        <v>44561</v>
      </c>
      <c r="M856" t="s">
        <v>696</v>
      </c>
    </row>
    <row r="857" spans="1:13" x14ac:dyDescent="0.25">
      <c r="A857" t="s">
        <v>86</v>
      </c>
      <c r="B857" s="6" t="s">
        <v>273</v>
      </c>
      <c r="C857" s="13">
        <v>101</v>
      </c>
      <c r="D857" s="14" t="s">
        <v>90</v>
      </c>
      <c r="E857">
        <v>7</v>
      </c>
      <c r="F857" s="8">
        <f>VLOOKUP(financials[[#This Row],[productid]],Products!$B$2:$H$10,3)</f>
        <v>23</v>
      </c>
      <c r="G857" s="8">
        <f>financials[[#This Row],[Units Sold]]*financials[[#This Row],[Sale Price]]</f>
        <v>161</v>
      </c>
      <c r="H857" s="8">
        <f>IF(financials[[#This Row],[Discount Band]]="low",0.1,IF(financials[[#This Row],[Discount Band]]="medium",0.15,0.3))</f>
        <v>0.15</v>
      </c>
      <c r="I857" s="8">
        <f>financials[[#This Row],[Gross Sales]]-financials[[#This Row],[Gross Sales]]*financials[[#This Row],[Discounts]]</f>
        <v>136.85</v>
      </c>
      <c r="J857" s="8">
        <f>VLOOKUP(financials[[#This Row],[productid]],Products!$B$2:$H$10,4)</f>
        <v>9.9499999999999993</v>
      </c>
      <c r="K857" s="8">
        <f>financials[[#This Row],[Net Sales]]-financials[[#This Row],[COGS]]</f>
        <v>126.89999999999999</v>
      </c>
      <c r="L857" s="15">
        <v>45026</v>
      </c>
      <c r="M857" t="s">
        <v>697</v>
      </c>
    </row>
    <row r="858" spans="1:13" x14ac:dyDescent="0.25">
      <c r="A858" t="s">
        <v>86</v>
      </c>
      <c r="B858" s="6" t="s">
        <v>167</v>
      </c>
      <c r="C858" s="13">
        <v>101</v>
      </c>
      <c r="D858" s="14" t="s">
        <v>92</v>
      </c>
      <c r="E858">
        <v>12</v>
      </c>
      <c r="F858" s="8">
        <f>VLOOKUP(financials[[#This Row],[productid]],Products!$B$2:$H$10,3)</f>
        <v>23</v>
      </c>
      <c r="G858" s="8">
        <f>financials[[#This Row],[Units Sold]]*financials[[#This Row],[Sale Price]]</f>
        <v>276</v>
      </c>
      <c r="H858" s="8">
        <f>IF(financials[[#This Row],[Discount Band]]="low",0.1,IF(financials[[#This Row],[Discount Band]]="medium",0.15,0.3))</f>
        <v>0.3</v>
      </c>
      <c r="I858" s="8">
        <f>financials[[#This Row],[Gross Sales]]-financials[[#This Row],[Gross Sales]]*financials[[#This Row],[Discounts]]</f>
        <v>193.2</v>
      </c>
      <c r="J858" s="8">
        <f>VLOOKUP(financials[[#This Row],[productid]],Products!$B$2:$H$10,4)</f>
        <v>9.9499999999999993</v>
      </c>
      <c r="K858" s="8">
        <f>financials[[#This Row],[Net Sales]]-financials[[#This Row],[COGS]]</f>
        <v>183.25</v>
      </c>
      <c r="L858" s="15">
        <v>43967</v>
      </c>
      <c r="M858" t="s">
        <v>691</v>
      </c>
    </row>
    <row r="859" spans="1:13" x14ac:dyDescent="0.25">
      <c r="A859" t="s">
        <v>85</v>
      </c>
      <c r="B859" s="6" t="s">
        <v>96</v>
      </c>
      <c r="C859" s="13">
        <v>101</v>
      </c>
      <c r="D859" s="14" t="s">
        <v>83</v>
      </c>
      <c r="E859">
        <v>8</v>
      </c>
      <c r="F859" s="8">
        <f>VLOOKUP(financials[[#This Row],[productid]],Products!$B$2:$H$10,3)</f>
        <v>23</v>
      </c>
      <c r="G859" s="8">
        <f>financials[[#This Row],[Units Sold]]*financials[[#This Row],[Sale Price]]</f>
        <v>184</v>
      </c>
      <c r="H859" s="8">
        <f>IF(financials[[#This Row],[Discount Band]]="low",0.1,IF(financials[[#This Row],[Discount Band]]="medium",0.15,0.3))</f>
        <v>0.3</v>
      </c>
      <c r="I859" s="8">
        <f>financials[[#This Row],[Gross Sales]]-financials[[#This Row],[Gross Sales]]*financials[[#This Row],[Discounts]]</f>
        <v>128.80000000000001</v>
      </c>
      <c r="J859" s="8">
        <f>VLOOKUP(financials[[#This Row],[productid]],Products!$B$2:$H$10,4)</f>
        <v>9.9499999999999993</v>
      </c>
      <c r="K859" s="8">
        <f>financials[[#This Row],[Net Sales]]-financials[[#This Row],[COGS]]</f>
        <v>118.85000000000001</v>
      </c>
      <c r="L859" s="15">
        <v>44925</v>
      </c>
      <c r="M859" t="s">
        <v>691</v>
      </c>
    </row>
    <row r="860" spans="1:13" x14ac:dyDescent="0.25">
      <c r="A860" t="s">
        <v>89</v>
      </c>
      <c r="B860" s="6" t="s">
        <v>645</v>
      </c>
      <c r="C860" s="13">
        <v>105</v>
      </c>
      <c r="D860" s="14" t="s">
        <v>91</v>
      </c>
      <c r="E860">
        <v>10</v>
      </c>
      <c r="F860" s="8">
        <f>VLOOKUP(financials[[#This Row],[productid]],Products!$B$2:$H$10,3)</f>
        <v>15</v>
      </c>
      <c r="G860" s="8">
        <f>financials[[#This Row],[Units Sold]]*financials[[#This Row],[Sale Price]]</f>
        <v>150</v>
      </c>
      <c r="H860" s="8">
        <f>IF(financials[[#This Row],[Discount Band]]="low",0.1,IF(financials[[#This Row],[Discount Band]]="medium",0.15,0.3))</f>
        <v>0.1</v>
      </c>
      <c r="I860" s="8">
        <f>financials[[#This Row],[Gross Sales]]-financials[[#This Row],[Gross Sales]]*financials[[#This Row],[Discounts]]</f>
        <v>135</v>
      </c>
      <c r="J860" s="8">
        <f>VLOOKUP(financials[[#This Row],[productid]],Products!$B$2:$H$10,4)</f>
        <v>10</v>
      </c>
      <c r="K860" s="8">
        <f>financials[[#This Row],[Net Sales]]-financials[[#This Row],[COGS]]</f>
        <v>125</v>
      </c>
      <c r="L860" s="15">
        <v>44584</v>
      </c>
      <c r="M860" t="s">
        <v>700</v>
      </c>
    </row>
    <row r="861" spans="1:13" x14ac:dyDescent="0.25">
      <c r="A861" t="s">
        <v>89</v>
      </c>
      <c r="B861" s="6" t="s">
        <v>125</v>
      </c>
      <c r="C861" s="13">
        <v>107</v>
      </c>
      <c r="D861" s="14" t="s">
        <v>90</v>
      </c>
      <c r="E861">
        <v>13</v>
      </c>
      <c r="F861" s="8">
        <f>VLOOKUP(financials[[#This Row],[productid]],Products!$B$2:$H$10,3)</f>
        <v>15</v>
      </c>
      <c r="G861" s="8">
        <f>financials[[#This Row],[Units Sold]]*financials[[#This Row],[Sale Price]]</f>
        <v>195</v>
      </c>
      <c r="H861" s="8">
        <f>IF(financials[[#This Row],[Discount Band]]="low",0.1,IF(financials[[#This Row],[Discount Band]]="medium",0.15,0.3))</f>
        <v>0.15</v>
      </c>
      <c r="I861" s="8">
        <f>financials[[#This Row],[Gross Sales]]-financials[[#This Row],[Gross Sales]]*financials[[#This Row],[Discounts]]</f>
        <v>165.75</v>
      </c>
      <c r="J861" s="8">
        <f>VLOOKUP(financials[[#This Row],[productid]],Products!$B$2:$H$10,4)</f>
        <v>5.5</v>
      </c>
      <c r="K861" s="8">
        <f>financials[[#This Row],[Net Sales]]-financials[[#This Row],[COGS]]</f>
        <v>160.25</v>
      </c>
      <c r="L861" s="15">
        <v>45627</v>
      </c>
      <c r="M861" t="s">
        <v>691</v>
      </c>
    </row>
    <row r="862" spans="1:13" x14ac:dyDescent="0.25">
      <c r="A862" t="s">
        <v>89</v>
      </c>
      <c r="B862" s="6" t="s">
        <v>93</v>
      </c>
      <c r="C862" s="13">
        <v>101</v>
      </c>
      <c r="D862" s="14" t="s">
        <v>90</v>
      </c>
      <c r="E862">
        <v>7</v>
      </c>
      <c r="F862" s="8">
        <f>VLOOKUP(financials[[#This Row],[productid]],Products!$B$2:$H$10,3)</f>
        <v>23</v>
      </c>
      <c r="G862" s="8">
        <f>financials[[#This Row],[Units Sold]]*financials[[#This Row],[Sale Price]]</f>
        <v>161</v>
      </c>
      <c r="H862" s="8">
        <f>IF(financials[[#This Row],[Discount Band]]="low",0.1,IF(financials[[#This Row],[Discount Band]]="medium",0.15,0.3))</f>
        <v>0.15</v>
      </c>
      <c r="I862" s="8">
        <f>financials[[#This Row],[Gross Sales]]-financials[[#This Row],[Gross Sales]]*financials[[#This Row],[Discounts]]</f>
        <v>136.85</v>
      </c>
      <c r="J862" s="8">
        <f>VLOOKUP(financials[[#This Row],[productid]],Products!$B$2:$H$10,4)</f>
        <v>9.9499999999999993</v>
      </c>
      <c r="K862" s="8">
        <f>financials[[#This Row],[Net Sales]]-financials[[#This Row],[COGS]]</f>
        <v>126.89999999999999</v>
      </c>
      <c r="L862" s="15">
        <v>44787</v>
      </c>
      <c r="M862" t="s">
        <v>696</v>
      </c>
    </row>
    <row r="863" spans="1:13" x14ac:dyDescent="0.25">
      <c r="A863" t="s">
        <v>89</v>
      </c>
      <c r="B863" s="6" t="s">
        <v>95</v>
      </c>
      <c r="C863" s="13">
        <v>109</v>
      </c>
      <c r="D863" s="14" t="s">
        <v>91</v>
      </c>
      <c r="E863">
        <v>13</v>
      </c>
      <c r="F863" s="8">
        <f>VLOOKUP(financials[[#This Row],[productid]],Products!$B$2:$H$10,3)</f>
        <v>36</v>
      </c>
      <c r="G863" s="8">
        <f>financials[[#This Row],[Units Sold]]*financials[[#This Row],[Sale Price]]</f>
        <v>468</v>
      </c>
      <c r="H863" s="8">
        <f>IF(financials[[#This Row],[Discount Band]]="low",0.1,IF(financials[[#This Row],[Discount Band]]="medium",0.15,0.3))</f>
        <v>0.1</v>
      </c>
      <c r="I863" s="8">
        <f>financials[[#This Row],[Gross Sales]]-financials[[#This Row],[Gross Sales]]*financials[[#This Row],[Discounts]]</f>
        <v>421.2</v>
      </c>
      <c r="J863" s="8">
        <f>VLOOKUP(financials[[#This Row],[productid]],Products!$B$2:$H$10,4)</f>
        <v>16.8</v>
      </c>
      <c r="K863" s="8">
        <f>financials[[#This Row],[Net Sales]]-financials[[#This Row],[COGS]]</f>
        <v>404.4</v>
      </c>
      <c r="L863" s="15">
        <v>44210</v>
      </c>
      <c r="M863" t="s">
        <v>696</v>
      </c>
    </row>
    <row r="864" spans="1:13" x14ac:dyDescent="0.25">
      <c r="A864" t="s">
        <v>86</v>
      </c>
      <c r="B864" s="6" t="s">
        <v>148</v>
      </c>
      <c r="C864" s="11">
        <v>105</v>
      </c>
      <c r="D864" s="9" t="s">
        <v>91</v>
      </c>
      <c r="E864">
        <v>10</v>
      </c>
      <c r="F864" s="8">
        <f>VLOOKUP(financials[[#This Row],[productid]],Products!$B$2:$H$10,3)</f>
        <v>15</v>
      </c>
      <c r="G864" s="8">
        <f>financials[[#This Row],[Units Sold]]*financials[[#This Row],[Sale Price]]</f>
        <v>150</v>
      </c>
      <c r="H864" s="8">
        <f>IF(financials[[#This Row],[Discount Band]]="low",0.1,IF(financials[[#This Row],[Discount Band]]="medium",0.15,0.3))</f>
        <v>0.1</v>
      </c>
      <c r="I864" s="8">
        <f>financials[[#This Row],[Gross Sales]]-financials[[#This Row],[Gross Sales]]*financials[[#This Row],[Discounts]]</f>
        <v>135</v>
      </c>
      <c r="J864" s="8">
        <f>VLOOKUP(financials[[#This Row],[productid]],Products!$B$2:$H$10,4)</f>
        <v>10</v>
      </c>
      <c r="K864" s="8">
        <f>financials[[#This Row],[Net Sales]]-financials[[#This Row],[COGS]]</f>
        <v>125</v>
      </c>
      <c r="L864" s="15">
        <v>45124</v>
      </c>
      <c r="M864" t="s">
        <v>696</v>
      </c>
    </row>
    <row r="865" spans="1:13" x14ac:dyDescent="0.25">
      <c r="A865" t="s">
        <v>86</v>
      </c>
      <c r="B865" s="6" t="s">
        <v>617</v>
      </c>
      <c r="C865" s="13">
        <v>104</v>
      </c>
      <c r="D865" s="14" t="s">
        <v>83</v>
      </c>
      <c r="E865">
        <v>7</v>
      </c>
      <c r="F865" s="8">
        <f>VLOOKUP(financials[[#This Row],[productid]],Products!$B$2:$H$10,3)</f>
        <v>5.9</v>
      </c>
      <c r="G865" s="8">
        <f>financials[[#This Row],[Units Sold]]*financials[[#This Row],[Sale Price]]</f>
        <v>41.300000000000004</v>
      </c>
      <c r="H865" s="8">
        <f>IF(financials[[#This Row],[Discount Band]]="low",0.1,IF(financials[[#This Row],[Discount Band]]="medium",0.15,0.3))</f>
        <v>0.3</v>
      </c>
      <c r="I865" s="8">
        <f>financials[[#This Row],[Gross Sales]]-financials[[#This Row],[Gross Sales]]*financials[[#This Row],[Discounts]]</f>
        <v>28.910000000000004</v>
      </c>
      <c r="J865" s="8">
        <f>VLOOKUP(financials[[#This Row],[productid]],Products!$B$2:$H$10,4)</f>
        <v>2.9</v>
      </c>
      <c r="K865" s="8">
        <f>financials[[#This Row],[Net Sales]]-financials[[#This Row],[COGS]]</f>
        <v>26.010000000000005</v>
      </c>
      <c r="L865" s="15">
        <v>44734</v>
      </c>
      <c r="M865" t="s">
        <v>691</v>
      </c>
    </row>
    <row r="866" spans="1:13" x14ac:dyDescent="0.25">
      <c r="A866" t="s">
        <v>86</v>
      </c>
      <c r="B866" s="6" t="s">
        <v>287</v>
      </c>
      <c r="C866" s="13">
        <v>101</v>
      </c>
      <c r="D866" s="14" t="s">
        <v>83</v>
      </c>
      <c r="E866">
        <v>16</v>
      </c>
      <c r="F866" s="8">
        <f>VLOOKUP(financials[[#This Row],[productid]],Products!$B$2:$H$10,3)</f>
        <v>23</v>
      </c>
      <c r="G866" s="8">
        <f>financials[[#This Row],[Units Sold]]*financials[[#This Row],[Sale Price]]</f>
        <v>368</v>
      </c>
      <c r="H866" s="8">
        <f>IF(financials[[#This Row],[Discount Band]]="low",0.1,IF(financials[[#This Row],[Discount Band]]="medium",0.15,0.3))</f>
        <v>0.3</v>
      </c>
      <c r="I866" s="8">
        <f>financials[[#This Row],[Gross Sales]]-financials[[#This Row],[Gross Sales]]*financials[[#This Row],[Discounts]]</f>
        <v>257.60000000000002</v>
      </c>
      <c r="J866" s="8">
        <f>VLOOKUP(financials[[#This Row],[productid]],Products!$B$2:$H$10,4)</f>
        <v>9.9499999999999993</v>
      </c>
      <c r="K866" s="8">
        <f>financials[[#This Row],[Net Sales]]-financials[[#This Row],[COGS]]</f>
        <v>247.65000000000003</v>
      </c>
      <c r="L866" s="15">
        <v>45422</v>
      </c>
      <c r="M866" t="s">
        <v>690</v>
      </c>
    </row>
    <row r="867" spans="1:13" x14ac:dyDescent="0.25">
      <c r="A867" t="s">
        <v>85</v>
      </c>
      <c r="B867" s="6" t="s">
        <v>287</v>
      </c>
      <c r="C867" s="13">
        <v>109</v>
      </c>
      <c r="D867" s="14" t="s">
        <v>91</v>
      </c>
      <c r="E867">
        <v>5</v>
      </c>
      <c r="F867" s="8">
        <f>VLOOKUP(financials[[#This Row],[productid]],Products!$B$2:$H$10,3)</f>
        <v>36</v>
      </c>
      <c r="G867" s="8">
        <f>financials[[#This Row],[Units Sold]]*financials[[#This Row],[Sale Price]]</f>
        <v>180</v>
      </c>
      <c r="H867" s="8">
        <f>IF(financials[[#This Row],[Discount Band]]="low",0.1,IF(financials[[#This Row],[Discount Band]]="medium",0.15,0.3))</f>
        <v>0.1</v>
      </c>
      <c r="I867" s="8">
        <f>financials[[#This Row],[Gross Sales]]-financials[[#This Row],[Gross Sales]]*financials[[#This Row],[Discounts]]</f>
        <v>162</v>
      </c>
      <c r="J867" s="8">
        <f>VLOOKUP(financials[[#This Row],[productid]],Products!$B$2:$H$10,4)</f>
        <v>16.8</v>
      </c>
      <c r="K867" s="8">
        <f>financials[[#This Row],[Net Sales]]-financials[[#This Row],[COGS]]</f>
        <v>145.19999999999999</v>
      </c>
      <c r="L867" s="15">
        <v>44410</v>
      </c>
      <c r="M867" t="s">
        <v>696</v>
      </c>
    </row>
    <row r="868" spans="1:13" x14ac:dyDescent="0.25">
      <c r="A868" t="s">
        <v>85</v>
      </c>
      <c r="B868" s="6" t="s">
        <v>228</v>
      </c>
      <c r="C868" s="13">
        <v>102</v>
      </c>
      <c r="D868" s="14" t="s">
        <v>83</v>
      </c>
      <c r="E868">
        <v>17</v>
      </c>
      <c r="F868" s="8">
        <f>VLOOKUP(financials[[#This Row],[productid]],Products!$B$2:$H$10,3)</f>
        <v>15</v>
      </c>
      <c r="G868" s="8">
        <f>financials[[#This Row],[Units Sold]]*financials[[#This Row],[Sale Price]]</f>
        <v>255</v>
      </c>
      <c r="H868" s="8">
        <f>IF(financials[[#This Row],[Discount Band]]="low",0.1,IF(financials[[#This Row],[Discount Band]]="medium",0.15,0.3))</f>
        <v>0.3</v>
      </c>
      <c r="I868" s="8">
        <f>financials[[#This Row],[Gross Sales]]-financials[[#This Row],[Gross Sales]]*financials[[#This Row],[Discounts]]</f>
        <v>178.5</v>
      </c>
      <c r="J868" s="8">
        <f>VLOOKUP(financials[[#This Row],[productid]],Products!$B$2:$H$10,4)</f>
        <v>13.95</v>
      </c>
      <c r="K868" s="8">
        <f>financials[[#This Row],[Net Sales]]-financials[[#This Row],[COGS]]</f>
        <v>164.55</v>
      </c>
      <c r="L868" s="15">
        <v>45242</v>
      </c>
      <c r="M868" t="s">
        <v>691</v>
      </c>
    </row>
    <row r="869" spans="1:13" x14ac:dyDescent="0.25">
      <c r="A869" t="s">
        <v>85</v>
      </c>
      <c r="B869" s="6" t="s">
        <v>274</v>
      </c>
      <c r="C869" s="13">
        <v>106</v>
      </c>
      <c r="D869" s="14" t="s">
        <v>90</v>
      </c>
      <c r="E869">
        <v>10</v>
      </c>
      <c r="F869" s="8">
        <f>VLOOKUP(financials[[#This Row],[productid]],Products!$B$2:$H$10,3)</f>
        <v>25</v>
      </c>
      <c r="G869" s="8">
        <f>financials[[#This Row],[Units Sold]]*financials[[#This Row],[Sale Price]]</f>
        <v>250</v>
      </c>
      <c r="H869" s="8">
        <f>IF(financials[[#This Row],[Discount Band]]="low",0.1,IF(financials[[#This Row],[Discount Band]]="medium",0.15,0.3))</f>
        <v>0.15</v>
      </c>
      <c r="I869" s="8">
        <f>financials[[#This Row],[Gross Sales]]-financials[[#This Row],[Gross Sales]]*financials[[#This Row],[Discounts]]</f>
        <v>212.5</v>
      </c>
      <c r="J869" s="8">
        <f>VLOOKUP(financials[[#This Row],[productid]],Products!$B$2:$H$10,4)</f>
        <v>9.1</v>
      </c>
      <c r="K869" s="8">
        <f>financials[[#This Row],[Net Sales]]-financials[[#This Row],[COGS]]</f>
        <v>203.4</v>
      </c>
      <c r="L869" s="15">
        <v>45567</v>
      </c>
      <c r="M869" t="s">
        <v>697</v>
      </c>
    </row>
    <row r="870" spans="1:13" x14ac:dyDescent="0.25">
      <c r="A870" t="s">
        <v>89</v>
      </c>
      <c r="B870" s="6" t="s">
        <v>274</v>
      </c>
      <c r="C870" s="13">
        <v>101</v>
      </c>
      <c r="D870" s="14" t="s">
        <v>91</v>
      </c>
      <c r="E870">
        <v>15</v>
      </c>
      <c r="F870" s="8">
        <f>VLOOKUP(financials[[#This Row],[productid]],Products!$B$2:$H$10,3)</f>
        <v>23</v>
      </c>
      <c r="G870" s="8">
        <f>financials[[#This Row],[Units Sold]]*financials[[#This Row],[Sale Price]]</f>
        <v>345</v>
      </c>
      <c r="H870" s="8">
        <f>IF(financials[[#This Row],[Discount Band]]="low",0.1,IF(financials[[#This Row],[Discount Band]]="medium",0.15,0.3))</f>
        <v>0.1</v>
      </c>
      <c r="I870" s="8">
        <f>financials[[#This Row],[Gross Sales]]-financials[[#This Row],[Gross Sales]]*financials[[#This Row],[Discounts]]</f>
        <v>310.5</v>
      </c>
      <c r="J870" s="8">
        <f>VLOOKUP(financials[[#This Row],[productid]],Products!$B$2:$H$10,4)</f>
        <v>9.9499999999999993</v>
      </c>
      <c r="K870" s="8">
        <f>financials[[#This Row],[Net Sales]]-financials[[#This Row],[COGS]]</f>
        <v>300.55</v>
      </c>
      <c r="L870" s="15">
        <v>45620</v>
      </c>
      <c r="M870" t="s">
        <v>691</v>
      </c>
    </row>
    <row r="871" spans="1:13" x14ac:dyDescent="0.25">
      <c r="A871" t="s">
        <v>85</v>
      </c>
      <c r="B871" s="6" t="s">
        <v>228</v>
      </c>
      <c r="C871" s="13">
        <v>108</v>
      </c>
      <c r="D871" s="14" t="s">
        <v>90</v>
      </c>
      <c r="E871">
        <v>9</v>
      </c>
      <c r="F871" s="8">
        <f>VLOOKUP(financials[[#This Row],[productid]],Products!$B$2:$H$10,3)</f>
        <v>5.5</v>
      </c>
      <c r="G871" s="8">
        <f>financials[[#This Row],[Units Sold]]*financials[[#This Row],[Sale Price]]</f>
        <v>49.5</v>
      </c>
      <c r="H871" s="8">
        <f>IF(financials[[#This Row],[Discount Band]]="low",0.1,IF(financials[[#This Row],[Discount Band]]="medium",0.15,0.3))</f>
        <v>0.15</v>
      </c>
      <c r="I871" s="8">
        <f>financials[[#This Row],[Gross Sales]]-financials[[#This Row],[Gross Sales]]*financials[[#This Row],[Discounts]]</f>
        <v>42.075000000000003</v>
      </c>
      <c r="J871" s="8">
        <f>VLOOKUP(financials[[#This Row],[productid]],Products!$B$2:$H$10,4)</f>
        <v>3.99</v>
      </c>
      <c r="K871" s="8">
        <f>financials[[#This Row],[Net Sales]]-financials[[#This Row],[COGS]]</f>
        <v>38.085000000000001</v>
      </c>
      <c r="L871" s="15">
        <v>45599</v>
      </c>
      <c r="M871" t="s">
        <v>697</v>
      </c>
    </row>
    <row r="872" spans="1:13" x14ac:dyDescent="0.25">
      <c r="A872" t="s">
        <v>85</v>
      </c>
      <c r="B872" s="6" t="s">
        <v>645</v>
      </c>
      <c r="C872" s="13">
        <v>103</v>
      </c>
      <c r="D872" s="14" t="s">
        <v>92</v>
      </c>
      <c r="E872">
        <v>20</v>
      </c>
      <c r="F872" s="8">
        <f>VLOOKUP(financials[[#This Row],[productid]],Products!$B$2:$H$10,3)</f>
        <v>28</v>
      </c>
      <c r="G872" s="8">
        <f>financials[[#This Row],[Units Sold]]*financials[[#This Row],[Sale Price]]</f>
        <v>560</v>
      </c>
      <c r="H872" s="8">
        <f>IF(financials[[#This Row],[Discount Band]]="low",0.1,IF(financials[[#This Row],[Discount Band]]="medium",0.15,0.3))</f>
        <v>0.3</v>
      </c>
      <c r="I872" s="8">
        <f>financials[[#This Row],[Gross Sales]]-financials[[#This Row],[Gross Sales]]*financials[[#This Row],[Discounts]]</f>
        <v>392</v>
      </c>
      <c r="J872" s="8">
        <f>VLOOKUP(financials[[#This Row],[productid]],Products!$B$2:$H$10,4)</f>
        <v>15</v>
      </c>
      <c r="K872" s="8">
        <f>financials[[#This Row],[Net Sales]]-financials[[#This Row],[COGS]]</f>
        <v>377</v>
      </c>
      <c r="L872" s="15">
        <v>45133</v>
      </c>
      <c r="M872" t="s">
        <v>697</v>
      </c>
    </row>
    <row r="873" spans="1:13" x14ac:dyDescent="0.25">
      <c r="A873" t="s">
        <v>86</v>
      </c>
      <c r="B873" s="6" t="s">
        <v>268</v>
      </c>
      <c r="C873" s="11">
        <v>106</v>
      </c>
      <c r="D873" s="9" t="s">
        <v>92</v>
      </c>
      <c r="E873">
        <v>20</v>
      </c>
      <c r="F873" s="8">
        <f>VLOOKUP(financials[[#This Row],[productid]],Products!$B$2:$H$10,3)</f>
        <v>25</v>
      </c>
      <c r="G873" s="8">
        <f>financials[[#This Row],[Units Sold]]*financials[[#This Row],[Sale Price]]</f>
        <v>500</v>
      </c>
      <c r="H873" s="8">
        <f>IF(financials[[#This Row],[Discount Band]]="low",0.1,IF(financials[[#This Row],[Discount Band]]="medium",0.15,0.3))</f>
        <v>0.3</v>
      </c>
      <c r="I873" s="8">
        <f>financials[[#This Row],[Gross Sales]]-financials[[#This Row],[Gross Sales]]*financials[[#This Row],[Discounts]]</f>
        <v>350</v>
      </c>
      <c r="J873" s="8">
        <f>VLOOKUP(financials[[#This Row],[productid]],Products!$B$2:$H$10,4)</f>
        <v>9.1</v>
      </c>
      <c r="K873" s="8">
        <f>financials[[#This Row],[Net Sales]]-financials[[#This Row],[COGS]]</f>
        <v>340.9</v>
      </c>
      <c r="L873" s="15">
        <v>45656</v>
      </c>
      <c r="M873" t="s">
        <v>696</v>
      </c>
    </row>
    <row r="874" spans="1:13" x14ac:dyDescent="0.25">
      <c r="A874" t="s">
        <v>86</v>
      </c>
      <c r="B874" s="6" t="s">
        <v>95</v>
      </c>
      <c r="C874" s="13">
        <v>107</v>
      </c>
      <c r="D874" s="14" t="s">
        <v>83</v>
      </c>
      <c r="E874">
        <v>7</v>
      </c>
      <c r="F874" s="8">
        <f>VLOOKUP(financials[[#This Row],[productid]],Products!$B$2:$H$10,3)</f>
        <v>15</v>
      </c>
      <c r="G874" s="8">
        <f>financials[[#This Row],[Units Sold]]*financials[[#This Row],[Sale Price]]</f>
        <v>105</v>
      </c>
      <c r="H874" s="8">
        <f>IF(financials[[#This Row],[Discount Band]]="low",0.1,IF(financials[[#This Row],[Discount Band]]="medium",0.15,0.3))</f>
        <v>0.3</v>
      </c>
      <c r="I874" s="8">
        <f>financials[[#This Row],[Gross Sales]]-financials[[#This Row],[Gross Sales]]*financials[[#This Row],[Discounts]]</f>
        <v>73.5</v>
      </c>
      <c r="J874" s="8">
        <f>VLOOKUP(financials[[#This Row],[productid]],Products!$B$2:$H$10,4)</f>
        <v>5.5</v>
      </c>
      <c r="K874" s="8">
        <f>financials[[#This Row],[Net Sales]]-financials[[#This Row],[COGS]]</f>
        <v>68</v>
      </c>
      <c r="L874" s="15">
        <v>44591</v>
      </c>
      <c r="M874" t="s">
        <v>690</v>
      </c>
    </row>
    <row r="875" spans="1:13" x14ac:dyDescent="0.25">
      <c r="A875" t="s">
        <v>89</v>
      </c>
      <c r="B875" s="6" t="s">
        <v>617</v>
      </c>
      <c r="C875" s="13">
        <v>107</v>
      </c>
      <c r="D875" s="14" t="s">
        <v>92</v>
      </c>
      <c r="E875">
        <v>5</v>
      </c>
      <c r="F875" s="8">
        <f>VLOOKUP(financials[[#This Row],[productid]],Products!$B$2:$H$10,3)</f>
        <v>15</v>
      </c>
      <c r="G875" s="8">
        <f>financials[[#This Row],[Units Sold]]*financials[[#This Row],[Sale Price]]</f>
        <v>75</v>
      </c>
      <c r="H875" s="8">
        <f>IF(financials[[#This Row],[Discount Band]]="low",0.1,IF(financials[[#This Row],[Discount Band]]="medium",0.15,0.3))</f>
        <v>0.3</v>
      </c>
      <c r="I875" s="8">
        <f>financials[[#This Row],[Gross Sales]]-financials[[#This Row],[Gross Sales]]*financials[[#This Row],[Discounts]]</f>
        <v>52.5</v>
      </c>
      <c r="J875" s="8">
        <f>VLOOKUP(financials[[#This Row],[productid]],Products!$B$2:$H$10,4)</f>
        <v>5.5</v>
      </c>
      <c r="K875" s="8">
        <f>financials[[#This Row],[Net Sales]]-financials[[#This Row],[COGS]]</f>
        <v>47</v>
      </c>
      <c r="L875" s="15">
        <v>44191</v>
      </c>
      <c r="M875" t="s">
        <v>691</v>
      </c>
    </row>
    <row r="876" spans="1:13" x14ac:dyDescent="0.25">
      <c r="A876" t="s">
        <v>89</v>
      </c>
      <c r="B876" s="6" t="s">
        <v>93</v>
      </c>
      <c r="C876" s="13">
        <v>106</v>
      </c>
      <c r="D876" s="14" t="s">
        <v>92</v>
      </c>
      <c r="E876">
        <v>6</v>
      </c>
      <c r="F876" s="8">
        <f>VLOOKUP(financials[[#This Row],[productid]],Products!$B$2:$H$10,3)</f>
        <v>25</v>
      </c>
      <c r="G876" s="8">
        <f>financials[[#This Row],[Units Sold]]*financials[[#This Row],[Sale Price]]</f>
        <v>150</v>
      </c>
      <c r="H876" s="8">
        <f>IF(financials[[#This Row],[Discount Band]]="low",0.1,IF(financials[[#This Row],[Discount Band]]="medium",0.15,0.3))</f>
        <v>0.3</v>
      </c>
      <c r="I876" s="8">
        <f>financials[[#This Row],[Gross Sales]]-financials[[#This Row],[Gross Sales]]*financials[[#This Row],[Discounts]]</f>
        <v>105</v>
      </c>
      <c r="J876" s="8">
        <f>VLOOKUP(financials[[#This Row],[productid]],Products!$B$2:$H$10,4)</f>
        <v>9.1</v>
      </c>
      <c r="K876" s="8">
        <f>financials[[#This Row],[Net Sales]]-financials[[#This Row],[COGS]]</f>
        <v>95.9</v>
      </c>
      <c r="L876" s="15">
        <v>44368</v>
      </c>
      <c r="M876" t="s">
        <v>696</v>
      </c>
    </row>
    <row r="877" spans="1:13" x14ac:dyDescent="0.25">
      <c r="A877" t="s">
        <v>89</v>
      </c>
      <c r="B877" s="6" t="s">
        <v>197</v>
      </c>
      <c r="C877" s="13">
        <v>107</v>
      </c>
      <c r="D877" s="14" t="s">
        <v>90</v>
      </c>
      <c r="E877">
        <v>13</v>
      </c>
      <c r="F877" s="8">
        <f>VLOOKUP(financials[[#This Row],[productid]],Products!$B$2:$H$10,3)</f>
        <v>15</v>
      </c>
      <c r="G877" s="8">
        <f>financials[[#This Row],[Units Sold]]*financials[[#This Row],[Sale Price]]</f>
        <v>195</v>
      </c>
      <c r="H877" s="8">
        <f>IF(financials[[#This Row],[Discount Band]]="low",0.1,IF(financials[[#This Row],[Discount Band]]="medium",0.15,0.3))</f>
        <v>0.15</v>
      </c>
      <c r="I877" s="8">
        <f>financials[[#This Row],[Gross Sales]]-financials[[#This Row],[Gross Sales]]*financials[[#This Row],[Discounts]]</f>
        <v>165.75</v>
      </c>
      <c r="J877" s="8">
        <f>VLOOKUP(financials[[#This Row],[productid]],Products!$B$2:$H$10,4)</f>
        <v>5.5</v>
      </c>
      <c r="K877" s="8">
        <f>financials[[#This Row],[Net Sales]]-financials[[#This Row],[COGS]]</f>
        <v>160.25</v>
      </c>
      <c r="L877" s="15">
        <v>45229</v>
      </c>
      <c r="M877" t="s">
        <v>690</v>
      </c>
    </row>
    <row r="878" spans="1:13" x14ac:dyDescent="0.25">
      <c r="A878" t="s">
        <v>85</v>
      </c>
      <c r="B878" s="6" t="s">
        <v>645</v>
      </c>
      <c r="C878" s="11">
        <v>109</v>
      </c>
      <c r="D878" s="9" t="s">
        <v>83</v>
      </c>
      <c r="E878">
        <v>14</v>
      </c>
      <c r="F878" s="8">
        <f>VLOOKUP(financials[[#This Row],[productid]],Products!$B$2:$H$10,3)</f>
        <v>36</v>
      </c>
      <c r="G878" s="8">
        <f>financials[[#This Row],[Units Sold]]*financials[[#This Row],[Sale Price]]</f>
        <v>504</v>
      </c>
      <c r="H878" s="8">
        <f>IF(financials[[#This Row],[Discount Band]]="low",0.1,IF(financials[[#This Row],[Discount Band]]="medium",0.15,0.3))</f>
        <v>0.3</v>
      </c>
      <c r="I878" s="8">
        <f>financials[[#This Row],[Gross Sales]]-financials[[#This Row],[Gross Sales]]*financials[[#This Row],[Discounts]]</f>
        <v>352.8</v>
      </c>
      <c r="J878" s="8">
        <f>VLOOKUP(financials[[#This Row],[productid]],Products!$B$2:$H$10,4)</f>
        <v>16.8</v>
      </c>
      <c r="K878" s="8">
        <f>financials[[#This Row],[Net Sales]]-financials[[#This Row],[COGS]]</f>
        <v>336</v>
      </c>
      <c r="L878" s="15">
        <v>44682</v>
      </c>
      <c r="M878" t="s">
        <v>700</v>
      </c>
    </row>
    <row r="879" spans="1:13" x14ac:dyDescent="0.25">
      <c r="A879" t="s">
        <v>85</v>
      </c>
      <c r="B879" s="6" t="s">
        <v>645</v>
      </c>
      <c r="C879" s="13">
        <v>101</v>
      </c>
      <c r="D879" s="14" t="s">
        <v>83</v>
      </c>
      <c r="E879">
        <v>7</v>
      </c>
      <c r="F879" s="8">
        <f>VLOOKUP(financials[[#This Row],[productid]],Products!$B$2:$H$10,3)</f>
        <v>23</v>
      </c>
      <c r="G879" s="8">
        <f>financials[[#This Row],[Units Sold]]*financials[[#This Row],[Sale Price]]</f>
        <v>161</v>
      </c>
      <c r="H879" s="8">
        <f>IF(financials[[#This Row],[Discount Band]]="low",0.1,IF(financials[[#This Row],[Discount Band]]="medium",0.15,0.3))</f>
        <v>0.3</v>
      </c>
      <c r="I879" s="8">
        <f>financials[[#This Row],[Gross Sales]]-financials[[#This Row],[Gross Sales]]*financials[[#This Row],[Discounts]]</f>
        <v>112.7</v>
      </c>
      <c r="J879" s="8">
        <f>VLOOKUP(financials[[#This Row],[productid]],Products!$B$2:$H$10,4)</f>
        <v>9.9499999999999993</v>
      </c>
      <c r="K879" s="8">
        <f>financials[[#This Row],[Net Sales]]-financials[[#This Row],[COGS]]</f>
        <v>102.75</v>
      </c>
      <c r="L879" s="15">
        <v>45183</v>
      </c>
      <c r="M879" t="s">
        <v>696</v>
      </c>
    </row>
    <row r="880" spans="1:13" x14ac:dyDescent="0.25">
      <c r="A880" t="s">
        <v>85</v>
      </c>
      <c r="B880" s="6" t="s">
        <v>232</v>
      </c>
      <c r="C880" s="13">
        <v>107</v>
      </c>
      <c r="D880" s="14" t="s">
        <v>83</v>
      </c>
      <c r="E880">
        <v>11</v>
      </c>
      <c r="F880" s="8">
        <f>VLOOKUP(financials[[#This Row],[productid]],Products!$B$2:$H$10,3)</f>
        <v>15</v>
      </c>
      <c r="G880" s="8">
        <f>financials[[#This Row],[Units Sold]]*financials[[#This Row],[Sale Price]]</f>
        <v>165</v>
      </c>
      <c r="H880" s="8">
        <f>IF(financials[[#This Row],[Discount Band]]="low",0.1,IF(financials[[#This Row],[Discount Band]]="medium",0.15,0.3))</f>
        <v>0.3</v>
      </c>
      <c r="I880" s="8">
        <f>financials[[#This Row],[Gross Sales]]-financials[[#This Row],[Gross Sales]]*financials[[#This Row],[Discounts]]</f>
        <v>115.5</v>
      </c>
      <c r="J880" s="8">
        <f>VLOOKUP(financials[[#This Row],[productid]],Products!$B$2:$H$10,4)</f>
        <v>5.5</v>
      </c>
      <c r="K880" s="8">
        <f>financials[[#This Row],[Net Sales]]-financials[[#This Row],[COGS]]</f>
        <v>110</v>
      </c>
      <c r="L880" s="15">
        <v>44187</v>
      </c>
      <c r="M880" t="s">
        <v>697</v>
      </c>
    </row>
    <row r="881" spans="1:13" x14ac:dyDescent="0.25">
      <c r="A881" t="s">
        <v>85</v>
      </c>
      <c r="B881" s="6" t="s">
        <v>148</v>
      </c>
      <c r="C881" s="13">
        <v>104</v>
      </c>
      <c r="D881" s="14" t="s">
        <v>91</v>
      </c>
      <c r="E881">
        <v>11</v>
      </c>
      <c r="F881" s="8">
        <f>VLOOKUP(financials[[#This Row],[productid]],Products!$B$2:$H$10,3)</f>
        <v>5.9</v>
      </c>
      <c r="G881" s="8">
        <f>financials[[#This Row],[Units Sold]]*financials[[#This Row],[Sale Price]]</f>
        <v>64.900000000000006</v>
      </c>
      <c r="H881" s="8">
        <f>IF(financials[[#This Row],[Discount Band]]="low",0.1,IF(financials[[#This Row],[Discount Band]]="medium",0.15,0.3))</f>
        <v>0.1</v>
      </c>
      <c r="I881" s="8">
        <f>financials[[#This Row],[Gross Sales]]-financials[[#This Row],[Gross Sales]]*financials[[#This Row],[Discounts]]</f>
        <v>58.410000000000004</v>
      </c>
      <c r="J881" s="8">
        <f>VLOOKUP(financials[[#This Row],[productid]],Products!$B$2:$H$10,4)</f>
        <v>2.9</v>
      </c>
      <c r="K881" s="8">
        <f>financials[[#This Row],[Net Sales]]-financials[[#This Row],[COGS]]</f>
        <v>55.510000000000005</v>
      </c>
      <c r="L881" s="15">
        <v>43906</v>
      </c>
      <c r="M881" t="s">
        <v>696</v>
      </c>
    </row>
    <row r="882" spans="1:13" x14ac:dyDescent="0.25">
      <c r="A882" t="s">
        <v>86</v>
      </c>
      <c r="B882" s="6" t="s">
        <v>266</v>
      </c>
      <c r="C882" s="13">
        <v>105</v>
      </c>
      <c r="D882" s="14" t="s">
        <v>90</v>
      </c>
      <c r="E882">
        <v>8</v>
      </c>
      <c r="F882" s="8">
        <f>VLOOKUP(financials[[#This Row],[productid]],Products!$B$2:$H$10,3)</f>
        <v>15</v>
      </c>
      <c r="G882" s="8">
        <f>financials[[#This Row],[Units Sold]]*financials[[#This Row],[Sale Price]]</f>
        <v>120</v>
      </c>
      <c r="H882" s="8">
        <f>IF(financials[[#This Row],[Discount Band]]="low",0.1,IF(financials[[#This Row],[Discount Band]]="medium",0.15,0.3))</f>
        <v>0.15</v>
      </c>
      <c r="I882" s="8">
        <f>financials[[#This Row],[Gross Sales]]-financials[[#This Row],[Gross Sales]]*financials[[#This Row],[Discounts]]</f>
        <v>102</v>
      </c>
      <c r="J882" s="8">
        <f>VLOOKUP(financials[[#This Row],[productid]],Products!$B$2:$H$10,4)</f>
        <v>10</v>
      </c>
      <c r="K882" s="8">
        <f>financials[[#This Row],[Net Sales]]-financials[[#This Row],[COGS]]</f>
        <v>92</v>
      </c>
      <c r="L882" s="15">
        <v>44229</v>
      </c>
      <c r="M882" t="s">
        <v>691</v>
      </c>
    </row>
    <row r="883" spans="1:13" x14ac:dyDescent="0.25">
      <c r="A883" t="s">
        <v>89</v>
      </c>
      <c r="B883" s="6" t="s">
        <v>96</v>
      </c>
      <c r="C883" s="13">
        <v>105</v>
      </c>
      <c r="D883" s="14" t="s">
        <v>91</v>
      </c>
      <c r="E883">
        <v>14</v>
      </c>
      <c r="F883" s="8">
        <f>VLOOKUP(financials[[#This Row],[productid]],Products!$B$2:$H$10,3)</f>
        <v>15</v>
      </c>
      <c r="G883" s="8">
        <f>financials[[#This Row],[Units Sold]]*financials[[#This Row],[Sale Price]]</f>
        <v>210</v>
      </c>
      <c r="H883" s="8">
        <f>IF(financials[[#This Row],[Discount Band]]="low",0.1,IF(financials[[#This Row],[Discount Band]]="medium",0.15,0.3))</f>
        <v>0.1</v>
      </c>
      <c r="I883" s="8">
        <f>financials[[#This Row],[Gross Sales]]-financials[[#This Row],[Gross Sales]]*financials[[#This Row],[Discounts]]</f>
        <v>189</v>
      </c>
      <c r="J883" s="8">
        <f>VLOOKUP(financials[[#This Row],[productid]],Products!$B$2:$H$10,4)</f>
        <v>10</v>
      </c>
      <c r="K883" s="8">
        <f>financials[[#This Row],[Net Sales]]-financials[[#This Row],[COGS]]</f>
        <v>179</v>
      </c>
      <c r="L883" s="15">
        <v>44183</v>
      </c>
      <c r="M883" t="s">
        <v>697</v>
      </c>
    </row>
    <row r="884" spans="1:13" x14ac:dyDescent="0.25">
      <c r="A884" t="s">
        <v>85</v>
      </c>
      <c r="B884" s="6" t="s">
        <v>232</v>
      </c>
      <c r="C884" s="13">
        <v>105</v>
      </c>
      <c r="D884" s="14" t="s">
        <v>83</v>
      </c>
      <c r="E884">
        <v>12</v>
      </c>
      <c r="F884" s="8">
        <f>VLOOKUP(financials[[#This Row],[productid]],Products!$B$2:$H$10,3)</f>
        <v>15</v>
      </c>
      <c r="G884" s="8">
        <f>financials[[#This Row],[Units Sold]]*financials[[#This Row],[Sale Price]]</f>
        <v>180</v>
      </c>
      <c r="H884" s="8">
        <f>IF(financials[[#This Row],[Discount Band]]="low",0.1,IF(financials[[#This Row],[Discount Band]]="medium",0.15,0.3))</f>
        <v>0.3</v>
      </c>
      <c r="I884" s="8">
        <f>financials[[#This Row],[Gross Sales]]-financials[[#This Row],[Gross Sales]]*financials[[#This Row],[Discounts]]</f>
        <v>126</v>
      </c>
      <c r="J884" s="8">
        <f>VLOOKUP(financials[[#This Row],[productid]],Products!$B$2:$H$10,4)</f>
        <v>10</v>
      </c>
      <c r="K884" s="8">
        <f>financials[[#This Row],[Net Sales]]-financials[[#This Row],[COGS]]</f>
        <v>116</v>
      </c>
      <c r="L884" s="15">
        <v>43902</v>
      </c>
      <c r="M884" t="s">
        <v>690</v>
      </c>
    </row>
    <row r="885" spans="1:13" x14ac:dyDescent="0.25">
      <c r="A885" t="s">
        <v>89</v>
      </c>
      <c r="B885" s="6" t="s">
        <v>287</v>
      </c>
      <c r="C885" s="11">
        <v>109</v>
      </c>
      <c r="D885" s="9" t="s">
        <v>91</v>
      </c>
      <c r="E885">
        <v>19</v>
      </c>
      <c r="F885" s="8">
        <f>VLOOKUP(financials[[#This Row],[productid]],Products!$B$2:$H$10,3)</f>
        <v>36</v>
      </c>
      <c r="G885" s="8">
        <f>financials[[#This Row],[Units Sold]]*financials[[#This Row],[Sale Price]]</f>
        <v>684</v>
      </c>
      <c r="H885" s="8">
        <f>IF(financials[[#This Row],[Discount Band]]="low",0.1,IF(financials[[#This Row],[Discount Band]]="medium",0.15,0.3))</f>
        <v>0.1</v>
      </c>
      <c r="I885" s="8">
        <f>financials[[#This Row],[Gross Sales]]-financials[[#This Row],[Gross Sales]]*financials[[#This Row],[Discounts]]</f>
        <v>615.6</v>
      </c>
      <c r="J885" s="8">
        <f>VLOOKUP(financials[[#This Row],[productid]],Products!$B$2:$H$10,4)</f>
        <v>16.8</v>
      </c>
      <c r="K885" s="8">
        <f>financials[[#This Row],[Net Sales]]-financials[[#This Row],[COGS]]</f>
        <v>598.80000000000007</v>
      </c>
      <c r="L885" s="15">
        <v>45340</v>
      </c>
      <c r="M885" t="s">
        <v>691</v>
      </c>
    </row>
    <row r="886" spans="1:13" x14ac:dyDescent="0.25">
      <c r="A886" t="s">
        <v>89</v>
      </c>
      <c r="B886" s="6" t="s">
        <v>645</v>
      </c>
      <c r="C886" s="11">
        <v>104</v>
      </c>
      <c r="D886" s="9" t="s">
        <v>91</v>
      </c>
      <c r="E886">
        <v>11</v>
      </c>
      <c r="F886" s="8">
        <f>VLOOKUP(financials[[#This Row],[productid]],Products!$B$2:$H$10,3)</f>
        <v>5.9</v>
      </c>
      <c r="G886" s="8">
        <f>financials[[#This Row],[Units Sold]]*financials[[#This Row],[Sale Price]]</f>
        <v>64.900000000000006</v>
      </c>
      <c r="H886" s="8">
        <f>IF(financials[[#This Row],[Discount Band]]="low",0.1,IF(financials[[#This Row],[Discount Band]]="medium",0.15,0.3))</f>
        <v>0.1</v>
      </c>
      <c r="I886" s="8">
        <f>financials[[#This Row],[Gross Sales]]-financials[[#This Row],[Gross Sales]]*financials[[#This Row],[Discounts]]</f>
        <v>58.410000000000004</v>
      </c>
      <c r="J886" s="8">
        <f>VLOOKUP(financials[[#This Row],[productid]],Products!$B$2:$H$10,4)</f>
        <v>2.9</v>
      </c>
      <c r="K886" s="8">
        <f>financials[[#This Row],[Net Sales]]-financials[[#This Row],[COGS]]</f>
        <v>55.510000000000005</v>
      </c>
      <c r="L886" s="15">
        <v>44705</v>
      </c>
      <c r="M886" t="s">
        <v>700</v>
      </c>
    </row>
    <row r="887" spans="1:13" x14ac:dyDescent="0.25">
      <c r="A887" t="s">
        <v>89</v>
      </c>
      <c r="B887" s="6" t="s">
        <v>232</v>
      </c>
      <c r="C887" s="13">
        <v>107</v>
      </c>
      <c r="D887" s="14" t="s">
        <v>83</v>
      </c>
      <c r="E887">
        <v>7</v>
      </c>
      <c r="F887" s="8">
        <f>VLOOKUP(financials[[#This Row],[productid]],Products!$B$2:$H$10,3)</f>
        <v>15</v>
      </c>
      <c r="G887" s="8">
        <f>financials[[#This Row],[Units Sold]]*financials[[#This Row],[Sale Price]]</f>
        <v>105</v>
      </c>
      <c r="H887" s="8">
        <f>IF(financials[[#This Row],[Discount Band]]="low",0.1,IF(financials[[#This Row],[Discount Band]]="medium",0.15,0.3))</f>
        <v>0.3</v>
      </c>
      <c r="I887" s="8">
        <f>financials[[#This Row],[Gross Sales]]-financials[[#This Row],[Gross Sales]]*financials[[#This Row],[Discounts]]</f>
        <v>73.5</v>
      </c>
      <c r="J887" s="8">
        <f>VLOOKUP(financials[[#This Row],[productid]],Products!$B$2:$H$10,4)</f>
        <v>5.5</v>
      </c>
      <c r="K887" s="8">
        <f>financials[[#This Row],[Net Sales]]-financials[[#This Row],[COGS]]</f>
        <v>68</v>
      </c>
      <c r="L887" s="15">
        <v>44790</v>
      </c>
      <c r="M887" t="s">
        <v>700</v>
      </c>
    </row>
    <row r="888" spans="1:13" x14ac:dyDescent="0.25">
      <c r="A888" t="s">
        <v>89</v>
      </c>
      <c r="B888" s="6" t="s">
        <v>268</v>
      </c>
      <c r="C888" s="13">
        <v>109</v>
      </c>
      <c r="D888" s="14" t="s">
        <v>91</v>
      </c>
      <c r="E888">
        <v>9</v>
      </c>
      <c r="F888" s="8">
        <f>VLOOKUP(financials[[#This Row],[productid]],Products!$B$2:$H$10,3)</f>
        <v>36</v>
      </c>
      <c r="G888" s="8">
        <f>financials[[#This Row],[Units Sold]]*financials[[#This Row],[Sale Price]]</f>
        <v>324</v>
      </c>
      <c r="H888" s="8">
        <f>IF(financials[[#This Row],[Discount Band]]="low",0.1,IF(financials[[#This Row],[Discount Band]]="medium",0.15,0.3))</f>
        <v>0.1</v>
      </c>
      <c r="I888" s="8">
        <f>financials[[#This Row],[Gross Sales]]-financials[[#This Row],[Gross Sales]]*financials[[#This Row],[Discounts]]</f>
        <v>291.60000000000002</v>
      </c>
      <c r="J888" s="8">
        <f>VLOOKUP(financials[[#This Row],[productid]],Products!$B$2:$H$10,4)</f>
        <v>16.8</v>
      </c>
      <c r="K888" s="8">
        <f>financials[[#This Row],[Net Sales]]-financials[[#This Row],[COGS]]</f>
        <v>274.8</v>
      </c>
      <c r="L888" s="15">
        <v>45244</v>
      </c>
      <c r="M888" t="s">
        <v>690</v>
      </c>
    </row>
    <row r="889" spans="1:13" x14ac:dyDescent="0.25">
      <c r="A889" t="s">
        <v>89</v>
      </c>
      <c r="B889" s="6" t="s">
        <v>232</v>
      </c>
      <c r="C889" s="13">
        <v>105</v>
      </c>
      <c r="D889" s="14" t="s">
        <v>83</v>
      </c>
      <c r="E889">
        <v>17</v>
      </c>
      <c r="F889" s="8">
        <f>VLOOKUP(financials[[#This Row],[productid]],Products!$B$2:$H$10,3)</f>
        <v>15</v>
      </c>
      <c r="G889" s="8">
        <f>financials[[#This Row],[Units Sold]]*financials[[#This Row],[Sale Price]]</f>
        <v>255</v>
      </c>
      <c r="H889" s="8">
        <f>IF(financials[[#This Row],[Discount Band]]="low",0.1,IF(financials[[#This Row],[Discount Band]]="medium",0.15,0.3))</f>
        <v>0.3</v>
      </c>
      <c r="I889" s="8">
        <f>financials[[#This Row],[Gross Sales]]-financials[[#This Row],[Gross Sales]]*financials[[#This Row],[Discounts]]</f>
        <v>178.5</v>
      </c>
      <c r="J889" s="8">
        <f>VLOOKUP(financials[[#This Row],[productid]],Products!$B$2:$H$10,4)</f>
        <v>10</v>
      </c>
      <c r="K889" s="8">
        <f>financials[[#This Row],[Net Sales]]-financials[[#This Row],[COGS]]</f>
        <v>168.5</v>
      </c>
      <c r="L889" s="15">
        <v>44832</v>
      </c>
      <c r="M889" t="s">
        <v>691</v>
      </c>
    </row>
    <row r="890" spans="1:13" x14ac:dyDescent="0.25">
      <c r="A890" t="s">
        <v>89</v>
      </c>
      <c r="B890" s="6" t="s">
        <v>228</v>
      </c>
      <c r="C890" s="13">
        <v>104</v>
      </c>
      <c r="D890" s="14" t="s">
        <v>92</v>
      </c>
      <c r="E890">
        <v>5</v>
      </c>
      <c r="F890" s="8">
        <f>VLOOKUP(financials[[#This Row],[productid]],Products!$B$2:$H$10,3)</f>
        <v>5.9</v>
      </c>
      <c r="G890" s="8">
        <f>financials[[#This Row],[Units Sold]]*financials[[#This Row],[Sale Price]]</f>
        <v>29.5</v>
      </c>
      <c r="H890" s="8">
        <f>IF(financials[[#This Row],[Discount Band]]="low",0.1,IF(financials[[#This Row],[Discount Band]]="medium",0.15,0.3))</f>
        <v>0.3</v>
      </c>
      <c r="I890" s="8">
        <f>financials[[#This Row],[Gross Sales]]-financials[[#This Row],[Gross Sales]]*financials[[#This Row],[Discounts]]</f>
        <v>20.65</v>
      </c>
      <c r="J890" s="8">
        <f>VLOOKUP(financials[[#This Row],[productid]],Products!$B$2:$H$10,4)</f>
        <v>2.9</v>
      </c>
      <c r="K890" s="8">
        <f>financials[[#This Row],[Net Sales]]-financials[[#This Row],[COGS]]</f>
        <v>17.75</v>
      </c>
      <c r="L890" s="15">
        <v>44126</v>
      </c>
      <c r="M890" t="s">
        <v>700</v>
      </c>
    </row>
    <row r="891" spans="1:13" x14ac:dyDescent="0.25">
      <c r="A891" t="s">
        <v>86</v>
      </c>
      <c r="B891" s="6" t="s">
        <v>240</v>
      </c>
      <c r="C891" s="13">
        <v>103</v>
      </c>
      <c r="D891" s="14" t="s">
        <v>90</v>
      </c>
      <c r="E891">
        <v>15</v>
      </c>
      <c r="F891" s="8">
        <f>VLOOKUP(financials[[#This Row],[productid]],Products!$B$2:$H$10,3)</f>
        <v>28</v>
      </c>
      <c r="G891" s="8">
        <f>financials[[#This Row],[Units Sold]]*financials[[#This Row],[Sale Price]]</f>
        <v>420</v>
      </c>
      <c r="H891" s="8">
        <f>IF(financials[[#This Row],[Discount Band]]="low",0.1,IF(financials[[#This Row],[Discount Band]]="medium",0.15,0.3))</f>
        <v>0.15</v>
      </c>
      <c r="I891" s="8">
        <f>financials[[#This Row],[Gross Sales]]-financials[[#This Row],[Gross Sales]]*financials[[#This Row],[Discounts]]</f>
        <v>357</v>
      </c>
      <c r="J891" s="8">
        <f>VLOOKUP(financials[[#This Row],[productid]],Products!$B$2:$H$10,4)</f>
        <v>15</v>
      </c>
      <c r="K891" s="8">
        <f>financials[[#This Row],[Net Sales]]-financials[[#This Row],[COGS]]</f>
        <v>342</v>
      </c>
      <c r="L891" s="15">
        <v>44629</v>
      </c>
      <c r="M891" t="s">
        <v>690</v>
      </c>
    </row>
    <row r="892" spans="1:13" x14ac:dyDescent="0.25">
      <c r="A892" t="s">
        <v>85</v>
      </c>
      <c r="B892" s="6" t="s">
        <v>645</v>
      </c>
      <c r="C892" s="11">
        <v>101</v>
      </c>
      <c r="D892" s="9" t="s">
        <v>91</v>
      </c>
      <c r="E892">
        <v>13</v>
      </c>
      <c r="F892" s="8">
        <f>VLOOKUP(financials[[#This Row],[productid]],Products!$B$2:$H$10,3)</f>
        <v>23</v>
      </c>
      <c r="G892" s="8">
        <f>financials[[#This Row],[Units Sold]]*financials[[#This Row],[Sale Price]]</f>
        <v>299</v>
      </c>
      <c r="H892" s="8">
        <f>IF(financials[[#This Row],[Discount Band]]="low",0.1,IF(financials[[#This Row],[Discount Band]]="medium",0.15,0.3))</f>
        <v>0.1</v>
      </c>
      <c r="I892" s="8">
        <f>financials[[#This Row],[Gross Sales]]-financials[[#This Row],[Gross Sales]]*financials[[#This Row],[Discounts]]</f>
        <v>269.10000000000002</v>
      </c>
      <c r="J892" s="8">
        <f>VLOOKUP(financials[[#This Row],[productid]],Products!$B$2:$H$10,4)</f>
        <v>9.9499999999999993</v>
      </c>
      <c r="K892" s="8">
        <f>financials[[#This Row],[Net Sales]]-financials[[#This Row],[COGS]]</f>
        <v>259.15000000000003</v>
      </c>
      <c r="L892" s="15">
        <v>44903</v>
      </c>
      <c r="M892" t="s">
        <v>690</v>
      </c>
    </row>
    <row r="893" spans="1:13" x14ac:dyDescent="0.25">
      <c r="A893" t="s">
        <v>86</v>
      </c>
      <c r="B893" s="6" t="s">
        <v>276</v>
      </c>
      <c r="C893" s="11">
        <v>106</v>
      </c>
      <c r="D893" s="9" t="s">
        <v>90</v>
      </c>
      <c r="E893">
        <v>16</v>
      </c>
      <c r="F893" s="8">
        <f>VLOOKUP(financials[[#This Row],[productid]],Products!$B$2:$H$10,3)</f>
        <v>25</v>
      </c>
      <c r="G893" s="8">
        <f>financials[[#This Row],[Units Sold]]*financials[[#This Row],[Sale Price]]</f>
        <v>400</v>
      </c>
      <c r="H893" s="8">
        <f>IF(financials[[#This Row],[Discount Band]]="low",0.1,IF(financials[[#This Row],[Discount Band]]="medium",0.15,0.3))</f>
        <v>0.15</v>
      </c>
      <c r="I893" s="8">
        <f>financials[[#This Row],[Gross Sales]]-financials[[#This Row],[Gross Sales]]*financials[[#This Row],[Discounts]]</f>
        <v>340</v>
      </c>
      <c r="J893" s="8">
        <f>VLOOKUP(financials[[#This Row],[productid]],Products!$B$2:$H$10,4)</f>
        <v>9.1</v>
      </c>
      <c r="K893" s="8">
        <f>financials[[#This Row],[Net Sales]]-financials[[#This Row],[COGS]]</f>
        <v>330.9</v>
      </c>
      <c r="L893" s="15">
        <v>44882</v>
      </c>
      <c r="M893" t="s">
        <v>700</v>
      </c>
    </row>
    <row r="894" spans="1:13" x14ac:dyDescent="0.25">
      <c r="A894" t="s">
        <v>89</v>
      </c>
      <c r="B894" s="6" t="s">
        <v>274</v>
      </c>
      <c r="C894" s="13">
        <v>101</v>
      </c>
      <c r="D894" s="14" t="s">
        <v>83</v>
      </c>
      <c r="E894">
        <v>9</v>
      </c>
      <c r="F894" s="8">
        <f>VLOOKUP(financials[[#This Row],[productid]],Products!$B$2:$H$10,3)</f>
        <v>23</v>
      </c>
      <c r="G894" s="8">
        <f>financials[[#This Row],[Units Sold]]*financials[[#This Row],[Sale Price]]</f>
        <v>207</v>
      </c>
      <c r="H894" s="8">
        <f>IF(financials[[#This Row],[Discount Band]]="low",0.1,IF(financials[[#This Row],[Discount Band]]="medium",0.15,0.3))</f>
        <v>0.3</v>
      </c>
      <c r="I894" s="8">
        <f>financials[[#This Row],[Gross Sales]]-financials[[#This Row],[Gross Sales]]*financials[[#This Row],[Discounts]]</f>
        <v>144.9</v>
      </c>
      <c r="J894" s="8">
        <f>VLOOKUP(financials[[#This Row],[productid]],Products!$B$2:$H$10,4)</f>
        <v>9.9499999999999993</v>
      </c>
      <c r="K894" s="8">
        <f>financials[[#This Row],[Net Sales]]-financials[[#This Row],[COGS]]</f>
        <v>134.95000000000002</v>
      </c>
      <c r="L894" s="15">
        <v>44873</v>
      </c>
      <c r="M894" t="s">
        <v>697</v>
      </c>
    </row>
    <row r="895" spans="1:13" x14ac:dyDescent="0.25">
      <c r="A895" t="s">
        <v>89</v>
      </c>
      <c r="B895" s="6" t="s">
        <v>148</v>
      </c>
      <c r="C895" s="13">
        <v>103</v>
      </c>
      <c r="D895" s="14" t="s">
        <v>90</v>
      </c>
      <c r="E895">
        <v>20</v>
      </c>
      <c r="F895" s="8">
        <f>VLOOKUP(financials[[#This Row],[productid]],Products!$B$2:$H$10,3)</f>
        <v>28</v>
      </c>
      <c r="G895" s="8">
        <f>financials[[#This Row],[Units Sold]]*financials[[#This Row],[Sale Price]]</f>
        <v>560</v>
      </c>
      <c r="H895" s="8">
        <f>IF(financials[[#This Row],[Discount Band]]="low",0.1,IF(financials[[#This Row],[Discount Band]]="medium",0.15,0.3))</f>
        <v>0.15</v>
      </c>
      <c r="I895" s="8">
        <f>financials[[#This Row],[Gross Sales]]-financials[[#This Row],[Gross Sales]]*financials[[#This Row],[Discounts]]</f>
        <v>476</v>
      </c>
      <c r="J895" s="8">
        <f>VLOOKUP(financials[[#This Row],[productid]],Products!$B$2:$H$10,4)</f>
        <v>15</v>
      </c>
      <c r="K895" s="8">
        <f>financials[[#This Row],[Net Sales]]-financials[[#This Row],[COGS]]</f>
        <v>461</v>
      </c>
      <c r="L895" s="15">
        <v>45611</v>
      </c>
      <c r="M895" t="s">
        <v>696</v>
      </c>
    </row>
    <row r="896" spans="1:13" x14ac:dyDescent="0.25">
      <c r="A896" t="s">
        <v>86</v>
      </c>
      <c r="B896" s="6" t="s">
        <v>198</v>
      </c>
      <c r="C896" s="13">
        <v>102</v>
      </c>
      <c r="D896" s="14" t="s">
        <v>83</v>
      </c>
      <c r="E896">
        <v>12</v>
      </c>
      <c r="F896" s="8">
        <f>VLOOKUP(financials[[#This Row],[productid]],Products!$B$2:$H$10,3)</f>
        <v>15</v>
      </c>
      <c r="G896" s="8">
        <f>financials[[#This Row],[Units Sold]]*financials[[#This Row],[Sale Price]]</f>
        <v>180</v>
      </c>
      <c r="H896" s="8">
        <f>IF(financials[[#This Row],[Discount Band]]="low",0.1,IF(financials[[#This Row],[Discount Band]]="medium",0.15,0.3))</f>
        <v>0.3</v>
      </c>
      <c r="I896" s="8">
        <f>financials[[#This Row],[Gross Sales]]-financials[[#This Row],[Gross Sales]]*financials[[#This Row],[Discounts]]</f>
        <v>126</v>
      </c>
      <c r="J896" s="8">
        <f>VLOOKUP(financials[[#This Row],[productid]],Products!$B$2:$H$10,4)</f>
        <v>13.95</v>
      </c>
      <c r="K896" s="8">
        <f>financials[[#This Row],[Net Sales]]-financials[[#This Row],[COGS]]</f>
        <v>112.05</v>
      </c>
      <c r="L896" s="15">
        <v>44838</v>
      </c>
      <c r="M896" t="s">
        <v>697</v>
      </c>
    </row>
    <row r="897" spans="1:13" x14ac:dyDescent="0.25">
      <c r="A897" t="s">
        <v>86</v>
      </c>
      <c r="B897" s="6" t="s">
        <v>268</v>
      </c>
      <c r="C897" s="13">
        <v>103</v>
      </c>
      <c r="D897" s="14" t="s">
        <v>83</v>
      </c>
      <c r="E897">
        <v>18</v>
      </c>
      <c r="F897" s="8">
        <f>VLOOKUP(financials[[#This Row],[productid]],Products!$B$2:$H$10,3)</f>
        <v>28</v>
      </c>
      <c r="G897" s="8">
        <f>financials[[#This Row],[Units Sold]]*financials[[#This Row],[Sale Price]]</f>
        <v>504</v>
      </c>
      <c r="H897" s="8">
        <f>IF(financials[[#This Row],[Discount Band]]="low",0.1,IF(financials[[#This Row],[Discount Band]]="medium",0.15,0.3))</f>
        <v>0.3</v>
      </c>
      <c r="I897" s="8">
        <f>financials[[#This Row],[Gross Sales]]-financials[[#This Row],[Gross Sales]]*financials[[#This Row],[Discounts]]</f>
        <v>352.8</v>
      </c>
      <c r="J897" s="8">
        <f>VLOOKUP(financials[[#This Row],[productid]],Products!$B$2:$H$10,4)</f>
        <v>15</v>
      </c>
      <c r="K897" s="8">
        <f>financials[[#This Row],[Net Sales]]-financials[[#This Row],[COGS]]</f>
        <v>337.8</v>
      </c>
      <c r="L897" s="15">
        <v>44430</v>
      </c>
      <c r="M897" t="s">
        <v>697</v>
      </c>
    </row>
    <row r="898" spans="1:13" x14ac:dyDescent="0.25">
      <c r="A898" t="s">
        <v>85</v>
      </c>
      <c r="B898" s="6" t="s">
        <v>228</v>
      </c>
      <c r="C898" s="11">
        <v>107</v>
      </c>
      <c r="D898" s="9" t="s">
        <v>83</v>
      </c>
      <c r="E898">
        <v>7</v>
      </c>
      <c r="F898" s="8">
        <f>VLOOKUP(financials[[#This Row],[productid]],Products!$B$2:$H$10,3)</f>
        <v>15</v>
      </c>
      <c r="G898" s="8">
        <f>financials[[#This Row],[Units Sold]]*financials[[#This Row],[Sale Price]]</f>
        <v>105</v>
      </c>
      <c r="H898" s="8">
        <f>IF(financials[[#This Row],[Discount Band]]="low",0.1,IF(financials[[#This Row],[Discount Band]]="medium",0.15,0.3))</f>
        <v>0.3</v>
      </c>
      <c r="I898" s="8">
        <f>financials[[#This Row],[Gross Sales]]-financials[[#This Row],[Gross Sales]]*financials[[#This Row],[Discounts]]</f>
        <v>73.5</v>
      </c>
      <c r="J898" s="8">
        <f>VLOOKUP(financials[[#This Row],[productid]],Products!$B$2:$H$10,4)</f>
        <v>5.5</v>
      </c>
      <c r="K898" s="8">
        <f>financials[[#This Row],[Net Sales]]-financials[[#This Row],[COGS]]</f>
        <v>68</v>
      </c>
      <c r="L898" s="15">
        <v>45153</v>
      </c>
      <c r="M898" t="s">
        <v>690</v>
      </c>
    </row>
    <row r="899" spans="1:13" x14ac:dyDescent="0.25">
      <c r="A899" t="s">
        <v>85</v>
      </c>
      <c r="B899" s="6" t="s">
        <v>148</v>
      </c>
      <c r="C899" s="13">
        <v>105</v>
      </c>
      <c r="D899" s="14" t="s">
        <v>91</v>
      </c>
      <c r="E899">
        <v>11</v>
      </c>
      <c r="F899" s="8">
        <f>VLOOKUP(financials[[#This Row],[productid]],Products!$B$2:$H$10,3)</f>
        <v>15</v>
      </c>
      <c r="G899" s="8">
        <f>financials[[#This Row],[Units Sold]]*financials[[#This Row],[Sale Price]]</f>
        <v>165</v>
      </c>
      <c r="H899" s="8">
        <f>IF(financials[[#This Row],[Discount Band]]="low",0.1,IF(financials[[#This Row],[Discount Band]]="medium",0.15,0.3))</f>
        <v>0.1</v>
      </c>
      <c r="I899" s="8">
        <f>financials[[#This Row],[Gross Sales]]-financials[[#This Row],[Gross Sales]]*financials[[#This Row],[Discounts]]</f>
        <v>148.5</v>
      </c>
      <c r="J899" s="8">
        <f>VLOOKUP(financials[[#This Row],[productid]],Products!$B$2:$H$10,4)</f>
        <v>10</v>
      </c>
      <c r="K899" s="8">
        <f>financials[[#This Row],[Net Sales]]-financials[[#This Row],[COGS]]</f>
        <v>138.5</v>
      </c>
      <c r="L899" s="15">
        <v>44719</v>
      </c>
      <c r="M899" t="s">
        <v>697</v>
      </c>
    </row>
    <row r="900" spans="1:13" x14ac:dyDescent="0.25">
      <c r="A900" t="s">
        <v>86</v>
      </c>
      <c r="B900" s="6" t="s">
        <v>268</v>
      </c>
      <c r="C900" s="13">
        <v>107</v>
      </c>
      <c r="D900" s="14" t="s">
        <v>90</v>
      </c>
      <c r="E900">
        <v>18</v>
      </c>
      <c r="F900" s="8">
        <f>VLOOKUP(financials[[#This Row],[productid]],Products!$B$2:$H$10,3)</f>
        <v>15</v>
      </c>
      <c r="G900" s="8">
        <f>financials[[#This Row],[Units Sold]]*financials[[#This Row],[Sale Price]]</f>
        <v>270</v>
      </c>
      <c r="H900" s="8">
        <f>IF(financials[[#This Row],[Discount Band]]="low",0.1,IF(financials[[#This Row],[Discount Band]]="medium",0.15,0.3))</f>
        <v>0.15</v>
      </c>
      <c r="I900" s="8">
        <f>financials[[#This Row],[Gross Sales]]-financials[[#This Row],[Gross Sales]]*financials[[#This Row],[Discounts]]</f>
        <v>229.5</v>
      </c>
      <c r="J900" s="8">
        <f>VLOOKUP(financials[[#This Row],[productid]],Products!$B$2:$H$10,4)</f>
        <v>5.5</v>
      </c>
      <c r="K900" s="8">
        <f>financials[[#This Row],[Net Sales]]-financials[[#This Row],[COGS]]</f>
        <v>224</v>
      </c>
      <c r="L900" s="15">
        <v>44670</v>
      </c>
      <c r="M900" t="s">
        <v>700</v>
      </c>
    </row>
    <row r="901" spans="1:13" x14ac:dyDescent="0.25">
      <c r="A901" t="s">
        <v>86</v>
      </c>
      <c r="B901" s="6" t="s">
        <v>158</v>
      </c>
      <c r="C901" s="13">
        <v>109</v>
      </c>
      <c r="D901" s="14" t="s">
        <v>83</v>
      </c>
      <c r="E901">
        <v>18</v>
      </c>
      <c r="F901" s="8">
        <f>VLOOKUP(financials[[#This Row],[productid]],Products!$B$2:$H$10,3)</f>
        <v>36</v>
      </c>
      <c r="G901" s="8">
        <f>financials[[#This Row],[Units Sold]]*financials[[#This Row],[Sale Price]]</f>
        <v>648</v>
      </c>
      <c r="H901" s="8">
        <f>IF(financials[[#This Row],[Discount Band]]="low",0.1,IF(financials[[#This Row],[Discount Band]]="medium",0.15,0.3))</f>
        <v>0.3</v>
      </c>
      <c r="I901" s="8">
        <f>financials[[#This Row],[Gross Sales]]-financials[[#This Row],[Gross Sales]]*financials[[#This Row],[Discounts]]</f>
        <v>453.6</v>
      </c>
      <c r="J901" s="8">
        <f>VLOOKUP(financials[[#This Row],[productid]],Products!$B$2:$H$10,4)</f>
        <v>16.8</v>
      </c>
      <c r="K901" s="8">
        <f>financials[[#This Row],[Net Sales]]-financials[[#This Row],[COGS]]</f>
        <v>436.8</v>
      </c>
      <c r="L901" s="15">
        <v>44896</v>
      </c>
      <c r="M901" t="s">
        <v>700</v>
      </c>
    </row>
    <row r="902" spans="1:13" x14ac:dyDescent="0.25">
      <c r="A902" t="s">
        <v>86</v>
      </c>
      <c r="B902" s="6" t="s">
        <v>96</v>
      </c>
      <c r="C902" s="13">
        <v>108</v>
      </c>
      <c r="D902" s="14" t="s">
        <v>92</v>
      </c>
      <c r="E902">
        <v>5</v>
      </c>
      <c r="F902" s="8">
        <f>VLOOKUP(financials[[#This Row],[productid]],Products!$B$2:$H$10,3)</f>
        <v>5.5</v>
      </c>
      <c r="G902" s="8">
        <f>financials[[#This Row],[Units Sold]]*financials[[#This Row],[Sale Price]]</f>
        <v>27.5</v>
      </c>
      <c r="H902" s="8">
        <f>IF(financials[[#This Row],[Discount Band]]="low",0.1,IF(financials[[#This Row],[Discount Band]]="medium",0.15,0.3))</f>
        <v>0.3</v>
      </c>
      <c r="I902" s="8">
        <f>financials[[#This Row],[Gross Sales]]-financials[[#This Row],[Gross Sales]]*financials[[#This Row],[Discounts]]</f>
        <v>19.25</v>
      </c>
      <c r="J902" s="8">
        <f>VLOOKUP(financials[[#This Row],[productid]],Products!$B$2:$H$10,4)</f>
        <v>3.99</v>
      </c>
      <c r="K902" s="8">
        <f>financials[[#This Row],[Net Sales]]-financials[[#This Row],[COGS]]</f>
        <v>15.26</v>
      </c>
      <c r="L902" s="15">
        <v>45292</v>
      </c>
      <c r="M902" t="s">
        <v>697</v>
      </c>
    </row>
    <row r="903" spans="1:13" x14ac:dyDescent="0.25">
      <c r="A903" t="s">
        <v>86</v>
      </c>
      <c r="B903" s="6" t="s">
        <v>125</v>
      </c>
      <c r="C903" s="13">
        <v>103</v>
      </c>
      <c r="D903" s="14" t="s">
        <v>91</v>
      </c>
      <c r="E903">
        <v>12</v>
      </c>
      <c r="F903" s="8">
        <f>VLOOKUP(financials[[#This Row],[productid]],Products!$B$2:$H$10,3)</f>
        <v>28</v>
      </c>
      <c r="G903" s="8">
        <f>financials[[#This Row],[Units Sold]]*financials[[#This Row],[Sale Price]]</f>
        <v>336</v>
      </c>
      <c r="H903" s="8">
        <f>IF(financials[[#This Row],[Discount Band]]="low",0.1,IF(financials[[#This Row],[Discount Band]]="medium",0.15,0.3))</f>
        <v>0.1</v>
      </c>
      <c r="I903" s="8">
        <f>financials[[#This Row],[Gross Sales]]-financials[[#This Row],[Gross Sales]]*financials[[#This Row],[Discounts]]</f>
        <v>302.39999999999998</v>
      </c>
      <c r="J903" s="8">
        <f>VLOOKUP(financials[[#This Row],[productid]],Products!$B$2:$H$10,4)</f>
        <v>15</v>
      </c>
      <c r="K903" s="8">
        <f>financials[[#This Row],[Net Sales]]-financials[[#This Row],[COGS]]</f>
        <v>287.39999999999998</v>
      </c>
      <c r="L903" s="15">
        <v>44844</v>
      </c>
      <c r="M903" t="s">
        <v>696</v>
      </c>
    </row>
    <row r="904" spans="1:13" x14ac:dyDescent="0.25">
      <c r="A904" t="s">
        <v>89</v>
      </c>
      <c r="B904" s="6" t="s">
        <v>232</v>
      </c>
      <c r="C904" s="13">
        <v>105</v>
      </c>
      <c r="D904" s="14" t="s">
        <v>91</v>
      </c>
      <c r="E904">
        <v>10</v>
      </c>
      <c r="F904" s="8">
        <f>VLOOKUP(financials[[#This Row],[productid]],Products!$B$2:$H$10,3)</f>
        <v>15</v>
      </c>
      <c r="G904" s="8">
        <f>financials[[#This Row],[Units Sold]]*financials[[#This Row],[Sale Price]]</f>
        <v>150</v>
      </c>
      <c r="H904" s="8">
        <f>IF(financials[[#This Row],[Discount Band]]="low",0.1,IF(financials[[#This Row],[Discount Band]]="medium",0.15,0.3))</f>
        <v>0.1</v>
      </c>
      <c r="I904" s="8">
        <f>financials[[#This Row],[Gross Sales]]-financials[[#This Row],[Gross Sales]]*financials[[#This Row],[Discounts]]</f>
        <v>135</v>
      </c>
      <c r="J904" s="8">
        <f>VLOOKUP(financials[[#This Row],[productid]],Products!$B$2:$H$10,4)</f>
        <v>10</v>
      </c>
      <c r="K904" s="8">
        <f>financials[[#This Row],[Net Sales]]-financials[[#This Row],[COGS]]</f>
        <v>125</v>
      </c>
      <c r="L904" s="15">
        <v>44859</v>
      </c>
      <c r="M904" t="s">
        <v>696</v>
      </c>
    </row>
    <row r="905" spans="1:13" x14ac:dyDescent="0.25">
      <c r="A905" t="s">
        <v>89</v>
      </c>
      <c r="B905" s="6" t="s">
        <v>197</v>
      </c>
      <c r="C905" s="13">
        <v>102</v>
      </c>
      <c r="D905" s="14" t="s">
        <v>92</v>
      </c>
      <c r="E905">
        <v>8</v>
      </c>
      <c r="F905" s="8">
        <f>VLOOKUP(financials[[#This Row],[productid]],Products!$B$2:$H$10,3)</f>
        <v>15</v>
      </c>
      <c r="G905" s="8">
        <f>financials[[#This Row],[Units Sold]]*financials[[#This Row],[Sale Price]]</f>
        <v>120</v>
      </c>
      <c r="H905" s="8">
        <f>IF(financials[[#This Row],[Discount Band]]="low",0.1,IF(financials[[#This Row],[Discount Band]]="medium",0.15,0.3))</f>
        <v>0.3</v>
      </c>
      <c r="I905" s="8">
        <f>financials[[#This Row],[Gross Sales]]-financials[[#This Row],[Gross Sales]]*financials[[#This Row],[Discounts]]</f>
        <v>84</v>
      </c>
      <c r="J905" s="8">
        <f>VLOOKUP(financials[[#This Row],[productid]],Products!$B$2:$H$10,4)</f>
        <v>13.95</v>
      </c>
      <c r="K905" s="8">
        <f>financials[[#This Row],[Net Sales]]-financials[[#This Row],[COGS]]</f>
        <v>70.05</v>
      </c>
      <c r="L905" s="15">
        <v>45018</v>
      </c>
      <c r="M905" t="s">
        <v>697</v>
      </c>
    </row>
    <row r="906" spans="1:13" x14ac:dyDescent="0.25">
      <c r="A906" t="s">
        <v>85</v>
      </c>
      <c r="B906" s="6" t="s">
        <v>228</v>
      </c>
      <c r="C906" s="13">
        <v>104</v>
      </c>
      <c r="D906" s="14" t="s">
        <v>90</v>
      </c>
      <c r="E906">
        <v>6</v>
      </c>
      <c r="F906" s="8">
        <f>VLOOKUP(financials[[#This Row],[productid]],Products!$B$2:$H$10,3)</f>
        <v>5.9</v>
      </c>
      <c r="G906" s="8">
        <f>financials[[#This Row],[Units Sold]]*financials[[#This Row],[Sale Price]]</f>
        <v>35.400000000000006</v>
      </c>
      <c r="H906" s="8">
        <f>IF(financials[[#This Row],[Discount Band]]="low",0.1,IF(financials[[#This Row],[Discount Band]]="medium",0.15,0.3))</f>
        <v>0.15</v>
      </c>
      <c r="I906" s="8">
        <f>financials[[#This Row],[Gross Sales]]-financials[[#This Row],[Gross Sales]]*financials[[#This Row],[Discounts]]</f>
        <v>30.090000000000003</v>
      </c>
      <c r="J906" s="8">
        <f>VLOOKUP(financials[[#This Row],[productid]],Products!$B$2:$H$10,4)</f>
        <v>2.9</v>
      </c>
      <c r="K906" s="8">
        <f>financials[[#This Row],[Net Sales]]-financials[[#This Row],[COGS]]</f>
        <v>27.190000000000005</v>
      </c>
      <c r="L906" s="15">
        <v>44001</v>
      </c>
      <c r="M906" t="s">
        <v>697</v>
      </c>
    </row>
    <row r="907" spans="1:13" x14ac:dyDescent="0.25">
      <c r="A907" t="s">
        <v>86</v>
      </c>
      <c r="B907" s="6" t="s">
        <v>125</v>
      </c>
      <c r="C907" s="11">
        <v>103</v>
      </c>
      <c r="D907" s="9" t="s">
        <v>83</v>
      </c>
      <c r="E907">
        <v>17</v>
      </c>
      <c r="F907" s="8">
        <f>VLOOKUP(financials[[#This Row],[productid]],Products!$B$2:$H$10,3)</f>
        <v>28</v>
      </c>
      <c r="G907" s="8">
        <f>financials[[#This Row],[Units Sold]]*financials[[#This Row],[Sale Price]]</f>
        <v>476</v>
      </c>
      <c r="H907" s="8">
        <f>IF(financials[[#This Row],[Discount Band]]="low",0.1,IF(financials[[#This Row],[Discount Band]]="medium",0.15,0.3))</f>
        <v>0.3</v>
      </c>
      <c r="I907" s="8">
        <f>financials[[#This Row],[Gross Sales]]-financials[[#This Row],[Gross Sales]]*financials[[#This Row],[Discounts]]</f>
        <v>333.20000000000005</v>
      </c>
      <c r="J907" s="8">
        <f>VLOOKUP(financials[[#This Row],[productid]],Products!$B$2:$H$10,4)</f>
        <v>15</v>
      </c>
      <c r="K907" s="8">
        <f>financials[[#This Row],[Net Sales]]-financials[[#This Row],[COGS]]</f>
        <v>318.20000000000005</v>
      </c>
      <c r="L907" s="15">
        <v>44579</v>
      </c>
      <c r="M907" t="s">
        <v>697</v>
      </c>
    </row>
    <row r="908" spans="1:13" x14ac:dyDescent="0.25">
      <c r="A908" t="s">
        <v>89</v>
      </c>
      <c r="B908" s="6" t="s">
        <v>617</v>
      </c>
      <c r="C908" s="13">
        <v>109</v>
      </c>
      <c r="D908" s="14" t="s">
        <v>90</v>
      </c>
      <c r="E908">
        <v>12</v>
      </c>
      <c r="F908" s="8">
        <f>VLOOKUP(financials[[#This Row],[productid]],Products!$B$2:$H$10,3)</f>
        <v>36</v>
      </c>
      <c r="G908" s="8">
        <f>financials[[#This Row],[Units Sold]]*financials[[#This Row],[Sale Price]]</f>
        <v>432</v>
      </c>
      <c r="H908" s="8">
        <f>IF(financials[[#This Row],[Discount Band]]="low",0.1,IF(financials[[#This Row],[Discount Band]]="medium",0.15,0.3))</f>
        <v>0.15</v>
      </c>
      <c r="I908" s="8">
        <f>financials[[#This Row],[Gross Sales]]-financials[[#This Row],[Gross Sales]]*financials[[#This Row],[Discounts]]</f>
        <v>367.2</v>
      </c>
      <c r="J908" s="8">
        <f>VLOOKUP(financials[[#This Row],[productid]],Products!$B$2:$H$10,4)</f>
        <v>16.8</v>
      </c>
      <c r="K908" s="8">
        <f>financials[[#This Row],[Net Sales]]-financials[[#This Row],[COGS]]</f>
        <v>350.4</v>
      </c>
      <c r="L908" s="15">
        <v>45013</v>
      </c>
      <c r="M908" t="s">
        <v>690</v>
      </c>
    </row>
    <row r="909" spans="1:13" x14ac:dyDescent="0.25">
      <c r="A909" t="s">
        <v>86</v>
      </c>
      <c r="B909" s="6" t="s">
        <v>158</v>
      </c>
      <c r="C909" s="13">
        <v>109</v>
      </c>
      <c r="D909" s="14" t="s">
        <v>90</v>
      </c>
      <c r="E909">
        <v>8</v>
      </c>
      <c r="F909" s="8">
        <f>VLOOKUP(financials[[#This Row],[productid]],Products!$B$2:$H$10,3)</f>
        <v>36</v>
      </c>
      <c r="G909" s="8">
        <f>financials[[#This Row],[Units Sold]]*financials[[#This Row],[Sale Price]]</f>
        <v>288</v>
      </c>
      <c r="H909" s="8">
        <f>IF(financials[[#This Row],[Discount Band]]="low",0.1,IF(financials[[#This Row],[Discount Band]]="medium",0.15,0.3))</f>
        <v>0.15</v>
      </c>
      <c r="I909" s="8">
        <f>financials[[#This Row],[Gross Sales]]-financials[[#This Row],[Gross Sales]]*financials[[#This Row],[Discounts]]</f>
        <v>244.8</v>
      </c>
      <c r="J909" s="8">
        <f>VLOOKUP(financials[[#This Row],[productid]],Products!$B$2:$H$10,4)</f>
        <v>16.8</v>
      </c>
      <c r="K909" s="8">
        <f>financials[[#This Row],[Net Sales]]-financials[[#This Row],[COGS]]</f>
        <v>228</v>
      </c>
      <c r="L909" s="15">
        <v>44364</v>
      </c>
      <c r="M909" t="s">
        <v>697</v>
      </c>
    </row>
    <row r="910" spans="1:13" x14ac:dyDescent="0.25">
      <c r="A910" t="s">
        <v>85</v>
      </c>
      <c r="B910" s="6" t="s">
        <v>167</v>
      </c>
      <c r="C910" s="13">
        <v>101</v>
      </c>
      <c r="D910" s="14" t="s">
        <v>90</v>
      </c>
      <c r="E910">
        <v>19</v>
      </c>
      <c r="F910" s="8">
        <f>VLOOKUP(financials[[#This Row],[productid]],Products!$B$2:$H$10,3)</f>
        <v>23</v>
      </c>
      <c r="G910" s="8">
        <f>financials[[#This Row],[Units Sold]]*financials[[#This Row],[Sale Price]]</f>
        <v>437</v>
      </c>
      <c r="H910" s="8">
        <f>IF(financials[[#This Row],[Discount Band]]="low",0.1,IF(financials[[#This Row],[Discount Band]]="medium",0.15,0.3))</f>
        <v>0.15</v>
      </c>
      <c r="I910" s="8">
        <f>financials[[#This Row],[Gross Sales]]-financials[[#This Row],[Gross Sales]]*financials[[#This Row],[Discounts]]</f>
        <v>371.45</v>
      </c>
      <c r="J910" s="8">
        <f>VLOOKUP(financials[[#This Row],[productid]],Products!$B$2:$H$10,4)</f>
        <v>9.9499999999999993</v>
      </c>
      <c r="K910" s="8">
        <f>financials[[#This Row],[Net Sales]]-financials[[#This Row],[COGS]]</f>
        <v>361.5</v>
      </c>
      <c r="L910" s="15">
        <v>44471</v>
      </c>
      <c r="M910" t="s">
        <v>696</v>
      </c>
    </row>
    <row r="911" spans="1:13" x14ac:dyDescent="0.25">
      <c r="A911" t="s">
        <v>85</v>
      </c>
      <c r="B911" s="6" t="s">
        <v>274</v>
      </c>
      <c r="C911" s="13">
        <v>108</v>
      </c>
      <c r="D911" s="14" t="s">
        <v>91</v>
      </c>
      <c r="E911">
        <v>13</v>
      </c>
      <c r="F911" s="8">
        <f>VLOOKUP(financials[[#This Row],[productid]],Products!$B$2:$H$10,3)</f>
        <v>5.5</v>
      </c>
      <c r="G911" s="8">
        <f>financials[[#This Row],[Units Sold]]*financials[[#This Row],[Sale Price]]</f>
        <v>71.5</v>
      </c>
      <c r="H911" s="8">
        <f>IF(financials[[#This Row],[Discount Band]]="low",0.1,IF(financials[[#This Row],[Discount Band]]="medium",0.15,0.3))</f>
        <v>0.1</v>
      </c>
      <c r="I911" s="8">
        <f>financials[[#This Row],[Gross Sales]]-financials[[#This Row],[Gross Sales]]*financials[[#This Row],[Discounts]]</f>
        <v>64.349999999999994</v>
      </c>
      <c r="J911" s="8">
        <f>VLOOKUP(financials[[#This Row],[productid]],Products!$B$2:$H$10,4)</f>
        <v>3.99</v>
      </c>
      <c r="K911" s="8">
        <f>financials[[#This Row],[Net Sales]]-financials[[#This Row],[COGS]]</f>
        <v>60.359999999999992</v>
      </c>
      <c r="L911" s="15">
        <v>43993</v>
      </c>
      <c r="M911" t="s">
        <v>700</v>
      </c>
    </row>
    <row r="912" spans="1:13" x14ac:dyDescent="0.25">
      <c r="A912" t="s">
        <v>89</v>
      </c>
      <c r="B912" s="6" t="s">
        <v>240</v>
      </c>
      <c r="C912" s="13">
        <v>106</v>
      </c>
      <c r="D912" s="14" t="s">
        <v>90</v>
      </c>
      <c r="E912">
        <v>5</v>
      </c>
      <c r="F912" s="8">
        <f>VLOOKUP(financials[[#This Row],[productid]],Products!$B$2:$H$10,3)</f>
        <v>25</v>
      </c>
      <c r="G912" s="8">
        <f>financials[[#This Row],[Units Sold]]*financials[[#This Row],[Sale Price]]</f>
        <v>125</v>
      </c>
      <c r="H912" s="8">
        <f>IF(financials[[#This Row],[Discount Band]]="low",0.1,IF(financials[[#This Row],[Discount Band]]="medium",0.15,0.3))</f>
        <v>0.15</v>
      </c>
      <c r="I912" s="8">
        <f>financials[[#This Row],[Gross Sales]]-financials[[#This Row],[Gross Sales]]*financials[[#This Row],[Discounts]]</f>
        <v>106.25</v>
      </c>
      <c r="J912" s="8">
        <f>VLOOKUP(financials[[#This Row],[productid]],Products!$B$2:$H$10,4)</f>
        <v>9.1</v>
      </c>
      <c r="K912" s="8">
        <f>financials[[#This Row],[Net Sales]]-financials[[#This Row],[COGS]]</f>
        <v>97.15</v>
      </c>
      <c r="L912" s="15">
        <v>45470</v>
      </c>
      <c r="M912" t="s">
        <v>690</v>
      </c>
    </row>
    <row r="913" spans="1:13" x14ac:dyDescent="0.25">
      <c r="A913" t="s">
        <v>86</v>
      </c>
      <c r="B913" s="6" t="s">
        <v>617</v>
      </c>
      <c r="C913" s="13">
        <v>101</v>
      </c>
      <c r="D913" s="14" t="s">
        <v>91</v>
      </c>
      <c r="E913">
        <v>6</v>
      </c>
      <c r="F913" s="8">
        <f>VLOOKUP(financials[[#This Row],[productid]],Products!$B$2:$H$10,3)</f>
        <v>23</v>
      </c>
      <c r="G913" s="8">
        <f>financials[[#This Row],[Units Sold]]*financials[[#This Row],[Sale Price]]</f>
        <v>138</v>
      </c>
      <c r="H913" s="8">
        <f>IF(financials[[#This Row],[Discount Band]]="low",0.1,IF(financials[[#This Row],[Discount Band]]="medium",0.15,0.3))</f>
        <v>0.1</v>
      </c>
      <c r="I913" s="8">
        <f>financials[[#This Row],[Gross Sales]]-financials[[#This Row],[Gross Sales]]*financials[[#This Row],[Discounts]]</f>
        <v>124.2</v>
      </c>
      <c r="J913" s="8">
        <f>VLOOKUP(financials[[#This Row],[productid]],Products!$B$2:$H$10,4)</f>
        <v>9.9499999999999993</v>
      </c>
      <c r="K913" s="8">
        <f>financials[[#This Row],[Net Sales]]-financials[[#This Row],[COGS]]</f>
        <v>114.25</v>
      </c>
      <c r="L913" s="15">
        <v>43913</v>
      </c>
      <c r="M913" t="s">
        <v>690</v>
      </c>
    </row>
    <row r="914" spans="1:13" x14ac:dyDescent="0.25">
      <c r="A914" t="s">
        <v>86</v>
      </c>
      <c r="B914" s="6" t="s">
        <v>148</v>
      </c>
      <c r="C914" s="13">
        <v>109</v>
      </c>
      <c r="D914" s="14" t="s">
        <v>90</v>
      </c>
      <c r="E914">
        <v>6</v>
      </c>
      <c r="F914" s="8">
        <f>VLOOKUP(financials[[#This Row],[productid]],Products!$B$2:$H$10,3)</f>
        <v>36</v>
      </c>
      <c r="G914" s="8">
        <f>financials[[#This Row],[Units Sold]]*financials[[#This Row],[Sale Price]]</f>
        <v>216</v>
      </c>
      <c r="H914" s="8">
        <f>IF(financials[[#This Row],[Discount Band]]="low",0.1,IF(financials[[#This Row],[Discount Band]]="medium",0.15,0.3))</f>
        <v>0.15</v>
      </c>
      <c r="I914" s="8">
        <f>financials[[#This Row],[Gross Sales]]-financials[[#This Row],[Gross Sales]]*financials[[#This Row],[Discounts]]</f>
        <v>183.6</v>
      </c>
      <c r="J914" s="8">
        <f>VLOOKUP(financials[[#This Row],[productid]],Products!$B$2:$H$10,4)</f>
        <v>16.8</v>
      </c>
      <c r="K914" s="8">
        <f>financials[[#This Row],[Net Sales]]-financials[[#This Row],[COGS]]</f>
        <v>166.79999999999998</v>
      </c>
      <c r="L914" s="15">
        <v>45606</v>
      </c>
      <c r="M914" t="s">
        <v>690</v>
      </c>
    </row>
    <row r="915" spans="1:13" x14ac:dyDescent="0.25">
      <c r="A915" t="s">
        <v>89</v>
      </c>
      <c r="B915" s="6" t="s">
        <v>268</v>
      </c>
      <c r="C915" s="13">
        <v>109</v>
      </c>
      <c r="D915" s="14" t="s">
        <v>83</v>
      </c>
      <c r="E915">
        <v>9</v>
      </c>
      <c r="F915" s="8">
        <f>VLOOKUP(financials[[#This Row],[productid]],Products!$B$2:$H$10,3)</f>
        <v>36</v>
      </c>
      <c r="G915" s="8">
        <f>financials[[#This Row],[Units Sold]]*financials[[#This Row],[Sale Price]]</f>
        <v>324</v>
      </c>
      <c r="H915" s="8">
        <f>IF(financials[[#This Row],[Discount Band]]="low",0.1,IF(financials[[#This Row],[Discount Band]]="medium",0.15,0.3))</f>
        <v>0.3</v>
      </c>
      <c r="I915" s="8">
        <f>financials[[#This Row],[Gross Sales]]-financials[[#This Row],[Gross Sales]]*financials[[#This Row],[Discounts]]</f>
        <v>226.8</v>
      </c>
      <c r="J915" s="8">
        <f>VLOOKUP(financials[[#This Row],[productid]],Products!$B$2:$H$10,4)</f>
        <v>16.8</v>
      </c>
      <c r="K915" s="8">
        <f>financials[[#This Row],[Net Sales]]-financials[[#This Row],[COGS]]</f>
        <v>210</v>
      </c>
      <c r="L915" s="15">
        <v>45272</v>
      </c>
      <c r="M915" t="s">
        <v>690</v>
      </c>
    </row>
    <row r="916" spans="1:13" x14ac:dyDescent="0.25">
      <c r="A916" t="s">
        <v>89</v>
      </c>
      <c r="B916" s="6" t="s">
        <v>125</v>
      </c>
      <c r="C916" s="13">
        <v>105</v>
      </c>
      <c r="D916" s="14" t="s">
        <v>90</v>
      </c>
      <c r="E916">
        <v>10</v>
      </c>
      <c r="F916" s="8">
        <f>VLOOKUP(financials[[#This Row],[productid]],Products!$B$2:$H$10,3)</f>
        <v>15</v>
      </c>
      <c r="G916" s="8">
        <f>financials[[#This Row],[Units Sold]]*financials[[#This Row],[Sale Price]]</f>
        <v>150</v>
      </c>
      <c r="H916" s="8">
        <f>IF(financials[[#This Row],[Discount Band]]="low",0.1,IF(financials[[#This Row],[Discount Band]]="medium",0.15,0.3))</f>
        <v>0.15</v>
      </c>
      <c r="I916" s="8">
        <f>financials[[#This Row],[Gross Sales]]-financials[[#This Row],[Gross Sales]]*financials[[#This Row],[Discounts]]</f>
        <v>127.5</v>
      </c>
      <c r="J916" s="8">
        <f>VLOOKUP(financials[[#This Row],[productid]],Products!$B$2:$H$10,4)</f>
        <v>10</v>
      </c>
      <c r="K916" s="8">
        <f>financials[[#This Row],[Net Sales]]-financials[[#This Row],[COGS]]</f>
        <v>117.5</v>
      </c>
      <c r="L916" s="15">
        <v>45451</v>
      </c>
      <c r="M916" t="s">
        <v>690</v>
      </c>
    </row>
    <row r="917" spans="1:13" x14ac:dyDescent="0.25">
      <c r="A917" t="s">
        <v>85</v>
      </c>
      <c r="B917" s="6" t="s">
        <v>228</v>
      </c>
      <c r="C917" s="13">
        <v>107</v>
      </c>
      <c r="D917" s="14" t="s">
        <v>83</v>
      </c>
      <c r="E917">
        <v>19</v>
      </c>
      <c r="F917" s="8">
        <f>VLOOKUP(financials[[#This Row],[productid]],Products!$B$2:$H$10,3)</f>
        <v>15</v>
      </c>
      <c r="G917" s="8">
        <f>financials[[#This Row],[Units Sold]]*financials[[#This Row],[Sale Price]]</f>
        <v>285</v>
      </c>
      <c r="H917" s="8">
        <f>IF(financials[[#This Row],[Discount Band]]="low",0.1,IF(financials[[#This Row],[Discount Band]]="medium",0.15,0.3))</f>
        <v>0.3</v>
      </c>
      <c r="I917" s="8">
        <f>financials[[#This Row],[Gross Sales]]-financials[[#This Row],[Gross Sales]]*financials[[#This Row],[Discounts]]</f>
        <v>199.5</v>
      </c>
      <c r="J917" s="8">
        <f>VLOOKUP(financials[[#This Row],[productid]],Products!$B$2:$H$10,4)</f>
        <v>5.5</v>
      </c>
      <c r="K917" s="8">
        <f>financials[[#This Row],[Net Sales]]-financials[[#This Row],[COGS]]</f>
        <v>194</v>
      </c>
      <c r="L917" s="15">
        <v>45553</v>
      </c>
      <c r="M917" t="s">
        <v>691</v>
      </c>
    </row>
    <row r="918" spans="1:13" x14ac:dyDescent="0.25">
      <c r="A918" t="s">
        <v>85</v>
      </c>
      <c r="B918" s="6" t="s">
        <v>232</v>
      </c>
      <c r="C918" s="13">
        <v>102</v>
      </c>
      <c r="D918" s="14" t="s">
        <v>91</v>
      </c>
      <c r="E918">
        <v>15</v>
      </c>
      <c r="F918" s="8">
        <f>VLOOKUP(financials[[#This Row],[productid]],Products!$B$2:$H$10,3)</f>
        <v>15</v>
      </c>
      <c r="G918" s="8">
        <f>financials[[#This Row],[Units Sold]]*financials[[#This Row],[Sale Price]]</f>
        <v>225</v>
      </c>
      <c r="H918" s="8">
        <f>IF(financials[[#This Row],[Discount Band]]="low",0.1,IF(financials[[#This Row],[Discount Band]]="medium",0.15,0.3))</f>
        <v>0.1</v>
      </c>
      <c r="I918" s="8">
        <f>financials[[#This Row],[Gross Sales]]-financials[[#This Row],[Gross Sales]]*financials[[#This Row],[Discounts]]</f>
        <v>202.5</v>
      </c>
      <c r="J918" s="8">
        <f>VLOOKUP(financials[[#This Row],[productid]],Products!$B$2:$H$10,4)</f>
        <v>13.95</v>
      </c>
      <c r="K918" s="8">
        <f>financials[[#This Row],[Net Sales]]-financials[[#This Row],[COGS]]</f>
        <v>188.55</v>
      </c>
      <c r="L918" s="15">
        <v>45329</v>
      </c>
      <c r="M918" t="s">
        <v>690</v>
      </c>
    </row>
    <row r="919" spans="1:13" x14ac:dyDescent="0.25">
      <c r="A919" t="s">
        <v>89</v>
      </c>
      <c r="B919" s="6" t="s">
        <v>125</v>
      </c>
      <c r="C919" s="13">
        <v>101</v>
      </c>
      <c r="D919" s="14" t="s">
        <v>83</v>
      </c>
      <c r="E919">
        <v>5</v>
      </c>
      <c r="F919" s="8">
        <f>VLOOKUP(financials[[#This Row],[productid]],Products!$B$2:$H$10,3)</f>
        <v>23</v>
      </c>
      <c r="G919" s="8">
        <f>financials[[#This Row],[Units Sold]]*financials[[#This Row],[Sale Price]]</f>
        <v>115</v>
      </c>
      <c r="H919" s="8">
        <f>IF(financials[[#This Row],[Discount Band]]="low",0.1,IF(financials[[#This Row],[Discount Band]]="medium",0.15,0.3))</f>
        <v>0.3</v>
      </c>
      <c r="I919" s="8">
        <f>financials[[#This Row],[Gross Sales]]-financials[[#This Row],[Gross Sales]]*financials[[#This Row],[Discounts]]</f>
        <v>80.5</v>
      </c>
      <c r="J919" s="8">
        <f>VLOOKUP(financials[[#This Row],[productid]],Products!$B$2:$H$10,4)</f>
        <v>9.9499999999999993</v>
      </c>
      <c r="K919" s="8">
        <f>financials[[#This Row],[Net Sales]]-financials[[#This Row],[COGS]]</f>
        <v>70.55</v>
      </c>
      <c r="L919" s="15">
        <v>45055</v>
      </c>
      <c r="M919" t="s">
        <v>697</v>
      </c>
    </row>
    <row r="920" spans="1:13" x14ac:dyDescent="0.25">
      <c r="A920" t="s">
        <v>85</v>
      </c>
      <c r="B920" s="6" t="s">
        <v>232</v>
      </c>
      <c r="C920" s="13">
        <v>102</v>
      </c>
      <c r="D920" s="14" t="s">
        <v>83</v>
      </c>
      <c r="E920">
        <v>18</v>
      </c>
      <c r="F920" s="8">
        <f>VLOOKUP(financials[[#This Row],[productid]],Products!$B$2:$H$10,3)</f>
        <v>15</v>
      </c>
      <c r="G920" s="8">
        <f>financials[[#This Row],[Units Sold]]*financials[[#This Row],[Sale Price]]</f>
        <v>270</v>
      </c>
      <c r="H920" s="8">
        <f>IF(financials[[#This Row],[Discount Band]]="low",0.1,IF(financials[[#This Row],[Discount Band]]="medium",0.15,0.3))</f>
        <v>0.3</v>
      </c>
      <c r="I920" s="8">
        <f>financials[[#This Row],[Gross Sales]]-financials[[#This Row],[Gross Sales]]*financials[[#This Row],[Discounts]]</f>
        <v>189</v>
      </c>
      <c r="J920" s="8">
        <f>VLOOKUP(financials[[#This Row],[productid]],Products!$B$2:$H$10,4)</f>
        <v>13.95</v>
      </c>
      <c r="K920" s="8">
        <f>financials[[#This Row],[Net Sales]]-financials[[#This Row],[COGS]]</f>
        <v>175.05</v>
      </c>
      <c r="L920" s="15">
        <v>44143</v>
      </c>
      <c r="M920" t="s">
        <v>700</v>
      </c>
    </row>
    <row r="921" spans="1:13" x14ac:dyDescent="0.25">
      <c r="A921" t="s">
        <v>85</v>
      </c>
      <c r="B921" s="6" t="s">
        <v>287</v>
      </c>
      <c r="C921" s="13">
        <v>104</v>
      </c>
      <c r="D921" s="14" t="s">
        <v>83</v>
      </c>
      <c r="E921">
        <v>6</v>
      </c>
      <c r="F921" s="8">
        <f>VLOOKUP(financials[[#This Row],[productid]],Products!$B$2:$H$10,3)</f>
        <v>5.9</v>
      </c>
      <c r="G921" s="8">
        <f>financials[[#This Row],[Units Sold]]*financials[[#This Row],[Sale Price]]</f>
        <v>35.400000000000006</v>
      </c>
      <c r="H921" s="8">
        <f>IF(financials[[#This Row],[Discount Band]]="low",0.1,IF(financials[[#This Row],[Discount Band]]="medium",0.15,0.3))</f>
        <v>0.3</v>
      </c>
      <c r="I921" s="8">
        <f>financials[[#This Row],[Gross Sales]]-financials[[#This Row],[Gross Sales]]*financials[[#This Row],[Discounts]]</f>
        <v>24.780000000000005</v>
      </c>
      <c r="J921" s="8">
        <f>VLOOKUP(financials[[#This Row],[productid]],Products!$B$2:$H$10,4)</f>
        <v>2.9</v>
      </c>
      <c r="K921" s="8">
        <f>financials[[#This Row],[Net Sales]]-financials[[#This Row],[COGS]]</f>
        <v>21.880000000000006</v>
      </c>
      <c r="L921" s="15">
        <v>44454</v>
      </c>
      <c r="M921" t="s">
        <v>697</v>
      </c>
    </row>
    <row r="922" spans="1:13" x14ac:dyDescent="0.25">
      <c r="A922" t="s">
        <v>89</v>
      </c>
      <c r="B922" s="6" t="s">
        <v>148</v>
      </c>
      <c r="C922" s="13">
        <v>106</v>
      </c>
      <c r="D922" s="14" t="s">
        <v>83</v>
      </c>
      <c r="E922">
        <v>20</v>
      </c>
      <c r="F922" s="8">
        <f>VLOOKUP(financials[[#This Row],[productid]],Products!$B$2:$H$10,3)</f>
        <v>25</v>
      </c>
      <c r="G922" s="8">
        <f>financials[[#This Row],[Units Sold]]*financials[[#This Row],[Sale Price]]</f>
        <v>500</v>
      </c>
      <c r="H922" s="8">
        <f>IF(financials[[#This Row],[Discount Band]]="low",0.1,IF(financials[[#This Row],[Discount Band]]="medium",0.15,0.3))</f>
        <v>0.3</v>
      </c>
      <c r="I922" s="8">
        <f>financials[[#This Row],[Gross Sales]]-financials[[#This Row],[Gross Sales]]*financials[[#This Row],[Discounts]]</f>
        <v>350</v>
      </c>
      <c r="J922" s="8">
        <f>VLOOKUP(financials[[#This Row],[productid]],Products!$B$2:$H$10,4)</f>
        <v>9.1</v>
      </c>
      <c r="K922" s="8">
        <f>financials[[#This Row],[Net Sales]]-financials[[#This Row],[COGS]]</f>
        <v>340.9</v>
      </c>
      <c r="L922" s="15">
        <v>44288</v>
      </c>
      <c r="M922" t="s">
        <v>691</v>
      </c>
    </row>
    <row r="923" spans="1:13" x14ac:dyDescent="0.25">
      <c r="A923" t="s">
        <v>89</v>
      </c>
      <c r="B923" s="6" t="s">
        <v>167</v>
      </c>
      <c r="C923" s="13">
        <v>106</v>
      </c>
      <c r="D923" s="14" t="s">
        <v>90</v>
      </c>
      <c r="E923">
        <v>6</v>
      </c>
      <c r="F923" s="8">
        <f>VLOOKUP(financials[[#This Row],[productid]],Products!$B$2:$H$10,3)</f>
        <v>25</v>
      </c>
      <c r="G923" s="8">
        <f>financials[[#This Row],[Units Sold]]*financials[[#This Row],[Sale Price]]</f>
        <v>150</v>
      </c>
      <c r="H923" s="8">
        <f>IF(financials[[#This Row],[Discount Band]]="low",0.1,IF(financials[[#This Row],[Discount Band]]="medium",0.15,0.3))</f>
        <v>0.15</v>
      </c>
      <c r="I923" s="8">
        <f>financials[[#This Row],[Gross Sales]]-financials[[#This Row],[Gross Sales]]*financials[[#This Row],[Discounts]]</f>
        <v>127.5</v>
      </c>
      <c r="J923" s="8">
        <f>VLOOKUP(financials[[#This Row],[productid]],Products!$B$2:$H$10,4)</f>
        <v>9.1</v>
      </c>
      <c r="K923" s="8">
        <f>financials[[#This Row],[Net Sales]]-financials[[#This Row],[COGS]]</f>
        <v>118.4</v>
      </c>
      <c r="L923" s="15">
        <v>45629</v>
      </c>
      <c r="M923" t="s">
        <v>697</v>
      </c>
    </row>
    <row r="924" spans="1:13" x14ac:dyDescent="0.25">
      <c r="A924" t="s">
        <v>86</v>
      </c>
      <c r="B924" s="6" t="s">
        <v>266</v>
      </c>
      <c r="C924" s="13">
        <v>109</v>
      </c>
      <c r="D924" s="14" t="s">
        <v>90</v>
      </c>
      <c r="E924">
        <v>7</v>
      </c>
      <c r="F924" s="8">
        <f>VLOOKUP(financials[[#This Row],[productid]],Products!$B$2:$H$10,3)</f>
        <v>36</v>
      </c>
      <c r="G924" s="8">
        <f>financials[[#This Row],[Units Sold]]*financials[[#This Row],[Sale Price]]</f>
        <v>252</v>
      </c>
      <c r="H924" s="8">
        <f>IF(financials[[#This Row],[Discount Band]]="low",0.1,IF(financials[[#This Row],[Discount Band]]="medium",0.15,0.3))</f>
        <v>0.15</v>
      </c>
      <c r="I924" s="8">
        <f>financials[[#This Row],[Gross Sales]]-financials[[#This Row],[Gross Sales]]*financials[[#This Row],[Discounts]]</f>
        <v>214.2</v>
      </c>
      <c r="J924" s="8">
        <f>VLOOKUP(financials[[#This Row],[productid]],Products!$B$2:$H$10,4)</f>
        <v>16.8</v>
      </c>
      <c r="K924" s="8">
        <f>financials[[#This Row],[Net Sales]]-financials[[#This Row],[COGS]]</f>
        <v>197.39999999999998</v>
      </c>
      <c r="L924" s="15">
        <v>45010</v>
      </c>
      <c r="M924" t="s">
        <v>691</v>
      </c>
    </row>
    <row r="925" spans="1:13" x14ac:dyDescent="0.25">
      <c r="A925" t="s">
        <v>86</v>
      </c>
      <c r="B925" s="6" t="s">
        <v>276</v>
      </c>
      <c r="C925" s="13">
        <v>102</v>
      </c>
      <c r="D925" s="14" t="s">
        <v>92</v>
      </c>
      <c r="E925">
        <v>18</v>
      </c>
      <c r="F925" s="8">
        <f>VLOOKUP(financials[[#This Row],[productid]],Products!$B$2:$H$10,3)</f>
        <v>15</v>
      </c>
      <c r="G925" s="8">
        <f>financials[[#This Row],[Units Sold]]*financials[[#This Row],[Sale Price]]</f>
        <v>270</v>
      </c>
      <c r="H925" s="8">
        <f>IF(financials[[#This Row],[Discount Band]]="low",0.1,IF(financials[[#This Row],[Discount Band]]="medium",0.15,0.3))</f>
        <v>0.3</v>
      </c>
      <c r="I925" s="8">
        <f>financials[[#This Row],[Gross Sales]]-financials[[#This Row],[Gross Sales]]*financials[[#This Row],[Discounts]]</f>
        <v>189</v>
      </c>
      <c r="J925" s="8">
        <f>VLOOKUP(financials[[#This Row],[productid]],Products!$B$2:$H$10,4)</f>
        <v>13.95</v>
      </c>
      <c r="K925" s="8">
        <f>financials[[#This Row],[Net Sales]]-financials[[#This Row],[COGS]]</f>
        <v>175.05</v>
      </c>
      <c r="L925" s="15">
        <v>45538</v>
      </c>
      <c r="M925" t="s">
        <v>690</v>
      </c>
    </row>
    <row r="926" spans="1:13" x14ac:dyDescent="0.25">
      <c r="A926" t="s">
        <v>85</v>
      </c>
      <c r="B926" s="6" t="s">
        <v>96</v>
      </c>
      <c r="C926" s="13">
        <v>106</v>
      </c>
      <c r="D926" s="14" t="s">
        <v>92</v>
      </c>
      <c r="E926">
        <v>5</v>
      </c>
      <c r="F926" s="8">
        <f>VLOOKUP(financials[[#This Row],[productid]],Products!$B$2:$H$10,3)</f>
        <v>25</v>
      </c>
      <c r="G926" s="8">
        <f>financials[[#This Row],[Units Sold]]*financials[[#This Row],[Sale Price]]</f>
        <v>125</v>
      </c>
      <c r="H926" s="8">
        <f>IF(financials[[#This Row],[Discount Band]]="low",0.1,IF(financials[[#This Row],[Discount Band]]="medium",0.15,0.3))</f>
        <v>0.3</v>
      </c>
      <c r="I926" s="8">
        <f>financials[[#This Row],[Gross Sales]]-financials[[#This Row],[Gross Sales]]*financials[[#This Row],[Discounts]]</f>
        <v>87.5</v>
      </c>
      <c r="J926" s="8">
        <f>VLOOKUP(financials[[#This Row],[productid]],Products!$B$2:$H$10,4)</f>
        <v>9.1</v>
      </c>
      <c r="K926" s="8">
        <f>financials[[#This Row],[Net Sales]]-financials[[#This Row],[COGS]]</f>
        <v>78.400000000000006</v>
      </c>
      <c r="L926" s="15">
        <v>44891</v>
      </c>
      <c r="M926" t="s">
        <v>697</v>
      </c>
    </row>
    <row r="927" spans="1:13" x14ac:dyDescent="0.25">
      <c r="A927" t="s">
        <v>89</v>
      </c>
      <c r="B927" s="6" t="s">
        <v>93</v>
      </c>
      <c r="C927" s="13">
        <v>106</v>
      </c>
      <c r="D927" s="14" t="s">
        <v>90</v>
      </c>
      <c r="E927">
        <v>11</v>
      </c>
      <c r="F927" s="8">
        <f>VLOOKUP(financials[[#This Row],[productid]],Products!$B$2:$H$10,3)</f>
        <v>25</v>
      </c>
      <c r="G927" s="8">
        <f>financials[[#This Row],[Units Sold]]*financials[[#This Row],[Sale Price]]</f>
        <v>275</v>
      </c>
      <c r="H927" s="8">
        <f>IF(financials[[#This Row],[Discount Band]]="low",0.1,IF(financials[[#This Row],[Discount Band]]="medium",0.15,0.3))</f>
        <v>0.15</v>
      </c>
      <c r="I927" s="8">
        <f>financials[[#This Row],[Gross Sales]]-financials[[#This Row],[Gross Sales]]*financials[[#This Row],[Discounts]]</f>
        <v>233.75</v>
      </c>
      <c r="J927" s="8">
        <f>VLOOKUP(financials[[#This Row],[productid]],Products!$B$2:$H$10,4)</f>
        <v>9.1</v>
      </c>
      <c r="K927" s="8">
        <f>financials[[#This Row],[Net Sales]]-financials[[#This Row],[COGS]]</f>
        <v>224.65</v>
      </c>
      <c r="L927" s="15">
        <v>45567</v>
      </c>
      <c r="M927" t="s">
        <v>696</v>
      </c>
    </row>
    <row r="928" spans="1:13" x14ac:dyDescent="0.25">
      <c r="A928" t="s">
        <v>85</v>
      </c>
      <c r="B928" s="6" t="s">
        <v>228</v>
      </c>
      <c r="C928" s="13">
        <v>106</v>
      </c>
      <c r="D928" s="14" t="s">
        <v>90</v>
      </c>
      <c r="E928">
        <v>18</v>
      </c>
      <c r="F928" s="8">
        <f>VLOOKUP(financials[[#This Row],[productid]],Products!$B$2:$H$10,3)</f>
        <v>25</v>
      </c>
      <c r="G928" s="8">
        <f>financials[[#This Row],[Units Sold]]*financials[[#This Row],[Sale Price]]</f>
        <v>450</v>
      </c>
      <c r="H928" s="8">
        <f>IF(financials[[#This Row],[Discount Band]]="low",0.1,IF(financials[[#This Row],[Discount Band]]="medium",0.15,0.3))</f>
        <v>0.15</v>
      </c>
      <c r="I928" s="8">
        <f>financials[[#This Row],[Gross Sales]]-financials[[#This Row],[Gross Sales]]*financials[[#This Row],[Discounts]]</f>
        <v>382.5</v>
      </c>
      <c r="J928" s="8">
        <f>VLOOKUP(financials[[#This Row],[productid]],Products!$B$2:$H$10,4)</f>
        <v>9.1</v>
      </c>
      <c r="K928" s="8">
        <f>financials[[#This Row],[Net Sales]]-financials[[#This Row],[COGS]]</f>
        <v>373.4</v>
      </c>
      <c r="L928" s="15">
        <v>45554</v>
      </c>
      <c r="M928" t="s">
        <v>696</v>
      </c>
    </row>
    <row r="929" spans="1:13" x14ac:dyDescent="0.25">
      <c r="A929" t="s">
        <v>85</v>
      </c>
      <c r="B929" s="6" t="s">
        <v>94</v>
      </c>
      <c r="C929" s="13">
        <v>105</v>
      </c>
      <c r="D929" s="14" t="s">
        <v>90</v>
      </c>
      <c r="E929">
        <v>13</v>
      </c>
      <c r="F929" s="8">
        <f>VLOOKUP(financials[[#This Row],[productid]],Products!$B$2:$H$10,3)</f>
        <v>15</v>
      </c>
      <c r="G929" s="8">
        <f>financials[[#This Row],[Units Sold]]*financials[[#This Row],[Sale Price]]</f>
        <v>195</v>
      </c>
      <c r="H929" s="8">
        <f>IF(financials[[#This Row],[Discount Band]]="low",0.1,IF(financials[[#This Row],[Discount Band]]="medium",0.15,0.3))</f>
        <v>0.15</v>
      </c>
      <c r="I929" s="8">
        <f>financials[[#This Row],[Gross Sales]]-financials[[#This Row],[Gross Sales]]*financials[[#This Row],[Discounts]]</f>
        <v>165.75</v>
      </c>
      <c r="J929" s="8">
        <f>VLOOKUP(financials[[#This Row],[productid]],Products!$B$2:$H$10,4)</f>
        <v>10</v>
      </c>
      <c r="K929" s="8">
        <f>financials[[#This Row],[Net Sales]]-financials[[#This Row],[COGS]]</f>
        <v>155.75</v>
      </c>
      <c r="L929" s="15">
        <v>44488</v>
      </c>
      <c r="M929" t="s">
        <v>696</v>
      </c>
    </row>
    <row r="930" spans="1:13" x14ac:dyDescent="0.25">
      <c r="A930" t="s">
        <v>86</v>
      </c>
      <c r="B930" s="6" t="s">
        <v>167</v>
      </c>
      <c r="C930" s="13">
        <v>104</v>
      </c>
      <c r="D930" s="14" t="s">
        <v>90</v>
      </c>
      <c r="E930">
        <v>7</v>
      </c>
      <c r="F930" s="8">
        <f>VLOOKUP(financials[[#This Row],[productid]],Products!$B$2:$H$10,3)</f>
        <v>5.9</v>
      </c>
      <c r="G930" s="8">
        <f>financials[[#This Row],[Units Sold]]*financials[[#This Row],[Sale Price]]</f>
        <v>41.300000000000004</v>
      </c>
      <c r="H930" s="8">
        <f>IF(financials[[#This Row],[Discount Band]]="low",0.1,IF(financials[[#This Row],[Discount Band]]="medium",0.15,0.3))</f>
        <v>0.15</v>
      </c>
      <c r="I930" s="8">
        <f>financials[[#This Row],[Gross Sales]]-financials[[#This Row],[Gross Sales]]*financials[[#This Row],[Discounts]]</f>
        <v>35.105000000000004</v>
      </c>
      <c r="J930" s="8">
        <f>VLOOKUP(financials[[#This Row],[productid]],Products!$B$2:$H$10,4)</f>
        <v>2.9</v>
      </c>
      <c r="K930" s="8">
        <f>financials[[#This Row],[Net Sales]]-financials[[#This Row],[COGS]]</f>
        <v>32.205000000000005</v>
      </c>
      <c r="L930" s="15">
        <v>45549</v>
      </c>
      <c r="M930" t="s">
        <v>691</v>
      </c>
    </row>
    <row r="931" spans="1:13" x14ac:dyDescent="0.25">
      <c r="A931" t="s">
        <v>86</v>
      </c>
      <c r="B931" s="6" t="s">
        <v>167</v>
      </c>
      <c r="C931" s="13">
        <v>102</v>
      </c>
      <c r="D931" s="14" t="s">
        <v>91</v>
      </c>
      <c r="E931">
        <v>6</v>
      </c>
      <c r="F931" s="8">
        <f>VLOOKUP(financials[[#This Row],[productid]],Products!$B$2:$H$10,3)</f>
        <v>15</v>
      </c>
      <c r="G931" s="8">
        <f>financials[[#This Row],[Units Sold]]*financials[[#This Row],[Sale Price]]</f>
        <v>90</v>
      </c>
      <c r="H931" s="8">
        <f>IF(financials[[#This Row],[Discount Band]]="low",0.1,IF(financials[[#This Row],[Discount Band]]="medium",0.15,0.3))</f>
        <v>0.1</v>
      </c>
      <c r="I931" s="8">
        <f>financials[[#This Row],[Gross Sales]]-financials[[#This Row],[Gross Sales]]*financials[[#This Row],[Discounts]]</f>
        <v>81</v>
      </c>
      <c r="J931" s="8">
        <f>VLOOKUP(financials[[#This Row],[productid]],Products!$B$2:$H$10,4)</f>
        <v>13.95</v>
      </c>
      <c r="K931" s="8">
        <f>financials[[#This Row],[Net Sales]]-financials[[#This Row],[COGS]]</f>
        <v>67.05</v>
      </c>
      <c r="L931" s="15">
        <v>44502</v>
      </c>
      <c r="M931" t="s">
        <v>696</v>
      </c>
    </row>
    <row r="932" spans="1:13" x14ac:dyDescent="0.25">
      <c r="A932" t="s">
        <v>89</v>
      </c>
      <c r="B932" s="6" t="s">
        <v>287</v>
      </c>
      <c r="C932" s="13">
        <v>106</v>
      </c>
      <c r="D932" s="14" t="s">
        <v>90</v>
      </c>
      <c r="E932">
        <v>14</v>
      </c>
      <c r="F932" s="8">
        <f>VLOOKUP(financials[[#This Row],[productid]],Products!$B$2:$H$10,3)</f>
        <v>25</v>
      </c>
      <c r="G932" s="8">
        <f>financials[[#This Row],[Units Sold]]*financials[[#This Row],[Sale Price]]</f>
        <v>350</v>
      </c>
      <c r="H932" s="8">
        <f>IF(financials[[#This Row],[Discount Band]]="low",0.1,IF(financials[[#This Row],[Discount Band]]="medium",0.15,0.3))</f>
        <v>0.15</v>
      </c>
      <c r="I932" s="8">
        <f>financials[[#This Row],[Gross Sales]]-financials[[#This Row],[Gross Sales]]*financials[[#This Row],[Discounts]]</f>
        <v>297.5</v>
      </c>
      <c r="J932" s="8">
        <f>VLOOKUP(financials[[#This Row],[productid]],Products!$B$2:$H$10,4)</f>
        <v>9.1</v>
      </c>
      <c r="K932" s="8">
        <f>financials[[#This Row],[Net Sales]]-financials[[#This Row],[COGS]]</f>
        <v>288.39999999999998</v>
      </c>
      <c r="L932" s="15">
        <v>43857</v>
      </c>
      <c r="M932" t="s">
        <v>691</v>
      </c>
    </row>
    <row r="933" spans="1:13" x14ac:dyDescent="0.25">
      <c r="A933" t="s">
        <v>89</v>
      </c>
      <c r="B933" s="6" t="s">
        <v>545</v>
      </c>
      <c r="C933" s="11">
        <v>102</v>
      </c>
      <c r="D933" s="9" t="s">
        <v>90</v>
      </c>
      <c r="E933">
        <v>7</v>
      </c>
      <c r="F933" s="8">
        <f>VLOOKUP(financials[[#This Row],[productid]],Products!$B$2:$H$10,3)</f>
        <v>15</v>
      </c>
      <c r="G933" s="8">
        <f>financials[[#This Row],[Units Sold]]*financials[[#This Row],[Sale Price]]</f>
        <v>105</v>
      </c>
      <c r="H933" s="8">
        <f>IF(financials[[#This Row],[Discount Band]]="low",0.1,IF(financials[[#This Row],[Discount Band]]="medium",0.15,0.3))</f>
        <v>0.15</v>
      </c>
      <c r="I933" s="8">
        <f>financials[[#This Row],[Gross Sales]]-financials[[#This Row],[Gross Sales]]*financials[[#This Row],[Discounts]]</f>
        <v>89.25</v>
      </c>
      <c r="J933" s="8">
        <f>VLOOKUP(financials[[#This Row],[productid]],Products!$B$2:$H$10,4)</f>
        <v>13.95</v>
      </c>
      <c r="K933" s="8">
        <f>financials[[#This Row],[Net Sales]]-financials[[#This Row],[COGS]]</f>
        <v>75.3</v>
      </c>
      <c r="L933" s="15">
        <v>44394</v>
      </c>
      <c r="M933" t="s">
        <v>700</v>
      </c>
    </row>
    <row r="934" spans="1:13" x14ac:dyDescent="0.25">
      <c r="A934" t="s">
        <v>86</v>
      </c>
      <c r="B934" s="6" t="s">
        <v>274</v>
      </c>
      <c r="C934" s="13">
        <v>106</v>
      </c>
      <c r="D934" s="14" t="s">
        <v>91</v>
      </c>
      <c r="E934">
        <v>6</v>
      </c>
      <c r="F934" s="8">
        <f>VLOOKUP(financials[[#This Row],[productid]],Products!$B$2:$H$10,3)</f>
        <v>25</v>
      </c>
      <c r="G934" s="8">
        <f>financials[[#This Row],[Units Sold]]*financials[[#This Row],[Sale Price]]</f>
        <v>150</v>
      </c>
      <c r="H934" s="8">
        <f>IF(financials[[#This Row],[Discount Band]]="low",0.1,IF(financials[[#This Row],[Discount Band]]="medium",0.15,0.3))</f>
        <v>0.1</v>
      </c>
      <c r="I934" s="8">
        <f>financials[[#This Row],[Gross Sales]]-financials[[#This Row],[Gross Sales]]*financials[[#This Row],[Discounts]]</f>
        <v>135</v>
      </c>
      <c r="J934" s="8">
        <f>VLOOKUP(financials[[#This Row],[productid]],Products!$B$2:$H$10,4)</f>
        <v>9.1</v>
      </c>
      <c r="K934" s="8">
        <f>financials[[#This Row],[Net Sales]]-financials[[#This Row],[COGS]]</f>
        <v>125.9</v>
      </c>
      <c r="L934" s="15">
        <v>44206</v>
      </c>
      <c r="M934" t="s">
        <v>696</v>
      </c>
    </row>
    <row r="935" spans="1:13" x14ac:dyDescent="0.25">
      <c r="A935" t="s">
        <v>86</v>
      </c>
      <c r="B935" s="6" t="s">
        <v>96</v>
      </c>
      <c r="C935" s="13">
        <v>103</v>
      </c>
      <c r="D935" s="14" t="s">
        <v>91</v>
      </c>
      <c r="E935">
        <v>13</v>
      </c>
      <c r="F935" s="8">
        <f>VLOOKUP(financials[[#This Row],[productid]],Products!$B$2:$H$10,3)</f>
        <v>28</v>
      </c>
      <c r="G935" s="8">
        <f>financials[[#This Row],[Units Sold]]*financials[[#This Row],[Sale Price]]</f>
        <v>364</v>
      </c>
      <c r="H935" s="8">
        <f>IF(financials[[#This Row],[Discount Band]]="low",0.1,IF(financials[[#This Row],[Discount Band]]="medium",0.15,0.3))</f>
        <v>0.1</v>
      </c>
      <c r="I935" s="8">
        <f>financials[[#This Row],[Gross Sales]]-financials[[#This Row],[Gross Sales]]*financials[[#This Row],[Discounts]]</f>
        <v>327.60000000000002</v>
      </c>
      <c r="J935" s="8">
        <f>VLOOKUP(financials[[#This Row],[productid]],Products!$B$2:$H$10,4)</f>
        <v>15</v>
      </c>
      <c r="K935" s="8">
        <f>financials[[#This Row],[Net Sales]]-financials[[#This Row],[COGS]]</f>
        <v>312.60000000000002</v>
      </c>
      <c r="L935" s="15">
        <v>45290</v>
      </c>
      <c r="M935" t="s">
        <v>700</v>
      </c>
    </row>
    <row r="936" spans="1:13" x14ac:dyDescent="0.25">
      <c r="A936" t="s">
        <v>86</v>
      </c>
      <c r="B936" s="6" t="s">
        <v>287</v>
      </c>
      <c r="C936" s="13">
        <v>109</v>
      </c>
      <c r="D936" s="14" t="s">
        <v>90</v>
      </c>
      <c r="E936">
        <v>19</v>
      </c>
      <c r="F936" s="8">
        <f>VLOOKUP(financials[[#This Row],[productid]],Products!$B$2:$H$10,3)</f>
        <v>36</v>
      </c>
      <c r="G936" s="8">
        <f>financials[[#This Row],[Units Sold]]*financials[[#This Row],[Sale Price]]</f>
        <v>684</v>
      </c>
      <c r="H936" s="8">
        <f>IF(financials[[#This Row],[Discount Band]]="low",0.1,IF(financials[[#This Row],[Discount Band]]="medium",0.15,0.3))</f>
        <v>0.15</v>
      </c>
      <c r="I936" s="8">
        <f>financials[[#This Row],[Gross Sales]]-financials[[#This Row],[Gross Sales]]*financials[[#This Row],[Discounts]]</f>
        <v>581.4</v>
      </c>
      <c r="J936" s="8">
        <f>VLOOKUP(financials[[#This Row],[productid]],Products!$B$2:$H$10,4)</f>
        <v>16.8</v>
      </c>
      <c r="K936" s="8">
        <f>financials[[#This Row],[Net Sales]]-financials[[#This Row],[COGS]]</f>
        <v>564.6</v>
      </c>
      <c r="L936" s="15">
        <v>44290</v>
      </c>
      <c r="M936" t="s">
        <v>697</v>
      </c>
    </row>
    <row r="937" spans="1:13" x14ac:dyDescent="0.25">
      <c r="A937" t="s">
        <v>86</v>
      </c>
      <c r="B937" s="6" t="s">
        <v>645</v>
      </c>
      <c r="C937" s="13">
        <v>101</v>
      </c>
      <c r="D937" s="14" t="s">
        <v>91</v>
      </c>
      <c r="E937">
        <v>20</v>
      </c>
      <c r="F937" s="8">
        <f>VLOOKUP(financials[[#This Row],[productid]],Products!$B$2:$H$10,3)</f>
        <v>23</v>
      </c>
      <c r="G937" s="8">
        <f>financials[[#This Row],[Units Sold]]*financials[[#This Row],[Sale Price]]</f>
        <v>460</v>
      </c>
      <c r="H937" s="8">
        <f>IF(financials[[#This Row],[Discount Band]]="low",0.1,IF(financials[[#This Row],[Discount Band]]="medium",0.15,0.3))</f>
        <v>0.1</v>
      </c>
      <c r="I937" s="8">
        <f>financials[[#This Row],[Gross Sales]]-financials[[#This Row],[Gross Sales]]*financials[[#This Row],[Discounts]]</f>
        <v>414</v>
      </c>
      <c r="J937" s="8">
        <f>VLOOKUP(financials[[#This Row],[productid]],Products!$B$2:$H$10,4)</f>
        <v>9.9499999999999993</v>
      </c>
      <c r="K937" s="8">
        <f>financials[[#This Row],[Net Sales]]-financials[[#This Row],[COGS]]</f>
        <v>404.05</v>
      </c>
      <c r="L937" s="15">
        <v>44353</v>
      </c>
      <c r="M937" t="s">
        <v>690</v>
      </c>
    </row>
    <row r="938" spans="1:13" x14ac:dyDescent="0.25">
      <c r="A938" t="s">
        <v>89</v>
      </c>
      <c r="B938" s="6" t="s">
        <v>158</v>
      </c>
      <c r="C938" s="13">
        <v>103</v>
      </c>
      <c r="D938" s="14" t="s">
        <v>83</v>
      </c>
      <c r="E938">
        <v>9</v>
      </c>
      <c r="F938" s="8">
        <f>VLOOKUP(financials[[#This Row],[productid]],Products!$B$2:$H$10,3)</f>
        <v>28</v>
      </c>
      <c r="G938" s="8">
        <f>financials[[#This Row],[Units Sold]]*financials[[#This Row],[Sale Price]]</f>
        <v>252</v>
      </c>
      <c r="H938" s="8">
        <f>IF(financials[[#This Row],[Discount Band]]="low",0.1,IF(financials[[#This Row],[Discount Band]]="medium",0.15,0.3))</f>
        <v>0.3</v>
      </c>
      <c r="I938" s="8">
        <f>financials[[#This Row],[Gross Sales]]-financials[[#This Row],[Gross Sales]]*financials[[#This Row],[Discounts]]</f>
        <v>176.4</v>
      </c>
      <c r="J938" s="8">
        <f>VLOOKUP(financials[[#This Row],[productid]],Products!$B$2:$H$10,4)</f>
        <v>15</v>
      </c>
      <c r="K938" s="8">
        <f>financials[[#This Row],[Net Sales]]-financials[[#This Row],[COGS]]</f>
        <v>161.4</v>
      </c>
      <c r="L938" s="15">
        <v>45135</v>
      </c>
      <c r="M938" t="s">
        <v>691</v>
      </c>
    </row>
    <row r="939" spans="1:13" x14ac:dyDescent="0.25">
      <c r="A939" t="s">
        <v>85</v>
      </c>
      <c r="B939" s="6" t="s">
        <v>148</v>
      </c>
      <c r="C939" s="13">
        <v>103</v>
      </c>
      <c r="D939" s="14" t="s">
        <v>91</v>
      </c>
      <c r="E939">
        <v>11</v>
      </c>
      <c r="F939" s="8">
        <f>VLOOKUP(financials[[#This Row],[productid]],Products!$B$2:$H$10,3)</f>
        <v>28</v>
      </c>
      <c r="G939" s="8">
        <f>financials[[#This Row],[Units Sold]]*financials[[#This Row],[Sale Price]]</f>
        <v>308</v>
      </c>
      <c r="H939" s="8">
        <f>IF(financials[[#This Row],[Discount Band]]="low",0.1,IF(financials[[#This Row],[Discount Band]]="medium",0.15,0.3))</f>
        <v>0.1</v>
      </c>
      <c r="I939" s="8">
        <f>financials[[#This Row],[Gross Sales]]-financials[[#This Row],[Gross Sales]]*financials[[#This Row],[Discounts]]</f>
        <v>277.2</v>
      </c>
      <c r="J939" s="8">
        <f>VLOOKUP(financials[[#This Row],[productid]],Products!$B$2:$H$10,4)</f>
        <v>15</v>
      </c>
      <c r="K939" s="8">
        <f>financials[[#This Row],[Net Sales]]-financials[[#This Row],[COGS]]</f>
        <v>262.2</v>
      </c>
      <c r="L939" s="15">
        <v>44934</v>
      </c>
      <c r="M939" t="s">
        <v>696</v>
      </c>
    </row>
    <row r="940" spans="1:13" x14ac:dyDescent="0.25">
      <c r="A940" t="s">
        <v>85</v>
      </c>
      <c r="B940" s="6" t="s">
        <v>125</v>
      </c>
      <c r="C940" s="13">
        <v>101</v>
      </c>
      <c r="D940" s="14" t="s">
        <v>92</v>
      </c>
      <c r="E940">
        <v>19</v>
      </c>
      <c r="F940" s="8">
        <f>VLOOKUP(financials[[#This Row],[productid]],Products!$B$2:$H$10,3)</f>
        <v>23</v>
      </c>
      <c r="G940" s="8">
        <f>financials[[#This Row],[Units Sold]]*financials[[#This Row],[Sale Price]]</f>
        <v>437</v>
      </c>
      <c r="H940" s="8">
        <f>IF(financials[[#This Row],[Discount Band]]="low",0.1,IF(financials[[#This Row],[Discount Band]]="medium",0.15,0.3))</f>
        <v>0.3</v>
      </c>
      <c r="I940" s="8">
        <f>financials[[#This Row],[Gross Sales]]-financials[[#This Row],[Gross Sales]]*financials[[#This Row],[Discounts]]</f>
        <v>305.89999999999998</v>
      </c>
      <c r="J940" s="8">
        <f>VLOOKUP(financials[[#This Row],[productid]],Products!$B$2:$H$10,4)</f>
        <v>9.9499999999999993</v>
      </c>
      <c r="K940" s="8">
        <f>financials[[#This Row],[Net Sales]]-financials[[#This Row],[COGS]]</f>
        <v>295.95</v>
      </c>
      <c r="L940" s="15">
        <v>45303</v>
      </c>
      <c r="M940" t="s">
        <v>696</v>
      </c>
    </row>
    <row r="941" spans="1:13" x14ac:dyDescent="0.25">
      <c r="A941" t="s">
        <v>85</v>
      </c>
      <c r="B941" s="6" t="s">
        <v>617</v>
      </c>
      <c r="C941" s="13">
        <v>103</v>
      </c>
      <c r="D941" s="14" t="s">
        <v>90</v>
      </c>
      <c r="E941">
        <v>12</v>
      </c>
      <c r="F941" s="8">
        <f>VLOOKUP(financials[[#This Row],[productid]],Products!$B$2:$H$10,3)</f>
        <v>28</v>
      </c>
      <c r="G941" s="8">
        <f>financials[[#This Row],[Units Sold]]*financials[[#This Row],[Sale Price]]</f>
        <v>336</v>
      </c>
      <c r="H941" s="8">
        <f>IF(financials[[#This Row],[Discount Band]]="low",0.1,IF(financials[[#This Row],[Discount Band]]="medium",0.15,0.3))</f>
        <v>0.15</v>
      </c>
      <c r="I941" s="8">
        <f>financials[[#This Row],[Gross Sales]]-financials[[#This Row],[Gross Sales]]*financials[[#This Row],[Discounts]]</f>
        <v>285.60000000000002</v>
      </c>
      <c r="J941" s="8">
        <f>VLOOKUP(financials[[#This Row],[productid]],Products!$B$2:$H$10,4)</f>
        <v>15</v>
      </c>
      <c r="K941" s="8">
        <f>financials[[#This Row],[Net Sales]]-financials[[#This Row],[COGS]]</f>
        <v>270.60000000000002</v>
      </c>
      <c r="L941" s="15">
        <v>44426</v>
      </c>
      <c r="M941" t="s">
        <v>700</v>
      </c>
    </row>
    <row r="942" spans="1:13" x14ac:dyDescent="0.25">
      <c r="A942" t="s">
        <v>85</v>
      </c>
      <c r="B942" s="6" t="s">
        <v>545</v>
      </c>
      <c r="C942" s="13">
        <v>106</v>
      </c>
      <c r="D942" s="14" t="s">
        <v>92</v>
      </c>
      <c r="E942">
        <v>17</v>
      </c>
      <c r="F942" s="8">
        <f>VLOOKUP(financials[[#This Row],[productid]],Products!$B$2:$H$10,3)</f>
        <v>25</v>
      </c>
      <c r="G942" s="8">
        <f>financials[[#This Row],[Units Sold]]*financials[[#This Row],[Sale Price]]</f>
        <v>425</v>
      </c>
      <c r="H942" s="8">
        <f>IF(financials[[#This Row],[Discount Band]]="low",0.1,IF(financials[[#This Row],[Discount Band]]="medium",0.15,0.3))</f>
        <v>0.3</v>
      </c>
      <c r="I942" s="8">
        <f>financials[[#This Row],[Gross Sales]]-financials[[#This Row],[Gross Sales]]*financials[[#This Row],[Discounts]]</f>
        <v>297.5</v>
      </c>
      <c r="J942" s="8">
        <f>VLOOKUP(financials[[#This Row],[productid]],Products!$B$2:$H$10,4)</f>
        <v>9.1</v>
      </c>
      <c r="K942" s="8">
        <f>financials[[#This Row],[Net Sales]]-financials[[#This Row],[COGS]]</f>
        <v>288.39999999999998</v>
      </c>
      <c r="L942" s="15">
        <v>43850</v>
      </c>
      <c r="M942" t="s">
        <v>697</v>
      </c>
    </row>
    <row r="943" spans="1:13" x14ac:dyDescent="0.25">
      <c r="A943" t="s">
        <v>89</v>
      </c>
      <c r="B943" s="6" t="s">
        <v>125</v>
      </c>
      <c r="C943" s="13">
        <v>104</v>
      </c>
      <c r="D943" s="14" t="s">
        <v>91</v>
      </c>
      <c r="E943">
        <v>12</v>
      </c>
      <c r="F943" s="8">
        <f>VLOOKUP(financials[[#This Row],[productid]],Products!$B$2:$H$10,3)</f>
        <v>5.9</v>
      </c>
      <c r="G943" s="8">
        <f>financials[[#This Row],[Units Sold]]*financials[[#This Row],[Sale Price]]</f>
        <v>70.800000000000011</v>
      </c>
      <c r="H943" s="8">
        <f>IF(financials[[#This Row],[Discount Band]]="low",0.1,IF(financials[[#This Row],[Discount Band]]="medium",0.15,0.3))</f>
        <v>0.1</v>
      </c>
      <c r="I943" s="8">
        <f>financials[[#This Row],[Gross Sales]]-financials[[#This Row],[Gross Sales]]*financials[[#This Row],[Discounts]]</f>
        <v>63.720000000000013</v>
      </c>
      <c r="J943" s="8">
        <f>VLOOKUP(financials[[#This Row],[productid]],Products!$B$2:$H$10,4)</f>
        <v>2.9</v>
      </c>
      <c r="K943" s="8">
        <f>financials[[#This Row],[Net Sales]]-financials[[#This Row],[COGS]]</f>
        <v>60.820000000000014</v>
      </c>
      <c r="L943" s="15">
        <v>45561</v>
      </c>
      <c r="M943" t="s">
        <v>697</v>
      </c>
    </row>
    <row r="944" spans="1:13" x14ac:dyDescent="0.25">
      <c r="A944" t="s">
        <v>89</v>
      </c>
      <c r="B944" s="6" t="s">
        <v>232</v>
      </c>
      <c r="C944" s="13">
        <v>102</v>
      </c>
      <c r="D944" s="14" t="s">
        <v>90</v>
      </c>
      <c r="E944">
        <v>17</v>
      </c>
      <c r="F944" s="8">
        <f>VLOOKUP(financials[[#This Row],[productid]],Products!$B$2:$H$10,3)</f>
        <v>15</v>
      </c>
      <c r="G944" s="8">
        <f>financials[[#This Row],[Units Sold]]*financials[[#This Row],[Sale Price]]</f>
        <v>255</v>
      </c>
      <c r="H944" s="8">
        <f>IF(financials[[#This Row],[Discount Band]]="low",0.1,IF(financials[[#This Row],[Discount Band]]="medium",0.15,0.3))</f>
        <v>0.15</v>
      </c>
      <c r="I944" s="8">
        <f>financials[[#This Row],[Gross Sales]]-financials[[#This Row],[Gross Sales]]*financials[[#This Row],[Discounts]]</f>
        <v>216.75</v>
      </c>
      <c r="J944" s="8">
        <f>VLOOKUP(financials[[#This Row],[productid]],Products!$B$2:$H$10,4)</f>
        <v>13.95</v>
      </c>
      <c r="K944" s="8">
        <f>financials[[#This Row],[Net Sales]]-financials[[#This Row],[COGS]]</f>
        <v>202.8</v>
      </c>
      <c r="L944" s="15">
        <v>44803</v>
      </c>
      <c r="M944" t="s">
        <v>700</v>
      </c>
    </row>
    <row r="945" spans="1:13" x14ac:dyDescent="0.25">
      <c r="A945" t="s">
        <v>86</v>
      </c>
      <c r="B945" s="6" t="s">
        <v>240</v>
      </c>
      <c r="C945" s="11">
        <v>102</v>
      </c>
      <c r="D945" s="9" t="s">
        <v>90</v>
      </c>
      <c r="E945">
        <v>15</v>
      </c>
      <c r="F945" s="8">
        <f>VLOOKUP(financials[[#This Row],[productid]],Products!$B$2:$H$10,3)</f>
        <v>15</v>
      </c>
      <c r="G945" s="8">
        <f>financials[[#This Row],[Units Sold]]*financials[[#This Row],[Sale Price]]</f>
        <v>225</v>
      </c>
      <c r="H945" s="8">
        <f>IF(financials[[#This Row],[Discount Band]]="low",0.1,IF(financials[[#This Row],[Discount Band]]="medium",0.15,0.3))</f>
        <v>0.15</v>
      </c>
      <c r="I945" s="8">
        <f>financials[[#This Row],[Gross Sales]]-financials[[#This Row],[Gross Sales]]*financials[[#This Row],[Discounts]]</f>
        <v>191.25</v>
      </c>
      <c r="J945" s="8">
        <f>VLOOKUP(financials[[#This Row],[productid]],Products!$B$2:$H$10,4)</f>
        <v>13.95</v>
      </c>
      <c r="K945" s="8">
        <f>financials[[#This Row],[Net Sales]]-financials[[#This Row],[COGS]]</f>
        <v>177.3</v>
      </c>
      <c r="L945" s="15">
        <v>43866</v>
      </c>
      <c r="M945" t="s">
        <v>690</v>
      </c>
    </row>
    <row r="946" spans="1:13" x14ac:dyDescent="0.25">
      <c r="A946" t="s">
        <v>86</v>
      </c>
      <c r="B946" s="6" t="s">
        <v>645</v>
      </c>
      <c r="C946" s="13">
        <v>107</v>
      </c>
      <c r="D946" s="14" t="s">
        <v>90</v>
      </c>
      <c r="E946">
        <v>9</v>
      </c>
      <c r="F946" s="8">
        <f>VLOOKUP(financials[[#This Row],[productid]],Products!$B$2:$H$10,3)</f>
        <v>15</v>
      </c>
      <c r="G946" s="8">
        <f>financials[[#This Row],[Units Sold]]*financials[[#This Row],[Sale Price]]</f>
        <v>135</v>
      </c>
      <c r="H946" s="8">
        <f>IF(financials[[#This Row],[Discount Band]]="low",0.1,IF(financials[[#This Row],[Discount Band]]="medium",0.15,0.3))</f>
        <v>0.15</v>
      </c>
      <c r="I946" s="8">
        <f>financials[[#This Row],[Gross Sales]]-financials[[#This Row],[Gross Sales]]*financials[[#This Row],[Discounts]]</f>
        <v>114.75</v>
      </c>
      <c r="J946" s="8">
        <f>VLOOKUP(financials[[#This Row],[productid]],Products!$B$2:$H$10,4)</f>
        <v>5.5</v>
      </c>
      <c r="K946" s="8">
        <f>financials[[#This Row],[Net Sales]]-financials[[#This Row],[COGS]]</f>
        <v>109.25</v>
      </c>
      <c r="L946" s="15">
        <v>44532</v>
      </c>
      <c r="M946" t="s">
        <v>696</v>
      </c>
    </row>
    <row r="947" spans="1:13" x14ac:dyDescent="0.25">
      <c r="A947" t="s">
        <v>85</v>
      </c>
      <c r="B947" s="6" t="s">
        <v>228</v>
      </c>
      <c r="C947" s="13">
        <v>103</v>
      </c>
      <c r="D947" s="14" t="s">
        <v>83</v>
      </c>
      <c r="E947">
        <v>11</v>
      </c>
      <c r="F947" s="8">
        <f>VLOOKUP(financials[[#This Row],[productid]],Products!$B$2:$H$10,3)</f>
        <v>28</v>
      </c>
      <c r="G947" s="8">
        <f>financials[[#This Row],[Units Sold]]*financials[[#This Row],[Sale Price]]</f>
        <v>308</v>
      </c>
      <c r="H947" s="8">
        <f>IF(financials[[#This Row],[Discount Band]]="low",0.1,IF(financials[[#This Row],[Discount Band]]="medium",0.15,0.3))</f>
        <v>0.3</v>
      </c>
      <c r="I947" s="8">
        <f>financials[[#This Row],[Gross Sales]]-financials[[#This Row],[Gross Sales]]*financials[[#This Row],[Discounts]]</f>
        <v>215.60000000000002</v>
      </c>
      <c r="J947" s="8">
        <f>VLOOKUP(financials[[#This Row],[productid]],Products!$B$2:$H$10,4)</f>
        <v>15</v>
      </c>
      <c r="K947" s="8">
        <f>financials[[#This Row],[Net Sales]]-financials[[#This Row],[COGS]]</f>
        <v>200.60000000000002</v>
      </c>
      <c r="L947" s="15">
        <v>45435</v>
      </c>
      <c r="M947" t="s">
        <v>697</v>
      </c>
    </row>
    <row r="948" spans="1:13" x14ac:dyDescent="0.25">
      <c r="A948" t="s">
        <v>85</v>
      </c>
      <c r="B948" s="6" t="s">
        <v>232</v>
      </c>
      <c r="C948" s="13">
        <v>101</v>
      </c>
      <c r="D948" s="14" t="s">
        <v>90</v>
      </c>
      <c r="E948">
        <v>11</v>
      </c>
      <c r="F948" s="8">
        <f>VLOOKUP(financials[[#This Row],[productid]],Products!$B$2:$H$10,3)</f>
        <v>23</v>
      </c>
      <c r="G948" s="8">
        <f>financials[[#This Row],[Units Sold]]*financials[[#This Row],[Sale Price]]</f>
        <v>253</v>
      </c>
      <c r="H948" s="8">
        <f>IF(financials[[#This Row],[Discount Band]]="low",0.1,IF(financials[[#This Row],[Discount Band]]="medium",0.15,0.3))</f>
        <v>0.15</v>
      </c>
      <c r="I948" s="8">
        <f>financials[[#This Row],[Gross Sales]]-financials[[#This Row],[Gross Sales]]*financials[[#This Row],[Discounts]]</f>
        <v>215.05</v>
      </c>
      <c r="J948" s="8">
        <f>VLOOKUP(financials[[#This Row],[productid]],Products!$B$2:$H$10,4)</f>
        <v>9.9499999999999993</v>
      </c>
      <c r="K948" s="8">
        <f>financials[[#This Row],[Net Sales]]-financials[[#This Row],[COGS]]</f>
        <v>205.10000000000002</v>
      </c>
      <c r="L948" s="15">
        <v>43991</v>
      </c>
      <c r="M948" t="s">
        <v>697</v>
      </c>
    </row>
    <row r="949" spans="1:13" x14ac:dyDescent="0.25">
      <c r="A949" t="s">
        <v>85</v>
      </c>
      <c r="B949" s="6" t="s">
        <v>95</v>
      </c>
      <c r="C949" s="13">
        <v>102</v>
      </c>
      <c r="D949" s="14" t="s">
        <v>83</v>
      </c>
      <c r="E949">
        <v>17</v>
      </c>
      <c r="F949" s="8">
        <f>VLOOKUP(financials[[#This Row],[productid]],Products!$B$2:$H$10,3)</f>
        <v>15</v>
      </c>
      <c r="G949" s="8">
        <f>financials[[#This Row],[Units Sold]]*financials[[#This Row],[Sale Price]]</f>
        <v>255</v>
      </c>
      <c r="H949" s="8">
        <f>IF(financials[[#This Row],[Discount Band]]="low",0.1,IF(financials[[#This Row],[Discount Band]]="medium",0.15,0.3))</f>
        <v>0.3</v>
      </c>
      <c r="I949" s="8">
        <f>financials[[#This Row],[Gross Sales]]-financials[[#This Row],[Gross Sales]]*financials[[#This Row],[Discounts]]</f>
        <v>178.5</v>
      </c>
      <c r="J949" s="8">
        <f>VLOOKUP(financials[[#This Row],[productid]],Products!$B$2:$H$10,4)</f>
        <v>13.95</v>
      </c>
      <c r="K949" s="8">
        <f>financials[[#This Row],[Net Sales]]-financials[[#This Row],[COGS]]</f>
        <v>164.55</v>
      </c>
      <c r="L949" s="15">
        <v>45424</v>
      </c>
      <c r="M949" t="s">
        <v>691</v>
      </c>
    </row>
    <row r="950" spans="1:13" x14ac:dyDescent="0.25">
      <c r="A950" t="s">
        <v>89</v>
      </c>
      <c r="B950" s="6" t="s">
        <v>167</v>
      </c>
      <c r="C950" s="13">
        <v>103</v>
      </c>
      <c r="D950" s="14" t="s">
        <v>90</v>
      </c>
      <c r="E950">
        <v>11</v>
      </c>
      <c r="F950" s="8">
        <f>VLOOKUP(financials[[#This Row],[productid]],Products!$B$2:$H$10,3)</f>
        <v>28</v>
      </c>
      <c r="G950" s="8">
        <f>financials[[#This Row],[Units Sold]]*financials[[#This Row],[Sale Price]]</f>
        <v>308</v>
      </c>
      <c r="H950" s="8">
        <f>IF(financials[[#This Row],[Discount Band]]="low",0.1,IF(financials[[#This Row],[Discount Band]]="medium",0.15,0.3))</f>
        <v>0.15</v>
      </c>
      <c r="I950" s="8">
        <f>financials[[#This Row],[Gross Sales]]-financials[[#This Row],[Gross Sales]]*financials[[#This Row],[Discounts]]</f>
        <v>261.8</v>
      </c>
      <c r="J950" s="8">
        <f>VLOOKUP(financials[[#This Row],[productid]],Products!$B$2:$H$10,4)</f>
        <v>15</v>
      </c>
      <c r="K950" s="8">
        <f>financials[[#This Row],[Net Sales]]-financials[[#This Row],[COGS]]</f>
        <v>246.8</v>
      </c>
      <c r="L950" s="15">
        <v>44132</v>
      </c>
      <c r="M950" t="s">
        <v>700</v>
      </c>
    </row>
    <row r="951" spans="1:13" x14ac:dyDescent="0.25">
      <c r="A951" t="s">
        <v>89</v>
      </c>
      <c r="B951" s="6" t="s">
        <v>645</v>
      </c>
      <c r="C951" s="13">
        <v>101</v>
      </c>
      <c r="D951" s="14" t="s">
        <v>90</v>
      </c>
      <c r="E951">
        <v>13</v>
      </c>
      <c r="F951" s="8">
        <f>VLOOKUP(financials[[#This Row],[productid]],Products!$B$2:$H$10,3)</f>
        <v>23</v>
      </c>
      <c r="G951" s="8">
        <f>financials[[#This Row],[Units Sold]]*financials[[#This Row],[Sale Price]]</f>
        <v>299</v>
      </c>
      <c r="H951" s="8">
        <f>IF(financials[[#This Row],[Discount Band]]="low",0.1,IF(financials[[#This Row],[Discount Band]]="medium",0.15,0.3))</f>
        <v>0.15</v>
      </c>
      <c r="I951" s="8">
        <f>financials[[#This Row],[Gross Sales]]-financials[[#This Row],[Gross Sales]]*financials[[#This Row],[Discounts]]</f>
        <v>254.15</v>
      </c>
      <c r="J951" s="8">
        <f>VLOOKUP(financials[[#This Row],[productid]],Products!$B$2:$H$10,4)</f>
        <v>9.9499999999999993</v>
      </c>
      <c r="K951" s="8">
        <f>financials[[#This Row],[Net Sales]]-financials[[#This Row],[COGS]]</f>
        <v>244.20000000000002</v>
      </c>
      <c r="L951" s="15">
        <v>44616</v>
      </c>
      <c r="M951" t="s">
        <v>700</v>
      </c>
    </row>
    <row r="952" spans="1:13" x14ac:dyDescent="0.25">
      <c r="A952" t="s">
        <v>86</v>
      </c>
      <c r="B952" s="6" t="s">
        <v>93</v>
      </c>
      <c r="C952" s="11">
        <v>104</v>
      </c>
      <c r="D952" s="9" t="s">
        <v>90</v>
      </c>
      <c r="E952">
        <v>11</v>
      </c>
      <c r="F952" s="8">
        <f>VLOOKUP(financials[[#This Row],[productid]],Products!$B$2:$H$10,3)</f>
        <v>5.9</v>
      </c>
      <c r="G952" s="8">
        <f>financials[[#This Row],[Units Sold]]*financials[[#This Row],[Sale Price]]</f>
        <v>64.900000000000006</v>
      </c>
      <c r="H952" s="8">
        <f>IF(financials[[#This Row],[Discount Band]]="low",0.1,IF(financials[[#This Row],[Discount Band]]="medium",0.15,0.3))</f>
        <v>0.15</v>
      </c>
      <c r="I952" s="8">
        <f>financials[[#This Row],[Gross Sales]]-financials[[#This Row],[Gross Sales]]*financials[[#This Row],[Discounts]]</f>
        <v>55.165000000000006</v>
      </c>
      <c r="J952" s="8">
        <f>VLOOKUP(financials[[#This Row],[productid]],Products!$B$2:$H$10,4)</f>
        <v>2.9</v>
      </c>
      <c r="K952" s="8">
        <f>financials[[#This Row],[Net Sales]]-financials[[#This Row],[COGS]]</f>
        <v>52.265000000000008</v>
      </c>
      <c r="L952" s="15">
        <v>44341</v>
      </c>
      <c r="M952" t="s">
        <v>697</v>
      </c>
    </row>
    <row r="953" spans="1:13" x14ac:dyDescent="0.25">
      <c r="A953" t="s">
        <v>86</v>
      </c>
      <c r="B953" s="6" t="s">
        <v>158</v>
      </c>
      <c r="C953" s="11">
        <v>106</v>
      </c>
      <c r="D953" s="9" t="s">
        <v>83</v>
      </c>
      <c r="E953">
        <v>16</v>
      </c>
      <c r="F953" s="8">
        <f>VLOOKUP(financials[[#This Row],[productid]],Products!$B$2:$H$10,3)</f>
        <v>25</v>
      </c>
      <c r="G953" s="8">
        <f>financials[[#This Row],[Units Sold]]*financials[[#This Row],[Sale Price]]</f>
        <v>400</v>
      </c>
      <c r="H953" s="8">
        <f>IF(financials[[#This Row],[Discount Band]]="low",0.1,IF(financials[[#This Row],[Discount Band]]="medium",0.15,0.3))</f>
        <v>0.3</v>
      </c>
      <c r="I953" s="8">
        <f>financials[[#This Row],[Gross Sales]]-financials[[#This Row],[Gross Sales]]*financials[[#This Row],[Discounts]]</f>
        <v>280</v>
      </c>
      <c r="J953" s="8">
        <f>VLOOKUP(financials[[#This Row],[productid]],Products!$B$2:$H$10,4)</f>
        <v>9.1</v>
      </c>
      <c r="K953" s="8">
        <f>financials[[#This Row],[Net Sales]]-financials[[#This Row],[COGS]]</f>
        <v>270.89999999999998</v>
      </c>
      <c r="L953" s="15">
        <v>45529</v>
      </c>
      <c r="M953" t="s">
        <v>690</v>
      </c>
    </row>
    <row r="954" spans="1:13" x14ac:dyDescent="0.25">
      <c r="A954" t="s">
        <v>86</v>
      </c>
      <c r="B954" s="6" t="s">
        <v>645</v>
      </c>
      <c r="C954" s="13">
        <v>101</v>
      </c>
      <c r="D954" s="14" t="s">
        <v>91</v>
      </c>
      <c r="E954">
        <v>10</v>
      </c>
      <c r="F954" s="8">
        <f>VLOOKUP(financials[[#This Row],[productid]],Products!$B$2:$H$10,3)</f>
        <v>23</v>
      </c>
      <c r="G954" s="8">
        <f>financials[[#This Row],[Units Sold]]*financials[[#This Row],[Sale Price]]</f>
        <v>230</v>
      </c>
      <c r="H954" s="8">
        <f>IF(financials[[#This Row],[Discount Band]]="low",0.1,IF(financials[[#This Row],[Discount Band]]="medium",0.15,0.3))</f>
        <v>0.1</v>
      </c>
      <c r="I954" s="8">
        <f>financials[[#This Row],[Gross Sales]]-financials[[#This Row],[Gross Sales]]*financials[[#This Row],[Discounts]]</f>
        <v>207</v>
      </c>
      <c r="J954" s="8">
        <f>VLOOKUP(financials[[#This Row],[productid]],Products!$B$2:$H$10,4)</f>
        <v>9.9499999999999993</v>
      </c>
      <c r="K954" s="8">
        <f>financials[[#This Row],[Net Sales]]-financials[[#This Row],[COGS]]</f>
        <v>197.05</v>
      </c>
      <c r="L954" s="15">
        <v>44451</v>
      </c>
      <c r="M954" t="s">
        <v>696</v>
      </c>
    </row>
    <row r="955" spans="1:13" x14ac:dyDescent="0.25">
      <c r="A955" t="s">
        <v>89</v>
      </c>
      <c r="B955" s="6" t="s">
        <v>274</v>
      </c>
      <c r="C955" s="11">
        <v>106</v>
      </c>
      <c r="D955" s="9" t="s">
        <v>90</v>
      </c>
      <c r="E955">
        <v>10</v>
      </c>
      <c r="F955" s="8">
        <f>VLOOKUP(financials[[#This Row],[productid]],Products!$B$2:$H$10,3)</f>
        <v>25</v>
      </c>
      <c r="G955" s="8">
        <f>financials[[#This Row],[Units Sold]]*financials[[#This Row],[Sale Price]]</f>
        <v>250</v>
      </c>
      <c r="H955" s="8">
        <f>IF(financials[[#This Row],[Discount Band]]="low",0.1,IF(financials[[#This Row],[Discount Band]]="medium",0.15,0.3))</f>
        <v>0.15</v>
      </c>
      <c r="I955" s="8">
        <f>financials[[#This Row],[Gross Sales]]-financials[[#This Row],[Gross Sales]]*financials[[#This Row],[Discounts]]</f>
        <v>212.5</v>
      </c>
      <c r="J955" s="8">
        <f>VLOOKUP(financials[[#This Row],[productid]],Products!$B$2:$H$10,4)</f>
        <v>9.1</v>
      </c>
      <c r="K955" s="8">
        <f>financials[[#This Row],[Net Sales]]-financials[[#This Row],[COGS]]</f>
        <v>203.4</v>
      </c>
      <c r="L955" s="15">
        <v>45398</v>
      </c>
      <c r="M955" t="s">
        <v>700</v>
      </c>
    </row>
    <row r="956" spans="1:13" x14ac:dyDescent="0.25">
      <c r="A956" t="s">
        <v>89</v>
      </c>
      <c r="B956" s="6" t="s">
        <v>148</v>
      </c>
      <c r="C956" s="13">
        <v>106</v>
      </c>
      <c r="D956" s="14" t="s">
        <v>90</v>
      </c>
      <c r="E956">
        <v>11</v>
      </c>
      <c r="F956" s="8">
        <f>VLOOKUP(financials[[#This Row],[productid]],Products!$B$2:$H$10,3)</f>
        <v>25</v>
      </c>
      <c r="G956" s="8">
        <f>financials[[#This Row],[Units Sold]]*financials[[#This Row],[Sale Price]]</f>
        <v>275</v>
      </c>
      <c r="H956" s="8">
        <f>IF(financials[[#This Row],[Discount Band]]="low",0.1,IF(financials[[#This Row],[Discount Band]]="medium",0.15,0.3))</f>
        <v>0.15</v>
      </c>
      <c r="I956" s="8">
        <f>financials[[#This Row],[Gross Sales]]-financials[[#This Row],[Gross Sales]]*financials[[#This Row],[Discounts]]</f>
        <v>233.75</v>
      </c>
      <c r="J956" s="8">
        <f>VLOOKUP(financials[[#This Row],[productid]],Products!$B$2:$H$10,4)</f>
        <v>9.1</v>
      </c>
      <c r="K956" s="8">
        <f>financials[[#This Row],[Net Sales]]-financials[[#This Row],[COGS]]</f>
        <v>224.65</v>
      </c>
      <c r="L956" s="15">
        <v>45056</v>
      </c>
      <c r="M956" t="s">
        <v>700</v>
      </c>
    </row>
    <row r="957" spans="1:13" x14ac:dyDescent="0.25">
      <c r="A957" t="s">
        <v>89</v>
      </c>
      <c r="B957" s="6" t="s">
        <v>274</v>
      </c>
      <c r="C957" s="13">
        <v>108</v>
      </c>
      <c r="D957" s="14" t="s">
        <v>90</v>
      </c>
      <c r="E957">
        <v>14</v>
      </c>
      <c r="F957" s="8">
        <f>VLOOKUP(financials[[#This Row],[productid]],Products!$B$2:$H$10,3)</f>
        <v>5.5</v>
      </c>
      <c r="G957" s="8">
        <f>financials[[#This Row],[Units Sold]]*financials[[#This Row],[Sale Price]]</f>
        <v>77</v>
      </c>
      <c r="H957" s="8">
        <f>IF(financials[[#This Row],[Discount Band]]="low",0.1,IF(financials[[#This Row],[Discount Band]]="medium",0.15,0.3))</f>
        <v>0.15</v>
      </c>
      <c r="I957" s="8">
        <f>financials[[#This Row],[Gross Sales]]-financials[[#This Row],[Gross Sales]]*financials[[#This Row],[Discounts]]</f>
        <v>65.45</v>
      </c>
      <c r="J957" s="8">
        <f>VLOOKUP(financials[[#This Row],[productid]],Products!$B$2:$H$10,4)</f>
        <v>3.99</v>
      </c>
      <c r="K957" s="8">
        <f>financials[[#This Row],[Net Sales]]-financials[[#This Row],[COGS]]</f>
        <v>61.46</v>
      </c>
      <c r="L957" s="15">
        <v>43995</v>
      </c>
      <c r="M957" t="s">
        <v>691</v>
      </c>
    </row>
    <row r="958" spans="1:13" x14ac:dyDescent="0.25">
      <c r="A958" t="s">
        <v>89</v>
      </c>
      <c r="B958" s="6" t="s">
        <v>232</v>
      </c>
      <c r="C958" s="13">
        <v>103</v>
      </c>
      <c r="D958" s="14" t="s">
        <v>90</v>
      </c>
      <c r="E958">
        <v>19</v>
      </c>
      <c r="F958" s="8">
        <f>VLOOKUP(financials[[#This Row],[productid]],Products!$B$2:$H$10,3)</f>
        <v>28</v>
      </c>
      <c r="G958" s="8">
        <f>financials[[#This Row],[Units Sold]]*financials[[#This Row],[Sale Price]]</f>
        <v>532</v>
      </c>
      <c r="H958" s="8">
        <f>IF(financials[[#This Row],[Discount Band]]="low",0.1,IF(financials[[#This Row],[Discount Band]]="medium",0.15,0.3))</f>
        <v>0.15</v>
      </c>
      <c r="I958" s="8">
        <f>financials[[#This Row],[Gross Sales]]-financials[[#This Row],[Gross Sales]]*financials[[#This Row],[Discounts]]</f>
        <v>452.2</v>
      </c>
      <c r="J958" s="8">
        <f>VLOOKUP(financials[[#This Row],[productid]],Products!$B$2:$H$10,4)</f>
        <v>15</v>
      </c>
      <c r="K958" s="8">
        <f>financials[[#This Row],[Net Sales]]-financials[[#This Row],[COGS]]</f>
        <v>437.2</v>
      </c>
      <c r="L958" s="15">
        <v>44564</v>
      </c>
      <c r="M958" t="s">
        <v>700</v>
      </c>
    </row>
    <row r="959" spans="1:13" x14ac:dyDescent="0.25">
      <c r="A959" t="s">
        <v>89</v>
      </c>
      <c r="B959" s="6" t="s">
        <v>95</v>
      </c>
      <c r="C959" s="13">
        <v>105</v>
      </c>
      <c r="D959" s="14" t="s">
        <v>90</v>
      </c>
      <c r="E959">
        <v>7</v>
      </c>
      <c r="F959" s="8">
        <f>VLOOKUP(financials[[#This Row],[productid]],Products!$B$2:$H$10,3)</f>
        <v>15</v>
      </c>
      <c r="G959" s="8">
        <f>financials[[#This Row],[Units Sold]]*financials[[#This Row],[Sale Price]]</f>
        <v>105</v>
      </c>
      <c r="H959" s="8">
        <f>IF(financials[[#This Row],[Discount Band]]="low",0.1,IF(financials[[#This Row],[Discount Band]]="medium",0.15,0.3))</f>
        <v>0.15</v>
      </c>
      <c r="I959" s="8">
        <f>financials[[#This Row],[Gross Sales]]-financials[[#This Row],[Gross Sales]]*financials[[#This Row],[Discounts]]</f>
        <v>89.25</v>
      </c>
      <c r="J959" s="8">
        <f>VLOOKUP(financials[[#This Row],[productid]],Products!$B$2:$H$10,4)</f>
        <v>10</v>
      </c>
      <c r="K959" s="8">
        <f>financials[[#This Row],[Net Sales]]-financials[[#This Row],[COGS]]</f>
        <v>79.25</v>
      </c>
      <c r="L959" s="15">
        <v>45172</v>
      </c>
      <c r="M959" t="s">
        <v>690</v>
      </c>
    </row>
    <row r="960" spans="1:13" x14ac:dyDescent="0.25">
      <c r="A960" t="s">
        <v>85</v>
      </c>
      <c r="B960" s="6" t="s">
        <v>158</v>
      </c>
      <c r="C960" s="11">
        <v>105</v>
      </c>
      <c r="D960" s="9" t="s">
        <v>83</v>
      </c>
      <c r="E960">
        <v>10</v>
      </c>
      <c r="F960" s="8">
        <f>VLOOKUP(financials[[#This Row],[productid]],Products!$B$2:$H$10,3)</f>
        <v>15</v>
      </c>
      <c r="G960" s="8">
        <f>financials[[#This Row],[Units Sold]]*financials[[#This Row],[Sale Price]]</f>
        <v>150</v>
      </c>
      <c r="H960" s="8">
        <f>IF(financials[[#This Row],[Discount Band]]="low",0.1,IF(financials[[#This Row],[Discount Band]]="medium",0.15,0.3))</f>
        <v>0.3</v>
      </c>
      <c r="I960" s="8">
        <f>financials[[#This Row],[Gross Sales]]-financials[[#This Row],[Gross Sales]]*financials[[#This Row],[Discounts]]</f>
        <v>105</v>
      </c>
      <c r="J960" s="8">
        <f>VLOOKUP(financials[[#This Row],[productid]],Products!$B$2:$H$10,4)</f>
        <v>10</v>
      </c>
      <c r="K960" s="8">
        <f>financials[[#This Row],[Net Sales]]-financials[[#This Row],[COGS]]</f>
        <v>95</v>
      </c>
      <c r="L960" s="15">
        <v>43851</v>
      </c>
      <c r="M960" t="s">
        <v>691</v>
      </c>
    </row>
    <row r="961" spans="1:13" x14ac:dyDescent="0.25">
      <c r="A961" t="s">
        <v>85</v>
      </c>
      <c r="B961" s="6" t="s">
        <v>617</v>
      </c>
      <c r="C961" s="13">
        <v>102</v>
      </c>
      <c r="D961" s="14" t="s">
        <v>91</v>
      </c>
      <c r="E961">
        <v>13</v>
      </c>
      <c r="F961" s="8">
        <f>VLOOKUP(financials[[#This Row],[productid]],Products!$B$2:$H$10,3)</f>
        <v>15</v>
      </c>
      <c r="G961" s="8">
        <f>financials[[#This Row],[Units Sold]]*financials[[#This Row],[Sale Price]]</f>
        <v>195</v>
      </c>
      <c r="H961" s="8">
        <f>IF(financials[[#This Row],[Discount Band]]="low",0.1,IF(financials[[#This Row],[Discount Band]]="medium",0.15,0.3))</f>
        <v>0.1</v>
      </c>
      <c r="I961" s="8">
        <f>financials[[#This Row],[Gross Sales]]-financials[[#This Row],[Gross Sales]]*financials[[#This Row],[Discounts]]</f>
        <v>175.5</v>
      </c>
      <c r="J961" s="8">
        <f>VLOOKUP(financials[[#This Row],[productid]],Products!$B$2:$H$10,4)</f>
        <v>13.95</v>
      </c>
      <c r="K961" s="8">
        <f>financials[[#This Row],[Net Sales]]-financials[[#This Row],[COGS]]</f>
        <v>161.55000000000001</v>
      </c>
      <c r="L961" s="15">
        <v>45004</v>
      </c>
      <c r="M961" t="s">
        <v>696</v>
      </c>
    </row>
    <row r="962" spans="1:13" x14ac:dyDescent="0.25">
      <c r="A962" t="s">
        <v>85</v>
      </c>
      <c r="B962" s="6" t="s">
        <v>158</v>
      </c>
      <c r="C962" s="13">
        <v>109</v>
      </c>
      <c r="D962" s="14" t="s">
        <v>83</v>
      </c>
      <c r="E962">
        <v>13</v>
      </c>
      <c r="F962" s="8">
        <f>VLOOKUP(financials[[#This Row],[productid]],Products!$B$2:$H$10,3)</f>
        <v>36</v>
      </c>
      <c r="G962" s="8">
        <f>financials[[#This Row],[Units Sold]]*financials[[#This Row],[Sale Price]]</f>
        <v>468</v>
      </c>
      <c r="H962" s="8">
        <f>IF(financials[[#This Row],[Discount Band]]="low",0.1,IF(financials[[#This Row],[Discount Band]]="medium",0.15,0.3))</f>
        <v>0.3</v>
      </c>
      <c r="I962" s="8">
        <f>financials[[#This Row],[Gross Sales]]-financials[[#This Row],[Gross Sales]]*financials[[#This Row],[Discounts]]</f>
        <v>327.60000000000002</v>
      </c>
      <c r="J962" s="8">
        <f>VLOOKUP(financials[[#This Row],[productid]],Products!$B$2:$H$10,4)</f>
        <v>16.8</v>
      </c>
      <c r="K962" s="8">
        <f>financials[[#This Row],[Net Sales]]-financials[[#This Row],[COGS]]</f>
        <v>310.8</v>
      </c>
      <c r="L962" s="15">
        <v>44742</v>
      </c>
      <c r="M962" t="s">
        <v>690</v>
      </c>
    </row>
    <row r="963" spans="1:13" x14ac:dyDescent="0.25">
      <c r="A963" t="s">
        <v>86</v>
      </c>
      <c r="B963" s="6" t="s">
        <v>274</v>
      </c>
      <c r="C963" s="13">
        <v>107</v>
      </c>
      <c r="D963" s="14" t="s">
        <v>83</v>
      </c>
      <c r="E963">
        <v>15</v>
      </c>
      <c r="F963" s="8">
        <f>VLOOKUP(financials[[#This Row],[productid]],Products!$B$2:$H$10,3)</f>
        <v>15</v>
      </c>
      <c r="G963" s="8">
        <f>financials[[#This Row],[Units Sold]]*financials[[#This Row],[Sale Price]]</f>
        <v>225</v>
      </c>
      <c r="H963" s="8">
        <f>IF(financials[[#This Row],[Discount Band]]="low",0.1,IF(financials[[#This Row],[Discount Band]]="medium",0.15,0.3))</f>
        <v>0.3</v>
      </c>
      <c r="I963" s="8">
        <f>financials[[#This Row],[Gross Sales]]-financials[[#This Row],[Gross Sales]]*financials[[#This Row],[Discounts]]</f>
        <v>157.5</v>
      </c>
      <c r="J963" s="8">
        <f>VLOOKUP(financials[[#This Row],[productid]],Products!$B$2:$H$10,4)</f>
        <v>5.5</v>
      </c>
      <c r="K963" s="8">
        <f>financials[[#This Row],[Net Sales]]-financials[[#This Row],[COGS]]</f>
        <v>152</v>
      </c>
      <c r="L963" s="15">
        <v>44386</v>
      </c>
      <c r="M963" t="s">
        <v>691</v>
      </c>
    </row>
    <row r="964" spans="1:13" x14ac:dyDescent="0.25">
      <c r="A964" t="s">
        <v>85</v>
      </c>
      <c r="B964" s="6" t="s">
        <v>232</v>
      </c>
      <c r="C964" s="13">
        <v>102</v>
      </c>
      <c r="D964" s="14" t="s">
        <v>91</v>
      </c>
      <c r="E964">
        <v>12</v>
      </c>
      <c r="F964" s="8">
        <f>VLOOKUP(financials[[#This Row],[productid]],Products!$B$2:$H$10,3)</f>
        <v>15</v>
      </c>
      <c r="G964" s="8">
        <f>financials[[#This Row],[Units Sold]]*financials[[#This Row],[Sale Price]]</f>
        <v>180</v>
      </c>
      <c r="H964" s="8">
        <f>IF(financials[[#This Row],[Discount Band]]="low",0.1,IF(financials[[#This Row],[Discount Band]]="medium",0.15,0.3))</f>
        <v>0.1</v>
      </c>
      <c r="I964" s="8">
        <f>financials[[#This Row],[Gross Sales]]-financials[[#This Row],[Gross Sales]]*financials[[#This Row],[Discounts]]</f>
        <v>162</v>
      </c>
      <c r="J964" s="8">
        <f>VLOOKUP(financials[[#This Row],[productid]],Products!$B$2:$H$10,4)</f>
        <v>13.95</v>
      </c>
      <c r="K964" s="8">
        <f>financials[[#This Row],[Net Sales]]-financials[[#This Row],[COGS]]</f>
        <v>148.05000000000001</v>
      </c>
      <c r="L964" s="15">
        <v>45572</v>
      </c>
      <c r="M964" t="s">
        <v>696</v>
      </c>
    </row>
    <row r="965" spans="1:13" x14ac:dyDescent="0.25">
      <c r="A965" t="s">
        <v>89</v>
      </c>
      <c r="B965" s="6" t="s">
        <v>287</v>
      </c>
      <c r="C965" s="13">
        <v>103</v>
      </c>
      <c r="D965" s="14" t="s">
        <v>90</v>
      </c>
      <c r="E965">
        <v>20</v>
      </c>
      <c r="F965" s="8">
        <f>VLOOKUP(financials[[#This Row],[productid]],Products!$B$2:$H$10,3)</f>
        <v>28</v>
      </c>
      <c r="G965" s="8">
        <f>financials[[#This Row],[Units Sold]]*financials[[#This Row],[Sale Price]]</f>
        <v>560</v>
      </c>
      <c r="H965" s="8">
        <f>IF(financials[[#This Row],[Discount Band]]="low",0.1,IF(financials[[#This Row],[Discount Band]]="medium",0.15,0.3))</f>
        <v>0.15</v>
      </c>
      <c r="I965" s="8">
        <f>financials[[#This Row],[Gross Sales]]-financials[[#This Row],[Gross Sales]]*financials[[#This Row],[Discounts]]</f>
        <v>476</v>
      </c>
      <c r="J965" s="8">
        <f>VLOOKUP(financials[[#This Row],[productid]],Products!$B$2:$H$10,4)</f>
        <v>15</v>
      </c>
      <c r="K965" s="8">
        <f>financials[[#This Row],[Net Sales]]-financials[[#This Row],[COGS]]</f>
        <v>461</v>
      </c>
      <c r="L965" s="15">
        <v>45101</v>
      </c>
      <c r="M965" t="s">
        <v>697</v>
      </c>
    </row>
    <row r="966" spans="1:13" x14ac:dyDescent="0.25">
      <c r="A966" t="s">
        <v>89</v>
      </c>
      <c r="B966" s="6" t="s">
        <v>274</v>
      </c>
      <c r="C966" s="13">
        <v>101</v>
      </c>
      <c r="D966" s="14" t="s">
        <v>83</v>
      </c>
      <c r="E966">
        <v>5</v>
      </c>
      <c r="F966" s="8">
        <f>VLOOKUP(financials[[#This Row],[productid]],Products!$B$2:$H$10,3)</f>
        <v>23</v>
      </c>
      <c r="G966" s="8">
        <f>financials[[#This Row],[Units Sold]]*financials[[#This Row],[Sale Price]]</f>
        <v>115</v>
      </c>
      <c r="H966" s="8">
        <f>IF(financials[[#This Row],[Discount Band]]="low",0.1,IF(financials[[#This Row],[Discount Band]]="medium",0.15,0.3))</f>
        <v>0.3</v>
      </c>
      <c r="I966" s="8">
        <f>financials[[#This Row],[Gross Sales]]-financials[[#This Row],[Gross Sales]]*financials[[#This Row],[Discounts]]</f>
        <v>80.5</v>
      </c>
      <c r="J966" s="8">
        <f>VLOOKUP(financials[[#This Row],[productid]],Products!$B$2:$H$10,4)</f>
        <v>9.9499999999999993</v>
      </c>
      <c r="K966" s="8">
        <f>financials[[#This Row],[Net Sales]]-financials[[#This Row],[COGS]]</f>
        <v>70.55</v>
      </c>
      <c r="L966" s="15">
        <v>45089</v>
      </c>
      <c r="M966" t="s">
        <v>696</v>
      </c>
    </row>
    <row r="967" spans="1:13" x14ac:dyDescent="0.25">
      <c r="A967" t="s">
        <v>89</v>
      </c>
      <c r="B967" s="6" t="s">
        <v>268</v>
      </c>
      <c r="C967" s="13">
        <v>101</v>
      </c>
      <c r="D967" s="14" t="s">
        <v>91</v>
      </c>
      <c r="E967">
        <v>14</v>
      </c>
      <c r="F967" s="8">
        <f>VLOOKUP(financials[[#This Row],[productid]],Products!$B$2:$H$10,3)</f>
        <v>23</v>
      </c>
      <c r="G967" s="8">
        <f>financials[[#This Row],[Units Sold]]*financials[[#This Row],[Sale Price]]</f>
        <v>322</v>
      </c>
      <c r="H967" s="8">
        <f>IF(financials[[#This Row],[Discount Band]]="low",0.1,IF(financials[[#This Row],[Discount Band]]="medium",0.15,0.3))</f>
        <v>0.1</v>
      </c>
      <c r="I967" s="8">
        <f>financials[[#This Row],[Gross Sales]]-financials[[#This Row],[Gross Sales]]*financials[[#This Row],[Discounts]]</f>
        <v>289.8</v>
      </c>
      <c r="J967" s="8">
        <f>VLOOKUP(financials[[#This Row],[productid]],Products!$B$2:$H$10,4)</f>
        <v>9.9499999999999993</v>
      </c>
      <c r="K967" s="8">
        <f>financials[[#This Row],[Net Sales]]-financials[[#This Row],[COGS]]</f>
        <v>279.85000000000002</v>
      </c>
      <c r="L967" s="15">
        <v>43838</v>
      </c>
      <c r="M967" t="s">
        <v>696</v>
      </c>
    </row>
    <row r="968" spans="1:13" x14ac:dyDescent="0.25">
      <c r="A968" t="s">
        <v>89</v>
      </c>
      <c r="B968" s="6" t="s">
        <v>240</v>
      </c>
      <c r="C968" s="13">
        <v>106</v>
      </c>
      <c r="D968" s="14" t="s">
        <v>91</v>
      </c>
      <c r="E968">
        <v>20</v>
      </c>
      <c r="F968" s="8">
        <f>VLOOKUP(financials[[#This Row],[productid]],Products!$B$2:$H$10,3)</f>
        <v>25</v>
      </c>
      <c r="G968" s="8">
        <f>financials[[#This Row],[Units Sold]]*financials[[#This Row],[Sale Price]]</f>
        <v>500</v>
      </c>
      <c r="H968" s="8">
        <f>IF(financials[[#This Row],[Discount Band]]="low",0.1,IF(financials[[#This Row],[Discount Band]]="medium",0.15,0.3))</f>
        <v>0.1</v>
      </c>
      <c r="I968" s="8">
        <f>financials[[#This Row],[Gross Sales]]-financials[[#This Row],[Gross Sales]]*financials[[#This Row],[Discounts]]</f>
        <v>450</v>
      </c>
      <c r="J968" s="8">
        <f>VLOOKUP(financials[[#This Row],[productid]],Products!$B$2:$H$10,4)</f>
        <v>9.1</v>
      </c>
      <c r="K968" s="8">
        <f>financials[[#This Row],[Net Sales]]-financials[[#This Row],[COGS]]</f>
        <v>440.9</v>
      </c>
      <c r="L968" s="15">
        <v>43897</v>
      </c>
      <c r="M968" t="s">
        <v>690</v>
      </c>
    </row>
    <row r="969" spans="1:13" x14ac:dyDescent="0.25">
      <c r="A969" t="s">
        <v>86</v>
      </c>
      <c r="B969" s="6" t="s">
        <v>205</v>
      </c>
      <c r="C969" s="13">
        <v>103</v>
      </c>
      <c r="D969" s="14" t="s">
        <v>91</v>
      </c>
      <c r="E969">
        <v>13</v>
      </c>
      <c r="F969" s="8">
        <f>VLOOKUP(financials[[#This Row],[productid]],Products!$B$2:$H$10,3)</f>
        <v>28</v>
      </c>
      <c r="G969" s="8">
        <f>financials[[#This Row],[Units Sold]]*financials[[#This Row],[Sale Price]]</f>
        <v>364</v>
      </c>
      <c r="H969" s="8">
        <f>IF(financials[[#This Row],[Discount Band]]="low",0.1,IF(financials[[#This Row],[Discount Band]]="medium",0.15,0.3))</f>
        <v>0.1</v>
      </c>
      <c r="I969" s="8">
        <f>financials[[#This Row],[Gross Sales]]-financials[[#This Row],[Gross Sales]]*financials[[#This Row],[Discounts]]</f>
        <v>327.60000000000002</v>
      </c>
      <c r="J969" s="8">
        <f>VLOOKUP(financials[[#This Row],[productid]],Products!$B$2:$H$10,4)</f>
        <v>15</v>
      </c>
      <c r="K969" s="8">
        <f>financials[[#This Row],[Net Sales]]-financials[[#This Row],[COGS]]</f>
        <v>312.60000000000002</v>
      </c>
      <c r="L969" s="15">
        <v>45499</v>
      </c>
      <c r="M969" t="s">
        <v>691</v>
      </c>
    </row>
    <row r="970" spans="1:13" x14ac:dyDescent="0.25">
      <c r="A970" t="s">
        <v>85</v>
      </c>
      <c r="B970" s="6" t="s">
        <v>617</v>
      </c>
      <c r="C970" s="13">
        <v>105</v>
      </c>
      <c r="D970" s="14" t="s">
        <v>91</v>
      </c>
      <c r="E970">
        <v>19</v>
      </c>
      <c r="F970" s="8">
        <f>VLOOKUP(financials[[#This Row],[productid]],Products!$B$2:$H$10,3)</f>
        <v>15</v>
      </c>
      <c r="G970" s="8">
        <f>financials[[#This Row],[Units Sold]]*financials[[#This Row],[Sale Price]]</f>
        <v>285</v>
      </c>
      <c r="H970" s="8">
        <f>IF(financials[[#This Row],[Discount Band]]="low",0.1,IF(financials[[#This Row],[Discount Band]]="medium",0.15,0.3))</f>
        <v>0.1</v>
      </c>
      <c r="I970" s="8">
        <f>financials[[#This Row],[Gross Sales]]-financials[[#This Row],[Gross Sales]]*financials[[#This Row],[Discounts]]</f>
        <v>256.5</v>
      </c>
      <c r="J970" s="8">
        <f>VLOOKUP(financials[[#This Row],[productid]],Products!$B$2:$H$10,4)</f>
        <v>10</v>
      </c>
      <c r="K970" s="8">
        <f>financials[[#This Row],[Net Sales]]-financials[[#This Row],[COGS]]</f>
        <v>246.5</v>
      </c>
      <c r="L970" s="15">
        <v>45510</v>
      </c>
      <c r="M970" t="s">
        <v>700</v>
      </c>
    </row>
    <row r="971" spans="1:13" x14ac:dyDescent="0.25">
      <c r="A971" t="s">
        <v>85</v>
      </c>
      <c r="B971" s="6" t="s">
        <v>645</v>
      </c>
      <c r="C971" s="13">
        <v>104</v>
      </c>
      <c r="D971" s="14" t="s">
        <v>91</v>
      </c>
      <c r="E971">
        <v>11</v>
      </c>
      <c r="F971" s="8">
        <f>VLOOKUP(financials[[#This Row],[productid]],Products!$B$2:$H$10,3)</f>
        <v>5.9</v>
      </c>
      <c r="G971" s="8">
        <f>financials[[#This Row],[Units Sold]]*financials[[#This Row],[Sale Price]]</f>
        <v>64.900000000000006</v>
      </c>
      <c r="H971" s="8">
        <f>IF(financials[[#This Row],[Discount Band]]="low",0.1,IF(financials[[#This Row],[Discount Band]]="medium",0.15,0.3))</f>
        <v>0.1</v>
      </c>
      <c r="I971" s="8">
        <f>financials[[#This Row],[Gross Sales]]-financials[[#This Row],[Gross Sales]]*financials[[#This Row],[Discounts]]</f>
        <v>58.410000000000004</v>
      </c>
      <c r="J971" s="8">
        <f>VLOOKUP(financials[[#This Row],[productid]],Products!$B$2:$H$10,4)</f>
        <v>2.9</v>
      </c>
      <c r="K971" s="8">
        <f>financials[[#This Row],[Net Sales]]-financials[[#This Row],[COGS]]</f>
        <v>55.510000000000005</v>
      </c>
      <c r="L971" s="15">
        <v>44925</v>
      </c>
      <c r="M971" t="s">
        <v>697</v>
      </c>
    </row>
    <row r="972" spans="1:13" x14ac:dyDescent="0.25">
      <c r="A972" t="s">
        <v>85</v>
      </c>
      <c r="B972" s="6" t="s">
        <v>228</v>
      </c>
      <c r="C972" s="13">
        <v>102</v>
      </c>
      <c r="D972" s="14" t="s">
        <v>83</v>
      </c>
      <c r="E972">
        <v>17</v>
      </c>
      <c r="F972" s="8">
        <f>VLOOKUP(financials[[#This Row],[productid]],Products!$B$2:$H$10,3)</f>
        <v>15</v>
      </c>
      <c r="G972" s="8">
        <f>financials[[#This Row],[Units Sold]]*financials[[#This Row],[Sale Price]]</f>
        <v>255</v>
      </c>
      <c r="H972" s="8">
        <f>IF(financials[[#This Row],[Discount Band]]="low",0.1,IF(financials[[#This Row],[Discount Band]]="medium",0.15,0.3))</f>
        <v>0.3</v>
      </c>
      <c r="I972" s="8">
        <f>financials[[#This Row],[Gross Sales]]-financials[[#This Row],[Gross Sales]]*financials[[#This Row],[Discounts]]</f>
        <v>178.5</v>
      </c>
      <c r="J972" s="8">
        <f>VLOOKUP(financials[[#This Row],[productid]],Products!$B$2:$H$10,4)</f>
        <v>13.95</v>
      </c>
      <c r="K972" s="8">
        <f>financials[[#This Row],[Net Sales]]-financials[[#This Row],[COGS]]</f>
        <v>164.55</v>
      </c>
      <c r="L972" s="15">
        <v>45404</v>
      </c>
      <c r="M972" t="s">
        <v>697</v>
      </c>
    </row>
    <row r="973" spans="1:13" x14ac:dyDescent="0.25">
      <c r="A973" t="s">
        <v>85</v>
      </c>
      <c r="B973" s="6" t="s">
        <v>197</v>
      </c>
      <c r="C973" s="13">
        <v>106</v>
      </c>
      <c r="D973" s="14" t="s">
        <v>83</v>
      </c>
      <c r="E973">
        <v>8</v>
      </c>
      <c r="F973" s="8">
        <f>VLOOKUP(financials[[#This Row],[productid]],Products!$B$2:$H$10,3)</f>
        <v>25</v>
      </c>
      <c r="G973" s="8">
        <f>financials[[#This Row],[Units Sold]]*financials[[#This Row],[Sale Price]]</f>
        <v>200</v>
      </c>
      <c r="H973" s="8">
        <f>IF(financials[[#This Row],[Discount Band]]="low",0.1,IF(financials[[#This Row],[Discount Band]]="medium",0.15,0.3))</f>
        <v>0.3</v>
      </c>
      <c r="I973" s="8">
        <f>financials[[#This Row],[Gross Sales]]-financials[[#This Row],[Gross Sales]]*financials[[#This Row],[Discounts]]</f>
        <v>140</v>
      </c>
      <c r="J973" s="8">
        <f>VLOOKUP(financials[[#This Row],[productid]],Products!$B$2:$H$10,4)</f>
        <v>9.1</v>
      </c>
      <c r="K973" s="8">
        <f>financials[[#This Row],[Net Sales]]-financials[[#This Row],[COGS]]</f>
        <v>130.9</v>
      </c>
      <c r="L973" s="15">
        <v>45307</v>
      </c>
      <c r="M973" t="s">
        <v>696</v>
      </c>
    </row>
    <row r="974" spans="1:13" x14ac:dyDescent="0.25">
      <c r="A974" t="s">
        <v>89</v>
      </c>
      <c r="B974" s="6" t="s">
        <v>148</v>
      </c>
      <c r="C974" s="13">
        <v>105</v>
      </c>
      <c r="D974" s="14" t="s">
        <v>91</v>
      </c>
      <c r="E974">
        <v>10</v>
      </c>
      <c r="F974" s="8">
        <f>VLOOKUP(financials[[#This Row],[productid]],Products!$B$2:$H$10,3)</f>
        <v>15</v>
      </c>
      <c r="G974" s="8">
        <f>financials[[#This Row],[Units Sold]]*financials[[#This Row],[Sale Price]]</f>
        <v>150</v>
      </c>
      <c r="H974" s="8">
        <f>IF(financials[[#This Row],[Discount Band]]="low",0.1,IF(financials[[#This Row],[Discount Band]]="medium",0.15,0.3))</f>
        <v>0.1</v>
      </c>
      <c r="I974" s="8">
        <f>financials[[#This Row],[Gross Sales]]-financials[[#This Row],[Gross Sales]]*financials[[#This Row],[Discounts]]</f>
        <v>135</v>
      </c>
      <c r="J974" s="8">
        <f>VLOOKUP(financials[[#This Row],[productid]],Products!$B$2:$H$10,4)</f>
        <v>10</v>
      </c>
      <c r="K974" s="8">
        <f>financials[[#This Row],[Net Sales]]-financials[[#This Row],[COGS]]</f>
        <v>125</v>
      </c>
      <c r="L974" s="15">
        <v>44600</v>
      </c>
      <c r="M974" t="s">
        <v>691</v>
      </c>
    </row>
    <row r="975" spans="1:13" x14ac:dyDescent="0.25">
      <c r="A975" t="s">
        <v>89</v>
      </c>
      <c r="B975" s="6" t="s">
        <v>617</v>
      </c>
      <c r="C975" s="13">
        <v>107</v>
      </c>
      <c r="D975" s="14" t="s">
        <v>92</v>
      </c>
      <c r="E975">
        <v>11</v>
      </c>
      <c r="F975" s="8">
        <f>VLOOKUP(financials[[#This Row],[productid]],Products!$B$2:$H$10,3)</f>
        <v>15</v>
      </c>
      <c r="G975" s="8">
        <f>financials[[#This Row],[Units Sold]]*financials[[#This Row],[Sale Price]]</f>
        <v>165</v>
      </c>
      <c r="H975" s="8">
        <f>IF(financials[[#This Row],[Discount Band]]="low",0.1,IF(financials[[#This Row],[Discount Band]]="medium",0.15,0.3))</f>
        <v>0.3</v>
      </c>
      <c r="I975" s="8">
        <f>financials[[#This Row],[Gross Sales]]-financials[[#This Row],[Gross Sales]]*financials[[#This Row],[Discounts]]</f>
        <v>115.5</v>
      </c>
      <c r="J975" s="8">
        <f>VLOOKUP(financials[[#This Row],[productid]],Products!$B$2:$H$10,4)</f>
        <v>5.5</v>
      </c>
      <c r="K975" s="8">
        <f>financials[[#This Row],[Net Sales]]-financials[[#This Row],[COGS]]</f>
        <v>110</v>
      </c>
      <c r="L975" s="15">
        <v>45401</v>
      </c>
      <c r="M975" t="s">
        <v>691</v>
      </c>
    </row>
    <row r="976" spans="1:13" x14ac:dyDescent="0.25">
      <c r="A976" t="s">
        <v>89</v>
      </c>
      <c r="B976" s="6" t="s">
        <v>232</v>
      </c>
      <c r="C976" s="13">
        <v>108</v>
      </c>
      <c r="D976" s="14" t="s">
        <v>91</v>
      </c>
      <c r="E976">
        <v>18</v>
      </c>
      <c r="F976" s="8">
        <f>VLOOKUP(financials[[#This Row],[productid]],Products!$B$2:$H$10,3)</f>
        <v>5.5</v>
      </c>
      <c r="G976" s="8">
        <f>financials[[#This Row],[Units Sold]]*financials[[#This Row],[Sale Price]]</f>
        <v>99</v>
      </c>
      <c r="H976" s="8">
        <f>IF(financials[[#This Row],[Discount Band]]="low",0.1,IF(financials[[#This Row],[Discount Band]]="medium",0.15,0.3))</f>
        <v>0.1</v>
      </c>
      <c r="I976" s="8">
        <f>financials[[#This Row],[Gross Sales]]-financials[[#This Row],[Gross Sales]]*financials[[#This Row],[Discounts]]</f>
        <v>89.1</v>
      </c>
      <c r="J976" s="8">
        <f>VLOOKUP(financials[[#This Row],[productid]],Products!$B$2:$H$10,4)</f>
        <v>3.99</v>
      </c>
      <c r="K976" s="8">
        <f>financials[[#This Row],[Net Sales]]-financials[[#This Row],[COGS]]</f>
        <v>85.11</v>
      </c>
      <c r="L976" s="15">
        <v>44290</v>
      </c>
      <c r="M976" t="s">
        <v>700</v>
      </c>
    </row>
    <row r="977" spans="1:13" x14ac:dyDescent="0.25">
      <c r="A977" t="s">
        <v>87</v>
      </c>
      <c r="B977" s="6" t="s">
        <v>644</v>
      </c>
      <c r="C977" s="13">
        <v>107</v>
      </c>
      <c r="D977" s="14" t="s">
        <v>90</v>
      </c>
      <c r="E977">
        <v>9</v>
      </c>
      <c r="F977" s="8">
        <f>VLOOKUP(financials[[#This Row],[productid]],Products!$B$2:$H$10,3)</f>
        <v>15</v>
      </c>
      <c r="G977" s="8">
        <f>financials[[#This Row],[Units Sold]]*financials[[#This Row],[Sale Price]]</f>
        <v>135</v>
      </c>
      <c r="H977" s="8">
        <f>IF(financials[[#This Row],[Discount Band]]="low",0.1,IF(financials[[#This Row],[Discount Band]]="medium",0.15,0.3))</f>
        <v>0.15</v>
      </c>
      <c r="I977" s="8">
        <f>financials[[#This Row],[Gross Sales]]-financials[[#This Row],[Gross Sales]]*financials[[#This Row],[Discounts]]</f>
        <v>114.75</v>
      </c>
      <c r="J977" s="8">
        <f>VLOOKUP(financials[[#This Row],[productid]],Products!$B$2:$H$10,4)</f>
        <v>5.5</v>
      </c>
      <c r="K977" s="8">
        <f>financials[[#This Row],[Net Sales]]-financials[[#This Row],[COGS]]</f>
        <v>109.25</v>
      </c>
      <c r="L977" s="15">
        <v>45328</v>
      </c>
      <c r="M977" t="s">
        <v>697</v>
      </c>
    </row>
    <row r="978" spans="1:13" x14ac:dyDescent="0.25">
      <c r="A978" t="s">
        <v>86</v>
      </c>
      <c r="B978" s="6" t="s">
        <v>645</v>
      </c>
      <c r="C978" s="13">
        <v>108</v>
      </c>
      <c r="D978" s="14" t="s">
        <v>90</v>
      </c>
      <c r="E978">
        <v>5</v>
      </c>
      <c r="F978" s="8">
        <f>VLOOKUP(financials[[#This Row],[productid]],Products!$B$2:$H$10,3)</f>
        <v>5.5</v>
      </c>
      <c r="G978" s="8">
        <f>financials[[#This Row],[Units Sold]]*financials[[#This Row],[Sale Price]]</f>
        <v>27.5</v>
      </c>
      <c r="H978" s="8">
        <f>IF(financials[[#This Row],[Discount Band]]="low",0.1,IF(financials[[#This Row],[Discount Band]]="medium",0.15,0.3))</f>
        <v>0.15</v>
      </c>
      <c r="I978" s="8">
        <f>financials[[#This Row],[Gross Sales]]-financials[[#This Row],[Gross Sales]]*financials[[#This Row],[Discounts]]</f>
        <v>23.375</v>
      </c>
      <c r="J978" s="8">
        <f>VLOOKUP(financials[[#This Row],[productid]],Products!$B$2:$H$10,4)</f>
        <v>3.99</v>
      </c>
      <c r="K978" s="8">
        <f>financials[[#This Row],[Net Sales]]-financials[[#This Row],[COGS]]</f>
        <v>19.384999999999998</v>
      </c>
      <c r="L978" s="15">
        <v>43984</v>
      </c>
      <c r="M978" t="s">
        <v>691</v>
      </c>
    </row>
    <row r="979" spans="1:13" x14ac:dyDescent="0.25">
      <c r="A979" t="s">
        <v>86</v>
      </c>
      <c r="B979" s="6" t="s">
        <v>125</v>
      </c>
      <c r="C979" s="13">
        <v>107</v>
      </c>
      <c r="D979" s="14" t="s">
        <v>91</v>
      </c>
      <c r="E979">
        <v>14</v>
      </c>
      <c r="F979" s="8">
        <f>VLOOKUP(financials[[#This Row],[productid]],Products!$B$2:$H$10,3)</f>
        <v>15</v>
      </c>
      <c r="G979" s="8">
        <f>financials[[#This Row],[Units Sold]]*financials[[#This Row],[Sale Price]]</f>
        <v>210</v>
      </c>
      <c r="H979" s="8">
        <f>IF(financials[[#This Row],[Discount Band]]="low",0.1,IF(financials[[#This Row],[Discount Band]]="medium",0.15,0.3))</f>
        <v>0.1</v>
      </c>
      <c r="I979" s="8">
        <f>financials[[#This Row],[Gross Sales]]-financials[[#This Row],[Gross Sales]]*financials[[#This Row],[Discounts]]</f>
        <v>189</v>
      </c>
      <c r="J979" s="8">
        <f>VLOOKUP(financials[[#This Row],[productid]],Products!$B$2:$H$10,4)</f>
        <v>5.5</v>
      </c>
      <c r="K979" s="8">
        <f>financials[[#This Row],[Net Sales]]-financials[[#This Row],[COGS]]</f>
        <v>183.5</v>
      </c>
      <c r="L979" s="15">
        <v>44600</v>
      </c>
      <c r="M979" t="s">
        <v>697</v>
      </c>
    </row>
    <row r="980" spans="1:13" x14ac:dyDescent="0.25">
      <c r="A980" t="s">
        <v>86</v>
      </c>
      <c r="B980" s="6" t="s">
        <v>93</v>
      </c>
      <c r="C980" s="13">
        <v>105</v>
      </c>
      <c r="D980" s="14" t="s">
        <v>91</v>
      </c>
      <c r="E980">
        <v>12</v>
      </c>
      <c r="F980" s="8">
        <f>VLOOKUP(financials[[#This Row],[productid]],Products!$B$2:$H$10,3)</f>
        <v>15</v>
      </c>
      <c r="G980" s="8">
        <f>financials[[#This Row],[Units Sold]]*financials[[#This Row],[Sale Price]]</f>
        <v>180</v>
      </c>
      <c r="H980" s="8">
        <f>IF(financials[[#This Row],[Discount Band]]="low",0.1,IF(financials[[#This Row],[Discount Band]]="medium",0.15,0.3))</f>
        <v>0.1</v>
      </c>
      <c r="I980" s="8">
        <f>financials[[#This Row],[Gross Sales]]-financials[[#This Row],[Gross Sales]]*financials[[#This Row],[Discounts]]</f>
        <v>162</v>
      </c>
      <c r="J980" s="8">
        <f>VLOOKUP(financials[[#This Row],[productid]],Products!$B$2:$H$10,4)</f>
        <v>10</v>
      </c>
      <c r="K980" s="8">
        <f>financials[[#This Row],[Net Sales]]-financials[[#This Row],[COGS]]</f>
        <v>152</v>
      </c>
      <c r="L980" s="15">
        <v>44195</v>
      </c>
      <c r="M980" t="s">
        <v>700</v>
      </c>
    </row>
    <row r="981" spans="1:13" x14ac:dyDescent="0.25">
      <c r="A981" t="s">
        <v>86</v>
      </c>
      <c r="B981" s="6" t="s">
        <v>96</v>
      </c>
      <c r="C981" s="13">
        <v>104</v>
      </c>
      <c r="D981" s="14" t="s">
        <v>83</v>
      </c>
      <c r="E981">
        <v>7</v>
      </c>
      <c r="F981" s="8">
        <f>VLOOKUP(financials[[#This Row],[productid]],Products!$B$2:$H$10,3)</f>
        <v>5.9</v>
      </c>
      <c r="G981" s="8">
        <f>financials[[#This Row],[Units Sold]]*financials[[#This Row],[Sale Price]]</f>
        <v>41.300000000000004</v>
      </c>
      <c r="H981" s="8">
        <f>IF(financials[[#This Row],[Discount Band]]="low",0.1,IF(financials[[#This Row],[Discount Band]]="medium",0.15,0.3))</f>
        <v>0.3</v>
      </c>
      <c r="I981" s="8">
        <f>financials[[#This Row],[Gross Sales]]-financials[[#This Row],[Gross Sales]]*financials[[#This Row],[Discounts]]</f>
        <v>28.910000000000004</v>
      </c>
      <c r="J981" s="8">
        <f>VLOOKUP(financials[[#This Row],[productid]],Products!$B$2:$H$10,4)</f>
        <v>2.9</v>
      </c>
      <c r="K981" s="8">
        <f>financials[[#This Row],[Net Sales]]-financials[[#This Row],[COGS]]</f>
        <v>26.010000000000005</v>
      </c>
      <c r="L981" s="15">
        <v>45429</v>
      </c>
      <c r="M981" t="s">
        <v>697</v>
      </c>
    </row>
    <row r="982" spans="1:13" x14ac:dyDescent="0.25">
      <c r="A982" t="s">
        <v>86</v>
      </c>
      <c r="B982" s="6" t="s">
        <v>94</v>
      </c>
      <c r="C982" s="11">
        <v>101</v>
      </c>
      <c r="D982" s="9" t="s">
        <v>90</v>
      </c>
      <c r="E982">
        <v>6</v>
      </c>
      <c r="F982" s="8">
        <f>VLOOKUP(financials[[#This Row],[productid]],Products!$B$2:$H$10,3)</f>
        <v>23</v>
      </c>
      <c r="G982" s="8">
        <f>financials[[#This Row],[Units Sold]]*financials[[#This Row],[Sale Price]]</f>
        <v>138</v>
      </c>
      <c r="H982" s="8">
        <f>IF(financials[[#This Row],[Discount Band]]="low",0.1,IF(financials[[#This Row],[Discount Band]]="medium",0.15,0.3))</f>
        <v>0.15</v>
      </c>
      <c r="I982" s="8">
        <f>financials[[#This Row],[Gross Sales]]-financials[[#This Row],[Gross Sales]]*financials[[#This Row],[Discounts]]</f>
        <v>117.3</v>
      </c>
      <c r="J982" s="8">
        <f>VLOOKUP(financials[[#This Row],[productid]],Products!$B$2:$H$10,4)</f>
        <v>9.9499999999999993</v>
      </c>
      <c r="K982" s="8">
        <f>financials[[#This Row],[Net Sales]]-financials[[#This Row],[COGS]]</f>
        <v>107.35</v>
      </c>
      <c r="L982" s="15">
        <v>45226</v>
      </c>
      <c r="M982" t="s">
        <v>696</v>
      </c>
    </row>
    <row r="983" spans="1:13" x14ac:dyDescent="0.25">
      <c r="A983" t="s">
        <v>86</v>
      </c>
      <c r="B983" s="6" t="s">
        <v>268</v>
      </c>
      <c r="C983" s="13">
        <v>101</v>
      </c>
      <c r="D983" s="14" t="s">
        <v>83</v>
      </c>
      <c r="E983">
        <v>10</v>
      </c>
      <c r="F983" s="8">
        <f>VLOOKUP(financials[[#This Row],[productid]],Products!$B$2:$H$10,3)</f>
        <v>23</v>
      </c>
      <c r="G983" s="8">
        <f>financials[[#This Row],[Units Sold]]*financials[[#This Row],[Sale Price]]</f>
        <v>230</v>
      </c>
      <c r="H983" s="8">
        <f>IF(financials[[#This Row],[Discount Band]]="low",0.1,IF(financials[[#This Row],[Discount Band]]="medium",0.15,0.3))</f>
        <v>0.3</v>
      </c>
      <c r="I983" s="8">
        <f>financials[[#This Row],[Gross Sales]]-financials[[#This Row],[Gross Sales]]*financials[[#This Row],[Discounts]]</f>
        <v>161</v>
      </c>
      <c r="J983" s="8">
        <f>VLOOKUP(financials[[#This Row],[productid]],Products!$B$2:$H$10,4)</f>
        <v>9.9499999999999993</v>
      </c>
      <c r="K983" s="8">
        <f>financials[[#This Row],[Net Sales]]-financials[[#This Row],[COGS]]</f>
        <v>151.05000000000001</v>
      </c>
      <c r="L983" s="15">
        <v>44914</v>
      </c>
      <c r="M983" t="s">
        <v>697</v>
      </c>
    </row>
    <row r="984" spans="1:13" x14ac:dyDescent="0.25">
      <c r="A984" t="s">
        <v>89</v>
      </c>
      <c r="B984" s="6" t="s">
        <v>228</v>
      </c>
      <c r="C984" s="13">
        <v>105</v>
      </c>
      <c r="D984" s="14" t="s">
        <v>83</v>
      </c>
      <c r="E984">
        <v>9</v>
      </c>
      <c r="F984" s="8">
        <f>VLOOKUP(financials[[#This Row],[productid]],Products!$B$2:$H$10,3)</f>
        <v>15</v>
      </c>
      <c r="G984" s="8">
        <f>financials[[#This Row],[Units Sold]]*financials[[#This Row],[Sale Price]]</f>
        <v>135</v>
      </c>
      <c r="H984" s="8">
        <f>IF(financials[[#This Row],[Discount Band]]="low",0.1,IF(financials[[#This Row],[Discount Band]]="medium",0.15,0.3))</f>
        <v>0.3</v>
      </c>
      <c r="I984" s="8">
        <f>financials[[#This Row],[Gross Sales]]-financials[[#This Row],[Gross Sales]]*financials[[#This Row],[Discounts]]</f>
        <v>94.5</v>
      </c>
      <c r="J984" s="8">
        <f>VLOOKUP(financials[[#This Row],[productid]],Products!$B$2:$H$10,4)</f>
        <v>10</v>
      </c>
      <c r="K984" s="8">
        <f>financials[[#This Row],[Net Sales]]-financials[[#This Row],[COGS]]</f>
        <v>84.5</v>
      </c>
      <c r="L984" s="15">
        <v>44373</v>
      </c>
      <c r="M984" t="s">
        <v>696</v>
      </c>
    </row>
    <row r="985" spans="1:13" x14ac:dyDescent="0.25">
      <c r="A985" t="s">
        <v>85</v>
      </c>
      <c r="B985" s="6" t="s">
        <v>232</v>
      </c>
      <c r="C985" s="13">
        <v>107</v>
      </c>
      <c r="D985" s="14" t="s">
        <v>91</v>
      </c>
      <c r="E985">
        <v>11</v>
      </c>
      <c r="F985" s="8">
        <f>VLOOKUP(financials[[#This Row],[productid]],Products!$B$2:$H$10,3)</f>
        <v>15</v>
      </c>
      <c r="G985" s="8">
        <f>financials[[#This Row],[Units Sold]]*financials[[#This Row],[Sale Price]]</f>
        <v>165</v>
      </c>
      <c r="H985" s="8">
        <f>IF(financials[[#This Row],[Discount Band]]="low",0.1,IF(financials[[#This Row],[Discount Band]]="medium",0.15,0.3))</f>
        <v>0.1</v>
      </c>
      <c r="I985" s="8">
        <f>financials[[#This Row],[Gross Sales]]-financials[[#This Row],[Gross Sales]]*financials[[#This Row],[Discounts]]</f>
        <v>148.5</v>
      </c>
      <c r="J985" s="8">
        <f>VLOOKUP(financials[[#This Row],[productid]],Products!$B$2:$H$10,4)</f>
        <v>5.5</v>
      </c>
      <c r="K985" s="8">
        <f>financials[[#This Row],[Net Sales]]-financials[[#This Row],[COGS]]</f>
        <v>143</v>
      </c>
      <c r="L985" s="15">
        <v>45006</v>
      </c>
      <c r="M985" t="s">
        <v>691</v>
      </c>
    </row>
    <row r="986" spans="1:13" x14ac:dyDescent="0.25">
      <c r="A986" t="s">
        <v>85</v>
      </c>
      <c r="B986" s="6" t="s">
        <v>167</v>
      </c>
      <c r="C986" s="13">
        <v>103</v>
      </c>
      <c r="D986" s="14" t="s">
        <v>83</v>
      </c>
      <c r="E986">
        <v>17</v>
      </c>
      <c r="F986" s="8">
        <f>VLOOKUP(financials[[#This Row],[productid]],Products!$B$2:$H$10,3)</f>
        <v>28</v>
      </c>
      <c r="G986" s="8">
        <f>financials[[#This Row],[Units Sold]]*financials[[#This Row],[Sale Price]]</f>
        <v>476</v>
      </c>
      <c r="H986" s="8">
        <f>IF(financials[[#This Row],[Discount Band]]="low",0.1,IF(financials[[#This Row],[Discount Band]]="medium",0.15,0.3))</f>
        <v>0.3</v>
      </c>
      <c r="I986" s="8">
        <f>financials[[#This Row],[Gross Sales]]-financials[[#This Row],[Gross Sales]]*financials[[#This Row],[Discounts]]</f>
        <v>333.20000000000005</v>
      </c>
      <c r="J986" s="8">
        <f>VLOOKUP(financials[[#This Row],[productid]],Products!$B$2:$H$10,4)</f>
        <v>15</v>
      </c>
      <c r="K986" s="8">
        <f>financials[[#This Row],[Net Sales]]-financials[[#This Row],[COGS]]</f>
        <v>318.20000000000005</v>
      </c>
      <c r="L986" s="15">
        <v>44253</v>
      </c>
      <c r="M986" t="s">
        <v>700</v>
      </c>
    </row>
    <row r="987" spans="1:13" x14ac:dyDescent="0.25">
      <c r="A987" t="s">
        <v>85</v>
      </c>
      <c r="B987" s="6" t="s">
        <v>158</v>
      </c>
      <c r="C987" s="13">
        <v>101</v>
      </c>
      <c r="D987" s="14" t="s">
        <v>90</v>
      </c>
      <c r="E987">
        <v>10</v>
      </c>
      <c r="F987" s="8">
        <f>VLOOKUP(financials[[#This Row],[productid]],Products!$B$2:$H$10,3)</f>
        <v>23</v>
      </c>
      <c r="G987" s="8">
        <f>financials[[#This Row],[Units Sold]]*financials[[#This Row],[Sale Price]]</f>
        <v>230</v>
      </c>
      <c r="H987" s="8">
        <f>IF(financials[[#This Row],[Discount Band]]="low",0.1,IF(financials[[#This Row],[Discount Band]]="medium",0.15,0.3))</f>
        <v>0.15</v>
      </c>
      <c r="I987" s="8">
        <f>financials[[#This Row],[Gross Sales]]-financials[[#This Row],[Gross Sales]]*financials[[#This Row],[Discounts]]</f>
        <v>195.5</v>
      </c>
      <c r="J987" s="8">
        <f>VLOOKUP(financials[[#This Row],[productid]],Products!$B$2:$H$10,4)</f>
        <v>9.9499999999999993</v>
      </c>
      <c r="K987" s="8">
        <f>financials[[#This Row],[Net Sales]]-financials[[#This Row],[COGS]]</f>
        <v>185.55</v>
      </c>
      <c r="L987" s="15">
        <v>44466</v>
      </c>
      <c r="M987" t="s">
        <v>697</v>
      </c>
    </row>
    <row r="988" spans="1:13" x14ac:dyDescent="0.25">
      <c r="A988" t="s">
        <v>85</v>
      </c>
      <c r="B988" s="6" t="s">
        <v>125</v>
      </c>
      <c r="C988" s="13">
        <v>107</v>
      </c>
      <c r="D988" s="14" t="s">
        <v>83</v>
      </c>
      <c r="E988">
        <v>8</v>
      </c>
      <c r="F988" s="8">
        <f>VLOOKUP(financials[[#This Row],[productid]],Products!$B$2:$H$10,3)</f>
        <v>15</v>
      </c>
      <c r="G988" s="8">
        <f>financials[[#This Row],[Units Sold]]*financials[[#This Row],[Sale Price]]</f>
        <v>120</v>
      </c>
      <c r="H988" s="8">
        <f>IF(financials[[#This Row],[Discount Band]]="low",0.1,IF(financials[[#This Row],[Discount Band]]="medium",0.15,0.3))</f>
        <v>0.3</v>
      </c>
      <c r="I988" s="8">
        <f>financials[[#This Row],[Gross Sales]]-financials[[#This Row],[Gross Sales]]*financials[[#This Row],[Discounts]]</f>
        <v>84</v>
      </c>
      <c r="J988" s="8">
        <f>VLOOKUP(financials[[#This Row],[productid]],Products!$B$2:$H$10,4)</f>
        <v>5.5</v>
      </c>
      <c r="K988" s="8">
        <f>financials[[#This Row],[Net Sales]]-financials[[#This Row],[COGS]]</f>
        <v>78.5</v>
      </c>
      <c r="L988" s="15">
        <v>45495</v>
      </c>
      <c r="M988" t="s">
        <v>690</v>
      </c>
    </row>
    <row r="989" spans="1:13" x14ac:dyDescent="0.25">
      <c r="A989" t="s">
        <v>86</v>
      </c>
      <c r="B989" s="6" t="s">
        <v>276</v>
      </c>
      <c r="C989" s="13">
        <v>106</v>
      </c>
      <c r="D989" s="14" t="s">
        <v>90</v>
      </c>
      <c r="E989">
        <v>15</v>
      </c>
      <c r="F989" s="8">
        <f>VLOOKUP(financials[[#This Row],[productid]],Products!$B$2:$H$10,3)</f>
        <v>25</v>
      </c>
      <c r="G989" s="8">
        <f>financials[[#This Row],[Units Sold]]*financials[[#This Row],[Sale Price]]</f>
        <v>375</v>
      </c>
      <c r="H989" s="8">
        <f>IF(financials[[#This Row],[Discount Band]]="low",0.1,IF(financials[[#This Row],[Discount Band]]="medium",0.15,0.3))</f>
        <v>0.15</v>
      </c>
      <c r="I989" s="8">
        <f>financials[[#This Row],[Gross Sales]]-financials[[#This Row],[Gross Sales]]*financials[[#This Row],[Discounts]]</f>
        <v>318.75</v>
      </c>
      <c r="J989" s="8">
        <f>VLOOKUP(financials[[#This Row],[productid]],Products!$B$2:$H$10,4)</f>
        <v>9.1</v>
      </c>
      <c r="K989" s="8">
        <f>financials[[#This Row],[Net Sales]]-financials[[#This Row],[COGS]]</f>
        <v>309.64999999999998</v>
      </c>
      <c r="L989" s="15">
        <v>44826</v>
      </c>
      <c r="M989" t="s">
        <v>700</v>
      </c>
    </row>
    <row r="990" spans="1:13" x14ac:dyDescent="0.25">
      <c r="A990" t="s">
        <v>85</v>
      </c>
      <c r="B990" s="6" t="s">
        <v>197</v>
      </c>
      <c r="C990" s="13">
        <v>102</v>
      </c>
      <c r="D990" s="14" t="s">
        <v>83</v>
      </c>
      <c r="E990">
        <v>10</v>
      </c>
      <c r="F990" s="8">
        <f>VLOOKUP(financials[[#This Row],[productid]],Products!$B$2:$H$10,3)</f>
        <v>15</v>
      </c>
      <c r="G990" s="8">
        <f>financials[[#This Row],[Units Sold]]*financials[[#This Row],[Sale Price]]</f>
        <v>150</v>
      </c>
      <c r="H990" s="8">
        <f>IF(financials[[#This Row],[Discount Band]]="low",0.1,IF(financials[[#This Row],[Discount Band]]="medium",0.15,0.3))</f>
        <v>0.3</v>
      </c>
      <c r="I990" s="8">
        <f>financials[[#This Row],[Gross Sales]]-financials[[#This Row],[Gross Sales]]*financials[[#This Row],[Discounts]]</f>
        <v>105</v>
      </c>
      <c r="J990" s="8">
        <f>VLOOKUP(financials[[#This Row],[productid]],Products!$B$2:$H$10,4)</f>
        <v>13.95</v>
      </c>
      <c r="K990" s="8">
        <f>financials[[#This Row],[Net Sales]]-financials[[#This Row],[COGS]]</f>
        <v>91.05</v>
      </c>
      <c r="L990" s="15">
        <v>44081</v>
      </c>
      <c r="M990" t="s">
        <v>690</v>
      </c>
    </row>
    <row r="991" spans="1:13" x14ac:dyDescent="0.25">
      <c r="A991" t="s">
        <v>86</v>
      </c>
      <c r="B991" s="6" t="s">
        <v>148</v>
      </c>
      <c r="C991" s="13">
        <v>105</v>
      </c>
      <c r="D991" s="14" t="s">
        <v>90</v>
      </c>
      <c r="E991">
        <v>20</v>
      </c>
      <c r="F991" s="8">
        <f>VLOOKUP(financials[[#This Row],[productid]],Products!$B$2:$H$10,3)</f>
        <v>15</v>
      </c>
      <c r="G991" s="8">
        <f>financials[[#This Row],[Units Sold]]*financials[[#This Row],[Sale Price]]</f>
        <v>300</v>
      </c>
      <c r="H991" s="8">
        <f>IF(financials[[#This Row],[Discount Band]]="low",0.1,IF(financials[[#This Row],[Discount Band]]="medium",0.15,0.3))</f>
        <v>0.15</v>
      </c>
      <c r="I991" s="8">
        <f>financials[[#This Row],[Gross Sales]]-financials[[#This Row],[Gross Sales]]*financials[[#This Row],[Discounts]]</f>
        <v>255</v>
      </c>
      <c r="J991" s="8">
        <f>VLOOKUP(financials[[#This Row],[productid]],Products!$B$2:$H$10,4)</f>
        <v>10</v>
      </c>
      <c r="K991" s="8">
        <f>financials[[#This Row],[Net Sales]]-financials[[#This Row],[COGS]]</f>
        <v>245</v>
      </c>
      <c r="L991" s="15">
        <v>44752</v>
      </c>
      <c r="M991" t="s">
        <v>696</v>
      </c>
    </row>
    <row r="992" spans="1:13" x14ac:dyDescent="0.25">
      <c r="A992" t="s">
        <v>89</v>
      </c>
      <c r="B992" s="6" t="s">
        <v>617</v>
      </c>
      <c r="C992" s="13">
        <v>102</v>
      </c>
      <c r="D992" s="14" t="s">
        <v>83</v>
      </c>
      <c r="E992">
        <v>8</v>
      </c>
      <c r="F992" s="8">
        <f>VLOOKUP(financials[[#This Row],[productid]],Products!$B$2:$H$10,3)</f>
        <v>15</v>
      </c>
      <c r="G992" s="8">
        <f>financials[[#This Row],[Units Sold]]*financials[[#This Row],[Sale Price]]</f>
        <v>120</v>
      </c>
      <c r="H992" s="8">
        <f>IF(financials[[#This Row],[Discount Band]]="low",0.1,IF(financials[[#This Row],[Discount Band]]="medium",0.15,0.3))</f>
        <v>0.3</v>
      </c>
      <c r="I992" s="8">
        <f>financials[[#This Row],[Gross Sales]]-financials[[#This Row],[Gross Sales]]*financials[[#This Row],[Discounts]]</f>
        <v>84</v>
      </c>
      <c r="J992" s="8">
        <f>VLOOKUP(financials[[#This Row],[productid]],Products!$B$2:$H$10,4)</f>
        <v>13.95</v>
      </c>
      <c r="K992" s="8">
        <f>financials[[#This Row],[Net Sales]]-financials[[#This Row],[COGS]]</f>
        <v>70.05</v>
      </c>
      <c r="L992" s="15">
        <v>45448</v>
      </c>
      <c r="M992" t="s">
        <v>690</v>
      </c>
    </row>
    <row r="993" spans="1:13" x14ac:dyDescent="0.25">
      <c r="A993" t="s">
        <v>86</v>
      </c>
      <c r="B993" s="6" t="s">
        <v>266</v>
      </c>
      <c r="C993" s="13">
        <v>107</v>
      </c>
      <c r="D993" s="14" t="s">
        <v>90</v>
      </c>
      <c r="E993">
        <v>16</v>
      </c>
      <c r="F993" s="8">
        <f>VLOOKUP(financials[[#This Row],[productid]],Products!$B$2:$H$10,3)</f>
        <v>15</v>
      </c>
      <c r="G993" s="8">
        <f>financials[[#This Row],[Units Sold]]*financials[[#This Row],[Sale Price]]</f>
        <v>240</v>
      </c>
      <c r="H993" s="8">
        <f>IF(financials[[#This Row],[Discount Band]]="low",0.1,IF(financials[[#This Row],[Discount Band]]="medium",0.15,0.3))</f>
        <v>0.15</v>
      </c>
      <c r="I993" s="8">
        <f>financials[[#This Row],[Gross Sales]]-financials[[#This Row],[Gross Sales]]*financials[[#This Row],[Discounts]]</f>
        <v>204</v>
      </c>
      <c r="J993" s="8">
        <f>VLOOKUP(financials[[#This Row],[productid]],Products!$B$2:$H$10,4)</f>
        <v>5.5</v>
      </c>
      <c r="K993" s="8">
        <f>financials[[#This Row],[Net Sales]]-financials[[#This Row],[COGS]]</f>
        <v>198.5</v>
      </c>
      <c r="L993" s="15">
        <v>44174</v>
      </c>
      <c r="M993" t="s">
        <v>697</v>
      </c>
    </row>
    <row r="994" spans="1:13" x14ac:dyDescent="0.25">
      <c r="A994" t="s">
        <v>85</v>
      </c>
      <c r="B994" s="6" t="s">
        <v>125</v>
      </c>
      <c r="C994" s="13">
        <v>102</v>
      </c>
      <c r="D994" s="14" t="s">
        <v>91</v>
      </c>
      <c r="E994">
        <v>18</v>
      </c>
      <c r="F994" s="8">
        <f>VLOOKUP(financials[[#This Row],[productid]],Products!$B$2:$H$10,3)</f>
        <v>15</v>
      </c>
      <c r="G994" s="8">
        <f>financials[[#This Row],[Units Sold]]*financials[[#This Row],[Sale Price]]</f>
        <v>270</v>
      </c>
      <c r="H994" s="8">
        <f>IF(financials[[#This Row],[Discount Band]]="low",0.1,IF(financials[[#This Row],[Discount Band]]="medium",0.15,0.3))</f>
        <v>0.1</v>
      </c>
      <c r="I994" s="8">
        <f>financials[[#This Row],[Gross Sales]]-financials[[#This Row],[Gross Sales]]*financials[[#This Row],[Discounts]]</f>
        <v>243</v>
      </c>
      <c r="J994" s="8">
        <f>VLOOKUP(financials[[#This Row],[productid]],Products!$B$2:$H$10,4)</f>
        <v>13.95</v>
      </c>
      <c r="K994" s="8">
        <f>financials[[#This Row],[Net Sales]]-financials[[#This Row],[COGS]]</f>
        <v>229.05</v>
      </c>
      <c r="L994" s="15">
        <v>44934</v>
      </c>
      <c r="M994" t="s">
        <v>697</v>
      </c>
    </row>
    <row r="995" spans="1:13" x14ac:dyDescent="0.25">
      <c r="A995" t="s">
        <v>85</v>
      </c>
      <c r="B995" s="6" t="s">
        <v>232</v>
      </c>
      <c r="C995" s="13">
        <v>108</v>
      </c>
      <c r="D995" s="14" t="s">
        <v>91</v>
      </c>
      <c r="E995">
        <v>10</v>
      </c>
      <c r="F995" s="8">
        <f>VLOOKUP(financials[[#This Row],[productid]],Products!$B$2:$H$10,3)</f>
        <v>5.5</v>
      </c>
      <c r="G995" s="8">
        <f>financials[[#This Row],[Units Sold]]*financials[[#This Row],[Sale Price]]</f>
        <v>55</v>
      </c>
      <c r="H995" s="8">
        <f>IF(financials[[#This Row],[Discount Band]]="low",0.1,IF(financials[[#This Row],[Discount Band]]="medium",0.15,0.3))</f>
        <v>0.1</v>
      </c>
      <c r="I995" s="8">
        <f>financials[[#This Row],[Gross Sales]]-financials[[#This Row],[Gross Sales]]*financials[[#This Row],[Discounts]]</f>
        <v>49.5</v>
      </c>
      <c r="J995" s="8">
        <f>VLOOKUP(financials[[#This Row],[productid]],Products!$B$2:$H$10,4)</f>
        <v>3.99</v>
      </c>
      <c r="K995" s="8">
        <f>financials[[#This Row],[Net Sales]]-financials[[#This Row],[COGS]]</f>
        <v>45.51</v>
      </c>
      <c r="L995" s="15">
        <v>44346</v>
      </c>
      <c r="M995" t="s">
        <v>696</v>
      </c>
    </row>
    <row r="996" spans="1:13" x14ac:dyDescent="0.25">
      <c r="A996" t="s">
        <v>85</v>
      </c>
      <c r="B996" s="6" t="s">
        <v>268</v>
      </c>
      <c r="C996" s="13">
        <v>101</v>
      </c>
      <c r="D996" s="14" t="s">
        <v>83</v>
      </c>
      <c r="E996">
        <v>7</v>
      </c>
      <c r="F996" s="8">
        <f>VLOOKUP(financials[[#This Row],[productid]],Products!$B$2:$H$10,3)</f>
        <v>23</v>
      </c>
      <c r="G996" s="8">
        <f>financials[[#This Row],[Units Sold]]*financials[[#This Row],[Sale Price]]</f>
        <v>161</v>
      </c>
      <c r="H996" s="8">
        <f>IF(financials[[#This Row],[Discount Band]]="low",0.1,IF(financials[[#This Row],[Discount Band]]="medium",0.15,0.3))</f>
        <v>0.3</v>
      </c>
      <c r="I996" s="8">
        <f>financials[[#This Row],[Gross Sales]]-financials[[#This Row],[Gross Sales]]*financials[[#This Row],[Discounts]]</f>
        <v>112.7</v>
      </c>
      <c r="J996" s="8">
        <f>VLOOKUP(financials[[#This Row],[productid]],Products!$B$2:$H$10,4)</f>
        <v>9.9499999999999993</v>
      </c>
      <c r="K996" s="8">
        <f>financials[[#This Row],[Net Sales]]-financials[[#This Row],[COGS]]</f>
        <v>102.75</v>
      </c>
      <c r="L996" s="15">
        <v>44099</v>
      </c>
      <c r="M996" t="s">
        <v>697</v>
      </c>
    </row>
    <row r="997" spans="1:13" x14ac:dyDescent="0.25">
      <c r="A997" t="s">
        <v>89</v>
      </c>
      <c r="B997" s="6" t="s">
        <v>232</v>
      </c>
      <c r="C997" s="13">
        <v>101</v>
      </c>
      <c r="D997" s="14" t="s">
        <v>83</v>
      </c>
      <c r="E997">
        <v>7</v>
      </c>
      <c r="F997" s="8">
        <f>VLOOKUP(financials[[#This Row],[productid]],Products!$B$2:$H$10,3)</f>
        <v>23</v>
      </c>
      <c r="G997" s="8">
        <f>financials[[#This Row],[Units Sold]]*financials[[#This Row],[Sale Price]]</f>
        <v>161</v>
      </c>
      <c r="H997" s="8">
        <f>IF(financials[[#This Row],[Discount Band]]="low",0.1,IF(financials[[#This Row],[Discount Band]]="medium",0.15,0.3))</f>
        <v>0.3</v>
      </c>
      <c r="I997" s="8">
        <f>financials[[#This Row],[Gross Sales]]-financials[[#This Row],[Gross Sales]]*financials[[#This Row],[Discounts]]</f>
        <v>112.7</v>
      </c>
      <c r="J997" s="8">
        <f>VLOOKUP(financials[[#This Row],[productid]],Products!$B$2:$H$10,4)</f>
        <v>9.9499999999999993</v>
      </c>
      <c r="K997" s="8">
        <f>financials[[#This Row],[Net Sales]]-financials[[#This Row],[COGS]]</f>
        <v>102.75</v>
      </c>
      <c r="L997" s="15">
        <v>45354</v>
      </c>
      <c r="M997" t="s">
        <v>696</v>
      </c>
    </row>
    <row r="998" spans="1:13" x14ac:dyDescent="0.25">
      <c r="A998" t="s">
        <v>89</v>
      </c>
      <c r="B998" s="6" t="s">
        <v>125</v>
      </c>
      <c r="C998" s="13">
        <v>107</v>
      </c>
      <c r="D998" s="14" t="s">
        <v>83</v>
      </c>
      <c r="E998">
        <v>6</v>
      </c>
      <c r="F998" s="8">
        <f>VLOOKUP(financials[[#This Row],[productid]],Products!$B$2:$H$10,3)</f>
        <v>15</v>
      </c>
      <c r="G998" s="8">
        <f>financials[[#This Row],[Units Sold]]*financials[[#This Row],[Sale Price]]</f>
        <v>90</v>
      </c>
      <c r="H998" s="8">
        <f>IF(financials[[#This Row],[Discount Band]]="low",0.1,IF(financials[[#This Row],[Discount Band]]="medium",0.15,0.3))</f>
        <v>0.3</v>
      </c>
      <c r="I998" s="8">
        <f>financials[[#This Row],[Gross Sales]]-financials[[#This Row],[Gross Sales]]*financials[[#This Row],[Discounts]]</f>
        <v>63</v>
      </c>
      <c r="J998" s="8">
        <f>VLOOKUP(financials[[#This Row],[productid]],Products!$B$2:$H$10,4)</f>
        <v>5.5</v>
      </c>
      <c r="K998" s="8">
        <f>financials[[#This Row],[Net Sales]]-financials[[#This Row],[COGS]]</f>
        <v>57.5</v>
      </c>
      <c r="L998" s="15">
        <v>44650</v>
      </c>
      <c r="M998" t="s">
        <v>690</v>
      </c>
    </row>
    <row r="999" spans="1:13" x14ac:dyDescent="0.25">
      <c r="A999" t="s">
        <v>86</v>
      </c>
      <c r="B999" s="6" t="s">
        <v>95</v>
      </c>
      <c r="C999" s="13">
        <v>101</v>
      </c>
      <c r="D999" s="14" t="s">
        <v>90</v>
      </c>
      <c r="E999">
        <v>7</v>
      </c>
      <c r="F999" s="8">
        <f>VLOOKUP(financials[[#This Row],[productid]],Products!$B$2:$H$10,3)</f>
        <v>23</v>
      </c>
      <c r="G999" s="8">
        <f>financials[[#This Row],[Units Sold]]*financials[[#This Row],[Sale Price]]</f>
        <v>161</v>
      </c>
      <c r="H999" s="8">
        <f>IF(financials[[#This Row],[Discount Band]]="low",0.1,IF(financials[[#This Row],[Discount Band]]="medium",0.15,0.3))</f>
        <v>0.15</v>
      </c>
      <c r="I999" s="8">
        <f>financials[[#This Row],[Gross Sales]]-financials[[#This Row],[Gross Sales]]*financials[[#This Row],[Discounts]]</f>
        <v>136.85</v>
      </c>
      <c r="J999" s="8">
        <f>VLOOKUP(financials[[#This Row],[productid]],Products!$B$2:$H$10,4)</f>
        <v>9.9499999999999993</v>
      </c>
      <c r="K999" s="8">
        <f>financials[[#This Row],[Net Sales]]-financials[[#This Row],[COGS]]</f>
        <v>126.89999999999999</v>
      </c>
      <c r="L999" s="15">
        <v>44840</v>
      </c>
      <c r="M999" t="s">
        <v>696</v>
      </c>
    </row>
    <row r="1000" spans="1:13" x14ac:dyDescent="0.25">
      <c r="A1000" t="s">
        <v>86</v>
      </c>
      <c r="B1000" s="6" t="s">
        <v>266</v>
      </c>
      <c r="C1000" s="11">
        <v>104</v>
      </c>
      <c r="D1000" s="9" t="s">
        <v>83</v>
      </c>
      <c r="E1000">
        <v>19</v>
      </c>
      <c r="F1000" s="8">
        <f>VLOOKUP(financials[[#This Row],[productid]],Products!$B$2:$H$10,3)</f>
        <v>5.9</v>
      </c>
      <c r="G1000" s="8">
        <f>financials[[#This Row],[Units Sold]]*financials[[#This Row],[Sale Price]]</f>
        <v>112.10000000000001</v>
      </c>
      <c r="H1000" s="8">
        <f>IF(financials[[#This Row],[Discount Band]]="low",0.1,IF(financials[[#This Row],[Discount Band]]="medium",0.15,0.3))</f>
        <v>0.3</v>
      </c>
      <c r="I1000" s="8">
        <f>financials[[#This Row],[Gross Sales]]-financials[[#This Row],[Gross Sales]]*financials[[#This Row],[Discounts]]</f>
        <v>78.47</v>
      </c>
      <c r="J1000" s="8">
        <f>VLOOKUP(financials[[#This Row],[productid]],Products!$B$2:$H$10,4)</f>
        <v>2.9</v>
      </c>
      <c r="K1000" s="8">
        <f>financials[[#This Row],[Net Sales]]-financials[[#This Row],[COGS]]</f>
        <v>75.569999999999993</v>
      </c>
      <c r="L1000" s="15">
        <v>44091</v>
      </c>
      <c r="M1000" t="s">
        <v>690</v>
      </c>
    </row>
    <row r="1001" spans="1:13" x14ac:dyDescent="0.25">
      <c r="A1001" t="s">
        <v>86</v>
      </c>
      <c r="B1001" s="6" t="s">
        <v>287</v>
      </c>
      <c r="C1001" s="11">
        <v>104</v>
      </c>
      <c r="D1001" s="9" t="s">
        <v>83</v>
      </c>
      <c r="E1001">
        <v>11</v>
      </c>
      <c r="F1001" s="8">
        <f>VLOOKUP(financials[[#This Row],[productid]],Products!$B$2:$H$10,3)</f>
        <v>5.9</v>
      </c>
      <c r="G1001" s="8">
        <f>financials[[#This Row],[Units Sold]]*financials[[#This Row],[Sale Price]]</f>
        <v>64.900000000000006</v>
      </c>
      <c r="H1001" s="8">
        <f>IF(financials[[#This Row],[Discount Band]]="low",0.1,IF(financials[[#This Row],[Discount Band]]="medium",0.15,0.3))</f>
        <v>0.3</v>
      </c>
      <c r="I1001" s="8">
        <f>financials[[#This Row],[Gross Sales]]-financials[[#This Row],[Gross Sales]]*financials[[#This Row],[Discounts]]</f>
        <v>45.430000000000007</v>
      </c>
      <c r="J1001" s="8">
        <f>VLOOKUP(financials[[#This Row],[productid]],Products!$B$2:$H$10,4)</f>
        <v>2.9</v>
      </c>
      <c r="K1001" s="8">
        <f>financials[[#This Row],[Net Sales]]-financials[[#This Row],[COGS]]</f>
        <v>42.530000000000008</v>
      </c>
      <c r="L1001" s="15">
        <v>44789</v>
      </c>
      <c r="M1001" t="s">
        <v>700</v>
      </c>
    </row>
    <row r="1002" spans="1:13" x14ac:dyDescent="0.25">
      <c r="A1002" t="s">
        <v>86</v>
      </c>
      <c r="B1002" s="6" t="s">
        <v>240</v>
      </c>
      <c r="C1002" s="13">
        <v>102</v>
      </c>
      <c r="D1002" s="14" t="s">
        <v>90</v>
      </c>
      <c r="E1002">
        <v>11</v>
      </c>
      <c r="F1002" s="8">
        <f>VLOOKUP(financials[[#This Row],[productid]],Products!$B$2:$H$10,3)</f>
        <v>15</v>
      </c>
      <c r="G1002" s="8">
        <f>financials[[#This Row],[Units Sold]]*financials[[#This Row],[Sale Price]]</f>
        <v>165</v>
      </c>
      <c r="H1002" s="8">
        <f>IF(financials[[#This Row],[Discount Band]]="low",0.1,IF(financials[[#This Row],[Discount Band]]="medium",0.15,0.3))</f>
        <v>0.15</v>
      </c>
      <c r="I1002" s="8">
        <f>financials[[#This Row],[Gross Sales]]-financials[[#This Row],[Gross Sales]]*financials[[#This Row],[Discounts]]</f>
        <v>140.25</v>
      </c>
      <c r="J1002" s="8">
        <f>VLOOKUP(financials[[#This Row],[productid]],Products!$B$2:$H$10,4)</f>
        <v>13.95</v>
      </c>
      <c r="K1002" s="8">
        <f>financials[[#This Row],[Net Sales]]-financials[[#This Row],[COGS]]</f>
        <v>126.3</v>
      </c>
      <c r="L1002" s="15">
        <v>45638</v>
      </c>
      <c r="M1002" t="s">
        <v>690</v>
      </c>
    </row>
    <row r="1003" spans="1:13" x14ac:dyDescent="0.25">
      <c r="A1003" t="s">
        <v>86</v>
      </c>
      <c r="B1003" s="6" t="s">
        <v>96</v>
      </c>
      <c r="C1003" s="13">
        <v>105</v>
      </c>
      <c r="D1003" s="14" t="s">
        <v>91</v>
      </c>
      <c r="E1003">
        <v>14</v>
      </c>
      <c r="F1003" s="8">
        <f>VLOOKUP(financials[[#This Row],[productid]],Products!$B$2:$H$10,3)</f>
        <v>15</v>
      </c>
      <c r="G1003" s="8">
        <f>financials[[#This Row],[Units Sold]]*financials[[#This Row],[Sale Price]]</f>
        <v>210</v>
      </c>
      <c r="H1003" s="8">
        <f>IF(financials[[#This Row],[Discount Band]]="low",0.1,IF(financials[[#This Row],[Discount Band]]="medium",0.15,0.3))</f>
        <v>0.1</v>
      </c>
      <c r="I1003" s="8">
        <f>financials[[#This Row],[Gross Sales]]-financials[[#This Row],[Gross Sales]]*financials[[#This Row],[Discounts]]</f>
        <v>189</v>
      </c>
      <c r="J1003" s="8">
        <f>VLOOKUP(financials[[#This Row],[productid]],Products!$B$2:$H$10,4)</f>
        <v>10</v>
      </c>
      <c r="K1003" s="8">
        <f>financials[[#This Row],[Net Sales]]-financials[[#This Row],[COGS]]</f>
        <v>179</v>
      </c>
      <c r="L1003" s="15">
        <v>45479</v>
      </c>
      <c r="M1003" t="s">
        <v>696</v>
      </c>
    </row>
    <row r="1004" spans="1:13" x14ac:dyDescent="0.25">
      <c r="A1004" t="s">
        <v>89</v>
      </c>
      <c r="B1004" s="6" t="s">
        <v>240</v>
      </c>
      <c r="C1004" s="13">
        <v>103</v>
      </c>
      <c r="D1004" s="14" t="s">
        <v>83</v>
      </c>
      <c r="E1004">
        <v>20</v>
      </c>
      <c r="F1004" s="8">
        <f>VLOOKUP(financials[[#This Row],[productid]],Products!$B$2:$H$10,3)</f>
        <v>28</v>
      </c>
      <c r="G1004" s="8">
        <f>financials[[#This Row],[Units Sold]]*financials[[#This Row],[Sale Price]]</f>
        <v>560</v>
      </c>
      <c r="H1004" s="8">
        <f>IF(financials[[#This Row],[Discount Band]]="low",0.1,IF(financials[[#This Row],[Discount Band]]="medium",0.15,0.3))</f>
        <v>0.3</v>
      </c>
      <c r="I1004" s="8">
        <f>financials[[#This Row],[Gross Sales]]-financials[[#This Row],[Gross Sales]]*financials[[#This Row],[Discounts]]</f>
        <v>392</v>
      </c>
      <c r="J1004" s="8">
        <f>VLOOKUP(financials[[#This Row],[productid]],Products!$B$2:$H$10,4)</f>
        <v>15</v>
      </c>
      <c r="K1004" s="8">
        <f>financials[[#This Row],[Net Sales]]-financials[[#This Row],[COGS]]</f>
        <v>377</v>
      </c>
      <c r="L1004" s="15">
        <v>44839</v>
      </c>
      <c r="M1004" t="s">
        <v>691</v>
      </c>
    </row>
    <row r="1005" spans="1:13" x14ac:dyDescent="0.25">
      <c r="A1005" t="s">
        <v>85</v>
      </c>
      <c r="B1005" s="6" t="s">
        <v>545</v>
      </c>
      <c r="C1005" s="13">
        <v>104</v>
      </c>
      <c r="D1005" s="14" t="s">
        <v>91</v>
      </c>
      <c r="E1005">
        <v>5</v>
      </c>
      <c r="F1005" s="8">
        <f>VLOOKUP(financials[[#This Row],[productid]],Products!$B$2:$H$10,3)</f>
        <v>5.9</v>
      </c>
      <c r="G1005" s="8">
        <f>financials[[#This Row],[Units Sold]]*financials[[#This Row],[Sale Price]]</f>
        <v>29.5</v>
      </c>
      <c r="H1005" s="8">
        <f>IF(financials[[#This Row],[Discount Band]]="low",0.1,IF(financials[[#This Row],[Discount Band]]="medium",0.15,0.3))</f>
        <v>0.1</v>
      </c>
      <c r="I1005" s="8">
        <f>financials[[#This Row],[Gross Sales]]-financials[[#This Row],[Gross Sales]]*financials[[#This Row],[Discounts]]</f>
        <v>26.55</v>
      </c>
      <c r="J1005" s="8">
        <f>VLOOKUP(financials[[#This Row],[productid]],Products!$B$2:$H$10,4)</f>
        <v>2.9</v>
      </c>
      <c r="K1005" s="8">
        <f>financials[[#This Row],[Net Sales]]-financials[[#This Row],[COGS]]</f>
        <v>23.650000000000002</v>
      </c>
      <c r="L1005" s="15">
        <v>45044</v>
      </c>
      <c r="M1005" t="s">
        <v>690</v>
      </c>
    </row>
    <row r="1006" spans="1:13" x14ac:dyDescent="0.25">
      <c r="A1006" t="s">
        <v>85</v>
      </c>
      <c r="B1006" s="6" t="s">
        <v>197</v>
      </c>
      <c r="C1006" s="13">
        <v>106</v>
      </c>
      <c r="D1006" s="14" t="s">
        <v>92</v>
      </c>
      <c r="E1006">
        <v>15</v>
      </c>
      <c r="F1006" s="8">
        <f>VLOOKUP(financials[[#This Row],[productid]],Products!$B$2:$H$10,3)</f>
        <v>25</v>
      </c>
      <c r="G1006" s="8">
        <f>financials[[#This Row],[Units Sold]]*financials[[#This Row],[Sale Price]]</f>
        <v>375</v>
      </c>
      <c r="H1006" s="8">
        <f>IF(financials[[#This Row],[Discount Band]]="low",0.1,IF(financials[[#This Row],[Discount Band]]="medium",0.15,0.3))</f>
        <v>0.3</v>
      </c>
      <c r="I1006" s="8">
        <f>financials[[#This Row],[Gross Sales]]-financials[[#This Row],[Gross Sales]]*financials[[#This Row],[Discounts]]</f>
        <v>262.5</v>
      </c>
      <c r="J1006" s="8">
        <f>VLOOKUP(financials[[#This Row],[productid]],Products!$B$2:$H$10,4)</f>
        <v>9.1</v>
      </c>
      <c r="K1006" s="8">
        <f>financials[[#This Row],[Net Sales]]-financials[[#This Row],[COGS]]</f>
        <v>253.4</v>
      </c>
      <c r="L1006" s="15">
        <v>44025</v>
      </c>
      <c r="M1006" t="s">
        <v>700</v>
      </c>
    </row>
    <row r="1007" spans="1:13" x14ac:dyDescent="0.25">
      <c r="A1007" t="s">
        <v>86</v>
      </c>
      <c r="B1007" s="6" t="s">
        <v>93</v>
      </c>
      <c r="C1007" s="13">
        <v>106</v>
      </c>
      <c r="D1007" s="14" t="s">
        <v>91</v>
      </c>
      <c r="E1007">
        <v>12</v>
      </c>
      <c r="F1007" s="8">
        <f>VLOOKUP(financials[[#This Row],[productid]],Products!$B$2:$H$10,3)</f>
        <v>25</v>
      </c>
      <c r="G1007" s="8">
        <f>financials[[#This Row],[Units Sold]]*financials[[#This Row],[Sale Price]]</f>
        <v>300</v>
      </c>
      <c r="H1007" s="8">
        <f>IF(financials[[#This Row],[Discount Band]]="low",0.1,IF(financials[[#This Row],[Discount Band]]="medium",0.15,0.3))</f>
        <v>0.1</v>
      </c>
      <c r="I1007" s="8">
        <f>financials[[#This Row],[Gross Sales]]-financials[[#This Row],[Gross Sales]]*financials[[#This Row],[Discounts]]</f>
        <v>270</v>
      </c>
      <c r="J1007" s="8">
        <f>VLOOKUP(financials[[#This Row],[productid]],Products!$B$2:$H$10,4)</f>
        <v>9.1</v>
      </c>
      <c r="K1007" s="8">
        <f>financials[[#This Row],[Net Sales]]-financials[[#This Row],[COGS]]</f>
        <v>260.89999999999998</v>
      </c>
      <c r="L1007" s="15">
        <v>45100</v>
      </c>
      <c r="M1007" t="s">
        <v>700</v>
      </c>
    </row>
    <row r="1008" spans="1:13" x14ac:dyDescent="0.25">
      <c r="A1008" t="s">
        <v>86</v>
      </c>
      <c r="B1008" s="6" t="s">
        <v>198</v>
      </c>
      <c r="C1008" s="11">
        <v>103</v>
      </c>
      <c r="D1008" s="9" t="s">
        <v>91</v>
      </c>
      <c r="E1008">
        <v>10</v>
      </c>
      <c r="F1008" s="8">
        <f>VLOOKUP(financials[[#This Row],[productid]],Products!$B$2:$H$10,3)</f>
        <v>28</v>
      </c>
      <c r="G1008" s="8">
        <f>financials[[#This Row],[Units Sold]]*financials[[#This Row],[Sale Price]]</f>
        <v>280</v>
      </c>
      <c r="H1008" s="8">
        <f>IF(financials[[#This Row],[Discount Band]]="low",0.1,IF(financials[[#This Row],[Discount Band]]="medium",0.15,0.3))</f>
        <v>0.1</v>
      </c>
      <c r="I1008" s="8">
        <f>financials[[#This Row],[Gross Sales]]-financials[[#This Row],[Gross Sales]]*financials[[#This Row],[Discounts]]</f>
        <v>252</v>
      </c>
      <c r="J1008" s="8">
        <f>VLOOKUP(financials[[#This Row],[productid]],Products!$B$2:$H$10,4)</f>
        <v>15</v>
      </c>
      <c r="K1008" s="8">
        <f>financials[[#This Row],[Net Sales]]-financials[[#This Row],[COGS]]</f>
        <v>237</v>
      </c>
      <c r="L1008" s="15">
        <v>44587</v>
      </c>
      <c r="M1008" t="s">
        <v>696</v>
      </c>
    </row>
    <row r="1009" spans="1:13" x14ac:dyDescent="0.25">
      <c r="A1009" t="s">
        <v>89</v>
      </c>
      <c r="B1009" s="6" t="s">
        <v>274</v>
      </c>
      <c r="C1009" s="13">
        <v>108</v>
      </c>
      <c r="D1009" s="14" t="s">
        <v>91</v>
      </c>
      <c r="E1009">
        <v>20</v>
      </c>
      <c r="F1009" s="8">
        <f>VLOOKUP(financials[[#This Row],[productid]],Products!$B$2:$H$10,3)</f>
        <v>5.5</v>
      </c>
      <c r="G1009" s="8">
        <f>financials[[#This Row],[Units Sold]]*financials[[#This Row],[Sale Price]]</f>
        <v>110</v>
      </c>
      <c r="H1009" s="8">
        <f>IF(financials[[#This Row],[Discount Band]]="low",0.1,IF(financials[[#This Row],[Discount Band]]="medium",0.15,0.3))</f>
        <v>0.1</v>
      </c>
      <c r="I1009" s="8">
        <f>financials[[#This Row],[Gross Sales]]-financials[[#This Row],[Gross Sales]]*financials[[#This Row],[Discounts]]</f>
        <v>99</v>
      </c>
      <c r="J1009" s="8">
        <f>VLOOKUP(financials[[#This Row],[productid]],Products!$B$2:$H$10,4)</f>
        <v>3.99</v>
      </c>
      <c r="K1009" s="8">
        <f>financials[[#This Row],[Net Sales]]-financials[[#This Row],[COGS]]</f>
        <v>95.01</v>
      </c>
      <c r="L1009" s="15">
        <v>45206</v>
      </c>
      <c r="M1009" t="s">
        <v>696</v>
      </c>
    </row>
    <row r="1010" spans="1:13" x14ac:dyDescent="0.25">
      <c r="A1010" t="s">
        <v>86</v>
      </c>
      <c r="B1010" s="6" t="s">
        <v>198</v>
      </c>
      <c r="C1010" s="13">
        <v>109</v>
      </c>
      <c r="D1010" s="14" t="s">
        <v>91</v>
      </c>
      <c r="E1010">
        <v>13</v>
      </c>
      <c r="F1010" s="8">
        <f>VLOOKUP(financials[[#This Row],[productid]],Products!$B$2:$H$10,3)</f>
        <v>36</v>
      </c>
      <c r="G1010" s="8">
        <f>financials[[#This Row],[Units Sold]]*financials[[#This Row],[Sale Price]]</f>
        <v>468</v>
      </c>
      <c r="H1010" s="8">
        <f>IF(financials[[#This Row],[Discount Band]]="low",0.1,IF(financials[[#This Row],[Discount Band]]="medium",0.15,0.3))</f>
        <v>0.1</v>
      </c>
      <c r="I1010" s="8">
        <f>financials[[#This Row],[Gross Sales]]-financials[[#This Row],[Gross Sales]]*financials[[#This Row],[Discounts]]</f>
        <v>421.2</v>
      </c>
      <c r="J1010" s="8">
        <f>VLOOKUP(financials[[#This Row],[productid]],Products!$B$2:$H$10,4)</f>
        <v>16.8</v>
      </c>
      <c r="K1010" s="8">
        <f>financials[[#This Row],[Net Sales]]-financials[[#This Row],[COGS]]</f>
        <v>404.4</v>
      </c>
      <c r="L1010" s="15">
        <v>44106</v>
      </c>
      <c r="M1010" t="s">
        <v>700</v>
      </c>
    </row>
    <row r="1011" spans="1:13" x14ac:dyDescent="0.25">
      <c r="A1011" t="s">
        <v>89</v>
      </c>
      <c r="B1011" s="6" t="s">
        <v>93</v>
      </c>
      <c r="C1011" s="13">
        <v>102</v>
      </c>
      <c r="D1011" s="14" t="s">
        <v>91</v>
      </c>
      <c r="E1011">
        <v>9</v>
      </c>
      <c r="F1011" s="8">
        <f>VLOOKUP(financials[[#This Row],[productid]],Products!$B$2:$H$10,3)</f>
        <v>15</v>
      </c>
      <c r="G1011" s="8">
        <f>financials[[#This Row],[Units Sold]]*financials[[#This Row],[Sale Price]]</f>
        <v>135</v>
      </c>
      <c r="H1011" s="8">
        <f>IF(financials[[#This Row],[Discount Band]]="low",0.1,IF(financials[[#This Row],[Discount Band]]="medium",0.15,0.3))</f>
        <v>0.1</v>
      </c>
      <c r="I1011" s="8">
        <f>financials[[#This Row],[Gross Sales]]-financials[[#This Row],[Gross Sales]]*financials[[#This Row],[Discounts]]</f>
        <v>121.5</v>
      </c>
      <c r="J1011" s="8">
        <f>VLOOKUP(financials[[#This Row],[productid]],Products!$B$2:$H$10,4)</f>
        <v>13.95</v>
      </c>
      <c r="K1011" s="8">
        <f>financials[[#This Row],[Net Sales]]-financials[[#This Row],[COGS]]</f>
        <v>107.55</v>
      </c>
      <c r="L1011" s="15">
        <v>45437</v>
      </c>
      <c r="M1011" t="s">
        <v>700</v>
      </c>
    </row>
    <row r="1012" spans="1:13" x14ac:dyDescent="0.25">
      <c r="A1012" t="s">
        <v>86</v>
      </c>
      <c r="B1012" s="6" t="s">
        <v>276</v>
      </c>
      <c r="C1012" s="13">
        <v>103</v>
      </c>
      <c r="D1012" s="14" t="s">
        <v>91</v>
      </c>
      <c r="E1012">
        <v>12</v>
      </c>
      <c r="F1012" s="8">
        <f>VLOOKUP(financials[[#This Row],[productid]],Products!$B$2:$H$10,3)</f>
        <v>28</v>
      </c>
      <c r="G1012" s="8">
        <f>financials[[#This Row],[Units Sold]]*financials[[#This Row],[Sale Price]]</f>
        <v>336</v>
      </c>
      <c r="H1012" s="8">
        <f>IF(financials[[#This Row],[Discount Band]]="low",0.1,IF(financials[[#This Row],[Discount Band]]="medium",0.15,0.3))</f>
        <v>0.1</v>
      </c>
      <c r="I1012" s="8">
        <f>financials[[#This Row],[Gross Sales]]-financials[[#This Row],[Gross Sales]]*financials[[#This Row],[Discounts]]</f>
        <v>302.39999999999998</v>
      </c>
      <c r="J1012" s="8">
        <f>VLOOKUP(financials[[#This Row],[productid]],Products!$B$2:$H$10,4)</f>
        <v>15</v>
      </c>
      <c r="K1012" s="8">
        <f>financials[[#This Row],[Net Sales]]-financials[[#This Row],[COGS]]</f>
        <v>287.39999999999998</v>
      </c>
      <c r="L1012" s="15">
        <v>45207</v>
      </c>
      <c r="M1012" t="s">
        <v>697</v>
      </c>
    </row>
    <row r="1013" spans="1:13" x14ac:dyDescent="0.25">
      <c r="A1013" t="s">
        <v>85</v>
      </c>
      <c r="B1013" s="6" t="s">
        <v>232</v>
      </c>
      <c r="C1013" s="13">
        <v>109</v>
      </c>
      <c r="D1013" s="14" t="s">
        <v>90</v>
      </c>
      <c r="E1013">
        <v>17</v>
      </c>
      <c r="F1013" s="8">
        <f>VLOOKUP(financials[[#This Row],[productid]],Products!$B$2:$H$10,3)</f>
        <v>36</v>
      </c>
      <c r="G1013" s="8">
        <f>financials[[#This Row],[Units Sold]]*financials[[#This Row],[Sale Price]]</f>
        <v>612</v>
      </c>
      <c r="H1013" s="8">
        <f>IF(financials[[#This Row],[Discount Band]]="low",0.1,IF(financials[[#This Row],[Discount Band]]="medium",0.15,0.3))</f>
        <v>0.15</v>
      </c>
      <c r="I1013" s="8">
        <f>financials[[#This Row],[Gross Sales]]-financials[[#This Row],[Gross Sales]]*financials[[#This Row],[Discounts]]</f>
        <v>520.20000000000005</v>
      </c>
      <c r="J1013" s="8">
        <f>VLOOKUP(financials[[#This Row],[productid]],Products!$B$2:$H$10,4)</f>
        <v>16.8</v>
      </c>
      <c r="K1013" s="8">
        <f>financials[[#This Row],[Net Sales]]-financials[[#This Row],[COGS]]</f>
        <v>503.40000000000003</v>
      </c>
      <c r="L1013" s="15">
        <v>43992</v>
      </c>
      <c r="M1013" t="s">
        <v>690</v>
      </c>
    </row>
    <row r="1014" spans="1:13" x14ac:dyDescent="0.25">
      <c r="A1014" t="s">
        <v>85</v>
      </c>
      <c r="B1014" s="6" t="s">
        <v>228</v>
      </c>
      <c r="C1014" s="13">
        <v>102</v>
      </c>
      <c r="D1014" s="14" t="s">
        <v>83</v>
      </c>
      <c r="E1014">
        <v>20</v>
      </c>
      <c r="F1014" s="8">
        <f>VLOOKUP(financials[[#This Row],[productid]],Products!$B$2:$H$10,3)</f>
        <v>15</v>
      </c>
      <c r="G1014" s="8">
        <f>financials[[#This Row],[Units Sold]]*financials[[#This Row],[Sale Price]]</f>
        <v>300</v>
      </c>
      <c r="H1014" s="8">
        <f>IF(financials[[#This Row],[Discount Band]]="low",0.1,IF(financials[[#This Row],[Discount Band]]="medium",0.15,0.3))</f>
        <v>0.3</v>
      </c>
      <c r="I1014" s="8">
        <f>financials[[#This Row],[Gross Sales]]-financials[[#This Row],[Gross Sales]]*financials[[#This Row],[Discounts]]</f>
        <v>210</v>
      </c>
      <c r="J1014" s="8">
        <f>VLOOKUP(financials[[#This Row],[productid]],Products!$B$2:$H$10,4)</f>
        <v>13.95</v>
      </c>
      <c r="K1014" s="8">
        <f>financials[[#This Row],[Net Sales]]-financials[[#This Row],[COGS]]</f>
        <v>196.05</v>
      </c>
      <c r="L1014" s="15">
        <v>44763</v>
      </c>
      <c r="M1014" t="s">
        <v>697</v>
      </c>
    </row>
    <row r="1015" spans="1:13" x14ac:dyDescent="0.25">
      <c r="A1015" t="s">
        <v>85</v>
      </c>
      <c r="B1015" s="6" t="s">
        <v>148</v>
      </c>
      <c r="C1015" s="13">
        <v>103</v>
      </c>
      <c r="D1015" s="14" t="s">
        <v>83</v>
      </c>
      <c r="E1015">
        <v>18</v>
      </c>
      <c r="F1015" s="8">
        <f>VLOOKUP(financials[[#This Row],[productid]],Products!$B$2:$H$10,3)</f>
        <v>28</v>
      </c>
      <c r="G1015" s="8">
        <f>financials[[#This Row],[Units Sold]]*financials[[#This Row],[Sale Price]]</f>
        <v>504</v>
      </c>
      <c r="H1015" s="8">
        <f>IF(financials[[#This Row],[Discount Band]]="low",0.1,IF(financials[[#This Row],[Discount Band]]="medium",0.15,0.3))</f>
        <v>0.3</v>
      </c>
      <c r="I1015" s="8">
        <f>financials[[#This Row],[Gross Sales]]-financials[[#This Row],[Gross Sales]]*financials[[#This Row],[Discounts]]</f>
        <v>352.8</v>
      </c>
      <c r="J1015" s="8">
        <f>VLOOKUP(financials[[#This Row],[productid]],Products!$B$2:$H$10,4)</f>
        <v>15</v>
      </c>
      <c r="K1015" s="8">
        <f>financials[[#This Row],[Net Sales]]-financials[[#This Row],[COGS]]</f>
        <v>337.8</v>
      </c>
      <c r="L1015" s="15">
        <v>45379</v>
      </c>
      <c r="M1015" t="s">
        <v>691</v>
      </c>
    </row>
    <row r="1016" spans="1:13" x14ac:dyDescent="0.25">
      <c r="A1016" t="s">
        <v>85</v>
      </c>
      <c r="B1016" s="6" t="s">
        <v>228</v>
      </c>
      <c r="C1016" s="13">
        <v>107</v>
      </c>
      <c r="D1016" s="14" t="s">
        <v>91</v>
      </c>
      <c r="E1016">
        <v>13</v>
      </c>
      <c r="F1016" s="8">
        <f>VLOOKUP(financials[[#This Row],[productid]],Products!$B$2:$H$10,3)</f>
        <v>15</v>
      </c>
      <c r="G1016" s="8">
        <f>financials[[#This Row],[Units Sold]]*financials[[#This Row],[Sale Price]]</f>
        <v>195</v>
      </c>
      <c r="H1016" s="8">
        <f>IF(financials[[#This Row],[Discount Band]]="low",0.1,IF(financials[[#This Row],[Discount Band]]="medium",0.15,0.3))</f>
        <v>0.1</v>
      </c>
      <c r="I1016" s="8">
        <f>financials[[#This Row],[Gross Sales]]-financials[[#This Row],[Gross Sales]]*financials[[#This Row],[Discounts]]</f>
        <v>175.5</v>
      </c>
      <c r="J1016" s="8">
        <f>VLOOKUP(financials[[#This Row],[productid]],Products!$B$2:$H$10,4)</f>
        <v>5.5</v>
      </c>
      <c r="K1016" s="8">
        <f>financials[[#This Row],[Net Sales]]-financials[[#This Row],[COGS]]</f>
        <v>170</v>
      </c>
      <c r="L1016" s="15">
        <v>44969</v>
      </c>
      <c r="M1016" t="s">
        <v>697</v>
      </c>
    </row>
    <row r="1017" spans="1:13" x14ac:dyDescent="0.25">
      <c r="A1017" t="s">
        <v>85</v>
      </c>
      <c r="B1017" s="6" t="s">
        <v>274</v>
      </c>
      <c r="C1017" s="13">
        <v>107</v>
      </c>
      <c r="D1017" s="14" t="s">
        <v>83</v>
      </c>
      <c r="E1017">
        <v>11</v>
      </c>
      <c r="F1017" s="8">
        <f>VLOOKUP(financials[[#This Row],[productid]],Products!$B$2:$H$10,3)</f>
        <v>15</v>
      </c>
      <c r="G1017" s="8">
        <f>financials[[#This Row],[Units Sold]]*financials[[#This Row],[Sale Price]]</f>
        <v>165</v>
      </c>
      <c r="H1017" s="8">
        <f>IF(financials[[#This Row],[Discount Band]]="low",0.1,IF(financials[[#This Row],[Discount Band]]="medium",0.15,0.3))</f>
        <v>0.3</v>
      </c>
      <c r="I1017" s="8">
        <f>financials[[#This Row],[Gross Sales]]-financials[[#This Row],[Gross Sales]]*financials[[#This Row],[Discounts]]</f>
        <v>115.5</v>
      </c>
      <c r="J1017" s="8">
        <f>VLOOKUP(financials[[#This Row],[productid]],Products!$B$2:$H$10,4)</f>
        <v>5.5</v>
      </c>
      <c r="K1017" s="8">
        <f>financials[[#This Row],[Net Sales]]-financials[[#This Row],[COGS]]</f>
        <v>110</v>
      </c>
      <c r="L1017" s="15">
        <v>45557</v>
      </c>
      <c r="M1017" t="s">
        <v>696</v>
      </c>
    </row>
    <row r="1018" spans="1:13" x14ac:dyDescent="0.25">
      <c r="A1018" t="s">
        <v>86</v>
      </c>
      <c r="B1018" s="6" t="s">
        <v>273</v>
      </c>
      <c r="C1018" s="13">
        <v>109</v>
      </c>
      <c r="D1018" s="14" t="s">
        <v>91</v>
      </c>
      <c r="E1018">
        <v>12</v>
      </c>
      <c r="F1018" s="8">
        <f>VLOOKUP(financials[[#This Row],[productid]],Products!$B$2:$H$10,3)</f>
        <v>36</v>
      </c>
      <c r="G1018" s="8">
        <f>financials[[#This Row],[Units Sold]]*financials[[#This Row],[Sale Price]]</f>
        <v>432</v>
      </c>
      <c r="H1018" s="8">
        <f>IF(financials[[#This Row],[Discount Band]]="low",0.1,IF(financials[[#This Row],[Discount Band]]="medium",0.15,0.3))</f>
        <v>0.1</v>
      </c>
      <c r="I1018" s="8">
        <f>financials[[#This Row],[Gross Sales]]-financials[[#This Row],[Gross Sales]]*financials[[#This Row],[Discounts]]</f>
        <v>388.8</v>
      </c>
      <c r="J1018" s="8">
        <f>VLOOKUP(financials[[#This Row],[productid]],Products!$B$2:$H$10,4)</f>
        <v>16.8</v>
      </c>
      <c r="K1018" s="8">
        <f>financials[[#This Row],[Net Sales]]-financials[[#This Row],[COGS]]</f>
        <v>372</v>
      </c>
      <c r="L1018" s="15">
        <v>44163</v>
      </c>
      <c r="M1018" t="s">
        <v>690</v>
      </c>
    </row>
    <row r="1019" spans="1:13" x14ac:dyDescent="0.25">
      <c r="A1019" t="s">
        <v>86</v>
      </c>
      <c r="B1019" s="6" t="s">
        <v>198</v>
      </c>
      <c r="C1019" s="13">
        <v>106</v>
      </c>
      <c r="D1019" s="14" t="s">
        <v>90</v>
      </c>
      <c r="E1019">
        <v>17</v>
      </c>
      <c r="F1019" s="8">
        <f>VLOOKUP(financials[[#This Row],[productid]],Products!$B$2:$H$10,3)</f>
        <v>25</v>
      </c>
      <c r="G1019" s="8">
        <f>financials[[#This Row],[Units Sold]]*financials[[#This Row],[Sale Price]]</f>
        <v>425</v>
      </c>
      <c r="H1019" s="8">
        <f>IF(financials[[#This Row],[Discount Band]]="low",0.1,IF(financials[[#This Row],[Discount Band]]="medium",0.15,0.3))</f>
        <v>0.15</v>
      </c>
      <c r="I1019" s="8">
        <f>financials[[#This Row],[Gross Sales]]-financials[[#This Row],[Gross Sales]]*financials[[#This Row],[Discounts]]</f>
        <v>361.25</v>
      </c>
      <c r="J1019" s="8">
        <f>VLOOKUP(financials[[#This Row],[productid]],Products!$B$2:$H$10,4)</f>
        <v>9.1</v>
      </c>
      <c r="K1019" s="8">
        <f>financials[[#This Row],[Net Sales]]-financials[[#This Row],[COGS]]</f>
        <v>352.15</v>
      </c>
      <c r="L1019" s="15">
        <v>43871</v>
      </c>
      <c r="M1019" t="s">
        <v>700</v>
      </c>
    </row>
    <row r="1020" spans="1:13" x14ac:dyDescent="0.25">
      <c r="A1020" t="s">
        <v>86</v>
      </c>
      <c r="B1020" s="6" t="s">
        <v>95</v>
      </c>
      <c r="C1020" s="13">
        <v>101</v>
      </c>
      <c r="D1020" s="14" t="s">
        <v>83</v>
      </c>
      <c r="E1020">
        <v>6</v>
      </c>
      <c r="F1020" s="8">
        <f>VLOOKUP(financials[[#This Row],[productid]],Products!$B$2:$H$10,3)</f>
        <v>23</v>
      </c>
      <c r="G1020" s="8">
        <f>financials[[#This Row],[Units Sold]]*financials[[#This Row],[Sale Price]]</f>
        <v>138</v>
      </c>
      <c r="H1020" s="8">
        <f>IF(financials[[#This Row],[Discount Band]]="low",0.1,IF(financials[[#This Row],[Discount Band]]="medium",0.15,0.3))</f>
        <v>0.3</v>
      </c>
      <c r="I1020" s="8">
        <f>financials[[#This Row],[Gross Sales]]-financials[[#This Row],[Gross Sales]]*financials[[#This Row],[Discounts]]</f>
        <v>96.6</v>
      </c>
      <c r="J1020" s="8">
        <f>VLOOKUP(financials[[#This Row],[productid]],Products!$B$2:$H$10,4)</f>
        <v>9.9499999999999993</v>
      </c>
      <c r="K1020" s="8">
        <f>financials[[#This Row],[Net Sales]]-financials[[#This Row],[COGS]]</f>
        <v>86.649999999999991</v>
      </c>
      <c r="L1020" s="15">
        <v>44008</v>
      </c>
      <c r="M1020" t="s">
        <v>697</v>
      </c>
    </row>
    <row r="1021" spans="1:13" x14ac:dyDescent="0.25">
      <c r="A1021" t="s">
        <v>89</v>
      </c>
      <c r="B1021" s="6" t="s">
        <v>287</v>
      </c>
      <c r="C1021" s="11">
        <v>108</v>
      </c>
      <c r="D1021" s="9" t="s">
        <v>92</v>
      </c>
      <c r="E1021">
        <v>20</v>
      </c>
      <c r="F1021" s="8">
        <f>VLOOKUP(financials[[#This Row],[productid]],Products!$B$2:$H$10,3)</f>
        <v>5.5</v>
      </c>
      <c r="G1021" s="8">
        <f>financials[[#This Row],[Units Sold]]*financials[[#This Row],[Sale Price]]</f>
        <v>110</v>
      </c>
      <c r="H1021" s="8">
        <f>IF(financials[[#This Row],[Discount Band]]="low",0.1,IF(financials[[#This Row],[Discount Band]]="medium",0.15,0.3))</f>
        <v>0.3</v>
      </c>
      <c r="I1021" s="8">
        <f>financials[[#This Row],[Gross Sales]]-financials[[#This Row],[Gross Sales]]*financials[[#This Row],[Discounts]]</f>
        <v>77</v>
      </c>
      <c r="J1021" s="8">
        <f>VLOOKUP(financials[[#This Row],[productid]],Products!$B$2:$H$10,4)</f>
        <v>3.99</v>
      </c>
      <c r="K1021" s="8">
        <f>financials[[#This Row],[Net Sales]]-financials[[#This Row],[COGS]]</f>
        <v>73.010000000000005</v>
      </c>
      <c r="L1021" s="15">
        <v>44773</v>
      </c>
      <c r="M1021" t="s">
        <v>697</v>
      </c>
    </row>
    <row r="1022" spans="1:13" x14ac:dyDescent="0.25">
      <c r="A1022" t="s">
        <v>89</v>
      </c>
      <c r="B1022" s="6" t="s">
        <v>125</v>
      </c>
      <c r="C1022" s="11">
        <v>105</v>
      </c>
      <c r="D1022" s="9" t="s">
        <v>90</v>
      </c>
      <c r="E1022">
        <v>7</v>
      </c>
      <c r="F1022" s="8">
        <f>VLOOKUP(financials[[#This Row],[productid]],Products!$B$2:$H$10,3)</f>
        <v>15</v>
      </c>
      <c r="G1022" s="8">
        <f>financials[[#This Row],[Units Sold]]*financials[[#This Row],[Sale Price]]</f>
        <v>105</v>
      </c>
      <c r="H1022" s="8">
        <f>IF(financials[[#This Row],[Discount Band]]="low",0.1,IF(financials[[#This Row],[Discount Band]]="medium",0.15,0.3))</f>
        <v>0.15</v>
      </c>
      <c r="I1022" s="8">
        <f>financials[[#This Row],[Gross Sales]]-financials[[#This Row],[Gross Sales]]*financials[[#This Row],[Discounts]]</f>
        <v>89.25</v>
      </c>
      <c r="J1022" s="8">
        <f>VLOOKUP(financials[[#This Row],[productid]],Products!$B$2:$H$10,4)</f>
        <v>10</v>
      </c>
      <c r="K1022" s="8">
        <f>financials[[#This Row],[Net Sales]]-financials[[#This Row],[COGS]]</f>
        <v>79.25</v>
      </c>
      <c r="L1022" s="15">
        <v>45202</v>
      </c>
      <c r="M1022" t="s">
        <v>697</v>
      </c>
    </row>
    <row r="1023" spans="1:13" x14ac:dyDescent="0.25">
      <c r="A1023" t="s">
        <v>89</v>
      </c>
      <c r="B1023" s="6" t="s">
        <v>158</v>
      </c>
      <c r="C1023" s="11">
        <v>108</v>
      </c>
      <c r="D1023" s="9" t="s">
        <v>83</v>
      </c>
      <c r="E1023">
        <v>10</v>
      </c>
      <c r="F1023" s="8">
        <f>VLOOKUP(financials[[#This Row],[productid]],Products!$B$2:$H$10,3)</f>
        <v>5.5</v>
      </c>
      <c r="G1023" s="8">
        <f>financials[[#This Row],[Units Sold]]*financials[[#This Row],[Sale Price]]</f>
        <v>55</v>
      </c>
      <c r="H1023" s="8">
        <f>IF(financials[[#This Row],[Discount Band]]="low",0.1,IF(financials[[#This Row],[Discount Band]]="medium",0.15,0.3))</f>
        <v>0.3</v>
      </c>
      <c r="I1023" s="8">
        <f>financials[[#This Row],[Gross Sales]]-financials[[#This Row],[Gross Sales]]*financials[[#This Row],[Discounts]]</f>
        <v>38.5</v>
      </c>
      <c r="J1023" s="8">
        <f>VLOOKUP(financials[[#This Row],[productid]],Products!$B$2:$H$10,4)</f>
        <v>3.99</v>
      </c>
      <c r="K1023" s="8">
        <f>financials[[#This Row],[Net Sales]]-financials[[#This Row],[COGS]]</f>
        <v>34.51</v>
      </c>
      <c r="L1023" s="15">
        <v>44325</v>
      </c>
      <c r="M1023" t="s">
        <v>700</v>
      </c>
    </row>
    <row r="1024" spans="1:13" x14ac:dyDescent="0.25">
      <c r="A1024" t="s">
        <v>85</v>
      </c>
      <c r="B1024" s="6" t="s">
        <v>228</v>
      </c>
      <c r="C1024" s="11">
        <v>105</v>
      </c>
      <c r="D1024" s="9" t="s">
        <v>83</v>
      </c>
      <c r="E1024">
        <v>18</v>
      </c>
      <c r="F1024" s="8">
        <f>VLOOKUP(financials[[#This Row],[productid]],Products!$B$2:$H$10,3)</f>
        <v>15</v>
      </c>
      <c r="G1024" s="8">
        <f>financials[[#This Row],[Units Sold]]*financials[[#This Row],[Sale Price]]</f>
        <v>270</v>
      </c>
      <c r="H1024" s="8">
        <f>IF(financials[[#This Row],[Discount Band]]="low",0.1,IF(financials[[#This Row],[Discount Band]]="medium",0.15,0.3))</f>
        <v>0.3</v>
      </c>
      <c r="I1024" s="8">
        <f>financials[[#This Row],[Gross Sales]]-financials[[#This Row],[Gross Sales]]*financials[[#This Row],[Discounts]]</f>
        <v>189</v>
      </c>
      <c r="J1024" s="8">
        <f>VLOOKUP(financials[[#This Row],[productid]],Products!$B$2:$H$10,4)</f>
        <v>10</v>
      </c>
      <c r="K1024" s="8">
        <f>financials[[#This Row],[Net Sales]]-financials[[#This Row],[COGS]]</f>
        <v>179</v>
      </c>
      <c r="L1024" s="15">
        <v>45047</v>
      </c>
      <c r="M1024" t="s">
        <v>700</v>
      </c>
    </row>
    <row r="1025" spans="1:13" x14ac:dyDescent="0.25">
      <c r="A1025" t="s">
        <v>89</v>
      </c>
      <c r="B1025" s="6" t="s">
        <v>148</v>
      </c>
      <c r="C1025" s="13">
        <v>104</v>
      </c>
      <c r="D1025" s="14" t="s">
        <v>83</v>
      </c>
      <c r="E1025">
        <v>18</v>
      </c>
      <c r="F1025" s="8">
        <f>VLOOKUP(financials[[#This Row],[productid]],Products!$B$2:$H$10,3)</f>
        <v>5.9</v>
      </c>
      <c r="G1025" s="8">
        <f>financials[[#This Row],[Units Sold]]*financials[[#This Row],[Sale Price]]</f>
        <v>106.2</v>
      </c>
      <c r="H1025" s="8">
        <f>IF(financials[[#This Row],[Discount Band]]="low",0.1,IF(financials[[#This Row],[Discount Band]]="medium",0.15,0.3))</f>
        <v>0.3</v>
      </c>
      <c r="I1025" s="8">
        <f>financials[[#This Row],[Gross Sales]]-financials[[#This Row],[Gross Sales]]*financials[[#This Row],[Discounts]]</f>
        <v>74.34</v>
      </c>
      <c r="J1025" s="8">
        <f>VLOOKUP(financials[[#This Row],[productid]],Products!$B$2:$H$10,4)</f>
        <v>2.9</v>
      </c>
      <c r="K1025" s="8">
        <f>financials[[#This Row],[Net Sales]]-financials[[#This Row],[COGS]]</f>
        <v>71.44</v>
      </c>
      <c r="L1025" s="15">
        <v>44752</v>
      </c>
      <c r="M1025" t="s">
        <v>700</v>
      </c>
    </row>
    <row r="1026" spans="1:13" x14ac:dyDescent="0.25">
      <c r="A1026" t="s">
        <v>89</v>
      </c>
      <c r="B1026" s="6" t="s">
        <v>617</v>
      </c>
      <c r="C1026" s="13">
        <v>109</v>
      </c>
      <c r="D1026" s="14" t="s">
        <v>90</v>
      </c>
      <c r="E1026">
        <v>19</v>
      </c>
      <c r="F1026" s="8">
        <f>VLOOKUP(financials[[#This Row],[productid]],Products!$B$2:$H$10,3)</f>
        <v>36</v>
      </c>
      <c r="G1026" s="8">
        <f>financials[[#This Row],[Units Sold]]*financials[[#This Row],[Sale Price]]</f>
        <v>684</v>
      </c>
      <c r="H1026" s="8">
        <f>IF(financials[[#This Row],[Discount Band]]="low",0.1,IF(financials[[#This Row],[Discount Band]]="medium",0.15,0.3))</f>
        <v>0.15</v>
      </c>
      <c r="I1026" s="8">
        <f>financials[[#This Row],[Gross Sales]]-financials[[#This Row],[Gross Sales]]*financials[[#This Row],[Discounts]]</f>
        <v>581.4</v>
      </c>
      <c r="J1026" s="8">
        <f>VLOOKUP(financials[[#This Row],[productid]],Products!$B$2:$H$10,4)</f>
        <v>16.8</v>
      </c>
      <c r="K1026" s="8">
        <f>financials[[#This Row],[Net Sales]]-financials[[#This Row],[COGS]]</f>
        <v>564.6</v>
      </c>
      <c r="L1026" s="15">
        <v>44360</v>
      </c>
      <c r="M1026" t="s">
        <v>690</v>
      </c>
    </row>
    <row r="1027" spans="1:13" x14ac:dyDescent="0.25">
      <c r="A1027" t="s">
        <v>85</v>
      </c>
      <c r="B1027" s="6" t="s">
        <v>232</v>
      </c>
      <c r="C1027" s="13">
        <v>109</v>
      </c>
      <c r="D1027" s="14" t="s">
        <v>91</v>
      </c>
      <c r="E1027">
        <v>11</v>
      </c>
      <c r="F1027" s="8">
        <f>VLOOKUP(financials[[#This Row],[productid]],Products!$B$2:$H$10,3)</f>
        <v>36</v>
      </c>
      <c r="G1027" s="8">
        <f>financials[[#This Row],[Units Sold]]*financials[[#This Row],[Sale Price]]</f>
        <v>396</v>
      </c>
      <c r="H1027" s="8">
        <f>IF(financials[[#This Row],[Discount Band]]="low",0.1,IF(financials[[#This Row],[Discount Band]]="medium",0.15,0.3))</f>
        <v>0.1</v>
      </c>
      <c r="I1027" s="8">
        <f>financials[[#This Row],[Gross Sales]]-financials[[#This Row],[Gross Sales]]*financials[[#This Row],[Discounts]]</f>
        <v>356.4</v>
      </c>
      <c r="J1027" s="8">
        <f>VLOOKUP(financials[[#This Row],[productid]],Products!$B$2:$H$10,4)</f>
        <v>16.8</v>
      </c>
      <c r="K1027" s="8">
        <f>financials[[#This Row],[Net Sales]]-financials[[#This Row],[COGS]]</f>
        <v>339.59999999999997</v>
      </c>
      <c r="L1027" s="15">
        <v>43906</v>
      </c>
      <c r="M1027" t="s">
        <v>700</v>
      </c>
    </row>
    <row r="1028" spans="1:13" x14ac:dyDescent="0.25">
      <c r="A1028" t="s">
        <v>85</v>
      </c>
      <c r="B1028" s="6" t="s">
        <v>228</v>
      </c>
      <c r="C1028" s="13">
        <v>108</v>
      </c>
      <c r="D1028" s="14" t="s">
        <v>90</v>
      </c>
      <c r="E1028">
        <v>5</v>
      </c>
      <c r="F1028" s="8">
        <f>VLOOKUP(financials[[#This Row],[productid]],Products!$B$2:$H$10,3)</f>
        <v>5.5</v>
      </c>
      <c r="G1028" s="8">
        <f>financials[[#This Row],[Units Sold]]*financials[[#This Row],[Sale Price]]</f>
        <v>27.5</v>
      </c>
      <c r="H1028" s="8">
        <f>IF(financials[[#This Row],[Discount Band]]="low",0.1,IF(financials[[#This Row],[Discount Band]]="medium",0.15,0.3))</f>
        <v>0.15</v>
      </c>
      <c r="I1028" s="8">
        <f>financials[[#This Row],[Gross Sales]]-financials[[#This Row],[Gross Sales]]*financials[[#This Row],[Discounts]]</f>
        <v>23.375</v>
      </c>
      <c r="J1028" s="8">
        <f>VLOOKUP(financials[[#This Row],[productid]],Products!$B$2:$H$10,4)</f>
        <v>3.99</v>
      </c>
      <c r="K1028" s="8">
        <f>financials[[#This Row],[Net Sales]]-financials[[#This Row],[COGS]]</f>
        <v>19.384999999999998</v>
      </c>
      <c r="L1028" s="15">
        <v>44507</v>
      </c>
      <c r="M1028" t="s">
        <v>700</v>
      </c>
    </row>
    <row r="1029" spans="1:13" x14ac:dyDescent="0.25">
      <c r="A1029" t="s">
        <v>85</v>
      </c>
      <c r="B1029" s="6" t="s">
        <v>645</v>
      </c>
      <c r="C1029" s="13">
        <v>103</v>
      </c>
      <c r="D1029" s="14" t="s">
        <v>90</v>
      </c>
      <c r="E1029">
        <v>15</v>
      </c>
      <c r="F1029" s="8">
        <f>VLOOKUP(financials[[#This Row],[productid]],Products!$B$2:$H$10,3)</f>
        <v>28</v>
      </c>
      <c r="G1029" s="8">
        <f>financials[[#This Row],[Units Sold]]*financials[[#This Row],[Sale Price]]</f>
        <v>420</v>
      </c>
      <c r="H1029" s="8">
        <f>IF(financials[[#This Row],[Discount Band]]="low",0.1,IF(financials[[#This Row],[Discount Band]]="medium",0.15,0.3))</f>
        <v>0.15</v>
      </c>
      <c r="I1029" s="8">
        <f>financials[[#This Row],[Gross Sales]]-financials[[#This Row],[Gross Sales]]*financials[[#This Row],[Discounts]]</f>
        <v>357</v>
      </c>
      <c r="J1029" s="8">
        <f>VLOOKUP(financials[[#This Row],[productid]],Products!$B$2:$H$10,4)</f>
        <v>15</v>
      </c>
      <c r="K1029" s="8">
        <f>financials[[#This Row],[Net Sales]]-financials[[#This Row],[COGS]]</f>
        <v>342</v>
      </c>
      <c r="L1029" s="15">
        <v>45125</v>
      </c>
      <c r="M1029" t="s">
        <v>697</v>
      </c>
    </row>
    <row r="1030" spans="1:13" x14ac:dyDescent="0.25">
      <c r="A1030" t="s">
        <v>89</v>
      </c>
      <c r="B1030" s="6" t="s">
        <v>268</v>
      </c>
      <c r="C1030" s="13">
        <v>104</v>
      </c>
      <c r="D1030" s="14" t="s">
        <v>90</v>
      </c>
      <c r="E1030">
        <v>7</v>
      </c>
      <c r="F1030" s="8">
        <f>VLOOKUP(financials[[#This Row],[productid]],Products!$B$2:$H$10,3)</f>
        <v>5.9</v>
      </c>
      <c r="G1030" s="8">
        <f>financials[[#This Row],[Units Sold]]*financials[[#This Row],[Sale Price]]</f>
        <v>41.300000000000004</v>
      </c>
      <c r="H1030" s="8">
        <f>IF(financials[[#This Row],[Discount Band]]="low",0.1,IF(financials[[#This Row],[Discount Band]]="medium",0.15,0.3))</f>
        <v>0.15</v>
      </c>
      <c r="I1030" s="8">
        <f>financials[[#This Row],[Gross Sales]]-financials[[#This Row],[Gross Sales]]*financials[[#This Row],[Discounts]]</f>
        <v>35.105000000000004</v>
      </c>
      <c r="J1030" s="8">
        <f>VLOOKUP(financials[[#This Row],[productid]],Products!$B$2:$H$10,4)</f>
        <v>2.9</v>
      </c>
      <c r="K1030" s="8">
        <f>financials[[#This Row],[Net Sales]]-financials[[#This Row],[COGS]]</f>
        <v>32.205000000000005</v>
      </c>
      <c r="L1030" s="15">
        <v>44166</v>
      </c>
      <c r="M1030" t="s">
        <v>697</v>
      </c>
    </row>
    <row r="1031" spans="1:13" x14ac:dyDescent="0.25">
      <c r="A1031" t="s">
        <v>86</v>
      </c>
      <c r="B1031" s="6" t="s">
        <v>276</v>
      </c>
      <c r="C1031" s="13">
        <v>109</v>
      </c>
      <c r="D1031" s="14" t="s">
        <v>83</v>
      </c>
      <c r="E1031">
        <v>10</v>
      </c>
      <c r="F1031" s="8">
        <f>VLOOKUP(financials[[#This Row],[productid]],Products!$B$2:$H$10,3)</f>
        <v>36</v>
      </c>
      <c r="G1031" s="8">
        <f>financials[[#This Row],[Units Sold]]*financials[[#This Row],[Sale Price]]</f>
        <v>360</v>
      </c>
      <c r="H1031" s="8">
        <f>IF(financials[[#This Row],[Discount Band]]="low",0.1,IF(financials[[#This Row],[Discount Band]]="medium",0.15,0.3))</f>
        <v>0.3</v>
      </c>
      <c r="I1031" s="8">
        <f>financials[[#This Row],[Gross Sales]]-financials[[#This Row],[Gross Sales]]*financials[[#This Row],[Discounts]]</f>
        <v>252</v>
      </c>
      <c r="J1031" s="8">
        <f>VLOOKUP(financials[[#This Row],[productid]],Products!$B$2:$H$10,4)</f>
        <v>16.8</v>
      </c>
      <c r="K1031" s="8">
        <f>financials[[#This Row],[Net Sales]]-financials[[#This Row],[COGS]]</f>
        <v>235.2</v>
      </c>
      <c r="L1031" s="15">
        <v>44673</v>
      </c>
      <c r="M1031" t="s">
        <v>697</v>
      </c>
    </row>
    <row r="1032" spans="1:13" x14ac:dyDescent="0.25">
      <c r="A1032" t="s">
        <v>85</v>
      </c>
      <c r="B1032" s="6" t="s">
        <v>228</v>
      </c>
      <c r="C1032" s="13">
        <v>105</v>
      </c>
      <c r="D1032" s="14" t="s">
        <v>90</v>
      </c>
      <c r="E1032">
        <v>8</v>
      </c>
      <c r="F1032" s="8">
        <f>VLOOKUP(financials[[#This Row],[productid]],Products!$B$2:$H$10,3)</f>
        <v>15</v>
      </c>
      <c r="G1032" s="8">
        <f>financials[[#This Row],[Units Sold]]*financials[[#This Row],[Sale Price]]</f>
        <v>120</v>
      </c>
      <c r="H1032" s="8">
        <f>IF(financials[[#This Row],[Discount Band]]="low",0.1,IF(financials[[#This Row],[Discount Band]]="medium",0.15,0.3))</f>
        <v>0.15</v>
      </c>
      <c r="I1032" s="8">
        <f>financials[[#This Row],[Gross Sales]]-financials[[#This Row],[Gross Sales]]*financials[[#This Row],[Discounts]]</f>
        <v>102</v>
      </c>
      <c r="J1032" s="8">
        <f>VLOOKUP(financials[[#This Row],[productid]],Products!$B$2:$H$10,4)</f>
        <v>10</v>
      </c>
      <c r="K1032" s="8">
        <f>financials[[#This Row],[Net Sales]]-financials[[#This Row],[COGS]]</f>
        <v>92</v>
      </c>
      <c r="L1032" s="15">
        <v>44624</v>
      </c>
      <c r="M1032" t="s">
        <v>696</v>
      </c>
    </row>
    <row r="1033" spans="1:13" x14ac:dyDescent="0.25">
      <c r="A1033" t="s">
        <v>85</v>
      </c>
      <c r="B1033" s="6" t="s">
        <v>167</v>
      </c>
      <c r="C1033" s="13">
        <v>107</v>
      </c>
      <c r="D1033" s="14" t="s">
        <v>83</v>
      </c>
      <c r="E1033">
        <v>8</v>
      </c>
      <c r="F1033" s="8">
        <f>VLOOKUP(financials[[#This Row],[productid]],Products!$B$2:$H$10,3)</f>
        <v>15</v>
      </c>
      <c r="G1033" s="8">
        <f>financials[[#This Row],[Units Sold]]*financials[[#This Row],[Sale Price]]</f>
        <v>120</v>
      </c>
      <c r="H1033" s="8">
        <f>IF(financials[[#This Row],[Discount Band]]="low",0.1,IF(financials[[#This Row],[Discount Band]]="medium",0.15,0.3))</f>
        <v>0.3</v>
      </c>
      <c r="I1033" s="8">
        <f>financials[[#This Row],[Gross Sales]]-financials[[#This Row],[Gross Sales]]*financials[[#This Row],[Discounts]]</f>
        <v>84</v>
      </c>
      <c r="J1033" s="8">
        <f>VLOOKUP(financials[[#This Row],[productid]],Products!$B$2:$H$10,4)</f>
        <v>5.5</v>
      </c>
      <c r="K1033" s="8">
        <f>financials[[#This Row],[Net Sales]]-financials[[#This Row],[COGS]]</f>
        <v>78.5</v>
      </c>
      <c r="L1033" s="15">
        <v>44220</v>
      </c>
      <c r="M1033" t="s">
        <v>691</v>
      </c>
    </row>
    <row r="1034" spans="1:13" x14ac:dyDescent="0.25">
      <c r="A1034" t="s">
        <v>85</v>
      </c>
      <c r="B1034" s="6" t="s">
        <v>158</v>
      </c>
      <c r="C1034" s="13">
        <v>109</v>
      </c>
      <c r="D1034" s="14" t="s">
        <v>92</v>
      </c>
      <c r="E1034">
        <v>15</v>
      </c>
      <c r="F1034" s="8">
        <f>VLOOKUP(financials[[#This Row],[productid]],Products!$B$2:$H$10,3)</f>
        <v>36</v>
      </c>
      <c r="G1034" s="8">
        <f>financials[[#This Row],[Units Sold]]*financials[[#This Row],[Sale Price]]</f>
        <v>540</v>
      </c>
      <c r="H1034" s="8">
        <f>IF(financials[[#This Row],[Discount Band]]="low",0.1,IF(financials[[#This Row],[Discount Band]]="medium",0.15,0.3))</f>
        <v>0.3</v>
      </c>
      <c r="I1034" s="8">
        <f>financials[[#This Row],[Gross Sales]]-financials[[#This Row],[Gross Sales]]*financials[[#This Row],[Discounts]]</f>
        <v>378</v>
      </c>
      <c r="J1034" s="8">
        <f>VLOOKUP(financials[[#This Row],[productid]],Products!$B$2:$H$10,4)</f>
        <v>16.8</v>
      </c>
      <c r="K1034" s="8">
        <f>financials[[#This Row],[Net Sales]]-financials[[#This Row],[COGS]]</f>
        <v>361.2</v>
      </c>
      <c r="L1034" s="15">
        <v>44388</v>
      </c>
      <c r="M1034" t="s">
        <v>697</v>
      </c>
    </row>
    <row r="1035" spans="1:13" x14ac:dyDescent="0.25">
      <c r="A1035" t="s">
        <v>86</v>
      </c>
      <c r="B1035" s="6" t="s">
        <v>95</v>
      </c>
      <c r="C1035" s="13">
        <v>108</v>
      </c>
      <c r="D1035" s="14" t="s">
        <v>90</v>
      </c>
      <c r="E1035">
        <v>8</v>
      </c>
      <c r="F1035" s="8">
        <f>VLOOKUP(financials[[#This Row],[productid]],Products!$B$2:$H$10,3)</f>
        <v>5.5</v>
      </c>
      <c r="G1035" s="8">
        <f>financials[[#This Row],[Units Sold]]*financials[[#This Row],[Sale Price]]</f>
        <v>44</v>
      </c>
      <c r="H1035" s="8">
        <f>IF(financials[[#This Row],[Discount Band]]="low",0.1,IF(financials[[#This Row],[Discount Band]]="medium",0.15,0.3))</f>
        <v>0.15</v>
      </c>
      <c r="I1035" s="8">
        <f>financials[[#This Row],[Gross Sales]]-financials[[#This Row],[Gross Sales]]*financials[[#This Row],[Discounts]]</f>
        <v>37.4</v>
      </c>
      <c r="J1035" s="8">
        <f>VLOOKUP(financials[[#This Row],[productid]],Products!$B$2:$H$10,4)</f>
        <v>3.99</v>
      </c>
      <c r="K1035" s="8">
        <f>financials[[#This Row],[Net Sales]]-financials[[#This Row],[COGS]]</f>
        <v>33.409999999999997</v>
      </c>
      <c r="L1035" s="15">
        <v>44230</v>
      </c>
      <c r="M1035" t="s">
        <v>700</v>
      </c>
    </row>
    <row r="1036" spans="1:13" x14ac:dyDescent="0.25">
      <c r="A1036" t="s">
        <v>86</v>
      </c>
      <c r="B1036" s="6" t="s">
        <v>645</v>
      </c>
      <c r="C1036" s="11">
        <v>107</v>
      </c>
      <c r="D1036" s="9" t="s">
        <v>90</v>
      </c>
      <c r="E1036">
        <v>5</v>
      </c>
      <c r="F1036" s="8">
        <f>VLOOKUP(financials[[#This Row],[productid]],Products!$B$2:$H$10,3)</f>
        <v>15</v>
      </c>
      <c r="G1036" s="8">
        <f>financials[[#This Row],[Units Sold]]*financials[[#This Row],[Sale Price]]</f>
        <v>75</v>
      </c>
      <c r="H1036" s="8">
        <f>IF(financials[[#This Row],[Discount Band]]="low",0.1,IF(financials[[#This Row],[Discount Band]]="medium",0.15,0.3))</f>
        <v>0.15</v>
      </c>
      <c r="I1036" s="8">
        <f>financials[[#This Row],[Gross Sales]]-financials[[#This Row],[Gross Sales]]*financials[[#This Row],[Discounts]]</f>
        <v>63.75</v>
      </c>
      <c r="J1036" s="8">
        <f>VLOOKUP(financials[[#This Row],[productid]],Products!$B$2:$H$10,4)</f>
        <v>5.5</v>
      </c>
      <c r="K1036" s="8">
        <f>financials[[#This Row],[Net Sales]]-financials[[#This Row],[COGS]]</f>
        <v>58.25</v>
      </c>
      <c r="L1036" s="15">
        <v>45474</v>
      </c>
      <c r="M1036" t="s">
        <v>700</v>
      </c>
    </row>
    <row r="1037" spans="1:13" x14ac:dyDescent="0.25">
      <c r="A1037" t="s">
        <v>86</v>
      </c>
      <c r="B1037" s="6" t="s">
        <v>644</v>
      </c>
      <c r="C1037" s="13">
        <v>104</v>
      </c>
      <c r="D1037" s="14" t="s">
        <v>90</v>
      </c>
      <c r="E1037">
        <v>14</v>
      </c>
      <c r="F1037" s="8">
        <f>VLOOKUP(financials[[#This Row],[productid]],Products!$B$2:$H$10,3)</f>
        <v>5.9</v>
      </c>
      <c r="G1037" s="8">
        <f>financials[[#This Row],[Units Sold]]*financials[[#This Row],[Sale Price]]</f>
        <v>82.600000000000009</v>
      </c>
      <c r="H1037" s="8">
        <f>IF(financials[[#This Row],[Discount Band]]="low",0.1,IF(financials[[#This Row],[Discount Band]]="medium",0.15,0.3))</f>
        <v>0.15</v>
      </c>
      <c r="I1037" s="8">
        <f>financials[[#This Row],[Gross Sales]]-financials[[#This Row],[Gross Sales]]*financials[[#This Row],[Discounts]]</f>
        <v>70.210000000000008</v>
      </c>
      <c r="J1037" s="8">
        <f>VLOOKUP(financials[[#This Row],[productid]],Products!$B$2:$H$10,4)</f>
        <v>2.9</v>
      </c>
      <c r="K1037" s="8">
        <f>financials[[#This Row],[Net Sales]]-financials[[#This Row],[COGS]]</f>
        <v>67.31</v>
      </c>
      <c r="L1037" s="15">
        <v>44833</v>
      </c>
      <c r="M1037" t="s">
        <v>697</v>
      </c>
    </row>
    <row r="1038" spans="1:13" x14ac:dyDescent="0.25">
      <c r="A1038" t="s">
        <v>86</v>
      </c>
      <c r="B1038" s="6" t="s">
        <v>148</v>
      </c>
      <c r="C1038" s="13">
        <v>107</v>
      </c>
      <c r="D1038" s="14" t="s">
        <v>90</v>
      </c>
      <c r="E1038">
        <v>5</v>
      </c>
      <c r="F1038" s="8">
        <f>VLOOKUP(financials[[#This Row],[productid]],Products!$B$2:$H$10,3)</f>
        <v>15</v>
      </c>
      <c r="G1038" s="8">
        <f>financials[[#This Row],[Units Sold]]*financials[[#This Row],[Sale Price]]</f>
        <v>75</v>
      </c>
      <c r="H1038" s="8">
        <f>IF(financials[[#This Row],[Discount Band]]="low",0.1,IF(financials[[#This Row],[Discount Band]]="medium",0.15,0.3))</f>
        <v>0.15</v>
      </c>
      <c r="I1038" s="8">
        <f>financials[[#This Row],[Gross Sales]]-financials[[#This Row],[Gross Sales]]*financials[[#This Row],[Discounts]]</f>
        <v>63.75</v>
      </c>
      <c r="J1038" s="8">
        <f>VLOOKUP(financials[[#This Row],[productid]],Products!$B$2:$H$10,4)</f>
        <v>5.5</v>
      </c>
      <c r="K1038" s="8">
        <f>financials[[#This Row],[Net Sales]]-financials[[#This Row],[COGS]]</f>
        <v>58.25</v>
      </c>
      <c r="L1038" s="15">
        <v>44367</v>
      </c>
      <c r="M1038" t="s">
        <v>696</v>
      </c>
    </row>
    <row r="1039" spans="1:13" x14ac:dyDescent="0.25">
      <c r="A1039" t="s">
        <v>86</v>
      </c>
      <c r="B1039" s="6" t="s">
        <v>240</v>
      </c>
      <c r="C1039" s="13">
        <v>107</v>
      </c>
      <c r="D1039" s="14" t="s">
        <v>91</v>
      </c>
      <c r="E1039">
        <v>16</v>
      </c>
      <c r="F1039" s="8">
        <f>VLOOKUP(financials[[#This Row],[productid]],Products!$B$2:$H$10,3)</f>
        <v>15</v>
      </c>
      <c r="G1039" s="8">
        <f>financials[[#This Row],[Units Sold]]*financials[[#This Row],[Sale Price]]</f>
        <v>240</v>
      </c>
      <c r="H1039" s="8">
        <f>IF(financials[[#This Row],[Discount Band]]="low",0.1,IF(financials[[#This Row],[Discount Band]]="medium",0.15,0.3))</f>
        <v>0.1</v>
      </c>
      <c r="I1039" s="8">
        <f>financials[[#This Row],[Gross Sales]]-financials[[#This Row],[Gross Sales]]*financials[[#This Row],[Discounts]]</f>
        <v>216</v>
      </c>
      <c r="J1039" s="8">
        <f>VLOOKUP(financials[[#This Row],[productid]],Products!$B$2:$H$10,4)</f>
        <v>5.5</v>
      </c>
      <c r="K1039" s="8">
        <f>financials[[#This Row],[Net Sales]]-financials[[#This Row],[COGS]]</f>
        <v>210.5</v>
      </c>
      <c r="L1039" s="15">
        <v>44648</v>
      </c>
      <c r="M1039" t="s">
        <v>697</v>
      </c>
    </row>
    <row r="1040" spans="1:13" x14ac:dyDescent="0.25">
      <c r="A1040" t="s">
        <v>85</v>
      </c>
      <c r="B1040" s="6" t="s">
        <v>158</v>
      </c>
      <c r="C1040" s="13">
        <v>107</v>
      </c>
      <c r="D1040" s="14" t="s">
        <v>83</v>
      </c>
      <c r="E1040">
        <v>17</v>
      </c>
      <c r="F1040" s="8">
        <f>VLOOKUP(financials[[#This Row],[productid]],Products!$B$2:$H$10,3)</f>
        <v>15</v>
      </c>
      <c r="G1040" s="8">
        <f>financials[[#This Row],[Units Sold]]*financials[[#This Row],[Sale Price]]</f>
        <v>255</v>
      </c>
      <c r="H1040" s="8">
        <f>IF(financials[[#This Row],[Discount Band]]="low",0.1,IF(financials[[#This Row],[Discount Band]]="medium",0.15,0.3))</f>
        <v>0.3</v>
      </c>
      <c r="I1040" s="8">
        <f>financials[[#This Row],[Gross Sales]]-financials[[#This Row],[Gross Sales]]*financials[[#This Row],[Discounts]]</f>
        <v>178.5</v>
      </c>
      <c r="J1040" s="8">
        <f>VLOOKUP(financials[[#This Row],[productid]],Products!$B$2:$H$10,4)</f>
        <v>5.5</v>
      </c>
      <c r="K1040" s="8">
        <f>financials[[#This Row],[Net Sales]]-financials[[#This Row],[COGS]]</f>
        <v>173</v>
      </c>
      <c r="L1040" s="15">
        <v>45345</v>
      </c>
      <c r="M1040" t="s">
        <v>690</v>
      </c>
    </row>
    <row r="1041" spans="1:13" x14ac:dyDescent="0.25">
      <c r="A1041" t="s">
        <v>85</v>
      </c>
      <c r="B1041" s="6" t="s">
        <v>93</v>
      </c>
      <c r="C1041" s="13">
        <v>108</v>
      </c>
      <c r="D1041" s="14" t="s">
        <v>83</v>
      </c>
      <c r="E1041">
        <v>19</v>
      </c>
      <c r="F1041" s="8">
        <f>VLOOKUP(financials[[#This Row],[productid]],Products!$B$2:$H$10,3)</f>
        <v>5.5</v>
      </c>
      <c r="G1041" s="8">
        <f>financials[[#This Row],[Units Sold]]*financials[[#This Row],[Sale Price]]</f>
        <v>104.5</v>
      </c>
      <c r="H1041" s="8">
        <f>IF(financials[[#This Row],[Discount Band]]="low",0.1,IF(financials[[#This Row],[Discount Band]]="medium",0.15,0.3))</f>
        <v>0.3</v>
      </c>
      <c r="I1041" s="8">
        <f>financials[[#This Row],[Gross Sales]]-financials[[#This Row],[Gross Sales]]*financials[[#This Row],[Discounts]]</f>
        <v>73.150000000000006</v>
      </c>
      <c r="J1041" s="8">
        <f>VLOOKUP(financials[[#This Row],[productid]],Products!$B$2:$H$10,4)</f>
        <v>3.99</v>
      </c>
      <c r="K1041" s="8">
        <f>financials[[#This Row],[Net Sales]]-financials[[#This Row],[COGS]]</f>
        <v>69.160000000000011</v>
      </c>
      <c r="L1041" s="15">
        <v>45425</v>
      </c>
      <c r="M1041" t="s">
        <v>696</v>
      </c>
    </row>
    <row r="1042" spans="1:13" x14ac:dyDescent="0.25">
      <c r="A1042" t="s">
        <v>89</v>
      </c>
      <c r="B1042" s="6" t="s">
        <v>617</v>
      </c>
      <c r="C1042" s="11">
        <v>106</v>
      </c>
      <c r="D1042" s="9" t="s">
        <v>90</v>
      </c>
      <c r="E1042">
        <v>6</v>
      </c>
      <c r="F1042" s="8">
        <f>VLOOKUP(financials[[#This Row],[productid]],Products!$B$2:$H$10,3)</f>
        <v>25</v>
      </c>
      <c r="G1042" s="8">
        <f>financials[[#This Row],[Units Sold]]*financials[[#This Row],[Sale Price]]</f>
        <v>150</v>
      </c>
      <c r="H1042" s="8">
        <f>IF(financials[[#This Row],[Discount Band]]="low",0.1,IF(financials[[#This Row],[Discount Band]]="medium",0.15,0.3))</f>
        <v>0.15</v>
      </c>
      <c r="I1042" s="8">
        <f>financials[[#This Row],[Gross Sales]]-financials[[#This Row],[Gross Sales]]*financials[[#This Row],[Discounts]]</f>
        <v>127.5</v>
      </c>
      <c r="J1042" s="8">
        <f>VLOOKUP(financials[[#This Row],[productid]],Products!$B$2:$H$10,4)</f>
        <v>9.1</v>
      </c>
      <c r="K1042" s="8">
        <f>financials[[#This Row],[Net Sales]]-financials[[#This Row],[COGS]]</f>
        <v>118.4</v>
      </c>
      <c r="L1042" s="15">
        <v>45638</v>
      </c>
      <c r="M1042" t="s">
        <v>690</v>
      </c>
    </row>
    <row r="1043" spans="1:13" x14ac:dyDescent="0.25">
      <c r="A1043" t="s">
        <v>89</v>
      </c>
      <c r="B1043" s="6" t="s">
        <v>617</v>
      </c>
      <c r="C1043" s="13">
        <v>103</v>
      </c>
      <c r="D1043" s="14" t="s">
        <v>91</v>
      </c>
      <c r="E1043">
        <v>17</v>
      </c>
      <c r="F1043" s="8">
        <f>VLOOKUP(financials[[#This Row],[productid]],Products!$B$2:$H$10,3)</f>
        <v>28</v>
      </c>
      <c r="G1043" s="8">
        <f>financials[[#This Row],[Units Sold]]*financials[[#This Row],[Sale Price]]</f>
        <v>476</v>
      </c>
      <c r="H1043" s="8">
        <f>IF(financials[[#This Row],[Discount Band]]="low",0.1,IF(financials[[#This Row],[Discount Band]]="medium",0.15,0.3))</f>
        <v>0.1</v>
      </c>
      <c r="I1043" s="8">
        <f>financials[[#This Row],[Gross Sales]]-financials[[#This Row],[Gross Sales]]*financials[[#This Row],[Discounts]]</f>
        <v>428.4</v>
      </c>
      <c r="J1043" s="8">
        <f>VLOOKUP(financials[[#This Row],[productid]],Products!$B$2:$H$10,4)</f>
        <v>15</v>
      </c>
      <c r="K1043" s="8">
        <f>financials[[#This Row],[Net Sales]]-financials[[#This Row],[COGS]]</f>
        <v>413.4</v>
      </c>
      <c r="L1043" s="15">
        <v>45096</v>
      </c>
      <c r="M1043" t="s">
        <v>697</v>
      </c>
    </row>
    <row r="1044" spans="1:13" x14ac:dyDescent="0.25">
      <c r="A1044" t="s">
        <v>89</v>
      </c>
      <c r="B1044" s="6" t="s">
        <v>93</v>
      </c>
      <c r="C1044" s="13">
        <v>105</v>
      </c>
      <c r="D1044" s="14" t="s">
        <v>92</v>
      </c>
      <c r="E1044">
        <v>9</v>
      </c>
      <c r="F1044" s="8">
        <f>VLOOKUP(financials[[#This Row],[productid]],Products!$B$2:$H$10,3)</f>
        <v>15</v>
      </c>
      <c r="G1044" s="8">
        <f>financials[[#This Row],[Units Sold]]*financials[[#This Row],[Sale Price]]</f>
        <v>135</v>
      </c>
      <c r="H1044" s="8">
        <f>IF(financials[[#This Row],[Discount Band]]="low",0.1,IF(financials[[#This Row],[Discount Band]]="medium",0.15,0.3))</f>
        <v>0.3</v>
      </c>
      <c r="I1044" s="8">
        <f>financials[[#This Row],[Gross Sales]]-financials[[#This Row],[Gross Sales]]*financials[[#This Row],[Discounts]]</f>
        <v>94.5</v>
      </c>
      <c r="J1044" s="8">
        <f>VLOOKUP(financials[[#This Row],[productid]],Products!$B$2:$H$10,4)</f>
        <v>10</v>
      </c>
      <c r="K1044" s="8">
        <f>financials[[#This Row],[Net Sales]]-financials[[#This Row],[COGS]]</f>
        <v>84.5</v>
      </c>
      <c r="L1044" s="15">
        <v>44406</v>
      </c>
      <c r="M1044" t="s">
        <v>696</v>
      </c>
    </row>
    <row r="1045" spans="1:13" x14ac:dyDescent="0.25">
      <c r="A1045" t="s">
        <v>89</v>
      </c>
      <c r="B1045" s="6" t="s">
        <v>148</v>
      </c>
      <c r="C1045" s="13">
        <v>108</v>
      </c>
      <c r="D1045" s="14" t="s">
        <v>91</v>
      </c>
      <c r="E1045">
        <v>14</v>
      </c>
      <c r="F1045" s="8">
        <f>VLOOKUP(financials[[#This Row],[productid]],Products!$B$2:$H$10,3)</f>
        <v>5.5</v>
      </c>
      <c r="G1045" s="8">
        <f>financials[[#This Row],[Units Sold]]*financials[[#This Row],[Sale Price]]</f>
        <v>77</v>
      </c>
      <c r="H1045" s="8">
        <f>IF(financials[[#This Row],[Discount Band]]="low",0.1,IF(financials[[#This Row],[Discount Band]]="medium",0.15,0.3))</f>
        <v>0.1</v>
      </c>
      <c r="I1045" s="8">
        <f>financials[[#This Row],[Gross Sales]]-financials[[#This Row],[Gross Sales]]*financials[[#This Row],[Discounts]]</f>
        <v>69.3</v>
      </c>
      <c r="J1045" s="8">
        <f>VLOOKUP(financials[[#This Row],[productid]],Products!$B$2:$H$10,4)</f>
        <v>3.99</v>
      </c>
      <c r="K1045" s="8">
        <f>financials[[#This Row],[Net Sales]]-financials[[#This Row],[COGS]]</f>
        <v>65.31</v>
      </c>
      <c r="L1045" s="15">
        <v>45466</v>
      </c>
      <c r="M1045" t="s">
        <v>691</v>
      </c>
    </row>
    <row r="1046" spans="1:13" x14ac:dyDescent="0.25">
      <c r="A1046" t="s">
        <v>86</v>
      </c>
      <c r="B1046" s="6" t="s">
        <v>198</v>
      </c>
      <c r="C1046" s="13">
        <v>104</v>
      </c>
      <c r="D1046" s="14" t="s">
        <v>90</v>
      </c>
      <c r="E1046">
        <v>10</v>
      </c>
      <c r="F1046" s="8">
        <f>VLOOKUP(financials[[#This Row],[productid]],Products!$B$2:$H$10,3)</f>
        <v>5.9</v>
      </c>
      <c r="G1046" s="8">
        <f>financials[[#This Row],[Units Sold]]*financials[[#This Row],[Sale Price]]</f>
        <v>59</v>
      </c>
      <c r="H1046" s="8">
        <f>IF(financials[[#This Row],[Discount Band]]="low",0.1,IF(financials[[#This Row],[Discount Band]]="medium",0.15,0.3))</f>
        <v>0.15</v>
      </c>
      <c r="I1046" s="8">
        <f>financials[[#This Row],[Gross Sales]]-financials[[#This Row],[Gross Sales]]*financials[[#This Row],[Discounts]]</f>
        <v>50.15</v>
      </c>
      <c r="J1046" s="8">
        <f>VLOOKUP(financials[[#This Row],[productid]],Products!$B$2:$H$10,4)</f>
        <v>2.9</v>
      </c>
      <c r="K1046" s="8">
        <f>financials[[#This Row],[Net Sales]]-financials[[#This Row],[COGS]]</f>
        <v>47.25</v>
      </c>
      <c r="L1046" s="15">
        <v>45035</v>
      </c>
      <c r="M1046" t="s">
        <v>696</v>
      </c>
    </row>
    <row r="1047" spans="1:13" x14ac:dyDescent="0.25">
      <c r="A1047" t="s">
        <v>85</v>
      </c>
      <c r="B1047" s="6" t="s">
        <v>96</v>
      </c>
      <c r="C1047" s="13">
        <v>104</v>
      </c>
      <c r="D1047" s="14" t="s">
        <v>91</v>
      </c>
      <c r="E1047">
        <v>14</v>
      </c>
      <c r="F1047" s="8">
        <f>VLOOKUP(financials[[#This Row],[productid]],Products!$B$2:$H$10,3)</f>
        <v>5.9</v>
      </c>
      <c r="G1047" s="8">
        <f>financials[[#This Row],[Units Sold]]*financials[[#This Row],[Sale Price]]</f>
        <v>82.600000000000009</v>
      </c>
      <c r="H1047" s="8">
        <f>IF(financials[[#This Row],[Discount Band]]="low",0.1,IF(financials[[#This Row],[Discount Band]]="medium",0.15,0.3))</f>
        <v>0.1</v>
      </c>
      <c r="I1047" s="8">
        <f>financials[[#This Row],[Gross Sales]]-financials[[#This Row],[Gross Sales]]*financials[[#This Row],[Discounts]]</f>
        <v>74.34</v>
      </c>
      <c r="J1047" s="8">
        <f>VLOOKUP(financials[[#This Row],[productid]],Products!$B$2:$H$10,4)</f>
        <v>2.9</v>
      </c>
      <c r="K1047" s="8">
        <f>financials[[#This Row],[Net Sales]]-financials[[#This Row],[COGS]]</f>
        <v>71.44</v>
      </c>
      <c r="L1047" s="15">
        <v>44555</v>
      </c>
      <c r="M1047" t="s">
        <v>700</v>
      </c>
    </row>
    <row r="1048" spans="1:13" x14ac:dyDescent="0.25">
      <c r="A1048" t="s">
        <v>86</v>
      </c>
      <c r="B1048" s="6" t="s">
        <v>93</v>
      </c>
      <c r="C1048" s="11">
        <v>101</v>
      </c>
      <c r="D1048" s="9" t="s">
        <v>90</v>
      </c>
      <c r="E1048">
        <v>7</v>
      </c>
      <c r="F1048" s="8">
        <f>VLOOKUP(financials[[#This Row],[productid]],Products!$B$2:$H$10,3)</f>
        <v>23</v>
      </c>
      <c r="G1048" s="8">
        <f>financials[[#This Row],[Units Sold]]*financials[[#This Row],[Sale Price]]</f>
        <v>161</v>
      </c>
      <c r="H1048" s="8">
        <f>IF(financials[[#This Row],[Discount Band]]="low",0.1,IF(financials[[#This Row],[Discount Band]]="medium",0.15,0.3))</f>
        <v>0.15</v>
      </c>
      <c r="I1048" s="8">
        <f>financials[[#This Row],[Gross Sales]]-financials[[#This Row],[Gross Sales]]*financials[[#This Row],[Discounts]]</f>
        <v>136.85</v>
      </c>
      <c r="J1048" s="8">
        <f>VLOOKUP(financials[[#This Row],[productid]],Products!$B$2:$H$10,4)</f>
        <v>9.9499999999999993</v>
      </c>
      <c r="K1048" s="8">
        <f>financials[[#This Row],[Net Sales]]-financials[[#This Row],[COGS]]</f>
        <v>126.89999999999999</v>
      </c>
      <c r="L1048" s="15">
        <v>44383</v>
      </c>
      <c r="M1048" t="s">
        <v>697</v>
      </c>
    </row>
    <row r="1049" spans="1:13" x14ac:dyDescent="0.25">
      <c r="A1049" t="s">
        <v>86</v>
      </c>
      <c r="B1049" s="6" t="s">
        <v>148</v>
      </c>
      <c r="C1049" s="13">
        <v>108</v>
      </c>
      <c r="D1049" s="14" t="s">
        <v>83</v>
      </c>
      <c r="E1049">
        <v>13</v>
      </c>
      <c r="F1049" s="8">
        <f>VLOOKUP(financials[[#This Row],[productid]],Products!$B$2:$H$10,3)</f>
        <v>5.5</v>
      </c>
      <c r="G1049" s="8">
        <f>financials[[#This Row],[Units Sold]]*financials[[#This Row],[Sale Price]]</f>
        <v>71.5</v>
      </c>
      <c r="H1049" s="8">
        <f>IF(financials[[#This Row],[Discount Band]]="low",0.1,IF(financials[[#This Row],[Discount Band]]="medium",0.15,0.3))</f>
        <v>0.3</v>
      </c>
      <c r="I1049" s="8">
        <f>financials[[#This Row],[Gross Sales]]-financials[[#This Row],[Gross Sales]]*financials[[#This Row],[Discounts]]</f>
        <v>50.05</v>
      </c>
      <c r="J1049" s="8">
        <f>VLOOKUP(financials[[#This Row],[productid]],Products!$B$2:$H$10,4)</f>
        <v>3.99</v>
      </c>
      <c r="K1049" s="8">
        <f>financials[[#This Row],[Net Sales]]-financials[[#This Row],[COGS]]</f>
        <v>46.059999999999995</v>
      </c>
      <c r="L1049" s="15">
        <v>45442</v>
      </c>
      <c r="M1049" t="s">
        <v>696</v>
      </c>
    </row>
    <row r="1050" spans="1:13" x14ac:dyDescent="0.25">
      <c r="A1050" t="s">
        <v>86</v>
      </c>
      <c r="B1050" s="6" t="s">
        <v>645</v>
      </c>
      <c r="C1050" s="13">
        <v>108</v>
      </c>
      <c r="D1050" s="14" t="s">
        <v>90</v>
      </c>
      <c r="E1050">
        <v>11</v>
      </c>
      <c r="F1050" s="8">
        <f>VLOOKUP(financials[[#This Row],[productid]],Products!$B$2:$H$10,3)</f>
        <v>5.5</v>
      </c>
      <c r="G1050" s="8">
        <f>financials[[#This Row],[Units Sold]]*financials[[#This Row],[Sale Price]]</f>
        <v>60.5</v>
      </c>
      <c r="H1050" s="8">
        <f>IF(financials[[#This Row],[Discount Band]]="low",0.1,IF(financials[[#This Row],[Discount Band]]="medium",0.15,0.3))</f>
        <v>0.15</v>
      </c>
      <c r="I1050" s="8">
        <f>financials[[#This Row],[Gross Sales]]-financials[[#This Row],[Gross Sales]]*financials[[#This Row],[Discounts]]</f>
        <v>51.424999999999997</v>
      </c>
      <c r="J1050" s="8">
        <f>VLOOKUP(financials[[#This Row],[productid]],Products!$B$2:$H$10,4)</f>
        <v>3.99</v>
      </c>
      <c r="K1050" s="8">
        <f>financials[[#This Row],[Net Sales]]-financials[[#This Row],[COGS]]</f>
        <v>47.434999999999995</v>
      </c>
      <c r="L1050" s="15">
        <v>45598</v>
      </c>
      <c r="M1050" t="s">
        <v>700</v>
      </c>
    </row>
    <row r="1051" spans="1:13" x14ac:dyDescent="0.25">
      <c r="A1051" t="s">
        <v>89</v>
      </c>
      <c r="B1051" s="6" t="s">
        <v>96</v>
      </c>
      <c r="C1051" s="13">
        <v>106</v>
      </c>
      <c r="D1051" s="14" t="s">
        <v>83</v>
      </c>
      <c r="E1051">
        <v>18</v>
      </c>
      <c r="F1051" s="8">
        <f>VLOOKUP(financials[[#This Row],[productid]],Products!$B$2:$H$10,3)</f>
        <v>25</v>
      </c>
      <c r="G1051" s="8">
        <f>financials[[#This Row],[Units Sold]]*financials[[#This Row],[Sale Price]]</f>
        <v>450</v>
      </c>
      <c r="H1051" s="8">
        <f>IF(financials[[#This Row],[Discount Band]]="low",0.1,IF(financials[[#This Row],[Discount Band]]="medium",0.15,0.3))</f>
        <v>0.3</v>
      </c>
      <c r="I1051" s="8">
        <f>financials[[#This Row],[Gross Sales]]-financials[[#This Row],[Gross Sales]]*financials[[#This Row],[Discounts]]</f>
        <v>315</v>
      </c>
      <c r="J1051" s="8">
        <f>VLOOKUP(financials[[#This Row],[productid]],Products!$B$2:$H$10,4)</f>
        <v>9.1</v>
      </c>
      <c r="K1051" s="8">
        <f>financials[[#This Row],[Net Sales]]-financials[[#This Row],[COGS]]</f>
        <v>305.89999999999998</v>
      </c>
      <c r="L1051" s="15">
        <v>44175</v>
      </c>
      <c r="M1051" t="s">
        <v>700</v>
      </c>
    </row>
    <row r="1052" spans="1:13" x14ac:dyDescent="0.25">
      <c r="A1052" t="s">
        <v>89</v>
      </c>
      <c r="B1052" s="6" t="s">
        <v>95</v>
      </c>
      <c r="C1052" s="13">
        <v>101</v>
      </c>
      <c r="D1052" s="14" t="s">
        <v>92</v>
      </c>
      <c r="E1052">
        <v>11</v>
      </c>
      <c r="F1052" s="8">
        <f>VLOOKUP(financials[[#This Row],[productid]],Products!$B$2:$H$10,3)</f>
        <v>23</v>
      </c>
      <c r="G1052" s="8">
        <f>financials[[#This Row],[Units Sold]]*financials[[#This Row],[Sale Price]]</f>
        <v>253</v>
      </c>
      <c r="H1052" s="8">
        <f>IF(financials[[#This Row],[Discount Band]]="low",0.1,IF(financials[[#This Row],[Discount Band]]="medium",0.15,0.3))</f>
        <v>0.3</v>
      </c>
      <c r="I1052" s="8">
        <f>financials[[#This Row],[Gross Sales]]-financials[[#This Row],[Gross Sales]]*financials[[#This Row],[Discounts]]</f>
        <v>177.10000000000002</v>
      </c>
      <c r="J1052" s="8">
        <f>VLOOKUP(financials[[#This Row],[productid]],Products!$B$2:$H$10,4)</f>
        <v>9.9499999999999993</v>
      </c>
      <c r="K1052" s="8">
        <f>financials[[#This Row],[Net Sales]]-financials[[#This Row],[COGS]]</f>
        <v>167.15000000000003</v>
      </c>
      <c r="L1052" s="15">
        <v>44619</v>
      </c>
      <c r="M1052" t="s">
        <v>696</v>
      </c>
    </row>
    <row r="1053" spans="1:13" x14ac:dyDescent="0.25">
      <c r="A1053" t="s">
        <v>85</v>
      </c>
      <c r="B1053" s="6" t="s">
        <v>148</v>
      </c>
      <c r="C1053" s="13">
        <v>106</v>
      </c>
      <c r="D1053" s="14" t="s">
        <v>83</v>
      </c>
      <c r="E1053">
        <v>14</v>
      </c>
      <c r="F1053" s="8">
        <f>VLOOKUP(financials[[#This Row],[productid]],Products!$B$2:$H$10,3)</f>
        <v>25</v>
      </c>
      <c r="G1053" s="8">
        <f>financials[[#This Row],[Units Sold]]*financials[[#This Row],[Sale Price]]</f>
        <v>350</v>
      </c>
      <c r="H1053" s="8">
        <f>IF(financials[[#This Row],[Discount Band]]="low",0.1,IF(financials[[#This Row],[Discount Band]]="medium",0.15,0.3))</f>
        <v>0.3</v>
      </c>
      <c r="I1053" s="8">
        <f>financials[[#This Row],[Gross Sales]]-financials[[#This Row],[Gross Sales]]*financials[[#This Row],[Discounts]]</f>
        <v>245</v>
      </c>
      <c r="J1053" s="8">
        <f>VLOOKUP(financials[[#This Row],[productid]],Products!$B$2:$H$10,4)</f>
        <v>9.1</v>
      </c>
      <c r="K1053" s="8">
        <f>financials[[#This Row],[Net Sales]]-financials[[#This Row],[COGS]]</f>
        <v>235.9</v>
      </c>
      <c r="L1053" s="15">
        <v>44830</v>
      </c>
      <c r="M1053" t="s">
        <v>697</v>
      </c>
    </row>
    <row r="1054" spans="1:13" x14ac:dyDescent="0.25">
      <c r="A1054" t="s">
        <v>85</v>
      </c>
      <c r="B1054" s="6" t="s">
        <v>228</v>
      </c>
      <c r="C1054" s="13">
        <v>102</v>
      </c>
      <c r="D1054" s="14" t="s">
        <v>91</v>
      </c>
      <c r="E1054">
        <v>6</v>
      </c>
      <c r="F1054" s="8">
        <f>VLOOKUP(financials[[#This Row],[productid]],Products!$B$2:$H$10,3)</f>
        <v>15</v>
      </c>
      <c r="G1054" s="8">
        <f>financials[[#This Row],[Units Sold]]*financials[[#This Row],[Sale Price]]</f>
        <v>90</v>
      </c>
      <c r="H1054" s="8">
        <f>IF(financials[[#This Row],[Discount Band]]="low",0.1,IF(financials[[#This Row],[Discount Band]]="medium",0.15,0.3))</f>
        <v>0.1</v>
      </c>
      <c r="I1054" s="8">
        <f>financials[[#This Row],[Gross Sales]]-financials[[#This Row],[Gross Sales]]*financials[[#This Row],[Discounts]]</f>
        <v>81</v>
      </c>
      <c r="J1054" s="8">
        <f>VLOOKUP(financials[[#This Row],[productid]],Products!$B$2:$H$10,4)</f>
        <v>13.95</v>
      </c>
      <c r="K1054" s="8">
        <f>financials[[#This Row],[Net Sales]]-financials[[#This Row],[COGS]]</f>
        <v>67.05</v>
      </c>
      <c r="L1054" s="15">
        <v>44725</v>
      </c>
      <c r="M1054" t="s">
        <v>697</v>
      </c>
    </row>
    <row r="1055" spans="1:13" x14ac:dyDescent="0.25">
      <c r="A1055" t="s">
        <v>89</v>
      </c>
      <c r="B1055" s="6" t="s">
        <v>617</v>
      </c>
      <c r="C1055" s="13">
        <v>103</v>
      </c>
      <c r="D1055" s="14" t="s">
        <v>90</v>
      </c>
      <c r="E1055">
        <v>13</v>
      </c>
      <c r="F1055" s="8">
        <f>VLOOKUP(financials[[#This Row],[productid]],Products!$B$2:$H$10,3)</f>
        <v>28</v>
      </c>
      <c r="G1055" s="8">
        <f>financials[[#This Row],[Units Sold]]*financials[[#This Row],[Sale Price]]</f>
        <v>364</v>
      </c>
      <c r="H1055" s="8">
        <f>IF(financials[[#This Row],[Discount Band]]="low",0.1,IF(financials[[#This Row],[Discount Band]]="medium",0.15,0.3))</f>
        <v>0.15</v>
      </c>
      <c r="I1055" s="8">
        <f>financials[[#This Row],[Gross Sales]]-financials[[#This Row],[Gross Sales]]*financials[[#This Row],[Discounts]]</f>
        <v>309.39999999999998</v>
      </c>
      <c r="J1055" s="8">
        <f>VLOOKUP(financials[[#This Row],[productid]],Products!$B$2:$H$10,4)</f>
        <v>15</v>
      </c>
      <c r="K1055" s="8">
        <f>financials[[#This Row],[Net Sales]]-financials[[#This Row],[COGS]]</f>
        <v>294.39999999999998</v>
      </c>
      <c r="L1055" s="15">
        <v>45325</v>
      </c>
      <c r="M1055" t="s">
        <v>690</v>
      </c>
    </row>
    <row r="1056" spans="1:13" x14ac:dyDescent="0.25">
      <c r="A1056" t="s">
        <v>85</v>
      </c>
      <c r="B1056" s="6" t="s">
        <v>645</v>
      </c>
      <c r="C1056" s="13">
        <v>107</v>
      </c>
      <c r="D1056" s="14" t="s">
        <v>83</v>
      </c>
      <c r="E1056">
        <v>15</v>
      </c>
      <c r="F1056" s="8">
        <f>VLOOKUP(financials[[#This Row],[productid]],Products!$B$2:$H$10,3)</f>
        <v>15</v>
      </c>
      <c r="G1056" s="8">
        <f>financials[[#This Row],[Units Sold]]*financials[[#This Row],[Sale Price]]</f>
        <v>225</v>
      </c>
      <c r="H1056" s="8">
        <f>IF(financials[[#This Row],[Discount Band]]="low",0.1,IF(financials[[#This Row],[Discount Band]]="medium",0.15,0.3))</f>
        <v>0.3</v>
      </c>
      <c r="I1056" s="8">
        <f>financials[[#This Row],[Gross Sales]]-financials[[#This Row],[Gross Sales]]*financials[[#This Row],[Discounts]]</f>
        <v>157.5</v>
      </c>
      <c r="J1056" s="8">
        <f>VLOOKUP(financials[[#This Row],[productid]],Products!$B$2:$H$10,4)</f>
        <v>5.5</v>
      </c>
      <c r="K1056" s="8">
        <f>financials[[#This Row],[Net Sales]]-financials[[#This Row],[COGS]]</f>
        <v>152</v>
      </c>
      <c r="L1056" s="15">
        <v>43965</v>
      </c>
      <c r="M1056" t="s">
        <v>691</v>
      </c>
    </row>
    <row r="1057" spans="1:13" x14ac:dyDescent="0.25">
      <c r="A1057" t="s">
        <v>86</v>
      </c>
      <c r="B1057" s="6" t="s">
        <v>276</v>
      </c>
      <c r="C1057" s="13">
        <v>108</v>
      </c>
      <c r="D1057" s="14" t="s">
        <v>92</v>
      </c>
      <c r="E1057">
        <v>5</v>
      </c>
      <c r="F1057" s="8">
        <f>VLOOKUP(financials[[#This Row],[productid]],Products!$B$2:$H$10,3)</f>
        <v>5.5</v>
      </c>
      <c r="G1057" s="8">
        <f>financials[[#This Row],[Units Sold]]*financials[[#This Row],[Sale Price]]</f>
        <v>27.5</v>
      </c>
      <c r="H1057" s="8">
        <f>IF(financials[[#This Row],[Discount Band]]="low",0.1,IF(financials[[#This Row],[Discount Band]]="medium",0.15,0.3))</f>
        <v>0.3</v>
      </c>
      <c r="I1057" s="8">
        <f>financials[[#This Row],[Gross Sales]]-financials[[#This Row],[Gross Sales]]*financials[[#This Row],[Discounts]]</f>
        <v>19.25</v>
      </c>
      <c r="J1057" s="8">
        <f>VLOOKUP(financials[[#This Row],[productid]],Products!$B$2:$H$10,4)</f>
        <v>3.99</v>
      </c>
      <c r="K1057" s="8">
        <f>financials[[#This Row],[Net Sales]]-financials[[#This Row],[COGS]]</f>
        <v>15.26</v>
      </c>
      <c r="L1057" s="15">
        <v>45165</v>
      </c>
      <c r="M1057" t="s">
        <v>690</v>
      </c>
    </row>
    <row r="1058" spans="1:13" x14ac:dyDescent="0.25">
      <c r="A1058" t="s">
        <v>85</v>
      </c>
      <c r="B1058" s="6" t="s">
        <v>158</v>
      </c>
      <c r="C1058" s="13">
        <v>109</v>
      </c>
      <c r="D1058" s="14" t="s">
        <v>90</v>
      </c>
      <c r="E1058">
        <v>8</v>
      </c>
      <c r="F1058" s="8">
        <f>VLOOKUP(financials[[#This Row],[productid]],Products!$B$2:$H$10,3)</f>
        <v>36</v>
      </c>
      <c r="G1058" s="8">
        <f>financials[[#This Row],[Units Sold]]*financials[[#This Row],[Sale Price]]</f>
        <v>288</v>
      </c>
      <c r="H1058" s="8">
        <f>IF(financials[[#This Row],[Discount Band]]="low",0.1,IF(financials[[#This Row],[Discount Band]]="medium",0.15,0.3))</f>
        <v>0.15</v>
      </c>
      <c r="I1058" s="8">
        <f>financials[[#This Row],[Gross Sales]]-financials[[#This Row],[Gross Sales]]*financials[[#This Row],[Discounts]]</f>
        <v>244.8</v>
      </c>
      <c r="J1058" s="8">
        <f>VLOOKUP(financials[[#This Row],[productid]],Products!$B$2:$H$10,4)</f>
        <v>16.8</v>
      </c>
      <c r="K1058" s="8">
        <f>financials[[#This Row],[Net Sales]]-financials[[#This Row],[COGS]]</f>
        <v>228</v>
      </c>
      <c r="L1058" s="15">
        <v>44813</v>
      </c>
      <c r="M1058" t="s">
        <v>691</v>
      </c>
    </row>
    <row r="1059" spans="1:13" x14ac:dyDescent="0.25">
      <c r="A1059" t="s">
        <v>89</v>
      </c>
      <c r="B1059" s="6" t="s">
        <v>240</v>
      </c>
      <c r="C1059" s="13">
        <v>102</v>
      </c>
      <c r="D1059" s="14" t="s">
        <v>90</v>
      </c>
      <c r="E1059">
        <v>11</v>
      </c>
      <c r="F1059" s="8">
        <f>VLOOKUP(financials[[#This Row],[productid]],Products!$B$2:$H$10,3)</f>
        <v>15</v>
      </c>
      <c r="G1059" s="8">
        <f>financials[[#This Row],[Units Sold]]*financials[[#This Row],[Sale Price]]</f>
        <v>165</v>
      </c>
      <c r="H1059" s="8">
        <f>IF(financials[[#This Row],[Discount Band]]="low",0.1,IF(financials[[#This Row],[Discount Band]]="medium",0.15,0.3))</f>
        <v>0.15</v>
      </c>
      <c r="I1059" s="8">
        <f>financials[[#This Row],[Gross Sales]]-financials[[#This Row],[Gross Sales]]*financials[[#This Row],[Discounts]]</f>
        <v>140.25</v>
      </c>
      <c r="J1059" s="8">
        <f>VLOOKUP(financials[[#This Row],[productid]],Products!$B$2:$H$10,4)</f>
        <v>13.95</v>
      </c>
      <c r="K1059" s="8">
        <f>financials[[#This Row],[Net Sales]]-financials[[#This Row],[COGS]]</f>
        <v>126.3</v>
      </c>
      <c r="L1059" s="15">
        <v>44140</v>
      </c>
      <c r="M1059" t="s">
        <v>696</v>
      </c>
    </row>
    <row r="1060" spans="1:13" x14ac:dyDescent="0.25">
      <c r="A1060" t="s">
        <v>89</v>
      </c>
      <c r="B1060" s="6" t="s">
        <v>197</v>
      </c>
      <c r="C1060" s="13">
        <v>105</v>
      </c>
      <c r="D1060" s="14" t="s">
        <v>92</v>
      </c>
      <c r="E1060">
        <v>10</v>
      </c>
      <c r="F1060" s="8">
        <f>VLOOKUP(financials[[#This Row],[productid]],Products!$B$2:$H$10,3)</f>
        <v>15</v>
      </c>
      <c r="G1060" s="8">
        <f>financials[[#This Row],[Units Sold]]*financials[[#This Row],[Sale Price]]</f>
        <v>150</v>
      </c>
      <c r="H1060" s="8">
        <f>IF(financials[[#This Row],[Discount Band]]="low",0.1,IF(financials[[#This Row],[Discount Band]]="medium",0.15,0.3))</f>
        <v>0.3</v>
      </c>
      <c r="I1060" s="8">
        <f>financials[[#This Row],[Gross Sales]]-financials[[#This Row],[Gross Sales]]*financials[[#This Row],[Discounts]]</f>
        <v>105</v>
      </c>
      <c r="J1060" s="8">
        <f>VLOOKUP(financials[[#This Row],[productid]],Products!$B$2:$H$10,4)</f>
        <v>10</v>
      </c>
      <c r="K1060" s="8">
        <f>financials[[#This Row],[Net Sales]]-financials[[#This Row],[COGS]]</f>
        <v>95</v>
      </c>
      <c r="L1060" s="15">
        <v>45522</v>
      </c>
      <c r="M1060" t="s">
        <v>690</v>
      </c>
    </row>
    <row r="1061" spans="1:13" x14ac:dyDescent="0.25">
      <c r="A1061" t="s">
        <v>89</v>
      </c>
      <c r="B1061" s="6" t="s">
        <v>287</v>
      </c>
      <c r="C1061" s="13">
        <v>103</v>
      </c>
      <c r="D1061" s="14" t="s">
        <v>90</v>
      </c>
      <c r="E1061">
        <v>9</v>
      </c>
      <c r="F1061" s="8">
        <f>VLOOKUP(financials[[#This Row],[productid]],Products!$B$2:$H$10,3)</f>
        <v>28</v>
      </c>
      <c r="G1061" s="8">
        <f>financials[[#This Row],[Units Sold]]*financials[[#This Row],[Sale Price]]</f>
        <v>252</v>
      </c>
      <c r="H1061" s="8">
        <f>IF(financials[[#This Row],[Discount Band]]="low",0.1,IF(financials[[#This Row],[Discount Band]]="medium",0.15,0.3))</f>
        <v>0.15</v>
      </c>
      <c r="I1061" s="8">
        <f>financials[[#This Row],[Gross Sales]]-financials[[#This Row],[Gross Sales]]*financials[[#This Row],[Discounts]]</f>
        <v>214.2</v>
      </c>
      <c r="J1061" s="8">
        <f>VLOOKUP(financials[[#This Row],[productid]],Products!$B$2:$H$10,4)</f>
        <v>15</v>
      </c>
      <c r="K1061" s="8">
        <f>financials[[#This Row],[Net Sales]]-financials[[#This Row],[COGS]]</f>
        <v>199.2</v>
      </c>
      <c r="L1061" s="15">
        <v>44679</v>
      </c>
      <c r="M1061" t="s">
        <v>696</v>
      </c>
    </row>
    <row r="1062" spans="1:13" x14ac:dyDescent="0.25">
      <c r="A1062" t="s">
        <v>86</v>
      </c>
      <c r="B1062" s="6" t="s">
        <v>287</v>
      </c>
      <c r="C1062" s="13">
        <v>107</v>
      </c>
      <c r="D1062" s="14" t="s">
        <v>91</v>
      </c>
      <c r="E1062">
        <v>13</v>
      </c>
      <c r="F1062" s="8">
        <f>VLOOKUP(financials[[#This Row],[productid]],Products!$B$2:$H$10,3)</f>
        <v>15</v>
      </c>
      <c r="G1062" s="8">
        <f>financials[[#This Row],[Units Sold]]*financials[[#This Row],[Sale Price]]</f>
        <v>195</v>
      </c>
      <c r="H1062" s="8">
        <f>IF(financials[[#This Row],[Discount Band]]="low",0.1,IF(financials[[#This Row],[Discount Band]]="medium",0.15,0.3))</f>
        <v>0.1</v>
      </c>
      <c r="I1062" s="8">
        <f>financials[[#This Row],[Gross Sales]]-financials[[#This Row],[Gross Sales]]*financials[[#This Row],[Discounts]]</f>
        <v>175.5</v>
      </c>
      <c r="J1062" s="8">
        <f>VLOOKUP(financials[[#This Row],[productid]],Products!$B$2:$H$10,4)</f>
        <v>5.5</v>
      </c>
      <c r="K1062" s="8">
        <f>financials[[#This Row],[Net Sales]]-financials[[#This Row],[COGS]]</f>
        <v>170</v>
      </c>
      <c r="L1062" s="15">
        <v>44897</v>
      </c>
      <c r="M1062" t="s">
        <v>700</v>
      </c>
    </row>
    <row r="1063" spans="1:13" x14ac:dyDescent="0.25">
      <c r="A1063" t="s">
        <v>86</v>
      </c>
      <c r="B1063" s="6" t="s">
        <v>93</v>
      </c>
      <c r="C1063" s="13">
        <v>106</v>
      </c>
      <c r="D1063" s="14" t="s">
        <v>83</v>
      </c>
      <c r="E1063">
        <v>18</v>
      </c>
      <c r="F1063" s="8">
        <f>VLOOKUP(financials[[#This Row],[productid]],Products!$B$2:$H$10,3)</f>
        <v>25</v>
      </c>
      <c r="G1063" s="8">
        <f>financials[[#This Row],[Units Sold]]*financials[[#This Row],[Sale Price]]</f>
        <v>450</v>
      </c>
      <c r="H1063" s="8">
        <f>IF(financials[[#This Row],[Discount Band]]="low",0.1,IF(financials[[#This Row],[Discount Band]]="medium",0.15,0.3))</f>
        <v>0.3</v>
      </c>
      <c r="I1063" s="8">
        <f>financials[[#This Row],[Gross Sales]]-financials[[#This Row],[Gross Sales]]*financials[[#This Row],[Discounts]]</f>
        <v>315</v>
      </c>
      <c r="J1063" s="8">
        <f>VLOOKUP(financials[[#This Row],[productid]],Products!$B$2:$H$10,4)</f>
        <v>9.1</v>
      </c>
      <c r="K1063" s="8">
        <f>financials[[#This Row],[Net Sales]]-financials[[#This Row],[COGS]]</f>
        <v>305.89999999999998</v>
      </c>
      <c r="L1063" s="15">
        <v>43904</v>
      </c>
      <c r="M1063" t="s">
        <v>691</v>
      </c>
    </row>
    <row r="1064" spans="1:13" x14ac:dyDescent="0.25">
      <c r="A1064" t="s">
        <v>86</v>
      </c>
      <c r="B1064" s="6" t="s">
        <v>240</v>
      </c>
      <c r="C1064" s="13">
        <v>106</v>
      </c>
      <c r="D1064" s="14" t="s">
        <v>90</v>
      </c>
      <c r="E1064">
        <v>5</v>
      </c>
      <c r="F1064" s="8">
        <f>VLOOKUP(financials[[#This Row],[productid]],Products!$B$2:$H$10,3)</f>
        <v>25</v>
      </c>
      <c r="G1064" s="8">
        <f>financials[[#This Row],[Units Sold]]*financials[[#This Row],[Sale Price]]</f>
        <v>125</v>
      </c>
      <c r="H1064" s="8">
        <f>IF(financials[[#This Row],[Discount Band]]="low",0.1,IF(financials[[#This Row],[Discount Band]]="medium",0.15,0.3))</f>
        <v>0.15</v>
      </c>
      <c r="I1064" s="8">
        <f>financials[[#This Row],[Gross Sales]]-financials[[#This Row],[Gross Sales]]*financials[[#This Row],[Discounts]]</f>
        <v>106.25</v>
      </c>
      <c r="J1064" s="8">
        <f>VLOOKUP(financials[[#This Row],[productid]],Products!$B$2:$H$10,4)</f>
        <v>9.1</v>
      </c>
      <c r="K1064" s="8">
        <f>financials[[#This Row],[Net Sales]]-financials[[#This Row],[COGS]]</f>
        <v>97.15</v>
      </c>
      <c r="L1064" s="15">
        <v>44446</v>
      </c>
      <c r="M1064" t="s">
        <v>700</v>
      </c>
    </row>
    <row r="1065" spans="1:13" x14ac:dyDescent="0.25">
      <c r="A1065" t="s">
        <v>85</v>
      </c>
      <c r="B1065" s="6" t="s">
        <v>94</v>
      </c>
      <c r="C1065" s="11">
        <v>106</v>
      </c>
      <c r="D1065" s="9" t="s">
        <v>90</v>
      </c>
      <c r="E1065">
        <v>10</v>
      </c>
      <c r="F1065" s="8">
        <f>VLOOKUP(financials[[#This Row],[productid]],Products!$B$2:$H$10,3)</f>
        <v>25</v>
      </c>
      <c r="G1065" s="8">
        <f>financials[[#This Row],[Units Sold]]*financials[[#This Row],[Sale Price]]</f>
        <v>250</v>
      </c>
      <c r="H1065" s="8">
        <f>IF(financials[[#This Row],[Discount Band]]="low",0.1,IF(financials[[#This Row],[Discount Band]]="medium",0.15,0.3))</f>
        <v>0.15</v>
      </c>
      <c r="I1065" s="8">
        <f>financials[[#This Row],[Gross Sales]]-financials[[#This Row],[Gross Sales]]*financials[[#This Row],[Discounts]]</f>
        <v>212.5</v>
      </c>
      <c r="J1065" s="8">
        <f>VLOOKUP(financials[[#This Row],[productid]],Products!$B$2:$H$10,4)</f>
        <v>9.1</v>
      </c>
      <c r="K1065" s="8">
        <f>financials[[#This Row],[Net Sales]]-financials[[#This Row],[COGS]]</f>
        <v>203.4</v>
      </c>
      <c r="L1065" s="15">
        <v>45523</v>
      </c>
      <c r="M1065" t="s">
        <v>690</v>
      </c>
    </row>
    <row r="1066" spans="1:13" x14ac:dyDescent="0.25">
      <c r="A1066" t="s">
        <v>85</v>
      </c>
      <c r="B1066" s="6" t="s">
        <v>158</v>
      </c>
      <c r="C1066" s="13">
        <v>105</v>
      </c>
      <c r="D1066" s="14" t="s">
        <v>83</v>
      </c>
      <c r="E1066">
        <v>7</v>
      </c>
      <c r="F1066" s="8">
        <f>VLOOKUP(financials[[#This Row],[productid]],Products!$B$2:$H$10,3)</f>
        <v>15</v>
      </c>
      <c r="G1066" s="8">
        <f>financials[[#This Row],[Units Sold]]*financials[[#This Row],[Sale Price]]</f>
        <v>105</v>
      </c>
      <c r="H1066" s="8">
        <f>IF(financials[[#This Row],[Discount Band]]="low",0.1,IF(financials[[#This Row],[Discount Band]]="medium",0.15,0.3))</f>
        <v>0.3</v>
      </c>
      <c r="I1066" s="8">
        <f>financials[[#This Row],[Gross Sales]]-financials[[#This Row],[Gross Sales]]*financials[[#This Row],[Discounts]]</f>
        <v>73.5</v>
      </c>
      <c r="J1066" s="8">
        <f>VLOOKUP(financials[[#This Row],[productid]],Products!$B$2:$H$10,4)</f>
        <v>10</v>
      </c>
      <c r="K1066" s="8">
        <f>financials[[#This Row],[Net Sales]]-financials[[#This Row],[COGS]]</f>
        <v>63.5</v>
      </c>
      <c r="L1066" s="15">
        <v>44287</v>
      </c>
      <c r="M1066" t="s">
        <v>696</v>
      </c>
    </row>
    <row r="1067" spans="1:13" x14ac:dyDescent="0.25">
      <c r="A1067" t="s">
        <v>85</v>
      </c>
      <c r="B1067" s="6" t="s">
        <v>95</v>
      </c>
      <c r="C1067" s="13">
        <v>108</v>
      </c>
      <c r="D1067" s="14" t="s">
        <v>91</v>
      </c>
      <c r="E1067">
        <v>6</v>
      </c>
      <c r="F1067" s="8">
        <f>VLOOKUP(financials[[#This Row],[productid]],Products!$B$2:$H$10,3)</f>
        <v>5.5</v>
      </c>
      <c r="G1067" s="8">
        <f>financials[[#This Row],[Units Sold]]*financials[[#This Row],[Sale Price]]</f>
        <v>33</v>
      </c>
      <c r="H1067" s="8">
        <f>IF(financials[[#This Row],[Discount Band]]="low",0.1,IF(financials[[#This Row],[Discount Band]]="medium",0.15,0.3))</f>
        <v>0.1</v>
      </c>
      <c r="I1067" s="8">
        <f>financials[[#This Row],[Gross Sales]]-financials[[#This Row],[Gross Sales]]*financials[[#This Row],[Discounts]]</f>
        <v>29.7</v>
      </c>
      <c r="J1067" s="8">
        <f>VLOOKUP(financials[[#This Row],[productid]],Products!$B$2:$H$10,4)</f>
        <v>3.99</v>
      </c>
      <c r="K1067" s="8">
        <f>financials[[#This Row],[Net Sales]]-financials[[#This Row],[COGS]]</f>
        <v>25.71</v>
      </c>
      <c r="L1067" s="15">
        <v>44320</v>
      </c>
      <c r="M1067" t="s">
        <v>700</v>
      </c>
    </row>
    <row r="1068" spans="1:13" x14ac:dyDescent="0.25">
      <c r="A1068" t="s">
        <v>89</v>
      </c>
      <c r="B1068" s="6" t="s">
        <v>645</v>
      </c>
      <c r="C1068" s="13">
        <v>106</v>
      </c>
      <c r="D1068" s="14" t="s">
        <v>91</v>
      </c>
      <c r="E1068">
        <v>20</v>
      </c>
      <c r="F1068" s="8">
        <f>VLOOKUP(financials[[#This Row],[productid]],Products!$B$2:$H$10,3)</f>
        <v>25</v>
      </c>
      <c r="G1068" s="8">
        <f>financials[[#This Row],[Units Sold]]*financials[[#This Row],[Sale Price]]</f>
        <v>500</v>
      </c>
      <c r="H1068" s="8">
        <f>IF(financials[[#This Row],[Discount Band]]="low",0.1,IF(financials[[#This Row],[Discount Band]]="medium",0.15,0.3))</f>
        <v>0.1</v>
      </c>
      <c r="I1068" s="8">
        <f>financials[[#This Row],[Gross Sales]]-financials[[#This Row],[Gross Sales]]*financials[[#This Row],[Discounts]]</f>
        <v>450</v>
      </c>
      <c r="J1068" s="8">
        <f>VLOOKUP(financials[[#This Row],[productid]],Products!$B$2:$H$10,4)</f>
        <v>9.1</v>
      </c>
      <c r="K1068" s="8">
        <f>financials[[#This Row],[Net Sales]]-financials[[#This Row],[COGS]]</f>
        <v>440.9</v>
      </c>
      <c r="L1068" s="15">
        <v>44815</v>
      </c>
      <c r="M1068" t="s">
        <v>696</v>
      </c>
    </row>
    <row r="1069" spans="1:13" x14ac:dyDescent="0.25">
      <c r="A1069" t="s">
        <v>89</v>
      </c>
      <c r="B1069" s="6" t="s">
        <v>167</v>
      </c>
      <c r="C1069" s="13">
        <v>106</v>
      </c>
      <c r="D1069" s="14" t="s">
        <v>90</v>
      </c>
      <c r="E1069">
        <v>19</v>
      </c>
      <c r="F1069" s="8">
        <f>VLOOKUP(financials[[#This Row],[productid]],Products!$B$2:$H$10,3)</f>
        <v>25</v>
      </c>
      <c r="G1069" s="8">
        <f>financials[[#This Row],[Units Sold]]*financials[[#This Row],[Sale Price]]</f>
        <v>475</v>
      </c>
      <c r="H1069" s="8">
        <f>IF(financials[[#This Row],[Discount Band]]="low",0.1,IF(financials[[#This Row],[Discount Band]]="medium",0.15,0.3))</f>
        <v>0.15</v>
      </c>
      <c r="I1069" s="8">
        <f>financials[[#This Row],[Gross Sales]]-financials[[#This Row],[Gross Sales]]*financials[[#This Row],[Discounts]]</f>
        <v>403.75</v>
      </c>
      <c r="J1069" s="8">
        <f>VLOOKUP(financials[[#This Row],[productid]],Products!$B$2:$H$10,4)</f>
        <v>9.1</v>
      </c>
      <c r="K1069" s="8">
        <f>financials[[#This Row],[Net Sales]]-financials[[#This Row],[COGS]]</f>
        <v>394.65</v>
      </c>
      <c r="L1069" s="15">
        <v>44147</v>
      </c>
      <c r="M1069" t="s">
        <v>691</v>
      </c>
    </row>
    <row r="1070" spans="1:13" x14ac:dyDescent="0.25">
      <c r="A1070" t="s">
        <v>85</v>
      </c>
      <c r="B1070" s="6" t="s">
        <v>148</v>
      </c>
      <c r="C1070" s="13">
        <v>104</v>
      </c>
      <c r="D1070" s="14" t="s">
        <v>91</v>
      </c>
      <c r="E1070">
        <v>9</v>
      </c>
      <c r="F1070" s="8">
        <f>VLOOKUP(financials[[#This Row],[productid]],Products!$B$2:$H$10,3)</f>
        <v>5.9</v>
      </c>
      <c r="G1070" s="8">
        <f>financials[[#This Row],[Units Sold]]*financials[[#This Row],[Sale Price]]</f>
        <v>53.1</v>
      </c>
      <c r="H1070" s="8">
        <f>IF(financials[[#This Row],[Discount Band]]="low",0.1,IF(financials[[#This Row],[Discount Band]]="medium",0.15,0.3))</f>
        <v>0.1</v>
      </c>
      <c r="I1070" s="8">
        <f>financials[[#This Row],[Gross Sales]]-financials[[#This Row],[Gross Sales]]*financials[[#This Row],[Discounts]]</f>
        <v>47.79</v>
      </c>
      <c r="J1070" s="8">
        <f>VLOOKUP(financials[[#This Row],[productid]],Products!$B$2:$H$10,4)</f>
        <v>2.9</v>
      </c>
      <c r="K1070" s="8">
        <f>financials[[#This Row],[Net Sales]]-financials[[#This Row],[COGS]]</f>
        <v>44.89</v>
      </c>
      <c r="L1070" s="15">
        <v>43912</v>
      </c>
      <c r="M1070" t="s">
        <v>696</v>
      </c>
    </row>
    <row r="1071" spans="1:13" x14ac:dyDescent="0.25">
      <c r="A1071" t="s">
        <v>85</v>
      </c>
      <c r="B1071" s="6" t="s">
        <v>96</v>
      </c>
      <c r="C1071" s="13">
        <v>102</v>
      </c>
      <c r="D1071" s="14" t="s">
        <v>90</v>
      </c>
      <c r="E1071">
        <v>12</v>
      </c>
      <c r="F1071" s="8">
        <f>VLOOKUP(financials[[#This Row],[productid]],Products!$B$2:$H$10,3)</f>
        <v>15</v>
      </c>
      <c r="G1071" s="8">
        <f>financials[[#This Row],[Units Sold]]*financials[[#This Row],[Sale Price]]</f>
        <v>180</v>
      </c>
      <c r="H1071" s="8">
        <f>IF(financials[[#This Row],[Discount Band]]="low",0.1,IF(financials[[#This Row],[Discount Band]]="medium",0.15,0.3))</f>
        <v>0.15</v>
      </c>
      <c r="I1071" s="8">
        <f>financials[[#This Row],[Gross Sales]]-financials[[#This Row],[Gross Sales]]*financials[[#This Row],[Discounts]]</f>
        <v>153</v>
      </c>
      <c r="J1071" s="8">
        <f>VLOOKUP(financials[[#This Row],[productid]],Products!$B$2:$H$10,4)</f>
        <v>13.95</v>
      </c>
      <c r="K1071" s="8">
        <f>financials[[#This Row],[Net Sales]]-financials[[#This Row],[COGS]]</f>
        <v>139.05000000000001</v>
      </c>
      <c r="L1071" s="15">
        <v>43886</v>
      </c>
      <c r="M1071" t="s">
        <v>697</v>
      </c>
    </row>
    <row r="1072" spans="1:13" x14ac:dyDescent="0.25">
      <c r="A1072" t="s">
        <v>85</v>
      </c>
      <c r="B1072" s="6" t="s">
        <v>232</v>
      </c>
      <c r="C1072" s="13">
        <v>102</v>
      </c>
      <c r="D1072" s="14" t="s">
        <v>92</v>
      </c>
      <c r="E1072">
        <v>11</v>
      </c>
      <c r="F1072" s="8">
        <f>VLOOKUP(financials[[#This Row],[productid]],Products!$B$2:$H$10,3)</f>
        <v>15</v>
      </c>
      <c r="G1072" s="8">
        <f>financials[[#This Row],[Units Sold]]*financials[[#This Row],[Sale Price]]</f>
        <v>165</v>
      </c>
      <c r="H1072" s="8">
        <f>IF(financials[[#This Row],[Discount Band]]="low",0.1,IF(financials[[#This Row],[Discount Band]]="medium",0.15,0.3))</f>
        <v>0.3</v>
      </c>
      <c r="I1072" s="8">
        <f>financials[[#This Row],[Gross Sales]]-financials[[#This Row],[Gross Sales]]*financials[[#This Row],[Discounts]]</f>
        <v>115.5</v>
      </c>
      <c r="J1072" s="8">
        <f>VLOOKUP(financials[[#This Row],[productid]],Products!$B$2:$H$10,4)</f>
        <v>13.95</v>
      </c>
      <c r="K1072" s="8">
        <f>financials[[#This Row],[Net Sales]]-financials[[#This Row],[COGS]]</f>
        <v>101.55</v>
      </c>
      <c r="L1072" s="15">
        <v>44463</v>
      </c>
      <c r="M1072" t="s">
        <v>700</v>
      </c>
    </row>
    <row r="1073" spans="1:13" x14ac:dyDescent="0.25">
      <c r="A1073" t="s">
        <v>85</v>
      </c>
      <c r="B1073" s="6" t="s">
        <v>158</v>
      </c>
      <c r="C1073" s="13">
        <v>107</v>
      </c>
      <c r="D1073" s="14" t="s">
        <v>83</v>
      </c>
      <c r="E1073">
        <v>20</v>
      </c>
      <c r="F1073" s="8">
        <f>VLOOKUP(financials[[#This Row],[productid]],Products!$B$2:$H$10,3)</f>
        <v>15</v>
      </c>
      <c r="G1073" s="8">
        <f>financials[[#This Row],[Units Sold]]*financials[[#This Row],[Sale Price]]</f>
        <v>300</v>
      </c>
      <c r="H1073" s="8">
        <f>IF(financials[[#This Row],[Discount Band]]="low",0.1,IF(financials[[#This Row],[Discount Band]]="medium",0.15,0.3))</f>
        <v>0.3</v>
      </c>
      <c r="I1073" s="8">
        <f>financials[[#This Row],[Gross Sales]]-financials[[#This Row],[Gross Sales]]*financials[[#This Row],[Discounts]]</f>
        <v>210</v>
      </c>
      <c r="J1073" s="8">
        <f>VLOOKUP(financials[[#This Row],[productid]],Products!$B$2:$H$10,4)</f>
        <v>5.5</v>
      </c>
      <c r="K1073" s="8">
        <f>financials[[#This Row],[Net Sales]]-financials[[#This Row],[COGS]]</f>
        <v>204.5</v>
      </c>
      <c r="L1073" s="15">
        <v>44437</v>
      </c>
      <c r="M1073" t="s">
        <v>691</v>
      </c>
    </row>
    <row r="1074" spans="1:13" x14ac:dyDescent="0.25">
      <c r="A1074" t="s">
        <v>85</v>
      </c>
      <c r="B1074" s="6" t="s">
        <v>148</v>
      </c>
      <c r="C1074" s="13">
        <v>104</v>
      </c>
      <c r="D1074" s="14" t="s">
        <v>91</v>
      </c>
      <c r="E1074">
        <v>16</v>
      </c>
      <c r="F1074" s="8">
        <f>VLOOKUP(financials[[#This Row],[productid]],Products!$B$2:$H$10,3)</f>
        <v>5.9</v>
      </c>
      <c r="G1074" s="8">
        <f>financials[[#This Row],[Units Sold]]*financials[[#This Row],[Sale Price]]</f>
        <v>94.4</v>
      </c>
      <c r="H1074" s="8">
        <f>IF(financials[[#This Row],[Discount Band]]="low",0.1,IF(financials[[#This Row],[Discount Band]]="medium",0.15,0.3))</f>
        <v>0.1</v>
      </c>
      <c r="I1074" s="8">
        <f>financials[[#This Row],[Gross Sales]]-financials[[#This Row],[Gross Sales]]*financials[[#This Row],[Discounts]]</f>
        <v>84.960000000000008</v>
      </c>
      <c r="J1074" s="8">
        <f>VLOOKUP(financials[[#This Row],[productid]],Products!$B$2:$H$10,4)</f>
        <v>2.9</v>
      </c>
      <c r="K1074" s="8">
        <f>financials[[#This Row],[Net Sales]]-financials[[#This Row],[COGS]]</f>
        <v>82.06</v>
      </c>
      <c r="L1074" s="15">
        <v>43927</v>
      </c>
      <c r="M1074" t="s">
        <v>700</v>
      </c>
    </row>
    <row r="1075" spans="1:13" x14ac:dyDescent="0.25">
      <c r="A1075" t="s">
        <v>85</v>
      </c>
      <c r="B1075" s="6" t="s">
        <v>96</v>
      </c>
      <c r="C1075" s="13">
        <v>108</v>
      </c>
      <c r="D1075" s="14" t="s">
        <v>92</v>
      </c>
      <c r="E1075">
        <v>8</v>
      </c>
      <c r="F1075" s="8">
        <f>VLOOKUP(financials[[#This Row],[productid]],Products!$B$2:$H$10,3)</f>
        <v>5.5</v>
      </c>
      <c r="G1075" s="8">
        <f>financials[[#This Row],[Units Sold]]*financials[[#This Row],[Sale Price]]</f>
        <v>44</v>
      </c>
      <c r="H1075" s="8">
        <f>IF(financials[[#This Row],[Discount Band]]="low",0.1,IF(financials[[#This Row],[Discount Band]]="medium",0.15,0.3))</f>
        <v>0.3</v>
      </c>
      <c r="I1075" s="8">
        <f>financials[[#This Row],[Gross Sales]]-financials[[#This Row],[Gross Sales]]*financials[[#This Row],[Discounts]]</f>
        <v>30.8</v>
      </c>
      <c r="J1075" s="8">
        <f>VLOOKUP(financials[[#This Row],[productid]],Products!$B$2:$H$10,4)</f>
        <v>3.99</v>
      </c>
      <c r="K1075" s="8">
        <f>financials[[#This Row],[Net Sales]]-financials[[#This Row],[COGS]]</f>
        <v>26.810000000000002</v>
      </c>
      <c r="L1075" s="15">
        <v>44252</v>
      </c>
      <c r="M1075" t="s">
        <v>700</v>
      </c>
    </row>
    <row r="1076" spans="1:13" x14ac:dyDescent="0.25">
      <c r="A1076" t="s">
        <v>86</v>
      </c>
      <c r="B1076" s="6" t="s">
        <v>158</v>
      </c>
      <c r="C1076" s="11">
        <v>107</v>
      </c>
      <c r="D1076" s="9" t="s">
        <v>92</v>
      </c>
      <c r="E1076">
        <v>7</v>
      </c>
      <c r="F1076" s="8">
        <f>VLOOKUP(financials[[#This Row],[productid]],Products!$B$2:$H$10,3)</f>
        <v>15</v>
      </c>
      <c r="G1076" s="8">
        <f>financials[[#This Row],[Units Sold]]*financials[[#This Row],[Sale Price]]</f>
        <v>105</v>
      </c>
      <c r="H1076" s="8">
        <f>IF(financials[[#This Row],[Discount Band]]="low",0.1,IF(financials[[#This Row],[Discount Band]]="medium",0.15,0.3))</f>
        <v>0.3</v>
      </c>
      <c r="I1076" s="8">
        <f>financials[[#This Row],[Gross Sales]]-financials[[#This Row],[Gross Sales]]*financials[[#This Row],[Discounts]]</f>
        <v>73.5</v>
      </c>
      <c r="J1076" s="8">
        <f>VLOOKUP(financials[[#This Row],[productid]],Products!$B$2:$H$10,4)</f>
        <v>5.5</v>
      </c>
      <c r="K1076" s="8">
        <f>financials[[#This Row],[Net Sales]]-financials[[#This Row],[COGS]]</f>
        <v>68</v>
      </c>
      <c r="L1076" s="15">
        <v>44092</v>
      </c>
      <c r="M1076" t="s">
        <v>700</v>
      </c>
    </row>
    <row r="1077" spans="1:13" x14ac:dyDescent="0.25">
      <c r="A1077" t="s">
        <v>85</v>
      </c>
      <c r="B1077" s="6" t="s">
        <v>148</v>
      </c>
      <c r="C1077" s="13">
        <v>109</v>
      </c>
      <c r="D1077" s="14" t="s">
        <v>83</v>
      </c>
      <c r="E1077">
        <v>10</v>
      </c>
      <c r="F1077" s="8">
        <f>VLOOKUP(financials[[#This Row],[productid]],Products!$B$2:$H$10,3)</f>
        <v>36</v>
      </c>
      <c r="G1077" s="8">
        <f>financials[[#This Row],[Units Sold]]*financials[[#This Row],[Sale Price]]</f>
        <v>360</v>
      </c>
      <c r="H1077" s="8">
        <f>IF(financials[[#This Row],[Discount Band]]="low",0.1,IF(financials[[#This Row],[Discount Band]]="medium",0.15,0.3))</f>
        <v>0.3</v>
      </c>
      <c r="I1077" s="8">
        <f>financials[[#This Row],[Gross Sales]]-financials[[#This Row],[Gross Sales]]*financials[[#This Row],[Discounts]]</f>
        <v>252</v>
      </c>
      <c r="J1077" s="8">
        <f>VLOOKUP(financials[[#This Row],[productid]],Products!$B$2:$H$10,4)</f>
        <v>16.8</v>
      </c>
      <c r="K1077" s="8">
        <f>financials[[#This Row],[Net Sales]]-financials[[#This Row],[COGS]]</f>
        <v>235.2</v>
      </c>
      <c r="L1077" s="15">
        <v>44797</v>
      </c>
      <c r="M1077" t="s">
        <v>690</v>
      </c>
    </row>
    <row r="1078" spans="1:13" x14ac:dyDescent="0.25">
      <c r="A1078" t="s">
        <v>86</v>
      </c>
      <c r="B1078" s="6" t="s">
        <v>125</v>
      </c>
      <c r="C1078" s="13">
        <v>107</v>
      </c>
      <c r="D1078" s="14" t="s">
        <v>90</v>
      </c>
      <c r="E1078">
        <v>15</v>
      </c>
      <c r="F1078" s="8">
        <f>VLOOKUP(financials[[#This Row],[productid]],Products!$B$2:$H$10,3)</f>
        <v>15</v>
      </c>
      <c r="G1078" s="8">
        <f>financials[[#This Row],[Units Sold]]*financials[[#This Row],[Sale Price]]</f>
        <v>225</v>
      </c>
      <c r="H1078" s="8">
        <f>IF(financials[[#This Row],[Discount Band]]="low",0.1,IF(financials[[#This Row],[Discount Band]]="medium",0.15,0.3))</f>
        <v>0.15</v>
      </c>
      <c r="I1078" s="8">
        <f>financials[[#This Row],[Gross Sales]]-financials[[#This Row],[Gross Sales]]*financials[[#This Row],[Discounts]]</f>
        <v>191.25</v>
      </c>
      <c r="J1078" s="8">
        <f>VLOOKUP(financials[[#This Row],[productid]],Products!$B$2:$H$10,4)</f>
        <v>5.5</v>
      </c>
      <c r="K1078" s="8">
        <f>financials[[#This Row],[Net Sales]]-financials[[#This Row],[COGS]]</f>
        <v>185.75</v>
      </c>
      <c r="L1078" s="15">
        <v>44607</v>
      </c>
      <c r="M1078" t="s">
        <v>697</v>
      </c>
    </row>
    <row r="1079" spans="1:13" x14ac:dyDescent="0.25">
      <c r="A1079" t="s">
        <v>89</v>
      </c>
      <c r="B1079" s="6" t="s">
        <v>268</v>
      </c>
      <c r="C1079" s="13">
        <v>108</v>
      </c>
      <c r="D1079" s="14" t="s">
        <v>83</v>
      </c>
      <c r="E1079">
        <v>20</v>
      </c>
      <c r="F1079" s="8">
        <f>VLOOKUP(financials[[#This Row],[productid]],Products!$B$2:$H$10,3)</f>
        <v>5.5</v>
      </c>
      <c r="G1079" s="8">
        <f>financials[[#This Row],[Units Sold]]*financials[[#This Row],[Sale Price]]</f>
        <v>110</v>
      </c>
      <c r="H1079" s="8">
        <f>IF(financials[[#This Row],[Discount Band]]="low",0.1,IF(financials[[#This Row],[Discount Band]]="medium",0.15,0.3))</f>
        <v>0.3</v>
      </c>
      <c r="I1079" s="8">
        <f>financials[[#This Row],[Gross Sales]]-financials[[#This Row],[Gross Sales]]*financials[[#This Row],[Discounts]]</f>
        <v>77</v>
      </c>
      <c r="J1079" s="8">
        <f>VLOOKUP(financials[[#This Row],[productid]],Products!$B$2:$H$10,4)</f>
        <v>3.99</v>
      </c>
      <c r="K1079" s="8">
        <f>financials[[#This Row],[Net Sales]]-financials[[#This Row],[COGS]]</f>
        <v>73.010000000000005</v>
      </c>
      <c r="L1079" s="15">
        <v>44962</v>
      </c>
      <c r="M1079" t="s">
        <v>700</v>
      </c>
    </row>
    <row r="1080" spans="1:13" x14ac:dyDescent="0.25">
      <c r="A1080" t="s">
        <v>86</v>
      </c>
      <c r="B1080" s="6" t="s">
        <v>93</v>
      </c>
      <c r="C1080" s="13">
        <v>109</v>
      </c>
      <c r="D1080" s="14" t="s">
        <v>83</v>
      </c>
      <c r="E1080">
        <v>9</v>
      </c>
      <c r="F1080" s="8">
        <f>VLOOKUP(financials[[#This Row],[productid]],Products!$B$2:$H$10,3)</f>
        <v>36</v>
      </c>
      <c r="G1080" s="8">
        <f>financials[[#This Row],[Units Sold]]*financials[[#This Row],[Sale Price]]</f>
        <v>324</v>
      </c>
      <c r="H1080" s="8">
        <f>IF(financials[[#This Row],[Discount Band]]="low",0.1,IF(financials[[#This Row],[Discount Band]]="medium",0.15,0.3))</f>
        <v>0.3</v>
      </c>
      <c r="I1080" s="8">
        <f>financials[[#This Row],[Gross Sales]]-financials[[#This Row],[Gross Sales]]*financials[[#This Row],[Discounts]]</f>
        <v>226.8</v>
      </c>
      <c r="J1080" s="8">
        <f>VLOOKUP(financials[[#This Row],[productid]],Products!$B$2:$H$10,4)</f>
        <v>16.8</v>
      </c>
      <c r="K1080" s="8">
        <f>financials[[#This Row],[Net Sales]]-financials[[#This Row],[COGS]]</f>
        <v>210</v>
      </c>
      <c r="L1080" s="15">
        <v>45326</v>
      </c>
      <c r="M1080" t="s">
        <v>691</v>
      </c>
    </row>
    <row r="1081" spans="1:13" x14ac:dyDescent="0.25">
      <c r="A1081" t="s">
        <v>89</v>
      </c>
      <c r="B1081" s="6" t="s">
        <v>197</v>
      </c>
      <c r="C1081" s="13">
        <v>102</v>
      </c>
      <c r="D1081" s="14" t="s">
        <v>90</v>
      </c>
      <c r="E1081">
        <v>19</v>
      </c>
      <c r="F1081" s="8">
        <f>VLOOKUP(financials[[#This Row],[productid]],Products!$B$2:$H$10,3)</f>
        <v>15</v>
      </c>
      <c r="G1081" s="8">
        <f>financials[[#This Row],[Units Sold]]*financials[[#This Row],[Sale Price]]</f>
        <v>285</v>
      </c>
      <c r="H1081" s="8">
        <f>IF(financials[[#This Row],[Discount Band]]="low",0.1,IF(financials[[#This Row],[Discount Band]]="medium",0.15,0.3))</f>
        <v>0.15</v>
      </c>
      <c r="I1081" s="8">
        <f>financials[[#This Row],[Gross Sales]]-financials[[#This Row],[Gross Sales]]*financials[[#This Row],[Discounts]]</f>
        <v>242.25</v>
      </c>
      <c r="J1081" s="8">
        <f>VLOOKUP(financials[[#This Row],[productid]],Products!$B$2:$H$10,4)</f>
        <v>13.95</v>
      </c>
      <c r="K1081" s="8">
        <f>financials[[#This Row],[Net Sales]]-financials[[#This Row],[COGS]]</f>
        <v>228.3</v>
      </c>
      <c r="L1081" s="15">
        <v>44989</v>
      </c>
      <c r="M1081" t="s">
        <v>691</v>
      </c>
    </row>
    <row r="1082" spans="1:13" x14ac:dyDescent="0.25">
      <c r="A1082" t="s">
        <v>85</v>
      </c>
      <c r="B1082" s="6" t="s">
        <v>197</v>
      </c>
      <c r="C1082" s="11">
        <v>101</v>
      </c>
      <c r="D1082" s="9" t="s">
        <v>83</v>
      </c>
      <c r="E1082">
        <v>7</v>
      </c>
      <c r="F1082" s="8">
        <f>VLOOKUP(financials[[#This Row],[productid]],Products!$B$2:$H$10,3)</f>
        <v>23</v>
      </c>
      <c r="G1082" s="8">
        <f>financials[[#This Row],[Units Sold]]*financials[[#This Row],[Sale Price]]</f>
        <v>161</v>
      </c>
      <c r="H1082" s="8">
        <f>IF(financials[[#This Row],[Discount Band]]="low",0.1,IF(financials[[#This Row],[Discount Band]]="medium",0.15,0.3))</f>
        <v>0.3</v>
      </c>
      <c r="I1082" s="8">
        <f>financials[[#This Row],[Gross Sales]]-financials[[#This Row],[Gross Sales]]*financials[[#This Row],[Discounts]]</f>
        <v>112.7</v>
      </c>
      <c r="J1082" s="8">
        <f>VLOOKUP(financials[[#This Row],[productid]],Products!$B$2:$H$10,4)</f>
        <v>9.9499999999999993</v>
      </c>
      <c r="K1082" s="8">
        <f>financials[[#This Row],[Net Sales]]-financials[[#This Row],[COGS]]</f>
        <v>102.75</v>
      </c>
      <c r="L1082" s="15">
        <v>44816</v>
      </c>
      <c r="M1082" t="s">
        <v>691</v>
      </c>
    </row>
    <row r="1083" spans="1:13" x14ac:dyDescent="0.25">
      <c r="A1083" t="s">
        <v>85</v>
      </c>
      <c r="B1083" s="6" t="s">
        <v>197</v>
      </c>
      <c r="C1083" s="11">
        <v>107</v>
      </c>
      <c r="D1083" s="9" t="s">
        <v>83</v>
      </c>
      <c r="E1083">
        <v>9</v>
      </c>
      <c r="F1083" s="8">
        <f>VLOOKUP(financials[[#This Row],[productid]],Products!$B$2:$H$10,3)</f>
        <v>15</v>
      </c>
      <c r="G1083" s="8">
        <f>financials[[#This Row],[Units Sold]]*financials[[#This Row],[Sale Price]]</f>
        <v>135</v>
      </c>
      <c r="H1083" s="8">
        <f>IF(financials[[#This Row],[Discount Band]]="low",0.1,IF(financials[[#This Row],[Discount Band]]="medium",0.15,0.3))</f>
        <v>0.3</v>
      </c>
      <c r="I1083" s="8">
        <f>financials[[#This Row],[Gross Sales]]-financials[[#This Row],[Gross Sales]]*financials[[#This Row],[Discounts]]</f>
        <v>94.5</v>
      </c>
      <c r="J1083" s="8">
        <f>VLOOKUP(financials[[#This Row],[productid]],Products!$B$2:$H$10,4)</f>
        <v>5.5</v>
      </c>
      <c r="K1083" s="8">
        <f>financials[[#This Row],[Net Sales]]-financials[[#This Row],[COGS]]</f>
        <v>89</v>
      </c>
      <c r="L1083" s="15">
        <v>45409</v>
      </c>
      <c r="M1083" t="s">
        <v>690</v>
      </c>
    </row>
    <row r="1084" spans="1:13" x14ac:dyDescent="0.25">
      <c r="A1084" t="s">
        <v>89</v>
      </c>
      <c r="B1084" s="6" t="s">
        <v>240</v>
      </c>
      <c r="C1084" s="13">
        <v>109</v>
      </c>
      <c r="D1084" s="14" t="s">
        <v>90</v>
      </c>
      <c r="E1084">
        <v>15</v>
      </c>
      <c r="F1084" s="8">
        <f>VLOOKUP(financials[[#This Row],[productid]],Products!$B$2:$H$10,3)</f>
        <v>36</v>
      </c>
      <c r="G1084" s="8">
        <f>financials[[#This Row],[Units Sold]]*financials[[#This Row],[Sale Price]]</f>
        <v>540</v>
      </c>
      <c r="H1084" s="8">
        <f>IF(financials[[#This Row],[Discount Band]]="low",0.1,IF(financials[[#This Row],[Discount Band]]="medium",0.15,0.3))</f>
        <v>0.15</v>
      </c>
      <c r="I1084" s="8">
        <f>financials[[#This Row],[Gross Sales]]-financials[[#This Row],[Gross Sales]]*financials[[#This Row],[Discounts]]</f>
        <v>459</v>
      </c>
      <c r="J1084" s="8">
        <f>VLOOKUP(financials[[#This Row],[productid]],Products!$B$2:$H$10,4)</f>
        <v>16.8</v>
      </c>
      <c r="K1084" s="8">
        <f>financials[[#This Row],[Net Sales]]-financials[[#This Row],[COGS]]</f>
        <v>442.2</v>
      </c>
      <c r="L1084" s="15">
        <v>45437</v>
      </c>
      <c r="M1084" t="s">
        <v>700</v>
      </c>
    </row>
    <row r="1085" spans="1:13" x14ac:dyDescent="0.25">
      <c r="A1085" t="s">
        <v>86</v>
      </c>
      <c r="B1085" s="6" t="s">
        <v>617</v>
      </c>
      <c r="C1085" s="13">
        <v>101</v>
      </c>
      <c r="D1085" s="14" t="s">
        <v>90</v>
      </c>
      <c r="E1085">
        <v>5</v>
      </c>
      <c r="F1085" s="8">
        <f>VLOOKUP(financials[[#This Row],[productid]],Products!$B$2:$H$10,3)</f>
        <v>23</v>
      </c>
      <c r="G1085" s="8">
        <f>financials[[#This Row],[Units Sold]]*financials[[#This Row],[Sale Price]]</f>
        <v>115</v>
      </c>
      <c r="H1085" s="8">
        <f>IF(financials[[#This Row],[Discount Band]]="low",0.1,IF(financials[[#This Row],[Discount Band]]="medium",0.15,0.3))</f>
        <v>0.15</v>
      </c>
      <c r="I1085" s="8">
        <f>financials[[#This Row],[Gross Sales]]-financials[[#This Row],[Gross Sales]]*financials[[#This Row],[Discounts]]</f>
        <v>97.75</v>
      </c>
      <c r="J1085" s="8">
        <f>VLOOKUP(financials[[#This Row],[productid]],Products!$B$2:$H$10,4)</f>
        <v>9.9499999999999993</v>
      </c>
      <c r="K1085" s="8">
        <f>financials[[#This Row],[Net Sales]]-financials[[#This Row],[COGS]]</f>
        <v>87.8</v>
      </c>
      <c r="L1085" s="15">
        <v>43966</v>
      </c>
      <c r="M1085" t="s">
        <v>690</v>
      </c>
    </row>
    <row r="1086" spans="1:13" x14ac:dyDescent="0.25">
      <c r="A1086" t="s">
        <v>86</v>
      </c>
      <c r="B1086" s="6" t="s">
        <v>287</v>
      </c>
      <c r="C1086" s="13">
        <v>102</v>
      </c>
      <c r="D1086" s="14" t="s">
        <v>83</v>
      </c>
      <c r="E1086">
        <v>7</v>
      </c>
      <c r="F1086" s="8">
        <f>VLOOKUP(financials[[#This Row],[productid]],Products!$B$2:$H$10,3)</f>
        <v>15</v>
      </c>
      <c r="G1086" s="8">
        <f>financials[[#This Row],[Units Sold]]*financials[[#This Row],[Sale Price]]</f>
        <v>105</v>
      </c>
      <c r="H1086" s="8">
        <f>IF(financials[[#This Row],[Discount Band]]="low",0.1,IF(financials[[#This Row],[Discount Band]]="medium",0.15,0.3))</f>
        <v>0.3</v>
      </c>
      <c r="I1086" s="8">
        <f>financials[[#This Row],[Gross Sales]]-financials[[#This Row],[Gross Sales]]*financials[[#This Row],[Discounts]]</f>
        <v>73.5</v>
      </c>
      <c r="J1086" s="8">
        <f>VLOOKUP(financials[[#This Row],[productid]],Products!$B$2:$H$10,4)</f>
        <v>13.95</v>
      </c>
      <c r="K1086" s="8">
        <f>financials[[#This Row],[Net Sales]]-financials[[#This Row],[COGS]]</f>
        <v>59.55</v>
      </c>
      <c r="L1086" s="15">
        <v>44928</v>
      </c>
      <c r="M1086" t="s">
        <v>700</v>
      </c>
    </row>
    <row r="1087" spans="1:13" x14ac:dyDescent="0.25">
      <c r="A1087" t="s">
        <v>85</v>
      </c>
      <c r="B1087" s="6" t="s">
        <v>95</v>
      </c>
      <c r="C1087" s="13">
        <v>106</v>
      </c>
      <c r="D1087" s="14" t="s">
        <v>90</v>
      </c>
      <c r="E1087">
        <v>18</v>
      </c>
      <c r="F1087" s="8">
        <f>VLOOKUP(financials[[#This Row],[productid]],Products!$B$2:$H$10,3)</f>
        <v>25</v>
      </c>
      <c r="G1087" s="8">
        <f>financials[[#This Row],[Units Sold]]*financials[[#This Row],[Sale Price]]</f>
        <v>450</v>
      </c>
      <c r="H1087" s="8">
        <f>IF(financials[[#This Row],[Discount Band]]="low",0.1,IF(financials[[#This Row],[Discount Band]]="medium",0.15,0.3))</f>
        <v>0.15</v>
      </c>
      <c r="I1087" s="8">
        <f>financials[[#This Row],[Gross Sales]]-financials[[#This Row],[Gross Sales]]*financials[[#This Row],[Discounts]]</f>
        <v>382.5</v>
      </c>
      <c r="J1087" s="8">
        <f>VLOOKUP(financials[[#This Row],[productid]],Products!$B$2:$H$10,4)</f>
        <v>9.1</v>
      </c>
      <c r="K1087" s="8">
        <f>financials[[#This Row],[Net Sales]]-financials[[#This Row],[COGS]]</f>
        <v>373.4</v>
      </c>
      <c r="L1087" s="15">
        <v>45400</v>
      </c>
      <c r="M1087" t="s">
        <v>696</v>
      </c>
    </row>
    <row r="1088" spans="1:13" x14ac:dyDescent="0.25">
      <c r="A1088" t="s">
        <v>89</v>
      </c>
      <c r="B1088" s="6" t="s">
        <v>96</v>
      </c>
      <c r="C1088" s="13">
        <v>106</v>
      </c>
      <c r="D1088" s="14" t="s">
        <v>83</v>
      </c>
      <c r="E1088">
        <v>12</v>
      </c>
      <c r="F1088" s="8">
        <f>VLOOKUP(financials[[#This Row],[productid]],Products!$B$2:$H$10,3)</f>
        <v>25</v>
      </c>
      <c r="G1088" s="8">
        <f>financials[[#This Row],[Units Sold]]*financials[[#This Row],[Sale Price]]</f>
        <v>300</v>
      </c>
      <c r="H1088" s="8">
        <f>IF(financials[[#This Row],[Discount Band]]="low",0.1,IF(financials[[#This Row],[Discount Band]]="medium",0.15,0.3))</f>
        <v>0.3</v>
      </c>
      <c r="I1088" s="8">
        <f>financials[[#This Row],[Gross Sales]]-financials[[#This Row],[Gross Sales]]*financials[[#This Row],[Discounts]]</f>
        <v>210</v>
      </c>
      <c r="J1088" s="8">
        <f>VLOOKUP(financials[[#This Row],[productid]],Products!$B$2:$H$10,4)</f>
        <v>9.1</v>
      </c>
      <c r="K1088" s="8">
        <f>financials[[#This Row],[Net Sales]]-financials[[#This Row],[COGS]]</f>
        <v>200.9</v>
      </c>
      <c r="L1088" s="15">
        <v>44772</v>
      </c>
      <c r="M1088" t="s">
        <v>691</v>
      </c>
    </row>
    <row r="1089" spans="1:13" x14ac:dyDescent="0.25">
      <c r="A1089" t="s">
        <v>89</v>
      </c>
      <c r="B1089" s="6" t="s">
        <v>95</v>
      </c>
      <c r="C1089" s="13">
        <v>106</v>
      </c>
      <c r="D1089" s="14" t="s">
        <v>83</v>
      </c>
      <c r="E1089">
        <v>15</v>
      </c>
      <c r="F1089" s="8">
        <f>VLOOKUP(financials[[#This Row],[productid]],Products!$B$2:$H$10,3)</f>
        <v>25</v>
      </c>
      <c r="G1089" s="8">
        <f>financials[[#This Row],[Units Sold]]*financials[[#This Row],[Sale Price]]</f>
        <v>375</v>
      </c>
      <c r="H1089" s="8">
        <f>IF(financials[[#This Row],[Discount Band]]="low",0.1,IF(financials[[#This Row],[Discount Band]]="medium",0.15,0.3))</f>
        <v>0.3</v>
      </c>
      <c r="I1089" s="8">
        <f>financials[[#This Row],[Gross Sales]]-financials[[#This Row],[Gross Sales]]*financials[[#This Row],[Discounts]]</f>
        <v>262.5</v>
      </c>
      <c r="J1089" s="8">
        <f>VLOOKUP(financials[[#This Row],[productid]],Products!$B$2:$H$10,4)</f>
        <v>9.1</v>
      </c>
      <c r="K1089" s="8">
        <f>financials[[#This Row],[Net Sales]]-financials[[#This Row],[COGS]]</f>
        <v>253.4</v>
      </c>
      <c r="L1089" s="15">
        <v>44927</v>
      </c>
      <c r="M1089" t="s">
        <v>696</v>
      </c>
    </row>
    <row r="1090" spans="1:13" x14ac:dyDescent="0.25">
      <c r="A1090" t="s">
        <v>86</v>
      </c>
      <c r="B1090" s="6" t="s">
        <v>93</v>
      </c>
      <c r="C1090" s="13">
        <v>101</v>
      </c>
      <c r="D1090" s="14" t="s">
        <v>83</v>
      </c>
      <c r="E1090">
        <v>11</v>
      </c>
      <c r="F1090" s="8">
        <f>VLOOKUP(financials[[#This Row],[productid]],Products!$B$2:$H$10,3)</f>
        <v>23</v>
      </c>
      <c r="G1090" s="8">
        <f>financials[[#This Row],[Units Sold]]*financials[[#This Row],[Sale Price]]</f>
        <v>253</v>
      </c>
      <c r="H1090" s="8">
        <f>IF(financials[[#This Row],[Discount Band]]="low",0.1,IF(financials[[#This Row],[Discount Band]]="medium",0.15,0.3))</f>
        <v>0.3</v>
      </c>
      <c r="I1090" s="8">
        <f>financials[[#This Row],[Gross Sales]]-financials[[#This Row],[Gross Sales]]*financials[[#This Row],[Discounts]]</f>
        <v>177.10000000000002</v>
      </c>
      <c r="J1090" s="8">
        <f>VLOOKUP(financials[[#This Row],[productid]],Products!$B$2:$H$10,4)</f>
        <v>9.9499999999999993</v>
      </c>
      <c r="K1090" s="8">
        <f>financials[[#This Row],[Net Sales]]-financials[[#This Row],[COGS]]</f>
        <v>167.15000000000003</v>
      </c>
      <c r="L1090" s="15">
        <v>44255</v>
      </c>
      <c r="M1090" t="s">
        <v>691</v>
      </c>
    </row>
    <row r="1091" spans="1:13" x14ac:dyDescent="0.25">
      <c r="A1091" t="s">
        <v>89</v>
      </c>
      <c r="B1091" s="6" t="s">
        <v>617</v>
      </c>
      <c r="C1091" s="13">
        <v>108</v>
      </c>
      <c r="D1091" s="14" t="s">
        <v>92</v>
      </c>
      <c r="E1091">
        <v>6</v>
      </c>
      <c r="F1091" s="8">
        <f>VLOOKUP(financials[[#This Row],[productid]],Products!$B$2:$H$10,3)</f>
        <v>5.5</v>
      </c>
      <c r="G1091" s="8">
        <f>financials[[#This Row],[Units Sold]]*financials[[#This Row],[Sale Price]]</f>
        <v>33</v>
      </c>
      <c r="H1091" s="8">
        <f>IF(financials[[#This Row],[Discount Band]]="low",0.1,IF(financials[[#This Row],[Discount Band]]="medium",0.15,0.3))</f>
        <v>0.3</v>
      </c>
      <c r="I1091" s="8">
        <f>financials[[#This Row],[Gross Sales]]-financials[[#This Row],[Gross Sales]]*financials[[#This Row],[Discounts]]</f>
        <v>23.1</v>
      </c>
      <c r="J1091" s="8">
        <f>VLOOKUP(financials[[#This Row],[productid]],Products!$B$2:$H$10,4)</f>
        <v>3.99</v>
      </c>
      <c r="K1091" s="8">
        <f>financials[[#This Row],[Net Sales]]-financials[[#This Row],[COGS]]</f>
        <v>19.11</v>
      </c>
      <c r="L1091" s="15">
        <v>45197</v>
      </c>
      <c r="M1091" t="s">
        <v>691</v>
      </c>
    </row>
    <row r="1092" spans="1:13" x14ac:dyDescent="0.25">
      <c r="A1092" t="s">
        <v>85</v>
      </c>
      <c r="B1092" s="6" t="s">
        <v>197</v>
      </c>
      <c r="C1092" s="11">
        <v>106</v>
      </c>
      <c r="D1092" s="9" t="s">
        <v>90</v>
      </c>
      <c r="E1092">
        <v>14</v>
      </c>
      <c r="F1092" s="8">
        <f>VLOOKUP(financials[[#This Row],[productid]],Products!$B$2:$H$10,3)</f>
        <v>25</v>
      </c>
      <c r="G1092" s="8">
        <f>financials[[#This Row],[Units Sold]]*financials[[#This Row],[Sale Price]]</f>
        <v>350</v>
      </c>
      <c r="H1092" s="8">
        <f>IF(financials[[#This Row],[Discount Band]]="low",0.1,IF(financials[[#This Row],[Discount Band]]="medium",0.15,0.3))</f>
        <v>0.15</v>
      </c>
      <c r="I1092" s="8">
        <f>financials[[#This Row],[Gross Sales]]-financials[[#This Row],[Gross Sales]]*financials[[#This Row],[Discounts]]</f>
        <v>297.5</v>
      </c>
      <c r="J1092" s="8">
        <f>VLOOKUP(financials[[#This Row],[productid]],Products!$B$2:$H$10,4)</f>
        <v>9.1</v>
      </c>
      <c r="K1092" s="8">
        <f>financials[[#This Row],[Net Sales]]-financials[[#This Row],[COGS]]</f>
        <v>288.39999999999998</v>
      </c>
      <c r="L1092" s="15">
        <v>44159</v>
      </c>
      <c r="M1092" t="s">
        <v>696</v>
      </c>
    </row>
    <row r="1093" spans="1:13" x14ac:dyDescent="0.25">
      <c r="A1093" t="s">
        <v>86</v>
      </c>
      <c r="B1093" s="6" t="s">
        <v>125</v>
      </c>
      <c r="C1093" s="11">
        <v>102</v>
      </c>
      <c r="D1093" s="9" t="s">
        <v>90</v>
      </c>
      <c r="E1093">
        <v>17</v>
      </c>
      <c r="F1093" s="8">
        <f>VLOOKUP(financials[[#This Row],[productid]],Products!$B$2:$H$10,3)</f>
        <v>15</v>
      </c>
      <c r="G1093" s="8">
        <f>financials[[#This Row],[Units Sold]]*financials[[#This Row],[Sale Price]]</f>
        <v>255</v>
      </c>
      <c r="H1093" s="8">
        <f>IF(financials[[#This Row],[Discount Band]]="low",0.1,IF(financials[[#This Row],[Discount Band]]="medium",0.15,0.3))</f>
        <v>0.15</v>
      </c>
      <c r="I1093" s="8">
        <f>financials[[#This Row],[Gross Sales]]-financials[[#This Row],[Gross Sales]]*financials[[#This Row],[Discounts]]</f>
        <v>216.75</v>
      </c>
      <c r="J1093" s="8">
        <f>VLOOKUP(financials[[#This Row],[productid]],Products!$B$2:$H$10,4)</f>
        <v>13.95</v>
      </c>
      <c r="K1093" s="8">
        <f>financials[[#This Row],[Net Sales]]-financials[[#This Row],[COGS]]</f>
        <v>202.8</v>
      </c>
      <c r="L1093" s="15">
        <v>44276</v>
      </c>
      <c r="M1093" t="s">
        <v>691</v>
      </c>
    </row>
    <row r="1094" spans="1:13" x14ac:dyDescent="0.25">
      <c r="A1094" t="s">
        <v>89</v>
      </c>
      <c r="B1094" s="6" t="s">
        <v>158</v>
      </c>
      <c r="C1094" s="11">
        <v>104</v>
      </c>
      <c r="D1094" s="9" t="s">
        <v>83</v>
      </c>
      <c r="E1094">
        <v>5</v>
      </c>
      <c r="F1094" s="8">
        <f>VLOOKUP(financials[[#This Row],[productid]],Products!$B$2:$H$10,3)</f>
        <v>5.9</v>
      </c>
      <c r="G1094" s="8">
        <f>financials[[#This Row],[Units Sold]]*financials[[#This Row],[Sale Price]]</f>
        <v>29.5</v>
      </c>
      <c r="H1094" s="8">
        <f>IF(financials[[#This Row],[Discount Band]]="low",0.1,IF(financials[[#This Row],[Discount Band]]="medium",0.15,0.3))</f>
        <v>0.3</v>
      </c>
      <c r="I1094" s="8">
        <f>financials[[#This Row],[Gross Sales]]-financials[[#This Row],[Gross Sales]]*financials[[#This Row],[Discounts]]</f>
        <v>20.65</v>
      </c>
      <c r="J1094" s="8">
        <f>VLOOKUP(financials[[#This Row],[productid]],Products!$B$2:$H$10,4)</f>
        <v>2.9</v>
      </c>
      <c r="K1094" s="8">
        <f>financials[[#This Row],[Net Sales]]-financials[[#This Row],[COGS]]</f>
        <v>17.75</v>
      </c>
      <c r="L1094" s="15">
        <v>44905</v>
      </c>
      <c r="M1094" t="s">
        <v>697</v>
      </c>
    </row>
    <row r="1095" spans="1:13" x14ac:dyDescent="0.25">
      <c r="A1095" t="s">
        <v>89</v>
      </c>
      <c r="B1095" s="6" t="s">
        <v>158</v>
      </c>
      <c r="C1095" s="13">
        <v>103</v>
      </c>
      <c r="D1095" s="14" t="s">
        <v>83</v>
      </c>
      <c r="E1095">
        <v>11</v>
      </c>
      <c r="F1095" s="8">
        <f>VLOOKUP(financials[[#This Row],[productid]],Products!$B$2:$H$10,3)</f>
        <v>28</v>
      </c>
      <c r="G1095" s="8">
        <f>financials[[#This Row],[Units Sold]]*financials[[#This Row],[Sale Price]]</f>
        <v>308</v>
      </c>
      <c r="H1095" s="8">
        <f>IF(financials[[#This Row],[Discount Band]]="low",0.1,IF(financials[[#This Row],[Discount Band]]="medium",0.15,0.3))</f>
        <v>0.3</v>
      </c>
      <c r="I1095" s="8">
        <f>financials[[#This Row],[Gross Sales]]-financials[[#This Row],[Gross Sales]]*financials[[#This Row],[Discounts]]</f>
        <v>215.60000000000002</v>
      </c>
      <c r="J1095" s="8">
        <f>VLOOKUP(financials[[#This Row],[productid]],Products!$B$2:$H$10,4)</f>
        <v>15</v>
      </c>
      <c r="K1095" s="8">
        <f>financials[[#This Row],[Net Sales]]-financials[[#This Row],[COGS]]</f>
        <v>200.60000000000002</v>
      </c>
      <c r="L1095" s="15">
        <v>44706</v>
      </c>
      <c r="M1095" t="s">
        <v>697</v>
      </c>
    </row>
    <row r="1096" spans="1:13" x14ac:dyDescent="0.25">
      <c r="A1096" t="s">
        <v>86</v>
      </c>
      <c r="B1096" s="6" t="s">
        <v>276</v>
      </c>
      <c r="C1096" s="13">
        <v>101</v>
      </c>
      <c r="D1096" s="14" t="s">
        <v>90</v>
      </c>
      <c r="E1096">
        <v>10</v>
      </c>
      <c r="F1096" s="8">
        <f>VLOOKUP(financials[[#This Row],[productid]],Products!$B$2:$H$10,3)</f>
        <v>23</v>
      </c>
      <c r="G1096" s="8">
        <f>financials[[#This Row],[Units Sold]]*financials[[#This Row],[Sale Price]]</f>
        <v>230</v>
      </c>
      <c r="H1096" s="8">
        <f>IF(financials[[#This Row],[Discount Band]]="low",0.1,IF(financials[[#This Row],[Discount Band]]="medium",0.15,0.3))</f>
        <v>0.15</v>
      </c>
      <c r="I1096" s="8">
        <f>financials[[#This Row],[Gross Sales]]-financials[[#This Row],[Gross Sales]]*financials[[#This Row],[Discounts]]</f>
        <v>195.5</v>
      </c>
      <c r="J1096" s="8">
        <f>VLOOKUP(financials[[#This Row],[productid]],Products!$B$2:$H$10,4)</f>
        <v>9.9499999999999993</v>
      </c>
      <c r="K1096" s="8">
        <f>financials[[#This Row],[Net Sales]]-financials[[#This Row],[COGS]]</f>
        <v>185.55</v>
      </c>
      <c r="L1096" s="15">
        <v>44861</v>
      </c>
      <c r="M1096" t="s">
        <v>696</v>
      </c>
    </row>
    <row r="1097" spans="1:13" x14ac:dyDescent="0.25">
      <c r="A1097" t="s">
        <v>86</v>
      </c>
      <c r="B1097" s="6" t="s">
        <v>198</v>
      </c>
      <c r="C1097" s="13">
        <v>107</v>
      </c>
      <c r="D1097" s="14" t="s">
        <v>83</v>
      </c>
      <c r="E1097">
        <v>7</v>
      </c>
      <c r="F1097" s="8">
        <f>VLOOKUP(financials[[#This Row],[productid]],Products!$B$2:$H$10,3)</f>
        <v>15</v>
      </c>
      <c r="G1097" s="8">
        <f>financials[[#This Row],[Units Sold]]*financials[[#This Row],[Sale Price]]</f>
        <v>105</v>
      </c>
      <c r="H1097" s="8">
        <f>IF(financials[[#This Row],[Discount Band]]="low",0.1,IF(financials[[#This Row],[Discount Band]]="medium",0.15,0.3))</f>
        <v>0.3</v>
      </c>
      <c r="I1097" s="8">
        <f>financials[[#This Row],[Gross Sales]]-financials[[#This Row],[Gross Sales]]*financials[[#This Row],[Discounts]]</f>
        <v>73.5</v>
      </c>
      <c r="J1097" s="8">
        <f>VLOOKUP(financials[[#This Row],[productid]],Products!$B$2:$H$10,4)</f>
        <v>5.5</v>
      </c>
      <c r="K1097" s="8">
        <f>financials[[#This Row],[Net Sales]]-financials[[#This Row],[COGS]]</f>
        <v>68</v>
      </c>
      <c r="L1097" s="15">
        <v>44511</v>
      </c>
      <c r="M1097" t="s">
        <v>697</v>
      </c>
    </row>
    <row r="1098" spans="1:13" x14ac:dyDescent="0.25">
      <c r="A1098" t="s">
        <v>86</v>
      </c>
      <c r="B1098" s="6" t="s">
        <v>276</v>
      </c>
      <c r="C1098" s="13">
        <v>104</v>
      </c>
      <c r="D1098" s="14" t="s">
        <v>91</v>
      </c>
      <c r="E1098">
        <v>8</v>
      </c>
      <c r="F1098" s="8">
        <f>VLOOKUP(financials[[#This Row],[productid]],Products!$B$2:$H$10,3)</f>
        <v>5.9</v>
      </c>
      <c r="G1098" s="8">
        <f>financials[[#This Row],[Units Sold]]*financials[[#This Row],[Sale Price]]</f>
        <v>47.2</v>
      </c>
      <c r="H1098" s="8">
        <f>IF(financials[[#This Row],[Discount Band]]="low",0.1,IF(financials[[#This Row],[Discount Band]]="medium",0.15,0.3))</f>
        <v>0.1</v>
      </c>
      <c r="I1098" s="8">
        <f>financials[[#This Row],[Gross Sales]]-financials[[#This Row],[Gross Sales]]*financials[[#This Row],[Discounts]]</f>
        <v>42.480000000000004</v>
      </c>
      <c r="J1098" s="8">
        <f>VLOOKUP(financials[[#This Row],[productid]],Products!$B$2:$H$10,4)</f>
        <v>2.9</v>
      </c>
      <c r="K1098" s="8">
        <f>financials[[#This Row],[Net Sales]]-financials[[#This Row],[COGS]]</f>
        <v>39.580000000000005</v>
      </c>
      <c r="L1098" s="15">
        <v>44223</v>
      </c>
      <c r="M1098" t="s">
        <v>696</v>
      </c>
    </row>
    <row r="1099" spans="1:13" x14ac:dyDescent="0.25">
      <c r="A1099" t="s">
        <v>89</v>
      </c>
      <c r="B1099" s="6" t="s">
        <v>240</v>
      </c>
      <c r="C1099" s="13">
        <v>102</v>
      </c>
      <c r="D1099" s="14" t="s">
        <v>92</v>
      </c>
      <c r="E1099">
        <v>16</v>
      </c>
      <c r="F1099" s="8">
        <f>VLOOKUP(financials[[#This Row],[productid]],Products!$B$2:$H$10,3)</f>
        <v>15</v>
      </c>
      <c r="G1099" s="8">
        <f>financials[[#This Row],[Units Sold]]*financials[[#This Row],[Sale Price]]</f>
        <v>240</v>
      </c>
      <c r="H1099" s="8">
        <f>IF(financials[[#This Row],[Discount Band]]="low",0.1,IF(financials[[#This Row],[Discount Band]]="medium",0.15,0.3))</f>
        <v>0.3</v>
      </c>
      <c r="I1099" s="8">
        <f>financials[[#This Row],[Gross Sales]]-financials[[#This Row],[Gross Sales]]*financials[[#This Row],[Discounts]]</f>
        <v>168</v>
      </c>
      <c r="J1099" s="8">
        <f>VLOOKUP(financials[[#This Row],[productid]],Products!$B$2:$H$10,4)</f>
        <v>13.95</v>
      </c>
      <c r="K1099" s="8">
        <f>financials[[#This Row],[Net Sales]]-financials[[#This Row],[COGS]]</f>
        <v>154.05000000000001</v>
      </c>
      <c r="L1099" s="15">
        <v>43859</v>
      </c>
      <c r="M1099" t="s">
        <v>700</v>
      </c>
    </row>
    <row r="1100" spans="1:13" x14ac:dyDescent="0.25">
      <c r="A1100" t="s">
        <v>89</v>
      </c>
      <c r="B1100" s="6" t="s">
        <v>148</v>
      </c>
      <c r="C1100" s="13">
        <v>102</v>
      </c>
      <c r="D1100" s="14" t="s">
        <v>91</v>
      </c>
      <c r="E1100">
        <v>16</v>
      </c>
      <c r="F1100" s="8">
        <f>VLOOKUP(financials[[#This Row],[productid]],Products!$B$2:$H$10,3)</f>
        <v>15</v>
      </c>
      <c r="G1100" s="8">
        <f>financials[[#This Row],[Units Sold]]*financials[[#This Row],[Sale Price]]</f>
        <v>240</v>
      </c>
      <c r="H1100" s="8">
        <f>IF(financials[[#This Row],[Discount Band]]="low",0.1,IF(financials[[#This Row],[Discount Band]]="medium",0.15,0.3))</f>
        <v>0.1</v>
      </c>
      <c r="I1100" s="8">
        <f>financials[[#This Row],[Gross Sales]]-financials[[#This Row],[Gross Sales]]*financials[[#This Row],[Discounts]]</f>
        <v>216</v>
      </c>
      <c r="J1100" s="8">
        <f>VLOOKUP(financials[[#This Row],[productid]],Products!$B$2:$H$10,4)</f>
        <v>13.95</v>
      </c>
      <c r="K1100" s="8">
        <f>financials[[#This Row],[Net Sales]]-financials[[#This Row],[COGS]]</f>
        <v>202.05</v>
      </c>
      <c r="L1100" s="15">
        <v>45382</v>
      </c>
      <c r="M1100" t="s">
        <v>697</v>
      </c>
    </row>
    <row r="1101" spans="1:13" x14ac:dyDescent="0.25">
      <c r="A1101" t="s">
        <v>86</v>
      </c>
      <c r="B1101" s="6" t="s">
        <v>287</v>
      </c>
      <c r="C1101" s="13">
        <v>106</v>
      </c>
      <c r="D1101" s="14" t="s">
        <v>83</v>
      </c>
      <c r="E1101">
        <v>7</v>
      </c>
      <c r="F1101" s="8">
        <f>VLOOKUP(financials[[#This Row],[productid]],Products!$B$2:$H$10,3)</f>
        <v>25</v>
      </c>
      <c r="G1101" s="8">
        <f>financials[[#This Row],[Units Sold]]*financials[[#This Row],[Sale Price]]</f>
        <v>175</v>
      </c>
      <c r="H1101" s="8">
        <f>IF(financials[[#This Row],[Discount Band]]="low",0.1,IF(financials[[#This Row],[Discount Band]]="medium",0.15,0.3))</f>
        <v>0.3</v>
      </c>
      <c r="I1101" s="8">
        <f>financials[[#This Row],[Gross Sales]]-financials[[#This Row],[Gross Sales]]*financials[[#This Row],[Discounts]]</f>
        <v>122.5</v>
      </c>
      <c r="J1101" s="8">
        <f>VLOOKUP(financials[[#This Row],[productid]],Products!$B$2:$H$10,4)</f>
        <v>9.1</v>
      </c>
      <c r="K1101" s="8">
        <f>financials[[#This Row],[Net Sales]]-financials[[#This Row],[COGS]]</f>
        <v>113.4</v>
      </c>
      <c r="L1101" s="15">
        <v>45462</v>
      </c>
      <c r="M1101" t="s">
        <v>700</v>
      </c>
    </row>
    <row r="1102" spans="1:13" x14ac:dyDescent="0.25">
      <c r="A1102" t="s">
        <v>86</v>
      </c>
      <c r="B1102" s="6" t="s">
        <v>148</v>
      </c>
      <c r="C1102" s="13">
        <v>105</v>
      </c>
      <c r="D1102" s="14" t="s">
        <v>90</v>
      </c>
      <c r="E1102">
        <v>17</v>
      </c>
      <c r="F1102" s="8">
        <f>VLOOKUP(financials[[#This Row],[productid]],Products!$B$2:$H$10,3)</f>
        <v>15</v>
      </c>
      <c r="G1102" s="8">
        <f>financials[[#This Row],[Units Sold]]*financials[[#This Row],[Sale Price]]</f>
        <v>255</v>
      </c>
      <c r="H1102" s="8">
        <f>IF(financials[[#This Row],[Discount Band]]="low",0.1,IF(financials[[#This Row],[Discount Band]]="medium",0.15,0.3))</f>
        <v>0.15</v>
      </c>
      <c r="I1102" s="8">
        <f>financials[[#This Row],[Gross Sales]]-financials[[#This Row],[Gross Sales]]*financials[[#This Row],[Discounts]]</f>
        <v>216.75</v>
      </c>
      <c r="J1102" s="8">
        <f>VLOOKUP(financials[[#This Row],[productid]],Products!$B$2:$H$10,4)</f>
        <v>10</v>
      </c>
      <c r="K1102" s="8">
        <f>financials[[#This Row],[Net Sales]]-financials[[#This Row],[COGS]]</f>
        <v>206.75</v>
      </c>
      <c r="L1102" s="15">
        <v>44350</v>
      </c>
      <c r="M1102" t="s">
        <v>700</v>
      </c>
    </row>
    <row r="1103" spans="1:13" x14ac:dyDescent="0.25">
      <c r="A1103" t="s">
        <v>89</v>
      </c>
      <c r="B1103" s="6" t="s">
        <v>228</v>
      </c>
      <c r="C1103" s="13">
        <v>103</v>
      </c>
      <c r="D1103" s="14" t="s">
        <v>90</v>
      </c>
      <c r="E1103">
        <v>17</v>
      </c>
      <c r="F1103" s="8">
        <f>VLOOKUP(financials[[#This Row],[productid]],Products!$B$2:$H$10,3)</f>
        <v>28</v>
      </c>
      <c r="G1103" s="8">
        <f>financials[[#This Row],[Units Sold]]*financials[[#This Row],[Sale Price]]</f>
        <v>476</v>
      </c>
      <c r="H1103" s="8">
        <f>IF(financials[[#This Row],[Discount Band]]="low",0.1,IF(financials[[#This Row],[Discount Band]]="medium",0.15,0.3))</f>
        <v>0.15</v>
      </c>
      <c r="I1103" s="8">
        <f>financials[[#This Row],[Gross Sales]]-financials[[#This Row],[Gross Sales]]*financials[[#This Row],[Discounts]]</f>
        <v>404.6</v>
      </c>
      <c r="J1103" s="8">
        <f>VLOOKUP(financials[[#This Row],[productid]],Products!$B$2:$H$10,4)</f>
        <v>15</v>
      </c>
      <c r="K1103" s="8">
        <f>financials[[#This Row],[Net Sales]]-financials[[#This Row],[COGS]]</f>
        <v>389.6</v>
      </c>
      <c r="L1103" s="15">
        <v>44016</v>
      </c>
      <c r="M1103" t="s">
        <v>697</v>
      </c>
    </row>
    <row r="1104" spans="1:13" x14ac:dyDescent="0.25">
      <c r="A1104" t="s">
        <v>89</v>
      </c>
      <c r="B1104" s="6" t="s">
        <v>645</v>
      </c>
      <c r="C1104" s="13">
        <v>108</v>
      </c>
      <c r="D1104" s="14" t="s">
        <v>83</v>
      </c>
      <c r="E1104">
        <v>5</v>
      </c>
      <c r="F1104" s="8">
        <f>VLOOKUP(financials[[#This Row],[productid]],Products!$B$2:$H$10,3)</f>
        <v>5.5</v>
      </c>
      <c r="G1104" s="8">
        <f>financials[[#This Row],[Units Sold]]*financials[[#This Row],[Sale Price]]</f>
        <v>27.5</v>
      </c>
      <c r="H1104" s="8">
        <f>IF(financials[[#This Row],[Discount Band]]="low",0.1,IF(financials[[#This Row],[Discount Band]]="medium",0.15,0.3))</f>
        <v>0.3</v>
      </c>
      <c r="I1104" s="8">
        <f>financials[[#This Row],[Gross Sales]]-financials[[#This Row],[Gross Sales]]*financials[[#This Row],[Discounts]]</f>
        <v>19.25</v>
      </c>
      <c r="J1104" s="8">
        <f>VLOOKUP(financials[[#This Row],[productid]],Products!$B$2:$H$10,4)</f>
        <v>3.99</v>
      </c>
      <c r="K1104" s="8">
        <f>financials[[#This Row],[Net Sales]]-financials[[#This Row],[COGS]]</f>
        <v>15.26</v>
      </c>
      <c r="L1104" s="15">
        <v>44756</v>
      </c>
      <c r="M1104" t="s">
        <v>691</v>
      </c>
    </row>
    <row r="1105" spans="1:13" x14ac:dyDescent="0.25">
      <c r="A1105" t="s">
        <v>89</v>
      </c>
      <c r="B1105" s="6" t="s">
        <v>96</v>
      </c>
      <c r="C1105" s="13">
        <v>105</v>
      </c>
      <c r="D1105" s="14" t="s">
        <v>92</v>
      </c>
      <c r="E1105">
        <v>20</v>
      </c>
      <c r="F1105" s="8">
        <f>VLOOKUP(financials[[#This Row],[productid]],Products!$B$2:$H$10,3)</f>
        <v>15</v>
      </c>
      <c r="G1105" s="8">
        <f>financials[[#This Row],[Units Sold]]*financials[[#This Row],[Sale Price]]</f>
        <v>300</v>
      </c>
      <c r="H1105" s="8">
        <f>IF(financials[[#This Row],[Discount Band]]="low",0.1,IF(financials[[#This Row],[Discount Band]]="medium",0.15,0.3))</f>
        <v>0.3</v>
      </c>
      <c r="I1105" s="8">
        <f>financials[[#This Row],[Gross Sales]]-financials[[#This Row],[Gross Sales]]*financials[[#This Row],[Discounts]]</f>
        <v>210</v>
      </c>
      <c r="J1105" s="8">
        <f>VLOOKUP(financials[[#This Row],[productid]],Products!$B$2:$H$10,4)</f>
        <v>10</v>
      </c>
      <c r="K1105" s="8">
        <f>financials[[#This Row],[Net Sales]]-financials[[#This Row],[COGS]]</f>
        <v>200</v>
      </c>
      <c r="L1105" s="15">
        <v>45174</v>
      </c>
      <c r="M1105" t="s">
        <v>696</v>
      </c>
    </row>
    <row r="1106" spans="1:13" x14ac:dyDescent="0.25">
      <c r="A1106" t="s">
        <v>85</v>
      </c>
      <c r="B1106" s="6" t="s">
        <v>167</v>
      </c>
      <c r="C1106" s="13">
        <v>103</v>
      </c>
      <c r="D1106" s="14" t="s">
        <v>90</v>
      </c>
      <c r="E1106">
        <v>12</v>
      </c>
      <c r="F1106" s="8">
        <f>VLOOKUP(financials[[#This Row],[productid]],Products!$B$2:$H$10,3)</f>
        <v>28</v>
      </c>
      <c r="G1106" s="8">
        <f>financials[[#This Row],[Units Sold]]*financials[[#This Row],[Sale Price]]</f>
        <v>336</v>
      </c>
      <c r="H1106" s="8">
        <f>IF(financials[[#This Row],[Discount Band]]="low",0.1,IF(financials[[#This Row],[Discount Band]]="medium",0.15,0.3))</f>
        <v>0.15</v>
      </c>
      <c r="I1106" s="8">
        <f>financials[[#This Row],[Gross Sales]]-financials[[#This Row],[Gross Sales]]*financials[[#This Row],[Discounts]]</f>
        <v>285.60000000000002</v>
      </c>
      <c r="J1106" s="8">
        <f>VLOOKUP(financials[[#This Row],[productid]],Products!$B$2:$H$10,4)</f>
        <v>15</v>
      </c>
      <c r="K1106" s="8">
        <f>financials[[#This Row],[Net Sales]]-financials[[#This Row],[COGS]]</f>
        <v>270.60000000000002</v>
      </c>
      <c r="L1106" s="15">
        <v>45433</v>
      </c>
      <c r="M1106" t="s">
        <v>690</v>
      </c>
    </row>
    <row r="1107" spans="1:13" x14ac:dyDescent="0.25">
      <c r="A1107" t="s">
        <v>85</v>
      </c>
      <c r="B1107" s="6" t="s">
        <v>545</v>
      </c>
      <c r="C1107" s="13">
        <v>102</v>
      </c>
      <c r="D1107" s="14" t="s">
        <v>91</v>
      </c>
      <c r="E1107">
        <v>14</v>
      </c>
      <c r="F1107" s="8">
        <f>VLOOKUP(financials[[#This Row],[productid]],Products!$B$2:$H$10,3)</f>
        <v>15</v>
      </c>
      <c r="G1107" s="8">
        <f>financials[[#This Row],[Units Sold]]*financials[[#This Row],[Sale Price]]</f>
        <v>210</v>
      </c>
      <c r="H1107" s="8">
        <f>IF(financials[[#This Row],[Discount Band]]="low",0.1,IF(financials[[#This Row],[Discount Band]]="medium",0.15,0.3))</f>
        <v>0.1</v>
      </c>
      <c r="I1107" s="8">
        <f>financials[[#This Row],[Gross Sales]]-financials[[#This Row],[Gross Sales]]*financials[[#This Row],[Discounts]]</f>
        <v>189</v>
      </c>
      <c r="J1107" s="8">
        <f>VLOOKUP(financials[[#This Row],[productid]],Products!$B$2:$H$10,4)</f>
        <v>13.95</v>
      </c>
      <c r="K1107" s="8">
        <f>financials[[#This Row],[Net Sales]]-financials[[#This Row],[COGS]]</f>
        <v>175.05</v>
      </c>
      <c r="L1107" s="15">
        <v>44848</v>
      </c>
      <c r="M1107" t="s">
        <v>696</v>
      </c>
    </row>
    <row r="1108" spans="1:13" x14ac:dyDescent="0.25">
      <c r="A1108" t="s">
        <v>86</v>
      </c>
      <c r="B1108" s="6" t="s">
        <v>266</v>
      </c>
      <c r="C1108" s="13">
        <v>106</v>
      </c>
      <c r="D1108" s="14" t="s">
        <v>83</v>
      </c>
      <c r="E1108">
        <v>15</v>
      </c>
      <c r="F1108" s="8">
        <f>VLOOKUP(financials[[#This Row],[productid]],Products!$B$2:$H$10,3)</f>
        <v>25</v>
      </c>
      <c r="G1108" s="8">
        <f>financials[[#This Row],[Units Sold]]*financials[[#This Row],[Sale Price]]</f>
        <v>375</v>
      </c>
      <c r="H1108" s="8">
        <f>IF(financials[[#This Row],[Discount Band]]="low",0.1,IF(financials[[#This Row],[Discount Band]]="medium",0.15,0.3))</f>
        <v>0.3</v>
      </c>
      <c r="I1108" s="8">
        <f>financials[[#This Row],[Gross Sales]]-financials[[#This Row],[Gross Sales]]*financials[[#This Row],[Discounts]]</f>
        <v>262.5</v>
      </c>
      <c r="J1108" s="8">
        <f>VLOOKUP(financials[[#This Row],[productid]],Products!$B$2:$H$10,4)</f>
        <v>9.1</v>
      </c>
      <c r="K1108" s="8">
        <f>financials[[#This Row],[Net Sales]]-financials[[#This Row],[COGS]]</f>
        <v>253.4</v>
      </c>
      <c r="L1108" s="15">
        <v>45152</v>
      </c>
      <c r="M1108" t="s">
        <v>690</v>
      </c>
    </row>
    <row r="1109" spans="1:13" x14ac:dyDescent="0.25">
      <c r="A1109" t="s">
        <v>86</v>
      </c>
      <c r="B1109" s="6" t="s">
        <v>240</v>
      </c>
      <c r="C1109" s="13">
        <v>103</v>
      </c>
      <c r="D1109" s="14" t="s">
        <v>83</v>
      </c>
      <c r="E1109">
        <v>12</v>
      </c>
      <c r="F1109" s="8">
        <f>VLOOKUP(financials[[#This Row],[productid]],Products!$B$2:$H$10,3)</f>
        <v>28</v>
      </c>
      <c r="G1109" s="8">
        <f>financials[[#This Row],[Units Sold]]*financials[[#This Row],[Sale Price]]</f>
        <v>336</v>
      </c>
      <c r="H1109" s="8">
        <f>IF(financials[[#This Row],[Discount Band]]="low",0.1,IF(financials[[#This Row],[Discount Band]]="medium",0.15,0.3))</f>
        <v>0.3</v>
      </c>
      <c r="I1109" s="8">
        <f>financials[[#This Row],[Gross Sales]]-financials[[#This Row],[Gross Sales]]*financials[[#This Row],[Discounts]]</f>
        <v>235.2</v>
      </c>
      <c r="J1109" s="8">
        <f>VLOOKUP(financials[[#This Row],[productid]],Products!$B$2:$H$10,4)</f>
        <v>15</v>
      </c>
      <c r="K1109" s="8">
        <f>financials[[#This Row],[Net Sales]]-financials[[#This Row],[COGS]]</f>
        <v>220.2</v>
      </c>
      <c r="L1109" s="15">
        <v>44743</v>
      </c>
      <c r="M1109" t="s">
        <v>696</v>
      </c>
    </row>
    <row r="1110" spans="1:13" x14ac:dyDescent="0.25">
      <c r="A1110" t="s">
        <v>86</v>
      </c>
      <c r="B1110" s="6" t="s">
        <v>617</v>
      </c>
      <c r="C1110" s="13">
        <v>108</v>
      </c>
      <c r="D1110" s="14" t="s">
        <v>83</v>
      </c>
      <c r="E1110">
        <v>14</v>
      </c>
      <c r="F1110" s="8">
        <f>VLOOKUP(financials[[#This Row],[productid]],Products!$B$2:$H$10,3)</f>
        <v>5.5</v>
      </c>
      <c r="G1110" s="8">
        <f>financials[[#This Row],[Units Sold]]*financials[[#This Row],[Sale Price]]</f>
        <v>77</v>
      </c>
      <c r="H1110" s="8">
        <f>IF(financials[[#This Row],[Discount Band]]="low",0.1,IF(financials[[#This Row],[Discount Band]]="medium",0.15,0.3))</f>
        <v>0.3</v>
      </c>
      <c r="I1110" s="8">
        <f>financials[[#This Row],[Gross Sales]]-financials[[#This Row],[Gross Sales]]*financials[[#This Row],[Discounts]]</f>
        <v>53.900000000000006</v>
      </c>
      <c r="J1110" s="8">
        <f>VLOOKUP(financials[[#This Row],[productid]],Products!$B$2:$H$10,4)</f>
        <v>3.99</v>
      </c>
      <c r="K1110" s="8">
        <f>financials[[#This Row],[Net Sales]]-financials[[#This Row],[COGS]]</f>
        <v>49.910000000000004</v>
      </c>
      <c r="L1110" s="15">
        <v>44854</v>
      </c>
      <c r="M1110" t="s">
        <v>691</v>
      </c>
    </row>
    <row r="1111" spans="1:13" x14ac:dyDescent="0.25">
      <c r="A1111" t="s">
        <v>89</v>
      </c>
      <c r="B1111" s="6" t="s">
        <v>240</v>
      </c>
      <c r="C1111" s="13">
        <v>108</v>
      </c>
      <c r="D1111" s="14" t="s">
        <v>90</v>
      </c>
      <c r="E1111">
        <v>7</v>
      </c>
      <c r="F1111" s="8">
        <f>VLOOKUP(financials[[#This Row],[productid]],Products!$B$2:$H$10,3)</f>
        <v>5.5</v>
      </c>
      <c r="G1111" s="8">
        <f>financials[[#This Row],[Units Sold]]*financials[[#This Row],[Sale Price]]</f>
        <v>38.5</v>
      </c>
      <c r="H1111" s="8">
        <f>IF(financials[[#This Row],[Discount Band]]="low",0.1,IF(financials[[#This Row],[Discount Band]]="medium",0.15,0.3))</f>
        <v>0.15</v>
      </c>
      <c r="I1111" s="8">
        <f>financials[[#This Row],[Gross Sales]]-financials[[#This Row],[Gross Sales]]*financials[[#This Row],[Discounts]]</f>
        <v>32.725000000000001</v>
      </c>
      <c r="J1111" s="8">
        <f>VLOOKUP(financials[[#This Row],[productid]],Products!$B$2:$H$10,4)</f>
        <v>3.99</v>
      </c>
      <c r="K1111" s="8">
        <f>financials[[#This Row],[Net Sales]]-financials[[#This Row],[COGS]]</f>
        <v>28.734999999999999</v>
      </c>
      <c r="L1111" s="15">
        <v>44801</v>
      </c>
      <c r="M1111" t="s">
        <v>700</v>
      </c>
    </row>
    <row r="1112" spans="1:13" x14ac:dyDescent="0.25">
      <c r="A1112" t="s">
        <v>89</v>
      </c>
      <c r="B1112" s="6" t="s">
        <v>232</v>
      </c>
      <c r="C1112" s="13">
        <v>104</v>
      </c>
      <c r="D1112" s="14" t="s">
        <v>91</v>
      </c>
      <c r="E1112">
        <v>5</v>
      </c>
      <c r="F1112" s="8">
        <f>VLOOKUP(financials[[#This Row],[productid]],Products!$B$2:$H$10,3)</f>
        <v>5.9</v>
      </c>
      <c r="G1112" s="8">
        <f>financials[[#This Row],[Units Sold]]*financials[[#This Row],[Sale Price]]</f>
        <v>29.5</v>
      </c>
      <c r="H1112" s="8">
        <f>IF(financials[[#This Row],[Discount Band]]="low",0.1,IF(financials[[#This Row],[Discount Band]]="medium",0.15,0.3))</f>
        <v>0.1</v>
      </c>
      <c r="I1112" s="8">
        <f>financials[[#This Row],[Gross Sales]]-financials[[#This Row],[Gross Sales]]*financials[[#This Row],[Discounts]]</f>
        <v>26.55</v>
      </c>
      <c r="J1112" s="8">
        <f>VLOOKUP(financials[[#This Row],[productid]],Products!$B$2:$H$10,4)</f>
        <v>2.9</v>
      </c>
      <c r="K1112" s="8">
        <f>financials[[#This Row],[Net Sales]]-financials[[#This Row],[COGS]]</f>
        <v>23.650000000000002</v>
      </c>
      <c r="L1112" s="15">
        <v>45165</v>
      </c>
      <c r="M1112" t="s">
        <v>690</v>
      </c>
    </row>
    <row r="1113" spans="1:13" x14ac:dyDescent="0.25">
      <c r="A1113" t="s">
        <v>85</v>
      </c>
      <c r="B1113" s="6" t="s">
        <v>273</v>
      </c>
      <c r="C1113" s="13">
        <v>102</v>
      </c>
      <c r="D1113" s="14" t="s">
        <v>83</v>
      </c>
      <c r="E1113">
        <v>13</v>
      </c>
      <c r="F1113" s="8">
        <f>VLOOKUP(financials[[#This Row],[productid]],Products!$B$2:$H$10,3)</f>
        <v>15</v>
      </c>
      <c r="G1113" s="8">
        <f>financials[[#This Row],[Units Sold]]*financials[[#This Row],[Sale Price]]</f>
        <v>195</v>
      </c>
      <c r="H1113" s="8">
        <f>IF(financials[[#This Row],[Discount Band]]="low",0.1,IF(financials[[#This Row],[Discount Band]]="medium",0.15,0.3))</f>
        <v>0.3</v>
      </c>
      <c r="I1113" s="8">
        <f>financials[[#This Row],[Gross Sales]]-financials[[#This Row],[Gross Sales]]*financials[[#This Row],[Discounts]]</f>
        <v>136.5</v>
      </c>
      <c r="J1113" s="8">
        <f>VLOOKUP(financials[[#This Row],[productid]],Products!$B$2:$H$10,4)</f>
        <v>13.95</v>
      </c>
      <c r="K1113" s="8">
        <f>financials[[#This Row],[Net Sales]]-financials[[#This Row],[COGS]]</f>
        <v>122.55</v>
      </c>
      <c r="L1113" s="15">
        <v>45180</v>
      </c>
      <c r="M1113" t="s">
        <v>700</v>
      </c>
    </row>
    <row r="1114" spans="1:13" x14ac:dyDescent="0.25">
      <c r="A1114" t="s">
        <v>89</v>
      </c>
      <c r="B1114" s="6" t="s">
        <v>158</v>
      </c>
      <c r="C1114" s="13">
        <v>106</v>
      </c>
      <c r="D1114" s="14" t="s">
        <v>92</v>
      </c>
      <c r="E1114">
        <v>20</v>
      </c>
      <c r="F1114" s="8">
        <f>VLOOKUP(financials[[#This Row],[productid]],Products!$B$2:$H$10,3)</f>
        <v>25</v>
      </c>
      <c r="G1114" s="8">
        <f>financials[[#This Row],[Units Sold]]*financials[[#This Row],[Sale Price]]</f>
        <v>500</v>
      </c>
      <c r="H1114" s="8">
        <f>IF(financials[[#This Row],[Discount Band]]="low",0.1,IF(financials[[#This Row],[Discount Band]]="medium",0.15,0.3))</f>
        <v>0.3</v>
      </c>
      <c r="I1114" s="8">
        <f>financials[[#This Row],[Gross Sales]]-financials[[#This Row],[Gross Sales]]*financials[[#This Row],[Discounts]]</f>
        <v>350</v>
      </c>
      <c r="J1114" s="8">
        <f>VLOOKUP(financials[[#This Row],[productid]],Products!$B$2:$H$10,4)</f>
        <v>9.1</v>
      </c>
      <c r="K1114" s="8">
        <f>financials[[#This Row],[Net Sales]]-financials[[#This Row],[COGS]]</f>
        <v>340.9</v>
      </c>
      <c r="L1114" s="15">
        <v>43938</v>
      </c>
      <c r="M1114" t="s">
        <v>690</v>
      </c>
    </row>
    <row r="1115" spans="1:13" x14ac:dyDescent="0.25">
      <c r="A1115" t="s">
        <v>89</v>
      </c>
      <c r="B1115" s="6" t="s">
        <v>93</v>
      </c>
      <c r="C1115" s="13">
        <v>105</v>
      </c>
      <c r="D1115" s="14" t="s">
        <v>83</v>
      </c>
      <c r="E1115">
        <v>13</v>
      </c>
      <c r="F1115" s="8">
        <f>VLOOKUP(financials[[#This Row],[productid]],Products!$B$2:$H$10,3)</f>
        <v>15</v>
      </c>
      <c r="G1115" s="8">
        <f>financials[[#This Row],[Units Sold]]*financials[[#This Row],[Sale Price]]</f>
        <v>195</v>
      </c>
      <c r="H1115" s="8">
        <f>IF(financials[[#This Row],[Discount Band]]="low",0.1,IF(financials[[#This Row],[Discount Band]]="medium",0.15,0.3))</f>
        <v>0.3</v>
      </c>
      <c r="I1115" s="8">
        <f>financials[[#This Row],[Gross Sales]]-financials[[#This Row],[Gross Sales]]*financials[[#This Row],[Discounts]]</f>
        <v>136.5</v>
      </c>
      <c r="J1115" s="8">
        <f>VLOOKUP(financials[[#This Row],[productid]],Products!$B$2:$H$10,4)</f>
        <v>10</v>
      </c>
      <c r="K1115" s="8">
        <f>financials[[#This Row],[Net Sales]]-financials[[#This Row],[COGS]]</f>
        <v>126.5</v>
      </c>
      <c r="L1115" s="15">
        <v>45043</v>
      </c>
      <c r="M1115" t="s">
        <v>690</v>
      </c>
    </row>
    <row r="1116" spans="1:13" x14ac:dyDescent="0.25">
      <c r="A1116" t="s">
        <v>89</v>
      </c>
      <c r="B1116" s="6" t="s">
        <v>228</v>
      </c>
      <c r="C1116" s="13">
        <v>101</v>
      </c>
      <c r="D1116" s="14" t="s">
        <v>91</v>
      </c>
      <c r="E1116">
        <v>6</v>
      </c>
      <c r="F1116" s="8">
        <f>VLOOKUP(financials[[#This Row],[productid]],Products!$B$2:$H$10,3)</f>
        <v>23</v>
      </c>
      <c r="G1116" s="8">
        <f>financials[[#This Row],[Units Sold]]*financials[[#This Row],[Sale Price]]</f>
        <v>138</v>
      </c>
      <c r="H1116" s="8">
        <f>IF(financials[[#This Row],[Discount Band]]="low",0.1,IF(financials[[#This Row],[Discount Band]]="medium",0.15,0.3))</f>
        <v>0.1</v>
      </c>
      <c r="I1116" s="8">
        <f>financials[[#This Row],[Gross Sales]]-financials[[#This Row],[Gross Sales]]*financials[[#This Row],[Discounts]]</f>
        <v>124.2</v>
      </c>
      <c r="J1116" s="8">
        <f>VLOOKUP(financials[[#This Row],[productid]],Products!$B$2:$H$10,4)</f>
        <v>9.9499999999999993</v>
      </c>
      <c r="K1116" s="8">
        <f>financials[[#This Row],[Net Sales]]-financials[[#This Row],[COGS]]</f>
        <v>114.25</v>
      </c>
      <c r="L1116" s="15">
        <v>44244</v>
      </c>
      <c r="M1116" t="s">
        <v>696</v>
      </c>
    </row>
    <row r="1117" spans="1:13" x14ac:dyDescent="0.25">
      <c r="A1117" t="s">
        <v>89</v>
      </c>
      <c r="B1117" s="6" t="s">
        <v>240</v>
      </c>
      <c r="C1117" s="13">
        <v>104</v>
      </c>
      <c r="D1117" s="14" t="s">
        <v>83</v>
      </c>
      <c r="E1117">
        <v>16</v>
      </c>
      <c r="F1117" s="8">
        <f>VLOOKUP(financials[[#This Row],[productid]],Products!$B$2:$H$10,3)</f>
        <v>5.9</v>
      </c>
      <c r="G1117" s="8">
        <f>financials[[#This Row],[Units Sold]]*financials[[#This Row],[Sale Price]]</f>
        <v>94.4</v>
      </c>
      <c r="H1117" s="8">
        <f>IF(financials[[#This Row],[Discount Band]]="low",0.1,IF(financials[[#This Row],[Discount Band]]="medium",0.15,0.3))</f>
        <v>0.3</v>
      </c>
      <c r="I1117" s="8">
        <f>financials[[#This Row],[Gross Sales]]-financials[[#This Row],[Gross Sales]]*financials[[#This Row],[Discounts]]</f>
        <v>66.080000000000013</v>
      </c>
      <c r="J1117" s="8">
        <f>VLOOKUP(financials[[#This Row],[productid]],Products!$B$2:$H$10,4)</f>
        <v>2.9</v>
      </c>
      <c r="K1117" s="8">
        <f>financials[[#This Row],[Net Sales]]-financials[[#This Row],[COGS]]</f>
        <v>63.180000000000014</v>
      </c>
      <c r="L1117" s="15">
        <v>45438</v>
      </c>
      <c r="M1117" t="s">
        <v>690</v>
      </c>
    </row>
    <row r="1118" spans="1:13" x14ac:dyDescent="0.25">
      <c r="A1118" t="s">
        <v>86</v>
      </c>
      <c r="B1118" s="6" t="s">
        <v>617</v>
      </c>
      <c r="C1118" s="13">
        <v>103</v>
      </c>
      <c r="D1118" s="14" t="s">
        <v>83</v>
      </c>
      <c r="E1118">
        <v>11</v>
      </c>
      <c r="F1118" s="8">
        <f>VLOOKUP(financials[[#This Row],[productid]],Products!$B$2:$H$10,3)</f>
        <v>28</v>
      </c>
      <c r="G1118" s="8">
        <f>financials[[#This Row],[Units Sold]]*financials[[#This Row],[Sale Price]]</f>
        <v>308</v>
      </c>
      <c r="H1118" s="8">
        <f>IF(financials[[#This Row],[Discount Band]]="low",0.1,IF(financials[[#This Row],[Discount Band]]="medium",0.15,0.3))</f>
        <v>0.3</v>
      </c>
      <c r="I1118" s="8">
        <f>financials[[#This Row],[Gross Sales]]-financials[[#This Row],[Gross Sales]]*financials[[#This Row],[Discounts]]</f>
        <v>215.60000000000002</v>
      </c>
      <c r="J1118" s="8">
        <f>VLOOKUP(financials[[#This Row],[productid]],Products!$B$2:$H$10,4)</f>
        <v>15</v>
      </c>
      <c r="K1118" s="8">
        <f>financials[[#This Row],[Net Sales]]-financials[[#This Row],[COGS]]</f>
        <v>200.60000000000002</v>
      </c>
      <c r="L1118" s="15">
        <v>44334</v>
      </c>
      <c r="M1118" t="s">
        <v>691</v>
      </c>
    </row>
    <row r="1119" spans="1:13" x14ac:dyDescent="0.25">
      <c r="A1119" t="s">
        <v>89</v>
      </c>
      <c r="B1119" s="6" t="s">
        <v>167</v>
      </c>
      <c r="C1119" s="13">
        <v>104</v>
      </c>
      <c r="D1119" s="14" t="s">
        <v>90</v>
      </c>
      <c r="E1119">
        <v>16</v>
      </c>
      <c r="F1119" s="8">
        <f>VLOOKUP(financials[[#This Row],[productid]],Products!$B$2:$H$10,3)</f>
        <v>5.9</v>
      </c>
      <c r="G1119" s="8">
        <f>financials[[#This Row],[Units Sold]]*financials[[#This Row],[Sale Price]]</f>
        <v>94.4</v>
      </c>
      <c r="H1119" s="8">
        <f>IF(financials[[#This Row],[Discount Band]]="low",0.1,IF(financials[[#This Row],[Discount Band]]="medium",0.15,0.3))</f>
        <v>0.15</v>
      </c>
      <c r="I1119" s="8">
        <f>financials[[#This Row],[Gross Sales]]-financials[[#This Row],[Gross Sales]]*financials[[#This Row],[Discounts]]</f>
        <v>80.240000000000009</v>
      </c>
      <c r="J1119" s="8">
        <f>VLOOKUP(financials[[#This Row],[productid]],Products!$B$2:$H$10,4)</f>
        <v>2.9</v>
      </c>
      <c r="K1119" s="8">
        <f>financials[[#This Row],[Net Sales]]-financials[[#This Row],[COGS]]</f>
        <v>77.34</v>
      </c>
      <c r="L1119" s="15">
        <v>43889</v>
      </c>
      <c r="M1119" t="s">
        <v>697</v>
      </c>
    </row>
    <row r="1120" spans="1:13" x14ac:dyDescent="0.25">
      <c r="A1120" t="s">
        <v>89</v>
      </c>
      <c r="B1120" s="6" t="s">
        <v>93</v>
      </c>
      <c r="C1120" s="13">
        <v>106</v>
      </c>
      <c r="D1120" s="14" t="s">
        <v>90</v>
      </c>
      <c r="E1120">
        <v>17</v>
      </c>
      <c r="F1120" s="8">
        <f>VLOOKUP(financials[[#This Row],[productid]],Products!$B$2:$H$10,3)</f>
        <v>25</v>
      </c>
      <c r="G1120" s="8">
        <f>financials[[#This Row],[Units Sold]]*financials[[#This Row],[Sale Price]]</f>
        <v>425</v>
      </c>
      <c r="H1120" s="8">
        <f>IF(financials[[#This Row],[Discount Band]]="low",0.1,IF(financials[[#This Row],[Discount Band]]="medium",0.15,0.3))</f>
        <v>0.15</v>
      </c>
      <c r="I1120" s="8">
        <f>financials[[#This Row],[Gross Sales]]-financials[[#This Row],[Gross Sales]]*financials[[#This Row],[Discounts]]</f>
        <v>361.25</v>
      </c>
      <c r="J1120" s="8">
        <f>VLOOKUP(financials[[#This Row],[productid]],Products!$B$2:$H$10,4)</f>
        <v>9.1</v>
      </c>
      <c r="K1120" s="8">
        <f>financials[[#This Row],[Net Sales]]-financials[[#This Row],[COGS]]</f>
        <v>352.15</v>
      </c>
      <c r="L1120" s="15">
        <v>45130</v>
      </c>
      <c r="M1120" t="s">
        <v>691</v>
      </c>
    </row>
    <row r="1121" spans="1:13" x14ac:dyDescent="0.25">
      <c r="A1121" t="s">
        <v>86</v>
      </c>
      <c r="B1121" s="6" t="s">
        <v>276</v>
      </c>
      <c r="C1121" s="13">
        <v>108</v>
      </c>
      <c r="D1121" s="14" t="s">
        <v>90</v>
      </c>
      <c r="E1121">
        <v>14</v>
      </c>
      <c r="F1121" s="8">
        <f>VLOOKUP(financials[[#This Row],[productid]],Products!$B$2:$H$10,3)</f>
        <v>5.5</v>
      </c>
      <c r="G1121" s="8">
        <f>financials[[#This Row],[Units Sold]]*financials[[#This Row],[Sale Price]]</f>
        <v>77</v>
      </c>
      <c r="H1121" s="8">
        <f>IF(financials[[#This Row],[Discount Band]]="low",0.1,IF(financials[[#This Row],[Discount Band]]="medium",0.15,0.3))</f>
        <v>0.15</v>
      </c>
      <c r="I1121" s="8">
        <f>financials[[#This Row],[Gross Sales]]-financials[[#This Row],[Gross Sales]]*financials[[#This Row],[Discounts]]</f>
        <v>65.45</v>
      </c>
      <c r="J1121" s="8">
        <f>VLOOKUP(financials[[#This Row],[productid]],Products!$B$2:$H$10,4)</f>
        <v>3.99</v>
      </c>
      <c r="K1121" s="8">
        <f>financials[[#This Row],[Net Sales]]-financials[[#This Row],[COGS]]</f>
        <v>61.46</v>
      </c>
      <c r="L1121" s="15">
        <v>44835</v>
      </c>
      <c r="M1121" t="s">
        <v>696</v>
      </c>
    </row>
    <row r="1122" spans="1:13" x14ac:dyDescent="0.25">
      <c r="A1122" t="s">
        <v>89</v>
      </c>
      <c r="B1122" s="6" t="s">
        <v>96</v>
      </c>
      <c r="C1122" s="11">
        <v>105</v>
      </c>
      <c r="D1122" s="9" t="s">
        <v>91</v>
      </c>
      <c r="E1122">
        <v>19</v>
      </c>
      <c r="F1122" s="8">
        <f>VLOOKUP(financials[[#This Row],[productid]],Products!$B$2:$H$10,3)</f>
        <v>15</v>
      </c>
      <c r="G1122" s="8">
        <f>financials[[#This Row],[Units Sold]]*financials[[#This Row],[Sale Price]]</f>
        <v>285</v>
      </c>
      <c r="H1122" s="8">
        <f>IF(financials[[#This Row],[Discount Band]]="low",0.1,IF(financials[[#This Row],[Discount Band]]="medium",0.15,0.3))</f>
        <v>0.1</v>
      </c>
      <c r="I1122" s="8">
        <f>financials[[#This Row],[Gross Sales]]-financials[[#This Row],[Gross Sales]]*financials[[#This Row],[Discounts]]</f>
        <v>256.5</v>
      </c>
      <c r="J1122" s="8">
        <f>VLOOKUP(financials[[#This Row],[productid]],Products!$B$2:$H$10,4)</f>
        <v>10</v>
      </c>
      <c r="K1122" s="8">
        <f>financials[[#This Row],[Net Sales]]-financials[[#This Row],[COGS]]</f>
        <v>246.5</v>
      </c>
      <c r="L1122" s="15">
        <v>44703</v>
      </c>
      <c r="M1122" t="s">
        <v>700</v>
      </c>
    </row>
    <row r="1123" spans="1:13" x14ac:dyDescent="0.25">
      <c r="A1123" t="s">
        <v>89</v>
      </c>
      <c r="B1123" s="6" t="s">
        <v>617</v>
      </c>
      <c r="C1123" s="13">
        <v>109</v>
      </c>
      <c r="D1123" s="14" t="s">
        <v>92</v>
      </c>
      <c r="E1123">
        <v>12</v>
      </c>
      <c r="F1123" s="8">
        <f>VLOOKUP(financials[[#This Row],[productid]],Products!$B$2:$H$10,3)</f>
        <v>36</v>
      </c>
      <c r="G1123" s="8">
        <f>financials[[#This Row],[Units Sold]]*financials[[#This Row],[Sale Price]]</f>
        <v>432</v>
      </c>
      <c r="H1123" s="8">
        <f>IF(financials[[#This Row],[Discount Band]]="low",0.1,IF(financials[[#This Row],[Discount Band]]="medium",0.15,0.3))</f>
        <v>0.3</v>
      </c>
      <c r="I1123" s="8">
        <f>financials[[#This Row],[Gross Sales]]-financials[[#This Row],[Gross Sales]]*financials[[#This Row],[Discounts]]</f>
        <v>302.39999999999998</v>
      </c>
      <c r="J1123" s="8">
        <f>VLOOKUP(financials[[#This Row],[productid]],Products!$B$2:$H$10,4)</f>
        <v>16.8</v>
      </c>
      <c r="K1123" s="8">
        <f>financials[[#This Row],[Net Sales]]-financials[[#This Row],[COGS]]</f>
        <v>285.59999999999997</v>
      </c>
      <c r="L1123" s="15">
        <v>44979</v>
      </c>
      <c r="M1123" t="s">
        <v>700</v>
      </c>
    </row>
    <row r="1124" spans="1:13" x14ac:dyDescent="0.25">
      <c r="A1124" t="s">
        <v>86</v>
      </c>
      <c r="B1124" s="6" t="s">
        <v>266</v>
      </c>
      <c r="C1124" s="13">
        <v>101</v>
      </c>
      <c r="D1124" s="14" t="s">
        <v>83</v>
      </c>
      <c r="E1124">
        <v>19</v>
      </c>
      <c r="F1124" s="8">
        <f>VLOOKUP(financials[[#This Row],[productid]],Products!$B$2:$H$10,3)</f>
        <v>23</v>
      </c>
      <c r="G1124" s="8">
        <f>financials[[#This Row],[Units Sold]]*financials[[#This Row],[Sale Price]]</f>
        <v>437</v>
      </c>
      <c r="H1124" s="8">
        <f>IF(financials[[#This Row],[Discount Band]]="low",0.1,IF(financials[[#This Row],[Discount Band]]="medium",0.15,0.3))</f>
        <v>0.3</v>
      </c>
      <c r="I1124" s="8">
        <f>financials[[#This Row],[Gross Sales]]-financials[[#This Row],[Gross Sales]]*financials[[#This Row],[Discounts]]</f>
        <v>305.89999999999998</v>
      </c>
      <c r="J1124" s="8">
        <f>VLOOKUP(financials[[#This Row],[productid]],Products!$B$2:$H$10,4)</f>
        <v>9.9499999999999993</v>
      </c>
      <c r="K1124" s="8">
        <f>financials[[#This Row],[Net Sales]]-financials[[#This Row],[COGS]]</f>
        <v>295.95</v>
      </c>
      <c r="L1124" s="15">
        <v>44250</v>
      </c>
      <c r="M1124" t="s">
        <v>690</v>
      </c>
    </row>
    <row r="1125" spans="1:13" x14ac:dyDescent="0.25">
      <c r="A1125" t="s">
        <v>86</v>
      </c>
      <c r="B1125" s="6" t="s">
        <v>287</v>
      </c>
      <c r="C1125" s="13">
        <v>102</v>
      </c>
      <c r="D1125" s="14" t="s">
        <v>92</v>
      </c>
      <c r="E1125">
        <v>15</v>
      </c>
      <c r="F1125" s="8">
        <f>VLOOKUP(financials[[#This Row],[productid]],Products!$B$2:$H$10,3)</f>
        <v>15</v>
      </c>
      <c r="G1125" s="8">
        <f>financials[[#This Row],[Units Sold]]*financials[[#This Row],[Sale Price]]</f>
        <v>225</v>
      </c>
      <c r="H1125" s="8">
        <f>IF(financials[[#This Row],[Discount Band]]="low",0.1,IF(financials[[#This Row],[Discount Band]]="medium",0.15,0.3))</f>
        <v>0.3</v>
      </c>
      <c r="I1125" s="8">
        <f>financials[[#This Row],[Gross Sales]]-financials[[#This Row],[Gross Sales]]*financials[[#This Row],[Discounts]]</f>
        <v>157.5</v>
      </c>
      <c r="J1125" s="8">
        <f>VLOOKUP(financials[[#This Row],[productid]],Products!$B$2:$H$10,4)</f>
        <v>13.95</v>
      </c>
      <c r="K1125" s="8">
        <f>financials[[#This Row],[Net Sales]]-financials[[#This Row],[COGS]]</f>
        <v>143.55000000000001</v>
      </c>
      <c r="L1125" s="15">
        <v>45391</v>
      </c>
      <c r="M1125" t="s">
        <v>691</v>
      </c>
    </row>
    <row r="1126" spans="1:13" x14ac:dyDescent="0.25">
      <c r="A1126" t="s">
        <v>85</v>
      </c>
      <c r="B1126" s="6" t="s">
        <v>273</v>
      </c>
      <c r="C1126" s="13">
        <v>105</v>
      </c>
      <c r="D1126" s="14" t="s">
        <v>91</v>
      </c>
      <c r="E1126">
        <v>11</v>
      </c>
      <c r="F1126" s="8">
        <f>VLOOKUP(financials[[#This Row],[productid]],Products!$B$2:$H$10,3)</f>
        <v>15</v>
      </c>
      <c r="G1126" s="8">
        <f>financials[[#This Row],[Units Sold]]*financials[[#This Row],[Sale Price]]</f>
        <v>165</v>
      </c>
      <c r="H1126" s="8">
        <f>IF(financials[[#This Row],[Discount Band]]="low",0.1,IF(financials[[#This Row],[Discount Band]]="medium",0.15,0.3))</f>
        <v>0.1</v>
      </c>
      <c r="I1126" s="8">
        <f>financials[[#This Row],[Gross Sales]]-financials[[#This Row],[Gross Sales]]*financials[[#This Row],[Discounts]]</f>
        <v>148.5</v>
      </c>
      <c r="J1126" s="8">
        <f>VLOOKUP(financials[[#This Row],[productid]],Products!$B$2:$H$10,4)</f>
        <v>10</v>
      </c>
      <c r="K1126" s="8">
        <f>financials[[#This Row],[Net Sales]]-financials[[#This Row],[COGS]]</f>
        <v>138.5</v>
      </c>
      <c r="L1126" s="15">
        <v>44031</v>
      </c>
      <c r="M1126" t="s">
        <v>696</v>
      </c>
    </row>
    <row r="1127" spans="1:13" x14ac:dyDescent="0.25">
      <c r="A1127" t="s">
        <v>89</v>
      </c>
      <c r="B1127" s="6" t="s">
        <v>96</v>
      </c>
      <c r="C1127" s="13">
        <v>104</v>
      </c>
      <c r="D1127" s="14" t="s">
        <v>83</v>
      </c>
      <c r="E1127">
        <v>17</v>
      </c>
      <c r="F1127" s="8">
        <f>VLOOKUP(financials[[#This Row],[productid]],Products!$B$2:$H$10,3)</f>
        <v>5.9</v>
      </c>
      <c r="G1127" s="8">
        <f>financials[[#This Row],[Units Sold]]*financials[[#This Row],[Sale Price]]</f>
        <v>100.30000000000001</v>
      </c>
      <c r="H1127" s="8">
        <f>IF(financials[[#This Row],[Discount Band]]="low",0.1,IF(financials[[#This Row],[Discount Band]]="medium",0.15,0.3))</f>
        <v>0.3</v>
      </c>
      <c r="I1127" s="8">
        <f>financials[[#This Row],[Gross Sales]]-financials[[#This Row],[Gross Sales]]*financials[[#This Row],[Discounts]]</f>
        <v>70.210000000000008</v>
      </c>
      <c r="J1127" s="8">
        <f>VLOOKUP(financials[[#This Row],[productid]],Products!$B$2:$H$10,4)</f>
        <v>2.9</v>
      </c>
      <c r="K1127" s="8">
        <f>financials[[#This Row],[Net Sales]]-financials[[#This Row],[COGS]]</f>
        <v>67.31</v>
      </c>
      <c r="L1127" s="15">
        <v>44172</v>
      </c>
      <c r="M1127" t="s">
        <v>691</v>
      </c>
    </row>
    <row r="1128" spans="1:13" x14ac:dyDescent="0.25">
      <c r="A1128" t="s">
        <v>89</v>
      </c>
      <c r="B1128" s="6" t="s">
        <v>197</v>
      </c>
      <c r="C1128" s="13">
        <v>101</v>
      </c>
      <c r="D1128" s="14" t="s">
        <v>90</v>
      </c>
      <c r="E1128">
        <v>15</v>
      </c>
      <c r="F1128" s="8">
        <f>VLOOKUP(financials[[#This Row],[productid]],Products!$B$2:$H$10,3)</f>
        <v>23</v>
      </c>
      <c r="G1128" s="8">
        <f>financials[[#This Row],[Units Sold]]*financials[[#This Row],[Sale Price]]</f>
        <v>345</v>
      </c>
      <c r="H1128" s="8">
        <f>IF(financials[[#This Row],[Discount Band]]="low",0.1,IF(financials[[#This Row],[Discount Band]]="medium",0.15,0.3))</f>
        <v>0.15</v>
      </c>
      <c r="I1128" s="8">
        <f>financials[[#This Row],[Gross Sales]]-financials[[#This Row],[Gross Sales]]*financials[[#This Row],[Discounts]]</f>
        <v>293.25</v>
      </c>
      <c r="J1128" s="8">
        <f>VLOOKUP(financials[[#This Row],[productid]],Products!$B$2:$H$10,4)</f>
        <v>9.9499999999999993</v>
      </c>
      <c r="K1128" s="8">
        <f>financials[[#This Row],[Net Sales]]-financials[[#This Row],[COGS]]</f>
        <v>283.3</v>
      </c>
      <c r="L1128" s="15">
        <v>45359</v>
      </c>
      <c r="M1128" t="s">
        <v>691</v>
      </c>
    </row>
    <row r="1129" spans="1:13" x14ac:dyDescent="0.25">
      <c r="A1129" t="s">
        <v>89</v>
      </c>
      <c r="B1129" s="6" t="s">
        <v>228</v>
      </c>
      <c r="C1129" s="11">
        <v>103</v>
      </c>
      <c r="D1129" s="9" t="s">
        <v>91</v>
      </c>
      <c r="E1129">
        <v>13</v>
      </c>
      <c r="F1129" s="8">
        <f>VLOOKUP(financials[[#This Row],[productid]],Products!$B$2:$H$10,3)</f>
        <v>28</v>
      </c>
      <c r="G1129" s="8">
        <f>financials[[#This Row],[Units Sold]]*financials[[#This Row],[Sale Price]]</f>
        <v>364</v>
      </c>
      <c r="H1129" s="8">
        <f>IF(financials[[#This Row],[Discount Band]]="low",0.1,IF(financials[[#This Row],[Discount Band]]="medium",0.15,0.3))</f>
        <v>0.1</v>
      </c>
      <c r="I1129" s="8">
        <f>financials[[#This Row],[Gross Sales]]-financials[[#This Row],[Gross Sales]]*financials[[#This Row],[Discounts]]</f>
        <v>327.60000000000002</v>
      </c>
      <c r="J1129" s="8">
        <f>VLOOKUP(financials[[#This Row],[productid]],Products!$B$2:$H$10,4)</f>
        <v>15</v>
      </c>
      <c r="K1129" s="8">
        <f>financials[[#This Row],[Net Sales]]-financials[[#This Row],[COGS]]</f>
        <v>312.60000000000002</v>
      </c>
      <c r="L1129" s="15">
        <v>43890</v>
      </c>
      <c r="M1129" t="s">
        <v>691</v>
      </c>
    </row>
    <row r="1130" spans="1:13" x14ac:dyDescent="0.25">
      <c r="A1130" t="s">
        <v>89</v>
      </c>
      <c r="B1130" s="6" t="s">
        <v>94</v>
      </c>
      <c r="C1130" s="13">
        <v>108</v>
      </c>
      <c r="D1130" s="14" t="s">
        <v>83</v>
      </c>
      <c r="E1130">
        <v>5</v>
      </c>
      <c r="F1130" s="8">
        <f>VLOOKUP(financials[[#This Row],[productid]],Products!$B$2:$H$10,3)</f>
        <v>5.5</v>
      </c>
      <c r="G1130" s="8">
        <f>financials[[#This Row],[Units Sold]]*financials[[#This Row],[Sale Price]]</f>
        <v>27.5</v>
      </c>
      <c r="H1130" s="8">
        <f>IF(financials[[#This Row],[Discount Band]]="low",0.1,IF(financials[[#This Row],[Discount Band]]="medium",0.15,0.3))</f>
        <v>0.3</v>
      </c>
      <c r="I1130" s="8">
        <f>financials[[#This Row],[Gross Sales]]-financials[[#This Row],[Gross Sales]]*financials[[#This Row],[Discounts]]</f>
        <v>19.25</v>
      </c>
      <c r="J1130" s="8">
        <f>VLOOKUP(financials[[#This Row],[productid]],Products!$B$2:$H$10,4)</f>
        <v>3.99</v>
      </c>
      <c r="K1130" s="8">
        <f>financials[[#This Row],[Net Sales]]-financials[[#This Row],[COGS]]</f>
        <v>15.26</v>
      </c>
      <c r="L1130" s="15">
        <v>43869</v>
      </c>
      <c r="M1130" t="s">
        <v>700</v>
      </c>
    </row>
    <row r="1131" spans="1:13" x14ac:dyDescent="0.25">
      <c r="A1131" t="s">
        <v>89</v>
      </c>
      <c r="B1131" s="6" t="s">
        <v>158</v>
      </c>
      <c r="C1131" s="13">
        <v>104</v>
      </c>
      <c r="D1131" s="14" t="s">
        <v>90</v>
      </c>
      <c r="E1131">
        <v>9</v>
      </c>
      <c r="F1131" s="8">
        <f>VLOOKUP(financials[[#This Row],[productid]],Products!$B$2:$H$10,3)</f>
        <v>5.9</v>
      </c>
      <c r="G1131" s="8">
        <f>financials[[#This Row],[Units Sold]]*financials[[#This Row],[Sale Price]]</f>
        <v>53.1</v>
      </c>
      <c r="H1131" s="8">
        <f>IF(financials[[#This Row],[Discount Band]]="low",0.1,IF(financials[[#This Row],[Discount Band]]="medium",0.15,0.3))</f>
        <v>0.15</v>
      </c>
      <c r="I1131" s="8">
        <f>financials[[#This Row],[Gross Sales]]-financials[[#This Row],[Gross Sales]]*financials[[#This Row],[Discounts]]</f>
        <v>45.135000000000005</v>
      </c>
      <c r="J1131" s="8">
        <f>VLOOKUP(financials[[#This Row],[productid]],Products!$B$2:$H$10,4)</f>
        <v>2.9</v>
      </c>
      <c r="K1131" s="8">
        <f>financials[[#This Row],[Net Sales]]-financials[[#This Row],[COGS]]</f>
        <v>42.235000000000007</v>
      </c>
      <c r="L1131" s="15">
        <v>45202</v>
      </c>
      <c r="M1131" t="s">
        <v>697</v>
      </c>
    </row>
    <row r="1132" spans="1:13" x14ac:dyDescent="0.25">
      <c r="A1132" t="s">
        <v>89</v>
      </c>
      <c r="B1132" s="6" t="s">
        <v>148</v>
      </c>
      <c r="C1132" s="13">
        <v>101</v>
      </c>
      <c r="D1132" s="14" t="s">
        <v>90</v>
      </c>
      <c r="E1132">
        <v>17</v>
      </c>
      <c r="F1132" s="8">
        <f>VLOOKUP(financials[[#This Row],[productid]],Products!$B$2:$H$10,3)</f>
        <v>23</v>
      </c>
      <c r="G1132" s="8">
        <f>financials[[#This Row],[Units Sold]]*financials[[#This Row],[Sale Price]]</f>
        <v>391</v>
      </c>
      <c r="H1132" s="8">
        <f>IF(financials[[#This Row],[Discount Band]]="low",0.1,IF(financials[[#This Row],[Discount Band]]="medium",0.15,0.3))</f>
        <v>0.15</v>
      </c>
      <c r="I1132" s="8">
        <f>financials[[#This Row],[Gross Sales]]-financials[[#This Row],[Gross Sales]]*financials[[#This Row],[Discounts]]</f>
        <v>332.35</v>
      </c>
      <c r="J1132" s="8">
        <f>VLOOKUP(financials[[#This Row],[productid]],Products!$B$2:$H$10,4)</f>
        <v>9.9499999999999993</v>
      </c>
      <c r="K1132" s="8">
        <f>financials[[#This Row],[Net Sales]]-financials[[#This Row],[COGS]]</f>
        <v>322.40000000000003</v>
      </c>
      <c r="L1132" s="15">
        <v>44264</v>
      </c>
      <c r="M1132" t="s">
        <v>691</v>
      </c>
    </row>
    <row r="1133" spans="1:13" x14ac:dyDescent="0.25">
      <c r="A1133" t="s">
        <v>89</v>
      </c>
      <c r="B1133" s="6" t="s">
        <v>228</v>
      </c>
      <c r="C1133" s="13">
        <v>107</v>
      </c>
      <c r="D1133" s="14" t="s">
        <v>90</v>
      </c>
      <c r="E1133">
        <v>7</v>
      </c>
      <c r="F1133" s="8">
        <f>VLOOKUP(financials[[#This Row],[productid]],Products!$B$2:$H$10,3)</f>
        <v>15</v>
      </c>
      <c r="G1133" s="8">
        <f>financials[[#This Row],[Units Sold]]*financials[[#This Row],[Sale Price]]</f>
        <v>105</v>
      </c>
      <c r="H1133" s="8">
        <f>IF(financials[[#This Row],[Discount Band]]="low",0.1,IF(financials[[#This Row],[Discount Band]]="medium",0.15,0.3))</f>
        <v>0.15</v>
      </c>
      <c r="I1133" s="8">
        <f>financials[[#This Row],[Gross Sales]]-financials[[#This Row],[Gross Sales]]*financials[[#This Row],[Discounts]]</f>
        <v>89.25</v>
      </c>
      <c r="J1133" s="8">
        <f>VLOOKUP(financials[[#This Row],[productid]],Products!$B$2:$H$10,4)</f>
        <v>5.5</v>
      </c>
      <c r="K1133" s="8">
        <f>financials[[#This Row],[Net Sales]]-financials[[#This Row],[COGS]]</f>
        <v>83.75</v>
      </c>
      <c r="L1133" s="15">
        <v>44877</v>
      </c>
      <c r="M1133" t="s">
        <v>697</v>
      </c>
    </row>
    <row r="1134" spans="1:13" x14ac:dyDescent="0.25">
      <c r="A1134" t="s">
        <v>89</v>
      </c>
      <c r="B1134" s="6" t="s">
        <v>274</v>
      </c>
      <c r="C1134" s="13">
        <v>103</v>
      </c>
      <c r="D1134" s="14" t="s">
        <v>90</v>
      </c>
      <c r="E1134">
        <v>15</v>
      </c>
      <c r="F1134" s="8">
        <f>VLOOKUP(financials[[#This Row],[productid]],Products!$B$2:$H$10,3)</f>
        <v>28</v>
      </c>
      <c r="G1134" s="8">
        <f>financials[[#This Row],[Units Sold]]*financials[[#This Row],[Sale Price]]</f>
        <v>420</v>
      </c>
      <c r="H1134" s="8">
        <f>IF(financials[[#This Row],[Discount Band]]="low",0.1,IF(financials[[#This Row],[Discount Band]]="medium",0.15,0.3))</f>
        <v>0.15</v>
      </c>
      <c r="I1134" s="8">
        <f>financials[[#This Row],[Gross Sales]]-financials[[#This Row],[Gross Sales]]*financials[[#This Row],[Discounts]]</f>
        <v>357</v>
      </c>
      <c r="J1134" s="8">
        <f>VLOOKUP(financials[[#This Row],[productid]],Products!$B$2:$H$10,4)</f>
        <v>15</v>
      </c>
      <c r="K1134" s="8">
        <f>financials[[#This Row],[Net Sales]]-financials[[#This Row],[COGS]]</f>
        <v>342</v>
      </c>
      <c r="L1134" s="15">
        <v>45533</v>
      </c>
      <c r="M1134" t="s">
        <v>690</v>
      </c>
    </row>
    <row r="1135" spans="1:13" x14ac:dyDescent="0.25">
      <c r="A1135" t="s">
        <v>89</v>
      </c>
      <c r="B1135" s="6" t="s">
        <v>96</v>
      </c>
      <c r="C1135" s="13">
        <v>101</v>
      </c>
      <c r="D1135" s="14" t="s">
        <v>90</v>
      </c>
      <c r="E1135">
        <v>8</v>
      </c>
      <c r="F1135" s="8">
        <f>VLOOKUP(financials[[#This Row],[productid]],Products!$B$2:$H$10,3)</f>
        <v>23</v>
      </c>
      <c r="G1135" s="8">
        <f>financials[[#This Row],[Units Sold]]*financials[[#This Row],[Sale Price]]</f>
        <v>184</v>
      </c>
      <c r="H1135" s="8">
        <f>IF(financials[[#This Row],[Discount Band]]="low",0.1,IF(financials[[#This Row],[Discount Band]]="medium",0.15,0.3))</f>
        <v>0.15</v>
      </c>
      <c r="I1135" s="8">
        <f>financials[[#This Row],[Gross Sales]]-financials[[#This Row],[Gross Sales]]*financials[[#This Row],[Discounts]]</f>
        <v>156.4</v>
      </c>
      <c r="J1135" s="8">
        <f>VLOOKUP(financials[[#This Row],[productid]],Products!$B$2:$H$10,4)</f>
        <v>9.9499999999999993</v>
      </c>
      <c r="K1135" s="8">
        <f>financials[[#This Row],[Net Sales]]-financials[[#This Row],[COGS]]</f>
        <v>146.45000000000002</v>
      </c>
      <c r="L1135" s="15">
        <v>45087</v>
      </c>
      <c r="M1135" t="s">
        <v>700</v>
      </c>
    </row>
    <row r="1136" spans="1:13" x14ac:dyDescent="0.25">
      <c r="A1136" t="s">
        <v>86</v>
      </c>
      <c r="B1136" s="6" t="s">
        <v>148</v>
      </c>
      <c r="C1136" s="13">
        <v>108</v>
      </c>
      <c r="D1136" s="14" t="s">
        <v>91</v>
      </c>
      <c r="E1136">
        <v>15</v>
      </c>
      <c r="F1136" s="8">
        <f>VLOOKUP(financials[[#This Row],[productid]],Products!$B$2:$H$10,3)</f>
        <v>5.5</v>
      </c>
      <c r="G1136" s="8">
        <f>financials[[#This Row],[Units Sold]]*financials[[#This Row],[Sale Price]]</f>
        <v>82.5</v>
      </c>
      <c r="H1136" s="8">
        <f>IF(financials[[#This Row],[Discount Band]]="low",0.1,IF(financials[[#This Row],[Discount Band]]="medium",0.15,0.3))</f>
        <v>0.1</v>
      </c>
      <c r="I1136" s="8">
        <f>financials[[#This Row],[Gross Sales]]-financials[[#This Row],[Gross Sales]]*financials[[#This Row],[Discounts]]</f>
        <v>74.25</v>
      </c>
      <c r="J1136" s="8">
        <f>VLOOKUP(financials[[#This Row],[productid]],Products!$B$2:$H$10,4)</f>
        <v>3.99</v>
      </c>
      <c r="K1136" s="8">
        <f>financials[[#This Row],[Net Sales]]-financials[[#This Row],[COGS]]</f>
        <v>70.260000000000005</v>
      </c>
      <c r="L1136" s="15">
        <v>44380</v>
      </c>
      <c r="M1136" t="s">
        <v>700</v>
      </c>
    </row>
    <row r="1137" spans="1:13" x14ac:dyDescent="0.25">
      <c r="A1137" t="s">
        <v>85</v>
      </c>
      <c r="B1137" s="6" t="s">
        <v>94</v>
      </c>
      <c r="C1137" s="13">
        <v>108</v>
      </c>
      <c r="D1137" s="14" t="s">
        <v>91</v>
      </c>
      <c r="E1137">
        <v>9</v>
      </c>
      <c r="F1137" s="8">
        <f>VLOOKUP(financials[[#This Row],[productid]],Products!$B$2:$H$10,3)</f>
        <v>5.5</v>
      </c>
      <c r="G1137" s="8">
        <f>financials[[#This Row],[Units Sold]]*financials[[#This Row],[Sale Price]]</f>
        <v>49.5</v>
      </c>
      <c r="H1137" s="8">
        <f>IF(financials[[#This Row],[Discount Band]]="low",0.1,IF(financials[[#This Row],[Discount Band]]="medium",0.15,0.3))</f>
        <v>0.1</v>
      </c>
      <c r="I1137" s="8">
        <f>financials[[#This Row],[Gross Sales]]-financials[[#This Row],[Gross Sales]]*financials[[#This Row],[Discounts]]</f>
        <v>44.55</v>
      </c>
      <c r="J1137" s="8">
        <f>VLOOKUP(financials[[#This Row],[productid]],Products!$B$2:$H$10,4)</f>
        <v>3.99</v>
      </c>
      <c r="K1137" s="8">
        <f>financials[[#This Row],[Net Sales]]-financials[[#This Row],[COGS]]</f>
        <v>40.559999999999995</v>
      </c>
      <c r="L1137" s="15">
        <v>43876</v>
      </c>
      <c r="M1137" t="s">
        <v>700</v>
      </c>
    </row>
    <row r="1138" spans="1:13" x14ac:dyDescent="0.25">
      <c r="A1138" t="s">
        <v>85</v>
      </c>
      <c r="B1138" s="6" t="s">
        <v>545</v>
      </c>
      <c r="C1138" s="13">
        <v>107</v>
      </c>
      <c r="D1138" s="14" t="s">
        <v>91</v>
      </c>
      <c r="E1138">
        <v>20</v>
      </c>
      <c r="F1138" s="8">
        <f>VLOOKUP(financials[[#This Row],[productid]],Products!$B$2:$H$10,3)</f>
        <v>15</v>
      </c>
      <c r="G1138" s="8">
        <f>financials[[#This Row],[Units Sold]]*financials[[#This Row],[Sale Price]]</f>
        <v>300</v>
      </c>
      <c r="H1138" s="8">
        <f>IF(financials[[#This Row],[Discount Band]]="low",0.1,IF(financials[[#This Row],[Discount Band]]="medium",0.15,0.3))</f>
        <v>0.1</v>
      </c>
      <c r="I1138" s="8">
        <f>financials[[#This Row],[Gross Sales]]-financials[[#This Row],[Gross Sales]]*financials[[#This Row],[Discounts]]</f>
        <v>270</v>
      </c>
      <c r="J1138" s="8">
        <f>VLOOKUP(financials[[#This Row],[productid]],Products!$B$2:$H$10,4)</f>
        <v>5.5</v>
      </c>
      <c r="K1138" s="8">
        <f>financials[[#This Row],[Net Sales]]-financials[[#This Row],[COGS]]</f>
        <v>264.5</v>
      </c>
      <c r="L1138" s="15">
        <v>43976</v>
      </c>
      <c r="M1138" t="s">
        <v>691</v>
      </c>
    </row>
    <row r="1139" spans="1:13" x14ac:dyDescent="0.25">
      <c r="A1139" t="s">
        <v>89</v>
      </c>
      <c r="B1139" s="6" t="s">
        <v>645</v>
      </c>
      <c r="C1139" s="13">
        <v>109</v>
      </c>
      <c r="D1139" s="14" t="s">
        <v>90</v>
      </c>
      <c r="E1139">
        <v>10</v>
      </c>
      <c r="F1139" s="8">
        <f>VLOOKUP(financials[[#This Row],[productid]],Products!$B$2:$H$10,3)</f>
        <v>36</v>
      </c>
      <c r="G1139" s="8">
        <f>financials[[#This Row],[Units Sold]]*financials[[#This Row],[Sale Price]]</f>
        <v>360</v>
      </c>
      <c r="H1139" s="8">
        <f>IF(financials[[#This Row],[Discount Band]]="low",0.1,IF(financials[[#This Row],[Discount Band]]="medium",0.15,0.3))</f>
        <v>0.15</v>
      </c>
      <c r="I1139" s="8">
        <f>financials[[#This Row],[Gross Sales]]-financials[[#This Row],[Gross Sales]]*financials[[#This Row],[Discounts]]</f>
        <v>306</v>
      </c>
      <c r="J1139" s="8">
        <f>VLOOKUP(financials[[#This Row],[productid]],Products!$B$2:$H$10,4)</f>
        <v>16.8</v>
      </c>
      <c r="K1139" s="8">
        <f>financials[[#This Row],[Net Sales]]-financials[[#This Row],[COGS]]</f>
        <v>289.2</v>
      </c>
      <c r="L1139" s="15">
        <v>44117</v>
      </c>
      <c r="M1139" t="s">
        <v>700</v>
      </c>
    </row>
    <row r="1140" spans="1:13" x14ac:dyDescent="0.25">
      <c r="A1140" t="s">
        <v>89</v>
      </c>
      <c r="B1140" s="6" t="s">
        <v>228</v>
      </c>
      <c r="C1140" s="13">
        <v>107</v>
      </c>
      <c r="D1140" s="14" t="s">
        <v>90</v>
      </c>
      <c r="E1140">
        <v>5</v>
      </c>
      <c r="F1140" s="8">
        <f>VLOOKUP(financials[[#This Row],[productid]],Products!$B$2:$H$10,3)</f>
        <v>15</v>
      </c>
      <c r="G1140" s="8">
        <f>financials[[#This Row],[Units Sold]]*financials[[#This Row],[Sale Price]]</f>
        <v>75</v>
      </c>
      <c r="H1140" s="8">
        <f>IF(financials[[#This Row],[Discount Band]]="low",0.1,IF(financials[[#This Row],[Discount Band]]="medium",0.15,0.3))</f>
        <v>0.15</v>
      </c>
      <c r="I1140" s="8">
        <f>financials[[#This Row],[Gross Sales]]-financials[[#This Row],[Gross Sales]]*financials[[#This Row],[Discounts]]</f>
        <v>63.75</v>
      </c>
      <c r="J1140" s="8">
        <f>VLOOKUP(financials[[#This Row],[productid]],Products!$B$2:$H$10,4)</f>
        <v>5.5</v>
      </c>
      <c r="K1140" s="8">
        <f>financials[[#This Row],[Net Sales]]-financials[[#This Row],[COGS]]</f>
        <v>58.25</v>
      </c>
      <c r="L1140" s="15">
        <v>44027</v>
      </c>
      <c r="M1140" t="s">
        <v>696</v>
      </c>
    </row>
    <row r="1141" spans="1:13" x14ac:dyDescent="0.25">
      <c r="A1141" t="s">
        <v>85</v>
      </c>
      <c r="B1141" s="6" t="s">
        <v>545</v>
      </c>
      <c r="C1141" s="13">
        <v>102</v>
      </c>
      <c r="D1141" s="14" t="s">
        <v>90</v>
      </c>
      <c r="E1141">
        <v>5</v>
      </c>
      <c r="F1141" s="8">
        <f>VLOOKUP(financials[[#This Row],[productid]],Products!$B$2:$H$10,3)</f>
        <v>15</v>
      </c>
      <c r="G1141" s="8">
        <f>financials[[#This Row],[Units Sold]]*financials[[#This Row],[Sale Price]]</f>
        <v>75</v>
      </c>
      <c r="H1141" s="8">
        <f>IF(financials[[#This Row],[Discount Band]]="low",0.1,IF(financials[[#This Row],[Discount Band]]="medium",0.15,0.3))</f>
        <v>0.15</v>
      </c>
      <c r="I1141" s="8">
        <f>financials[[#This Row],[Gross Sales]]-financials[[#This Row],[Gross Sales]]*financials[[#This Row],[Discounts]]</f>
        <v>63.75</v>
      </c>
      <c r="J1141" s="8">
        <f>VLOOKUP(financials[[#This Row],[productid]],Products!$B$2:$H$10,4)</f>
        <v>13.95</v>
      </c>
      <c r="K1141" s="8">
        <f>financials[[#This Row],[Net Sales]]-financials[[#This Row],[COGS]]</f>
        <v>49.8</v>
      </c>
      <c r="L1141" s="15">
        <v>45236</v>
      </c>
      <c r="M1141" t="s">
        <v>696</v>
      </c>
    </row>
    <row r="1142" spans="1:13" x14ac:dyDescent="0.25">
      <c r="A1142" t="s">
        <v>86</v>
      </c>
      <c r="B1142" s="6" t="s">
        <v>240</v>
      </c>
      <c r="C1142" s="13">
        <v>105</v>
      </c>
      <c r="D1142" s="14" t="s">
        <v>92</v>
      </c>
      <c r="E1142">
        <v>9</v>
      </c>
      <c r="F1142" s="8">
        <f>VLOOKUP(financials[[#This Row],[productid]],Products!$B$2:$H$10,3)</f>
        <v>15</v>
      </c>
      <c r="G1142" s="8">
        <f>financials[[#This Row],[Units Sold]]*financials[[#This Row],[Sale Price]]</f>
        <v>135</v>
      </c>
      <c r="H1142" s="8">
        <f>IF(financials[[#This Row],[Discount Band]]="low",0.1,IF(financials[[#This Row],[Discount Band]]="medium",0.15,0.3))</f>
        <v>0.3</v>
      </c>
      <c r="I1142" s="8">
        <f>financials[[#This Row],[Gross Sales]]-financials[[#This Row],[Gross Sales]]*financials[[#This Row],[Discounts]]</f>
        <v>94.5</v>
      </c>
      <c r="J1142" s="8">
        <f>VLOOKUP(financials[[#This Row],[productid]],Products!$B$2:$H$10,4)</f>
        <v>10</v>
      </c>
      <c r="K1142" s="8">
        <f>financials[[#This Row],[Net Sales]]-financials[[#This Row],[COGS]]</f>
        <v>84.5</v>
      </c>
      <c r="L1142" s="15">
        <v>44518</v>
      </c>
      <c r="M1142" t="s">
        <v>700</v>
      </c>
    </row>
    <row r="1143" spans="1:13" x14ac:dyDescent="0.25">
      <c r="A1143" t="s">
        <v>89</v>
      </c>
      <c r="B1143" s="6" t="s">
        <v>205</v>
      </c>
      <c r="C1143" s="13">
        <v>105</v>
      </c>
      <c r="D1143" s="14" t="s">
        <v>91</v>
      </c>
      <c r="E1143">
        <v>5</v>
      </c>
      <c r="F1143" s="8">
        <f>VLOOKUP(financials[[#This Row],[productid]],Products!$B$2:$H$10,3)</f>
        <v>15</v>
      </c>
      <c r="G1143" s="8">
        <f>financials[[#This Row],[Units Sold]]*financials[[#This Row],[Sale Price]]</f>
        <v>75</v>
      </c>
      <c r="H1143" s="8">
        <f>IF(financials[[#This Row],[Discount Band]]="low",0.1,IF(financials[[#This Row],[Discount Band]]="medium",0.15,0.3))</f>
        <v>0.1</v>
      </c>
      <c r="I1143" s="8">
        <f>financials[[#This Row],[Gross Sales]]-financials[[#This Row],[Gross Sales]]*financials[[#This Row],[Discounts]]</f>
        <v>67.5</v>
      </c>
      <c r="J1143" s="8">
        <f>VLOOKUP(financials[[#This Row],[productid]],Products!$B$2:$H$10,4)</f>
        <v>10</v>
      </c>
      <c r="K1143" s="8">
        <f>financials[[#This Row],[Net Sales]]-financials[[#This Row],[COGS]]</f>
        <v>57.5</v>
      </c>
      <c r="L1143" s="15">
        <v>44311</v>
      </c>
      <c r="M1143" t="s">
        <v>700</v>
      </c>
    </row>
    <row r="1144" spans="1:13" x14ac:dyDescent="0.25">
      <c r="A1144" t="s">
        <v>89</v>
      </c>
      <c r="B1144" s="6" t="s">
        <v>96</v>
      </c>
      <c r="C1144" s="13">
        <v>109</v>
      </c>
      <c r="D1144" s="14" t="s">
        <v>90</v>
      </c>
      <c r="E1144">
        <v>6</v>
      </c>
      <c r="F1144" s="8">
        <f>VLOOKUP(financials[[#This Row],[productid]],Products!$B$2:$H$10,3)</f>
        <v>36</v>
      </c>
      <c r="G1144" s="8">
        <f>financials[[#This Row],[Units Sold]]*financials[[#This Row],[Sale Price]]</f>
        <v>216</v>
      </c>
      <c r="H1144" s="8">
        <f>IF(financials[[#This Row],[Discount Band]]="low",0.1,IF(financials[[#This Row],[Discount Band]]="medium",0.15,0.3))</f>
        <v>0.15</v>
      </c>
      <c r="I1144" s="8">
        <f>financials[[#This Row],[Gross Sales]]-financials[[#This Row],[Gross Sales]]*financials[[#This Row],[Discounts]]</f>
        <v>183.6</v>
      </c>
      <c r="J1144" s="8">
        <f>VLOOKUP(financials[[#This Row],[productid]],Products!$B$2:$H$10,4)</f>
        <v>16.8</v>
      </c>
      <c r="K1144" s="8">
        <f>financials[[#This Row],[Net Sales]]-financials[[#This Row],[COGS]]</f>
        <v>166.79999999999998</v>
      </c>
      <c r="L1144" s="15">
        <v>44045</v>
      </c>
      <c r="M1144" t="s">
        <v>700</v>
      </c>
    </row>
    <row r="1145" spans="1:13" x14ac:dyDescent="0.25">
      <c r="A1145" t="s">
        <v>86</v>
      </c>
      <c r="B1145" s="6" t="s">
        <v>158</v>
      </c>
      <c r="C1145" s="13">
        <v>101</v>
      </c>
      <c r="D1145" s="14" t="s">
        <v>90</v>
      </c>
      <c r="E1145">
        <v>20</v>
      </c>
      <c r="F1145" s="8">
        <f>VLOOKUP(financials[[#This Row],[productid]],Products!$B$2:$H$10,3)</f>
        <v>23</v>
      </c>
      <c r="G1145" s="8">
        <f>financials[[#This Row],[Units Sold]]*financials[[#This Row],[Sale Price]]</f>
        <v>460</v>
      </c>
      <c r="H1145" s="8">
        <f>IF(financials[[#This Row],[Discount Band]]="low",0.1,IF(financials[[#This Row],[Discount Band]]="medium",0.15,0.3))</f>
        <v>0.15</v>
      </c>
      <c r="I1145" s="8">
        <f>financials[[#This Row],[Gross Sales]]-financials[[#This Row],[Gross Sales]]*financials[[#This Row],[Discounts]]</f>
        <v>391</v>
      </c>
      <c r="J1145" s="8">
        <f>VLOOKUP(financials[[#This Row],[productid]],Products!$B$2:$H$10,4)</f>
        <v>9.9499999999999993</v>
      </c>
      <c r="K1145" s="8">
        <f>financials[[#This Row],[Net Sales]]-financials[[#This Row],[COGS]]</f>
        <v>381.05</v>
      </c>
      <c r="L1145" s="15">
        <v>45036</v>
      </c>
      <c r="M1145" t="s">
        <v>697</v>
      </c>
    </row>
    <row r="1146" spans="1:13" x14ac:dyDescent="0.25">
      <c r="A1146" t="s">
        <v>86</v>
      </c>
      <c r="B1146" s="6" t="s">
        <v>273</v>
      </c>
      <c r="C1146" s="13">
        <v>106</v>
      </c>
      <c r="D1146" s="14" t="s">
        <v>83</v>
      </c>
      <c r="E1146">
        <v>7</v>
      </c>
      <c r="F1146" s="8">
        <f>VLOOKUP(financials[[#This Row],[productid]],Products!$B$2:$H$10,3)</f>
        <v>25</v>
      </c>
      <c r="G1146" s="8">
        <f>financials[[#This Row],[Units Sold]]*financials[[#This Row],[Sale Price]]</f>
        <v>175</v>
      </c>
      <c r="H1146" s="8">
        <f>IF(financials[[#This Row],[Discount Band]]="low",0.1,IF(financials[[#This Row],[Discount Band]]="medium",0.15,0.3))</f>
        <v>0.3</v>
      </c>
      <c r="I1146" s="8">
        <f>financials[[#This Row],[Gross Sales]]-financials[[#This Row],[Gross Sales]]*financials[[#This Row],[Discounts]]</f>
        <v>122.5</v>
      </c>
      <c r="J1146" s="8">
        <f>VLOOKUP(financials[[#This Row],[productid]],Products!$B$2:$H$10,4)</f>
        <v>9.1</v>
      </c>
      <c r="K1146" s="8">
        <f>financials[[#This Row],[Net Sales]]-financials[[#This Row],[COGS]]</f>
        <v>113.4</v>
      </c>
      <c r="L1146" s="15">
        <v>45217</v>
      </c>
      <c r="M1146" t="s">
        <v>691</v>
      </c>
    </row>
    <row r="1147" spans="1:13" x14ac:dyDescent="0.25">
      <c r="A1147" t="s">
        <v>86</v>
      </c>
      <c r="B1147" s="6" t="s">
        <v>644</v>
      </c>
      <c r="C1147" s="13">
        <v>108</v>
      </c>
      <c r="D1147" s="14" t="s">
        <v>90</v>
      </c>
      <c r="E1147">
        <v>9</v>
      </c>
      <c r="F1147" s="8">
        <f>VLOOKUP(financials[[#This Row],[productid]],Products!$B$2:$H$10,3)</f>
        <v>5.5</v>
      </c>
      <c r="G1147" s="8">
        <f>financials[[#This Row],[Units Sold]]*financials[[#This Row],[Sale Price]]</f>
        <v>49.5</v>
      </c>
      <c r="H1147" s="8">
        <f>IF(financials[[#This Row],[Discount Band]]="low",0.1,IF(financials[[#This Row],[Discount Band]]="medium",0.15,0.3))</f>
        <v>0.15</v>
      </c>
      <c r="I1147" s="8">
        <f>financials[[#This Row],[Gross Sales]]-financials[[#This Row],[Gross Sales]]*financials[[#This Row],[Discounts]]</f>
        <v>42.075000000000003</v>
      </c>
      <c r="J1147" s="8">
        <f>VLOOKUP(financials[[#This Row],[productid]],Products!$B$2:$H$10,4)</f>
        <v>3.99</v>
      </c>
      <c r="K1147" s="8">
        <f>financials[[#This Row],[Net Sales]]-financials[[#This Row],[COGS]]</f>
        <v>38.085000000000001</v>
      </c>
      <c r="L1147" s="15">
        <v>44098</v>
      </c>
      <c r="M1147" t="s">
        <v>691</v>
      </c>
    </row>
    <row r="1148" spans="1:13" x14ac:dyDescent="0.25">
      <c r="A1148" t="s">
        <v>89</v>
      </c>
      <c r="B1148" s="6" t="s">
        <v>93</v>
      </c>
      <c r="C1148" s="11">
        <v>103</v>
      </c>
      <c r="D1148" s="9" t="s">
        <v>90</v>
      </c>
      <c r="E1148">
        <v>5</v>
      </c>
      <c r="F1148" s="8">
        <f>VLOOKUP(financials[[#This Row],[productid]],Products!$B$2:$H$10,3)</f>
        <v>28</v>
      </c>
      <c r="G1148" s="8">
        <f>financials[[#This Row],[Units Sold]]*financials[[#This Row],[Sale Price]]</f>
        <v>140</v>
      </c>
      <c r="H1148" s="8">
        <f>IF(financials[[#This Row],[Discount Band]]="low",0.1,IF(financials[[#This Row],[Discount Band]]="medium",0.15,0.3))</f>
        <v>0.15</v>
      </c>
      <c r="I1148" s="8">
        <f>financials[[#This Row],[Gross Sales]]-financials[[#This Row],[Gross Sales]]*financials[[#This Row],[Discounts]]</f>
        <v>119</v>
      </c>
      <c r="J1148" s="8">
        <f>VLOOKUP(financials[[#This Row],[productid]],Products!$B$2:$H$10,4)</f>
        <v>15</v>
      </c>
      <c r="K1148" s="8">
        <f>financials[[#This Row],[Net Sales]]-financials[[#This Row],[COGS]]</f>
        <v>104</v>
      </c>
      <c r="L1148" s="15">
        <v>45542</v>
      </c>
      <c r="M1148" t="s">
        <v>696</v>
      </c>
    </row>
    <row r="1149" spans="1:13" x14ac:dyDescent="0.25">
      <c r="A1149" t="s">
        <v>89</v>
      </c>
      <c r="B1149" s="6" t="s">
        <v>95</v>
      </c>
      <c r="C1149" s="13">
        <v>109</v>
      </c>
      <c r="D1149" s="14" t="s">
        <v>90</v>
      </c>
      <c r="E1149">
        <v>15</v>
      </c>
      <c r="F1149" s="8">
        <f>VLOOKUP(financials[[#This Row],[productid]],Products!$B$2:$H$10,3)</f>
        <v>36</v>
      </c>
      <c r="G1149" s="8">
        <f>financials[[#This Row],[Units Sold]]*financials[[#This Row],[Sale Price]]</f>
        <v>540</v>
      </c>
      <c r="H1149" s="8">
        <f>IF(financials[[#This Row],[Discount Band]]="low",0.1,IF(financials[[#This Row],[Discount Band]]="medium",0.15,0.3))</f>
        <v>0.15</v>
      </c>
      <c r="I1149" s="8">
        <f>financials[[#This Row],[Gross Sales]]-financials[[#This Row],[Gross Sales]]*financials[[#This Row],[Discounts]]</f>
        <v>459</v>
      </c>
      <c r="J1149" s="8">
        <f>VLOOKUP(financials[[#This Row],[productid]],Products!$B$2:$H$10,4)</f>
        <v>16.8</v>
      </c>
      <c r="K1149" s="8">
        <f>financials[[#This Row],[Net Sales]]-financials[[#This Row],[COGS]]</f>
        <v>442.2</v>
      </c>
      <c r="L1149" s="15">
        <v>44546</v>
      </c>
      <c r="M1149" t="s">
        <v>690</v>
      </c>
    </row>
    <row r="1150" spans="1:13" x14ac:dyDescent="0.25">
      <c r="A1150" t="s">
        <v>89</v>
      </c>
      <c r="B1150" s="6" t="s">
        <v>148</v>
      </c>
      <c r="C1150" s="13">
        <v>101</v>
      </c>
      <c r="D1150" s="14" t="s">
        <v>83</v>
      </c>
      <c r="E1150">
        <v>12</v>
      </c>
      <c r="F1150" s="8">
        <f>VLOOKUP(financials[[#This Row],[productid]],Products!$B$2:$H$10,3)</f>
        <v>23</v>
      </c>
      <c r="G1150" s="8">
        <f>financials[[#This Row],[Units Sold]]*financials[[#This Row],[Sale Price]]</f>
        <v>276</v>
      </c>
      <c r="H1150" s="8">
        <f>IF(financials[[#This Row],[Discount Band]]="low",0.1,IF(financials[[#This Row],[Discount Band]]="medium",0.15,0.3))</f>
        <v>0.3</v>
      </c>
      <c r="I1150" s="8">
        <f>financials[[#This Row],[Gross Sales]]-financials[[#This Row],[Gross Sales]]*financials[[#This Row],[Discounts]]</f>
        <v>193.2</v>
      </c>
      <c r="J1150" s="8">
        <f>VLOOKUP(financials[[#This Row],[productid]],Products!$B$2:$H$10,4)</f>
        <v>9.9499999999999993</v>
      </c>
      <c r="K1150" s="8">
        <f>financials[[#This Row],[Net Sales]]-financials[[#This Row],[COGS]]</f>
        <v>183.25</v>
      </c>
      <c r="L1150" s="15">
        <v>45066</v>
      </c>
      <c r="M1150" t="s">
        <v>700</v>
      </c>
    </row>
    <row r="1151" spans="1:13" x14ac:dyDescent="0.25">
      <c r="A1151" t="s">
        <v>89</v>
      </c>
      <c r="B1151" s="6" t="s">
        <v>197</v>
      </c>
      <c r="C1151" s="13">
        <v>101</v>
      </c>
      <c r="D1151" s="14" t="s">
        <v>92</v>
      </c>
      <c r="E1151">
        <v>9</v>
      </c>
      <c r="F1151" s="8">
        <f>VLOOKUP(financials[[#This Row],[productid]],Products!$B$2:$H$10,3)</f>
        <v>23</v>
      </c>
      <c r="G1151" s="8">
        <f>financials[[#This Row],[Units Sold]]*financials[[#This Row],[Sale Price]]</f>
        <v>207</v>
      </c>
      <c r="H1151" s="8">
        <f>IF(financials[[#This Row],[Discount Band]]="low",0.1,IF(financials[[#This Row],[Discount Band]]="medium",0.15,0.3))</f>
        <v>0.3</v>
      </c>
      <c r="I1151" s="8">
        <f>financials[[#This Row],[Gross Sales]]-financials[[#This Row],[Gross Sales]]*financials[[#This Row],[Discounts]]</f>
        <v>144.9</v>
      </c>
      <c r="J1151" s="8">
        <f>VLOOKUP(financials[[#This Row],[productid]],Products!$B$2:$H$10,4)</f>
        <v>9.9499999999999993</v>
      </c>
      <c r="K1151" s="8">
        <f>financials[[#This Row],[Net Sales]]-financials[[#This Row],[COGS]]</f>
        <v>134.95000000000002</v>
      </c>
      <c r="L1151" s="15">
        <v>44055</v>
      </c>
      <c r="M1151" t="s">
        <v>691</v>
      </c>
    </row>
    <row r="1152" spans="1:13" x14ac:dyDescent="0.25">
      <c r="A1152" t="s">
        <v>86</v>
      </c>
      <c r="B1152" s="6" t="s">
        <v>276</v>
      </c>
      <c r="C1152" s="13">
        <v>107</v>
      </c>
      <c r="D1152" s="14" t="s">
        <v>92</v>
      </c>
      <c r="E1152">
        <v>11</v>
      </c>
      <c r="F1152" s="8">
        <f>VLOOKUP(financials[[#This Row],[productid]],Products!$B$2:$H$10,3)</f>
        <v>15</v>
      </c>
      <c r="G1152" s="8">
        <f>financials[[#This Row],[Units Sold]]*financials[[#This Row],[Sale Price]]</f>
        <v>165</v>
      </c>
      <c r="H1152" s="8">
        <f>IF(financials[[#This Row],[Discount Band]]="low",0.1,IF(financials[[#This Row],[Discount Band]]="medium",0.15,0.3))</f>
        <v>0.3</v>
      </c>
      <c r="I1152" s="8">
        <f>financials[[#This Row],[Gross Sales]]-financials[[#This Row],[Gross Sales]]*financials[[#This Row],[Discounts]]</f>
        <v>115.5</v>
      </c>
      <c r="J1152" s="8">
        <f>VLOOKUP(financials[[#This Row],[productid]],Products!$B$2:$H$10,4)</f>
        <v>5.5</v>
      </c>
      <c r="K1152" s="8">
        <f>financials[[#This Row],[Net Sales]]-financials[[#This Row],[COGS]]</f>
        <v>110</v>
      </c>
      <c r="L1152" s="15">
        <v>45031</v>
      </c>
      <c r="M1152" t="s">
        <v>691</v>
      </c>
    </row>
    <row r="1153" spans="1:13" x14ac:dyDescent="0.25">
      <c r="A1153" t="s">
        <v>87</v>
      </c>
      <c r="B1153" s="6" t="s">
        <v>644</v>
      </c>
      <c r="C1153" s="13">
        <v>101</v>
      </c>
      <c r="D1153" s="14" t="s">
        <v>91</v>
      </c>
      <c r="E1153">
        <v>12</v>
      </c>
      <c r="F1153" s="8">
        <f>VLOOKUP(financials[[#This Row],[productid]],Products!$B$2:$H$10,3)</f>
        <v>23</v>
      </c>
      <c r="G1153" s="8">
        <f>financials[[#This Row],[Units Sold]]*financials[[#This Row],[Sale Price]]</f>
        <v>276</v>
      </c>
      <c r="H1153" s="8">
        <f>IF(financials[[#This Row],[Discount Band]]="low",0.1,IF(financials[[#This Row],[Discount Band]]="medium",0.15,0.3))</f>
        <v>0.1</v>
      </c>
      <c r="I1153" s="8">
        <f>financials[[#This Row],[Gross Sales]]-financials[[#This Row],[Gross Sales]]*financials[[#This Row],[Discounts]]</f>
        <v>248.4</v>
      </c>
      <c r="J1153" s="8">
        <f>VLOOKUP(financials[[#This Row],[productid]],Products!$B$2:$H$10,4)</f>
        <v>9.9499999999999993</v>
      </c>
      <c r="K1153" s="8">
        <f>financials[[#This Row],[Net Sales]]-financials[[#This Row],[COGS]]</f>
        <v>238.45000000000002</v>
      </c>
      <c r="L1153" s="15">
        <v>45185</v>
      </c>
      <c r="M1153" t="s">
        <v>696</v>
      </c>
    </row>
    <row r="1154" spans="1:13" x14ac:dyDescent="0.25">
      <c r="A1154" t="s">
        <v>85</v>
      </c>
      <c r="B1154" s="6" t="s">
        <v>268</v>
      </c>
      <c r="C1154" s="13">
        <v>101</v>
      </c>
      <c r="D1154" s="14" t="s">
        <v>83</v>
      </c>
      <c r="E1154">
        <v>20</v>
      </c>
      <c r="F1154" s="8">
        <f>VLOOKUP(financials[[#This Row],[productid]],Products!$B$2:$H$10,3)</f>
        <v>23</v>
      </c>
      <c r="G1154" s="8">
        <f>financials[[#This Row],[Units Sold]]*financials[[#This Row],[Sale Price]]</f>
        <v>460</v>
      </c>
      <c r="H1154" s="8">
        <f>IF(financials[[#This Row],[Discount Band]]="low",0.1,IF(financials[[#This Row],[Discount Band]]="medium",0.15,0.3))</f>
        <v>0.3</v>
      </c>
      <c r="I1154" s="8">
        <f>financials[[#This Row],[Gross Sales]]-financials[[#This Row],[Gross Sales]]*financials[[#This Row],[Discounts]]</f>
        <v>322</v>
      </c>
      <c r="J1154" s="8">
        <f>VLOOKUP(financials[[#This Row],[productid]],Products!$B$2:$H$10,4)</f>
        <v>9.9499999999999993</v>
      </c>
      <c r="K1154" s="8">
        <f>financials[[#This Row],[Net Sales]]-financials[[#This Row],[COGS]]</f>
        <v>312.05</v>
      </c>
      <c r="L1154" s="15">
        <v>44061</v>
      </c>
      <c r="M1154" t="s">
        <v>690</v>
      </c>
    </row>
    <row r="1155" spans="1:13" x14ac:dyDescent="0.25">
      <c r="A1155" t="s">
        <v>86</v>
      </c>
      <c r="B1155" s="6" t="s">
        <v>198</v>
      </c>
      <c r="C1155" s="13">
        <v>101</v>
      </c>
      <c r="D1155" s="14" t="s">
        <v>90</v>
      </c>
      <c r="E1155">
        <v>14</v>
      </c>
      <c r="F1155" s="8">
        <f>VLOOKUP(financials[[#This Row],[productid]],Products!$B$2:$H$10,3)</f>
        <v>23</v>
      </c>
      <c r="G1155" s="8">
        <f>financials[[#This Row],[Units Sold]]*financials[[#This Row],[Sale Price]]</f>
        <v>322</v>
      </c>
      <c r="H1155" s="8">
        <f>IF(financials[[#This Row],[Discount Band]]="low",0.1,IF(financials[[#This Row],[Discount Band]]="medium",0.15,0.3))</f>
        <v>0.15</v>
      </c>
      <c r="I1155" s="8">
        <f>financials[[#This Row],[Gross Sales]]-financials[[#This Row],[Gross Sales]]*financials[[#This Row],[Discounts]]</f>
        <v>273.7</v>
      </c>
      <c r="J1155" s="8">
        <f>VLOOKUP(financials[[#This Row],[productid]],Products!$B$2:$H$10,4)</f>
        <v>9.9499999999999993</v>
      </c>
      <c r="K1155" s="8">
        <f>financials[[#This Row],[Net Sales]]-financials[[#This Row],[COGS]]</f>
        <v>263.75</v>
      </c>
      <c r="L1155" s="15">
        <v>45512</v>
      </c>
      <c r="M1155" t="s">
        <v>691</v>
      </c>
    </row>
    <row r="1156" spans="1:13" x14ac:dyDescent="0.25">
      <c r="A1156" t="s">
        <v>86</v>
      </c>
      <c r="B1156" s="6" t="s">
        <v>617</v>
      </c>
      <c r="C1156" s="13">
        <v>103</v>
      </c>
      <c r="D1156" s="14" t="s">
        <v>90</v>
      </c>
      <c r="E1156">
        <v>15</v>
      </c>
      <c r="F1156" s="8">
        <f>VLOOKUP(financials[[#This Row],[productid]],Products!$B$2:$H$10,3)</f>
        <v>28</v>
      </c>
      <c r="G1156" s="8">
        <f>financials[[#This Row],[Units Sold]]*financials[[#This Row],[Sale Price]]</f>
        <v>420</v>
      </c>
      <c r="H1156" s="8">
        <f>IF(financials[[#This Row],[Discount Band]]="low",0.1,IF(financials[[#This Row],[Discount Band]]="medium",0.15,0.3))</f>
        <v>0.15</v>
      </c>
      <c r="I1156" s="8">
        <f>financials[[#This Row],[Gross Sales]]-financials[[#This Row],[Gross Sales]]*financials[[#This Row],[Discounts]]</f>
        <v>357</v>
      </c>
      <c r="J1156" s="8">
        <f>VLOOKUP(financials[[#This Row],[productid]],Products!$B$2:$H$10,4)</f>
        <v>15</v>
      </c>
      <c r="K1156" s="8">
        <f>financials[[#This Row],[Net Sales]]-financials[[#This Row],[COGS]]</f>
        <v>342</v>
      </c>
      <c r="L1156" s="15">
        <v>44563</v>
      </c>
      <c r="M1156" t="s">
        <v>696</v>
      </c>
    </row>
    <row r="1157" spans="1:13" x14ac:dyDescent="0.25">
      <c r="A1157" t="s">
        <v>86</v>
      </c>
      <c r="B1157" s="6" t="s">
        <v>645</v>
      </c>
      <c r="C1157" s="13">
        <v>109</v>
      </c>
      <c r="D1157" s="14" t="s">
        <v>90</v>
      </c>
      <c r="E1157">
        <v>15</v>
      </c>
      <c r="F1157" s="8">
        <f>VLOOKUP(financials[[#This Row],[productid]],Products!$B$2:$H$10,3)</f>
        <v>36</v>
      </c>
      <c r="G1157" s="8">
        <f>financials[[#This Row],[Units Sold]]*financials[[#This Row],[Sale Price]]</f>
        <v>540</v>
      </c>
      <c r="H1157" s="8">
        <f>IF(financials[[#This Row],[Discount Band]]="low",0.1,IF(financials[[#This Row],[Discount Band]]="medium",0.15,0.3))</f>
        <v>0.15</v>
      </c>
      <c r="I1157" s="8">
        <f>financials[[#This Row],[Gross Sales]]-financials[[#This Row],[Gross Sales]]*financials[[#This Row],[Discounts]]</f>
        <v>459</v>
      </c>
      <c r="J1157" s="8">
        <f>VLOOKUP(financials[[#This Row],[productid]],Products!$B$2:$H$10,4)</f>
        <v>16.8</v>
      </c>
      <c r="K1157" s="8">
        <f>financials[[#This Row],[Net Sales]]-financials[[#This Row],[COGS]]</f>
        <v>442.2</v>
      </c>
      <c r="L1157" s="15">
        <v>45243</v>
      </c>
      <c r="M1157" t="s">
        <v>690</v>
      </c>
    </row>
    <row r="1158" spans="1:13" x14ac:dyDescent="0.25">
      <c r="A1158" t="s">
        <v>89</v>
      </c>
      <c r="B1158" s="6" t="s">
        <v>93</v>
      </c>
      <c r="C1158" s="11">
        <v>106</v>
      </c>
      <c r="D1158" s="9" t="s">
        <v>83</v>
      </c>
      <c r="E1158">
        <v>5</v>
      </c>
      <c r="F1158" s="8">
        <f>VLOOKUP(financials[[#This Row],[productid]],Products!$B$2:$H$10,3)</f>
        <v>25</v>
      </c>
      <c r="G1158" s="8">
        <f>financials[[#This Row],[Units Sold]]*financials[[#This Row],[Sale Price]]</f>
        <v>125</v>
      </c>
      <c r="H1158" s="8">
        <f>IF(financials[[#This Row],[Discount Band]]="low",0.1,IF(financials[[#This Row],[Discount Band]]="medium",0.15,0.3))</f>
        <v>0.3</v>
      </c>
      <c r="I1158" s="8">
        <f>financials[[#This Row],[Gross Sales]]-financials[[#This Row],[Gross Sales]]*financials[[#This Row],[Discounts]]</f>
        <v>87.5</v>
      </c>
      <c r="J1158" s="8">
        <f>VLOOKUP(financials[[#This Row],[productid]],Products!$B$2:$H$10,4)</f>
        <v>9.1</v>
      </c>
      <c r="K1158" s="8">
        <f>financials[[#This Row],[Net Sales]]-financials[[#This Row],[COGS]]</f>
        <v>78.400000000000006</v>
      </c>
      <c r="L1158" s="15">
        <v>45590</v>
      </c>
      <c r="M1158" t="s">
        <v>700</v>
      </c>
    </row>
    <row r="1159" spans="1:13" x14ac:dyDescent="0.25">
      <c r="A1159" t="s">
        <v>86</v>
      </c>
      <c r="B1159" s="6" t="s">
        <v>205</v>
      </c>
      <c r="C1159" s="13">
        <v>109</v>
      </c>
      <c r="D1159" s="14" t="s">
        <v>90</v>
      </c>
      <c r="E1159">
        <v>17</v>
      </c>
      <c r="F1159" s="8">
        <f>VLOOKUP(financials[[#This Row],[productid]],Products!$B$2:$H$10,3)</f>
        <v>36</v>
      </c>
      <c r="G1159" s="8">
        <f>financials[[#This Row],[Units Sold]]*financials[[#This Row],[Sale Price]]</f>
        <v>612</v>
      </c>
      <c r="H1159" s="8">
        <f>IF(financials[[#This Row],[Discount Band]]="low",0.1,IF(financials[[#This Row],[Discount Band]]="medium",0.15,0.3))</f>
        <v>0.15</v>
      </c>
      <c r="I1159" s="8">
        <f>financials[[#This Row],[Gross Sales]]-financials[[#This Row],[Gross Sales]]*financials[[#This Row],[Discounts]]</f>
        <v>520.20000000000005</v>
      </c>
      <c r="J1159" s="8">
        <f>VLOOKUP(financials[[#This Row],[productid]],Products!$B$2:$H$10,4)</f>
        <v>16.8</v>
      </c>
      <c r="K1159" s="8">
        <f>financials[[#This Row],[Net Sales]]-financials[[#This Row],[COGS]]</f>
        <v>503.40000000000003</v>
      </c>
      <c r="L1159" s="15">
        <v>44728</v>
      </c>
      <c r="M1159" t="s">
        <v>696</v>
      </c>
    </row>
    <row r="1160" spans="1:13" x14ac:dyDescent="0.25">
      <c r="A1160" t="s">
        <v>89</v>
      </c>
      <c r="B1160" s="6" t="s">
        <v>232</v>
      </c>
      <c r="C1160" s="13">
        <v>107</v>
      </c>
      <c r="D1160" s="14" t="s">
        <v>90</v>
      </c>
      <c r="E1160">
        <v>9</v>
      </c>
      <c r="F1160" s="8">
        <f>VLOOKUP(financials[[#This Row],[productid]],Products!$B$2:$H$10,3)</f>
        <v>15</v>
      </c>
      <c r="G1160" s="8">
        <f>financials[[#This Row],[Units Sold]]*financials[[#This Row],[Sale Price]]</f>
        <v>135</v>
      </c>
      <c r="H1160" s="8">
        <f>IF(financials[[#This Row],[Discount Band]]="low",0.1,IF(financials[[#This Row],[Discount Band]]="medium",0.15,0.3))</f>
        <v>0.15</v>
      </c>
      <c r="I1160" s="8">
        <f>financials[[#This Row],[Gross Sales]]-financials[[#This Row],[Gross Sales]]*financials[[#This Row],[Discounts]]</f>
        <v>114.75</v>
      </c>
      <c r="J1160" s="8">
        <f>VLOOKUP(financials[[#This Row],[productid]],Products!$B$2:$H$10,4)</f>
        <v>5.5</v>
      </c>
      <c r="K1160" s="8">
        <f>financials[[#This Row],[Net Sales]]-financials[[#This Row],[COGS]]</f>
        <v>109.25</v>
      </c>
      <c r="L1160" s="15">
        <v>45477</v>
      </c>
      <c r="M1160" t="s">
        <v>691</v>
      </c>
    </row>
    <row r="1161" spans="1:13" x14ac:dyDescent="0.25">
      <c r="A1161" t="s">
        <v>85</v>
      </c>
      <c r="B1161" s="6" t="s">
        <v>205</v>
      </c>
      <c r="C1161" s="13">
        <v>102</v>
      </c>
      <c r="D1161" s="14" t="s">
        <v>83</v>
      </c>
      <c r="E1161">
        <v>16</v>
      </c>
      <c r="F1161" s="8">
        <f>VLOOKUP(financials[[#This Row],[productid]],Products!$B$2:$H$10,3)</f>
        <v>15</v>
      </c>
      <c r="G1161" s="8">
        <f>financials[[#This Row],[Units Sold]]*financials[[#This Row],[Sale Price]]</f>
        <v>240</v>
      </c>
      <c r="H1161" s="8">
        <f>IF(financials[[#This Row],[Discount Band]]="low",0.1,IF(financials[[#This Row],[Discount Band]]="medium",0.15,0.3))</f>
        <v>0.3</v>
      </c>
      <c r="I1161" s="8">
        <f>financials[[#This Row],[Gross Sales]]-financials[[#This Row],[Gross Sales]]*financials[[#This Row],[Discounts]]</f>
        <v>168</v>
      </c>
      <c r="J1161" s="8">
        <f>VLOOKUP(financials[[#This Row],[productid]],Products!$B$2:$H$10,4)</f>
        <v>13.95</v>
      </c>
      <c r="K1161" s="8">
        <f>financials[[#This Row],[Net Sales]]-financials[[#This Row],[COGS]]</f>
        <v>154.05000000000001</v>
      </c>
      <c r="L1161" s="15">
        <v>44626</v>
      </c>
      <c r="M1161" t="s">
        <v>700</v>
      </c>
    </row>
    <row r="1162" spans="1:13" x14ac:dyDescent="0.25">
      <c r="A1162" t="s">
        <v>89</v>
      </c>
      <c r="B1162" s="6" t="s">
        <v>148</v>
      </c>
      <c r="C1162" s="13">
        <v>108</v>
      </c>
      <c r="D1162" s="14" t="s">
        <v>90</v>
      </c>
      <c r="E1162">
        <v>9</v>
      </c>
      <c r="F1162" s="8">
        <f>VLOOKUP(financials[[#This Row],[productid]],Products!$B$2:$H$10,3)</f>
        <v>5.5</v>
      </c>
      <c r="G1162" s="8">
        <f>financials[[#This Row],[Units Sold]]*financials[[#This Row],[Sale Price]]</f>
        <v>49.5</v>
      </c>
      <c r="H1162" s="8">
        <f>IF(financials[[#This Row],[Discount Band]]="low",0.1,IF(financials[[#This Row],[Discount Band]]="medium",0.15,0.3))</f>
        <v>0.15</v>
      </c>
      <c r="I1162" s="8">
        <f>financials[[#This Row],[Gross Sales]]-financials[[#This Row],[Gross Sales]]*financials[[#This Row],[Discounts]]</f>
        <v>42.075000000000003</v>
      </c>
      <c r="J1162" s="8">
        <f>VLOOKUP(financials[[#This Row],[productid]],Products!$B$2:$H$10,4)</f>
        <v>3.99</v>
      </c>
      <c r="K1162" s="8">
        <f>financials[[#This Row],[Net Sales]]-financials[[#This Row],[COGS]]</f>
        <v>38.085000000000001</v>
      </c>
      <c r="L1162" s="15">
        <v>45530</v>
      </c>
      <c r="M1162" t="s">
        <v>700</v>
      </c>
    </row>
    <row r="1163" spans="1:13" x14ac:dyDescent="0.25">
      <c r="A1163" t="s">
        <v>89</v>
      </c>
      <c r="B1163" s="6" t="s">
        <v>95</v>
      </c>
      <c r="C1163" s="13">
        <v>109</v>
      </c>
      <c r="D1163" s="14" t="s">
        <v>91</v>
      </c>
      <c r="E1163">
        <v>18</v>
      </c>
      <c r="F1163" s="8">
        <f>VLOOKUP(financials[[#This Row],[productid]],Products!$B$2:$H$10,3)</f>
        <v>36</v>
      </c>
      <c r="G1163" s="8">
        <f>financials[[#This Row],[Units Sold]]*financials[[#This Row],[Sale Price]]</f>
        <v>648</v>
      </c>
      <c r="H1163" s="8">
        <f>IF(financials[[#This Row],[Discount Band]]="low",0.1,IF(financials[[#This Row],[Discount Band]]="medium",0.15,0.3))</f>
        <v>0.1</v>
      </c>
      <c r="I1163" s="8">
        <f>financials[[#This Row],[Gross Sales]]-financials[[#This Row],[Gross Sales]]*financials[[#This Row],[Discounts]]</f>
        <v>583.20000000000005</v>
      </c>
      <c r="J1163" s="8">
        <f>VLOOKUP(financials[[#This Row],[productid]],Products!$B$2:$H$10,4)</f>
        <v>16.8</v>
      </c>
      <c r="K1163" s="8">
        <f>financials[[#This Row],[Net Sales]]-financials[[#This Row],[COGS]]</f>
        <v>566.40000000000009</v>
      </c>
      <c r="L1163" s="15">
        <v>44651</v>
      </c>
      <c r="M1163" t="s">
        <v>696</v>
      </c>
    </row>
    <row r="1164" spans="1:13" x14ac:dyDescent="0.25">
      <c r="A1164" t="s">
        <v>89</v>
      </c>
      <c r="B1164" s="6" t="s">
        <v>125</v>
      </c>
      <c r="C1164" s="13">
        <v>107</v>
      </c>
      <c r="D1164" s="14" t="s">
        <v>83</v>
      </c>
      <c r="E1164">
        <v>11</v>
      </c>
      <c r="F1164" s="8">
        <f>VLOOKUP(financials[[#This Row],[productid]],Products!$B$2:$H$10,3)</f>
        <v>15</v>
      </c>
      <c r="G1164" s="8">
        <f>financials[[#This Row],[Units Sold]]*financials[[#This Row],[Sale Price]]</f>
        <v>165</v>
      </c>
      <c r="H1164" s="8">
        <f>IF(financials[[#This Row],[Discount Band]]="low",0.1,IF(financials[[#This Row],[Discount Band]]="medium",0.15,0.3))</f>
        <v>0.3</v>
      </c>
      <c r="I1164" s="8">
        <f>financials[[#This Row],[Gross Sales]]-financials[[#This Row],[Gross Sales]]*financials[[#This Row],[Discounts]]</f>
        <v>115.5</v>
      </c>
      <c r="J1164" s="8">
        <f>VLOOKUP(financials[[#This Row],[productid]],Products!$B$2:$H$10,4)</f>
        <v>5.5</v>
      </c>
      <c r="K1164" s="8">
        <f>financials[[#This Row],[Net Sales]]-financials[[#This Row],[COGS]]</f>
        <v>110</v>
      </c>
      <c r="L1164" s="15">
        <v>45568</v>
      </c>
      <c r="M1164" t="s">
        <v>700</v>
      </c>
    </row>
    <row r="1165" spans="1:13" x14ac:dyDescent="0.25">
      <c r="A1165" t="s">
        <v>86</v>
      </c>
      <c r="B1165" s="6" t="s">
        <v>266</v>
      </c>
      <c r="C1165" s="11">
        <v>103</v>
      </c>
      <c r="D1165" s="9" t="s">
        <v>83</v>
      </c>
      <c r="E1165">
        <v>19</v>
      </c>
      <c r="F1165" s="8">
        <f>VLOOKUP(financials[[#This Row],[productid]],Products!$B$2:$H$10,3)</f>
        <v>28</v>
      </c>
      <c r="G1165" s="8">
        <f>financials[[#This Row],[Units Sold]]*financials[[#This Row],[Sale Price]]</f>
        <v>532</v>
      </c>
      <c r="H1165" s="8">
        <f>IF(financials[[#This Row],[Discount Band]]="low",0.1,IF(financials[[#This Row],[Discount Band]]="medium",0.15,0.3))</f>
        <v>0.3</v>
      </c>
      <c r="I1165" s="8">
        <f>financials[[#This Row],[Gross Sales]]-financials[[#This Row],[Gross Sales]]*financials[[#This Row],[Discounts]]</f>
        <v>372.4</v>
      </c>
      <c r="J1165" s="8">
        <f>VLOOKUP(financials[[#This Row],[productid]],Products!$B$2:$H$10,4)</f>
        <v>15</v>
      </c>
      <c r="K1165" s="8">
        <f>financials[[#This Row],[Net Sales]]-financials[[#This Row],[COGS]]</f>
        <v>357.4</v>
      </c>
      <c r="L1165" s="15">
        <v>45370</v>
      </c>
      <c r="M1165" t="s">
        <v>691</v>
      </c>
    </row>
    <row r="1166" spans="1:13" x14ac:dyDescent="0.25">
      <c r="A1166" t="s">
        <v>86</v>
      </c>
      <c r="B1166" s="6" t="s">
        <v>125</v>
      </c>
      <c r="C1166" s="13">
        <v>105</v>
      </c>
      <c r="D1166" s="14" t="s">
        <v>90</v>
      </c>
      <c r="E1166">
        <v>13</v>
      </c>
      <c r="F1166" s="8">
        <f>VLOOKUP(financials[[#This Row],[productid]],Products!$B$2:$H$10,3)</f>
        <v>15</v>
      </c>
      <c r="G1166" s="8">
        <f>financials[[#This Row],[Units Sold]]*financials[[#This Row],[Sale Price]]</f>
        <v>195</v>
      </c>
      <c r="H1166" s="8">
        <f>IF(financials[[#This Row],[Discount Band]]="low",0.1,IF(financials[[#This Row],[Discount Band]]="medium",0.15,0.3))</f>
        <v>0.15</v>
      </c>
      <c r="I1166" s="8">
        <f>financials[[#This Row],[Gross Sales]]-financials[[#This Row],[Gross Sales]]*financials[[#This Row],[Discounts]]</f>
        <v>165.75</v>
      </c>
      <c r="J1166" s="8">
        <f>VLOOKUP(financials[[#This Row],[productid]],Products!$B$2:$H$10,4)</f>
        <v>10</v>
      </c>
      <c r="K1166" s="8">
        <f>financials[[#This Row],[Net Sales]]-financials[[#This Row],[COGS]]</f>
        <v>155.75</v>
      </c>
      <c r="L1166" s="15">
        <v>44795</v>
      </c>
      <c r="M1166" t="s">
        <v>691</v>
      </c>
    </row>
    <row r="1167" spans="1:13" x14ac:dyDescent="0.25">
      <c r="A1167" t="s">
        <v>85</v>
      </c>
      <c r="B1167" s="6" t="s">
        <v>197</v>
      </c>
      <c r="C1167" s="13">
        <v>107</v>
      </c>
      <c r="D1167" s="14" t="s">
        <v>91</v>
      </c>
      <c r="E1167">
        <v>12</v>
      </c>
      <c r="F1167" s="8">
        <f>VLOOKUP(financials[[#This Row],[productid]],Products!$B$2:$H$10,3)</f>
        <v>15</v>
      </c>
      <c r="G1167" s="8">
        <f>financials[[#This Row],[Units Sold]]*financials[[#This Row],[Sale Price]]</f>
        <v>180</v>
      </c>
      <c r="H1167" s="8">
        <f>IF(financials[[#This Row],[Discount Band]]="low",0.1,IF(financials[[#This Row],[Discount Band]]="medium",0.15,0.3))</f>
        <v>0.1</v>
      </c>
      <c r="I1167" s="8">
        <f>financials[[#This Row],[Gross Sales]]-financials[[#This Row],[Gross Sales]]*financials[[#This Row],[Discounts]]</f>
        <v>162</v>
      </c>
      <c r="J1167" s="8">
        <f>VLOOKUP(financials[[#This Row],[productid]],Products!$B$2:$H$10,4)</f>
        <v>5.5</v>
      </c>
      <c r="K1167" s="8">
        <f>financials[[#This Row],[Net Sales]]-financials[[#This Row],[COGS]]</f>
        <v>156.5</v>
      </c>
      <c r="L1167" s="15">
        <v>45098</v>
      </c>
      <c r="M1167" t="s">
        <v>690</v>
      </c>
    </row>
    <row r="1168" spans="1:13" x14ac:dyDescent="0.25">
      <c r="A1168" t="s">
        <v>89</v>
      </c>
      <c r="B1168" s="6" t="s">
        <v>232</v>
      </c>
      <c r="C1168" s="13">
        <v>109</v>
      </c>
      <c r="D1168" s="14" t="s">
        <v>83</v>
      </c>
      <c r="E1168">
        <v>20</v>
      </c>
      <c r="F1168" s="8">
        <f>VLOOKUP(financials[[#This Row],[productid]],Products!$B$2:$H$10,3)</f>
        <v>36</v>
      </c>
      <c r="G1168" s="8">
        <f>financials[[#This Row],[Units Sold]]*financials[[#This Row],[Sale Price]]</f>
        <v>720</v>
      </c>
      <c r="H1168" s="8">
        <f>IF(financials[[#This Row],[Discount Band]]="low",0.1,IF(financials[[#This Row],[Discount Band]]="medium",0.15,0.3))</f>
        <v>0.3</v>
      </c>
      <c r="I1168" s="8">
        <f>financials[[#This Row],[Gross Sales]]-financials[[#This Row],[Gross Sales]]*financials[[#This Row],[Discounts]]</f>
        <v>504</v>
      </c>
      <c r="J1168" s="8">
        <f>VLOOKUP(financials[[#This Row],[productid]],Products!$B$2:$H$10,4)</f>
        <v>16.8</v>
      </c>
      <c r="K1168" s="8">
        <f>financials[[#This Row],[Net Sales]]-financials[[#This Row],[COGS]]</f>
        <v>487.2</v>
      </c>
      <c r="L1168" s="15">
        <v>44253</v>
      </c>
      <c r="M1168" t="s">
        <v>700</v>
      </c>
    </row>
    <row r="1169" spans="1:13" x14ac:dyDescent="0.25">
      <c r="A1169" t="s">
        <v>89</v>
      </c>
      <c r="B1169" s="6" t="s">
        <v>148</v>
      </c>
      <c r="C1169" s="13">
        <v>109</v>
      </c>
      <c r="D1169" s="14" t="s">
        <v>83</v>
      </c>
      <c r="E1169">
        <v>17</v>
      </c>
      <c r="F1169" s="8">
        <f>VLOOKUP(financials[[#This Row],[productid]],Products!$B$2:$H$10,3)</f>
        <v>36</v>
      </c>
      <c r="G1169" s="8">
        <f>financials[[#This Row],[Units Sold]]*financials[[#This Row],[Sale Price]]</f>
        <v>612</v>
      </c>
      <c r="H1169" s="8">
        <f>IF(financials[[#This Row],[Discount Band]]="low",0.1,IF(financials[[#This Row],[Discount Band]]="medium",0.15,0.3))</f>
        <v>0.3</v>
      </c>
      <c r="I1169" s="8">
        <f>financials[[#This Row],[Gross Sales]]-financials[[#This Row],[Gross Sales]]*financials[[#This Row],[Discounts]]</f>
        <v>428.4</v>
      </c>
      <c r="J1169" s="8">
        <f>VLOOKUP(financials[[#This Row],[productid]],Products!$B$2:$H$10,4)</f>
        <v>16.8</v>
      </c>
      <c r="K1169" s="8">
        <f>financials[[#This Row],[Net Sales]]-financials[[#This Row],[COGS]]</f>
        <v>411.59999999999997</v>
      </c>
      <c r="L1169" s="15">
        <v>45604</v>
      </c>
      <c r="M1169" t="s">
        <v>700</v>
      </c>
    </row>
    <row r="1170" spans="1:13" x14ac:dyDescent="0.25">
      <c r="A1170" t="s">
        <v>89</v>
      </c>
      <c r="B1170" s="6" t="s">
        <v>158</v>
      </c>
      <c r="C1170" s="13">
        <v>103</v>
      </c>
      <c r="D1170" s="14" t="s">
        <v>90</v>
      </c>
      <c r="E1170">
        <v>17</v>
      </c>
      <c r="F1170" s="8">
        <f>VLOOKUP(financials[[#This Row],[productid]],Products!$B$2:$H$10,3)</f>
        <v>28</v>
      </c>
      <c r="G1170" s="8">
        <f>financials[[#This Row],[Units Sold]]*financials[[#This Row],[Sale Price]]</f>
        <v>476</v>
      </c>
      <c r="H1170" s="8">
        <f>IF(financials[[#This Row],[Discount Band]]="low",0.1,IF(financials[[#This Row],[Discount Band]]="medium",0.15,0.3))</f>
        <v>0.15</v>
      </c>
      <c r="I1170" s="8">
        <f>financials[[#This Row],[Gross Sales]]-financials[[#This Row],[Gross Sales]]*financials[[#This Row],[Discounts]]</f>
        <v>404.6</v>
      </c>
      <c r="J1170" s="8">
        <f>VLOOKUP(financials[[#This Row],[productid]],Products!$B$2:$H$10,4)</f>
        <v>15</v>
      </c>
      <c r="K1170" s="8">
        <f>financials[[#This Row],[Net Sales]]-financials[[#This Row],[COGS]]</f>
        <v>389.6</v>
      </c>
      <c r="L1170" s="15">
        <v>44763</v>
      </c>
      <c r="M1170" t="s">
        <v>697</v>
      </c>
    </row>
    <row r="1171" spans="1:13" x14ac:dyDescent="0.25">
      <c r="A1171" t="s">
        <v>85</v>
      </c>
      <c r="B1171" s="6" t="s">
        <v>545</v>
      </c>
      <c r="C1171" s="13">
        <v>103</v>
      </c>
      <c r="D1171" s="14" t="s">
        <v>83</v>
      </c>
      <c r="E1171">
        <v>20</v>
      </c>
      <c r="F1171" s="8">
        <f>VLOOKUP(financials[[#This Row],[productid]],Products!$B$2:$H$10,3)</f>
        <v>28</v>
      </c>
      <c r="G1171" s="8">
        <f>financials[[#This Row],[Units Sold]]*financials[[#This Row],[Sale Price]]</f>
        <v>560</v>
      </c>
      <c r="H1171" s="8">
        <f>IF(financials[[#This Row],[Discount Band]]="low",0.1,IF(financials[[#This Row],[Discount Band]]="medium",0.15,0.3))</f>
        <v>0.3</v>
      </c>
      <c r="I1171" s="8">
        <f>financials[[#This Row],[Gross Sales]]-financials[[#This Row],[Gross Sales]]*financials[[#This Row],[Discounts]]</f>
        <v>392</v>
      </c>
      <c r="J1171" s="8">
        <f>VLOOKUP(financials[[#This Row],[productid]],Products!$B$2:$H$10,4)</f>
        <v>15</v>
      </c>
      <c r="K1171" s="8">
        <f>financials[[#This Row],[Net Sales]]-financials[[#This Row],[COGS]]</f>
        <v>377</v>
      </c>
      <c r="L1171" s="15">
        <v>45363</v>
      </c>
      <c r="M1171" t="s">
        <v>697</v>
      </c>
    </row>
    <row r="1172" spans="1:13" x14ac:dyDescent="0.25">
      <c r="A1172" t="s">
        <v>86</v>
      </c>
      <c r="B1172" s="6" t="s">
        <v>148</v>
      </c>
      <c r="C1172" s="13">
        <v>105</v>
      </c>
      <c r="D1172" s="14" t="s">
        <v>83</v>
      </c>
      <c r="E1172">
        <v>10</v>
      </c>
      <c r="F1172" s="8">
        <f>VLOOKUP(financials[[#This Row],[productid]],Products!$B$2:$H$10,3)</f>
        <v>15</v>
      </c>
      <c r="G1172" s="8">
        <f>financials[[#This Row],[Units Sold]]*financials[[#This Row],[Sale Price]]</f>
        <v>150</v>
      </c>
      <c r="H1172" s="8">
        <f>IF(financials[[#This Row],[Discount Band]]="low",0.1,IF(financials[[#This Row],[Discount Band]]="medium",0.15,0.3))</f>
        <v>0.3</v>
      </c>
      <c r="I1172" s="8">
        <f>financials[[#This Row],[Gross Sales]]-financials[[#This Row],[Gross Sales]]*financials[[#This Row],[Discounts]]</f>
        <v>105</v>
      </c>
      <c r="J1172" s="8">
        <f>VLOOKUP(financials[[#This Row],[productid]],Products!$B$2:$H$10,4)</f>
        <v>10</v>
      </c>
      <c r="K1172" s="8">
        <f>financials[[#This Row],[Net Sales]]-financials[[#This Row],[COGS]]</f>
        <v>95</v>
      </c>
      <c r="L1172" s="15">
        <v>45347</v>
      </c>
      <c r="M1172" t="s">
        <v>691</v>
      </c>
    </row>
    <row r="1173" spans="1:13" x14ac:dyDescent="0.25">
      <c r="A1173" t="s">
        <v>86</v>
      </c>
      <c r="B1173" s="6" t="s">
        <v>158</v>
      </c>
      <c r="C1173" s="13">
        <v>108</v>
      </c>
      <c r="D1173" s="14" t="s">
        <v>83</v>
      </c>
      <c r="E1173">
        <v>6</v>
      </c>
      <c r="F1173" s="8">
        <f>VLOOKUP(financials[[#This Row],[productid]],Products!$B$2:$H$10,3)</f>
        <v>5.5</v>
      </c>
      <c r="G1173" s="8">
        <f>financials[[#This Row],[Units Sold]]*financials[[#This Row],[Sale Price]]</f>
        <v>33</v>
      </c>
      <c r="H1173" s="8">
        <f>IF(financials[[#This Row],[Discount Band]]="low",0.1,IF(financials[[#This Row],[Discount Band]]="medium",0.15,0.3))</f>
        <v>0.3</v>
      </c>
      <c r="I1173" s="8">
        <f>financials[[#This Row],[Gross Sales]]-financials[[#This Row],[Gross Sales]]*financials[[#This Row],[Discounts]]</f>
        <v>23.1</v>
      </c>
      <c r="J1173" s="8">
        <f>VLOOKUP(financials[[#This Row],[productid]],Products!$B$2:$H$10,4)</f>
        <v>3.99</v>
      </c>
      <c r="K1173" s="8">
        <f>financials[[#This Row],[Net Sales]]-financials[[#This Row],[COGS]]</f>
        <v>19.11</v>
      </c>
      <c r="L1173" s="15">
        <v>44242</v>
      </c>
      <c r="M1173" t="s">
        <v>700</v>
      </c>
    </row>
    <row r="1174" spans="1:13" x14ac:dyDescent="0.25">
      <c r="A1174" t="s">
        <v>89</v>
      </c>
      <c r="B1174" s="6" t="s">
        <v>232</v>
      </c>
      <c r="C1174" s="13">
        <v>108</v>
      </c>
      <c r="D1174" s="14" t="s">
        <v>83</v>
      </c>
      <c r="E1174">
        <v>5</v>
      </c>
      <c r="F1174" s="8">
        <f>VLOOKUP(financials[[#This Row],[productid]],Products!$B$2:$H$10,3)</f>
        <v>5.5</v>
      </c>
      <c r="G1174" s="8">
        <f>financials[[#This Row],[Units Sold]]*financials[[#This Row],[Sale Price]]</f>
        <v>27.5</v>
      </c>
      <c r="H1174" s="8">
        <f>IF(financials[[#This Row],[Discount Band]]="low",0.1,IF(financials[[#This Row],[Discount Band]]="medium",0.15,0.3))</f>
        <v>0.3</v>
      </c>
      <c r="I1174" s="8">
        <f>financials[[#This Row],[Gross Sales]]-financials[[#This Row],[Gross Sales]]*financials[[#This Row],[Discounts]]</f>
        <v>19.25</v>
      </c>
      <c r="J1174" s="8">
        <f>VLOOKUP(financials[[#This Row],[productid]],Products!$B$2:$H$10,4)</f>
        <v>3.99</v>
      </c>
      <c r="K1174" s="8">
        <f>financials[[#This Row],[Net Sales]]-financials[[#This Row],[COGS]]</f>
        <v>15.26</v>
      </c>
      <c r="L1174" s="15">
        <v>44596</v>
      </c>
      <c r="M1174" t="s">
        <v>691</v>
      </c>
    </row>
    <row r="1175" spans="1:13" x14ac:dyDescent="0.25">
      <c r="A1175" t="s">
        <v>85</v>
      </c>
      <c r="B1175" s="6" t="s">
        <v>276</v>
      </c>
      <c r="C1175" s="11">
        <v>105</v>
      </c>
      <c r="D1175" s="9" t="s">
        <v>90</v>
      </c>
      <c r="E1175">
        <v>9</v>
      </c>
      <c r="F1175" s="8">
        <f>VLOOKUP(financials[[#This Row],[productid]],Products!$B$2:$H$10,3)</f>
        <v>15</v>
      </c>
      <c r="G1175" s="8">
        <f>financials[[#This Row],[Units Sold]]*financials[[#This Row],[Sale Price]]</f>
        <v>135</v>
      </c>
      <c r="H1175" s="8">
        <f>IF(financials[[#This Row],[Discount Band]]="low",0.1,IF(financials[[#This Row],[Discount Band]]="medium",0.15,0.3))</f>
        <v>0.15</v>
      </c>
      <c r="I1175" s="8">
        <f>financials[[#This Row],[Gross Sales]]-financials[[#This Row],[Gross Sales]]*financials[[#This Row],[Discounts]]</f>
        <v>114.75</v>
      </c>
      <c r="J1175" s="8">
        <f>VLOOKUP(financials[[#This Row],[productid]],Products!$B$2:$H$10,4)</f>
        <v>10</v>
      </c>
      <c r="K1175" s="8">
        <f>financials[[#This Row],[Net Sales]]-financials[[#This Row],[COGS]]</f>
        <v>104.75</v>
      </c>
      <c r="L1175" s="15">
        <v>45367</v>
      </c>
      <c r="M1175" t="s">
        <v>697</v>
      </c>
    </row>
    <row r="1176" spans="1:13" x14ac:dyDescent="0.25">
      <c r="A1176" t="s">
        <v>86</v>
      </c>
      <c r="B1176" s="6" t="s">
        <v>205</v>
      </c>
      <c r="C1176" s="13">
        <v>101</v>
      </c>
      <c r="D1176" s="14" t="s">
        <v>90</v>
      </c>
      <c r="E1176">
        <v>19</v>
      </c>
      <c r="F1176" s="8">
        <f>VLOOKUP(financials[[#This Row],[productid]],Products!$B$2:$H$10,3)</f>
        <v>23</v>
      </c>
      <c r="G1176" s="8">
        <f>financials[[#This Row],[Units Sold]]*financials[[#This Row],[Sale Price]]</f>
        <v>437</v>
      </c>
      <c r="H1176" s="8">
        <f>IF(financials[[#This Row],[Discount Band]]="low",0.1,IF(financials[[#This Row],[Discount Band]]="medium",0.15,0.3))</f>
        <v>0.15</v>
      </c>
      <c r="I1176" s="8">
        <f>financials[[#This Row],[Gross Sales]]-financials[[#This Row],[Gross Sales]]*financials[[#This Row],[Discounts]]</f>
        <v>371.45</v>
      </c>
      <c r="J1176" s="8">
        <f>VLOOKUP(financials[[#This Row],[productid]],Products!$B$2:$H$10,4)</f>
        <v>9.9499999999999993</v>
      </c>
      <c r="K1176" s="8">
        <f>financials[[#This Row],[Net Sales]]-financials[[#This Row],[COGS]]</f>
        <v>361.5</v>
      </c>
      <c r="L1176" s="15">
        <v>44355</v>
      </c>
      <c r="M1176" t="s">
        <v>696</v>
      </c>
    </row>
    <row r="1177" spans="1:13" x14ac:dyDescent="0.25">
      <c r="A1177" t="s">
        <v>89</v>
      </c>
      <c r="B1177" s="6" t="s">
        <v>228</v>
      </c>
      <c r="C1177" s="11">
        <v>101</v>
      </c>
      <c r="D1177" s="9" t="s">
        <v>83</v>
      </c>
      <c r="E1177">
        <v>19</v>
      </c>
      <c r="F1177" s="8">
        <f>VLOOKUP(financials[[#This Row],[productid]],Products!$B$2:$H$10,3)</f>
        <v>23</v>
      </c>
      <c r="G1177" s="8">
        <f>financials[[#This Row],[Units Sold]]*financials[[#This Row],[Sale Price]]</f>
        <v>437</v>
      </c>
      <c r="H1177" s="8">
        <f>IF(financials[[#This Row],[Discount Band]]="low",0.1,IF(financials[[#This Row],[Discount Band]]="medium",0.15,0.3))</f>
        <v>0.3</v>
      </c>
      <c r="I1177" s="8">
        <f>financials[[#This Row],[Gross Sales]]-financials[[#This Row],[Gross Sales]]*financials[[#This Row],[Discounts]]</f>
        <v>305.89999999999998</v>
      </c>
      <c r="J1177" s="8">
        <f>VLOOKUP(financials[[#This Row],[productid]],Products!$B$2:$H$10,4)</f>
        <v>9.9499999999999993</v>
      </c>
      <c r="K1177" s="8">
        <f>financials[[#This Row],[Net Sales]]-financials[[#This Row],[COGS]]</f>
        <v>295.95</v>
      </c>
      <c r="L1177" s="15">
        <v>44162</v>
      </c>
      <c r="M1177" t="s">
        <v>690</v>
      </c>
    </row>
    <row r="1178" spans="1:13" x14ac:dyDescent="0.25">
      <c r="A1178" t="s">
        <v>89</v>
      </c>
      <c r="B1178" s="6" t="s">
        <v>94</v>
      </c>
      <c r="C1178" s="13">
        <v>105</v>
      </c>
      <c r="D1178" s="14" t="s">
        <v>83</v>
      </c>
      <c r="E1178">
        <v>10</v>
      </c>
      <c r="F1178" s="8">
        <f>VLOOKUP(financials[[#This Row],[productid]],Products!$B$2:$H$10,3)</f>
        <v>15</v>
      </c>
      <c r="G1178" s="8">
        <f>financials[[#This Row],[Units Sold]]*financials[[#This Row],[Sale Price]]</f>
        <v>150</v>
      </c>
      <c r="H1178" s="8">
        <f>IF(financials[[#This Row],[Discount Band]]="low",0.1,IF(financials[[#This Row],[Discount Band]]="medium",0.15,0.3))</f>
        <v>0.3</v>
      </c>
      <c r="I1178" s="8">
        <f>financials[[#This Row],[Gross Sales]]-financials[[#This Row],[Gross Sales]]*financials[[#This Row],[Discounts]]</f>
        <v>105</v>
      </c>
      <c r="J1178" s="8">
        <f>VLOOKUP(financials[[#This Row],[productid]],Products!$B$2:$H$10,4)</f>
        <v>10</v>
      </c>
      <c r="K1178" s="8">
        <f>financials[[#This Row],[Net Sales]]-financials[[#This Row],[COGS]]</f>
        <v>95</v>
      </c>
      <c r="L1178" s="15">
        <v>44947</v>
      </c>
      <c r="M1178" t="s">
        <v>691</v>
      </c>
    </row>
    <row r="1179" spans="1:13" x14ac:dyDescent="0.25">
      <c r="A1179" t="s">
        <v>89</v>
      </c>
      <c r="B1179" s="6" t="s">
        <v>93</v>
      </c>
      <c r="C1179" s="13">
        <v>105</v>
      </c>
      <c r="D1179" s="14" t="s">
        <v>90</v>
      </c>
      <c r="E1179">
        <v>14</v>
      </c>
      <c r="F1179" s="8">
        <f>VLOOKUP(financials[[#This Row],[productid]],Products!$B$2:$H$10,3)</f>
        <v>15</v>
      </c>
      <c r="G1179" s="8">
        <f>financials[[#This Row],[Units Sold]]*financials[[#This Row],[Sale Price]]</f>
        <v>210</v>
      </c>
      <c r="H1179" s="8">
        <f>IF(financials[[#This Row],[Discount Band]]="low",0.1,IF(financials[[#This Row],[Discount Band]]="medium",0.15,0.3))</f>
        <v>0.15</v>
      </c>
      <c r="I1179" s="8">
        <f>financials[[#This Row],[Gross Sales]]-financials[[#This Row],[Gross Sales]]*financials[[#This Row],[Discounts]]</f>
        <v>178.5</v>
      </c>
      <c r="J1179" s="8">
        <f>VLOOKUP(financials[[#This Row],[productid]],Products!$B$2:$H$10,4)</f>
        <v>10</v>
      </c>
      <c r="K1179" s="8">
        <f>financials[[#This Row],[Net Sales]]-financials[[#This Row],[COGS]]</f>
        <v>168.5</v>
      </c>
      <c r="L1179" s="15">
        <v>44050</v>
      </c>
      <c r="M1179" t="s">
        <v>697</v>
      </c>
    </row>
    <row r="1180" spans="1:13" x14ac:dyDescent="0.25">
      <c r="A1180" t="s">
        <v>85</v>
      </c>
      <c r="B1180" s="6" t="s">
        <v>273</v>
      </c>
      <c r="C1180" s="13">
        <v>109</v>
      </c>
      <c r="D1180" s="14" t="s">
        <v>91</v>
      </c>
      <c r="E1180">
        <v>13</v>
      </c>
      <c r="F1180" s="8">
        <f>VLOOKUP(financials[[#This Row],[productid]],Products!$B$2:$H$10,3)</f>
        <v>36</v>
      </c>
      <c r="G1180" s="8">
        <f>financials[[#This Row],[Units Sold]]*financials[[#This Row],[Sale Price]]</f>
        <v>468</v>
      </c>
      <c r="H1180" s="8">
        <f>IF(financials[[#This Row],[Discount Band]]="low",0.1,IF(financials[[#This Row],[Discount Band]]="medium",0.15,0.3))</f>
        <v>0.1</v>
      </c>
      <c r="I1180" s="8">
        <f>financials[[#This Row],[Gross Sales]]-financials[[#This Row],[Gross Sales]]*financials[[#This Row],[Discounts]]</f>
        <v>421.2</v>
      </c>
      <c r="J1180" s="8">
        <f>VLOOKUP(financials[[#This Row],[productid]],Products!$B$2:$H$10,4)</f>
        <v>16.8</v>
      </c>
      <c r="K1180" s="8">
        <f>financials[[#This Row],[Net Sales]]-financials[[#This Row],[COGS]]</f>
        <v>404.4</v>
      </c>
      <c r="L1180" s="15">
        <v>44368</v>
      </c>
      <c r="M1180" t="s">
        <v>690</v>
      </c>
    </row>
    <row r="1181" spans="1:13" x14ac:dyDescent="0.25">
      <c r="A1181" t="s">
        <v>86</v>
      </c>
      <c r="B1181" s="6" t="s">
        <v>617</v>
      </c>
      <c r="C1181" s="13">
        <v>102</v>
      </c>
      <c r="D1181" s="14" t="s">
        <v>91</v>
      </c>
      <c r="E1181">
        <v>8</v>
      </c>
      <c r="F1181" s="8">
        <f>VLOOKUP(financials[[#This Row],[productid]],Products!$B$2:$H$10,3)</f>
        <v>15</v>
      </c>
      <c r="G1181" s="8">
        <f>financials[[#This Row],[Units Sold]]*financials[[#This Row],[Sale Price]]</f>
        <v>120</v>
      </c>
      <c r="H1181" s="8">
        <f>IF(financials[[#This Row],[Discount Band]]="low",0.1,IF(financials[[#This Row],[Discount Band]]="medium",0.15,0.3))</f>
        <v>0.1</v>
      </c>
      <c r="I1181" s="8">
        <f>financials[[#This Row],[Gross Sales]]-financials[[#This Row],[Gross Sales]]*financials[[#This Row],[Discounts]]</f>
        <v>108</v>
      </c>
      <c r="J1181" s="8">
        <f>VLOOKUP(financials[[#This Row],[productid]],Products!$B$2:$H$10,4)</f>
        <v>13.95</v>
      </c>
      <c r="K1181" s="8">
        <f>financials[[#This Row],[Net Sales]]-financials[[#This Row],[COGS]]</f>
        <v>94.05</v>
      </c>
      <c r="L1181" s="15">
        <v>43983</v>
      </c>
      <c r="M1181" t="s">
        <v>690</v>
      </c>
    </row>
    <row r="1182" spans="1:13" x14ac:dyDescent="0.25">
      <c r="A1182" t="s">
        <v>85</v>
      </c>
      <c r="B1182" s="6" t="s">
        <v>167</v>
      </c>
      <c r="C1182" s="13">
        <v>108</v>
      </c>
      <c r="D1182" s="14" t="s">
        <v>83</v>
      </c>
      <c r="E1182">
        <v>20</v>
      </c>
      <c r="F1182" s="8">
        <f>VLOOKUP(financials[[#This Row],[productid]],Products!$B$2:$H$10,3)</f>
        <v>5.5</v>
      </c>
      <c r="G1182" s="8">
        <f>financials[[#This Row],[Units Sold]]*financials[[#This Row],[Sale Price]]</f>
        <v>110</v>
      </c>
      <c r="H1182" s="8">
        <f>IF(financials[[#This Row],[Discount Band]]="low",0.1,IF(financials[[#This Row],[Discount Band]]="medium",0.15,0.3))</f>
        <v>0.3</v>
      </c>
      <c r="I1182" s="8">
        <f>financials[[#This Row],[Gross Sales]]-financials[[#This Row],[Gross Sales]]*financials[[#This Row],[Discounts]]</f>
        <v>77</v>
      </c>
      <c r="J1182" s="8">
        <f>VLOOKUP(financials[[#This Row],[productid]],Products!$B$2:$H$10,4)</f>
        <v>3.99</v>
      </c>
      <c r="K1182" s="8">
        <f>financials[[#This Row],[Net Sales]]-financials[[#This Row],[COGS]]</f>
        <v>73.010000000000005</v>
      </c>
      <c r="L1182" s="15">
        <v>44513</v>
      </c>
      <c r="M1182" t="s">
        <v>691</v>
      </c>
    </row>
    <row r="1183" spans="1:13" x14ac:dyDescent="0.25">
      <c r="A1183" t="s">
        <v>86</v>
      </c>
      <c r="B1183" s="6" t="s">
        <v>198</v>
      </c>
      <c r="C1183" s="13">
        <v>101</v>
      </c>
      <c r="D1183" s="14" t="s">
        <v>83</v>
      </c>
      <c r="E1183">
        <v>14</v>
      </c>
      <c r="F1183" s="8">
        <f>VLOOKUP(financials[[#This Row],[productid]],Products!$B$2:$H$10,3)</f>
        <v>23</v>
      </c>
      <c r="G1183" s="8">
        <f>financials[[#This Row],[Units Sold]]*financials[[#This Row],[Sale Price]]</f>
        <v>322</v>
      </c>
      <c r="H1183" s="8">
        <f>IF(financials[[#This Row],[Discount Band]]="low",0.1,IF(financials[[#This Row],[Discount Band]]="medium",0.15,0.3))</f>
        <v>0.3</v>
      </c>
      <c r="I1183" s="8">
        <f>financials[[#This Row],[Gross Sales]]-financials[[#This Row],[Gross Sales]]*financials[[#This Row],[Discounts]]</f>
        <v>225.4</v>
      </c>
      <c r="J1183" s="8">
        <f>VLOOKUP(financials[[#This Row],[productid]],Products!$B$2:$H$10,4)</f>
        <v>9.9499999999999993</v>
      </c>
      <c r="K1183" s="8">
        <f>financials[[#This Row],[Net Sales]]-financials[[#This Row],[COGS]]</f>
        <v>215.45000000000002</v>
      </c>
      <c r="L1183" s="15">
        <v>45436</v>
      </c>
      <c r="M1183" t="s">
        <v>690</v>
      </c>
    </row>
    <row r="1184" spans="1:13" x14ac:dyDescent="0.25">
      <c r="A1184" t="s">
        <v>86</v>
      </c>
      <c r="B1184" s="6" t="s">
        <v>197</v>
      </c>
      <c r="C1184" s="13">
        <v>107</v>
      </c>
      <c r="D1184" s="14" t="s">
        <v>83</v>
      </c>
      <c r="E1184">
        <v>19</v>
      </c>
      <c r="F1184" s="8">
        <f>VLOOKUP(financials[[#This Row],[productid]],Products!$B$2:$H$10,3)</f>
        <v>15</v>
      </c>
      <c r="G1184" s="8">
        <f>financials[[#This Row],[Units Sold]]*financials[[#This Row],[Sale Price]]</f>
        <v>285</v>
      </c>
      <c r="H1184" s="8">
        <f>IF(financials[[#This Row],[Discount Band]]="low",0.1,IF(financials[[#This Row],[Discount Band]]="medium",0.15,0.3))</f>
        <v>0.3</v>
      </c>
      <c r="I1184" s="8">
        <f>financials[[#This Row],[Gross Sales]]-financials[[#This Row],[Gross Sales]]*financials[[#This Row],[Discounts]]</f>
        <v>199.5</v>
      </c>
      <c r="J1184" s="8">
        <f>VLOOKUP(financials[[#This Row],[productid]],Products!$B$2:$H$10,4)</f>
        <v>5.5</v>
      </c>
      <c r="K1184" s="8">
        <f>financials[[#This Row],[Net Sales]]-financials[[#This Row],[COGS]]</f>
        <v>194</v>
      </c>
      <c r="L1184" s="15">
        <v>43928</v>
      </c>
      <c r="M1184" t="s">
        <v>697</v>
      </c>
    </row>
    <row r="1185" spans="1:13" x14ac:dyDescent="0.25">
      <c r="A1185" t="s">
        <v>85</v>
      </c>
      <c r="B1185" s="6" t="s">
        <v>276</v>
      </c>
      <c r="C1185" s="11">
        <v>106</v>
      </c>
      <c r="D1185" s="9" t="s">
        <v>83</v>
      </c>
      <c r="E1185">
        <v>13</v>
      </c>
      <c r="F1185" s="8">
        <f>VLOOKUP(financials[[#This Row],[productid]],Products!$B$2:$H$10,3)</f>
        <v>25</v>
      </c>
      <c r="G1185" s="8">
        <f>financials[[#This Row],[Units Sold]]*financials[[#This Row],[Sale Price]]</f>
        <v>325</v>
      </c>
      <c r="H1185" s="8">
        <f>IF(financials[[#This Row],[Discount Band]]="low",0.1,IF(financials[[#This Row],[Discount Band]]="medium",0.15,0.3))</f>
        <v>0.3</v>
      </c>
      <c r="I1185" s="8">
        <f>financials[[#This Row],[Gross Sales]]-financials[[#This Row],[Gross Sales]]*financials[[#This Row],[Discounts]]</f>
        <v>227.5</v>
      </c>
      <c r="J1185" s="8">
        <f>VLOOKUP(financials[[#This Row],[productid]],Products!$B$2:$H$10,4)</f>
        <v>9.1</v>
      </c>
      <c r="K1185" s="8">
        <f>financials[[#This Row],[Net Sales]]-financials[[#This Row],[COGS]]</f>
        <v>218.4</v>
      </c>
      <c r="L1185" s="15">
        <v>44988</v>
      </c>
      <c r="M1185" t="s">
        <v>696</v>
      </c>
    </row>
    <row r="1186" spans="1:13" x14ac:dyDescent="0.25">
      <c r="A1186" t="s">
        <v>89</v>
      </c>
      <c r="B1186" s="6" t="s">
        <v>287</v>
      </c>
      <c r="C1186" s="11">
        <v>103</v>
      </c>
      <c r="D1186" s="9" t="s">
        <v>91</v>
      </c>
      <c r="E1186">
        <v>9</v>
      </c>
      <c r="F1186" s="8">
        <f>VLOOKUP(financials[[#This Row],[productid]],Products!$B$2:$H$10,3)</f>
        <v>28</v>
      </c>
      <c r="G1186" s="8">
        <f>financials[[#This Row],[Units Sold]]*financials[[#This Row],[Sale Price]]</f>
        <v>252</v>
      </c>
      <c r="H1186" s="8">
        <f>IF(financials[[#This Row],[Discount Band]]="low",0.1,IF(financials[[#This Row],[Discount Band]]="medium",0.15,0.3))</f>
        <v>0.1</v>
      </c>
      <c r="I1186" s="8">
        <f>financials[[#This Row],[Gross Sales]]-financials[[#This Row],[Gross Sales]]*financials[[#This Row],[Discounts]]</f>
        <v>226.8</v>
      </c>
      <c r="J1186" s="8">
        <f>VLOOKUP(financials[[#This Row],[productid]],Products!$B$2:$H$10,4)</f>
        <v>15</v>
      </c>
      <c r="K1186" s="8">
        <f>financials[[#This Row],[Net Sales]]-financials[[#This Row],[COGS]]</f>
        <v>211.8</v>
      </c>
      <c r="L1186" s="15">
        <v>44850</v>
      </c>
      <c r="M1186" t="s">
        <v>690</v>
      </c>
    </row>
    <row r="1187" spans="1:13" x14ac:dyDescent="0.25">
      <c r="A1187" t="s">
        <v>89</v>
      </c>
      <c r="B1187" s="6" t="s">
        <v>545</v>
      </c>
      <c r="C1187" s="13">
        <v>106</v>
      </c>
      <c r="D1187" s="14" t="s">
        <v>90</v>
      </c>
      <c r="E1187">
        <v>15</v>
      </c>
      <c r="F1187" s="8">
        <f>VLOOKUP(financials[[#This Row],[productid]],Products!$B$2:$H$10,3)</f>
        <v>25</v>
      </c>
      <c r="G1187" s="8">
        <f>financials[[#This Row],[Units Sold]]*financials[[#This Row],[Sale Price]]</f>
        <v>375</v>
      </c>
      <c r="H1187" s="8">
        <f>IF(financials[[#This Row],[Discount Band]]="low",0.1,IF(financials[[#This Row],[Discount Band]]="medium",0.15,0.3))</f>
        <v>0.15</v>
      </c>
      <c r="I1187" s="8">
        <f>financials[[#This Row],[Gross Sales]]-financials[[#This Row],[Gross Sales]]*financials[[#This Row],[Discounts]]</f>
        <v>318.75</v>
      </c>
      <c r="J1187" s="8">
        <f>VLOOKUP(financials[[#This Row],[productid]],Products!$B$2:$H$10,4)</f>
        <v>9.1</v>
      </c>
      <c r="K1187" s="8">
        <f>financials[[#This Row],[Net Sales]]-financials[[#This Row],[COGS]]</f>
        <v>309.64999999999998</v>
      </c>
      <c r="L1187" s="15">
        <v>44556</v>
      </c>
      <c r="M1187" t="s">
        <v>696</v>
      </c>
    </row>
    <row r="1188" spans="1:13" x14ac:dyDescent="0.25">
      <c r="A1188" t="s">
        <v>86</v>
      </c>
      <c r="B1188" s="6" t="s">
        <v>198</v>
      </c>
      <c r="C1188" s="13">
        <v>107</v>
      </c>
      <c r="D1188" s="14" t="s">
        <v>90</v>
      </c>
      <c r="E1188">
        <v>7</v>
      </c>
      <c r="F1188" s="8">
        <f>VLOOKUP(financials[[#This Row],[productid]],Products!$B$2:$H$10,3)</f>
        <v>15</v>
      </c>
      <c r="G1188" s="8">
        <f>financials[[#This Row],[Units Sold]]*financials[[#This Row],[Sale Price]]</f>
        <v>105</v>
      </c>
      <c r="H1188" s="8">
        <f>IF(financials[[#This Row],[Discount Band]]="low",0.1,IF(financials[[#This Row],[Discount Band]]="medium",0.15,0.3))</f>
        <v>0.15</v>
      </c>
      <c r="I1188" s="8">
        <f>financials[[#This Row],[Gross Sales]]-financials[[#This Row],[Gross Sales]]*financials[[#This Row],[Discounts]]</f>
        <v>89.25</v>
      </c>
      <c r="J1188" s="8">
        <f>VLOOKUP(financials[[#This Row],[productid]],Products!$B$2:$H$10,4)</f>
        <v>5.5</v>
      </c>
      <c r="K1188" s="8">
        <f>financials[[#This Row],[Net Sales]]-financials[[#This Row],[COGS]]</f>
        <v>83.75</v>
      </c>
      <c r="L1188" s="15">
        <v>44049</v>
      </c>
      <c r="M1188" t="s">
        <v>691</v>
      </c>
    </row>
    <row r="1189" spans="1:13" x14ac:dyDescent="0.25">
      <c r="A1189" t="s">
        <v>89</v>
      </c>
      <c r="B1189" s="6" t="s">
        <v>148</v>
      </c>
      <c r="C1189" s="13">
        <v>106</v>
      </c>
      <c r="D1189" s="14" t="s">
        <v>91</v>
      </c>
      <c r="E1189">
        <v>13</v>
      </c>
      <c r="F1189" s="8">
        <f>VLOOKUP(financials[[#This Row],[productid]],Products!$B$2:$H$10,3)</f>
        <v>25</v>
      </c>
      <c r="G1189" s="8">
        <f>financials[[#This Row],[Units Sold]]*financials[[#This Row],[Sale Price]]</f>
        <v>325</v>
      </c>
      <c r="H1189" s="8">
        <f>IF(financials[[#This Row],[Discount Band]]="low",0.1,IF(financials[[#This Row],[Discount Band]]="medium",0.15,0.3))</f>
        <v>0.1</v>
      </c>
      <c r="I1189" s="8">
        <f>financials[[#This Row],[Gross Sales]]-financials[[#This Row],[Gross Sales]]*financials[[#This Row],[Discounts]]</f>
        <v>292.5</v>
      </c>
      <c r="J1189" s="8">
        <f>VLOOKUP(financials[[#This Row],[productid]],Products!$B$2:$H$10,4)</f>
        <v>9.1</v>
      </c>
      <c r="K1189" s="8">
        <f>financials[[#This Row],[Net Sales]]-financials[[#This Row],[COGS]]</f>
        <v>283.39999999999998</v>
      </c>
      <c r="L1189" s="15">
        <v>44458</v>
      </c>
      <c r="M1189" t="s">
        <v>696</v>
      </c>
    </row>
    <row r="1190" spans="1:13" x14ac:dyDescent="0.25">
      <c r="A1190" t="s">
        <v>86</v>
      </c>
      <c r="B1190" s="6" t="s">
        <v>205</v>
      </c>
      <c r="C1190" s="13">
        <v>106</v>
      </c>
      <c r="D1190" s="14" t="s">
        <v>90</v>
      </c>
      <c r="E1190">
        <v>10</v>
      </c>
      <c r="F1190" s="8">
        <f>VLOOKUP(financials[[#This Row],[productid]],Products!$B$2:$H$10,3)</f>
        <v>25</v>
      </c>
      <c r="G1190" s="8">
        <f>financials[[#This Row],[Units Sold]]*financials[[#This Row],[Sale Price]]</f>
        <v>250</v>
      </c>
      <c r="H1190" s="8">
        <f>IF(financials[[#This Row],[Discount Band]]="low",0.1,IF(financials[[#This Row],[Discount Band]]="medium",0.15,0.3))</f>
        <v>0.15</v>
      </c>
      <c r="I1190" s="8">
        <f>financials[[#This Row],[Gross Sales]]-financials[[#This Row],[Gross Sales]]*financials[[#This Row],[Discounts]]</f>
        <v>212.5</v>
      </c>
      <c r="J1190" s="8">
        <f>VLOOKUP(financials[[#This Row],[productid]],Products!$B$2:$H$10,4)</f>
        <v>9.1</v>
      </c>
      <c r="K1190" s="8">
        <f>financials[[#This Row],[Net Sales]]-financials[[#This Row],[COGS]]</f>
        <v>203.4</v>
      </c>
      <c r="L1190" s="15">
        <v>44225</v>
      </c>
      <c r="M1190" t="s">
        <v>697</v>
      </c>
    </row>
    <row r="1191" spans="1:13" x14ac:dyDescent="0.25">
      <c r="A1191" t="s">
        <v>87</v>
      </c>
      <c r="B1191" s="6" t="s">
        <v>644</v>
      </c>
      <c r="C1191" s="13">
        <v>105</v>
      </c>
      <c r="D1191" s="14" t="s">
        <v>83</v>
      </c>
      <c r="E1191">
        <v>5</v>
      </c>
      <c r="F1191" s="8">
        <f>VLOOKUP(financials[[#This Row],[productid]],Products!$B$2:$H$10,3)</f>
        <v>15</v>
      </c>
      <c r="G1191" s="8">
        <f>financials[[#This Row],[Units Sold]]*financials[[#This Row],[Sale Price]]</f>
        <v>75</v>
      </c>
      <c r="H1191" s="8">
        <f>IF(financials[[#This Row],[Discount Band]]="low",0.1,IF(financials[[#This Row],[Discount Band]]="medium",0.15,0.3))</f>
        <v>0.3</v>
      </c>
      <c r="I1191" s="8">
        <f>financials[[#This Row],[Gross Sales]]-financials[[#This Row],[Gross Sales]]*financials[[#This Row],[Discounts]]</f>
        <v>52.5</v>
      </c>
      <c r="J1191" s="8">
        <f>VLOOKUP(financials[[#This Row],[productid]],Products!$B$2:$H$10,4)</f>
        <v>10</v>
      </c>
      <c r="K1191" s="8">
        <f>financials[[#This Row],[Net Sales]]-financials[[#This Row],[COGS]]</f>
        <v>42.5</v>
      </c>
      <c r="L1191" s="15">
        <v>44588</v>
      </c>
      <c r="M1191" t="s">
        <v>691</v>
      </c>
    </row>
    <row r="1192" spans="1:13" x14ac:dyDescent="0.25">
      <c r="A1192" t="s">
        <v>86</v>
      </c>
      <c r="B1192" s="6" t="s">
        <v>198</v>
      </c>
      <c r="C1192" s="13">
        <v>106</v>
      </c>
      <c r="D1192" s="14" t="s">
        <v>90</v>
      </c>
      <c r="E1192">
        <v>7</v>
      </c>
      <c r="F1192" s="8">
        <f>VLOOKUP(financials[[#This Row],[productid]],Products!$B$2:$H$10,3)</f>
        <v>25</v>
      </c>
      <c r="G1192" s="8">
        <f>financials[[#This Row],[Units Sold]]*financials[[#This Row],[Sale Price]]</f>
        <v>175</v>
      </c>
      <c r="H1192" s="8">
        <f>IF(financials[[#This Row],[Discount Band]]="low",0.1,IF(financials[[#This Row],[Discount Band]]="medium",0.15,0.3))</f>
        <v>0.15</v>
      </c>
      <c r="I1192" s="8">
        <f>financials[[#This Row],[Gross Sales]]-financials[[#This Row],[Gross Sales]]*financials[[#This Row],[Discounts]]</f>
        <v>148.75</v>
      </c>
      <c r="J1192" s="8">
        <f>VLOOKUP(financials[[#This Row],[productid]],Products!$B$2:$H$10,4)</f>
        <v>9.1</v>
      </c>
      <c r="K1192" s="8">
        <f>financials[[#This Row],[Net Sales]]-financials[[#This Row],[COGS]]</f>
        <v>139.65</v>
      </c>
      <c r="L1192" s="15">
        <v>44907</v>
      </c>
      <c r="M1192" t="s">
        <v>690</v>
      </c>
    </row>
    <row r="1193" spans="1:13" x14ac:dyDescent="0.25">
      <c r="A1193" t="s">
        <v>89</v>
      </c>
      <c r="B1193" s="6" t="s">
        <v>148</v>
      </c>
      <c r="C1193" s="13">
        <v>102</v>
      </c>
      <c r="D1193" s="14" t="s">
        <v>83</v>
      </c>
      <c r="E1193">
        <v>9</v>
      </c>
      <c r="F1193" s="8">
        <f>VLOOKUP(financials[[#This Row],[productid]],Products!$B$2:$H$10,3)</f>
        <v>15</v>
      </c>
      <c r="G1193" s="8">
        <f>financials[[#This Row],[Units Sold]]*financials[[#This Row],[Sale Price]]</f>
        <v>135</v>
      </c>
      <c r="H1193" s="8">
        <f>IF(financials[[#This Row],[Discount Band]]="low",0.1,IF(financials[[#This Row],[Discount Band]]="medium",0.15,0.3))</f>
        <v>0.3</v>
      </c>
      <c r="I1193" s="8">
        <f>financials[[#This Row],[Gross Sales]]-financials[[#This Row],[Gross Sales]]*financials[[#This Row],[Discounts]]</f>
        <v>94.5</v>
      </c>
      <c r="J1193" s="8">
        <f>VLOOKUP(financials[[#This Row],[productid]],Products!$B$2:$H$10,4)</f>
        <v>13.95</v>
      </c>
      <c r="K1193" s="8">
        <f>financials[[#This Row],[Net Sales]]-financials[[#This Row],[COGS]]</f>
        <v>80.55</v>
      </c>
      <c r="L1193" s="15">
        <v>45421</v>
      </c>
      <c r="M1193" t="s">
        <v>700</v>
      </c>
    </row>
    <row r="1194" spans="1:13" x14ac:dyDescent="0.25">
      <c r="A1194" t="s">
        <v>89</v>
      </c>
      <c r="B1194" s="6" t="s">
        <v>274</v>
      </c>
      <c r="C1194" s="11">
        <v>105</v>
      </c>
      <c r="D1194" s="9" t="s">
        <v>83</v>
      </c>
      <c r="E1194">
        <v>5</v>
      </c>
      <c r="F1194" s="8">
        <f>VLOOKUP(financials[[#This Row],[productid]],Products!$B$2:$H$10,3)</f>
        <v>15</v>
      </c>
      <c r="G1194" s="8">
        <f>financials[[#This Row],[Units Sold]]*financials[[#This Row],[Sale Price]]</f>
        <v>75</v>
      </c>
      <c r="H1194" s="8">
        <f>IF(financials[[#This Row],[Discount Band]]="low",0.1,IF(financials[[#This Row],[Discount Band]]="medium",0.15,0.3))</f>
        <v>0.3</v>
      </c>
      <c r="I1194" s="8">
        <f>financials[[#This Row],[Gross Sales]]-financials[[#This Row],[Gross Sales]]*financials[[#This Row],[Discounts]]</f>
        <v>52.5</v>
      </c>
      <c r="J1194" s="8">
        <f>VLOOKUP(financials[[#This Row],[productid]],Products!$B$2:$H$10,4)</f>
        <v>10</v>
      </c>
      <c r="K1194" s="8">
        <f>financials[[#This Row],[Net Sales]]-financials[[#This Row],[COGS]]</f>
        <v>42.5</v>
      </c>
      <c r="L1194" s="15">
        <v>44433</v>
      </c>
      <c r="M1194" t="s">
        <v>700</v>
      </c>
    </row>
    <row r="1195" spans="1:13" x14ac:dyDescent="0.25">
      <c r="A1195" t="s">
        <v>85</v>
      </c>
      <c r="B1195" s="6" t="s">
        <v>197</v>
      </c>
      <c r="C1195" s="13">
        <v>104</v>
      </c>
      <c r="D1195" s="14" t="s">
        <v>83</v>
      </c>
      <c r="E1195">
        <v>20</v>
      </c>
      <c r="F1195" s="8">
        <f>VLOOKUP(financials[[#This Row],[productid]],Products!$B$2:$H$10,3)</f>
        <v>5.9</v>
      </c>
      <c r="G1195" s="8">
        <f>financials[[#This Row],[Units Sold]]*financials[[#This Row],[Sale Price]]</f>
        <v>118</v>
      </c>
      <c r="H1195" s="8">
        <f>IF(financials[[#This Row],[Discount Band]]="low",0.1,IF(financials[[#This Row],[Discount Band]]="medium",0.15,0.3))</f>
        <v>0.3</v>
      </c>
      <c r="I1195" s="8">
        <f>financials[[#This Row],[Gross Sales]]-financials[[#This Row],[Gross Sales]]*financials[[#This Row],[Discounts]]</f>
        <v>82.6</v>
      </c>
      <c r="J1195" s="8">
        <f>VLOOKUP(financials[[#This Row],[productid]],Products!$B$2:$H$10,4)</f>
        <v>2.9</v>
      </c>
      <c r="K1195" s="8">
        <f>financials[[#This Row],[Net Sales]]-financials[[#This Row],[COGS]]</f>
        <v>79.699999999999989</v>
      </c>
      <c r="L1195" s="15">
        <v>45121</v>
      </c>
      <c r="M1195" t="s">
        <v>696</v>
      </c>
    </row>
    <row r="1196" spans="1:13" x14ac:dyDescent="0.25">
      <c r="A1196" t="s">
        <v>86</v>
      </c>
      <c r="B1196" s="6" t="s">
        <v>205</v>
      </c>
      <c r="C1196" s="13">
        <v>106</v>
      </c>
      <c r="D1196" s="14" t="s">
        <v>83</v>
      </c>
      <c r="E1196">
        <v>16</v>
      </c>
      <c r="F1196" s="8">
        <f>VLOOKUP(financials[[#This Row],[productid]],Products!$B$2:$H$10,3)</f>
        <v>25</v>
      </c>
      <c r="G1196" s="8">
        <f>financials[[#This Row],[Units Sold]]*financials[[#This Row],[Sale Price]]</f>
        <v>400</v>
      </c>
      <c r="H1196" s="8">
        <f>IF(financials[[#This Row],[Discount Band]]="low",0.1,IF(financials[[#This Row],[Discount Band]]="medium",0.15,0.3))</f>
        <v>0.3</v>
      </c>
      <c r="I1196" s="8">
        <f>financials[[#This Row],[Gross Sales]]-financials[[#This Row],[Gross Sales]]*financials[[#This Row],[Discounts]]</f>
        <v>280</v>
      </c>
      <c r="J1196" s="8">
        <f>VLOOKUP(financials[[#This Row],[productid]],Products!$B$2:$H$10,4)</f>
        <v>9.1</v>
      </c>
      <c r="K1196" s="8">
        <f>financials[[#This Row],[Net Sales]]-financials[[#This Row],[COGS]]</f>
        <v>270.89999999999998</v>
      </c>
      <c r="L1196" s="15">
        <v>44933</v>
      </c>
      <c r="M1196" t="s">
        <v>700</v>
      </c>
    </row>
    <row r="1197" spans="1:13" x14ac:dyDescent="0.25">
      <c r="A1197" t="s">
        <v>89</v>
      </c>
      <c r="B1197" s="6" t="s">
        <v>645</v>
      </c>
      <c r="C1197" s="13">
        <v>102</v>
      </c>
      <c r="D1197" s="14" t="s">
        <v>83</v>
      </c>
      <c r="E1197">
        <v>17</v>
      </c>
      <c r="F1197" s="8">
        <f>VLOOKUP(financials[[#This Row],[productid]],Products!$B$2:$H$10,3)</f>
        <v>15</v>
      </c>
      <c r="G1197" s="8">
        <f>financials[[#This Row],[Units Sold]]*financials[[#This Row],[Sale Price]]</f>
        <v>255</v>
      </c>
      <c r="H1197" s="8">
        <f>IF(financials[[#This Row],[Discount Band]]="low",0.1,IF(financials[[#This Row],[Discount Band]]="medium",0.15,0.3))</f>
        <v>0.3</v>
      </c>
      <c r="I1197" s="8">
        <f>financials[[#This Row],[Gross Sales]]-financials[[#This Row],[Gross Sales]]*financials[[#This Row],[Discounts]]</f>
        <v>178.5</v>
      </c>
      <c r="J1197" s="8">
        <f>VLOOKUP(financials[[#This Row],[productid]],Products!$B$2:$H$10,4)</f>
        <v>13.95</v>
      </c>
      <c r="K1197" s="8">
        <f>financials[[#This Row],[Net Sales]]-financials[[#This Row],[COGS]]</f>
        <v>164.55</v>
      </c>
      <c r="L1197" s="15">
        <v>45314</v>
      </c>
      <c r="M1197" t="s">
        <v>690</v>
      </c>
    </row>
    <row r="1198" spans="1:13" x14ac:dyDescent="0.25">
      <c r="A1198" t="s">
        <v>89</v>
      </c>
      <c r="B1198" s="6" t="s">
        <v>148</v>
      </c>
      <c r="C1198" s="13">
        <v>101</v>
      </c>
      <c r="D1198" s="14" t="s">
        <v>92</v>
      </c>
      <c r="E1198">
        <v>19</v>
      </c>
      <c r="F1198" s="8">
        <f>VLOOKUP(financials[[#This Row],[productid]],Products!$B$2:$H$10,3)</f>
        <v>23</v>
      </c>
      <c r="G1198" s="8">
        <f>financials[[#This Row],[Units Sold]]*financials[[#This Row],[Sale Price]]</f>
        <v>437</v>
      </c>
      <c r="H1198" s="8">
        <f>IF(financials[[#This Row],[Discount Band]]="low",0.1,IF(financials[[#This Row],[Discount Band]]="medium",0.15,0.3))</f>
        <v>0.3</v>
      </c>
      <c r="I1198" s="8">
        <f>financials[[#This Row],[Gross Sales]]-financials[[#This Row],[Gross Sales]]*financials[[#This Row],[Discounts]]</f>
        <v>305.89999999999998</v>
      </c>
      <c r="J1198" s="8">
        <f>VLOOKUP(financials[[#This Row],[productid]],Products!$B$2:$H$10,4)</f>
        <v>9.9499999999999993</v>
      </c>
      <c r="K1198" s="8">
        <f>financials[[#This Row],[Net Sales]]-financials[[#This Row],[COGS]]</f>
        <v>295.95</v>
      </c>
      <c r="L1198" s="15">
        <v>44423</v>
      </c>
      <c r="M1198" t="s">
        <v>700</v>
      </c>
    </row>
    <row r="1199" spans="1:13" x14ac:dyDescent="0.25">
      <c r="A1199" t="s">
        <v>86</v>
      </c>
      <c r="B1199" s="6" t="s">
        <v>617</v>
      </c>
      <c r="C1199" s="11">
        <v>106</v>
      </c>
      <c r="D1199" s="9" t="s">
        <v>90</v>
      </c>
      <c r="E1199">
        <v>16</v>
      </c>
      <c r="F1199" s="8">
        <f>VLOOKUP(financials[[#This Row],[productid]],Products!$B$2:$H$10,3)</f>
        <v>25</v>
      </c>
      <c r="G1199" s="8">
        <f>financials[[#This Row],[Units Sold]]*financials[[#This Row],[Sale Price]]</f>
        <v>400</v>
      </c>
      <c r="H1199" s="8">
        <f>IF(financials[[#This Row],[Discount Band]]="low",0.1,IF(financials[[#This Row],[Discount Band]]="medium",0.15,0.3))</f>
        <v>0.15</v>
      </c>
      <c r="I1199" s="8">
        <f>financials[[#This Row],[Gross Sales]]-financials[[#This Row],[Gross Sales]]*financials[[#This Row],[Discounts]]</f>
        <v>340</v>
      </c>
      <c r="J1199" s="8">
        <f>VLOOKUP(financials[[#This Row],[productid]],Products!$B$2:$H$10,4)</f>
        <v>9.1</v>
      </c>
      <c r="K1199" s="8">
        <f>financials[[#This Row],[Net Sales]]-financials[[#This Row],[COGS]]</f>
        <v>330.9</v>
      </c>
      <c r="L1199" s="15">
        <v>44283</v>
      </c>
      <c r="M1199" t="s">
        <v>700</v>
      </c>
    </row>
    <row r="1200" spans="1:13" x14ac:dyDescent="0.25">
      <c r="A1200" t="s">
        <v>86</v>
      </c>
      <c r="B1200" s="6" t="s">
        <v>645</v>
      </c>
      <c r="C1200" s="13">
        <v>101</v>
      </c>
      <c r="D1200" s="14" t="s">
        <v>90</v>
      </c>
      <c r="E1200">
        <v>6</v>
      </c>
      <c r="F1200" s="8">
        <f>VLOOKUP(financials[[#This Row],[productid]],Products!$B$2:$H$10,3)</f>
        <v>23</v>
      </c>
      <c r="G1200" s="8">
        <f>financials[[#This Row],[Units Sold]]*financials[[#This Row],[Sale Price]]</f>
        <v>138</v>
      </c>
      <c r="H1200" s="8">
        <f>IF(financials[[#This Row],[Discount Band]]="low",0.1,IF(financials[[#This Row],[Discount Band]]="medium",0.15,0.3))</f>
        <v>0.15</v>
      </c>
      <c r="I1200" s="8">
        <f>financials[[#This Row],[Gross Sales]]-financials[[#This Row],[Gross Sales]]*financials[[#This Row],[Discounts]]</f>
        <v>117.3</v>
      </c>
      <c r="J1200" s="8">
        <f>VLOOKUP(financials[[#This Row],[productid]],Products!$B$2:$H$10,4)</f>
        <v>9.9499999999999993</v>
      </c>
      <c r="K1200" s="8">
        <f>financials[[#This Row],[Net Sales]]-financials[[#This Row],[COGS]]</f>
        <v>107.35</v>
      </c>
      <c r="L1200" s="15">
        <v>43983</v>
      </c>
      <c r="M1200" t="s">
        <v>700</v>
      </c>
    </row>
    <row r="1201" spans="1:13" x14ac:dyDescent="0.25">
      <c r="A1201" t="s">
        <v>86</v>
      </c>
      <c r="B1201" s="6" t="s">
        <v>240</v>
      </c>
      <c r="C1201" s="13">
        <v>104</v>
      </c>
      <c r="D1201" s="14" t="s">
        <v>90</v>
      </c>
      <c r="E1201">
        <v>13</v>
      </c>
      <c r="F1201" s="8">
        <f>VLOOKUP(financials[[#This Row],[productid]],Products!$B$2:$H$10,3)</f>
        <v>5.9</v>
      </c>
      <c r="G1201" s="8">
        <f>financials[[#This Row],[Units Sold]]*financials[[#This Row],[Sale Price]]</f>
        <v>76.7</v>
      </c>
      <c r="H1201" s="8">
        <f>IF(financials[[#This Row],[Discount Band]]="low",0.1,IF(financials[[#This Row],[Discount Band]]="medium",0.15,0.3))</f>
        <v>0.15</v>
      </c>
      <c r="I1201" s="8">
        <f>financials[[#This Row],[Gross Sales]]-financials[[#This Row],[Gross Sales]]*financials[[#This Row],[Discounts]]</f>
        <v>65.195000000000007</v>
      </c>
      <c r="J1201" s="8">
        <f>VLOOKUP(financials[[#This Row],[productid]],Products!$B$2:$H$10,4)</f>
        <v>2.9</v>
      </c>
      <c r="K1201" s="8">
        <f>financials[[#This Row],[Net Sales]]-financials[[#This Row],[COGS]]</f>
        <v>62.295000000000009</v>
      </c>
      <c r="L1201" s="15">
        <v>44936</v>
      </c>
      <c r="M1201" t="s">
        <v>691</v>
      </c>
    </row>
    <row r="1202" spans="1:13" x14ac:dyDescent="0.25">
      <c r="A1202" t="s">
        <v>86</v>
      </c>
      <c r="B1202" s="6" t="s">
        <v>158</v>
      </c>
      <c r="C1202" s="13">
        <v>109</v>
      </c>
      <c r="D1202" s="14" t="s">
        <v>83</v>
      </c>
      <c r="E1202">
        <v>14</v>
      </c>
      <c r="F1202" s="8">
        <f>VLOOKUP(financials[[#This Row],[productid]],Products!$B$2:$H$10,3)</f>
        <v>36</v>
      </c>
      <c r="G1202" s="8">
        <f>financials[[#This Row],[Units Sold]]*financials[[#This Row],[Sale Price]]</f>
        <v>504</v>
      </c>
      <c r="H1202" s="8">
        <f>IF(financials[[#This Row],[Discount Band]]="low",0.1,IF(financials[[#This Row],[Discount Band]]="medium",0.15,0.3))</f>
        <v>0.3</v>
      </c>
      <c r="I1202" s="8">
        <f>financials[[#This Row],[Gross Sales]]-financials[[#This Row],[Gross Sales]]*financials[[#This Row],[Discounts]]</f>
        <v>352.8</v>
      </c>
      <c r="J1202" s="8">
        <f>VLOOKUP(financials[[#This Row],[productid]],Products!$B$2:$H$10,4)</f>
        <v>16.8</v>
      </c>
      <c r="K1202" s="8">
        <f>financials[[#This Row],[Net Sales]]-financials[[#This Row],[COGS]]</f>
        <v>336</v>
      </c>
      <c r="L1202" s="15">
        <v>45175</v>
      </c>
      <c r="M1202" t="s">
        <v>700</v>
      </c>
    </row>
    <row r="1203" spans="1:13" x14ac:dyDescent="0.25">
      <c r="A1203" t="s">
        <v>85</v>
      </c>
      <c r="B1203" s="6" t="s">
        <v>167</v>
      </c>
      <c r="C1203" s="13">
        <v>101</v>
      </c>
      <c r="D1203" s="14" t="s">
        <v>90</v>
      </c>
      <c r="E1203">
        <v>8</v>
      </c>
      <c r="F1203" s="8">
        <f>VLOOKUP(financials[[#This Row],[productid]],Products!$B$2:$H$10,3)</f>
        <v>23</v>
      </c>
      <c r="G1203" s="8">
        <f>financials[[#This Row],[Units Sold]]*financials[[#This Row],[Sale Price]]</f>
        <v>184</v>
      </c>
      <c r="H1203" s="8">
        <f>IF(financials[[#This Row],[Discount Band]]="low",0.1,IF(financials[[#This Row],[Discount Band]]="medium",0.15,0.3))</f>
        <v>0.15</v>
      </c>
      <c r="I1203" s="8">
        <f>financials[[#This Row],[Gross Sales]]-financials[[#This Row],[Gross Sales]]*financials[[#This Row],[Discounts]]</f>
        <v>156.4</v>
      </c>
      <c r="J1203" s="8">
        <f>VLOOKUP(financials[[#This Row],[productid]],Products!$B$2:$H$10,4)</f>
        <v>9.9499999999999993</v>
      </c>
      <c r="K1203" s="8">
        <f>financials[[#This Row],[Net Sales]]-financials[[#This Row],[COGS]]</f>
        <v>146.45000000000002</v>
      </c>
      <c r="L1203" s="15">
        <v>45445</v>
      </c>
      <c r="M1203" t="s">
        <v>691</v>
      </c>
    </row>
    <row r="1204" spans="1:13" x14ac:dyDescent="0.25">
      <c r="A1204" t="s">
        <v>85</v>
      </c>
      <c r="B1204" s="6" t="s">
        <v>198</v>
      </c>
      <c r="C1204" s="13">
        <v>103</v>
      </c>
      <c r="D1204" s="14" t="s">
        <v>91</v>
      </c>
      <c r="E1204">
        <v>6</v>
      </c>
      <c r="F1204" s="8">
        <f>VLOOKUP(financials[[#This Row],[productid]],Products!$B$2:$H$10,3)</f>
        <v>28</v>
      </c>
      <c r="G1204" s="8">
        <f>financials[[#This Row],[Units Sold]]*financials[[#This Row],[Sale Price]]</f>
        <v>168</v>
      </c>
      <c r="H1204" s="8">
        <f>IF(financials[[#This Row],[Discount Band]]="low",0.1,IF(financials[[#This Row],[Discount Band]]="medium",0.15,0.3))</f>
        <v>0.1</v>
      </c>
      <c r="I1204" s="8">
        <f>financials[[#This Row],[Gross Sales]]-financials[[#This Row],[Gross Sales]]*financials[[#This Row],[Discounts]]</f>
        <v>151.19999999999999</v>
      </c>
      <c r="J1204" s="8">
        <f>VLOOKUP(financials[[#This Row],[productid]],Products!$B$2:$H$10,4)</f>
        <v>15</v>
      </c>
      <c r="K1204" s="8">
        <f>financials[[#This Row],[Net Sales]]-financials[[#This Row],[COGS]]</f>
        <v>136.19999999999999</v>
      </c>
      <c r="L1204" s="15">
        <v>43924</v>
      </c>
      <c r="M1204" t="s">
        <v>697</v>
      </c>
    </row>
    <row r="1205" spans="1:13" x14ac:dyDescent="0.25">
      <c r="A1205" t="s">
        <v>89</v>
      </c>
      <c r="B1205" s="6" t="s">
        <v>125</v>
      </c>
      <c r="C1205" s="13">
        <v>107</v>
      </c>
      <c r="D1205" s="14" t="s">
        <v>92</v>
      </c>
      <c r="E1205">
        <v>6</v>
      </c>
      <c r="F1205" s="8">
        <f>VLOOKUP(financials[[#This Row],[productid]],Products!$B$2:$H$10,3)</f>
        <v>15</v>
      </c>
      <c r="G1205" s="8">
        <f>financials[[#This Row],[Units Sold]]*financials[[#This Row],[Sale Price]]</f>
        <v>90</v>
      </c>
      <c r="H1205" s="8">
        <f>IF(financials[[#This Row],[Discount Band]]="low",0.1,IF(financials[[#This Row],[Discount Band]]="medium",0.15,0.3))</f>
        <v>0.3</v>
      </c>
      <c r="I1205" s="8">
        <f>financials[[#This Row],[Gross Sales]]-financials[[#This Row],[Gross Sales]]*financials[[#This Row],[Discounts]]</f>
        <v>63</v>
      </c>
      <c r="J1205" s="8">
        <f>VLOOKUP(financials[[#This Row],[productid]],Products!$B$2:$H$10,4)</f>
        <v>5.5</v>
      </c>
      <c r="K1205" s="8">
        <f>financials[[#This Row],[Net Sales]]-financials[[#This Row],[COGS]]</f>
        <v>57.5</v>
      </c>
      <c r="L1205" s="15">
        <v>45450</v>
      </c>
      <c r="M1205" t="s">
        <v>690</v>
      </c>
    </row>
    <row r="1206" spans="1:13" x14ac:dyDescent="0.25">
      <c r="A1206" t="s">
        <v>89</v>
      </c>
      <c r="B1206" s="6" t="s">
        <v>232</v>
      </c>
      <c r="C1206" s="13">
        <v>107</v>
      </c>
      <c r="D1206" s="14" t="s">
        <v>90</v>
      </c>
      <c r="E1206">
        <v>9</v>
      </c>
      <c r="F1206" s="8">
        <f>VLOOKUP(financials[[#This Row],[productid]],Products!$B$2:$H$10,3)</f>
        <v>15</v>
      </c>
      <c r="G1206" s="8">
        <f>financials[[#This Row],[Units Sold]]*financials[[#This Row],[Sale Price]]</f>
        <v>135</v>
      </c>
      <c r="H1206" s="8">
        <f>IF(financials[[#This Row],[Discount Band]]="low",0.1,IF(financials[[#This Row],[Discount Band]]="medium",0.15,0.3))</f>
        <v>0.15</v>
      </c>
      <c r="I1206" s="8">
        <f>financials[[#This Row],[Gross Sales]]-financials[[#This Row],[Gross Sales]]*financials[[#This Row],[Discounts]]</f>
        <v>114.75</v>
      </c>
      <c r="J1206" s="8">
        <f>VLOOKUP(financials[[#This Row],[productid]],Products!$B$2:$H$10,4)</f>
        <v>5.5</v>
      </c>
      <c r="K1206" s="8">
        <f>financials[[#This Row],[Net Sales]]-financials[[#This Row],[COGS]]</f>
        <v>109.25</v>
      </c>
      <c r="L1206" s="15">
        <v>44382</v>
      </c>
      <c r="M1206" t="s">
        <v>691</v>
      </c>
    </row>
    <row r="1207" spans="1:13" x14ac:dyDescent="0.25">
      <c r="A1207" t="s">
        <v>85</v>
      </c>
      <c r="B1207" s="6" t="s">
        <v>545</v>
      </c>
      <c r="C1207" s="13">
        <v>103</v>
      </c>
      <c r="D1207" s="14" t="s">
        <v>91</v>
      </c>
      <c r="E1207">
        <v>8</v>
      </c>
      <c r="F1207" s="8">
        <f>VLOOKUP(financials[[#This Row],[productid]],Products!$B$2:$H$10,3)</f>
        <v>28</v>
      </c>
      <c r="G1207" s="8">
        <f>financials[[#This Row],[Units Sold]]*financials[[#This Row],[Sale Price]]</f>
        <v>224</v>
      </c>
      <c r="H1207" s="8">
        <f>IF(financials[[#This Row],[Discount Band]]="low",0.1,IF(financials[[#This Row],[Discount Band]]="medium",0.15,0.3))</f>
        <v>0.1</v>
      </c>
      <c r="I1207" s="8">
        <f>financials[[#This Row],[Gross Sales]]-financials[[#This Row],[Gross Sales]]*financials[[#This Row],[Discounts]]</f>
        <v>201.6</v>
      </c>
      <c r="J1207" s="8">
        <f>VLOOKUP(financials[[#This Row],[productid]],Products!$B$2:$H$10,4)</f>
        <v>15</v>
      </c>
      <c r="K1207" s="8">
        <f>financials[[#This Row],[Net Sales]]-financials[[#This Row],[COGS]]</f>
        <v>186.6</v>
      </c>
      <c r="L1207" s="15">
        <v>44826</v>
      </c>
      <c r="M1207" t="s">
        <v>691</v>
      </c>
    </row>
    <row r="1208" spans="1:13" x14ac:dyDescent="0.25">
      <c r="A1208" t="s">
        <v>86</v>
      </c>
      <c r="B1208" s="6" t="s">
        <v>274</v>
      </c>
      <c r="C1208" s="11">
        <v>104</v>
      </c>
      <c r="D1208" s="9" t="s">
        <v>83</v>
      </c>
      <c r="E1208">
        <v>18</v>
      </c>
      <c r="F1208" s="8">
        <f>VLOOKUP(financials[[#This Row],[productid]],Products!$B$2:$H$10,3)</f>
        <v>5.9</v>
      </c>
      <c r="G1208" s="8">
        <f>financials[[#This Row],[Units Sold]]*financials[[#This Row],[Sale Price]]</f>
        <v>106.2</v>
      </c>
      <c r="H1208" s="8">
        <f>IF(financials[[#This Row],[Discount Band]]="low",0.1,IF(financials[[#This Row],[Discount Band]]="medium",0.15,0.3))</f>
        <v>0.3</v>
      </c>
      <c r="I1208" s="8">
        <f>financials[[#This Row],[Gross Sales]]-financials[[#This Row],[Gross Sales]]*financials[[#This Row],[Discounts]]</f>
        <v>74.34</v>
      </c>
      <c r="J1208" s="8">
        <f>VLOOKUP(financials[[#This Row],[productid]],Products!$B$2:$H$10,4)</f>
        <v>2.9</v>
      </c>
      <c r="K1208" s="8">
        <f>financials[[#This Row],[Net Sales]]-financials[[#This Row],[COGS]]</f>
        <v>71.44</v>
      </c>
      <c r="L1208" s="15">
        <v>44433</v>
      </c>
      <c r="M1208" t="s">
        <v>697</v>
      </c>
    </row>
    <row r="1209" spans="1:13" x14ac:dyDescent="0.25">
      <c r="A1209" t="s">
        <v>86</v>
      </c>
      <c r="B1209" s="6" t="s">
        <v>240</v>
      </c>
      <c r="C1209" s="13">
        <v>107</v>
      </c>
      <c r="D1209" s="14" t="s">
        <v>90</v>
      </c>
      <c r="E1209">
        <v>19</v>
      </c>
      <c r="F1209" s="8">
        <f>VLOOKUP(financials[[#This Row],[productid]],Products!$B$2:$H$10,3)</f>
        <v>15</v>
      </c>
      <c r="G1209" s="8">
        <f>financials[[#This Row],[Units Sold]]*financials[[#This Row],[Sale Price]]</f>
        <v>285</v>
      </c>
      <c r="H1209" s="8">
        <f>IF(financials[[#This Row],[Discount Band]]="low",0.1,IF(financials[[#This Row],[Discount Band]]="medium",0.15,0.3))</f>
        <v>0.15</v>
      </c>
      <c r="I1209" s="8">
        <f>financials[[#This Row],[Gross Sales]]-financials[[#This Row],[Gross Sales]]*financials[[#This Row],[Discounts]]</f>
        <v>242.25</v>
      </c>
      <c r="J1209" s="8">
        <f>VLOOKUP(financials[[#This Row],[productid]],Products!$B$2:$H$10,4)</f>
        <v>5.5</v>
      </c>
      <c r="K1209" s="8">
        <f>financials[[#This Row],[Net Sales]]-financials[[#This Row],[COGS]]</f>
        <v>236.75</v>
      </c>
      <c r="L1209" s="15">
        <v>44701</v>
      </c>
      <c r="M1209" t="s">
        <v>690</v>
      </c>
    </row>
    <row r="1210" spans="1:13" x14ac:dyDescent="0.25">
      <c r="A1210" t="s">
        <v>86</v>
      </c>
      <c r="B1210" s="6" t="s">
        <v>240</v>
      </c>
      <c r="C1210" s="13">
        <v>104</v>
      </c>
      <c r="D1210" s="14" t="s">
        <v>83</v>
      </c>
      <c r="E1210">
        <v>12</v>
      </c>
      <c r="F1210" s="8">
        <f>VLOOKUP(financials[[#This Row],[productid]],Products!$B$2:$H$10,3)</f>
        <v>5.9</v>
      </c>
      <c r="G1210" s="8">
        <f>financials[[#This Row],[Units Sold]]*financials[[#This Row],[Sale Price]]</f>
        <v>70.800000000000011</v>
      </c>
      <c r="H1210" s="8">
        <f>IF(financials[[#This Row],[Discount Band]]="low",0.1,IF(financials[[#This Row],[Discount Band]]="medium",0.15,0.3))</f>
        <v>0.3</v>
      </c>
      <c r="I1210" s="8">
        <f>financials[[#This Row],[Gross Sales]]-financials[[#This Row],[Gross Sales]]*financials[[#This Row],[Discounts]]</f>
        <v>49.560000000000009</v>
      </c>
      <c r="J1210" s="8">
        <f>VLOOKUP(financials[[#This Row],[productid]],Products!$B$2:$H$10,4)</f>
        <v>2.9</v>
      </c>
      <c r="K1210" s="8">
        <f>financials[[#This Row],[Net Sales]]-financials[[#This Row],[COGS]]</f>
        <v>46.660000000000011</v>
      </c>
      <c r="L1210" s="15">
        <v>45390</v>
      </c>
      <c r="M1210" t="s">
        <v>696</v>
      </c>
    </row>
    <row r="1211" spans="1:13" x14ac:dyDescent="0.25">
      <c r="A1211" t="s">
        <v>86</v>
      </c>
      <c r="B1211" s="6" t="s">
        <v>197</v>
      </c>
      <c r="C1211" s="13">
        <v>101</v>
      </c>
      <c r="D1211" s="14" t="s">
        <v>83</v>
      </c>
      <c r="E1211">
        <v>16</v>
      </c>
      <c r="F1211" s="8">
        <f>VLOOKUP(financials[[#This Row],[productid]],Products!$B$2:$H$10,3)</f>
        <v>23</v>
      </c>
      <c r="G1211" s="8">
        <f>financials[[#This Row],[Units Sold]]*financials[[#This Row],[Sale Price]]</f>
        <v>368</v>
      </c>
      <c r="H1211" s="8">
        <f>IF(financials[[#This Row],[Discount Band]]="low",0.1,IF(financials[[#This Row],[Discount Band]]="medium",0.15,0.3))</f>
        <v>0.3</v>
      </c>
      <c r="I1211" s="8">
        <f>financials[[#This Row],[Gross Sales]]-financials[[#This Row],[Gross Sales]]*financials[[#This Row],[Discounts]]</f>
        <v>257.60000000000002</v>
      </c>
      <c r="J1211" s="8">
        <f>VLOOKUP(financials[[#This Row],[productid]],Products!$B$2:$H$10,4)</f>
        <v>9.9499999999999993</v>
      </c>
      <c r="K1211" s="8">
        <f>financials[[#This Row],[Net Sales]]-financials[[#This Row],[COGS]]</f>
        <v>247.65000000000003</v>
      </c>
      <c r="L1211" s="15">
        <v>45133</v>
      </c>
      <c r="M1211" t="s">
        <v>691</v>
      </c>
    </row>
    <row r="1212" spans="1:13" x14ac:dyDescent="0.25">
      <c r="A1212" t="s">
        <v>86</v>
      </c>
      <c r="B1212" s="6" t="s">
        <v>617</v>
      </c>
      <c r="C1212" s="13">
        <v>101</v>
      </c>
      <c r="D1212" s="14" t="s">
        <v>83</v>
      </c>
      <c r="E1212">
        <v>18</v>
      </c>
      <c r="F1212" s="8">
        <f>VLOOKUP(financials[[#This Row],[productid]],Products!$B$2:$H$10,3)</f>
        <v>23</v>
      </c>
      <c r="G1212" s="8">
        <f>financials[[#This Row],[Units Sold]]*financials[[#This Row],[Sale Price]]</f>
        <v>414</v>
      </c>
      <c r="H1212" s="8">
        <f>IF(financials[[#This Row],[Discount Band]]="low",0.1,IF(financials[[#This Row],[Discount Band]]="medium",0.15,0.3))</f>
        <v>0.3</v>
      </c>
      <c r="I1212" s="8">
        <f>financials[[#This Row],[Gross Sales]]-financials[[#This Row],[Gross Sales]]*financials[[#This Row],[Discounts]]</f>
        <v>289.8</v>
      </c>
      <c r="J1212" s="8">
        <f>VLOOKUP(financials[[#This Row],[productid]],Products!$B$2:$H$10,4)</f>
        <v>9.9499999999999993</v>
      </c>
      <c r="K1212" s="8">
        <f>financials[[#This Row],[Net Sales]]-financials[[#This Row],[COGS]]</f>
        <v>279.85000000000002</v>
      </c>
      <c r="L1212" s="15">
        <v>44530</v>
      </c>
      <c r="M1212" t="s">
        <v>697</v>
      </c>
    </row>
    <row r="1213" spans="1:13" x14ac:dyDescent="0.25">
      <c r="A1213" t="s">
        <v>89</v>
      </c>
      <c r="B1213" s="6" t="s">
        <v>617</v>
      </c>
      <c r="C1213" s="13">
        <v>108</v>
      </c>
      <c r="D1213" s="14" t="s">
        <v>91</v>
      </c>
      <c r="E1213">
        <v>11</v>
      </c>
      <c r="F1213" s="8">
        <f>VLOOKUP(financials[[#This Row],[productid]],Products!$B$2:$H$10,3)</f>
        <v>5.5</v>
      </c>
      <c r="G1213" s="8">
        <f>financials[[#This Row],[Units Sold]]*financials[[#This Row],[Sale Price]]</f>
        <v>60.5</v>
      </c>
      <c r="H1213" s="8">
        <f>IF(financials[[#This Row],[Discount Band]]="low",0.1,IF(financials[[#This Row],[Discount Band]]="medium",0.15,0.3))</f>
        <v>0.1</v>
      </c>
      <c r="I1213" s="8">
        <f>financials[[#This Row],[Gross Sales]]-financials[[#This Row],[Gross Sales]]*financials[[#This Row],[Discounts]]</f>
        <v>54.45</v>
      </c>
      <c r="J1213" s="8">
        <f>VLOOKUP(financials[[#This Row],[productid]],Products!$B$2:$H$10,4)</f>
        <v>3.99</v>
      </c>
      <c r="K1213" s="8">
        <f>financials[[#This Row],[Net Sales]]-financials[[#This Row],[COGS]]</f>
        <v>50.46</v>
      </c>
      <c r="L1213" s="15">
        <v>44727</v>
      </c>
      <c r="M1213" t="s">
        <v>700</v>
      </c>
    </row>
    <row r="1214" spans="1:13" x14ac:dyDescent="0.25">
      <c r="A1214" t="s">
        <v>89</v>
      </c>
      <c r="B1214" s="6" t="s">
        <v>645</v>
      </c>
      <c r="C1214" s="13">
        <v>102</v>
      </c>
      <c r="D1214" s="14" t="s">
        <v>83</v>
      </c>
      <c r="E1214">
        <v>8</v>
      </c>
      <c r="F1214" s="8">
        <f>VLOOKUP(financials[[#This Row],[productid]],Products!$B$2:$H$10,3)</f>
        <v>15</v>
      </c>
      <c r="G1214" s="8">
        <f>financials[[#This Row],[Units Sold]]*financials[[#This Row],[Sale Price]]</f>
        <v>120</v>
      </c>
      <c r="H1214" s="8">
        <f>IF(financials[[#This Row],[Discount Band]]="low",0.1,IF(financials[[#This Row],[Discount Band]]="medium",0.15,0.3))</f>
        <v>0.3</v>
      </c>
      <c r="I1214" s="8">
        <f>financials[[#This Row],[Gross Sales]]-financials[[#This Row],[Gross Sales]]*financials[[#This Row],[Discounts]]</f>
        <v>84</v>
      </c>
      <c r="J1214" s="8">
        <f>VLOOKUP(financials[[#This Row],[productid]],Products!$B$2:$H$10,4)</f>
        <v>13.95</v>
      </c>
      <c r="K1214" s="8">
        <f>financials[[#This Row],[Net Sales]]-financials[[#This Row],[COGS]]</f>
        <v>70.05</v>
      </c>
      <c r="L1214" s="15">
        <v>44524</v>
      </c>
      <c r="M1214" t="s">
        <v>691</v>
      </c>
    </row>
    <row r="1215" spans="1:13" x14ac:dyDescent="0.25">
      <c r="A1215" t="s">
        <v>85</v>
      </c>
      <c r="B1215" s="6" t="s">
        <v>205</v>
      </c>
      <c r="C1215" s="13">
        <v>108</v>
      </c>
      <c r="D1215" s="14" t="s">
        <v>83</v>
      </c>
      <c r="E1215">
        <v>5</v>
      </c>
      <c r="F1215" s="8">
        <f>VLOOKUP(financials[[#This Row],[productid]],Products!$B$2:$H$10,3)</f>
        <v>5.5</v>
      </c>
      <c r="G1215" s="8">
        <f>financials[[#This Row],[Units Sold]]*financials[[#This Row],[Sale Price]]</f>
        <v>27.5</v>
      </c>
      <c r="H1215" s="8">
        <f>IF(financials[[#This Row],[Discount Band]]="low",0.1,IF(financials[[#This Row],[Discount Band]]="medium",0.15,0.3))</f>
        <v>0.3</v>
      </c>
      <c r="I1215" s="8">
        <f>financials[[#This Row],[Gross Sales]]-financials[[#This Row],[Gross Sales]]*financials[[#This Row],[Discounts]]</f>
        <v>19.25</v>
      </c>
      <c r="J1215" s="8">
        <f>VLOOKUP(financials[[#This Row],[productid]],Products!$B$2:$H$10,4)</f>
        <v>3.99</v>
      </c>
      <c r="K1215" s="8">
        <f>financials[[#This Row],[Net Sales]]-financials[[#This Row],[COGS]]</f>
        <v>15.26</v>
      </c>
      <c r="L1215" s="15">
        <v>43880</v>
      </c>
      <c r="M1215" t="s">
        <v>690</v>
      </c>
    </row>
    <row r="1216" spans="1:13" x14ac:dyDescent="0.25">
      <c r="A1216" t="s">
        <v>89</v>
      </c>
      <c r="B1216" s="6" t="s">
        <v>158</v>
      </c>
      <c r="C1216" s="11">
        <v>107</v>
      </c>
      <c r="D1216" s="9" t="s">
        <v>92</v>
      </c>
      <c r="E1216">
        <v>17</v>
      </c>
      <c r="F1216" s="8">
        <f>VLOOKUP(financials[[#This Row],[productid]],Products!$B$2:$H$10,3)</f>
        <v>15</v>
      </c>
      <c r="G1216" s="8">
        <f>financials[[#This Row],[Units Sold]]*financials[[#This Row],[Sale Price]]</f>
        <v>255</v>
      </c>
      <c r="H1216" s="8">
        <f>IF(financials[[#This Row],[Discount Band]]="low",0.1,IF(financials[[#This Row],[Discount Band]]="medium",0.15,0.3))</f>
        <v>0.3</v>
      </c>
      <c r="I1216" s="8">
        <f>financials[[#This Row],[Gross Sales]]-financials[[#This Row],[Gross Sales]]*financials[[#This Row],[Discounts]]</f>
        <v>178.5</v>
      </c>
      <c r="J1216" s="8">
        <f>VLOOKUP(financials[[#This Row],[productid]],Products!$B$2:$H$10,4)</f>
        <v>5.5</v>
      </c>
      <c r="K1216" s="8">
        <f>financials[[#This Row],[Net Sales]]-financials[[#This Row],[COGS]]</f>
        <v>173</v>
      </c>
      <c r="L1216" s="15">
        <v>44175</v>
      </c>
      <c r="M1216" t="s">
        <v>690</v>
      </c>
    </row>
    <row r="1217" spans="1:13" x14ac:dyDescent="0.25">
      <c r="A1217" t="s">
        <v>85</v>
      </c>
      <c r="B1217" s="6" t="s">
        <v>167</v>
      </c>
      <c r="C1217" s="11">
        <v>107</v>
      </c>
      <c r="D1217" s="9" t="s">
        <v>92</v>
      </c>
      <c r="E1217">
        <v>14</v>
      </c>
      <c r="F1217" s="8">
        <f>VLOOKUP(financials[[#This Row],[productid]],Products!$B$2:$H$10,3)</f>
        <v>15</v>
      </c>
      <c r="G1217" s="8">
        <f>financials[[#This Row],[Units Sold]]*financials[[#This Row],[Sale Price]]</f>
        <v>210</v>
      </c>
      <c r="H1217" s="8">
        <f>IF(financials[[#This Row],[Discount Band]]="low",0.1,IF(financials[[#This Row],[Discount Band]]="medium",0.15,0.3))</f>
        <v>0.3</v>
      </c>
      <c r="I1217" s="8">
        <f>financials[[#This Row],[Gross Sales]]-financials[[#This Row],[Gross Sales]]*financials[[#This Row],[Discounts]]</f>
        <v>147</v>
      </c>
      <c r="J1217" s="8">
        <f>VLOOKUP(financials[[#This Row],[productid]],Products!$B$2:$H$10,4)</f>
        <v>5.5</v>
      </c>
      <c r="K1217" s="8">
        <f>financials[[#This Row],[Net Sales]]-financials[[#This Row],[COGS]]</f>
        <v>141.5</v>
      </c>
      <c r="L1217" s="15">
        <v>43956</v>
      </c>
      <c r="M1217" t="s">
        <v>697</v>
      </c>
    </row>
    <row r="1218" spans="1:13" x14ac:dyDescent="0.25">
      <c r="A1218" t="s">
        <v>89</v>
      </c>
      <c r="B1218" s="6" t="s">
        <v>228</v>
      </c>
      <c r="C1218" s="13">
        <v>102</v>
      </c>
      <c r="D1218" s="14" t="s">
        <v>83</v>
      </c>
      <c r="E1218">
        <v>10</v>
      </c>
      <c r="F1218" s="8">
        <f>VLOOKUP(financials[[#This Row],[productid]],Products!$B$2:$H$10,3)</f>
        <v>15</v>
      </c>
      <c r="G1218" s="8">
        <f>financials[[#This Row],[Units Sold]]*financials[[#This Row],[Sale Price]]</f>
        <v>150</v>
      </c>
      <c r="H1218" s="8">
        <f>IF(financials[[#This Row],[Discount Band]]="low",0.1,IF(financials[[#This Row],[Discount Band]]="medium",0.15,0.3))</f>
        <v>0.3</v>
      </c>
      <c r="I1218" s="8">
        <f>financials[[#This Row],[Gross Sales]]-financials[[#This Row],[Gross Sales]]*financials[[#This Row],[Discounts]]</f>
        <v>105</v>
      </c>
      <c r="J1218" s="8">
        <f>VLOOKUP(financials[[#This Row],[productid]],Products!$B$2:$H$10,4)</f>
        <v>13.95</v>
      </c>
      <c r="K1218" s="8">
        <f>financials[[#This Row],[Net Sales]]-financials[[#This Row],[COGS]]</f>
        <v>91.05</v>
      </c>
      <c r="L1218" s="15">
        <v>44738</v>
      </c>
      <c r="M1218" t="s">
        <v>696</v>
      </c>
    </row>
    <row r="1219" spans="1:13" x14ac:dyDescent="0.25">
      <c r="A1219" t="s">
        <v>89</v>
      </c>
      <c r="B1219" s="6" t="s">
        <v>545</v>
      </c>
      <c r="C1219" s="13">
        <v>105</v>
      </c>
      <c r="D1219" s="14" t="s">
        <v>92</v>
      </c>
      <c r="E1219">
        <v>10</v>
      </c>
      <c r="F1219" s="8">
        <f>VLOOKUP(financials[[#This Row],[productid]],Products!$B$2:$H$10,3)</f>
        <v>15</v>
      </c>
      <c r="G1219" s="8">
        <f>financials[[#This Row],[Units Sold]]*financials[[#This Row],[Sale Price]]</f>
        <v>150</v>
      </c>
      <c r="H1219" s="8">
        <f>IF(financials[[#This Row],[Discount Band]]="low",0.1,IF(financials[[#This Row],[Discount Band]]="medium",0.15,0.3))</f>
        <v>0.3</v>
      </c>
      <c r="I1219" s="8">
        <f>financials[[#This Row],[Gross Sales]]-financials[[#This Row],[Gross Sales]]*financials[[#This Row],[Discounts]]</f>
        <v>105</v>
      </c>
      <c r="J1219" s="8">
        <f>VLOOKUP(financials[[#This Row],[productid]],Products!$B$2:$H$10,4)</f>
        <v>10</v>
      </c>
      <c r="K1219" s="8">
        <f>financials[[#This Row],[Net Sales]]-financials[[#This Row],[COGS]]</f>
        <v>95</v>
      </c>
      <c r="L1219" s="15">
        <v>45498</v>
      </c>
      <c r="M1219" t="s">
        <v>691</v>
      </c>
    </row>
    <row r="1220" spans="1:13" x14ac:dyDescent="0.25">
      <c r="A1220" t="s">
        <v>85</v>
      </c>
      <c r="B1220" s="6" t="s">
        <v>94</v>
      </c>
      <c r="C1220" s="13">
        <v>109</v>
      </c>
      <c r="D1220" s="14" t="s">
        <v>83</v>
      </c>
      <c r="E1220">
        <v>14</v>
      </c>
      <c r="F1220" s="8">
        <f>VLOOKUP(financials[[#This Row],[productid]],Products!$B$2:$H$10,3)</f>
        <v>36</v>
      </c>
      <c r="G1220" s="8">
        <f>financials[[#This Row],[Units Sold]]*financials[[#This Row],[Sale Price]]</f>
        <v>504</v>
      </c>
      <c r="H1220" s="8">
        <f>IF(financials[[#This Row],[Discount Band]]="low",0.1,IF(financials[[#This Row],[Discount Band]]="medium",0.15,0.3))</f>
        <v>0.3</v>
      </c>
      <c r="I1220" s="8">
        <f>financials[[#This Row],[Gross Sales]]-financials[[#This Row],[Gross Sales]]*financials[[#This Row],[Discounts]]</f>
        <v>352.8</v>
      </c>
      <c r="J1220" s="8">
        <f>VLOOKUP(financials[[#This Row],[productid]],Products!$B$2:$H$10,4)</f>
        <v>16.8</v>
      </c>
      <c r="K1220" s="8">
        <f>financials[[#This Row],[Net Sales]]-financials[[#This Row],[COGS]]</f>
        <v>336</v>
      </c>
      <c r="L1220" s="15">
        <v>45643</v>
      </c>
      <c r="M1220" t="s">
        <v>700</v>
      </c>
    </row>
    <row r="1221" spans="1:13" x14ac:dyDescent="0.25">
      <c r="A1221" t="s">
        <v>89</v>
      </c>
      <c r="B1221" s="6" t="s">
        <v>617</v>
      </c>
      <c r="C1221" s="13">
        <v>104</v>
      </c>
      <c r="D1221" s="14" t="s">
        <v>90</v>
      </c>
      <c r="E1221">
        <v>18</v>
      </c>
      <c r="F1221" s="8">
        <f>VLOOKUP(financials[[#This Row],[productid]],Products!$B$2:$H$10,3)</f>
        <v>5.9</v>
      </c>
      <c r="G1221" s="8">
        <f>financials[[#This Row],[Units Sold]]*financials[[#This Row],[Sale Price]]</f>
        <v>106.2</v>
      </c>
      <c r="H1221" s="8">
        <f>IF(financials[[#This Row],[Discount Band]]="low",0.1,IF(financials[[#This Row],[Discount Band]]="medium",0.15,0.3))</f>
        <v>0.15</v>
      </c>
      <c r="I1221" s="8">
        <f>financials[[#This Row],[Gross Sales]]-financials[[#This Row],[Gross Sales]]*financials[[#This Row],[Discounts]]</f>
        <v>90.27000000000001</v>
      </c>
      <c r="J1221" s="8">
        <f>VLOOKUP(financials[[#This Row],[productid]],Products!$B$2:$H$10,4)</f>
        <v>2.9</v>
      </c>
      <c r="K1221" s="8">
        <f>financials[[#This Row],[Net Sales]]-financials[[#This Row],[COGS]]</f>
        <v>87.37</v>
      </c>
      <c r="L1221" s="15">
        <v>44475</v>
      </c>
      <c r="M1221" t="s">
        <v>697</v>
      </c>
    </row>
    <row r="1222" spans="1:13" x14ac:dyDescent="0.25">
      <c r="A1222" t="s">
        <v>89</v>
      </c>
      <c r="B1222" s="6" t="s">
        <v>228</v>
      </c>
      <c r="C1222" s="13">
        <v>109</v>
      </c>
      <c r="D1222" s="14" t="s">
        <v>90</v>
      </c>
      <c r="E1222">
        <v>11</v>
      </c>
      <c r="F1222" s="8">
        <f>VLOOKUP(financials[[#This Row],[productid]],Products!$B$2:$H$10,3)</f>
        <v>36</v>
      </c>
      <c r="G1222" s="8">
        <f>financials[[#This Row],[Units Sold]]*financials[[#This Row],[Sale Price]]</f>
        <v>396</v>
      </c>
      <c r="H1222" s="8">
        <f>IF(financials[[#This Row],[Discount Band]]="low",0.1,IF(financials[[#This Row],[Discount Band]]="medium",0.15,0.3))</f>
        <v>0.15</v>
      </c>
      <c r="I1222" s="8">
        <f>financials[[#This Row],[Gross Sales]]-financials[[#This Row],[Gross Sales]]*financials[[#This Row],[Discounts]]</f>
        <v>336.6</v>
      </c>
      <c r="J1222" s="8">
        <f>VLOOKUP(financials[[#This Row],[productid]],Products!$B$2:$H$10,4)</f>
        <v>16.8</v>
      </c>
      <c r="K1222" s="8">
        <f>financials[[#This Row],[Net Sales]]-financials[[#This Row],[COGS]]</f>
        <v>319.8</v>
      </c>
      <c r="L1222" s="15">
        <v>44931</v>
      </c>
      <c r="M1222" t="s">
        <v>700</v>
      </c>
    </row>
    <row r="1223" spans="1:13" x14ac:dyDescent="0.25">
      <c r="A1223" t="s">
        <v>86</v>
      </c>
      <c r="B1223" s="6" t="s">
        <v>287</v>
      </c>
      <c r="C1223" s="13">
        <v>105</v>
      </c>
      <c r="D1223" s="14" t="s">
        <v>83</v>
      </c>
      <c r="E1223">
        <v>10</v>
      </c>
      <c r="F1223" s="8">
        <f>VLOOKUP(financials[[#This Row],[productid]],Products!$B$2:$H$10,3)</f>
        <v>15</v>
      </c>
      <c r="G1223" s="8">
        <f>financials[[#This Row],[Units Sold]]*financials[[#This Row],[Sale Price]]</f>
        <v>150</v>
      </c>
      <c r="H1223" s="8">
        <f>IF(financials[[#This Row],[Discount Band]]="low",0.1,IF(financials[[#This Row],[Discount Band]]="medium",0.15,0.3))</f>
        <v>0.3</v>
      </c>
      <c r="I1223" s="8">
        <f>financials[[#This Row],[Gross Sales]]-financials[[#This Row],[Gross Sales]]*financials[[#This Row],[Discounts]]</f>
        <v>105</v>
      </c>
      <c r="J1223" s="8">
        <f>VLOOKUP(financials[[#This Row],[productid]],Products!$B$2:$H$10,4)</f>
        <v>10</v>
      </c>
      <c r="K1223" s="8">
        <f>financials[[#This Row],[Net Sales]]-financials[[#This Row],[COGS]]</f>
        <v>95</v>
      </c>
      <c r="L1223" s="15">
        <v>44919</v>
      </c>
      <c r="M1223" t="s">
        <v>697</v>
      </c>
    </row>
    <row r="1224" spans="1:13" x14ac:dyDescent="0.25">
      <c r="A1224" t="s">
        <v>86</v>
      </c>
      <c r="B1224" s="6" t="s">
        <v>197</v>
      </c>
      <c r="C1224" s="13">
        <v>109</v>
      </c>
      <c r="D1224" s="14" t="s">
        <v>90</v>
      </c>
      <c r="E1224">
        <v>5</v>
      </c>
      <c r="F1224" s="8">
        <f>VLOOKUP(financials[[#This Row],[productid]],Products!$B$2:$H$10,3)</f>
        <v>36</v>
      </c>
      <c r="G1224" s="8">
        <f>financials[[#This Row],[Units Sold]]*financials[[#This Row],[Sale Price]]</f>
        <v>180</v>
      </c>
      <c r="H1224" s="8">
        <f>IF(financials[[#This Row],[Discount Band]]="low",0.1,IF(financials[[#This Row],[Discount Band]]="medium",0.15,0.3))</f>
        <v>0.15</v>
      </c>
      <c r="I1224" s="8">
        <f>financials[[#This Row],[Gross Sales]]-financials[[#This Row],[Gross Sales]]*financials[[#This Row],[Discounts]]</f>
        <v>153</v>
      </c>
      <c r="J1224" s="8">
        <f>VLOOKUP(financials[[#This Row],[productid]],Products!$B$2:$H$10,4)</f>
        <v>16.8</v>
      </c>
      <c r="K1224" s="8">
        <f>financials[[#This Row],[Net Sales]]-financials[[#This Row],[COGS]]</f>
        <v>136.19999999999999</v>
      </c>
      <c r="L1224" s="15">
        <v>45397</v>
      </c>
      <c r="M1224" t="s">
        <v>697</v>
      </c>
    </row>
    <row r="1225" spans="1:13" x14ac:dyDescent="0.25">
      <c r="A1225" t="s">
        <v>86</v>
      </c>
      <c r="B1225" s="6" t="s">
        <v>96</v>
      </c>
      <c r="C1225" s="13">
        <v>104</v>
      </c>
      <c r="D1225" s="14" t="s">
        <v>90</v>
      </c>
      <c r="E1225">
        <v>15</v>
      </c>
      <c r="F1225" s="8">
        <f>VLOOKUP(financials[[#This Row],[productid]],Products!$B$2:$H$10,3)</f>
        <v>5.9</v>
      </c>
      <c r="G1225" s="8">
        <f>financials[[#This Row],[Units Sold]]*financials[[#This Row],[Sale Price]]</f>
        <v>88.5</v>
      </c>
      <c r="H1225" s="8">
        <f>IF(financials[[#This Row],[Discount Band]]="low",0.1,IF(financials[[#This Row],[Discount Band]]="medium",0.15,0.3))</f>
        <v>0.15</v>
      </c>
      <c r="I1225" s="8">
        <f>financials[[#This Row],[Gross Sales]]-financials[[#This Row],[Gross Sales]]*financials[[#This Row],[Discounts]]</f>
        <v>75.224999999999994</v>
      </c>
      <c r="J1225" s="8">
        <f>VLOOKUP(financials[[#This Row],[productid]],Products!$B$2:$H$10,4)</f>
        <v>2.9</v>
      </c>
      <c r="K1225" s="8">
        <f>financials[[#This Row],[Net Sales]]-financials[[#This Row],[COGS]]</f>
        <v>72.324999999999989</v>
      </c>
      <c r="L1225" s="15">
        <v>45551</v>
      </c>
      <c r="M1225" t="s">
        <v>690</v>
      </c>
    </row>
    <row r="1226" spans="1:13" x14ac:dyDescent="0.25">
      <c r="A1226" t="s">
        <v>85</v>
      </c>
      <c r="B1226" s="6" t="s">
        <v>273</v>
      </c>
      <c r="C1226" s="13">
        <v>109</v>
      </c>
      <c r="D1226" s="14" t="s">
        <v>83</v>
      </c>
      <c r="E1226">
        <v>12</v>
      </c>
      <c r="F1226" s="8">
        <f>VLOOKUP(financials[[#This Row],[productid]],Products!$B$2:$H$10,3)</f>
        <v>36</v>
      </c>
      <c r="G1226" s="8">
        <f>financials[[#This Row],[Units Sold]]*financials[[#This Row],[Sale Price]]</f>
        <v>432</v>
      </c>
      <c r="H1226" s="8">
        <f>IF(financials[[#This Row],[Discount Band]]="low",0.1,IF(financials[[#This Row],[Discount Band]]="medium",0.15,0.3))</f>
        <v>0.3</v>
      </c>
      <c r="I1226" s="8">
        <f>financials[[#This Row],[Gross Sales]]-financials[[#This Row],[Gross Sales]]*financials[[#This Row],[Discounts]]</f>
        <v>302.39999999999998</v>
      </c>
      <c r="J1226" s="8">
        <f>VLOOKUP(financials[[#This Row],[productid]],Products!$B$2:$H$10,4)</f>
        <v>16.8</v>
      </c>
      <c r="K1226" s="8">
        <f>financials[[#This Row],[Net Sales]]-financials[[#This Row],[COGS]]</f>
        <v>285.59999999999997</v>
      </c>
      <c r="L1226" s="15">
        <v>44694</v>
      </c>
      <c r="M1226" t="s">
        <v>697</v>
      </c>
    </row>
    <row r="1227" spans="1:13" x14ac:dyDescent="0.25">
      <c r="A1227" t="s">
        <v>89</v>
      </c>
      <c r="B1227" s="6" t="s">
        <v>158</v>
      </c>
      <c r="C1227" s="13">
        <v>102</v>
      </c>
      <c r="D1227" s="14" t="s">
        <v>83</v>
      </c>
      <c r="E1227">
        <v>12</v>
      </c>
      <c r="F1227" s="8">
        <f>VLOOKUP(financials[[#This Row],[productid]],Products!$B$2:$H$10,3)</f>
        <v>15</v>
      </c>
      <c r="G1227" s="8">
        <f>financials[[#This Row],[Units Sold]]*financials[[#This Row],[Sale Price]]</f>
        <v>180</v>
      </c>
      <c r="H1227" s="8">
        <f>IF(financials[[#This Row],[Discount Band]]="low",0.1,IF(financials[[#This Row],[Discount Band]]="medium",0.15,0.3))</f>
        <v>0.3</v>
      </c>
      <c r="I1227" s="8">
        <f>financials[[#This Row],[Gross Sales]]-financials[[#This Row],[Gross Sales]]*financials[[#This Row],[Discounts]]</f>
        <v>126</v>
      </c>
      <c r="J1227" s="8">
        <f>VLOOKUP(financials[[#This Row],[productid]],Products!$B$2:$H$10,4)</f>
        <v>13.95</v>
      </c>
      <c r="K1227" s="8">
        <f>financials[[#This Row],[Net Sales]]-financials[[#This Row],[COGS]]</f>
        <v>112.05</v>
      </c>
      <c r="L1227" s="15">
        <v>45593</v>
      </c>
      <c r="M1227" t="s">
        <v>697</v>
      </c>
    </row>
    <row r="1228" spans="1:13" x14ac:dyDescent="0.25">
      <c r="A1228" t="s">
        <v>85</v>
      </c>
      <c r="B1228" s="6" t="s">
        <v>545</v>
      </c>
      <c r="C1228" s="11">
        <v>106</v>
      </c>
      <c r="D1228" s="9" t="s">
        <v>90</v>
      </c>
      <c r="E1228">
        <v>13</v>
      </c>
      <c r="F1228" s="8">
        <f>VLOOKUP(financials[[#This Row],[productid]],Products!$B$2:$H$10,3)</f>
        <v>25</v>
      </c>
      <c r="G1228" s="8">
        <f>financials[[#This Row],[Units Sold]]*financials[[#This Row],[Sale Price]]</f>
        <v>325</v>
      </c>
      <c r="H1228" s="8">
        <f>IF(financials[[#This Row],[Discount Band]]="low",0.1,IF(financials[[#This Row],[Discount Band]]="medium",0.15,0.3))</f>
        <v>0.15</v>
      </c>
      <c r="I1228" s="8">
        <f>financials[[#This Row],[Gross Sales]]-financials[[#This Row],[Gross Sales]]*financials[[#This Row],[Discounts]]</f>
        <v>276.25</v>
      </c>
      <c r="J1228" s="8">
        <f>VLOOKUP(financials[[#This Row],[productid]],Products!$B$2:$H$10,4)</f>
        <v>9.1</v>
      </c>
      <c r="K1228" s="8">
        <f>financials[[#This Row],[Net Sales]]-financials[[#This Row],[COGS]]</f>
        <v>267.14999999999998</v>
      </c>
      <c r="L1228" s="15">
        <v>44995</v>
      </c>
      <c r="M1228" t="s">
        <v>697</v>
      </c>
    </row>
    <row r="1229" spans="1:13" x14ac:dyDescent="0.25">
      <c r="A1229" t="s">
        <v>85</v>
      </c>
      <c r="B1229" s="6" t="s">
        <v>545</v>
      </c>
      <c r="C1229" s="13">
        <v>107</v>
      </c>
      <c r="D1229" s="14" t="s">
        <v>91</v>
      </c>
      <c r="E1229">
        <v>11</v>
      </c>
      <c r="F1229" s="8">
        <f>VLOOKUP(financials[[#This Row],[productid]],Products!$B$2:$H$10,3)</f>
        <v>15</v>
      </c>
      <c r="G1229" s="8">
        <f>financials[[#This Row],[Units Sold]]*financials[[#This Row],[Sale Price]]</f>
        <v>165</v>
      </c>
      <c r="H1229" s="8">
        <f>IF(financials[[#This Row],[Discount Band]]="low",0.1,IF(financials[[#This Row],[Discount Band]]="medium",0.15,0.3))</f>
        <v>0.1</v>
      </c>
      <c r="I1229" s="8">
        <f>financials[[#This Row],[Gross Sales]]-financials[[#This Row],[Gross Sales]]*financials[[#This Row],[Discounts]]</f>
        <v>148.5</v>
      </c>
      <c r="J1229" s="8">
        <f>VLOOKUP(financials[[#This Row],[productid]],Products!$B$2:$H$10,4)</f>
        <v>5.5</v>
      </c>
      <c r="K1229" s="8">
        <f>financials[[#This Row],[Net Sales]]-financials[[#This Row],[COGS]]</f>
        <v>143</v>
      </c>
      <c r="L1229" s="15">
        <v>45351</v>
      </c>
      <c r="M1229" t="s">
        <v>696</v>
      </c>
    </row>
    <row r="1230" spans="1:13" x14ac:dyDescent="0.25">
      <c r="A1230" t="s">
        <v>89</v>
      </c>
      <c r="B1230" s="6" t="s">
        <v>228</v>
      </c>
      <c r="C1230" s="11">
        <v>109</v>
      </c>
      <c r="D1230" s="9" t="s">
        <v>83</v>
      </c>
      <c r="E1230">
        <v>19</v>
      </c>
      <c r="F1230" s="8">
        <f>VLOOKUP(financials[[#This Row],[productid]],Products!$B$2:$H$10,3)</f>
        <v>36</v>
      </c>
      <c r="G1230" s="8">
        <f>financials[[#This Row],[Units Sold]]*financials[[#This Row],[Sale Price]]</f>
        <v>684</v>
      </c>
      <c r="H1230" s="8">
        <f>IF(financials[[#This Row],[Discount Band]]="low",0.1,IF(financials[[#This Row],[Discount Band]]="medium",0.15,0.3))</f>
        <v>0.3</v>
      </c>
      <c r="I1230" s="8">
        <f>financials[[#This Row],[Gross Sales]]-financials[[#This Row],[Gross Sales]]*financials[[#This Row],[Discounts]]</f>
        <v>478.8</v>
      </c>
      <c r="J1230" s="8">
        <f>VLOOKUP(financials[[#This Row],[productid]],Products!$B$2:$H$10,4)</f>
        <v>16.8</v>
      </c>
      <c r="K1230" s="8">
        <f>financials[[#This Row],[Net Sales]]-financials[[#This Row],[COGS]]</f>
        <v>462</v>
      </c>
      <c r="L1230" s="15">
        <v>45649</v>
      </c>
      <c r="M1230" t="s">
        <v>690</v>
      </c>
    </row>
    <row r="1231" spans="1:13" x14ac:dyDescent="0.25">
      <c r="A1231" t="s">
        <v>89</v>
      </c>
      <c r="B1231" s="6" t="s">
        <v>232</v>
      </c>
      <c r="C1231" s="13">
        <v>109</v>
      </c>
      <c r="D1231" s="14" t="s">
        <v>83</v>
      </c>
      <c r="E1231">
        <v>9</v>
      </c>
      <c r="F1231" s="8">
        <f>VLOOKUP(financials[[#This Row],[productid]],Products!$B$2:$H$10,3)</f>
        <v>36</v>
      </c>
      <c r="G1231" s="8">
        <f>financials[[#This Row],[Units Sold]]*financials[[#This Row],[Sale Price]]</f>
        <v>324</v>
      </c>
      <c r="H1231" s="8">
        <f>IF(financials[[#This Row],[Discount Band]]="low",0.1,IF(financials[[#This Row],[Discount Band]]="medium",0.15,0.3))</f>
        <v>0.3</v>
      </c>
      <c r="I1231" s="8">
        <f>financials[[#This Row],[Gross Sales]]-financials[[#This Row],[Gross Sales]]*financials[[#This Row],[Discounts]]</f>
        <v>226.8</v>
      </c>
      <c r="J1231" s="8">
        <f>VLOOKUP(financials[[#This Row],[productid]],Products!$B$2:$H$10,4)</f>
        <v>16.8</v>
      </c>
      <c r="K1231" s="8">
        <f>financials[[#This Row],[Net Sales]]-financials[[#This Row],[COGS]]</f>
        <v>210</v>
      </c>
      <c r="L1231" s="15">
        <v>45301</v>
      </c>
      <c r="M1231" t="s">
        <v>691</v>
      </c>
    </row>
    <row r="1232" spans="1:13" x14ac:dyDescent="0.25">
      <c r="A1232" t="s">
        <v>86</v>
      </c>
      <c r="B1232" s="6" t="s">
        <v>158</v>
      </c>
      <c r="C1232" s="13">
        <v>103</v>
      </c>
      <c r="D1232" s="14" t="s">
        <v>90</v>
      </c>
      <c r="E1232">
        <v>16</v>
      </c>
      <c r="F1232" s="8">
        <f>VLOOKUP(financials[[#This Row],[productid]],Products!$B$2:$H$10,3)</f>
        <v>28</v>
      </c>
      <c r="G1232" s="8">
        <f>financials[[#This Row],[Units Sold]]*financials[[#This Row],[Sale Price]]</f>
        <v>448</v>
      </c>
      <c r="H1232" s="8">
        <f>IF(financials[[#This Row],[Discount Band]]="low",0.1,IF(financials[[#This Row],[Discount Band]]="medium",0.15,0.3))</f>
        <v>0.15</v>
      </c>
      <c r="I1232" s="8">
        <f>financials[[#This Row],[Gross Sales]]-financials[[#This Row],[Gross Sales]]*financials[[#This Row],[Discounts]]</f>
        <v>380.8</v>
      </c>
      <c r="J1232" s="8">
        <f>VLOOKUP(financials[[#This Row],[productid]],Products!$B$2:$H$10,4)</f>
        <v>15</v>
      </c>
      <c r="K1232" s="8">
        <f>financials[[#This Row],[Net Sales]]-financials[[#This Row],[COGS]]</f>
        <v>365.8</v>
      </c>
      <c r="L1232" s="15">
        <v>44954</v>
      </c>
      <c r="M1232" t="s">
        <v>690</v>
      </c>
    </row>
    <row r="1233" spans="1:13" x14ac:dyDescent="0.25">
      <c r="A1233" t="s">
        <v>89</v>
      </c>
      <c r="B1233" s="6" t="s">
        <v>96</v>
      </c>
      <c r="C1233" s="13">
        <v>103</v>
      </c>
      <c r="D1233" s="14" t="s">
        <v>90</v>
      </c>
      <c r="E1233">
        <v>7</v>
      </c>
      <c r="F1233" s="8">
        <f>VLOOKUP(financials[[#This Row],[productid]],Products!$B$2:$H$10,3)</f>
        <v>28</v>
      </c>
      <c r="G1233" s="8">
        <f>financials[[#This Row],[Units Sold]]*financials[[#This Row],[Sale Price]]</f>
        <v>196</v>
      </c>
      <c r="H1233" s="8">
        <f>IF(financials[[#This Row],[Discount Band]]="low",0.1,IF(financials[[#This Row],[Discount Band]]="medium",0.15,0.3))</f>
        <v>0.15</v>
      </c>
      <c r="I1233" s="8">
        <f>financials[[#This Row],[Gross Sales]]-financials[[#This Row],[Gross Sales]]*financials[[#This Row],[Discounts]]</f>
        <v>166.6</v>
      </c>
      <c r="J1233" s="8">
        <f>VLOOKUP(financials[[#This Row],[productid]],Products!$B$2:$H$10,4)</f>
        <v>15</v>
      </c>
      <c r="K1233" s="8">
        <f>financials[[#This Row],[Net Sales]]-financials[[#This Row],[COGS]]</f>
        <v>151.6</v>
      </c>
      <c r="L1233" s="15">
        <v>45226</v>
      </c>
      <c r="M1233" t="s">
        <v>700</v>
      </c>
    </row>
    <row r="1234" spans="1:13" x14ac:dyDescent="0.25">
      <c r="A1234" t="s">
        <v>89</v>
      </c>
      <c r="B1234" s="6" t="s">
        <v>232</v>
      </c>
      <c r="C1234" s="13">
        <v>101</v>
      </c>
      <c r="D1234" s="14" t="s">
        <v>83</v>
      </c>
      <c r="E1234">
        <v>17</v>
      </c>
      <c r="F1234" s="8">
        <f>VLOOKUP(financials[[#This Row],[productid]],Products!$B$2:$H$10,3)</f>
        <v>23</v>
      </c>
      <c r="G1234" s="8">
        <f>financials[[#This Row],[Units Sold]]*financials[[#This Row],[Sale Price]]</f>
        <v>391</v>
      </c>
      <c r="H1234" s="8">
        <f>IF(financials[[#This Row],[Discount Band]]="low",0.1,IF(financials[[#This Row],[Discount Band]]="medium",0.15,0.3))</f>
        <v>0.3</v>
      </c>
      <c r="I1234" s="8">
        <f>financials[[#This Row],[Gross Sales]]-financials[[#This Row],[Gross Sales]]*financials[[#This Row],[Discounts]]</f>
        <v>273.7</v>
      </c>
      <c r="J1234" s="8">
        <f>VLOOKUP(financials[[#This Row],[productid]],Products!$B$2:$H$10,4)</f>
        <v>9.9499999999999993</v>
      </c>
      <c r="K1234" s="8">
        <f>financials[[#This Row],[Net Sales]]-financials[[#This Row],[COGS]]</f>
        <v>263.75</v>
      </c>
      <c r="L1234" s="15">
        <v>45613</v>
      </c>
      <c r="M1234" t="s">
        <v>691</v>
      </c>
    </row>
    <row r="1235" spans="1:13" x14ac:dyDescent="0.25">
      <c r="A1235" t="s">
        <v>89</v>
      </c>
      <c r="B1235" s="6" t="s">
        <v>95</v>
      </c>
      <c r="C1235" s="13">
        <v>109</v>
      </c>
      <c r="D1235" s="14" t="s">
        <v>90</v>
      </c>
      <c r="E1235">
        <v>8</v>
      </c>
      <c r="F1235" s="8">
        <f>VLOOKUP(financials[[#This Row],[productid]],Products!$B$2:$H$10,3)</f>
        <v>36</v>
      </c>
      <c r="G1235" s="8">
        <f>financials[[#This Row],[Units Sold]]*financials[[#This Row],[Sale Price]]</f>
        <v>288</v>
      </c>
      <c r="H1235" s="8">
        <f>IF(financials[[#This Row],[Discount Band]]="low",0.1,IF(financials[[#This Row],[Discount Band]]="medium",0.15,0.3))</f>
        <v>0.15</v>
      </c>
      <c r="I1235" s="8">
        <f>financials[[#This Row],[Gross Sales]]-financials[[#This Row],[Gross Sales]]*financials[[#This Row],[Discounts]]</f>
        <v>244.8</v>
      </c>
      <c r="J1235" s="8">
        <f>VLOOKUP(financials[[#This Row],[productid]],Products!$B$2:$H$10,4)</f>
        <v>16.8</v>
      </c>
      <c r="K1235" s="8">
        <f>financials[[#This Row],[Net Sales]]-financials[[#This Row],[COGS]]</f>
        <v>228</v>
      </c>
      <c r="L1235" s="15">
        <v>44820</v>
      </c>
      <c r="M1235" t="s">
        <v>691</v>
      </c>
    </row>
    <row r="1236" spans="1:13" x14ac:dyDescent="0.25">
      <c r="A1236" t="s">
        <v>89</v>
      </c>
      <c r="B1236" s="6" t="s">
        <v>148</v>
      </c>
      <c r="C1236" s="13">
        <v>107</v>
      </c>
      <c r="D1236" s="14" t="s">
        <v>91</v>
      </c>
      <c r="E1236">
        <v>8</v>
      </c>
      <c r="F1236" s="8">
        <f>VLOOKUP(financials[[#This Row],[productid]],Products!$B$2:$H$10,3)</f>
        <v>15</v>
      </c>
      <c r="G1236" s="8">
        <f>financials[[#This Row],[Units Sold]]*financials[[#This Row],[Sale Price]]</f>
        <v>120</v>
      </c>
      <c r="H1236" s="8">
        <f>IF(financials[[#This Row],[Discount Band]]="low",0.1,IF(financials[[#This Row],[Discount Band]]="medium",0.15,0.3))</f>
        <v>0.1</v>
      </c>
      <c r="I1236" s="8">
        <f>financials[[#This Row],[Gross Sales]]-financials[[#This Row],[Gross Sales]]*financials[[#This Row],[Discounts]]</f>
        <v>108</v>
      </c>
      <c r="J1236" s="8">
        <f>VLOOKUP(financials[[#This Row],[productid]],Products!$B$2:$H$10,4)</f>
        <v>5.5</v>
      </c>
      <c r="K1236" s="8">
        <f>financials[[#This Row],[Net Sales]]-financials[[#This Row],[COGS]]</f>
        <v>102.5</v>
      </c>
      <c r="L1236" s="15">
        <v>45053</v>
      </c>
      <c r="M1236" t="s">
        <v>690</v>
      </c>
    </row>
    <row r="1237" spans="1:13" x14ac:dyDescent="0.25">
      <c r="A1237" t="s">
        <v>86</v>
      </c>
      <c r="B1237" s="6" t="s">
        <v>148</v>
      </c>
      <c r="C1237" s="13">
        <v>101</v>
      </c>
      <c r="D1237" s="14" t="s">
        <v>90</v>
      </c>
      <c r="E1237">
        <v>19</v>
      </c>
      <c r="F1237" s="8">
        <f>VLOOKUP(financials[[#This Row],[productid]],Products!$B$2:$H$10,3)</f>
        <v>23</v>
      </c>
      <c r="G1237" s="8">
        <f>financials[[#This Row],[Units Sold]]*financials[[#This Row],[Sale Price]]</f>
        <v>437</v>
      </c>
      <c r="H1237" s="8">
        <f>IF(financials[[#This Row],[Discount Band]]="low",0.1,IF(financials[[#This Row],[Discount Band]]="medium",0.15,0.3))</f>
        <v>0.15</v>
      </c>
      <c r="I1237" s="8">
        <f>financials[[#This Row],[Gross Sales]]-financials[[#This Row],[Gross Sales]]*financials[[#This Row],[Discounts]]</f>
        <v>371.45</v>
      </c>
      <c r="J1237" s="8">
        <f>VLOOKUP(financials[[#This Row],[productid]],Products!$B$2:$H$10,4)</f>
        <v>9.9499999999999993</v>
      </c>
      <c r="K1237" s="8">
        <f>financials[[#This Row],[Net Sales]]-financials[[#This Row],[COGS]]</f>
        <v>361.5</v>
      </c>
      <c r="L1237" s="15">
        <v>44260</v>
      </c>
      <c r="M1237" t="s">
        <v>696</v>
      </c>
    </row>
    <row r="1238" spans="1:13" x14ac:dyDescent="0.25">
      <c r="A1238" t="s">
        <v>86</v>
      </c>
      <c r="B1238" s="6" t="s">
        <v>240</v>
      </c>
      <c r="C1238" s="13">
        <v>101</v>
      </c>
      <c r="D1238" s="14" t="s">
        <v>90</v>
      </c>
      <c r="E1238">
        <v>9</v>
      </c>
      <c r="F1238" s="8">
        <f>VLOOKUP(financials[[#This Row],[productid]],Products!$B$2:$H$10,3)</f>
        <v>23</v>
      </c>
      <c r="G1238" s="8">
        <f>financials[[#This Row],[Units Sold]]*financials[[#This Row],[Sale Price]]</f>
        <v>207</v>
      </c>
      <c r="H1238" s="8">
        <f>IF(financials[[#This Row],[Discount Band]]="low",0.1,IF(financials[[#This Row],[Discount Band]]="medium",0.15,0.3))</f>
        <v>0.15</v>
      </c>
      <c r="I1238" s="8">
        <f>financials[[#This Row],[Gross Sales]]-financials[[#This Row],[Gross Sales]]*financials[[#This Row],[Discounts]]</f>
        <v>175.95</v>
      </c>
      <c r="J1238" s="8">
        <f>VLOOKUP(financials[[#This Row],[productid]],Products!$B$2:$H$10,4)</f>
        <v>9.9499999999999993</v>
      </c>
      <c r="K1238" s="8">
        <f>financials[[#This Row],[Net Sales]]-financials[[#This Row],[COGS]]</f>
        <v>166</v>
      </c>
      <c r="L1238" s="15">
        <v>43911</v>
      </c>
      <c r="M1238" t="s">
        <v>700</v>
      </c>
    </row>
    <row r="1239" spans="1:13" x14ac:dyDescent="0.25">
      <c r="A1239" t="s">
        <v>89</v>
      </c>
      <c r="B1239" s="6" t="s">
        <v>93</v>
      </c>
      <c r="C1239" s="13">
        <v>102</v>
      </c>
      <c r="D1239" s="14" t="s">
        <v>83</v>
      </c>
      <c r="E1239">
        <v>7</v>
      </c>
      <c r="F1239" s="8">
        <f>VLOOKUP(financials[[#This Row],[productid]],Products!$B$2:$H$10,3)</f>
        <v>15</v>
      </c>
      <c r="G1239" s="8">
        <f>financials[[#This Row],[Units Sold]]*financials[[#This Row],[Sale Price]]</f>
        <v>105</v>
      </c>
      <c r="H1239" s="8">
        <f>IF(financials[[#This Row],[Discount Band]]="low",0.1,IF(financials[[#This Row],[Discount Band]]="medium",0.15,0.3))</f>
        <v>0.3</v>
      </c>
      <c r="I1239" s="8">
        <f>financials[[#This Row],[Gross Sales]]-financials[[#This Row],[Gross Sales]]*financials[[#This Row],[Discounts]]</f>
        <v>73.5</v>
      </c>
      <c r="J1239" s="8">
        <f>VLOOKUP(financials[[#This Row],[productid]],Products!$B$2:$H$10,4)</f>
        <v>13.95</v>
      </c>
      <c r="K1239" s="8">
        <f>financials[[#This Row],[Net Sales]]-financials[[#This Row],[COGS]]</f>
        <v>59.55</v>
      </c>
      <c r="L1239" s="15">
        <v>45491</v>
      </c>
      <c r="M1239" t="s">
        <v>696</v>
      </c>
    </row>
    <row r="1240" spans="1:13" x14ac:dyDescent="0.25">
      <c r="A1240" t="s">
        <v>89</v>
      </c>
      <c r="B1240" s="6" t="s">
        <v>148</v>
      </c>
      <c r="C1240" s="13">
        <v>104</v>
      </c>
      <c r="D1240" s="14" t="s">
        <v>90</v>
      </c>
      <c r="E1240">
        <v>19</v>
      </c>
      <c r="F1240" s="8">
        <f>VLOOKUP(financials[[#This Row],[productid]],Products!$B$2:$H$10,3)</f>
        <v>5.9</v>
      </c>
      <c r="G1240" s="8">
        <f>financials[[#This Row],[Units Sold]]*financials[[#This Row],[Sale Price]]</f>
        <v>112.10000000000001</v>
      </c>
      <c r="H1240" s="8">
        <f>IF(financials[[#This Row],[Discount Band]]="low",0.1,IF(financials[[#This Row],[Discount Band]]="medium",0.15,0.3))</f>
        <v>0.15</v>
      </c>
      <c r="I1240" s="8">
        <f>financials[[#This Row],[Gross Sales]]-financials[[#This Row],[Gross Sales]]*financials[[#This Row],[Discounts]]</f>
        <v>95.285000000000011</v>
      </c>
      <c r="J1240" s="8">
        <f>VLOOKUP(financials[[#This Row],[productid]],Products!$B$2:$H$10,4)</f>
        <v>2.9</v>
      </c>
      <c r="K1240" s="8">
        <f>financials[[#This Row],[Net Sales]]-financials[[#This Row],[COGS]]</f>
        <v>92.385000000000005</v>
      </c>
      <c r="L1240" s="15">
        <v>45477</v>
      </c>
      <c r="M1240" t="s">
        <v>697</v>
      </c>
    </row>
    <row r="1241" spans="1:13" x14ac:dyDescent="0.25">
      <c r="A1241" t="s">
        <v>86</v>
      </c>
      <c r="B1241" s="6" t="s">
        <v>205</v>
      </c>
      <c r="C1241" s="13">
        <v>105</v>
      </c>
      <c r="D1241" s="14" t="s">
        <v>83</v>
      </c>
      <c r="E1241">
        <v>7</v>
      </c>
      <c r="F1241" s="8">
        <f>VLOOKUP(financials[[#This Row],[productid]],Products!$B$2:$H$10,3)</f>
        <v>15</v>
      </c>
      <c r="G1241" s="8">
        <f>financials[[#This Row],[Units Sold]]*financials[[#This Row],[Sale Price]]</f>
        <v>105</v>
      </c>
      <c r="H1241" s="8">
        <f>IF(financials[[#This Row],[Discount Band]]="low",0.1,IF(financials[[#This Row],[Discount Band]]="medium",0.15,0.3))</f>
        <v>0.3</v>
      </c>
      <c r="I1241" s="8">
        <f>financials[[#This Row],[Gross Sales]]-financials[[#This Row],[Gross Sales]]*financials[[#This Row],[Discounts]]</f>
        <v>73.5</v>
      </c>
      <c r="J1241" s="8">
        <f>VLOOKUP(financials[[#This Row],[productid]],Products!$B$2:$H$10,4)</f>
        <v>10</v>
      </c>
      <c r="K1241" s="8">
        <f>financials[[#This Row],[Net Sales]]-financials[[#This Row],[COGS]]</f>
        <v>63.5</v>
      </c>
      <c r="L1241" s="15">
        <v>44745</v>
      </c>
      <c r="M1241" t="s">
        <v>700</v>
      </c>
    </row>
    <row r="1242" spans="1:13" x14ac:dyDescent="0.25">
      <c r="A1242" t="s">
        <v>86</v>
      </c>
      <c r="B1242" s="6" t="s">
        <v>198</v>
      </c>
      <c r="C1242" s="13">
        <v>108</v>
      </c>
      <c r="D1242" s="14" t="s">
        <v>90</v>
      </c>
      <c r="E1242">
        <v>6</v>
      </c>
      <c r="F1242" s="8">
        <f>VLOOKUP(financials[[#This Row],[productid]],Products!$B$2:$H$10,3)</f>
        <v>5.5</v>
      </c>
      <c r="G1242" s="8">
        <f>financials[[#This Row],[Units Sold]]*financials[[#This Row],[Sale Price]]</f>
        <v>33</v>
      </c>
      <c r="H1242" s="8">
        <f>IF(financials[[#This Row],[Discount Band]]="low",0.1,IF(financials[[#This Row],[Discount Band]]="medium",0.15,0.3))</f>
        <v>0.15</v>
      </c>
      <c r="I1242" s="8">
        <f>financials[[#This Row],[Gross Sales]]-financials[[#This Row],[Gross Sales]]*financials[[#This Row],[Discounts]]</f>
        <v>28.05</v>
      </c>
      <c r="J1242" s="8">
        <f>VLOOKUP(financials[[#This Row],[productid]],Products!$B$2:$H$10,4)</f>
        <v>3.99</v>
      </c>
      <c r="K1242" s="8">
        <f>financials[[#This Row],[Net Sales]]-financials[[#This Row],[COGS]]</f>
        <v>24.060000000000002</v>
      </c>
      <c r="L1242" s="15">
        <v>45535</v>
      </c>
      <c r="M1242" t="s">
        <v>696</v>
      </c>
    </row>
    <row r="1243" spans="1:13" x14ac:dyDescent="0.25">
      <c r="A1243" t="s">
        <v>86</v>
      </c>
      <c r="B1243" s="6" t="s">
        <v>167</v>
      </c>
      <c r="C1243" s="13">
        <v>104</v>
      </c>
      <c r="D1243" s="14" t="s">
        <v>83</v>
      </c>
      <c r="E1243">
        <v>8</v>
      </c>
      <c r="F1243" s="8">
        <f>VLOOKUP(financials[[#This Row],[productid]],Products!$B$2:$H$10,3)</f>
        <v>5.9</v>
      </c>
      <c r="G1243" s="8">
        <f>financials[[#This Row],[Units Sold]]*financials[[#This Row],[Sale Price]]</f>
        <v>47.2</v>
      </c>
      <c r="H1243" s="8">
        <f>IF(financials[[#This Row],[Discount Band]]="low",0.1,IF(financials[[#This Row],[Discount Band]]="medium",0.15,0.3))</f>
        <v>0.3</v>
      </c>
      <c r="I1243" s="8">
        <f>financials[[#This Row],[Gross Sales]]-financials[[#This Row],[Gross Sales]]*financials[[#This Row],[Discounts]]</f>
        <v>33.040000000000006</v>
      </c>
      <c r="J1243" s="8">
        <f>VLOOKUP(financials[[#This Row],[productid]],Products!$B$2:$H$10,4)</f>
        <v>2.9</v>
      </c>
      <c r="K1243" s="8">
        <f>financials[[#This Row],[Net Sales]]-financials[[#This Row],[COGS]]</f>
        <v>30.140000000000008</v>
      </c>
      <c r="L1243" s="15">
        <v>45330</v>
      </c>
      <c r="M1243" t="s">
        <v>697</v>
      </c>
    </row>
    <row r="1244" spans="1:13" x14ac:dyDescent="0.25">
      <c r="A1244" t="s">
        <v>89</v>
      </c>
      <c r="B1244" s="6" t="s">
        <v>95</v>
      </c>
      <c r="C1244" s="13">
        <v>101</v>
      </c>
      <c r="D1244" s="14" t="s">
        <v>90</v>
      </c>
      <c r="E1244">
        <v>18</v>
      </c>
      <c r="F1244" s="8">
        <f>VLOOKUP(financials[[#This Row],[productid]],Products!$B$2:$H$10,3)</f>
        <v>23</v>
      </c>
      <c r="G1244" s="8">
        <f>financials[[#This Row],[Units Sold]]*financials[[#This Row],[Sale Price]]</f>
        <v>414</v>
      </c>
      <c r="H1244" s="8">
        <f>IF(financials[[#This Row],[Discount Band]]="low",0.1,IF(financials[[#This Row],[Discount Band]]="medium",0.15,0.3))</f>
        <v>0.15</v>
      </c>
      <c r="I1244" s="8">
        <f>financials[[#This Row],[Gross Sales]]-financials[[#This Row],[Gross Sales]]*financials[[#This Row],[Discounts]]</f>
        <v>351.9</v>
      </c>
      <c r="J1244" s="8">
        <f>VLOOKUP(financials[[#This Row],[productid]],Products!$B$2:$H$10,4)</f>
        <v>9.9499999999999993</v>
      </c>
      <c r="K1244" s="8">
        <f>financials[[#This Row],[Net Sales]]-financials[[#This Row],[COGS]]</f>
        <v>341.95</v>
      </c>
      <c r="L1244" s="15">
        <v>45448</v>
      </c>
      <c r="M1244" t="s">
        <v>700</v>
      </c>
    </row>
    <row r="1245" spans="1:13" x14ac:dyDescent="0.25">
      <c r="A1245" t="s">
        <v>89</v>
      </c>
      <c r="B1245" s="6" t="s">
        <v>158</v>
      </c>
      <c r="C1245" s="13">
        <v>104</v>
      </c>
      <c r="D1245" s="14" t="s">
        <v>90</v>
      </c>
      <c r="E1245">
        <v>10</v>
      </c>
      <c r="F1245" s="8">
        <f>VLOOKUP(financials[[#This Row],[productid]],Products!$B$2:$H$10,3)</f>
        <v>5.9</v>
      </c>
      <c r="G1245" s="8">
        <f>financials[[#This Row],[Units Sold]]*financials[[#This Row],[Sale Price]]</f>
        <v>59</v>
      </c>
      <c r="H1245" s="8">
        <f>IF(financials[[#This Row],[Discount Band]]="low",0.1,IF(financials[[#This Row],[Discount Band]]="medium",0.15,0.3))</f>
        <v>0.15</v>
      </c>
      <c r="I1245" s="8">
        <f>financials[[#This Row],[Gross Sales]]-financials[[#This Row],[Gross Sales]]*financials[[#This Row],[Discounts]]</f>
        <v>50.15</v>
      </c>
      <c r="J1245" s="8">
        <f>VLOOKUP(financials[[#This Row],[productid]],Products!$B$2:$H$10,4)</f>
        <v>2.9</v>
      </c>
      <c r="K1245" s="8">
        <f>financials[[#This Row],[Net Sales]]-financials[[#This Row],[COGS]]</f>
        <v>47.25</v>
      </c>
      <c r="L1245" s="15">
        <v>45148</v>
      </c>
      <c r="M1245" t="s">
        <v>697</v>
      </c>
    </row>
    <row r="1246" spans="1:13" x14ac:dyDescent="0.25">
      <c r="A1246" t="s">
        <v>86</v>
      </c>
      <c r="B1246" s="6" t="s">
        <v>198</v>
      </c>
      <c r="C1246" s="13">
        <v>109</v>
      </c>
      <c r="D1246" s="14" t="s">
        <v>90</v>
      </c>
      <c r="E1246">
        <v>5</v>
      </c>
      <c r="F1246" s="8">
        <f>VLOOKUP(financials[[#This Row],[productid]],Products!$B$2:$H$10,3)</f>
        <v>36</v>
      </c>
      <c r="G1246" s="8">
        <f>financials[[#This Row],[Units Sold]]*financials[[#This Row],[Sale Price]]</f>
        <v>180</v>
      </c>
      <c r="H1246" s="8">
        <f>IF(financials[[#This Row],[Discount Band]]="low",0.1,IF(financials[[#This Row],[Discount Band]]="medium",0.15,0.3))</f>
        <v>0.15</v>
      </c>
      <c r="I1246" s="8">
        <f>financials[[#This Row],[Gross Sales]]-financials[[#This Row],[Gross Sales]]*financials[[#This Row],[Discounts]]</f>
        <v>153</v>
      </c>
      <c r="J1246" s="8">
        <f>VLOOKUP(financials[[#This Row],[productid]],Products!$B$2:$H$10,4)</f>
        <v>16.8</v>
      </c>
      <c r="K1246" s="8">
        <f>financials[[#This Row],[Net Sales]]-financials[[#This Row],[COGS]]</f>
        <v>136.19999999999999</v>
      </c>
      <c r="L1246" s="15">
        <v>45411</v>
      </c>
      <c r="M1246" t="s">
        <v>696</v>
      </c>
    </row>
    <row r="1247" spans="1:13" x14ac:dyDescent="0.25">
      <c r="A1247" t="s">
        <v>86</v>
      </c>
      <c r="B1247" s="6" t="s">
        <v>232</v>
      </c>
      <c r="C1247" s="11">
        <v>103</v>
      </c>
      <c r="D1247" s="9" t="s">
        <v>91</v>
      </c>
      <c r="E1247">
        <v>15</v>
      </c>
      <c r="F1247" s="8">
        <f>VLOOKUP(financials[[#This Row],[productid]],Products!$B$2:$H$10,3)</f>
        <v>28</v>
      </c>
      <c r="G1247" s="8">
        <f>financials[[#This Row],[Units Sold]]*financials[[#This Row],[Sale Price]]</f>
        <v>420</v>
      </c>
      <c r="H1247" s="8">
        <f>IF(financials[[#This Row],[Discount Band]]="low",0.1,IF(financials[[#This Row],[Discount Band]]="medium",0.15,0.3))</f>
        <v>0.1</v>
      </c>
      <c r="I1247" s="8">
        <f>financials[[#This Row],[Gross Sales]]-financials[[#This Row],[Gross Sales]]*financials[[#This Row],[Discounts]]</f>
        <v>378</v>
      </c>
      <c r="J1247" s="8">
        <f>VLOOKUP(financials[[#This Row],[productid]],Products!$B$2:$H$10,4)</f>
        <v>15</v>
      </c>
      <c r="K1247" s="8">
        <f>financials[[#This Row],[Net Sales]]-financials[[#This Row],[COGS]]</f>
        <v>363</v>
      </c>
      <c r="L1247" s="15">
        <v>45339</v>
      </c>
      <c r="M1247" t="s">
        <v>696</v>
      </c>
    </row>
    <row r="1248" spans="1:13" x14ac:dyDescent="0.25">
      <c r="A1248" t="s">
        <v>86</v>
      </c>
      <c r="B1248" s="6" t="s">
        <v>95</v>
      </c>
      <c r="C1248" s="11">
        <v>101</v>
      </c>
      <c r="D1248" s="9" t="s">
        <v>83</v>
      </c>
      <c r="E1248">
        <v>12</v>
      </c>
      <c r="F1248" s="8">
        <f>VLOOKUP(financials[[#This Row],[productid]],Products!$B$2:$H$10,3)</f>
        <v>23</v>
      </c>
      <c r="G1248" s="8">
        <f>financials[[#This Row],[Units Sold]]*financials[[#This Row],[Sale Price]]</f>
        <v>276</v>
      </c>
      <c r="H1248" s="8">
        <f>IF(financials[[#This Row],[Discount Band]]="low",0.1,IF(financials[[#This Row],[Discount Band]]="medium",0.15,0.3))</f>
        <v>0.3</v>
      </c>
      <c r="I1248" s="8">
        <f>financials[[#This Row],[Gross Sales]]-financials[[#This Row],[Gross Sales]]*financials[[#This Row],[Discounts]]</f>
        <v>193.2</v>
      </c>
      <c r="J1248" s="8">
        <f>VLOOKUP(financials[[#This Row],[productid]],Products!$B$2:$H$10,4)</f>
        <v>9.9499999999999993</v>
      </c>
      <c r="K1248" s="8">
        <f>financials[[#This Row],[Net Sales]]-financials[[#This Row],[COGS]]</f>
        <v>183.25</v>
      </c>
      <c r="L1248" s="15">
        <v>43891</v>
      </c>
      <c r="M1248" t="s">
        <v>691</v>
      </c>
    </row>
    <row r="1249" spans="1:13" x14ac:dyDescent="0.25">
      <c r="A1249" t="s">
        <v>86</v>
      </c>
      <c r="B1249" s="6" t="s">
        <v>197</v>
      </c>
      <c r="C1249" s="11">
        <v>105</v>
      </c>
      <c r="D1249" s="9" t="s">
        <v>92</v>
      </c>
      <c r="E1249">
        <v>6</v>
      </c>
      <c r="F1249" s="8">
        <f>VLOOKUP(financials[[#This Row],[productid]],Products!$B$2:$H$10,3)</f>
        <v>15</v>
      </c>
      <c r="G1249" s="8">
        <f>financials[[#This Row],[Units Sold]]*financials[[#This Row],[Sale Price]]</f>
        <v>90</v>
      </c>
      <c r="H1249" s="8">
        <f>IF(financials[[#This Row],[Discount Band]]="low",0.1,IF(financials[[#This Row],[Discount Band]]="medium",0.15,0.3))</f>
        <v>0.3</v>
      </c>
      <c r="I1249" s="8">
        <f>financials[[#This Row],[Gross Sales]]-financials[[#This Row],[Gross Sales]]*financials[[#This Row],[Discounts]]</f>
        <v>63</v>
      </c>
      <c r="J1249" s="8">
        <f>VLOOKUP(financials[[#This Row],[productid]],Products!$B$2:$H$10,4)</f>
        <v>10</v>
      </c>
      <c r="K1249" s="8">
        <f>financials[[#This Row],[Net Sales]]-financials[[#This Row],[COGS]]</f>
        <v>53</v>
      </c>
      <c r="L1249" s="15">
        <v>44424</v>
      </c>
      <c r="M1249" t="s">
        <v>697</v>
      </c>
    </row>
    <row r="1250" spans="1:13" x14ac:dyDescent="0.25">
      <c r="A1250" t="s">
        <v>89</v>
      </c>
      <c r="B1250" s="6" t="s">
        <v>232</v>
      </c>
      <c r="C1250" s="11">
        <v>105</v>
      </c>
      <c r="D1250" s="9" t="s">
        <v>90</v>
      </c>
      <c r="E1250">
        <v>12</v>
      </c>
      <c r="F1250" s="8">
        <f>VLOOKUP(financials[[#This Row],[productid]],Products!$B$2:$H$10,3)</f>
        <v>15</v>
      </c>
      <c r="G1250" s="8">
        <f>financials[[#This Row],[Units Sold]]*financials[[#This Row],[Sale Price]]</f>
        <v>180</v>
      </c>
      <c r="H1250" s="8">
        <f>IF(financials[[#This Row],[Discount Band]]="low",0.1,IF(financials[[#This Row],[Discount Band]]="medium",0.15,0.3))</f>
        <v>0.15</v>
      </c>
      <c r="I1250" s="8">
        <f>financials[[#This Row],[Gross Sales]]-financials[[#This Row],[Gross Sales]]*financials[[#This Row],[Discounts]]</f>
        <v>153</v>
      </c>
      <c r="J1250" s="8">
        <f>VLOOKUP(financials[[#This Row],[productid]],Products!$B$2:$H$10,4)</f>
        <v>10</v>
      </c>
      <c r="K1250" s="8">
        <f>financials[[#This Row],[Net Sales]]-financials[[#This Row],[COGS]]</f>
        <v>143</v>
      </c>
      <c r="L1250" s="15">
        <v>44180</v>
      </c>
      <c r="M1250" t="s">
        <v>697</v>
      </c>
    </row>
    <row r="1251" spans="1:13" x14ac:dyDescent="0.25">
      <c r="A1251" t="s">
        <v>86</v>
      </c>
      <c r="B1251" s="6" t="s">
        <v>232</v>
      </c>
      <c r="C1251" s="13">
        <v>109</v>
      </c>
      <c r="D1251" s="14" t="s">
        <v>91</v>
      </c>
      <c r="E1251">
        <v>16</v>
      </c>
      <c r="F1251" s="8">
        <f>VLOOKUP(financials[[#This Row],[productid]],Products!$B$2:$H$10,3)</f>
        <v>36</v>
      </c>
      <c r="G1251" s="8">
        <f>financials[[#This Row],[Units Sold]]*financials[[#This Row],[Sale Price]]</f>
        <v>576</v>
      </c>
      <c r="H1251" s="8">
        <f>IF(financials[[#This Row],[Discount Band]]="low",0.1,IF(financials[[#This Row],[Discount Band]]="medium",0.15,0.3))</f>
        <v>0.1</v>
      </c>
      <c r="I1251" s="8">
        <f>financials[[#This Row],[Gross Sales]]-financials[[#This Row],[Gross Sales]]*financials[[#This Row],[Discounts]]</f>
        <v>518.4</v>
      </c>
      <c r="J1251" s="8">
        <f>VLOOKUP(financials[[#This Row],[productid]],Products!$B$2:$H$10,4)</f>
        <v>16.8</v>
      </c>
      <c r="K1251" s="8">
        <f>financials[[#This Row],[Net Sales]]-financials[[#This Row],[COGS]]</f>
        <v>501.59999999999997</v>
      </c>
      <c r="L1251" s="15">
        <v>44216</v>
      </c>
      <c r="M1251" t="s">
        <v>700</v>
      </c>
    </row>
    <row r="1252" spans="1:13" x14ac:dyDescent="0.25">
      <c r="A1252" t="s">
        <v>89</v>
      </c>
      <c r="B1252" s="6" t="s">
        <v>274</v>
      </c>
      <c r="C1252" s="13">
        <v>101</v>
      </c>
      <c r="D1252" s="14" t="s">
        <v>90</v>
      </c>
      <c r="E1252">
        <v>16</v>
      </c>
      <c r="F1252" s="8">
        <f>VLOOKUP(financials[[#This Row],[productid]],Products!$B$2:$H$10,3)</f>
        <v>23</v>
      </c>
      <c r="G1252" s="8">
        <f>financials[[#This Row],[Units Sold]]*financials[[#This Row],[Sale Price]]</f>
        <v>368</v>
      </c>
      <c r="H1252" s="8">
        <f>IF(financials[[#This Row],[Discount Band]]="low",0.1,IF(financials[[#This Row],[Discount Band]]="medium",0.15,0.3))</f>
        <v>0.15</v>
      </c>
      <c r="I1252" s="8">
        <f>financials[[#This Row],[Gross Sales]]-financials[[#This Row],[Gross Sales]]*financials[[#This Row],[Discounts]]</f>
        <v>312.8</v>
      </c>
      <c r="J1252" s="8">
        <f>VLOOKUP(financials[[#This Row],[productid]],Products!$B$2:$H$10,4)</f>
        <v>9.9499999999999993</v>
      </c>
      <c r="K1252" s="8">
        <f>financials[[#This Row],[Net Sales]]-financials[[#This Row],[COGS]]</f>
        <v>302.85000000000002</v>
      </c>
      <c r="L1252" s="15">
        <v>43863</v>
      </c>
      <c r="M1252" t="s">
        <v>691</v>
      </c>
    </row>
    <row r="1253" spans="1:13" x14ac:dyDescent="0.25">
      <c r="A1253" t="s">
        <v>86</v>
      </c>
      <c r="B1253" s="6" t="s">
        <v>240</v>
      </c>
      <c r="C1253" s="13">
        <v>108</v>
      </c>
      <c r="D1253" s="14" t="s">
        <v>90</v>
      </c>
      <c r="E1253">
        <v>12</v>
      </c>
      <c r="F1253" s="8">
        <f>VLOOKUP(financials[[#This Row],[productid]],Products!$B$2:$H$10,3)</f>
        <v>5.5</v>
      </c>
      <c r="G1253" s="8">
        <f>financials[[#This Row],[Units Sold]]*financials[[#This Row],[Sale Price]]</f>
        <v>66</v>
      </c>
      <c r="H1253" s="8">
        <f>IF(financials[[#This Row],[Discount Band]]="low",0.1,IF(financials[[#This Row],[Discount Band]]="medium",0.15,0.3))</f>
        <v>0.15</v>
      </c>
      <c r="I1253" s="8">
        <f>financials[[#This Row],[Gross Sales]]-financials[[#This Row],[Gross Sales]]*financials[[#This Row],[Discounts]]</f>
        <v>56.1</v>
      </c>
      <c r="J1253" s="8">
        <f>VLOOKUP(financials[[#This Row],[productid]],Products!$B$2:$H$10,4)</f>
        <v>3.99</v>
      </c>
      <c r="K1253" s="8">
        <f>financials[[#This Row],[Net Sales]]-financials[[#This Row],[COGS]]</f>
        <v>52.11</v>
      </c>
      <c r="L1253" s="15">
        <v>45298</v>
      </c>
      <c r="M1253" t="s">
        <v>691</v>
      </c>
    </row>
    <row r="1254" spans="1:13" x14ac:dyDescent="0.25">
      <c r="A1254" t="s">
        <v>88</v>
      </c>
      <c r="B1254" s="6" t="s">
        <v>644</v>
      </c>
      <c r="C1254" s="13">
        <v>109</v>
      </c>
      <c r="D1254" s="14" t="s">
        <v>83</v>
      </c>
      <c r="E1254">
        <v>18</v>
      </c>
      <c r="F1254" s="8">
        <f>VLOOKUP(financials[[#This Row],[productid]],Products!$B$2:$H$10,3)</f>
        <v>36</v>
      </c>
      <c r="G1254" s="8">
        <f>financials[[#This Row],[Units Sold]]*financials[[#This Row],[Sale Price]]</f>
        <v>648</v>
      </c>
      <c r="H1254" s="8">
        <f>IF(financials[[#This Row],[Discount Band]]="low",0.1,IF(financials[[#This Row],[Discount Band]]="medium",0.15,0.3))</f>
        <v>0.3</v>
      </c>
      <c r="I1254" s="8">
        <f>financials[[#This Row],[Gross Sales]]-financials[[#This Row],[Gross Sales]]*financials[[#This Row],[Discounts]]</f>
        <v>453.6</v>
      </c>
      <c r="J1254" s="8">
        <f>VLOOKUP(financials[[#This Row],[productid]],Products!$B$2:$H$10,4)</f>
        <v>16.8</v>
      </c>
      <c r="K1254" s="8">
        <f>financials[[#This Row],[Net Sales]]-financials[[#This Row],[COGS]]</f>
        <v>436.8</v>
      </c>
      <c r="L1254" s="15">
        <v>45155</v>
      </c>
      <c r="M1254" t="s">
        <v>700</v>
      </c>
    </row>
    <row r="1255" spans="1:13" x14ac:dyDescent="0.25">
      <c r="A1255" t="s">
        <v>86</v>
      </c>
      <c r="B1255" s="6" t="s">
        <v>148</v>
      </c>
      <c r="C1255" s="13">
        <v>103</v>
      </c>
      <c r="D1255" s="14" t="s">
        <v>83</v>
      </c>
      <c r="E1255">
        <v>6</v>
      </c>
      <c r="F1255" s="8">
        <f>VLOOKUP(financials[[#This Row],[productid]],Products!$B$2:$H$10,3)</f>
        <v>28</v>
      </c>
      <c r="G1255" s="8">
        <f>financials[[#This Row],[Units Sold]]*financials[[#This Row],[Sale Price]]</f>
        <v>168</v>
      </c>
      <c r="H1255" s="8">
        <f>IF(financials[[#This Row],[Discount Band]]="low",0.1,IF(financials[[#This Row],[Discount Band]]="medium",0.15,0.3))</f>
        <v>0.3</v>
      </c>
      <c r="I1255" s="8">
        <f>financials[[#This Row],[Gross Sales]]-financials[[#This Row],[Gross Sales]]*financials[[#This Row],[Discounts]]</f>
        <v>117.6</v>
      </c>
      <c r="J1255" s="8">
        <f>VLOOKUP(financials[[#This Row],[productid]],Products!$B$2:$H$10,4)</f>
        <v>15</v>
      </c>
      <c r="K1255" s="8">
        <f>financials[[#This Row],[Net Sales]]-financials[[#This Row],[COGS]]</f>
        <v>102.6</v>
      </c>
      <c r="L1255" s="15">
        <v>44242</v>
      </c>
      <c r="M1255" t="s">
        <v>700</v>
      </c>
    </row>
    <row r="1256" spans="1:13" x14ac:dyDescent="0.25">
      <c r="A1256" t="s">
        <v>89</v>
      </c>
      <c r="B1256" s="6" t="s">
        <v>232</v>
      </c>
      <c r="C1256" s="13">
        <v>107</v>
      </c>
      <c r="D1256" s="14" t="s">
        <v>92</v>
      </c>
      <c r="E1256">
        <v>7</v>
      </c>
      <c r="F1256" s="8">
        <f>VLOOKUP(financials[[#This Row],[productid]],Products!$B$2:$H$10,3)</f>
        <v>15</v>
      </c>
      <c r="G1256" s="8">
        <f>financials[[#This Row],[Units Sold]]*financials[[#This Row],[Sale Price]]</f>
        <v>105</v>
      </c>
      <c r="H1256" s="8">
        <f>IF(financials[[#This Row],[Discount Band]]="low",0.1,IF(financials[[#This Row],[Discount Band]]="medium",0.15,0.3))</f>
        <v>0.3</v>
      </c>
      <c r="I1256" s="8">
        <f>financials[[#This Row],[Gross Sales]]-financials[[#This Row],[Gross Sales]]*financials[[#This Row],[Discounts]]</f>
        <v>73.5</v>
      </c>
      <c r="J1256" s="8">
        <f>VLOOKUP(financials[[#This Row],[productid]],Products!$B$2:$H$10,4)</f>
        <v>5.5</v>
      </c>
      <c r="K1256" s="8">
        <f>financials[[#This Row],[Net Sales]]-financials[[#This Row],[COGS]]</f>
        <v>68</v>
      </c>
      <c r="L1256" s="15">
        <v>45116</v>
      </c>
      <c r="M1256" t="s">
        <v>700</v>
      </c>
    </row>
    <row r="1257" spans="1:13" x14ac:dyDescent="0.25">
      <c r="A1257" t="s">
        <v>86</v>
      </c>
      <c r="B1257" s="6" t="s">
        <v>197</v>
      </c>
      <c r="C1257" s="13">
        <v>104</v>
      </c>
      <c r="D1257" s="14" t="s">
        <v>90</v>
      </c>
      <c r="E1257">
        <v>9</v>
      </c>
      <c r="F1257" s="8">
        <f>VLOOKUP(financials[[#This Row],[productid]],Products!$B$2:$H$10,3)</f>
        <v>5.9</v>
      </c>
      <c r="G1257" s="8">
        <f>financials[[#This Row],[Units Sold]]*financials[[#This Row],[Sale Price]]</f>
        <v>53.1</v>
      </c>
      <c r="H1257" s="8">
        <f>IF(financials[[#This Row],[Discount Band]]="low",0.1,IF(financials[[#This Row],[Discount Band]]="medium",0.15,0.3))</f>
        <v>0.15</v>
      </c>
      <c r="I1257" s="8">
        <f>financials[[#This Row],[Gross Sales]]-financials[[#This Row],[Gross Sales]]*financials[[#This Row],[Discounts]]</f>
        <v>45.135000000000005</v>
      </c>
      <c r="J1257" s="8">
        <f>VLOOKUP(financials[[#This Row],[productid]],Products!$B$2:$H$10,4)</f>
        <v>2.9</v>
      </c>
      <c r="K1257" s="8">
        <f>financials[[#This Row],[Net Sales]]-financials[[#This Row],[COGS]]</f>
        <v>42.235000000000007</v>
      </c>
      <c r="L1257" s="15">
        <v>44233</v>
      </c>
      <c r="M1257" t="s">
        <v>696</v>
      </c>
    </row>
    <row r="1258" spans="1:13" x14ac:dyDescent="0.25">
      <c r="A1258" t="s">
        <v>85</v>
      </c>
      <c r="B1258" s="6" t="s">
        <v>205</v>
      </c>
      <c r="C1258" s="13">
        <v>106</v>
      </c>
      <c r="D1258" s="14" t="s">
        <v>92</v>
      </c>
      <c r="E1258">
        <v>15</v>
      </c>
      <c r="F1258" s="8">
        <f>VLOOKUP(financials[[#This Row],[productid]],Products!$B$2:$H$10,3)</f>
        <v>25</v>
      </c>
      <c r="G1258" s="8">
        <f>financials[[#This Row],[Units Sold]]*financials[[#This Row],[Sale Price]]</f>
        <v>375</v>
      </c>
      <c r="H1258" s="8">
        <f>IF(financials[[#This Row],[Discount Band]]="low",0.1,IF(financials[[#This Row],[Discount Band]]="medium",0.15,0.3))</f>
        <v>0.3</v>
      </c>
      <c r="I1258" s="8">
        <f>financials[[#This Row],[Gross Sales]]-financials[[#This Row],[Gross Sales]]*financials[[#This Row],[Discounts]]</f>
        <v>262.5</v>
      </c>
      <c r="J1258" s="8">
        <f>VLOOKUP(financials[[#This Row],[productid]],Products!$B$2:$H$10,4)</f>
        <v>9.1</v>
      </c>
      <c r="K1258" s="8">
        <f>financials[[#This Row],[Net Sales]]-financials[[#This Row],[COGS]]</f>
        <v>253.4</v>
      </c>
      <c r="L1258" s="15">
        <v>44876</v>
      </c>
      <c r="M1258" t="s">
        <v>691</v>
      </c>
    </row>
    <row r="1259" spans="1:13" x14ac:dyDescent="0.25">
      <c r="A1259" t="s">
        <v>85</v>
      </c>
      <c r="B1259" s="6" t="s">
        <v>276</v>
      </c>
      <c r="C1259" s="13">
        <v>109</v>
      </c>
      <c r="D1259" s="14" t="s">
        <v>91</v>
      </c>
      <c r="E1259">
        <v>12</v>
      </c>
      <c r="F1259" s="8">
        <f>VLOOKUP(financials[[#This Row],[productid]],Products!$B$2:$H$10,3)</f>
        <v>36</v>
      </c>
      <c r="G1259" s="8">
        <f>financials[[#This Row],[Units Sold]]*financials[[#This Row],[Sale Price]]</f>
        <v>432</v>
      </c>
      <c r="H1259" s="8">
        <f>IF(financials[[#This Row],[Discount Band]]="low",0.1,IF(financials[[#This Row],[Discount Band]]="medium",0.15,0.3))</f>
        <v>0.1</v>
      </c>
      <c r="I1259" s="8">
        <f>financials[[#This Row],[Gross Sales]]-financials[[#This Row],[Gross Sales]]*financials[[#This Row],[Discounts]]</f>
        <v>388.8</v>
      </c>
      <c r="J1259" s="8">
        <f>VLOOKUP(financials[[#This Row],[productid]],Products!$B$2:$H$10,4)</f>
        <v>16.8</v>
      </c>
      <c r="K1259" s="8">
        <f>financials[[#This Row],[Net Sales]]-financials[[#This Row],[COGS]]</f>
        <v>372</v>
      </c>
      <c r="L1259" s="15">
        <v>45120</v>
      </c>
      <c r="M1259" t="s">
        <v>690</v>
      </c>
    </row>
    <row r="1260" spans="1:13" x14ac:dyDescent="0.25">
      <c r="A1260" t="s">
        <v>89</v>
      </c>
      <c r="B1260" s="6" t="s">
        <v>232</v>
      </c>
      <c r="C1260" s="13">
        <v>109</v>
      </c>
      <c r="D1260" s="14" t="s">
        <v>92</v>
      </c>
      <c r="E1260">
        <v>15</v>
      </c>
      <c r="F1260" s="8">
        <f>VLOOKUP(financials[[#This Row],[productid]],Products!$B$2:$H$10,3)</f>
        <v>36</v>
      </c>
      <c r="G1260" s="8">
        <f>financials[[#This Row],[Units Sold]]*financials[[#This Row],[Sale Price]]</f>
        <v>540</v>
      </c>
      <c r="H1260" s="8">
        <f>IF(financials[[#This Row],[Discount Band]]="low",0.1,IF(financials[[#This Row],[Discount Band]]="medium",0.15,0.3))</f>
        <v>0.3</v>
      </c>
      <c r="I1260" s="8">
        <f>financials[[#This Row],[Gross Sales]]-financials[[#This Row],[Gross Sales]]*financials[[#This Row],[Discounts]]</f>
        <v>378</v>
      </c>
      <c r="J1260" s="8">
        <f>VLOOKUP(financials[[#This Row],[productid]],Products!$B$2:$H$10,4)</f>
        <v>16.8</v>
      </c>
      <c r="K1260" s="8">
        <f>financials[[#This Row],[Net Sales]]-financials[[#This Row],[COGS]]</f>
        <v>361.2</v>
      </c>
      <c r="L1260" s="15">
        <v>44413</v>
      </c>
      <c r="M1260" t="s">
        <v>691</v>
      </c>
    </row>
    <row r="1261" spans="1:13" x14ac:dyDescent="0.25">
      <c r="A1261" t="s">
        <v>86</v>
      </c>
      <c r="B1261" s="6" t="s">
        <v>232</v>
      </c>
      <c r="C1261" s="13">
        <v>104</v>
      </c>
      <c r="D1261" s="14" t="s">
        <v>90</v>
      </c>
      <c r="E1261">
        <v>18</v>
      </c>
      <c r="F1261" s="8">
        <f>VLOOKUP(financials[[#This Row],[productid]],Products!$B$2:$H$10,3)</f>
        <v>5.9</v>
      </c>
      <c r="G1261" s="8">
        <f>financials[[#This Row],[Units Sold]]*financials[[#This Row],[Sale Price]]</f>
        <v>106.2</v>
      </c>
      <c r="H1261" s="8">
        <f>IF(financials[[#This Row],[Discount Band]]="low",0.1,IF(financials[[#This Row],[Discount Band]]="medium",0.15,0.3))</f>
        <v>0.15</v>
      </c>
      <c r="I1261" s="8">
        <f>financials[[#This Row],[Gross Sales]]-financials[[#This Row],[Gross Sales]]*financials[[#This Row],[Discounts]]</f>
        <v>90.27000000000001</v>
      </c>
      <c r="J1261" s="8">
        <f>VLOOKUP(financials[[#This Row],[productid]],Products!$B$2:$H$10,4)</f>
        <v>2.9</v>
      </c>
      <c r="K1261" s="8">
        <f>financials[[#This Row],[Net Sales]]-financials[[#This Row],[COGS]]</f>
        <v>87.37</v>
      </c>
      <c r="L1261" s="15">
        <v>43946</v>
      </c>
      <c r="M1261" t="s">
        <v>696</v>
      </c>
    </row>
    <row r="1262" spans="1:13" x14ac:dyDescent="0.25">
      <c r="A1262" t="s">
        <v>85</v>
      </c>
      <c r="B1262" s="6" t="s">
        <v>94</v>
      </c>
      <c r="C1262" s="13">
        <v>104</v>
      </c>
      <c r="D1262" s="14" t="s">
        <v>90</v>
      </c>
      <c r="E1262">
        <v>15</v>
      </c>
      <c r="F1262" s="8">
        <f>VLOOKUP(financials[[#This Row],[productid]],Products!$B$2:$H$10,3)</f>
        <v>5.9</v>
      </c>
      <c r="G1262" s="8">
        <f>financials[[#This Row],[Units Sold]]*financials[[#This Row],[Sale Price]]</f>
        <v>88.5</v>
      </c>
      <c r="H1262" s="8">
        <f>IF(financials[[#This Row],[Discount Band]]="low",0.1,IF(financials[[#This Row],[Discount Band]]="medium",0.15,0.3))</f>
        <v>0.15</v>
      </c>
      <c r="I1262" s="8">
        <f>financials[[#This Row],[Gross Sales]]-financials[[#This Row],[Gross Sales]]*financials[[#This Row],[Discounts]]</f>
        <v>75.224999999999994</v>
      </c>
      <c r="J1262" s="8">
        <f>VLOOKUP(financials[[#This Row],[productid]],Products!$B$2:$H$10,4)</f>
        <v>2.9</v>
      </c>
      <c r="K1262" s="8">
        <f>financials[[#This Row],[Net Sales]]-financials[[#This Row],[COGS]]</f>
        <v>72.324999999999989</v>
      </c>
      <c r="L1262" s="15">
        <v>45584</v>
      </c>
      <c r="M1262" t="s">
        <v>690</v>
      </c>
    </row>
    <row r="1263" spans="1:13" x14ac:dyDescent="0.25">
      <c r="A1263" t="s">
        <v>89</v>
      </c>
      <c r="B1263" s="6" t="s">
        <v>232</v>
      </c>
      <c r="C1263" s="11">
        <v>103</v>
      </c>
      <c r="D1263" s="9" t="s">
        <v>90</v>
      </c>
      <c r="E1263">
        <v>10</v>
      </c>
      <c r="F1263" s="8">
        <f>VLOOKUP(financials[[#This Row],[productid]],Products!$B$2:$H$10,3)</f>
        <v>28</v>
      </c>
      <c r="G1263" s="8">
        <f>financials[[#This Row],[Units Sold]]*financials[[#This Row],[Sale Price]]</f>
        <v>280</v>
      </c>
      <c r="H1263" s="8">
        <f>IF(financials[[#This Row],[Discount Band]]="low",0.1,IF(financials[[#This Row],[Discount Band]]="medium",0.15,0.3))</f>
        <v>0.15</v>
      </c>
      <c r="I1263" s="8">
        <f>financials[[#This Row],[Gross Sales]]-financials[[#This Row],[Gross Sales]]*financials[[#This Row],[Discounts]]</f>
        <v>238</v>
      </c>
      <c r="J1263" s="8">
        <f>VLOOKUP(financials[[#This Row],[productid]],Products!$B$2:$H$10,4)</f>
        <v>15</v>
      </c>
      <c r="K1263" s="8">
        <f>financials[[#This Row],[Net Sales]]-financials[[#This Row],[COGS]]</f>
        <v>223</v>
      </c>
      <c r="L1263" s="15">
        <v>44071</v>
      </c>
      <c r="M1263" t="s">
        <v>690</v>
      </c>
    </row>
    <row r="1264" spans="1:13" x14ac:dyDescent="0.25">
      <c r="A1264" t="s">
        <v>85</v>
      </c>
      <c r="B1264" s="6" t="s">
        <v>94</v>
      </c>
      <c r="C1264" s="13">
        <v>101</v>
      </c>
      <c r="D1264" s="14" t="s">
        <v>90</v>
      </c>
      <c r="E1264">
        <v>10</v>
      </c>
      <c r="F1264" s="8">
        <f>VLOOKUP(financials[[#This Row],[productid]],Products!$B$2:$H$10,3)</f>
        <v>23</v>
      </c>
      <c r="G1264" s="8">
        <f>financials[[#This Row],[Units Sold]]*financials[[#This Row],[Sale Price]]</f>
        <v>230</v>
      </c>
      <c r="H1264" s="8">
        <f>IF(financials[[#This Row],[Discount Band]]="low",0.1,IF(financials[[#This Row],[Discount Band]]="medium",0.15,0.3))</f>
        <v>0.15</v>
      </c>
      <c r="I1264" s="8">
        <f>financials[[#This Row],[Gross Sales]]-financials[[#This Row],[Gross Sales]]*financials[[#This Row],[Discounts]]</f>
        <v>195.5</v>
      </c>
      <c r="J1264" s="8">
        <f>VLOOKUP(financials[[#This Row],[productid]],Products!$B$2:$H$10,4)</f>
        <v>9.9499999999999993</v>
      </c>
      <c r="K1264" s="8">
        <f>financials[[#This Row],[Net Sales]]-financials[[#This Row],[COGS]]</f>
        <v>185.55</v>
      </c>
      <c r="L1264" s="15">
        <v>45188</v>
      </c>
      <c r="M1264" t="s">
        <v>690</v>
      </c>
    </row>
    <row r="1265" spans="1:13" x14ac:dyDescent="0.25">
      <c r="A1265" t="s">
        <v>86</v>
      </c>
      <c r="B1265" s="6" t="s">
        <v>232</v>
      </c>
      <c r="C1265" s="11">
        <v>101</v>
      </c>
      <c r="D1265" s="9" t="s">
        <v>90</v>
      </c>
      <c r="E1265">
        <v>11</v>
      </c>
      <c r="F1265" s="8">
        <f>VLOOKUP(financials[[#This Row],[productid]],Products!$B$2:$H$10,3)</f>
        <v>23</v>
      </c>
      <c r="G1265" s="8">
        <f>financials[[#This Row],[Units Sold]]*financials[[#This Row],[Sale Price]]</f>
        <v>253</v>
      </c>
      <c r="H1265" s="8">
        <f>IF(financials[[#This Row],[Discount Band]]="low",0.1,IF(financials[[#This Row],[Discount Band]]="medium",0.15,0.3))</f>
        <v>0.15</v>
      </c>
      <c r="I1265" s="8">
        <f>financials[[#This Row],[Gross Sales]]-financials[[#This Row],[Gross Sales]]*financials[[#This Row],[Discounts]]</f>
        <v>215.05</v>
      </c>
      <c r="J1265" s="8">
        <f>VLOOKUP(financials[[#This Row],[productid]],Products!$B$2:$H$10,4)</f>
        <v>9.9499999999999993</v>
      </c>
      <c r="K1265" s="8">
        <f>financials[[#This Row],[Net Sales]]-financials[[#This Row],[COGS]]</f>
        <v>205.10000000000002</v>
      </c>
      <c r="L1265" s="15">
        <v>44228</v>
      </c>
      <c r="M1265" t="s">
        <v>690</v>
      </c>
    </row>
    <row r="1266" spans="1:13" x14ac:dyDescent="0.25">
      <c r="A1266" t="s">
        <v>86</v>
      </c>
      <c r="B1266" s="6" t="s">
        <v>645</v>
      </c>
      <c r="C1266" s="13">
        <v>109</v>
      </c>
      <c r="D1266" s="14" t="s">
        <v>83</v>
      </c>
      <c r="E1266">
        <v>20</v>
      </c>
      <c r="F1266" s="8">
        <f>VLOOKUP(financials[[#This Row],[productid]],Products!$B$2:$H$10,3)</f>
        <v>36</v>
      </c>
      <c r="G1266" s="8">
        <f>financials[[#This Row],[Units Sold]]*financials[[#This Row],[Sale Price]]</f>
        <v>720</v>
      </c>
      <c r="H1266" s="8">
        <f>IF(financials[[#This Row],[Discount Band]]="low",0.1,IF(financials[[#This Row],[Discount Band]]="medium",0.15,0.3))</f>
        <v>0.3</v>
      </c>
      <c r="I1266" s="8">
        <f>financials[[#This Row],[Gross Sales]]-financials[[#This Row],[Gross Sales]]*financials[[#This Row],[Discounts]]</f>
        <v>504</v>
      </c>
      <c r="J1266" s="8">
        <f>VLOOKUP(financials[[#This Row],[productid]],Products!$B$2:$H$10,4)</f>
        <v>16.8</v>
      </c>
      <c r="K1266" s="8">
        <f>financials[[#This Row],[Net Sales]]-financials[[#This Row],[COGS]]</f>
        <v>487.2</v>
      </c>
      <c r="L1266" s="15">
        <v>44537</v>
      </c>
      <c r="M1266" t="s">
        <v>696</v>
      </c>
    </row>
    <row r="1267" spans="1:13" x14ac:dyDescent="0.25">
      <c r="A1267" t="s">
        <v>86</v>
      </c>
      <c r="B1267" s="6" t="s">
        <v>287</v>
      </c>
      <c r="C1267" s="13">
        <v>109</v>
      </c>
      <c r="D1267" s="14" t="s">
        <v>90</v>
      </c>
      <c r="E1267">
        <v>17</v>
      </c>
      <c r="F1267" s="8">
        <f>VLOOKUP(financials[[#This Row],[productid]],Products!$B$2:$H$10,3)</f>
        <v>36</v>
      </c>
      <c r="G1267" s="8">
        <f>financials[[#This Row],[Units Sold]]*financials[[#This Row],[Sale Price]]</f>
        <v>612</v>
      </c>
      <c r="H1267" s="8">
        <f>IF(financials[[#This Row],[Discount Band]]="low",0.1,IF(financials[[#This Row],[Discount Band]]="medium",0.15,0.3))</f>
        <v>0.15</v>
      </c>
      <c r="I1267" s="8">
        <f>financials[[#This Row],[Gross Sales]]-financials[[#This Row],[Gross Sales]]*financials[[#This Row],[Discounts]]</f>
        <v>520.20000000000005</v>
      </c>
      <c r="J1267" s="8">
        <f>VLOOKUP(financials[[#This Row],[productid]],Products!$B$2:$H$10,4)</f>
        <v>16.8</v>
      </c>
      <c r="K1267" s="8">
        <f>financials[[#This Row],[Net Sales]]-financials[[#This Row],[COGS]]</f>
        <v>503.40000000000003</v>
      </c>
      <c r="L1267" s="15">
        <v>44832</v>
      </c>
      <c r="M1267" t="s">
        <v>696</v>
      </c>
    </row>
    <row r="1268" spans="1:13" x14ac:dyDescent="0.25">
      <c r="A1268" t="s">
        <v>86</v>
      </c>
      <c r="B1268" s="6" t="s">
        <v>232</v>
      </c>
      <c r="C1268" s="13">
        <v>106</v>
      </c>
      <c r="D1268" s="14" t="s">
        <v>83</v>
      </c>
      <c r="E1268">
        <v>9</v>
      </c>
      <c r="F1268" s="8">
        <f>VLOOKUP(financials[[#This Row],[productid]],Products!$B$2:$H$10,3)</f>
        <v>25</v>
      </c>
      <c r="G1268" s="8">
        <f>financials[[#This Row],[Units Sold]]*financials[[#This Row],[Sale Price]]</f>
        <v>225</v>
      </c>
      <c r="H1268" s="8">
        <f>IF(financials[[#This Row],[Discount Band]]="low",0.1,IF(financials[[#This Row],[Discount Band]]="medium",0.15,0.3))</f>
        <v>0.3</v>
      </c>
      <c r="I1268" s="8">
        <f>financials[[#This Row],[Gross Sales]]-financials[[#This Row],[Gross Sales]]*financials[[#This Row],[Discounts]]</f>
        <v>157.5</v>
      </c>
      <c r="J1268" s="8">
        <f>VLOOKUP(financials[[#This Row],[productid]],Products!$B$2:$H$10,4)</f>
        <v>9.1</v>
      </c>
      <c r="K1268" s="8">
        <f>financials[[#This Row],[Net Sales]]-financials[[#This Row],[COGS]]</f>
        <v>148.4</v>
      </c>
      <c r="L1268" s="15">
        <v>43925</v>
      </c>
      <c r="M1268" t="s">
        <v>697</v>
      </c>
    </row>
    <row r="1269" spans="1:13" x14ac:dyDescent="0.25">
      <c r="A1269" t="s">
        <v>89</v>
      </c>
      <c r="B1269" s="6" t="s">
        <v>274</v>
      </c>
      <c r="C1269" s="13">
        <v>103</v>
      </c>
      <c r="D1269" s="14" t="s">
        <v>92</v>
      </c>
      <c r="E1269">
        <v>7</v>
      </c>
      <c r="F1269" s="8">
        <f>VLOOKUP(financials[[#This Row],[productid]],Products!$B$2:$H$10,3)</f>
        <v>28</v>
      </c>
      <c r="G1269" s="8">
        <f>financials[[#This Row],[Units Sold]]*financials[[#This Row],[Sale Price]]</f>
        <v>196</v>
      </c>
      <c r="H1269" s="8">
        <f>IF(financials[[#This Row],[Discount Band]]="low",0.1,IF(financials[[#This Row],[Discount Band]]="medium",0.15,0.3))</f>
        <v>0.3</v>
      </c>
      <c r="I1269" s="8">
        <f>financials[[#This Row],[Gross Sales]]-financials[[#This Row],[Gross Sales]]*financials[[#This Row],[Discounts]]</f>
        <v>137.19999999999999</v>
      </c>
      <c r="J1269" s="8">
        <f>VLOOKUP(financials[[#This Row],[productid]],Products!$B$2:$H$10,4)</f>
        <v>15</v>
      </c>
      <c r="K1269" s="8">
        <f>financials[[#This Row],[Net Sales]]-financials[[#This Row],[COGS]]</f>
        <v>122.19999999999999</v>
      </c>
      <c r="L1269" s="15">
        <v>44376</v>
      </c>
      <c r="M1269" t="s">
        <v>691</v>
      </c>
    </row>
    <row r="1270" spans="1:13" x14ac:dyDescent="0.25">
      <c r="A1270" t="s">
        <v>86</v>
      </c>
      <c r="B1270" s="6" t="s">
        <v>148</v>
      </c>
      <c r="C1270" s="13">
        <v>105</v>
      </c>
      <c r="D1270" s="14" t="s">
        <v>91</v>
      </c>
      <c r="E1270">
        <v>10</v>
      </c>
      <c r="F1270" s="8">
        <f>VLOOKUP(financials[[#This Row],[productid]],Products!$B$2:$H$10,3)</f>
        <v>15</v>
      </c>
      <c r="G1270" s="8">
        <f>financials[[#This Row],[Units Sold]]*financials[[#This Row],[Sale Price]]</f>
        <v>150</v>
      </c>
      <c r="H1270" s="8">
        <f>IF(financials[[#This Row],[Discount Band]]="low",0.1,IF(financials[[#This Row],[Discount Band]]="medium",0.15,0.3))</f>
        <v>0.1</v>
      </c>
      <c r="I1270" s="8">
        <f>financials[[#This Row],[Gross Sales]]-financials[[#This Row],[Gross Sales]]*financials[[#This Row],[Discounts]]</f>
        <v>135</v>
      </c>
      <c r="J1270" s="8">
        <f>VLOOKUP(financials[[#This Row],[productid]],Products!$B$2:$H$10,4)</f>
        <v>10</v>
      </c>
      <c r="K1270" s="8">
        <f>financials[[#This Row],[Net Sales]]-financials[[#This Row],[COGS]]</f>
        <v>125</v>
      </c>
      <c r="L1270" s="15">
        <v>44243</v>
      </c>
      <c r="M1270" t="s">
        <v>700</v>
      </c>
    </row>
    <row r="1271" spans="1:13" x14ac:dyDescent="0.25">
      <c r="A1271" t="s">
        <v>89</v>
      </c>
      <c r="B1271" s="6" t="s">
        <v>228</v>
      </c>
      <c r="C1271" s="13">
        <v>101</v>
      </c>
      <c r="D1271" s="14" t="s">
        <v>92</v>
      </c>
      <c r="E1271">
        <v>11</v>
      </c>
      <c r="F1271" s="8">
        <f>VLOOKUP(financials[[#This Row],[productid]],Products!$B$2:$H$10,3)</f>
        <v>23</v>
      </c>
      <c r="G1271" s="8">
        <f>financials[[#This Row],[Units Sold]]*financials[[#This Row],[Sale Price]]</f>
        <v>253</v>
      </c>
      <c r="H1271" s="8">
        <f>IF(financials[[#This Row],[Discount Band]]="low",0.1,IF(financials[[#This Row],[Discount Band]]="medium",0.15,0.3))</f>
        <v>0.3</v>
      </c>
      <c r="I1271" s="8">
        <f>financials[[#This Row],[Gross Sales]]-financials[[#This Row],[Gross Sales]]*financials[[#This Row],[Discounts]]</f>
        <v>177.10000000000002</v>
      </c>
      <c r="J1271" s="8">
        <f>VLOOKUP(financials[[#This Row],[productid]],Products!$B$2:$H$10,4)</f>
        <v>9.9499999999999993</v>
      </c>
      <c r="K1271" s="8">
        <f>financials[[#This Row],[Net Sales]]-financials[[#This Row],[COGS]]</f>
        <v>167.15000000000003</v>
      </c>
      <c r="L1271" s="15">
        <v>44719</v>
      </c>
      <c r="M1271" t="s">
        <v>690</v>
      </c>
    </row>
    <row r="1272" spans="1:13" x14ac:dyDescent="0.25">
      <c r="A1272" t="s">
        <v>89</v>
      </c>
      <c r="B1272" s="6" t="s">
        <v>125</v>
      </c>
      <c r="C1272" s="13">
        <v>107</v>
      </c>
      <c r="D1272" s="14" t="s">
        <v>83</v>
      </c>
      <c r="E1272">
        <v>17</v>
      </c>
      <c r="F1272" s="8">
        <f>VLOOKUP(financials[[#This Row],[productid]],Products!$B$2:$H$10,3)</f>
        <v>15</v>
      </c>
      <c r="G1272" s="8">
        <f>financials[[#This Row],[Units Sold]]*financials[[#This Row],[Sale Price]]</f>
        <v>255</v>
      </c>
      <c r="H1272" s="8">
        <f>IF(financials[[#This Row],[Discount Band]]="low",0.1,IF(financials[[#This Row],[Discount Band]]="medium",0.15,0.3))</f>
        <v>0.3</v>
      </c>
      <c r="I1272" s="8">
        <f>financials[[#This Row],[Gross Sales]]-financials[[#This Row],[Gross Sales]]*financials[[#This Row],[Discounts]]</f>
        <v>178.5</v>
      </c>
      <c r="J1272" s="8">
        <f>VLOOKUP(financials[[#This Row],[productid]],Products!$B$2:$H$10,4)</f>
        <v>5.5</v>
      </c>
      <c r="K1272" s="8">
        <f>financials[[#This Row],[Net Sales]]-financials[[#This Row],[COGS]]</f>
        <v>173</v>
      </c>
      <c r="L1272" s="15">
        <v>43876</v>
      </c>
      <c r="M1272" t="s">
        <v>697</v>
      </c>
    </row>
    <row r="1273" spans="1:13" x14ac:dyDescent="0.25">
      <c r="A1273" t="s">
        <v>89</v>
      </c>
      <c r="B1273" s="6" t="s">
        <v>93</v>
      </c>
      <c r="C1273" s="13">
        <v>106</v>
      </c>
      <c r="D1273" s="14" t="s">
        <v>91</v>
      </c>
      <c r="E1273">
        <v>12</v>
      </c>
      <c r="F1273" s="8">
        <f>VLOOKUP(financials[[#This Row],[productid]],Products!$B$2:$H$10,3)</f>
        <v>25</v>
      </c>
      <c r="G1273" s="8">
        <f>financials[[#This Row],[Units Sold]]*financials[[#This Row],[Sale Price]]</f>
        <v>300</v>
      </c>
      <c r="H1273" s="8">
        <f>IF(financials[[#This Row],[Discount Band]]="low",0.1,IF(financials[[#This Row],[Discount Band]]="medium",0.15,0.3))</f>
        <v>0.1</v>
      </c>
      <c r="I1273" s="8">
        <f>financials[[#This Row],[Gross Sales]]-financials[[#This Row],[Gross Sales]]*financials[[#This Row],[Discounts]]</f>
        <v>270</v>
      </c>
      <c r="J1273" s="8">
        <f>VLOOKUP(financials[[#This Row],[productid]],Products!$B$2:$H$10,4)</f>
        <v>9.1</v>
      </c>
      <c r="K1273" s="8">
        <f>financials[[#This Row],[Net Sales]]-financials[[#This Row],[COGS]]</f>
        <v>260.89999999999998</v>
      </c>
      <c r="L1273" s="15">
        <v>45262</v>
      </c>
      <c r="M1273" t="s">
        <v>691</v>
      </c>
    </row>
    <row r="1274" spans="1:13" x14ac:dyDescent="0.25">
      <c r="A1274" t="s">
        <v>85</v>
      </c>
      <c r="B1274" s="6" t="s">
        <v>198</v>
      </c>
      <c r="C1274" s="13">
        <v>109</v>
      </c>
      <c r="D1274" s="14" t="s">
        <v>90</v>
      </c>
      <c r="E1274">
        <v>8</v>
      </c>
      <c r="F1274" s="8">
        <f>VLOOKUP(financials[[#This Row],[productid]],Products!$B$2:$H$10,3)</f>
        <v>36</v>
      </c>
      <c r="G1274" s="8">
        <f>financials[[#This Row],[Units Sold]]*financials[[#This Row],[Sale Price]]</f>
        <v>288</v>
      </c>
      <c r="H1274" s="8">
        <f>IF(financials[[#This Row],[Discount Band]]="low",0.1,IF(financials[[#This Row],[Discount Band]]="medium",0.15,0.3))</f>
        <v>0.15</v>
      </c>
      <c r="I1274" s="8">
        <f>financials[[#This Row],[Gross Sales]]-financials[[#This Row],[Gross Sales]]*financials[[#This Row],[Discounts]]</f>
        <v>244.8</v>
      </c>
      <c r="J1274" s="8">
        <f>VLOOKUP(financials[[#This Row],[productid]],Products!$B$2:$H$10,4)</f>
        <v>16.8</v>
      </c>
      <c r="K1274" s="8">
        <f>financials[[#This Row],[Net Sales]]-financials[[#This Row],[COGS]]</f>
        <v>228</v>
      </c>
      <c r="L1274" s="15">
        <v>44750</v>
      </c>
      <c r="M1274" t="s">
        <v>697</v>
      </c>
    </row>
    <row r="1275" spans="1:13" x14ac:dyDescent="0.25">
      <c r="A1275" t="s">
        <v>89</v>
      </c>
      <c r="B1275" s="6" t="s">
        <v>287</v>
      </c>
      <c r="C1275" s="13">
        <v>105</v>
      </c>
      <c r="D1275" s="14" t="s">
        <v>92</v>
      </c>
      <c r="E1275">
        <v>19</v>
      </c>
      <c r="F1275" s="8">
        <f>VLOOKUP(financials[[#This Row],[productid]],Products!$B$2:$H$10,3)</f>
        <v>15</v>
      </c>
      <c r="G1275" s="8">
        <f>financials[[#This Row],[Units Sold]]*financials[[#This Row],[Sale Price]]</f>
        <v>285</v>
      </c>
      <c r="H1275" s="8">
        <f>IF(financials[[#This Row],[Discount Band]]="low",0.1,IF(financials[[#This Row],[Discount Band]]="medium",0.15,0.3))</f>
        <v>0.3</v>
      </c>
      <c r="I1275" s="8">
        <f>financials[[#This Row],[Gross Sales]]-financials[[#This Row],[Gross Sales]]*financials[[#This Row],[Discounts]]</f>
        <v>199.5</v>
      </c>
      <c r="J1275" s="8">
        <f>VLOOKUP(financials[[#This Row],[productid]],Products!$B$2:$H$10,4)</f>
        <v>10</v>
      </c>
      <c r="K1275" s="8">
        <f>financials[[#This Row],[Net Sales]]-financials[[#This Row],[COGS]]</f>
        <v>189.5</v>
      </c>
      <c r="L1275" s="15">
        <v>43950</v>
      </c>
      <c r="M1275" t="s">
        <v>697</v>
      </c>
    </row>
    <row r="1276" spans="1:13" x14ac:dyDescent="0.25">
      <c r="A1276" t="s">
        <v>85</v>
      </c>
      <c r="B1276" s="6" t="s">
        <v>276</v>
      </c>
      <c r="C1276" s="13">
        <v>106</v>
      </c>
      <c r="D1276" s="14" t="s">
        <v>91</v>
      </c>
      <c r="E1276">
        <v>5</v>
      </c>
      <c r="F1276" s="8">
        <f>VLOOKUP(financials[[#This Row],[productid]],Products!$B$2:$H$10,3)</f>
        <v>25</v>
      </c>
      <c r="G1276" s="8">
        <f>financials[[#This Row],[Units Sold]]*financials[[#This Row],[Sale Price]]</f>
        <v>125</v>
      </c>
      <c r="H1276" s="8">
        <f>IF(financials[[#This Row],[Discount Band]]="low",0.1,IF(financials[[#This Row],[Discount Band]]="medium",0.15,0.3))</f>
        <v>0.1</v>
      </c>
      <c r="I1276" s="8">
        <f>financials[[#This Row],[Gross Sales]]-financials[[#This Row],[Gross Sales]]*financials[[#This Row],[Discounts]]</f>
        <v>112.5</v>
      </c>
      <c r="J1276" s="8">
        <f>VLOOKUP(financials[[#This Row],[productid]],Products!$B$2:$H$10,4)</f>
        <v>9.1</v>
      </c>
      <c r="K1276" s="8">
        <f>financials[[#This Row],[Net Sales]]-financials[[#This Row],[COGS]]</f>
        <v>103.4</v>
      </c>
      <c r="L1276" s="15">
        <v>43898</v>
      </c>
      <c r="M1276" t="s">
        <v>690</v>
      </c>
    </row>
    <row r="1277" spans="1:13" x14ac:dyDescent="0.25">
      <c r="A1277" t="s">
        <v>86</v>
      </c>
      <c r="B1277" s="6" t="s">
        <v>228</v>
      </c>
      <c r="C1277" s="13">
        <v>102</v>
      </c>
      <c r="D1277" s="14" t="s">
        <v>92</v>
      </c>
      <c r="E1277">
        <v>10</v>
      </c>
      <c r="F1277" s="8">
        <f>VLOOKUP(financials[[#This Row],[productid]],Products!$B$2:$H$10,3)</f>
        <v>15</v>
      </c>
      <c r="G1277" s="8">
        <f>financials[[#This Row],[Units Sold]]*financials[[#This Row],[Sale Price]]</f>
        <v>150</v>
      </c>
      <c r="H1277" s="8">
        <f>IF(financials[[#This Row],[Discount Band]]="low",0.1,IF(financials[[#This Row],[Discount Band]]="medium",0.15,0.3))</f>
        <v>0.3</v>
      </c>
      <c r="I1277" s="8">
        <f>financials[[#This Row],[Gross Sales]]-financials[[#This Row],[Gross Sales]]*financials[[#This Row],[Discounts]]</f>
        <v>105</v>
      </c>
      <c r="J1277" s="8">
        <f>VLOOKUP(financials[[#This Row],[productid]],Products!$B$2:$H$10,4)</f>
        <v>13.95</v>
      </c>
      <c r="K1277" s="8">
        <f>financials[[#This Row],[Net Sales]]-financials[[#This Row],[COGS]]</f>
        <v>91.05</v>
      </c>
      <c r="L1277" s="15">
        <v>45090</v>
      </c>
      <c r="M1277" t="s">
        <v>696</v>
      </c>
    </row>
    <row r="1278" spans="1:13" x14ac:dyDescent="0.25">
      <c r="A1278" t="s">
        <v>86</v>
      </c>
      <c r="B1278" s="6" t="s">
        <v>167</v>
      </c>
      <c r="C1278" s="13">
        <v>102</v>
      </c>
      <c r="D1278" s="14" t="s">
        <v>91</v>
      </c>
      <c r="E1278">
        <v>11</v>
      </c>
      <c r="F1278" s="8">
        <f>VLOOKUP(financials[[#This Row],[productid]],Products!$B$2:$H$10,3)</f>
        <v>15</v>
      </c>
      <c r="G1278" s="8">
        <f>financials[[#This Row],[Units Sold]]*financials[[#This Row],[Sale Price]]</f>
        <v>165</v>
      </c>
      <c r="H1278" s="8">
        <f>IF(financials[[#This Row],[Discount Band]]="low",0.1,IF(financials[[#This Row],[Discount Band]]="medium",0.15,0.3))</f>
        <v>0.1</v>
      </c>
      <c r="I1278" s="8">
        <f>financials[[#This Row],[Gross Sales]]-financials[[#This Row],[Gross Sales]]*financials[[#This Row],[Discounts]]</f>
        <v>148.5</v>
      </c>
      <c r="J1278" s="8">
        <f>VLOOKUP(financials[[#This Row],[productid]],Products!$B$2:$H$10,4)</f>
        <v>13.95</v>
      </c>
      <c r="K1278" s="8">
        <f>financials[[#This Row],[Net Sales]]-financials[[#This Row],[COGS]]</f>
        <v>134.55000000000001</v>
      </c>
      <c r="L1278" s="15">
        <v>45262</v>
      </c>
      <c r="M1278" t="s">
        <v>691</v>
      </c>
    </row>
    <row r="1279" spans="1:13" x14ac:dyDescent="0.25">
      <c r="A1279" t="s">
        <v>85</v>
      </c>
      <c r="B1279" s="6" t="s">
        <v>198</v>
      </c>
      <c r="C1279" s="13">
        <v>106</v>
      </c>
      <c r="D1279" s="14" t="s">
        <v>91</v>
      </c>
      <c r="E1279">
        <v>11</v>
      </c>
      <c r="F1279" s="8">
        <f>VLOOKUP(financials[[#This Row],[productid]],Products!$B$2:$H$10,3)</f>
        <v>25</v>
      </c>
      <c r="G1279" s="8">
        <f>financials[[#This Row],[Units Sold]]*financials[[#This Row],[Sale Price]]</f>
        <v>275</v>
      </c>
      <c r="H1279" s="8">
        <f>IF(financials[[#This Row],[Discount Band]]="low",0.1,IF(financials[[#This Row],[Discount Band]]="medium",0.15,0.3))</f>
        <v>0.1</v>
      </c>
      <c r="I1279" s="8">
        <f>financials[[#This Row],[Gross Sales]]-financials[[#This Row],[Gross Sales]]*financials[[#This Row],[Discounts]]</f>
        <v>247.5</v>
      </c>
      <c r="J1279" s="8">
        <f>VLOOKUP(financials[[#This Row],[productid]],Products!$B$2:$H$10,4)</f>
        <v>9.1</v>
      </c>
      <c r="K1279" s="8">
        <f>financials[[#This Row],[Net Sales]]-financials[[#This Row],[COGS]]</f>
        <v>238.4</v>
      </c>
      <c r="L1279" s="15">
        <v>44179</v>
      </c>
      <c r="M1279" t="s">
        <v>690</v>
      </c>
    </row>
    <row r="1280" spans="1:13" x14ac:dyDescent="0.25">
      <c r="A1280" t="s">
        <v>89</v>
      </c>
      <c r="B1280" s="6" t="s">
        <v>167</v>
      </c>
      <c r="C1280" s="13">
        <v>105</v>
      </c>
      <c r="D1280" s="14" t="s">
        <v>83</v>
      </c>
      <c r="E1280">
        <v>14</v>
      </c>
      <c r="F1280" s="8">
        <f>VLOOKUP(financials[[#This Row],[productid]],Products!$B$2:$H$10,3)</f>
        <v>15</v>
      </c>
      <c r="G1280" s="8">
        <f>financials[[#This Row],[Units Sold]]*financials[[#This Row],[Sale Price]]</f>
        <v>210</v>
      </c>
      <c r="H1280" s="8">
        <f>IF(financials[[#This Row],[Discount Band]]="low",0.1,IF(financials[[#This Row],[Discount Band]]="medium",0.15,0.3))</f>
        <v>0.3</v>
      </c>
      <c r="I1280" s="8">
        <f>financials[[#This Row],[Gross Sales]]-financials[[#This Row],[Gross Sales]]*financials[[#This Row],[Discounts]]</f>
        <v>147</v>
      </c>
      <c r="J1280" s="8">
        <f>VLOOKUP(financials[[#This Row],[productid]],Products!$B$2:$H$10,4)</f>
        <v>10</v>
      </c>
      <c r="K1280" s="8">
        <f>financials[[#This Row],[Net Sales]]-financials[[#This Row],[COGS]]</f>
        <v>137</v>
      </c>
      <c r="L1280" s="15">
        <v>44988</v>
      </c>
      <c r="M1280" t="s">
        <v>697</v>
      </c>
    </row>
    <row r="1281" spans="1:13" x14ac:dyDescent="0.25">
      <c r="A1281" t="s">
        <v>86</v>
      </c>
      <c r="B1281" s="6" t="s">
        <v>96</v>
      </c>
      <c r="C1281" s="11">
        <v>107</v>
      </c>
      <c r="D1281" s="9" t="s">
        <v>90</v>
      </c>
      <c r="E1281">
        <v>18</v>
      </c>
      <c r="F1281" s="8">
        <f>VLOOKUP(financials[[#This Row],[productid]],Products!$B$2:$H$10,3)</f>
        <v>15</v>
      </c>
      <c r="G1281" s="8">
        <f>financials[[#This Row],[Units Sold]]*financials[[#This Row],[Sale Price]]</f>
        <v>270</v>
      </c>
      <c r="H1281" s="8">
        <f>IF(financials[[#This Row],[Discount Band]]="low",0.1,IF(financials[[#This Row],[Discount Band]]="medium",0.15,0.3))</f>
        <v>0.15</v>
      </c>
      <c r="I1281" s="8">
        <f>financials[[#This Row],[Gross Sales]]-financials[[#This Row],[Gross Sales]]*financials[[#This Row],[Discounts]]</f>
        <v>229.5</v>
      </c>
      <c r="J1281" s="8">
        <f>VLOOKUP(financials[[#This Row],[productid]],Products!$B$2:$H$10,4)</f>
        <v>5.5</v>
      </c>
      <c r="K1281" s="8">
        <f>financials[[#This Row],[Net Sales]]-financials[[#This Row],[COGS]]</f>
        <v>224</v>
      </c>
      <c r="L1281" s="15">
        <v>44290</v>
      </c>
      <c r="M1281" t="s">
        <v>690</v>
      </c>
    </row>
    <row r="1282" spans="1:13" x14ac:dyDescent="0.25">
      <c r="A1282" t="s">
        <v>86</v>
      </c>
      <c r="B1282" s="6" t="s">
        <v>617</v>
      </c>
      <c r="C1282" s="13">
        <v>102</v>
      </c>
      <c r="D1282" s="14" t="s">
        <v>91</v>
      </c>
      <c r="E1282">
        <v>15</v>
      </c>
      <c r="F1282" s="8">
        <f>VLOOKUP(financials[[#This Row],[productid]],Products!$B$2:$H$10,3)</f>
        <v>15</v>
      </c>
      <c r="G1282" s="8">
        <f>financials[[#This Row],[Units Sold]]*financials[[#This Row],[Sale Price]]</f>
        <v>225</v>
      </c>
      <c r="H1282" s="8">
        <f>IF(financials[[#This Row],[Discount Band]]="low",0.1,IF(financials[[#This Row],[Discount Band]]="medium",0.15,0.3))</f>
        <v>0.1</v>
      </c>
      <c r="I1282" s="8">
        <f>financials[[#This Row],[Gross Sales]]-financials[[#This Row],[Gross Sales]]*financials[[#This Row],[Discounts]]</f>
        <v>202.5</v>
      </c>
      <c r="J1282" s="8">
        <f>VLOOKUP(financials[[#This Row],[productid]],Products!$B$2:$H$10,4)</f>
        <v>13.95</v>
      </c>
      <c r="K1282" s="8">
        <f>financials[[#This Row],[Net Sales]]-financials[[#This Row],[COGS]]</f>
        <v>188.55</v>
      </c>
      <c r="L1282" s="15">
        <v>45361</v>
      </c>
      <c r="M1282" t="s">
        <v>696</v>
      </c>
    </row>
    <row r="1283" spans="1:13" x14ac:dyDescent="0.25">
      <c r="A1283" t="s">
        <v>89</v>
      </c>
      <c r="B1283" s="6" t="s">
        <v>158</v>
      </c>
      <c r="C1283" s="13">
        <v>108</v>
      </c>
      <c r="D1283" s="14" t="s">
        <v>83</v>
      </c>
      <c r="E1283">
        <v>15</v>
      </c>
      <c r="F1283" s="8">
        <f>VLOOKUP(financials[[#This Row],[productid]],Products!$B$2:$H$10,3)</f>
        <v>5.5</v>
      </c>
      <c r="G1283" s="8">
        <f>financials[[#This Row],[Units Sold]]*financials[[#This Row],[Sale Price]]</f>
        <v>82.5</v>
      </c>
      <c r="H1283" s="8">
        <f>IF(financials[[#This Row],[Discount Band]]="low",0.1,IF(financials[[#This Row],[Discount Band]]="medium",0.15,0.3))</f>
        <v>0.3</v>
      </c>
      <c r="I1283" s="8">
        <f>financials[[#This Row],[Gross Sales]]-financials[[#This Row],[Gross Sales]]*financials[[#This Row],[Discounts]]</f>
        <v>57.75</v>
      </c>
      <c r="J1283" s="8">
        <f>VLOOKUP(financials[[#This Row],[productid]],Products!$B$2:$H$10,4)</f>
        <v>3.99</v>
      </c>
      <c r="K1283" s="8">
        <f>financials[[#This Row],[Net Sales]]-financials[[#This Row],[COGS]]</f>
        <v>53.76</v>
      </c>
      <c r="L1283" s="15">
        <v>44841</v>
      </c>
      <c r="M1283" t="s">
        <v>691</v>
      </c>
    </row>
    <row r="1284" spans="1:13" x14ac:dyDescent="0.25">
      <c r="A1284" t="s">
        <v>85</v>
      </c>
      <c r="B1284" s="6" t="s">
        <v>276</v>
      </c>
      <c r="C1284" s="13">
        <v>102</v>
      </c>
      <c r="D1284" s="14" t="s">
        <v>92</v>
      </c>
      <c r="E1284">
        <v>12</v>
      </c>
      <c r="F1284" s="8">
        <f>VLOOKUP(financials[[#This Row],[productid]],Products!$B$2:$H$10,3)</f>
        <v>15</v>
      </c>
      <c r="G1284" s="8">
        <f>financials[[#This Row],[Units Sold]]*financials[[#This Row],[Sale Price]]</f>
        <v>180</v>
      </c>
      <c r="H1284" s="8">
        <f>IF(financials[[#This Row],[Discount Band]]="low",0.1,IF(financials[[#This Row],[Discount Band]]="medium",0.15,0.3))</f>
        <v>0.3</v>
      </c>
      <c r="I1284" s="8">
        <f>financials[[#This Row],[Gross Sales]]-financials[[#This Row],[Gross Sales]]*financials[[#This Row],[Discounts]]</f>
        <v>126</v>
      </c>
      <c r="J1284" s="8">
        <f>VLOOKUP(financials[[#This Row],[productid]],Products!$B$2:$H$10,4)</f>
        <v>13.95</v>
      </c>
      <c r="K1284" s="8">
        <f>financials[[#This Row],[Net Sales]]-financials[[#This Row],[COGS]]</f>
        <v>112.05</v>
      </c>
      <c r="L1284" s="15">
        <v>44537</v>
      </c>
      <c r="M1284" t="s">
        <v>697</v>
      </c>
    </row>
    <row r="1285" spans="1:13" x14ac:dyDescent="0.25">
      <c r="A1285" t="s">
        <v>89</v>
      </c>
      <c r="B1285" s="6" t="s">
        <v>232</v>
      </c>
      <c r="C1285" s="11">
        <v>104</v>
      </c>
      <c r="D1285" s="9" t="s">
        <v>90</v>
      </c>
      <c r="E1285">
        <v>20</v>
      </c>
      <c r="F1285" s="8">
        <f>VLOOKUP(financials[[#This Row],[productid]],Products!$B$2:$H$10,3)</f>
        <v>5.9</v>
      </c>
      <c r="G1285" s="8">
        <f>financials[[#This Row],[Units Sold]]*financials[[#This Row],[Sale Price]]</f>
        <v>118</v>
      </c>
      <c r="H1285" s="8">
        <f>IF(financials[[#This Row],[Discount Band]]="low",0.1,IF(financials[[#This Row],[Discount Band]]="medium",0.15,0.3))</f>
        <v>0.15</v>
      </c>
      <c r="I1285" s="8">
        <f>financials[[#This Row],[Gross Sales]]-financials[[#This Row],[Gross Sales]]*financials[[#This Row],[Discounts]]</f>
        <v>100.3</v>
      </c>
      <c r="J1285" s="8">
        <f>VLOOKUP(financials[[#This Row],[productid]],Products!$B$2:$H$10,4)</f>
        <v>2.9</v>
      </c>
      <c r="K1285" s="8">
        <f>financials[[#This Row],[Net Sales]]-financials[[#This Row],[COGS]]</f>
        <v>97.399999999999991</v>
      </c>
      <c r="L1285" s="15">
        <v>44019</v>
      </c>
      <c r="M1285" t="s">
        <v>697</v>
      </c>
    </row>
    <row r="1286" spans="1:13" x14ac:dyDescent="0.25">
      <c r="A1286" t="s">
        <v>86</v>
      </c>
      <c r="B1286" s="6" t="s">
        <v>148</v>
      </c>
      <c r="C1286" s="13">
        <v>108</v>
      </c>
      <c r="D1286" s="14" t="s">
        <v>90</v>
      </c>
      <c r="E1286">
        <v>10</v>
      </c>
      <c r="F1286" s="8">
        <f>VLOOKUP(financials[[#This Row],[productid]],Products!$B$2:$H$10,3)</f>
        <v>5.5</v>
      </c>
      <c r="G1286" s="8">
        <f>financials[[#This Row],[Units Sold]]*financials[[#This Row],[Sale Price]]</f>
        <v>55</v>
      </c>
      <c r="H1286" s="8">
        <f>IF(financials[[#This Row],[Discount Band]]="low",0.1,IF(financials[[#This Row],[Discount Band]]="medium",0.15,0.3))</f>
        <v>0.15</v>
      </c>
      <c r="I1286" s="8">
        <f>financials[[#This Row],[Gross Sales]]-financials[[#This Row],[Gross Sales]]*financials[[#This Row],[Discounts]]</f>
        <v>46.75</v>
      </c>
      <c r="J1286" s="8">
        <f>VLOOKUP(financials[[#This Row],[productid]],Products!$B$2:$H$10,4)</f>
        <v>3.99</v>
      </c>
      <c r="K1286" s="8">
        <f>financials[[#This Row],[Net Sales]]-financials[[#This Row],[COGS]]</f>
        <v>42.76</v>
      </c>
      <c r="L1286" s="15">
        <v>43887</v>
      </c>
      <c r="M1286" t="s">
        <v>700</v>
      </c>
    </row>
    <row r="1287" spans="1:13" x14ac:dyDescent="0.25">
      <c r="A1287" t="s">
        <v>86</v>
      </c>
      <c r="B1287" s="6" t="s">
        <v>125</v>
      </c>
      <c r="C1287" s="13">
        <v>103</v>
      </c>
      <c r="D1287" s="14" t="s">
        <v>83</v>
      </c>
      <c r="E1287">
        <v>13</v>
      </c>
      <c r="F1287" s="8">
        <f>VLOOKUP(financials[[#This Row],[productid]],Products!$B$2:$H$10,3)</f>
        <v>28</v>
      </c>
      <c r="G1287" s="8">
        <f>financials[[#This Row],[Units Sold]]*financials[[#This Row],[Sale Price]]</f>
        <v>364</v>
      </c>
      <c r="H1287" s="8">
        <f>IF(financials[[#This Row],[Discount Band]]="low",0.1,IF(financials[[#This Row],[Discount Band]]="medium",0.15,0.3))</f>
        <v>0.3</v>
      </c>
      <c r="I1287" s="8">
        <f>financials[[#This Row],[Gross Sales]]-financials[[#This Row],[Gross Sales]]*financials[[#This Row],[Discounts]]</f>
        <v>254.8</v>
      </c>
      <c r="J1287" s="8">
        <f>VLOOKUP(financials[[#This Row],[productid]],Products!$B$2:$H$10,4)</f>
        <v>15</v>
      </c>
      <c r="K1287" s="8">
        <f>financials[[#This Row],[Net Sales]]-financials[[#This Row],[COGS]]</f>
        <v>239.8</v>
      </c>
      <c r="L1287" s="15">
        <v>45547</v>
      </c>
      <c r="M1287" t="s">
        <v>700</v>
      </c>
    </row>
    <row r="1288" spans="1:13" x14ac:dyDescent="0.25">
      <c r="A1288" t="s">
        <v>85</v>
      </c>
      <c r="B1288" s="6" t="s">
        <v>95</v>
      </c>
      <c r="C1288" s="13">
        <v>108</v>
      </c>
      <c r="D1288" s="14" t="s">
        <v>91</v>
      </c>
      <c r="E1288">
        <v>11</v>
      </c>
      <c r="F1288" s="8">
        <f>VLOOKUP(financials[[#This Row],[productid]],Products!$B$2:$H$10,3)</f>
        <v>5.5</v>
      </c>
      <c r="G1288" s="8">
        <f>financials[[#This Row],[Units Sold]]*financials[[#This Row],[Sale Price]]</f>
        <v>60.5</v>
      </c>
      <c r="H1288" s="8">
        <f>IF(financials[[#This Row],[Discount Band]]="low",0.1,IF(financials[[#This Row],[Discount Band]]="medium",0.15,0.3))</f>
        <v>0.1</v>
      </c>
      <c r="I1288" s="8">
        <f>financials[[#This Row],[Gross Sales]]-financials[[#This Row],[Gross Sales]]*financials[[#This Row],[Discounts]]</f>
        <v>54.45</v>
      </c>
      <c r="J1288" s="8">
        <f>VLOOKUP(financials[[#This Row],[productid]],Products!$B$2:$H$10,4)</f>
        <v>3.99</v>
      </c>
      <c r="K1288" s="8">
        <f>financials[[#This Row],[Net Sales]]-financials[[#This Row],[COGS]]</f>
        <v>50.46</v>
      </c>
      <c r="L1288" s="15">
        <v>43962</v>
      </c>
      <c r="M1288" t="s">
        <v>696</v>
      </c>
    </row>
    <row r="1289" spans="1:13" x14ac:dyDescent="0.25">
      <c r="A1289" t="s">
        <v>89</v>
      </c>
      <c r="B1289" s="6" t="s">
        <v>287</v>
      </c>
      <c r="C1289" s="13">
        <v>107</v>
      </c>
      <c r="D1289" s="14" t="s">
        <v>91</v>
      </c>
      <c r="E1289">
        <v>5</v>
      </c>
      <c r="F1289" s="8">
        <f>VLOOKUP(financials[[#This Row],[productid]],Products!$B$2:$H$10,3)</f>
        <v>15</v>
      </c>
      <c r="G1289" s="8">
        <f>financials[[#This Row],[Units Sold]]*financials[[#This Row],[Sale Price]]</f>
        <v>75</v>
      </c>
      <c r="H1289" s="8">
        <f>IF(financials[[#This Row],[Discount Band]]="low",0.1,IF(financials[[#This Row],[Discount Band]]="medium",0.15,0.3))</f>
        <v>0.1</v>
      </c>
      <c r="I1289" s="8">
        <f>financials[[#This Row],[Gross Sales]]-financials[[#This Row],[Gross Sales]]*financials[[#This Row],[Discounts]]</f>
        <v>67.5</v>
      </c>
      <c r="J1289" s="8">
        <f>VLOOKUP(financials[[#This Row],[productid]],Products!$B$2:$H$10,4)</f>
        <v>5.5</v>
      </c>
      <c r="K1289" s="8">
        <f>financials[[#This Row],[Net Sales]]-financials[[#This Row],[COGS]]</f>
        <v>62</v>
      </c>
      <c r="L1289" s="15">
        <v>44404</v>
      </c>
      <c r="M1289" t="s">
        <v>690</v>
      </c>
    </row>
    <row r="1290" spans="1:13" x14ac:dyDescent="0.25">
      <c r="A1290" t="s">
        <v>89</v>
      </c>
      <c r="B1290" s="6" t="s">
        <v>287</v>
      </c>
      <c r="C1290" s="13">
        <v>103</v>
      </c>
      <c r="D1290" s="14" t="s">
        <v>90</v>
      </c>
      <c r="E1290">
        <v>5</v>
      </c>
      <c r="F1290" s="8">
        <f>VLOOKUP(financials[[#This Row],[productid]],Products!$B$2:$H$10,3)</f>
        <v>28</v>
      </c>
      <c r="G1290" s="8">
        <f>financials[[#This Row],[Units Sold]]*financials[[#This Row],[Sale Price]]</f>
        <v>140</v>
      </c>
      <c r="H1290" s="8">
        <f>IF(financials[[#This Row],[Discount Band]]="low",0.1,IF(financials[[#This Row],[Discount Band]]="medium",0.15,0.3))</f>
        <v>0.15</v>
      </c>
      <c r="I1290" s="8">
        <f>financials[[#This Row],[Gross Sales]]-financials[[#This Row],[Gross Sales]]*financials[[#This Row],[Discounts]]</f>
        <v>119</v>
      </c>
      <c r="J1290" s="8">
        <f>VLOOKUP(financials[[#This Row],[productid]],Products!$B$2:$H$10,4)</f>
        <v>15</v>
      </c>
      <c r="K1290" s="8">
        <f>financials[[#This Row],[Net Sales]]-financials[[#This Row],[COGS]]</f>
        <v>104</v>
      </c>
      <c r="L1290" s="15">
        <v>45310</v>
      </c>
      <c r="M1290" t="s">
        <v>690</v>
      </c>
    </row>
    <row r="1291" spans="1:13" x14ac:dyDescent="0.25">
      <c r="A1291" t="s">
        <v>89</v>
      </c>
      <c r="B1291" s="6" t="s">
        <v>232</v>
      </c>
      <c r="C1291" s="13">
        <v>103</v>
      </c>
      <c r="D1291" s="14" t="s">
        <v>83</v>
      </c>
      <c r="E1291">
        <v>20</v>
      </c>
      <c r="F1291" s="8">
        <f>VLOOKUP(financials[[#This Row],[productid]],Products!$B$2:$H$10,3)</f>
        <v>28</v>
      </c>
      <c r="G1291" s="8">
        <f>financials[[#This Row],[Units Sold]]*financials[[#This Row],[Sale Price]]</f>
        <v>560</v>
      </c>
      <c r="H1291" s="8">
        <f>IF(financials[[#This Row],[Discount Band]]="low",0.1,IF(financials[[#This Row],[Discount Band]]="medium",0.15,0.3))</f>
        <v>0.3</v>
      </c>
      <c r="I1291" s="8">
        <f>financials[[#This Row],[Gross Sales]]-financials[[#This Row],[Gross Sales]]*financials[[#This Row],[Discounts]]</f>
        <v>392</v>
      </c>
      <c r="J1291" s="8">
        <f>VLOOKUP(financials[[#This Row],[productid]],Products!$B$2:$H$10,4)</f>
        <v>15</v>
      </c>
      <c r="K1291" s="8">
        <f>financials[[#This Row],[Net Sales]]-financials[[#This Row],[COGS]]</f>
        <v>377</v>
      </c>
      <c r="L1291" s="15">
        <v>43852</v>
      </c>
      <c r="M1291" t="s">
        <v>691</v>
      </c>
    </row>
    <row r="1292" spans="1:13" x14ac:dyDescent="0.25">
      <c r="A1292" t="s">
        <v>89</v>
      </c>
      <c r="B1292" s="6" t="s">
        <v>232</v>
      </c>
      <c r="C1292" s="13">
        <v>102</v>
      </c>
      <c r="D1292" s="14" t="s">
        <v>91</v>
      </c>
      <c r="E1292">
        <v>17</v>
      </c>
      <c r="F1292" s="8">
        <f>VLOOKUP(financials[[#This Row],[productid]],Products!$B$2:$H$10,3)</f>
        <v>15</v>
      </c>
      <c r="G1292" s="8">
        <f>financials[[#This Row],[Units Sold]]*financials[[#This Row],[Sale Price]]</f>
        <v>255</v>
      </c>
      <c r="H1292" s="8">
        <f>IF(financials[[#This Row],[Discount Band]]="low",0.1,IF(financials[[#This Row],[Discount Band]]="medium",0.15,0.3))</f>
        <v>0.1</v>
      </c>
      <c r="I1292" s="8">
        <f>financials[[#This Row],[Gross Sales]]-financials[[#This Row],[Gross Sales]]*financials[[#This Row],[Discounts]]</f>
        <v>229.5</v>
      </c>
      <c r="J1292" s="8">
        <f>VLOOKUP(financials[[#This Row],[productid]],Products!$B$2:$H$10,4)</f>
        <v>13.95</v>
      </c>
      <c r="K1292" s="8">
        <f>financials[[#This Row],[Net Sales]]-financials[[#This Row],[COGS]]</f>
        <v>215.55</v>
      </c>
      <c r="L1292" s="15">
        <v>44439</v>
      </c>
      <c r="M1292" t="s">
        <v>696</v>
      </c>
    </row>
    <row r="1293" spans="1:13" x14ac:dyDescent="0.25">
      <c r="A1293" t="s">
        <v>89</v>
      </c>
      <c r="B1293" s="6" t="s">
        <v>232</v>
      </c>
      <c r="C1293" s="13">
        <v>103</v>
      </c>
      <c r="D1293" s="14" t="s">
        <v>83</v>
      </c>
      <c r="E1293">
        <v>6</v>
      </c>
      <c r="F1293" s="8">
        <f>VLOOKUP(financials[[#This Row],[productid]],Products!$B$2:$H$10,3)</f>
        <v>28</v>
      </c>
      <c r="G1293" s="8">
        <f>financials[[#This Row],[Units Sold]]*financials[[#This Row],[Sale Price]]</f>
        <v>168</v>
      </c>
      <c r="H1293" s="8">
        <f>IF(financials[[#This Row],[Discount Band]]="low",0.1,IF(financials[[#This Row],[Discount Band]]="medium",0.15,0.3))</f>
        <v>0.3</v>
      </c>
      <c r="I1293" s="8">
        <f>financials[[#This Row],[Gross Sales]]-financials[[#This Row],[Gross Sales]]*financials[[#This Row],[Discounts]]</f>
        <v>117.6</v>
      </c>
      <c r="J1293" s="8">
        <f>VLOOKUP(financials[[#This Row],[productid]],Products!$B$2:$H$10,4)</f>
        <v>15</v>
      </c>
      <c r="K1293" s="8">
        <f>financials[[#This Row],[Net Sales]]-financials[[#This Row],[COGS]]</f>
        <v>102.6</v>
      </c>
      <c r="L1293" s="15">
        <v>44310</v>
      </c>
      <c r="M1293" t="s">
        <v>696</v>
      </c>
    </row>
    <row r="1294" spans="1:13" x14ac:dyDescent="0.25">
      <c r="A1294" t="s">
        <v>86</v>
      </c>
      <c r="B1294" s="6" t="s">
        <v>645</v>
      </c>
      <c r="C1294" s="11">
        <v>103</v>
      </c>
      <c r="D1294" s="9" t="s">
        <v>90</v>
      </c>
      <c r="E1294">
        <v>16</v>
      </c>
      <c r="F1294" s="8">
        <f>VLOOKUP(financials[[#This Row],[productid]],Products!$B$2:$H$10,3)</f>
        <v>28</v>
      </c>
      <c r="G1294" s="8">
        <f>financials[[#This Row],[Units Sold]]*financials[[#This Row],[Sale Price]]</f>
        <v>448</v>
      </c>
      <c r="H1294" s="8">
        <f>IF(financials[[#This Row],[Discount Band]]="low",0.1,IF(financials[[#This Row],[Discount Band]]="medium",0.15,0.3))</f>
        <v>0.15</v>
      </c>
      <c r="I1294" s="8">
        <f>financials[[#This Row],[Gross Sales]]-financials[[#This Row],[Gross Sales]]*financials[[#This Row],[Discounts]]</f>
        <v>380.8</v>
      </c>
      <c r="J1294" s="8">
        <f>VLOOKUP(financials[[#This Row],[productid]],Products!$B$2:$H$10,4)</f>
        <v>15</v>
      </c>
      <c r="K1294" s="8">
        <f>financials[[#This Row],[Net Sales]]-financials[[#This Row],[COGS]]</f>
        <v>365.8</v>
      </c>
      <c r="L1294" s="15">
        <v>44191</v>
      </c>
      <c r="M1294" t="s">
        <v>700</v>
      </c>
    </row>
    <row r="1295" spans="1:13" x14ac:dyDescent="0.25">
      <c r="A1295" t="s">
        <v>89</v>
      </c>
      <c r="B1295" s="6" t="s">
        <v>96</v>
      </c>
      <c r="C1295" s="13">
        <v>106</v>
      </c>
      <c r="D1295" s="14" t="s">
        <v>83</v>
      </c>
      <c r="E1295">
        <v>6</v>
      </c>
      <c r="F1295" s="8">
        <f>VLOOKUP(financials[[#This Row],[productid]],Products!$B$2:$H$10,3)</f>
        <v>25</v>
      </c>
      <c r="G1295" s="8">
        <f>financials[[#This Row],[Units Sold]]*financials[[#This Row],[Sale Price]]</f>
        <v>150</v>
      </c>
      <c r="H1295" s="8">
        <f>IF(financials[[#This Row],[Discount Band]]="low",0.1,IF(financials[[#This Row],[Discount Band]]="medium",0.15,0.3))</f>
        <v>0.3</v>
      </c>
      <c r="I1295" s="8">
        <f>financials[[#This Row],[Gross Sales]]-financials[[#This Row],[Gross Sales]]*financials[[#This Row],[Discounts]]</f>
        <v>105</v>
      </c>
      <c r="J1295" s="8">
        <f>VLOOKUP(financials[[#This Row],[productid]],Products!$B$2:$H$10,4)</f>
        <v>9.1</v>
      </c>
      <c r="K1295" s="8">
        <f>financials[[#This Row],[Net Sales]]-financials[[#This Row],[COGS]]</f>
        <v>95.9</v>
      </c>
      <c r="L1295" s="15">
        <v>45287</v>
      </c>
      <c r="M1295" t="s">
        <v>700</v>
      </c>
    </row>
    <row r="1296" spans="1:13" x14ac:dyDescent="0.25">
      <c r="A1296" t="s">
        <v>89</v>
      </c>
      <c r="B1296" s="6" t="s">
        <v>268</v>
      </c>
      <c r="C1296" s="13">
        <v>103</v>
      </c>
      <c r="D1296" s="14" t="s">
        <v>92</v>
      </c>
      <c r="E1296">
        <v>14</v>
      </c>
      <c r="F1296" s="8">
        <f>VLOOKUP(financials[[#This Row],[productid]],Products!$B$2:$H$10,3)</f>
        <v>28</v>
      </c>
      <c r="G1296" s="8">
        <f>financials[[#This Row],[Units Sold]]*financials[[#This Row],[Sale Price]]</f>
        <v>392</v>
      </c>
      <c r="H1296" s="8">
        <f>IF(financials[[#This Row],[Discount Band]]="low",0.1,IF(financials[[#This Row],[Discount Band]]="medium",0.15,0.3))</f>
        <v>0.3</v>
      </c>
      <c r="I1296" s="8">
        <f>financials[[#This Row],[Gross Sales]]-financials[[#This Row],[Gross Sales]]*financials[[#This Row],[Discounts]]</f>
        <v>274.39999999999998</v>
      </c>
      <c r="J1296" s="8">
        <f>VLOOKUP(financials[[#This Row],[productid]],Products!$B$2:$H$10,4)</f>
        <v>15</v>
      </c>
      <c r="K1296" s="8">
        <f>financials[[#This Row],[Net Sales]]-financials[[#This Row],[COGS]]</f>
        <v>259.39999999999998</v>
      </c>
      <c r="L1296" s="15">
        <v>44840</v>
      </c>
      <c r="M1296" t="s">
        <v>690</v>
      </c>
    </row>
    <row r="1297" spans="1:13" x14ac:dyDescent="0.25">
      <c r="A1297" t="s">
        <v>86</v>
      </c>
      <c r="B1297" s="6" t="s">
        <v>158</v>
      </c>
      <c r="C1297" s="13">
        <v>105</v>
      </c>
      <c r="D1297" s="14" t="s">
        <v>91</v>
      </c>
      <c r="E1297">
        <v>12</v>
      </c>
      <c r="F1297" s="8">
        <f>VLOOKUP(financials[[#This Row],[productid]],Products!$B$2:$H$10,3)</f>
        <v>15</v>
      </c>
      <c r="G1297" s="8">
        <f>financials[[#This Row],[Units Sold]]*financials[[#This Row],[Sale Price]]</f>
        <v>180</v>
      </c>
      <c r="H1297" s="8">
        <f>IF(financials[[#This Row],[Discount Band]]="low",0.1,IF(financials[[#This Row],[Discount Band]]="medium",0.15,0.3))</f>
        <v>0.1</v>
      </c>
      <c r="I1297" s="8">
        <f>financials[[#This Row],[Gross Sales]]-financials[[#This Row],[Gross Sales]]*financials[[#This Row],[Discounts]]</f>
        <v>162</v>
      </c>
      <c r="J1297" s="8">
        <f>VLOOKUP(financials[[#This Row],[productid]],Products!$B$2:$H$10,4)</f>
        <v>10</v>
      </c>
      <c r="K1297" s="8">
        <f>financials[[#This Row],[Net Sales]]-financials[[#This Row],[COGS]]</f>
        <v>152</v>
      </c>
      <c r="L1297" s="15">
        <v>44780</v>
      </c>
      <c r="M1297" t="s">
        <v>690</v>
      </c>
    </row>
    <row r="1298" spans="1:13" x14ac:dyDescent="0.25">
      <c r="A1298" t="s">
        <v>86</v>
      </c>
      <c r="B1298" s="6" t="s">
        <v>228</v>
      </c>
      <c r="C1298" s="13">
        <v>106</v>
      </c>
      <c r="D1298" s="14" t="s">
        <v>92</v>
      </c>
      <c r="E1298">
        <v>19</v>
      </c>
      <c r="F1298" s="8">
        <f>VLOOKUP(financials[[#This Row],[productid]],Products!$B$2:$H$10,3)</f>
        <v>25</v>
      </c>
      <c r="G1298" s="8">
        <f>financials[[#This Row],[Units Sold]]*financials[[#This Row],[Sale Price]]</f>
        <v>475</v>
      </c>
      <c r="H1298" s="8">
        <f>IF(financials[[#This Row],[Discount Band]]="low",0.1,IF(financials[[#This Row],[Discount Band]]="medium",0.15,0.3))</f>
        <v>0.3</v>
      </c>
      <c r="I1298" s="8">
        <f>financials[[#This Row],[Gross Sales]]-financials[[#This Row],[Gross Sales]]*financials[[#This Row],[Discounts]]</f>
        <v>332.5</v>
      </c>
      <c r="J1298" s="8">
        <f>VLOOKUP(financials[[#This Row],[productid]],Products!$B$2:$H$10,4)</f>
        <v>9.1</v>
      </c>
      <c r="K1298" s="8">
        <f>financials[[#This Row],[Net Sales]]-financials[[#This Row],[COGS]]</f>
        <v>323.39999999999998</v>
      </c>
      <c r="L1298" s="15">
        <v>44832</v>
      </c>
      <c r="M1298" t="s">
        <v>690</v>
      </c>
    </row>
    <row r="1299" spans="1:13" x14ac:dyDescent="0.25">
      <c r="A1299" t="s">
        <v>89</v>
      </c>
      <c r="B1299" s="6" t="s">
        <v>232</v>
      </c>
      <c r="C1299" s="13">
        <v>107</v>
      </c>
      <c r="D1299" s="14" t="s">
        <v>83</v>
      </c>
      <c r="E1299">
        <v>17</v>
      </c>
      <c r="F1299" s="8">
        <f>VLOOKUP(financials[[#This Row],[productid]],Products!$B$2:$H$10,3)</f>
        <v>15</v>
      </c>
      <c r="G1299" s="8">
        <f>financials[[#This Row],[Units Sold]]*financials[[#This Row],[Sale Price]]</f>
        <v>255</v>
      </c>
      <c r="H1299" s="8">
        <f>IF(financials[[#This Row],[Discount Band]]="low",0.1,IF(financials[[#This Row],[Discount Band]]="medium",0.15,0.3))</f>
        <v>0.3</v>
      </c>
      <c r="I1299" s="8">
        <f>financials[[#This Row],[Gross Sales]]-financials[[#This Row],[Gross Sales]]*financials[[#This Row],[Discounts]]</f>
        <v>178.5</v>
      </c>
      <c r="J1299" s="8">
        <f>VLOOKUP(financials[[#This Row],[productid]],Products!$B$2:$H$10,4)</f>
        <v>5.5</v>
      </c>
      <c r="K1299" s="8">
        <f>financials[[#This Row],[Net Sales]]-financials[[#This Row],[COGS]]</f>
        <v>173</v>
      </c>
      <c r="L1299" s="15">
        <v>45483</v>
      </c>
      <c r="M1299" t="s">
        <v>700</v>
      </c>
    </row>
    <row r="1300" spans="1:13" x14ac:dyDescent="0.25">
      <c r="A1300" t="s">
        <v>89</v>
      </c>
      <c r="B1300" s="6" t="s">
        <v>93</v>
      </c>
      <c r="C1300" s="13">
        <v>103</v>
      </c>
      <c r="D1300" s="14" t="s">
        <v>90</v>
      </c>
      <c r="E1300">
        <v>13</v>
      </c>
      <c r="F1300" s="8">
        <f>VLOOKUP(financials[[#This Row],[productid]],Products!$B$2:$H$10,3)</f>
        <v>28</v>
      </c>
      <c r="G1300" s="8">
        <f>financials[[#This Row],[Units Sold]]*financials[[#This Row],[Sale Price]]</f>
        <v>364</v>
      </c>
      <c r="H1300" s="8">
        <f>IF(financials[[#This Row],[Discount Band]]="low",0.1,IF(financials[[#This Row],[Discount Band]]="medium",0.15,0.3))</f>
        <v>0.15</v>
      </c>
      <c r="I1300" s="8">
        <f>financials[[#This Row],[Gross Sales]]-financials[[#This Row],[Gross Sales]]*financials[[#This Row],[Discounts]]</f>
        <v>309.39999999999998</v>
      </c>
      <c r="J1300" s="8">
        <f>VLOOKUP(financials[[#This Row],[productid]],Products!$B$2:$H$10,4)</f>
        <v>15</v>
      </c>
      <c r="K1300" s="8">
        <f>financials[[#This Row],[Net Sales]]-financials[[#This Row],[COGS]]</f>
        <v>294.39999999999998</v>
      </c>
      <c r="L1300" s="15">
        <v>45540</v>
      </c>
      <c r="M1300" t="s">
        <v>700</v>
      </c>
    </row>
    <row r="1301" spans="1:13" x14ac:dyDescent="0.25">
      <c r="A1301" t="s">
        <v>89</v>
      </c>
      <c r="B1301" s="6" t="s">
        <v>96</v>
      </c>
      <c r="C1301" s="13">
        <v>102</v>
      </c>
      <c r="D1301" s="14" t="s">
        <v>91</v>
      </c>
      <c r="E1301">
        <v>6</v>
      </c>
      <c r="F1301" s="8">
        <f>VLOOKUP(financials[[#This Row],[productid]],Products!$B$2:$H$10,3)</f>
        <v>15</v>
      </c>
      <c r="G1301" s="8">
        <f>financials[[#This Row],[Units Sold]]*financials[[#This Row],[Sale Price]]</f>
        <v>90</v>
      </c>
      <c r="H1301" s="8">
        <f>IF(financials[[#This Row],[Discount Band]]="low",0.1,IF(financials[[#This Row],[Discount Band]]="medium",0.15,0.3))</f>
        <v>0.1</v>
      </c>
      <c r="I1301" s="8">
        <f>financials[[#This Row],[Gross Sales]]-financials[[#This Row],[Gross Sales]]*financials[[#This Row],[Discounts]]</f>
        <v>81</v>
      </c>
      <c r="J1301" s="8">
        <f>VLOOKUP(financials[[#This Row],[productid]],Products!$B$2:$H$10,4)</f>
        <v>13.95</v>
      </c>
      <c r="K1301" s="8">
        <f>financials[[#This Row],[Net Sales]]-financials[[#This Row],[COGS]]</f>
        <v>67.05</v>
      </c>
      <c r="L1301" s="15">
        <v>45089</v>
      </c>
      <c r="M1301" t="s">
        <v>690</v>
      </c>
    </row>
    <row r="1302" spans="1:13" x14ac:dyDescent="0.25">
      <c r="A1302" t="s">
        <v>89</v>
      </c>
      <c r="B1302" s="6" t="s">
        <v>158</v>
      </c>
      <c r="C1302" s="13">
        <v>108</v>
      </c>
      <c r="D1302" s="14" t="s">
        <v>83</v>
      </c>
      <c r="E1302">
        <v>11</v>
      </c>
      <c r="F1302" s="8">
        <f>VLOOKUP(financials[[#This Row],[productid]],Products!$B$2:$H$10,3)</f>
        <v>5.5</v>
      </c>
      <c r="G1302" s="8">
        <f>financials[[#This Row],[Units Sold]]*financials[[#This Row],[Sale Price]]</f>
        <v>60.5</v>
      </c>
      <c r="H1302" s="8">
        <f>IF(financials[[#This Row],[Discount Band]]="low",0.1,IF(financials[[#This Row],[Discount Band]]="medium",0.15,0.3))</f>
        <v>0.3</v>
      </c>
      <c r="I1302" s="8">
        <f>financials[[#This Row],[Gross Sales]]-financials[[#This Row],[Gross Sales]]*financials[[#This Row],[Discounts]]</f>
        <v>42.35</v>
      </c>
      <c r="J1302" s="8">
        <f>VLOOKUP(financials[[#This Row],[productid]],Products!$B$2:$H$10,4)</f>
        <v>3.99</v>
      </c>
      <c r="K1302" s="8">
        <f>financials[[#This Row],[Net Sales]]-financials[[#This Row],[COGS]]</f>
        <v>38.36</v>
      </c>
      <c r="L1302" s="15">
        <v>44709</v>
      </c>
      <c r="M1302" t="s">
        <v>690</v>
      </c>
    </row>
    <row r="1303" spans="1:13" x14ac:dyDescent="0.25">
      <c r="A1303" t="s">
        <v>89</v>
      </c>
      <c r="B1303" s="6" t="s">
        <v>232</v>
      </c>
      <c r="C1303" s="13">
        <v>109</v>
      </c>
      <c r="D1303" s="14" t="s">
        <v>90</v>
      </c>
      <c r="E1303">
        <v>19</v>
      </c>
      <c r="F1303" s="8">
        <f>VLOOKUP(financials[[#This Row],[productid]],Products!$B$2:$H$10,3)</f>
        <v>36</v>
      </c>
      <c r="G1303" s="8">
        <f>financials[[#This Row],[Units Sold]]*financials[[#This Row],[Sale Price]]</f>
        <v>684</v>
      </c>
      <c r="H1303" s="8">
        <f>IF(financials[[#This Row],[Discount Band]]="low",0.1,IF(financials[[#This Row],[Discount Band]]="medium",0.15,0.3))</f>
        <v>0.15</v>
      </c>
      <c r="I1303" s="8">
        <f>financials[[#This Row],[Gross Sales]]-financials[[#This Row],[Gross Sales]]*financials[[#This Row],[Discounts]]</f>
        <v>581.4</v>
      </c>
      <c r="J1303" s="8">
        <f>VLOOKUP(financials[[#This Row],[productid]],Products!$B$2:$H$10,4)</f>
        <v>16.8</v>
      </c>
      <c r="K1303" s="8">
        <f>financials[[#This Row],[Net Sales]]-financials[[#This Row],[COGS]]</f>
        <v>564.6</v>
      </c>
      <c r="L1303" s="15">
        <v>44869</v>
      </c>
      <c r="M1303" t="s">
        <v>691</v>
      </c>
    </row>
    <row r="1304" spans="1:13" x14ac:dyDescent="0.25">
      <c r="A1304" t="s">
        <v>86</v>
      </c>
      <c r="B1304" s="6" t="s">
        <v>645</v>
      </c>
      <c r="C1304" s="13">
        <v>102</v>
      </c>
      <c r="D1304" s="14" t="s">
        <v>91</v>
      </c>
      <c r="E1304">
        <v>8</v>
      </c>
      <c r="F1304" s="8">
        <f>VLOOKUP(financials[[#This Row],[productid]],Products!$B$2:$H$10,3)</f>
        <v>15</v>
      </c>
      <c r="G1304" s="8">
        <f>financials[[#This Row],[Units Sold]]*financials[[#This Row],[Sale Price]]</f>
        <v>120</v>
      </c>
      <c r="H1304" s="8">
        <f>IF(financials[[#This Row],[Discount Band]]="low",0.1,IF(financials[[#This Row],[Discount Band]]="medium",0.15,0.3))</f>
        <v>0.1</v>
      </c>
      <c r="I1304" s="8">
        <f>financials[[#This Row],[Gross Sales]]-financials[[#This Row],[Gross Sales]]*financials[[#This Row],[Discounts]]</f>
        <v>108</v>
      </c>
      <c r="J1304" s="8">
        <f>VLOOKUP(financials[[#This Row],[productid]],Products!$B$2:$H$10,4)</f>
        <v>13.95</v>
      </c>
      <c r="K1304" s="8">
        <f>financials[[#This Row],[Net Sales]]-financials[[#This Row],[COGS]]</f>
        <v>94.05</v>
      </c>
      <c r="L1304" s="15">
        <v>43923</v>
      </c>
      <c r="M1304" t="s">
        <v>697</v>
      </c>
    </row>
    <row r="1305" spans="1:13" x14ac:dyDescent="0.25">
      <c r="A1305" t="s">
        <v>85</v>
      </c>
      <c r="B1305" s="6" t="s">
        <v>167</v>
      </c>
      <c r="C1305" s="13">
        <v>105</v>
      </c>
      <c r="D1305" s="14" t="s">
        <v>83</v>
      </c>
      <c r="E1305">
        <v>14</v>
      </c>
      <c r="F1305" s="8">
        <f>VLOOKUP(financials[[#This Row],[productid]],Products!$B$2:$H$10,3)</f>
        <v>15</v>
      </c>
      <c r="G1305" s="8">
        <f>financials[[#This Row],[Units Sold]]*financials[[#This Row],[Sale Price]]</f>
        <v>210</v>
      </c>
      <c r="H1305" s="8">
        <f>IF(financials[[#This Row],[Discount Band]]="low",0.1,IF(financials[[#This Row],[Discount Band]]="medium",0.15,0.3))</f>
        <v>0.3</v>
      </c>
      <c r="I1305" s="8">
        <f>financials[[#This Row],[Gross Sales]]-financials[[#This Row],[Gross Sales]]*financials[[#This Row],[Discounts]]</f>
        <v>147</v>
      </c>
      <c r="J1305" s="8">
        <f>VLOOKUP(financials[[#This Row],[productid]],Products!$B$2:$H$10,4)</f>
        <v>10</v>
      </c>
      <c r="K1305" s="8">
        <f>financials[[#This Row],[Net Sales]]-financials[[#This Row],[COGS]]</f>
        <v>137</v>
      </c>
      <c r="L1305" s="15">
        <v>45054</v>
      </c>
      <c r="M1305" t="s">
        <v>700</v>
      </c>
    </row>
    <row r="1306" spans="1:13" x14ac:dyDescent="0.25">
      <c r="A1306" t="s">
        <v>85</v>
      </c>
      <c r="B1306" s="6" t="s">
        <v>276</v>
      </c>
      <c r="C1306" s="11">
        <v>105</v>
      </c>
      <c r="D1306" s="9" t="s">
        <v>83</v>
      </c>
      <c r="E1306">
        <v>16</v>
      </c>
      <c r="F1306" s="8">
        <f>VLOOKUP(financials[[#This Row],[productid]],Products!$B$2:$H$10,3)</f>
        <v>15</v>
      </c>
      <c r="G1306" s="8">
        <f>financials[[#This Row],[Units Sold]]*financials[[#This Row],[Sale Price]]</f>
        <v>240</v>
      </c>
      <c r="H1306" s="8">
        <f>IF(financials[[#This Row],[Discount Band]]="low",0.1,IF(financials[[#This Row],[Discount Band]]="medium",0.15,0.3))</f>
        <v>0.3</v>
      </c>
      <c r="I1306" s="8">
        <f>financials[[#This Row],[Gross Sales]]-financials[[#This Row],[Gross Sales]]*financials[[#This Row],[Discounts]]</f>
        <v>168</v>
      </c>
      <c r="J1306" s="8">
        <f>VLOOKUP(financials[[#This Row],[productid]],Products!$B$2:$H$10,4)</f>
        <v>10</v>
      </c>
      <c r="K1306" s="8">
        <f>financials[[#This Row],[Net Sales]]-financials[[#This Row],[COGS]]</f>
        <v>158</v>
      </c>
      <c r="L1306" s="15">
        <v>44627</v>
      </c>
      <c r="M1306" t="s">
        <v>691</v>
      </c>
    </row>
    <row r="1307" spans="1:13" x14ac:dyDescent="0.25">
      <c r="A1307" t="s">
        <v>89</v>
      </c>
      <c r="B1307" s="6" t="s">
        <v>125</v>
      </c>
      <c r="C1307" s="13">
        <v>103</v>
      </c>
      <c r="D1307" s="14" t="s">
        <v>83</v>
      </c>
      <c r="E1307">
        <v>6</v>
      </c>
      <c r="F1307" s="8">
        <f>VLOOKUP(financials[[#This Row],[productid]],Products!$B$2:$H$10,3)</f>
        <v>28</v>
      </c>
      <c r="G1307" s="8">
        <f>financials[[#This Row],[Units Sold]]*financials[[#This Row],[Sale Price]]</f>
        <v>168</v>
      </c>
      <c r="H1307" s="8">
        <f>IF(financials[[#This Row],[Discount Band]]="low",0.1,IF(financials[[#This Row],[Discount Band]]="medium",0.15,0.3))</f>
        <v>0.3</v>
      </c>
      <c r="I1307" s="8">
        <f>financials[[#This Row],[Gross Sales]]-financials[[#This Row],[Gross Sales]]*financials[[#This Row],[Discounts]]</f>
        <v>117.6</v>
      </c>
      <c r="J1307" s="8">
        <f>VLOOKUP(financials[[#This Row],[productid]],Products!$B$2:$H$10,4)</f>
        <v>15</v>
      </c>
      <c r="K1307" s="8">
        <f>financials[[#This Row],[Net Sales]]-financials[[#This Row],[COGS]]</f>
        <v>102.6</v>
      </c>
      <c r="L1307" s="15">
        <v>44854</v>
      </c>
      <c r="M1307" t="s">
        <v>691</v>
      </c>
    </row>
    <row r="1308" spans="1:13" x14ac:dyDescent="0.25">
      <c r="A1308" t="s">
        <v>86</v>
      </c>
      <c r="B1308" s="6" t="s">
        <v>125</v>
      </c>
      <c r="C1308" s="13">
        <v>101</v>
      </c>
      <c r="D1308" s="14" t="s">
        <v>90</v>
      </c>
      <c r="E1308">
        <v>17</v>
      </c>
      <c r="F1308" s="8">
        <f>VLOOKUP(financials[[#This Row],[productid]],Products!$B$2:$H$10,3)</f>
        <v>23</v>
      </c>
      <c r="G1308" s="8">
        <f>financials[[#This Row],[Units Sold]]*financials[[#This Row],[Sale Price]]</f>
        <v>391</v>
      </c>
      <c r="H1308" s="8">
        <f>IF(financials[[#This Row],[Discount Band]]="low",0.1,IF(financials[[#This Row],[Discount Band]]="medium",0.15,0.3))</f>
        <v>0.15</v>
      </c>
      <c r="I1308" s="8">
        <f>financials[[#This Row],[Gross Sales]]-financials[[#This Row],[Gross Sales]]*financials[[#This Row],[Discounts]]</f>
        <v>332.35</v>
      </c>
      <c r="J1308" s="8">
        <f>VLOOKUP(financials[[#This Row],[productid]],Products!$B$2:$H$10,4)</f>
        <v>9.9499999999999993</v>
      </c>
      <c r="K1308" s="8">
        <f>financials[[#This Row],[Net Sales]]-financials[[#This Row],[COGS]]</f>
        <v>322.40000000000003</v>
      </c>
      <c r="L1308" s="15">
        <v>45126</v>
      </c>
      <c r="M1308" t="s">
        <v>690</v>
      </c>
    </row>
    <row r="1309" spans="1:13" x14ac:dyDescent="0.25">
      <c r="A1309" t="s">
        <v>89</v>
      </c>
      <c r="B1309" s="6" t="s">
        <v>148</v>
      </c>
      <c r="C1309" s="13">
        <v>107</v>
      </c>
      <c r="D1309" s="14" t="s">
        <v>83</v>
      </c>
      <c r="E1309">
        <v>9</v>
      </c>
      <c r="F1309" s="8">
        <f>VLOOKUP(financials[[#This Row],[productid]],Products!$B$2:$H$10,3)</f>
        <v>15</v>
      </c>
      <c r="G1309" s="8">
        <f>financials[[#This Row],[Units Sold]]*financials[[#This Row],[Sale Price]]</f>
        <v>135</v>
      </c>
      <c r="H1309" s="8">
        <f>IF(financials[[#This Row],[Discount Band]]="low",0.1,IF(financials[[#This Row],[Discount Band]]="medium",0.15,0.3))</f>
        <v>0.3</v>
      </c>
      <c r="I1309" s="8">
        <f>financials[[#This Row],[Gross Sales]]-financials[[#This Row],[Gross Sales]]*financials[[#This Row],[Discounts]]</f>
        <v>94.5</v>
      </c>
      <c r="J1309" s="8">
        <f>VLOOKUP(financials[[#This Row],[productid]],Products!$B$2:$H$10,4)</f>
        <v>5.5</v>
      </c>
      <c r="K1309" s="8">
        <f>financials[[#This Row],[Net Sales]]-financials[[#This Row],[COGS]]</f>
        <v>89</v>
      </c>
      <c r="L1309" s="15">
        <v>45459</v>
      </c>
      <c r="M1309" t="s">
        <v>700</v>
      </c>
    </row>
    <row r="1310" spans="1:13" x14ac:dyDescent="0.25">
      <c r="A1310" t="s">
        <v>89</v>
      </c>
      <c r="B1310" s="6" t="s">
        <v>228</v>
      </c>
      <c r="C1310" s="13">
        <v>105</v>
      </c>
      <c r="D1310" s="14" t="s">
        <v>83</v>
      </c>
      <c r="E1310">
        <v>7</v>
      </c>
      <c r="F1310" s="8">
        <f>VLOOKUP(financials[[#This Row],[productid]],Products!$B$2:$H$10,3)</f>
        <v>15</v>
      </c>
      <c r="G1310" s="8">
        <f>financials[[#This Row],[Units Sold]]*financials[[#This Row],[Sale Price]]</f>
        <v>105</v>
      </c>
      <c r="H1310" s="8">
        <f>IF(financials[[#This Row],[Discount Band]]="low",0.1,IF(financials[[#This Row],[Discount Band]]="medium",0.15,0.3))</f>
        <v>0.3</v>
      </c>
      <c r="I1310" s="8">
        <f>financials[[#This Row],[Gross Sales]]-financials[[#This Row],[Gross Sales]]*financials[[#This Row],[Discounts]]</f>
        <v>73.5</v>
      </c>
      <c r="J1310" s="8">
        <f>VLOOKUP(financials[[#This Row],[productid]],Products!$B$2:$H$10,4)</f>
        <v>10</v>
      </c>
      <c r="K1310" s="8">
        <f>financials[[#This Row],[Net Sales]]-financials[[#This Row],[COGS]]</f>
        <v>63.5</v>
      </c>
      <c r="L1310" s="15">
        <v>44081</v>
      </c>
      <c r="M1310" t="s">
        <v>697</v>
      </c>
    </row>
    <row r="1311" spans="1:13" x14ac:dyDescent="0.25">
      <c r="A1311" t="s">
        <v>86</v>
      </c>
      <c r="B1311" s="6" t="s">
        <v>274</v>
      </c>
      <c r="C1311" s="11">
        <v>103</v>
      </c>
      <c r="D1311" s="9" t="s">
        <v>91</v>
      </c>
      <c r="E1311">
        <v>7</v>
      </c>
      <c r="F1311" s="8">
        <f>VLOOKUP(financials[[#This Row],[productid]],Products!$B$2:$H$10,3)</f>
        <v>28</v>
      </c>
      <c r="G1311" s="8">
        <f>financials[[#This Row],[Units Sold]]*financials[[#This Row],[Sale Price]]</f>
        <v>196</v>
      </c>
      <c r="H1311" s="8">
        <f>IF(financials[[#This Row],[Discount Band]]="low",0.1,IF(financials[[#This Row],[Discount Band]]="medium",0.15,0.3))</f>
        <v>0.1</v>
      </c>
      <c r="I1311" s="8">
        <f>financials[[#This Row],[Gross Sales]]-financials[[#This Row],[Gross Sales]]*financials[[#This Row],[Discounts]]</f>
        <v>176.4</v>
      </c>
      <c r="J1311" s="8">
        <f>VLOOKUP(financials[[#This Row],[productid]],Products!$B$2:$H$10,4)</f>
        <v>15</v>
      </c>
      <c r="K1311" s="8">
        <f>financials[[#This Row],[Net Sales]]-financials[[#This Row],[COGS]]</f>
        <v>161.4</v>
      </c>
      <c r="L1311" s="15">
        <v>45317</v>
      </c>
      <c r="M1311" t="s">
        <v>696</v>
      </c>
    </row>
    <row r="1312" spans="1:13" x14ac:dyDescent="0.25">
      <c r="A1312" t="s">
        <v>86</v>
      </c>
      <c r="B1312" s="6" t="s">
        <v>158</v>
      </c>
      <c r="C1312" s="13">
        <v>104</v>
      </c>
      <c r="D1312" s="14" t="s">
        <v>92</v>
      </c>
      <c r="E1312">
        <v>20</v>
      </c>
      <c r="F1312" s="8">
        <f>VLOOKUP(financials[[#This Row],[productid]],Products!$B$2:$H$10,3)</f>
        <v>5.9</v>
      </c>
      <c r="G1312" s="8">
        <f>financials[[#This Row],[Units Sold]]*financials[[#This Row],[Sale Price]]</f>
        <v>118</v>
      </c>
      <c r="H1312" s="8">
        <f>IF(financials[[#This Row],[Discount Band]]="low",0.1,IF(financials[[#This Row],[Discount Band]]="medium",0.15,0.3))</f>
        <v>0.3</v>
      </c>
      <c r="I1312" s="8">
        <f>financials[[#This Row],[Gross Sales]]-financials[[#This Row],[Gross Sales]]*financials[[#This Row],[Discounts]]</f>
        <v>82.6</v>
      </c>
      <c r="J1312" s="8">
        <f>VLOOKUP(financials[[#This Row],[productid]],Products!$B$2:$H$10,4)</f>
        <v>2.9</v>
      </c>
      <c r="K1312" s="8">
        <f>financials[[#This Row],[Net Sales]]-financials[[#This Row],[COGS]]</f>
        <v>79.699999999999989</v>
      </c>
      <c r="L1312" s="15">
        <v>44548</v>
      </c>
      <c r="M1312" t="s">
        <v>696</v>
      </c>
    </row>
    <row r="1313" spans="1:13" x14ac:dyDescent="0.25">
      <c r="A1313" t="s">
        <v>86</v>
      </c>
      <c r="B1313" s="6" t="s">
        <v>94</v>
      </c>
      <c r="C1313" s="13">
        <v>107</v>
      </c>
      <c r="D1313" s="14" t="s">
        <v>90</v>
      </c>
      <c r="E1313">
        <v>12</v>
      </c>
      <c r="F1313" s="8">
        <f>VLOOKUP(financials[[#This Row],[productid]],Products!$B$2:$H$10,3)</f>
        <v>15</v>
      </c>
      <c r="G1313" s="8">
        <f>financials[[#This Row],[Units Sold]]*financials[[#This Row],[Sale Price]]</f>
        <v>180</v>
      </c>
      <c r="H1313" s="8">
        <f>IF(financials[[#This Row],[Discount Band]]="low",0.1,IF(financials[[#This Row],[Discount Band]]="medium",0.15,0.3))</f>
        <v>0.15</v>
      </c>
      <c r="I1313" s="8">
        <f>financials[[#This Row],[Gross Sales]]-financials[[#This Row],[Gross Sales]]*financials[[#This Row],[Discounts]]</f>
        <v>153</v>
      </c>
      <c r="J1313" s="8">
        <f>VLOOKUP(financials[[#This Row],[productid]],Products!$B$2:$H$10,4)</f>
        <v>5.5</v>
      </c>
      <c r="K1313" s="8">
        <f>financials[[#This Row],[Net Sales]]-financials[[#This Row],[COGS]]</f>
        <v>147.5</v>
      </c>
      <c r="L1313" s="15">
        <v>45467</v>
      </c>
      <c r="M1313" t="s">
        <v>697</v>
      </c>
    </row>
    <row r="1314" spans="1:13" x14ac:dyDescent="0.25">
      <c r="A1314" t="s">
        <v>86</v>
      </c>
      <c r="B1314" s="6" t="s">
        <v>96</v>
      </c>
      <c r="C1314" s="13">
        <v>104</v>
      </c>
      <c r="D1314" s="14" t="s">
        <v>90</v>
      </c>
      <c r="E1314">
        <v>13</v>
      </c>
      <c r="F1314" s="8">
        <f>VLOOKUP(financials[[#This Row],[productid]],Products!$B$2:$H$10,3)</f>
        <v>5.9</v>
      </c>
      <c r="G1314" s="8">
        <f>financials[[#This Row],[Units Sold]]*financials[[#This Row],[Sale Price]]</f>
        <v>76.7</v>
      </c>
      <c r="H1314" s="8">
        <f>IF(financials[[#This Row],[Discount Band]]="low",0.1,IF(financials[[#This Row],[Discount Band]]="medium",0.15,0.3))</f>
        <v>0.15</v>
      </c>
      <c r="I1314" s="8">
        <f>financials[[#This Row],[Gross Sales]]-financials[[#This Row],[Gross Sales]]*financials[[#This Row],[Discounts]]</f>
        <v>65.195000000000007</v>
      </c>
      <c r="J1314" s="8">
        <f>VLOOKUP(financials[[#This Row],[productid]],Products!$B$2:$H$10,4)</f>
        <v>2.9</v>
      </c>
      <c r="K1314" s="8">
        <f>financials[[#This Row],[Net Sales]]-financials[[#This Row],[COGS]]</f>
        <v>62.295000000000009</v>
      </c>
      <c r="L1314" s="15">
        <v>44317</v>
      </c>
      <c r="M1314" t="s">
        <v>697</v>
      </c>
    </row>
    <row r="1315" spans="1:13" x14ac:dyDescent="0.25">
      <c r="A1315" t="s">
        <v>89</v>
      </c>
      <c r="B1315" s="6" t="s">
        <v>96</v>
      </c>
      <c r="C1315" s="11">
        <v>107</v>
      </c>
      <c r="D1315" s="9" t="s">
        <v>83</v>
      </c>
      <c r="E1315">
        <v>10</v>
      </c>
      <c r="F1315" s="8">
        <f>VLOOKUP(financials[[#This Row],[productid]],Products!$B$2:$H$10,3)</f>
        <v>15</v>
      </c>
      <c r="G1315" s="8">
        <f>financials[[#This Row],[Units Sold]]*financials[[#This Row],[Sale Price]]</f>
        <v>150</v>
      </c>
      <c r="H1315" s="8">
        <f>IF(financials[[#This Row],[Discount Band]]="low",0.1,IF(financials[[#This Row],[Discount Band]]="medium",0.15,0.3))</f>
        <v>0.3</v>
      </c>
      <c r="I1315" s="8">
        <f>financials[[#This Row],[Gross Sales]]-financials[[#This Row],[Gross Sales]]*financials[[#This Row],[Discounts]]</f>
        <v>105</v>
      </c>
      <c r="J1315" s="8">
        <f>VLOOKUP(financials[[#This Row],[productid]],Products!$B$2:$H$10,4)</f>
        <v>5.5</v>
      </c>
      <c r="K1315" s="8">
        <f>financials[[#This Row],[Net Sales]]-financials[[#This Row],[COGS]]</f>
        <v>99.5</v>
      </c>
      <c r="L1315" s="15">
        <v>45387</v>
      </c>
      <c r="M1315" t="s">
        <v>697</v>
      </c>
    </row>
    <row r="1316" spans="1:13" x14ac:dyDescent="0.25">
      <c r="A1316" t="s">
        <v>89</v>
      </c>
      <c r="B1316" s="6" t="s">
        <v>148</v>
      </c>
      <c r="C1316" s="13">
        <v>105</v>
      </c>
      <c r="D1316" s="14" t="s">
        <v>83</v>
      </c>
      <c r="E1316">
        <v>17</v>
      </c>
      <c r="F1316" s="8">
        <f>VLOOKUP(financials[[#This Row],[productid]],Products!$B$2:$H$10,3)</f>
        <v>15</v>
      </c>
      <c r="G1316" s="8">
        <f>financials[[#This Row],[Units Sold]]*financials[[#This Row],[Sale Price]]</f>
        <v>255</v>
      </c>
      <c r="H1316" s="8">
        <f>IF(financials[[#This Row],[Discount Band]]="low",0.1,IF(financials[[#This Row],[Discount Band]]="medium",0.15,0.3))</f>
        <v>0.3</v>
      </c>
      <c r="I1316" s="8">
        <f>financials[[#This Row],[Gross Sales]]-financials[[#This Row],[Gross Sales]]*financials[[#This Row],[Discounts]]</f>
        <v>178.5</v>
      </c>
      <c r="J1316" s="8">
        <f>VLOOKUP(financials[[#This Row],[productid]],Products!$B$2:$H$10,4)</f>
        <v>10</v>
      </c>
      <c r="K1316" s="8">
        <f>financials[[#This Row],[Net Sales]]-financials[[#This Row],[COGS]]</f>
        <v>168.5</v>
      </c>
      <c r="L1316" s="15">
        <v>43880</v>
      </c>
      <c r="M1316" t="s">
        <v>696</v>
      </c>
    </row>
    <row r="1317" spans="1:13" x14ac:dyDescent="0.25">
      <c r="A1317" t="s">
        <v>89</v>
      </c>
      <c r="B1317" s="6" t="s">
        <v>197</v>
      </c>
      <c r="C1317" s="13">
        <v>101</v>
      </c>
      <c r="D1317" s="14" t="s">
        <v>90</v>
      </c>
      <c r="E1317">
        <v>9</v>
      </c>
      <c r="F1317" s="8">
        <f>VLOOKUP(financials[[#This Row],[productid]],Products!$B$2:$H$10,3)</f>
        <v>23</v>
      </c>
      <c r="G1317" s="8">
        <f>financials[[#This Row],[Units Sold]]*financials[[#This Row],[Sale Price]]</f>
        <v>207</v>
      </c>
      <c r="H1317" s="8">
        <f>IF(financials[[#This Row],[Discount Band]]="low",0.1,IF(financials[[#This Row],[Discount Band]]="medium",0.15,0.3))</f>
        <v>0.15</v>
      </c>
      <c r="I1317" s="8">
        <f>financials[[#This Row],[Gross Sales]]-financials[[#This Row],[Gross Sales]]*financials[[#This Row],[Discounts]]</f>
        <v>175.95</v>
      </c>
      <c r="J1317" s="8">
        <f>VLOOKUP(financials[[#This Row],[productid]],Products!$B$2:$H$10,4)</f>
        <v>9.9499999999999993</v>
      </c>
      <c r="K1317" s="8">
        <f>financials[[#This Row],[Net Sales]]-financials[[#This Row],[COGS]]</f>
        <v>166</v>
      </c>
      <c r="L1317" s="15">
        <v>44981</v>
      </c>
      <c r="M1317" t="s">
        <v>700</v>
      </c>
    </row>
    <row r="1318" spans="1:13" x14ac:dyDescent="0.25">
      <c r="A1318" t="s">
        <v>85</v>
      </c>
      <c r="B1318" s="6" t="s">
        <v>94</v>
      </c>
      <c r="C1318" s="13">
        <v>107</v>
      </c>
      <c r="D1318" s="14" t="s">
        <v>90</v>
      </c>
      <c r="E1318">
        <v>6</v>
      </c>
      <c r="F1318" s="8">
        <f>VLOOKUP(financials[[#This Row],[productid]],Products!$B$2:$H$10,3)</f>
        <v>15</v>
      </c>
      <c r="G1318" s="8">
        <f>financials[[#This Row],[Units Sold]]*financials[[#This Row],[Sale Price]]</f>
        <v>90</v>
      </c>
      <c r="H1318" s="8">
        <f>IF(financials[[#This Row],[Discount Band]]="low",0.1,IF(financials[[#This Row],[Discount Band]]="medium",0.15,0.3))</f>
        <v>0.15</v>
      </c>
      <c r="I1318" s="8">
        <f>financials[[#This Row],[Gross Sales]]-financials[[#This Row],[Gross Sales]]*financials[[#This Row],[Discounts]]</f>
        <v>76.5</v>
      </c>
      <c r="J1318" s="8">
        <f>VLOOKUP(financials[[#This Row],[productid]],Products!$B$2:$H$10,4)</f>
        <v>5.5</v>
      </c>
      <c r="K1318" s="8">
        <f>financials[[#This Row],[Net Sales]]-financials[[#This Row],[COGS]]</f>
        <v>71</v>
      </c>
      <c r="L1318" s="15">
        <v>43851</v>
      </c>
      <c r="M1318" t="s">
        <v>690</v>
      </c>
    </row>
    <row r="1319" spans="1:13" x14ac:dyDescent="0.25">
      <c r="A1319" t="s">
        <v>89</v>
      </c>
      <c r="B1319" s="6" t="s">
        <v>96</v>
      </c>
      <c r="C1319" s="13">
        <v>102</v>
      </c>
      <c r="D1319" s="14" t="s">
        <v>90</v>
      </c>
      <c r="E1319">
        <v>14</v>
      </c>
      <c r="F1319" s="8">
        <f>VLOOKUP(financials[[#This Row],[productid]],Products!$B$2:$H$10,3)</f>
        <v>15</v>
      </c>
      <c r="G1319" s="8">
        <f>financials[[#This Row],[Units Sold]]*financials[[#This Row],[Sale Price]]</f>
        <v>210</v>
      </c>
      <c r="H1319" s="8">
        <f>IF(financials[[#This Row],[Discount Band]]="low",0.1,IF(financials[[#This Row],[Discount Band]]="medium",0.15,0.3))</f>
        <v>0.15</v>
      </c>
      <c r="I1319" s="8">
        <f>financials[[#This Row],[Gross Sales]]-financials[[#This Row],[Gross Sales]]*financials[[#This Row],[Discounts]]</f>
        <v>178.5</v>
      </c>
      <c r="J1319" s="8">
        <f>VLOOKUP(financials[[#This Row],[productid]],Products!$B$2:$H$10,4)</f>
        <v>13.95</v>
      </c>
      <c r="K1319" s="8">
        <f>financials[[#This Row],[Net Sales]]-financials[[#This Row],[COGS]]</f>
        <v>164.55</v>
      </c>
      <c r="L1319" s="15">
        <v>45536</v>
      </c>
      <c r="M1319" t="s">
        <v>696</v>
      </c>
    </row>
    <row r="1320" spans="1:13" x14ac:dyDescent="0.25">
      <c r="A1320" t="s">
        <v>86</v>
      </c>
      <c r="B1320" s="6" t="s">
        <v>240</v>
      </c>
      <c r="C1320" s="13">
        <v>109</v>
      </c>
      <c r="D1320" s="14" t="s">
        <v>91</v>
      </c>
      <c r="E1320">
        <v>13</v>
      </c>
      <c r="F1320" s="8">
        <f>VLOOKUP(financials[[#This Row],[productid]],Products!$B$2:$H$10,3)</f>
        <v>36</v>
      </c>
      <c r="G1320" s="8">
        <f>financials[[#This Row],[Units Sold]]*financials[[#This Row],[Sale Price]]</f>
        <v>468</v>
      </c>
      <c r="H1320" s="8">
        <f>IF(financials[[#This Row],[Discount Band]]="low",0.1,IF(financials[[#This Row],[Discount Band]]="medium",0.15,0.3))</f>
        <v>0.1</v>
      </c>
      <c r="I1320" s="8">
        <f>financials[[#This Row],[Gross Sales]]-financials[[#This Row],[Gross Sales]]*financials[[#This Row],[Discounts]]</f>
        <v>421.2</v>
      </c>
      <c r="J1320" s="8">
        <f>VLOOKUP(financials[[#This Row],[productid]],Products!$B$2:$H$10,4)</f>
        <v>16.8</v>
      </c>
      <c r="K1320" s="8">
        <f>financials[[#This Row],[Net Sales]]-financials[[#This Row],[COGS]]</f>
        <v>404.4</v>
      </c>
      <c r="L1320" s="15">
        <v>44027</v>
      </c>
      <c r="M1320" t="s">
        <v>697</v>
      </c>
    </row>
    <row r="1321" spans="1:13" x14ac:dyDescent="0.25">
      <c r="A1321" t="s">
        <v>86</v>
      </c>
      <c r="B1321" s="6" t="s">
        <v>125</v>
      </c>
      <c r="C1321" s="13">
        <v>102</v>
      </c>
      <c r="D1321" s="14" t="s">
        <v>90</v>
      </c>
      <c r="E1321">
        <v>5</v>
      </c>
      <c r="F1321" s="8">
        <f>VLOOKUP(financials[[#This Row],[productid]],Products!$B$2:$H$10,3)</f>
        <v>15</v>
      </c>
      <c r="G1321" s="8">
        <f>financials[[#This Row],[Units Sold]]*financials[[#This Row],[Sale Price]]</f>
        <v>75</v>
      </c>
      <c r="H1321" s="8">
        <f>IF(financials[[#This Row],[Discount Band]]="low",0.1,IF(financials[[#This Row],[Discount Band]]="medium",0.15,0.3))</f>
        <v>0.15</v>
      </c>
      <c r="I1321" s="8">
        <f>financials[[#This Row],[Gross Sales]]-financials[[#This Row],[Gross Sales]]*financials[[#This Row],[Discounts]]</f>
        <v>63.75</v>
      </c>
      <c r="J1321" s="8">
        <f>VLOOKUP(financials[[#This Row],[productid]],Products!$B$2:$H$10,4)</f>
        <v>13.95</v>
      </c>
      <c r="K1321" s="8">
        <f>financials[[#This Row],[Net Sales]]-financials[[#This Row],[COGS]]</f>
        <v>49.8</v>
      </c>
      <c r="L1321" s="15">
        <v>45172</v>
      </c>
      <c r="M1321" t="s">
        <v>696</v>
      </c>
    </row>
    <row r="1322" spans="1:13" x14ac:dyDescent="0.25">
      <c r="A1322" t="s">
        <v>86</v>
      </c>
      <c r="B1322" s="6" t="s">
        <v>205</v>
      </c>
      <c r="C1322" s="13">
        <v>108</v>
      </c>
      <c r="D1322" s="14" t="s">
        <v>90</v>
      </c>
      <c r="E1322">
        <v>8</v>
      </c>
      <c r="F1322" s="8">
        <f>VLOOKUP(financials[[#This Row],[productid]],Products!$B$2:$H$10,3)</f>
        <v>5.5</v>
      </c>
      <c r="G1322" s="8">
        <f>financials[[#This Row],[Units Sold]]*financials[[#This Row],[Sale Price]]</f>
        <v>44</v>
      </c>
      <c r="H1322" s="8">
        <f>IF(financials[[#This Row],[Discount Band]]="low",0.1,IF(financials[[#This Row],[Discount Band]]="medium",0.15,0.3))</f>
        <v>0.15</v>
      </c>
      <c r="I1322" s="8">
        <f>financials[[#This Row],[Gross Sales]]-financials[[#This Row],[Gross Sales]]*financials[[#This Row],[Discounts]]</f>
        <v>37.4</v>
      </c>
      <c r="J1322" s="8">
        <f>VLOOKUP(financials[[#This Row],[productid]],Products!$B$2:$H$10,4)</f>
        <v>3.99</v>
      </c>
      <c r="K1322" s="8">
        <f>financials[[#This Row],[Net Sales]]-financials[[#This Row],[COGS]]</f>
        <v>33.409999999999997</v>
      </c>
      <c r="L1322" s="15">
        <v>43841</v>
      </c>
      <c r="M1322" t="s">
        <v>697</v>
      </c>
    </row>
    <row r="1323" spans="1:13" x14ac:dyDescent="0.25">
      <c r="A1323" t="s">
        <v>85</v>
      </c>
      <c r="B1323" s="6" t="s">
        <v>205</v>
      </c>
      <c r="C1323" s="13">
        <v>101</v>
      </c>
      <c r="D1323" s="14" t="s">
        <v>83</v>
      </c>
      <c r="E1323">
        <v>12</v>
      </c>
      <c r="F1323" s="8">
        <f>VLOOKUP(financials[[#This Row],[productid]],Products!$B$2:$H$10,3)</f>
        <v>23</v>
      </c>
      <c r="G1323" s="8">
        <f>financials[[#This Row],[Units Sold]]*financials[[#This Row],[Sale Price]]</f>
        <v>276</v>
      </c>
      <c r="H1323" s="8">
        <f>IF(financials[[#This Row],[Discount Band]]="low",0.1,IF(financials[[#This Row],[Discount Band]]="medium",0.15,0.3))</f>
        <v>0.3</v>
      </c>
      <c r="I1323" s="8">
        <f>financials[[#This Row],[Gross Sales]]-financials[[#This Row],[Gross Sales]]*financials[[#This Row],[Discounts]]</f>
        <v>193.2</v>
      </c>
      <c r="J1323" s="8">
        <f>VLOOKUP(financials[[#This Row],[productid]],Products!$B$2:$H$10,4)</f>
        <v>9.9499999999999993</v>
      </c>
      <c r="K1323" s="8">
        <f>financials[[#This Row],[Net Sales]]-financials[[#This Row],[COGS]]</f>
        <v>183.25</v>
      </c>
      <c r="L1323" s="15">
        <v>44788</v>
      </c>
      <c r="M1323" t="s">
        <v>696</v>
      </c>
    </row>
    <row r="1324" spans="1:13" x14ac:dyDescent="0.25">
      <c r="A1324" t="s">
        <v>89</v>
      </c>
      <c r="B1324" s="6" t="s">
        <v>274</v>
      </c>
      <c r="C1324" s="11">
        <v>104</v>
      </c>
      <c r="D1324" s="9" t="s">
        <v>83</v>
      </c>
      <c r="E1324">
        <v>20</v>
      </c>
      <c r="F1324" s="8">
        <f>VLOOKUP(financials[[#This Row],[productid]],Products!$B$2:$H$10,3)</f>
        <v>5.9</v>
      </c>
      <c r="G1324" s="8">
        <f>financials[[#This Row],[Units Sold]]*financials[[#This Row],[Sale Price]]</f>
        <v>118</v>
      </c>
      <c r="H1324" s="8">
        <f>IF(financials[[#This Row],[Discount Band]]="low",0.1,IF(financials[[#This Row],[Discount Band]]="medium",0.15,0.3))</f>
        <v>0.3</v>
      </c>
      <c r="I1324" s="8">
        <f>financials[[#This Row],[Gross Sales]]-financials[[#This Row],[Gross Sales]]*financials[[#This Row],[Discounts]]</f>
        <v>82.6</v>
      </c>
      <c r="J1324" s="8">
        <f>VLOOKUP(financials[[#This Row],[productid]],Products!$B$2:$H$10,4)</f>
        <v>2.9</v>
      </c>
      <c r="K1324" s="8">
        <f>financials[[#This Row],[Net Sales]]-financials[[#This Row],[COGS]]</f>
        <v>79.699999999999989</v>
      </c>
      <c r="L1324" s="15">
        <v>44207</v>
      </c>
      <c r="M1324" t="s">
        <v>690</v>
      </c>
    </row>
    <row r="1325" spans="1:13" x14ac:dyDescent="0.25">
      <c r="A1325" t="s">
        <v>89</v>
      </c>
      <c r="B1325" s="6" t="s">
        <v>96</v>
      </c>
      <c r="C1325" s="13">
        <v>103</v>
      </c>
      <c r="D1325" s="14" t="s">
        <v>83</v>
      </c>
      <c r="E1325">
        <v>18</v>
      </c>
      <c r="F1325" s="8">
        <f>VLOOKUP(financials[[#This Row],[productid]],Products!$B$2:$H$10,3)</f>
        <v>28</v>
      </c>
      <c r="G1325" s="8">
        <f>financials[[#This Row],[Units Sold]]*financials[[#This Row],[Sale Price]]</f>
        <v>504</v>
      </c>
      <c r="H1325" s="8">
        <f>IF(financials[[#This Row],[Discount Band]]="low",0.1,IF(financials[[#This Row],[Discount Band]]="medium",0.15,0.3))</f>
        <v>0.3</v>
      </c>
      <c r="I1325" s="8">
        <f>financials[[#This Row],[Gross Sales]]-financials[[#This Row],[Gross Sales]]*financials[[#This Row],[Discounts]]</f>
        <v>352.8</v>
      </c>
      <c r="J1325" s="8">
        <f>VLOOKUP(financials[[#This Row],[productid]],Products!$B$2:$H$10,4)</f>
        <v>15</v>
      </c>
      <c r="K1325" s="8">
        <f>financials[[#This Row],[Net Sales]]-financials[[#This Row],[COGS]]</f>
        <v>337.8</v>
      </c>
      <c r="L1325" s="15">
        <v>45532</v>
      </c>
      <c r="M1325" t="s">
        <v>697</v>
      </c>
    </row>
    <row r="1326" spans="1:13" x14ac:dyDescent="0.25">
      <c r="A1326" t="s">
        <v>86</v>
      </c>
      <c r="B1326" s="6" t="s">
        <v>287</v>
      </c>
      <c r="C1326" s="13">
        <v>101</v>
      </c>
      <c r="D1326" s="14" t="s">
        <v>83</v>
      </c>
      <c r="E1326">
        <v>9</v>
      </c>
      <c r="F1326" s="8">
        <f>VLOOKUP(financials[[#This Row],[productid]],Products!$B$2:$H$10,3)</f>
        <v>23</v>
      </c>
      <c r="G1326" s="8">
        <f>financials[[#This Row],[Units Sold]]*financials[[#This Row],[Sale Price]]</f>
        <v>207</v>
      </c>
      <c r="H1326" s="8">
        <f>IF(financials[[#This Row],[Discount Band]]="low",0.1,IF(financials[[#This Row],[Discount Band]]="medium",0.15,0.3))</f>
        <v>0.3</v>
      </c>
      <c r="I1326" s="8">
        <f>financials[[#This Row],[Gross Sales]]-financials[[#This Row],[Gross Sales]]*financials[[#This Row],[Discounts]]</f>
        <v>144.9</v>
      </c>
      <c r="J1326" s="8">
        <f>VLOOKUP(financials[[#This Row],[productid]],Products!$B$2:$H$10,4)</f>
        <v>9.9499999999999993</v>
      </c>
      <c r="K1326" s="8">
        <f>financials[[#This Row],[Net Sales]]-financials[[#This Row],[COGS]]</f>
        <v>134.95000000000002</v>
      </c>
      <c r="L1326" s="15">
        <v>44945</v>
      </c>
      <c r="M1326" t="s">
        <v>691</v>
      </c>
    </row>
    <row r="1327" spans="1:13" x14ac:dyDescent="0.25">
      <c r="A1327" t="s">
        <v>89</v>
      </c>
      <c r="B1327" s="6" t="s">
        <v>93</v>
      </c>
      <c r="C1327" s="11">
        <v>106</v>
      </c>
      <c r="D1327" s="9" t="s">
        <v>91</v>
      </c>
      <c r="E1327">
        <v>16</v>
      </c>
      <c r="F1327" s="8">
        <f>VLOOKUP(financials[[#This Row],[productid]],Products!$B$2:$H$10,3)</f>
        <v>25</v>
      </c>
      <c r="G1327" s="8">
        <f>financials[[#This Row],[Units Sold]]*financials[[#This Row],[Sale Price]]</f>
        <v>400</v>
      </c>
      <c r="H1327" s="8">
        <f>IF(financials[[#This Row],[Discount Band]]="low",0.1,IF(financials[[#This Row],[Discount Band]]="medium",0.15,0.3))</f>
        <v>0.1</v>
      </c>
      <c r="I1327" s="8">
        <f>financials[[#This Row],[Gross Sales]]-financials[[#This Row],[Gross Sales]]*financials[[#This Row],[Discounts]]</f>
        <v>360</v>
      </c>
      <c r="J1327" s="8">
        <f>VLOOKUP(financials[[#This Row],[productid]],Products!$B$2:$H$10,4)</f>
        <v>9.1</v>
      </c>
      <c r="K1327" s="8">
        <f>financials[[#This Row],[Net Sales]]-financials[[#This Row],[COGS]]</f>
        <v>350.9</v>
      </c>
      <c r="L1327" s="15">
        <v>45469</v>
      </c>
      <c r="M1327" t="s">
        <v>700</v>
      </c>
    </row>
    <row r="1328" spans="1:13" x14ac:dyDescent="0.25">
      <c r="A1328" t="s">
        <v>85</v>
      </c>
      <c r="B1328" s="6" t="s">
        <v>268</v>
      </c>
      <c r="C1328" s="13">
        <v>108</v>
      </c>
      <c r="D1328" s="14" t="s">
        <v>90</v>
      </c>
      <c r="E1328">
        <v>20</v>
      </c>
      <c r="F1328" s="8">
        <f>VLOOKUP(financials[[#This Row],[productid]],Products!$B$2:$H$10,3)</f>
        <v>5.5</v>
      </c>
      <c r="G1328" s="8">
        <f>financials[[#This Row],[Units Sold]]*financials[[#This Row],[Sale Price]]</f>
        <v>110</v>
      </c>
      <c r="H1328" s="8">
        <f>IF(financials[[#This Row],[Discount Band]]="low",0.1,IF(financials[[#This Row],[Discount Band]]="medium",0.15,0.3))</f>
        <v>0.15</v>
      </c>
      <c r="I1328" s="8">
        <f>financials[[#This Row],[Gross Sales]]-financials[[#This Row],[Gross Sales]]*financials[[#This Row],[Discounts]]</f>
        <v>93.5</v>
      </c>
      <c r="J1328" s="8">
        <f>VLOOKUP(financials[[#This Row],[productid]],Products!$B$2:$H$10,4)</f>
        <v>3.99</v>
      </c>
      <c r="K1328" s="8">
        <f>financials[[#This Row],[Net Sales]]-financials[[#This Row],[COGS]]</f>
        <v>89.51</v>
      </c>
      <c r="L1328" s="15">
        <v>44227</v>
      </c>
      <c r="M1328" t="s">
        <v>700</v>
      </c>
    </row>
    <row r="1329" spans="1:13" x14ac:dyDescent="0.25">
      <c r="A1329" t="s">
        <v>86</v>
      </c>
      <c r="B1329" s="6" t="s">
        <v>274</v>
      </c>
      <c r="C1329" s="11">
        <v>109</v>
      </c>
      <c r="D1329" s="9" t="s">
        <v>92</v>
      </c>
      <c r="E1329">
        <v>9</v>
      </c>
      <c r="F1329" s="8">
        <f>VLOOKUP(financials[[#This Row],[productid]],Products!$B$2:$H$10,3)</f>
        <v>36</v>
      </c>
      <c r="G1329" s="8">
        <f>financials[[#This Row],[Units Sold]]*financials[[#This Row],[Sale Price]]</f>
        <v>324</v>
      </c>
      <c r="H1329" s="8">
        <f>IF(financials[[#This Row],[Discount Band]]="low",0.1,IF(financials[[#This Row],[Discount Band]]="medium",0.15,0.3))</f>
        <v>0.3</v>
      </c>
      <c r="I1329" s="8">
        <f>financials[[#This Row],[Gross Sales]]-financials[[#This Row],[Gross Sales]]*financials[[#This Row],[Discounts]]</f>
        <v>226.8</v>
      </c>
      <c r="J1329" s="8">
        <f>VLOOKUP(financials[[#This Row],[productid]],Products!$B$2:$H$10,4)</f>
        <v>16.8</v>
      </c>
      <c r="K1329" s="8">
        <f>financials[[#This Row],[Net Sales]]-financials[[#This Row],[COGS]]</f>
        <v>210</v>
      </c>
      <c r="L1329" s="15">
        <v>44997</v>
      </c>
      <c r="M1329" t="s">
        <v>691</v>
      </c>
    </row>
    <row r="1330" spans="1:13" x14ac:dyDescent="0.25">
      <c r="A1330" t="s">
        <v>86</v>
      </c>
      <c r="B1330" s="6" t="s">
        <v>148</v>
      </c>
      <c r="C1330" s="13">
        <v>108</v>
      </c>
      <c r="D1330" s="14" t="s">
        <v>90</v>
      </c>
      <c r="E1330">
        <v>8</v>
      </c>
      <c r="F1330" s="8">
        <f>VLOOKUP(financials[[#This Row],[productid]],Products!$B$2:$H$10,3)</f>
        <v>5.5</v>
      </c>
      <c r="G1330" s="8">
        <f>financials[[#This Row],[Units Sold]]*financials[[#This Row],[Sale Price]]</f>
        <v>44</v>
      </c>
      <c r="H1330" s="8">
        <f>IF(financials[[#This Row],[Discount Band]]="low",0.1,IF(financials[[#This Row],[Discount Band]]="medium",0.15,0.3))</f>
        <v>0.15</v>
      </c>
      <c r="I1330" s="8">
        <f>financials[[#This Row],[Gross Sales]]-financials[[#This Row],[Gross Sales]]*financials[[#This Row],[Discounts]]</f>
        <v>37.4</v>
      </c>
      <c r="J1330" s="8">
        <f>VLOOKUP(financials[[#This Row],[productid]],Products!$B$2:$H$10,4)</f>
        <v>3.99</v>
      </c>
      <c r="K1330" s="8">
        <f>financials[[#This Row],[Net Sales]]-financials[[#This Row],[COGS]]</f>
        <v>33.409999999999997</v>
      </c>
      <c r="L1330" s="15">
        <v>45160</v>
      </c>
      <c r="M1330" t="s">
        <v>697</v>
      </c>
    </row>
    <row r="1331" spans="1:13" x14ac:dyDescent="0.25">
      <c r="A1331" t="s">
        <v>86</v>
      </c>
      <c r="B1331" s="6" t="s">
        <v>158</v>
      </c>
      <c r="C1331" s="13">
        <v>101</v>
      </c>
      <c r="D1331" s="14" t="s">
        <v>90</v>
      </c>
      <c r="E1331">
        <v>9</v>
      </c>
      <c r="F1331" s="8">
        <f>VLOOKUP(financials[[#This Row],[productid]],Products!$B$2:$H$10,3)</f>
        <v>23</v>
      </c>
      <c r="G1331" s="8">
        <f>financials[[#This Row],[Units Sold]]*financials[[#This Row],[Sale Price]]</f>
        <v>207</v>
      </c>
      <c r="H1331" s="8">
        <f>IF(financials[[#This Row],[Discount Band]]="low",0.1,IF(financials[[#This Row],[Discount Band]]="medium",0.15,0.3))</f>
        <v>0.15</v>
      </c>
      <c r="I1331" s="8">
        <f>financials[[#This Row],[Gross Sales]]-financials[[#This Row],[Gross Sales]]*financials[[#This Row],[Discounts]]</f>
        <v>175.95</v>
      </c>
      <c r="J1331" s="8">
        <f>VLOOKUP(financials[[#This Row],[productid]],Products!$B$2:$H$10,4)</f>
        <v>9.9499999999999993</v>
      </c>
      <c r="K1331" s="8">
        <f>financials[[#This Row],[Net Sales]]-financials[[#This Row],[COGS]]</f>
        <v>166</v>
      </c>
      <c r="L1331" s="15">
        <v>44249</v>
      </c>
      <c r="M1331" t="s">
        <v>691</v>
      </c>
    </row>
    <row r="1332" spans="1:13" x14ac:dyDescent="0.25">
      <c r="A1332" t="s">
        <v>86</v>
      </c>
      <c r="B1332" s="6" t="s">
        <v>274</v>
      </c>
      <c r="C1332" s="13">
        <v>104</v>
      </c>
      <c r="D1332" s="14" t="s">
        <v>91</v>
      </c>
      <c r="E1332">
        <v>16</v>
      </c>
      <c r="F1332" s="8">
        <f>VLOOKUP(financials[[#This Row],[productid]],Products!$B$2:$H$10,3)</f>
        <v>5.9</v>
      </c>
      <c r="G1332" s="8">
        <f>financials[[#This Row],[Units Sold]]*financials[[#This Row],[Sale Price]]</f>
        <v>94.4</v>
      </c>
      <c r="H1332" s="8">
        <f>IF(financials[[#This Row],[Discount Band]]="low",0.1,IF(financials[[#This Row],[Discount Band]]="medium",0.15,0.3))</f>
        <v>0.1</v>
      </c>
      <c r="I1332" s="8">
        <f>financials[[#This Row],[Gross Sales]]-financials[[#This Row],[Gross Sales]]*financials[[#This Row],[Discounts]]</f>
        <v>84.960000000000008</v>
      </c>
      <c r="J1332" s="8">
        <f>VLOOKUP(financials[[#This Row],[productid]],Products!$B$2:$H$10,4)</f>
        <v>2.9</v>
      </c>
      <c r="K1332" s="8">
        <f>financials[[#This Row],[Net Sales]]-financials[[#This Row],[COGS]]</f>
        <v>82.06</v>
      </c>
      <c r="L1332" s="15">
        <v>44980</v>
      </c>
      <c r="M1332" t="s">
        <v>691</v>
      </c>
    </row>
    <row r="1333" spans="1:13" x14ac:dyDescent="0.25">
      <c r="A1333" t="s">
        <v>89</v>
      </c>
      <c r="B1333" s="6" t="s">
        <v>274</v>
      </c>
      <c r="C1333" s="13">
        <v>102</v>
      </c>
      <c r="D1333" s="14" t="s">
        <v>92</v>
      </c>
      <c r="E1333">
        <v>18</v>
      </c>
      <c r="F1333" s="8">
        <f>VLOOKUP(financials[[#This Row],[productid]],Products!$B$2:$H$10,3)</f>
        <v>15</v>
      </c>
      <c r="G1333" s="8">
        <f>financials[[#This Row],[Units Sold]]*financials[[#This Row],[Sale Price]]</f>
        <v>270</v>
      </c>
      <c r="H1333" s="8">
        <f>IF(financials[[#This Row],[Discount Band]]="low",0.1,IF(financials[[#This Row],[Discount Band]]="medium",0.15,0.3))</f>
        <v>0.3</v>
      </c>
      <c r="I1333" s="8">
        <f>financials[[#This Row],[Gross Sales]]-financials[[#This Row],[Gross Sales]]*financials[[#This Row],[Discounts]]</f>
        <v>189</v>
      </c>
      <c r="J1333" s="8">
        <f>VLOOKUP(financials[[#This Row],[productid]],Products!$B$2:$H$10,4)</f>
        <v>13.95</v>
      </c>
      <c r="K1333" s="8">
        <f>financials[[#This Row],[Net Sales]]-financials[[#This Row],[COGS]]</f>
        <v>175.05</v>
      </c>
      <c r="L1333" s="15">
        <v>44314</v>
      </c>
      <c r="M1333" t="s">
        <v>691</v>
      </c>
    </row>
    <row r="1334" spans="1:13" x14ac:dyDescent="0.25">
      <c r="A1334" t="s">
        <v>89</v>
      </c>
      <c r="B1334" s="6" t="s">
        <v>93</v>
      </c>
      <c r="C1334" s="13">
        <v>106</v>
      </c>
      <c r="D1334" s="14" t="s">
        <v>90</v>
      </c>
      <c r="E1334">
        <v>13</v>
      </c>
      <c r="F1334" s="8">
        <f>VLOOKUP(financials[[#This Row],[productid]],Products!$B$2:$H$10,3)</f>
        <v>25</v>
      </c>
      <c r="G1334" s="8">
        <f>financials[[#This Row],[Units Sold]]*financials[[#This Row],[Sale Price]]</f>
        <v>325</v>
      </c>
      <c r="H1334" s="8">
        <f>IF(financials[[#This Row],[Discount Band]]="low",0.1,IF(financials[[#This Row],[Discount Band]]="medium",0.15,0.3))</f>
        <v>0.15</v>
      </c>
      <c r="I1334" s="8">
        <f>financials[[#This Row],[Gross Sales]]-financials[[#This Row],[Gross Sales]]*financials[[#This Row],[Discounts]]</f>
        <v>276.25</v>
      </c>
      <c r="J1334" s="8">
        <f>VLOOKUP(financials[[#This Row],[productid]],Products!$B$2:$H$10,4)</f>
        <v>9.1</v>
      </c>
      <c r="K1334" s="8">
        <f>financials[[#This Row],[Net Sales]]-financials[[#This Row],[COGS]]</f>
        <v>267.14999999999998</v>
      </c>
      <c r="L1334" s="15">
        <v>43966</v>
      </c>
      <c r="M1334" t="s">
        <v>690</v>
      </c>
    </row>
    <row r="1335" spans="1:13" x14ac:dyDescent="0.25">
      <c r="A1335" t="s">
        <v>87</v>
      </c>
      <c r="B1335" s="6" t="s">
        <v>644</v>
      </c>
      <c r="C1335" s="13">
        <v>105</v>
      </c>
      <c r="D1335" s="14" t="s">
        <v>92</v>
      </c>
      <c r="E1335">
        <v>10</v>
      </c>
      <c r="F1335" s="8">
        <f>VLOOKUP(financials[[#This Row],[productid]],Products!$B$2:$H$10,3)</f>
        <v>15</v>
      </c>
      <c r="G1335" s="8">
        <f>financials[[#This Row],[Units Sold]]*financials[[#This Row],[Sale Price]]</f>
        <v>150</v>
      </c>
      <c r="H1335" s="8">
        <f>IF(financials[[#This Row],[Discount Band]]="low",0.1,IF(financials[[#This Row],[Discount Band]]="medium",0.15,0.3))</f>
        <v>0.3</v>
      </c>
      <c r="I1335" s="8">
        <f>financials[[#This Row],[Gross Sales]]-financials[[#This Row],[Gross Sales]]*financials[[#This Row],[Discounts]]</f>
        <v>105</v>
      </c>
      <c r="J1335" s="8">
        <f>VLOOKUP(financials[[#This Row],[productid]],Products!$B$2:$H$10,4)</f>
        <v>10</v>
      </c>
      <c r="K1335" s="8">
        <f>financials[[#This Row],[Net Sales]]-financials[[#This Row],[COGS]]</f>
        <v>95</v>
      </c>
      <c r="L1335" s="15">
        <v>44955</v>
      </c>
      <c r="M1335" t="s">
        <v>696</v>
      </c>
    </row>
    <row r="1336" spans="1:13" x14ac:dyDescent="0.25">
      <c r="A1336" t="s">
        <v>89</v>
      </c>
      <c r="B1336" s="6" t="s">
        <v>93</v>
      </c>
      <c r="C1336" s="13">
        <v>102</v>
      </c>
      <c r="D1336" s="14" t="s">
        <v>90</v>
      </c>
      <c r="E1336">
        <v>7</v>
      </c>
      <c r="F1336" s="8">
        <f>VLOOKUP(financials[[#This Row],[productid]],Products!$B$2:$H$10,3)</f>
        <v>15</v>
      </c>
      <c r="G1336" s="8">
        <f>financials[[#This Row],[Units Sold]]*financials[[#This Row],[Sale Price]]</f>
        <v>105</v>
      </c>
      <c r="H1336" s="8">
        <f>IF(financials[[#This Row],[Discount Band]]="low",0.1,IF(financials[[#This Row],[Discount Band]]="medium",0.15,0.3))</f>
        <v>0.15</v>
      </c>
      <c r="I1336" s="8">
        <f>financials[[#This Row],[Gross Sales]]-financials[[#This Row],[Gross Sales]]*financials[[#This Row],[Discounts]]</f>
        <v>89.25</v>
      </c>
      <c r="J1336" s="8">
        <f>VLOOKUP(financials[[#This Row],[productid]],Products!$B$2:$H$10,4)</f>
        <v>13.95</v>
      </c>
      <c r="K1336" s="8">
        <f>financials[[#This Row],[Net Sales]]-financials[[#This Row],[COGS]]</f>
        <v>75.3</v>
      </c>
      <c r="L1336" s="15">
        <v>44636</v>
      </c>
      <c r="M1336" t="s">
        <v>700</v>
      </c>
    </row>
    <row r="1337" spans="1:13" x14ac:dyDescent="0.25">
      <c r="A1337" t="s">
        <v>85</v>
      </c>
      <c r="B1337" s="6" t="s">
        <v>205</v>
      </c>
      <c r="C1337" s="13">
        <v>105</v>
      </c>
      <c r="D1337" s="14" t="s">
        <v>90</v>
      </c>
      <c r="E1337">
        <v>18</v>
      </c>
      <c r="F1337" s="8">
        <f>VLOOKUP(financials[[#This Row],[productid]],Products!$B$2:$H$10,3)</f>
        <v>15</v>
      </c>
      <c r="G1337" s="8">
        <f>financials[[#This Row],[Units Sold]]*financials[[#This Row],[Sale Price]]</f>
        <v>270</v>
      </c>
      <c r="H1337" s="8">
        <f>IF(financials[[#This Row],[Discount Band]]="low",0.1,IF(financials[[#This Row],[Discount Band]]="medium",0.15,0.3))</f>
        <v>0.15</v>
      </c>
      <c r="I1337" s="8">
        <f>financials[[#This Row],[Gross Sales]]-financials[[#This Row],[Gross Sales]]*financials[[#This Row],[Discounts]]</f>
        <v>229.5</v>
      </c>
      <c r="J1337" s="8">
        <f>VLOOKUP(financials[[#This Row],[productid]],Products!$B$2:$H$10,4)</f>
        <v>10</v>
      </c>
      <c r="K1337" s="8">
        <f>financials[[#This Row],[Net Sales]]-financials[[#This Row],[COGS]]</f>
        <v>219.5</v>
      </c>
      <c r="L1337" s="15">
        <v>43859</v>
      </c>
      <c r="M1337" t="s">
        <v>700</v>
      </c>
    </row>
    <row r="1338" spans="1:13" x14ac:dyDescent="0.25">
      <c r="A1338" t="s">
        <v>89</v>
      </c>
      <c r="B1338" s="6" t="s">
        <v>198</v>
      </c>
      <c r="C1338" s="13">
        <v>106</v>
      </c>
      <c r="D1338" s="14" t="s">
        <v>83</v>
      </c>
      <c r="E1338">
        <v>19</v>
      </c>
      <c r="F1338" s="8">
        <f>VLOOKUP(financials[[#This Row],[productid]],Products!$B$2:$H$10,3)</f>
        <v>25</v>
      </c>
      <c r="G1338" s="8">
        <f>financials[[#This Row],[Units Sold]]*financials[[#This Row],[Sale Price]]</f>
        <v>475</v>
      </c>
      <c r="H1338" s="8">
        <f>IF(financials[[#This Row],[Discount Band]]="low",0.1,IF(financials[[#This Row],[Discount Band]]="medium",0.15,0.3))</f>
        <v>0.3</v>
      </c>
      <c r="I1338" s="8">
        <f>financials[[#This Row],[Gross Sales]]-financials[[#This Row],[Gross Sales]]*financials[[#This Row],[Discounts]]</f>
        <v>332.5</v>
      </c>
      <c r="J1338" s="8">
        <f>VLOOKUP(financials[[#This Row],[productid]],Products!$B$2:$H$10,4)</f>
        <v>9.1</v>
      </c>
      <c r="K1338" s="8">
        <f>financials[[#This Row],[Net Sales]]-financials[[#This Row],[COGS]]</f>
        <v>323.39999999999998</v>
      </c>
      <c r="L1338" s="15">
        <v>44004</v>
      </c>
      <c r="M1338" t="s">
        <v>690</v>
      </c>
    </row>
    <row r="1339" spans="1:13" x14ac:dyDescent="0.25">
      <c r="A1339" t="s">
        <v>87</v>
      </c>
      <c r="B1339" s="6" t="s">
        <v>644</v>
      </c>
      <c r="C1339" s="13">
        <v>105</v>
      </c>
      <c r="D1339" s="14" t="s">
        <v>83</v>
      </c>
      <c r="E1339">
        <v>5</v>
      </c>
      <c r="F1339" s="8">
        <f>VLOOKUP(financials[[#This Row],[productid]],Products!$B$2:$H$10,3)</f>
        <v>15</v>
      </c>
      <c r="G1339" s="8">
        <f>financials[[#This Row],[Units Sold]]*financials[[#This Row],[Sale Price]]</f>
        <v>75</v>
      </c>
      <c r="H1339" s="8">
        <f>IF(financials[[#This Row],[Discount Band]]="low",0.1,IF(financials[[#This Row],[Discount Band]]="medium",0.15,0.3))</f>
        <v>0.3</v>
      </c>
      <c r="I1339" s="8">
        <f>financials[[#This Row],[Gross Sales]]-financials[[#This Row],[Gross Sales]]*financials[[#This Row],[Discounts]]</f>
        <v>52.5</v>
      </c>
      <c r="J1339" s="8">
        <f>VLOOKUP(financials[[#This Row],[productid]],Products!$B$2:$H$10,4)</f>
        <v>10</v>
      </c>
      <c r="K1339" s="8">
        <f>financials[[#This Row],[Net Sales]]-financials[[#This Row],[COGS]]</f>
        <v>42.5</v>
      </c>
      <c r="L1339" s="15">
        <v>44689</v>
      </c>
      <c r="M1339" t="s">
        <v>691</v>
      </c>
    </row>
    <row r="1340" spans="1:13" x14ac:dyDescent="0.25">
      <c r="A1340" t="s">
        <v>89</v>
      </c>
      <c r="B1340" s="6" t="s">
        <v>545</v>
      </c>
      <c r="C1340" s="13">
        <v>105</v>
      </c>
      <c r="D1340" s="14" t="s">
        <v>83</v>
      </c>
      <c r="E1340">
        <v>20</v>
      </c>
      <c r="F1340" s="8">
        <f>VLOOKUP(financials[[#This Row],[productid]],Products!$B$2:$H$10,3)</f>
        <v>15</v>
      </c>
      <c r="G1340" s="8">
        <f>financials[[#This Row],[Units Sold]]*financials[[#This Row],[Sale Price]]</f>
        <v>300</v>
      </c>
      <c r="H1340" s="8">
        <f>IF(financials[[#This Row],[Discount Band]]="low",0.1,IF(financials[[#This Row],[Discount Band]]="medium",0.15,0.3))</f>
        <v>0.3</v>
      </c>
      <c r="I1340" s="8">
        <f>financials[[#This Row],[Gross Sales]]-financials[[#This Row],[Gross Sales]]*financials[[#This Row],[Discounts]]</f>
        <v>210</v>
      </c>
      <c r="J1340" s="8">
        <f>VLOOKUP(financials[[#This Row],[productid]],Products!$B$2:$H$10,4)</f>
        <v>10</v>
      </c>
      <c r="K1340" s="8">
        <f>financials[[#This Row],[Net Sales]]-financials[[#This Row],[COGS]]</f>
        <v>200</v>
      </c>
      <c r="L1340" s="15">
        <v>44467</v>
      </c>
      <c r="M1340" t="s">
        <v>697</v>
      </c>
    </row>
    <row r="1341" spans="1:13" x14ac:dyDescent="0.25">
      <c r="A1341" t="s">
        <v>85</v>
      </c>
      <c r="B1341" s="6" t="s">
        <v>94</v>
      </c>
      <c r="C1341" s="13">
        <v>105</v>
      </c>
      <c r="D1341" s="14" t="s">
        <v>91</v>
      </c>
      <c r="E1341">
        <v>11</v>
      </c>
      <c r="F1341" s="8">
        <f>VLOOKUP(financials[[#This Row],[productid]],Products!$B$2:$H$10,3)</f>
        <v>15</v>
      </c>
      <c r="G1341" s="8">
        <f>financials[[#This Row],[Units Sold]]*financials[[#This Row],[Sale Price]]</f>
        <v>165</v>
      </c>
      <c r="H1341" s="8">
        <f>IF(financials[[#This Row],[Discount Band]]="low",0.1,IF(financials[[#This Row],[Discount Band]]="medium",0.15,0.3))</f>
        <v>0.1</v>
      </c>
      <c r="I1341" s="8">
        <f>financials[[#This Row],[Gross Sales]]-financials[[#This Row],[Gross Sales]]*financials[[#This Row],[Discounts]]</f>
        <v>148.5</v>
      </c>
      <c r="J1341" s="8">
        <f>VLOOKUP(financials[[#This Row],[productid]],Products!$B$2:$H$10,4)</f>
        <v>10</v>
      </c>
      <c r="K1341" s="8">
        <f>financials[[#This Row],[Net Sales]]-financials[[#This Row],[COGS]]</f>
        <v>138.5</v>
      </c>
      <c r="L1341" s="15">
        <v>44060</v>
      </c>
      <c r="M1341" t="s">
        <v>700</v>
      </c>
    </row>
    <row r="1342" spans="1:13" x14ac:dyDescent="0.25">
      <c r="A1342" t="s">
        <v>89</v>
      </c>
      <c r="B1342" s="6" t="s">
        <v>167</v>
      </c>
      <c r="C1342" s="13">
        <v>107</v>
      </c>
      <c r="D1342" s="14" t="s">
        <v>83</v>
      </c>
      <c r="E1342">
        <v>7</v>
      </c>
      <c r="F1342" s="8">
        <f>VLOOKUP(financials[[#This Row],[productid]],Products!$B$2:$H$10,3)</f>
        <v>15</v>
      </c>
      <c r="G1342" s="8">
        <f>financials[[#This Row],[Units Sold]]*financials[[#This Row],[Sale Price]]</f>
        <v>105</v>
      </c>
      <c r="H1342" s="8">
        <f>IF(financials[[#This Row],[Discount Band]]="low",0.1,IF(financials[[#This Row],[Discount Band]]="medium",0.15,0.3))</f>
        <v>0.3</v>
      </c>
      <c r="I1342" s="8">
        <f>financials[[#This Row],[Gross Sales]]-financials[[#This Row],[Gross Sales]]*financials[[#This Row],[Discounts]]</f>
        <v>73.5</v>
      </c>
      <c r="J1342" s="8">
        <f>VLOOKUP(financials[[#This Row],[productid]],Products!$B$2:$H$10,4)</f>
        <v>5.5</v>
      </c>
      <c r="K1342" s="8">
        <f>financials[[#This Row],[Net Sales]]-financials[[#This Row],[COGS]]</f>
        <v>68</v>
      </c>
      <c r="L1342" s="15">
        <v>43853</v>
      </c>
      <c r="M1342" t="s">
        <v>696</v>
      </c>
    </row>
    <row r="1343" spans="1:13" x14ac:dyDescent="0.25">
      <c r="A1343" t="s">
        <v>89</v>
      </c>
      <c r="B1343" s="6" t="s">
        <v>167</v>
      </c>
      <c r="C1343" s="13">
        <v>108</v>
      </c>
      <c r="D1343" s="14" t="s">
        <v>92</v>
      </c>
      <c r="E1343">
        <v>18</v>
      </c>
      <c r="F1343" s="8">
        <f>VLOOKUP(financials[[#This Row],[productid]],Products!$B$2:$H$10,3)</f>
        <v>5.5</v>
      </c>
      <c r="G1343" s="8">
        <f>financials[[#This Row],[Units Sold]]*financials[[#This Row],[Sale Price]]</f>
        <v>99</v>
      </c>
      <c r="H1343" s="8">
        <f>IF(financials[[#This Row],[Discount Band]]="low",0.1,IF(financials[[#This Row],[Discount Band]]="medium",0.15,0.3))</f>
        <v>0.3</v>
      </c>
      <c r="I1343" s="8">
        <f>financials[[#This Row],[Gross Sales]]-financials[[#This Row],[Gross Sales]]*financials[[#This Row],[Discounts]]</f>
        <v>69.3</v>
      </c>
      <c r="J1343" s="8">
        <f>VLOOKUP(financials[[#This Row],[productid]],Products!$B$2:$H$10,4)</f>
        <v>3.99</v>
      </c>
      <c r="K1343" s="8">
        <f>financials[[#This Row],[Net Sales]]-financials[[#This Row],[COGS]]</f>
        <v>65.31</v>
      </c>
      <c r="L1343" s="15">
        <v>44232</v>
      </c>
      <c r="M1343" t="s">
        <v>690</v>
      </c>
    </row>
    <row r="1344" spans="1:13" x14ac:dyDescent="0.25">
      <c r="A1344" t="s">
        <v>86</v>
      </c>
      <c r="B1344" s="6" t="s">
        <v>228</v>
      </c>
      <c r="C1344" s="13">
        <v>106</v>
      </c>
      <c r="D1344" s="14" t="s">
        <v>83</v>
      </c>
      <c r="E1344">
        <v>13</v>
      </c>
      <c r="F1344" s="8">
        <f>VLOOKUP(financials[[#This Row],[productid]],Products!$B$2:$H$10,3)</f>
        <v>25</v>
      </c>
      <c r="G1344" s="8">
        <f>financials[[#This Row],[Units Sold]]*financials[[#This Row],[Sale Price]]</f>
        <v>325</v>
      </c>
      <c r="H1344" s="8">
        <f>IF(financials[[#This Row],[Discount Band]]="low",0.1,IF(financials[[#This Row],[Discount Band]]="medium",0.15,0.3))</f>
        <v>0.3</v>
      </c>
      <c r="I1344" s="8">
        <f>financials[[#This Row],[Gross Sales]]-financials[[#This Row],[Gross Sales]]*financials[[#This Row],[Discounts]]</f>
        <v>227.5</v>
      </c>
      <c r="J1344" s="8">
        <f>VLOOKUP(financials[[#This Row],[productid]],Products!$B$2:$H$10,4)</f>
        <v>9.1</v>
      </c>
      <c r="K1344" s="8">
        <f>financials[[#This Row],[Net Sales]]-financials[[#This Row],[COGS]]</f>
        <v>218.4</v>
      </c>
      <c r="L1344" s="15">
        <v>44928</v>
      </c>
      <c r="M1344" t="s">
        <v>700</v>
      </c>
    </row>
    <row r="1345" spans="1:13" x14ac:dyDescent="0.25">
      <c r="A1345" t="s">
        <v>86</v>
      </c>
      <c r="B1345" s="6" t="s">
        <v>197</v>
      </c>
      <c r="C1345" s="13">
        <v>103</v>
      </c>
      <c r="D1345" s="14" t="s">
        <v>83</v>
      </c>
      <c r="E1345">
        <v>14</v>
      </c>
      <c r="F1345" s="8">
        <f>VLOOKUP(financials[[#This Row],[productid]],Products!$B$2:$H$10,3)</f>
        <v>28</v>
      </c>
      <c r="G1345" s="8">
        <f>financials[[#This Row],[Units Sold]]*financials[[#This Row],[Sale Price]]</f>
        <v>392</v>
      </c>
      <c r="H1345" s="8">
        <f>IF(financials[[#This Row],[Discount Band]]="low",0.1,IF(financials[[#This Row],[Discount Band]]="medium",0.15,0.3))</f>
        <v>0.3</v>
      </c>
      <c r="I1345" s="8">
        <f>financials[[#This Row],[Gross Sales]]-financials[[#This Row],[Gross Sales]]*financials[[#This Row],[Discounts]]</f>
        <v>274.39999999999998</v>
      </c>
      <c r="J1345" s="8">
        <f>VLOOKUP(financials[[#This Row],[productid]],Products!$B$2:$H$10,4)</f>
        <v>15</v>
      </c>
      <c r="K1345" s="8">
        <f>financials[[#This Row],[Net Sales]]-financials[[#This Row],[COGS]]</f>
        <v>259.39999999999998</v>
      </c>
      <c r="L1345" s="15">
        <v>44926</v>
      </c>
      <c r="M1345" t="s">
        <v>700</v>
      </c>
    </row>
    <row r="1346" spans="1:13" x14ac:dyDescent="0.25">
      <c r="A1346" t="s">
        <v>85</v>
      </c>
      <c r="B1346" s="6" t="s">
        <v>273</v>
      </c>
      <c r="C1346" s="13">
        <v>102</v>
      </c>
      <c r="D1346" s="14" t="s">
        <v>90</v>
      </c>
      <c r="E1346">
        <v>15</v>
      </c>
      <c r="F1346" s="8">
        <f>VLOOKUP(financials[[#This Row],[productid]],Products!$B$2:$H$10,3)</f>
        <v>15</v>
      </c>
      <c r="G1346" s="8">
        <f>financials[[#This Row],[Units Sold]]*financials[[#This Row],[Sale Price]]</f>
        <v>225</v>
      </c>
      <c r="H1346" s="8">
        <f>IF(financials[[#This Row],[Discount Band]]="low",0.1,IF(financials[[#This Row],[Discount Band]]="medium",0.15,0.3))</f>
        <v>0.15</v>
      </c>
      <c r="I1346" s="8">
        <f>financials[[#This Row],[Gross Sales]]-financials[[#This Row],[Gross Sales]]*financials[[#This Row],[Discounts]]</f>
        <v>191.25</v>
      </c>
      <c r="J1346" s="8">
        <f>VLOOKUP(financials[[#This Row],[productid]],Products!$B$2:$H$10,4)</f>
        <v>13.95</v>
      </c>
      <c r="K1346" s="8">
        <f>financials[[#This Row],[Net Sales]]-financials[[#This Row],[COGS]]</f>
        <v>177.3</v>
      </c>
      <c r="L1346" s="15">
        <v>44274</v>
      </c>
      <c r="M1346" t="s">
        <v>690</v>
      </c>
    </row>
    <row r="1347" spans="1:13" x14ac:dyDescent="0.25">
      <c r="A1347" t="s">
        <v>85</v>
      </c>
      <c r="B1347" s="6" t="s">
        <v>268</v>
      </c>
      <c r="C1347" s="13">
        <v>105</v>
      </c>
      <c r="D1347" s="14" t="s">
        <v>92</v>
      </c>
      <c r="E1347">
        <v>13</v>
      </c>
      <c r="F1347" s="8">
        <f>VLOOKUP(financials[[#This Row],[productid]],Products!$B$2:$H$10,3)</f>
        <v>15</v>
      </c>
      <c r="G1347" s="8">
        <f>financials[[#This Row],[Units Sold]]*financials[[#This Row],[Sale Price]]</f>
        <v>195</v>
      </c>
      <c r="H1347" s="8">
        <f>IF(financials[[#This Row],[Discount Band]]="low",0.1,IF(financials[[#This Row],[Discount Band]]="medium",0.15,0.3))</f>
        <v>0.3</v>
      </c>
      <c r="I1347" s="8">
        <f>financials[[#This Row],[Gross Sales]]-financials[[#This Row],[Gross Sales]]*financials[[#This Row],[Discounts]]</f>
        <v>136.5</v>
      </c>
      <c r="J1347" s="8">
        <f>VLOOKUP(financials[[#This Row],[productid]],Products!$B$2:$H$10,4)</f>
        <v>10</v>
      </c>
      <c r="K1347" s="8">
        <f>financials[[#This Row],[Net Sales]]-financials[[#This Row],[COGS]]</f>
        <v>126.5</v>
      </c>
      <c r="L1347" s="15">
        <v>44737</v>
      </c>
      <c r="M1347" t="s">
        <v>691</v>
      </c>
    </row>
    <row r="1348" spans="1:13" x14ac:dyDescent="0.25">
      <c r="A1348" t="s">
        <v>85</v>
      </c>
      <c r="B1348" s="6" t="s">
        <v>94</v>
      </c>
      <c r="C1348" s="13">
        <v>105</v>
      </c>
      <c r="D1348" s="14" t="s">
        <v>90</v>
      </c>
      <c r="E1348">
        <v>20</v>
      </c>
      <c r="F1348" s="8">
        <f>VLOOKUP(financials[[#This Row],[productid]],Products!$B$2:$H$10,3)</f>
        <v>15</v>
      </c>
      <c r="G1348" s="8">
        <f>financials[[#This Row],[Units Sold]]*financials[[#This Row],[Sale Price]]</f>
        <v>300</v>
      </c>
      <c r="H1348" s="8">
        <f>IF(financials[[#This Row],[Discount Band]]="low",0.1,IF(financials[[#This Row],[Discount Band]]="medium",0.15,0.3))</f>
        <v>0.15</v>
      </c>
      <c r="I1348" s="8">
        <f>financials[[#This Row],[Gross Sales]]-financials[[#This Row],[Gross Sales]]*financials[[#This Row],[Discounts]]</f>
        <v>255</v>
      </c>
      <c r="J1348" s="8">
        <f>VLOOKUP(financials[[#This Row],[productid]],Products!$B$2:$H$10,4)</f>
        <v>10</v>
      </c>
      <c r="K1348" s="8">
        <f>financials[[#This Row],[Net Sales]]-financials[[#This Row],[COGS]]</f>
        <v>245</v>
      </c>
      <c r="L1348" s="15">
        <v>45235</v>
      </c>
      <c r="M1348" t="s">
        <v>697</v>
      </c>
    </row>
    <row r="1349" spans="1:13" x14ac:dyDescent="0.25">
      <c r="A1349" t="s">
        <v>85</v>
      </c>
      <c r="B1349" s="6" t="s">
        <v>167</v>
      </c>
      <c r="C1349" s="13">
        <v>101</v>
      </c>
      <c r="D1349" s="14" t="s">
        <v>90</v>
      </c>
      <c r="E1349">
        <v>9</v>
      </c>
      <c r="F1349" s="8">
        <f>VLOOKUP(financials[[#This Row],[productid]],Products!$B$2:$H$10,3)</f>
        <v>23</v>
      </c>
      <c r="G1349" s="8">
        <f>financials[[#This Row],[Units Sold]]*financials[[#This Row],[Sale Price]]</f>
        <v>207</v>
      </c>
      <c r="H1349" s="8">
        <f>IF(financials[[#This Row],[Discount Band]]="low",0.1,IF(financials[[#This Row],[Discount Band]]="medium",0.15,0.3))</f>
        <v>0.15</v>
      </c>
      <c r="I1349" s="8">
        <f>financials[[#This Row],[Gross Sales]]-financials[[#This Row],[Gross Sales]]*financials[[#This Row],[Discounts]]</f>
        <v>175.95</v>
      </c>
      <c r="J1349" s="8">
        <f>VLOOKUP(financials[[#This Row],[productid]],Products!$B$2:$H$10,4)</f>
        <v>9.9499999999999993</v>
      </c>
      <c r="K1349" s="8">
        <f>financials[[#This Row],[Net Sales]]-financials[[#This Row],[COGS]]</f>
        <v>166</v>
      </c>
      <c r="L1349" s="15">
        <v>45623</v>
      </c>
      <c r="M1349" t="s">
        <v>696</v>
      </c>
    </row>
    <row r="1350" spans="1:13" x14ac:dyDescent="0.25">
      <c r="A1350" t="s">
        <v>89</v>
      </c>
      <c r="B1350" s="6" t="s">
        <v>167</v>
      </c>
      <c r="C1350" s="13">
        <v>109</v>
      </c>
      <c r="D1350" s="14" t="s">
        <v>90</v>
      </c>
      <c r="E1350">
        <v>5</v>
      </c>
      <c r="F1350" s="8">
        <f>VLOOKUP(financials[[#This Row],[productid]],Products!$B$2:$H$10,3)</f>
        <v>36</v>
      </c>
      <c r="G1350" s="8">
        <f>financials[[#This Row],[Units Sold]]*financials[[#This Row],[Sale Price]]</f>
        <v>180</v>
      </c>
      <c r="H1350" s="8">
        <f>IF(financials[[#This Row],[Discount Band]]="low",0.1,IF(financials[[#This Row],[Discount Band]]="medium",0.15,0.3))</f>
        <v>0.15</v>
      </c>
      <c r="I1350" s="8">
        <f>financials[[#This Row],[Gross Sales]]-financials[[#This Row],[Gross Sales]]*financials[[#This Row],[Discounts]]</f>
        <v>153</v>
      </c>
      <c r="J1350" s="8">
        <f>VLOOKUP(financials[[#This Row],[productid]],Products!$B$2:$H$10,4)</f>
        <v>16.8</v>
      </c>
      <c r="K1350" s="8">
        <f>financials[[#This Row],[Net Sales]]-financials[[#This Row],[COGS]]</f>
        <v>136.19999999999999</v>
      </c>
      <c r="L1350" s="15">
        <v>44633</v>
      </c>
      <c r="M1350" t="s">
        <v>696</v>
      </c>
    </row>
    <row r="1351" spans="1:13" x14ac:dyDescent="0.25">
      <c r="A1351" t="s">
        <v>89</v>
      </c>
      <c r="B1351" s="6" t="s">
        <v>95</v>
      </c>
      <c r="C1351" s="13">
        <v>104</v>
      </c>
      <c r="D1351" s="14" t="s">
        <v>83</v>
      </c>
      <c r="E1351">
        <v>10</v>
      </c>
      <c r="F1351" s="8">
        <f>VLOOKUP(financials[[#This Row],[productid]],Products!$B$2:$H$10,3)</f>
        <v>5.9</v>
      </c>
      <c r="G1351" s="8">
        <f>financials[[#This Row],[Units Sold]]*financials[[#This Row],[Sale Price]]</f>
        <v>59</v>
      </c>
      <c r="H1351" s="8">
        <f>IF(financials[[#This Row],[Discount Band]]="low",0.1,IF(financials[[#This Row],[Discount Band]]="medium",0.15,0.3))</f>
        <v>0.3</v>
      </c>
      <c r="I1351" s="8">
        <f>financials[[#This Row],[Gross Sales]]-financials[[#This Row],[Gross Sales]]*financials[[#This Row],[Discounts]]</f>
        <v>41.3</v>
      </c>
      <c r="J1351" s="8">
        <f>VLOOKUP(financials[[#This Row],[productid]],Products!$B$2:$H$10,4)</f>
        <v>2.9</v>
      </c>
      <c r="K1351" s="8">
        <f>financials[[#This Row],[Net Sales]]-financials[[#This Row],[COGS]]</f>
        <v>38.4</v>
      </c>
      <c r="L1351" s="15">
        <v>44969</v>
      </c>
      <c r="M1351" t="s">
        <v>690</v>
      </c>
    </row>
    <row r="1352" spans="1:13" x14ac:dyDescent="0.25">
      <c r="A1352" t="s">
        <v>85</v>
      </c>
      <c r="B1352" s="6" t="s">
        <v>205</v>
      </c>
      <c r="C1352" s="13">
        <v>103</v>
      </c>
      <c r="D1352" s="14" t="s">
        <v>92</v>
      </c>
      <c r="E1352">
        <v>11</v>
      </c>
      <c r="F1352" s="8">
        <f>VLOOKUP(financials[[#This Row],[productid]],Products!$B$2:$H$10,3)</f>
        <v>28</v>
      </c>
      <c r="G1352" s="8">
        <f>financials[[#This Row],[Units Sold]]*financials[[#This Row],[Sale Price]]</f>
        <v>308</v>
      </c>
      <c r="H1352" s="8">
        <f>IF(financials[[#This Row],[Discount Band]]="low",0.1,IF(financials[[#This Row],[Discount Band]]="medium",0.15,0.3))</f>
        <v>0.3</v>
      </c>
      <c r="I1352" s="8">
        <f>financials[[#This Row],[Gross Sales]]-financials[[#This Row],[Gross Sales]]*financials[[#This Row],[Discounts]]</f>
        <v>215.60000000000002</v>
      </c>
      <c r="J1352" s="8">
        <f>VLOOKUP(financials[[#This Row],[productid]],Products!$B$2:$H$10,4)</f>
        <v>15</v>
      </c>
      <c r="K1352" s="8">
        <f>financials[[#This Row],[Net Sales]]-financials[[#This Row],[COGS]]</f>
        <v>200.60000000000002</v>
      </c>
      <c r="L1352" s="15">
        <v>44301</v>
      </c>
      <c r="M1352" t="s">
        <v>696</v>
      </c>
    </row>
    <row r="1353" spans="1:13" x14ac:dyDescent="0.25">
      <c r="A1353" t="s">
        <v>85</v>
      </c>
      <c r="B1353" s="6" t="s">
        <v>94</v>
      </c>
      <c r="C1353" s="13">
        <v>105</v>
      </c>
      <c r="D1353" s="14" t="s">
        <v>90</v>
      </c>
      <c r="E1353">
        <v>9</v>
      </c>
      <c r="F1353" s="8">
        <f>VLOOKUP(financials[[#This Row],[productid]],Products!$B$2:$H$10,3)</f>
        <v>15</v>
      </c>
      <c r="G1353" s="8">
        <f>financials[[#This Row],[Units Sold]]*financials[[#This Row],[Sale Price]]</f>
        <v>135</v>
      </c>
      <c r="H1353" s="8">
        <f>IF(financials[[#This Row],[Discount Band]]="low",0.1,IF(financials[[#This Row],[Discount Band]]="medium",0.15,0.3))</f>
        <v>0.15</v>
      </c>
      <c r="I1353" s="8">
        <f>financials[[#This Row],[Gross Sales]]-financials[[#This Row],[Gross Sales]]*financials[[#This Row],[Discounts]]</f>
        <v>114.75</v>
      </c>
      <c r="J1353" s="8">
        <f>VLOOKUP(financials[[#This Row],[productid]],Products!$B$2:$H$10,4)</f>
        <v>10</v>
      </c>
      <c r="K1353" s="8">
        <f>financials[[#This Row],[Net Sales]]-financials[[#This Row],[COGS]]</f>
        <v>104.75</v>
      </c>
      <c r="L1353" s="15">
        <v>45520</v>
      </c>
      <c r="M1353" t="s">
        <v>690</v>
      </c>
    </row>
    <row r="1354" spans="1:13" x14ac:dyDescent="0.25">
      <c r="A1354" t="s">
        <v>86</v>
      </c>
      <c r="B1354" s="6" t="s">
        <v>95</v>
      </c>
      <c r="C1354" s="13">
        <v>103</v>
      </c>
      <c r="D1354" s="14" t="s">
        <v>90</v>
      </c>
      <c r="E1354">
        <v>9</v>
      </c>
      <c r="F1354" s="8">
        <f>VLOOKUP(financials[[#This Row],[productid]],Products!$B$2:$H$10,3)</f>
        <v>28</v>
      </c>
      <c r="G1354" s="8">
        <f>financials[[#This Row],[Units Sold]]*financials[[#This Row],[Sale Price]]</f>
        <v>252</v>
      </c>
      <c r="H1354" s="8">
        <f>IF(financials[[#This Row],[Discount Band]]="low",0.1,IF(financials[[#This Row],[Discount Band]]="medium",0.15,0.3))</f>
        <v>0.15</v>
      </c>
      <c r="I1354" s="8">
        <f>financials[[#This Row],[Gross Sales]]-financials[[#This Row],[Gross Sales]]*financials[[#This Row],[Discounts]]</f>
        <v>214.2</v>
      </c>
      <c r="J1354" s="8">
        <f>VLOOKUP(financials[[#This Row],[productid]],Products!$B$2:$H$10,4)</f>
        <v>15</v>
      </c>
      <c r="K1354" s="8">
        <f>financials[[#This Row],[Net Sales]]-financials[[#This Row],[COGS]]</f>
        <v>199.2</v>
      </c>
      <c r="L1354" s="15">
        <v>44862</v>
      </c>
      <c r="M1354" t="s">
        <v>696</v>
      </c>
    </row>
    <row r="1355" spans="1:13" x14ac:dyDescent="0.25">
      <c r="A1355" t="s">
        <v>85</v>
      </c>
      <c r="B1355" s="6" t="s">
        <v>545</v>
      </c>
      <c r="C1355" s="13">
        <v>106</v>
      </c>
      <c r="D1355" s="14" t="s">
        <v>90</v>
      </c>
      <c r="E1355">
        <v>10</v>
      </c>
      <c r="F1355" s="8">
        <f>VLOOKUP(financials[[#This Row],[productid]],Products!$B$2:$H$10,3)</f>
        <v>25</v>
      </c>
      <c r="G1355" s="8">
        <f>financials[[#This Row],[Units Sold]]*financials[[#This Row],[Sale Price]]</f>
        <v>250</v>
      </c>
      <c r="H1355" s="8">
        <f>IF(financials[[#This Row],[Discount Band]]="low",0.1,IF(financials[[#This Row],[Discount Band]]="medium",0.15,0.3))</f>
        <v>0.15</v>
      </c>
      <c r="I1355" s="8">
        <f>financials[[#This Row],[Gross Sales]]-financials[[#This Row],[Gross Sales]]*financials[[#This Row],[Discounts]]</f>
        <v>212.5</v>
      </c>
      <c r="J1355" s="8">
        <f>VLOOKUP(financials[[#This Row],[productid]],Products!$B$2:$H$10,4)</f>
        <v>9.1</v>
      </c>
      <c r="K1355" s="8">
        <f>financials[[#This Row],[Net Sales]]-financials[[#This Row],[COGS]]</f>
        <v>203.4</v>
      </c>
      <c r="L1355" s="15">
        <v>44163</v>
      </c>
      <c r="M1355" t="s">
        <v>691</v>
      </c>
    </row>
    <row r="1356" spans="1:13" x14ac:dyDescent="0.25">
      <c r="A1356" t="s">
        <v>86</v>
      </c>
      <c r="B1356" s="6" t="s">
        <v>240</v>
      </c>
      <c r="C1356" s="13">
        <v>109</v>
      </c>
      <c r="D1356" s="14" t="s">
        <v>83</v>
      </c>
      <c r="E1356">
        <v>6</v>
      </c>
      <c r="F1356" s="8">
        <f>VLOOKUP(financials[[#This Row],[productid]],Products!$B$2:$H$10,3)</f>
        <v>36</v>
      </c>
      <c r="G1356" s="8">
        <f>financials[[#This Row],[Units Sold]]*financials[[#This Row],[Sale Price]]</f>
        <v>216</v>
      </c>
      <c r="H1356" s="8">
        <f>IF(financials[[#This Row],[Discount Band]]="low",0.1,IF(financials[[#This Row],[Discount Band]]="medium",0.15,0.3))</f>
        <v>0.3</v>
      </c>
      <c r="I1356" s="8">
        <f>financials[[#This Row],[Gross Sales]]-financials[[#This Row],[Gross Sales]]*financials[[#This Row],[Discounts]]</f>
        <v>151.19999999999999</v>
      </c>
      <c r="J1356" s="8">
        <f>VLOOKUP(financials[[#This Row],[productid]],Products!$B$2:$H$10,4)</f>
        <v>16.8</v>
      </c>
      <c r="K1356" s="8">
        <f>financials[[#This Row],[Net Sales]]-financials[[#This Row],[COGS]]</f>
        <v>134.39999999999998</v>
      </c>
      <c r="L1356" s="15">
        <v>44224</v>
      </c>
      <c r="M1356" t="s">
        <v>696</v>
      </c>
    </row>
    <row r="1357" spans="1:13" x14ac:dyDescent="0.25">
      <c r="A1357" t="s">
        <v>86</v>
      </c>
      <c r="B1357" s="6" t="s">
        <v>125</v>
      </c>
      <c r="C1357" s="13">
        <v>109</v>
      </c>
      <c r="D1357" s="14" t="s">
        <v>92</v>
      </c>
      <c r="E1357">
        <v>16</v>
      </c>
      <c r="F1357" s="8">
        <f>VLOOKUP(financials[[#This Row],[productid]],Products!$B$2:$H$10,3)</f>
        <v>36</v>
      </c>
      <c r="G1357" s="8">
        <f>financials[[#This Row],[Units Sold]]*financials[[#This Row],[Sale Price]]</f>
        <v>576</v>
      </c>
      <c r="H1357" s="8">
        <f>IF(financials[[#This Row],[Discount Band]]="low",0.1,IF(financials[[#This Row],[Discount Band]]="medium",0.15,0.3))</f>
        <v>0.3</v>
      </c>
      <c r="I1357" s="8">
        <f>financials[[#This Row],[Gross Sales]]-financials[[#This Row],[Gross Sales]]*financials[[#This Row],[Discounts]]</f>
        <v>403.20000000000005</v>
      </c>
      <c r="J1357" s="8">
        <f>VLOOKUP(financials[[#This Row],[productid]],Products!$B$2:$H$10,4)</f>
        <v>16.8</v>
      </c>
      <c r="K1357" s="8">
        <f>financials[[#This Row],[Net Sales]]-financials[[#This Row],[COGS]]</f>
        <v>386.40000000000003</v>
      </c>
      <c r="L1357" s="15">
        <v>43989</v>
      </c>
      <c r="M1357" t="s">
        <v>691</v>
      </c>
    </row>
    <row r="1358" spans="1:13" x14ac:dyDescent="0.25">
      <c r="A1358" t="s">
        <v>86</v>
      </c>
      <c r="B1358" s="6" t="s">
        <v>167</v>
      </c>
      <c r="C1358" s="13">
        <v>101</v>
      </c>
      <c r="D1358" s="14" t="s">
        <v>83</v>
      </c>
      <c r="E1358">
        <v>10</v>
      </c>
      <c r="F1358" s="8">
        <f>VLOOKUP(financials[[#This Row],[productid]],Products!$B$2:$H$10,3)</f>
        <v>23</v>
      </c>
      <c r="G1358" s="8">
        <f>financials[[#This Row],[Units Sold]]*financials[[#This Row],[Sale Price]]</f>
        <v>230</v>
      </c>
      <c r="H1358" s="8">
        <f>IF(financials[[#This Row],[Discount Band]]="low",0.1,IF(financials[[#This Row],[Discount Band]]="medium",0.15,0.3))</f>
        <v>0.3</v>
      </c>
      <c r="I1358" s="8">
        <f>financials[[#This Row],[Gross Sales]]-financials[[#This Row],[Gross Sales]]*financials[[#This Row],[Discounts]]</f>
        <v>161</v>
      </c>
      <c r="J1358" s="8">
        <f>VLOOKUP(financials[[#This Row],[productid]],Products!$B$2:$H$10,4)</f>
        <v>9.9499999999999993</v>
      </c>
      <c r="K1358" s="8">
        <f>financials[[#This Row],[Net Sales]]-financials[[#This Row],[COGS]]</f>
        <v>151.05000000000001</v>
      </c>
      <c r="L1358" s="15">
        <v>44013</v>
      </c>
      <c r="M1358" t="s">
        <v>700</v>
      </c>
    </row>
    <row r="1359" spans="1:13" x14ac:dyDescent="0.25">
      <c r="A1359" t="s">
        <v>85</v>
      </c>
      <c r="B1359" s="6" t="s">
        <v>273</v>
      </c>
      <c r="C1359" s="13">
        <v>107</v>
      </c>
      <c r="D1359" s="14" t="s">
        <v>83</v>
      </c>
      <c r="E1359">
        <v>16</v>
      </c>
      <c r="F1359" s="8">
        <f>VLOOKUP(financials[[#This Row],[productid]],Products!$B$2:$H$10,3)</f>
        <v>15</v>
      </c>
      <c r="G1359" s="8">
        <f>financials[[#This Row],[Units Sold]]*financials[[#This Row],[Sale Price]]</f>
        <v>240</v>
      </c>
      <c r="H1359" s="8">
        <f>IF(financials[[#This Row],[Discount Band]]="low",0.1,IF(financials[[#This Row],[Discount Band]]="medium",0.15,0.3))</f>
        <v>0.3</v>
      </c>
      <c r="I1359" s="8">
        <f>financials[[#This Row],[Gross Sales]]-financials[[#This Row],[Gross Sales]]*financials[[#This Row],[Discounts]]</f>
        <v>168</v>
      </c>
      <c r="J1359" s="8">
        <f>VLOOKUP(financials[[#This Row],[productid]],Products!$B$2:$H$10,4)</f>
        <v>5.5</v>
      </c>
      <c r="K1359" s="8">
        <f>financials[[#This Row],[Net Sales]]-financials[[#This Row],[COGS]]</f>
        <v>162.5</v>
      </c>
      <c r="L1359" s="15">
        <v>45547</v>
      </c>
      <c r="M1359" t="s">
        <v>691</v>
      </c>
    </row>
    <row r="1360" spans="1:13" x14ac:dyDescent="0.25">
      <c r="A1360" t="s">
        <v>86</v>
      </c>
      <c r="B1360" s="6" t="s">
        <v>232</v>
      </c>
      <c r="C1360" s="13">
        <v>106</v>
      </c>
      <c r="D1360" s="14" t="s">
        <v>83</v>
      </c>
      <c r="E1360">
        <v>16</v>
      </c>
      <c r="F1360" s="8">
        <f>VLOOKUP(financials[[#This Row],[productid]],Products!$B$2:$H$10,3)</f>
        <v>25</v>
      </c>
      <c r="G1360" s="8">
        <f>financials[[#This Row],[Units Sold]]*financials[[#This Row],[Sale Price]]</f>
        <v>400</v>
      </c>
      <c r="H1360" s="8">
        <f>IF(financials[[#This Row],[Discount Band]]="low",0.1,IF(financials[[#This Row],[Discount Band]]="medium",0.15,0.3))</f>
        <v>0.3</v>
      </c>
      <c r="I1360" s="8">
        <f>financials[[#This Row],[Gross Sales]]-financials[[#This Row],[Gross Sales]]*financials[[#This Row],[Discounts]]</f>
        <v>280</v>
      </c>
      <c r="J1360" s="8">
        <f>VLOOKUP(financials[[#This Row],[productid]],Products!$B$2:$H$10,4)</f>
        <v>9.1</v>
      </c>
      <c r="K1360" s="8">
        <f>financials[[#This Row],[Net Sales]]-financials[[#This Row],[COGS]]</f>
        <v>270.89999999999998</v>
      </c>
      <c r="L1360" s="15">
        <v>44925</v>
      </c>
      <c r="M1360" t="s">
        <v>697</v>
      </c>
    </row>
    <row r="1361" spans="1:13" x14ac:dyDescent="0.25">
      <c r="A1361" t="s">
        <v>86</v>
      </c>
      <c r="B1361" s="6" t="s">
        <v>617</v>
      </c>
      <c r="C1361" s="13">
        <v>109</v>
      </c>
      <c r="D1361" s="14" t="s">
        <v>91</v>
      </c>
      <c r="E1361">
        <v>16</v>
      </c>
      <c r="F1361" s="8">
        <f>VLOOKUP(financials[[#This Row],[productid]],Products!$B$2:$H$10,3)</f>
        <v>36</v>
      </c>
      <c r="G1361" s="8">
        <f>financials[[#This Row],[Units Sold]]*financials[[#This Row],[Sale Price]]</f>
        <v>576</v>
      </c>
      <c r="H1361" s="8">
        <f>IF(financials[[#This Row],[Discount Band]]="low",0.1,IF(financials[[#This Row],[Discount Band]]="medium",0.15,0.3))</f>
        <v>0.1</v>
      </c>
      <c r="I1361" s="8">
        <f>financials[[#This Row],[Gross Sales]]-financials[[#This Row],[Gross Sales]]*financials[[#This Row],[Discounts]]</f>
        <v>518.4</v>
      </c>
      <c r="J1361" s="8">
        <f>VLOOKUP(financials[[#This Row],[productid]],Products!$B$2:$H$10,4)</f>
        <v>16.8</v>
      </c>
      <c r="K1361" s="8">
        <f>financials[[#This Row],[Net Sales]]-financials[[#This Row],[COGS]]</f>
        <v>501.59999999999997</v>
      </c>
      <c r="L1361" s="15">
        <v>45260</v>
      </c>
      <c r="M1361" t="s">
        <v>691</v>
      </c>
    </row>
    <row r="1362" spans="1:13" x14ac:dyDescent="0.25">
      <c r="A1362" t="s">
        <v>86</v>
      </c>
      <c r="B1362" s="6" t="s">
        <v>228</v>
      </c>
      <c r="C1362" s="13">
        <v>102</v>
      </c>
      <c r="D1362" s="14" t="s">
        <v>83</v>
      </c>
      <c r="E1362">
        <v>14</v>
      </c>
      <c r="F1362" s="8">
        <f>VLOOKUP(financials[[#This Row],[productid]],Products!$B$2:$H$10,3)</f>
        <v>15</v>
      </c>
      <c r="G1362" s="8">
        <f>financials[[#This Row],[Units Sold]]*financials[[#This Row],[Sale Price]]</f>
        <v>210</v>
      </c>
      <c r="H1362" s="8">
        <f>IF(financials[[#This Row],[Discount Band]]="low",0.1,IF(financials[[#This Row],[Discount Band]]="medium",0.15,0.3))</f>
        <v>0.3</v>
      </c>
      <c r="I1362" s="8">
        <f>financials[[#This Row],[Gross Sales]]-financials[[#This Row],[Gross Sales]]*financials[[#This Row],[Discounts]]</f>
        <v>147</v>
      </c>
      <c r="J1362" s="8">
        <f>VLOOKUP(financials[[#This Row],[productid]],Products!$B$2:$H$10,4)</f>
        <v>13.95</v>
      </c>
      <c r="K1362" s="8">
        <f>financials[[#This Row],[Net Sales]]-financials[[#This Row],[COGS]]</f>
        <v>133.05000000000001</v>
      </c>
      <c r="L1362" s="15">
        <v>44674</v>
      </c>
      <c r="M1362" t="s">
        <v>690</v>
      </c>
    </row>
    <row r="1363" spans="1:13" x14ac:dyDescent="0.25">
      <c r="A1363" t="s">
        <v>89</v>
      </c>
      <c r="B1363" s="6" t="s">
        <v>276</v>
      </c>
      <c r="C1363" s="13">
        <v>102</v>
      </c>
      <c r="D1363" s="14" t="s">
        <v>83</v>
      </c>
      <c r="E1363">
        <v>7</v>
      </c>
      <c r="F1363" s="8">
        <f>VLOOKUP(financials[[#This Row],[productid]],Products!$B$2:$H$10,3)</f>
        <v>15</v>
      </c>
      <c r="G1363" s="8">
        <f>financials[[#This Row],[Units Sold]]*financials[[#This Row],[Sale Price]]</f>
        <v>105</v>
      </c>
      <c r="H1363" s="8">
        <f>IF(financials[[#This Row],[Discount Band]]="low",0.1,IF(financials[[#This Row],[Discount Band]]="medium",0.15,0.3))</f>
        <v>0.3</v>
      </c>
      <c r="I1363" s="8">
        <f>financials[[#This Row],[Gross Sales]]-financials[[#This Row],[Gross Sales]]*financials[[#This Row],[Discounts]]</f>
        <v>73.5</v>
      </c>
      <c r="J1363" s="8">
        <f>VLOOKUP(financials[[#This Row],[productid]],Products!$B$2:$H$10,4)</f>
        <v>13.95</v>
      </c>
      <c r="K1363" s="8">
        <f>financials[[#This Row],[Net Sales]]-financials[[#This Row],[COGS]]</f>
        <v>59.55</v>
      </c>
      <c r="L1363" s="15">
        <v>45655</v>
      </c>
      <c r="M1363" t="s">
        <v>690</v>
      </c>
    </row>
    <row r="1364" spans="1:13" x14ac:dyDescent="0.25">
      <c r="A1364" t="s">
        <v>89</v>
      </c>
      <c r="B1364" s="6" t="s">
        <v>205</v>
      </c>
      <c r="C1364" s="13">
        <v>101</v>
      </c>
      <c r="D1364" s="14" t="s">
        <v>83</v>
      </c>
      <c r="E1364">
        <v>14</v>
      </c>
      <c r="F1364" s="8">
        <f>VLOOKUP(financials[[#This Row],[productid]],Products!$B$2:$H$10,3)</f>
        <v>23</v>
      </c>
      <c r="G1364" s="8">
        <f>financials[[#This Row],[Units Sold]]*financials[[#This Row],[Sale Price]]</f>
        <v>322</v>
      </c>
      <c r="H1364" s="8">
        <f>IF(financials[[#This Row],[Discount Band]]="low",0.1,IF(financials[[#This Row],[Discount Band]]="medium",0.15,0.3))</f>
        <v>0.3</v>
      </c>
      <c r="I1364" s="8">
        <f>financials[[#This Row],[Gross Sales]]-financials[[#This Row],[Gross Sales]]*financials[[#This Row],[Discounts]]</f>
        <v>225.4</v>
      </c>
      <c r="J1364" s="8">
        <f>VLOOKUP(financials[[#This Row],[productid]],Products!$B$2:$H$10,4)</f>
        <v>9.9499999999999993</v>
      </c>
      <c r="K1364" s="8">
        <f>financials[[#This Row],[Net Sales]]-financials[[#This Row],[COGS]]</f>
        <v>215.45000000000002</v>
      </c>
      <c r="L1364" s="15">
        <v>44855</v>
      </c>
      <c r="M1364" t="s">
        <v>700</v>
      </c>
    </row>
    <row r="1365" spans="1:13" x14ac:dyDescent="0.25">
      <c r="A1365" t="s">
        <v>86</v>
      </c>
      <c r="B1365" s="6" t="s">
        <v>232</v>
      </c>
      <c r="C1365" s="13">
        <v>101</v>
      </c>
      <c r="D1365" s="14" t="s">
        <v>92</v>
      </c>
      <c r="E1365">
        <v>9</v>
      </c>
      <c r="F1365" s="8">
        <f>VLOOKUP(financials[[#This Row],[productid]],Products!$B$2:$H$10,3)</f>
        <v>23</v>
      </c>
      <c r="G1365" s="8">
        <f>financials[[#This Row],[Units Sold]]*financials[[#This Row],[Sale Price]]</f>
        <v>207</v>
      </c>
      <c r="H1365" s="8">
        <f>IF(financials[[#This Row],[Discount Band]]="low",0.1,IF(financials[[#This Row],[Discount Band]]="medium",0.15,0.3))</f>
        <v>0.3</v>
      </c>
      <c r="I1365" s="8">
        <f>financials[[#This Row],[Gross Sales]]-financials[[#This Row],[Gross Sales]]*financials[[#This Row],[Discounts]]</f>
        <v>144.9</v>
      </c>
      <c r="J1365" s="8">
        <f>VLOOKUP(financials[[#This Row],[productid]],Products!$B$2:$H$10,4)</f>
        <v>9.9499999999999993</v>
      </c>
      <c r="K1365" s="8">
        <f>financials[[#This Row],[Net Sales]]-financials[[#This Row],[COGS]]</f>
        <v>134.95000000000002</v>
      </c>
      <c r="L1365" s="15">
        <v>44295</v>
      </c>
      <c r="M1365" t="s">
        <v>700</v>
      </c>
    </row>
    <row r="1366" spans="1:13" x14ac:dyDescent="0.25">
      <c r="A1366" t="s">
        <v>86</v>
      </c>
      <c r="B1366" s="6" t="s">
        <v>240</v>
      </c>
      <c r="C1366" s="13">
        <v>109</v>
      </c>
      <c r="D1366" s="14" t="s">
        <v>83</v>
      </c>
      <c r="E1366">
        <v>8</v>
      </c>
      <c r="F1366" s="8">
        <f>VLOOKUP(financials[[#This Row],[productid]],Products!$B$2:$H$10,3)</f>
        <v>36</v>
      </c>
      <c r="G1366" s="8">
        <f>financials[[#This Row],[Units Sold]]*financials[[#This Row],[Sale Price]]</f>
        <v>288</v>
      </c>
      <c r="H1366" s="8">
        <f>IF(financials[[#This Row],[Discount Band]]="low",0.1,IF(financials[[#This Row],[Discount Band]]="medium",0.15,0.3))</f>
        <v>0.3</v>
      </c>
      <c r="I1366" s="8">
        <f>financials[[#This Row],[Gross Sales]]-financials[[#This Row],[Gross Sales]]*financials[[#This Row],[Discounts]]</f>
        <v>201.60000000000002</v>
      </c>
      <c r="J1366" s="8">
        <f>VLOOKUP(financials[[#This Row],[productid]],Products!$B$2:$H$10,4)</f>
        <v>16.8</v>
      </c>
      <c r="K1366" s="8">
        <f>financials[[#This Row],[Net Sales]]-financials[[#This Row],[COGS]]</f>
        <v>184.8</v>
      </c>
      <c r="L1366" s="15">
        <v>44244</v>
      </c>
      <c r="M1366" t="s">
        <v>696</v>
      </c>
    </row>
    <row r="1367" spans="1:13" x14ac:dyDescent="0.25">
      <c r="A1367" t="s">
        <v>86</v>
      </c>
      <c r="B1367" s="6" t="s">
        <v>96</v>
      </c>
      <c r="C1367" s="13">
        <v>101</v>
      </c>
      <c r="D1367" s="14" t="s">
        <v>83</v>
      </c>
      <c r="E1367">
        <v>6</v>
      </c>
      <c r="F1367" s="8">
        <f>VLOOKUP(financials[[#This Row],[productid]],Products!$B$2:$H$10,3)</f>
        <v>23</v>
      </c>
      <c r="G1367" s="8">
        <f>financials[[#This Row],[Units Sold]]*financials[[#This Row],[Sale Price]]</f>
        <v>138</v>
      </c>
      <c r="H1367" s="8">
        <f>IF(financials[[#This Row],[Discount Band]]="low",0.1,IF(financials[[#This Row],[Discount Band]]="medium",0.15,0.3))</f>
        <v>0.3</v>
      </c>
      <c r="I1367" s="8">
        <f>financials[[#This Row],[Gross Sales]]-financials[[#This Row],[Gross Sales]]*financials[[#This Row],[Discounts]]</f>
        <v>96.6</v>
      </c>
      <c r="J1367" s="8">
        <f>VLOOKUP(financials[[#This Row],[productid]],Products!$B$2:$H$10,4)</f>
        <v>9.9499999999999993</v>
      </c>
      <c r="K1367" s="8">
        <f>financials[[#This Row],[Net Sales]]-financials[[#This Row],[COGS]]</f>
        <v>86.649999999999991</v>
      </c>
      <c r="L1367" s="15">
        <v>44265</v>
      </c>
      <c r="M1367" t="s">
        <v>700</v>
      </c>
    </row>
    <row r="1368" spans="1:13" x14ac:dyDescent="0.25">
      <c r="A1368" t="s">
        <v>85</v>
      </c>
      <c r="B1368" s="6" t="s">
        <v>273</v>
      </c>
      <c r="C1368" s="13">
        <v>102</v>
      </c>
      <c r="D1368" s="14" t="s">
        <v>83</v>
      </c>
      <c r="E1368">
        <v>6</v>
      </c>
      <c r="F1368" s="8">
        <f>VLOOKUP(financials[[#This Row],[productid]],Products!$B$2:$H$10,3)</f>
        <v>15</v>
      </c>
      <c r="G1368" s="8">
        <f>financials[[#This Row],[Units Sold]]*financials[[#This Row],[Sale Price]]</f>
        <v>90</v>
      </c>
      <c r="H1368" s="8">
        <f>IF(financials[[#This Row],[Discount Band]]="low",0.1,IF(financials[[#This Row],[Discount Band]]="medium",0.15,0.3))</f>
        <v>0.3</v>
      </c>
      <c r="I1368" s="8">
        <f>financials[[#This Row],[Gross Sales]]-financials[[#This Row],[Gross Sales]]*financials[[#This Row],[Discounts]]</f>
        <v>63</v>
      </c>
      <c r="J1368" s="8">
        <f>VLOOKUP(financials[[#This Row],[productid]],Products!$B$2:$H$10,4)</f>
        <v>13.95</v>
      </c>
      <c r="K1368" s="8">
        <f>financials[[#This Row],[Net Sales]]-financials[[#This Row],[COGS]]</f>
        <v>49.05</v>
      </c>
      <c r="L1368" s="15">
        <v>44391</v>
      </c>
      <c r="M1368" t="s">
        <v>696</v>
      </c>
    </row>
    <row r="1369" spans="1:13" x14ac:dyDescent="0.25">
      <c r="A1369" t="s">
        <v>85</v>
      </c>
      <c r="B1369" s="6" t="s">
        <v>276</v>
      </c>
      <c r="C1369" s="11">
        <v>102</v>
      </c>
      <c r="D1369" s="9" t="s">
        <v>91</v>
      </c>
      <c r="E1369">
        <v>10</v>
      </c>
      <c r="F1369" s="8">
        <f>VLOOKUP(financials[[#This Row],[productid]],Products!$B$2:$H$10,3)</f>
        <v>15</v>
      </c>
      <c r="G1369" s="8">
        <f>financials[[#This Row],[Units Sold]]*financials[[#This Row],[Sale Price]]</f>
        <v>150</v>
      </c>
      <c r="H1369" s="8">
        <f>IF(financials[[#This Row],[Discount Band]]="low",0.1,IF(financials[[#This Row],[Discount Band]]="medium",0.15,0.3))</f>
        <v>0.1</v>
      </c>
      <c r="I1369" s="8">
        <f>financials[[#This Row],[Gross Sales]]-financials[[#This Row],[Gross Sales]]*financials[[#This Row],[Discounts]]</f>
        <v>135</v>
      </c>
      <c r="J1369" s="8">
        <f>VLOOKUP(financials[[#This Row],[productid]],Products!$B$2:$H$10,4)</f>
        <v>13.95</v>
      </c>
      <c r="K1369" s="8">
        <f>financials[[#This Row],[Net Sales]]-financials[[#This Row],[COGS]]</f>
        <v>121.05</v>
      </c>
      <c r="L1369" s="15">
        <v>45283</v>
      </c>
      <c r="M1369" t="s">
        <v>690</v>
      </c>
    </row>
    <row r="1370" spans="1:13" x14ac:dyDescent="0.25">
      <c r="A1370" t="s">
        <v>85</v>
      </c>
      <c r="B1370" s="6" t="s">
        <v>545</v>
      </c>
      <c r="C1370" s="13">
        <v>102</v>
      </c>
      <c r="D1370" s="14" t="s">
        <v>83</v>
      </c>
      <c r="E1370">
        <v>5</v>
      </c>
      <c r="F1370" s="8">
        <f>VLOOKUP(financials[[#This Row],[productid]],Products!$B$2:$H$10,3)</f>
        <v>15</v>
      </c>
      <c r="G1370" s="8">
        <f>financials[[#This Row],[Units Sold]]*financials[[#This Row],[Sale Price]]</f>
        <v>75</v>
      </c>
      <c r="H1370" s="8">
        <f>IF(financials[[#This Row],[Discount Band]]="low",0.1,IF(financials[[#This Row],[Discount Band]]="medium",0.15,0.3))</f>
        <v>0.3</v>
      </c>
      <c r="I1370" s="8">
        <f>financials[[#This Row],[Gross Sales]]-financials[[#This Row],[Gross Sales]]*financials[[#This Row],[Discounts]]</f>
        <v>52.5</v>
      </c>
      <c r="J1370" s="8">
        <f>VLOOKUP(financials[[#This Row],[productid]],Products!$B$2:$H$10,4)</f>
        <v>13.95</v>
      </c>
      <c r="K1370" s="8">
        <f>financials[[#This Row],[Net Sales]]-financials[[#This Row],[COGS]]</f>
        <v>38.549999999999997</v>
      </c>
      <c r="L1370" s="15">
        <v>44167</v>
      </c>
      <c r="M1370" t="s">
        <v>691</v>
      </c>
    </row>
    <row r="1371" spans="1:13" x14ac:dyDescent="0.25">
      <c r="A1371" t="s">
        <v>86</v>
      </c>
      <c r="B1371" s="6" t="s">
        <v>240</v>
      </c>
      <c r="C1371" s="13">
        <v>102</v>
      </c>
      <c r="D1371" s="14" t="s">
        <v>83</v>
      </c>
      <c r="E1371">
        <v>9</v>
      </c>
      <c r="F1371" s="8">
        <f>VLOOKUP(financials[[#This Row],[productid]],Products!$B$2:$H$10,3)</f>
        <v>15</v>
      </c>
      <c r="G1371" s="8">
        <f>financials[[#This Row],[Units Sold]]*financials[[#This Row],[Sale Price]]</f>
        <v>135</v>
      </c>
      <c r="H1371" s="8">
        <f>IF(financials[[#This Row],[Discount Band]]="low",0.1,IF(financials[[#This Row],[Discount Band]]="medium",0.15,0.3))</f>
        <v>0.3</v>
      </c>
      <c r="I1371" s="8">
        <f>financials[[#This Row],[Gross Sales]]-financials[[#This Row],[Gross Sales]]*financials[[#This Row],[Discounts]]</f>
        <v>94.5</v>
      </c>
      <c r="J1371" s="8">
        <f>VLOOKUP(financials[[#This Row],[productid]],Products!$B$2:$H$10,4)</f>
        <v>13.95</v>
      </c>
      <c r="K1371" s="8">
        <f>financials[[#This Row],[Net Sales]]-financials[[#This Row],[COGS]]</f>
        <v>80.55</v>
      </c>
      <c r="L1371" s="15">
        <v>43870</v>
      </c>
      <c r="M1371" t="s">
        <v>696</v>
      </c>
    </row>
    <row r="1372" spans="1:13" x14ac:dyDescent="0.25">
      <c r="A1372" t="s">
        <v>89</v>
      </c>
      <c r="B1372" s="6" t="s">
        <v>268</v>
      </c>
      <c r="C1372" s="13">
        <v>106</v>
      </c>
      <c r="D1372" s="14" t="s">
        <v>90</v>
      </c>
      <c r="E1372">
        <v>14</v>
      </c>
      <c r="F1372" s="8">
        <f>VLOOKUP(financials[[#This Row],[productid]],Products!$B$2:$H$10,3)</f>
        <v>25</v>
      </c>
      <c r="G1372" s="8">
        <f>financials[[#This Row],[Units Sold]]*financials[[#This Row],[Sale Price]]</f>
        <v>350</v>
      </c>
      <c r="H1372" s="8">
        <f>IF(financials[[#This Row],[Discount Band]]="low",0.1,IF(financials[[#This Row],[Discount Band]]="medium",0.15,0.3))</f>
        <v>0.15</v>
      </c>
      <c r="I1372" s="8">
        <f>financials[[#This Row],[Gross Sales]]-financials[[#This Row],[Gross Sales]]*financials[[#This Row],[Discounts]]</f>
        <v>297.5</v>
      </c>
      <c r="J1372" s="8">
        <f>VLOOKUP(financials[[#This Row],[productid]],Products!$B$2:$H$10,4)</f>
        <v>9.1</v>
      </c>
      <c r="K1372" s="8">
        <f>financials[[#This Row],[Net Sales]]-financials[[#This Row],[COGS]]</f>
        <v>288.39999999999998</v>
      </c>
      <c r="L1372" s="15">
        <v>44212</v>
      </c>
      <c r="M1372" t="s">
        <v>700</v>
      </c>
    </row>
    <row r="1373" spans="1:13" x14ac:dyDescent="0.25">
      <c r="A1373" t="s">
        <v>85</v>
      </c>
      <c r="B1373" s="6" t="s">
        <v>205</v>
      </c>
      <c r="C1373" s="13">
        <v>104</v>
      </c>
      <c r="D1373" s="14" t="s">
        <v>91</v>
      </c>
      <c r="E1373">
        <v>13</v>
      </c>
      <c r="F1373" s="8">
        <f>VLOOKUP(financials[[#This Row],[productid]],Products!$B$2:$H$10,3)</f>
        <v>5.9</v>
      </c>
      <c r="G1373" s="8">
        <f>financials[[#This Row],[Units Sold]]*financials[[#This Row],[Sale Price]]</f>
        <v>76.7</v>
      </c>
      <c r="H1373" s="8">
        <f>IF(financials[[#This Row],[Discount Band]]="low",0.1,IF(financials[[#This Row],[Discount Band]]="medium",0.15,0.3))</f>
        <v>0.1</v>
      </c>
      <c r="I1373" s="8">
        <f>financials[[#This Row],[Gross Sales]]-financials[[#This Row],[Gross Sales]]*financials[[#This Row],[Discounts]]</f>
        <v>69.03</v>
      </c>
      <c r="J1373" s="8">
        <f>VLOOKUP(financials[[#This Row],[productid]],Products!$B$2:$H$10,4)</f>
        <v>2.9</v>
      </c>
      <c r="K1373" s="8">
        <f>financials[[#This Row],[Net Sales]]-financials[[#This Row],[COGS]]</f>
        <v>66.13</v>
      </c>
      <c r="L1373" s="15">
        <v>45317</v>
      </c>
      <c r="M1373" t="s">
        <v>690</v>
      </c>
    </row>
    <row r="1374" spans="1:13" x14ac:dyDescent="0.25">
      <c r="A1374" t="s">
        <v>86</v>
      </c>
      <c r="B1374" s="6" t="s">
        <v>205</v>
      </c>
      <c r="C1374" s="13">
        <v>104</v>
      </c>
      <c r="D1374" s="14" t="s">
        <v>90</v>
      </c>
      <c r="E1374">
        <v>12</v>
      </c>
      <c r="F1374" s="8">
        <f>VLOOKUP(financials[[#This Row],[productid]],Products!$B$2:$H$10,3)</f>
        <v>5.9</v>
      </c>
      <c r="G1374" s="8">
        <f>financials[[#This Row],[Units Sold]]*financials[[#This Row],[Sale Price]]</f>
        <v>70.800000000000011</v>
      </c>
      <c r="H1374" s="8">
        <f>IF(financials[[#This Row],[Discount Band]]="low",0.1,IF(financials[[#This Row],[Discount Band]]="medium",0.15,0.3))</f>
        <v>0.15</v>
      </c>
      <c r="I1374" s="8">
        <f>financials[[#This Row],[Gross Sales]]-financials[[#This Row],[Gross Sales]]*financials[[#This Row],[Discounts]]</f>
        <v>60.180000000000007</v>
      </c>
      <c r="J1374" s="8">
        <f>VLOOKUP(financials[[#This Row],[productid]],Products!$B$2:$H$10,4)</f>
        <v>2.9</v>
      </c>
      <c r="K1374" s="8">
        <f>financials[[#This Row],[Net Sales]]-financials[[#This Row],[COGS]]</f>
        <v>57.280000000000008</v>
      </c>
      <c r="L1374" s="15">
        <v>44631</v>
      </c>
      <c r="M1374" t="s">
        <v>691</v>
      </c>
    </row>
    <row r="1375" spans="1:13" x14ac:dyDescent="0.25">
      <c r="A1375" t="s">
        <v>86</v>
      </c>
      <c r="B1375" s="6" t="s">
        <v>158</v>
      </c>
      <c r="C1375" s="11">
        <v>109</v>
      </c>
      <c r="D1375" s="9" t="s">
        <v>90</v>
      </c>
      <c r="E1375">
        <v>11</v>
      </c>
      <c r="F1375" s="8">
        <f>VLOOKUP(financials[[#This Row],[productid]],Products!$B$2:$H$10,3)</f>
        <v>36</v>
      </c>
      <c r="G1375" s="8">
        <f>financials[[#This Row],[Units Sold]]*financials[[#This Row],[Sale Price]]</f>
        <v>396</v>
      </c>
      <c r="H1375" s="8">
        <f>IF(financials[[#This Row],[Discount Band]]="low",0.1,IF(financials[[#This Row],[Discount Band]]="medium",0.15,0.3))</f>
        <v>0.15</v>
      </c>
      <c r="I1375" s="8">
        <f>financials[[#This Row],[Gross Sales]]-financials[[#This Row],[Gross Sales]]*financials[[#This Row],[Discounts]]</f>
        <v>336.6</v>
      </c>
      <c r="J1375" s="8">
        <f>VLOOKUP(financials[[#This Row],[productid]],Products!$B$2:$H$10,4)</f>
        <v>16.8</v>
      </c>
      <c r="K1375" s="8">
        <f>financials[[#This Row],[Net Sales]]-financials[[#This Row],[COGS]]</f>
        <v>319.8</v>
      </c>
      <c r="L1375" s="15">
        <v>45365</v>
      </c>
      <c r="M1375" t="s">
        <v>691</v>
      </c>
    </row>
    <row r="1376" spans="1:13" x14ac:dyDescent="0.25">
      <c r="A1376" t="s">
        <v>89</v>
      </c>
      <c r="B1376" s="6" t="s">
        <v>197</v>
      </c>
      <c r="C1376" s="13">
        <v>106</v>
      </c>
      <c r="D1376" s="14" t="s">
        <v>83</v>
      </c>
      <c r="E1376">
        <v>10</v>
      </c>
      <c r="F1376" s="8">
        <f>VLOOKUP(financials[[#This Row],[productid]],Products!$B$2:$H$10,3)</f>
        <v>25</v>
      </c>
      <c r="G1376" s="8">
        <f>financials[[#This Row],[Units Sold]]*financials[[#This Row],[Sale Price]]</f>
        <v>250</v>
      </c>
      <c r="H1376" s="8">
        <f>IF(financials[[#This Row],[Discount Band]]="low",0.1,IF(financials[[#This Row],[Discount Band]]="medium",0.15,0.3))</f>
        <v>0.3</v>
      </c>
      <c r="I1376" s="8">
        <f>financials[[#This Row],[Gross Sales]]-financials[[#This Row],[Gross Sales]]*financials[[#This Row],[Discounts]]</f>
        <v>175</v>
      </c>
      <c r="J1376" s="8">
        <f>VLOOKUP(financials[[#This Row],[productid]],Products!$B$2:$H$10,4)</f>
        <v>9.1</v>
      </c>
      <c r="K1376" s="8">
        <f>financials[[#This Row],[Net Sales]]-financials[[#This Row],[COGS]]</f>
        <v>165.9</v>
      </c>
      <c r="L1376" s="15">
        <v>44883</v>
      </c>
      <c r="M1376" t="s">
        <v>696</v>
      </c>
    </row>
    <row r="1377" spans="1:13" x14ac:dyDescent="0.25">
      <c r="A1377" t="s">
        <v>86</v>
      </c>
      <c r="B1377" s="6" t="s">
        <v>232</v>
      </c>
      <c r="C1377" s="11">
        <v>107</v>
      </c>
      <c r="D1377" s="9" t="s">
        <v>83</v>
      </c>
      <c r="E1377">
        <v>7</v>
      </c>
      <c r="F1377" s="8">
        <f>VLOOKUP(financials[[#This Row],[productid]],Products!$B$2:$H$10,3)</f>
        <v>15</v>
      </c>
      <c r="G1377" s="8">
        <f>financials[[#This Row],[Units Sold]]*financials[[#This Row],[Sale Price]]</f>
        <v>105</v>
      </c>
      <c r="H1377" s="8">
        <f>IF(financials[[#This Row],[Discount Band]]="low",0.1,IF(financials[[#This Row],[Discount Band]]="medium",0.15,0.3))</f>
        <v>0.3</v>
      </c>
      <c r="I1377" s="8">
        <f>financials[[#This Row],[Gross Sales]]-financials[[#This Row],[Gross Sales]]*financials[[#This Row],[Discounts]]</f>
        <v>73.5</v>
      </c>
      <c r="J1377" s="8">
        <f>VLOOKUP(financials[[#This Row],[productid]],Products!$B$2:$H$10,4)</f>
        <v>5.5</v>
      </c>
      <c r="K1377" s="8">
        <f>financials[[#This Row],[Net Sales]]-financials[[#This Row],[COGS]]</f>
        <v>68</v>
      </c>
      <c r="L1377" s="15">
        <v>44663</v>
      </c>
      <c r="M1377" t="s">
        <v>700</v>
      </c>
    </row>
    <row r="1378" spans="1:13" x14ac:dyDescent="0.25">
      <c r="A1378" t="s">
        <v>86</v>
      </c>
      <c r="B1378" s="6" t="s">
        <v>125</v>
      </c>
      <c r="C1378" s="13">
        <v>108</v>
      </c>
      <c r="D1378" s="14" t="s">
        <v>90</v>
      </c>
      <c r="E1378">
        <v>11</v>
      </c>
      <c r="F1378" s="8">
        <f>VLOOKUP(financials[[#This Row],[productid]],Products!$B$2:$H$10,3)</f>
        <v>5.5</v>
      </c>
      <c r="G1378" s="8">
        <f>financials[[#This Row],[Units Sold]]*financials[[#This Row],[Sale Price]]</f>
        <v>60.5</v>
      </c>
      <c r="H1378" s="8">
        <f>IF(financials[[#This Row],[Discount Band]]="low",0.1,IF(financials[[#This Row],[Discount Band]]="medium",0.15,0.3))</f>
        <v>0.15</v>
      </c>
      <c r="I1378" s="8">
        <f>financials[[#This Row],[Gross Sales]]-financials[[#This Row],[Gross Sales]]*financials[[#This Row],[Discounts]]</f>
        <v>51.424999999999997</v>
      </c>
      <c r="J1378" s="8">
        <f>VLOOKUP(financials[[#This Row],[productid]],Products!$B$2:$H$10,4)</f>
        <v>3.99</v>
      </c>
      <c r="K1378" s="8">
        <f>financials[[#This Row],[Net Sales]]-financials[[#This Row],[COGS]]</f>
        <v>47.434999999999995</v>
      </c>
      <c r="L1378" s="15">
        <v>43924</v>
      </c>
      <c r="M1378" t="s">
        <v>690</v>
      </c>
    </row>
    <row r="1379" spans="1:13" x14ac:dyDescent="0.25">
      <c r="A1379" t="s">
        <v>86</v>
      </c>
      <c r="B1379" s="6" t="s">
        <v>125</v>
      </c>
      <c r="C1379" s="13">
        <v>105</v>
      </c>
      <c r="D1379" s="14" t="s">
        <v>83</v>
      </c>
      <c r="E1379">
        <v>19</v>
      </c>
      <c r="F1379" s="8">
        <f>VLOOKUP(financials[[#This Row],[productid]],Products!$B$2:$H$10,3)</f>
        <v>15</v>
      </c>
      <c r="G1379" s="8">
        <f>financials[[#This Row],[Units Sold]]*financials[[#This Row],[Sale Price]]</f>
        <v>285</v>
      </c>
      <c r="H1379" s="8">
        <f>IF(financials[[#This Row],[Discount Band]]="low",0.1,IF(financials[[#This Row],[Discount Band]]="medium",0.15,0.3))</f>
        <v>0.3</v>
      </c>
      <c r="I1379" s="8">
        <f>financials[[#This Row],[Gross Sales]]-financials[[#This Row],[Gross Sales]]*financials[[#This Row],[Discounts]]</f>
        <v>199.5</v>
      </c>
      <c r="J1379" s="8">
        <f>VLOOKUP(financials[[#This Row],[productid]],Products!$B$2:$H$10,4)</f>
        <v>10</v>
      </c>
      <c r="K1379" s="8">
        <f>financials[[#This Row],[Net Sales]]-financials[[#This Row],[COGS]]</f>
        <v>189.5</v>
      </c>
      <c r="L1379" s="15">
        <v>45401</v>
      </c>
      <c r="M1379" t="s">
        <v>691</v>
      </c>
    </row>
    <row r="1380" spans="1:13" x14ac:dyDescent="0.25">
      <c r="A1380" t="s">
        <v>85</v>
      </c>
      <c r="B1380" s="6" t="s">
        <v>95</v>
      </c>
      <c r="C1380" s="13">
        <v>106</v>
      </c>
      <c r="D1380" s="14" t="s">
        <v>90</v>
      </c>
      <c r="E1380">
        <v>20</v>
      </c>
      <c r="F1380" s="8">
        <f>VLOOKUP(financials[[#This Row],[productid]],Products!$B$2:$H$10,3)</f>
        <v>25</v>
      </c>
      <c r="G1380" s="8">
        <f>financials[[#This Row],[Units Sold]]*financials[[#This Row],[Sale Price]]</f>
        <v>500</v>
      </c>
      <c r="H1380" s="8">
        <f>IF(financials[[#This Row],[Discount Band]]="low",0.1,IF(financials[[#This Row],[Discount Band]]="medium",0.15,0.3))</f>
        <v>0.15</v>
      </c>
      <c r="I1380" s="8">
        <f>financials[[#This Row],[Gross Sales]]-financials[[#This Row],[Gross Sales]]*financials[[#This Row],[Discounts]]</f>
        <v>425</v>
      </c>
      <c r="J1380" s="8">
        <f>VLOOKUP(financials[[#This Row],[productid]],Products!$B$2:$H$10,4)</f>
        <v>9.1</v>
      </c>
      <c r="K1380" s="8">
        <f>financials[[#This Row],[Net Sales]]-financials[[#This Row],[COGS]]</f>
        <v>415.9</v>
      </c>
      <c r="L1380" s="15">
        <v>44959</v>
      </c>
      <c r="M1380" t="s">
        <v>691</v>
      </c>
    </row>
    <row r="1381" spans="1:13" x14ac:dyDescent="0.25">
      <c r="A1381" t="s">
        <v>89</v>
      </c>
      <c r="B1381" s="6" t="s">
        <v>197</v>
      </c>
      <c r="C1381" s="13">
        <v>103</v>
      </c>
      <c r="D1381" s="14" t="s">
        <v>83</v>
      </c>
      <c r="E1381">
        <v>16</v>
      </c>
      <c r="F1381" s="8">
        <f>VLOOKUP(financials[[#This Row],[productid]],Products!$B$2:$H$10,3)</f>
        <v>28</v>
      </c>
      <c r="G1381" s="8">
        <f>financials[[#This Row],[Units Sold]]*financials[[#This Row],[Sale Price]]</f>
        <v>448</v>
      </c>
      <c r="H1381" s="8">
        <f>IF(financials[[#This Row],[Discount Band]]="low",0.1,IF(financials[[#This Row],[Discount Band]]="medium",0.15,0.3))</f>
        <v>0.3</v>
      </c>
      <c r="I1381" s="8">
        <f>financials[[#This Row],[Gross Sales]]-financials[[#This Row],[Gross Sales]]*financials[[#This Row],[Discounts]]</f>
        <v>313.60000000000002</v>
      </c>
      <c r="J1381" s="8">
        <f>VLOOKUP(financials[[#This Row],[productid]],Products!$B$2:$H$10,4)</f>
        <v>15</v>
      </c>
      <c r="K1381" s="8">
        <f>financials[[#This Row],[Net Sales]]-financials[[#This Row],[COGS]]</f>
        <v>298.60000000000002</v>
      </c>
      <c r="L1381" s="15">
        <v>44643</v>
      </c>
      <c r="M1381" t="s">
        <v>691</v>
      </c>
    </row>
    <row r="1382" spans="1:13" x14ac:dyDescent="0.25">
      <c r="A1382" t="s">
        <v>85</v>
      </c>
      <c r="B1382" s="6" t="s">
        <v>276</v>
      </c>
      <c r="C1382" s="13">
        <v>103</v>
      </c>
      <c r="D1382" s="14" t="s">
        <v>83</v>
      </c>
      <c r="E1382">
        <v>13</v>
      </c>
      <c r="F1382" s="8">
        <f>VLOOKUP(financials[[#This Row],[productid]],Products!$B$2:$H$10,3)</f>
        <v>28</v>
      </c>
      <c r="G1382" s="8">
        <f>financials[[#This Row],[Units Sold]]*financials[[#This Row],[Sale Price]]</f>
        <v>364</v>
      </c>
      <c r="H1382" s="8">
        <f>IF(financials[[#This Row],[Discount Band]]="low",0.1,IF(financials[[#This Row],[Discount Band]]="medium",0.15,0.3))</f>
        <v>0.3</v>
      </c>
      <c r="I1382" s="8">
        <f>financials[[#This Row],[Gross Sales]]-financials[[#This Row],[Gross Sales]]*financials[[#This Row],[Discounts]]</f>
        <v>254.8</v>
      </c>
      <c r="J1382" s="8">
        <f>VLOOKUP(financials[[#This Row],[productid]],Products!$B$2:$H$10,4)</f>
        <v>15</v>
      </c>
      <c r="K1382" s="8">
        <f>financials[[#This Row],[Net Sales]]-financials[[#This Row],[COGS]]</f>
        <v>239.8</v>
      </c>
      <c r="L1382" s="15">
        <v>44689</v>
      </c>
      <c r="M1382" t="s">
        <v>697</v>
      </c>
    </row>
    <row r="1383" spans="1:13" x14ac:dyDescent="0.25">
      <c r="A1383" t="s">
        <v>85</v>
      </c>
      <c r="B1383" s="6" t="s">
        <v>95</v>
      </c>
      <c r="C1383" s="13">
        <v>106</v>
      </c>
      <c r="D1383" s="14" t="s">
        <v>91</v>
      </c>
      <c r="E1383">
        <v>11</v>
      </c>
      <c r="F1383" s="8">
        <f>VLOOKUP(financials[[#This Row],[productid]],Products!$B$2:$H$10,3)</f>
        <v>25</v>
      </c>
      <c r="G1383" s="8">
        <f>financials[[#This Row],[Units Sold]]*financials[[#This Row],[Sale Price]]</f>
        <v>275</v>
      </c>
      <c r="H1383" s="8">
        <f>IF(financials[[#This Row],[Discount Band]]="low",0.1,IF(financials[[#This Row],[Discount Band]]="medium",0.15,0.3))</f>
        <v>0.1</v>
      </c>
      <c r="I1383" s="8">
        <f>financials[[#This Row],[Gross Sales]]-financials[[#This Row],[Gross Sales]]*financials[[#This Row],[Discounts]]</f>
        <v>247.5</v>
      </c>
      <c r="J1383" s="8">
        <f>VLOOKUP(financials[[#This Row],[productid]],Products!$B$2:$H$10,4)</f>
        <v>9.1</v>
      </c>
      <c r="K1383" s="8">
        <f>financials[[#This Row],[Net Sales]]-financials[[#This Row],[COGS]]</f>
        <v>238.4</v>
      </c>
      <c r="L1383" s="15">
        <v>44639</v>
      </c>
      <c r="M1383" t="s">
        <v>690</v>
      </c>
    </row>
    <row r="1384" spans="1:13" x14ac:dyDescent="0.25">
      <c r="A1384" t="s">
        <v>86</v>
      </c>
      <c r="B1384" s="6" t="s">
        <v>274</v>
      </c>
      <c r="C1384" s="11">
        <v>104</v>
      </c>
      <c r="D1384" s="9" t="s">
        <v>90</v>
      </c>
      <c r="E1384">
        <v>14</v>
      </c>
      <c r="F1384" s="8">
        <f>VLOOKUP(financials[[#This Row],[productid]],Products!$B$2:$H$10,3)</f>
        <v>5.9</v>
      </c>
      <c r="G1384" s="8">
        <f>financials[[#This Row],[Units Sold]]*financials[[#This Row],[Sale Price]]</f>
        <v>82.600000000000009</v>
      </c>
      <c r="H1384" s="8">
        <f>IF(financials[[#This Row],[Discount Band]]="low",0.1,IF(financials[[#This Row],[Discount Band]]="medium",0.15,0.3))</f>
        <v>0.15</v>
      </c>
      <c r="I1384" s="8">
        <f>financials[[#This Row],[Gross Sales]]-financials[[#This Row],[Gross Sales]]*financials[[#This Row],[Discounts]]</f>
        <v>70.210000000000008</v>
      </c>
      <c r="J1384" s="8">
        <f>VLOOKUP(financials[[#This Row],[productid]],Products!$B$2:$H$10,4)</f>
        <v>2.9</v>
      </c>
      <c r="K1384" s="8">
        <f>financials[[#This Row],[Net Sales]]-financials[[#This Row],[COGS]]</f>
        <v>67.31</v>
      </c>
      <c r="L1384" s="15">
        <v>44454</v>
      </c>
      <c r="M1384" t="s">
        <v>690</v>
      </c>
    </row>
    <row r="1385" spans="1:13" x14ac:dyDescent="0.25">
      <c r="A1385" t="s">
        <v>86</v>
      </c>
      <c r="B1385" s="6" t="s">
        <v>274</v>
      </c>
      <c r="C1385" s="13">
        <v>101</v>
      </c>
      <c r="D1385" s="14" t="s">
        <v>83</v>
      </c>
      <c r="E1385">
        <v>20</v>
      </c>
      <c r="F1385" s="8">
        <f>VLOOKUP(financials[[#This Row],[productid]],Products!$B$2:$H$10,3)</f>
        <v>23</v>
      </c>
      <c r="G1385" s="8">
        <f>financials[[#This Row],[Units Sold]]*financials[[#This Row],[Sale Price]]</f>
        <v>460</v>
      </c>
      <c r="H1385" s="8">
        <f>IF(financials[[#This Row],[Discount Band]]="low",0.1,IF(financials[[#This Row],[Discount Band]]="medium",0.15,0.3))</f>
        <v>0.3</v>
      </c>
      <c r="I1385" s="8">
        <f>financials[[#This Row],[Gross Sales]]-financials[[#This Row],[Gross Sales]]*financials[[#This Row],[Discounts]]</f>
        <v>322</v>
      </c>
      <c r="J1385" s="8">
        <f>VLOOKUP(financials[[#This Row],[productid]],Products!$B$2:$H$10,4)</f>
        <v>9.9499999999999993</v>
      </c>
      <c r="K1385" s="8">
        <f>financials[[#This Row],[Net Sales]]-financials[[#This Row],[COGS]]</f>
        <v>312.05</v>
      </c>
      <c r="L1385" s="15">
        <v>44815</v>
      </c>
      <c r="M1385" t="s">
        <v>697</v>
      </c>
    </row>
    <row r="1386" spans="1:13" x14ac:dyDescent="0.25">
      <c r="A1386" t="s">
        <v>86</v>
      </c>
      <c r="B1386" s="6" t="s">
        <v>268</v>
      </c>
      <c r="C1386" s="13">
        <v>103</v>
      </c>
      <c r="D1386" s="14" t="s">
        <v>90</v>
      </c>
      <c r="E1386">
        <v>16</v>
      </c>
      <c r="F1386" s="8">
        <f>VLOOKUP(financials[[#This Row],[productid]],Products!$B$2:$H$10,3)</f>
        <v>28</v>
      </c>
      <c r="G1386" s="8">
        <f>financials[[#This Row],[Units Sold]]*financials[[#This Row],[Sale Price]]</f>
        <v>448</v>
      </c>
      <c r="H1386" s="8">
        <f>IF(financials[[#This Row],[Discount Band]]="low",0.1,IF(financials[[#This Row],[Discount Band]]="medium",0.15,0.3))</f>
        <v>0.15</v>
      </c>
      <c r="I1386" s="8">
        <f>financials[[#This Row],[Gross Sales]]-financials[[#This Row],[Gross Sales]]*financials[[#This Row],[Discounts]]</f>
        <v>380.8</v>
      </c>
      <c r="J1386" s="8">
        <f>VLOOKUP(financials[[#This Row],[productid]],Products!$B$2:$H$10,4)</f>
        <v>15</v>
      </c>
      <c r="K1386" s="8">
        <f>financials[[#This Row],[Net Sales]]-financials[[#This Row],[COGS]]</f>
        <v>365.8</v>
      </c>
      <c r="L1386" s="15">
        <v>44322</v>
      </c>
      <c r="M1386" t="s">
        <v>697</v>
      </c>
    </row>
    <row r="1387" spans="1:13" x14ac:dyDescent="0.25">
      <c r="A1387" t="s">
        <v>89</v>
      </c>
      <c r="B1387" s="6" t="s">
        <v>95</v>
      </c>
      <c r="C1387" s="13">
        <v>109</v>
      </c>
      <c r="D1387" s="14" t="s">
        <v>90</v>
      </c>
      <c r="E1387">
        <v>20</v>
      </c>
      <c r="F1387" s="8">
        <f>VLOOKUP(financials[[#This Row],[productid]],Products!$B$2:$H$10,3)</f>
        <v>36</v>
      </c>
      <c r="G1387" s="8">
        <f>financials[[#This Row],[Units Sold]]*financials[[#This Row],[Sale Price]]</f>
        <v>720</v>
      </c>
      <c r="H1387" s="8">
        <f>IF(financials[[#This Row],[Discount Band]]="low",0.1,IF(financials[[#This Row],[Discount Band]]="medium",0.15,0.3))</f>
        <v>0.15</v>
      </c>
      <c r="I1387" s="8">
        <f>financials[[#This Row],[Gross Sales]]-financials[[#This Row],[Gross Sales]]*financials[[#This Row],[Discounts]]</f>
        <v>612</v>
      </c>
      <c r="J1387" s="8">
        <f>VLOOKUP(financials[[#This Row],[productid]],Products!$B$2:$H$10,4)</f>
        <v>16.8</v>
      </c>
      <c r="K1387" s="8">
        <f>financials[[#This Row],[Net Sales]]-financials[[#This Row],[COGS]]</f>
        <v>595.20000000000005</v>
      </c>
      <c r="L1387" s="15">
        <v>44051</v>
      </c>
      <c r="M1387" t="s">
        <v>696</v>
      </c>
    </row>
    <row r="1388" spans="1:13" x14ac:dyDescent="0.25">
      <c r="A1388" t="s">
        <v>87</v>
      </c>
      <c r="B1388" s="6" t="s">
        <v>545</v>
      </c>
      <c r="C1388" s="13">
        <v>104</v>
      </c>
      <c r="D1388" s="14" t="s">
        <v>83</v>
      </c>
      <c r="E1388">
        <v>13</v>
      </c>
      <c r="F1388" s="8">
        <f>VLOOKUP(financials[[#This Row],[productid]],Products!$B$2:$H$10,3)</f>
        <v>5.9</v>
      </c>
      <c r="G1388" s="8">
        <f>financials[[#This Row],[Units Sold]]*financials[[#This Row],[Sale Price]]</f>
        <v>76.7</v>
      </c>
      <c r="H1388" s="8">
        <f>IF(financials[[#This Row],[Discount Band]]="low",0.1,IF(financials[[#This Row],[Discount Band]]="medium",0.15,0.3))</f>
        <v>0.3</v>
      </c>
      <c r="I1388" s="8">
        <f>financials[[#This Row],[Gross Sales]]-financials[[#This Row],[Gross Sales]]*financials[[#This Row],[Discounts]]</f>
        <v>53.69</v>
      </c>
      <c r="J1388" s="8">
        <f>VLOOKUP(financials[[#This Row],[productid]],Products!$B$2:$H$10,4)</f>
        <v>2.9</v>
      </c>
      <c r="K1388" s="8">
        <f>financials[[#This Row],[Net Sales]]-financials[[#This Row],[COGS]]</f>
        <v>50.79</v>
      </c>
      <c r="L1388" s="15">
        <v>44986</v>
      </c>
      <c r="M1388" t="s">
        <v>690</v>
      </c>
    </row>
    <row r="1389" spans="1:13" x14ac:dyDescent="0.25">
      <c r="A1389" t="s">
        <v>87</v>
      </c>
      <c r="B1389" s="6" t="s">
        <v>644</v>
      </c>
      <c r="C1389" s="13">
        <v>103</v>
      </c>
      <c r="D1389" s="14" t="s">
        <v>91</v>
      </c>
      <c r="E1389">
        <v>15</v>
      </c>
      <c r="F1389" s="8">
        <f>VLOOKUP(financials[[#This Row],[productid]],Products!$B$2:$H$10,3)</f>
        <v>28</v>
      </c>
      <c r="G1389" s="8">
        <f>financials[[#This Row],[Units Sold]]*financials[[#This Row],[Sale Price]]</f>
        <v>420</v>
      </c>
      <c r="H1389" s="8">
        <f>IF(financials[[#This Row],[Discount Band]]="low",0.1,IF(financials[[#This Row],[Discount Band]]="medium",0.15,0.3))</f>
        <v>0.1</v>
      </c>
      <c r="I1389" s="8">
        <f>financials[[#This Row],[Gross Sales]]-financials[[#This Row],[Gross Sales]]*financials[[#This Row],[Discounts]]</f>
        <v>378</v>
      </c>
      <c r="J1389" s="8">
        <f>VLOOKUP(financials[[#This Row],[productid]],Products!$B$2:$H$10,4)</f>
        <v>15</v>
      </c>
      <c r="K1389" s="8">
        <f>financials[[#This Row],[Net Sales]]-financials[[#This Row],[COGS]]</f>
        <v>363</v>
      </c>
      <c r="L1389" s="15">
        <v>44146</v>
      </c>
      <c r="M1389" t="s">
        <v>690</v>
      </c>
    </row>
    <row r="1390" spans="1:13" x14ac:dyDescent="0.25">
      <c r="A1390" t="s">
        <v>85</v>
      </c>
      <c r="B1390" s="6" t="s">
        <v>167</v>
      </c>
      <c r="C1390" s="13">
        <v>105</v>
      </c>
      <c r="D1390" s="14" t="s">
        <v>83</v>
      </c>
      <c r="E1390">
        <v>12</v>
      </c>
      <c r="F1390" s="8">
        <f>VLOOKUP(financials[[#This Row],[productid]],Products!$B$2:$H$10,3)</f>
        <v>15</v>
      </c>
      <c r="G1390" s="8">
        <f>financials[[#This Row],[Units Sold]]*financials[[#This Row],[Sale Price]]</f>
        <v>180</v>
      </c>
      <c r="H1390" s="8">
        <f>IF(financials[[#This Row],[Discount Band]]="low",0.1,IF(financials[[#This Row],[Discount Band]]="medium",0.15,0.3))</f>
        <v>0.3</v>
      </c>
      <c r="I1390" s="8">
        <f>financials[[#This Row],[Gross Sales]]-financials[[#This Row],[Gross Sales]]*financials[[#This Row],[Discounts]]</f>
        <v>126</v>
      </c>
      <c r="J1390" s="8">
        <f>VLOOKUP(financials[[#This Row],[productid]],Products!$B$2:$H$10,4)</f>
        <v>10</v>
      </c>
      <c r="K1390" s="8">
        <f>financials[[#This Row],[Net Sales]]-financials[[#This Row],[COGS]]</f>
        <v>116</v>
      </c>
      <c r="L1390" s="15">
        <v>45449</v>
      </c>
      <c r="M1390" t="s">
        <v>690</v>
      </c>
    </row>
    <row r="1391" spans="1:13" x14ac:dyDescent="0.25">
      <c r="A1391" t="s">
        <v>86</v>
      </c>
      <c r="B1391" s="6" t="s">
        <v>645</v>
      </c>
      <c r="C1391" s="11">
        <v>108</v>
      </c>
      <c r="D1391" s="9" t="s">
        <v>90</v>
      </c>
      <c r="E1391">
        <v>16</v>
      </c>
      <c r="F1391" s="8">
        <f>VLOOKUP(financials[[#This Row],[productid]],Products!$B$2:$H$10,3)</f>
        <v>5.5</v>
      </c>
      <c r="G1391" s="8">
        <f>financials[[#This Row],[Units Sold]]*financials[[#This Row],[Sale Price]]</f>
        <v>88</v>
      </c>
      <c r="H1391" s="8">
        <f>IF(financials[[#This Row],[Discount Band]]="low",0.1,IF(financials[[#This Row],[Discount Band]]="medium",0.15,0.3))</f>
        <v>0.15</v>
      </c>
      <c r="I1391" s="8">
        <f>financials[[#This Row],[Gross Sales]]-financials[[#This Row],[Gross Sales]]*financials[[#This Row],[Discounts]]</f>
        <v>74.8</v>
      </c>
      <c r="J1391" s="8">
        <f>VLOOKUP(financials[[#This Row],[productid]],Products!$B$2:$H$10,4)</f>
        <v>3.99</v>
      </c>
      <c r="K1391" s="8">
        <f>financials[[#This Row],[Net Sales]]-financials[[#This Row],[COGS]]</f>
        <v>70.81</v>
      </c>
      <c r="L1391" s="15">
        <v>45009</v>
      </c>
      <c r="M1391" t="s">
        <v>690</v>
      </c>
    </row>
    <row r="1392" spans="1:13" x14ac:dyDescent="0.25">
      <c r="A1392" t="s">
        <v>89</v>
      </c>
      <c r="B1392" s="6" t="s">
        <v>167</v>
      </c>
      <c r="C1392" s="13">
        <v>104</v>
      </c>
      <c r="D1392" s="14" t="s">
        <v>90</v>
      </c>
      <c r="E1392">
        <v>15</v>
      </c>
      <c r="F1392" s="8">
        <f>VLOOKUP(financials[[#This Row],[productid]],Products!$B$2:$H$10,3)</f>
        <v>5.9</v>
      </c>
      <c r="G1392" s="8">
        <f>financials[[#This Row],[Units Sold]]*financials[[#This Row],[Sale Price]]</f>
        <v>88.5</v>
      </c>
      <c r="H1392" s="8">
        <f>IF(financials[[#This Row],[Discount Band]]="low",0.1,IF(financials[[#This Row],[Discount Band]]="medium",0.15,0.3))</f>
        <v>0.15</v>
      </c>
      <c r="I1392" s="8">
        <f>financials[[#This Row],[Gross Sales]]-financials[[#This Row],[Gross Sales]]*financials[[#This Row],[Discounts]]</f>
        <v>75.224999999999994</v>
      </c>
      <c r="J1392" s="8">
        <f>VLOOKUP(financials[[#This Row],[productid]],Products!$B$2:$H$10,4)</f>
        <v>2.9</v>
      </c>
      <c r="K1392" s="8">
        <f>financials[[#This Row],[Net Sales]]-financials[[#This Row],[COGS]]</f>
        <v>72.324999999999989</v>
      </c>
      <c r="L1392" s="15">
        <v>45096</v>
      </c>
      <c r="M1392" t="s">
        <v>696</v>
      </c>
    </row>
    <row r="1393" spans="1:13" x14ac:dyDescent="0.25">
      <c r="A1393" t="s">
        <v>86</v>
      </c>
      <c r="B1393" s="6" t="s">
        <v>287</v>
      </c>
      <c r="C1393" s="11">
        <v>102</v>
      </c>
      <c r="D1393" s="9" t="s">
        <v>83</v>
      </c>
      <c r="E1393">
        <v>14</v>
      </c>
      <c r="F1393" s="8">
        <f>VLOOKUP(financials[[#This Row],[productid]],Products!$B$2:$H$10,3)</f>
        <v>15</v>
      </c>
      <c r="G1393" s="8">
        <f>financials[[#This Row],[Units Sold]]*financials[[#This Row],[Sale Price]]</f>
        <v>210</v>
      </c>
      <c r="H1393" s="8">
        <f>IF(financials[[#This Row],[Discount Band]]="low",0.1,IF(financials[[#This Row],[Discount Band]]="medium",0.15,0.3))</f>
        <v>0.3</v>
      </c>
      <c r="I1393" s="8">
        <f>financials[[#This Row],[Gross Sales]]-financials[[#This Row],[Gross Sales]]*financials[[#This Row],[Discounts]]</f>
        <v>147</v>
      </c>
      <c r="J1393" s="8">
        <f>VLOOKUP(financials[[#This Row],[productid]],Products!$B$2:$H$10,4)</f>
        <v>13.95</v>
      </c>
      <c r="K1393" s="8">
        <f>financials[[#This Row],[Net Sales]]-financials[[#This Row],[COGS]]</f>
        <v>133.05000000000001</v>
      </c>
      <c r="L1393" s="15">
        <v>44186</v>
      </c>
      <c r="M1393" t="s">
        <v>697</v>
      </c>
    </row>
    <row r="1394" spans="1:13" x14ac:dyDescent="0.25">
      <c r="A1394" t="s">
        <v>86</v>
      </c>
      <c r="B1394" s="6" t="s">
        <v>232</v>
      </c>
      <c r="C1394" s="13">
        <v>107</v>
      </c>
      <c r="D1394" s="14" t="s">
        <v>90</v>
      </c>
      <c r="E1394">
        <v>14</v>
      </c>
      <c r="F1394" s="8">
        <f>VLOOKUP(financials[[#This Row],[productid]],Products!$B$2:$H$10,3)</f>
        <v>15</v>
      </c>
      <c r="G1394" s="8">
        <f>financials[[#This Row],[Units Sold]]*financials[[#This Row],[Sale Price]]</f>
        <v>210</v>
      </c>
      <c r="H1394" s="8">
        <f>IF(financials[[#This Row],[Discount Band]]="low",0.1,IF(financials[[#This Row],[Discount Band]]="medium",0.15,0.3))</f>
        <v>0.15</v>
      </c>
      <c r="I1394" s="8">
        <f>financials[[#This Row],[Gross Sales]]-financials[[#This Row],[Gross Sales]]*financials[[#This Row],[Discounts]]</f>
        <v>178.5</v>
      </c>
      <c r="J1394" s="8">
        <f>VLOOKUP(financials[[#This Row],[productid]],Products!$B$2:$H$10,4)</f>
        <v>5.5</v>
      </c>
      <c r="K1394" s="8">
        <f>financials[[#This Row],[Net Sales]]-financials[[#This Row],[COGS]]</f>
        <v>173</v>
      </c>
      <c r="L1394" s="15">
        <v>45142</v>
      </c>
      <c r="M1394" t="s">
        <v>691</v>
      </c>
    </row>
    <row r="1395" spans="1:13" x14ac:dyDescent="0.25">
      <c r="A1395" t="s">
        <v>86</v>
      </c>
      <c r="B1395" s="6" t="s">
        <v>96</v>
      </c>
      <c r="C1395" s="13">
        <v>109</v>
      </c>
      <c r="D1395" s="14" t="s">
        <v>90</v>
      </c>
      <c r="E1395">
        <v>14</v>
      </c>
      <c r="F1395" s="8">
        <f>VLOOKUP(financials[[#This Row],[productid]],Products!$B$2:$H$10,3)</f>
        <v>36</v>
      </c>
      <c r="G1395" s="8">
        <f>financials[[#This Row],[Units Sold]]*financials[[#This Row],[Sale Price]]</f>
        <v>504</v>
      </c>
      <c r="H1395" s="8">
        <f>IF(financials[[#This Row],[Discount Band]]="low",0.1,IF(financials[[#This Row],[Discount Band]]="medium",0.15,0.3))</f>
        <v>0.15</v>
      </c>
      <c r="I1395" s="8">
        <f>financials[[#This Row],[Gross Sales]]-financials[[#This Row],[Gross Sales]]*financials[[#This Row],[Discounts]]</f>
        <v>428.4</v>
      </c>
      <c r="J1395" s="8">
        <f>VLOOKUP(financials[[#This Row],[productid]],Products!$B$2:$H$10,4)</f>
        <v>16.8</v>
      </c>
      <c r="K1395" s="8">
        <f>financials[[#This Row],[Net Sales]]-financials[[#This Row],[COGS]]</f>
        <v>411.59999999999997</v>
      </c>
      <c r="L1395" s="15">
        <v>44505</v>
      </c>
      <c r="M1395" t="s">
        <v>690</v>
      </c>
    </row>
    <row r="1396" spans="1:13" x14ac:dyDescent="0.25">
      <c r="A1396" t="s">
        <v>89</v>
      </c>
      <c r="B1396" s="6" t="s">
        <v>276</v>
      </c>
      <c r="C1396" s="13">
        <v>102</v>
      </c>
      <c r="D1396" s="14" t="s">
        <v>83</v>
      </c>
      <c r="E1396">
        <v>15</v>
      </c>
      <c r="F1396" s="8">
        <f>VLOOKUP(financials[[#This Row],[productid]],Products!$B$2:$H$10,3)</f>
        <v>15</v>
      </c>
      <c r="G1396" s="8">
        <f>financials[[#This Row],[Units Sold]]*financials[[#This Row],[Sale Price]]</f>
        <v>225</v>
      </c>
      <c r="H1396" s="8">
        <f>IF(financials[[#This Row],[Discount Band]]="low",0.1,IF(financials[[#This Row],[Discount Band]]="medium",0.15,0.3))</f>
        <v>0.3</v>
      </c>
      <c r="I1396" s="8">
        <f>financials[[#This Row],[Gross Sales]]-financials[[#This Row],[Gross Sales]]*financials[[#This Row],[Discounts]]</f>
        <v>157.5</v>
      </c>
      <c r="J1396" s="8">
        <f>VLOOKUP(financials[[#This Row],[productid]],Products!$B$2:$H$10,4)</f>
        <v>13.95</v>
      </c>
      <c r="K1396" s="8">
        <f>financials[[#This Row],[Net Sales]]-financials[[#This Row],[COGS]]</f>
        <v>143.55000000000001</v>
      </c>
      <c r="L1396" s="15">
        <v>45152</v>
      </c>
      <c r="M1396" t="s">
        <v>700</v>
      </c>
    </row>
    <row r="1397" spans="1:13" x14ac:dyDescent="0.25">
      <c r="A1397" t="s">
        <v>86</v>
      </c>
      <c r="B1397" s="6" t="s">
        <v>274</v>
      </c>
      <c r="C1397" s="13">
        <v>103</v>
      </c>
      <c r="D1397" s="14" t="s">
        <v>90</v>
      </c>
      <c r="E1397">
        <v>12</v>
      </c>
      <c r="F1397" s="8">
        <f>VLOOKUP(financials[[#This Row],[productid]],Products!$B$2:$H$10,3)</f>
        <v>28</v>
      </c>
      <c r="G1397" s="8">
        <f>financials[[#This Row],[Units Sold]]*financials[[#This Row],[Sale Price]]</f>
        <v>336</v>
      </c>
      <c r="H1397" s="8">
        <f>IF(financials[[#This Row],[Discount Band]]="low",0.1,IF(financials[[#This Row],[Discount Band]]="medium",0.15,0.3))</f>
        <v>0.15</v>
      </c>
      <c r="I1397" s="8">
        <f>financials[[#This Row],[Gross Sales]]-financials[[#This Row],[Gross Sales]]*financials[[#This Row],[Discounts]]</f>
        <v>285.60000000000002</v>
      </c>
      <c r="J1397" s="8">
        <f>VLOOKUP(financials[[#This Row],[productid]],Products!$B$2:$H$10,4)</f>
        <v>15</v>
      </c>
      <c r="K1397" s="8">
        <f>financials[[#This Row],[Net Sales]]-financials[[#This Row],[COGS]]</f>
        <v>270.60000000000002</v>
      </c>
      <c r="L1397" s="15">
        <v>44105</v>
      </c>
      <c r="M1397" t="s">
        <v>691</v>
      </c>
    </row>
    <row r="1398" spans="1:13" x14ac:dyDescent="0.25">
      <c r="A1398" t="s">
        <v>85</v>
      </c>
      <c r="B1398" s="6" t="s">
        <v>268</v>
      </c>
      <c r="C1398" s="13">
        <v>108</v>
      </c>
      <c r="D1398" s="14" t="s">
        <v>90</v>
      </c>
      <c r="E1398">
        <v>14</v>
      </c>
      <c r="F1398" s="8">
        <f>VLOOKUP(financials[[#This Row],[productid]],Products!$B$2:$H$10,3)</f>
        <v>5.5</v>
      </c>
      <c r="G1398" s="8">
        <f>financials[[#This Row],[Units Sold]]*financials[[#This Row],[Sale Price]]</f>
        <v>77</v>
      </c>
      <c r="H1398" s="8">
        <f>IF(financials[[#This Row],[Discount Band]]="low",0.1,IF(financials[[#This Row],[Discount Band]]="medium",0.15,0.3))</f>
        <v>0.15</v>
      </c>
      <c r="I1398" s="8">
        <f>financials[[#This Row],[Gross Sales]]-financials[[#This Row],[Gross Sales]]*financials[[#This Row],[Discounts]]</f>
        <v>65.45</v>
      </c>
      <c r="J1398" s="8">
        <f>VLOOKUP(financials[[#This Row],[productid]],Products!$B$2:$H$10,4)</f>
        <v>3.99</v>
      </c>
      <c r="K1398" s="8">
        <f>financials[[#This Row],[Net Sales]]-financials[[#This Row],[COGS]]</f>
        <v>61.46</v>
      </c>
      <c r="L1398" s="15">
        <v>44200</v>
      </c>
      <c r="M1398" t="s">
        <v>697</v>
      </c>
    </row>
    <row r="1399" spans="1:13" x14ac:dyDescent="0.25">
      <c r="A1399" t="s">
        <v>85</v>
      </c>
      <c r="B1399" s="6" t="s">
        <v>167</v>
      </c>
      <c r="C1399" s="13">
        <v>105</v>
      </c>
      <c r="D1399" s="14" t="s">
        <v>90</v>
      </c>
      <c r="E1399">
        <v>15</v>
      </c>
      <c r="F1399" s="8">
        <f>VLOOKUP(financials[[#This Row],[productid]],Products!$B$2:$H$10,3)</f>
        <v>15</v>
      </c>
      <c r="G1399" s="8">
        <f>financials[[#This Row],[Units Sold]]*financials[[#This Row],[Sale Price]]</f>
        <v>225</v>
      </c>
      <c r="H1399" s="8">
        <f>IF(financials[[#This Row],[Discount Band]]="low",0.1,IF(financials[[#This Row],[Discount Band]]="medium",0.15,0.3))</f>
        <v>0.15</v>
      </c>
      <c r="I1399" s="8">
        <f>financials[[#This Row],[Gross Sales]]-financials[[#This Row],[Gross Sales]]*financials[[#This Row],[Discounts]]</f>
        <v>191.25</v>
      </c>
      <c r="J1399" s="8">
        <f>VLOOKUP(financials[[#This Row],[productid]],Products!$B$2:$H$10,4)</f>
        <v>10</v>
      </c>
      <c r="K1399" s="8">
        <f>financials[[#This Row],[Net Sales]]-financials[[#This Row],[COGS]]</f>
        <v>181.25</v>
      </c>
      <c r="L1399" s="15">
        <v>45326</v>
      </c>
      <c r="M1399" t="s">
        <v>697</v>
      </c>
    </row>
    <row r="1400" spans="1:13" x14ac:dyDescent="0.25">
      <c r="A1400" t="s">
        <v>86</v>
      </c>
      <c r="B1400" s="6" t="s">
        <v>94</v>
      </c>
      <c r="C1400" s="13">
        <v>103</v>
      </c>
      <c r="D1400" s="14" t="s">
        <v>83</v>
      </c>
      <c r="E1400">
        <v>18</v>
      </c>
      <c r="F1400" s="8">
        <f>VLOOKUP(financials[[#This Row],[productid]],Products!$B$2:$H$10,3)</f>
        <v>28</v>
      </c>
      <c r="G1400" s="8">
        <f>financials[[#This Row],[Units Sold]]*financials[[#This Row],[Sale Price]]</f>
        <v>504</v>
      </c>
      <c r="H1400" s="8">
        <f>IF(financials[[#This Row],[Discount Band]]="low",0.1,IF(financials[[#This Row],[Discount Band]]="medium",0.15,0.3))</f>
        <v>0.3</v>
      </c>
      <c r="I1400" s="8">
        <f>financials[[#This Row],[Gross Sales]]-financials[[#This Row],[Gross Sales]]*financials[[#This Row],[Discounts]]</f>
        <v>352.8</v>
      </c>
      <c r="J1400" s="8">
        <f>VLOOKUP(financials[[#This Row],[productid]],Products!$B$2:$H$10,4)</f>
        <v>15</v>
      </c>
      <c r="K1400" s="8">
        <f>financials[[#This Row],[Net Sales]]-financials[[#This Row],[COGS]]</f>
        <v>337.8</v>
      </c>
      <c r="L1400" s="15">
        <v>44945</v>
      </c>
      <c r="M1400" t="s">
        <v>696</v>
      </c>
    </row>
    <row r="1401" spans="1:13" x14ac:dyDescent="0.25">
      <c r="A1401" t="s">
        <v>89</v>
      </c>
      <c r="B1401" s="6" t="s">
        <v>95</v>
      </c>
      <c r="C1401" s="13">
        <v>107</v>
      </c>
      <c r="D1401" s="14" t="s">
        <v>83</v>
      </c>
      <c r="E1401">
        <v>17</v>
      </c>
      <c r="F1401" s="8">
        <f>VLOOKUP(financials[[#This Row],[productid]],Products!$B$2:$H$10,3)</f>
        <v>15</v>
      </c>
      <c r="G1401" s="8">
        <f>financials[[#This Row],[Units Sold]]*financials[[#This Row],[Sale Price]]</f>
        <v>255</v>
      </c>
      <c r="H1401" s="8">
        <f>IF(financials[[#This Row],[Discount Band]]="low",0.1,IF(financials[[#This Row],[Discount Band]]="medium",0.15,0.3))</f>
        <v>0.3</v>
      </c>
      <c r="I1401" s="8">
        <f>financials[[#This Row],[Gross Sales]]-financials[[#This Row],[Gross Sales]]*financials[[#This Row],[Discounts]]</f>
        <v>178.5</v>
      </c>
      <c r="J1401" s="8">
        <f>VLOOKUP(financials[[#This Row],[productid]],Products!$B$2:$H$10,4)</f>
        <v>5.5</v>
      </c>
      <c r="K1401" s="8">
        <f>financials[[#This Row],[Net Sales]]-financials[[#This Row],[COGS]]</f>
        <v>173</v>
      </c>
      <c r="L1401" s="15">
        <v>43887</v>
      </c>
      <c r="M1401" t="s">
        <v>700</v>
      </c>
    </row>
    <row r="1402" spans="1:13" x14ac:dyDescent="0.25">
      <c r="A1402" t="s">
        <v>86</v>
      </c>
      <c r="B1402" s="6" t="s">
        <v>125</v>
      </c>
      <c r="C1402" s="13">
        <v>102</v>
      </c>
      <c r="D1402" s="14" t="s">
        <v>83</v>
      </c>
      <c r="E1402">
        <v>13</v>
      </c>
      <c r="F1402" s="8">
        <f>VLOOKUP(financials[[#This Row],[productid]],Products!$B$2:$H$10,3)</f>
        <v>15</v>
      </c>
      <c r="G1402" s="8">
        <f>financials[[#This Row],[Units Sold]]*financials[[#This Row],[Sale Price]]</f>
        <v>195</v>
      </c>
      <c r="H1402" s="8">
        <f>IF(financials[[#This Row],[Discount Band]]="low",0.1,IF(financials[[#This Row],[Discount Band]]="medium",0.15,0.3))</f>
        <v>0.3</v>
      </c>
      <c r="I1402" s="8">
        <f>financials[[#This Row],[Gross Sales]]-financials[[#This Row],[Gross Sales]]*financials[[#This Row],[Discounts]]</f>
        <v>136.5</v>
      </c>
      <c r="J1402" s="8">
        <f>VLOOKUP(financials[[#This Row],[productid]],Products!$B$2:$H$10,4)</f>
        <v>13.95</v>
      </c>
      <c r="K1402" s="8">
        <f>financials[[#This Row],[Net Sales]]-financials[[#This Row],[COGS]]</f>
        <v>122.55</v>
      </c>
      <c r="L1402" s="15">
        <v>45451</v>
      </c>
      <c r="M1402" t="s">
        <v>700</v>
      </c>
    </row>
    <row r="1403" spans="1:13" x14ac:dyDescent="0.25">
      <c r="A1403" t="s">
        <v>86</v>
      </c>
      <c r="B1403" s="6" t="s">
        <v>645</v>
      </c>
      <c r="C1403" s="13">
        <v>108</v>
      </c>
      <c r="D1403" s="14" t="s">
        <v>83</v>
      </c>
      <c r="E1403">
        <v>7</v>
      </c>
      <c r="F1403" s="8">
        <f>VLOOKUP(financials[[#This Row],[productid]],Products!$B$2:$H$10,3)</f>
        <v>5.5</v>
      </c>
      <c r="G1403" s="8">
        <f>financials[[#This Row],[Units Sold]]*financials[[#This Row],[Sale Price]]</f>
        <v>38.5</v>
      </c>
      <c r="H1403" s="8">
        <f>IF(financials[[#This Row],[Discount Band]]="low",0.1,IF(financials[[#This Row],[Discount Band]]="medium",0.15,0.3))</f>
        <v>0.3</v>
      </c>
      <c r="I1403" s="8">
        <f>financials[[#This Row],[Gross Sales]]-financials[[#This Row],[Gross Sales]]*financials[[#This Row],[Discounts]]</f>
        <v>26.950000000000003</v>
      </c>
      <c r="J1403" s="8">
        <f>VLOOKUP(financials[[#This Row],[productid]],Products!$B$2:$H$10,4)</f>
        <v>3.99</v>
      </c>
      <c r="K1403" s="8">
        <f>financials[[#This Row],[Net Sales]]-financials[[#This Row],[COGS]]</f>
        <v>22.96</v>
      </c>
      <c r="L1403" s="15">
        <v>45185</v>
      </c>
      <c r="M1403" t="s">
        <v>696</v>
      </c>
    </row>
    <row r="1404" spans="1:13" x14ac:dyDescent="0.25">
      <c r="A1404" t="s">
        <v>89</v>
      </c>
      <c r="B1404" s="6" t="s">
        <v>545</v>
      </c>
      <c r="C1404" s="13">
        <v>103</v>
      </c>
      <c r="D1404" s="14" t="s">
        <v>92</v>
      </c>
      <c r="E1404">
        <v>14</v>
      </c>
      <c r="F1404" s="8">
        <f>VLOOKUP(financials[[#This Row],[productid]],Products!$B$2:$H$10,3)</f>
        <v>28</v>
      </c>
      <c r="G1404" s="8">
        <f>financials[[#This Row],[Units Sold]]*financials[[#This Row],[Sale Price]]</f>
        <v>392</v>
      </c>
      <c r="H1404" s="8">
        <f>IF(financials[[#This Row],[Discount Band]]="low",0.1,IF(financials[[#This Row],[Discount Band]]="medium",0.15,0.3))</f>
        <v>0.3</v>
      </c>
      <c r="I1404" s="8">
        <f>financials[[#This Row],[Gross Sales]]-financials[[#This Row],[Gross Sales]]*financials[[#This Row],[Discounts]]</f>
        <v>274.39999999999998</v>
      </c>
      <c r="J1404" s="8">
        <f>VLOOKUP(financials[[#This Row],[productid]],Products!$B$2:$H$10,4)</f>
        <v>15</v>
      </c>
      <c r="K1404" s="8">
        <f>financials[[#This Row],[Net Sales]]-financials[[#This Row],[COGS]]</f>
        <v>259.39999999999998</v>
      </c>
      <c r="L1404" s="15">
        <v>44880</v>
      </c>
      <c r="M1404" t="s">
        <v>700</v>
      </c>
    </row>
    <row r="1405" spans="1:13" x14ac:dyDescent="0.25">
      <c r="A1405" t="s">
        <v>89</v>
      </c>
      <c r="B1405" s="6" t="s">
        <v>273</v>
      </c>
      <c r="C1405" s="13">
        <v>104</v>
      </c>
      <c r="D1405" s="14" t="s">
        <v>83</v>
      </c>
      <c r="E1405">
        <v>15</v>
      </c>
      <c r="F1405" s="8">
        <f>VLOOKUP(financials[[#This Row],[productid]],Products!$B$2:$H$10,3)</f>
        <v>5.9</v>
      </c>
      <c r="G1405" s="8">
        <f>financials[[#This Row],[Units Sold]]*financials[[#This Row],[Sale Price]]</f>
        <v>88.5</v>
      </c>
      <c r="H1405" s="8">
        <f>IF(financials[[#This Row],[Discount Band]]="low",0.1,IF(financials[[#This Row],[Discount Band]]="medium",0.15,0.3))</f>
        <v>0.3</v>
      </c>
      <c r="I1405" s="8">
        <f>financials[[#This Row],[Gross Sales]]-financials[[#This Row],[Gross Sales]]*financials[[#This Row],[Discounts]]</f>
        <v>61.95</v>
      </c>
      <c r="J1405" s="8">
        <f>VLOOKUP(financials[[#This Row],[productid]],Products!$B$2:$H$10,4)</f>
        <v>2.9</v>
      </c>
      <c r="K1405" s="8">
        <f>financials[[#This Row],[Net Sales]]-financials[[#This Row],[COGS]]</f>
        <v>59.050000000000004</v>
      </c>
      <c r="L1405" s="15">
        <v>44024</v>
      </c>
      <c r="M1405" t="s">
        <v>697</v>
      </c>
    </row>
    <row r="1406" spans="1:13" x14ac:dyDescent="0.25">
      <c r="A1406" t="s">
        <v>86</v>
      </c>
      <c r="B1406" s="6" t="s">
        <v>240</v>
      </c>
      <c r="C1406" s="13">
        <v>106</v>
      </c>
      <c r="D1406" s="14" t="s">
        <v>90</v>
      </c>
      <c r="E1406">
        <v>18</v>
      </c>
      <c r="F1406" s="8">
        <f>VLOOKUP(financials[[#This Row],[productid]],Products!$B$2:$H$10,3)</f>
        <v>25</v>
      </c>
      <c r="G1406" s="8">
        <f>financials[[#This Row],[Units Sold]]*financials[[#This Row],[Sale Price]]</f>
        <v>450</v>
      </c>
      <c r="H1406" s="8">
        <f>IF(financials[[#This Row],[Discount Band]]="low",0.1,IF(financials[[#This Row],[Discount Band]]="medium",0.15,0.3))</f>
        <v>0.15</v>
      </c>
      <c r="I1406" s="8">
        <f>financials[[#This Row],[Gross Sales]]-financials[[#This Row],[Gross Sales]]*financials[[#This Row],[Discounts]]</f>
        <v>382.5</v>
      </c>
      <c r="J1406" s="8">
        <f>VLOOKUP(financials[[#This Row],[productid]],Products!$B$2:$H$10,4)</f>
        <v>9.1</v>
      </c>
      <c r="K1406" s="8">
        <f>financials[[#This Row],[Net Sales]]-financials[[#This Row],[COGS]]</f>
        <v>373.4</v>
      </c>
      <c r="L1406" s="15">
        <v>44720</v>
      </c>
      <c r="M1406" t="s">
        <v>700</v>
      </c>
    </row>
    <row r="1407" spans="1:13" x14ac:dyDescent="0.25">
      <c r="A1407" t="s">
        <v>89</v>
      </c>
      <c r="B1407" s="6" t="s">
        <v>268</v>
      </c>
      <c r="C1407" s="13">
        <v>108</v>
      </c>
      <c r="D1407" s="14" t="s">
        <v>83</v>
      </c>
      <c r="E1407">
        <v>19</v>
      </c>
      <c r="F1407" s="8">
        <f>VLOOKUP(financials[[#This Row],[productid]],Products!$B$2:$H$10,3)</f>
        <v>5.5</v>
      </c>
      <c r="G1407" s="8">
        <f>financials[[#This Row],[Units Sold]]*financials[[#This Row],[Sale Price]]</f>
        <v>104.5</v>
      </c>
      <c r="H1407" s="8">
        <f>IF(financials[[#This Row],[Discount Band]]="low",0.1,IF(financials[[#This Row],[Discount Band]]="medium",0.15,0.3))</f>
        <v>0.3</v>
      </c>
      <c r="I1407" s="8">
        <f>financials[[#This Row],[Gross Sales]]-financials[[#This Row],[Gross Sales]]*financials[[#This Row],[Discounts]]</f>
        <v>73.150000000000006</v>
      </c>
      <c r="J1407" s="8">
        <f>VLOOKUP(financials[[#This Row],[productid]],Products!$B$2:$H$10,4)</f>
        <v>3.99</v>
      </c>
      <c r="K1407" s="8">
        <f>financials[[#This Row],[Net Sales]]-financials[[#This Row],[COGS]]</f>
        <v>69.160000000000011</v>
      </c>
      <c r="L1407" s="15">
        <v>44124</v>
      </c>
      <c r="M1407" t="s">
        <v>696</v>
      </c>
    </row>
    <row r="1408" spans="1:13" x14ac:dyDescent="0.25">
      <c r="A1408" t="s">
        <v>86</v>
      </c>
      <c r="B1408" s="6" t="s">
        <v>158</v>
      </c>
      <c r="C1408" s="11">
        <v>108</v>
      </c>
      <c r="D1408" s="9" t="s">
        <v>90</v>
      </c>
      <c r="E1408">
        <v>6</v>
      </c>
      <c r="F1408" s="8">
        <f>VLOOKUP(financials[[#This Row],[productid]],Products!$B$2:$H$10,3)</f>
        <v>5.5</v>
      </c>
      <c r="G1408" s="8">
        <f>financials[[#This Row],[Units Sold]]*financials[[#This Row],[Sale Price]]</f>
        <v>33</v>
      </c>
      <c r="H1408" s="8">
        <f>IF(financials[[#This Row],[Discount Band]]="low",0.1,IF(financials[[#This Row],[Discount Band]]="medium",0.15,0.3))</f>
        <v>0.15</v>
      </c>
      <c r="I1408" s="8">
        <f>financials[[#This Row],[Gross Sales]]-financials[[#This Row],[Gross Sales]]*financials[[#This Row],[Discounts]]</f>
        <v>28.05</v>
      </c>
      <c r="J1408" s="8">
        <f>VLOOKUP(financials[[#This Row],[productid]],Products!$B$2:$H$10,4)</f>
        <v>3.99</v>
      </c>
      <c r="K1408" s="8">
        <f>financials[[#This Row],[Net Sales]]-financials[[#This Row],[COGS]]</f>
        <v>24.060000000000002</v>
      </c>
      <c r="L1408" s="15">
        <v>44551</v>
      </c>
      <c r="M1408" t="s">
        <v>690</v>
      </c>
    </row>
    <row r="1409" spans="1:13" x14ac:dyDescent="0.25">
      <c r="A1409" t="s">
        <v>86</v>
      </c>
      <c r="B1409" s="6" t="s">
        <v>240</v>
      </c>
      <c r="C1409" s="13">
        <v>108</v>
      </c>
      <c r="D1409" s="14" t="s">
        <v>83</v>
      </c>
      <c r="E1409">
        <v>5</v>
      </c>
      <c r="F1409" s="8">
        <f>VLOOKUP(financials[[#This Row],[productid]],Products!$B$2:$H$10,3)</f>
        <v>5.5</v>
      </c>
      <c r="G1409" s="8">
        <f>financials[[#This Row],[Units Sold]]*financials[[#This Row],[Sale Price]]</f>
        <v>27.5</v>
      </c>
      <c r="H1409" s="8">
        <f>IF(financials[[#This Row],[Discount Band]]="low",0.1,IF(financials[[#This Row],[Discount Band]]="medium",0.15,0.3))</f>
        <v>0.3</v>
      </c>
      <c r="I1409" s="8">
        <f>financials[[#This Row],[Gross Sales]]-financials[[#This Row],[Gross Sales]]*financials[[#This Row],[Discounts]]</f>
        <v>19.25</v>
      </c>
      <c r="J1409" s="8">
        <f>VLOOKUP(financials[[#This Row],[productid]],Products!$B$2:$H$10,4)</f>
        <v>3.99</v>
      </c>
      <c r="K1409" s="8">
        <f>financials[[#This Row],[Net Sales]]-financials[[#This Row],[COGS]]</f>
        <v>15.26</v>
      </c>
      <c r="L1409" s="15">
        <v>44564</v>
      </c>
      <c r="M1409" t="s">
        <v>691</v>
      </c>
    </row>
    <row r="1410" spans="1:13" x14ac:dyDescent="0.25">
      <c r="A1410" t="s">
        <v>86</v>
      </c>
      <c r="B1410" s="6" t="s">
        <v>287</v>
      </c>
      <c r="C1410" s="13">
        <v>105</v>
      </c>
      <c r="D1410" s="14" t="s">
        <v>91</v>
      </c>
      <c r="E1410">
        <v>20</v>
      </c>
      <c r="F1410" s="8">
        <f>VLOOKUP(financials[[#This Row],[productid]],Products!$B$2:$H$10,3)</f>
        <v>15</v>
      </c>
      <c r="G1410" s="8">
        <f>financials[[#This Row],[Units Sold]]*financials[[#This Row],[Sale Price]]</f>
        <v>300</v>
      </c>
      <c r="H1410" s="8">
        <f>IF(financials[[#This Row],[Discount Band]]="low",0.1,IF(financials[[#This Row],[Discount Band]]="medium",0.15,0.3))</f>
        <v>0.1</v>
      </c>
      <c r="I1410" s="8">
        <f>financials[[#This Row],[Gross Sales]]-financials[[#This Row],[Gross Sales]]*financials[[#This Row],[Discounts]]</f>
        <v>270</v>
      </c>
      <c r="J1410" s="8">
        <f>VLOOKUP(financials[[#This Row],[productid]],Products!$B$2:$H$10,4)</f>
        <v>10</v>
      </c>
      <c r="K1410" s="8">
        <f>financials[[#This Row],[Net Sales]]-financials[[#This Row],[COGS]]</f>
        <v>260</v>
      </c>
      <c r="L1410" s="15">
        <v>45456</v>
      </c>
      <c r="M1410" t="s">
        <v>696</v>
      </c>
    </row>
    <row r="1411" spans="1:13" x14ac:dyDescent="0.25">
      <c r="A1411" t="s">
        <v>86</v>
      </c>
      <c r="B1411" s="6" t="s">
        <v>205</v>
      </c>
      <c r="C1411" s="11">
        <v>107</v>
      </c>
      <c r="D1411" s="9" t="s">
        <v>90</v>
      </c>
      <c r="E1411">
        <v>13</v>
      </c>
      <c r="F1411" s="8">
        <f>VLOOKUP(financials[[#This Row],[productid]],Products!$B$2:$H$10,3)</f>
        <v>15</v>
      </c>
      <c r="G1411" s="8">
        <f>financials[[#This Row],[Units Sold]]*financials[[#This Row],[Sale Price]]</f>
        <v>195</v>
      </c>
      <c r="H1411" s="8">
        <f>IF(financials[[#This Row],[Discount Band]]="low",0.1,IF(financials[[#This Row],[Discount Band]]="medium",0.15,0.3))</f>
        <v>0.15</v>
      </c>
      <c r="I1411" s="8">
        <f>financials[[#This Row],[Gross Sales]]-financials[[#This Row],[Gross Sales]]*financials[[#This Row],[Discounts]]</f>
        <v>165.75</v>
      </c>
      <c r="J1411" s="8">
        <f>VLOOKUP(financials[[#This Row],[productid]],Products!$B$2:$H$10,4)</f>
        <v>5.5</v>
      </c>
      <c r="K1411" s="8">
        <f>financials[[#This Row],[Net Sales]]-financials[[#This Row],[COGS]]</f>
        <v>160.25</v>
      </c>
      <c r="L1411" s="15">
        <v>44571</v>
      </c>
      <c r="M1411" t="s">
        <v>697</v>
      </c>
    </row>
    <row r="1412" spans="1:13" x14ac:dyDescent="0.25">
      <c r="A1412" t="s">
        <v>89</v>
      </c>
      <c r="B1412" s="6" t="s">
        <v>205</v>
      </c>
      <c r="C1412" s="13">
        <v>101</v>
      </c>
      <c r="D1412" s="14" t="s">
        <v>91</v>
      </c>
      <c r="E1412">
        <v>9</v>
      </c>
      <c r="F1412" s="8">
        <f>VLOOKUP(financials[[#This Row],[productid]],Products!$B$2:$H$10,3)</f>
        <v>23</v>
      </c>
      <c r="G1412" s="8">
        <f>financials[[#This Row],[Units Sold]]*financials[[#This Row],[Sale Price]]</f>
        <v>207</v>
      </c>
      <c r="H1412" s="8">
        <f>IF(financials[[#This Row],[Discount Band]]="low",0.1,IF(financials[[#This Row],[Discount Band]]="medium",0.15,0.3))</f>
        <v>0.1</v>
      </c>
      <c r="I1412" s="8">
        <f>financials[[#This Row],[Gross Sales]]-financials[[#This Row],[Gross Sales]]*financials[[#This Row],[Discounts]]</f>
        <v>186.3</v>
      </c>
      <c r="J1412" s="8">
        <f>VLOOKUP(financials[[#This Row],[productid]],Products!$B$2:$H$10,4)</f>
        <v>9.9499999999999993</v>
      </c>
      <c r="K1412" s="8">
        <f>financials[[#This Row],[Net Sales]]-financials[[#This Row],[COGS]]</f>
        <v>176.35000000000002</v>
      </c>
      <c r="L1412" s="15">
        <v>45392</v>
      </c>
      <c r="M1412" t="s">
        <v>691</v>
      </c>
    </row>
    <row r="1413" spans="1:13" x14ac:dyDescent="0.25">
      <c r="A1413" t="s">
        <v>89</v>
      </c>
      <c r="B1413" s="6" t="s">
        <v>205</v>
      </c>
      <c r="C1413" s="13">
        <v>104</v>
      </c>
      <c r="D1413" s="14" t="s">
        <v>92</v>
      </c>
      <c r="E1413">
        <v>16</v>
      </c>
      <c r="F1413" s="8">
        <f>VLOOKUP(financials[[#This Row],[productid]],Products!$B$2:$H$10,3)</f>
        <v>5.9</v>
      </c>
      <c r="G1413" s="8">
        <f>financials[[#This Row],[Units Sold]]*financials[[#This Row],[Sale Price]]</f>
        <v>94.4</v>
      </c>
      <c r="H1413" s="8">
        <f>IF(financials[[#This Row],[Discount Band]]="low",0.1,IF(financials[[#This Row],[Discount Band]]="medium",0.15,0.3))</f>
        <v>0.3</v>
      </c>
      <c r="I1413" s="8">
        <f>financials[[#This Row],[Gross Sales]]-financials[[#This Row],[Gross Sales]]*financials[[#This Row],[Discounts]]</f>
        <v>66.080000000000013</v>
      </c>
      <c r="J1413" s="8">
        <f>VLOOKUP(financials[[#This Row],[productid]],Products!$B$2:$H$10,4)</f>
        <v>2.9</v>
      </c>
      <c r="K1413" s="8">
        <f>financials[[#This Row],[Net Sales]]-financials[[#This Row],[COGS]]</f>
        <v>63.180000000000014</v>
      </c>
      <c r="L1413" s="15">
        <v>45251</v>
      </c>
      <c r="M1413" t="s">
        <v>690</v>
      </c>
    </row>
    <row r="1414" spans="1:13" x14ac:dyDescent="0.25">
      <c r="A1414" t="s">
        <v>85</v>
      </c>
      <c r="B1414" s="6" t="s">
        <v>205</v>
      </c>
      <c r="C1414" s="13">
        <v>102</v>
      </c>
      <c r="D1414" s="14" t="s">
        <v>83</v>
      </c>
      <c r="E1414">
        <v>15</v>
      </c>
      <c r="F1414" s="8">
        <f>VLOOKUP(financials[[#This Row],[productid]],Products!$B$2:$H$10,3)</f>
        <v>15</v>
      </c>
      <c r="G1414" s="8">
        <f>financials[[#This Row],[Units Sold]]*financials[[#This Row],[Sale Price]]</f>
        <v>225</v>
      </c>
      <c r="H1414" s="8">
        <f>IF(financials[[#This Row],[Discount Band]]="low",0.1,IF(financials[[#This Row],[Discount Band]]="medium",0.15,0.3))</f>
        <v>0.3</v>
      </c>
      <c r="I1414" s="8">
        <f>financials[[#This Row],[Gross Sales]]-financials[[#This Row],[Gross Sales]]*financials[[#This Row],[Discounts]]</f>
        <v>157.5</v>
      </c>
      <c r="J1414" s="8">
        <f>VLOOKUP(financials[[#This Row],[productid]],Products!$B$2:$H$10,4)</f>
        <v>13.95</v>
      </c>
      <c r="K1414" s="8">
        <f>financials[[#This Row],[Net Sales]]-financials[[#This Row],[COGS]]</f>
        <v>143.55000000000001</v>
      </c>
      <c r="L1414" s="15">
        <v>45137</v>
      </c>
      <c r="M1414" t="s">
        <v>691</v>
      </c>
    </row>
    <row r="1415" spans="1:13" x14ac:dyDescent="0.25">
      <c r="A1415" t="s">
        <v>85</v>
      </c>
      <c r="B1415" s="6" t="s">
        <v>268</v>
      </c>
      <c r="C1415" s="13">
        <v>104</v>
      </c>
      <c r="D1415" s="14" t="s">
        <v>91</v>
      </c>
      <c r="E1415">
        <v>7</v>
      </c>
      <c r="F1415" s="8">
        <f>VLOOKUP(financials[[#This Row],[productid]],Products!$B$2:$H$10,3)</f>
        <v>5.9</v>
      </c>
      <c r="G1415" s="8">
        <f>financials[[#This Row],[Units Sold]]*financials[[#This Row],[Sale Price]]</f>
        <v>41.300000000000004</v>
      </c>
      <c r="H1415" s="8">
        <f>IF(financials[[#This Row],[Discount Band]]="low",0.1,IF(financials[[#This Row],[Discount Band]]="medium",0.15,0.3))</f>
        <v>0.1</v>
      </c>
      <c r="I1415" s="8">
        <f>financials[[#This Row],[Gross Sales]]-financials[[#This Row],[Gross Sales]]*financials[[#This Row],[Discounts]]</f>
        <v>37.17</v>
      </c>
      <c r="J1415" s="8">
        <f>VLOOKUP(financials[[#This Row],[productid]],Products!$B$2:$H$10,4)</f>
        <v>2.9</v>
      </c>
      <c r="K1415" s="8">
        <f>financials[[#This Row],[Net Sales]]-financials[[#This Row],[COGS]]</f>
        <v>34.270000000000003</v>
      </c>
      <c r="L1415" s="15">
        <v>44298</v>
      </c>
      <c r="M1415" t="s">
        <v>690</v>
      </c>
    </row>
    <row r="1416" spans="1:13" x14ac:dyDescent="0.25">
      <c r="A1416" t="s">
        <v>87</v>
      </c>
      <c r="B1416" s="6" t="s">
        <v>644</v>
      </c>
      <c r="C1416" s="13">
        <v>107</v>
      </c>
      <c r="D1416" s="14" t="s">
        <v>90</v>
      </c>
      <c r="E1416">
        <v>5</v>
      </c>
      <c r="F1416" s="8">
        <f>VLOOKUP(financials[[#This Row],[productid]],Products!$B$2:$H$10,3)</f>
        <v>15</v>
      </c>
      <c r="G1416" s="8">
        <f>financials[[#This Row],[Units Sold]]*financials[[#This Row],[Sale Price]]</f>
        <v>75</v>
      </c>
      <c r="H1416" s="8">
        <f>IF(financials[[#This Row],[Discount Band]]="low",0.1,IF(financials[[#This Row],[Discount Band]]="medium",0.15,0.3))</f>
        <v>0.15</v>
      </c>
      <c r="I1416" s="8">
        <f>financials[[#This Row],[Gross Sales]]-financials[[#This Row],[Gross Sales]]*financials[[#This Row],[Discounts]]</f>
        <v>63.75</v>
      </c>
      <c r="J1416" s="8">
        <f>VLOOKUP(financials[[#This Row],[productid]],Products!$B$2:$H$10,4)</f>
        <v>5.5</v>
      </c>
      <c r="K1416" s="8">
        <f>financials[[#This Row],[Net Sales]]-financials[[#This Row],[COGS]]</f>
        <v>58.25</v>
      </c>
      <c r="L1416" s="15">
        <v>44042</v>
      </c>
      <c r="M1416" t="s">
        <v>700</v>
      </c>
    </row>
    <row r="1417" spans="1:13" x14ac:dyDescent="0.25">
      <c r="A1417" t="s">
        <v>86</v>
      </c>
      <c r="B1417" s="6" t="s">
        <v>96</v>
      </c>
      <c r="C1417" s="13">
        <v>108</v>
      </c>
      <c r="D1417" s="14" t="s">
        <v>83</v>
      </c>
      <c r="E1417">
        <v>8</v>
      </c>
      <c r="F1417" s="8">
        <f>VLOOKUP(financials[[#This Row],[productid]],Products!$B$2:$H$10,3)</f>
        <v>5.5</v>
      </c>
      <c r="G1417" s="8">
        <f>financials[[#This Row],[Units Sold]]*financials[[#This Row],[Sale Price]]</f>
        <v>44</v>
      </c>
      <c r="H1417" s="8">
        <f>IF(financials[[#This Row],[Discount Band]]="low",0.1,IF(financials[[#This Row],[Discount Band]]="medium",0.15,0.3))</f>
        <v>0.3</v>
      </c>
      <c r="I1417" s="8">
        <f>financials[[#This Row],[Gross Sales]]-financials[[#This Row],[Gross Sales]]*financials[[#This Row],[Discounts]]</f>
        <v>30.8</v>
      </c>
      <c r="J1417" s="8">
        <f>VLOOKUP(financials[[#This Row],[productid]],Products!$B$2:$H$10,4)</f>
        <v>3.99</v>
      </c>
      <c r="K1417" s="8">
        <f>financials[[#This Row],[Net Sales]]-financials[[#This Row],[COGS]]</f>
        <v>26.810000000000002</v>
      </c>
      <c r="L1417" s="15">
        <v>45213</v>
      </c>
      <c r="M1417" t="s">
        <v>696</v>
      </c>
    </row>
    <row r="1418" spans="1:13" x14ac:dyDescent="0.25">
      <c r="A1418" t="s">
        <v>86</v>
      </c>
      <c r="B1418" s="6" t="s">
        <v>228</v>
      </c>
      <c r="C1418" s="13">
        <v>105</v>
      </c>
      <c r="D1418" s="14" t="s">
        <v>83</v>
      </c>
      <c r="E1418">
        <v>6</v>
      </c>
      <c r="F1418" s="8">
        <f>VLOOKUP(financials[[#This Row],[productid]],Products!$B$2:$H$10,3)</f>
        <v>15</v>
      </c>
      <c r="G1418" s="8">
        <f>financials[[#This Row],[Units Sold]]*financials[[#This Row],[Sale Price]]</f>
        <v>90</v>
      </c>
      <c r="H1418" s="8">
        <f>IF(financials[[#This Row],[Discount Band]]="low",0.1,IF(financials[[#This Row],[Discount Band]]="medium",0.15,0.3))</f>
        <v>0.3</v>
      </c>
      <c r="I1418" s="8">
        <f>financials[[#This Row],[Gross Sales]]-financials[[#This Row],[Gross Sales]]*financials[[#This Row],[Discounts]]</f>
        <v>63</v>
      </c>
      <c r="J1418" s="8">
        <f>VLOOKUP(financials[[#This Row],[productid]],Products!$B$2:$H$10,4)</f>
        <v>10</v>
      </c>
      <c r="K1418" s="8">
        <f>financials[[#This Row],[Net Sales]]-financials[[#This Row],[COGS]]</f>
        <v>53</v>
      </c>
      <c r="L1418" s="15">
        <v>45304</v>
      </c>
      <c r="M1418" t="s">
        <v>690</v>
      </c>
    </row>
    <row r="1419" spans="1:13" x14ac:dyDescent="0.25">
      <c r="A1419" t="s">
        <v>85</v>
      </c>
      <c r="B1419" s="6" t="s">
        <v>273</v>
      </c>
      <c r="C1419" s="13">
        <v>106</v>
      </c>
      <c r="D1419" s="14" t="s">
        <v>90</v>
      </c>
      <c r="E1419">
        <v>6</v>
      </c>
      <c r="F1419" s="8">
        <f>VLOOKUP(financials[[#This Row],[productid]],Products!$B$2:$H$10,3)</f>
        <v>25</v>
      </c>
      <c r="G1419" s="8">
        <f>financials[[#This Row],[Units Sold]]*financials[[#This Row],[Sale Price]]</f>
        <v>150</v>
      </c>
      <c r="H1419" s="8">
        <f>IF(financials[[#This Row],[Discount Band]]="low",0.1,IF(financials[[#This Row],[Discount Band]]="medium",0.15,0.3))</f>
        <v>0.15</v>
      </c>
      <c r="I1419" s="8">
        <f>financials[[#This Row],[Gross Sales]]-financials[[#This Row],[Gross Sales]]*financials[[#This Row],[Discounts]]</f>
        <v>127.5</v>
      </c>
      <c r="J1419" s="8">
        <f>VLOOKUP(financials[[#This Row],[productid]],Products!$B$2:$H$10,4)</f>
        <v>9.1</v>
      </c>
      <c r="K1419" s="8">
        <f>financials[[#This Row],[Net Sales]]-financials[[#This Row],[COGS]]</f>
        <v>118.4</v>
      </c>
      <c r="L1419" s="15">
        <v>45091</v>
      </c>
      <c r="M1419" t="s">
        <v>690</v>
      </c>
    </row>
    <row r="1420" spans="1:13" x14ac:dyDescent="0.25">
      <c r="A1420" t="s">
        <v>86</v>
      </c>
      <c r="B1420" s="6" t="s">
        <v>232</v>
      </c>
      <c r="C1420" s="13">
        <v>102</v>
      </c>
      <c r="D1420" s="14" t="s">
        <v>83</v>
      </c>
      <c r="E1420">
        <v>8</v>
      </c>
      <c r="F1420" s="8">
        <f>VLOOKUP(financials[[#This Row],[productid]],Products!$B$2:$H$10,3)</f>
        <v>15</v>
      </c>
      <c r="G1420" s="8">
        <f>financials[[#This Row],[Units Sold]]*financials[[#This Row],[Sale Price]]</f>
        <v>120</v>
      </c>
      <c r="H1420" s="8">
        <f>IF(financials[[#This Row],[Discount Band]]="low",0.1,IF(financials[[#This Row],[Discount Band]]="medium",0.15,0.3))</f>
        <v>0.3</v>
      </c>
      <c r="I1420" s="8">
        <f>financials[[#This Row],[Gross Sales]]-financials[[#This Row],[Gross Sales]]*financials[[#This Row],[Discounts]]</f>
        <v>84</v>
      </c>
      <c r="J1420" s="8">
        <f>VLOOKUP(financials[[#This Row],[productid]],Products!$B$2:$H$10,4)</f>
        <v>13.95</v>
      </c>
      <c r="K1420" s="8">
        <f>financials[[#This Row],[Net Sales]]-financials[[#This Row],[COGS]]</f>
        <v>70.05</v>
      </c>
      <c r="L1420" s="15">
        <v>45597</v>
      </c>
      <c r="M1420" t="s">
        <v>696</v>
      </c>
    </row>
    <row r="1421" spans="1:13" x14ac:dyDescent="0.25">
      <c r="A1421" t="s">
        <v>86</v>
      </c>
      <c r="B1421" s="6" t="s">
        <v>96</v>
      </c>
      <c r="C1421" s="13">
        <v>104</v>
      </c>
      <c r="D1421" s="14" t="s">
        <v>90</v>
      </c>
      <c r="E1421">
        <v>15</v>
      </c>
      <c r="F1421" s="8">
        <f>VLOOKUP(financials[[#This Row],[productid]],Products!$B$2:$H$10,3)</f>
        <v>5.9</v>
      </c>
      <c r="G1421" s="8">
        <f>financials[[#This Row],[Units Sold]]*financials[[#This Row],[Sale Price]]</f>
        <v>88.5</v>
      </c>
      <c r="H1421" s="8">
        <f>IF(financials[[#This Row],[Discount Band]]="low",0.1,IF(financials[[#This Row],[Discount Band]]="medium",0.15,0.3))</f>
        <v>0.15</v>
      </c>
      <c r="I1421" s="8">
        <f>financials[[#This Row],[Gross Sales]]-financials[[#This Row],[Gross Sales]]*financials[[#This Row],[Discounts]]</f>
        <v>75.224999999999994</v>
      </c>
      <c r="J1421" s="8">
        <f>VLOOKUP(financials[[#This Row],[productid]],Products!$B$2:$H$10,4)</f>
        <v>2.9</v>
      </c>
      <c r="K1421" s="8">
        <f>financials[[#This Row],[Net Sales]]-financials[[#This Row],[COGS]]</f>
        <v>72.324999999999989</v>
      </c>
      <c r="L1421" s="15">
        <v>45154</v>
      </c>
      <c r="M1421" t="s">
        <v>697</v>
      </c>
    </row>
    <row r="1422" spans="1:13" x14ac:dyDescent="0.25">
      <c r="A1422" t="s">
        <v>86</v>
      </c>
      <c r="B1422" s="6" t="s">
        <v>228</v>
      </c>
      <c r="C1422" s="13">
        <v>101</v>
      </c>
      <c r="D1422" s="14" t="s">
        <v>90</v>
      </c>
      <c r="E1422">
        <v>9</v>
      </c>
      <c r="F1422" s="8">
        <f>VLOOKUP(financials[[#This Row],[productid]],Products!$B$2:$H$10,3)</f>
        <v>23</v>
      </c>
      <c r="G1422" s="8">
        <f>financials[[#This Row],[Units Sold]]*financials[[#This Row],[Sale Price]]</f>
        <v>207</v>
      </c>
      <c r="H1422" s="8">
        <f>IF(financials[[#This Row],[Discount Band]]="low",0.1,IF(financials[[#This Row],[Discount Band]]="medium",0.15,0.3))</f>
        <v>0.15</v>
      </c>
      <c r="I1422" s="8">
        <f>financials[[#This Row],[Gross Sales]]-financials[[#This Row],[Gross Sales]]*financials[[#This Row],[Discounts]]</f>
        <v>175.95</v>
      </c>
      <c r="J1422" s="8">
        <f>VLOOKUP(financials[[#This Row],[productid]],Products!$B$2:$H$10,4)</f>
        <v>9.9499999999999993</v>
      </c>
      <c r="K1422" s="8">
        <f>financials[[#This Row],[Net Sales]]-financials[[#This Row],[COGS]]</f>
        <v>166</v>
      </c>
      <c r="L1422" s="15">
        <v>45294</v>
      </c>
      <c r="M1422" t="s">
        <v>697</v>
      </c>
    </row>
    <row r="1423" spans="1:13" x14ac:dyDescent="0.25">
      <c r="A1423" t="s">
        <v>86</v>
      </c>
      <c r="B1423" s="6" t="s">
        <v>158</v>
      </c>
      <c r="C1423" s="13">
        <v>104</v>
      </c>
      <c r="D1423" s="14" t="s">
        <v>83</v>
      </c>
      <c r="E1423">
        <v>19</v>
      </c>
      <c r="F1423" s="8">
        <f>VLOOKUP(financials[[#This Row],[productid]],Products!$B$2:$H$10,3)</f>
        <v>5.9</v>
      </c>
      <c r="G1423" s="8">
        <f>financials[[#This Row],[Units Sold]]*financials[[#This Row],[Sale Price]]</f>
        <v>112.10000000000001</v>
      </c>
      <c r="H1423" s="8">
        <f>IF(financials[[#This Row],[Discount Band]]="low",0.1,IF(financials[[#This Row],[Discount Band]]="medium",0.15,0.3))</f>
        <v>0.3</v>
      </c>
      <c r="I1423" s="8">
        <f>financials[[#This Row],[Gross Sales]]-financials[[#This Row],[Gross Sales]]*financials[[#This Row],[Discounts]]</f>
        <v>78.47</v>
      </c>
      <c r="J1423" s="8">
        <f>VLOOKUP(financials[[#This Row],[productid]],Products!$B$2:$H$10,4)</f>
        <v>2.9</v>
      </c>
      <c r="K1423" s="8">
        <f>financials[[#This Row],[Net Sales]]-financials[[#This Row],[COGS]]</f>
        <v>75.569999999999993</v>
      </c>
      <c r="L1423" s="15">
        <v>45617</v>
      </c>
      <c r="M1423" t="s">
        <v>696</v>
      </c>
    </row>
    <row r="1424" spans="1:13" x14ac:dyDescent="0.25">
      <c r="A1424" t="s">
        <v>89</v>
      </c>
      <c r="B1424" s="6" t="s">
        <v>197</v>
      </c>
      <c r="C1424" s="11">
        <v>105</v>
      </c>
      <c r="D1424" s="9" t="s">
        <v>91</v>
      </c>
      <c r="E1424">
        <v>12</v>
      </c>
      <c r="F1424" s="8">
        <f>VLOOKUP(financials[[#This Row],[productid]],Products!$B$2:$H$10,3)</f>
        <v>15</v>
      </c>
      <c r="G1424" s="8">
        <f>financials[[#This Row],[Units Sold]]*financials[[#This Row],[Sale Price]]</f>
        <v>180</v>
      </c>
      <c r="H1424" s="8">
        <f>IF(financials[[#This Row],[Discount Band]]="low",0.1,IF(financials[[#This Row],[Discount Band]]="medium",0.15,0.3))</f>
        <v>0.1</v>
      </c>
      <c r="I1424" s="8">
        <f>financials[[#This Row],[Gross Sales]]-financials[[#This Row],[Gross Sales]]*financials[[#This Row],[Discounts]]</f>
        <v>162</v>
      </c>
      <c r="J1424" s="8">
        <f>VLOOKUP(financials[[#This Row],[productid]],Products!$B$2:$H$10,4)</f>
        <v>10</v>
      </c>
      <c r="K1424" s="8">
        <f>financials[[#This Row],[Net Sales]]-financials[[#This Row],[COGS]]</f>
        <v>152</v>
      </c>
      <c r="L1424" s="15">
        <v>44020</v>
      </c>
      <c r="M1424" t="s">
        <v>696</v>
      </c>
    </row>
    <row r="1425" spans="1:13" x14ac:dyDescent="0.25">
      <c r="A1425" t="s">
        <v>86</v>
      </c>
      <c r="B1425" s="6" t="s">
        <v>232</v>
      </c>
      <c r="C1425" s="13">
        <v>109</v>
      </c>
      <c r="D1425" s="14" t="s">
        <v>90</v>
      </c>
      <c r="E1425">
        <v>16</v>
      </c>
      <c r="F1425" s="8">
        <f>VLOOKUP(financials[[#This Row],[productid]],Products!$B$2:$H$10,3)</f>
        <v>36</v>
      </c>
      <c r="G1425" s="8">
        <f>financials[[#This Row],[Units Sold]]*financials[[#This Row],[Sale Price]]</f>
        <v>576</v>
      </c>
      <c r="H1425" s="8">
        <f>IF(financials[[#This Row],[Discount Band]]="low",0.1,IF(financials[[#This Row],[Discount Band]]="medium",0.15,0.3))</f>
        <v>0.15</v>
      </c>
      <c r="I1425" s="8">
        <f>financials[[#This Row],[Gross Sales]]-financials[[#This Row],[Gross Sales]]*financials[[#This Row],[Discounts]]</f>
        <v>489.6</v>
      </c>
      <c r="J1425" s="8">
        <f>VLOOKUP(financials[[#This Row],[productid]],Products!$B$2:$H$10,4)</f>
        <v>16.8</v>
      </c>
      <c r="K1425" s="8">
        <f>financials[[#This Row],[Net Sales]]-financials[[#This Row],[COGS]]</f>
        <v>472.8</v>
      </c>
      <c r="L1425" s="15">
        <v>43966</v>
      </c>
      <c r="M1425" t="s">
        <v>696</v>
      </c>
    </row>
    <row r="1426" spans="1:13" x14ac:dyDescent="0.25">
      <c r="A1426" t="s">
        <v>86</v>
      </c>
      <c r="B1426" s="6" t="s">
        <v>167</v>
      </c>
      <c r="C1426" s="13">
        <v>104</v>
      </c>
      <c r="D1426" s="14" t="s">
        <v>83</v>
      </c>
      <c r="E1426">
        <v>20</v>
      </c>
      <c r="F1426" s="8">
        <f>VLOOKUP(financials[[#This Row],[productid]],Products!$B$2:$H$10,3)</f>
        <v>5.9</v>
      </c>
      <c r="G1426" s="8">
        <f>financials[[#This Row],[Units Sold]]*financials[[#This Row],[Sale Price]]</f>
        <v>118</v>
      </c>
      <c r="H1426" s="8">
        <f>IF(financials[[#This Row],[Discount Band]]="low",0.1,IF(financials[[#This Row],[Discount Band]]="medium",0.15,0.3))</f>
        <v>0.3</v>
      </c>
      <c r="I1426" s="8">
        <f>financials[[#This Row],[Gross Sales]]-financials[[#This Row],[Gross Sales]]*financials[[#This Row],[Discounts]]</f>
        <v>82.6</v>
      </c>
      <c r="J1426" s="8">
        <f>VLOOKUP(financials[[#This Row],[productid]],Products!$B$2:$H$10,4)</f>
        <v>2.9</v>
      </c>
      <c r="K1426" s="8">
        <f>financials[[#This Row],[Net Sales]]-financials[[#This Row],[COGS]]</f>
        <v>79.699999999999989</v>
      </c>
      <c r="L1426" s="15">
        <v>43958</v>
      </c>
      <c r="M1426" t="s">
        <v>696</v>
      </c>
    </row>
    <row r="1427" spans="1:13" x14ac:dyDescent="0.25">
      <c r="A1427" t="s">
        <v>85</v>
      </c>
      <c r="B1427" s="6" t="s">
        <v>268</v>
      </c>
      <c r="C1427" s="13">
        <v>109</v>
      </c>
      <c r="D1427" s="14" t="s">
        <v>91</v>
      </c>
      <c r="E1427">
        <v>8</v>
      </c>
      <c r="F1427" s="8">
        <f>VLOOKUP(financials[[#This Row],[productid]],Products!$B$2:$H$10,3)</f>
        <v>36</v>
      </c>
      <c r="G1427" s="8">
        <f>financials[[#This Row],[Units Sold]]*financials[[#This Row],[Sale Price]]</f>
        <v>288</v>
      </c>
      <c r="H1427" s="8">
        <f>IF(financials[[#This Row],[Discount Band]]="low",0.1,IF(financials[[#This Row],[Discount Band]]="medium",0.15,0.3))</f>
        <v>0.1</v>
      </c>
      <c r="I1427" s="8">
        <f>financials[[#This Row],[Gross Sales]]-financials[[#This Row],[Gross Sales]]*financials[[#This Row],[Discounts]]</f>
        <v>259.2</v>
      </c>
      <c r="J1427" s="8">
        <f>VLOOKUP(financials[[#This Row],[productid]],Products!$B$2:$H$10,4)</f>
        <v>16.8</v>
      </c>
      <c r="K1427" s="8">
        <f>financials[[#This Row],[Net Sales]]-financials[[#This Row],[COGS]]</f>
        <v>242.39999999999998</v>
      </c>
      <c r="L1427" s="15">
        <v>45165</v>
      </c>
      <c r="M1427" t="s">
        <v>697</v>
      </c>
    </row>
    <row r="1428" spans="1:13" x14ac:dyDescent="0.25">
      <c r="A1428" t="s">
        <v>85</v>
      </c>
      <c r="B1428" s="6" t="s">
        <v>545</v>
      </c>
      <c r="C1428" s="13">
        <v>105</v>
      </c>
      <c r="D1428" s="14" t="s">
        <v>83</v>
      </c>
      <c r="E1428">
        <v>14</v>
      </c>
      <c r="F1428" s="8">
        <f>VLOOKUP(financials[[#This Row],[productid]],Products!$B$2:$H$10,3)</f>
        <v>15</v>
      </c>
      <c r="G1428" s="8">
        <f>financials[[#This Row],[Units Sold]]*financials[[#This Row],[Sale Price]]</f>
        <v>210</v>
      </c>
      <c r="H1428" s="8">
        <f>IF(financials[[#This Row],[Discount Band]]="low",0.1,IF(financials[[#This Row],[Discount Band]]="medium",0.15,0.3))</f>
        <v>0.3</v>
      </c>
      <c r="I1428" s="8">
        <f>financials[[#This Row],[Gross Sales]]-financials[[#This Row],[Gross Sales]]*financials[[#This Row],[Discounts]]</f>
        <v>147</v>
      </c>
      <c r="J1428" s="8">
        <f>VLOOKUP(financials[[#This Row],[productid]],Products!$B$2:$H$10,4)</f>
        <v>10</v>
      </c>
      <c r="K1428" s="8">
        <f>financials[[#This Row],[Net Sales]]-financials[[#This Row],[COGS]]</f>
        <v>137</v>
      </c>
      <c r="L1428" s="15">
        <v>44589</v>
      </c>
      <c r="M1428" t="s">
        <v>700</v>
      </c>
    </row>
    <row r="1429" spans="1:13" x14ac:dyDescent="0.25">
      <c r="A1429" t="s">
        <v>89</v>
      </c>
      <c r="B1429" s="6" t="s">
        <v>167</v>
      </c>
      <c r="C1429" s="13">
        <v>105</v>
      </c>
      <c r="D1429" s="14" t="s">
        <v>83</v>
      </c>
      <c r="E1429">
        <v>13</v>
      </c>
      <c r="F1429" s="8">
        <f>VLOOKUP(financials[[#This Row],[productid]],Products!$B$2:$H$10,3)</f>
        <v>15</v>
      </c>
      <c r="G1429" s="8">
        <f>financials[[#This Row],[Units Sold]]*financials[[#This Row],[Sale Price]]</f>
        <v>195</v>
      </c>
      <c r="H1429" s="8">
        <f>IF(financials[[#This Row],[Discount Band]]="low",0.1,IF(financials[[#This Row],[Discount Band]]="medium",0.15,0.3))</f>
        <v>0.3</v>
      </c>
      <c r="I1429" s="8">
        <f>financials[[#This Row],[Gross Sales]]-financials[[#This Row],[Gross Sales]]*financials[[#This Row],[Discounts]]</f>
        <v>136.5</v>
      </c>
      <c r="J1429" s="8">
        <f>VLOOKUP(financials[[#This Row],[productid]],Products!$B$2:$H$10,4)</f>
        <v>10</v>
      </c>
      <c r="K1429" s="8">
        <f>financials[[#This Row],[Net Sales]]-financials[[#This Row],[COGS]]</f>
        <v>126.5</v>
      </c>
      <c r="L1429" s="15">
        <v>44277</v>
      </c>
      <c r="M1429" t="s">
        <v>697</v>
      </c>
    </row>
    <row r="1430" spans="1:13" x14ac:dyDescent="0.25">
      <c r="A1430" t="s">
        <v>89</v>
      </c>
      <c r="B1430" s="6" t="s">
        <v>95</v>
      </c>
      <c r="C1430" s="13">
        <v>103</v>
      </c>
      <c r="D1430" s="14" t="s">
        <v>83</v>
      </c>
      <c r="E1430">
        <v>11</v>
      </c>
      <c r="F1430" s="8">
        <f>VLOOKUP(financials[[#This Row],[productid]],Products!$B$2:$H$10,3)</f>
        <v>28</v>
      </c>
      <c r="G1430" s="8">
        <f>financials[[#This Row],[Units Sold]]*financials[[#This Row],[Sale Price]]</f>
        <v>308</v>
      </c>
      <c r="H1430" s="8">
        <f>IF(financials[[#This Row],[Discount Band]]="low",0.1,IF(financials[[#This Row],[Discount Band]]="medium",0.15,0.3))</f>
        <v>0.3</v>
      </c>
      <c r="I1430" s="8">
        <f>financials[[#This Row],[Gross Sales]]-financials[[#This Row],[Gross Sales]]*financials[[#This Row],[Discounts]]</f>
        <v>215.60000000000002</v>
      </c>
      <c r="J1430" s="8">
        <f>VLOOKUP(financials[[#This Row],[productid]],Products!$B$2:$H$10,4)</f>
        <v>15</v>
      </c>
      <c r="K1430" s="8">
        <f>financials[[#This Row],[Net Sales]]-financials[[#This Row],[COGS]]</f>
        <v>200.60000000000002</v>
      </c>
      <c r="L1430" s="15">
        <v>45193</v>
      </c>
      <c r="M1430" t="s">
        <v>690</v>
      </c>
    </row>
    <row r="1431" spans="1:13" x14ac:dyDescent="0.25">
      <c r="A1431" t="s">
        <v>86</v>
      </c>
      <c r="B1431" s="6" t="s">
        <v>96</v>
      </c>
      <c r="C1431" s="13">
        <v>104</v>
      </c>
      <c r="D1431" s="14" t="s">
        <v>90</v>
      </c>
      <c r="E1431">
        <v>13</v>
      </c>
      <c r="F1431" s="8">
        <f>VLOOKUP(financials[[#This Row],[productid]],Products!$B$2:$H$10,3)</f>
        <v>5.9</v>
      </c>
      <c r="G1431" s="8">
        <f>financials[[#This Row],[Units Sold]]*financials[[#This Row],[Sale Price]]</f>
        <v>76.7</v>
      </c>
      <c r="H1431" s="8">
        <f>IF(financials[[#This Row],[Discount Band]]="low",0.1,IF(financials[[#This Row],[Discount Band]]="medium",0.15,0.3))</f>
        <v>0.15</v>
      </c>
      <c r="I1431" s="8">
        <f>financials[[#This Row],[Gross Sales]]-financials[[#This Row],[Gross Sales]]*financials[[#This Row],[Discounts]]</f>
        <v>65.195000000000007</v>
      </c>
      <c r="J1431" s="8">
        <f>VLOOKUP(financials[[#This Row],[productid]],Products!$B$2:$H$10,4)</f>
        <v>2.9</v>
      </c>
      <c r="K1431" s="8">
        <f>financials[[#This Row],[Net Sales]]-financials[[#This Row],[COGS]]</f>
        <v>62.295000000000009</v>
      </c>
      <c r="L1431" s="15">
        <v>44357</v>
      </c>
      <c r="M1431" t="s">
        <v>690</v>
      </c>
    </row>
    <row r="1432" spans="1:13" x14ac:dyDescent="0.25">
      <c r="A1432" t="s">
        <v>86</v>
      </c>
      <c r="B1432" s="6" t="s">
        <v>228</v>
      </c>
      <c r="C1432" s="13">
        <v>101</v>
      </c>
      <c r="D1432" s="14" t="s">
        <v>83</v>
      </c>
      <c r="E1432">
        <v>14</v>
      </c>
      <c r="F1432" s="8">
        <f>VLOOKUP(financials[[#This Row],[productid]],Products!$B$2:$H$10,3)</f>
        <v>23</v>
      </c>
      <c r="G1432" s="8">
        <f>financials[[#This Row],[Units Sold]]*financials[[#This Row],[Sale Price]]</f>
        <v>322</v>
      </c>
      <c r="H1432" s="8">
        <f>IF(financials[[#This Row],[Discount Band]]="low",0.1,IF(financials[[#This Row],[Discount Band]]="medium",0.15,0.3))</f>
        <v>0.3</v>
      </c>
      <c r="I1432" s="8">
        <f>financials[[#This Row],[Gross Sales]]-financials[[#This Row],[Gross Sales]]*financials[[#This Row],[Discounts]]</f>
        <v>225.4</v>
      </c>
      <c r="J1432" s="8">
        <f>VLOOKUP(financials[[#This Row],[productid]],Products!$B$2:$H$10,4)</f>
        <v>9.9499999999999993</v>
      </c>
      <c r="K1432" s="8">
        <f>financials[[#This Row],[Net Sales]]-financials[[#This Row],[COGS]]</f>
        <v>215.45000000000002</v>
      </c>
      <c r="L1432" s="15">
        <v>44719</v>
      </c>
      <c r="M1432" t="s">
        <v>700</v>
      </c>
    </row>
    <row r="1433" spans="1:13" x14ac:dyDescent="0.25">
      <c r="A1433" t="s">
        <v>86</v>
      </c>
      <c r="B1433" s="6" t="s">
        <v>228</v>
      </c>
      <c r="C1433" s="13">
        <v>101</v>
      </c>
      <c r="D1433" s="14" t="s">
        <v>83</v>
      </c>
      <c r="E1433">
        <v>18</v>
      </c>
      <c r="F1433" s="8">
        <f>VLOOKUP(financials[[#This Row],[productid]],Products!$B$2:$H$10,3)</f>
        <v>23</v>
      </c>
      <c r="G1433" s="8">
        <f>financials[[#This Row],[Units Sold]]*financials[[#This Row],[Sale Price]]</f>
        <v>414</v>
      </c>
      <c r="H1433" s="8">
        <f>IF(financials[[#This Row],[Discount Band]]="low",0.1,IF(financials[[#This Row],[Discount Band]]="medium",0.15,0.3))</f>
        <v>0.3</v>
      </c>
      <c r="I1433" s="8">
        <f>financials[[#This Row],[Gross Sales]]-financials[[#This Row],[Gross Sales]]*financials[[#This Row],[Discounts]]</f>
        <v>289.8</v>
      </c>
      <c r="J1433" s="8">
        <f>VLOOKUP(financials[[#This Row],[productid]],Products!$B$2:$H$10,4)</f>
        <v>9.9499999999999993</v>
      </c>
      <c r="K1433" s="8">
        <f>financials[[#This Row],[Net Sales]]-financials[[#This Row],[COGS]]</f>
        <v>279.85000000000002</v>
      </c>
      <c r="L1433" s="15">
        <v>44838</v>
      </c>
      <c r="M1433" t="s">
        <v>691</v>
      </c>
    </row>
    <row r="1434" spans="1:13" x14ac:dyDescent="0.25">
      <c r="A1434" t="s">
        <v>86</v>
      </c>
      <c r="B1434" s="6" t="s">
        <v>645</v>
      </c>
      <c r="C1434" s="13">
        <v>106</v>
      </c>
      <c r="D1434" s="14" t="s">
        <v>90</v>
      </c>
      <c r="E1434">
        <v>6</v>
      </c>
      <c r="F1434" s="8">
        <f>VLOOKUP(financials[[#This Row],[productid]],Products!$B$2:$H$10,3)</f>
        <v>25</v>
      </c>
      <c r="G1434" s="8">
        <f>financials[[#This Row],[Units Sold]]*financials[[#This Row],[Sale Price]]</f>
        <v>150</v>
      </c>
      <c r="H1434" s="8">
        <f>IF(financials[[#This Row],[Discount Band]]="low",0.1,IF(financials[[#This Row],[Discount Band]]="medium",0.15,0.3))</f>
        <v>0.15</v>
      </c>
      <c r="I1434" s="8">
        <f>financials[[#This Row],[Gross Sales]]-financials[[#This Row],[Gross Sales]]*financials[[#This Row],[Discounts]]</f>
        <v>127.5</v>
      </c>
      <c r="J1434" s="8">
        <f>VLOOKUP(financials[[#This Row],[productid]],Products!$B$2:$H$10,4)</f>
        <v>9.1</v>
      </c>
      <c r="K1434" s="8">
        <f>financials[[#This Row],[Net Sales]]-financials[[#This Row],[COGS]]</f>
        <v>118.4</v>
      </c>
      <c r="L1434" s="15">
        <v>45259</v>
      </c>
      <c r="M1434" t="s">
        <v>696</v>
      </c>
    </row>
    <row r="1435" spans="1:13" x14ac:dyDescent="0.25">
      <c r="A1435" t="s">
        <v>86</v>
      </c>
      <c r="B1435" s="6" t="s">
        <v>228</v>
      </c>
      <c r="C1435" s="13">
        <v>108</v>
      </c>
      <c r="D1435" s="14" t="s">
        <v>83</v>
      </c>
      <c r="E1435">
        <v>11</v>
      </c>
      <c r="F1435" s="8">
        <f>VLOOKUP(financials[[#This Row],[productid]],Products!$B$2:$H$10,3)</f>
        <v>5.5</v>
      </c>
      <c r="G1435" s="8">
        <f>financials[[#This Row],[Units Sold]]*financials[[#This Row],[Sale Price]]</f>
        <v>60.5</v>
      </c>
      <c r="H1435" s="8">
        <f>IF(financials[[#This Row],[Discount Band]]="low",0.1,IF(financials[[#This Row],[Discount Band]]="medium",0.15,0.3))</f>
        <v>0.3</v>
      </c>
      <c r="I1435" s="8">
        <f>financials[[#This Row],[Gross Sales]]-financials[[#This Row],[Gross Sales]]*financials[[#This Row],[Discounts]]</f>
        <v>42.35</v>
      </c>
      <c r="J1435" s="8">
        <f>VLOOKUP(financials[[#This Row],[productid]],Products!$B$2:$H$10,4)</f>
        <v>3.99</v>
      </c>
      <c r="K1435" s="8">
        <f>financials[[#This Row],[Net Sales]]-financials[[#This Row],[COGS]]</f>
        <v>38.36</v>
      </c>
      <c r="L1435" s="15">
        <v>44157</v>
      </c>
      <c r="M1435" t="s">
        <v>700</v>
      </c>
    </row>
    <row r="1436" spans="1:13" x14ac:dyDescent="0.25">
      <c r="A1436" t="s">
        <v>85</v>
      </c>
      <c r="B1436" s="6" t="s">
        <v>276</v>
      </c>
      <c r="C1436" s="13">
        <v>103</v>
      </c>
      <c r="D1436" s="14" t="s">
        <v>91</v>
      </c>
      <c r="E1436">
        <v>20</v>
      </c>
      <c r="F1436" s="8">
        <f>VLOOKUP(financials[[#This Row],[productid]],Products!$B$2:$H$10,3)</f>
        <v>28</v>
      </c>
      <c r="G1436" s="8">
        <f>financials[[#This Row],[Units Sold]]*financials[[#This Row],[Sale Price]]</f>
        <v>560</v>
      </c>
      <c r="H1436" s="8">
        <f>IF(financials[[#This Row],[Discount Band]]="low",0.1,IF(financials[[#This Row],[Discount Band]]="medium",0.15,0.3))</f>
        <v>0.1</v>
      </c>
      <c r="I1436" s="8">
        <f>financials[[#This Row],[Gross Sales]]-financials[[#This Row],[Gross Sales]]*financials[[#This Row],[Discounts]]</f>
        <v>504</v>
      </c>
      <c r="J1436" s="8">
        <f>VLOOKUP(financials[[#This Row],[productid]],Products!$B$2:$H$10,4)</f>
        <v>15</v>
      </c>
      <c r="K1436" s="8">
        <f>financials[[#This Row],[Net Sales]]-financials[[#This Row],[COGS]]</f>
        <v>489</v>
      </c>
      <c r="L1436" s="15">
        <v>44649</v>
      </c>
      <c r="M1436" t="s">
        <v>697</v>
      </c>
    </row>
    <row r="1437" spans="1:13" x14ac:dyDescent="0.25">
      <c r="A1437" t="s">
        <v>86</v>
      </c>
      <c r="B1437" s="6" t="s">
        <v>158</v>
      </c>
      <c r="C1437" s="13">
        <v>107</v>
      </c>
      <c r="D1437" s="14" t="s">
        <v>90</v>
      </c>
      <c r="E1437">
        <v>15</v>
      </c>
      <c r="F1437" s="8">
        <f>VLOOKUP(financials[[#This Row],[productid]],Products!$B$2:$H$10,3)</f>
        <v>15</v>
      </c>
      <c r="G1437" s="8">
        <f>financials[[#This Row],[Units Sold]]*financials[[#This Row],[Sale Price]]</f>
        <v>225</v>
      </c>
      <c r="H1437" s="8">
        <f>IF(financials[[#This Row],[Discount Band]]="low",0.1,IF(financials[[#This Row],[Discount Band]]="medium",0.15,0.3))</f>
        <v>0.15</v>
      </c>
      <c r="I1437" s="8">
        <f>financials[[#This Row],[Gross Sales]]-financials[[#This Row],[Gross Sales]]*financials[[#This Row],[Discounts]]</f>
        <v>191.25</v>
      </c>
      <c r="J1437" s="8">
        <f>VLOOKUP(financials[[#This Row],[productid]],Products!$B$2:$H$10,4)</f>
        <v>5.5</v>
      </c>
      <c r="K1437" s="8">
        <f>financials[[#This Row],[Net Sales]]-financials[[#This Row],[COGS]]</f>
        <v>185.75</v>
      </c>
      <c r="L1437" s="15">
        <v>45442</v>
      </c>
      <c r="M1437" t="s">
        <v>697</v>
      </c>
    </row>
    <row r="1438" spans="1:13" x14ac:dyDescent="0.25">
      <c r="A1438" t="s">
        <v>85</v>
      </c>
      <c r="B1438" s="6" t="s">
        <v>94</v>
      </c>
      <c r="C1438" s="13">
        <v>102</v>
      </c>
      <c r="D1438" s="14" t="s">
        <v>83</v>
      </c>
      <c r="E1438">
        <v>14</v>
      </c>
      <c r="F1438" s="8">
        <f>VLOOKUP(financials[[#This Row],[productid]],Products!$B$2:$H$10,3)</f>
        <v>15</v>
      </c>
      <c r="G1438" s="8">
        <f>financials[[#This Row],[Units Sold]]*financials[[#This Row],[Sale Price]]</f>
        <v>210</v>
      </c>
      <c r="H1438" s="8">
        <f>IF(financials[[#This Row],[Discount Band]]="low",0.1,IF(financials[[#This Row],[Discount Band]]="medium",0.15,0.3))</f>
        <v>0.3</v>
      </c>
      <c r="I1438" s="8">
        <f>financials[[#This Row],[Gross Sales]]-financials[[#This Row],[Gross Sales]]*financials[[#This Row],[Discounts]]</f>
        <v>147</v>
      </c>
      <c r="J1438" s="8">
        <f>VLOOKUP(financials[[#This Row],[productid]],Products!$B$2:$H$10,4)</f>
        <v>13.95</v>
      </c>
      <c r="K1438" s="8">
        <f>financials[[#This Row],[Net Sales]]-financials[[#This Row],[COGS]]</f>
        <v>133.05000000000001</v>
      </c>
      <c r="L1438" s="15">
        <v>44453</v>
      </c>
      <c r="M1438" t="s">
        <v>691</v>
      </c>
    </row>
    <row r="1439" spans="1:13" x14ac:dyDescent="0.25">
      <c r="A1439" t="s">
        <v>85</v>
      </c>
      <c r="B1439" s="6" t="s">
        <v>94</v>
      </c>
      <c r="C1439" s="13">
        <v>105</v>
      </c>
      <c r="D1439" s="14" t="s">
        <v>83</v>
      </c>
      <c r="E1439">
        <v>6</v>
      </c>
      <c r="F1439" s="8">
        <f>VLOOKUP(financials[[#This Row],[productid]],Products!$B$2:$H$10,3)</f>
        <v>15</v>
      </c>
      <c r="G1439" s="8">
        <f>financials[[#This Row],[Units Sold]]*financials[[#This Row],[Sale Price]]</f>
        <v>90</v>
      </c>
      <c r="H1439" s="8">
        <f>IF(financials[[#This Row],[Discount Band]]="low",0.1,IF(financials[[#This Row],[Discount Band]]="medium",0.15,0.3))</f>
        <v>0.3</v>
      </c>
      <c r="I1439" s="8">
        <f>financials[[#This Row],[Gross Sales]]-financials[[#This Row],[Gross Sales]]*financials[[#This Row],[Discounts]]</f>
        <v>63</v>
      </c>
      <c r="J1439" s="8">
        <f>VLOOKUP(financials[[#This Row],[productid]],Products!$B$2:$H$10,4)</f>
        <v>10</v>
      </c>
      <c r="K1439" s="8">
        <f>financials[[#This Row],[Net Sales]]-financials[[#This Row],[COGS]]</f>
        <v>53</v>
      </c>
      <c r="L1439" s="15">
        <v>44970</v>
      </c>
      <c r="M1439" t="s">
        <v>696</v>
      </c>
    </row>
    <row r="1440" spans="1:13" x14ac:dyDescent="0.25">
      <c r="A1440" t="s">
        <v>86</v>
      </c>
      <c r="B1440" s="6" t="s">
        <v>617</v>
      </c>
      <c r="C1440" s="13">
        <v>103</v>
      </c>
      <c r="D1440" s="14" t="s">
        <v>90</v>
      </c>
      <c r="E1440">
        <v>20</v>
      </c>
      <c r="F1440" s="8">
        <f>VLOOKUP(financials[[#This Row],[productid]],Products!$B$2:$H$10,3)</f>
        <v>28</v>
      </c>
      <c r="G1440" s="8">
        <f>financials[[#This Row],[Units Sold]]*financials[[#This Row],[Sale Price]]</f>
        <v>560</v>
      </c>
      <c r="H1440" s="8">
        <f>IF(financials[[#This Row],[Discount Band]]="low",0.1,IF(financials[[#This Row],[Discount Band]]="medium",0.15,0.3))</f>
        <v>0.15</v>
      </c>
      <c r="I1440" s="8">
        <f>financials[[#This Row],[Gross Sales]]-financials[[#This Row],[Gross Sales]]*financials[[#This Row],[Discounts]]</f>
        <v>476</v>
      </c>
      <c r="J1440" s="8">
        <f>VLOOKUP(financials[[#This Row],[productid]],Products!$B$2:$H$10,4)</f>
        <v>15</v>
      </c>
      <c r="K1440" s="8">
        <f>financials[[#This Row],[Net Sales]]-financials[[#This Row],[COGS]]</f>
        <v>461</v>
      </c>
      <c r="L1440" s="15">
        <v>45039</v>
      </c>
      <c r="M1440" t="s">
        <v>697</v>
      </c>
    </row>
    <row r="1441" spans="1:13" x14ac:dyDescent="0.25">
      <c r="A1441" t="s">
        <v>86</v>
      </c>
      <c r="B1441" s="6" t="s">
        <v>273</v>
      </c>
      <c r="C1441" s="13">
        <v>107</v>
      </c>
      <c r="D1441" s="14" t="s">
        <v>83</v>
      </c>
      <c r="E1441">
        <v>5</v>
      </c>
      <c r="F1441" s="8">
        <f>VLOOKUP(financials[[#This Row],[productid]],Products!$B$2:$H$10,3)</f>
        <v>15</v>
      </c>
      <c r="G1441" s="8">
        <f>financials[[#This Row],[Units Sold]]*financials[[#This Row],[Sale Price]]</f>
        <v>75</v>
      </c>
      <c r="H1441" s="8">
        <f>IF(financials[[#This Row],[Discount Band]]="low",0.1,IF(financials[[#This Row],[Discount Band]]="medium",0.15,0.3))</f>
        <v>0.3</v>
      </c>
      <c r="I1441" s="8">
        <f>financials[[#This Row],[Gross Sales]]-financials[[#This Row],[Gross Sales]]*financials[[#This Row],[Discounts]]</f>
        <v>52.5</v>
      </c>
      <c r="J1441" s="8">
        <f>VLOOKUP(financials[[#This Row],[productid]],Products!$B$2:$H$10,4)</f>
        <v>5.5</v>
      </c>
      <c r="K1441" s="8">
        <f>financials[[#This Row],[Net Sales]]-financials[[#This Row],[COGS]]</f>
        <v>47</v>
      </c>
      <c r="L1441" s="15">
        <v>45518</v>
      </c>
      <c r="M1441" t="s">
        <v>697</v>
      </c>
    </row>
    <row r="1442" spans="1:13" x14ac:dyDescent="0.25">
      <c r="A1442" t="s">
        <v>86</v>
      </c>
      <c r="B1442" s="6" t="s">
        <v>240</v>
      </c>
      <c r="C1442" s="13">
        <v>101</v>
      </c>
      <c r="D1442" s="14" t="s">
        <v>90</v>
      </c>
      <c r="E1442">
        <v>14</v>
      </c>
      <c r="F1442" s="8">
        <f>VLOOKUP(financials[[#This Row],[productid]],Products!$B$2:$H$10,3)</f>
        <v>23</v>
      </c>
      <c r="G1442" s="8">
        <f>financials[[#This Row],[Units Sold]]*financials[[#This Row],[Sale Price]]</f>
        <v>322</v>
      </c>
      <c r="H1442" s="8">
        <f>IF(financials[[#This Row],[Discount Band]]="low",0.1,IF(financials[[#This Row],[Discount Band]]="medium",0.15,0.3))</f>
        <v>0.15</v>
      </c>
      <c r="I1442" s="8">
        <f>financials[[#This Row],[Gross Sales]]-financials[[#This Row],[Gross Sales]]*financials[[#This Row],[Discounts]]</f>
        <v>273.7</v>
      </c>
      <c r="J1442" s="8">
        <f>VLOOKUP(financials[[#This Row],[productid]],Products!$B$2:$H$10,4)</f>
        <v>9.9499999999999993</v>
      </c>
      <c r="K1442" s="8">
        <f>financials[[#This Row],[Net Sales]]-financials[[#This Row],[COGS]]</f>
        <v>263.75</v>
      </c>
      <c r="L1442" s="15">
        <v>45280</v>
      </c>
      <c r="M1442" t="s">
        <v>690</v>
      </c>
    </row>
    <row r="1443" spans="1:13" x14ac:dyDescent="0.25">
      <c r="A1443" t="s">
        <v>86</v>
      </c>
      <c r="B1443" s="6" t="s">
        <v>148</v>
      </c>
      <c r="C1443" s="13">
        <v>101</v>
      </c>
      <c r="D1443" s="14" t="s">
        <v>90</v>
      </c>
      <c r="E1443">
        <v>19</v>
      </c>
      <c r="F1443" s="8">
        <f>VLOOKUP(financials[[#This Row],[productid]],Products!$B$2:$H$10,3)</f>
        <v>23</v>
      </c>
      <c r="G1443" s="8">
        <f>financials[[#This Row],[Units Sold]]*financials[[#This Row],[Sale Price]]</f>
        <v>437</v>
      </c>
      <c r="H1443" s="8">
        <f>IF(financials[[#This Row],[Discount Band]]="low",0.1,IF(financials[[#This Row],[Discount Band]]="medium",0.15,0.3))</f>
        <v>0.15</v>
      </c>
      <c r="I1443" s="8">
        <f>financials[[#This Row],[Gross Sales]]-financials[[#This Row],[Gross Sales]]*financials[[#This Row],[Discounts]]</f>
        <v>371.45</v>
      </c>
      <c r="J1443" s="8">
        <f>VLOOKUP(financials[[#This Row],[productid]],Products!$B$2:$H$10,4)</f>
        <v>9.9499999999999993</v>
      </c>
      <c r="K1443" s="8">
        <f>financials[[#This Row],[Net Sales]]-financials[[#This Row],[COGS]]</f>
        <v>361.5</v>
      </c>
      <c r="L1443" s="15">
        <v>45631</v>
      </c>
      <c r="M1443" t="s">
        <v>700</v>
      </c>
    </row>
    <row r="1444" spans="1:13" x14ac:dyDescent="0.25">
      <c r="A1444" t="s">
        <v>89</v>
      </c>
      <c r="B1444" s="6" t="s">
        <v>273</v>
      </c>
      <c r="C1444" s="11">
        <v>106</v>
      </c>
      <c r="D1444" s="9" t="s">
        <v>90</v>
      </c>
      <c r="E1444">
        <v>20</v>
      </c>
      <c r="F1444" s="8">
        <f>VLOOKUP(financials[[#This Row],[productid]],Products!$B$2:$H$10,3)</f>
        <v>25</v>
      </c>
      <c r="G1444" s="8">
        <f>financials[[#This Row],[Units Sold]]*financials[[#This Row],[Sale Price]]</f>
        <v>500</v>
      </c>
      <c r="H1444" s="8">
        <f>IF(financials[[#This Row],[Discount Band]]="low",0.1,IF(financials[[#This Row],[Discount Band]]="medium",0.15,0.3))</f>
        <v>0.15</v>
      </c>
      <c r="I1444" s="8">
        <f>financials[[#This Row],[Gross Sales]]-financials[[#This Row],[Gross Sales]]*financials[[#This Row],[Discounts]]</f>
        <v>425</v>
      </c>
      <c r="J1444" s="8">
        <f>VLOOKUP(financials[[#This Row],[productid]],Products!$B$2:$H$10,4)</f>
        <v>9.1</v>
      </c>
      <c r="K1444" s="8">
        <f>financials[[#This Row],[Net Sales]]-financials[[#This Row],[COGS]]</f>
        <v>415.9</v>
      </c>
      <c r="L1444" s="15">
        <v>45184</v>
      </c>
      <c r="M1444" t="s">
        <v>696</v>
      </c>
    </row>
    <row r="1445" spans="1:13" x14ac:dyDescent="0.25">
      <c r="A1445" t="s">
        <v>85</v>
      </c>
      <c r="B1445" s="6" t="s">
        <v>268</v>
      </c>
      <c r="C1445" s="11">
        <v>106</v>
      </c>
      <c r="D1445" s="9" t="s">
        <v>91</v>
      </c>
      <c r="E1445">
        <v>19</v>
      </c>
      <c r="F1445" s="8">
        <f>VLOOKUP(financials[[#This Row],[productid]],Products!$B$2:$H$10,3)</f>
        <v>25</v>
      </c>
      <c r="G1445" s="8">
        <f>financials[[#This Row],[Units Sold]]*financials[[#This Row],[Sale Price]]</f>
        <v>475</v>
      </c>
      <c r="H1445" s="8">
        <f>IF(financials[[#This Row],[Discount Band]]="low",0.1,IF(financials[[#This Row],[Discount Band]]="medium",0.15,0.3))</f>
        <v>0.1</v>
      </c>
      <c r="I1445" s="8">
        <f>financials[[#This Row],[Gross Sales]]-financials[[#This Row],[Gross Sales]]*financials[[#This Row],[Discounts]]</f>
        <v>427.5</v>
      </c>
      <c r="J1445" s="8">
        <f>VLOOKUP(financials[[#This Row],[productid]],Products!$B$2:$H$10,4)</f>
        <v>9.1</v>
      </c>
      <c r="K1445" s="8">
        <f>financials[[#This Row],[Net Sales]]-financials[[#This Row],[COGS]]</f>
        <v>418.4</v>
      </c>
      <c r="L1445" s="15">
        <v>44165</v>
      </c>
      <c r="M1445" t="s">
        <v>697</v>
      </c>
    </row>
    <row r="1446" spans="1:13" x14ac:dyDescent="0.25">
      <c r="A1446" t="s">
        <v>86</v>
      </c>
      <c r="B1446" s="6" t="s">
        <v>94</v>
      </c>
      <c r="C1446" s="13">
        <v>101</v>
      </c>
      <c r="D1446" s="14" t="s">
        <v>83</v>
      </c>
      <c r="E1446">
        <v>12</v>
      </c>
      <c r="F1446" s="8">
        <f>VLOOKUP(financials[[#This Row],[productid]],Products!$B$2:$H$10,3)</f>
        <v>23</v>
      </c>
      <c r="G1446" s="8">
        <f>financials[[#This Row],[Units Sold]]*financials[[#This Row],[Sale Price]]</f>
        <v>276</v>
      </c>
      <c r="H1446" s="8">
        <f>IF(financials[[#This Row],[Discount Band]]="low",0.1,IF(financials[[#This Row],[Discount Band]]="medium",0.15,0.3))</f>
        <v>0.3</v>
      </c>
      <c r="I1446" s="8">
        <f>financials[[#This Row],[Gross Sales]]-financials[[#This Row],[Gross Sales]]*financials[[#This Row],[Discounts]]</f>
        <v>193.2</v>
      </c>
      <c r="J1446" s="8">
        <f>VLOOKUP(financials[[#This Row],[productid]],Products!$B$2:$H$10,4)</f>
        <v>9.9499999999999993</v>
      </c>
      <c r="K1446" s="8">
        <f>financials[[#This Row],[Net Sales]]-financials[[#This Row],[COGS]]</f>
        <v>183.25</v>
      </c>
      <c r="L1446" s="15">
        <v>44887</v>
      </c>
      <c r="M1446" t="s">
        <v>700</v>
      </c>
    </row>
    <row r="1447" spans="1:13" x14ac:dyDescent="0.25">
      <c r="A1447" t="s">
        <v>89</v>
      </c>
      <c r="B1447" s="6" t="s">
        <v>197</v>
      </c>
      <c r="C1447" s="13">
        <v>107</v>
      </c>
      <c r="D1447" s="14" t="s">
        <v>91</v>
      </c>
      <c r="E1447">
        <v>11</v>
      </c>
      <c r="F1447" s="8">
        <f>VLOOKUP(financials[[#This Row],[productid]],Products!$B$2:$H$10,3)</f>
        <v>15</v>
      </c>
      <c r="G1447" s="8">
        <f>financials[[#This Row],[Units Sold]]*financials[[#This Row],[Sale Price]]</f>
        <v>165</v>
      </c>
      <c r="H1447" s="8">
        <f>IF(financials[[#This Row],[Discount Band]]="low",0.1,IF(financials[[#This Row],[Discount Band]]="medium",0.15,0.3))</f>
        <v>0.1</v>
      </c>
      <c r="I1447" s="8">
        <f>financials[[#This Row],[Gross Sales]]-financials[[#This Row],[Gross Sales]]*financials[[#This Row],[Discounts]]</f>
        <v>148.5</v>
      </c>
      <c r="J1447" s="8">
        <f>VLOOKUP(financials[[#This Row],[productid]],Products!$B$2:$H$10,4)</f>
        <v>5.5</v>
      </c>
      <c r="K1447" s="8">
        <f>financials[[#This Row],[Net Sales]]-financials[[#This Row],[COGS]]</f>
        <v>143</v>
      </c>
      <c r="L1447" s="15">
        <v>45339</v>
      </c>
      <c r="M1447" t="s">
        <v>691</v>
      </c>
    </row>
    <row r="1448" spans="1:13" x14ac:dyDescent="0.25">
      <c r="A1448" t="s">
        <v>85</v>
      </c>
      <c r="B1448" s="6" t="s">
        <v>273</v>
      </c>
      <c r="C1448" s="13">
        <v>101</v>
      </c>
      <c r="D1448" s="14" t="s">
        <v>90</v>
      </c>
      <c r="E1448">
        <v>10</v>
      </c>
      <c r="F1448" s="8">
        <f>VLOOKUP(financials[[#This Row],[productid]],Products!$B$2:$H$10,3)</f>
        <v>23</v>
      </c>
      <c r="G1448" s="8">
        <f>financials[[#This Row],[Units Sold]]*financials[[#This Row],[Sale Price]]</f>
        <v>230</v>
      </c>
      <c r="H1448" s="8">
        <f>IF(financials[[#This Row],[Discount Band]]="low",0.1,IF(financials[[#This Row],[Discount Band]]="medium",0.15,0.3))</f>
        <v>0.15</v>
      </c>
      <c r="I1448" s="8">
        <f>financials[[#This Row],[Gross Sales]]-financials[[#This Row],[Gross Sales]]*financials[[#This Row],[Discounts]]</f>
        <v>195.5</v>
      </c>
      <c r="J1448" s="8">
        <f>VLOOKUP(financials[[#This Row],[productid]],Products!$B$2:$H$10,4)</f>
        <v>9.9499999999999993</v>
      </c>
      <c r="K1448" s="8">
        <f>financials[[#This Row],[Net Sales]]-financials[[#This Row],[COGS]]</f>
        <v>185.55</v>
      </c>
      <c r="L1448" s="15">
        <v>44651</v>
      </c>
      <c r="M1448" t="s">
        <v>691</v>
      </c>
    </row>
    <row r="1449" spans="1:13" x14ac:dyDescent="0.25">
      <c r="A1449" t="s">
        <v>89</v>
      </c>
      <c r="B1449" s="6" t="s">
        <v>276</v>
      </c>
      <c r="C1449" s="11">
        <v>103</v>
      </c>
      <c r="D1449" s="9" t="s">
        <v>83</v>
      </c>
      <c r="E1449">
        <v>10</v>
      </c>
      <c r="F1449" s="8">
        <f>VLOOKUP(financials[[#This Row],[productid]],Products!$B$2:$H$10,3)</f>
        <v>28</v>
      </c>
      <c r="G1449" s="8">
        <f>financials[[#This Row],[Units Sold]]*financials[[#This Row],[Sale Price]]</f>
        <v>280</v>
      </c>
      <c r="H1449" s="8">
        <f>IF(financials[[#This Row],[Discount Band]]="low",0.1,IF(financials[[#This Row],[Discount Band]]="medium",0.15,0.3))</f>
        <v>0.3</v>
      </c>
      <c r="I1449" s="8">
        <f>financials[[#This Row],[Gross Sales]]-financials[[#This Row],[Gross Sales]]*financials[[#This Row],[Discounts]]</f>
        <v>196</v>
      </c>
      <c r="J1449" s="8">
        <f>VLOOKUP(financials[[#This Row],[productid]],Products!$B$2:$H$10,4)</f>
        <v>15</v>
      </c>
      <c r="K1449" s="8">
        <f>financials[[#This Row],[Net Sales]]-financials[[#This Row],[COGS]]</f>
        <v>181</v>
      </c>
      <c r="L1449" s="15">
        <v>44338</v>
      </c>
      <c r="M1449" t="s">
        <v>700</v>
      </c>
    </row>
    <row r="1450" spans="1:13" x14ac:dyDescent="0.25">
      <c r="A1450" t="s">
        <v>85</v>
      </c>
      <c r="B1450" s="6" t="s">
        <v>167</v>
      </c>
      <c r="C1450" s="13">
        <v>102</v>
      </c>
      <c r="D1450" s="14" t="s">
        <v>83</v>
      </c>
      <c r="E1450">
        <v>12</v>
      </c>
      <c r="F1450" s="8">
        <f>VLOOKUP(financials[[#This Row],[productid]],Products!$B$2:$H$10,3)</f>
        <v>15</v>
      </c>
      <c r="G1450" s="8">
        <f>financials[[#This Row],[Units Sold]]*financials[[#This Row],[Sale Price]]</f>
        <v>180</v>
      </c>
      <c r="H1450" s="8">
        <f>IF(financials[[#This Row],[Discount Band]]="low",0.1,IF(financials[[#This Row],[Discount Band]]="medium",0.15,0.3))</f>
        <v>0.3</v>
      </c>
      <c r="I1450" s="8">
        <f>financials[[#This Row],[Gross Sales]]-financials[[#This Row],[Gross Sales]]*financials[[#This Row],[Discounts]]</f>
        <v>126</v>
      </c>
      <c r="J1450" s="8">
        <f>VLOOKUP(financials[[#This Row],[productid]],Products!$B$2:$H$10,4)</f>
        <v>13.95</v>
      </c>
      <c r="K1450" s="8">
        <f>financials[[#This Row],[Net Sales]]-financials[[#This Row],[COGS]]</f>
        <v>112.05</v>
      </c>
      <c r="L1450" s="15">
        <v>44264</v>
      </c>
      <c r="M1450" t="s">
        <v>700</v>
      </c>
    </row>
    <row r="1451" spans="1:13" x14ac:dyDescent="0.25">
      <c r="A1451" t="s">
        <v>86</v>
      </c>
      <c r="B1451" s="6" t="s">
        <v>287</v>
      </c>
      <c r="C1451" s="13">
        <v>104</v>
      </c>
      <c r="D1451" s="14" t="s">
        <v>90</v>
      </c>
      <c r="E1451">
        <v>18</v>
      </c>
      <c r="F1451" s="8">
        <f>VLOOKUP(financials[[#This Row],[productid]],Products!$B$2:$H$10,3)</f>
        <v>5.9</v>
      </c>
      <c r="G1451" s="8">
        <f>financials[[#This Row],[Units Sold]]*financials[[#This Row],[Sale Price]]</f>
        <v>106.2</v>
      </c>
      <c r="H1451" s="8">
        <f>IF(financials[[#This Row],[Discount Band]]="low",0.1,IF(financials[[#This Row],[Discount Band]]="medium",0.15,0.3))</f>
        <v>0.15</v>
      </c>
      <c r="I1451" s="8">
        <f>financials[[#This Row],[Gross Sales]]-financials[[#This Row],[Gross Sales]]*financials[[#This Row],[Discounts]]</f>
        <v>90.27000000000001</v>
      </c>
      <c r="J1451" s="8">
        <f>VLOOKUP(financials[[#This Row],[productid]],Products!$B$2:$H$10,4)</f>
        <v>2.9</v>
      </c>
      <c r="K1451" s="8">
        <f>financials[[#This Row],[Net Sales]]-financials[[#This Row],[COGS]]</f>
        <v>87.37</v>
      </c>
      <c r="L1451" s="15">
        <v>45020</v>
      </c>
      <c r="M1451" t="s">
        <v>691</v>
      </c>
    </row>
    <row r="1452" spans="1:13" x14ac:dyDescent="0.25">
      <c r="A1452" t="s">
        <v>86</v>
      </c>
      <c r="B1452" s="6" t="s">
        <v>232</v>
      </c>
      <c r="C1452" s="13">
        <v>109</v>
      </c>
      <c r="D1452" s="14" t="s">
        <v>83</v>
      </c>
      <c r="E1452">
        <v>17</v>
      </c>
      <c r="F1452" s="8">
        <f>VLOOKUP(financials[[#This Row],[productid]],Products!$B$2:$H$10,3)</f>
        <v>36</v>
      </c>
      <c r="G1452" s="8">
        <f>financials[[#This Row],[Units Sold]]*financials[[#This Row],[Sale Price]]</f>
        <v>612</v>
      </c>
      <c r="H1452" s="8">
        <f>IF(financials[[#This Row],[Discount Band]]="low",0.1,IF(financials[[#This Row],[Discount Band]]="medium",0.15,0.3))</f>
        <v>0.3</v>
      </c>
      <c r="I1452" s="8">
        <f>financials[[#This Row],[Gross Sales]]-financials[[#This Row],[Gross Sales]]*financials[[#This Row],[Discounts]]</f>
        <v>428.4</v>
      </c>
      <c r="J1452" s="8">
        <f>VLOOKUP(financials[[#This Row],[productid]],Products!$B$2:$H$10,4)</f>
        <v>16.8</v>
      </c>
      <c r="K1452" s="8">
        <f>financials[[#This Row],[Net Sales]]-financials[[#This Row],[COGS]]</f>
        <v>411.59999999999997</v>
      </c>
      <c r="L1452" s="15">
        <v>45085</v>
      </c>
      <c r="M1452" t="s">
        <v>691</v>
      </c>
    </row>
    <row r="1453" spans="1:13" x14ac:dyDescent="0.25">
      <c r="A1453" t="s">
        <v>85</v>
      </c>
      <c r="B1453" s="6" t="s">
        <v>276</v>
      </c>
      <c r="C1453" s="11">
        <v>103</v>
      </c>
      <c r="D1453" s="9" t="s">
        <v>92</v>
      </c>
      <c r="E1453">
        <v>13</v>
      </c>
      <c r="F1453" s="8">
        <f>VLOOKUP(financials[[#This Row],[productid]],Products!$B$2:$H$10,3)</f>
        <v>28</v>
      </c>
      <c r="G1453" s="8">
        <f>financials[[#This Row],[Units Sold]]*financials[[#This Row],[Sale Price]]</f>
        <v>364</v>
      </c>
      <c r="H1453" s="8">
        <f>IF(financials[[#This Row],[Discount Band]]="low",0.1,IF(financials[[#This Row],[Discount Band]]="medium",0.15,0.3))</f>
        <v>0.3</v>
      </c>
      <c r="I1453" s="8">
        <f>financials[[#This Row],[Gross Sales]]-financials[[#This Row],[Gross Sales]]*financials[[#This Row],[Discounts]]</f>
        <v>254.8</v>
      </c>
      <c r="J1453" s="8">
        <f>VLOOKUP(financials[[#This Row],[productid]],Products!$B$2:$H$10,4)</f>
        <v>15</v>
      </c>
      <c r="K1453" s="8">
        <f>financials[[#This Row],[Net Sales]]-financials[[#This Row],[COGS]]</f>
        <v>239.8</v>
      </c>
      <c r="L1453" s="15">
        <v>44551</v>
      </c>
      <c r="M1453" t="s">
        <v>697</v>
      </c>
    </row>
    <row r="1454" spans="1:13" x14ac:dyDescent="0.25">
      <c r="A1454" t="s">
        <v>86</v>
      </c>
      <c r="B1454" s="6" t="s">
        <v>232</v>
      </c>
      <c r="C1454" s="11">
        <v>106</v>
      </c>
      <c r="D1454" s="9" t="s">
        <v>91</v>
      </c>
      <c r="E1454">
        <v>7</v>
      </c>
      <c r="F1454" s="8">
        <f>VLOOKUP(financials[[#This Row],[productid]],Products!$B$2:$H$10,3)</f>
        <v>25</v>
      </c>
      <c r="G1454" s="8">
        <f>financials[[#This Row],[Units Sold]]*financials[[#This Row],[Sale Price]]</f>
        <v>175</v>
      </c>
      <c r="H1454" s="8">
        <f>IF(financials[[#This Row],[Discount Band]]="low",0.1,IF(financials[[#This Row],[Discount Band]]="medium",0.15,0.3))</f>
        <v>0.1</v>
      </c>
      <c r="I1454" s="8">
        <f>financials[[#This Row],[Gross Sales]]-financials[[#This Row],[Gross Sales]]*financials[[#This Row],[Discounts]]</f>
        <v>157.5</v>
      </c>
      <c r="J1454" s="8">
        <f>VLOOKUP(financials[[#This Row],[productid]],Products!$B$2:$H$10,4)</f>
        <v>9.1</v>
      </c>
      <c r="K1454" s="8">
        <f>financials[[#This Row],[Net Sales]]-financials[[#This Row],[COGS]]</f>
        <v>148.4</v>
      </c>
      <c r="L1454" s="15">
        <v>44266</v>
      </c>
      <c r="M1454" t="s">
        <v>696</v>
      </c>
    </row>
    <row r="1455" spans="1:13" x14ac:dyDescent="0.25">
      <c r="A1455" t="s">
        <v>86</v>
      </c>
      <c r="B1455" s="6" t="s">
        <v>93</v>
      </c>
      <c r="C1455" s="11">
        <v>102</v>
      </c>
      <c r="D1455" s="9" t="s">
        <v>83</v>
      </c>
      <c r="E1455">
        <v>8</v>
      </c>
      <c r="F1455" s="8">
        <f>VLOOKUP(financials[[#This Row],[productid]],Products!$B$2:$H$10,3)</f>
        <v>15</v>
      </c>
      <c r="G1455" s="8">
        <f>financials[[#This Row],[Units Sold]]*financials[[#This Row],[Sale Price]]</f>
        <v>120</v>
      </c>
      <c r="H1455" s="8">
        <f>IF(financials[[#This Row],[Discount Band]]="low",0.1,IF(financials[[#This Row],[Discount Band]]="medium",0.15,0.3))</f>
        <v>0.3</v>
      </c>
      <c r="I1455" s="8">
        <f>financials[[#This Row],[Gross Sales]]-financials[[#This Row],[Gross Sales]]*financials[[#This Row],[Discounts]]</f>
        <v>84</v>
      </c>
      <c r="J1455" s="8">
        <f>VLOOKUP(financials[[#This Row],[productid]],Products!$B$2:$H$10,4)</f>
        <v>13.95</v>
      </c>
      <c r="K1455" s="8">
        <f>financials[[#This Row],[Net Sales]]-financials[[#This Row],[COGS]]</f>
        <v>70.05</v>
      </c>
      <c r="L1455" s="15">
        <v>44854</v>
      </c>
      <c r="M1455" t="s">
        <v>691</v>
      </c>
    </row>
    <row r="1456" spans="1:13" x14ac:dyDescent="0.25">
      <c r="A1456" t="s">
        <v>86</v>
      </c>
      <c r="B1456" s="6" t="s">
        <v>228</v>
      </c>
      <c r="C1456" s="13">
        <v>109</v>
      </c>
      <c r="D1456" s="14" t="s">
        <v>83</v>
      </c>
      <c r="E1456">
        <v>18</v>
      </c>
      <c r="F1456" s="8">
        <f>VLOOKUP(financials[[#This Row],[productid]],Products!$B$2:$H$10,3)</f>
        <v>36</v>
      </c>
      <c r="G1456" s="8">
        <f>financials[[#This Row],[Units Sold]]*financials[[#This Row],[Sale Price]]</f>
        <v>648</v>
      </c>
      <c r="H1456" s="8">
        <f>IF(financials[[#This Row],[Discount Band]]="low",0.1,IF(financials[[#This Row],[Discount Band]]="medium",0.15,0.3))</f>
        <v>0.3</v>
      </c>
      <c r="I1456" s="8">
        <f>financials[[#This Row],[Gross Sales]]-financials[[#This Row],[Gross Sales]]*financials[[#This Row],[Discounts]]</f>
        <v>453.6</v>
      </c>
      <c r="J1456" s="8">
        <f>VLOOKUP(financials[[#This Row],[productid]],Products!$B$2:$H$10,4)</f>
        <v>16.8</v>
      </c>
      <c r="K1456" s="8">
        <f>financials[[#This Row],[Net Sales]]-financials[[#This Row],[COGS]]</f>
        <v>436.8</v>
      </c>
      <c r="L1456" s="15">
        <v>45287</v>
      </c>
      <c r="M1456" t="s">
        <v>700</v>
      </c>
    </row>
    <row r="1457" spans="1:13" x14ac:dyDescent="0.25">
      <c r="A1457" t="s">
        <v>86</v>
      </c>
      <c r="B1457" s="6" t="s">
        <v>545</v>
      </c>
      <c r="C1457" s="13">
        <v>103</v>
      </c>
      <c r="D1457" s="14" t="s">
        <v>90</v>
      </c>
      <c r="E1457">
        <v>6</v>
      </c>
      <c r="F1457" s="8">
        <f>VLOOKUP(financials[[#This Row],[productid]],Products!$B$2:$H$10,3)</f>
        <v>28</v>
      </c>
      <c r="G1457" s="8">
        <f>financials[[#This Row],[Units Sold]]*financials[[#This Row],[Sale Price]]</f>
        <v>168</v>
      </c>
      <c r="H1457" s="8">
        <f>IF(financials[[#This Row],[Discount Band]]="low",0.1,IF(financials[[#This Row],[Discount Band]]="medium",0.15,0.3))</f>
        <v>0.15</v>
      </c>
      <c r="I1457" s="8">
        <f>financials[[#This Row],[Gross Sales]]-financials[[#This Row],[Gross Sales]]*financials[[#This Row],[Discounts]]</f>
        <v>142.80000000000001</v>
      </c>
      <c r="J1457" s="8">
        <f>VLOOKUP(financials[[#This Row],[productid]],Products!$B$2:$H$10,4)</f>
        <v>15</v>
      </c>
      <c r="K1457" s="8">
        <f>financials[[#This Row],[Net Sales]]-financials[[#This Row],[COGS]]</f>
        <v>127.80000000000001</v>
      </c>
      <c r="L1457" s="15">
        <v>44685</v>
      </c>
      <c r="M1457" t="s">
        <v>696</v>
      </c>
    </row>
    <row r="1458" spans="1:13" x14ac:dyDescent="0.25">
      <c r="A1458" t="s">
        <v>86</v>
      </c>
      <c r="B1458" s="6" t="s">
        <v>96</v>
      </c>
      <c r="C1458" s="13">
        <v>105</v>
      </c>
      <c r="D1458" s="14" t="s">
        <v>83</v>
      </c>
      <c r="E1458">
        <v>6</v>
      </c>
      <c r="F1458" s="8">
        <f>VLOOKUP(financials[[#This Row],[productid]],Products!$B$2:$H$10,3)</f>
        <v>15</v>
      </c>
      <c r="G1458" s="8">
        <f>financials[[#This Row],[Units Sold]]*financials[[#This Row],[Sale Price]]</f>
        <v>90</v>
      </c>
      <c r="H1458" s="8">
        <f>IF(financials[[#This Row],[Discount Band]]="low",0.1,IF(financials[[#This Row],[Discount Band]]="medium",0.15,0.3))</f>
        <v>0.3</v>
      </c>
      <c r="I1458" s="8">
        <f>financials[[#This Row],[Gross Sales]]-financials[[#This Row],[Gross Sales]]*financials[[#This Row],[Discounts]]</f>
        <v>63</v>
      </c>
      <c r="J1458" s="8">
        <f>VLOOKUP(financials[[#This Row],[productid]],Products!$B$2:$H$10,4)</f>
        <v>10</v>
      </c>
      <c r="K1458" s="8">
        <f>financials[[#This Row],[Net Sales]]-financials[[#This Row],[COGS]]</f>
        <v>53</v>
      </c>
      <c r="L1458" s="15">
        <v>43971</v>
      </c>
      <c r="M1458" t="s">
        <v>697</v>
      </c>
    </row>
    <row r="1459" spans="1:13" x14ac:dyDescent="0.25">
      <c r="A1459" t="s">
        <v>88</v>
      </c>
      <c r="B1459" s="6" t="s">
        <v>644</v>
      </c>
      <c r="C1459" s="13">
        <v>108</v>
      </c>
      <c r="D1459" s="14" t="s">
        <v>83</v>
      </c>
      <c r="E1459">
        <v>17</v>
      </c>
      <c r="F1459" s="8">
        <f>VLOOKUP(financials[[#This Row],[productid]],Products!$B$2:$H$10,3)</f>
        <v>5.5</v>
      </c>
      <c r="G1459" s="8">
        <f>financials[[#This Row],[Units Sold]]*financials[[#This Row],[Sale Price]]</f>
        <v>93.5</v>
      </c>
      <c r="H1459" s="8">
        <f>IF(financials[[#This Row],[Discount Band]]="low",0.1,IF(financials[[#This Row],[Discount Band]]="medium",0.15,0.3))</f>
        <v>0.3</v>
      </c>
      <c r="I1459" s="8">
        <f>financials[[#This Row],[Gross Sales]]-financials[[#This Row],[Gross Sales]]*financials[[#This Row],[Discounts]]</f>
        <v>65.45</v>
      </c>
      <c r="J1459" s="8">
        <f>VLOOKUP(financials[[#This Row],[productid]],Products!$B$2:$H$10,4)</f>
        <v>3.99</v>
      </c>
      <c r="K1459" s="8">
        <f>financials[[#This Row],[Net Sales]]-financials[[#This Row],[COGS]]</f>
        <v>61.46</v>
      </c>
      <c r="L1459" s="15">
        <v>45538</v>
      </c>
      <c r="M1459" t="s">
        <v>700</v>
      </c>
    </row>
    <row r="1460" spans="1:13" x14ac:dyDescent="0.25">
      <c r="A1460" t="s">
        <v>85</v>
      </c>
      <c r="B1460" s="6" t="s">
        <v>198</v>
      </c>
      <c r="C1460" s="13">
        <v>105</v>
      </c>
      <c r="D1460" s="14" t="s">
        <v>83</v>
      </c>
      <c r="E1460">
        <v>10</v>
      </c>
      <c r="F1460" s="8">
        <f>VLOOKUP(financials[[#This Row],[productid]],Products!$B$2:$H$10,3)</f>
        <v>15</v>
      </c>
      <c r="G1460" s="8">
        <f>financials[[#This Row],[Units Sold]]*financials[[#This Row],[Sale Price]]</f>
        <v>150</v>
      </c>
      <c r="H1460" s="8">
        <f>IF(financials[[#This Row],[Discount Band]]="low",0.1,IF(financials[[#This Row],[Discount Band]]="medium",0.15,0.3))</f>
        <v>0.3</v>
      </c>
      <c r="I1460" s="8">
        <f>financials[[#This Row],[Gross Sales]]-financials[[#This Row],[Gross Sales]]*financials[[#This Row],[Discounts]]</f>
        <v>105</v>
      </c>
      <c r="J1460" s="8">
        <f>VLOOKUP(financials[[#This Row],[productid]],Products!$B$2:$H$10,4)</f>
        <v>10</v>
      </c>
      <c r="K1460" s="8">
        <f>financials[[#This Row],[Net Sales]]-financials[[#This Row],[COGS]]</f>
        <v>95</v>
      </c>
      <c r="L1460" s="15">
        <v>45091</v>
      </c>
      <c r="M1460" t="s">
        <v>690</v>
      </c>
    </row>
    <row r="1461" spans="1:13" x14ac:dyDescent="0.25">
      <c r="A1461" t="s">
        <v>86</v>
      </c>
      <c r="B1461" s="6" t="s">
        <v>96</v>
      </c>
      <c r="C1461" s="13">
        <v>109</v>
      </c>
      <c r="D1461" s="14" t="s">
        <v>90</v>
      </c>
      <c r="E1461">
        <v>16</v>
      </c>
      <c r="F1461" s="8">
        <f>VLOOKUP(financials[[#This Row],[productid]],Products!$B$2:$H$10,3)</f>
        <v>36</v>
      </c>
      <c r="G1461" s="8">
        <f>financials[[#This Row],[Units Sold]]*financials[[#This Row],[Sale Price]]</f>
        <v>576</v>
      </c>
      <c r="H1461" s="8">
        <f>IF(financials[[#This Row],[Discount Band]]="low",0.1,IF(financials[[#This Row],[Discount Band]]="medium",0.15,0.3))</f>
        <v>0.15</v>
      </c>
      <c r="I1461" s="8">
        <f>financials[[#This Row],[Gross Sales]]-financials[[#This Row],[Gross Sales]]*financials[[#This Row],[Discounts]]</f>
        <v>489.6</v>
      </c>
      <c r="J1461" s="8">
        <f>VLOOKUP(financials[[#This Row],[productid]],Products!$B$2:$H$10,4)</f>
        <v>16.8</v>
      </c>
      <c r="K1461" s="8">
        <f>financials[[#This Row],[Net Sales]]-financials[[#This Row],[COGS]]</f>
        <v>472.8</v>
      </c>
      <c r="L1461" s="15">
        <v>44023</v>
      </c>
      <c r="M1461" t="s">
        <v>690</v>
      </c>
    </row>
    <row r="1462" spans="1:13" x14ac:dyDescent="0.25">
      <c r="A1462" t="s">
        <v>85</v>
      </c>
      <c r="B1462" s="6" t="s">
        <v>167</v>
      </c>
      <c r="C1462" s="13">
        <v>107</v>
      </c>
      <c r="D1462" s="14" t="s">
        <v>90</v>
      </c>
      <c r="E1462">
        <v>8</v>
      </c>
      <c r="F1462" s="8">
        <f>VLOOKUP(financials[[#This Row],[productid]],Products!$B$2:$H$10,3)</f>
        <v>15</v>
      </c>
      <c r="G1462" s="8">
        <f>financials[[#This Row],[Units Sold]]*financials[[#This Row],[Sale Price]]</f>
        <v>120</v>
      </c>
      <c r="H1462" s="8">
        <f>IF(financials[[#This Row],[Discount Band]]="low",0.1,IF(financials[[#This Row],[Discount Band]]="medium",0.15,0.3))</f>
        <v>0.15</v>
      </c>
      <c r="I1462" s="8">
        <f>financials[[#This Row],[Gross Sales]]-financials[[#This Row],[Gross Sales]]*financials[[#This Row],[Discounts]]</f>
        <v>102</v>
      </c>
      <c r="J1462" s="8">
        <f>VLOOKUP(financials[[#This Row],[productid]],Products!$B$2:$H$10,4)</f>
        <v>5.5</v>
      </c>
      <c r="K1462" s="8">
        <f>financials[[#This Row],[Net Sales]]-financials[[#This Row],[COGS]]</f>
        <v>96.5</v>
      </c>
      <c r="L1462" s="15">
        <v>45613</v>
      </c>
      <c r="M1462" t="s">
        <v>697</v>
      </c>
    </row>
    <row r="1463" spans="1:13" x14ac:dyDescent="0.25">
      <c r="A1463" t="s">
        <v>86</v>
      </c>
      <c r="B1463" s="6" t="s">
        <v>274</v>
      </c>
      <c r="C1463" s="13">
        <v>103</v>
      </c>
      <c r="D1463" s="14" t="s">
        <v>90</v>
      </c>
      <c r="E1463">
        <v>13</v>
      </c>
      <c r="F1463" s="8">
        <f>VLOOKUP(financials[[#This Row],[productid]],Products!$B$2:$H$10,3)</f>
        <v>28</v>
      </c>
      <c r="G1463" s="8">
        <f>financials[[#This Row],[Units Sold]]*financials[[#This Row],[Sale Price]]</f>
        <v>364</v>
      </c>
      <c r="H1463" s="8">
        <f>IF(financials[[#This Row],[Discount Band]]="low",0.1,IF(financials[[#This Row],[Discount Band]]="medium",0.15,0.3))</f>
        <v>0.15</v>
      </c>
      <c r="I1463" s="8">
        <f>financials[[#This Row],[Gross Sales]]-financials[[#This Row],[Gross Sales]]*financials[[#This Row],[Discounts]]</f>
        <v>309.39999999999998</v>
      </c>
      <c r="J1463" s="8">
        <f>VLOOKUP(financials[[#This Row],[productid]],Products!$B$2:$H$10,4)</f>
        <v>15</v>
      </c>
      <c r="K1463" s="8">
        <f>financials[[#This Row],[Net Sales]]-financials[[#This Row],[COGS]]</f>
        <v>294.39999999999998</v>
      </c>
      <c r="L1463" s="15">
        <v>44785</v>
      </c>
      <c r="M1463" t="s">
        <v>691</v>
      </c>
    </row>
    <row r="1464" spans="1:13" x14ac:dyDescent="0.25">
      <c r="A1464" t="s">
        <v>86</v>
      </c>
      <c r="B1464" s="6" t="s">
        <v>148</v>
      </c>
      <c r="C1464" s="13">
        <v>102</v>
      </c>
      <c r="D1464" s="14" t="s">
        <v>83</v>
      </c>
      <c r="E1464">
        <v>7</v>
      </c>
      <c r="F1464" s="8">
        <f>VLOOKUP(financials[[#This Row],[productid]],Products!$B$2:$H$10,3)</f>
        <v>15</v>
      </c>
      <c r="G1464" s="8">
        <f>financials[[#This Row],[Units Sold]]*financials[[#This Row],[Sale Price]]</f>
        <v>105</v>
      </c>
      <c r="H1464" s="8">
        <f>IF(financials[[#This Row],[Discount Band]]="low",0.1,IF(financials[[#This Row],[Discount Band]]="medium",0.15,0.3))</f>
        <v>0.3</v>
      </c>
      <c r="I1464" s="8">
        <f>financials[[#This Row],[Gross Sales]]-financials[[#This Row],[Gross Sales]]*financials[[#This Row],[Discounts]]</f>
        <v>73.5</v>
      </c>
      <c r="J1464" s="8">
        <f>VLOOKUP(financials[[#This Row],[productid]],Products!$B$2:$H$10,4)</f>
        <v>13.95</v>
      </c>
      <c r="K1464" s="8">
        <f>financials[[#This Row],[Net Sales]]-financials[[#This Row],[COGS]]</f>
        <v>59.55</v>
      </c>
      <c r="L1464" s="15">
        <v>45475</v>
      </c>
      <c r="M1464" t="s">
        <v>696</v>
      </c>
    </row>
    <row r="1465" spans="1:13" x14ac:dyDescent="0.25">
      <c r="A1465" t="s">
        <v>85</v>
      </c>
      <c r="B1465" s="6" t="s">
        <v>167</v>
      </c>
      <c r="C1465" s="13">
        <v>106</v>
      </c>
      <c r="D1465" s="14" t="s">
        <v>91</v>
      </c>
      <c r="E1465">
        <v>18</v>
      </c>
      <c r="F1465" s="8">
        <f>VLOOKUP(financials[[#This Row],[productid]],Products!$B$2:$H$10,3)</f>
        <v>25</v>
      </c>
      <c r="G1465" s="8">
        <f>financials[[#This Row],[Units Sold]]*financials[[#This Row],[Sale Price]]</f>
        <v>450</v>
      </c>
      <c r="H1465" s="8">
        <f>IF(financials[[#This Row],[Discount Band]]="low",0.1,IF(financials[[#This Row],[Discount Band]]="medium",0.15,0.3))</f>
        <v>0.1</v>
      </c>
      <c r="I1465" s="8">
        <f>financials[[#This Row],[Gross Sales]]-financials[[#This Row],[Gross Sales]]*financials[[#This Row],[Discounts]]</f>
        <v>405</v>
      </c>
      <c r="J1465" s="8">
        <f>VLOOKUP(financials[[#This Row],[productid]],Products!$B$2:$H$10,4)</f>
        <v>9.1</v>
      </c>
      <c r="K1465" s="8">
        <f>financials[[#This Row],[Net Sales]]-financials[[#This Row],[COGS]]</f>
        <v>395.9</v>
      </c>
      <c r="L1465" s="15">
        <v>43999</v>
      </c>
      <c r="M1465" t="s">
        <v>691</v>
      </c>
    </row>
    <row r="1466" spans="1:13" x14ac:dyDescent="0.25">
      <c r="A1466" t="s">
        <v>89</v>
      </c>
      <c r="B1466" s="6" t="s">
        <v>95</v>
      </c>
      <c r="C1466" s="13">
        <v>105</v>
      </c>
      <c r="D1466" s="14" t="s">
        <v>91</v>
      </c>
      <c r="E1466">
        <v>13</v>
      </c>
      <c r="F1466" s="8">
        <f>VLOOKUP(financials[[#This Row],[productid]],Products!$B$2:$H$10,3)</f>
        <v>15</v>
      </c>
      <c r="G1466" s="8">
        <f>financials[[#This Row],[Units Sold]]*financials[[#This Row],[Sale Price]]</f>
        <v>195</v>
      </c>
      <c r="H1466" s="8">
        <f>IF(financials[[#This Row],[Discount Band]]="low",0.1,IF(financials[[#This Row],[Discount Band]]="medium",0.15,0.3))</f>
        <v>0.1</v>
      </c>
      <c r="I1466" s="8">
        <f>financials[[#This Row],[Gross Sales]]-financials[[#This Row],[Gross Sales]]*financials[[#This Row],[Discounts]]</f>
        <v>175.5</v>
      </c>
      <c r="J1466" s="8">
        <f>VLOOKUP(financials[[#This Row],[productid]],Products!$B$2:$H$10,4)</f>
        <v>10</v>
      </c>
      <c r="K1466" s="8">
        <f>financials[[#This Row],[Net Sales]]-financials[[#This Row],[COGS]]</f>
        <v>165.5</v>
      </c>
      <c r="L1466" s="15">
        <v>44005</v>
      </c>
      <c r="M1466" t="s">
        <v>696</v>
      </c>
    </row>
    <row r="1467" spans="1:13" x14ac:dyDescent="0.25">
      <c r="A1467" t="s">
        <v>86</v>
      </c>
      <c r="B1467" s="6" t="s">
        <v>96</v>
      </c>
      <c r="C1467" s="13">
        <v>108</v>
      </c>
      <c r="D1467" s="14" t="s">
        <v>90</v>
      </c>
      <c r="E1467">
        <v>6</v>
      </c>
      <c r="F1467" s="8">
        <f>VLOOKUP(financials[[#This Row],[productid]],Products!$B$2:$H$10,3)</f>
        <v>5.5</v>
      </c>
      <c r="G1467" s="8">
        <f>financials[[#This Row],[Units Sold]]*financials[[#This Row],[Sale Price]]</f>
        <v>33</v>
      </c>
      <c r="H1467" s="8">
        <f>IF(financials[[#This Row],[Discount Band]]="low",0.1,IF(financials[[#This Row],[Discount Band]]="medium",0.15,0.3))</f>
        <v>0.15</v>
      </c>
      <c r="I1467" s="8">
        <f>financials[[#This Row],[Gross Sales]]-financials[[#This Row],[Gross Sales]]*financials[[#This Row],[Discounts]]</f>
        <v>28.05</v>
      </c>
      <c r="J1467" s="8">
        <f>VLOOKUP(financials[[#This Row],[productid]],Products!$B$2:$H$10,4)</f>
        <v>3.99</v>
      </c>
      <c r="K1467" s="8">
        <f>financials[[#This Row],[Net Sales]]-financials[[#This Row],[COGS]]</f>
        <v>24.060000000000002</v>
      </c>
      <c r="L1467" s="15">
        <v>44504</v>
      </c>
      <c r="M1467" t="s">
        <v>696</v>
      </c>
    </row>
    <row r="1468" spans="1:13" x14ac:dyDescent="0.25">
      <c r="A1468" t="s">
        <v>86</v>
      </c>
      <c r="B1468" s="6" t="s">
        <v>96</v>
      </c>
      <c r="C1468" s="13">
        <v>109</v>
      </c>
      <c r="D1468" s="14" t="s">
        <v>90</v>
      </c>
      <c r="E1468">
        <v>16</v>
      </c>
      <c r="F1468" s="8">
        <f>VLOOKUP(financials[[#This Row],[productid]],Products!$B$2:$H$10,3)</f>
        <v>36</v>
      </c>
      <c r="G1468" s="8">
        <f>financials[[#This Row],[Units Sold]]*financials[[#This Row],[Sale Price]]</f>
        <v>576</v>
      </c>
      <c r="H1468" s="8">
        <f>IF(financials[[#This Row],[Discount Band]]="low",0.1,IF(financials[[#This Row],[Discount Band]]="medium",0.15,0.3))</f>
        <v>0.15</v>
      </c>
      <c r="I1468" s="8">
        <f>financials[[#This Row],[Gross Sales]]-financials[[#This Row],[Gross Sales]]*financials[[#This Row],[Discounts]]</f>
        <v>489.6</v>
      </c>
      <c r="J1468" s="8">
        <f>VLOOKUP(financials[[#This Row],[productid]],Products!$B$2:$H$10,4)</f>
        <v>16.8</v>
      </c>
      <c r="K1468" s="8">
        <f>financials[[#This Row],[Net Sales]]-financials[[#This Row],[COGS]]</f>
        <v>472.8</v>
      </c>
      <c r="L1468" s="15">
        <v>44956</v>
      </c>
      <c r="M1468" t="s">
        <v>700</v>
      </c>
    </row>
    <row r="1469" spans="1:13" x14ac:dyDescent="0.25">
      <c r="A1469" t="s">
        <v>86</v>
      </c>
      <c r="B1469" s="6" t="s">
        <v>287</v>
      </c>
      <c r="C1469" s="13">
        <v>105</v>
      </c>
      <c r="D1469" s="14" t="s">
        <v>90</v>
      </c>
      <c r="E1469">
        <v>15</v>
      </c>
      <c r="F1469" s="8">
        <f>VLOOKUP(financials[[#This Row],[productid]],Products!$B$2:$H$10,3)</f>
        <v>15</v>
      </c>
      <c r="G1469" s="8">
        <f>financials[[#This Row],[Units Sold]]*financials[[#This Row],[Sale Price]]</f>
        <v>225</v>
      </c>
      <c r="H1469" s="8">
        <f>IF(financials[[#This Row],[Discount Band]]="low",0.1,IF(financials[[#This Row],[Discount Band]]="medium",0.15,0.3))</f>
        <v>0.15</v>
      </c>
      <c r="I1469" s="8">
        <f>financials[[#This Row],[Gross Sales]]-financials[[#This Row],[Gross Sales]]*financials[[#This Row],[Discounts]]</f>
        <v>191.25</v>
      </c>
      <c r="J1469" s="8">
        <f>VLOOKUP(financials[[#This Row],[productid]],Products!$B$2:$H$10,4)</f>
        <v>10</v>
      </c>
      <c r="K1469" s="8">
        <f>financials[[#This Row],[Net Sales]]-financials[[#This Row],[COGS]]</f>
        <v>181.25</v>
      </c>
      <c r="L1469" s="15">
        <v>45643</v>
      </c>
      <c r="M1469" t="s">
        <v>700</v>
      </c>
    </row>
    <row r="1470" spans="1:13" x14ac:dyDescent="0.25">
      <c r="A1470" t="s">
        <v>85</v>
      </c>
      <c r="B1470" s="6" t="s">
        <v>268</v>
      </c>
      <c r="C1470" s="13">
        <v>105</v>
      </c>
      <c r="D1470" s="14" t="s">
        <v>83</v>
      </c>
      <c r="E1470">
        <v>7</v>
      </c>
      <c r="F1470" s="8">
        <f>VLOOKUP(financials[[#This Row],[productid]],Products!$B$2:$H$10,3)</f>
        <v>15</v>
      </c>
      <c r="G1470" s="8">
        <f>financials[[#This Row],[Units Sold]]*financials[[#This Row],[Sale Price]]</f>
        <v>105</v>
      </c>
      <c r="H1470" s="8">
        <f>IF(financials[[#This Row],[Discount Band]]="low",0.1,IF(financials[[#This Row],[Discount Band]]="medium",0.15,0.3))</f>
        <v>0.3</v>
      </c>
      <c r="I1470" s="8">
        <f>financials[[#This Row],[Gross Sales]]-financials[[#This Row],[Gross Sales]]*financials[[#This Row],[Discounts]]</f>
        <v>73.5</v>
      </c>
      <c r="J1470" s="8">
        <f>VLOOKUP(financials[[#This Row],[productid]],Products!$B$2:$H$10,4)</f>
        <v>10</v>
      </c>
      <c r="K1470" s="8">
        <f>financials[[#This Row],[Net Sales]]-financials[[#This Row],[COGS]]</f>
        <v>63.5</v>
      </c>
      <c r="L1470" s="15">
        <v>44377</v>
      </c>
      <c r="M1470" t="s">
        <v>696</v>
      </c>
    </row>
    <row r="1471" spans="1:13" x14ac:dyDescent="0.25">
      <c r="A1471" t="s">
        <v>85</v>
      </c>
      <c r="B1471" s="6" t="s">
        <v>276</v>
      </c>
      <c r="C1471" s="13">
        <v>108</v>
      </c>
      <c r="D1471" s="14" t="s">
        <v>83</v>
      </c>
      <c r="E1471">
        <v>6</v>
      </c>
      <c r="F1471" s="8">
        <f>VLOOKUP(financials[[#This Row],[productid]],Products!$B$2:$H$10,3)</f>
        <v>5.5</v>
      </c>
      <c r="G1471" s="8">
        <f>financials[[#This Row],[Units Sold]]*financials[[#This Row],[Sale Price]]</f>
        <v>33</v>
      </c>
      <c r="H1471" s="8">
        <f>IF(financials[[#This Row],[Discount Band]]="low",0.1,IF(financials[[#This Row],[Discount Band]]="medium",0.15,0.3))</f>
        <v>0.3</v>
      </c>
      <c r="I1471" s="8">
        <f>financials[[#This Row],[Gross Sales]]-financials[[#This Row],[Gross Sales]]*financials[[#This Row],[Discounts]]</f>
        <v>23.1</v>
      </c>
      <c r="J1471" s="8">
        <f>VLOOKUP(financials[[#This Row],[productid]],Products!$B$2:$H$10,4)</f>
        <v>3.99</v>
      </c>
      <c r="K1471" s="8">
        <f>financials[[#This Row],[Net Sales]]-financials[[#This Row],[COGS]]</f>
        <v>19.11</v>
      </c>
      <c r="L1471" s="15">
        <v>44509</v>
      </c>
      <c r="M1471" t="s">
        <v>700</v>
      </c>
    </row>
    <row r="1472" spans="1:13" x14ac:dyDescent="0.25">
      <c r="A1472" t="s">
        <v>85</v>
      </c>
      <c r="B1472" s="6" t="s">
        <v>167</v>
      </c>
      <c r="C1472" s="13">
        <v>103</v>
      </c>
      <c r="D1472" s="14" t="s">
        <v>91</v>
      </c>
      <c r="E1472">
        <v>19</v>
      </c>
      <c r="F1472" s="8">
        <f>VLOOKUP(financials[[#This Row],[productid]],Products!$B$2:$H$10,3)</f>
        <v>28</v>
      </c>
      <c r="G1472" s="8">
        <f>financials[[#This Row],[Units Sold]]*financials[[#This Row],[Sale Price]]</f>
        <v>532</v>
      </c>
      <c r="H1472" s="8">
        <f>IF(financials[[#This Row],[Discount Band]]="low",0.1,IF(financials[[#This Row],[Discount Band]]="medium",0.15,0.3))</f>
        <v>0.1</v>
      </c>
      <c r="I1472" s="8">
        <f>financials[[#This Row],[Gross Sales]]-financials[[#This Row],[Gross Sales]]*financials[[#This Row],[Discounts]]</f>
        <v>478.8</v>
      </c>
      <c r="J1472" s="8">
        <f>VLOOKUP(financials[[#This Row],[productid]],Products!$B$2:$H$10,4)</f>
        <v>15</v>
      </c>
      <c r="K1472" s="8">
        <f>financials[[#This Row],[Net Sales]]-financials[[#This Row],[COGS]]</f>
        <v>463.8</v>
      </c>
      <c r="L1472" s="15">
        <v>44473</v>
      </c>
      <c r="M1472" t="s">
        <v>696</v>
      </c>
    </row>
    <row r="1473" spans="1:13" x14ac:dyDescent="0.25">
      <c r="A1473" t="s">
        <v>87</v>
      </c>
      <c r="B1473" s="6" t="s">
        <v>644</v>
      </c>
      <c r="C1473" s="13">
        <v>109</v>
      </c>
      <c r="D1473" s="14" t="s">
        <v>83</v>
      </c>
      <c r="E1473">
        <v>15</v>
      </c>
      <c r="F1473" s="8">
        <f>VLOOKUP(financials[[#This Row],[productid]],Products!$B$2:$H$10,3)</f>
        <v>36</v>
      </c>
      <c r="G1473" s="8">
        <f>financials[[#This Row],[Units Sold]]*financials[[#This Row],[Sale Price]]</f>
        <v>540</v>
      </c>
      <c r="H1473" s="8">
        <f>IF(financials[[#This Row],[Discount Band]]="low",0.1,IF(financials[[#This Row],[Discount Band]]="medium",0.15,0.3))</f>
        <v>0.3</v>
      </c>
      <c r="I1473" s="8">
        <f>financials[[#This Row],[Gross Sales]]-financials[[#This Row],[Gross Sales]]*financials[[#This Row],[Discounts]]</f>
        <v>378</v>
      </c>
      <c r="J1473" s="8">
        <f>VLOOKUP(financials[[#This Row],[productid]],Products!$B$2:$H$10,4)</f>
        <v>16.8</v>
      </c>
      <c r="K1473" s="8">
        <f>financials[[#This Row],[Net Sales]]-financials[[#This Row],[COGS]]</f>
        <v>361.2</v>
      </c>
      <c r="L1473" s="15">
        <v>44212</v>
      </c>
      <c r="M1473" t="s">
        <v>700</v>
      </c>
    </row>
    <row r="1474" spans="1:13" x14ac:dyDescent="0.25">
      <c r="A1474" t="s">
        <v>89</v>
      </c>
      <c r="B1474" s="6" t="s">
        <v>205</v>
      </c>
      <c r="C1474" s="13">
        <v>107</v>
      </c>
      <c r="D1474" s="14" t="s">
        <v>90</v>
      </c>
      <c r="E1474">
        <v>19</v>
      </c>
      <c r="F1474" s="8">
        <f>VLOOKUP(financials[[#This Row],[productid]],Products!$B$2:$H$10,3)</f>
        <v>15</v>
      </c>
      <c r="G1474" s="8">
        <f>financials[[#This Row],[Units Sold]]*financials[[#This Row],[Sale Price]]</f>
        <v>285</v>
      </c>
      <c r="H1474" s="8">
        <f>IF(financials[[#This Row],[Discount Band]]="low",0.1,IF(financials[[#This Row],[Discount Band]]="medium",0.15,0.3))</f>
        <v>0.15</v>
      </c>
      <c r="I1474" s="8">
        <f>financials[[#This Row],[Gross Sales]]-financials[[#This Row],[Gross Sales]]*financials[[#This Row],[Discounts]]</f>
        <v>242.25</v>
      </c>
      <c r="J1474" s="8">
        <f>VLOOKUP(financials[[#This Row],[productid]],Products!$B$2:$H$10,4)</f>
        <v>5.5</v>
      </c>
      <c r="K1474" s="8">
        <f>financials[[#This Row],[Net Sales]]-financials[[#This Row],[COGS]]</f>
        <v>236.75</v>
      </c>
      <c r="L1474" s="15">
        <v>44026</v>
      </c>
      <c r="M1474" t="s">
        <v>691</v>
      </c>
    </row>
    <row r="1475" spans="1:13" x14ac:dyDescent="0.25">
      <c r="A1475" t="s">
        <v>86</v>
      </c>
      <c r="B1475" s="6" t="s">
        <v>645</v>
      </c>
      <c r="C1475" s="13">
        <v>105</v>
      </c>
      <c r="D1475" s="14" t="s">
        <v>90</v>
      </c>
      <c r="E1475">
        <v>9</v>
      </c>
      <c r="F1475" s="8">
        <f>VLOOKUP(financials[[#This Row],[productid]],Products!$B$2:$H$10,3)</f>
        <v>15</v>
      </c>
      <c r="G1475" s="8">
        <f>financials[[#This Row],[Units Sold]]*financials[[#This Row],[Sale Price]]</f>
        <v>135</v>
      </c>
      <c r="H1475" s="8">
        <f>IF(financials[[#This Row],[Discount Band]]="low",0.1,IF(financials[[#This Row],[Discount Band]]="medium",0.15,0.3))</f>
        <v>0.15</v>
      </c>
      <c r="I1475" s="8">
        <f>financials[[#This Row],[Gross Sales]]-financials[[#This Row],[Gross Sales]]*financials[[#This Row],[Discounts]]</f>
        <v>114.75</v>
      </c>
      <c r="J1475" s="8">
        <f>VLOOKUP(financials[[#This Row],[productid]],Products!$B$2:$H$10,4)</f>
        <v>10</v>
      </c>
      <c r="K1475" s="8">
        <f>financials[[#This Row],[Net Sales]]-financials[[#This Row],[COGS]]</f>
        <v>104.75</v>
      </c>
      <c r="L1475" s="15">
        <v>45638</v>
      </c>
      <c r="M1475" t="s">
        <v>690</v>
      </c>
    </row>
    <row r="1476" spans="1:13" x14ac:dyDescent="0.25">
      <c r="A1476" t="s">
        <v>86</v>
      </c>
      <c r="B1476" s="6" t="s">
        <v>96</v>
      </c>
      <c r="C1476" s="13">
        <v>106</v>
      </c>
      <c r="D1476" s="14" t="s">
        <v>83</v>
      </c>
      <c r="E1476">
        <v>5</v>
      </c>
      <c r="F1476" s="8">
        <f>VLOOKUP(financials[[#This Row],[productid]],Products!$B$2:$H$10,3)</f>
        <v>25</v>
      </c>
      <c r="G1476" s="8">
        <f>financials[[#This Row],[Units Sold]]*financials[[#This Row],[Sale Price]]</f>
        <v>125</v>
      </c>
      <c r="H1476" s="8">
        <f>IF(financials[[#This Row],[Discount Band]]="low",0.1,IF(financials[[#This Row],[Discount Band]]="medium",0.15,0.3))</f>
        <v>0.3</v>
      </c>
      <c r="I1476" s="8">
        <f>financials[[#This Row],[Gross Sales]]-financials[[#This Row],[Gross Sales]]*financials[[#This Row],[Discounts]]</f>
        <v>87.5</v>
      </c>
      <c r="J1476" s="8">
        <f>VLOOKUP(financials[[#This Row],[productid]],Products!$B$2:$H$10,4)</f>
        <v>9.1</v>
      </c>
      <c r="K1476" s="8">
        <f>financials[[#This Row],[Net Sales]]-financials[[#This Row],[COGS]]</f>
        <v>78.400000000000006</v>
      </c>
      <c r="L1476" s="15">
        <v>44932</v>
      </c>
      <c r="M1476" t="s">
        <v>697</v>
      </c>
    </row>
    <row r="1477" spans="1:13" x14ac:dyDescent="0.25">
      <c r="A1477" t="s">
        <v>86</v>
      </c>
      <c r="B1477" s="6" t="s">
        <v>96</v>
      </c>
      <c r="C1477" s="13">
        <v>102</v>
      </c>
      <c r="D1477" s="14" t="s">
        <v>83</v>
      </c>
      <c r="E1477">
        <v>5</v>
      </c>
      <c r="F1477" s="8">
        <f>VLOOKUP(financials[[#This Row],[productid]],Products!$B$2:$H$10,3)</f>
        <v>15</v>
      </c>
      <c r="G1477" s="8">
        <f>financials[[#This Row],[Units Sold]]*financials[[#This Row],[Sale Price]]</f>
        <v>75</v>
      </c>
      <c r="H1477" s="8">
        <f>IF(financials[[#This Row],[Discount Band]]="low",0.1,IF(financials[[#This Row],[Discount Band]]="medium",0.15,0.3))</f>
        <v>0.3</v>
      </c>
      <c r="I1477" s="8">
        <f>financials[[#This Row],[Gross Sales]]-financials[[#This Row],[Gross Sales]]*financials[[#This Row],[Discounts]]</f>
        <v>52.5</v>
      </c>
      <c r="J1477" s="8">
        <f>VLOOKUP(financials[[#This Row],[productid]],Products!$B$2:$H$10,4)</f>
        <v>13.95</v>
      </c>
      <c r="K1477" s="8">
        <f>financials[[#This Row],[Net Sales]]-financials[[#This Row],[COGS]]</f>
        <v>38.549999999999997</v>
      </c>
      <c r="L1477" s="15">
        <v>43844</v>
      </c>
      <c r="M1477" t="s">
        <v>691</v>
      </c>
    </row>
    <row r="1478" spans="1:13" x14ac:dyDescent="0.25">
      <c r="A1478" t="s">
        <v>86</v>
      </c>
      <c r="B1478" s="6" t="s">
        <v>287</v>
      </c>
      <c r="C1478" s="13">
        <v>103</v>
      </c>
      <c r="D1478" s="14" t="s">
        <v>90</v>
      </c>
      <c r="E1478">
        <v>12</v>
      </c>
      <c r="F1478" s="8">
        <f>VLOOKUP(financials[[#This Row],[productid]],Products!$B$2:$H$10,3)</f>
        <v>28</v>
      </c>
      <c r="G1478" s="8">
        <f>financials[[#This Row],[Units Sold]]*financials[[#This Row],[Sale Price]]</f>
        <v>336</v>
      </c>
      <c r="H1478" s="8">
        <f>IF(financials[[#This Row],[Discount Band]]="low",0.1,IF(financials[[#This Row],[Discount Band]]="medium",0.15,0.3))</f>
        <v>0.15</v>
      </c>
      <c r="I1478" s="8">
        <f>financials[[#This Row],[Gross Sales]]-financials[[#This Row],[Gross Sales]]*financials[[#This Row],[Discounts]]</f>
        <v>285.60000000000002</v>
      </c>
      <c r="J1478" s="8">
        <f>VLOOKUP(financials[[#This Row],[productid]],Products!$B$2:$H$10,4)</f>
        <v>15</v>
      </c>
      <c r="K1478" s="8">
        <f>financials[[#This Row],[Net Sales]]-financials[[#This Row],[COGS]]</f>
        <v>270.60000000000002</v>
      </c>
      <c r="L1478" s="15">
        <v>44749</v>
      </c>
      <c r="M1478" t="s">
        <v>697</v>
      </c>
    </row>
    <row r="1479" spans="1:13" x14ac:dyDescent="0.25">
      <c r="A1479" t="s">
        <v>89</v>
      </c>
      <c r="B1479" s="6" t="s">
        <v>276</v>
      </c>
      <c r="C1479" s="13">
        <v>107</v>
      </c>
      <c r="D1479" s="14" t="s">
        <v>83</v>
      </c>
      <c r="E1479">
        <v>18</v>
      </c>
      <c r="F1479" s="8">
        <f>VLOOKUP(financials[[#This Row],[productid]],Products!$B$2:$H$10,3)</f>
        <v>15</v>
      </c>
      <c r="G1479" s="8">
        <f>financials[[#This Row],[Units Sold]]*financials[[#This Row],[Sale Price]]</f>
        <v>270</v>
      </c>
      <c r="H1479" s="8">
        <f>IF(financials[[#This Row],[Discount Band]]="low",0.1,IF(financials[[#This Row],[Discount Band]]="medium",0.15,0.3))</f>
        <v>0.3</v>
      </c>
      <c r="I1479" s="8">
        <f>financials[[#This Row],[Gross Sales]]-financials[[#This Row],[Gross Sales]]*financials[[#This Row],[Discounts]]</f>
        <v>189</v>
      </c>
      <c r="J1479" s="8">
        <f>VLOOKUP(financials[[#This Row],[productid]],Products!$B$2:$H$10,4)</f>
        <v>5.5</v>
      </c>
      <c r="K1479" s="8">
        <f>financials[[#This Row],[Net Sales]]-financials[[#This Row],[COGS]]</f>
        <v>183.5</v>
      </c>
      <c r="L1479" s="15">
        <v>44927</v>
      </c>
      <c r="M1479" t="s">
        <v>697</v>
      </c>
    </row>
    <row r="1480" spans="1:13" x14ac:dyDescent="0.25">
      <c r="A1480" t="s">
        <v>86</v>
      </c>
      <c r="B1480" s="6" t="s">
        <v>158</v>
      </c>
      <c r="C1480" s="11">
        <v>105</v>
      </c>
      <c r="D1480" s="9" t="s">
        <v>90</v>
      </c>
      <c r="E1480">
        <v>18</v>
      </c>
      <c r="F1480" s="8">
        <f>VLOOKUP(financials[[#This Row],[productid]],Products!$B$2:$H$10,3)</f>
        <v>15</v>
      </c>
      <c r="G1480" s="8">
        <f>financials[[#This Row],[Units Sold]]*financials[[#This Row],[Sale Price]]</f>
        <v>270</v>
      </c>
      <c r="H1480" s="8">
        <f>IF(financials[[#This Row],[Discount Band]]="low",0.1,IF(financials[[#This Row],[Discount Band]]="medium",0.15,0.3))</f>
        <v>0.15</v>
      </c>
      <c r="I1480" s="8">
        <f>financials[[#This Row],[Gross Sales]]-financials[[#This Row],[Gross Sales]]*financials[[#This Row],[Discounts]]</f>
        <v>229.5</v>
      </c>
      <c r="J1480" s="8">
        <f>VLOOKUP(financials[[#This Row],[productid]],Products!$B$2:$H$10,4)</f>
        <v>10</v>
      </c>
      <c r="K1480" s="8">
        <f>financials[[#This Row],[Net Sales]]-financials[[#This Row],[COGS]]</f>
        <v>219.5</v>
      </c>
      <c r="L1480" s="15">
        <v>44770</v>
      </c>
      <c r="M1480" t="s">
        <v>700</v>
      </c>
    </row>
    <row r="1481" spans="1:13" x14ac:dyDescent="0.25">
      <c r="A1481" t="s">
        <v>86</v>
      </c>
      <c r="B1481" s="6" t="s">
        <v>228</v>
      </c>
      <c r="C1481" s="13">
        <v>102</v>
      </c>
      <c r="D1481" s="14" t="s">
        <v>90</v>
      </c>
      <c r="E1481">
        <v>17</v>
      </c>
      <c r="F1481" s="8">
        <f>VLOOKUP(financials[[#This Row],[productid]],Products!$B$2:$H$10,3)</f>
        <v>15</v>
      </c>
      <c r="G1481" s="8">
        <f>financials[[#This Row],[Units Sold]]*financials[[#This Row],[Sale Price]]</f>
        <v>255</v>
      </c>
      <c r="H1481" s="8">
        <f>IF(financials[[#This Row],[Discount Band]]="low",0.1,IF(financials[[#This Row],[Discount Band]]="medium",0.15,0.3))</f>
        <v>0.15</v>
      </c>
      <c r="I1481" s="8">
        <f>financials[[#This Row],[Gross Sales]]-financials[[#This Row],[Gross Sales]]*financials[[#This Row],[Discounts]]</f>
        <v>216.75</v>
      </c>
      <c r="J1481" s="8">
        <f>VLOOKUP(financials[[#This Row],[productid]],Products!$B$2:$H$10,4)</f>
        <v>13.95</v>
      </c>
      <c r="K1481" s="8">
        <f>financials[[#This Row],[Net Sales]]-financials[[#This Row],[COGS]]</f>
        <v>202.8</v>
      </c>
      <c r="L1481" s="15">
        <v>45060</v>
      </c>
      <c r="M1481" t="s">
        <v>696</v>
      </c>
    </row>
    <row r="1482" spans="1:13" x14ac:dyDescent="0.25">
      <c r="A1482" t="s">
        <v>86</v>
      </c>
      <c r="B1482" s="6" t="s">
        <v>94</v>
      </c>
      <c r="C1482" s="13">
        <v>105</v>
      </c>
      <c r="D1482" s="14" t="s">
        <v>90</v>
      </c>
      <c r="E1482">
        <v>16</v>
      </c>
      <c r="F1482" s="8">
        <f>VLOOKUP(financials[[#This Row],[productid]],Products!$B$2:$H$10,3)</f>
        <v>15</v>
      </c>
      <c r="G1482" s="8">
        <f>financials[[#This Row],[Units Sold]]*financials[[#This Row],[Sale Price]]</f>
        <v>240</v>
      </c>
      <c r="H1482" s="8">
        <f>IF(financials[[#This Row],[Discount Band]]="low",0.1,IF(financials[[#This Row],[Discount Band]]="medium",0.15,0.3))</f>
        <v>0.15</v>
      </c>
      <c r="I1482" s="8">
        <f>financials[[#This Row],[Gross Sales]]-financials[[#This Row],[Gross Sales]]*financials[[#This Row],[Discounts]]</f>
        <v>204</v>
      </c>
      <c r="J1482" s="8">
        <f>VLOOKUP(financials[[#This Row],[productid]],Products!$B$2:$H$10,4)</f>
        <v>10</v>
      </c>
      <c r="K1482" s="8">
        <f>financials[[#This Row],[Net Sales]]-financials[[#This Row],[COGS]]</f>
        <v>194</v>
      </c>
      <c r="L1482" s="15">
        <v>43872</v>
      </c>
      <c r="M1482" t="s">
        <v>696</v>
      </c>
    </row>
    <row r="1483" spans="1:13" x14ac:dyDescent="0.25">
      <c r="A1483" t="s">
        <v>85</v>
      </c>
      <c r="B1483" s="6" t="s">
        <v>273</v>
      </c>
      <c r="C1483" s="13">
        <v>105</v>
      </c>
      <c r="D1483" s="14" t="s">
        <v>90</v>
      </c>
      <c r="E1483">
        <v>15</v>
      </c>
      <c r="F1483" s="8">
        <f>VLOOKUP(financials[[#This Row],[productid]],Products!$B$2:$H$10,3)</f>
        <v>15</v>
      </c>
      <c r="G1483" s="8">
        <f>financials[[#This Row],[Units Sold]]*financials[[#This Row],[Sale Price]]</f>
        <v>225</v>
      </c>
      <c r="H1483" s="8">
        <f>IF(financials[[#This Row],[Discount Band]]="low",0.1,IF(financials[[#This Row],[Discount Band]]="medium",0.15,0.3))</f>
        <v>0.15</v>
      </c>
      <c r="I1483" s="8">
        <f>financials[[#This Row],[Gross Sales]]-financials[[#This Row],[Gross Sales]]*financials[[#This Row],[Discounts]]</f>
        <v>191.25</v>
      </c>
      <c r="J1483" s="8">
        <f>VLOOKUP(financials[[#This Row],[productid]],Products!$B$2:$H$10,4)</f>
        <v>10</v>
      </c>
      <c r="K1483" s="8">
        <f>financials[[#This Row],[Net Sales]]-financials[[#This Row],[COGS]]</f>
        <v>181.25</v>
      </c>
      <c r="L1483" s="15">
        <v>44738</v>
      </c>
      <c r="M1483" t="s">
        <v>697</v>
      </c>
    </row>
    <row r="1484" spans="1:13" x14ac:dyDescent="0.25">
      <c r="A1484" t="s">
        <v>86</v>
      </c>
      <c r="B1484" s="6" t="s">
        <v>287</v>
      </c>
      <c r="C1484" s="13">
        <v>105</v>
      </c>
      <c r="D1484" s="14" t="s">
        <v>90</v>
      </c>
      <c r="E1484">
        <v>20</v>
      </c>
      <c r="F1484" s="8">
        <f>VLOOKUP(financials[[#This Row],[productid]],Products!$B$2:$H$10,3)</f>
        <v>15</v>
      </c>
      <c r="G1484" s="8">
        <f>financials[[#This Row],[Units Sold]]*financials[[#This Row],[Sale Price]]</f>
        <v>300</v>
      </c>
      <c r="H1484" s="8">
        <f>IF(financials[[#This Row],[Discount Band]]="low",0.1,IF(financials[[#This Row],[Discount Band]]="medium",0.15,0.3))</f>
        <v>0.15</v>
      </c>
      <c r="I1484" s="8">
        <f>financials[[#This Row],[Gross Sales]]-financials[[#This Row],[Gross Sales]]*financials[[#This Row],[Discounts]]</f>
        <v>255</v>
      </c>
      <c r="J1484" s="8">
        <f>VLOOKUP(financials[[#This Row],[productid]],Products!$B$2:$H$10,4)</f>
        <v>10</v>
      </c>
      <c r="K1484" s="8">
        <f>financials[[#This Row],[Net Sales]]-financials[[#This Row],[COGS]]</f>
        <v>245</v>
      </c>
      <c r="L1484" s="15">
        <v>44574</v>
      </c>
      <c r="M1484" t="s">
        <v>700</v>
      </c>
    </row>
    <row r="1485" spans="1:13" x14ac:dyDescent="0.25">
      <c r="A1485" t="s">
        <v>86</v>
      </c>
      <c r="B1485" s="6" t="s">
        <v>125</v>
      </c>
      <c r="C1485" s="13">
        <v>102</v>
      </c>
      <c r="D1485" s="14" t="s">
        <v>83</v>
      </c>
      <c r="E1485">
        <v>12</v>
      </c>
      <c r="F1485" s="8">
        <f>VLOOKUP(financials[[#This Row],[productid]],Products!$B$2:$H$10,3)</f>
        <v>15</v>
      </c>
      <c r="G1485" s="8">
        <f>financials[[#This Row],[Units Sold]]*financials[[#This Row],[Sale Price]]</f>
        <v>180</v>
      </c>
      <c r="H1485" s="8">
        <f>IF(financials[[#This Row],[Discount Band]]="low",0.1,IF(financials[[#This Row],[Discount Band]]="medium",0.15,0.3))</f>
        <v>0.3</v>
      </c>
      <c r="I1485" s="8">
        <f>financials[[#This Row],[Gross Sales]]-financials[[#This Row],[Gross Sales]]*financials[[#This Row],[Discounts]]</f>
        <v>126</v>
      </c>
      <c r="J1485" s="8">
        <f>VLOOKUP(financials[[#This Row],[productid]],Products!$B$2:$H$10,4)</f>
        <v>13.95</v>
      </c>
      <c r="K1485" s="8">
        <f>financials[[#This Row],[Net Sales]]-financials[[#This Row],[COGS]]</f>
        <v>112.05</v>
      </c>
      <c r="L1485" s="15">
        <v>44683</v>
      </c>
      <c r="M1485" t="s">
        <v>691</v>
      </c>
    </row>
    <row r="1486" spans="1:13" x14ac:dyDescent="0.25">
      <c r="A1486" t="s">
        <v>86</v>
      </c>
      <c r="B1486" s="6" t="s">
        <v>232</v>
      </c>
      <c r="C1486" s="13">
        <v>102</v>
      </c>
      <c r="D1486" s="14" t="s">
        <v>83</v>
      </c>
      <c r="E1486">
        <v>11</v>
      </c>
      <c r="F1486" s="8">
        <f>VLOOKUP(financials[[#This Row],[productid]],Products!$B$2:$H$10,3)</f>
        <v>15</v>
      </c>
      <c r="G1486" s="8">
        <f>financials[[#This Row],[Units Sold]]*financials[[#This Row],[Sale Price]]</f>
        <v>165</v>
      </c>
      <c r="H1486" s="8">
        <f>IF(financials[[#This Row],[Discount Band]]="low",0.1,IF(financials[[#This Row],[Discount Band]]="medium",0.15,0.3))</f>
        <v>0.3</v>
      </c>
      <c r="I1486" s="8">
        <f>financials[[#This Row],[Gross Sales]]-financials[[#This Row],[Gross Sales]]*financials[[#This Row],[Discounts]]</f>
        <v>115.5</v>
      </c>
      <c r="J1486" s="8">
        <f>VLOOKUP(financials[[#This Row],[productid]],Products!$B$2:$H$10,4)</f>
        <v>13.95</v>
      </c>
      <c r="K1486" s="8">
        <f>financials[[#This Row],[Net Sales]]-financials[[#This Row],[COGS]]</f>
        <v>101.55</v>
      </c>
      <c r="L1486" s="15">
        <v>44501</v>
      </c>
      <c r="M1486" t="s">
        <v>697</v>
      </c>
    </row>
    <row r="1487" spans="1:13" x14ac:dyDescent="0.25">
      <c r="A1487" t="s">
        <v>89</v>
      </c>
      <c r="B1487" s="6" t="s">
        <v>94</v>
      </c>
      <c r="C1487" s="11">
        <v>102</v>
      </c>
      <c r="D1487" s="9" t="s">
        <v>83</v>
      </c>
      <c r="E1487">
        <v>14</v>
      </c>
      <c r="F1487" s="8">
        <f>VLOOKUP(financials[[#This Row],[productid]],Products!$B$2:$H$10,3)</f>
        <v>15</v>
      </c>
      <c r="G1487" s="8">
        <f>financials[[#This Row],[Units Sold]]*financials[[#This Row],[Sale Price]]</f>
        <v>210</v>
      </c>
      <c r="H1487" s="8">
        <f>IF(financials[[#This Row],[Discount Band]]="low",0.1,IF(financials[[#This Row],[Discount Band]]="medium",0.15,0.3))</f>
        <v>0.3</v>
      </c>
      <c r="I1487" s="8">
        <f>financials[[#This Row],[Gross Sales]]-financials[[#This Row],[Gross Sales]]*financials[[#This Row],[Discounts]]</f>
        <v>147</v>
      </c>
      <c r="J1487" s="8">
        <f>VLOOKUP(financials[[#This Row],[productid]],Products!$B$2:$H$10,4)</f>
        <v>13.95</v>
      </c>
      <c r="K1487" s="8">
        <f>financials[[#This Row],[Net Sales]]-financials[[#This Row],[COGS]]</f>
        <v>133.05000000000001</v>
      </c>
      <c r="L1487" s="15">
        <v>45614</v>
      </c>
      <c r="M1487" t="s">
        <v>696</v>
      </c>
    </row>
    <row r="1488" spans="1:13" x14ac:dyDescent="0.25">
      <c r="A1488" t="s">
        <v>89</v>
      </c>
      <c r="B1488" s="6" t="s">
        <v>205</v>
      </c>
      <c r="C1488" s="13">
        <v>109</v>
      </c>
      <c r="D1488" s="14" t="s">
        <v>92</v>
      </c>
      <c r="E1488">
        <v>20</v>
      </c>
      <c r="F1488" s="8">
        <f>VLOOKUP(financials[[#This Row],[productid]],Products!$B$2:$H$10,3)</f>
        <v>36</v>
      </c>
      <c r="G1488" s="8">
        <f>financials[[#This Row],[Units Sold]]*financials[[#This Row],[Sale Price]]</f>
        <v>720</v>
      </c>
      <c r="H1488" s="8">
        <f>IF(financials[[#This Row],[Discount Band]]="low",0.1,IF(financials[[#This Row],[Discount Band]]="medium",0.15,0.3))</f>
        <v>0.3</v>
      </c>
      <c r="I1488" s="8">
        <f>financials[[#This Row],[Gross Sales]]-financials[[#This Row],[Gross Sales]]*financials[[#This Row],[Discounts]]</f>
        <v>504</v>
      </c>
      <c r="J1488" s="8">
        <f>VLOOKUP(financials[[#This Row],[productid]],Products!$B$2:$H$10,4)</f>
        <v>16.8</v>
      </c>
      <c r="K1488" s="8">
        <f>financials[[#This Row],[Net Sales]]-financials[[#This Row],[COGS]]</f>
        <v>487.2</v>
      </c>
      <c r="L1488" s="15">
        <v>44407</v>
      </c>
      <c r="M1488" t="s">
        <v>690</v>
      </c>
    </row>
    <row r="1489" spans="1:13" x14ac:dyDescent="0.25">
      <c r="A1489" t="s">
        <v>86</v>
      </c>
      <c r="B1489" s="6" t="s">
        <v>273</v>
      </c>
      <c r="C1489" s="11">
        <v>107</v>
      </c>
      <c r="D1489" s="9" t="s">
        <v>91</v>
      </c>
      <c r="E1489">
        <v>6</v>
      </c>
      <c r="F1489" s="8">
        <f>VLOOKUP(financials[[#This Row],[productid]],Products!$B$2:$H$10,3)</f>
        <v>15</v>
      </c>
      <c r="G1489" s="8">
        <f>financials[[#This Row],[Units Sold]]*financials[[#This Row],[Sale Price]]</f>
        <v>90</v>
      </c>
      <c r="H1489" s="8">
        <f>IF(financials[[#This Row],[Discount Band]]="low",0.1,IF(financials[[#This Row],[Discount Band]]="medium",0.15,0.3))</f>
        <v>0.1</v>
      </c>
      <c r="I1489" s="8">
        <f>financials[[#This Row],[Gross Sales]]-financials[[#This Row],[Gross Sales]]*financials[[#This Row],[Discounts]]</f>
        <v>81</v>
      </c>
      <c r="J1489" s="8">
        <f>VLOOKUP(financials[[#This Row],[productid]],Products!$B$2:$H$10,4)</f>
        <v>5.5</v>
      </c>
      <c r="K1489" s="8">
        <f>financials[[#This Row],[Net Sales]]-financials[[#This Row],[COGS]]</f>
        <v>75.5</v>
      </c>
      <c r="L1489" s="15">
        <v>44851</v>
      </c>
      <c r="M1489" t="s">
        <v>691</v>
      </c>
    </row>
    <row r="1490" spans="1:13" x14ac:dyDescent="0.25">
      <c r="A1490" t="s">
        <v>86</v>
      </c>
      <c r="B1490" s="6" t="s">
        <v>158</v>
      </c>
      <c r="C1490" s="13">
        <v>101</v>
      </c>
      <c r="D1490" s="14" t="s">
        <v>90</v>
      </c>
      <c r="E1490">
        <v>7</v>
      </c>
      <c r="F1490" s="8">
        <f>VLOOKUP(financials[[#This Row],[productid]],Products!$B$2:$H$10,3)</f>
        <v>23</v>
      </c>
      <c r="G1490" s="8">
        <f>financials[[#This Row],[Units Sold]]*financials[[#This Row],[Sale Price]]</f>
        <v>161</v>
      </c>
      <c r="H1490" s="8">
        <f>IF(financials[[#This Row],[Discount Band]]="low",0.1,IF(financials[[#This Row],[Discount Band]]="medium",0.15,0.3))</f>
        <v>0.15</v>
      </c>
      <c r="I1490" s="8">
        <f>financials[[#This Row],[Gross Sales]]-financials[[#This Row],[Gross Sales]]*financials[[#This Row],[Discounts]]</f>
        <v>136.85</v>
      </c>
      <c r="J1490" s="8">
        <f>VLOOKUP(financials[[#This Row],[productid]],Products!$B$2:$H$10,4)</f>
        <v>9.9499999999999993</v>
      </c>
      <c r="K1490" s="8">
        <f>financials[[#This Row],[Net Sales]]-financials[[#This Row],[COGS]]</f>
        <v>126.89999999999999</v>
      </c>
      <c r="L1490" s="15">
        <v>44198</v>
      </c>
      <c r="M1490" t="s">
        <v>691</v>
      </c>
    </row>
    <row r="1491" spans="1:13" x14ac:dyDescent="0.25">
      <c r="A1491" t="s">
        <v>86</v>
      </c>
      <c r="B1491" s="6" t="s">
        <v>95</v>
      </c>
      <c r="C1491" s="13">
        <v>102</v>
      </c>
      <c r="D1491" s="14" t="s">
        <v>90</v>
      </c>
      <c r="E1491">
        <v>16</v>
      </c>
      <c r="F1491" s="8">
        <f>VLOOKUP(financials[[#This Row],[productid]],Products!$B$2:$H$10,3)</f>
        <v>15</v>
      </c>
      <c r="G1491" s="8">
        <f>financials[[#This Row],[Units Sold]]*financials[[#This Row],[Sale Price]]</f>
        <v>240</v>
      </c>
      <c r="H1491" s="8">
        <f>IF(financials[[#This Row],[Discount Band]]="low",0.1,IF(financials[[#This Row],[Discount Band]]="medium",0.15,0.3))</f>
        <v>0.15</v>
      </c>
      <c r="I1491" s="8">
        <f>financials[[#This Row],[Gross Sales]]-financials[[#This Row],[Gross Sales]]*financials[[#This Row],[Discounts]]</f>
        <v>204</v>
      </c>
      <c r="J1491" s="8">
        <f>VLOOKUP(financials[[#This Row],[productid]],Products!$B$2:$H$10,4)</f>
        <v>13.95</v>
      </c>
      <c r="K1491" s="8">
        <f>financials[[#This Row],[Net Sales]]-financials[[#This Row],[COGS]]</f>
        <v>190.05</v>
      </c>
      <c r="L1491" s="15">
        <v>44026</v>
      </c>
      <c r="M1491" t="s">
        <v>697</v>
      </c>
    </row>
    <row r="1492" spans="1:13" x14ac:dyDescent="0.25">
      <c r="A1492" t="s">
        <v>89</v>
      </c>
      <c r="B1492" s="6" t="s">
        <v>198</v>
      </c>
      <c r="C1492" s="13">
        <v>106</v>
      </c>
      <c r="D1492" s="14" t="s">
        <v>90</v>
      </c>
      <c r="E1492">
        <v>6</v>
      </c>
      <c r="F1492" s="8">
        <f>VLOOKUP(financials[[#This Row],[productid]],Products!$B$2:$H$10,3)</f>
        <v>25</v>
      </c>
      <c r="G1492" s="8">
        <f>financials[[#This Row],[Units Sold]]*financials[[#This Row],[Sale Price]]</f>
        <v>150</v>
      </c>
      <c r="H1492" s="8">
        <f>IF(financials[[#This Row],[Discount Band]]="low",0.1,IF(financials[[#This Row],[Discount Band]]="medium",0.15,0.3))</f>
        <v>0.15</v>
      </c>
      <c r="I1492" s="8">
        <f>financials[[#This Row],[Gross Sales]]-financials[[#This Row],[Gross Sales]]*financials[[#This Row],[Discounts]]</f>
        <v>127.5</v>
      </c>
      <c r="J1492" s="8">
        <f>VLOOKUP(financials[[#This Row],[productid]],Products!$B$2:$H$10,4)</f>
        <v>9.1</v>
      </c>
      <c r="K1492" s="8">
        <f>financials[[#This Row],[Net Sales]]-financials[[#This Row],[COGS]]</f>
        <v>118.4</v>
      </c>
      <c r="L1492" s="15">
        <v>44487</v>
      </c>
      <c r="M1492" t="s">
        <v>696</v>
      </c>
    </row>
    <row r="1493" spans="1:13" x14ac:dyDescent="0.25">
      <c r="A1493" t="s">
        <v>89</v>
      </c>
      <c r="B1493" s="6" t="s">
        <v>273</v>
      </c>
      <c r="C1493" s="13">
        <v>103</v>
      </c>
      <c r="D1493" s="14" t="s">
        <v>83</v>
      </c>
      <c r="E1493">
        <v>6</v>
      </c>
      <c r="F1493" s="8">
        <f>VLOOKUP(financials[[#This Row],[productid]],Products!$B$2:$H$10,3)</f>
        <v>28</v>
      </c>
      <c r="G1493" s="8">
        <f>financials[[#This Row],[Units Sold]]*financials[[#This Row],[Sale Price]]</f>
        <v>168</v>
      </c>
      <c r="H1493" s="8">
        <f>IF(financials[[#This Row],[Discount Band]]="low",0.1,IF(financials[[#This Row],[Discount Band]]="medium",0.15,0.3))</f>
        <v>0.3</v>
      </c>
      <c r="I1493" s="8">
        <f>financials[[#This Row],[Gross Sales]]-financials[[#This Row],[Gross Sales]]*financials[[#This Row],[Discounts]]</f>
        <v>117.6</v>
      </c>
      <c r="J1493" s="8">
        <f>VLOOKUP(financials[[#This Row],[productid]],Products!$B$2:$H$10,4)</f>
        <v>15</v>
      </c>
      <c r="K1493" s="8">
        <f>financials[[#This Row],[Net Sales]]-financials[[#This Row],[COGS]]</f>
        <v>102.6</v>
      </c>
      <c r="L1493" s="15">
        <v>45621</v>
      </c>
      <c r="M1493" t="s">
        <v>690</v>
      </c>
    </row>
    <row r="1494" spans="1:13" x14ac:dyDescent="0.25">
      <c r="A1494" t="s">
        <v>85</v>
      </c>
      <c r="B1494" s="6" t="s">
        <v>198</v>
      </c>
      <c r="C1494" s="13">
        <v>107</v>
      </c>
      <c r="D1494" s="14" t="s">
        <v>91</v>
      </c>
      <c r="E1494">
        <v>11</v>
      </c>
      <c r="F1494" s="8">
        <f>VLOOKUP(financials[[#This Row],[productid]],Products!$B$2:$H$10,3)</f>
        <v>15</v>
      </c>
      <c r="G1494" s="8">
        <f>financials[[#This Row],[Units Sold]]*financials[[#This Row],[Sale Price]]</f>
        <v>165</v>
      </c>
      <c r="H1494" s="8">
        <f>IF(financials[[#This Row],[Discount Band]]="low",0.1,IF(financials[[#This Row],[Discount Band]]="medium",0.15,0.3))</f>
        <v>0.1</v>
      </c>
      <c r="I1494" s="8">
        <f>financials[[#This Row],[Gross Sales]]-financials[[#This Row],[Gross Sales]]*financials[[#This Row],[Discounts]]</f>
        <v>148.5</v>
      </c>
      <c r="J1494" s="8">
        <f>VLOOKUP(financials[[#This Row],[productid]],Products!$B$2:$H$10,4)</f>
        <v>5.5</v>
      </c>
      <c r="K1494" s="8">
        <f>financials[[#This Row],[Net Sales]]-financials[[#This Row],[COGS]]</f>
        <v>143</v>
      </c>
      <c r="L1494" s="15">
        <v>44232</v>
      </c>
      <c r="M1494" t="s">
        <v>690</v>
      </c>
    </row>
    <row r="1495" spans="1:13" x14ac:dyDescent="0.25">
      <c r="A1495" t="s">
        <v>86</v>
      </c>
      <c r="B1495" s="6" t="s">
        <v>268</v>
      </c>
      <c r="C1495" s="13">
        <v>106</v>
      </c>
      <c r="D1495" s="14" t="s">
        <v>83</v>
      </c>
      <c r="E1495">
        <v>16</v>
      </c>
      <c r="F1495" s="8">
        <f>VLOOKUP(financials[[#This Row],[productid]],Products!$B$2:$H$10,3)</f>
        <v>25</v>
      </c>
      <c r="G1495" s="8">
        <f>financials[[#This Row],[Units Sold]]*financials[[#This Row],[Sale Price]]</f>
        <v>400</v>
      </c>
      <c r="H1495" s="8">
        <f>IF(financials[[#This Row],[Discount Band]]="low",0.1,IF(financials[[#This Row],[Discount Band]]="medium",0.15,0.3))</f>
        <v>0.3</v>
      </c>
      <c r="I1495" s="8">
        <f>financials[[#This Row],[Gross Sales]]-financials[[#This Row],[Gross Sales]]*financials[[#This Row],[Discounts]]</f>
        <v>280</v>
      </c>
      <c r="J1495" s="8">
        <f>VLOOKUP(financials[[#This Row],[productid]],Products!$B$2:$H$10,4)</f>
        <v>9.1</v>
      </c>
      <c r="K1495" s="8">
        <f>financials[[#This Row],[Net Sales]]-financials[[#This Row],[COGS]]</f>
        <v>270.89999999999998</v>
      </c>
      <c r="L1495" s="15">
        <v>44117</v>
      </c>
      <c r="M1495" t="s">
        <v>691</v>
      </c>
    </row>
    <row r="1496" spans="1:13" x14ac:dyDescent="0.25">
      <c r="A1496" t="s">
        <v>85</v>
      </c>
      <c r="B1496" s="6" t="s">
        <v>167</v>
      </c>
      <c r="C1496" s="13">
        <v>107</v>
      </c>
      <c r="D1496" s="14" t="s">
        <v>90</v>
      </c>
      <c r="E1496">
        <v>8</v>
      </c>
      <c r="F1496" s="8">
        <f>VLOOKUP(financials[[#This Row],[productid]],Products!$B$2:$H$10,3)</f>
        <v>15</v>
      </c>
      <c r="G1496" s="8">
        <f>financials[[#This Row],[Units Sold]]*financials[[#This Row],[Sale Price]]</f>
        <v>120</v>
      </c>
      <c r="H1496" s="8">
        <f>IF(financials[[#This Row],[Discount Band]]="low",0.1,IF(financials[[#This Row],[Discount Band]]="medium",0.15,0.3))</f>
        <v>0.15</v>
      </c>
      <c r="I1496" s="8">
        <f>financials[[#This Row],[Gross Sales]]-financials[[#This Row],[Gross Sales]]*financials[[#This Row],[Discounts]]</f>
        <v>102</v>
      </c>
      <c r="J1496" s="8">
        <f>VLOOKUP(financials[[#This Row],[productid]],Products!$B$2:$H$10,4)</f>
        <v>5.5</v>
      </c>
      <c r="K1496" s="8">
        <f>financials[[#This Row],[Net Sales]]-financials[[#This Row],[COGS]]</f>
        <v>96.5</v>
      </c>
      <c r="L1496" s="15">
        <v>44342</v>
      </c>
      <c r="M1496" t="s">
        <v>691</v>
      </c>
    </row>
    <row r="1497" spans="1:13" x14ac:dyDescent="0.25">
      <c r="A1497" t="s">
        <v>86</v>
      </c>
      <c r="B1497" s="6" t="s">
        <v>228</v>
      </c>
      <c r="C1497" s="13">
        <v>106</v>
      </c>
      <c r="D1497" s="14" t="s">
        <v>83</v>
      </c>
      <c r="E1497">
        <v>9</v>
      </c>
      <c r="F1497" s="8">
        <f>VLOOKUP(financials[[#This Row],[productid]],Products!$B$2:$H$10,3)</f>
        <v>25</v>
      </c>
      <c r="G1497" s="8">
        <f>financials[[#This Row],[Units Sold]]*financials[[#This Row],[Sale Price]]</f>
        <v>225</v>
      </c>
      <c r="H1497" s="8">
        <f>IF(financials[[#This Row],[Discount Band]]="low",0.1,IF(financials[[#This Row],[Discount Band]]="medium",0.15,0.3))</f>
        <v>0.3</v>
      </c>
      <c r="I1497" s="8">
        <f>financials[[#This Row],[Gross Sales]]-financials[[#This Row],[Gross Sales]]*financials[[#This Row],[Discounts]]</f>
        <v>157.5</v>
      </c>
      <c r="J1497" s="8">
        <f>VLOOKUP(financials[[#This Row],[productid]],Products!$B$2:$H$10,4)</f>
        <v>9.1</v>
      </c>
      <c r="K1497" s="8">
        <f>financials[[#This Row],[Net Sales]]-financials[[#This Row],[COGS]]</f>
        <v>148.4</v>
      </c>
      <c r="L1497" s="15">
        <v>43952</v>
      </c>
      <c r="M1497" t="s">
        <v>690</v>
      </c>
    </row>
    <row r="1498" spans="1:13" x14ac:dyDescent="0.25">
      <c r="A1498" t="s">
        <v>86</v>
      </c>
      <c r="B1498" s="6" t="s">
        <v>125</v>
      </c>
      <c r="C1498" s="13">
        <v>104</v>
      </c>
      <c r="D1498" s="14" t="s">
        <v>90</v>
      </c>
      <c r="E1498">
        <v>15</v>
      </c>
      <c r="F1498" s="8">
        <f>VLOOKUP(financials[[#This Row],[productid]],Products!$B$2:$H$10,3)</f>
        <v>5.9</v>
      </c>
      <c r="G1498" s="8">
        <f>financials[[#This Row],[Units Sold]]*financials[[#This Row],[Sale Price]]</f>
        <v>88.5</v>
      </c>
      <c r="H1498" s="8">
        <f>IF(financials[[#This Row],[Discount Band]]="low",0.1,IF(financials[[#This Row],[Discount Band]]="medium",0.15,0.3))</f>
        <v>0.15</v>
      </c>
      <c r="I1498" s="8">
        <f>financials[[#This Row],[Gross Sales]]-financials[[#This Row],[Gross Sales]]*financials[[#This Row],[Discounts]]</f>
        <v>75.224999999999994</v>
      </c>
      <c r="J1498" s="8">
        <f>VLOOKUP(financials[[#This Row],[productid]],Products!$B$2:$H$10,4)</f>
        <v>2.9</v>
      </c>
      <c r="K1498" s="8">
        <f>financials[[#This Row],[Net Sales]]-financials[[#This Row],[COGS]]</f>
        <v>72.324999999999989</v>
      </c>
      <c r="L1498" s="15">
        <v>44288</v>
      </c>
      <c r="M1498" t="s">
        <v>697</v>
      </c>
    </row>
    <row r="1499" spans="1:13" x14ac:dyDescent="0.25">
      <c r="A1499" t="s">
        <v>87</v>
      </c>
      <c r="B1499" s="6" t="s">
        <v>545</v>
      </c>
      <c r="C1499" s="13">
        <v>103</v>
      </c>
      <c r="D1499" s="14" t="s">
        <v>91</v>
      </c>
      <c r="E1499">
        <v>19</v>
      </c>
      <c r="F1499" s="8">
        <f>VLOOKUP(financials[[#This Row],[productid]],Products!$B$2:$H$10,3)</f>
        <v>28</v>
      </c>
      <c r="G1499" s="8">
        <f>financials[[#This Row],[Units Sold]]*financials[[#This Row],[Sale Price]]</f>
        <v>532</v>
      </c>
      <c r="H1499" s="8">
        <f>IF(financials[[#This Row],[Discount Band]]="low",0.1,IF(financials[[#This Row],[Discount Band]]="medium",0.15,0.3))</f>
        <v>0.1</v>
      </c>
      <c r="I1499" s="8">
        <f>financials[[#This Row],[Gross Sales]]-financials[[#This Row],[Gross Sales]]*financials[[#This Row],[Discounts]]</f>
        <v>478.8</v>
      </c>
      <c r="J1499" s="8">
        <f>VLOOKUP(financials[[#This Row],[productid]],Products!$B$2:$H$10,4)</f>
        <v>15</v>
      </c>
      <c r="K1499" s="8">
        <f>financials[[#This Row],[Net Sales]]-financials[[#This Row],[COGS]]</f>
        <v>463.8</v>
      </c>
      <c r="L1499" s="15">
        <v>44020</v>
      </c>
      <c r="M1499" t="s">
        <v>697</v>
      </c>
    </row>
    <row r="1500" spans="1:13" x14ac:dyDescent="0.25">
      <c r="A1500" t="s">
        <v>89</v>
      </c>
      <c r="B1500" s="6" t="s">
        <v>276</v>
      </c>
      <c r="C1500" s="13">
        <v>102</v>
      </c>
      <c r="D1500" s="14" t="s">
        <v>90</v>
      </c>
      <c r="E1500">
        <v>10</v>
      </c>
      <c r="F1500" s="8">
        <f>VLOOKUP(financials[[#This Row],[productid]],Products!$B$2:$H$10,3)</f>
        <v>15</v>
      </c>
      <c r="G1500" s="8">
        <f>financials[[#This Row],[Units Sold]]*financials[[#This Row],[Sale Price]]</f>
        <v>150</v>
      </c>
      <c r="H1500" s="8">
        <f>IF(financials[[#This Row],[Discount Band]]="low",0.1,IF(financials[[#This Row],[Discount Band]]="medium",0.15,0.3))</f>
        <v>0.15</v>
      </c>
      <c r="I1500" s="8">
        <f>financials[[#This Row],[Gross Sales]]-financials[[#This Row],[Gross Sales]]*financials[[#This Row],[Discounts]]</f>
        <v>127.5</v>
      </c>
      <c r="J1500" s="8">
        <f>VLOOKUP(financials[[#This Row],[productid]],Products!$B$2:$H$10,4)</f>
        <v>13.95</v>
      </c>
      <c r="K1500" s="8">
        <f>financials[[#This Row],[Net Sales]]-financials[[#This Row],[COGS]]</f>
        <v>113.55</v>
      </c>
      <c r="L1500" s="15">
        <v>44532</v>
      </c>
      <c r="M1500" t="s">
        <v>696</v>
      </c>
    </row>
    <row r="1501" spans="1:13" x14ac:dyDescent="0.25">
      <c r="A1501" t="s">
        <v>86</v>
      </c>
      <c r="B1501" s="6" t="s">
        <v>644</v>
      </c>
      <c r="C1501" s="13">
        <v>108</v>
      </c>
      <c r="D1501" s="14" t="s">
        <v>83</v>
      </c>
      <c r="E1501">
        <v>11</v>
      </c>
      <c r="F1501" s="8">
        <f>VLOOKUP(financials[[#This Row],[productid]],Products!$B$2:$H$10,3)</f>
        <v>5.5</v>
      </c>
      <c r="G1501" s="8">
        <f>financials[[#This Row],[Units Sold]]*financials[[#This Row],[Sale Price]]</f>
        <v>60.5</v>
      </c>
      <c r="H1501" s="8">
        <f>IF(financials[[#This Row],[Discount Band]]="low",0.1,IF(financials[[#This Row],[Discount Band]]="medium",0.15,0.3))</f>
        <v>0.3</v>
      </c>
      <c r="I1501" s="8">
        <f>financials[[#This Row],[Gross Sales]]-financials[[#This Row],[Gross Sales]]*financials[[#This Row],[Discounts]]</f>
        <v>42.35</v>
      </c>
      <c r="J1501" s="8">
        <f>VLOOKUP(financials[[#This Row],[productid]],Products!$B$2:$H$10,4)</f>
        <v>3.99</v>
      </c>
      <c r="K1501" s="8">
        <f>financials[[#This Row],[Net Sales]]-financials[[#This Row],[COGS]]</f>
        <v>38.36</v>
      </c>
      <c r="L1501" s="15">
        <v>43931</v>
      </c>
      <c r="M1501" t="s">
        <v>691</v>
      </c>
    </row>
    <row r="1502" spans="1:13" x14ac:dyDescent="0.25">
      <c r="A1502" t="s">
        <v>85</v>
      </c>
      <c r="B1502" s="6" t="s">
        <v>268</v>
      </c>
      <c r="C1502" s="11">
        <v>104</v>
      </c>
      <c r="D1502" s="9" t="s">
        <v>90</v>
      </c>
      <c r="E1502">
        <v>9</v>
      </c>
      <c r="F1502" s="8">
        <f>VLOOKUP(financials[[#This Row],[productid]],Products!$B$2:$H$10,3)</f>
        <v>5.9</v>
      </c>
      <c r="G1502" s="8">
        <f>financials[[#This Row],[Units Sold]]*financials[[#This Row],[Sale Price]]</f>
        <v>53.1</v>
      </c>
      <c r="H1502" s="8">
        <f>IF(financials[[#This Row],[Discount Band]]="low",0.1,IF(financials[[#This Row],[Discount Band]]="medium",0.15,0.3))</f>
        <v>0.15</v>
      </c>
      <c r="I1502" s="8">
        <f>financials[[#This Row],[Gross Sales]]-financials[[#This Row],[Gross Sales]]*financials[[#This Row],[Discounts]]</f>
        <v>45.135000000000005</v>
      </c>
      <c r="J1502" s="8">
        <f>VLOOKUP(financials[[#This Row],[productid]],Products!$B$2:$H$10,4)</f>
        <v>2.9</v>
      </c>
      <c r="K1502" s="8">
        <f>financials[[#This Row],[Net Sales]]-financials[[#This Row],[COGS]]</f>
        <v>42.235000000000007</v>
      </c>
      <c r="L1502" s="15">
        <v>45274</v>
      </c>
      <c r="M1502" t="s">
        <v>691</v>
      </c>
    </row>
    <row r="1503" spans="1:13" x14ac:dyDescent="0.25">
      <c r="A1503" t="s">
        <v>86</v>
      </c>
      <c r="B1503" s="6" t="s">
        <v>228</v>
      </c>
      <c r="C1503" s="13">
        <v>109</v>
      </c>
      <c r="D1503" s="14" t="s">
        <v>83</v>
      </c>
      <c r="E1503">
        <v>7</v>
      </c>
      <c r="F1503" s="8">
        <f>VLOOKUP(financials[[#This Row],[productid]],Products!$B$2:$H$10,3)</f>
        <v>36</v>
      </c>
      <c r="G1503" s="8">
        <f>financials[[#This Row],[Units Sold]]*financials[[#This Row],[Sale Price]]</f>
        <v>252</v>
      </c>
      <c r="H1503" s="8">
        <f>IF(financials[[#This Row],[Discount Band]]="low",0.1,IF(financials[[#This Row],[Discount Band]]="medium",0.15,0.3))</f>
        <v>0.3</v>
      </c>
      <c r="I1503" s="8">
        <f>financials[[#This Row],[Gross Sales]]-financials[[#This Row],[Gross Sales]]*financials[[#This Row],[Discounts]]</f>
        <v>176.4</v>
      </c>
      <c r="J1503" s="8">
        <f>VLOOKUP(financials[[#This Row],[productid]],Products!$B$2:$H$10,4)</f>
        <v>16.8</v>
      </c>
      <c r="K1503" s="8">
        <f>financials[[#This Row],[Net Sales]]-financials[[#This Row],[COGS]]</f>
        <v>159.6</v>
      </c>
      <c r="L1503" s="15">
        <v>44293</v>
      </c>
      <c r="M1503" t="s">
        <v>700</v>
      </c>
    </row>
    <row r="1504" spans="1:13" x14ac:dyDescent="0.25">
      <c r="A1504" t="s">
        <v>86</v>
      </c>
      <c r="B1504" s="6" t="s">
        <v>167</v>
      </c>
      <c r="C1504" s="13">
        <v>103</v>
      </c>
      <c r="D1504" s="14" t="s">
        <v>83</v>
      </c>
      <c r="E1504">
        <v>9</v>
      </c>
      <c r="F1504" s="8">
        <f>VLOOKUP(financials[[#This Row],[productid]],Products!$B$2:$H$10,3)</f>
        <v>28</v>
      </c>
      <c r="G1504" s="8">
        <f>financials[[#This Row],[Units Sold]]*financials[[#This Row],[Sale Price]]</f>
        <v>252</v>
      </c>
      <c r="H1504" s="8">
        <f>IF(financials[[#This Row],[Discount Band]]="low",0.1,IF(financials[[#This Row],[Discount Band]]="medium",0.15,0.3))</f>
        <v>0.3</v>
      </c>
      <c r="I1504" s="8">
        <f>financials[[#This Row],[Gross Sales]]-financials[[#This Row],[Gross Sales]]*financials[[#This Row],[Discounts]]</f>
        <v>176.4</v>
      </c>
      <c r="J1504" s="8">
        <f>VLOOKUP(financials[[#This Row],[productid]],Products!$B$2:$H$10,4)</f>
        <v>15</v>
      </c>
      <c r="K1504" s="8">
        <f>financials[[#This Row],[Net Sales]]-financials[[#This Row],[COGS]]</f>
        <v>161.4</v>
      </c>
      <c r="L1504" s="15">
        <v>43926</v>
      </c>
      <c r="M1504" t="s">
        <v>691</v>
      </c>
    </row>
    <row r="1505" spans="1:13" x14ac:dyDescent="0.25">
      <c r="A1505" t="s">
        <v>86</v>
      </c>
      <c r="B1505" s="6" t="s">
        <v>232</v>
      </c>
      <c r="C1505" s="13">
        <v>108</v>
      </c>
      <c r="D1505" s="14" t="s">
        <v>90</v>
      </c>
      <c r="E1505">
        <v>13</v>
      </c>
      <c r="F1505" s="8">
        <f>VLOOKUP(financials[[#This Row],[productid]],Products!$B$2:$H$10,3)</f>
        <v>5.5</v>
      </c>
      <c r="G1505" s="8">
        <f>financials[[#This Row],[Units Sold]]*financials[[#This Row],[Sale Price]]</f>
        <v>71.5</v>
      </c>
      <c r="H1505" s="8">
        <f>IF(financials[[#This Row],[Discount Band]]="low",0.1,IF(financials[[#This Row],[Discount Band]]="medium",0.15,0.3))</f>
        <v>0.15</v>
      </c>
      <c r="I1505" s="8">
        <f>financials[[#This Row],[Gross Sales]]-financials[[#This Row],[Gross Sales]]*financials[[#This Row],[Discounts]]</f>
        <v>60.774999999999999</v>
      </c>
      <c r="J1505" s="8">
        <f>VLOOKUP(financials[[#This Row],[productid]],Products!$B$2:$H$10,4)</f>
        <v>3.99</v>
      </c>
      <c r="K1505" s="8">
        <f>financials[[#This Row],[Net Sales]]-financials[[#This Row],[COGS]]</f>
        <v>56.784999999999997</v>
      </c>
      <c r="L1505" s="15">
        <v>45405</v>
      </c>
      <c r="M1505" t="s">
        <v>690</v>
      </c>
    </row>
    <row r="1506" spans="1:13" x14ac:dyDescent="0.25">
      <c r="A1506" t="s">
        <v>86</v>
      </c>
      <c r="B1506" s="6" t="s">
        <v>96</v>
      </c>
      <c r="C1506" s="13">
        <v>105</v>
      </c>
      <c r="D1506" s="14" t="s">
        <v>92</v>
      </c>
      <c r="E1506">
        <v>5</v>
      </c>
      <c r="F1506" s="8">
        <f>VLOOKUP(financials[[#This Row],[productid]],Products!$B$2:$H$10,3)</f>
        <v>15</v>
      </c>
      <c r="G1506" s="8">
        <f>financials[[#This Row],[Units Sold]]*financials[[#This Row],[Sale Price]]</f>
        <v>75</v>
      </c>
      <c r="H1506" s="8">
        <f>IF(financials[[#This Row],[Discount Band]]="low",0.1,IF(financials[[#This Row],[Discount Band]]="medium",0.15,0.3))</f>
        <v>0.3</v>
      </c>
      <c r="I1506" s="8">
        <f>financials[[#This Row],[Gross Sales]]-financials[[#This Row],[Gross Sales]]*financials[[#This Row],[Discounts]]</f>
        <v>52.5</v>
      </c>
      <c r="J1506" s="8">
        <f>VLOOKUP(financials[[#This Row],[productid]],Products!$B$2:$H$10,4)</f>
        <v>10</v>
      </c>
      <c r="K1506" s="8">
        <f>financials[[#This Row],[Net Sales]]-financials[[#This Row],[COGS]]</f>
        <v>42.5</v>
      </c>
      <c r="L1506" s="15">
        <v>45260</v>
      </c>
      <c r="M1506" t="s">
        <v>691</v>
      </c>
    </row>
    <row r="1507" spans="1:13" x14ac:dyDescent="0.25">
      <c r="A1507" t="s">
        <v>86</v>
      </c>
      <c r="B1507" s="6" t="s">
        <v>273</v>
      </c>
      <c r="C1507" s="13">
        <v>107</v>
      </c>
      <c r="D1507" s="14" t="s">
        <v>91</v>
      </c>
      <c r="E1507">
        <v>15</v>
      </c>
      <c r="F1507" s="8">
        <f>VLOOKUP(financials[[#This Row],[productid]],Products!$B$2:$H$10,3)</f>
        <v>15</v>
      </c>
      <c r="G1507" s="8">
        <f>financials[[#This Row],[Units Sold]]*financials[[#This Row],[Sale Price]]</f>
        <v>225</v>
      </c>
      <c r="H1507" s="8">
        <f>IF(financials[[#This Row],[Discount Band]]="low",0.1,IF(financials[[#This Row],[Discount Band]]="medium",0.15,0.3))</f>
        <v>0.1</v>
      </c>
      <c r="I1507" s="8">
        <f>financials[[#This Row],[Gross Sales]]-financials[[#This Row],[Gross Sales]]*financials[[#This Row],[Discounts]]</f>
        <v>202.5</v>
      </c>
      <c r="J1507" s="8">
        <f>VLOOKUP(financials[[#This Row],[productid]],Products!$B$2:$H$10,4)</f>
        <v>5.5</v>
      </c>
      <c r="K1507" s="8">
        <f>financials[[#This Row],[Net Sales]]-financials[[#This Row],[COGS]]</f>
        <v>197</v>
      </c>
      <c r="L1507" s="15">
        <v>44253</v>
      </c>
      <c r="M1507" t="s">
        <v>691</v>
      </c>
    </row>
    <row r="1508" spans="1:13" x14ac:dyDescent="0.25">
      <c r="A1508" t="s">
        <v>89</v>
      </c>
      <c r="B1508" s="6" t="s">
        <v>268</v>
      </c>
      <c r="C1508" s="11">
        <v>105</v>
      </c>
      <c r="D1508" s="9" t="s">
        <v>83</v>
      </c>
      <c r="E1508">
        <v>5</v>
      </c>
      <c r="F1508" s="8">
        <f>VLOOKUP(financials[[#This Row],[productid]],Products!$B$2:$H$10,3)</f>
        <v>15</v>
      </c>
      <c r="G1508" s="8">
        <f>financials[[#This Row],[Units Sold]]*financials[[#This Row],[Sale Price]]</f>
        <v>75</v>
      </c>
      <c r="H1508" s="8">
        <f>IF(financials[[#This Row],[Discount Band]]="low",0.1,IF(financials[[#This Row],[Discount Band]]="medium",0.15,0.3))</f>
        <v>0.3</v>
      </c>
      <c r="I1508" s="8">
        <f>financials[[#This Row],[Gross Sales]]-financials[[#This Row],[Gross Sales]]*financials[[#This Row],[Discounts]]</f>
        <v>52.5</v>
      </c>
      <c r="J1508" s="8">
        <f>VLOOKUP(financials[[#This Row],[productid]],Products!$B$2:$H$10,4)</f>
        <v>10</v>
      </c>
      <c r="K1508" s="8">
        <f>financials[[#This Row],[Net Sales]]-financials[[#This Row],[COGS]]</f>
        <v>42.5</v>
      </c>
      <c r="L1508" s="15">
        <v>44100</v>
      </c>
      <c r="M1508" t="s">
        <v>696</v>
      </c>
    </row>
    <row r="1509" spans="1:13" x14ac:dyDescent="0.25">
      <c r="A1509" t="s">
        <v>89</v>
      </c>
      <c r="B1509" s="6" t="s">
        <v>545</v>
      </c>
      <c r="C1509" s="13">
        <v>103</v>
      </c>
      <c r="D1509" s="14" t="s">
        <v>92</v>
      </c>
      <c r="E1509">
        <v>5</v>
      </c>
      <c r="F1509" s="8">
        <f>VLOOKUP(financials[[#This Row],[productid]],Products!$B$2:$H$10,3)</f>
        <v>28</v>
      </c>
      <c r="G1509" s="8">
        <f>financials[[#This Row],[Units Sold]]*financials[[#This Row],[Sale Price]]</f>
        <v>140</v>
      </c>
      <c r="H1509" s="8">
        <f>IF(financials[[#This Row],[Discount Band]]="low",0.1,IF(financials[[#This Row],[Discount Band]]="medium",0.15,0.3))</f>
        <v>0.3</v>
      </c>
      <c r="I1509" s="8">
        <f>financials[[#This Row],[Gross Sales]]-financials[[#This Row],[Gross Sales]]*financials[[#This Row],[Discounts]]</f>
        <v>98</v>
      </c>
      <c r="J1509" s="8">
        <f>VLOOKUP(financials[[#This Row],[productid]],Products!$B$2:$H$10,4)</f>
        <v>15</v>
      </c>
      <c r="K1509" s="8">
        <f>financials[[#This Row],[Net Sales]]-financials[[#This Row],[COGS]]</f>
        <v>83</v>
      </c>
      <c r="L1509" s="15">
        <v>45306</v>
      </c>
      <c r="M1509" t="s">
        <v>700</v>
      </c>
    </row>
    <row r="1510" spans="1:13" x14ac:dyDescent="0.25">
      <c r="A1510" t="s">
        <v>85</v>
      </c>
      <c r="B1510" s="6" t="s">
        <v>95</v>
      </c>
      <c r="C1510" s="13">
        <v>105</v>
      </c>
      <c r="D1510" s="14" t="s">
        <v>83</v>
      </c>
      <c r="E1510">
        <v>16</v>
      </c>
      <c r="F1510" s="8">
        <f>VLOOKUP(financials[[#This Row],[productid]],Products!$B$2:$H$10,3)</f>
        <v>15</v>
      </c>
      <c r="G1510" s="8">
        <f>financials[[#This Row],[Units Sold]]*financials[[#This Row],[Sale Price]]</f>
        <v>240</v>
      </c>
      <c r="H1510" s="8">
        <f>IF(financials[[#This Row],[Discount Band]]="low",0.1,IF(financials[[#This Row],[Discount Band]]="medium",0.15,0.3))</f>
        <v>0.3</v>
      </c>
      <c r="I1510" s="8">
        <f>financials[[#This Row],[Gross Sales]]-financials[[#This Row],[Gross Sales]]*financials[[#This Row],[Discounts]]</f>
        <v>168</v>
      </c>
      <c r="J1510" s="8">
        <f>VLOOKUP(financials[[#This Row],[productid]],Products!$B$2:$H$10,4)</f>
        <v>10</v>
      </c>
      <c r="K1510" s="8">
        <f>financials[[#This Row],[Net Sales]]-financials[[#This Row],[COGS]]</f>
        <v>158</v>
      </c>
      <c r="L1510" s="15">
        <v>43862</v>
      </c>
      <c r="M1510" t="s">
        <v>690</v>
      </c>
    </row>
    <row r="1511" spans="1:13" x14ac:dyDescent="0.25">
      <c r="A1511" t="s">
        <v>85</v>
      </c>
      <c r="B1511" s="6" t="s">
        <v>167</v>
      </c>
      <c r="C1511" s="13">
        <v>101</v>
      </c>
      <c r="D1511" s="14" t="s">
        <v>83</v>
      </c>
      <c r="E1511">
        <v>15</v>
      </c>
      <c r="F1511" s="8">
        <f>VLOOKUP(financials[[#This Row],[productid]],Products!$B$2:$H$10,3)</f>
        <v>23</v>
      </c>
      <c r="G1511" s="8">
        <f>financials[[#This Row],[Units Sold]]*financials[[#This Row],[Sale Price]]</f>
        <v>345</v>
      </c>
      <c r="H1511" s="8">
        <f>IF(financials[[#This Row],[Discount Band]]="low",0.1,IF(financials[[#This Row],[Discount Band]]="medium",0.15,0.3))</f>
        <v>0.3</v>
      </c>
      <c r="I1511" s="8">
        <f>financials[[#This Row],[Gross Sales]]-financials[[#This Row],[Gross Sales]]*financials[[#This Row],[Discounts]]</f>
        <v>241.5</v>
      </c>
      <c r="J1511" s="8">
        <f>VLOOKUP(financials[[#This Row],[productid]],Products!$B$2:$H$10,4)</f>
        <v>9.9499999999999993</v>
      </c>
      <c r="K1511" s="8">
        <f>financials[[#This Row],[Net Sales]]-financials[[#This Row],[COGS]]</f>
        <v>231.55</v>
      </c>
      <c r="L1511" s="15">
        <v>45218</v>
      </c>
      <c r="M1511" t="s">
        <v>700</v>
      </c>
    </row>
    <row r="1512" spans="1:13" x14ac:dyDescent="0.25">
      <c r="A1512" t="s">
        <v>86</v>
      </c>
      <c r="B1512" s="6" t="s">
        <v>645</v>
      </c>
      <c r="C1512" s="13">
        <v>105</v>
      </c>
      <c r="D1512" s="14" t="s">
        <v>90</v>
      </c>
      <c r="E1512">
        <v>10</v>
      </c>
      <c r="F1512" s="8">
        <f>VLOOKUP(financials[[#This Row],[productid]],Products!$B$2:$H$10,3)</f>
        <v>15</v>
      </c>
      <c r="G1512" s="8">
        <f>financials[[#This Row],[Units Sold]]*financials[[#This Row],[Sale Price]]</f>
        <v>150</v>
      </c>
      <c r="H1512" s="8">
        <f>IF(financials[[#This Row],[Discount Band]]="low",0.1,IF(financials[[#This Row],[Discount Band]]="medium",0.15,0.3))</f>
        <v>0.15</v>
      </c>
      <c r="I1512" s="8">
        <f>financials[[#This Row],[Gross Sales]]-financials[[#This Row],[Gross Sales]]*financials[[#This Row],[Discounts]]</f>
        <v>127.5</v>
      </c>
      <c r="J1512" s="8">
        <f>VLOOKUP(financials[[#This Row],[productid]],Products!$B$2:$H$10,4)</f>
        <v>10</v>
      </c>
      <c r="K1512" s="8">
        <f>financials[[#This Row],[Net Sales]]-financials[[#This Row],[COGS]]</f>
        <v>117.5</v>
      </c>
      <c r="L1512" s="15">
        <v>45067</v>
      </c>
      <c r="M1512" t="s">
        <v>696</v>
      </c>
    </row>
    <row r="1513" spans="1:13" x14ac:dyDescent="0.25">
      <c r="A1513" t="s">
        <v>85</v>
      </c>
      <c r="B1513" s="6" t="s">
        <v>273</v>
      </c>
      <c r="C1513" s="13">
        <v>104</v>
      </c>
      <c r="D1513" s="14" t="s">
        <v>83</v>
      </c>
      <c r="E1513">
        <v>16</v>
      </c>
      <c r="F1513" s="8">
        <f>VLOOKUP(financials[[#This Row],[productid]],Products!$B$2:$H$10,3)</f>
        <v>5.9</v>
      </c>
      <c r="G1513" s="8">
        <f>financials[[#This Row],[Units Sold]]*financials[[#This Row],[Sale Price]]</f>
        <v>94.4</v>
      </c>
      <c r="H1513" s="8">
        <f>IF(financials[[#This Row],[Discount Band]]="low",0.1,IF(financials[[#This Row],[Discount Band]]="medium",0.15,0.3))</f>
        <v>0.3</v>
      </c>
      <c r="I1513" s="8">
        <f>financials[[#This Row],[Gross Sales]]-financials[[#This Row],[Gross Sales]]*financials[[#This Row],[Discounts]]</f>
        <v>66.080000000000013</v>
      </c>
      <c r="J1513" s="8">
        <f>VLOOKUP(financials[[#This Row],[productid]],Products!$B$2:$H$10,4)</f>
        <v>2.9</v>
      </c>
      <c r="K1513" s="8">
        <f>financials[[#This Row],[Net Sales]]-financials[[#This Row],[COGS]]</f>
        <v>63.180000000000014</v>
      </c>
      <c r="L1513" s="15">
        <v>44335</v>
      </c>
      <c r="M1513" t="s">
        <v>696</v>
      </c>
    </row>
    <row r="1514" spans="1:13" x14ac:dyDescent="0.25">
      <c r="A1514" t="s">
        <v>86</v>
      </c>
      <c r="B1514" s="6" t="s">
        <v>125</v>
      </c>
      <c r="C1514" s="13">
        <v>107</v>
      </c>
      <c r="D1514" s="14" t="s">
        <v>90</v>
      </c>
      <c r="E1514">
        <v>20</v>
      </c>
      <c r="F1514" s="8">
        <f>VLOOKUP(financials[[#This Row],[productid]],Products!$B$2:$H$10,3)</f>
        <v>15</v>
      </c>
      <c r="G1514" s="8">
        <f>financials[[#This Row],[Units Sold]]*financials[[#This Row],[Sale Price]]</f>
        <v>300</v>
      </c>
      <c r="H1514" s="8">
        <f>IF(financials[[#This Row],[Discount Band]]="low",0.1,IF(financials[[#This Row],[Discount Band]]="medium",0.15,0.3))</f>
        <v>0.15</v>
      </c>
      <c r="I1514" s="8">
        <f>financials[[#This Row],[Gross Sales]]-financials[[#This Row],[Gross Sales]]*financials[[#This Row],[Discounts]]</f>
        <v>255</v>
      </c>
      <c r="J1514" s="8">
        <f>VLOOKUP(financials[[#This Row],[productid]],Products!$B$2:$H$10,4)</f>
        <v>5.5</v>
      </c>
      <c r="K1514" s="8">
        <f>financials[[#This Row],[Net Sales]]-financials[[#This Row],[COGS]]</f>
        <v>249.5</v>
      </c>
      <c r="L1514" s="15">
        <v>44300</v>
      </c>
      <c r="M1514" t="s">
        <v>696</v>
      </c>
    </row>
    <row r="1515" spans="1:13" x14ac:dyDescent="0.25">
      <c r="A1515" t="s">
        <v>86</v>
      </c>
      <c r="B1515" s="6" t="s">
        <v>287</v>
      </c>
      <c r="C1515" s="13">
        <v>101</v>
      </c>
      <c r="D1515" s="14" t="s">
        <v>92</v>
      </c>
      <c r="E1515">
        <v>15</v>
      </c>
      <c r="F1515" s="8">
        <f>VLOOKUP(financials[[#This Row],[productid]],Products!$B$2:$H$10,3)</f>
        <v>23</v>
      </c>
      <c r="G1515" s="8">
        <f>financials[[#This Row],[Units Sold]]*financials[[#This Row],[Sale Price]]</f>
        <v>345</v>
      </c>
      <c r="H1515" s="8">
        <f>IF(financials[[#This Row],[Discount Band]]="low",0.1,IF(financials[[#This Row],[Discount Band]]="medium",0.15,0.3))</f>
        <v>0.3</v>
      </c>
      <c r="I1515" s="8">
        <f>financials[[#This Row],[Gross Sales]]-financials[[#This Row],[Gross Sales]]*financials[[#This Row],[Discounts]]</f>
        <v>241.5</v>
      </c>
      <c r="J1515" s="8">
        <f>VLOOKUP(financials[[#This Row],[productid]],Products!$B$2:$H$10,4)</f>
        <v>9.9499999999999993</v>
      </c>
      <c r="K1515" s="8">
        <f>financials[[#This Row],[Net Sales]]-financials[[#This Row],[COGS]]</f>
        <v>231.55</v>
      </c>
      <c r="L1515" s="15">
        <v>44399</v>
      </c>
      <c r="M1515" t="s">
        <v>690</v>
      </c>
    </row>
    <row r="1516" spans="1:13" x14ac:dyDescent="0.25">
      <c r="A1516" t="s">
        <v>89</v>
      </c>
      <c r="B1516" s="6" t="s">
        <v>94</v>
      </c>
      <c r="C1516" s="13">
        <v>108</v>
      </c>
      <c r="D1516" s="14" t="s">
        <v>91</v>
      </c>
      <c r="E1516">
        <v>6</v>
      </c>
      <c r="F1516" s="8">
        <f>VLOOKUP(financials[[#This Row],[productid]],Products!$B$2:$H$10,3)</f>
        <v>5.5</v>
      </c>
      <c r="G1516" s="8">
        <f>financials[[#This Row],[Units Sold]]*financials[[#This Row],[Sale Price]]</f>
        <v>33</v>
      </c>
      <c r="H1516" s="8">
        <f>IF(financials[[#This Row],[Discount Band]]="low",0.1,IF(financials[[#This Row],[Discount Band]]="medium",0.15,0.3))</f>
        <v>0.1</v>
      </c>
      <c r="I1516" s="8">
        <f>financials[[#This Row],[Gross Sales]]-financials[[#This Row],[Gross Sales]]*financials[[#This Row],[Discounts]]</f>
        <v>29.7</v>
      </c>
      <c r="J1516" s="8">
        <f>VLOOKUP(financials[[#This Row],[productid]],Products!$B$2:$H$10,4)</f>
        <v>3.99</v>
      </c>
      <c r="K1516" s="8">
        <f>financials[[#This Row],[Net Sales]]-financials[[#This Row],[COGS]]</f>
        <v>25.71</v>
      </c>
      <c r="L1516" s="15">
        <v>44742</v>
      </c>
      <c r="M1516" t="s">
        <v>696</v>
      </c>
    </row>
    <row r="1517" spans="1:13" x14ac:dyDescent="0.25">
      <c r="A1517" t="s">
        <v>89</v>
      </c>
      <c r="B1517" s="6" t="s">
        <v>268</v>
      </c>
      <c r="C1517" s="13">
        <v>106</v>
      </c>
      <c r="D1517" s="14" t="s">
        <v>91</v>
      </c>
      <c r="E1517">
        <v>10</v>
      </c>
      <c r="F1517" s="8">
        <f>VLOOKUP(financials[[#This Row],[productid]],Products!$B$2:$H$10,3)</f>
        <v>25</v>
      </c>
      <c r="G1517" s="8">
        <f>financials[[#This Row],[Units Sold]]*financials[[#This Row],[Sale Price]]</f>
        <v>250</v>
      </c>
      <c r="H1517" s="8">
        <f>IF(financials[[#This Row],[Discount Band]]="low",0.1,IF(financials[[#This Row],[Discount Band]]="medium",0.15,0.3))</f>
        <v>0.1</v>
      </c>
      <c r="I1517" s="8">
        <f>financials[[#This Row],[Gross Sales]]-financials[[#This Row],[Gross Sales]]*financials[[#This Row],[Discounts]]</f>
        <v>225</v>
      </c>
      <c r="J1517" s="8">
        <f>VLOOKUP(financials[[#This Row],[productid]],Products!$B$2:$H$10,4)</f>
        <v>9.1</v>
      </c>
      <c r="K1517" s="8">
        <f>financials[[#This Row],[Net Sales]]-financials[[#This Row],[COGS]]</f>
        <v>215.9</v>
      </c>
      <c r="L1517" s="15">
        <v>44609</v>
      </c>
      <c r="M1517" t="s">
        <v>697</v>
      </c>
    </row>
    <row r="1518" spans="1:13" x14ac:dyDescent="0.25">
      <c r="A1518" t="s">
        <v>89</v>
      </c>
      <c r="B1518" s="6" t="s">
        <v>545</v>
      </c>
      <c r="C1518" s="13">
        <v>106</v>
      </c>
      <c r="D1518" s="14" t="s">
        <v>90</v>
      </c>
      <c r="E1518">
        <v>9</v>
      </c>
      <c r="F1518" s="8">
        <f>VLOOKUP(financials[[#This Row],[productid]],Products!$B$2:$H$10,3)</f>
        <v>25</v>
      </c>
      <c r="G1518" s="8">
        <f>financials[[#This Row],[Units Sold]]*financials[[#This Row],[Sale Price]]</f>
        <v>225</v>
      </c>
      <c r="H1518" s="8">
        <f>IF(financials[[#This Row],[Discount Band]]="low",0.1,IF(financials[[#This Row],[Discount Band]]="medium",0.15,0.3))</f>
        <v>0.15</v>
      </c>
      <c r="I1518" s="8">
        <f>financials[[#This Row],[Gross Sales]]-financials[[#This Row],[Gross Sales]]*financials[[#This Row],[Discounts]]</f>
        <v>191.25</v>
      </c>
      <c r="J1518" s="8">
        <f>VLOOKUP(financials[[#This Row],[productid]],Products!$B$2:$H$10,4)</f>
        <v>9.1</v>
      </c>
      <c r="K1518" s="8">
        <f>financials[[#This Row],[Net Sales]]-financials[[#This Row],[COGS]]</f>
        <v>182.15</v>
      </c>
      <c r="L1518" s="15">
        <v>44192</v>
      </c>
      <c r="M1518" t="s">
        <v>690</v>
      </c>
    </row>
    <row r="1519" spans="1:13" x14ac:dyDescent="0.25">
      <c r="A1519" t="s">
        <v>86</v>
      </c>
      <c r="B1519" s="6" t="s">
        <v>645</v>
      </c>
      <c r="C1519" s="11">
        <v>106</v>
      </c>
      <c r="D1519" s="9" t="s">
        <v>83</v>
      </c>
      <c r="E1519">
        <v>14</v>
      </c>
      <c r="F1519" s="8">
        <f>VLOOKUP(financials[[#This Row],[productid]],Products!$B$2:$H$10,3)</f>
        <v>25</v>
      </c>
      <c r="G1519" s="8">
        <f>financials[[#This Row],[Units Sold]]*financials[[#This Row],[Sale Price]]</f>
        <v>350</v>
      </c>
      <c r="H1519" s="8">
        <f>IF(financials[[#This Row],[Discount Band]]="low",0.1,IF(financials[[#This Row],[Discount Band]]="medium",0.15,0.3))</f>
        <v>0.3</v>
      </c>
      <c r="I1519" s="8">
        <f>financials[[#This Row],[Gross Sales]]-financials[[#This Row],[Gross Sales]]*financials[[#This Row],[Discounts]]</f>
        <v>245</v>
      </c>
      <c r="J1519" s="8">
        <f>VLOOKUP(financials[[#This Row],[productid]],Products!$B$2:$H$10,4)</f>
        <v>9.1</v>
      </c>
      <c r="K1519" s="8">
        <f>financials[[#This Row],[Net Sales]]-financials[[#This Row],[COGS]]</f>
        <v>235.9</v>
      </c>
      <c r="L1519" s="15">
        <v>44428</v>
      </c>
      <c r="M1519" t="s">
        <v>691</v>
      </c>
    </row>
    <row r="1520" spans="1:13" x14ac:dyDescent="0.25">
      <c r="A1520" t="s">
        <v>86</v>
      </c>
      <c r="B1520" s="6" t="s">
        <v>205</v>
      </c>
      <c r="C1520" s="13">
        <v>107</v>
      </c>
      <c r="D1520" s="14" t="s">
        <v>83</v>
      </c>
      <c r="E1520">
        <v>11</v>
      </c>
      <c r="F1520" s="8">
        <f>VLOOKUP(financials[[#This Row],[productid]],Products!$B$2:$H$10,3)</f>
        <v>15</v>
      </c>
      <c r="G1520" s="8">
        <f>financials[[#This Row],[Units Sold]]*financials[[#This Row],[Sale Price]]</f>
        <v>165</v>
      </c>
      <c r="H1520" s="8">
        <f>IF(financials[[#This Row],[Discount Band]]="low",0.1,IF(financials[[#This Row],[Discount Band]]="medium",0.15,0.3))</f>
        <v>0.3</v>
      </c>
      <c r="I1520" s="8">
        <f>financials[[#This Row],[Gross Sales]]-financials[[#This Row],[Gross Sales]]*financials[[#This Row],[Discounts]]</f>
        <v>115.5</v>
      </c>
      <c r="J1520" s="8">
        <f>VLOOKUP(financials[[#This Row],[productid]],Products!$B$2:$H$10,4)</f>
        <v>5.5</v>
      </c>
      <c r="K1520" s="8">
        <f>financials[[#This Row],[Net Sales]]-financials[[#This Row],[COGS]]</f>
        <v>110</v>
      </c>
      <c r="L1520" s="15">
        <v>45348</v>
      </c>
      <c r="M1520" t="s">
        <v>700</v>
      </c>
    </row>
    <row r="1521" spans="1:13" x14ac:dyDescent="0.25">
      <c r="A1521" t="s">
        <v>86</v>
      </c>
      <c r="B1521" s="6" t="s">
        <v>617</v>
      </c>
      <c r="C1521" s="11">
        <v>106</v>
      </c>
      <c r="D1521" s="9" t="s">
        <v>90</v>
      </c>
      <c r="E1521">
        <v>15</v>
      </c>
      <c r="F1521" s="8">
        <f>VLOOKUP(financials[[#This Row],[productid]],Products!$B$2:$H$10,3)</f>
        <v>25</v>
      </c>
      <c r="G1521" s="8">
        <f>financials[[#This Row],[Units Sold]]*financials[[#This Row],[Sale Price]]</f>
        <v>375</v>
      </c>
      <c r="H1521" s="8">
        <f>IF(financials[[#This Row],[Discount Band]]="low",0.1,IF(financials[[#This Row],[Discount Band]]="medium",0.15,0.3))</f>
        <v>0.15</v>
      </c>
      <c r="I1521" s="8">
        <f>financials[[#This Row],[Gross Sales]]-financials[[#This Row],[Gross Sales]]*financials[[#This Row],[Discounts]]</f>
        <v>318.75</v>
      </c>
      <c r="J1521" s="8">
        <f>VLOOKUP(financials[[#This Row],[productid]],Products!$B$2:$H$10,4)</f>
        <v>9.1</v>
      </c>
      <c r="K1521" s="8">
        <f>financials[[#This Row],[Net Sales]]-financials[[#This Row],[COGS]]</f>
        <v>309.64999999999998</v>
      </c>
      <c r="L1521" s="15">
        <v>44775</v>
      </c>
      <c r="M1521" t="s">
        <v>691</v>
      </c>
    </row>
    <row r="1522" spans="1:13" x14ac:dyDescent="0.25">
      <c r="A1522" t="s">
        <v>86</v>
      </c>
      <c r="B1522" s="6" t="s">
        <v>96</v>
      </c>
      <c r="C1522" s="11">
        <v>102</v>
      </c>
      <c r="D1522" s="9" t="s">
        <v>90</v>
      </c>
      <c r="E1522">
        <v>5</v>
      </c>
      <c r="F1522" s="8">
        <f>VLOOKUP(financials[[#This Row],[productid]],Products!$B$2:$H$10,3)</f>
        <v>15</v>
      </c>
      <c r="G1522" s="8">
        <f>financials[[#This Row],[Units Sold]]*financials[[#This Row],[Sale Price]]</f>
        <v>75</v>
      </c>
      <c r="H1522" s="8">
        <f>IF(financials[[#This Row],[Discount Band]]="low",0.1,IF(financials[[#This Row],[Discount Band]]="medium",0.15,0.3))</f>
        <v>0.15</v>
      </c>
      <c r="I1522" s="8">
        <f>financials[[#This Row],[Gross Sales]]-financials[[#This Row],[Gross Sales]]*financials[[#This Row],[Discounts]]</f>
        <v>63.75</v>
      </c>
      <c r="J1522" s="8">
        <f>VLOOKUP(financials[[#This Row],[productid]],Products!$B$2:$H$10,4)</f>
        <v>13.95</v>
      </c>
      <c r="K1522" s="8">
        <f>financials[[#This Row],[Net Sales]]-financials[[#This Row],[COGS]]</f>
        <v>49.8</v>
      </c>
      <c r="L1522" s="15">
        <v>45335</v>
      </c>
      <c r="M1522" t="s">
        <v>696</v>
      </c>
    </row>
    <row r="1523" spans="1:13" x14ac:dyDescent="0.25">
      <c r="A1523" t="s">
        <v>86</v>
      </c>
      <c r="B1523" s="6" t="s">
        <v>197</v>
      </c>
      <c r="C1523" s="13">
        <v>102</v>
      </c>
      <c r="D1523" s="14" t="s">
        <v>90</v>
      </c>
      <c r="E1523">
        <v>12</v>
      </c>
      <c r="F1523" s="8">
        <f>VLOOKUP(financials[[#This Row],[productid]],Products!$B$2:$H$10,3)</f>
        <v>15</v>
      </c>
      <c r="G1523" s="8">
        <f>financials[[#This Row],[Units Sold]]*financials[[#This Row],[Sale Price]]</f>
        <v>180</v>
      </c>
      <c r="H1523" s="8">
        <f>IF(financials[[#This Row],[Discount Band]]="low",0.1,IF(financials[[#This Row],[Discount Band]]="medium",0.15,0.3))</f>
        <v>0.15</v>
      </c>
      <c r="I1523" s="8">
        <f>financials[[#This Row],[Gross Sales]]-financials[[#This Row],[Gross Sales]]*financials[[#This Row],[Discounts]]</f>
        <v>153</v>
      </c>
      <c r="J1523" s="8">
        <f>VLOOKUP(financials[[#This Row],[productid]],Products!$B$2:$H$10,4)</f>
        <v>13.95</v>
      </c>
      <c r="K1523" s="8">
        <f>financials[[#This Row],[Net Sales]]-financials[[#This Row],[COGS]]</f>
        <v>139.05000000000001</v>
      </c>
      <c r="L1523" s="15">
        <v>43990</v>
      </c>
      <c r="M1523" t="s">
        <v>697</v>
      </c>
    </row>
    <row r="1524" spans="1:13" x14ac:dyDescent="0.25">
      <c r="A1524" t="s">
        <v>89</v>
      </c>
      <c r="B1524" s="6" t="s">
        <v>268</v>
      </c>
      <c r="C1524" s="13">
        <v>109</v>
      </c>
      <c r="D1524" s="14" t="s">
        <v>90</v>
      </c>
      <c r="E1524">
        <v>16</v>
      </c>
      <c r="F1524" s="8">
        <f>VLOOKUP(financials[[#This Row],[productid]],Products!$B$2:$H$10,3)</f>
        <v>36</v>
      </c>
      <c r="G1524" s="8">
        <f>financials[[#This Row],[Units Sold]]*financials[[#This Row],[Sale Price]]</f>
        <v>576</v>
      </c>
      <c r="H1524" s="8">
        <f>IF(financials[[#This Row],[Discount Band]]="low",0.1,IF(financials[[#This Row],[Discount Band]]="medium",0.15,0.3))</f>
        <v>0.15</v>
      </c>
      <c r="I1524" s="8">
        <f>financials[[#This Row],[Gross Sales]]-financials[[#This Row],[Gross Sales]]*financials[[#This Row],[Discounts]]</f>
        <v>489.6</v>
      </c>
      <c r="J1524" s="8">
        <f>VLOOKUP(financials[[#This Row],[productid]],Products!$B$2:$H$10,4)</f>
        <v>16.8</v>
      </c>
      <c r="K1524" s="8">
        <f>financials[[#This Row],[Net Sales]]-financials[[#This Row],[COGS]]</f>
        <v>472.8</v>
      </c>
      <c r="L1524" s="15">
        <v>44567</v>
      </c>
      <c r="M1524" t="s">
        <v>696</v>
      </c>
    </row>
    <row r="1525" spans="1:13" x14ac:dyDescent="0.25">
      <c r="A1525" t="s">
        <v>85</v>
      </c>
      <c r="B1525" s="6" t="s">
        <v>94</v>
      </c>
      <c r="C1525" s="13">
        <v>105</v>
      </c>
      <c r="D1525" s="14" t="s">
        <v>91</v>
      </c>
      <c r="E1525">
        <v>6</v>
      </c>
      <c r="F1525" s="8">
        <f>VLOOKUP(financials[[#This Row],[productid]],Products!$B$2:$H$10,3)</f>
        <v>15</v>
      </c>
      <c r="G1525" s="8">
        <f>financials[[#This Row],[Units Sold]]*financials[[#This Row],[Sale Price]]</f>
        <v>90</v>
      </c>
      <c r="H1525" s="8">
        <f>IF(financials[[#This Row],[Discount Band]]="low",0.1,IF(financials[[#This Row],[Discount Band]]="medium",0.15,0.3))</f>
        <v>0.1</v>
      </c>
      <c r="I1525" s="8">
        <f>financials[[#This Row],[Gross Sales]]-financials[[#This Row],[Gross Sales]]*financials[[#This Row],[Discounts]]</f>
        <v>81</v>
      </c>
      <c r="J1525" s="8">
        <f>VLOOKUP(financials[[#This Row],[productid]],Products!$B$2:$H$10,4)</f>
        <v>10</v>
      </c>
      <c r="K1525" s="8">
        <f>financials[[#This Row],[Net Sales]]-financials[[#This Row],[COGS]]</f>
        <v>71</v>
      </c>
      <c r="L1525" s="15">
        <v>44330</v>
      </c>
      <c r="M1525" t="s">
        <v>690</v>
      </c>
    </row>
    <row r="1526" spans="1:13" x14ac:dyDescent="0.25">
      <c r="A1526" t="s">
        <v>86</v>
      </c>
      <c r="B1526" s="6" t="s">
        <v>274</v>
      </c>
      <c r="C1526" s="13">
        <v>103</v>
      </c>
      <c r="D1526" s="14" t="s">
        <v>90</v>
      </c>
      <c r="E1526">
        <v>12</v>
      </c>
      <c r="F1526" s="8">
        <f>VLOOKUP(financials[[#This Row],[productid]],Products!$B$2:$H$10,3)</f>
        <v>28</v>
      </c>
      <c r="G1526" s="8">
        <f>financials[[#This Row],[Units Sold]]*financials[[#This Row],[Sale Price]]</f>
        <v>336</v>
      </c>
      <c r="H1526" s="8">
        <f>IF(financials[[#This Row],[Discount Band]]="low",0.1,IF(financials[[#This Row],[Discount Band]]="medium",0.15,0.3))</f>
        <v>0.15</v>
      </c>
      <c r="I1526" s="8">
        <f>financials[[#This Row],[Gross Sales]]-financials[[#This Row],[Gross Sales]]*financials[[#This Row],[Discounts]]</f>
        <v>285.60000000000002</v>
      </c>
      <c r="J1526" s="8">
        <f>VLOOKUP(financials[[#This Row],[productid]],Products!$B$2:$H$10,4)</f>
        <v>15</v>
      </c>
      <c r="K1526" s="8">
        <f>financials[[#This Row],[Net Sales]]-financials[[#This Row],[COGS]]</f>
        <v>270.60000000000002</v>
      </c>
      <c r="L1526" s="15">
        <v>44910</v>
      </c>
      <c r="M1526" t="s">
        <v>700</v>
      </c>
    </row>
    <row r="1527" spans="1:13" x14ac:dyDescent="0.25">
      <c r="A1527" t="s">
        <v>85</v>
      </c>
      <c r="B1527" s="6" t="s">
        <v>198</v>
      </c>
      <c r="C1527" s="13">
        <v>106</v>
      </c>
      <c r="D1527" s="14" t="s">
        <v>90</v>
      </c>
      <c r="E1527">
        <v>15</v>
      </c>
      <c r="F1527" s="8">
        <f>VLOOKUP(financials[[#This Row],[productid]],Products!$B$2:$H$10,3)</f>
        <v>25</v>
      </c>
      <c r="G1527" s="8">
        <f>financials[[#This Row],[Units Sold]]*financials[[#This Row],[Sale Price]]</f>
        <v>375</v>
      </c>
      <c r="H1527" s="8">
        <f>IF(financials[[#This Row],[Discount Band]]="low",0.1,IF(financials[[#This Row],[Discount Band]]="medium",0.15,0.3))</f>
        <v>0.15</v>
      </c>
      <c r="I1527" s="8">
        <f>financials[[#This Row],[Gross Sales]]-financials[[#This Row],[Gross Sales]]*financials[[#This Row],[Discounts]]</f>
        <v>318.75</v>
      </c>
      <c r="J1527" s="8">
        <f>VLOOKUP(financials[[#This Row],[productid]],Products!$B$2:$H$10,4)</f>
        <v>9.1</v>
      </c>
      <c r="K1527" s="8">
        <f>financials[[#This Row],[Net Sales]]-financials[[#This Row],[COGS]]</f>
        <v>309.64999999999998</v>
      </c>
      <c r="L1527" s="15">
        <v>43844</v>
      </c>
      <c r="M1527" t="s">
        <v>697</v>
      </c>
    </row>
    <row r="1528" spans="1:13" x14ac:dyDescent="0.25">
      <c r="A1528" t="s">
        <v>86</v>
      </c>
      <c r="B1528" s="6" t="s">
        <v>96</v>
      </c>
      <c r="C1528" s="13">
        <v>103</v>
      </c>
      <c r="D1528" s="14" t="s">
        <v>90</v>
      </c>
      <c r="E1528">
        <v>5</v>
      </c>
      <c r="F1528" s="8">
        <f>VLOOKUP(financials[[#This Row],[productid]],Products!$B$2:$H$10,3)</f>
        <v>28</v>
      </c>
      <c r="G1528" s="8">
        <f>financials[[#This Row],[Units Sold]]*financials[[#This Row],[Sale Price]]</f>
        <v>140</v>
      </c>
      <c r="H1528" s="8">
        <f>IF(financials[[#This Row],[Discount Band]]="low",0.1,IF(financials[[#This Row],[Discount Band]]="medium",0.15,0.3))</f>
        <v>0.15</v>
      </c>
      <c r="I1528" s="8">
        <f>financials[[#This Row],[Gross Sales]]-financials[[#This Row],[Gross Sales]]*financials[[#This Row],[Discounts]]</f>
        <v>119</v>
      </c>
      <c r="J1528" s="8">
        <f>VLOOKUP(financials[[#This Row],[productid]],Products!$B$2:$H$10,4)</f>
        <v>15</v>
      </c>
      <c r="K1528" s="8">
        <f>financials[[#This Row],[Net Sales]]-financials[[#This Row],[COGS]]</f>
        <v>104</v>
      </c>
      <c r="L1528" s="15">
        <v>45127</v>
      </c>
      <c r="M1528" t="s">
        <v>697</v>
      </c>
    </row>
    <row r="1529" spans="1:13" x14ac:dyDescent="0.25">
      <c r="A1529" t="s">
        <v>86</v>
      </c>
      <c r="B1529" s="6" t="s">
        <v>268</v>
      </c>
      <c r="C1529" s="13">
        <v>108</v>
      </c>
      <c r="D1529" s="14" t="s">
        <v>91</v>
      </c>
      <c r="E1529">
        <v>14</v>
      </c>
      <c r="F1529" s="8">
        <f>VLOOKUP(financials[[#This Row],[productid]],Products!$B$2:$H$10,3)</f>
        <v>5.5</v>
      </c>
      <c r="G1529" s="8">
        <f>financials[[#This Row],[Units Sold]]*financials[[#This Row],[Sale Price]]</f>
        <v>77</v>
      </c>
      <c r="H1529" s="8">
        <f>IF(financials[[#This Row],[Discount Band]]="low",0.1,IF(financials[[#This Row],[Discount Band]]="medium",0.15,0.3))</f>
        <v>0.1</v>
      </c>
      <c r="I1529" s="8">
        <f>financials[[#This Row],[Gross Sales]]-financials[[#This Row],[Gross Sales]]*financials[[#This Row],[Discounts]]</f>
        <v>69.3</v>
      </c>
      <c r="J1529" s="8">
        <f>VLOOKUP(financials[[#This Row],[productid]],Products!$B$2:$H$10,4)</f>
        <v>3.99</v>
      </c>
      <c r="K1529" s="8">
        <f>financials[[#This Row],[Net Sales]]-financials[[#This Row],[COGS]]</f>
        <v>65.31</v>
      </c>
      <c r="L1529" s="15">
        <v>45088</v>
      </c>
      <c r="M1529" t="s">
        <v>696</v>
      </c>
    </row>
    <row r="1530" spans="1:13" x14ac:dyDescent="0.25">
      <c r="A1530" t="s">
        <v>89</v>
      </c>
      <c r="B1530" s="6" t="s">
        <v>276</v>
      </c>
      <c r="C1530" s="11">
        <v>109</v>
      </c>
      <c r="D1530" s="9" t="s">
        <v>90</v>
      </c>
      <c r="E1530">
        <v>10</v>
      </c>
      <c r="F1530" s="8">
        <f>VLOOKUP(financials[[#This Row],[productid]],Products!$B$2:$H$10,3)</f>
        <v>36</v>
      </c>
      <c r="G1530" s="8">
        <f>financials[[#This Row],[Units Sold]]*financials[[#This Row],[Sale Price]]</f>
        <v>360</v>
      </c>
      <c r="H1530" s="8">
        <f>IF(financials[[#This Row],[Discount Band]]="low",0.1,IF(financials[[#This Row],[Discount Band]]="medium",0.15,0.3))</f>
        <v>0.15</v>
      </c>
      <c r="I1530" s="8">
        <f>financials[[#This Row],[Gross Sales]]-financials[[#This Row],[Gross Sales]]*financials[[#This Row],[Discounts]]</f>
        <v>306</v>
      </c>
      <c r="J1530" s="8">
        <f>VLOOKUP(financials[[#This Row],[productid]],Products!$B$2:$H$10,4)</f>
        <v>16.8</v>
      </c>
      <c r="K1530" s="8">
        <f>financials[[#This Row],[Net Sales]]-financials[[#This Row],[COGS]]</f>
        <v>289.2</v>
      </c>
      <c r="L1530" s="15">
        <v>44651</v>
      </c>
      <c r="M1530" t="s">
        <v>696</v>
      </c>
    </row>
    <row r="1531" spans="1:13" x14ac:dyDescent="0.25">
      <c r="A1531" t="s">
        <v>86</v>
      </c>
      <c r="B1531" s="6" t="s">
        <v>287</v>
      </c>
      <c r="C1531" s="13">
        <v>105</v>
      </c>
      <c r="D1531" s="14" t="s">
        <v>91</v>
      </c>
      <c r="E1531">
        <v>13</v>
      </c>
      <c r="F1531" s="8">
        <f>VLOOKUP(financials[[#This Row],[productid]],Products!$B$2:$H$10,3)</f>
        <v>15</v>
      </c>
      <c r="G1531" s="8">
        <f>financials[[#This Row],[Units Sold]]*financials[[#This Row],[Sale Price]]</f>
        <v>195</v>
      </c>
      <c r="H1531" s="8">
        <f>IF(financials[[#This Row],[Discount Band]]="low",0.1,IF(financials[[#This Row],[Discount Band]]="medium",0.15,0.3))</f>
        <v>0.1</v>
      </c>
      <c r="I1531" s="8">
        <f>financials[[#This Row],[Gross Sales]]-financials[[#This Row],[Gross Sales]]*financials[[#This Row],[Discounts]]</f>
        <v>175.5</v>
      </c>
      <c r="J1531" s="8">
        <f>VLOOKUP(financials[[#This Row],[productid]],Products!$B$2:$H$10,4)</f>
        <v>10</v>
      </c>
      <c r="K1531" s="8">
        <f>financials[[#This Row],[Net Sales]]-financials[[#This Row],[COGS]]</f>
        <v>165.5</v>
      </c>
      <c r="L1531" s="15">
        <v>45330</v>
      </c>
      <c r="M1531" t="s">
        <v>697</v>
      </c>
    </row>
    <row r="1532" spans="1:13" x14ac:dyDescent="0.25">
      <c r="A1532" t="s">
        <v>86</v>
      </c>
      <c r="B1532" s="6" t="s">
        <v>158</v>
      </c>
      <c r="C1532" s="13">
        <v>108</v>
      </c>
      <c r="D1532" s="14" t="s">
        <v>90</v>
      </c>
      <c r="E1532">
        <v>12</v>
      </c>
      <c r="F1532" s="8">
        <f>VLOOKUP(financials[[#This Row],[productid]],Products!$B$2:$H$10,3)</f>
        <v>5.5</v>
      </c>
      <c r="G1532" s="8">
        <f>financials[[#This Row],[Units Sold]]*financials[[#This Row],[Sale Price]]</f>
        <v>66</v>
      </c>
      <c r="H1532" s="8">
        <f>IF(financials[[#This Row],[Discount Band]]="low",0.1,IF(financials[[#This Row],[Discount Band]]="medium",0.15,0.3))</f>
        <v>0.15</v>
      </c>
      <c r="I1532" s="8">
        <f>financials[[#This Row],[Gross Sales]]-financials[[#This Row],[Gross Sales]]*financials[[#This Row],[Discounts]]</f>
        <v>56.1</v>
      </c>
      <c r="J1532" s="8">
        <f>VLOOKUP(financials[[#This Row],[productid]],Products!$B$2:$H$10,4)</f>
        <v>3.99</v>
      </c>
      <c r="K1532" s="8">
        <f>financials[[#This Row],[Net Sales]]-financials[[#This Row],[COGS]]</f>
        <v>52.11</v>
      </c>
      <c r="L1532" s="15">
        <v>45493</v>
      </c>
      <c r="M1532" t="s">
        <v>697</v>
      </c>
    </row>
    <row r="1533" spans="1:13" x14ac:dyDescent="0.25">
      <c r="A1533" t="s">
        <v>89</v>
      </c>
      <c r="B1533" s="6" t="s">
        <v>545</v>
      </c>
      <c r="C1533" s="13">
        <v>109</v>
      </c>
      <c r="D1533" s="14" t="s">
        <v>83</v>
      </c>
      <c r="E1533">
        <v>20</v>
      </c>
      <c r="F1533" s="8">
        <f>VLOOKUP(financials[[#This Row],[productid]],Products!$B$2:$H$10,3)</f>
        <v>36</v>
      </c>
      <c r="G1533" s="8">
        <f>financials[[#This Row],[Units Sold]]*financials[[#This Row],[Sale Price]]</f>
        <v>720</v>
      </c>
      <c r="H1533" s="8">
        <f>IF(financials[[#This Row],[Discount Band]]="low",0.1,IF(financials[[#This Row],[Discount Band]]="medium",0.15,0.3))</f>
        <v>0.3</v>
      </c>
      <c r="I1533" s="8">
        <f>financials[[#This Row],[Gross Sales]]-financials[[#This Row],[Gross Sales]]*financials[[#This Row],[Discounts]]</f>
        <v>504</v>
      </c>
      <c r="J1533" s="8">
        <f>VLOOKUP(financials[[#This Row],[productid]],Products!$B$2:$H$10,4)</f>
        <v>16.8</v>
      </c>
      <c r="K1533" s="8">
        <f>financials[[#This Row],[Net Sales]]-financials[[#This Row],[COGS]]</f>
        <v>487.2</v>
      </c>
      <c r="L1533" s="15">
        <v>44923</v>
      </c>
      <c r="M1533" t="s">
        <v>697</v>
      </c>
    </row>
    <row r="1534" spans="1:13" x14ac:dyDescent="0.25">
      <c r="A1534" t="s">
        <v>86</v>
      </c>
      <c r="B1534" s="6" t="s">
        <v>617</v>
      </c>
      <c r="C1534" s="13">
        <v>106</v>
      </c>
      <c r="D1534" s="14" t="s">
        <v>91</v>
      </c>
      <c r="E1534">
        <v>13</v>
      </c>
      <c r="F1534" s="8">
        <f>VLOOKUP(financials[[#This Row],[productid]],Products!$B$2:$H$10,3)</f>
        <v>25</v>
      </c>
      <c r="G1534" s="8">
        <f>financials[[#This Row],[Units Sold]]*financials[[#This Row],[Sale Price]]</f>
        <v>325</v>
      </c>
      <c r="H1534" s="8">
        <f>IF(financials[[#This Row],[Discount Band]]="low",0.1,IF(financials[[#This Row],[Discount Band]]="medium",0.15,0.3))</f>
        <v>0.1</v>
      </c>
      <c r="I1534" s="8">
        <f>financials[[#This Row],[Gross Sales]]-financials[[#This Row],[Gross Sales]]*financials[[#This Row],[Discounts]]</f>
        <v>292.5</v>
      </c>
      <c r="J1534" s="8">
        <f>VLOOKUP(financials[[#This Row],[productid]],Products!$B$2:$H$10,4)</f>
        <v>9.1</v>
      </c>
      <c r="K1534" s="8">
        <f>financials[[#This Row],[Net Sales]]-financials[[#This Row],[COGS]]</f>
        <v>283.39999999999998</v>
      </c>
      <c r="L1534" s="15">
        <v>44011</v>
      </c>
      <c r="M1534" t="s">
        <v>700</v>
      </c>
    </row>
    <row r="1535" spans="1:13" x14ac:dyDescent="0.25">
      <c r="A1535" t="s">
        <v>86</v>
      </c>
      <c r="B1535" s="6" t="s">
        <v>95</v>
      </c>
      <c r="C1535" s="13">
        <v>106</v>
      </c>
      <c r="D1535" s="14" t="s">
        <v>83</v>
      </c>
      <c r="E1535">
        <v>15</v>
      </c>
      <c r="F1535" s="8">
        <f>VLOOKUP(financials[[#This Row],[productid]],Products!$B$2:$H$10,3)</f>
        <v>25</v>
      </c>
      <c r="G1535" s="8">
        <f>financials[[#This Row],[Units Sold]]*financials[[#This Row],[Sale Price]]</f>
        <v>375</v>
      </c>
      <c r="H1535" s="8">
        <f>IF(financials[[#This Row],[Discount Band]]="low",0.1,IF(financials[[#This Row],[Discount Band]]="medium",0.15,0.3))</f>
        <v>0.3</v>
      </c>
      <c r="I1535" s="8">
        <f>financials[[#This Row],[Gross Sales]]-financials[[#This Row],[Gross Sales]]*financials[[#This Row],[Discounts]]</f>
        <v>262.5</v>
      </c>
      <c r="J1535" s="8">
        <f>VLOOKUP(financials[[#This Row],[productid]],Products!$B$2:$H$10,4)</f>
        <v>9.1</v>
      </c>
      <c r="K1535" s="8">
        <f>financials[[#This Row],[Net Sales]]-financials[[#This Row],[COGS]]</f>
        <v>253.4</v>
      </c>
      <c r="L1535" s="15">
        <v>45460</v>
      </c>
      <c r="M1535" t="s">
        <v>691</v>
      </c>
    </row>
    <row r="1536" spans="1:13" x14ac:dyDescent="0.25">
      <c r="A1536" t="s">
        <v>86</v>
      </c>
      <c r="B1536" s="6" t="s">
        <v>273</v>
      </c>
      <c r="C1536" s="13">
        <v>108</v>
      </c>
      <c r="D1536" s="14" t="s">
        <v>90</v>
      </c>
      <c r="E1536">
        <v>12</v>
      </c>
      <c r="F1536" s="8">
        <f>VLOOKUP(financials[[#This Row],[productid]],Products!$B$2:$H$10,3)</f>
        <v>5.5</v>
      </c>
      <c r="G1536" s="8">
        <f>financials[[#This Row],[Units Sold]]*financials[[#This Row],[Sale Price]]</f>
        <v>66</v>
      </c>
      <c r="H1536" s="8">
        <f>IF(financials[[#This Row],[Discount Band]]="low",0.1,IF(financials[[#This Row],[Discount Band]]="medium",0.15,0.3))</f>
        <v>0.15</v>
      </c>
      <c r="I1536" s="8">
        <f>financials[[#This Row],[Gross Sales]]-financials[[#This Row],[Gross Sales]]*financials[[#This Row],[Discounts]]</f>
        <v>56.1</v>
      </c>
      <c r="J1536" s="8">
        <f>VLOOKUP(financials[[#This Row],[productid]],Products!$B$2:$H$10,4)</f>
        <v>3.99</v>
      </c>
      <c r="K1536" s="8">
        <f>financials[[#This Row],[Net Sales]]-financials[[#This Row],[COGS]]</f>
        <v>52.11</v>
      </c>
      <c r="L1536" s="15">
        <v>44611</v>
      </c>
      <c r="M1536" t="s">
        <v>697</v>
      </c>
    </row>
    <row r="1537" spans="1:13" x14ac:dyDescent="0.25">
      <c r="A1537" t="s">
        <v>89</v>
      </c>
      <c r="B1537" s="6" t="s">
        <v>268</v>
      </c>
      <c r="C1537" s="13">
        <v>109</v>
      </c>
      <c r="D1537" s="14" t="s">
        <v>90</v>
      </c>
      <c r="E1537">
        <v>13</v>
      </c>
      <c r="F1537" s="8">
        <f>VLOOKUP(financials[[#This Row],[productid]],Products!$B$2:$H$10,3)</f>
        <v>36</v>
      </c>
      <c r="G1537" s="8">
        <f>financials[[#This Row],[Units Sold]]*financials[[#This Row],[Sale Price]]</f>
        <v>468</v>
      </c>
      <c r="H1537" s="8">
        <f>IF(financials[[#This Row],[Discount Band]]="low",0.1,IF(financials[[#This Row],[Discount Band]]="medium",0.15,0.3))</f>
        <v>0.15</v>
      </c>
      <c r="I1537" s="8">
        <f>financials[[#This Row],[Gross Sales]]-financials[[#This Row],[Gross Sales]]*financials[[#This Row],[Discounts]]</f>
        <v>397.8</v>
      </c>
      <c r="J1537" s="8">
        <f>VLOOKUP(financials[[#This Row],[productid]],Products!$B$2:$H$10,4)</f>
        <v>16.8</v>
      </c>
      <c r="K1537" s="8">
        <f>financials[[#This Row],[Net Sales]]-financials[[#This Row],[COGS]]</f>
        <v>381</v>
      </c>
      <c r="L1537" s="15">
        <v>44723</v>
      </c>
      <c r="M1537" t="s">
        <v>691</v>
      </c>
    </row>
    <row r="1538" spans="1:13" x14ac:dyDescent="0.25">
      <c r="A1538" t="s">
        <v>86</v>
      </c>
      <c r="B1538" s="6" t="s">
        <v>167</v>
      </c>
      <c r="C1538" s="13">
        <v>105</v>
      </c>
      <c r="D1538" s="14" t="s">
        <v>83</v>
      </c>
      <c r="E1538">
        <v>15</v>
      </c>
      <c r="F1538" s="8">
        <f>VLOOKUP(financials[[#This Row],[productid]],Products!$B$2:$H$10,3)</f>
        <v>15</v>
      </c>
      <c r="G1538" s="8">
        <f>financials[[#This Row],[Units Sold]]*financials[[#This Row],[Sale Price]]</f>
        <v>225</v>
      </c>
      <c r="H1538" s="8">
        <f>IF(financials[[#This Row],[Discount Band]]="low",0.1,IF(financials[[#This Row],[Discount Band]]="medium",0.15,0.3))</f>
        <v>0.3</v>
      </c>
      <c r="I1538" s="8">
        <f>financials[[#This Row],[Gross Sales]]-financials[[#This Row],[Gross Sales]]*financials[[#This Row],[Discounts]]</f>
        <v>157.5</v>
      </c>
      <c r="J1538" s="8">
        <f>VLOOKUP(financials[[#This Row],[productid]],Products!$B$2:$H$10,4)</f>
        <v>10</v>
      </c>
      <c r="K1538" s="8">
        <f>financials[[#This Row],[Net Sales]]-financials[[#This Row],[COGS]]</f>
        <v>147.5</v>
      </c>
      <c r="L1538" s="15">
        <v>44555</v>
      </c>
      <c r="M1538" t="s">
        <v>697</v>
      </c>
    </row>
    <row r="1539" spans="1:13" x14ac:dyDescent="0.25">
      <c r="A1539" t="s">
        <v>86</v>
      </c>
      <c r="B1539" s="6" t="s">
        <v>93</v>
      </c>
      <c r="C1539" s="13">
        <v>108</v>
      </c>
      <c r="D1539" s="14" t="s">
        <v>92</v>
      </c>
      <c r="E1539">
        <v>8</v>
      </c>
      <c r="F1539" s="8">
        <f>VLOOKUP(financials[[#This Row],[productid]],Products!$B$2:$H$10,3)</f>
        <v>5.5</v>
      </c>
      <c r="G1539" s="8">
        <f>financials[[#This Row],[Units Sold]]*financials[[#This Row],[Sale Price]]</f>
        <v>44</v>
      </c>
      <c r="H1539" s="8">
        <f>IF(financials[[#This Row],[Discount Band]]="low",0.1,IF(financials[[#This Row],[Discount Band]]="medium",0.15,0.3))</f>
        <v>0.3</v>
      </c>
      <c r="I1539" s="8">
        <f>financials[[#This Row],[Gross Sales]]-financials[[#This Row],[Gross Sales]]*financials[[#This Row],[Discounts]]</f>
        <v>30.8</v>
      </c>
      <c r="J1539" s="8">
        <f>VLOOKUP(financials[[#This Row],[productid]],Products!$B$2:$H$10,4)</f>
        <v>3.99</v>
      </c>
      <c r="K1539" s="8">
        <f>financials[[#This Row],[Net Sales]]-financials[[#This Row],[COGS]]</f>
        <v>26.810000000000002</v>
      </c>
      <c r="L1539" s="15">
        <v>45335</v>
      </c>
      <c r="M1539" t="s">
        <v>696</v>
      </c>
    </row>
    <row r="1540" spans="1:13" x14ac:dyDescent="0.25">
      <c r="A1540" t="s">
        <v>85</v>
      </c>
      <c r="B1540" s="6" t="s">
        <v>276</v>
      </c>
      <c r="C1540" s="13">
        <v>102</v>
      </c>
      <c r="D1540" s="14" t="s">
        <v>92</v>
      </c>
      <c r="E1540">
        <v>16</v>
      </c>
      <c r="F1540" s="8">
        <f>VLOOKUP(financials[[#This Row],[productid]],Products!$B$2:$H$10,3)</f>
        <v>15</v>
      </c>
      <c r="G1540" s="8">
        <f>financials[[#This Row],[Units Sold]]*financials[[#This Row],[Sale Price]]</f>
        <v>240</v>
      </c>
      <c r="H1540" s="8">
        <f>IF(financials[[#This Row],[Discount Band]]="low",0.1,IF(financials[[#This Row],[Discount Band]]="medium",0.15,0.3))</f>
        <v>0.3</v>
      </c>
      <c r="I1540" s="8">
        <f>financials[[#This Row],[Gross Sales]]-financials[[#This Row],[Gross Sales]]*financials[[#This Row],[Discounts]]</f>
        <v>168</v>
      </c>
      <c r="J1540" s="8">
        <f>VLOOKUP(financials[[#This Row],[productid]],Products!$B$2:$H$10,4)</f>
        <v>13.95</v>
      </c>
      <c r="K1540" s="8">
        <f>financials[[#This Row],[Net Sales]]-financials[[#This Row],[COGS]]</f>
        <v>154.05000000000001</v>
      </c>
      <c r="L1540" s="15">
        <v>45600</v>
      </c>
      <c r="M1540" t="s">
        <v>697</v>
      </c>
    </row>
    <row r="1541" spans="1:13" x14ac:dyDescent="0.25">
      <c r="A1541" t="s">
        <v>86</v>
      </c>
      <c r="B1541" s="6" t="s">
        <v>93</v>
      </c>
      <c r="C1541" s="11">
        <v>107</v>
      </c>
      <c r="D1541" s="9" t="s">
        <v>90</v>
      </c>
      <c r="E1541">
        <v>6</v>
      </c>
      <c r="F1541" s="8">
        <f>VLOOKUP(financials[[#This Row],[productid]],Products!$B$2:$H$10,3)</f>
        <v>15</v>
      </c>
      <c r="G1541" s="8">
        <f>financials[[#This Row],[Units Sold]]*financials[[#This Row],[Sale Price]]</f>
        <v>90</v>
      </c>
      <c r="H1541" s="8">
        <f>IF(financials[[#This Row],[Discount Band]]="low",0.1,IF(financials[[#This Row],[Discount Band]]="medium",0.15,0.3))</f>
        <v>0.15</v>
      </c>
      <c r="I1541" s="8">
        <f>financials[[#This Row],[Gross Sales]]-financials[[#This Row],[Gross Sales]]*financials[[#This Row],[Discounts]]</f>
        <v>76.5</v>
      </c>
      <c r="J1541" s="8">
        <f>VLOOKUP(financials[[#This Row],[productid]],Products!$B$2:$H$10,4)</f>
        <v>5.5</v>
      </c>
      <c r="K1541" s="8">
        <f>financials[[#This Row],[Net Sales]]-financials[[#This Row],[COGS]]</f>
        <v>71</v>
      </c>
      <c r="L1541" s="15">
        <v>44575</v>
      </c>
      <c r="M1541" t="s">
        <v>691</v>
      </c>
    </row>
    <row r="1542" spans="1:13" x14ac:dyDescent="0.25">
      <c r="A1542" t="s">
        <v>86</v>
      </c>
      <c r="B1542" s="6" t="s">
        <v>645</v>
      </c>
      <c r="C1542" s="13">
        <v>102</v>
      </c>
      <c r="D1542" s="14" t="s">
        <v>92</v>
      </c>
      <c r="E1542">
        <v>16</v>
      </c>
      <c r="F1542" s="8">
        <f>VLOOKUP(financials[[#This Row],[productid]],Products!$B$2:$H$10,3)</f>
        <v>15</v>
      </c>
      <c r="G1542" s="8">
        <f>financials[[#This Row],[Units Sold]]*financials[[#This Row],[Sale Price]]</f>
        <v>240</v>
      </c>
      <c r="H1542" s="8">
        <f>IF(financials[[#This Row],[Discount Band]]="low",0.1,IF(financials[[#This Row],[Discount Band]]="medium",0.15,0.3))</f>
        <v>0.3</v>
      </c>
      <c r="I1542" s="8">
        <f>financials[[#This Row],[Gross Sales]]-financials[[#This Row],[Gross Sales]]*financials[[#This Row],[Discounts]]</f>
        <v>168</v>
      </c>
      <c r="J1542" s="8">
        <f>VLOOKUP(financials[[#This Row],[productid]],Products!$B$2:$H$10,4)</f>
        <v>13.95</v>
      </c>
      <c r="K1542" s="8">
        <f>financials[[#This Row],[Net Sales]]-financials[[#This Row],[COGS]]</f>
        <v>154.05000000000001</v>
      </c>
      <c r="L1542" s="15">
        <v>44489</v>
      </c>
      <c r="M1542" t="s">
        <v>697</v>
      </c>
    </row>
    <row r="1543" spans="1:13" x14ac:dyDescent="0.25">
      <c r="A1543" t="s">
        <v>89</v>
      </c>
      <c r="B1543" s="6" t="s">
        <v>273</v>
      </c>
      <c r="C1543" s="13">
        <v>106</v>
      </c>
      <c r="D1543" s="14" t="s">
        <v>83</v>
      </c>
      <c r="E1543">
        <v>7</v>
      </c>
      <c r="F1543" s="8">
        <f>VLOOKUP(financials[[#This Row],[productid]],Products!$B$2:$H$10,3)</f>
        <v>25</v>
      </c>
      <c r="G1543" s="8">
        <f>financials[[#This Row],[Units Sold]]*financials[[#This Row],[Sale Price]]</f>
        <v>175</v>
      </c>
      <c r="H1543" s="8">
        <f>IF(financials[[#This Row],[Discount Band]]="low",0.1,IF(financials[[#This Row],[Discount Band]]="medium",0.15,0.3))</f>
        <v>0.3</v>
      </c>
      <c r="I1543" s="8">
        <f>financials[[#This Row],[Gross Sales]]-financials[[#This Row],[Gross Sales]]*financials[[#This Row],[Discounts]]</f>
        <v>122.5</v>
      </c>
      <c r="J1543" s="8">
        <f>VLOOKUP(financials[[#This Row],[productid]],Products!$B$2:$H$10,4)</f>
        <v>9.1</v>
      </c>
      <c r="K1543" s="8">
        <f>financials[[#This Row],[Net Sales]]-financials[[#This Row],[COGS]]</f>
        <v>113.4</v>
      </c>
      <c r="L1543" s="15">
        <v>45351</v>
      </c>
      <c r="M1543" t="s">
        <v>700</v>
      </c>
    </row>
    <row r="1544" spans="1:13" x14ac:dyDescent="0.25">
      <c r="A1544" t="s">
        <v>85</v>
      </c>
      <c r="B1544" s="6" t="s">
        <v>276</v>
      </c>
      <c r="C1544" s="13">
        <v>107</v>
      </c>
      <c r="D1544" s="14" t="s">
        <v>83</v>
      </c>
      <c r="E1544">
        <v>13</v>
      </c>
      <c r="F1544" s="8">
        <f>VLOOKUP(financials[[#This Row],[productid]],Products!$B$2:$H$10,3)</f>
        <v>15</v>
      </c>
      <c r="G1544" s="8">
        <f>financials[[#This Row],[Units Sold]]*financials[[#This Row],[Sale Price]]</f>
        <v>195</v>
      </c>
      <c r="H1544" s="8">
        <f>IF(financials[[#This Row],[Discount Band]]="low",0.1,IF(financials[[#This Row],[Discount Band]]="medium",0.15,0.3))</f>
        <v>0.3</v>
      </c>
      <c r="I1544" s="8">
        <f>financials[[#This Row],[Gross Sales]]-financials[[#This Row],[Gross Sales]]*financials[[#This Row],[Discounts]]</f>
        <v>136.5</v>
      </c>
      <c r="J1544" s="8">
        <f>VLOOKUP(financials[[#This Row],[productid]],Products!$B$2:$H$10,4)</f>
        <v>5.5</v>
      </c>
      <c r="K1544" s="8">
        <f>financials[[#This Row],[Net Sales]]-financials[[#This Row],[COGS]]</f>
        <v>131</v>
      </c>
      <c r="L1544" s="15">
        <v>45129</v>
      </c>
      <c r="M1544" t="s">
        <v>697</v>
      </c>
    </row>
    <row r="1545" spans="1:13" x14ac:dyDescent="0.25">
      <c r="A1545" t="s">
        <v>85</v>
      </c>
      <c r="B1545" s="6" t="s">
        <v>268</v>
      </c>
      <c r="C1545" s="13">
        <v>105</v>
      </c>
      <c r="D1545" s="14" t="s">
        <v>90</v>
      </c>
      <c r="E1545">
        <v>18</v>
      </c>
      <c r="F1545" s="8">
        <f>VLOOKUP(financials[[#This Row],[productid]],Products!$B$2:$H$10,3)</f>
        <v>15</v>
      </c>
      <c r="G1545" s="8">
        <f>financials[[#This Row],[Units Sold]]*financials[[#This Row],[Sale Price]]</f>
        <v>270</v>
      </c>
      <c r="H1545" s="8">
        <f>IF(financials[[#This Row],[Discount Band]]="low",0.1,IF(financials[[#This Row],[Discount Band]]="medium",0.15,0.3))</f>
        <v>0.15</v>
      </c>
      <c r="I1545" s="8">
        <f>financials[[#This Row],[Gross Sales]]-financials[[#This Row],[Gross Sales]]*financials[[#This Row],[Discounts]]</f>
        <v>229.5</v>
      </c>
      <c r="J1545" s="8">
        <f>VLOOKUP(financials[[#This Row],[productid]],Products!$B$2:$H$10,4)</f>
        <v>10</v>
      </c>
      <c r="K1545" s="8">
        <f>financials[[#This Row],[Net Sales]]-financials[[#This Row],[COGS]]</f>
        <v>219.5</v>
      </c>
      <c r="L1545" s="15">
        <v>45324</v>
      </c>
      <c r="M1545" t="s">
        <v>690</v>
      </c>
    </row>
    <row r="1546" spans="1:13" x14ac:dyDescent="0.25">
      <c r="A1546" t="s">
        <v>86</v>
      </c>
      <c r="B1546" s="6" t="s">
        <v>645</v>
      </c>
      <c r="C1546" s="13">
        <v>107</v>
      </c>
      <c r="D1546" s="14" t="s">
        <v>83</v>
      </c>
      <c r="E1546">
        <v>9</v>
      </c>
      <c r="F1546" s="8">
        <f>VLOOKUP(financials[[#This Row],[productid]],Products!$B$2:$H$10,3)</f>
        <v>15</v>
      </c>
      <c r="G1546" s="8">
        <f>financials[[#This Row],[Units Sold]]*financials[[#This Row],[Sale Price]]</f>
        <v>135</v>
      </c>
      <c r="H1546" s="8">
        <f>IF(financials[[#This Row],[Discount Band]]="low",0.1,IF(financials[[#This Row],[Discount Band]]="medium",0.15,0.3))</f>
        <v>0.3</v>
      </c>
      <c r="I1546" s="8">
        <f>financials[[#This Row],[Gross Sales]]-financials[[#This Row],[Gross Sales]]*financials[[#This Row],[Discounts]]</f>
        <v>94.5</v>
      </c>
      <c r="J1546" s="8">
        <f>VLOOKUP(financials[[#This Row],[productid]],Products!$B$2:$H$10,4)</f>
        <v>5.5</v>
      </c>
      <c r="K1546" s="8">
        <f>financials[[#This Row],[Net Sales]]-financials[[#This Row],[COGS]]</f>
        <v>89</v>
      </c>
      <c r="L1546" s="15">
        <v>44543</v>
      </c>
      <c r="M1546" t="s">
        <v>691</v>
      </c>
    </row>
    <row r="1547" spans="1:13" x14ac:dyDescent="0.25">
      <c r="A1547" t="s">
        <v>89</v>
      </c>
      <c r="B1547" s="6" t="s">
        <v>545</v>
      </c>
      <c r="C1547" s="13">
        <v>106</v>
      </c>
      <c r="D1547" s="14" t="s">
        <v>91</v>
      </c>
      <c r="E1547">
        <v>9</v>
      </c>
      <c r="F1547" s="8">
        <f>VLOOKUP(financials[[#This Row],[productid]],Products!$B$2:$H$10,3)</f>
        <v>25</v>
      </c>
      <c r="G1547" s="8">
        <f>financials[[#This Row],[Units Sold]]*financials[[#This Row],[Sale Price]]</f>
        <v>225</v>
      </c>
      <c r="H1547" s="8">
        <f>IF(financials[[#This Row],[Discount Band]]="low",0.1,IF(financials[[#This Row],[Discount Band]]="medium",0.15,0.3))</f>
        <v>0.1</v>
      </c>
      <c r="I1547" s="8">
        <f>financials[[#This Row],[Gross Sales]]-financials[[#This Row],[Gross Sales]]*financials[[#This Row],[Discounts]]</f>
        <v>202.5</v>
      </c>
      <c r="J1547" s="8">
        <f>VLOOKUP(financials[[#This Row],[productid]],Products!$B$2:$H$10,4)</f>
        <v>9.1</v>
      </c>
      <c r="K1547" s="8">
        <f>financials[[#This Row],[Net Sales]]-financials[[#This Row],[COGS]]</f>
        <v>193.4</v>
      </c>
      <c r="L1547" s="15">
        <v>45627</v>
      </c>
      <c r="M1547" t="s">
        <v>700</v>
      </c>
    </row>
    <row r="1548" spans="1:13" x14ac:dyDescent="0.25">
      <c r="A1548" t="s">
        <v>86</v>
      </c>
      <c r="B1548" s="6" t="s">
        <v>645</v>
      </c>
      <c r="C1548" s="13">
        <v>105</v>
      </c>
      <c r="D1548" s="14" t="s">
        <v>83</v>
      </c>
      <c r="E1548">
        <v>8</v>
      </c>
      <c r="F1548" s="8">
        <f>VLOOKUP(financials[[#This Row],[productid]],Products!$B$2:$H$10,3)</f>
        <v>15</v>
      </c>
      <c r="G1548" s="8">
        <f>financials[[#This Row],[Units Sold]]*financials[[#This Row],[Sale Price]]</f>
        <v>120</v>
      </c>
      <c r="H1548" s="8">
        <f>IF(financials[[#This Row],[Discount Band]]="low",0.1,IF(financials[[#This Row],[Discount Band]]="medium",0.15,0.3))</f>
        <v>0.3</v>
      </c>
      <c r="I1548" s="8">
        <f>financials[[#This Row],[Gross Sales]]-financials[[#This Row],[Gross Sales]]*financials[[#This Row],[Discounts]]</f>
        <v>84</v>
      </c>
      <c r="J1548" s="8">
        <f>VLOOKUP(financials[[#This Row],[productid]],Products!$B$2:$H$10,4)</f>
        <v>10</v>
      </c>
      <c r="K1548" s="8">
        <f>financials[[#This Row],[Net Sales]]-financials[[#This Row],[COGS]]</f>
        <v>74</v>
      </c>
      <c r="L1548" s="15">
        <v>45021</v>
      </c>
      <c r="M1548" t="s">
        <v>696</v>
      </c>
    </row>
    <row r="1549" spans="1:13" x14ac:dyDescent="0.25">
      <c r="A1549" t="s">
        <v>86</v>
      </c>
      <c r="B1549" s="6" t="s">
        <v>645</v>
      </c>
      <c r="C1549" s="13">
        <v>103</v>
      </c>
      <c r="D1549" s="14" t="s">
        <v>90</v>
      </c>
      <c r="E1549">
        <v>9</v>
      </c>
      <c r="F1549" s="8">
        <f>VLOOKUP(financials[[#This Row],[productid]],Products!$B$2:$H$10,3)</f>
        <v>28</v>
      </c>
      <c r="G1549" s="8">
        <f>financials[[#This Row],[Units Sold]]*financials[[#This Row],[Sale Price]]</f>
        <v>252</v>
      </c>
      <c r="H1549" s="8">
        <f>IF(financials[[#This Row],[Discount Band]]="low",0.1,IF(financials[[#This Row],[Discount Band]]="medium",0.15,0.3))</f>
        <v>0.15</v>
      </c>
      <c r="I1549" s="8">
        <f>financials[[#This Row],[Gross Sales]]-financials[[#This Row],[Gross Sales]]*financials[[#This Row],[Discounts]]</f>
        <v>214.2</v>
      </c>
      <c r="J1549" s="8">
        <f>VLOOKUP(financials[[#This Row],[productid]],Products!$B$2:$H$10,4)</f>
        <v>15</v>
      </c>
      <c r="K1549" s="8">
        <f>financials[[#This Row],[Net Sales]]-financials[[#This Row],[COGS]]</f>
        <v>199.2</v>
      </c>
      <c r="L1549" s="15">
        <v>45063</v>
      </c>
      <c r="M1549" t="s">
        <v>697</v>
      </c>
    </row>
    <row r="1550" spans="1:13" x14ac:dyDescent="0.25">
      <c r="A1550" t="s">
        <v>89</v>
      </c>
      <c r="B1550" s="6" t="s">
        <v>198</v>
      </c>
      <c r="C1550" s="13">
        <v>101</v>
      </c>
      <c r="D1550" s="14" t="s">
        <v>92</v>
      </c>
      <c r="E1550">
        <v>5</v>
      </c>
      <c r="F1550" s="8">
        <f>VLOOKUP(financials[[#This Row],[productid]],Products!$B$2:$H$10,3)</f>
        <v>23</v>
      </c>
      <c r="G1550" s="8">
        <f>financials[[#This Row],[Units Sold]]*financials[[#This Row],[Sale Price]]</f>
        <v>115</v>
      </c>
      <c r="H1550" s="8">
        <f>IF(financials[[#This Row],[Discount Band]]="low",0.1,IF(financials[[#This Row],[Discount Band]]="medium",0.15,0.3))</f>
        <v>0.3</v>
      </c>
      <c r="I1550" s="8">
        <f>financials[[#This Row],[Gross Sales]]-financials[[#This Row],[Gross Sales]]*financials[[#This Row],[Discounts]]</f>
        <v>80.5</v>
      </c>
      <c r="J1550" s="8">
        <f>VLOOKUP(financials[[#This Row],[productid]],Products!$B$2:$H$10,4)</f>
        <v>9.9499999999999993</v>
      </c>
      <c r="K1550" s="8">
        <f>financials[[#This Row],[Net Sales]]-financials[[#This Row],[COGS]]</f>
        <v>70.55</v>
      </c>
      <c r="L1550" s="15">
        <v>45605</v>
      </c>
      <c r="M1550" t="s">
        <v>690</v>
      </c>
    </row>
    <row r="1551" spans="1:13" x14ac:dyDescent="0.25">
      <c r="A1551" t="s">
        <v>89</v>
      </c>
      <c r="B1551" s="6" t="s">
        <v>95</v>
      </c>
      <c r="C1551" s="13">
        <v>108</v>
      </c>
      <c r="D1551" s="14" t="s">
        <v>83</v>
      </c>
      <c r="E1551">
        <v>5</v>
      </c>
      <c r="F1551" s="8">
        <f>VLOOKUP(financials[[#This Row],[productid]],Products!$B$2:$H$10,3)</f>
        <v>5.5</v>
      </c>
      <c r="G1551" s="8">
        <f>financials[[#This Row],[Units Sold]]*financials[[#This Row],[Sale Price]]</f>
        <v>27.5</v>
      </c>
      <c r="H1551" s="8">
        <f>IF(financials[[#This Row],[Discount Band]]="low",0.1,IF(financials[[#This Row],[Discount Band]]="medium",0.15,0.3))</f>
        <v>0.3</v>
      </c>
      <c r="I1551" s="8">
        <f>financials[[#This Row],[Gross Sales]]-financials[[#This Row],[Gross Sales]]*financials[[#This Row],[Discounts]]</f>
        <v>19.25</v>
      </c>
      <c r="J1551" s="8">
        <f>VLOOKUP(financials[[#This Row],[productid]],Products!$B$2:$H$10,4)</f>
        <v>3.99</v>
      </c>
      <c r="K1551" s="8">
        <f>financials[[#This Row],[Net Sales]]-financials[[#This Row],[COGS]]</f>
        <v>15.26</v>
      </c>
      <c r="L1551" s="15">
        <v>45148</v>
      </c>
      <c r="M1551" t="s">
        <v>690</v>
      </c>
    </row>
    <row r="1552" spans="1:13" x14ac:dyDescent="0.25">
      <c r="A1552" t="s">
        <v>86</v>
      </c>
      <c r="B1552" s="6" t="s">
        <v>158</v>
      </c>
      <c r="C1552" s="13">
        <v>102</v>
      </c>
      <c r="D1552" s="14" t="s">
        <v>90</v>
      </c>
      <c r="E1552">
        <v>20</v>
      </c>
      <c r="F1552" s="8">
        <f>VLOOKUP(financials[[#This Row],[productid]],Products!$B$2:$H$10,3)</f>
        <v>15</v>
      </c>
      <c r="G1552" s="8">
        <f>financials[[#This Row],[Units Sold]]*financials[[#This Row],[Sale Price]]</f>
        <v>300</v>
      </c>
      <c r="H1552" s="8">
        <f>IF(financials[[#This Row],[Discount Band]]="low",0.1,IF(financials[[#This Row],[Discount Band]]="medium",0.15,0.3))</f>
        <v>0.15</v>
      </c>
      <c r="I1552" s="8">
        <f>financials[[#This Row],[Gross Sales]]-financials[[#This Row],[Gross Sales]]*financials[[#This Row],[Discounts]]</f>
        <v>255</v>
      </c>
      <c r="J1552" s="8">
        <f>VLOOKUP(financials[[#This Row],[productid]],Products!$B$2:$H$10,4)</f>
        <v>13.95</v>
      </c>
      <c r="K1552" s="8">
        <f>financials[[#This Row],[Net Sales]]-financials[[#This Row],[COGS]]</f>
        <v>241.05</v>
      </c>
      <c r="L1552" s="15">
        <v>43837</v>
      </c>
      <c r="M1552" t="s">
        <v>697</v>
      </c>
    </row>
    <row r="1553" spans="1:13" x14ac:dyDescent="0.25">
      <c r="A1553" t="s">
        <v>89</v>
      </c>
      <c r="B1553" s="6" t="s">
        <v>198</v>
      </c>
      <c r="C1553" s="13">
        <v>107</v>
      </c>
      <c r="D1553" s="14" t="s">
        <v>90</v>
      </c>
      <c r="E1553">
        <v>11</v>
      </c>
      <c r="F1553" s="8">
        <f>VLOOKUP(financials[[#This Row],[productid]],Products!$B$2:$H$10,3)</f>
        <v>15</v>
      </c>
      <c r="G1553" s="8">
        <f>financials[[#This Row],[Units Sold]]*financials[[#This Row],[Sale Price]]</f>
        <v>165</v>
      </c>
      <c r="H1553" s="8">
        <f>IF(financials[[#This Row],[Discount Band]]="low",0.1,IF(financials[[#This Row],[Discount Band]]="medium",0.15,0.3))</f>
        <v>0.15</v>
      </c>
      <c r="I1553" s="8">
        <f>financials[[#This Row],[Gross Sales]]-financials[[#This Row],[Gross Sales]]*financials[[#This Row],[Discounts]]</f>
        <v>140.25</v>
      </c>
      <c r="J1553" s="8">
        <f>VLOOKUP(financials[[#This Row],[productid]],Products!$B$2:$H$10,4)</f>
        <v>5.5</v>
      </c>
      <c r="K1553" s="8">
        <f>financials[[#This Row],[Net Sales]]-financials[[#This Row],[COGS]]</f>
        <v>134.75</v>
      </c>
      <c r="L1553" s="15">
        <v>45366</v>
      </c>
      <c r="M1553" t="s">
        <v>690</v>
      </c>
    </row>
    <row r="1554" spans="1:13" x14ac:dyDescent="0.25">
      <c r="A1554" t="s">
        <v>89</v>
      </c>
      <c r="B1554" s="6" t="s">
        <v>95</v>
      </c>
      <c r="C1554" s="13">
        <v>108</v>
      </c>
      <c r="D1554" s="14" t="s">
        <v>83</v>
      </c>
      <c r="E1554">
        <v>5</v>
      </c>
      <c r="F1554" s="8">
        <f>VLOOKUP(financials[[#This Row],[productid]],Products!$B$2:$H$10,3)</f>
        <v>5.5</v>
      </c>
      <c r="G1554" s="8">
        <f>financials[[#This Row],[Units Sold]]*financials[[#This Row],[Sale Price]]</f>
        <v>27.5</v>
      </c>
      <c r="H1554" s="8">
        <f>IF(financials[[#This Row],[Discount Band]]="low",0.1,IF(financials[[#This Row],[Discount Band]]="medium",0.15,0.3))</f>
        <v>0.3</v>
      </c>
      <c r="I1554" s="8">
        <f>financials[[#This Row],[Gross Sales]]-financials[[#This Row],[Gross Sales]]*financials[[#This Row],[Discounts]]</f>
        <v>19.25</v>
      </c>
      <c r="J1554" s="8">
        <f>VLOOKUP(financials[[#This Row],[productid]],Products!$B$2:$H$10,4)</f>
        <v>3.99</v>
      </c>
      <c r="K1554" s="8">
        <f>financials[[#This Row],[Net Sales]]-financials[[#This Row],[COGS]]</f>
        <v>15.26</v>
      </c>
      <c r="L1554" s="15">
        <v>45501</v>
      </c>
      <c r="M1554" t="s">
        <v>691</v>
      </c>
    </row>
    <row r="1555" spans="1:13" x14ac:dyDescent="0.25">
      <c r="A1555" t="s">
        <v>86</v>
      </c>
      <c r="B1555" s="6" t="s">
        <v>232</v>
      </c>
      <c r="C1555" s="13">
        <v>105</v>
      </c>
      <c r="D1555" s="14" t="s">
        <v>90</v>
      </c>
      <c r="E1555">
        <v>14</v>
      </c>
      <c r="F1555" s="8">
        <f>VLOOKUP(financials[[#This Row],[productid]],Products!$B$2:$H$10,3)</f>
        <v>15</v>
      </c>
      <c r="G1555" s="8">
        <f>financials[[#This Row],[Units Sold]]*financials[[#This Row],[Sale Price]]</f>
        <v>210</v>
      </c>
      <c r="H1555" s="8">
        <f>IF(financials[[#This Row],[Discount Band]]="low",0.1,IF(financials[[#This Row],[Discount Band]]="medium",0.15,0.3))</f>
        <v>0.15</v>
      </c>
      <c r="I1555" s="8">
        <f>financials[[#This Row],[Gross Sales]]-financials[[#This Row],[Gross Sales]]*financials[[#This Row],[Discounts]]</f>
        <v>178.5</v>
      </c>
      <c r="J1555" s="8">
        <f>VLOOKUP(financials[[#This Row],[productid]],Products!$B$2:$H$10,4)</f>
        <v>10</v>
      </c>
      <c r="K1555" s="8">
        <f>financials[[#This Row],[Net Sales]]-financials[[#This Row],[COGS]]</f>
        <v>168.5</v>
      </c>
      <c r="L1555" s="15">
        <v>44800</v>
      </c>
      <c r="M1555" t="s">
        <v>697</v>
      </c>
    </row>
    <row r="1556" spans="1:13" x14ac:dyDescent="0.25">
      <c r="A1556" t="s">
        <v>85</v>
      </c>
      <c r="B1556" s="6" t="s">
        <v>167</v>
      </c>
      <c r="C1556" s="13">
        <v>106</v>
      </c>
      <c r="D1556" s="14" t="s">
        <v>91</v>
      </c>
      <c r="E1556">
        <v>9</v>
      </c>
      <c r="F1556" s="8">
        <f>VLOOKUP(financials[[#This Row],[productid]],Products!$B$2:$H$10,3)</f>
        <v>25</v>
      </c>
      <c r="G1556" s="8">
        <f>financials[[#This Row],[Units Sold]]*financials[[#This Row],[Sale Price]]</f>
        <v>225</v>
      </c>
      <c r="H1556" s="8">
        <f>IF(financials[[#This Row],[Discount Band]]="low",0.1,IF(financials[[#This Row],[Discount Band]]="medium",0.15,0.3))</f>
        <v>0.1</v>
      </c>
      <c r="I1556" s="8">
        <f>financials[[#This Row],[Gross Sales]]-financials[[#This Row],[Gross Sales]]*financials[[#This Row],[Discounts]]</f>
        <v>202.5</v>
      </c>
      <c r="J1556" s="8">
        <f>VLOOKUP(financials[[#This Row],[productid]],Products!$B$2:$H$10,4)</f>
        <v>9.1</v>
      </c>
      <c r="K1556" s="8">
        <f>financials[[#This Row],[Net Sales]]-financials[[#This Row],[COGS]]</f>
        <v>193.4</v>
      </c>
      <c r="L1556" s="15">
        <v>44591</v>
      </c>
      <c r="M1556" t="s">
        <v>697</v>
      </c>
    </row>
    <row r="1557" spans="1:13" x14ac:dyDescent="0.25">
      <c r="A1557" t="s">
        <v>86</v>
      </c>
      <c r="B1557" s="6" t="s">
        <v>95</v>
      </c>
      <c r="C1557" s="13">
        <v>107</v>
      </c>
      <c r="D1557" s="14" t="s">
        <v>90</v>
      </c>
      <c r="E1557">
        <v>9</v>
      </c>
      <c r="F1557" s="8">
        <f>VLOOKUP(financials[[#This Row],[productid]],Products!$B$2:$H$10,3)</f>
        <v>15</v>
      </c>
      <c r="G1557" s="8">
        <f>financials[[#This Row],[Units Sold]]*financials[[#This Row],[Sale Price]]</f>
        <v>135</v>
      </c>
      <c r="H1557" s="8">
        <f>IF(financials[[#This Row],[Discount Band]]="low",0.1,IF(financials[[#This Row],[Discount Band]]="medium",0.15,0.3))</f>
        <v>0.15</v>
      </c>
      <c r="I1557" s="8">
        <f>financials[[#This Row],[Gross Sales]]-financials[[#This Row],[Gross Sales]]*financials[[#This Row],[Discounts]]</f>
        <v>114.75</v>
      </c>
      <c r="J1557" s="8">
        <f>VLOOKUP(financials[[#This Row],[productid]],Products!$B$2:$H$10,4)</f>
        <v>5.5</v>
      </c>
      <c r="K1557" s="8">
        <f>financials[[#This Row],[Net Sales]]-financials[[#This Row],[COGS]]</f>
        <v>109.25</v>
      </c>
      <c r="L1557" s="15">
        <v>44250</v>
      </c>
      <c r="M1557" t="s">
        <v>690</v>
      </c>
    </row>
    <row r="1558" spans="1:13" x14ac:dyDescent="0.25">
      <c r="A1558" t="s">
        <v>89</v>
      </c>
      <c r="B1558" s="6" t="s">
        <v>545</v>
      </c>
      <c r="C1558" s="13">
        <v>102</v>
      </c>
      <c r="D1558" s="14" t="s">
        <v>90</v>
      </c>
      <c r="E1558">
        <v>14</v>
      </c>
      <c r="F1558" s="8">
        <f>VLOOKUP(financials[[#This Row],[productid]],Products!$B$2:$H$10,3)</f>
        <v>15</v>
      </c>
      <c r="G1558" s="8">
        <f>financials[[#This Row],[Units Sold]]*financials[[#This Row],[Sale Price]]</f>
        <v>210</v>
      </c>
      <c r="H1558" s="8">
        <f>IF(financials[[#This Row],[Discount Band]]="low",0.1,IF(financials[[#This Row],[Discount Band]]="medium",0.15,0.3))</f>
        <v>0.15</v>
      </c>
      <c r="I1558" s="8">
        <f>financials[[#This Row],[Gross Sales]]-financials[[#This Row],[Gross Sales]]*financials[[#This Row],[Discounts]]</f>
        <v>178.5</v>
      </c>
      <c r="J1558" s="8">
        <f>VLOOKUP(financials[[#This Row],[productid]],Products!$B$2:$H$10,4)</f>
        <v>13.95</v>
      </c>
      <c r="K1558" s="8">
        <f>financials[[#This Row],[Net Sales]]-financials[[#This Row],[COGS]]</f>
        <v>164.55</v>
      </c>
      <c r="L1558" s="15">
        <v>44115</v>
      </c>
      <c r="M1558" t="s">
        <v>697</v>
      </c>
    </row>
    <row r="1559" spans="1:13" x14ac:dyDescent="0.25">
      <c r="A1559" t="s">
        <v>86</v>
      </c>
      <c r="B1559" s="6" t="s">
        <v>197</v>
      </c>
      <c r="C1559" s="13">
        <v>103</v>
      </c>
      <c r="D1559" s="14" t="s">
        <v>83</v>
      </c>
      <c r="E1559">
        <v>19</v>
      </c>
      <c r="F1559" s="8">
        <f>VLOOKUP(financials[[#This Row],[productid]],Products!$B$2:$H$10,3)</f>
        <v>28</v>
      </c>
      <c r="G1559" s="8">
        <f>financials[[#This Row],[Units Sold]]*financials[[#This Row],[Sale Price]]</f>
        <v>532</v>
      </c>
      <c r="H1559" s="8">
        <f>IF(financials[[#This Row],[Discount Band]]="low",0.1,IF(financials[[#This Row],[Discount Band]]="medium",0.15,0.3))</f>
        <v>0.3</v>
      </c>
      <c r="I1559" s="8">
        <f>financials[[#This Row],[Gross Sales]]-financials[[#This Row],[Gross Sales]]*financials[[#This Row],[Discounts]]</f>
        <v>372.4</v>
      </c>
      <c r="J1559" s="8">
        <f>VLOOKUP(financials[[#This Row],[productid]],Products!$B$2:$H$10,4)</f>
        <v>15</v>
      </c>
      <c r="K1559" s="8">
        <f>financials[[#This Row],[Net Sales]]-financials[[#This Row],[COGS]]</f>
        <v>357.4</v>
      </c>
      <c r="L1559" s="15">
        <v>44712</v>
      </c>
      <c r="M1559" t="s">
        <v>700</v>
      </c>
    </row>
    <row r="1560" spans="1:13" x14ac:dyDescent="0.25">
      <c r="A1560" t="s">
        <v>86</v>
      </c>
      <c r="B1560" s="6" t="s">
        <v>125</v>
      </c>
      <c r="C1560" s="13">
        <v>101</v>
      </c>
      <c r="D1560" s="14" t="s">
        <v>91</v>
      </c>
      <c r="E1560">
        <v>17</v>
      </c>
      <c r="F1560" s="8">
        <f>VLOOKUP(financials[[#This Row],[productid]],Products!$B$2:$H$10,3)</f>
        <v>23</v>
      </c>
      <c r="G1560" s="8">
        <f>financials[[#This Row],[Units Sold]]*financials[[#This Row],[Sale Price]]</f>
        <v>391</v>
      </c>
      <c r="H1560" s="8">
        <f>IF(financials[[#This Row],[Discount Band]]="low",0.1,IF(financials[[#This Row],[Discount Band]]="medium",0.15,0.3))</f>
        <v>0.1</v>
      </c>
      <c r="I1560" s="8">
        <f>financials[[#This Row],[Gross Sales]]-financials[[#This Row],[Gross Sales]]*financials[[#This Row],[Discounts]]</f>
        <v>351.9</v>
      </c>
      <c r="J1560" s="8">
        <f>VLOOKUP(financials[[#This Row],[productid]],Products!$B$2:$H$10,4)</f>
        <v>9.9499999999999993</v>
      </c>
      <c r="K1560" s="8">
        <f>financials[[#This Row],[Net Sales]]-financials[[#This Row],[COGS]]</f>
        <v>341.95</v>
      </c>
      <c r="L1560" s="15">
        <v>44049</v>
      </c>
      <c r="M1560" t="s">
        <v>691</v>
      </c>
    </row>
    <row r="1561" spans="1:13" x14ac:dyDescent="0.25">
      <c r="A1561" t="s">
        <v>87</v>
      </c>
      <c r="B1561" s="6" t="s">
        <v>644</v>
      </c>
      <c r="C1561" s="13">
        <v>107</v>
      </c>
      <c r="D1561" s="14" t="s">
        <v>83</v>
      </c>
      <c r="E1561">
        <v>17</v>
      </c>
      <c r="F1561" s="8">
        <f>VLOOKUP(financials[[#This Row],[productid]],Products!$B$2:$H$10,3)</f>
        <v>15</v>
      </c>
      <c r="G1561" s="8">
        <f>financials[[#This Row],[Units Sold]]*financials[[#This Row],[Sale Price]]</f>
        <v>255</v>
      </c>
      <c r="H1561" s="8">
        <f>IF(financials[[#This Row],[Discount Band]]="low",0.1,IF(financials[[#This Row],[Discount Band]]="medium",0.15,0.3))</f>
        <v>0.3</v>
      </c>
      <c r="I1561" s="8">
        <f>financials[[#This Row],[Gross Sales]]-financials[[#This Row],[Gross Sales]]*financials[[#This Row],[Discounts]]</f>
        <v>178.5</v>
      </c>
      <c r="J1561" s="8">
        <f>VLOOKUP(financials[[#This Row],[productid]],Products!$B$2:$H$10,4)</f>
        <v>5.5</v>
      </c>
      <c r="K1561" s="8">
        <f>financials[[#This Row],[Net Sales]]-financials[[#This Row],[COGS]]</f>
        <v>173</v>
      </c>
      <c r="L1561" s="15">
        <v>44833</v>
      </c>
      <c r="M1561" t="s">
        <v>690</v>
      </c>
    </row>
    <row r="1562" spans="1:13" x14ac:dyDescent="0.25">
      <c r="A1562" t="s">
        <v>85</v>
      </c>
      <c r="B1562" s="6" t="s">
        <v>94</v>
      </c>
      <c r="C1562" s="11">
        <v>101</v>
      </c>
      <c r="D1562" s="9" t="s">
        <v>92</v>
      </c>
      <c r="E1562">
        <v>12</v>
      </c>
      <c r="F1562" s="8">
        <f>VLOOKUP(financials[[#This Row],[productid]],Products!$B$2:$H$10,3)</f>
        <v>23</v>
      </c>
      <c r="G1562" s="8">
        <f>financials[[#This Row],[Units Sold]]*financials[[#This Row],[Sale Price]]</f>
        <v>276</v>
      </c>
      <c r="H1562" s="8">
        <f>IF(financials[[#This Row],[Discount Band]]="low",0.1,IF(financials[[#This Row],[Discount Band]]="medium",0.15,0.3))</f>
        <v>0.3</v>
      </c>
      <c r="I1562" s="8">
        <f>financials[[#This Row],[Gross Sales]]-financials[[#This Row],[Gross Sales]]*financials[[#This Row],[Discounts]]</f>
        <v>193.2</v>
      </c>
      <c r="J1562" s="8">
        <f>VLOOKUP(financials[[#This Row],[productid]],Products!$B$2:$H$10,4)</f>
        <v>9.9499999999999993</v>
      </c>
      <c r="K1562" s="8">
        <f>financials[[#This Row],[Net Sales]]-financials[[#This Row],[COGS]]</f>
        <v>183.25</v>
      </c>
      <c r="L1562" s="15">
        <v>44881</v>
      </c>
      <c r="M1562" t="s">
        <v>700</v>
      </c>
    </row>
    <row r="1563" spans="1:13" x14ac:dyDescent="0.25">
      <c r="A1563" t="s">
        <v>85</v>
      </c>
      <c r="B1563" s="6" t="s">
        <v>273</v>
      </c>
      <c r="C1563" s="11">
        <v>104</v>
      </c>
      <c r="D1563" s="9" t="s">
        <v>83</v>
      </c>
      <c r="E1563">
        <v>9</v>
      </c>
      <c r="F1563" s="8">
        <f>VLOOKUP(financials[[#This Row],[productid]],Products!$B$2:$H$10,3)</f>
        <v>5.9</v>
      </c>
      <c r="G1563" s="8">
        <f>financials[[#This Row],[Units Sold]]*financials[[#This Row],[Sale Price]]</f>
        <v>53.1</v>
      </c>
      <c r="H1563" s="8">
        <f>IF(financials[[#This Row],[Discount Band]]="low",0.1,IF(financials[[#This Row],[Discount Band]]="medium",0.15,0.3))</f>
        <v>0.3</v>
      </c>
      <c r="I1563" s="8">
        <f>financials[[#This Row],[Gross Sales]]-financials[[#This Row],[Gross Sales]]*financials[[#This Row],[Discounts]]</f>
        <v>37.17</v>
      </c>
      <c r="J1563" s="8">
        <f>VLOOKUP(financials[[#This Row],[productid]],Products!$B$2:$H$10,4)</f>
        <v>2.9</v>
      </c>
      <c r="K1563" s="8">
        <f>financials[[#This Row],[Net Sales]]-financials[[#This Row],[COGS]]</f>
        <v>34.270000000000003</v>
      </c>
      <c r="L1563" s="15">
        <v>44495</v>
      </c>
      <c r="M1563" t="s">
        <v>696</v>
      </c>
    </row>
    <row r="1564" spans="1:13" x14ac:dyDescent="0.25">
      <c r="A1564" t="s">
        <v>85</v>
      </c>
      <c r="B1564" s="6" t="s">
        <v>198</v>
      </c>
      <c r="C1564" s="13">
        <v>109</v>
      </c>
      <c r="D1564" s="14" t="s">
        <v>83</v>
      </c>
      <c r="E1564">
        <v>10</v>
      </c>
      <c r="F1564" s="8">
        <f>VLOOKUP(financials[[#This Row],[productid]],Products!$B$2:$H$10,3)</f>
        <v>36</v>
      </c>
      <c r="G1564" s="8">
        <f>financials[[#This Row],[Units Sold]]*financials[[#This Row],[Sale Price]]</f>
        <v>360</v>
      </c>
      <c r="H1564" s="8">
        <f>IF(financials[[#This Row],[Discount Band]]="low",0.1,IF(financials[[#This Row],[Discount Band]]="medium",0.15,0.3))</f>
        <v>0.3</v>
      </c>
      <c r="I1564" s="8">
        <f>financials[[#This Row],[Gross Sales]]-financials[[#This Row],[Gross Sales]]*financials[[#This Row],[Discounts]]</f>
        <v>252</v>
      </c>
      <c r="J1564" s="8">
        <f>VLOOKUP(financials[[#This Row],[productid]],Products!$B$2:$H$10,4)</f>
        <v>16.8</v>
      </c>
      <c r="K1564" s="8">
        <f>financials[[#This Row],[Net Sales]]-financials[[#This Row],[COGS]]</f>
        <v>235.2</v>
      </c>
      <c r="L1564" s="15">
        <v>45522</v>
      </c>
      <c r="M1564" t="s">
        <v>691</v>
      </c>
    </row>
    <row r="1565" spans="1:13" x14ac:dyDescent="0.25">
      <c r="A1565" t="s">
        <v>89</v>
      </c>
      <c r="B1565" s="6" t="s">
        <v>198</v>
      </c>
      <c r="C1565" s="13">
        <v>107</v>
      </c>
      <c r="D1565" s="14" t="s">
        <v>83</v>
      </c>
      <c r="E1565">
        <v>12</v>
      </c>
      <c r="F1565" s="8">
        <f>VLOOKUP(financials[[#This Row],[productid]],Products!$B$2:$H$10,3)</f>
        <v>15</v>
      </c>
      <c r="G1565" s="8">
        <f>financials[[#This Row],[Units Sold]]*financials[[#This Row],[Sale Price]]</f>
        <v>180</v>
      </c>
      <c r="H1565" s="8">
        <f>IF(financials[[#This Row],[Discount Band]]="low",0.1,IF(financials[[#This Row],[Discount Band]]="medium",0.15,0.3))</f>
        <v>0.3</v>
      </c>
      <c r="I1565" s="8">
        <f>financials[[#This Row],[Gross Sales]]-financials[[#This Row],[Gross Sales]]*financials[[#This Row],[Discounts]]</f>
        <v>126</v>
      </c>
      <c r="J1565" s="8">
        <f>VLOOKUP(financials[[#This Row],[productid]],Products!$B$2:$H$10,4)</f>
        <v>5.5</v>
      </c>
      <c r="K1565" s="8">
        <f>financials[[#This Row],[Net Sales]]-financials[[#This Row],[COGS]]</f>
        <v>120.5</v>
      </c>
      <c r="L1565" s="15">
        <v>43932</v>
      </c>
      <c r="M1565" t="s">
        <v>700</v>
      </c>
    </row>
    <row r="1566" spans="1:13" x14ac:dyDescent="0.25">
      <c r="A1566" t="s">
        <v>85</v>
      </c>
      <c r="B1566" s="6" t="s">
        <v>94</v>
      </c>
      <c r="C1566" s="13">
        <v>108</v>
      </c>
      <c r="D1566" s="14" t="s">
        <v>90</v>
      </c>
      <c r="E1566">
        <v>5</v>
      </c>
      <c r="F1566" s="8">
        <f>VLOOKUP(financials[[#This Row],[productid]],Products!$B$2:$H$10,3)</f>
        <v>5.5</v>
      </c>
      <c r="G1566" s="8">
        <f>financials[[#This Row],[Units Sold]]*financials[[#This Row],[Sale Price]]</f>
        <v>27.5</v>
      </c>
      <c r="H1566" s="8">
        <f>IF(financials[[#This Row],[Discount Band]]="low",0.1,IF(financials[[#This Row],[Discount Band]]="medium",0.15,0.3))</f>
        <v>0.15</v>
      </c>
      <c r="I1566" s="8">
        <f>financials[[#This Row],[Gross Sales]]-financials[[#This Row],[Gross Sales]]*financials[[#This Row],[Discounts]]</f>
        <v>23.375</v>
      </c>
      <c r="J1566" s="8">
        <f>VLOOKUP(financials[[#This Row],[productid]],Products!$B$2:$H$10,4)</f>
        <v>3.99</v>
      </c>
      <c r="K1566" s="8">
        <f>financials[[#This Row],[Net Sales]]-financials[[#This Row],[COGS]]</f>
        <v>19.384999999999998</v>
      </c>
      <c r="L1566" s="15">
        <v>44927</v>
      </c>
      <c r="M1566" t="s">
        <v>700</v>
      </c>
    </row>
    <row r="1567" spans="1:13" x14ac:dyDescent="0.25">
      <c r="A1567" t="s">
        <v>89</v>
      </c>
      <c r="B1567" s="6" t="s">
        <v>273</v>
      </c>
      <c r="C1567" s="11">
        <v>105</v>
      </c>
      <c r="D1567" s="9" t="s">
        <v>83</v>
      </c>
      <c r="E1567">
        <v>6</v>
      </c>
      <c r="F1567" s="8">
        <f>VLOOKUP(financials[[#This Row],[productid]],Products!$B$2:$H$10,3)</f>
        <v>15</v>
      </c>
      <c r="G1567" s="8">
        <f>financials[[#This Row],[Units Sold]]*financials[[#This Row],[Sale Price]]</f>
        <v>90</v>
      </c>
      <c r="H1567" s="8">
        <f>IF(financials[[#This Row],[Discount Band]]="low",0.1,IF(financials[[#This Row],[Discount Band]]="medium",0.15,0.3))</f>
        <v>0.3</v>
      </c>
      <c r="I1567" s="8">
        <f>financials[[#This Row],[Gross Sales]]-financials[[#This Row],[Gross Sales]]*financials[[#This Row],[Discounts]]</f>
        <v>63</v>
      </c>
      <c r="J1567" s="8">
        <f>VLOOKUP(financials[[#This Row],[productid]],Products!$B$2:$H$10,4)</f>
        <v>10</v>
      </c>
      <c r="K1567" s="8">
        <f>financials[[#This Row],[Net Sales]]-financials[[#This Row],[COGS]]</f>
        <v>53</v>
      </c>
      <c r="L1567" s="15">
        <v>43926</v>
      </c>
      <c r="M1567" t="s">
        <v>696</v>
      </c>
    </row>
    <row r="1568" spans="1:13" x14ac:dyDescent="0.25">
      <c r="A1568" t="s">
        <v>89</v>
      </c>
      <c r="B1568" s="6" t="s">
        <v>268</v>
      </c>
      <c r="C1568" s="11">
        <v>103</v>
      </c>
      <c r="D1568" s="9" t="s">
        <v>90</v>
      </c>
      <c r="E1568">
        <v>14</v>
      </c>
      <c r="F1568" s="8">
        <f>VLOOKUP(financials[[#This Row],[productid]],Products!$B$2:$H$10,3)</f>
        <v>28</v>
      </c>
      <c r="G1568" s="8">
        <f>financials[[#This Row],[Units Sold]]*financials[[#This Row],[Sale Price]]</f>
        <v>392</v>
      </c>
      <c r="H1568" s="8">
        <f>IF(financials[[#This Row],[Discount Band]]="low",0.1,IF(financials[[#This Row],[Discount Band]]="medium",0.15,0.3))</f>
        <v>0.15</v>
      </c>
      <c r="I1568" s="8">
        <f>financials[[#This Row],[Gross Sales]]-financials[[#This Row],[Gross Sales]]*financials[[#This Row],[Discounts]]</f>
        <v>333.2</v>
      </c>
      <c r="J1568" s="8">
        <f>VLOOKUP(financials[[#This Row],[productid]],Products!$B$2:$H$10,4)</f>
        <v>15</v>
      </c>
      <c r="K1568" s="8">
        <f>financials[[#This Row],[Net Sales]]-financials[[#This Row],[COGS]]</f>
        <v>318.2</v>
      </c>
      <c r="L1568" s="15">
        <v>45622</v>
      </c>
      <c r="M1568" t="s">
        <v>696</v>
      </c>
    </row>
    <row r="1569" spans="1:13" x14ac:dyDescent="0.25">
      <c r="A1569" t="s">
        <v>85</v>
      </c>
      <c r="B1569" s="6" t="s">
        <v>276</v>
      </c>
      <c r="C1569" s="13">
        <v>104</v>
      </c>
      <c r="D1569" s="14" t="s">
        <v>83</v>
      </c>
      <c r="E1569">
        <v>13</v>
      </c>
      <c r="F1569" s="8">
        <f>VLOOKUP(financials[[#This Row],[productid]],Products!$B$2:$H$10,3)</f>
        <v>5.9</v>
      </c>
      <c r="G1569" s="8">
        <f>financials[[#This Row],[Units Sold]]*financials[[#This Row],[Sale Price]]</f>
        <v>76.7</v>
      </c>
      <c r="H1569" s="8">
        <f>IF(financials[[#This Row],[Discount Band]]="low",0.1,IF(financials[[#This Row],[Discount Band]]="medium",0.15,0.3))</f>
        <v>0.3</v>
      </c>
      <c r="I1569" s="8">
        <f>financials[[#This Row],[Gross Sales]]-financials[[#This Row],[Gross Sales]]*financials[[#This Row],[Discounts]]</f>
        <v>53.69</v>
      </c>
      <c r="J1569" s="8">
        <f>VLOOKUP(financials[[#This Row],[productid]],Products!$B$2:$H$10,4)</f>
        <v>2.9</v>
      </c>
      <c r="K1569" s="8">
        <f>financials[[#This Row],[Net Sales]]-financials[[#This Row],[COGS]]</f>
        <v>50.79</v>
      </c>
      <c r="L1569" s="15">
        <v>44782</v>
      </c>
      <c r="M1569" t="s">
        <v>690</v>
      </c>
    </row>
    <row r="1570" spans="1:13" x14ac:dyDescent="0.25">
      <c r="A1570" t="s">
        <v>86</v>
      </c>
      <c r="B1570" s="6" t="s">
        <v>232</v>
      </c>
      <c r="C1570" s="11">
        <v>105</v>
      </c>
      <c r="D1570" s="9" t="s">
        <v>83</v>
      </c>
      <c r="E1570">
        <v>12</v>
      </c>
      <c r="F1570" s="8">
        <f>VLOOKUP(financials[[#This Row],[productid]],Products!$B$2:$H$10,3)</f>
        <v>15</v>
      </c>
      <c r="G1570" s="8">
        <f>financials[[#This Row],[Units Sold]]*financials[[#This Row],[Sale Price]]</f>
        <v>180</v>
      </c>
      <c r="H1570" s="8">
        <f>IF(financials[[#This Row],[Discount Band]]="low",0.1,IF(financials[[#This Row],[Discount Band]]="medium",0.15,0.3))</f>
        <v>0.3</v>
      </c>
      <c r="I1570" s="8">
        <f>financials[[#This Row],[Gross Sales]]-financials[[#This Row],[Gross Sales]]*financials[[#This Row],[Discounts]]</f>
        <v>126</v>
      </c>
      <c r="J1570" s="8">
        <f>VLOOKUP(financials[[#This Row],[productid]],Products!$B$2:$H$10,4)</f>
        <v>10</v>
      </c>
      <c r="K1570" s="8">
        <f>financials[[#This Row],[Net Sales]]-financials[[#This Row],[COGS]]</f>
        <v>116</v>
      </c>
      <c r="L1570" s="15">
        <v>44811</v>
      </c>
      <c r="M1570" t="s">
        <v>691</v>
      </c>
    </row>
    <row r="1571" spans="1:13" x14ac:dyDescent="0.25">
      <c r="A1571" t="s">
        <v>86</v>
      </c>
      <c r="B1571" s="6" t="s">
        <v>545</v>
      </c>
      <c r="C1571" s="11">
        <v>101</v>
      </c>
      <c r="D1571" s="9" t="s">
        <v>91</v>
      </c>
      <c r="E1571">
        <v>11</v>
      </c>
      <c r="F1571" s="8">
        <f>VLOOKUP(financials[[#This Row],[productid]],Products!$B$2:$H$10,3)</f>
        <v>23</v>
      </c>
      <c r="G1571" s="8">
        <f>financials[[#This Row],[Units Sold]]*financials[[#This Row],[Sale Price]]</f>
        <v>253</v>
      </c>
      <c r="H1571" s="8">
        <f>IF(financials[[#This Row],[Discount Band]]="low",0.1,IF(financials[[#This Row],[Discount Band]]="medium",0.15,0.3))</f>
        <v>0.1</v>
      </c>
      <c r="I1571" s="8">
        <f>financials[[#This Row],[Gross Sales]]-financials[[#This Row],[Gross Sales]]*financials[[#This Row],[Discounts]]</f>
        <v>227.7</v>
      </c>
      <c r="J1571" s="8">
        <f>VLOOKUP(financials[[#This Row],[productid]],Products!$B$2:$H$10,4)</f>
        <v>9.9499999999999993</v>
      </c>
      <c r="K1571" s="8">
        <f>financials[[#This Row],[Net Sales]]-financials[[#This Row],[COGS]]</f>
        <v>217.75</v>
      </c>
      <c r="L1571" s="15">
        <v>43957</v>
      </c>
      <c r="M1571" t="s">
        <v>696</v>
      </c>
    </row>
    <row r="1572" spans="1:13" x14ac:dyDescent="0.25">
      <c r="A1572" t="s">
        <v>86</v>
      </c>
      <c r="B1572" s="6" t="s">
        <v>197</v>
      </c>
      <c r="C1572" s="13">
        <v>103</v>
      </c>
      <c r="D1572" s="14" t="s">
        <v>90</v>
      </c>
      <c r="E1572">
        <v>9</v>
      </c>
      <c r="F1572" s="8">
        <f>VLOOKUP(financials[[#This Row],[productid]],Products!$B$2:$H$10,3)</f>
        <v>28</v>
      </c>
      <c r="G1572" s="8">
        <f>financials[[#This Row],[Units Sold]]*financials[[#This Row],[Sale Price]]</f>
        <v>252</v>
      </c>
      <c r="H1572" s="8">
        <f>IF(financials[[#This Row],[Discount Band]]="low",0.1,IF(financials[[#This Row],[Discount Band]]="medium",0.15,0.3))</f>
        <v>0.15</v>
      </c>
      <c r="I1572" s="8">
        <f>financials[[#This Row],[Gross Sales]]-financials[[#This Row],[Gross Sales]]*financials[[#This Row],[Discounts]]</f>
        <v>214.2</v>
      </c>
      <c r="J1572" s="8">
        <f>VLOOKUP(financials[[#This Row],[productid]],Products!$B$2:$H$10,4)</f>
        <v>15</v>
      </c>
      <c r="K1572" s="8">
        <f>financials[[#This Row],[Net Sales]]-financials[[#This Row],[COGS]]</f>
        <v>199.2</v>
      </c>
      <c r="L1572" s="15">
        <v>45447</v>
      </c>
      <c r="M1572" t="s">
        <v>691</v>
      </c>
    </row>
    <row r="1573" spans="1:13" x14ac:dyDescent="0.25">
      <c r="A1573" t="s">
        <v>85</v>
      </c>
      <c r="B1573" s="6" t="s">
        <v>94</v>
      </c>
      <c r="C1573" s="13">
        <v>109</v>
      </c>
      <c r="D1573" s="14" t="s">
        <v>90</v>
      </c>
      <c r="E1573">
        <v>15</v>
      </c>
      <c r="F1573" s="8">
        <f>VLOOKUP(financials[[#This Row],[productid]],Products!$B$2:$H$10,3)</f>
        <v>36</v>
      </c>
      <c r="G1573" s="8">
        <f>financials[[#This Row],[Units Sold]]*financials[[#This Row],[Sale Price]]</f>
        <v>540</v>
      </c>
      <c r="H1573" s="8">
        <f>IF(financials[[#This Row],[Discount Band]]="low",0.1,IF(financials[[#This Row],[Discount Band]]="medium",0.15,0.3))</f>
        <v>0.15</v>
      </c>
      <c r="I1573" s="8">
        <f>financials[[#This Row],[Gross Sales]]-financials[[#This Row],[Gross Sales]]*financials[[#This Row],[Discounts]]</f>
        <v>459</v>
      </c>
      <c r="J1573" s="8">
        <f>VLOOKUP(financials[[#This Row],[productid]],Products!$B$2:$H$10,4)</f>
        <v>16.8</v>
      </c>
      <c r="K1573" s="8">
        <f>financials[[#This Row],[Net Sales]]-financials[[#This Row],[COGS]]</f>
        <v>442.2</v>
      </c>
      <c r="L1573" s="15">
        <v>45182</v>
      </c>
      <c r="M1573" t="s">
        <v>691</v>
      </c>
    </row>
    <row r="1574" spans="1:13" x14ac:dyDescent="0.25">
      <c r="A1574" t="s">
        <v>86</v>
      </c>
      <c r="B1574" s="6" t="s">
        <v>125</v>
      </c>
      <c r="C1574" s="13">
        <v>102</v>
      </c>
      <c r="D1574" s="14" t="s">
        <v>91</v>
      </c>
      <c r="E1574">
        <v>5</v>
      </c>
      <c r="F1574" s="8">
        <f>VLOOKUP(financials[[#This Row],[productid]],Products!$B$2:$H$10,3)</f>
        <v>15</v>
      </c>
      <c r="G1574" s="8">
        <f>financials[[#This Row],[Units Sold]]*financials[[#This Row],[Sale Price]]</f>
        <v>75</v>
      </c>
      <c r="H1574" s="8">
        <f>IF(financials[[#This Row],[Discount Band]]="low",0.1,IF(financials[[#This Row],[Discount Band]]="medium",0.15,0.3))</f>
        <v>0.1</v>
      </c>
      <c r="I1574" s="8">
        <f>financials[[#This Row],[Gross Sales]]-financials[[#This Row],[Gross Sales]]*financials[[#This Row],[Discounts]]</f>
        <v>67.5</v>
      </c>
      <c r="J1574" s="8">
        <f>VLOOKUP(financials[[#This Row],[productid]],Products!$B$2:$H$10,4)</f>
        <v>13.95</v>
      </c>
      <c r="K1574" s="8">
        <f>financials[[#This Row],[Net Sales]]-financials[[#This Row],[COGS]]</f>
        <v>53.55</v>
      </c>
      <c r="L1574" s="15">
        <v>45602</v>
      </c>
      <c r="M1574" t="s">
        <v>691</v>
      </c>
    </row>
    <row r="1575" spans="1:13" x14ac:dyDescent="0.25">
      <c r="A1575" t="s">
        <v>89</v>
      </c>
      <c r="B1575" s="6" t="s">
        <v>94</v>
      </c>
      <c r="C1575" s="13">
        <v>102</v>
      </c>
      <c r="D1575" s="14" t="s">
        <v>83</v>
      </c>
      <c r="E1575">
        <v>13</v>
      </c>
      <c r="F1575" s="8">
        <f>VLOOKUP(financials[[#This Row],[productid]],Products!$B$2:$H$10,3)</f>
        <v>15</v>
      </c>
      <c r="G1575" s="8">
        <f>financials[[#This Row],[Units Sold]]*financials[[#This Row],[Sale Price]]</f>
        <v>195</v>
      </c>
      <c r="H1575" s="8">
        <f>IF(financials[[#This Row],[Discount Band]]="low",0.1,IF(financials[[#This Row],[Discount Band]]="medium",0.15,0.3))</f>
        <v>0.3</v>
      </c>
      <c r="I1575" s="8">
        <f>financials[[#This Row],[Gross Sales]]-financials[[#This Row],[Gross Sales]]*financials[[#This Row],[Discounts]]</f>
        <v>136.5</v>
      </c>
      <c r="J1575" s="8">
        <f>VLOOKUP(financials[[#This Row],[productid]],Products!$B$2:$H$10,4)</f>
        <v>13.95</v>
      </c>
      <c r="K1575" s="8">
        <f>financials[[#This Row],[Net Sales]]-financials[[#This Row],[COGS]]</f>
        <v>122.55</v>
      </c>
      <c r="L1575" s="15">
        <v>44990</v>
      </c>
      <c r="M1575" t="s">
        <v>700</v>
      </c>
    </row>
    <row r="1576" spans="1:13" x14ac:dyDescent="0.25">
      <c r="A1576" t="s">
        <v>86</v>
      </c>
      <c r="B1576" s="6" t="s">
        <v>274</v>
      </c>
      <c r="C1576" s="11">
        <v>103</v>
      </c>
      <c r="D1576" s="9" t="s">
        <v>83</v>
      </c>
      <c r="E1576">
        <v>8</v>
      </c>
      <c r="F1576" s="8">
        <f>VLOOKUP(financials[[#This Row],[productid]],Products!$B$2:$H$10,3)</f>
        <v>28</v>
      </c>
      <c r="G1576" s="8">
        <f>financials[[#This Row],[Units Sold]]*financials[[#This Row],[Sale Price]]</f>
        <v>224</v>
      </c>
      <c r="H1576" s="8">
        <f>IF(financials[[#This Row],[Discount Band]]="low",0.1,IF(financials[[#This Row],[Discount Band]]="medium",0.15,0.3))</f>
        <v>0.3</v>
      </c>
      <c r="I1576" s="8">
        <f>financials[[#This Row],[Gross Sales]]-financials[[#This Row],[Gross Sales]]*financials[[#This Row],[Discounts]]</f>
        <v>156.80000000000001</v>
      </c>
      <c r="J1576" s="8">
        <f>VLOOKUP(financials[[#This Row],[productid]],Products!$B$2:$H$10,4)</f>
        <v>15</v>
      </c>
      <c r="K1576" s="8">
        <f>financials[[#This Row],[Net Sales]]-financials[[#This Row],[COGS]]</f>
        <v>141.80000000000001</v>
      </c>
      <c r="L1576" s="15">
        <v>43912</v>
      </c>
      <c r="M1576" t="s">
        <v>691</v>
      </c>
    </row>
    <row r="1577" spans="1:13" x14ac:dyDescent="0.25">
      <c r="A1577" t="s">
        <v>85</v>
      </c>
      <c r="B1577" s="6" t="s">
        <v>198</v>
      </c>
      <c r="C1577" s="11">
        <v>108</v>
      </c>
      <c r="D1577" s="9" t="s">
        <v>83</v>
      </c>
      <c r="E1577">
        <v>11</v>
      </c>
      <c r="F1577" s="8">
        <f>VLOOKUP(financials[[#This Row],[productid]],Products!$B$2:$H$10,3)</f>
        <v>5.5</v>
      </c>
      <c r="G1577" s="8">
        <f>financials[[#This Row],[Units Sold]]*financials[[#This Row],[Sale Price]]</f>
        <v>60.5</v>
      </c>
      <c r="H1577" s="8">
        <f>IF(financials[[#This Row],[Discount Band]]="low",0.1,IF(financials[[#This Row],[Discount Band]]="medium",0.15,0.3))</f>
        <v>0.3</v>
      </c>
      <c r="I1577" s="8">
        <f>financials[[#This Row],[Gross Sales]]-financials[[#This Row],[Gross Sales]]*financials[[#This Row],[Discounts]]</f>
        <v>42.35</v>
      </c>
      <c r="J1577" s="8">
        <f>VLOOKUP(financials[[#This Row],[productid]],Products!$B$2:$H$10,4)</f>
        <v>3.99</v>
      </c>
      <c r="K1577" s="8">
        <f>financials[[#This Row],[Net Sales]]-financials[[#This Row],[COGS]]</f>
        <v>38.36</v>
      </c>
      <c r="L1577" s="15">
        <v>44128</v>
      </c>
      <c r="M1577" t="s">
        <v>691</v>
      </c>
    </row>
    <row r="1578" spans="1:13" x14ac:dyDescent="0.25">
      <c r="A1578" t="s">
        <v>85</v>
      </c>
      <c r="B1578" s="6" t="s">
        <v>94</v>
      </c>
      <c r="C1578" s="13">
        <v>109</v>
      </c>
      <c r="D1578" s="14" t="s">
        <v>91</v>
      </c>
      <c r="E1578">
        <v>7</v>
      </c>
      <c r="F1578" s="8">
        <f>VLOOKUP(financials[[#This Row],[productid]],Products!$B$2:$H$10,3)</f>
        <v>36</v>
      </c>
      <c r="G1578" s="8">
        <f>financials[[#This Row],[Units Sold]]*financials[[#This Row],[Sale Price]]</f>
        <v>252</v>
      </c>
      <c r="H1578" s="8">
        <f>IF(financials[[#This Row],[Discount Band]]="low",0.1,IF(financials[[#This Row],[Discount Band]]="medium",0.15,0.3))</f>
        <v>0.1</v>
      </c>
      <c r="I1578" s="8">
        <f>financials[[#This Row],[Gross Sales]]-financials[[#This Row],[Gross Sales]]*financials[[#This Row],[Discounts]]</f>
        <v>226.8</v>
      </c>
      <c r="J1578" s="8">
        <f>VLOOKUP(financials[[#This Row],[productid]],Products!$B$2:$H$10,4)</f>
        <v>16.8</v>
      </c>
      <c r="K1578" s="8">
        <f>financials[[#This Row],[Net Sales]]-financials[[#This Row],[COGS]]</f>
        <v>210</v>
      </c>
      <c r="L1578" s="15">
        <v>44572</v>
      </c>
      <c r="M1578" t="s">
        <v>696</v>
      </c>
    </row>
    <row r="1579" spans="1:13" x14ac:dyDescent="0.25">
      <c r="A1579" t="s">
        <v>85</v>
      </c>
      <c r="B1579" s="6" t="s">
        <v>198</v>
      </c>
      <c r="C1579" s="13">
        <v>104</v>
      </c>
      <c r="D1579" s="14" t="s">
        <v>83</v>
      </c>
      <c r="E1579">
        <v>9</v>
      </c>
      <c r="F1579" s="8">
        <f>VLOOKUP(financials[[#This Row],[productid]],Products!$B$2:$H$10,3)</f>
        <v>5.9</v>
      </c>
      <c r="G1579" s="8">
        <f>financials[[#This Row],[Units Sold]]*financials[[#This Row],[Sale Price]]</f>
        <v>53.1</v>
      </c>
      <c r="H1579" s="8">
        <f>IF(financials[[#This Row],[Discount Band]]="low",0.1,IF(financials[[#This Row],[Discount Band]]="medium",0.15,0.3))</f>
        <v>0.3</v>
      </c>
      <c r="I1579" s="8">
        <f>financials[[#This Row],[Gross Sales]]-financials[[#This Row],[Gross Sales]]*financials[[#This Row],[Discounts]]</f>
        <v>37.17</v>
      </c>
      <c r="J1579" s="8">
        <f>VLOOKUP(financials[[#This Row],[productid]],Products!$B$2:$H$10,4)</f>
        <v>2.9</v>
      </c>
      <c r="K1579" s="8">
        <f>financials[[#This Row],[Net Sales]]-financials[[#This Row],[COGS]]</f>
        <v>34.270000000000003</v>
      </c>
      <c r="L1579" s="15">
        <v>45393</v>
      </c>
      <c r="M1579" t="s">
        <v>697</v>
      </c>
    </row>
    <row r="1580" spans="1:13" x14ac:dyDescent="0.25">
      <c r="A1580" t="s">
        <v>89</v>
      </c>
      <c r="B1580" s="6" t="s">
        <v>198</v>
      </c>
      <c r="C1580" s="13">
        <v>102</v>
      </c>
      <c r="D1580" s="14" t="s">
        <v>83</v>
      </c>
      <c r="E1580">
        <v>11</v>
      </c>
      <c r="F1580" s="8">
        <f>VLOOKUP(financials[[#This Row],[productid]],Products!$B$2:$H$10,3)</f>
        <v>15</v>
      </c>
      <c r="G1580" s="8">
        <f>financials[[#This Row],[Units Sold]]*financials[[#This Row],[Sale Price]]</f>
        <v>165</v>
      </c>
      <c r="H1580" s="8">
        <f>IF(financials[[#This Row],[Discount Band]]="low",0.1,IF(financials[[#This Row],[Discount Band]]="medium",0.15,0.3))</f>
        <v>0.3</v>
      </c>
      <c r="I1580" s="8">
        <f>financials[[#This Row],[Gross Sales]]-financials[[#This Row],[Gross Sales]]*financials[[#This Row],[Discounts]]</f>
        <v>115.5</v>
      </c>
      <c r="J1580" s="8">
        <f>VLOOKUP(financials[[#This Row],[productid]],Products!$B$2:$H$10,4)</f>
        <v>13.95</v>
      </c>
      <c r="K1580" s="8">
        <f>financials[[#This Row],[Net Sales]]-financials[[#This Row],[COGS]]</f>
        <v>101.55</v>
      </c>
      <c r="L1580" s="15">
        <v>45268</v>
      </c>
      <c r="M1580" t="s">
        <v>697</v>
      </c>
    </row>
    <row r="1581" spans="1:13" x14ac:dyDescent="0.25">
      <c r="A1581" t="s">
        <v>85</v>
      </c>
      <c r="B1581" s="6" t="s">
        <v>276</v>
      </c>
      <c r="C1581" s="11">
        <v>109</v>
      </c>
      <c r="D1581" s="9" t="s">
        <v>91</v>
      </c>
      <c r="E1581">
        <v>8</v>
      </c>
      <c r="F1581" s="8">
        <f>VLOOKUP(financials[[#This Row],[productid]],Products!$B$2:$H$10,3)</f>
        <v>36</v>
      </c>
      <c r="G1581" s="8">
        <f>financials[[#This Row],[Units Sold]]*financials[[#This Row],[Sale Price]]</f>
        <v>288</v>
      </c>
      <c r="H1581" s="8">
        <f>IF(financials[[#This Row],[Discount Band]]="low",0.1,IF(financials[[#This Row],[Discount Band]]="medium",0.15,0.3))</f>
        <v>0.1</v>
      </c>
      <c r="I1581" s="8">
        <f>financials[[#This Row],[Gross Sales]]-financials[[#This Row],[Gross Sales]]*financials[[#This Row],[Discounts]]</f>
        <v>259.2</v>
      </c>
      <c r="J1581" s="8">
        <f>VLOOKUP(financials[[#This Row],[productid]],Products!$B$2:$H$10,4)</f>
        <v>16.8</v>
      </c>
      <c r="K1581" s="8">
        <f>financials[[#This Row],[Net Sales]]-financials[[#This Row],[COGS]]</f>
        <v>242.39999999999998</v>
      </c>
      <c r="L1581" s="15">
        <v>44510</v>
      </c>
      <c r="M1581" t="s">
        <v>696</v>
      </c>
    </row>
    <row r="1582" spans="1:13" x14ac:dyDescent="0.25">
      <c r="A1582" t="s">
        <v>85</v>
      </c>
      <c r="B1582" s="6" t="s">
        <v>273</v>
      </c>
      <c r="C1582" s="11">
        <v>102</v>
      </c>
      <c r="D1582" s="9" t="s">
        <v>90</v>
      </c>
      <c r="E1582">
        <v>16</v>
      </c>
      <c r="F1582" s="8">
        <f>VLOOKUP(financials[[#This Row],[productid]],Products!$B$2:$H$10,3)</f>
        <v>15</v>
      </c>
      <c r="G1582" s="8">
        <f>financials[[#This Row],[Units Sold]]*financials[[#This Row],[Sale Price]]</f>
        <v>240</v>
      </c>
      <c r="H1582" s="8">
        <f>IF(financials[[#This Row],[Discount Band]]="low",0.1,IF(financials[[#This Row],[Discount Band]]="medium",0.15,0.3))</f>
        <v>0.15</v>
      </c>
      <c r="I1582" s="8">
        <f>financials[[#This Row],[Gross Sales]]-financials[[#This Row],[Gross Sales]]*financials[[#This Row],[Discounts]]</f>
        <v>204</v>
      </c>
      <c r="J1582" s="8">
        <f>VLOOKUP(financials[[#This Row],[productid]],Products!$B$2:$H$10,4)</f>
        <v>13.95</v>
      </c>
      <c r="K1582" s="8">
        <f>financials[[#This Row],[Net Sales]]-financials[[#This Row],[COGS]]</f>
        <v>190.05</v>
      </c>
      <c r="L1582" s="15">
        <v>44393</v>
      </c>
      <c r="M1582" t="s">
        <v>691</v>
      </c>
    </row>
    <row r="1583" spans="1:13" x14ac:dyDescent="0.25">
      <c r="A1583" t="s">
        <v>86</v>
      </c>
      <c r="B1583" s="6" t="s">
        <v>148</v>
      </c>
      <c r="C1583" s="13">
        <v>101</v>
      </c>
      <c r="D1583" s="14" t="s">
        <v>90</v>
      </c>
      <c r="E1583">
        <v>13</v>
      </c>
      <c r="F1583" s="8">
        <f>VLOOKUP(financials[[#This Row],[productid]],Products!$B$2:$H$10,3)</f>
        <v>23</v>
      </c>
      <c r="G1583" s="8">
        <f>financials[[#This Row],[Units Sold]]*financials[[#This Row],[Sale Price]]</f>
        <v>299</v>
      </c>
      <c r="H1583" s="8">
        <f>IF(financials[[#This Row],[Discount Band]]="low",0.1,IF(financials[[#This Row],[Discount Band]]="medium",0.15,0.3))</f>
        <v>0.15</v>
      </c>
      <c r="I1583" s="8">
        <f>financials[[#This Row],[Gross Sales]]-financials[[#This Row],[Gross Sales]]*financials[[#This Row],[Discounts]]</f>
        <v>254.15</v>
      </c>
      <c r="J1583" s="8">
        <f>VLOOKUP(financials[[#This Row],[productid]],Products!$B$2:$H$10,4)</f>
        <v>9.9499999999999993</v>
      </c>
      <c r="K1583" s="8">
        <f>financials[[#This Row],[Net Sales]]-financials[[#This Row],[COGS]]</f>
        <v>244.20000000000002</v>
      </c>
      <c r="L1583" s="15">
        <v>45624</v>
      </c>
      <c r="M1583" t="s">
        <v>697</v>
      </c>
    </row>
    <row r="1584" spans="1:13" x14ac:dyDescent="0.25">
      <c r="A1584" t="s">
        <v>89</v>
      </c>
      <c r="B1584" s="6" t="s">
        <v>95</v>
      </c>
      <c r="C1584" s="13">
        <v>104</v>
      </c>
      <c r="D1584" s="14" t="s">
        <v>83</v>
      </c>
      <c r="E1584">
        <v>14</v>
      </c>
      <c r="F1584" s="8">
        <f>VLOOKUP(financials[[#This Row],[productid]],Products!$B$2:$H$10,3)</f>
        <v>5.9</v>
      </c>
      <c r="G1584" s="8">
        <f>financials[[#This Row],[Units Sold]]*financials[[#This Row],[Sale Price]]</f>
        <v>82.600000000000009</v>
      </c>
      <c r="H1584" s="8">
        <f>IF(financials[[#This Row],[Discount Band]]="low",0.1,IF(financials[[#This Row],[Discount Band]]="medium",0.15,0.3))</f>
        <v>0.3</v>
      </c>
      <c r="I1584" s="8">
        <f>financials[[#This Row],[Gross Sales]]-financials[[#This Row],[Gross Sales]]*financials[[#This Row],[Discounts]]</f>
        <v>57.820000000000007</v>
      </c>
      <c r="J1584" s="8">
        <f>VLOOKUP(financials[[#This Row],[productid]],Products!$B$2:$H$10,4)</f>
        <v>2.9</v>
      </c>
      <c r="K1584" s="8">
        <f>financials[[#This Row],[Net Sales]]-financials[[#This Row],[COGS]]</f>
        <v>54.920000000000009</v>
      </c>
      <c r="L1584" s="15">
        <v>44165</v>
      </c>
      <c r="M1584" t="s">
        <v>696</v>
      </c>
    </row>
    <row r="1585" spans="1:13" x14ac:dyDescent="0.25">
      <c r="A1585" t="s">
        <v>89</v>
      </c>
      <c r="B1585" s="6" t="s">
        <v>95</v>
      </c>
      <c r="C1585" s="13">
        <v>109</v>
      </c>
      <c r="D1585" s="14" t="s">
        <v>83</v>
      </c>
      <c r="E1585">
        <v>12</v>
      </c>
      <c r="F1585" s="8">
        <f>VLOOKUP(financials[[#This Row],[productid]],Products!$B$2:$H$10,3)</f>
        <v>36</v>
      </c>
      <c r="G1585" s="8">
        <f>financials[[#This Row],[Units Sold]]*financials[[#This Row],[Sale Price]]</f>
        <v>432</v>
      </c>
      <c r="H1585" s="8">
        <f>IF(financials[[#This Row],[Discount Band]]="low",0.1,IF(financials[[#This Row],[Discount Band]]="medium",0.15,0.3))</f>
        <v>0.3</v>
      </c>
      <c r="I1585" s="8">
        <f>financials[[#This Row],[Gross Sales]]-financials[[#This Row],[Gross Sales]]*financials[[#This Row],[Discounts]]</f>
        <v>302.39999999999998</v>
      </c>
      <c r="J1585" s="8">
        <f>VLOOKUP(financials[[#This Row],[productid]],Products!$B$2:$H$10,4)</f>
        <v>16.8</v>
      </c>
      <c r="K1585" s="8">
        <f>financials[[#This Row],[Net Sales]]-financials[[#This Row],[COGS]]</f>
        <v>285.59999999999997</v>
      </c>
      <c r="L1585" s="15">
        <v>44868</v>
      </c>
      <c r="M1585" t="s">
        <v>696</v>
      </c>
    </row>
    <row r="1586" spans="1:13" x14ac:dyDescent="0.25">
      <c r="A1586" t="s">
        <v>85</v>
      </c>
      <c r="B1586" s="6" t="s">
        <v>205</v>
      </c>
      <c r="C1586" s="13">
        <v>109</v>
      </c>
      <c r="D1586" s="14" t="s">
        <v>92</v>
      </c>
      <c r="E1586">
        <v>13</v>
      </c>
      <c r="F1586" s="8">
        <f>VLOOKUP(financials[[#This Row],[productid]],Products!$B$2:$H$10,3)</f>
        <v>36</v>
      </c>
      <c r="G1586" s="8">
        <f>financials[[#This Row],[Units Sold]]*financials[[#This Row],[Sale Price]]</f>
        <v>468</v>
      </c>
      <c r="H1586" s="8">
        <f>IF(financials[[#This Row],[Discount Band]]="low",0.1,IF(financials[[#This Row],[Discount Band]]="medium",0.15,0.3))</f>
        <v>0.3</v>
      </c>
      <c r="I1586" s="8">
        <f>financials[[#This Row],[Gross Sales]]-financials[[#This Row],[Gross Sales]]*financials[[#This Row],[Discounts]]</f>
        <v>327.60000000000002</v>
      </c>
      <c r="J1586" s="8">
        <f>VLOOKUP(financials[[#This Row],[productid]],Products!$B$2:$H$10,4)</f>
        <v>16.8</v>
      </c>
      <c r="K1586" s="8">
        <f>financials[[#This Row],[Net Sales]]-financials[[#This Row],[COGS]]</f>
        <v>310.8</v>
      </c>
      <c r="L1586" s="15">
        <v>44986</v>
      </c>
      <c r="M1586" t="s">
        <v>691</v>
      </c>
    </row>
    <row r="1587" spans="1:13" x14ac:dyDescent="0.25">
      <c r="A1587" t="s">
        <v>86</v>
      </c>
      <c r="B1587" s="6" t="s">
        <v>232</v>
      </c>
      <c r="C1587" s="11">
        <v>104</v>
      </c>
      <c r="D1587" s="9" t="s">
        <v>90</v>
      </c>
      <c r="E1587">
        <v>18</v>
      </c>
      <c r="F1587" s="8">
        <f>VLOOKUP(financials[[#This Row],[productid]],Products!$B$2:$H$10,3)</f>
        <v>5.9</v>
      </c>
      <c r="G1587" s="8">
        <f>financials[[#This Row],[Units Sold]]*financials[[#This Row],[Sale Price]]</f>
        <v>106.2</v>
      </c>
      <c r="H1587" s="8">
        <f>IF(financials[[#This Row],[Discount Band]]="low",0.1,IF(financials[[#This Row],[Discount Band]]="medium",0.15,0.3))</f>
        <v>0.15</v>
      </c>
      <c r="I1587" s="8">
        <f>financials[[#This Row],[Gross Sales]]-financials[[#This Row],[Gross Sales]]*financials[[#This Row],[Discounts]]</f>
        <v>90.27000000000001</v>
      </c>
      <c r="J1587" s="8">
        <f>VLOOKUP(financials[[#This Row],[productid]],Products!$B$2:$H$10,4)</f>
        <v>2.9</v>
      </c>
      <c r="K1587" s="8">
        <f>financials[[#This Row],[Net Sales]]-financials[[#This Row],[COGS]]</f>
        <v>87.37</v>
      </c>
      <c r="L1587" s="15">
        <v>45253</v>
      </c>
      <c r="M1587" t="s">
        <v>691</v>
      </c>
    </row>
    <row r="1588" spans="1:13" x14ac:dyDescent="0.25">
      <c r="A1588" t="s">
        <v>86</v>
      </c>
      <c r="B1588" s="6" t="s">
        <v>125</v>
      </c>
      <c r="C1588" s="13">
        <v>106</v>
      </c>
      <c r="D1588" s="14" t="s">
        <v>90</v>
      </c>
      <c r="E1588">
        <v>7</v>
      </c>
      <c r="F1588" s="8">
        <f>VLOOKUP(financials[[#This Row],[productid]],Products!$B$2:$H$10,3)</f>
        <v>25</v>
      </c>
      <c r="G1588" s="8">
        <f>financials[[#This Row],[Units Sold]]*financials[[#This Row],[Sale Price]]</f>
        <v>175</v>
      </c>
      <c r="H1588" s="8">
        <f>IF(financials[[#This Row],[Discount Band]]="low",0.1,IF(financials[[#This Row],[Discount Band]]="medium",0.15,0.3))</f>
        <v>0.15</v>
      </c>
      <c r="I1588" s="8">
        <f>financials[[#This Row],[Gross Sales]]-financials[[#This Row],[Gross Sales]]*financials[[#This Row],[Discounts]]</f>
        <v>148.75</v>
      </c>
      <c r="J1588" s="8">
        <f>VLOOKUP(financials[[#This Row],[productid]],Products!$B$2:$H$10,4)</f>
        <v>9.1</v>
      </c>
      <c r="K1588" s="8">
        <f>financials[[#This Row],[Net Sales]]-financials[[#This Row],[COGS]]</f>
        <v>139.65</v>
      </c>
      <c r="L1588" s="15">
        <v>44820</v>
      </c>
      <c r="M1588" t="s">
        <v>696</v>
      </c>
    </row>
    <row r="1589" spans="1:13" x14ac:dyDescent="0.25">
      <c r="A1589" t="s">
        <v>86</v>
      </c>
      <c r="B1589" s="6" t="s">
        <v>232</v>
      </c>
      <c r="C1589" s="13">
        <v>104</v>
      </c>
      <c r="D1589" s="14" t="s">
        <v>83</v>
      </c>
      <c r="E1589">
        <v>16</v>
      </c>
      <c r="F1589" s="8">
        <f>VLOOKUP(financials[[#This Row],[productid]],Products!$B$2:$H$10,3)</f>
        <v>5.9</v>
      </c>
      <c r="G1589" s="8">
        <f>financials[[#This Row],[Units Sold]]*financials[[#This Row],[Sale Price]]</f>
        <v>94.4</v>
      </c>
      <c r="H1589" s="8">
        <f>IF(financials[[#This Row],[Discount Band]]="low",0.1,IF(financials[[#This Row],[Discount Band]]="medium",0.15,0.3))</f>
        <v>0.3</v>
      </c>
      <c r="I1589" s="8">
        <f>financials[[#This Row],[Gross Sales]]-financials[[#This Row],[Gross Sales]]*financials[[#This Row],[Discounts]]</f>
        <v>66.080000000000013</v>
      </c>
      <c r="J1589" s="8">
        <f>VLOOKUP(financials[[#This Row],[productid]],Products!$B$2:$H$10,4)</f>
        <v>2.9</v>
      </c>
      <c r="K1589" s="8">
        <f>financials[[#This Row],[Net Sales]]-financials[[#This Row],[COGS]]</f>
        <v>63.180000000000014</v>
      </c>
      <c r="L1589" s="15">
        <v>44492</v>
      </c>
      <c r="M1589" t="s">
        <v>690</v>
      </c>
    </row>
    <row r="1590" spans="1:13" x14ac:dyDescent="0.25">
      <c r="A1590" t="s">
        <v>85</v>
      </c>
      <c r="B1590" s="6" t="s">
        <v>268</v>
      </c>
      <c r="C1590" s="13">
        <v>102</v>
      </c>
      <c r="D1590" s="14" t="s">
        <v>83</v>
      </c>
      <c r="E1590">
        <v>18</v>
      </c>
      <c r="F1590" s="8">
        <f>VLOOKUP(financials[[#This Row],[productid]],Products!$B$2:$H$10,3)</f>
        <v>15</v>
      </c>
      <c r="G1590" s="8">
        <f>financials[[#This Row],[Units Sold]]*financials[[#This Row],[Sale Price]]</f>
        <v>270</v>
      </c>
      <c r="H1590" s="8">
        <f>IF(financials[[#This Row],[Discount Band]]="low",0.1,IF(financials[[#This Row],[Discount Band]]="medium",0.15,0.3))</f>
        <v>0.3</v>
      </c>
      <c r="I1590" s="8">
        <f>financials[[#This Row],[Gross Sales]]-financials[[#This Row],[Gross Sales]]*financials[[#This Row],[Discounts]]</f>
        <v>189</v>
      </c>
      <c r="J1590" s="8">
        <f>VLOOKUP(financials[[#This Row],[productid]],Products!$B$2:$H$10,4)</f>
        <v>13.95</v>
      </c>
      <c r="K1590" s="8">
        <f>financials[[#This Row],[Net Sales]]-financials[[#This Row],[COGS]]</f>
        <v>175.05</v>
      </c>
      <c r="L1590" s="15">
        <v>44498</v>
      </c>
      <c r="M1590" t="s">
        <v>696</v>
      </c>
    </row>
    <row r="1591" spans="1:13" x14ac:dyDescent="0.25">
      <c r="A1591" t="s">
        <v>85</v>
      </c>
      <c r="B1591" s="6" t="s">
        <v>167</v>
      </c>
      <c r="C1591" s="13">
        <v>101</v>
      </c>
      <c r="D1591" s="14" t="s">
        <v>90</v>
      </c>
      <c r="E1591">
        <v>19</v>
      </c>
      <c r="F1591" s="8">
        <f>VLOOKUP(financials[[#This Row],[productid]],Products!$B$2:$H$10,3)</f>
        <v>23</v>
      </c>
      <c r="G1591" s="8">
        <f>financials[[#This Row],[Units Sold]]*financials[[#This Row],[Sale Price]]</f>
        <v>437</v>
      </c>
      <c r="H1591" s="8">
        <f>IF(financials[[#This Row],[Discount Band]]="low",0.1,IF(financials[[#This Row],[Discount Band]]="medium",0.15,0.3))</f>
        <v>0.15</v>
      </c>
      <c r="I1591" s="8">
        <f>financials[[#This Row],[Gross Sales]]-financials[[#This Row],[Gross Sales]]*financials[[#This Row],[Discounts]]</f>
        <v>371.45</v>
      </c>
      <c r="J1591" s="8">
        <f>VLOOKUP(financials[[#This Row],[productid]],Products!$B$2:$H$10,4)</f>
        <v>9.9499999999999993</v>
      </c>
      <c r="K1591" s="8">
        <f>financials[[#This Row],[Net Sales]]-financials[[#This Row],[COGS]]</f>
        <v>361.5</v>
      </c>
      <c r="L1591" s="15">
        <v>45024</v>
      </c>
      <c r="M1591" t="s">
        <v>700</v>
      </c>
    </row>
    <row r="1592" spans="1:13" x14ac:dyDescent="0.25">
      <c r="A1592" t="s">
        <v>85</v>
      </c>
      <c r="B1592" s="6" t="s">
        <v>95</v>
      </c>
      <c r="C1592" s="13">
        <v>101</v>
      </c>
      <c r="D1592" s="14" t="s">
        <v>83</v>
      </c>
      <c r="E1592">
        <v>8</v>
      </c>
      <c r="F1592" s="8">
        <f>VLOOKUP(financials[[#This Row],[productid]],Products!$B$2:$H$10,3)</f>
        <v>23</v>
      </c>
      <c r="G1592" s="8">
        <f>financials[[#This Row],[Units Sold]]*financials[[#This Row],[Sale Price]]</f>
        <v>184</v>
      </c>
      <c r="H1592" s="8">
        <f>IF(financials[[#This Row],[Discount Band]]="low",0.1,IF(financials[[#This Row],[Discount Band]]="medium",0.15,0.3))</f>
        <v>0.3</v>
      </c>
      <c r="I1592" s="8">
        <f>financials[[#This Row],[Gross Sales]]-financials[[#This Row],[Gross Sales]]*financials[[#This Row],[Discounts]]</f>
        <v>128.80000000000001</v>
      </c>
      <c r="J1592" s="8">
        <f>VLOOKUP(financials[[#This Row],[productid]],Products!$B$2:$H$10,4)</f>
        <v>9.9499999999999993</v>
      </c>
      <c r="K1592" s="8">
        <f>financials[[#This Row],[Net Sales]]-financials[[#This Row],[COGS]]</f>
        <v>118.85000000000001</v>
      </c>
      <c r="L1592" s="15">
        <v>44903</v>
      </c>
      <c r="M1592" t="s">
        <v>690</v>
      </c>
    </row>
    <row r="1593" spans="1:13" x14ac:dyDescent="0.25">
      <c r="A1593" t="s">
        <v>89</v>
      </c>
      <c r="B1593" s="6" t="s">
        <v>268</v>
      </c>
      <c r="C1593" s="13">
        <v>105</v>
      </c>
      <c r="D1593" s="14" t="s">
        <v>90</v>
      </c>
      <c r="E1593">
        <v>8</v>
      </c>
      <c r="F1593" s="8">
        <f>VLOOKUP(financials[[#This Row],[productid]],Products!$B$2:$H$10,3)</f>
        <v>15</v>
      </c>
      <c r="G1593" s="8">
        <f>financials[[#This Row],[Units Sold]]*financials[[#This Row],[Sale Price]]</f>
        <v>120</v>
      </c>
      <c r="H1593" s="8">
        <f>IF(financials[[#This Row],[Discount Band]]="low",0.1,IF(financials[[#This Row],[Discount Band]]="medium",0.15,0.3))</f>
        <v>0.15</v>
      </c>
      <c r="I1593" s="8">
        <f>financials[[#This Row],[Gross Sales]]-financials[[#This Row],[Gross Sales]]*financials[[#This Row],[Discounts]]</f>
        <v>102</v>
      </c>
      <c r="J1593" s="8">
        <f>VLOOKUP(financials[[#This Row],[productid]],Products!$B$2:$H$10,4)</f>
        <v>10</v>
      </c>
      <c r="K1593" s="8">
        <f>financials[[#This Row],[Net Sales]]-financials[[#This Row],[COGS]]</f>
        <v>92</v>
      </c>
      <c r="L1593" s="15">
        <v>45500</v>
      </c>
      <c r="M1593" t="s">
        <v>700</v>
      </c>
    </row>
    <row r="1594" spans="1:13" x14ac:dyDescent="0.25">
      <c r="A1594" t="s">
        <v>85</v>
      </c>
      <c r="B1594" s="6" t="s">
        <v>198</v>
      </c>
      <c r="C1594" s="13">
        <v>102</v>
      </c>
      <c r="D1594" s="14" t="s">
        <v>83</v>
      </c>
      <c r="E1594">
        <v>7</v>
      </c>
      <c r="F1594" s="8">
        <f>VLOOKUP(financials[[#This Row],[productid]],Products!$B$2:$H$10,3)</f>
        <v>15</v>
      </c>
      <c r="G1594" s="8">
        <f>financials[[#This Row],[Units Sold]]*financials[[#This Row],[Sale Price]]</f>
        <v>105</v>
      </c>
      <c r="H1594" s="8">
        <f>IF(financials[[#This Row],[Discount Band]]="low",0.1,IF(financials[[#This Row],[Discount Band]]="medium",0.15,0.3))</f>
        <v>0.3</v>
      </c>
      <c r="I1594" s="8">
        <f>financials[[#This Row],[Gross Sales]]-financials[[#This Row],[Gross Sales]]*financials[[#This Row],[Discounts]]</f>
        <v>73.5</v>
      </c>
      <c r="J1594" s="8">
        <f>VLOOKUP(financials[[#This Row],[productid]],Products!$B$2:$H$10,4)</f>
        <v>13.95</v>
      </c>
      <c r="K1594" s="8">
        <f>financials[[#This Row],[Net Sales]]-financials[[#This Row],[COGS]]</f>
        <v>59.55</v>
      </c>
      <c r="L1594" s="15">
        <v>45531</v>
      </c>
      <c r="M1594" t="s">
        <v>700</v>
      </c>
    </row>
    <row r="1595" spans="1:13" x14ac:dyDescent="0.25">
      <c r="A1595" t="s">
        <v>86</v>
      </c>
      <c r="B1595" s="6" t="s">
        <v>197</v>
      </c>
      <c r="C1595" s="13">
        <v>109</v>
      </c>
      <c r="D1595" s="14" t="s">
        <v>90</v>
      </c>
      <c r="E1595">
        <v>7</v>
      </c>
      <c r="F1595" s="8">
        <f>VLOOKUP(financials[[#This Row],[productid]],Products!$B$2:$H$10,3)</f>
        <v>36</v>
      </c>
      <c r="G1595" s="8">
        <f>financials[[#This Row],[Units Sold]]*financials[[#This Row],[Sale Price]]</f>
        <v>252</v>
      </c>
      <c r="H1595" s="8">
        <f>IF(financials[[#This Row],[Discount Band]]="low",0.1,IF(financials[[#This Row],[Discount Band]]="medium",0.15,0.3))</f>
        <v>0.15</v>
      </c>
      <c r="I1595" s="8">
        <f>financials[[#This Row],[Gross Sales]]-financials[[#This Row],[Gross Sales]]*financials[[#This Row],[Discounts]]</f>
        <v>214.2</v>
      </c>
      <c r="J1595" s="8">
        <f>VLOOKUP(financials[[#This Row],[productid]],Products!$B$2:$H$10,4)</f>
        <v>16.8</v>
      </c>
      <c r="K1595" s="8">
        <f>financials[[#This Row],[Net Sales]]-financials[[#This Row],[COGS]]</f>
        <v>197.39999999999998</v>
      </c>
      <c r="L1595" s="15">
        <v>44612</v>
      </c>
      <c r="M1595" t="s">
        <v>691</v>
      </c>
    </row>
    <row r="1596" spans="1:13" x14ac:dyDescent="0.25">
      <c r="A1596" t="s">
        <v>85</v>
      </c>
      <c r="B1596" s="6" t="s">
        <v>268</v>
      </c>
      <c r="C1596" s="13">
        <v>108</v>
      </c>
      <c r="D1596" s="14" t="s">
        <v>90</v>
      </c>
      <c r="E1596">
        <v>6</v>
      </c>
      <c r="F1596" s="8">
        <f>VLOOKUP(financials[[#This Row],[productid]],Products!$B$2:$H$10,3)</f>
        <v>5.5</v>
      </c>
      <c r="G1596" s="8">
        <f>financials[[#This Row],[Units Sold]]*financials[[#This Row],[Sale Price]]</f>
        <v>33</v>
      </c>
      <c r="H1596" s="8">
        <f>IF(financials[[#This Row],[Discount Band]]="low",0.1,IF(financials[[#This Row],[Discount Band]]="medium",0.15,0.3))</f>
        <v>0.15</v>
      </c>
      <c r="I1596" s="8">
        <f>financials[[#This Row],[Gross Sales]]-financials[[#This Row],[Gross Sales]]*financials[[#This Row],[Discounts]]</f>
        <v>28.05</v>
      </c>
      <c r="J1596" s="8">
        <f>VLOOKUP(financials[[#This Row],[productid]],Products!$B$2:$H$10,4)</f>
        <v>3.99</v>
      </c>
      <c r="K1596" s="8">
        <f>financials[[#This Row],[Net Sales]]-financials[[#This Row],[COGS]]</f>
        <v>24.060000000000002</v>
      </c>
      <c r="L1596" s="15">
        <v>44883</v>
      </c>
      <c r="M1596" t="s">
        <v>700</v>
      </c>
    </row>
    <row r="1597" spans="1:13" x14ac:dyDescent="0.25">
      <c r="A1597" t="s">
        <v>89</v>
      </c>
      <c r="B1597" s="6" t="s">
        <v>167</v>
      </c>
      <c r="C1597" s="13">
        <v>109</v>
      </c>
      <c r="D1597" s="14" t="s">
        <v>92</v>
      </c>
      <c r="E1597">
        <v>10</v>
      </c>
      <c r="F1597" s="8">
        <f>VLOOKUP(financials[[#This Row],[productid]],Products!$B$2:$H$10,3)</f>
        <v>36</v>
      </c>
      <c r="G1597" s="8">
        <f>financials[[#This Row],[Units Sold]]*financials[[#This Row],[Sale Price]]</f>
        <v>360</v>
      </c>
      <c r="H1597" s="8">
        <f>IF(financials[[#This Row],[Discount Band]]="low",0.1,IF(financials[[#This Row],[Discount Band]]="medium",0.15,0.3))</f>
        <v>0.3</v>
      </c>
      <c r="I1597" s="8">
        <f>financials[[#This Row],[Gross Sales]]-financials[[#This Row],[Gross Sales]]*financials[[#This Row],[Discounts]]</f>
        <v>252</v>
      </c>
      <c r="J1597" s="8">
        <f>VLOOKUP(financials[[#This Row],[productid]],Products!$B$2:$H$10,4)</f>
        <v>16.8</v>
      </c>
      <c r="K1597" s="8">
        <f>financials[[#This Row],[Net Sales]]-financials[[#This Row],[COGS]]</f>
        <v>235.2</v>
      </c>
      <c r="L1597" s="15">
        <v>44317</v>
      </c>
      <c r="M1597" t="s">
        <v>700</v>
      </c>
    </row>
    <row r="1598" spans="1:13" x14ac:dyDescent="0.25">
      <c r="A1598" t="s">
        <v>89</v>
      </c>
      <c r="B1598" s="6" t="s">
        <v>276</v>
      </c>
      <c r="C1598" s="13">
        <v>108</v>
      </c>
      <c r="D1598" s="14" t="s">
        <v>83</v>
      </c>
      <c r="E1598">
        <v>7</v>
      </c>
      <c r="F1598" s="8">
        <f>VLOOKUP(financials[[#This Row],[productid]],Products!$B$2:$H$10,3)</f>
        <v>5.5</v>
      </c>
      <c r="G1598" s="8">
        <f>financials[[#This Row],[Units Sold]]*financials[[#This Row],[Sale Price]]</f>
        <v>38.5</v>
      </c>
      <c r="H1598" s="8">
        <f>IF(financials[[#This Row],[Discount Band]]="low",0.1,IF(financials[[#This Row],[Discount Band]]="medium",0.15,0.3))</f>
        <v>0.3</v>
      </c>
      <c r="I1598" s="8">
        <f>financials[[#This Row],[Gross Sales]]-financials[[#This Row],[Gross Sales]]*financials[[#This Row],[Discounts]]</f>
        <v>26.950000000000003</v>
      </c>
      <c r="J1598" s="8">
        <f>VLOOKUP(financials[[#This Row],[productid]],Products!$B$2:$H$10,4)</f>
        <v>3.99</v>
      </c>
      <c r="K1598" s="8">
        <f>financials[[#This Row],[Net Sales]]-financials[[#This Row],[COGS]]</f>
        <v>22.96</v>
      </c>
      <c r="L1598" s="15">
        <v>44977</v>
      </c>
      <c r="M1598" t="s">
        <v>696</v>
      </c>
    </row>
    <row r="1599" spans="1:13" x14ac:dyDescent="0.25">
      <c r="A1599" t="s">
        <v>86</v>
      </c>
      <c r="B1599" s="6" t="s">
        <v>93</v>
      </c>
      <c r="C1599" s="13">
        <v>102</v>
      </c>
      <c r="D1599" s="14" t="s">
        <v>90</v>
      </c>
      <c r="E1599">
        <v>14</v>
      </c>
      <c r="F1599" s="8">
        <f>VLOOKUP(financials[[#This Row],[productid]],Products!$B$2:$H$10,3)</f>
        <v>15</v>
      </c>
      <c r="G1599" s="8">
        <f>financials[[#This Row],[Units Sold]]*financials[[#This Row],[Sale Price]]</f>
        <v>210</v>
      </c>
      <c r="H1599" s="8">
        <f>IF(financials[[#This Row],[Discount Band]]="low",0.1,IF(financials[[#This Row],[Discount Band]]="medium",0.15,0.3))</f>
        <v>0.15</v>
      </c>
      <c r="I1599" s="8">
        <f>financials[[#This Row],[Gross Sales]]-financials[[#This Row],[Gross Sales]]*financials[[#This Row],[Discounts]]</f>
        <v>178.5</v>
      </c>
      <c r="J1599" s="8">
        <f>VLOOKUP(financials[[#This Row],[productid]],Products!$B$2:$H$10,4)</f>
        <v>13.95</v>
      </c>
      <c r="K1599" s="8">
        <f>financials[[#This Row],[Net Sales]]-financials[[#This Row],[COGS]]</f>
        <v>164.55</v>
      </c>
      <c r="L1599" s="15">
        <v>45180</v>
      </c>
      <c r="M1599" t="s">
        <v>691</v>
      </c>
    </row>
    <row r="1600" spans="1:13" x14ac:dyDescent="0.25">
      <c r="A1600" t="s">
        <v>86</v>
      </c>
      <c r="B1600" s="6" t="s">
        <v>197</v>
      </c>
      <c r="C1600" s="13">
        <v>102</v>
      </c>
      <c r="D1600" s="14" t="s">
        <v>83</v>
      </c>
      <c r="E1600">
        <v>17</v>
      </c>
      <c r="F1600" s="8">
        <f>VLOOKUP(financials[[#This Row],[productid]],Products!$B$2:$H$10,3)</f>
        <v>15</v>
      </c>
      <c r="G1600" s="8">
        <f>financials[[#This Row],[Units Sold]]*financials[[#This Row],[Sale Price]]</f>
        <v>255</v>
      </c>
      <c r="H1600" s="8">
        <f>IF(financials[[#This Row],[Discount Band]]="low",0.1,IF(financials[[#This Row],[Discount Band]]="medium",0.15,0.3))</f>
        <v>0.3</v>
      </c>
      <c r="I1600" s="8">
        <f>financials[[#This Row],[Gross Sales]]-financials[[#This Row],[Gross Sales]]*financials[[#This Row],[Discounts]]</f>
        <v>178.5</v>
      </c>
      <c r="J1600" s="8">
        <f>VLOOKUP(financials[[#This Row],[productid]],Products!$B$2:$H$10,4)</f>
        <v>13.95</v>
      </c>
      <c r="K1600" s="8">
        <f>financials[[#This Row],[Net Sales]]-financials[[#This Row],[COGS]]</f>
        <v>164.55</v>
      </c>
      <c r="L1600" s="15">
        <v>44195</v>
      </c>
      <c r="M1600" t="s">
        <v>696</v>
      </c>
    </row>
    <row r="1601" spans="1:13" x14ac:dyDescent="0.25">
      <c r="A1601" t="s">
        <v>86</v>
      </c>
      <c r="B1601" s="6" t="s">
        <v>158</v>
      </c>
      <c r="C1601" s="13">
        <v>103</v>
      </c>
      <c r="D1601" s="14" t="s">
        <v>83</v>
      </c>
      <c r="E1601">
        <v>11</v>
      </c>
      <c r="F1601" s="8">
        <f>VLOOKUP(financials[[#This Row],[productid]],Products!$B$2:$H$10,3)</f>
        <v>28</v>
      </c>
      <c r="G1601" s="8">
        <f>financials[[#This Row],[Units Sold]]*financials[[#This Row],[Sale Price]]</f>
        <v>308</v>
      </c>
      <c r="H1601" s="8">
        <f>IF(financials[[#This Row],[Discount Band]]="low",0.1,IF(financials[[#This Row],[Discount Band]]="medium",0.15,0.3))</f>
        <v>0.3</v>
      </c>
      <c r="I1601" s="8">
        <f>financials[[#This Row],[Gross Sales]]-financials[[#This Row],[Gross Sales]]*financials[[#This Row],[Discounts]]</f>
        <v>215.60000000000002</v>
      </c>
      <c r="J1601" s="8">
        <f>VLOOKUP(financials[[#This Row],[productid]],Products!$B$2:$H$10,4)</f>
        <v>15</v>
      </c>
      <c r="K1601" s="8">
        <f>financials[[#This Row],[Net Sales]]-financials[[#This Row],[COGS]]</f>
        <v>200.60000000000002</v>
      </c>
      <c r="L1601" s="15">
        <v>44997</v>
      </c>
      <c r="M1601" t="s">
        <v>697</v>
      </c>
    </row>
    <row r="1602" spans="1:13" x14ac:dyDescent="0.25">
      <c r="A1602" t="s">
        <v>86</v>
      </c>
      <c r="B1602" s="6" t="s">
        <v>158</v>
      </c>
      <c r="C1602" s="13">
        <v>103</v>
      </c>
      <c r="D1602" s="14" t="s">
        <v>90</v>
      </c>
      <c r="E1602">
        <v>14</v>
      </c>
      <c r="F1602" s="8">
        <f>VLOOKUP(financials[[#This Row],[productid]],Products!$B$2:$H$10,3)</f>
        <v>28</v>
      </c>
      <c r="G1602" s="8">
        <f>financials[[#This Row],[Units Sold]]*financials[[#This Row],[Sale Price]]</f>
        <v>392</v>
      </c>
      <c r="H1602" s="8">
        <f>IF(financials[[#This Row],[Discount Band]]="low",0.1,IF(financials[[#This Row],[Discount Band]]="medium",0.15,0.3))</f>
        <v>0.15</v>
      </c>
      <c r="I1602" s="8">
        <f>financials[[#This Row],[Gross Sales]]-financials[[#This Row],[Gross Sales]]*financials[[#This Row],[Discounts]]</f>
        <v>333.2</v>
      </c>
      <c r="J1602" s="8">
        <f>VLOOKUP(financials[[#This Row],[productid]],Products!$B$2:$H$10,4)</f>
        <v>15</v>
      </c>
      <c r="K1602" s="8">
        <f>financials[[#This Row],[Net Sales]]-financials[[#This Row],[COGS]]</f>
        <v>318.2</v>
      </c>
      <c r="L1602" s="15">
        <v>44515</v>
      </c>
      <c r="M1602" t="s">
        <v>700</v>
      </c>
    </row>
    <row r="1603" spans="1:13" x14ac:dyDescent="0.25">
      <c r="A1603" t="s">
        <v>89</v>
      </c>
      <c r="B1603" s="6" t="s">
        <v>268</v>
      </c>
      <c r="C1603" s="11">
        <v>102</v>
      </c>
      <c r="D1603" s="9" t="s">
        <v>83</v>
      </c>
      <c r="E1603">
        <v>15</v>
      </c>
      <c r="F1603" s="8">
        <f>VLOOKUP(financials[[#This Row],[productid]],Products!$B$2:$H$10,3)</f>
        <v>15</v>
      </c>
      <c r="G1603" s="8">
        <f>financials[[#This Row],[Units Sold]]*financials[[#This Row],[Sale Price]]</f>
        <v>225</v>
      </c>
      <c r="H1603" s="8">
        <f>IF(financials[[#This Row],[Discount Band]]="low",0.1,IF(financials[[#This Row],[Discount Band]]="medium",0.15,0.3))</f>
        <v>0.3</v>
      </c>
      <c r="I1603" s="8">
        <f>financials[[#This Row],[Gross Sales]]-financials[[#This Row],[Gross Sales]]*financials[[#This Row],[Discounts]]</f>
        <v>157.5</v>
      </c>
      <c r="J1603" s="8">
        <f>VLOOKUP(financials[[#This Row],[productid]],Products!$B$2:$H$10,4)</f>
        <v>13.95</v>
      </c>
      <c r="K1603" s="8">
        <f>financials[[#This Row],[Net Sales]]-financials[[#This Row],[COGS]]</f>
        <v>143.55000000000001</v>
      </c>
      <c r="L1603" s="15">
        <v>44851</v>
      </c>
      <c r="M1603" t="s">
        <v>696</v>
      </c>
    </row>
    <row r="1604" spans="1:13" x14ac:dyDescent="0.25">
      <c r="A1604" t="s">
        <v>86</v>
      </c>
      <c r="B1604" s="6" t="s">
        <v>228</v>
      </c>
      <c r="C1604" s="13">
        <v>106</v>
      </c>
      <c r="D1604" s="14" t="s">
        <v>83</v>
      </c>
      <c r="E1604">
        <v>11</v>
      </c>
      <c r="F1604" s="8">
        <f>VLOOKUP(financials[[#This Row],[productid]],Products!$B$2:$H$10,3)</f>
        <v>25</v>
      </c>
      <c r="G1604" s="8">
        <f>financials[[#This Row],[Units Sold]]*financials[[#This Row],[Sale Price]]</f>
        <v>275</v>
      </c>
      <c r="H1604" s="8">
        <f>IF(financials[[#This Row],[Discount Band]]="low",0.1,IF(financials[[#This Row],[Discount Band]]="medium",0.15,0.3))</f>
        <v>0.3</v>
      </c>
      <c r="I1604" s="8">
        <f>financials[[#This Row],[Gross Sales]]-financials[[#This Row],[Gross Sales]]*financials[[#This Row],[Discounts]]</f>
        <v>192.5</v>
      </c>
      <c r="J1604" s="8">
        <f>VLOOKUP(financials[[#This Row],[productid]],Products!$B$2:$H$10,4)</f>
        <v>9.1</v>
      </c>
      <c r="K1604" s="8">
        <f>financials[[#This Row],[Net Sales]]-financials[[#This Row],[COGS]]</f>
        <v>183.4</v>
      </c>
      <c r="L1604" s="15">
        <v>44118</v>
      </c>
      <c r="M1604" t="s">
        <v>697</v>
      </c>
    </row>
    <row r="1605" spans="1:13" x14ac:dyDescent="0.25">
      <c r="A1605" t="s">
        <v>85</v>
      </c>
      <c r="B1605" s="6" t="s">
        <v>268</v>
      </c>
      <c r="C1605" s="11">
        <v>106</v>
      </c>
      <c r="D1605" s="9" t="s">
        <v>91</v>
      </c>
      <c r="E1605">
        <v>5</v>
      </c>
      <c r="F1605" s="8">
        <f>VLOOKUP(financials[[#This Row],[productid]],Products!$B$2:$H$10,3)</f>
        <v>25</v>
      </c>
      <c r="G1605" s="8">
        <f>financials[[#This Row],[Units Sold]]*financials[[#This Row],[Sale Price]]</f>
        <v>125</v>
      </c>
      <c r="H1605" s="8">
        <f>IF(financials[[#This Row],[Discount Band]]="low",0.1,IF(financials[[#This Row],[Discount Band]]="medium",0.15,0.3))</f>
        <v>0.1</v>
      </c>
      <c r="I1605" s="8">
        <f>financials[[#This Row],[Gross Sales]]-financials[[#This Row],[Gross Sales]]*financials[[#This Row],[Discounts]]</f>
        <v>112.5</v>
      </c>
      <c r="J1605" s="8">
        <f>VLOOKUP(financials[[#This Row],[productid]],Products!$B$2:$H$10,4)</f>
        <v>9.1</v>
      </c>
      <c r="K1605" s="8">
        <f>financials[[#This Row],[Net Sales]]-financials[[#This Row],[COGS]]</f>
        <v>103.4</v>
      </c>
      <c r="L1605" s="15">
        <v>45163</v>
      </c>
      <c r="M1605" t="s">
        <v>690</v>
      </c>
    </row>
    <row r="1606" spans="1:13" x14ac:dyDescent="0.25">
      <c r="A1606" t="s">
        <v>85</v>
      </c>
      <c r="B1606" s="6" t="s">
        <v>273</v>
      </c>
      <c r="C1606" s="13">
        <v>101</v>
      </c>
      <c r="D1606" s="14" t="s">
        <v>91</v>
      </c>
      <c r="E1606">
        <v>20</v>
      </c>
      <c r="F1606" s="8">
        <f>VLOOKUP(financials[[#This Row],[productid]],Products!$B$2:$H$10,3)</f>
        <v>23</v>
      </c>
      <c r="G1606" s="8">
        <f>financials[[#This Row],[Units Sold]]*financials[[#This Row],[Sale Price]]</f>
        <v>460</v>
      </c>
      <c r="H1606" s="8">
        <f>IF(financials[[#This Row],[Discount Band]]="low",0.1,IF(financials[[#This Row],[Discount Band]]="medium",0.15,0.3))</f>
        <v>0.1</v>
      </c>
      <c r="I1606" s="8">
        <f>financials[[#This Row],[Gross Sales]]-financials[[#This Row],[Gross Sales]]*financials[[#This Row],[Discounts]]</f>
        <v>414</v>
      </c>
      <c r="J1606" s="8">
        <f>VLOOKUP(financials[[#This Row],[productid]],Products!$B$2:$H$10,4)</f>
        <v>9.9499999999999993</v>
      </c>
      <c r="K1606" s="8">
        <f>financials[[#This Row],[Net Sales]]-financials[[#This Row],[COGS]]</f>
        <v>404.05</v>
      </c>
      <c r="L1606" s="15">
        <v>45175</v>
      </c>
      <c r="M1606" t="s">
        <v>697</v>
      </c>
    </row>
    <row r="1607" spans="1:13" x14ac:dyDescent="0.25">
      <c r="A1607" t="s">
        <v>89</v>
      </c>
      <c r="B1607" s="6" t="s">
        <v>276</v>
      </c>
      <c r="C1607" s="13">
        <v>109</v>
      </c>
      <c r="D1607" s="14" t="s">
        <v>92</v>
      </c>
      <c r="E1607">
        <v>9</v>
      </c>
      <c r="F1607" s="8">
        <f>VLOOKUP(financials[[#This Row],[productid]],Products!$B$2:$H$10,3)</f>
        <v>36</v>
      </c>
      <c r="G1607" s="8">
        <f>financials[[#This Row],[Units Sold]]*financials[[#This Row],[Sale Price]]</f>
        <v>324</v>
      </c>
      <c r="H1607" s="8">
        <f>IF(financials[[#This Row],[Discount Band]]="low",0.1,IF(financials[[#This Row],[Discount Band]]="medium",0.15,0.3))</f>
        <v>0.3</v>
      </c>
      <c r="I1607" s="8">
        <f>financials[[#This Row],[Gross Sales]]-financials[[#This Row],[Gross Sales]]*financials[[#This Row],[Discounts]]</f>
        <v>226.8</v>
      </c>
      <c r="J1607" s="8">
        <f>VLOOKUP(financials[[#This Row],[productid]],Products!$B$2:$H$10,4)</f>
        <v>16.8</v>
      </c>
      <c r="K1607" s="8">
        <f>financials[[#This Row],[Net Sales]]-financials[[#This Row],[COGS]]</f>
        <v>210</v>
      </c>
      <c r="L1607" s="15">
        <v>44200</v>
      </c>
      <c r="M1607" t="s">
        <v>691</v>
      </c>
    </row>
    <row r="1608" spans="1:13" x14ac:dyDescent="0.25">
      <c r="A1608" t="s">
        <v>85</v>
      </c>
      <c r="B1608" s="6" t="s">
        <v>273</v>
      </c>
      <c r="C1608" s="13">
        <v>107</v>
      </c>
      <c r="D1608" s="14" t="s">
        <v>83</v>
      </c>
      <c r="E1608">
        <v>15</v>
      </c>
      <c r="F1608" s="8">
        <f>VLOOKUP(financials[[#This Row],[productid]],Products!$B$2:$H$10,3)</f>
        <v>15</v>
      </c>
      <c r="G1608" s="8">
        <f>financials[[#This Row],[Units Sold]]*financials[[#This Row],[Sale Price]]</f>
        <v>225</v>
      </c>
      <c r="H1608" s="8">
        <f>IF(financials[[#This Row],[Discount Band]]="low",0.1,IF(financials[[#This Row],[Discount Band]]="medium",0.15,0.3))</f>
        <v>0.3</v>
      </c>
      <c r="I1608" s="8">
        <f>financials[[#This Row],[Gross Sales]]-financials[[#This Row],[Gross Sales]]*financials[[#This Row],[Discounts]]</f>
        <v>157.5</v>
      </c>
      <c r="J1608" s="8">
        <f>VLOOKUP(financials[[#This Row],[productid]],Products!$B$2:$H$10,4)</f>
        <v>5.5</v>
      </c>
      <c r="K1608" s="8">
        <f>financials[[#This Row],[Net Sales]]-financials[[#This Row],[COGS]]</f>
        <v>152</v>
      </c>
      <c r="L1608" s="15">
        <v>43908</v>
      </c>
      <c r="M1608" t="s">
        <v>690</v>
      </c>
    </row>
    <row r="1609" spans="1:13" x14ac:dyDescent="0.25">
      <c r="A1609" t="s">
        <v>86</v>
      </c>
      <c r="B1609" s="6" t="s">
        <v>287</v>
      </c>
      <c r="C1609" s="13">
        <v>102</v>
      </c>
      <c r="D1609" s="14" t="s">
        <v>90</v>
      </c>
      <c r="E1609">
        <v>5</v>
      </c>
      <c r="F1609" s="8">
        <f>VLOOKUP(financials[[#This Row],[productid]],Products!$B$2:$H$10,3)</f>
        <v>15</v>
      </c>
      <c r="G1609" s="8">
        <f>financials[[#This Row],[Units Sold]]*financials[[#This Row],[Sale Price]]</f>
        <v>75</v>
      </c>
      <c r="H1609" s="8">
        <f>IF(financials[[#This Row],[Discount Band]]="low",0.1,IF(financials[[#This Row],[Discount Band]]="medium",0.15,0.3))</f>
        <v>0.15</v>
      </c>
      <c r="I1609" s="8">
        <f>financials[[#This Row],[Gross Sales]]-financials[[#This Row],[Gross Sales]]*financials[[#This Row],[Discounts]]</f>
        <v>63.75</v>
      </c>
      <c r="J1609" s="8">
        <f>VLOOKUP(financials[[#This Row],[productid]],Products!$B$2:$H$10,4)</f>
        <v>13.95</v>
      </c>
      <c r="K1609" s="8">
        <f>financials[[#This Row],[Net Sales]]-financials[[#This Row],[COGS]]</f>
        <v>49.8</v>
      </c>
      <c r="L1609" s="15">
        <v>44600</v>
      </c>
      <c r="M1609" t="s">
        <v>691</v>
      </c>
    </row>
    <row r="1610" spans="1:13" x14ac:dyDescent="0.25">
      <c r="A1610" t="s">
        <v>86</v>
      </c>
      <c r="B1610" s="6" t="s">
        <v>273</v>
      </c>
      <c r="C1610" s="13">
        <v>104</v>
      </c>
      <c r="D1610" s="14" t="s">
        <v>91</v>
      </c>
      <c r="E1610">
        <v>15</v>
      </c>
      <c r="F1610" s="8">
        <f>VLOOKUP(financials[[#This Row],[productid]],Products!$B$2:$H$10,3)</f>
        <v>5.9</v>
      </c>
      <c r="G1610" s="8">
        <f>financials[[#This Row],[Units Sold]]*financials[[#This Row],[Sale Price]]</f>
        <v>88.5</v>
      </c>
      <c r="H1610" s="8">
        <f>IF(financials[[#This Row],[Discount Band]]="low",0.1,IF(financials[[#This Row],[Discount Band]]="medium",0.15,0.3))</f>
        <v>0.1</v>
      </c>
      <c r="I1610" s="8">
        <f>financials[[#This Row],[Gross Sales]]-financials[[#This Row],[Gross Sales]]*financials[[#This Row],[Discounts]]</f>
        <v>79.650000000000006</v>
      </c>
      <c r="J1610" s="8">
        <f>VLOOKUP(financials[[#This Row],[productid]],Products!$B$2:$H$10,4)</f>
        <v>2.9</v>
      </c>
      <c r="K1610" s="8">
        <f>financials[[#This Row],[Net Sales]]-financials[[#This Row],[COGS]]</f>
        <v>76.75</v>
      </c>
      <c r="L1610" s="15">
        <v>44461</v>
      </c>
      <c r="M1610" t="s">
        <v>691</v>
      </c>
    </row>
    <row r="1611" spans="1:13" x14ac:dyDescent="0.25">
      <c r="A1611" t="s">
        <v>86</v>
      </c>
      <c r="B1611" s="6" t="s">
        <v>167</v>
      </c>
      <c r="C1611" s="13">
        <v>102</v>
      </c>
      <c r="D1611" s="14" t="s">
        <v>83</v>
      </c>
      <c r="E1611">
        <v>15</v>
      </c>
      <c r="F1611" s="8">
        <f>VLOOKUP(financials[[#This Row],[productid]],Products!$B$2:$H$10,3)</f>
        <v>15</v>
      </c>
      <c r="G1611" s="8">
        <f>financials[[#This Row],[Units Sold]]*financials[[#This Row],[Sale Price]]</f>
        <v>225</v>
      </c>
      <c r="H1611" s="8">
        <f>IF(financials[[#This Row],[Discount Band]]="low",0.1,IF(financials[[#This Row],[Discount Band]]="medium",0.15,0.3))</f>
        <v>0.3</v>
      </c>
      <c r="I1611" s="8">
        <f>financials[[#This Row],[Gross Sales]]-financials[[#This Row],[Gross Sales]]*financials[[#This Row],[Discounts]]</f>
        <v>157.5</v>
      </c>
      <c r="J1611" s="8">
        <f>VLOOKUP(financials[[#This Row],[productid]],Products!$B$2:$H$10,4)</f>
        <v>13.95</v>
      </c>
      <c r="K1611" s="8">
        <f>financials[[#This Row],[Net Sales]]-financials[[#This Row],[COGS]]</f>
        <v>143.55000000000001</v>
      </c>
      <c r="L1611" s="15">
        <v>44742</v>
      </c>
      <c r="M1611" t="s">
        <v>696</v>
      </c>
    </row>
    <row r="1612" spans="1:13" x14ac:dyDescent="0.25">
      <c r="A1612" t="s">
        <v>85</v>
      </c>
      <c r="B1612" s="6" t="s">
        <v>167</v>
      </c>
      <c r="C1612" s="11">
        <v>106</v>
      </c>
      <c r="D1612" s="9" t="s">
        <v>92</v>
      </c>
      <c r="E1612">
        <v>11</v>
      </c>
      <c r="F1612" s="8">
        <f>VLOOKUP(financials[[#This Row],[productid]],Products!$B$2:$H$10,3)</f>
        <v>25</v>
      </c>
      <c r="G1612" s="8">
        <f>financials[[#This Row],[Units Sold]]*financials[[#This Row],[Sale Price]]</f>
        <v>275</v>
      </c>
      <c r="H1612" s="8">
        <f>IF(financials[[#This Row],[Discount Band]]="low",0.1,IF(financials[[#This Row],[Discount Band]]="medium",0.15,0.3))</f>
        <v>0.3</v>
      </c>
      <c r="I1612" s="8">
        <f>financials[[#This Row],[Gross Sales]]-financials[[#This Row],[Gross Sales]]*financials[[#This Row],[Discounts]]</f>
        <v>192.5</v>
      </c>
      <c r="J1612" s="8">
        <f>VLOOKUP(financials[[#This Row],[productid]],Products!$B$2:$H$10,4)</f>
        <v>9.1</v>
      </c>
      <c r="K1612" s="8">
        <f>financials[[#This Row],[Net Sales]]-financials[[#This Row],[COGS]]</f>
        <v>183.4</v>
      </c>
      <c r="L1612" s="15">
        <v>44581</v>
      </c>
      <c r="M1612" t="s">
        <v>691</v>
      </c>
    </row>
    <row r="1613" spans="1:13" x14ac:dyDescent="0.25">
      <c r="A1613" t="s">
        <v>89</v>
      </c>
      <c r="B1613" s="6" t="s">
        <v>94</v>
      </c>
      <c r="C1613" s="11">
        <v>108</v>
      </c>
      <c r="D1613" s="9" t="s">
        <v>83</v>
      </c>
      <c r="E1613">
        <v>14</v>
      </c>
      <c r="F1613" s="8">
        <f>VLOOKUP(financials[[#This Row],[productid]],Products!$B$2:$H$10,3)</f>
        <v>5.5</v>
      </c>
      <c r="G1613" s="8">
        <f>financials[[#This Row],[Units Sold]]*financials[[#This Row],[Sale Price]]</f>
        <v>77</v>
      </c>
      <c r="H1613" s="8">
        <f>IF(financials[[#This Row],[Discount Band]]="low",0.1,IF(financials[[#This Row],[Discount Band]]="medium",0.15,0.3))</f>
        <v>0.3</v>
      </c>
      <c r="I1613" s="8">
        <f>financials[[#This Row],[Gross Sales]]-financials[[#This Row],[Gross Sales]]*financials[[#This Row],[Discounts]]</f>
        <v>53.900000000000006</v>
      </c>
      <c r="J1613" s="8">
        <f>VLOOKUP(financials[[#This Row],[productid]],Products!$B$2:$H$10,4)</f>
        <v>3.99</v>
      </c>
      <c r="K1613" s="8">
        <f>financials[[#This Row],[Net Sales]]-financials[[#This Row],[COGS]]</f>
        <v>49.910000000000004</v>
      </c>
      <c r="L1613" s="15">
        <v>45322</v>
      </c>
      <c r="M1613" t="s">
        <v>691</v>
      </c>
    </row>
    <row r="1614" spans="1:13" x14ac:dyDescent="0.25">
      <c r="A1614" t="s">
        <v>86</v>
      </c>
      <c r="B1614" s="6" t="s">
        <v>228</v>
      </c>
      <c r="C1614" s="11">
        <v>102</v>
      </c>
      <c r="D1614" s="9" t="s">
        <v>91</v>
      </c>
      <c r="E1614">
        <v>13</v>
      </c>
      <c r="F1614" s="8">
        <f>VLOOKUP(financials[[#This Row],[productid]],Products!$B$2:$H$10,3)</f>
        <v>15</v>
      </c>
      <c r="G1614" s="8">
        <f>financials[[#This Row],[Units Sold]]*financials[[#This Row],[Sale Price]]</f>
        <v>195</v>
      </c>
      <c r="H1614" s="8">
        <f>IF(financials[[#This Row],[Discount Band]]="low",0.1,IF(financials[[#This Row],[Discount Band]]="medium",0.15,0.3))</f>
        <v>0.1</v>
      </c>
      <c r="I1614" s="8">
        <f>financials[[#This Row],[Gross Sales]]-financials[[#This Row],[Gross Sales]]*financials[[#This Row],[Discounts]]</f>
        <v>175.5</v>
      </c>
      <c r="J1614" s="8">
        <f>VLOOKUP(financials[[#This Row],[productid]],Products!$B$2:$H$10,4)</f>
        <v>13.95</v>
      </c>
      <c r="K1614" s="8">
        <f>financials[[#This Row],[Net Sales]]-financials[[#This Row],[COGS]]</f>
        <v>161.55000000000001</v>
      </c>
      <c r="L1614" s="15">
        <v>44880</v>
      </c>
      <c r="M1614" t="s">
        <v>697</v>
      </c>
    </row>
    <row r="1615" spans="1:13" x14ac:dyDescent="0.25">
      <c r="A1615" t="s">
        <v>89</v>
      </c>
      <c r="B1615" s="6" t="s">
        <v>95</v>
      </c>
      <c r="C1615" s="13">
        <v>103</v>
      </c>
      <c r="D1615" s="14" t="s">
        <v>91</v>
      </c>
      <c r="E1615">
        <v>14</v>
      </c>
      <c r="F1615" s="8">
        <f>VLOOKUP(financials[[#This Row],[productid]],Products!$B$2:$H$10,3)</f>
        <v>28</v>
      </c>
      <c r="G1615" s="8">
        <f>financials[[#This Row],[Units Sold]]*financials[[#This Row],[Sale Price]]</f>
        <v>392</v>
      </c>
      <c r="H1615" s="8">
        <f>IF(financials[[#This Row],[Discount Band]]="low",0.1,IF(financials[[#This Row],[Discount Band]]="medium",0.15,0.3))</f>
        <v>0.1</v>
      </c>
      <c r="I1615" s="8">
        <f>financials[[#This Row],[Gross Sales]]-financials[[#This Row],[Gross Sales]]*financials[[#This Row],[Discounts]]</f>
        <v>352.8</v>
      </c>
      <c r="J1615" s="8">
        <f>VLOOKUP(financials[[#This Row],[productid]],Products!$B$2:$H$10,4)</f>
        <v>15</v>
      </c>
      <c r="K1615" s="8">
        <f>financials[[#This Row],[Net Sales]]-financials[[#This Row],[COGS]]</f>
        <v>337.8</v>
      </c>
      <c r="L1615" s="15">
        <v>45216</v>
      </c>
      <c r="M1615" t="s">
        <v>691</v>
      </c>
    </row>
    <row r="1616" spans="1:13" x14ac:dyDescent="0.25">
      <c r="A1616" t="s">
        <v>85</v>
      </c>
      <c r="B1616" s="6" t="s">
        <v>95</v>
      </c>
      <c r="C1616" s="13">
        <v>108</v>
      </c>
      <c r="D1616" s="14" t="s">
        <v>92</v>
      </c>
      <c r="E1616">
        <v>11</v>
      </c>
      <c r="F1616" s="8">
        <f>VLOOKUP(financials[[#This Row],[productid]],Products!$B$2:$H$10,3)</f>
        <v>5.5</v>
      </c>
      <c r="G1616" s="8">
        <f>financials[[#This Row],[Units Sold]]*financials[[#This Row],[Sale Price]]</f>
        <v>60.5</v>
      </c>
      <c r="H1616" s="8">
        <f>IF(financials[[#This Row],[Discount Band]]="low",0.1,IF(financials[[#This Row],[Discount Band]]="medium",0.15,0.3))</f>
        <v>0.3</v>
      </c>
      <c r="I1616" s="8">
        <f>financials[[#This Row],[Gross Sales]]-financials[[#This Row],[Gross Sales]]*financials[[#This Row],[Discounts]]</f>
        <v>42.35</v>
      </c>
      <c r="J1616" s="8">
        <f>VLOOKUP(financials[[#This Row],[productid]],Products!$B$2:$H$10,4)</f>
        <v>3.99</v>
      </c>
      <c r="K1616" s="8">
        <f>financials[[#This Row],[Net Sales]]-financials[[#This Row],[COGS]]</f>
        <v>38.36</v>
      </c>
      <c r="L1616" s="15">
        <v>44151</v>
      </c>
      <c r="M1616" t="s">
        <v>696</v>
      </c>
    </row>
    <row r="1617" spans="1:13" x14ac:dyDescent="0.25">
      <c r="A1617" t="s">
        <v>85</v>
      </c>
      <c r="B1617" s="6" t="s">
        <v>268</v>
      </c>
      <c r="C1617" s="13">
        <v>108</v>
      </c>
      <c r="D1617" s="14" t="s">
        <v>91</v>
      </c>
      <c r="E1617">
        <v>20</v>
      </c>
      <c r="F1617" s="8">
        <f>VLOOKUP(financials[[#This Row],[productid]],Products!$B$2:$H$10,3)</f>
        <v>5.5</v>
      </c>
      <c r="G1617" s="8">
        <f>financials[[#This Row],[Units Sold]]*financials[[#This Row],[Sale Price]]</f>
        <v>110</v>
      </c>
      <c r="H1617" s="8">
        <f>IF(financials[[#This Row],[Discount Band]]="low",0.1,IF(financials[[#This Row],[Discount Band]]="medium",0.15,0.3))</f>
        <v>0.1</v>
      </c>
      <c r="I1617" s="8">
        <f>financials[[#This Row],[Gross Sales]]-financials[[#This Row],[Gross Sales]]*financials[[#This Row],[Discounts]]</f>
        <v>99</v>
      </c>
      <c r="J1617" s="8">
        <f>VLOOKUP(financials[[#This Row],[productid]],Products!$B$2:$H$10,4)</f>
        <v>3.99</v>
      </c>
      <c r="K1617" s="8">
        <f>financials[[#This Row],[Net Sales]]-financials[[#This Row],[COGS]]</f>
        <v>95.01</v>
      </c>
      <c r="L1617" s="15">
        <v>44562</v>
      </c>
      <c r="M1617" t="s">
        <v>697</v>
      </c>
    </row>
    <row r="1618" spans="1:13" x14ac:dyDescent="0.25">
      <c r="A1618" t="s">
        <v>86</v>
      </c>
      <c r="B1618" s="6" t="s">
        <v>287</v>
      </c>
      <c r="C1618" s="13">
        <v>101</v>
      </c>
      <c r="D1618" s="14" t="s">
        <v>92</v>
      </c>
      <c r="E1618">
        <v>14</v>
      </c>
      <c r="F1618" s="8">
        <f>VLOOKUP(financials[[#This Row],[productid]],Products!$B$2:$H$10,3)</f>
        <v>23</v>
      </c>
      <c r="G1618" s="8">
        <f>financials[[#This Row],[Units Sold]]*financials[[#This Row],[Sale Price]]</f>
        <v>322</v>
      </c>
      <c r="H1618" s="8">
        <f>IF(financials[[#This Row],[Discount Band]]="low",0.1,IF(financials[[#This Row],[Discount Band]]="medium",0.15,0.3))</f>
        <v>0.3</v>
      </c>
      <c r="I1618" s="8">
        <f>financials[[#This Row],[Gross Sales]]-financials[[#This Row],[Gross Sales]]*financials[[#This Row],[Discounts]]</f>
        <v>225.4</v>
      </c>
      <c r="J1618" s="8">
        <f>VLOOKUP(financials[[#This Row],[productid]],Products!$B$2:$H$10,4)</f>
        <v>9.9499999999999993</v>
      </c>
      <c r="K1618" s="8">
        <f>financials[[#This Row],[Net Sales]]-financials[[#This Row],[COGS]]</f>
        <v>215.45000000000002</v>
      </c>
      <c r="L1618" s="15">
        <v>44038</v>
      </c>
      <c r="M1618" t="s">
        <v>696</v>
      </c>
    </row>
    <row r="1619" spans="1:13" x14ac:dyDescent="0.25">
      <c r="A1619" t="s">
        <v>86</v>
      </c>
      <c r="B1619" s="6" t="s">
        <v>268</v>
      </c>
      <c r="C1619" s="13">
        <v>108</v>
      </c>
      <c r="D1619" s="14" t="s">
        <v>91</v>
      </c>
      <c r="E1619">
        <v>9</v>
      </c>
      <c r="F1619" s="8">
        <f>VLOOKUP(financials[[#This Row],[productid]],Products!$B$2:$H$10,3)</f>
        <v>5.5</v>
      </c>
      <c r="G1619" s="8">
        <f>financials[[#This Row],[Units Sold]]*financials[[#This Row],[Sale Price]]</f>
        <v>49.5</v>
      </c>
      <c r="H1619" s="8">
        <f>IF(financials[[#This Row],[Discount Band]]="low",0.1,IF(financials[[#This Row],[Discount Band]]="medium",0.15,0.3))</f>
        <v>0.1</v>
      </c>
      <c r="I1619" s="8">
        <f>financials[[#This Row],[Gross Sales]]-financials[[#This Row],[Gross Sales]]*financials[[#This Row],[Discounts]]</f>
        <v>44.55</v>
      </c>
      <c r="J1619" s="8">
        <f>VLOOKUP(financials[[#This Row],[productid]],Products!$B$2:$H$10,4)</f>
        <v>3.99</v>
      </c>
      <c r="K1619" s="8">
        <f>financials[[#This Row],[Net Sales]]-financials[[#This Row],[COGS]]</f>
        <v>40.559999999999995</v>
      </c>
      <c r="L1619" s="15">
        <v>44107</v>
      </c>
      <c r="M1619" t="s">
        <v>690</v>
      </c>
    </row>
    <row r="1620" spans="1:13" x14ac:dyDescent="0.25">
      <c r="A1620" t="s">
        <v>85</v>
      </c>
      <c r="B1620" s="6" t="s">
        <v>94</v>
      </c>
      <c r="C1620" s="11">
        <v>105</v>
      </c>
      <c r="D1620" s="9" t="s">
        <v>91</v>
      </c>
      <c r="E1620">
        <v>13</v>
      </c>
      <c r="F1620" s="8">
        <f>VLOOKUP(financials[[#This Row],[productid]],Products!$B$2:$H$10,3)</f>
        <v>15</v>
      </c>
      <c r="G1620" s="8">
        <f>financials[[#This Row],[Units Sold]]*financials[[#This Row],[Sale Price]]</f>
        <v>195</v>
      </c>
      <c r="H1620" s="8">
        <f>IF(financials[[#This Row],[Discount Band]]="low",0.1,IF(financials[[#This Row],[Discount Band]]="medium",0.15,0.3))</f>
        <v>0.1</v>
      </c>
      <c r="I1620" s="8">
        <f>financials[[#This Row],[Gross Sales]]-financials[[#This Row],[Gross Sales]]*financials[[#This Row],[Discounts]]</f>
        <v>175.5</v>
      </c>
      <c r="J1620" s="8">
        <f>VLOOKUP(financials[[#This Row],[productid]],Products!$B$2:$H$10,4)</f>
        <v>10</v>
      </c>
      <c r="K1620" s="8">
        <f>financials[[#This Row],[Net Sales]]-financials[[#This Row],[COGS]]</f>
        <v>165.5</v>
      </c>
      <c r="L1620" s="15">
        <v>45135</v>
      </c>
      <c r="M1620" t="s">
        <v>691</v>
      </c>
    </row>
    <row r="1621" spans="1:13" x14ac:dyDescent="0.25">
      <c r="A1621" t="s">
        <v>85</v>
      </c>
      <c r="B1621" s="6" t="s">
        <v>167</v>
      </c>
      <c r="C1621" s="11">
        <v>102</v>
      </c>
      <c r="D1621" s="9" t="s">
        <v>83</v>
      </c>
      <c r="E1621">
        <v>16</v>
      </c>
      <c r="F1621" s="8">
        <f>VLOOKUP(financials[[#This Row],[productid]],Products!$B$2:$H$10,3)</f>
        <v>15</v>
      </c>
      <c r="G1621" s="8">
        <f>financials[[#This Row],[Units Sold]]*financials[[#This Row],[Sale Price]]</f>
        <v>240</v>
      </c>
      <c r="H1621" s="8">
        <f>IF(financials[[#This Row],[Discount Band]]="low",0.1,IF(financials[[#This Row],[Discount Band]]="medium",0.15,0.3))</f>
        <v>0.3</v>
      </c>
      <c r="I1621" s="8">
        <f>financials[[#This Row],[Gross Sales]]-financials[[#This Row],[Gross Sales]]*financials[[#This Row],[Discounts]]</f>
        <v>168</v>
      </c>
      <c r="J1621" s="8">
        <f>VLOOKUP(financials[[#This Row],[productid]],Products!$B$2:$H$10,4)</f>
        <v>13.95</v>
      </c>
      <c r="K1621" s="8">
        <f>financials[[#This Row],[Net Sales]]-financials[[#This Row],[COGS]]</f>
        <v>154.05000000000001</v>
      </c>
      <c r="L1621" s="15">
        <v>44945</v>
      </c>
      <c r="M1621" t="s">
        <v>696</v>
      </c>
    </row>
    <row r="1622" spans="1:13" x14ac:dyDescent="0.25">
      <c r="A1622" t="s">
        <v>89</v>
      </c>
      <c r="B1622" s="6" t="s">
        <v>276</v>
      </c>
      <c r="C1622" s="13">
        <v>105</v>
      </c>
      <c r="D1622" s="14" t="s">
        <v>90</v>
      </c>
      <c r="E1622">
        <v>14</v>
      </c>
      <c r="F1622" s="8">
        <f>VLOOKUP(financials[[#This Row],[productid]],Products!$B$2:$H$10,3)</f>
        <v>15</v>
      </c>
      <c r="G1622" s="8">
        <f>financials[[#This Row],[Units Sold]]*financials[[#This Row],[Sale Price]]</f>
        <v>210</v>
      </c>
      <c r="H1622" s="8">
        <f>IF(financials[[#This Row],[Discount Band]]="low",0.1,IF(financials[[#This Row],[Discount Band]]="medium",0.15,0.3))</f>
        <v>0.15</v>
      </c>
      <c r="I1622" s="8">
        <f>financials[[#This Row],[Gross Sales]]-financials[[#This Row],[Gross Sales]]*financials[[#This Row],[Discounts]]</f>
        <v>178.5</v>
      </c>
      <c r="J1622" s="8">
        <f>VLOOKUP(financials[[#This Row],[productid]],Products!$B$2:$H$10,4)</f>
        <v>10</v>
      </c>
      <c r="K1622" s="8">
        <f>financials[[#This Row],[Net Sales]]-financials[[#This Row],[COGS]]</f>
        <v>168.5</v>
      </c>
      <c r="L1622" s="15">
        <v>43955</v>
      </c>
      <c r="M1622" t="s">
        <v>691</v>
      </c>
    </row>
    <row r="1623" spans="1:13" x14ac:dyDescent="0.25">
      <c r="A1623" t="s">
        <v>87</v>
      </c>
      <c r="B1623" s="6" t="s">
        <v>545</v>
      </c>
      <c r="C1623" s="13">
        <v>109</v>
      </c>
      <c r="D1623" s="14" t="s">
        <v>91</v>
      </c>
      <c r="E1623">
        <v>12</v>
      </c>
      <c r="F1623" s="8">
        <f>VLOOKUP(financials[[#This Row],[productid]],Products!$B$2:$H$10,3)</f>
        <v>36</v>
      </c>
      <c r="G1623" s="8">
        <f>financials[[#This Row],[Units Sold]]*financials[[#This Row],[Sale Price]]</f>
        <v>432</v>
      </c>
      <c r="H1623" s="8">
        <f>IF(financials[[#This Row],[Discount Band]]="low",0.1,IF(financials[[#This Row],[Discount Band]]="medium",0.15,0.3))</f>
        <v>0.1</v>
      </c>
      <c r="I1623" s="8">
        <f>financials[[#This Row],[Gross Sales]]-financials[[#This Row],[Gross Sales]]*financials[[#This Row],[Discounts]]</f>
        <v>388.8</v>
      </c>
      <c r="J1623" s="8">
        <f>VLOOKUP(financials[[#This Row],[productid]],Products!$B$2:$H$10,4)</f>
        <v>16.8</v>
      </c>
      <c r="K1623" s="8">
        <f>financials[[#This Row],[Net Sales]]-financials[[#This Row],[COGS]]</f>
        <v>372</v>
      </c>
      <c r="L1623" s="15">
        <v>45477</v>
      </c>
      <c r="M1623" t="s">
        <v>700</v>
      </c>
    </row>
    <row r="1624" spans="1:13" x14ac:dyDescent="0.25">
      <c r="A1624" t="s">
        <v>89</v>
      </c>
      <c r="B1624" s="6" t="s">
        <v>94</v>
      </c>
      <c r="C1624" s="13">
        <v>101</v>
      </c>
      <c r="D1624" s="14" t="s">
        <v>90</v>
      </c>
      <c r="E1624">
        <v>16</v>
      </c>
      <c r="F1624" s="8">
        <f>VLOOKUP(financials[[#This Row],[productid]],Products!$B$2:$H$10,3)</f>
        <v>23</v>
      </c>
      <c r="G1624" s="8">
        <f>financials[[#This Row],[Units Sold]]*financials[[#This Row],[Sale Price]]</f>
        <v>368</v>
      </c>
      <c r="H1624" s="8">
        <f>IF(financials[[#This Row],[Discount Band]]="low",0.1,IF(financials[[#This Row],[Discount Band]]="medium",0.15,0.3))</f>
        <v>0.15</v>
      </c>
      <c r="I1624" s="8">
        <f>financials[[#This Row],[Gross Sales]]-financials[[#This Row],[Gross Sales]]*financials[[#This Row],[Discounts]]</f>
        <v>312.8</v>
      </c>
      <c r="J1624" s="8">
        <f>VLOOKUP(financials[[#This Row],[productid]],Products!$B$2:$H$10,4)</f>
        <v>9.9499999999999993</v>
      </c>
      <c r="K1624" s="8">
        <f>financials[[#This Row],[Net Sales]]-financials[[#This Row],[COGS]]</f>
        <v>302.85000000000002</v>
      </c>
      <c r="L1624" s="15">
        <v>44609</v>
      </c>
      <c r="M1624" t="s">
        <v>697</v>
      </c>
    </row>
    <row r="1625" spans="1:13" x14ac:dyDescent="0.25">
      <c r="A1625" t="s">
        <v>86</v>
      </c>
      <c r="B1625" s="6" t="s">
        <v>617</v>
      </c>
      <c r="C1625" s="13">
        <v>106</v>
      </c>
      <c r="D1625" s="14" t="s">
        <v>90</v>
      </c>
      <c r="E1625">
        <v>6</v>
      </c>
      <c r="F1625" s="8">
        <f>VLOOKUP(financials[[#This Row],[productid]],Products!$B$2:$H$10,3)</f>
        <v>25</v>
      </c>
      <c r="G1625" s="8">
        <f>financials[[#This Row],[Units Sold]]*financials[[#This Row],[Sale Price]]</f>
        <v>150</v>
      </c>
      <c r="H1625" s="8">
        <f>IF(financials[[#This Row],[Discount Band]]="low",0.1,IF(financials[[#This Row],[Discount Band]]="medium",0.15,0.3))</f>
        <v>0.15</v>
      </c>
      <c r="I1625" s="8">
        <f>financials[[#This Row],[Gross Sales]]-financials[[#This Row],[Gross Sales]]*financials[[#This Row],[Discounts]]</f>
        <v>127.5</v>
      </c>
      <c r="J1625" s="8">
        <f>VLOOKUP(financials[[#This Row],[productid]],Products!$B$2:$H$10,4)</f>
        <v>9.1</v>
      </c>
      <c r="K1625" s="8">
        <f>financials[[#This Row],[Net Sales]]-financials[[#This Row],[COGS]]</f>
        <v>118.4</v>
      </c>
      <c r="L1625" s="15">
        <v>44191</v>
      </c>
      <c r="M1625" t="s">
        <v>700</v>
      </c>
    </row>
    <row r="1626" spans="1:13" x14ac:dyDescent="0.25">
      <c r="A1626" t="s">
        <v>86</v>
      </c>
      <c r="B1626" s="6" t="s">
        <v>228</v>
      </c>
      <c r="C1626" s="13">
        <v>101</v>
      </c>
      <c r="D1626" s="14" t="s">
        <v>90</v>
      </c>
      <c r="E1626">
        <v>19</v>
      </c>
      <c r="F1626" s="8">
        <f>VLOOKUP(financials[[#This Row],[productid]],Products!$B$2:$H$10,3)</f>
        <v>23</v>
      </c>
      <c r="G1626" s="8">
        <f>financials[[#This Row],[Units Sold]]*financials[[#This Row],[Sale Price]]</f>
        <v>437</v>
      </c>
      <c r="H1626" s="8">
        <f>IF(financials[[#This Row],[Discount Band]]="low",0.1,IF(financials[[#This Row],[Discount Band]]="medium",0.15,0.3))</f>
        <v>0.15</v>
      </c>
      <c r="I1626" s="8">
        <f>financials[[#This Row],[Gross Sales]]-financials[[#This Row],[Gross Sales]]*financials[[#This Row],[Discounts]]</f>
        <v>371.45</v>
      </c>
      <c r="J1626" s="8">
        <f>VLOOKUP(financials[[#This Row],[productid]],Products!$B$2:$H$10,4)</f>
        <v>9.9499999999999993</v>
      </c>
      <c r="K1626" s="8">
        <f>financials[[#This Row],[Net Sales]]-financials[[#This Row],[COGS]]</f>
        <v>361.5</v>
      </c>
      <c r="L1626" s="15">
        <v>45153</v>
      </c>
      <c r="M1626" t="s">
        <v>691</v>
      </c>
    </row>
    <row r="1627" spans="1:13" x14ac:dyDescent="0.25">
      <c r="A1627" t="s">
        <v>86</v>
      </c>
      <c r="B1627" s="6" t="s">
        <v>545</v>
      </c>
      <c r="C1627" s="13">
        <v>109</v>
      </c>
      <c r="D1627" s="14" t="s">
        <v>83</v>
      </c>
      <c r="E1627">
        <v>5</v>
      </c>
      <c r="F1627" s="8">
        <f>VLOOKUP(financials[[#This Row],[productid]],Products!$B$2:$H$10,3)</f>
        <v>36</v>
      </c>
      <c r="G1627" s="8">
        <f>financials[[#This Row],[Units Sold]]*financials[[#This Row],[Sale Price]]</f>
        <v>180</v>
      </c>
      <c r="H1627" s="8">
        <f>IF(financials[[#This Row],[Discount Band]]="low",0.1,IF(financials[[#This Row],[Discount Band]]="medium",0.15,0.3))</f>
        <v>0.3</v>
      </c>
      <c r="I1627" s="8">
        <f>financials[[#This Row],[Gross Sales]]-financials[[#This Row],[Gross Sales]]*financials[[#This Row],[Discounts]]</f>
        <v>126</v>
      </c>
      <c r="J1627" s="8">
        <f>VLOOKUP(financials[[#This Row],[productid]],Products!$B$2:$H$10,4)</f>
        <v>16.8</v>
      </c>
      <c r="K1627" s="8">
        <f>financials[[#This Row],[Net Sales]]-financials[[#This Row],[COGS]]</f>
        <v>109.2</v>
      </c>
      <c r="L1627" s="15">
        <v>44731</v>
      </c>
      <c r="M1627" t="s">
        <v>690</v>
      </c>
    </row>
    <row r="1628" spans="1:13" x14ac:dyDescent="0.25">
      <c r="A1628" t="s">
        <v>85</v>
      </c>
      <c r="B1628" s="6" t="s">
        <v>276</v>
      </c>
      <c r="C1628" s="13">
        <v>104</v>
      </c>
      <c r="D1628" s="14" t="s">
        <v>92</v>
      </c>
      <c r="E1628">
        <v>16</v>
      </c>
      <c r="F1628" s="8">
        <f>VLOOKUP(financials[[#This Row],[productid]],Products!$B$2:$H$10,3)</f>
        <v>5.9</v>
      </c>
      <c r="G1628" s="8">
        <f>financials[[#This Row],[Units Sold]]*financials[[#This Row],[Sale Price]]</f>
        <v>94.4</v>
      </c>
      <c r="H1628" s="8">
        <f>IF(financials[[#This Row],[Discount Band]]="low",0.1,IF(financials[[#This Row],[Discount Band]]="medium",0.15,0.3))</f>
        <v>0.3</v>
      </c>
      <c r="I1628" s="8">
        <f>financials[[#This Row],[Gross Sales]]-financials[[#This Row],[Gross Sales]]*financials[[#This Row],[Discounts]]</f>
        <v>66.080000000000013</v>
      </c>
      <c r="J1628" s="8">
        <f>VLOOKUP(financials[[#This Row],[productid]],Products!$B$2:$H$10,4)</f>
        <v>2.9</v>
      </c>
      <c r="K1628" s="8">
        <f>financials[[#This Row],[Net Sales]]-financials[[#This Row],[COGS]]</f>
        <v>63.180000000000014</v>
      </c>
      <c r="L1628" s="15">
        <v>45262</v>
      </c>
      <c r="M1628" t="s">
        <v>691</v>
      </c>
    </row>
    <row r="1629" spans="1:13" x14ac:dyDescent="0.25">
      <c r="A1629" t="s">
        <v>89</v>
      </c>
      <c r="B1629" s="6" t="s">
        <v>545</v>
      </c>
      <c r="C1629" s="13">
        <v>101</v>
      </c>
      <c r="D1629" s="14" t="s">
        <v>83</v>
      </c>
      <c r="E1629">
        <v>15</v>
      </c>
      <c r="F1629" s="8">
        <f>VLOOKUP(financials[[#This Row],[productid]],Products!$B$2:$H$10,3)</f>
        <v>23</v>
      </c>
      <c r="G1629" s="8">
        <f>financials[[#This Row],[Units Sold]]*financials[[#This Row],[Sale Price]]</f>
        <v>345</v>
      </c>
      <c r="H1629" s="8">
        <f>IF(financials[[#This Row],[Discount Band]]="low",0.1,IF(financials[[#This Row],[Discount Band]]="medium",0.15,0.3))</f>
        <v>0.3</v>
      </c>
      <c r="I1629" s="8">
        <f>financials[[#This Row],[Gross Sales]]-financials[[#This Row],[Gross Sales]]*financials[[#This Row],[Discounts]]</f>
        <v>241.5</v>
      </c>
      <c r="J1629" s="8">
        <f>VLOOKUP(financials[[#This Row],[productid]],Products!$B$2:$H$10,4)</f>
        <v>9.9499999999999993</v>
      </c>
      <c r="K1629" s="8">
        <f>financials[[#This Row],[Net Sales]]-financials[[#This Row],[COGS]]</f>
        <v>231.55</v>
      </c>
      <c r="L1629" s="15">
        <v>44952</v>
      </c>
      <c r="M1629" t="s">
        <v>691</v>
      </c>
    </row>
    <row r="1630" spans="1:13" x14ac:dyDescent="0.25">
      <c r="A1630" t="s">
        <v>89</v>
      </c>
      <c r="B1630" s="6" t="s">
        <v>273</v>
      </c>
      <c r="C1630" s="13">
        <v>106</v>
      </c>
      <c r="D1630" s="14" t="s">
        <v>91</v>
      </c>
      <c r="E1630">
        <v>13</v>
      </c>
      <c r="F1630" s="8">
        <f>VLOOKUP(financials[[#This Row],[productid]],Products!$B$2:$H$10,3)</f>
        <v>25</v>
      </c>
      <c r="G1630" s="8">
        <f>financials[[#This Row],[Units Sold]]*financials[[#This Row],[Sale Price]]</f>
        <v>325</v>
      </c>
      <c r="H1630" s="8">
        <f>IF(financials[[#This Row],[Discount Band]]="low",0.1,IF(financials[[#This Row],[Discount Band]]="medium",0.15,0.3))</f>
        <v>0.1</v>
      </c>
      <c r="I1630" s="8">
        <f>financials[[#This Row],[Gross Sales]]-financials[[#This Row],[Gross Sales]]*financials[[#This Row],[Discounts]]</f>
        <v>292.5</v>
      </c>
      <c r="J1630" s="8">
        <f>VLOOKUP(financials[[#This Row],[productid]],Products!$B$2:$H$10,4)</f>
        <v>9.1</v>
      </c>
      <c r="K1630" s="8">
        <f>financials[[#This Row],[Net Sales]]-financials[[#This Row],[COGS]]</f>
        <v>283.39999999999998</v>
      </c>
      <c r="L1630" s="15">
        <v>45106</v>
      </c>
      <c r="M1630" t="s">
        <v>691</v>
      </c>
    </row>
    <row r="1631" spans="1:13" x14ac:dyDescent="0.25">
      <c r="A1631" t="s">
        <v>85</v>
      </c>
      <c r="B1631" s="6" t="s">
        <v>198</v>
      </c>
      <c r="C1631" s="13">
        <v>108</v>
      </c>
      <c r="D1631" s="14" t="s">
        <v>92</v>
      </c>
      <c r="E1631">
        <v>13</v>
      </c>
      <c r="F1631" s="8">
        <f>VLOOKUP(financials[[#This Row],[productid]],Products!$B$2:$H$10,3)</f>
        <v>5.5</v>
      </c>
      <c r="G1631" s="8">
        <f>financials[[#This Row],[Units Sold]]*financials[[#This Row],[Sale Price]]</f>
        <v>71.5</v>
      </c>
      <c r="H1631" s="8">
        <f>IF(financials[[#This Row],[Discount Band]]="low",0.1,IF(financials[[#This Row],[Discount Band]]="medium",0.15,0.3))</f>
        <v>0.3</v>
      </c>
      <c r="I1631" s="8">
        <f>financials[[#This Row],[Gross Sales]]-financials[[#This Row],[Gross Sales]]*financials[[#This Row],[Discounts]]</f>
        <v>50.05</v>
      </c>
      <c r="J1631" s="8">
        <f>VLOOKUP(financials[[#This Row],[productid]],Products!$B$2:$H$10,4)</f>
        <v>3.99</v>
      </c>
      <c r="K1631" s="8">
        <f>financials[[#This Row],[Net Sales]]-financials[[#This Row],[COGS]]</f>
        <v>46.059999999999995</v>
      </c>
      <c r="L1631" s="15">
        <v>44781</v>
      </c>
      <c r="M1631" t="s">
        <v>697</v>
      </c>
    </row>
    <row r="1632" spans="1:13" x14ac:dyDescent="0.25">
      <c r="A1632" t="s">
        <v>89</v>
      </c>
      <c r="B1632" s="6" t="s">
        <v>205</v>
      </c>
      <c r="C1632" s="13">
        <v>103</v>
      </c>
      <c r="D1632" s="14" t="s">
        <v>83</v>
      </c>
      <c r="E1632">
        <v>17</v>
      </c>
      <c r="F1632" s="8">
        <f>VLOOKUP(financials[[#This Row],[productid]],Products!$B$2:$H$10,3)</f>
        <v>28</v>
      </c>
      <c r="G1632" s="8">
        <f>financials[[#This Row],[Units Sold]]*financials[[#This Row],[Sale Price]]</f>
        <v>476</v>
      </c>
      <c r="H1632" s="8">
        <f>IF(financials[[#This Row],[Discount Band]]="low",0.1,IF(financials[[#This Row],[Discount Band]]="medium",0.15,0.3))</f>
        <v>0.3</v>
      </c>
      <c r="I1632" s="8">
        <f>financials[[#This Row],[Gross Sales]]-financials[[#This Row],[Gross Sales]]*financials[[#This Row],[Discounts]]</f>
        <v>333.20000000000005</v>
      </c>
      <c r="J1632" s="8">
        <f>VLOOKUP(financials[[#This Row],[productid]],Products!$B$2:$H$10,4)</f>
        <v>15</v>
      </c>
      <c r="K1632" s="8">
        <f>financials[[#This Row],[Net Sales]]-financials[[#This Row],[COGS]]</f>
        <v>318.20000000000005</v>
      </c>
      <c r="L1632" s="15">
        <v>44266</v>
      </c>
      <c r="M1632" t="s">
        <v>690</v>
      </c>
    </row>
    <row r="1633" spans="1:13" x14ac:dyDescent="0.25">
      <c r="A1633" t="s">
        <v>86</v>
      </c>
      <c r="B1633" s="6" t="s">
        <v>205</v>
      </c>
      <c r="C1633" s="13">
        <v>109</v>
      </c>
      <c r="D1633" s="14" t="s">
        <v>90</v>
      </c>
      <c r="E1633">
        <v>19</v>
      </c>
      <c r="F1633" s="8">
        <f>VLOOKUP(financials[[#This Row],[productid]],Products!$B$2:$H$10,3)</f>
        <v>36</v>
      </c>
      <c r="G1633" s="8">
        <f>financials[[#This Row],[Units Sold]]*financials[[#This Row],[Sale Price]]</f>
        <v>684</v>
      </c>
      <c r="H1633" s="8">
        <f>IF(financials[[#This Row],[Discount Band]]="low",0.1,IF(financials[[#This Row],[Discount Band]]="medium",0.15,0.3))</f>
        <v>0.15</v>
      </c>
      <c r="I1633" s="8">
        <f>financials[[#This Row],[Gross Sales]]-financials[[#This Row],[Gross Sales]]*financials[[#This Row],[Discounts]]</f>
        <v>581.4</v>
      </c>
      <c r="J1633" s="8">
        <f>VLOOKUP(financials[[#This Row],[productid]],Products!$B$2:$H$10,4)</f>
        <v>16.8</v>
      </c>
      <c r="K1633" s="8">
        <f>financials[[#This Row],[Net Sales]]-financials[[#This Row],[COGS]]</f>
        <v>564.6</v>
      </c>
      <c r="L1633" s="15">
        <v>44902</v>
      </c>
      <c r="M1633" t="s">
        <v>696</v>
      </c>
    </row>
    <row r="1634" spans="1:13" x14ac:dyDescent="0.25">
      <c r="A1634" t="s">
        <v>86</v>
      </c>
      <c r="B1634" s="6" t="s">
        <v>95</v>
      </c>
      <c r="C1634" s="13">
        <v>101</v>
      </c>
      <c r="D1634" s="14" t="s">
        <v>90</v>
      </c>
      <c r="E1634">
        <v>16</v>
      </c>
      <c r="F1634" s="8">
        <f>VLOOKUP(financials[[#This Row],[productid]],Products!$B$2:$H$10,3)</f>
        <v>23</v>
      </c>
      <c r="G1634" s="8">
        <f>financials[[#This Row],[Units Sold]]*financials[[#This Row],[Sale Price]]</f>
        <v>368</v>
      </c>
      <c r="H1634" s="8">
        <f>IF(financials[[#This Row],[Discount Band]]="low",0.1,IF(financials[[#This Row],[Discount Band]]="medium",0.15,0.3))</f>
        <v>0.15</v>
      </c>
      <c r="I1634" s="8">
        <f>financials[[#This Row],[Gross Sales]]-financials[[#This Row],[Gross Sales]]*financials[[#This Row],[Discounts]]</f>
        <v>312.8</v>
      </c>
      <c r="J1634" s="8">
        <f>VLOOKUP(financials[[#This Row],[productid]],Products!$B$2:$H$10,4)</f>
        <v>9.9499999999999993</v>
      </c>
      <c r="K1634" s="8">
        <f>financials[[#This Row],[Net Sales]]-financials[[#This Row],[COGS]]</f>
        <v>302.85000000000002</v>
      </c>
      <c r="L1634" s="15">
        <v>44467</v>
      </c>
      <c r="M1634" t="s">
        <v>697</v>
      </c>
    </row>
    <row r="1635" spans="1:13" x14ac:dyDescent="0.25">
      <c r="A1635" t="s">
        <v>86</v>
      </c>
      <c r="B1635" s="6" t="s">
        <v>197</v>
      </c>
      <c r="C1635" s="13">
        <v>107</v>
      </c>
      <c r="D1635" s="14" t="s">
        <v>91</v>
      </c>
      <c r="E1635">
        <v>13</v>
      </c>
      <c r="F1635" s="8">
        <f>VLOOKUP(financials[[#This Row],[productid]],Products!$B$2:$H$10,3)</f>
        <v>15</v>
      </c>
      <c r="G1635" s="8">
        <f>financials[[#This Row],[Units Sold]]*financials[[#This Row],[Sale Price]]</f>
        <v>195</v>
      </c>
      <c r="H1635" s="8">
        <f>IF(financials[[#This Row],[Discount Band]]="low",0.1,IF(financials[[#This Row],[Discount Band]]="medium",0.15,0.3))</f>
        <v>0.1</v>
      </c>
      <c r="I1635" s="8">
        <f>financials[[#This Row],[Gross Sales]]-financials[[#This Row],[Gross Sales]]*financials[[#This Row],[Discounts]]</f>
        <v>175.5</v>
      </c>
      <c r="J1635" s="8">
        <f>VLOOKUP(financials[[#This Row],[productid]],Products!$B$2:$H$10,4)</f>
        <v>5.5</v>
      </c>
      <c r="K1635" s="8">
        <f>financials[[#This Row],[Net Sales]]-financials[[#This Row],[COGS]]</f>
        <v>170</v>
      </c>
      <c r="L1635" s="15">
        <v>44349</v>
      </c>
      <c r="M1635" t="s">
        <v>691</v>
      </c>
    </row>
    <row r="1636" spans="1:13" x14ac:dyDescent="0.25">
      <c r="A1636" t="s">
        <v>86</v>
      </c>
      <c r="B1636" s="6" t="s">
        <v>167</v>
      </c>
      <c r="C1636" s="13">
        <v>105</v>
      </c>
      <c r="D1636" s="14" t="s">
        <v>92</v>
      </c>
      <c r="E1636">
        <v>5</v>
      </c>
      <c r="F1636" s="8">
        <f>VLOOKUP(financials[[#This Row],[productid]],Products!$B$2:$H$10,3)</f>
        <v>15</v>
      </c>
      <c r="G1636" s="8">
        <f>financials[[#This Row],[Units Sold]]*financials[[#This Row],[Sale Price]]</f>
        <v>75</v>
      </c>
      <c r="H1636" s="8">
        <f>IF(financials[[#This Row],[Discount Band]]="low",0.1,IF(financials[[#This Row],[Discount Band]]="medium",0.15,0.3))</f>
        <v>0.3</v>
      </c>
      <c r="I1636" s="8">
        <f>financials[[#This Row],[Gross Sales]]-financials[[#This Row],[Gross Sales]]*financials[[#This Row],[Discounts]]</f>
        <v>52.5</v>
      </c>
      <c r="J1636" s="8">
        <f>VLOOKUP(financials[[#This Row],[productid]],Products!$B$2:$H$10,4)</f>
        <v>10</v>
      </c>
      <c r="K1636" s="8">
        <f>financials[[#This Row],[Net Sales]]-financials[[#This Row],[COGS]]</f>
        <v>42.5</v>
      </c>
      <c r="L1636" s="15">
        <v>44224</v>
      </c>
      <c r="M1636" t="s">
        <v>700</v>
      </c>
    </row>
    <row r="1637" spans="1:13" x14ac:dyDescent="0.25">
      <c r="A1637" t="s">
        <v>86</v>
      </c>
      <c r="B1637" s="6" t="s">
        <v>276</v>
      </c>
      <c r="C1637" s="13">
        <v>109</v>
      </c>
      <c r="D1637" s="14" t="s">
        <v>90</v>
      </c>
      <c r="E1637">
        <v>11</v>
      </c>
      <c r="F1637" s="8">
        <f>VLOOKUP(financials[[#This Row],[productid]],Products!$B$2:$H$10,3)</f>
        <v>36</v>
      </c>
      <c r="G1637" s="8">
        <f>financials[[#This Row],[Units Sold]]*financials[[#This Row],[Sale Price]]</f>
        <v>396</v>
      </c>
      <c r="H1637" s="8">
        <f>IF(financials[[#This Row],[Discount Band]]="low",0.1,IF(financials[[#This Row],[Discount Band]]="medium",0.15,0.3))</f>
        <v>0.15</v>
      </c>
      <c r="I1637" s="8">
        <f>financials[[#This Row],[Gross Sales]]-financials[[#This Row],[Gross Sales]]*financials[[#This Row],[Discounts]]</f>
        <v>336.6</v>
      </c>
      <c r="J1637" s="8">
        <f>VLOOKUP(financials[[#This Row],[productid]],Products!$B$2:$H$10,4)</f>
        <v>16.8</v>
      </c>
      <c r="K1637" s="8">
        <f>financials[[#This Row],[Net Sales]]-financials[[#This Row],[COGS]]</f>
        <v>319.8</v>
      </c>
      <c r="L1637" s="15">
        <v>44762</v>
      </c>
      <c r="M1637" t="s">
        <v>691</v>
      </c>
    </row>
    <row r="1638" spans="1:13" x14ac:dyDescent="0.25">
      <c r="A1638" t="s">
        <v>87</v>
      </c>
      <c r="B1638" s="6" t="s">
        <v>644</v>
      </c>
      <c r="C1638" s="13">
        <v>106</v>
      </c>
      <c r="D1638" s="14" t="s">
        <v>90</v>
      </c>
      <c r="E1638">
        <v>19</v>
      </c>
      <c r="F1638" s="8">
        <f>VLOOKUP(financials[[#This Row],[productid]],Products!$B$2:$H$10,3)</f>
        <v>25</v>
      </c>
      <c r="G1638" s="8">
        <f>financials[[#This Row],[Units Sold]]*financials[[#This Row],[Sale Price]]</f>
        <v>475</v>
      </c>
      <c r="H1638" s="8">
        <f>IF(financials[[#This Row],[Discount Band]]="low",0.1,IF(financials[[#This Row],[Discount Band]]="medium",0.15,0.3))</f>
        <v>0.15</v>
      </c>
      <c r="I1638" s="8">
        <f>financials[[#This Row],[Gross Sales]]-financials[[#This Row],[Gross Sales]]*financials[[#This Row],[Discounts]]</f>
        <v>403.75</v>
      </c>
      <c r="J1638" s="8">
        <f>VLOOKUP(financials[[#This Row],[productid]],Products!$B$2:$H$10,4)</f>
        <v>9.1</v>
      </c>
      <c r="K1638" s="8">
        <f>financials[[#This Row],[Net Sales]]-financials[[#This Row],[COGS]]</f>
        <v>394.65</v>
      </c>
      <c r="L1638" s="15">
        <v>45517</v>
      </c>
      <c r="M1638" t="s">
        <v>700</v>
      </c>
    </row>
    <row r="1639" spans="1:13" x14ac:dyDescent="0.25">
      <c r="A1639" t="s">
        <v>89</v>
      </c>
      <c r="B1639" s="6" t="s">
        <v>545</v>
      </c>
      <c r="C1639" s="13">
        <v>109</v>
      </c>
      <c r="D1639" s="14" t="s">
        <v>91</v>
      </c>
      <c r="E1639">
        <v>9</v>
      </c>
      <c r="F1639" s="8">
        <f>VLOOKUP(financials[[#This Row],[productid]],Products!$B$2:$H$10,3)</f>
        <v>36</v>
      </c>
      <c r="G1639" s="8">
        <f>financials[[#This Row],[Units Sold]]*financials[[#This Row],[Sale Price]]</f>
        <v>324</v>
      </c>
      <c r="H1639" s="8">
        <f>IF(financials[[#This Row],[Discount Band]]="low",0.1,IF(financials[[#This Row],[Discount Band]]="medium",0.15,0.3))</f>
        <v>0.1</v>
      </c>
      <c r="I1639" s="8">
        <f>financials[[#This Row],[Gross Sales]]-financials[[#This Row],[Gross Sales]]*financials[[#This Row],[Discounts]]</f>
        <v>291.60000000000002</v>
      </c>
      <c r="J1639" s="8">
        <f>VLOOKUP(financials[[#This Row],[productid]],Products!$B$2:$H$10,4)</f>
        <v>16.8</v>
      </c>
      <c r="K1639" s="8">
        <f>financials[[#This Row],[Net Sales]]-financials[[#This Row],[COGS]]</f>
        <v>274.8</v>
      </c>
      <c r="L1639" s="15">
        <v>44764</v>
      </c>
      <c r="M1639" t="s">
        <v>691</v>
      </c>
    </row>
    <row r="1640" spans="1:13" x14ac:dyDescent="0.25">
      <c r="A1640" t="s">
        <v>89</v>
      </c>
      <c r="B1640" s="6" t="s">
        <v>95</v>
      </c>
      <c r="C1640" s="13">
        <v>102</v>
      </c>
      <c r="D1640" s="14" t="s">
        <v>91</v>
      </c>
      <c r="E1640">
        <v>12</v>
      </c>
      <c r="F1640" s="8">
        <f>VLOOKUP(financials[[#This Row],[productid]],Products!$B$2:$H$10,3)</f>
        <v>15</v>
      </c>
      <c r="G1640" s="8">
        <f>financials[[#This Row],[Units Sold]]*financials[[#This Row],[Sale Price]]</f>
        <v>180</v>
      </c>
      <c r="H1640" s="8">
        <f>IF(financials[[#This Row],[Discount Band]]="low",0.1,IF(financials[[#This Row],[Discount Band]]="medium",0.15,0.3))</f>
        <v>0.1</v>
      </c>
      <c r="I1640" s="8">
        <f>financials[[#This Row],[Gross Sales]]-financials[[#This Row],[Gross Sales]]*financials[[#This Row],[Discounts]]</f>
        <v>162</v>
      </c>
      <c r="J1640" s="8">
        <f>VLOOKUP(financials[[#This Row],[productid]],Products!$B$2:$H$10,4)</f>
        <v>13.95</v>
      </c>
      <c r="K1640" s="8">
        <f>financials[[#This Row],[Net Sales]]-financials[[#This Row],[COGS]]</f>
        <v>148.05000000000001</v>
      </c>
      <c r="L1640" s="15">
        <v>45415</v>
      </c>
      <c r="M1640" t="s">
        <v>700</v>
      </c>
    </row>
    <row r="1641" spans="1:13" x14ac:dyDescent="0.25">
      <c r="A1641" t="s">
        <v>85</v>
      </c>
      <c r="B1641" s="6" t="s">
        <v>198</v>
      </c>
      <c r="C1641" s="13">
        <v>107</v>
      </c>
      <c r="D1641" s="14" t="s">
        <v>83</v>
      </c>
      <c r="E1641">
        <v>12</v>
      </c>
      <c r="F1641" s="8">
        <f>VLOOKUP(financials[[#This Row],[productid]],Products!$B$2:$H$10,3)</f>
        <v>15</v>
      </c>
      <c r="G1641" s="8">
        <f>financials[[#This Row],[Units Sold]]*financials[[#This Row],[Sale Price]]</f>
        <v>180</v>
      </c>
      <c r="H1641" s="8">
        <f>IF(financials[[#This Row],[Discount Band]]="low",0.1,IF(financials[[#This Row],[Discount Band]]="medium",0.15,0.3))</f>
        <v>0.3</v>
      </c>
      <c r="I1641" s="8">
        <f>financials[[#This Row],[Gross Sales]]-financials[[#This Row],[Gross Sales]]*financials[[#This Row],[Discounts]]</f>
        <v>126</v>
      </c>
      <c r="J1641" s="8">
        <f>VLOOKUP(financials[[#This Row],[productid]],Products!$B$2:$H$10,4)</f>
        <v>5.5</v>
      </c>
      <c r="K1641" s="8">
        <f>financials[[#This Row],[Net Sales]]-financials[[#This Row],[COGS]]</f>
        <v>120.5</v>
      </c>
      <c r="L1641" s="15">
        <v>43915</v>
      </c>
      <c r="M1641" t="s">
        <v>697</v>
      </c>
    </row>
    <row r="1642" spans="1:13" x14ac:dyDescent="0.25">
      <c r="A1642" t="s">
        <v>85</v>
      </c>
      <c r="B1642" s="6" t="s">
        <v>276</v>
      </c>
      <c r="C1642" s="13">
        <v>106</v>
      </c>
      <c r="D1642" s="14" t="s">
        <v>90</v>
      </c>
      <c r="E1642">
        <v>18</v>
      </c>
      <c r="F1642" s="8">
        <f>VLOOKUP(financials[[#This Row],[productid]],Products!$B$2:$H$10,3)</f>
        <v>25</v>
      </c>
      <c r="G1642" s="8">
        <f>financials[[#This Row],[Units Sold]]*financials[[#This Row],[Sale Price]]</f>
        <v>450</v>
      </c>
      <c r="H1642" s="8">
        <f>IF(financials[[#This Row],[Discount Band]]="low",0.1,IF(financials[[#This Row],[Discount Band]]="medium",0.15,0.3))</f>
        <v>0.15</v>
      </c>
      <c r="I1642" s="8">
        <f>financials[[#This Row],[Gross Sales]]-financials[[#This Row],[Gross Sales]]*financials[[#This Row],[Discounts]]</f>
        <v>382.5</v>
      </c>
      <c r="J1642" s="8">
        <f>VLOOKUP(financials[[#This Row],[productid]],Products!$B$2:$H$10,4)</f>
        <v>9.1</v>
      </c>
      <c r="K1642" s="8">
        <f>financials[[#This Row],[Net Sales]]-financials[[#This Row],[COGS]]</f>
        <v>373.4</v>
      </c>
      <c r="L1642" s="15">
        <v>44125</v>
      </c>
      <c r="M1642" t="s">
        <v>691</v>
      </c>
    </row>
    <row r="1643" spans="1:13" x14ac:dyDescent="0.25">
      <c r="A1643" t="s">
        <v>86</v>
      </c>
      <c r="B1643" s="6" t="s">
        <v>198</v>
      </c>
      <c r="C1643" s="13">
        <v>104</v>
      </c>
      <c r="D1643" s="14" t="s">
        <v>83</v>
      </c>
      <c r="E1643">
        <v>14</v>
      </c>
      <c r="F1643" s="8">
        <f>VLOOKUP(financials[[#This Row],[productid]],Products!$B$2:$H$10,3)</f>
        <v>5.9</v>
      </c>
      <c r="G1643" s="8">
        <f>financials[[#This Row],[Units Sold]]*financials[[#This Row],[Sale Price]]</f>
        <v>82.600000000000009</v>
      </c>
      <c r="H1643" s="8">
        <f>IF(financials[[#This Row],[Discount Band]]="low",0.1,IF(financials[[#This Row],[Discount Band]]="medium",0.15,0.3))</f>
        <v>0.3</v>
      </c>
      <c r="I1643" s="8">
        <f>financials[[#This Row],[Gross Sales]]-financials[[#This Row],[Gross Sales]]*financials[[#This Row],[Discounts]]</f>
        <v>57.820000000000007</v>
      </c>
      <c r="J1643" s="8">
        <f>VLOOKUP(financials[[#This Row],[productid]],Products!$B$2:$H$10,4)</f>
        <v>2.9</v>
      </c>
      <c r="K1643" s="8">
        <f>financials[[#This Row],[Net Sales]]-financials[[#This Row],[COGS]]</f>
        <v>54.920000000000009</v>
      </c>
      <c r="L1643" s="15">
        <v>44525</v>
      </c>
      <c r="M1643" t="s">
        <v>700</v>
      </c>
    </row>
    <row r="1644" spans="1:13" x14ac:dyDescent="0.25">
      <c r="A1644" t="s">
        <v>89</v>
      </c>
      <c r="B1644" s="6" t="s">
        <v>268</v>
      </c>
      <c r="C1644" s="13">
        <v>105</v>
      </c>
      <c r="D1644" s="14" t="s">
        <v>92</v>
      </c>
      <c r="E1644">
        <v>19</v>
      </c>
      <c r="F1644" s="8">
        <f>VLOOKUP(financials[[#This Row],[productid]],Products!$B$2:$H$10,3)</f>
        <v>15</v>
      </c>
      <c r="G1644" s="8">
        <f>financials[[#This Row],[Units Sold]]*financials[[#This Row],[Sale Price]]</f>
        <v>285</v>
      </c>
      <c r="H1644" s="8">
        <f>IF(financials[[#This Row],[Discount Band]]="low",0.1,IF(financials[[#This Row],[Discount Band]]="medium",0.15,0.3))</f>
        <v>0.3</v>
      </c>
      <c r="I1644" s="8">
        <f>financials[[#This Row],[Gross Sales]]-financials[[#This Row],[Gross Sales]]*financials[[#This Row],[Discounts]]</f>
        <v>199.5</v>
      </c>
      <c r="J1644" s="8">
        <f>VLOOKUP(financials[[#This Row],[productid]],Products!$B$2:$H$10,4)</f>
        <v>10</v>
      </c>
      <c r="K1644" s="8">
        <f>financials[[#This Row],[Net Sales]]-financials[[#This Row],[COGS]]</f>
        <v>189.5</v>
      </c>
      <c r="L1644" s="15">
        <v>45225</v>
      </c>
      <c r="M1644" t="s">
        <v>691</v>
      </c>
    </row>
    <row r="1645" spans="1:13" x14ac:dyDescent="0.25">
      <c r="A1645" t="s">
        <v>85</v>
      </c>
      <c r="B1645" s="6" t="s">
        <v>273</v>
      </c>
      <c r="C1645" s="13">
        <v>105</v>
      </c>
      <c r="D1645" s="14" t="s">
        <v>91</v>
      </c>
      <c r="E1645">
        <v>6</v>
      </c>
      <c r="F1645" s="8">
        <f>VLOOKUP(financials[[#This Row],[productid]],Products!$B$2:$H$10,3)</f>
        <v>15</v>
      </c>
      <c r="G1645" s="8">
        <f>financials[[#This Row],[Units Sold]]*financials[[#This Row],[Sale Price]]</f>
        <v>90</v>
      </c>
      <c r="H1645" s="8">
        <f>IF(financials[[#This Row],[Discount Band]]="low",0.1,IF(financials[[#This Row],[Discount Band]]="medium",0.15,0.3))</f>
        <v>0.1</v>
      </c>
      <c r="I1645" s="8">
        <f>financials[[#This Row],[Gross Sales]]-financials[[#This Row],[Gross Sales]]*financials[[#This Row],[Discounts]]</f>
        <v>81</v>
      </c>
      <c r="J1645" s="8">
        <f>VLOOKUP(financials[[#This Row],[productid]],Products!$B$2:$H$10,4)</f>
        <v>10</v>
      </c>
      <c r="K1645" s="8">
        <f>financials[[#This Row],[Net Sales]]-financials[[#This Row],[COGS]]</f>
        <v>71</v>
      </c>
      <c r="L1645" s="15">
        <v>43939</v>
      </c>
      <c r="M1645" t="s">
        <v>691</v>
      </c>
    </row>
    <row r="1646" spans="1:13" x14ac:dyDescent="0.25">
      <c r="A1646" t="s">
        <v>89</v>
      </c>
      <c r="B1646" s="6" t="s">
        <v>273</v>
      </c>
      <c r="C1646" s="13">
        <v>101</v>
      </c>
      <c r="D1646" s="14" t="s">
        <v>83</v>
      </c>
      <c r="E1646">
        <v>17</v>
      </c>
      <c r="F1646" s="8">
        <f>VLOOKUP(financials[[#This Row],[productid]],Products!$B$2:$H$10,3)</f>
        <v>23</v>
      </c>
      <c r="G1646" s="8">
        <f>financials[[#This Row],[Units Sold]]*financials[[#This Row],[Sale Price]]</f>
        <v>391</v>
      </c>
      <c r="H1646" s="8">
        <f>IF(financials[[#This Row],[Discount Band]]="low",0.1,IF(financials[[#This Row],[Discount Band]]="medium",0.15,0.3))</f>
        <v>0.3</v>
      </c>
      <c r="I1646" s="8">
        <f>financials[[#This Row],[Gross Sales]]-financials[[#This Row],[Gross Sales]]*financials[[#This Row],[Discounts]]</f>
        <v>273.7</v>
      </c>
      <c r="J1646" s="8">
        <f>VLOOKUP(financials[[#This Row],[productid]],Products!$B$2:$H$10,4)</f>
        <v>9.9499999999999993</v>
      </c>
      <c r="K1646" s="8">
        <f>financials[[#This Row],[Net Sales]]-financials[[#This Row],[COGS]]</f>
        <v>263.75</v>
      </c>
      <c r="L1646" s="15">
        <v>44430</v>
      </c>
      <c r="M1646" t="s">
        <v>691</v>
      </c>
    </row>
    <row r="1647" spans="1:13" x14ac:dyDescent="0.25">
      <c r="A1647" t="s">
        <v>89</v>
      </c>
      <c r="B1647" s="6" t="s">
        <v>94</v>
      </c>
      <c r="C1647" s="13">
        <v>102</v>
      </c>
      <c r="D1647" s="14" t="s">
        <v>90</v>
      </c>
      <c r="E1647">
        <v>8</v>
      </c>
      <c r="F1647" s="8">
        <f>VLOOKUP(financials[[#This Row],[productid]],Products!$B$2:$H$10,3)</f>
        <v>15</v>
      </c>
      <c r="G1647" s="8">
        <f>financials[[#This Row],[Units Sold]]*financials[[#This Row],[Sale Price]]</f>
        <v>120</v>
      </c>
      <c r="H1647" s="8">
        <f>IF(financials[[#This Row],[Discount Band]]="low",0.1,IF(financials[[#This Row],[Discount Band]]="medium",0.15,0.3))</f>
        <v>0.15</v>
      </c>
      <c r="I1647" s="8">
        <f>financials[[#This Row],[Gross Sales]]-financials[[#This Row],[Gross Sales]]*financials[[#This Row],[Discounts]]</f>
        <v>102</v>
      </c>
      <c r="J1647" s="8">
        <f>VLOOKUP(financials[[#This Row],[productid]],Products!$B$2:$H$10,4)</f>
        <v>13.95</v>
      </c>
      <c r="K1647" s="8">
        <f>financials[[#This Row],[Net Sales]]-financials[[#This Row],[COGS]]</f>
        <v>88.05</v>
      </c>
      <c r="L1647" s="15">
        <v>44348</v>
      </c>
      <c r="M1647" t="s">
        <v>690</v>
      </c>
    </row>
    <row r="1648" spans="1:13" x14ac:dyDescent="0.25">
      <c r="A1648" t="s">
        <v>86</v>
      </c>
      <c r="B1648" s="6" t="s">
        <v>273</v>
      </c>
      <c r="C1648" s="13">
        <v>104</v>
      </c>
      <c r="D1648" s="14" t="s">
        <v>91</v>
      </c>
      <c r="E1648">
        <v>5</v>
      </c>
      <c r="F1648" s="8">
        <f>VLOOKUP(financials[[#This Row],[productid]],Products!$B$2:$H$10,3)</f>
        <v>5.9</v>
      </c>
      <c r="G1648" s="8">
        <f>financials[[#This Row],[Units Sold]]*financials[[#This Row],[Sale Price]]</f>
        <v>29.5</v>
      </c>
      <c r="H1648" s="8">
        <f>IF(financials[[#This Row],[Discount Band]]="low",0.1,IF(financials[[#This Row],[Discount Band]]="medium",0.15,0.3))</f>
        <v>0.1</v>
      </c>
      <c r="I1648" s="8">
        <f>financials[[#This Row],[Gross Sales]]-financials[[#This Row],[Gross Sales]]*financials[[#This Row],[Discounts]]</f>
        <v>26.55</v>
      </c>
      <c r="J1648" s="8">
        <f>VLOOKUP(financials[[#This Row],[productid]],Products!$B$2:$H$10,4)</f>
        <v>2.9</v>
      </c>
      <c r="K1648" s="8">
        <f>financials[[#This Row],[Net Sales]]-financials[[#This Row],[COGS]]</f>
        <v>23.650000000000002</v>
      </c>
      <c r="L1648" s="15">
        <v>44919</v>
      </c>
      <c r="M1648" t="s">
        <v>697</v>
      </c>
    </row>
    <row r="1649" spans="1:13" x14ac:dyDescent="0.25">
      <c r="A1649" t="s">
        <v>85</v>
      </c>
      <c r="B1649" s="6" t="s">
        <v>205</v>
      </c>
      <c r="C1649" s="13">
        <v>107</v>
      </c>
      <c r="D1649" s="14" t="s">
        <v>83</v>
      </c>
      <c r="E1649">
        <v>12</v>
      </c>
      <c r="F1649" s="8">
        <f>VLOOKUP(financials[[#This Row],[productid]],Products!$B$2:$H$10,3)</f>
        <v>15</v>
      </c>
      <c r="G1649" s="8">
        <f>financials[[#This Row],[Units Sold]]*financials[[#This Row],[Sale Price]]</f>
        <v>180</v>
      </c>
      <c r="H1649" s="8">
        <f>IF(financials[[#This Row],[Discount Band]]="low",0.1,IF(financials[[#This Row],[Discount Band]]="medium",0.15,0.3))</f>
        <v>0.3</v>
      </c>
      <c r="I1649" s="8">
        <f>financials[[#This Row],[Gross Sales]]-financials[[#This Row],[Gross Sales]]*financials[[#This Row],[Discounts]]</f>
        <v>126</v>
      </c>
      <c r="J1649" s="8">
        <f>VLOOKUP(financials[[#This Row],[productid]],Products!$B$2:$H$10,4)</f>
        <v>5.5</v>
      </c>
      <c r="K1649" s="8">
        <f>financials[[#This Row],[Net Sales]]-financials[[#This Row],[COGS]]</f>
        <v>120.5</v>
      </c>
      <c r="L1649" s="15">
        <v>44339</v>
      </c>
      <c r="M1649" t="s">
        <v>700</v>
      </c>
    </row>
    <row r="1650" spans="1:13" x14ac:dyDescent="0.25">
      <c r="A1650" t="s">
        <v>85</v>
      </c>
      <c r="B1650" s="6" t="s">
        <v>273</v>
      </c>
      <c r="C1650" s="13">
        <v>108</v>
      </c>
      <c r="D1650" s="14" t="s">
        <v>90</v>
      </c>
      <c r="E1650">
        <v>16</v>
      </c>
      <c r="F1650" s="8">
        <f>VLOOKUP(financials[[#This Row],[productid]],Products!$B$2:$H$10,3)</f>
        <v>5.5</v>
      </c>
      <c r="G1650" s="8">
        <f>financials[[#This Row],[Units Sold]]*financials[[#This Row],[Sale Price]]</f>
        <v>88</v>
      </c>
      <c r="H1650" s="8">
        <f>IF(financials[[#This Row],[Discount Band]]="low",0.1,IF(financials[[#This Row],[Discount Band]]="medium",0.15,0.3))</f>
        <v>0.15</v>
      </c>
      <c r="I1650" s="8">
        <f>financials[[#This Row],[Gross Sales]]-financials[[#This Row],[Gross Sales]]*financials[[#This Row],[Discounts]]</f>
        <v>74.8</v>
      </c>
      <c r="J1650" s="8">
        <f>VLOOKUP(financials[[#This Row],[productid]],Products!$B$2:$H$10,4)</f>
        <v>3.99</v>
      </c>
      <c r="K1650" s="8">
        <f>financials[[#This Row],[Net Sales]]-financials[[#This Row],[COGS]]</f>
        <v>70.81</v>
      </c>
      <c r="L1650" s="15">
        <v>45611</v>
      </c>
      <c r="M1650" t="s">
        <v>700</v>
      </c>
    </row>
    <row r="1651" spans="1:13" x14ac:dyDescent="0.25">
      <c r="A1651" t="s">
        <v>89</v>
      </c>
      <c r="B1651" s="6" t="s">
        <v>273</v>
      </c>
      <c r="C1651" s="13">
        <v>104</v>
      </c>
      <c r="D1651" s="14" t="s">
        <v>90</v>
      </c>
      <c r="E1651">
        <v>10</v>
      </c>
      <c r="F1651" s="8">
        <f>VLOOKUP(financials[[#This Row],[productid]],Products!$B$2:$H$10,3)</f>
        <v>5.9</v>
      </c>
      <c r="G1651" s="8">
        <f>financials[[#This Row],[Units Sold]]*financials[[#This Row],[Sale Price]]</f>
        <v>59</v>
      </c>
      <c r="H1651" s="8">
        <f>IF(financials[[#This Row],[Discount Band]]="low",0.1,IF(financials[[#This Row],[Discount Band]]="medium",0.15,0.3))</f>
        <v>0.15</v>
      </c>
      <c r="I1651" s="8">
        <f>financials[[#This Row],[Gross Sales]]-financials[[#This Row],[Gross Sales]]*financials[[#This Row],[Discounts]]</f>
        <v>50.15</v>
      </c>
      <c r="J1651" s="8">
        <f>VLOOKUP(financials[[#This Row],[productid]],Products!$B$2:$H$10,4)</f>
        <v>2.9</v>
      </c>
      <c r="K1651" s="8">
        <f>financials[[#This Row],[Net Sales]]-financials[[#This Row],[COGS]]</f>
        <v>47.25</v>
      </c>
      <c r="L1651" s="15">
        <v>45022</v>
      </c>
      <c r="M1651" t="s">
        <v>700</v>
      </c>
    </row>
    <row r="1652" spans="1:13" x14ac:dyDescent="0.25">
      <c r="A1652" t="s">
        <v>86</v>
      </c>
      <c r="B1652" s="6" t="s">
        <v>95</v>
      </c>
      <c r="C1652" s="13">
        <v>107</v>
      </c>
      <c r="D1652" s="14" t="s">
        <v>90</v>
      </c>
      <c r="E1652">
        <v>18</v>
      </c>
      <c r="F1652" s="8">
        <f>VLOOKUP(financials[[#This Row],[productid]],Products!$B$2:$H$10,3)</f>
        <v>15</v>
      </c>
      <c r="G1652" s="8">
        <f>financials[[#This Row],[Units Sold]]*financials[[#This Row],[Sale Price]]</f>
        <v>270</v>
      </c>
      <c r="H1652" s="8">
        <f>IF(financials[[#This Row],[Discount Band]]="low",0.1,IF(financials[[#This Row],[Discount Band]]="medium",0.15,0.3))</f>
        <v>0.15</v>
      </c>
      <c r="I1652" s="8">
        <f>financials[[#This Row],[Gross Sales]]-financials[[#This Row],[Gross Sales]]*financials[[#This Row],[Discounts]]</f>
        <v>229.5</v>
      </c>
      <c r="J1652" s="8">
        <f>VLOOKUP(financials[[#This Row],[productid]],Products!$B$2:$H$10,4)</f>
        <v>5.5</v>
      </c>
      <c r="K1652" s="8">
        <f>financials[[#This Row],[Net Sales]]-financials[[#This Row],[COGS]]</f>
        <v>224</v>
      </c>
      <c r="L1652" s="15">
        <v>45475</v>
      </c>
      <c r="M1652" t="s">
        <v>700</v>
      </c>
    </row>
    <row r="1653" spans="1:13" x14ac:dyDescent="0.25">
      <c r="A1653" t="s">
        <v>86</v>
      </c>
      <c r="B1653" s="6" t="s">
        <v>95</v>
      </c>
      <c r="C1653" s="13">
        <v>101</v>
      </c>
      <c r="D1653" s="14" t="s">
        <v>90</v>
      </c>
      <c r="E1653">
        <v>7</v>
      </c>
      <c r="F1653" s="8">
        <f>VLOOKUP(financials[[#This Row],[productid]],Products!$B$2:$H$10,3)</f>
        <v>23</v>
      </c>
      <c r="G1653" s="8">
        <f>financials[[#This Row],[Units Sold]]*financials[[#This Row],[Sale Price]]</f>
        <v>161</v>
      </c>
      <c r="H1653" s="8">
        <f>IF(financials[[#This Row],[Discount Band]]="low",0.1,IF(financials[[#This Row],[Discount Band]]="medium",0.15,0.3))</f>
        <v>0.15</v>
      </c>
      <c r="I1653" s="8">
        <f>financials[[#This Row],[Gross Sales]]-financials[[#This Row],[Gross Sales]]*financials[[#This Row],[Discounts]]</f>
        <v>136.85</v>
      </c>
      <c r="J1653" s="8">
        <f>VLOOKUP(financials[[#This Row],[productid]],Products!$B$2:$H$10,4)</f>
        <v>9.9499999999999993</v>
      </c>
      <c r="K1653" s="8">
        <f>financials[[#This Row],[Net Sales]]-financials[[#This Row],[COGS]]</f>
        <v>126.89999999999999</v>
      </c>
      <c r="L1653" s="15">
        <v>45110</v>
      </c>
      <c r="M1653" t="s">
        <v>691</v>
      </c>
    </row>
    <row r="1654" spans="1:13" x14ac:dyDescent="0.25">
      <c r="A1654" t="s">
        <v>86</v>
      </c>
      <c r="B1654" s="6" t="s">
        <v>95</v>
      </c>
      <c r="C1654" s="11">
        <v>108</v>
      </c>
      <c r="D1654" s="9" t="s">
        <v>83</v>
      </c>
      <c r="E1654">
        <v>10</v>
      </c>
      <c r="F1654" s="8">
        <f>VLOOKUP(financials[[#This Row],[productid]],Products!$B$2:$H$10,3)</f>
        <v>5.5</v>
      </c>
      <c r="G1654" s="8">
        <f>financials[[#This Row],[Units Sold]]*financials[[#This Row],[Sale Price]]</f>
        <v>55</v>
      </c>
      <c r="H1654" s="8">
        <f>IF(financials[[#This Row],[Discount Band]]="low",0.1,IF(financials[[#This Row],[Discount Band]]="medium",0.15,0.3))</f>
        <v>0.3</v>
      </c>
      <c r="I1654" s="8">
        <f>financials[[#This Row],[Gross Sales]]-financials[[#This Row],[Gross Sales]]*financials[[#This Row],[Discounts]]</f>
        <v>38.5</v>
      </c>
      <c r="J1654" s="8">
        <f>VLOOKUP(financials[[#This Row],[productid]],Products!$B$2:$H$10,4)</f>
        <v>3.99</v>
      </c>
      <c r="K1654" s="8">
        <f>financials[[#This Row],[Net Sales]]-financials[[#This Row],[COGS]]</f>
        <v>34.51</v>
      </c>
      <c r="L1654" s="15">
        <v>45109</v>
      </c>
      <c r="M1654" t="s">
        <v>700</v>
      </c>
    </row>
    <row r="1655" spans="1:13" x14ac:dyDescent="0.25">
      <c r="A1655" t="s">
        <v>85</v>
      </c>
      <c r="B1655" s="6" t="s">
        <v>273</v>
      </c>
      <c r="C1655" s="13">
        <v>107</v>
      </c>
      <c r="D1655" s="14" t="s">
        <v>83</v>
      </c>
      <c r="E1655">
        <v>8</v>
      </c>
      <c r="F1655" s="8">
        <f>VLOOKUP(financials[[#This Row],[productid]],Products!$B$2:$H$10,3)</f>
        <v>15</v>
      </c>
      <c r="G1655" s="8">
        <f>financials[[#This Row],[Units Sold]]*financials[[#This Row],[Sale Price]]</f>
        <v>120</v>
      </c>
      <c r="H1655" s="8">
        <f>IF(financials[[#This Row],[Discount Band]]="low",0.1,IF(financials[[#This Row],[Discount Band]]="medium",0.15,0.3))</f>
        <v>0.3</v>
      </c>
      <c r="I1655" s="8">
        <f>financials[[#This Row],[Gross Sales]]-financials[[#This Row],[Gross Sales]]*financials[[#This Row],[Discounts]]</f>
        <v>84</v>
      </c>
      <c r="J1655" s="8">
        <f>VLOOKUP(financials[[#This Row],[productid]],Products!$B$2:$H$10,4)</f>
        <v>5.5</v>
      </c>
      <c r="K1655" s="8">
        <f>financials[[#This Row],[Net Sales]]-financials[[#This Row],[COGS]]</f>
        <v>78.5</v>
      </c>
      <c r="L1655" s="15">
        <v>44900</v>
      </c>
      <c r="M1655" t="s">
        <v>700</v>
      </c>
    </row>
    <row r="1656" spans="1:13" x14ac:dyDescent="0.25">
      <c r="A1656" t="s">
        <v>85</v>
      </c>
      <c r="B1656" s="6" t="s">
        <v>273</v>
      </c>
      <c r="C1656" s="13">
        <v>103</v>
      </c>
      <c r="D1656" s="14" t="s">
        <v>91</v>
      </c>
      <c r="E1656">
        <v>20</v>
      </c>
      <c r="F1656" s="8">
        <f>VLOOKUP(financials[[#This Row],[productid]],Products!$B$2:$H$10,3)</f>
        <v>28</v>
      </c>
      <c r="G1656" s="8">
        <f>financials[[#This Row],[Units Sold]]*financials[[#This Row],[Sale Price]]</f>
        <v>560</v>
      </c>
      <c r="H1656" s="8">
        <f>IF(financials[[#This Row],[Discount Band]]="low",0.1,IF(financials[[#This Row],[Discount Band]]="medium",0.15,0.3))</f>
        <v>0.1</v>
      </c>
      <c r="I1656" s="8">
        <f>financials[[#This Row],[Gross Sales]]-financials[[#This Row],[Gross Sales]]*financials[[#This Row],[Discounts]]</f>
        <v>504</v>
      </c>
      <c r="J1656" s="8">
        <f>VLOOKUP(financials[[#This Row],[productid]],Products!$B$2:$H$10,4)</f>
        <v>15</v>
      </c>
      <c r="K1656" s="8">
        <f>financials[[#This Row],[Net Sales]]-financials[[#This Row],[COGS]]</f>
        <v>489</v>
      </c>
      <c r="L1656" s="15">
        <v>44483</v>
      </c>
      <c r="M1656" t="s">
        <v>691</v>
      </c>
    </row>
    <row r="1657" spans="1:13" x14ac:dyDescent="0.25">
      <c r="A1657" t="s">
        <v>86</v>
      </c>
      <c r="B1657" s="6" t="s">
        <v>197</v>
      </c>
      <c r="C1657" s="13">
        <v>108</v>
      </c>
      <c r="D1657" s="14" t="s">
        <v>83</v>
      </c>
      <c r="E1657">
        <v>11</v>
      </c>
      <c r="F1657" s="8">
        <f>VLOOKUP(financials[[#This Row],[productid]],Products!$B$2:$H$10,3)</f>
        <v>5.5</v>
      </c>
      <c r="G1657" s="8">
        <f>financials[[#This Row],[Units Sold]]*financials[[#This Row],[Sale Price]]</f>
        <v>60.5</v>
      </c>
      <c r="H1657" s="8">
        <f>IF(financials[[#This Row],[Discount Band]]="low",0.1,IF(financials[[#This Row],[Discount Band]]="medium",0.15,0.3))</f>
        <v>0.3</v>
      </c>
      <c r="I1657" s="8">
        <f>financials[[#This Row],[Gross Sales]]-financials[[#This Row],[Gross Sales]]*financials[[#This Row],[Discounts]]</f>
        <v>42.35</v>
      </c>
      <c r="J1657" s="8">
        <f>VLOOKUP(financials[[#This Row],[productid]],Products!$B$2:$H$10,4)</f>
        <v>3.99</v>
      </c>
      <c r="K1657" s="8">
        <f>financials[[#This Row],[Net Sales]]-financials[[#This Row],[COGS]]</f>
        <v>38.36</v>
      </c>
      <c r="L1657" s="15">
        <v>44634</v>
      </c>
      <c r="M1657" t="s">
        <v>691</v>
      </c>
    </row>
    <row r="1658" spans="1:13" x14ac:dyDescent="0.25">
      <c r="A1658" t="s">
        <v>86</v>
      </c>
      <c r="B1658" s="6" t="s">
        <v>167</v>
      </c>
      <c r="C1658" s="11">
        <v>105</v>
      </c>
      <c r="D1658" s="9" t="s">
        <v>83</v>
      </c>
      <c r="E1658">
        <v>5</v>
      </c>
      <c r="F1658" s="8">
        <f>VLOOKUP(financials[[#This Row],[productid]],Products!$B$2:$H$10,3)</f>
        <v>15</v>
      </c>
      <c r="G1658" s="8">
        <f>financials[[#This Row],[Units Sold]]*financials[[#This Row],[Sale Price]]</f>
        <v>75</v>
      </c>
      <c r="H1658" s="8">
        <f>IF(financials[[#This Row],[Discount Band]]="low",0.1,IF(financials[[#This Row],[Discount Band]]="medium",0.15,0.3))</f>
        <v>0.3</v>
      </c>
      <c r="I1658" s="8">
        <f>financials[[#This Row],[Gross Sales]]-financials[[#This Row],[Gross Sales]]*financials[[#This Row],[Discounts]]</f>
        <v>52.5</v>
      </c>
      <c r="J1658" s="8">
        <f>VLOOKUP(financials[[#This Row],[productid]],Products!$B$2:$H$10,4)</f>
        <v>10</v>
      </c>
      <c r="K1658" s="8">
        <f>financials[[#This Row],[Net Sales]]-financials[[#This Row],[COGS]]</f>
        <v>42.5</v>
      </c>
      <c r="L1658" s="15">
        <v>44686</v>
      </c>
      <c r="M1658" t="s">
        <v>691</v>
      </c>
    </row>
    <row r="1659" spans="1:13" x14ac:dyDescent="0.25">
      <c r="A1659" t="s">
        <v>85</v>
      </c>
      <c r="B1659" s="6" t="s">
        <v>273</v>
      </c>
      <c r="C1659" s="13">
        <v>108</v>
      </c>
      <c r="D1659" s="14" t="s">
        <v>90</v>
      </c>
      <c r="E1659">
        <v>6</v>
      </c>
      <c r="F1659" s="8">
        <f>VLOOKUP(financials[[#This Row],[productid]],Products!$B$2:$H$10,3)</f>
        <v>5.5</v>
      </c>
      <c r="G1659" s="8">
        <f>financials[[#This Row],[Units Sold]]*financials[[#This Row],[Sale Price]]</f>
        <v>33</v>
      </c>
      <c r="H1659" s="8">
        <f>IF(financials[[#This Row],[Discount Band]]="low",0.1,IF(financials[[#This Row],[Discount Band]]="medium",0.15,0.3))</f>
        <v>0.15</v>
      </c>
      <c r="I1659" s="8">
        <f>financials[[#This Row],[Gross Sales]]-financials[[#This Row],[Gross Sales]]*financials[[#This Row],[Discounts]]</f>
        <v>28.05</v>
      </c>
      <c r="J1659" s="8">
        <f>VLOOKUP(financials[[#This Row],[productid]],Products!$B$2:$H$10,4)</f>
        <v>3.99</v>
      </c>
      <c r="K1659" s="8">
        <f>financials[[#This Row],[Net Sales]]-financials[[#This Row],[COGS]]</f>
        <v>24.060000000000002</v>
      </c>
      <c r="L1659" s="15">
        <v>44552</v>
      </c>
      <c r="M1659" t="s">
        <v>696</v>
      </c>
    </row>
    <row r="1660" spans="1:13" x14ac:dyDescent="0.25">
      <c r="A1660" t="s">
        <v>89</v>
      </c>
      <c r="B1660" s="6" t="s">
        <v>268</v>
      </c>
      <c r="C1660" s="11">
        <v>103</v>
      </c>
      <c r="D1660" s="9" t="s">
        <v>92</v>
      </c>
      <c r="E1660">
        <v>6</v>
      </c>
      <c r="F1660" s="8">
        <f>VLOOKUP(financials[[#This Row],[productid]],Products!$B$2:$H$10,3)</f>
        <v>28</v>
      </c>
      <c r="G1660" s="8">
        <f>financials[[#This Row],[Units Sold]]*financials[[#This Row],[Sale Price]]</f>
        <v>168</v>
      </c>
      <c r="H1660" s="8">
        <f>IF(financials[[#This Row],[Discount Band]]="low",0.1,IF(financials[[#This Row],[Discount Band]]="medium",0.15,0.3))</f>
        <v>0.3</v>
      </c>
      <c r="I1660" s="8">
        <f>financials[[#This Row],[Gross Sales]]-financials[[#This Row],[Gross Sales]]*financials[[#This Row],[Discounts]]</f>
        <v>117.6</v>
      </c>
      <c r="J1660" s="8">
        <f>VLOOKUP(financials[[#This Row],[productid]],Products!$B$2:$H$10,4)</f>
        <v>15</v>
      </c>
      <c r="K1660" s="8">
        <f>financials[[#This Row],[Net Sales]]-financials[[#This Row],[COGS]]</f>
        <v>102.6</v>
      </c>
      <c r="L1660" s="15">
        <v>43847</v>
      </c>
      <c r="M1660" t="s">
        <v>696</v>
      </c>
    </row>
    <row r="1661" spans="1:13" x14ac:dyDescent="0.25">
      <c r="A1661" t="s">
        <v>86</v>
      </c>
      <c r="B1661" s="6" t="s">
        <v>94</v>
      </c>
      <c r="C1661" s="13">
        <v>108</v>
      </c>
      <c r="D1661" s="14" t="s">
        <v>90</v>
      </c>
      <c r="E1661">
        <v>14</v>
      </c>
      <c r="F1661" s="8">
        <f>VLOOKUP(financials[[#This Row],[productid]],Products!$B$2:$H$10,3)</f>
        <v>5.5</v>
      </c>
      <c r="G1661" s="8">
        <f>financials[[#This Row],[Units Sold]]*financials[[#This Row],[Sale Price]]</f>
        <v>77</v>
      </c>
      <c r="H1661" s="8">
        <f>IF(financials[[#This Row],[Discount Band]]="low",0.1,IF(financials[[#This Row],[Discount Band]]="medium",0.15,0.3))</f>
        <v>0.15</v>
      </c>
      <c r="I1661" s="8">
        <f>financials[[#This Row],[Gross Sales]]-financials[[#This Row],[Gross Sales]]*financials[[#This Row],[Discounts]]</f>
        <v>65.45</v>
      </c>
      <c r="J1661" s="8">
        <f>VLOOKUP(financials[[#This Row],[productid]],Products!$B$2:$H$10,4)</f>
        <v>3.99</v>
      </c>
      <c r="K1661" s="8">
        <f>financials[[#This Row],[Net Sales]]-financials[[#This Row],[COGS]]</f>
        <v>61.46</v>
      </c>
      <c r="L1661" s="15">
        <v>45255</v>
      </c>
      <c r="M1661" t="s">
        <v>691</v>
      </c>
    </row>
    <row r="1662" spans="1:13" x14ac:dyDescent="0.25">
      <c r="A1662" t="s">
        <v>87</v>
      </c>
      <c r="B1662" s="6" t="s">
        <v>644</v>
      </c>
      <c r="C1662" s="11">
        <v>109</v>
      </c>
      <c r="D1662" s="9" t="s">
        <v>90</v>
      </c>
      <c r="E1662">
        <v>19</v>
      </c>
      <c r="F1662" s="8">
        <f>VLOOKUP(financials[[#This Row],[productid]],Products!$B$2:$H$10,3)</f>
        <v>36</v>
      </c>
      <c r="G1662" s="8">
        <f>financials[[#This Row],[Units Sold]]*financials[[#This Row],[Sale Price]]</f>
        <v>684</v>
      </c>
      <c r="H1662" s="8">
        <f>IF(financials[[#This Row],[Discount Band]]="low",0.1,IF(financials[[#This Row],[Discount Band]]="medium",0.15,0.3))</f>
        <v>0.15</v>
      </c>
      <c r="I1662" s="8">
        <f>financials[[#This Row],[Gross Sales]]-financials[[#This Row],[Gross Sales]]*financials[[#This Row],[Discounts]]</f>
        <v>581.4</v>
      </c>
      <c r="J1662" s="8">
        <f>VLOOKUP(financials[[#This Row],[productid]],Products!$B$2:$H$10,4)</f>
        <v>16.8</v>
      </c>
      <c r="K1662" s="8">
        <f>financials[[#This Row],[Net Sales]]-financials[[#This Row],[COGS]]</f>
        <v>564.6</v>
      </c>
      <c r="L1662" s="15">
        <v>45378</v>
      </c>
      <c r="M1662" t="s">
        <v>690</v>
      </c>
    </row>
    <row r="1663" spans="1:13" x14ac:dyDescent="0.25">
      <c r="A1663" t="s">
        <v>87</v>
      </c>
      <c r="B1663" s="6" t="s">
        <v>644</v>
      </c>
      <c r="C1663" s="13">
        <v>108</v>
      </c>
      <c r="D1663" s="14" t="s">
        <v>90</v>
      </c>
      <c r="E1663">
        <v>8</v>
      </c>
      <c r="F1663" s="8">
        <f>VLOOKUP(financials[[#This Row],[productid]],Products!$B$2:$H$10,3)</f>
        <v>5.5</v>
      </c>
      <c r="G1663" s="8">
        <f>financials[[#This Row],[Units Sold]]*financials[[#This Row],[Sale Price]]</f>
        <v>44</v>
      </c>
      <c r="H1663" s="8">
        <f>IF(financials[[#This Row],[Discount Band]]="low",0.1,IF(financials[[#This Row],[Discount Band]]="medium",0.15,0.3))</f>
        <v>0.15</v>
      </c>
      <c r="I1663" s="8">
        <f>financials[[#This Row],[Gross Sales]]-financials[[#This Row],[Gross Sales]]*financials[[#This Row],[Discounts]]</f>
        <v>37.4</v>
      </c>
      <c r="J1663" s="8">
        <f>VLOOKUP(financials[[#This Row],[productid]],Products!$B$2:$H$10,4)</f>
        <v>3.99</v>
      </c>
      <c r="K1663" s="8">
        <f>financials[[#This Row],[Net Sales]]-financials[[#This Row],[COGS]]</f>
        <v>33.409999999999997</v>
      </c>
      <c r="L1663" s="15">
        <v>44319</v>
      </c>
      <c r="M1663" t="s">
        <v>691</v>
      </c>
    </row>
    <row r="1664" spans="1:13" x14ac:dyDescent="0.25">
      <c r="A1664" t="s">
        <v>89</v>
      </c>
      <c r="B1664" s="6" t="s">
        <v>268</v>
      </c>
      <c r="C1664" s="13">
        <v>104</v>
      </c>
      <c r="D1664" s="14" t="s">
        <v>92</v>
      </c>
      <c r="E1664">
        <v>7</v>
      </c>
      <c r="F1664" s="8">
        <f>VLOOKUP(financials[[#This Row],[productid]],Products!$B$2:$H$10,3)</f>
        <v>5.9</v>
      </c>
      <c r="G1664" s="8">
        <f>financials[[#This Row],[Units Sold]]*financials[[#This Row],[Sale Price]]</f>
        <v>41.300000000000004</v>
      </c>
      <c r="H1664" s="8">
        <f>IF(financials[[#This Row],[Discount Band]]="low",0.1,IF(financials[[#This Row],[Discount Band]]="medium",0.15,0.3))</f>
        <v>0.3</v>
      </c>
      <c r="I1664" s="8">
        <f>financials[[#This Row],[Gross Sales]]-financials[[#This Row],[Gross Sales]]*financials[[#This Row],[Discounts]]</f>
        <v>28.910000000000004</v>
      </c>
      <c r="J1664" s="8">
        <f>VLOOKUP(financials[[#This Row],[productid]],Products!$B$2:$H$10,4)</f>
        <v>2.9</v>
      </c>
      <c r="K1664" s="8">
        <f>financials[[#This Row],[Net Sales]]-financials[[#This Row],[COGS]]</f>
        <v>26.010000000000005</v>
      </c>
      <c r="L1664" s="15">
        <v>44616</v>
      </c>
      <c r="M1664" t="s">
        <v>700</v>
      </c>
    </row>
    <row r="1665" spans="1:13" x14ac:dyDescent="0.25">
      <c r="A1665" t="s">
        <v>86</v>
      </c>
      <c r="B1665" s="6" t="s">
        <v>198</v>
      </c>
      <c r="C1665" s="13">
        <v>105</v>
      </c>
      <c r="D1665" s="14" t="s">
        <v>83</v>
      </c>
      <c r="E1665">
        <v>11</v>
      </c>
      <c r="F1665" s="8">
        <f>VLOOKUP(financials[[#This Row],[productid]],Products!$B$2:$H$10,3)</f>
        <v>15</v>
      </c>
      <c r="G1665" s="8">
        <f>financials[[#This Row],[Units Sold]]*financials[[#This Row],[Sale Price]]</f>
        <v>165</v>
      </c>
      <c r="H1665" s="8">
        <f>IF(financials[[#This Row],[Discount Band]]="low",0.1,IF(financials[[#This Row],[Discount Band]]="medium",0.15,0.3))</f>
        <v>0.3</v>
      </c>
      <c r="I1665" s="8">
        <f>financials[[#This Row],[Gross Sales]]-financials[[#This Row],[Gross Sales]]*financials[[#This Row],[Discounts]]</f>
        <v>115.5</v>
      </c>
      <c r="J1665" s="8">
        <f>VLOOKUP(financials[[#This Row],[productid]],Products!$B$2:$H$10,4)</f>
        <v>10</v>
      </c>
      <c r="K1665" s="8">
        <f>financials[[#This Row],[Net Sales]]-financials[[#This Row],[COGS]]</f>
        <v>105.5</v>
      </c>
      <c r="L1665" s="15">
        <v>44660</v>
      </c>
      <c r="M1665" t="s">
        <v>697</v>
      </c>
    </row>
    <row r="1666" spans="1:13" x14ac:dyDescent="0.25">
      <c r="A1666" t="s">
        <v>85</v>
      </c>
      <c r="B1666" s="6" t="s">
        <v>205</v>
      </c>
      <c r="C1666" s="13">
        <v>103</v>
      </c>
      <c r="D1666" s="14" t="s">
        <v>92</v>
      </c>
      <c r="E1666">
        <v>14</v>
      </c>
      <c r="F1666" s="8">
        <f>VLOOKUP(financials[[#This Row],[productid]],Products!$B$2:$H$10,3)</f>
        <v>28</v>
      </c>
      <c r="G1666" s="8">
        <f>financials[[#This Row],[Units Sold]]*financials[[#This Row],[Sale Price]]</f>
        <v>392</v>
      </c>
      <c r="H1666" s="8">
        <f>IF(financials[[#This Row],[Discount Band]]="low",0.1,IF(financials[[#This Row],[Discount Band]]="medium",0.15,0.3))</f>
        <v>0.3</v>
      </c>
      <c r="I1666" s="8">
        <f>financials[[#This Row],[Gross Sales]]-financials[[#This Row],[Gross Sales]]*financials[[#This Row],[Discounts]]</f>
        <v>274.39999999999998</v>
      </c>
      <c r="J1666" s="8">
        <f>VLOOKUP(financials[[#This Row],[productid]],Products!$B$2:$H$10,4)</f>
        <v>15</v>
      </c>
      <c r="K1666" s="8">
        <f>financials[[#This Row],[Net Sales]]-financials[[#This Row],[COGS]]</f>
        <v>259.39999999999998</v>
      </c>
      <c r="L1666" s="15">
        <v>44162</v>
      </c>
      <c r="M1666" t="s">
        <v>697</v>
      </c>
    </row>
    <row r="1667" spans="1:13" x14ac:dyDescent="0.25">
      <c r="A1667" t="s">
        <v>86</v>
      </c>
      <c r="B1667" s="6" t="s">
        <v>94</v>
      </c>
      <c r="C1667" s="13">
        <v>107</v>
      </c>
      <c r="D1667" s="14" t="s">
        <v>83</v>
      </c>
      <c r="E1667">
        <v>16</v>
      </c>
      <c r="F1667" s="8">
        <f>VLOOKUP(financials[[#This Row],[productid]],Products!$B$2:$H$10,3)</f>
        <v>15</v>
      </c>
      <c r="G1667" s="8">
        <f>financials[[#This Row],[Units Sold]]*financials[[#This Row],[Sale Price]]</f>
        <v>240</v>
      </c>
      <c r="H1667" s="8">
        <f>IF(financials[[#This Row],[Discount Band]]="low",0.1,IF(financials[[#This Row],[Discount Band]]="medium",0.15,0.3))</f>
        <v>0.3</v>
      </c>
      <c r="I1667" s="8">
        <f>financials[[#This Row],[Gross Sales]]-financials[[#This Row],[Gross Sales]]*financials[[#This Row],[Discounts]]</f>
        <v>168</v>
      </c>
      <c r="J1667" s="8">
        <f>VLOOKUP(financials[[#This Row],[productid]],Products!$B$2:$H$10,4)</f>
        <v>5.5</v>
      </c>
      <c r="K1667" s="8">
        <f>financials[[#This Row],[Net Sales]]-financials[[#This Row],[COGS]]</f>
        <v>162.5</v>
      </c>
      <c r="L1667" s="15">
        <v>44486</v>
      </c>
      <c r="M1667" t="s">
        <v>700</v>
      </c>
    </row>
    <row r="1668" spans="1:13" x14ac:dyDescent="0.25">
      <c r="A1668" t="s">
        <v>89</v>
      </c>
      <c r="B1668" s="6" t="s">
        <v>94</v>
      </c>
      <c r="C1668" s="13">
        <v>108</v>
      </c>
      <c r="D1668" s="14" t="s">
        <v>91</v>
      </c>
      <c r="E1668">
        <v>5</v>
      </c>
      <c r="F1668" s="8">
        <f>VLOOKUP(financials[[#This Row],[productid]],Products!$B$2:$H$10,3)</f>
        <v>5.5</v>
      </c>
      <c r="G1668" s="8">
        <f>financials[[#This Row],[Units Sold]]*financials[[#This Row],[Sale Price]]</f>
        <v>27.5</v>
      </c>
      <c r="H1668" s="8">
        <f>IF(financials[[#This Row],[Discount Band]]="low",0.1,IF(financials[[#This Row],[Discount Band]]="medium",0.15,0.3))</f>
        <v>0.1</v>
      </c>
      <c r="I1668" s="8">
        <f>financials[[#This Row],[Gross Sales]]-financials[[#This Row],[Gross Sales]]*financials[[#This Row],[Discounts]]</f>
        <v>24.75</v>
      </c>
      <c r="J1668" s="8">
        <f>VLOOKUP(financials[[#This Row],[productid]],Products!$B$2:$H$10,4)</f>
        <v>3.99</v>
      </c>
      <c r="K1668" s="8">
        <f>financials[[#This Row],[Net Sales]]-financials[[#This Row],[COGS]]</f>
        <v>20.759999999999998</v>
      </c>
      <c r="L1668" s="15">
        <v>45303</v>
      </c>
      <c r="M1668" t="s">
        <v>696</v>
      </c>
    </row>
    <row r="1669" spans="1:13" x14ac:dyDescent="0.25">
      <c r="A1669" t="s">
        <v>86</v>
      </c>
      <c r="B1669" s="6" t="s">
        <v>273</v>
      </c>
      <c r="C1669" s="11">
        <v>107</v>
      </c>
      <c r="D1669" s="9" t="s">
        <v>90</v>
      </c>
      <c r="E1669">
        <v>18</v>
      </c>
      <c r="F1669" s="8">
        <f>VLOOKUP(financials[[#This Row],[productid]],Products!$B$2:$H$10,3)</f>
        <v>15</v>
      </c>
      <c r="G1669" s="8">
        <f>financials[[#This Row],[Units Sold]]*financials[[#This Row],[Sale Price]]</f>
        <v>270</v>
      </c>
      <c r="H1669" s="8">
        <f>IF(financials[[#This Row],[Discount Band]]="low",0.1,IF(financials[[#This Row],[Discount Band]]="medium",0.15,0.3))</f>
        <v>0.15</v>
      </c>
      <c r="I1669" s="8">
        <f>financials[[#This Row],[Gross Sales]]-financials[[#This Row],[Gross Sales]]*financials[[#This Row],[Discounts]]</f>
        <v>229.5</v>
      </c>
      <c r="J1669" s="8">
        <f>VLOOKUP(financials[[#This Row],[productid]],Products!$B$2:$H$10,4)</f>
        <v>5.5</v>
      </c>
      <c r="K1669" s="8">
        <f>financials[[#This Row],[Net Sales]]-financials[[#This Row],[COGS]]</f>
        <v>224</v>
      </c>
      <c r="L1669" s="15">
        <v>44815</v>
      </c>
      <c r="M1669" t="s">
        <v>700</v>
      </c>
    </row>
    <row r="1670" spans="1:13" x14ac:dyDescent="0.25">
      <c r="A1670" t="s">
        <v>86</v>
      </c>
      <c r="B1670" s="6" t="s">
        <v>545</v>
      </c>
      <c r="C1670" s="13">
        <v>102</v>
      </c>
      <c r="D1670" s="14" t="s">
        <v>90</v>
      </c>
      <c r="E1670">
        <v>18</v>
      </c>
      <c r="F1670" s="8">
        <f>VLOOKUP(financials[[#This Row],[productid]],Products!$B$2:$H$10,3)</f>
        <v>15</v>
      </c>
      <c r="G1670" s="8">
        <f>financials[[#This Row],[Units Sold]]*financials[[#This Row],[Sale Price]]</f>
        <v>270</v>
      </c>
      <c r="H1670" s="8">
        <f>IF(financials[[#This Row],[Discount Band]]="low",0.1,IF(financials[[#This Row],[Discount Band]]="medium",0.15,0.3))</f>
        <v>0.15</v>
      </c>
      <c r="I1670" s="8">
        <f>financials[[#This Row],[Gross Sales]]-financials[[#This Row],[Gross Sales]]*financials[[#This Row],[Discounts]]</f>
        <v>229.5</v>
      </c>
      <c r="J1670" s="8">
        <f>VLOOKUP(financials[[#This Row],[productid]],Products!$B$2:$H$10,4)</f>
        <v>13.95</v>
      </c>
      <c r="K1670" s="8">
        <f>financials[[#This Row],[Net Sales]]-financials[[#This Row],[COGS]]</f>
        <v>215.55</v>
      </c>
      <c r="L1670" s="15">
        <v>44065</v>
      </c>
      <c r="M1670" t="s">
        <v>696</v>
      </c>
    </row>
    <row r="1671" spans="1:13" x14ac:dyDescent="0.25">
      <c r="A1671" t="s">
        <v>86</v>
      </c>
      <c r="B1671" s="6" t="s">
        <v>198</v>
      </c>
      <c r="C1671" s="13">
        <v>107</v>
      </c>
      <c r="D1671" s="14" t="s">
        <v>92</v>
      </c>
      <c r="E1671">
        <v>20</v>
      </c>
      <c r="F1671" s="8">
        <f>VLOOKUP(financials[[#This Row],[productid]],Products!$B$2:$H$10,3)</f>
        <v>15</v>
      </c>
      <c r="G1671" s="8">
        <f>financials[[#This Row],[Units Sold]]*financials[[#This Row],[Sale Price]]</f>
        <v>300</v>
      </c>
      <c r="H1671" s="8">
        <f>IF(financials[[#This Row],[Discount Band]]="low",0.1,IF(financials[[#This Row],[Discount Band]]="medium",0.15,0.3))</f>
        <v>0.3</v>
      </c>
      <c r="I1671" s="8">
        <f>financials[[#This Row],[Gross Sales]]-financials[[#This Row],[Gross Sales]]*financials[[#This Row],[Discounts]]</f>
        <v>210</v>
      </c>
      <c r="J1671" s="8">
        <f>VLOOKUP(financials[[#This Row],[productid]],Products!$B$2:$H$10,4)</f>
        <v>5.5</v>
      </c>
      <c r="K1671" s="8">
        <f>financials[[#This Row],[Net Sales]]-financials[[#This Row],[COGS]]</f>
        <v>204.5</v>
      </c>
      <c r="L1671" s="15">
        <v>45473</v>
      </c>
      <c r="M1671" t="s">
        <v>691</v>
      </c>
    </row>
    <row r="1672" spans="1:13" x14ac:dyDescent="0.25">
      <c r="A1672" t="s">
        <v>86</v>
      </c>
      <c r="B1672" s="6" t="s">
        <v>198</v>
      </c>
      <c r="C1672" s="13">
        <v>105</v>
      </c>
      <c r="D1672" s="14" t="s">
        <v>92</v>
      </c>
      <c r="E1672">
        <v>20</v>
      </c>
      <c r="F1672" s="8">
        <f>VLOOKUP(financials[[#This Row],[productid]],Products!$B$2:$H$10,3)</f>
        <v>15</v>
      </c>
      <c r="G1672" s="8">
        <f>financials[[#This Row],[Units Sold]]*financials[[#This Row],[Sale Price]]</f>
        <v>300</v>
      </c>
      <c r="H1672" s="8">
        <f>IF(financials[[#This Row],[Discount Band]]="low",0.1,IF(financials[[#This Row],[Discount Band]]="medium",0.15,0.3))</f>
        <v>0.3</v>
      </c>
      <c r="I1672" s="8">
        <f>financials[[#This Row],[Gross Sales]]-financials[[#This Row],[Gross Sales]]*financials[[#This Row],[Discounts]]</f>
        <v>210</v>
      </c>
      <c r="J1672" s="8">
        <f>VLOOKUP(financials[[#This Row],[productid]],Products!$B$2:$H$10,4)</f>
        <v>10</v>
      </c>
      <c r="K1672" s="8">
        <f>financials[[#This Row],[Net Sales]]-financials[[#This Row],[COGS]]</f>
        <v>200</v>
      </c>
      <c r="L1672" s="15">
        <v>44112</v>
      </c>
      <c r="M1672" t="s">
        <v>697</v>
      </c>
    </row>
    <row r="1673" spans="1:13" x14ac:dyDescent="0.25">
      <c r="A1673" t="s">
        <v>86</v>
      </c>
      <c r="B1673" s="6" t="s">
        <v>167</v>
      </c>
      <c r="C1673" s="13">
        <v>101</v>
      </c>
      <c r="D1673" s="14" t="s">
        <v>83</v>
      </c>
      <c r="E1673">
        <v>9</v>
      </c>
      <c r="F1673" s="8">
        <f>VLOOKUP(financials[[#This Row],[productid]],Products!$B$2:$H$10,3)</f>
        <v>23</v>
      </c>
      <c r="G1673" s="8">
        <f>financials[[#This Row],[Units Sold]]*financials[[#This Row],[Sale Price]]</f>
        <v>207</v>
      </c>
      <c r="H1673" s="8">
        <f>IF(financials[[#This Row],[Discount Band]]="low",0.1,IF(financials[[#This Row],[Discount Band]]="medium",0.15,0.3))</f>
        <v>0.3</v>
      </c>
      <c r="I1673" s="8">
        <f>financials[[#This Row],[Gross Sales]]-financials[[#This Row],[Gross Sales]]*financials[[#This Row],[Discounts]]</f>
        <v>144.9</v>
      </c>
      <c r="J1673" s="8">
        <f>VLOOKUP(financials[[#This Row],[productid]],Products!$B$2:$H$10,4)</f>
        <v>9.9499999999999993</v>
      </c>
      <c r="K1673" s="8">
        <f>financials[[#This Row],[Net Sales]]-financials[[#This Row],[COGS]]</f>
        <v>134.95000000000002</v>
      </c>
      <c r="L1673" s="15">
        <v>45218</v>
      </c>
      <c r="M1673" t="s">
        <v>691</v>
      </c>
    </row>
    <row r="1674" spans="1:13" x14ac:dyDescent="0.25">
      <c r="A1674" t="s">
        <v>89</v>
      </c>
      <c r="B1674" s="6" t="s">
        <v>198</v>
      </c>
      <c r="C1674" s="13">
        <v>102</v>
      </c>
      <c r="D1674" s="14" t="s">
        <v>91</v>
      </c>
      <c r="E1674">
        <v>8</v>
      </c>
      <c r="F1674" s="8">
        <f>VLOOKUP(financials[[#This Row],[productid]],Products!$B$2:$H$10,3)</f>
        <v>15</v>
      </c>
      <c r="G1674" s="8">
        <f>financials[[#This Row],[Units Sold]]*financials[[#This Row],[Sale Price]]</f>
        <v>120</v>
      </c>
      <c r="H1674" s="8">
        <f>IF(financials[[#This Row],[Discount Band]]="low",0.1,IF(financials[[#This Row],[Discount Band]]="medium",0.15,0.3))</f>
        <v>0.1</v>
      </c>
      <c r="I1674" s="8">
        <f>financials[[#This Row],[Gross Sales]]-financials[[#This Row],[Gross Sales]]*financials[[#This Row],[Discounts]]</f>
        <v>108</v>
      </c>
      <c r="J1674" s="8">
        <f>VLOOKUP(financials[[#This Row],[productid]],Products!$B$2:$H$10,4)</f>
        <v>13.95</v>
      </c>
      <c r="K1674" s="8">
        <f>financials[[#This Row],[Net Sales]]-financials[[#This Row],[COGS]]</f>
        <v>94.05</v>
      </c>
      <c r="L1674" s="15">
        <v>44857</v>
      </c>
      <c r="M1674" t="s">
        <v>690</v>
      </c>
    </row>
    <row r="1675" spans="1:13" x14ac:dyDescent="0.25">
      <c r="A1675" t="s">
        <v>89</v>
      </c>
      <c r="B1675" s="6" t="s">
        <v>205</v>
      </c>
      <c r="C1675" s="13">
        <v>108</v>
      </c>
      <c r="D1675" s="14" t="s">
        <v>90</v>
      </c>
      <c r="E1675">
        <v>16</v>
      </c>
      <c r="F1675" s="8">
        <f>VLOOKUP(financials[[#This Row],[productid]],Products!$B$2:$H$10,3)</f>
        <v>5.5</v>
      </c>
      <c r="G1675" s="8">
        <f>financials[[#This Row],[Units Sold]]*financials[[#This Row],[Sale Price]]</f>
        <v>88</v>
      </c>
      <c r="H1675" s="8">
        <f>IF(financials[[#This Row],[Discount Band]]="low",0.1,IF(financials[[#This Row],[Discount Band]]="medium",0.15,0.3))</f>
        <v>0.15</v>
      </c>
      <c r="I1675" s="8">
        <f>financials[[#This Row],[Gross Sales]]-financials[[#This Row],[Gross Sales]]*financials[[#This Row],[Discounts]]</f>
        <v>74.8</v>
      </c>
      <c r="J1675" s="8">
        <f>VLOOKUP(financials[[#This Row],[productid]],Products!$B$2:$H$10,4)</f>
        <v>3.99</v>
      </c>
      <c r="K1675" s="8">
        <f>financials[[#This Row],[Net Sales]]-financials[[#This Row],[COGS]]</f>
        <v>70.81</v>
      </c>
      <c r="L1675" s="15">
        <v>45353</v>
      </c>
      <c r="M1675" t="s">
        <v>691</v>
      </c>
    </row>
    <row r="1676" spans="1:13" x14ac:dyDescent="0.25">
      <c r="A1676" t="s">
        <v>89</v>
      </c>
      <c r="B1676" s="6" t="s">
        <v>276</v>
      </c>
      <c r="C1676" s="13">
        <v>104</v>
      </c>
      <c r="D1676" s="14" t="s">
        <v>90</v>
      </c>
      <c r="E1676">
        <v>14</v>
      </c>
      <c r="F1676" s="8">
        <f>VLOOKUP(financials[[#This Row],[productid]],Products!$B$2:$H$10,3)</f>
        <v>5.9</v>
      </c>
      <c r="G1676" s="8">
        <f>financials[[#This Row],[Units Sold]]*financials[[#This Row],[Sale Price]]</f>
        <v>82.600000000000009</v>
      </c>
      <c r="H1676" s="8">
        <f>IF(financials[[#This Row],[Discount Band]]="low",0.1,IF(financials[[#This Row],[Discount Band]]="medium",0.15,0.3))</f>
        <v>0.15</v>
      </c>
      <c r="I1676" s="8">
        <f>financials[[#This Row],[Gross Sales]]-financials[[#This Row],[Gross Sales]]*financials[[#This Row],[Discounts]]</f>
        <v>70.210000000000008</v>
      </c>
      <c r="J1676" s="8">
        <f>VLOOKUP(financials[[#This Row],[productid]],Products!$B$2:$H$10,4)</f>
        <v>2.9</v>
      </c>
      <c r="K1676" s="8">
        <f>financials[[#This Row],[Net Sales]]-financials[[#This Row],[COGS]]</f>
        <v>67.31</v>
      </c>
      <c r="L1676" s="15">
        <v>45610</v>
      </c>
      <c r="M1676" t="s">
        <v>691</v>
      </c>
    </row>
    <row r="1677" spans="1:13" x14ac:dyDescent="0.25">
      <c r="A1677" t="s">
        <v>89</v>
      </c>
      <c r="B1677" s="6" t="s">
        <v>545</v>
      </c>
      <c r="C1677" s="13">
        <v>102</v>
      </c>
      <c r="D1677" s="14" t="s">
        <v>91</v>
      </c>
      <c r="E1677">
        <v>12</v>
      </c>
      <c r="F1677" s="8">
        <f>VLOOKUP(financials[[#This Row],[productid]],Products!$B$2:$H$10,3)</f>
        <v>15</v>
      </c>
      <c r="G1677" s="8">
        <f>financials[[#This Row],[Units Sold]]*financials[[#This Row],[Sale Price]]</f>
        <v>180</v>
      </c>
      <c r="H1677" s="8">
        <f>IF(financials[[#This Row],[Discount Band]]="low",0.1,IF(financials[[#This Row],[Discount Band]]="medium",0.15,0.3))</f>
        <v>0.1</v>
      </c>
      <c r="I1677" s="8">
        <f>financials[[#This Row],[Gross Sales]]-financials[[#This Row],[Gross Sales]]*financials[[#This Row],[Discounts]]</f>
        <v>162</v>
      </c>
      <c r="J1677" s="8">
        <f>VLOOKUP(financials[[#This Row],[productid]],Products!$B$2:$H$10,4)</f>
        <v>13.95</v>
      </c>
      <c r="K1677" s="8">
        <f>financials[[#This Row],[Net Sales]]-financials[[#This Row],[COGS]]</f>
        <v>148.05000000000001</v>
      </c>
      <c r="L1677" s="15">
        <v>45062</v>
      </c>
      <c r="M1677" t="s">
        <v>697</v>
      </c>
    </row>
    <row r="1678" spans="1:13" x14ac:dyDescent="0.25">
      <c r="A1678" t="s">
        <v>89</v>
      </c>
      <c r="B1678" s="6" t="s">
        <v>273</v>
      </c>
      <c r="C1678" s="13">
        <v>101</v>
      </c>
      <c r="D1678" s="14" t="s">
        <v>91</v>
      </c>
      <c r="E1678">
        <v>19</v>
      </c>
      <c r="F1678" s="8">
        <f>VLOOKUP(financials[[#This Row],[productid]],Products!$B$2:$H$10,3)</f>
        <v>23</v>
      </c>
      <c r="G1678" s="8">
        <f>financials[[#This Row],[Units Sold]]*financials[[#This Row],[Sale Price]]</f>
        <v>437</v>
      </c>
      <c r="H1678" s="8">
        <f>IF(financials[[#This Row],[Discount Band]]="low",0.1,IF(financials[[#This Row],[Discount Band]]="medium",0.15,0.3))</f>
        <v>0.1</v>
      </c>
      <c r="I1678" s="8">
        <f>financials[[#This Row],[Gross Sales]]-financials[[#This Row],[Gross Sales]]*financials[[#This Row],[Discounts]]</f>
        <v>393.3</v>
      </c>
      <c r="J1678" s="8">
        <f>VLOOKUP(financials[[#This Row],[productid]],Products!$B$2:$H$10,4)</f>
        <v>9.9499999999999993</v>
      </c>
      <c r="K1678" s="8">
        <f>financials[[#This Row],[Net Sales]]-financials[[#This Row],[COGS]]</f>
        <v>383.35</v>
      </c>
      <c r="L1678" s="15">
        <v>45531</v>
      </c>
      <c r="M1678" t="s">
        <v>697</v>
      </c>
    </row>
    <row r="1679" spans="1:13" x14ac:dyDescent="0.25">
      <c r="A1679" t="s">
        <v>86</v>
      </c>
      <c r="B1679" s="6" t="s">
        <v>167</v>
      </c>
      <c r="C1679" s="13">
        <v>106</v>
      </c>
      <c r="D1679" s="14" t="s">
        <v>92</v>
      </c>
      <c r="E1679">
        <v>9</v>
      </c>
      <c r="F1679" s="8">
        <f>VLOOKUP(financials[[#This Row],[productid]],Products!$B$2:$H$10,3)</f>
        <v>25</v>
      </c>
      <c r="G1679" s="8">
        <f>financials[[#This Row],[Units Sold]]*financials[[#This Row],[Sale Price]]</f>
        <v>225</v>
      </c>
      <c r="H1679" s="8">
        <f>IF(financials[[#This Row],[Discount Band]]="low",0.1,IF(financials[[#This Row],[Discount Band]]="medium",0.15,0.3))</f>
        <v>0.3</v>
      </c>
      <c r="I1679" s="8">
        <f>financials[[#This Row],[Gross Sales]]-financials[[#This Row],[Gross Sales]]*financials[[#This Row],[Discounts]]</f>
        <v>157.5</v>
      </c>
      <c r="J1679" s="8">
        <f>VLOOKUP(financials[[#This Row],[productid]],Products!$B$2:$H$10,4)</f>
        <v>9.1</v>
      </c>
      <c r="K1679" s="8">
        <f>financials[[#This Row],[Net Sales]]-financials[[#This Row],[COGS]]</f>
        <v>148.4</v>
      </c>
      <c r="L1679" s="15">
        <v>45198</v>
      </c>
      <c r="M1679" t="s">
        <v>697</v>
      </c>
    </row>
    <row r="1680" spans="1:13" x14ac:dyDescent="0.25">
      <c r="A1680" t="s">
        <v>86</v>
      </c>
      <c r="B1680" s="6" t="s">
        <v>198</v>
      </c>
      <c r="C1680" s="13">
        <v>106</v>
      </c>
      <c r="D1680" s="14" t="s">
        <v>83</v>
      </c>
      <c r="E1680">
        <v>20</v>
      </c>
      <c r="F1680" s="8">
        <f>VLOOKUP(financials[[#This Row],[productid]],Products!$B$2:$H$10,3)</f>
        <v>25</v>
      </c>
      <c r="G1680" s="8">
        <f>financials[[#This Row],[Units Sold]]*financials[[#This Row],[Sale Price]]</f>
        <v>500</v>
      </c>
      <c r="H1680" s="8">
        <f>IF(financials[[#This Row],[Discount Band]]="low",0.1,IF(financials[[#This Row],[Discount Band]]="medium",0.15,0.3))</f>
        <v>0.3</v>
      </c>
      <c r="I1680" s="8">
        <f>financials[[#This Row],[Gross Sales]]-financials[[#This Row],[Gross Sales]]*financials[[#This Row],[Discounts]]</f>
        <v>350</v>
      </c>
      <c r="J1680" s="8">
        <f>VLOOKUP(financials[[#This Row],[productid]],Products!$B$2:$H$10,4)</f>
        <v>9.1</v>
      </c>
      <c r="K1680" s="8">
        <f>financials[[#This Row],[Net Sales]]-financials[[#This Row],[COGS]]</f>
        <v>340.9</v>
      </c>
      <c r="L1680" s="15">
        <v>44178</v>
      </c>
      <c r="M1680" t="s">
        <v>696</v>
      </c>
    </row>
    <row r="1681" spans="1:13" x14ac:dyDescent="0.25">
      <c r="A1681" t="s">
        <v>86</v>
      </c>
      <c r="B1681" s="6" t="s">
        <v>205</v>
      </c>
      <c r="C1681" s="13">
        <v>102</v>
      </c>
      <c r="D1681" s="14" t="s">
        <v>91</v>
      </c>
      <c r="E1681">
        <v>7</v>
      </c>
      <c r="F1681" s="8">
        <f>VLOOKUP(financials[[#This Row],[productid]],Products!$B$2:$H$10,3)</f>
        <v>15</v>
      </c>
      <c r="G1681" s="8">
        <f>financials[[#This Row],[Units Sold]]*financials[[#This Row],[Sale Price]]</f>
        <v>105</v>
      </c>
      <c r="H1681" s="8">
        <f>IF(financials[[#This Row],[Discount Band]]="low",0.1,IF(financials[[#This Row],[Discount Band]]="medium",0.15,0.3))</f>
        <v>0.1</v>
      </c>
      <c r="I1681" s="8">
        <f>financials[[#This Row],[Gross Sales]]-financials[[#This Row],[Gross Sales]]*financials[[#This Row],[Discounts]]</f>
        <v>94.5</v>
      </c>
      <c r="J1681" s="8">
        <f>VLOOKUP(financials[[#This Row],[productid]],Products!$B$2:$H$10,4)</f>
        <v>13.95</v>
      </c>
      <c r="K1681" s="8">
        <f>financials[[#This Row],[Net Sales]]-financials[[#This Row],[COGS]]</f>
        <v>80.55</v>
      </c>
      <c r="L1681" s="15">
        <v>45191</v>
      </c>
      <c r="M1681" t="s">
        <v>691</v>
      </c>
    </row>
    <row r="1682" spans="1:13" x14ac:dyDescent="0.25">
      <c r="A1682" t="s">
        <v>85</v>
      </c>
      <c r="B1682" s="6" t="s">
        <v>205</v>
      </c>
      <c r="C1682" s="13">
        <v>108</v>
      </c>
      <c r="D1682" s="14" t="s">
        <v>92</v>
      </c>
      <c r="E1682">
        <v>17</v>
      </c>
      <c r="F1682" s="8">
        <f>VLOOKUP(financials[[#This Row],[productid]],Products!$B$2:$H$10,3)</f>
        <v>5.5</v>
      </c>
      <c r="G1682" s="8">
        <f>financials[[#This Row],[Units Sold]]*financials[[#This Row],[Sale Price]]</f>
        <v>93.5</v>
      </c>
      <c r="H1682" s="8">
        <f>IF(financials[[#This Row],[Discount Band]]="low",0.1,IF(financials[[#This Row],[Discount Band]]="medium",0.15,0.3))</f>
        <v>0.3</v>
      </c>
      <c r="I1682" s="8">
        <f>financials[[#This Row],[Gross Sales]]-financials[[#This Row],[Gross Sales]]*financials[[#This Row],[Discounts]]</f>
        <v>65.45</v>
      </c>
      <c r="J1682" s="8">
        <f>VLOOKUP(financials[[#This Row],[productid]],Products!$B$2:$H$10,4)</f>
        <v>3.99</v>
      </c>
      <c r="K1682" s="8">
        <f>financials[[#This Row],[Net Sales]]-financials[[#This Row],[COGS]]</f>
        <v>61.46</v>
      </c>
      <c r="L1682" s="15">
        <v>45353</v>
      </c>
      <c r="M1682" t="s">
        <v>696</v>
      </c>
    </row>
    <row r="1683" spans="1:13" x14ac:dyDescent="0.25">
      <c r="A1683" t="s">
        <v>86</v>
      </c>
      <c r="B1683" s="6" t="s">
        <v>545</v>
      </c>
      <c r="C1683" s="13">
        <v>106</v>
      </c>
      <c r="D1683" s="14" t="s">
        <v>90</v>
      </c>
      <c r="E1683">
        <v>17</v>
      </c>
      <c r="F1683" s="8">
        <f>VLOOKUP(financials[[#This Row],[productid]],Products!$B$2:$H$10,3)</f>
        <v>25</v>
      </c>
      <c r="G1683" s="8">
        <f>financials[[#This Row],[Units Sold]]*financials[[#This Row],[Sale Price]]</f>
        <v>425</v>
      </c>
      <c r="H1683" s="8">
        <f>IF(financials[[#This Row],[Discount Band]]="low",0.1,IF(financials[[#This Row],[Discount Band]]="medium",0.15,0.3))</f>
        <v>0.15</v>
      </c>
      <c r="I1683" s="8">
        <f>financials[[#This Row],[Gross Sales]]-financials[[#This Row],[Gross Sales]]*financials[[#This Row],[Discounts]]</f>
        <v>361.25</v>
      </c>
      <c r="J1683" s="8">
        <f>VLOOKUP(financials[[#This Row],[productid]],Products!$B$2:$H$10,4)</f>
        <v>9.1</v>
      </c>
      <c r="K1683" s="8">
        <f>financials[[#This Row],[Net Sales]]-financials[[#This Row],[COGS]]</f>
        <v>352.15</v>
      </c>
      <c r="L1683" s="15">
        <v>45140</v>
      </c>
      <c r="M1683" t="s">
        <v>696</v>
      </c>
    </row>
    <row r="1684" spans="1:13" x14ac:dyDescent="0.25">
      <c r="A1684" t="s">
        <v>86</v>
      </c>
      <c r="B1684" s="6" t="s">
        <v>198</v>
      </c>
      <c r="C1684" s="13">
        <v>102</v>
      </c>
      <c r="D1684" s="14" t="s">
        <v>90</v>
      </c>
      <c r="E1684">
        <v>14</v>
      </c>
      <c r="F1684" s="8">
        <f>VLOOKUP(financials[[#This Row],[productid]],Products!$B$2:$H$10,3)</f>
        <v>15</v>
      </c>
      <c r="G1684" s="8">
        <f>financials[[#This Row],[Units Sold]]*financials[[#This Row],[Sale Price]]</f>
        <v>210</v>
      </c>
      <c r="H1684" s="8">
        <f>IF(financials[[#This Row],[Discount Band]]="low",0.1,IF(financials[[#This Row],[Discount Band]]="medium",0.15,0.3))</f>
        <v>0.15</v>
      </c>
      <c r="I1684" s="8">
        <f>financials[[#This Row],[Gross Sales]]-financials[[#This Row],[Gross Sales]]*financials[[#This Row],[Discounts]]</f>
        <v>178.5</v>
      </c>
      <c r="J1684" s="8">
        <f>VLOOKUP(financials[[#This Row],[productid]],Products!$B$2:$H$10,4)</f>
        <v>13.95</v>
      </c>
      <c r="K1684" s="8">
        <f>financials[[#This Row],[Net Sales]]-financials[[#This Row],[COGS]]</f>
        <v>164.55</v>
      </c>
      <c r="L1684" s="15">
        <v>45188</v>
      </c>
      <c r="M1684" t="s">
        <v>697</v>
      </c>
    </row>
    <row r="1685" spans="1:13" x14ac:dyDescent="0.25">
      <c r="A1685" t="s">
        <v>89</v>
      </c>
      <c r="B1685" s="6" t="s">
        <v>205</v>
      </c>
      <c r="C1685" s="11">
        <v>103</v>
      </c>
      <c r="D1685" s="9" t="s">
        <v>83</v>
      </c>
      <c r="E1685">
        <v>19</v>
      </c>
      <c r="F1685" s="8">
        <f>VLOOKUP(financials[[#This Row],[productid]],Products!$B$2:$H$10,3)</f>
        <v>28</v>
      </c>
      <c r="G1685" s="8">
        <f>financials[[#This Row],[Units Sold]]*financials[[#This Row],[Sale Price]]</f>
        <v>532</v>
      </c>
      <c r="H1685" s="8">
        <f>IF(financials[[#This Row],[Discount Band]]="low",0.1,IF(financials[[#This Row],[Discount Band]]="medium",0.15,0.3))</f>
        <v>0.3</v>
      </c>
      <c r="I1685" s="8">
        <f>financials[[#This Row],[Gross Sales]]-financials[[#This Row],[Gross Sales]]*financials[[#This Row],[Discounts]]</f>
        <v>372.4</v>
      </c>
      <c r="J1685" s="8">
        <f>VLOOKUP(financials[[#This Row],[productid]],Products!$B$2:$H$10,4)</f>
        <v>15</v>
      </c>
      <c r="K1685" s="8">
        <f>financials[[#This Row],[Net Sales]]-financials[[#This Row],[COGS]]</f>
        <v>357.4</v>
      </c>
      <c r="L1685" s="15">
        <v>45572</v>
      </c>
      <c r="M1685" t="s">
        <v>696</v>
      </c>
    </row>
    <row r="1686" spans="1:13" x14ac:dyDescent="0.25">
      <c r="A1686" t="s">
        <v>89</v>
      </c>
      <c r="B1686" s="6" t="s">
        <v>205</v>
      </c>
      <c r="C1686" s="13">
        <v>103</v>
      </c>
      <c r="D1686" s="14" t="s">
        <v>90</v>
      </c>
      <c r="E1686">
        <v>12</v>
      </c>
      <c r="F1686" s="8">
        <f>VLOOKUP(financials[[#This Row],[productid]],Products!$B$2:$H$10,3)</f>
        <v>28</v>
      </c>
      <c r="G1686" s="8">
        <f>financials[[#This Row],[Units Sold]]*financials[[#This Row],[Sale Price]]</f>
        <v>336</v>
      </c>
      <c r="H1686" s="8">
        <f>IF(financials[[#This Row],[Discount Band]]="low",0.1,IF(financials[[#This Row],[Discount Band]]="medium",0.15,0.3))</f>
        <v>0.15</v>
      </c>
      <c r="I1686" s="8">
        <f>financials[[#This Row],[Gross Sales]]-financials[[#This Row],[Gross Sales]]*financials[[#This Row],[Discounts]]</f>
        <v>285.60000000000002</v>
      </c>
      <c r="J1686" s="8">
        <f>VLOOKUP(financials[[#This Row],[productid]],Products!$B$2:$H$10,4)</f>
        <v>15</v>
      </c>
      <c r="K1686" s="8">
        <f>financials[[#This Row],[Net Sales]]-financials[[#This Row],[COGS]]</f>
        <v>270.60000000000002</v>
      </c>
      <c r="L1686" s="15">
        <v>44275</v>
      </c>
      <c r="M1686" t="s">
        <v>697</v>
      </c>
    </row>
    <row r="1687" spans="1:13" x14ac:dyDescent="0.25">
      <c r="A1687" t="s">
        <v>89</v>
      </c>
      <c r="B1687" s="6" t="s">
        <v>205</v>
      </c>
      <c r="C1687" s="13">
        <v>105</v>
      </c>
      <c r="D1687" s="14" t="s">
        <v>92</v>
      </c>
      <c r="E1687">
        <v>6</v>
      </c>
      <c r="F1687" s="8">
        <f>VLOOKUP(financials[[#This Row],[productid]],Products!$B$2:$H$10,3)</f>
        <v>15</v>
      </c>
      <c r="G1687" s="8">
        <f>financials[[#This Row],[Units Sold]]*financials[[#This Row],[Sale Price]]</f>
        <v>90</v>
      </c>
      <c r="H1687" s="8">
        <f>IF(financials[[#This Row],[Discount Band]]="low",0.1,IF(financials[[#This Row],[Discount Band]]="medium",0.15,0.3))</f>
        <v>0.3</v>
      </c>
      <c r="I1687" s="8">
        <f>financials[[#This Row],[Gross Sales]]-financials[[#This Row],[Gross Sales]]*financials[[#This Row],[Discounts]]</f>
        <v>63</v>
      </c>
      <c r="J1687" s="8">
        <f>VLOOKUP(financials[[#This Row],[productid]],Products!$B$2:$H$10,4)</f>
        <v>10</v>
      </c>
      <c r="K1687" s="8">
        <f>financials[[#This Row],[Net Sales]]-financials[[#This Row],[COGS]]</f>
        <v>53</v>
      </c>
      <c r="L1687" s="15">
        <v>45645</v>
      </c>
      <c r="M1687" t="s">
        <v>700</v>
      </c>
    </row>
    <row r="1688" spans="1:13" x14ac:dyDescent="0.25">
      <c r="A1688" t="s">
        <v>89</v>
      </c>
      <c r="B1688" s="6" t="s">
        <v>273</v>
      </c>
      <c r="C1688" s="13">
        <v>107</v>
      </c>
      <c r="D1688" s="14" t="s">
        <v>91</v>
      </c>
      <c r="E1688">
        <v>11</v>
      </c>
      <c r="F1688" s="8">
        <f>VLOOKUP(financials[[#This Row],[productid]],Products!$B$2:$H$10,3)</f>
        <v>15</v>
      </c>
      <c r="G1688" s="8">
        <f>financials[[#This Row],[Units Sold]]*financials[[#This Row],[Sale Price]]</f>
        <v>165</v>
      </c>
      <c r="H1688" s="8">
        <f>IF(financials[[#This Row],[Discount Band]]="low",0.1,IF(financials[[#This Row],[Discount Band]]="medium",0.15,0.3))</f>
        <v>0.1</v>
      </c>
      <c r="I1688" s="8">
        <f>financials[[#This Row],[Gross Sales]]-financials[[#This Row],[Gross Sales]]*financials[[#This Row],[Discounts]]</f>
        <v>148.5</v>
      </c>
      <c r="J1688" s="8">
        <f>VLOOKUP(financials[[#This Row],[productid]],Products!$B$2:$H$10,4)</f>
        <v>5.5</v>
      </c>
      <c r="K1688" s="8">
        <f>financials[[#This Row],[Net Sales]]-financials[[#This Row],[COGS]]</f>
        <v>143</v>
      </c>
      <c r="L1688" s="15">
        <v>45359</v>
      </c>
      <c r="M1688" t="s">
        <v>690</v>
      </c>
    </row>
    <row r="1689" spans="1:13" x14ac:dyDescent="0.25">
      <c r="A1689" t="s">
        <v>86</v>
      </c>
      <c r="B1689" s="6" t="s">
        <v>197</v>
      </c>
      <c r="C1689" s="13">
        <v>103</v>
      </c>
      <c r="D1689" s="14" t="s">
        <v>83</v>
      </c>
      <c r="E1689">
        <v>11</v>
      </c>
      <c r="F1689" s="8">
        <f>VLOOKUP(financials[[#This Row],[productid]],Products!$B$2:$H$10,3)</f>
        <v>28</v>
      </c>
      <c r="G1689" s="8">
        <f>financials[[#This Row],[Units Sold]]*financials[[#This Row],[Sale Price]]</f>
        <v>308</v>
      </c>
      <c r="H1689" s="8">
        <f>IF(financials[[#This Row],[Discount Band]]="low",0.1,IF(financials[[#This Row],[Discount Band]]="medium",0.15,0.3))</f>
        <v>0.3</v>
      </c>
      <c r="I1689" s="8">
        <f>financials[[#This Row],[Gross Sales]]-financials[[#This Row],[Gross Sales]]*financials[[#This Row],[Discounts]]</f>
        <v>215.60000000000002</v>
      </c>
      <c r="J1689" s="8">
        <f>VLOOKUP(financials[[#This Row],[productid]],Products!$B$2:$H$10,4)</f>
        <v>15</v>
      </c>
      <c r="K1689" s="8">
        <f>financials[[#This Row],[Net Sales]]-financials[[#This Row],[COGS]]</f>
        <v>200.60000000000002</v>
      </c>
      <c r="L1689" s="15">
        <v>44050</v>
      </c>
      <c r="M1689" t="s">
        <v>691</v>
      </c>
    </row>
    <row r="1690" spans="1:13" x14ac:dyDescent="0.25">
      <c r="A1690" t="s">
        <v>85</v>
      </c>
      <c r="B1690" s="6" t="s">
        <v>198</v>
      </c>
      <c r="C1690" s="13">
        <v>106</v>
      </c>
      <c r="D1690" s="14" t="s">
        <v>83</v>
      </c>
      <c r="E1690">
        <v>19</v>
      </c>
      <c r="F1690" s="8">
        <f>VLOOKUP(financials[[#This Row],[productid]],Products!$B$2:$H$10,3)</f>
        <v>25</v>
      </c>
      <c r="G1690" s="8">
        <f>financials[[#This Row],[Units Sold]]*financials[[#This Row],[Sale Price]]</f>
        <v>475</v>
      </c>
      <c r="H1690" s="8">
        <f>IF(financials[[#This Row],[Discount Band]]="low",0.1,IF(financials[[#This Row],[Discount Band]]="medium",0.15,0.3))</f>
        <v>0.3</v>
      </c>
      <c r="I1690" s="8">
        <f>financials[[#This Row],[Gross Sales]]-financials[[#This Row],[Gross Sales]]*financials[[#This Row],[Discounts]]</f>
        <v>332.5</v>
      </c>
      <c r="J1690" s="8">
        <f>VLOOKUP(financials[[#This Row],[productid]],Products!$B$2:$H$10,4)</f>
        <v>9.1</v>
      </c>
      <c r="K1690" s="8">
        <f>financials[[#This Row],[Net Sales]]-financials[[#This Row],[COGS]]</f>
        <v>323.39999999999998</v>
      </c>
      <c r="L1690" s="15">
        <v>44582</v>
      </c>
      <c r="M1690" t="s">
        <v>697</v>
      </c>
    </row>
    <row r="1691" spans="1:13" x14ac:dyDescent="0.25">
      <c r="A1691" t="s">
        <v>89</v>
      </c>
      <c r="B1691" s="6" t="s">
        <v>273</v>
      </c>
      <c r="C1691" s="13">
        <v>107</v>
      </c>
      <c r="D1691" s="14" t="s">
        <v>83</v>
      </c>
      <c r="E1691">
        <v>15</v>
      </c>
      <c r="F1691" s="8">
        <f>VLOOKUP(financials[[#This Row],[productid]],Products!$B$2:$H$10,3)</f>
        <v>15</v>
      </c>
      <c r="G1691" s="8">
        <f>financials[[#This Row],[Units Sold]]*financials[[#This Row],[Sale Price]]</f>
        <v>225</v>
      </c>
      <c r="H1691" s="8">
        <f>IF(financials[[#This Row],[Discount Band]]="low",0.1,IF(financials[[#This Row],[Discount Band]]="medium",0.15,0.3))</f>
        <v>0.3</v>
      </c>
      <c r="I1691" s="8">
        <f>financials[[#This Row],[Gross Sales]]-financials[[#This Row],[Gross Sales]]*financials[[#This Row],[Discounts]]</f>
        <v>157.5</v>
      </c>
      <c r="J1691" s="8">
        <f>VLOOKUP(financials[[#This Row],[productid]],Products!$B$2:$H$10,4)</f>
        <v>5.5</v>
      </c>
      <c r="K1691" s="8">
        <f>financials[[#This Row],[Net Sales]]-financials[[#This Row],[COGS]]</f>
        <v>152</v>
      </c>
      <c r="L1691" s="15">
        <v>44224</v>
      </c>
      <c r="M1691" t="s">
        <v>691</v>
      </c>
    </row>
    <row r="1692" spans="1:13" x14ac:dyDescent="0.25">
      <c r="A1692" t="s">
        <v>86</v>
      </c>
      <c r="B1692" s="6" t="s">
        <v>273</v>
      </c>
      <c r="C1692" s="13">
        <v>105</v>
      </c>
      <c r="D1692" s="14" t="s">
        <v>91</v>
      </c>
      <c r="E1692">
        <v>18</v>
      </c>
      <c r="F1692" s="8">
        <f>VLOOKUP(financials[[#This Row],[productid]],Products!$B$2:$H$10,3)</f>
        <v>15</v>
      </c>
      <c r="G1692" s="8">
        <f>financials[[#This Row],[Units Sold]]*financials[[#This Row],[Sale Price]]</f>
        <v>270</v>
      </c>
      <c r="H1692" s="8">
        <f>IF(financials[[#This Row],[Discount Band]]="low",0.1,IF(financials[[#This Row],[Discount Band]]="medium",0.15,0.3))</f>
        <v>0.1</v>
      </c>
      <c r="I1692" s="8">
        <f>financials[[#This Row],[Gross Sales]]-financials[[#This Row],[Gross Sales]]*financials[[#This Row],[Discounts]]</f>
        <v>243</v>
      </c>
      <c r="J1692" s="8">
        <f>VLOOKUP(financials[[#This Row],[productid]],Products!$B$2:$H$10,4)</f>
        <v>10</v>
      </c>
      <c r="K1692" s="8">
        <f>financials[[#This Row],[Net Sales]]-financials[[#This Row],[COGS]]</f>
        <v>233</v>
      </c>
      <c r="L1692" s="15">
        <v>44925</v>
      </c>
      <c r="M1692" t="s">
        <v>700</v>
      </c>
    </row>
    <row r="1693" spans="1:13" x14ac:dyDescent="0.25">
      <c r="A1693" t="s">
        <v>86</v>
      </c>
      <c r="B1693" s="6" t="s">
        <v>94</v>
      </c>
      <c r="C1693" s="13">
        <v>109</v>
      </c>
      <c r="D1693" s="14" t="s">
        <v>90</v>
      </c>
      <c r="E1693">
        <v>20</v>
      </c>
      <c r="F1693" s="8">
        <f>VLOOKUP(financials[[#This Row],[productid]],Products!$B$2:$H$10,3)</f>
        <v>36</v>
      </c>
      <c r="G1693" s="8">
        <f>financials[[#This Row],[Units Sold]]*financials[[#This Row],[Sale Price]]</f>
        <v>720</v>
      </c>
      <c r="H1693" s="8">
        <f>IF(financials[[#This Row],[Discount Band]]="low",0.1,IF(financials[[#This Row],[Discount Band]]="medium",0.15,0.3))</f>
        <v>0.15</v>
      </c>
      <c r="I1693" s="8">
        <f>financials[[#This Row],[Gross Sales]]-financials[[#This Row],[Gross Sales]]*financials[[#This Row],[Discounts]]</f>
        <v>612</v>
      </c>
      <c r="J1693" s="8">
        <f>VLOOKUP(financials[[#This Row],[productid]],Products!$B$2:$H$10,4)</f>
        <v>16.8</v>
      </c>
      <c r="K1693" s="8">
        <f>financials[[#This Row],[Net Sales]]-financials[[#This Row],[COGS]]</f>
        <v>595.20000000000005</v>
      </c>
      <c r="L1693" s="15">
        <v>45208</v>
      </c>
      <c r="M1693" t="s">
        <v>690</v>
      </c>
    </row>
    <row r="1694" spans="1:13" x14ac:dyDescent="0.25">
      <c r="A1694" t="s">
        <v>86</v>
      </c>
      <c r="B1694" s="6" t="s">
        <v>205</v>
      </c>
      <c r="C1694" s="13">
        <v>102</v>
      </c>
      <c r="D1694" s="14" t="s">
        <v>90</v>
      </c>
      <c r="E1694">
        <v>12</v>
      </c>
      <c r="F1694" s="8">
        <f>VLOOKUP(financials[[#This Row],[productid]],Products!$B$2:$H$10,3)</f>
        <v>15</v>
      </c>
      <c r="G1694" s="8">
        <f>financials[[#This Row],[Units Sold]]*financials[[#This Row],[Sale Price]]</f>
        <v>180</v>
      </c>
      <c r="H1694" s="8">
        <f>IF(financials[[#This Row],[Discount Band]]="low",0.1,IF(financials[[#This Row],[Discount Band]]="medium",0.15,0.3))</f>
        <v>0.15</v>
      </c>
      <c r="I1694" s="8">
        <f>financials[[#This Row],[Gross Sales]]-financials[[#This Row],[Gross Sales]]*financials[[#This Row],[Discounts]]</f>
        <v>153</v>
      </c>
      <c r="J1694" s="8">
        <f>VLOOKUP(financials[[#This Row],[productid]],Products!$B$2:$H$10,4)</f>
        <v>13.95</v>
      </c>
      <c r="K1694" s="8">
        <f>financials[[#This Row],[Net Sales]]-financials[[#This Row],[COGS]]</f>
        <v>139.05000000000001</v>
      </c>
      <c r="L1694" s="15">
        <v>45392</v>
      </c>
      <c r="M1694" t="s">
        <v>697</v>
      </c>
    </row>
    <row r="1695" spans="1:13" x14ac:dyDescent="0.25">
      <c r="A1695" t="s">
        <v>86</v>
      </c>
      <c r="B1695" s="6" t="s">
        <v>95</v>
      </c>
      <c r="C1695" s="13">
        <v>102</v>
      </c>
      <c r="D1695" s="14" t="s">
        <v>90</v>
      </c>
      <c r="E1695">
        <v>10</v>
      </c>
      <c r="F1695" s="8">
        <f>VLOOKUP(financials[[#This Row],[productid]],Products!$B$2:$H$10,3)</f>
        <v>15</v>
      </c>
      <c r="G1695" s="8">
        <f>financials[[#This Row],[Units Sold]]*financials[[#This Row],[Sale Price]]</f>
        <v>150</v>
      </c>
      <c r="H1695" s="8">
        <f>IF(financials[[#This Row],[Discount Band]]="low",0.1,IF(financials[[#This Row],[Discount Band]]="medium",0.15,0.3))</f>
        <v>0.15</v>
      </c>
      <c r="I1695" s="8">
        <f>financials[[#This Row],[Gross Sales]]-financials[[#This Row],[Gross Sales]]*financials[[#This Row],[Discounts]]</f>
        <v>127.5</v>
      </c>
      <c r="J1695" s="8">
        <f>VLOOKUP(financials[[#This Row],[productid]],Products!$B$2:$H$10,4)</f>
        <v>13.95</v>
      </c>
      <c r="K1695" s="8">
        <f>financials[[#This Row],[Net Sales]]-financials[[#This Row],[COGS]]</f>
        <v>113.55</v>
      </c>
      <c r="L1695" s="15">
        <v>44375</v>
      </c>
      <c r="M1695" t="s">
        <v>700</v>
      </c>
    </row>
    <row r="1696" spans="1:13" x14ac:dyDescent="0.25">
      <c r="A1696" t="s">
        <v>86</v>
      </c>
      <c r="B1696" s="6" t="s">
        <v>167</v>
      </c>
      <c r="C1696" s="13">
        <v>108</v>
      </c>
      <c r="D1696" s="14" t="s">
        <v>92</v>
      </c>
      <c r="E1696">
        <v>18</v>
      </c>
      <c r="F1696" s="8">
        <f>VLOOKUP(financials[[#This Row],[productid]],Products!$B$2:$H$10,3)</f>
        <v>5.5</v>
      </c>
      <c r="G1696" s="8">
        <f>financials[[#This Row],[Units Sold]]*financials[[#This Row],[Sale Price]]</f>
        <v>99</v>
      </c>
      <c r="H1696" s="8">
        <f>IF(financials[[#This Row],[Discount Band]]="low",0.1,IF(financials[[#This Row],[Discount Band]]="medium",0.15,0.3))</f>
        <v>0.3</v>
      </c>
      <c r="I1696" s="8">
        <f>financials[[#This Row],[Gross Sales]]-financials[[#This Row],[Gross Sales]]*financials[[#This Row],[Discounts]]</f>
        <v>69.3</v>
      </c>
      <c r="J1696" s="8">
        <f>VLOOKUP(financials[[#This Row],[productid]],Products!$B$2:$H$10,4)</f>
        <v>3.99</v>
      </c>
      <c r="K1696" s="8">
        <f>financials[[#This Row],[Net Sales]]-financials[[#This Row],[COGS]]</f>
        <v>65.31</v>
      </c>
      <c r="L1696" s="15">
        <v>44294</v>
      </c>
      <c r="M1696" t="s">
        <v>700</v>
      </c>
    </row>
    <row r="1697" spans="1:13" x14ac:dyDescent="0.25">
      <c r="A1697" t="s">
        <v>89</v>
      </c>
      <c r="B1697" s="6" t="s">
        <v>167</v>
      </c>
      <c r="C1697" s="11">
        <v>104</v>
      </c>
      <c r="D1697" s="9" t="s">
        <v>83</v>
      </c>
      <c r="E1697">
        <v>18</v>
      </c>
      <c r="F1697" s="8">
        <f>VLOOKUP(financials[[#This Row],[productid]],Products!$B$2:$H$10,3)</f>
        <v>5.9</v>
      </c>
      <c r="G1697" s="8">
        <f>financials[[#This Row],[Units Sold]]*financials[[#This Row],[Sale Price]]</f>
        <v>106.2</v>
      </c>
      <c r="H1697" s="8">
        <f>IF(financials[[#This Row],[Discount Band]]="low",0.1,IF(financials[[#This Row],[Discount Band]]="medium",0.15,0.3))</f>
        <v>0.3</v>
      </c>
      <c r="I1697" s="8">
        <f>financials[[#This Row],[Gross Sales]]-financials[[#This Row],[Gross Sales]]*financials[[#This Row],[Discounts]]</f>
        <v>74.34</v>
      </c>
      <c r="J1697" s="8">
        <f>VLOOKUP(financials[[#This Row],[productid]],Products!$B$2:$H$10,4)</f>
        <v>2.9</v>
      </c>
      <c r="K1697" s="8">
        <f>financials[[#This Row],[Net Sales]]-financials[[#This Row],[COGS]]</f>
        <v>71.44</v>
      </c>
      <c r="L1697" s="15">
        <v>44096</v>
      </c>
      <c r="M1697" t="s">
        <v>691</v>
      </c>
    </row>
    <row r="1698" spans="1:13" x14ac:dyDescent="0.25">
      <c r="A1698" t="s">
        <v>89</v>
      </c>
      <c r="B1698" s="6" t="s">
        <v>95</v>
      </c>
      <c r="C1698" s="13">
        <v>103</v>
      </c>
      <c r="D1698" s="14" t="s">
        <v>92</v>
      </c>
      <c r="E1698">
        <v>20</v>
      </c>
      <c r="F1698" s="8">
        <f>VLOOKUP(financials[[#This Row],[productid]],Products!$B$2:$H$10,3)</f>
        <v>28</v>
      </c>
      <c r="G1698" s="8">
        <f>financials[[#This Row],[Units Sold]]*financials[[#This Row],[Sale Price]]</f>
        <v>560</v>
      </c>
      <c r="H1698" s="8">
        <f>IF(financials[[#This Row],[Discount Band]]="low",0.1,IF(financials[[#This Row],[Discount Band]]="medium",0.15,0.3))</f>
        <v>0.3</v>
      </c>
      <c r="I1698" s="8">
        <f>financials[[#This Row],[Gross Sales]]-financials[[#This Row],[Gross Sales]]*financials[[#This Row],[Discounts]]</f>
        <v>392</v>
      </c>
      <c r="J1698" s="8">
        <f>VLOOKUP(financials[[#This Row],[productid]],Products!$B$2:$H$10,4)</f>
        <v>15</v>
      </c>
      <c r="K1698" s="8">
        <f>financials[[#This Row],[Net Sales]]-financials[[#This Row],[COGS]]</f>
        <v>377</v>
      </c>
      <c r="L1698" s="15">
        <v>45484</v>
      </c>
      <c r="M1698" t="s">
        <v>696</v>
      </c>
    </row>
    <row r="1699" spans="1:13" x14ac:dyDescent="0.25">
      <c r="A1699" t="s">
        <v>86</v>
      </c>
      <c r="B1699" s="6" t="s">
        <v>94</v>
      </c>
      <c r="C1699" s="13">
        <v>106</v>
      </c>
      <c r="D1699" s="14" t="s">
        <v>91</v>
      </c>
      <c r="E1699">
        <v>6</v>
      </c>
      <c r="F1699" s="8">
        <f>VLOOKUP(financials[[#This Row],[productid]],Products!$B$2:$H$10,3)</f>
        <v>25</v>
      </c>
      <c r="G1699" s="8">
        <f>financials[[#This Row],[Units Sold]]*financials[[#This Row],[Sale Price]]</f>
        <v>150</v>
      </c>
      <c r="H1699" s="8">
        <f>IF(financials[[#This Row],[Discount Band]]="low",0.1,IF(financials[[#This Row],[Discount Band]]="medium",0.15,0.3))</f>
        <v>0.1</v>
      </c>
      <c r="I1699" s="8">
        <f>financials[[#This Row],[Gross Sales]]-financials[[#This Row],[Gross Sales]]*financials[[#This Row],[Discounts]]</f>
        <v>135</v>
      </c>
      <c r="J1699" s="8">
        <f>VLOOKUP(financials[[#This Row],[productid]],Products!$B$2:$H$10,4)</f>
        <v>9.1</v>
      </c>
      <c r="K1699" s="8">
        <f>financials[[#This Row],[Net Sales]]-financials[[#This Row],[COGS]]</f>
        <v>125.9</v>
      </c>
      <c r="L1699" s="15">
        <v>44769</v>
      </c>
      <c r="M1699" t="s">
        <v>690</v>
      </c>
    </row>
    <row r="1700" spans="1:13" x14ac:dyDescent="0.25">
      <c r="A1700" t="s">
        <v>85</v>
      </c>
      <c r="B1700" s="6" t="s">
        <v>205</v>
      </c>
      <c r="C1700" s="13">
        <v>107</v>
      </c>
      <c r="D1700" s="14" t="s">
        <v>83</v>
      </c>
      <c r="E1700">
        <v>12</v>
      </c>
      <c r="F1700" s="8">
        <f>VLOOKUP(financials[[#This Row],[productid]],Products!$B$2:$H$10,3)</f>
        <v>15</v>
      </c>
      <c r="G1700" s="8">
        <f>financials[[#This Row],[Units Sold]]*financials[[#This Row],[Sale Price]]</f>
        <v>180</v>
      </c>
      <c r="H1700" s="8">
        <f>IF(financials[[#This Row],[Discount Band]]="low",0.1,IF(financials[[#This Row],[Discount Band]]="medium",0.15,0.3))</f>
        <v>0.3</v>
      </c>
      <c r="I1700" s="8">
        <f>financials[[#This Row],[Gross Sales]]-financials[[#This Row],[Gross Sales]]*financials[[#This Row],[Discounts]]</f>
        <v>126</v>
      </c>
      <c r="J1700" s="8">
        <f>VLOOKUP(financials[[#This Row],[productid]],Products!$B$2:$H$10,4)</f>
        <v>5.5</v>
      </c>
      <c r="K1700" s="8">
        <f>financials[[#This Row],[Net Sales]]-financials[[#This Row],[COGS]]</f>
        <v>120.5</v>
      </c>
      <c r="L1700" s="15">
        <v>45128</v>
      </c>
      <c r="M1700" t="s">
        <v>697</v>
      </c>
    </row>
    <row r="1701" spans="1:13" x14ac:dyDescent="0.25">
      <c r="A1701" t="s">
        <v>86</v>
      </c>
      <c r="B1701" s="6" t="s">
        <v>268</v>
      </c>
      <c r="C1701" s="13">
        <v>101</v>
      </c>
      <c r="D1701" s="14" t="s">
        <v>90</v>
      </c>
      <c r="E1701">
        <v>11</v>
      </c>
      <c r="F1701" s="8">
        <f>VLOOKUP(financials[[#This Row],[productid]],Products!$B$2:$H$10,3)</f>
        <v>23</v>
      </c>
      <c r="G1701" s="8">
        <f>financials[[#This Row],[Units Sold]]*financials[[#This Row],[Sale Price]]</f>
        <v>253</v>
      </c>
      <c r="H1701" s="8">
        <f>IF(financials[[#This Row],[Discount Band]]="low",0.1,IF(financials[[#This Row],[Discount Band]]="medium",0.15,0.3))</f>
        <v>0.15</v>
      </c>
      <c r="I1701" s="8">
        <f>financials[[#This Row],[Gross Sales]]-financials[[#This Row],[Gross Sales]]*financials[[#This Row],[Discounts]]</f>
        <v>215.05</v>
      </c>
      <c r="J1701" s="8">
        <f>VLOOKUP(financials[[#This Row],[productid]],Products!$B$2:$H$10,4)</f>
        <v>9.9499999999999993</v>
      </c>
      <c r="K1701" s="8">
        <f>financials[[#This Row],[Net Sales]]-financials[[#This Row],[COGS]]</f>
        <v>205.10000000000002</v>
      </c>
      <c r="L1701" s="15">
        <v>44859</v>
      </c>
      <c r="M1701" t="s">
        <v>696</v>
      </c>
    </row>
    <row r="1702" spans="1:13" x14ac:dyDescent="0.25">
      <c r="A1702" t="s">
        <v>86</v>
      </c>
      <c r="B1702" s="6" t="s">
        <v>273</v>
      </c>
      <c r="C1702" s="13">
        <v>102</v>
      </c>
      <c r="D1702" s="14" t="s">
        <v>83</v>
      </c>
      <c r="E1702">
        <v>5</v>
      </c>
      <c r="F1702" s="8">
        <f>VLOOKUP(financials[[#This Row],[productid]],Products!$B$2:$H$10,3)</f>
        <v>15</v>
      </c>
      <c r="G1702" s="8">
        <f>financials[[#This Row],[Units Sold]]*financials[[#This Row],[Sale Price]]</f>
        <v>75</v>
      </c>
      <c r="H1702" s="8">
        <f>IF(financials[[#This Row],[Discount Band]]="low",0.1,IF(financials[[#This Row],[Discount Band]]="medium",0.15,0.3))</f>
        <v>0.3</v>
      </c>
      <c r="I1702" s="8">
        <f>financials[[#This Row],[Gross Sales]]-financials[[#This Row],[Gross Sales]]*financials[[#This Row],[Discounts]]</f>
        <v>52.5</v>
      </c>
      <c r="J1702" s="8">
        <f>VLOOKUP(financials[[#This Row],[productid]],Products!$B$2:$H$10,4)</f>
        <v>13.95</v>
      </c>
      <c r="K1702" s="8">
        <f>financials[[#This Row],[Net Sales]]-financials[[#This Row],[COGS]]</f>
        <v>38.549999999999997</v>
      </c>
      <c r="L1702" s="15">
        <v>44209</v>
      </c>
      <c r="M1702" t="s">
        <v>697</v>
      </c>
    </row>
    <row r="1703" spans="1:13" x14ac:dyDescent="0.25">
      <c r="A1703" t="s">
        <v>89</v>
      </c>
      <c r="B1703" s="6" t="s">
        <v>95</v>
      </c>
      <c r="C1703" s="13">
        <v>106</v>
      </c>
      <c r="D1703" s="14" t="s">
        <v>83</v>
      </c>
      <c r="E1703">
        <v>11</v>
      </c>
      <c r="F1703" s="8">
        <f>VLOOKUP(financials[[#This Row],[productid]],Products!$B$2:$H$10,3)</f>
        <v>25</v>
      </c>
      <c r="G1703" s="8">
        <f>financials[[#This Row],[Units Sold]]*financials[[#This Row],[Sale Price]]</f>
        <v>275</v>
      </c>
      <c r="H1703" s="8">
        <f>IF(financials[[#This Row],[Discount Band]]="low",0.1,IF(financials[[#This Row],[Discount Band]]="medium",0.15,0.3))</f>
        <v>0.3</v>
      </c>
      <c r="I1703" s="8">
        <f>financials[[#This Row],[Gross Sales]]-financials[[#This Row],[Gross Sales]]*financials[[#This Row],[Discounts]]</f>
        <v>192.5</v>
      </c>
      <c r="J1703" s="8">
        <f>VLOOKUP(financials[[#This Row],[productid]],Products!$B$2:$H$10,4)</f>
        <v>9.1</v>
      </c>
      <c r="K1703" s="8">
        <f>financials[[#This Row],[Net Sales]]-financials[[#This Row],[COGS]]</f>
        <v>183.4</v>
      </c>
      <c r="L1703" s="15">
        <v>43870</v>
      </c>
      <c r="M1703" t="s">
        <v>696</v>
      </c>
    </row>
    <row r="1704" spans="1:13" x14ac:dyDescent="0.25">
      <c r="A1704" t="s">
        <v>89</v>
      </c>
      <c r="B1704" s="6" t="s">
        <v>198</v>
      </c>
      <c r="C1704" s="13">
        <v>105</v>
      </c>
      <c r="D1704" s="14" t="s">
        <v>91</v>
      </c>
      <c r="E1704">
        <v>20</v>
      </c>
      <c r="F1704" s="8">
        <f>VLOOKUP(financials[[#This Row],[productid]],Products!$B$2:$H$10,3)</f>
        <v>15</v>
      </c>
      <c r="G1704" s="8">
        <f>financials[[#This Row],[Units Sold]]*financials[[#This Row],[Sale Price]]</f>
        <v>300</v>
      </c>
      <c r="H1704" s="8">
        <f>IF(financials[[#This Row],[Discount Band]]="low",0.1,IF(financials[[#This Row],[Discount Band]]="medium",0.15,0.3))</f>
        <v>0.1</v>
      </c>
      <c r="I1704" s="8">
        <f>financials[[#This Row],[Gross Sales]]-financials[[#This Row],[Gross Sales]]*financials[[#This Row],[Discounts]]</f>
        <v>270</v>
      </c>
      <c r="J1704" s="8">
        <f>VLOOKUP(financials[[#This Row],[productid]],Products!$B$2:$H$10,4)</f>
        <v>10</v>
      </c>
      <c r="K1704" s="8">
        <f>financials[[#This Row],[Net Sales]]-financials[[#This Row],[COGS]]</f>
        <v>260</v>
      </c>
      <c r="L1704" s="15">
        <v>43922</v>
      </c>
      <c r="M1704" t="s">
        <v>697</v>
      </c>
    </row>
    <row r="1705" spans="1:13" x14ac:dyDescent="0.25">
      <c r="A1705" t="s">
        <v>86</v>
      </c>
      <c r="B1705" s="6" t="s">
        <v>197</v>
      </c>
      <c r="C1705" s="13">
        <v>105</v>
      </c>
      <c r="D1705" s="14" t="s">
        <v>83</v>
      </c>
      <c r="E1705">
        <v>8</v>
      </c>
      <c r="F1705" s="8">
        <f>VLOOKUP(financials[[#This Row],[productid]],Products!$B$2:$H$10,3)</f>
        <v>15</v>
      </c>
      <c r="G1705" s="8">
        <f>financials[[#This Row],[Units Sold]]*financials[[#This Row],[Sale Price]]</f>
        <v>120</v>
      </c>
      <c r="H1705" s="8">
        <f>IF(financials[[#This Row],[Discount Band]]="low",0.1,IF(financials[[#This Row],[Discount Band]]="medium",0.15,0.3))</f>
        <v>0.3</v>
      </c>
      <c r="I1705" s="8">
        <f>financials[[#This Row],[Gross Sales]]-financials[[#This Row],[Gross Sales]]*financials[[#This Row],[Discounts]]</f>
        <v>84</v>
      </c>
      <c r="J1705" s="8">
        <f>VLOOKUP(financials[[#This Row],[productid]],Products!$B$2:$H$10,4)</f>
        <v>10</v>
      </c>
      <c r="K1705" s="8">
        <f>financials[[#This Row],[Net Sales]]-financials[[#This Row],[COGS]]</f>
        <v>74</v>
      </c>
      <c r="L1705" s="15">
        <v>45243</v>
      </c>
      <c r="M1705" t="s">
        <v>697</v>
      </c>
    </row>
    <row r="1706" spans="1:13" x14ac:dyDescent="0.25">
      <c r="A1706" t="s">
        <v>89</v>
      </c>
      <c r="B1706" s="6" t="s">
        <v>95</v>
      </c>
      <c r="C1706" s="13">
        <v>106</v>
      </c>
      <c r="D1706" s="14" t="s">
        <v>91</v>
      </c>
      <c r="E1706">
        <v>20</v>
      </c>
      <c r="F1706" s="8">
        <f>VLOOKUP(financials[[#This Row],[productid]],Products!$B$2:$H$10,3)</f>
        <v>25</v>
      </c>
      <c r="G1706" s="8">
        <f>financials[[#This Row],[Units Sold]]*financials[[#This Row],[Sale Price]]</f>
        <v>500</v>
      </c>
      <c r="H1706" s="8">
        <f>IF(financials[[#This Row],[Discount Band]]="low",0.1,IF(financials[[#This Row],[Discount Band]]="medium",0.15,0.3))</f>
        <v>0.1</v>
      </c>
      <c r="I1706" s="8">
        <f>financials[[#This Row],[Gross Sales]]-financials[[#This Row],[Gross Sales]]*financials[[#This Row],[Discounts]]</f>
        <v>450</v>
      </c>
      <c r="J1706" s="8">
        <f>VLOOKUP(financials[[#This Row],[productid]],Products!$B$2:$H$10,4)</f>
        <v>9.1</v>
      </c>
      <c r="K1706" s="8">
        <f>financials[[#This Row],[Net Sales]]-financials[[#This Row],[COGS]]</f>
        <v>440.9</v>
      </c>
      <c r="L1706" s="15">
        <v>45178</v>
      </c>
      <c r="M1706" t="s">
        <v>690</v>
      </c>
    </row>
    <row r="1707" spans="1:13" x14ac:dyDescent="0.25">
      <c r="A1707" t="s">
        <v>89</v>
      </c>
      <c r="B1707" s="6" t="s">
        <v>205</v>
      </c>
      <c r="C1707" s="13">
        <v>108</v>
      </c>
      <c r="D1707" s="14" t="s">
        <v>91</v>
      </c>
      <c r="E1707">
        <v>6</v>
      </c>
      <c r="F1707" s="8">
        <f>VLOOKUP(financials[[#This Row],[productid]],Products!$B$2:$H$10,3)</f>
        <v>5.5</v>
      </c>
      <c r="G1707" s="8">
        <f>financials[[#This Row],[Units Sold]]*financials[[#This Row],[Sale Price]]</f>
        <v>33</v>
      </c>
      <c r="H1707" s="8">
        <f>IF(financials[[#This Row],[Discount Band]]="low",0.1,IF(financials[[#This Row],[Discount Band]]="medium",0.15,0.3))</f>
        <v>0.1</v>
      </c>
      <c r="I1707" s="8">
        <f>financials[[#This Row],[Gross Sales]]-financials[[#This Row],[Gross Sales]]*financials[[#This Row],[Discounts]]</f>
        <v>29.7</v>
      </c>
      <c r="J1707" s="8">
        <f>VLOOKUP(financials[[#This Row],[productid]],Products!$B$2:$H$10,4)</f>
        <v>3.99</v>
      </c>
      <c r="K1707" s="8">
        <f>financials[[#This Row],[Net Sales]]-financials[[#This Row],[COGS]]</f>
        <v>25.71</v>
      </c>
      <c r="L1707" s="15">
        <v>45605</v>
      </c>
      <c r="M1707" t="s">
        <v>700</v>
      </c>
    </row>
    <row r="1708" spans="1:13" x14ac:dyDescent="0.25">
      <c r="A1708" t="s">
        <v>86</v>
      </c>
      <c r="B1708" s="6" t="s">
        <v>273</v>
      </c>
      <c r="C1708" s="11">
        <v>102</v>
      </c>
      <c r="D1708" s="9" t="s">
        <v>91</v>
      </c>
      <c r="E1708">
        <v>15</v>
      </c>
      <c r="F1708" s="8">
        <f>VLOOKUP(financials[[#This Row],[productid]],Products!$B$2:$H$10,3)</f>
        <v>15</v>
      </c>
      <c r="G1708" s="8">
        <f>financials[[#This Row],[Units Sold]]*financials[[#This Row],[Sale Price]]</f>
        <v>225</v>
      </c>
      <c r="H1708" s="8">
        <f>IF(financials[[#This Row],[Discount Band]]="low",0.1,IF(financials[[#This Row],[Discount Band]]="medium",0.15,0.3))</f>
        <v>0.1</v>
      </c>
      <c r="I1708" s="8">
        <f>financials[[#This Row],[Gross Sales]]-financials[[#This Row],[Gross Sales]]*financials[[#This Row],[Discounts]]</f>
        <v>202.5</v>
      </c>
      <c r="J1708" s="8">
        <f>VLOOKUP(financials[[#This Row],[productid]],Products!$B$2:$H$10,4)</f>
        <v>13.95</v>
      </c>
      <c r="K1708" s="8">
        <f>financials[[#This Row],[Net Sales]]-financials[[#This Row],[COGS]]</f>
        <v>188.55</v>
      </c>
      <c r="L1708" s="15">
        <v>45531</v>
      </c>
      <c r="M1708" t="s">
        <v>690</v>
      </c>
    </row>
    <row r="1709" spans="1:13" x14ac:dyDescent="0.25">
      <c r="A1709" t="s">
        <v>86</v>
      </c>
      <c r="B1709" s="6" t="s">
        <v>167</v>
      </c>
      <c r="C1709" s="13">
        <v>107</v>
      </c>
      <c r="D1709" s="14" t="s">
        <v>83</v>
      </c>
      <c r="E1709">
        <v>6</v>
      </c>
      <c r="F1709" s="8">
        <f>VLOOKUP(financials[[#This Row],[productid]],Products!$B$2:$H$10,3)</f>
        <v>15</v>
      </c>
      <c r="G1709" s="8">
        <f>financials[[#This Row],[Units Sold]]*financials[[#This Row],[Sale Price]]</f>
        <v>90</v>
      </c>
      <c r="H1709" s="8">
        <f>IF(financials[[#This Row],[Discount Band]]="low",0.1,IF(financials[[#This Row],[Discount Band]]="medium",0.15,0.3))</f>
        <v>0.3</v>
      </c>
      <c r="I1709" s="8">
        <f>financials[[#This Row],[Gross Sales]]-financials[[#This Row],[Gross Sales]]*financials[[#This Row],[Discounts]]</f>
        <v>63</v>
      </c>
      <c r="J1709" s="8">
        <f>VLOOKUP(financials[[#This Row],[productid]],Products!$B$2:$H$10,4)</f>
        <v>5.5</v>
      </c>
      <c r="K1709" s="8">
        <f>financials[[#This Row],[Net Sales]]-financials[[#This Row],[COGS]]</f>
        <v>57.5</v>
      </c>
      <c r="L1709" s="15">
        <v>43894</v>
      </c>
      <c r="M1709" t="s">
        <v>690</v>
      </c>
    </row>
    <row r="1710" spans="1:13" x14ac:dyDescent="0.25">
      <c r="A1710" t="s">
        <v>89</v>
      </c>
      <c r="B1710" s="6" t="s">
        <v>94</v>
      </c>
      <c r="C1710" s="13">
        <v>109</v>
      </c>
      <c r="D1710" s="14" t="s">
        <v>91</v>
      </c>
      <c r="E1710">
        <v>11</v>
      </c>
      <c r="F1710" s="8">
        <f>VLOOKUP(financials[[#This Row],[productid]],Products!$B$2:$H$10,3)</f>
        <v>36</v>
      </c>
      <c r="G1710" s="8">
        <f>financials[[#This Row],[Units Sold]]*financials[[#This Row],[Sale Price]]</f>
        <v>396</v>
      </c>
      <c r="H1710" s="8">
        <f>IF(financials[[#This Row],[Discount Band]]="low",0.1,IF(financials[[#This Row],[Discount Band]]="medium",0.15,0.3))</f>
        <v>0.1</v>
      </c>
      <c r="I1710" s="8">
        <f>financials[[#This Row],[Gross Sales]]-financials[[#This Row],[Gross Sales]]*financials[[#This Row],[Discounts]]</f>
        <v>356.4</v>
      </c>
      <c r="J1710" s="8">
        <f>VLOOKUP(financials[[#This Row],[productid]],Products!$B$2:$H$10,4)</f>
        <v>16.8</v>
      </c>
      <c r="K1710" s="8">
        <f>financials[[#This Row],[Net Sales]]-financials[[#This Row],[COGS]]</f>
        <v>339.59999999999997</v>
      </c>
      <c r="L1710" s="15">
        <v>44954</v>
      </c>
      <c r="M1710" t="s">
        <v>700</v>
      </c>
    </row>
    <row r="1711" spans="1:13" x14ac:dyDescent="0.25">
      <c r="A1711" t="s">
        <v>86</v>
      </c>
      <c r="B1711" s="6" t="s">
        <v>167</v>
      </c>
      <c r="C1711" s="13">
        <v>105</v>
      </c>
      <c r="D1711" s="14" t="s">
        <v>83</v>
      </c>
      <c r="E1711">
        <v>20</v>
      </c>
      <c r="F1711" s="8">
        <f>VLOOKUP(financials[[#This Row],[productid]],Products!$B$2:$H$10,3)</f>
        <v>15</v>
      </c>
      <c r="G1711" s="8">
        <f>financials[[#This Row],[Units Sold]]*financials[[#This Row],[Sale Price]]</f>
        <v>300</v>
      </c>
      <c r="H1711" s="8">
        <f>IF(financials[[#This Row],[Discount Band]]="low",0.1,IF(financials[[#This Row],[Discount Band]]="medium",0.15,0.3))</f>
        <v>0.3</v>
      </c>
      <c r="I1711" s="8">
        <f>financials[[#This Row],[Gross Sales]]-financials[[#This Row],[Gross Sales]]*financials[[#This Row],[Discounts]]</f>
        <v>210</v>
      </c>
      <c r="J1711" s="8">
        <f>VLOOKUP(financials[[#This Row],[productid]],Products!$B$2:$H$10,4)</f>
        <v>10</v>
      </c>
      <c r="K1711" s="8">
        <f>financials[[#This Row],[Net Sales]]-financials[[#This Row],[COGS]]</f>
        <v>200</v>
      </c>
      <c r="L1711" s="15">
        <v>43842</v>
      </c>
      <c r="M1711" t="s">
        <v>691</v>
      </c>
    </row>
    <row r="1712" spans="1:13" x14ac:dyDescent="0.25">
      <c r="A1712" t="s">
        <v>87</v>
      </c>
      <c r="B1712" s="6" t="s">
        <v>644</v>
      </c>
      <c r="C1712" s="13">
        <v>105</v>
      </c>
      <c r="D1712" s="14" t="s">
        <v>90</v>
      </c>
      <c r="E1712">
        <v>10</v>
      </c>
      <c r="F1712" s="8">
        <f>VLOOKUP(financials[[#This Row],[productid]],Products!$B$2:$H$10,3)</f>
        <v>15</v>
      </c>
      <c r="G1712" s="8">
        <f>financials[[#This Row],[Units Sold]]*financials[[#This Row],[Sale Price]]</f>
        <v>150</v>
      </c>
      <c r="H1712" s="8">
        <f>IF(financials[[#This Row],[Discount Band]]="low",0.1,IF(financials[[#This Row],[Discount Band]]="medium",0.15,0.3))</f>
        <v>0.15</v>
      </c>
      <c r="I1712" s="8">
        <f>financials[[#This Row],[Gross Sales]]-financials[[#This Row],[Gross Sales]]*financials[[#This Row],[Discounts]]</f>
        <v>127.5</v>
      </c>
      <c r="J1712" s="8">
        <f>VLOOKUP(financials[[#This Row],[productid]],Products!$B$2:$H$10,4)</f>
        <v>10</v>
      </c>
      <c r="K1712" s="8">
        <f>financials[[#This Row],[Net Sales]]-financials[[#This Row],[COGS]]</f>
        <v>117.5</v>
      </c>
      <c r="L1712" s="15">
        <v>44508</v>
      </c>
      <c r="M1712" t="s">
        <v>697</v>
      </c>
    </row>
    <row r="1713" spans="1:13" x14ac:dyDescent="0.25">
      <c r="A1713" t="s">
        <v>87</v>
      </c>
      <c r="B1713" s="6" t="s">
        <v>644</v>
      </c>
      <c r="C1713" s="13">
        <v>103</v>
      </c>
      <c r="D1713" s="14" t="s">
        <v>91</v>
      </c>
      <c r="E1713">
        <v>11</v>
      </c>
      <c r="F1713" s="8">
        <f>VLOOKUP(financials[[#This Row],[productid]],Products!$B$2:$H$10,3)</f>
        <v>28</v>
      </c>
      <c r="G1713" s="8">
        <f>financials[[#This Row],[Units Sold]]*financials[[#This Row],[Sale Price]]</f>
        <v>308</v>
      </c>
      <c r="H1713" s="8">
        <f>IF(financials[[#This Row],[Discount Band]]="low",0.1,IF(financials[[#This Row],[Discount Band]]="medium",0.15,0.3))</f>
        <v>0.1</v>
      </c>
      <c r="I1713" s="8">
        <f>financials[[#This Row],[Gross Sales]]-financials[[#This Row],[Gross Sales]]*financials[[#This Row],[Discounts]]</f>
        <v>277.2</v>
      </c>
      <c r="J1713" s="8">
        <f>VLOOKUP(financials[[#This Row],[productid]],Products!$B$2:$H$10,4)</f>
        <v>15</v>
      </c>
      <c r="K1713" s="8">
        <f>financials[[#This Row],[Net Sales]]-financials[[#This Row],[COGS]]</f>
        <v>262.2</v>
      </c>
      <c r="L1713" s="15">
        <v>45256</v>
      </c>
      <c r="M1713" t="s">
        <v>691</v>
      </c>
    </row>
    <row r="1714" spans="1:13" x14ac:dyDescent="0.25">
      <c r="A1714" t="s">
        <v>86</v>
      </c>
      <c r="B1714" s="6" t="s">
        <v>94</v>
      </c>
      <c r="C1714" s="13">
        <v>109</v>
      </c>
      <c r="D1714" s="14" t="s">
        <v>83</v>
      </c>
      <c r="E1714">
        <v>7</v>
      </c>
      <c r="F1714" s="8">
        <f>VLOOKUP(financials[[#This Row],[productid]],Products!$B$2:$H$10,3)</f>
        <v>36</v>
      </c>
      <c r="G1714" s="8">
        <f>financials[[#This Row],[Units Sold]]*financials[[#This Row],[Sale Price]]</f>
        <v>252</v>
      </c>
      <c r="H1714" s="8">
        <f>IF(financials[[#This Row],[Discount Band]]="low",0.1,IF(financials[[#This Row],[Discount Band]]="medium",0.15,0.3))</f>
        <v>0.3</v>
      </c>
      <c r="I1714" s="8">
        <f>financials[[#This Row],[Gross Sales]]-financials[[#This Row],[Gross Sales]]*financials[[#This Row],[Discounts]]</f>
        <v>176.4</v>
      </c>
      <c r="J1714" s="8">
        <f>VLOOKUP(financials[[#This Row],[productid]],Products!$B$2:$H$10,4)</f>
        <v>16.8</v>
      </c>
      <c r="K1714" s="8">
        <f>financials[[#This Row],[Net Sales]]-financials[[#This Row],[COGS]]</f>
        <v>159.6</v>
      </c>
      <c r="L1714" s="15">
        <v>44069</v>
      </c>
      <c r="M1714" t="s">
        <v>697</v>
      </c>
    </row>
    <row r="1715" spans="1:13" x14ac:dyDescent="0.25">
      <c r="A1715" t="s">
        <v>88</v>
      </c>
      <c r="B1715" s="6" t="s">
        <v>644</v>
      </c>
      <c r="C1715" s="13">
        <v>108</v>
      </c>
      <c r="D1715" s="14" t="s">
        <v>90</v>
      </c>
      <c r="E1715">
        <v>18</v>
      </c>
      <c r="F1715" s="8">
        <f>VLOOKUP(financials[[#This Row],[productid]],Products!$B$2:$H$10,3)</f>
        <v>5.5</v>
      </c>
      <c r="G1715" s="8">
        <f>financials[[#This Row],[Units Sold]]*financials[[#This Row],[Sale Price]]</f>
        <v>99</v>
      </c>
      <c r="H1715" s="8">
        <f>IF(financials[[#This Row],[Discount Band]]="low",0.1,IF(financials[[#This Row],[Discount Band]]="medium",0.15,0.3))</f>
        <v>0.15</v>
      </c>
      <c r="I1715" s="8">
        <f>financials[[#This Row],[Gross Sales]]-financials[[#This Row],[Gross Sales]]*financials[[#This Row],[Discounts]]</f>
        <v>84.15</v>
      </c>
      <c r="J1715" s="8">
        <f>VLOOKUP(financials[[#This Row],[productid]],Products!$B$2:$H$10,4)</f>
        <v>3.99</v>
      </c>
      <c r="K1715" s="8">
        <f>financials[[#This Row],[Net Sales]]-financials[[#This Row],[COGS]]</f>
        <v>80.160000000000011</v>
      </c>
      <c r="L1715" s="15">
        <v>45469</v>
      </c>
      <c r="M1715" t="s">
        <v>696</v>
      </c>
    </row>
    <row r="1716" spans="1:13" x14ac:dyDescent="0.25">
      <c r="A1716" t="s">
        <v>86</v>
      </c>
      <c r="B1716" s="6" t="s">
        <v>167</v>
      </c>
      <c r="C1716" s="13">
        <v>103</v>
      </c>
      <c r="D1716" s="14" t="s">
        <v>90</v>
      </c>
      <c r="E1716">
        <v>18</v>
      </c>
      <c r="F1716" s="8">
        <f>VLOOKUP(financials[[#This Row],[productid]],Products!$B$2:$H$10,3)</f>
        <v>28</v>
      </c>
      <c r="G1716" s="8">
        <f>financials[[#This Row],[Units Sold]]*financials[[#This Row],[Sale Price]]</f>
        <v>504</v>
      </c>
      <c r="H1716" s="8">
        <f>IF(financials[[#This Row],[Discount Band]]="low",0.1,IF(financials[[#This Row],[Discount Band]]="medium",0.15,0.3))</f>
        <v>0.15</v>
      </c>
      <c r="I1716" s="8">
        <f>financials[[#This Row],[Gross Sales]]-financials[[#This Row],[Gross Sales]]*financials[[#This Row],[Discounts]]</f>
        <v>428.4</v>
      </c>
      <c r="J1716" s="8">
        <f>VLOOKUP(financials[[#This Row],[productid]],Products!$B$2:$H$10,4)</f>
        <v>15</v>
      </c>
      <c r="K1716" s="8">
        <f>financials[[#This Row],[Net Sales]]-financials[[#This Row],[COGS]]</f>
        <v>413.4</v>
      </c>
      <c r="L1716" s="15">
        <v>44025</v>
      </c>
      <c r="M1716" t="s">
        <v>690</v>
      </c>
    </row>
    <row r="1717" spans="1:13" x14ac:dyDescent="0.25">
      <c r="A1717" t="s">
        <v>86</v>
      </c>
      <c r="B1717" s="6" t="s">
        <v>95</v>
      </c>
      <c r="C1717" s="13">
        <v>107</v>
      </c>
      <c r="D1717" s="14" t="s">
        <v>90</v>
      </c>
      <c r="E1717">
        <v>19</v>
      </c>
      <c r="F1717" s="8">
        <f>VLOOKUP(financials[[#This Row],[productid]],Products!$B$2:$H$10,3)</f>
        <v>15</v>
      </c>
      <c r="G1717" s="8">
        <f>financials[[#This Row],[Units Sold]]*financials[[#This Row],[Sale Price]]</f>
        <v>285</v>
      </c>
      <c r="H1717" s="8">
        <f>IF(financials[[#This Row],[Discount Band]]="low",0.1,IF(financials[[#This Row],[Discount Band]]="medium",0.15,0.3))</f>
        <v>0.15</v>
      </c>
      <c r="I1717" s="8">
        <f>financials[[#This Row],[Gross Sales]]-financials[[#This Row],[Gross Sales]]*financials[[#This Row],[Discounts]]</f>
        <v>242.25</v>
      </c>
      <c r="J1717" s="8">
        <f>VLOOKUP(financials[[#This Row],[productid]],Products!$B$2:$H$10,4)</f>
        <v>5.5</v>
      </c>
      <c r="K1717" s="8">
        <f>financials[[#This Row],[Net Sales]]-financials[[#This Row],[COGS]]</f>
        <v>236.75</v>
      </c>
      <c r="L1717" s="15">
        <v>45516</v>
      </c>
      <c r="M1717" t="s">
        <v>690</v>
      </c>
    </row>
    <row r="1718" spans="1:13" x14ac:dyDescent="0.25">
      <c r="A1718" t="s">
        <v>85</v>
      </c>
      <c r="B1718" s="6" t="s">
        <v>205</v>
      </c>
      <c r="C1718" s="13">
        <v>108</v>
      </c>
      <c r="D1718" s="14" t="s">
        <v>91</v>
      </c>
      <c r="E1718">
        <v>7</v>
      </c>
      <c r="F1718" s="8">
        <f>VLOOKUP(financials[[#This Row],[productid]],Products!$B$2:$H$10,3)</f>
        <v>5.5</v>
      </c>
      <c r="G1718" s="8">
        <f>financials[[#This Row],[Units Sold]]*financials[[#This Row],[Sale Price]]</f>
        <v>38.5</v>
      </c>
      <c r="H1718" s="8">
        <f>IF(financials[[#This Row],[Discount Band]]="low",0.1,IF(financials[[#This Row],[Discount Band]]="medium",0.15,0.3))</f>
        <v>0.1</v>
      </c>
      <c r="I1718" s="8">
        <f>financials[[#This Row],[Gross Sales]]-financials[[#This Row],[Gross Sales]]*financials[[#This Row],[Discounts]]</f>
        <v>34.65</v>
      </c>
      <c r="J1718" s="8">
        <f>VLOOKUP(financials[[#This Row],[productid]],Products!$B$2:$H$10,4)</f>
        <v>3.99</v>
      </c>
      <c r="K1718" s="8">
        <f>financials[[#This Row],[Net Sales]]-financials[[#This Row],[COGS]]</f>
        <v>30.659999999999997</v>
      </c>
      <c r="L1718" s="15">
        <v>45165</v>
      </c>
      <c r="M1718" t="s">
        <v>697</v>
      </c>
    </row>
    <row r="1719" spans="1:13" x14ac:dyDescent="0.25">
      <c r="A1719" t="s">
        <v>86</v>
      </c>
      <c r="B1719" s="6" t="s">
        <v>94</v>
      </c>
      <c r="C1719" s="13">
        <v>103</v>
      </c>
      <c r="D1719" s="14" t="s">
        <v>90</v>
      </c>
      <c r="E1719">
        <v>9</v>
      </c>
      <c r="F1719" s="8">
        <f>VLOOKUP(financials[[#This Row],[productid]],Products!$B$2:$H$10,3)</f>
        <v>28</v>
      </c>
      <c r="G1719" s="8">
        <f>financials[[#This Row],[Units Sold]]*financials[[#This Row],[Sale Price]]</f>
        <v>252</v>
      </c>
      <c r="H1719" s="8">
        <f>IF(financials[[#This Row],[Discount Band]]="low",0.1,IF(financials[[#This Row],[Discount Band]]="medium",0.15,0.3))</f>
        <v>0.15</v>
      </c>
      <c r="I1719" s="8">
        <f>financials[[#This Row],[Gross Sales]]-financials[[#This Row],[Gross Sales]]*financials[[#This Row],[Discounts]]</f>
        <v>214.2</v>
      </c>
      <c r="J1719" s="8">
        <f>VLOOKUP(financials[[#This Row],[productid]],Products!$B$2:$H$10,4)</f>
        <v>15</v>
      </c>
      <c r="K1719" s="8">
        <f>financials[[#This Row],[Net Sales]]-financials[[#This Row],[COGS]]</f>
        <v>199.2</v>
      </c>
      <c r="L1719" s="15">
        <v>43842</v>
      </c>
      <c r="M1719" t="s">
        <v>696</v>
      </c>
    </row>
    <row r="1720" spans="1:13" x14ac:dyDescent="0.25">
      <c r="A1720" t="s">
        <v>86</v>
      </c>
      <c r="B1720" s="6" t="s">
        <v>273</v>
      </c>
      <c r="C1720" s="11">
        <v>104</v>
      </c>
      <c r="D1720" s="9" t="s">
        <v>83</v>
      </c>
      <c r="E1720">
        <v>8</v>
      </c>
      <c r="F1720" s="8">
        <f>VLOOKUP(financials[[#This Row],[productid]],Products!$B$2:$H$10,3)</f>
        <v>5.9</v>
      </c>
      <c r="G1720" s="8">
        <f>financials[[#This Row],[Units Sold]]*financials[[#This Row],[Sale Price]]</f>
        <v>47.2</v>
      </c>
      <c r="H1720" s="8">
        <f>IF(financials[[#This Row],[Discount Band]]="low",0.1,IF(financials[[#This Row],[Discount Band]]="medium",0.15,0.3))</f>
        <v>0.3</v>
      </c>
      <c r="I1720" s="8">
        <f>financials[[#This Row],[Gross Sales]]-financials[[#This Row],[Gross Sales]]*financials[[#This Row],[Discounts]]</f>
        <v>33.040000000000006</v>
      </c>
      <c r="J1720" s="8">
        <f>VLOOKUP(financials[[#This Row],[productid]],Products!$B$2:$H$10,4)</f>
        <v>2.9</v>
      </c>
      <c r="K1720" s="8">
        <f>financials[[#This Row],[Net Sales]]-financials[[#This Row],[COGS]]</f>
        <v>30.140000000000008</v>
      </c>
      <c r="L1720" s="15">
        <v>45566</v>
      </c>
      <c r="M1720" t="s">
        <v>700</v>
      </c>
    </row>
    <row r="1721" spans="1:13" x14ac:dyDescent="0.25">
      <c r="A1721" t="s">
        <v>86</v>
      </c>
      <c r="B1721" s="6" t="s">
        <v>273</v>
      </c>
      <c r="C1721" s="13">
        <v>102</v>
      </c>
      <c r="D1721" s="14" t="s">
        <v>83</v>
      </c>
      <c r="E1721">
        <v>11</v>
      </c>
      <c r="F1721" s="8">
        <f>VLOOKUP(financials[[#This Row],[productid]],Products!$B$2:$H$10,3)</f>
        <v>15</v>
      </c>
      <c r="G1721" s="8">
        <f>financials[[#This Row],[Units Sold]]*financials[[#This Row],[Sale Price]]</f>
        <v>165</v>
      </c>
      <c r="H1721" s="8">
        <f>IF(financials[[#This Row],[Discount Band]]="low",0.1,IF(financials[[#This Row],[Discount Band]]="medium",0.15,0.3))</f>
        <v>0.3</v>
      </c>
      <c r="I1721" s="8">
        <f>financials[[#This Row],[Gross Sales]]-financials[[#This Row],[Gross Sales]]*financials[[#This Row],[Discounts]]</f>
        <v>115.5</v>
      </c>
      <c r="J1721" s="8">
        <f>VLOOKUP(financials[[#This Row],[productid]],Products!$B$2:$H$10,4)</f>
        <v>13.95</v>
      </c>
      <c r="K1721" s="8">
        <f>financials[[#This Row],[Net Sales]]-financials[[#This Row],[COGS]]</f>
        <v>101.55</v>
      </c>
      <c r="L1721" s="15">
        <v>45520</v>
      </c>
      <c r="M1721" t="s">
        <v>696</v>
      </c>
    </row>
    <row r="1722" spans="1:13" x14ac:dyDescent="0.25">
      <c r="A1722" t="s">
        <v>89</v>
      </c>
      <c r="B1722" s="6" t="s">
        <v>273</v>
      </c>
      <c r="C1722" s="11">
        <v>107</v>
      </c>
      <c r="D1722" s="9" t="s">
        <v>83</v>
      </c>
      <c r="E1722">
        <v>12</v>
      </c>
      <c r="F1722" s="8">
        <f>VLOOKUP(financials[[#This Row],[productid]],Products!$B$2:$H$10,3)</f>
        <v>15</v>
      </c>
      <c r="G1722" s="8">
        <f>financials[[#This Row],[Units Sold]]*financials[[#This Row],[Sale Price]]</f>
        <v>180</v>
      </c>
      <c r="H1722" s="8">
        <f>IF(financials[[#This Row],[Discount Band]]="low",0.1,IF(financials[[#This Row],[Discount Band]]="medium",0.15,0.3))</f>
        <v>0.3</v>
      </c>
      <c r="I1722" s="8">
        <f>financials[[#This Row],[Gross Sales]]-financials[[#This Row],[Gross Sales]]*financials[[#This Row],[Discounts]]</f>
        <v>126</v>
      </c>
      <c r="J1722" s="8">
        <f>VLOOKUP(financials[[#This Row],[productid]],Products!$B$2:$H$10,4)</f>
        <v>5.5</v>
      </c>
      <c r="K1722" s="8">
        <f>financials[[#This Row],[Net Sales]]-financials[[#This Row],[COGS]]</f>
        <v>120.5</v>
      </c>
      <c r="L1722" s="15">
        <v>44176</v>
      </c>
      <c r="M1722" t="s">
        <v>690</v>
      </c>
    </row>
    <row r="1723" spans="1:13" x14ac:dyDescent="0.25">
      <c r="A1723" t="s">
        <v>86</v>
      </c>
      <c r="B1723" s="6" t="s">
        <v>545</v>
      </c>
      <c r="C1723" s="13">
        <v>104</v>
      </c>
      <c r="D1723" s="14" t="s">
        <v>90</v>
      </c>
      <c r="E1723">
        <v>13</v>
      </c>
      <c r="F1723" s="8">
        <f>VLOOKUP(financials[[#This Row],[productid]],Products!$B$2:$H$10,3)</f>
        <v>5.9</v>
      </c>
      <c r="G1723" s="8">
        <f>financials[[#This Row],[Units Sold]]*financials[[#This Row],[Sale Price]]</f>
        <v>76.7</v>
      </c>
      <c r="H1723" s="8">
        <f>IF(financials[[#This Row],[Discount Band]]="low",0.1,IF(financials[[#This Row],[Discount Band]]="medium",0.15,0.3))</f>
        <v>0.15</v>
      </c>
      <c r="I1723" s="8">
        <f>financials[[#This Row],[Gross Sales]]-financials[[#This Row],[Gross Sales]]*financials[[#This Row],[Discounts]]</f>
        <v>65.195000000000007</v>
      </c>
      <c r="J1723" s="8">
        <f>VLOOKUP(financials[[#This Row],[productid]],Products!$B$2:$H$10,4)</f>
        <v>2.9</v>
      </c>
      <c r="K1723" s="8">
        <f>financials[[#This Row],[Net Sales]]-financials[[#This Row],[COGS]]</f>
        <v>62.295000000000009</v>
      </c>
      <c r="L1723" s="15">
        <v>44903</v>
      </c>
      <c r="M1723" t="s">
        <v>697</v>
      </c>
    </row>
    <row r="1724" spans="1:13" x14ac:dyDescent="0.25">
      <c r="A1724" t="s">
        <v>85</v>
      </c>
      <c r="B1724" s="6" t="s">
        <v>198</v>
      </c>
      <c r="C1724" s="13">
        <v>102</v>
      </c>
      <c r="D1724" s="14" t="s">
        <v>83</v>
      </c>
      <c r="E1724">
        <v>14</v>
      </c>
      <c r="F1724" s="8">
        <f>VLOOKUP(financials[[#This Row],[productid]],Products!$B$2:$H$10,3)</f>
        <v>15</v>
      </c>
      <c r="G1724" s="8">
        <f>financials[[#This Row],[Units Sold]]*financials[[#This Row],[Sale Price]]</f>
        <v>210</v>
      </c>
      <c r="H1724" s="8">
        <f>IF(financials[[#This Row],[Discount Band]]="low",0.1,IF(financials[[#This Row],[Discount Band]]="medium",0.15,0.3))</f>
        <v>0.3</v>
      </c>
      <c r="I1724" s="8">
        <f>financials[[#This Row],[Gross Sales]]-financials[[#This Row],[Gross Sales]]*financials[[#This Row],[Discounts]]</f>
        <v>147</v>
      </c>
      <c r="J1724" s="8">
        <f>VLOOKUP(financials[[#This Row],[productid]],Products!$B$2:$H$10,4)</f>
        <v>13.95</v>
      </c>
      <c r="K1724" s="8">
        <f>financials[[#This Row],[Net Sales]]-financials[[#This Row],[COGS]]</f>
        <v>133.05000000000001</v>
      </c>
      <c r="L1724" s="15">
        <v>44709</v>
      </c>
      <c r="M1724" t="s">
        <v>691</v>
      </c>
    </row>
    <row r="1725" spans="1:13" x14ac:dyDescent="0.25">
      <c r="A1725" t="s">
        <v>86</v>
      </c>
      <c r="B1725" s="6" t="s">
        <v>167</v>
      </c>
      <c r="C1725" s="13">
        <v>102</v>
      </c>
      <c r="D1725" s="14" t="s">
        <v>83</v>
      </c>
      <c r="E1725">
        <v>17</v>
      </c>
      <c r="F1725" s="8">
        <f>VLOOKUP(financials[[#This Row],[productid]],Products!$B$2:$H$10,3)</f>
        <v>15</v>
      </c>
      <c r="G1725" s="8">
        <f>financials[[#This Row],[Units Sold]]*financials[[#This Row],[Sale Price]]</f>
        <v>255</v>
      </c>
      <c r="H1725" s="8">
        <f>IF(financials[[#This Row],[Discount Band]]="low",0.1,IF(financials[[#This Row],[Discount Band]]="medium",0.15,0.3))</f>
        <v>0.3</v>
      </c>
      <c r="I1725" s="8">
        <f>financials[[#This Row],[Gross Sales]]-financials[[#This Row],[Gross Sales]]*financials[[#This Row],[Discounts]]</f>
        <v>178.5</v>
      </c>
      <c r="J1725" s="8">
        <f>VLOOKUP(financials[[#This Row],[productid]],Products!$B$2:$H$10,4)</f>
        <v>13.95</v>
      </c>
      <c r="K1725" s="8">
        <f>financials[[#This Row],[Net Sales]]-financials[[#This Row],[COGS]]</f>
        <v>164.55</v>
      </c>
      <c r="L1725" s="15">
        <v>44035</v>
      </c>
      <c r="M1725" t="s">
        <v>690</v>
      </c>
    </row>
    <row r="1726" spans="1:13" x14ac:dyDescent="0.25">
      <c r="A1726" t="s">
        <v>85</v>
      </c>
      <c r="B1726" s="6" t="s">
        <v>198</v>
      </c>
      <c r="C1726" s="13">
        <v>103</v>
      </c>
      <c r="D1726" s="14" t="s">
        <v>83</v>
      </c>
      <c r="E1726">
        <v>19</v>
      </c>
      <c r="F1726" s="8">
        <f>VLOOKUP(financials[[#This Row],[productid]],Products!$B$2:$H$10,3)</f>
        <v>28</v>
      </c>
      <c r="G1726" s="8">
        <f>financials[[#This Row],[Units Sold]]*financials[[#This Row],[Sale Price]]</f>
        <v>532</v>
      </c>
      <c r="H1726" s="8">
        <f>IF(financials[[#This Row],[Discount Band]]="low",0.1,IF(financials[[#This Row],[Discount Band]]="medium",0.15,0.3))</f>
        <v>0.3</v>
      </c>
      <c r="I1726" s="8">
        <f>financials[[#This Row],[Gross Sales]]-financials[[#This Row],[Gross Sales]]*financials[[#This Row],[Discounts]]</f>
        <v>372.4</v>
      </c>
      <c r="J1726" s="8">
        <f>VLOOKUP(financials[[#This Row],[productid]],Products!$B$2:$H$10,4)</f>
        <v>15</v>
      </c>
      <c r="K1726" s="8">
        <f>financials[[#This Row],[Net Sales]]-financials[[#This Row],[COGS]]</f>
        <v>357.4</v>
      </c>
      <c r="L1726" s="15">
        <v>45497</v>
      </c>
      <c r="M1726" t="s">
        <v>697</v>
      </c>
    </row>
    <row r="1727" spans="1:13" x14ac:dyDescent="0.25">
      <c r="A1727" t="s">
        <v>89</v>
      </c>
      <c r="B1727" s="6" t="s">
        <v>95</v>
      </c>
      <c r="C1727" s="11">
        <v>106</v>
      </c>
      <c r="D1727" s="9" t="s">
        <v>90</v>
      </c>
      <c r="E1727">
        <v>18</v>
      </c>
      <c r="F1727" s="8">
        <f>VLOOKUP(financials[[#This Row],[productid]],Products!$B$2:$H$10,3)</f>
        <v>25</v>
      </c>
      <c r="G1727" s="8">
        <f>financials[[#This Row],[Units Sold]]*financials[[#This Row],[Sale Price]]</f>
        <v>450</v>
      </c>
      <c r="H1727" s="8">
        <f>IF(financials[[#This Row],[Discount Band]]="low",0.1,IF(financials[[#This Row],[Discount Band]]="medium",0.15,0.3))</f>
        <v>0.15</v>
      </c>
      <c r="I1727" s="8">
        <f>financials[[#This Row],[Gross Sales]]-financials[[#This Row],[Gross Sales]]*financials[[#This Row],[Discounts]]</f>
        <v>382.5</v>
      </c>
      <c r="J1727" s="8">
        <f>VLOOKUP(financials[[#This Row],[productid]],Products!$B$2:$H$10,4)</f>
        <v>9.1</v>
      </c>
      <c r="K1727" s="8">
        <f>financials[[#This Row],[Net Sales]]-financials[[#This Row],[COGS]]</f>
        <v>373.4</v>
      </c>
      <c r="L1727" s="15">
        <v>45166</v>
      </c>
      <c r="M1727" t="s">
        <v>697</v>
      </c>
    </row>
    <row r="1728" spans="1:13" x14ac:dyDescent="0.25">
      <c r="A1728" t="s">
        <v>89</v>
      </c>
      <c r="B1728" s="6" t="s">
        <v>205</v>
      </c>
      <c r="C1728" s="13">
        <v>101</v>
      </c>
      <c r="D1728" s="14" t="s">
        <v>90</v>
      </c>
      <c r="E1728">
        <v>20</v>
      </c>
      <c r="F1728" s="8">
        <f>VLOOKUP(financials[[#This Row],[productid]],Products!$B$2:$H$10,3)</f>
        <v>23</v>
      </c>
      <c r="G1728" s="8">
        <f>financials[[#This Row],[Units Sold]]*financials[[#This Row],[Sale Price]]</f>
        <v>460</v>
      </c>
      <c r="H1728" s="8">
        <f>IF(financials[[#This Row],[Discount Band]]="low",0.1,IF(financials[[#This Row],[Discount Band]]="medium",0.15,0.3))</f>
        <v>0.15</v>
      </c>
      <c r="I1728" s="8">
        <f>financials[[#This Row],[Gross Sales]]-financials[[#This Row],[Gross Sales]]*financials[[#This Row],[Discounts]]</f>
        <v>391</v>
      </c>
      <c r="J1728" s="8">
        <f>VLOOKUP(financials[[#This Row],[productid]],Products!$B$2:$H$10,4)</f>
        <v>9.9499999999999993</v>
      </c>
      <c r="K1728" s="8">
        <f>financials[[#This Row],[Net Sales]]-financials[[#This Row],[COGS]]</f>
        <v>381.05</v>
      </c>
      <c r="L1728" s="15">
        <v>45494</v>
      </c>
      <c r="M1728" t="s">
        <v>700</v>
      </c>
    </row>
    <row r="1729" spans="1:13" x14ac:dyDescent="0.25">
      <c r="A1729" t="s">
        <v>85</v>
      </c>
      <c r="B1729" s="6" t="s">
        <v>276</v>
      </c>
      <c r="C1729" s="13">
        <v>103</v>
      </c>
      <c r="D1729" s="14" t="s">
        <v>83</v>
      </c>
      <c r="E1729">
        <v>5</v>
      </c>
      <c r="F1729" s="8">
        <f>VLOOKUP(financials[[#This Row],[productid]],Products!$B$2:$H$10,3)</f>
        <v>28</v>
      </c>
      <c r="G1729" s="8">
        <f>financials[[#This Row],[Units Sold]]*financials[[#This Row],[Sale Price]]</f>
        <v>140</v>
      </c>
      <c r="H1729" s="8">
        <f>IF(financials[[#This Row],[Discount Band]]="low",0.1,IF(financials[[#This Row],[Discount Band]]="medium",0.15,0.3))</f>
        <v>0.3</v>
      </c>
      <c r="I1729" s="8">
        <f>financials[[#This Row],[Gross Sales]]-financials[[#This Row],[Gross Sales]]*financials[[#This Row],[Discounts]]</f>
        <v>98</v>
      </c>
      <c r="J1729" s="8">
        <f>VLOOKUP(financials[[#This Row],[productid]],Products!$B$2:$H$10,4)</f>
        <v>15</v>
      </c>
      <c r="K1729" s="8">
        <f>financials[[#This Row],[Net Sales]]-financials[[#This Row],[COGS]]</f>
        <v>83</v>
      </c>
      <c r="L1729" s="15">
        <v>44443</v>
      </c>
      <c r="M1729" t="s">
        <v>690</v>
      </c>
    </row>
    <row r="1730" spans="1:13" x14ac:dyDescent="0.25">
      <c r="A1730" t="s">
        <v>86</v>
      </c>
      <c r="B1730" s="6" t="s">
        <v>84</v>
      </c>
      <c r="C1730" s="13">
        <v>105</v>
      </c>
      <c r="D1730" s="14" t="s">
        <v>90</v>
      </c>
      <c r="E1730">
        <v>17</v>
      </c>
      <c r="F1730" s="8">
        <f>VLOOKUP(financials[[#This Row],[productid]],Products!$B$2:$H$10,3)</f>
        <v>15</v>
      </c>
      <c r="G1730" s="8">
        <f>financials[[#This Row],[Units Sold]]*financials[[#This Row],[Sale Price]]</f>
        <v>255</v>
      </c>
      <c r="H1730" s="8">
        <f>IF(financials[[#This Row],[Discount Band]]="low",0.1,IF(financials[[#This Row],[Discount Band]]="medium",0.15,0.3))</f>
        <v>0.15</v>
      </c>
      <c r="I1730" s="8">
        <f>financials[[#This Row],[Gross Sales]]-financials[[#This Row],[Gross Sales]]*financials[[#This Row],[Discounts]]</f>
        <v>216.75</v>
      </c>
      <c r="J1730" s="8">
        <f>VLOOKUP(financials[[#This Row],[productid]],Products!$B$2:$H$10,4)</f>
        <v>10</v>
      </c>
      <c r="K1730" s="8">
        <f>financials[[#This Row],[Net Sales]]-financials[[#This Row],[COGS]]</f>
        <v>206.75</v>
      </c>
      <c r="L1730" s="15">
        <v>45618</v>
      </c>
      <c r="M1730" t="s">
        <v>690</v>
      </c>
    </row>
    <row r="1731" spans="1:13" x14ac:dyDescent="0.25">
      <c r="A1731" t="s">
        <v>86</v>
      </c>
      <c r="B1731" s="6" t="s">
        <v>167</v>
      </c>
      <c r="C1731" s="11">
        <v>105</v>
      </c>
      <c r="D1731" s="9" t="s">
        <v>90</v>
      </c>
      <c r="E1731">
        <v>8</v>
      </c>
      <c r="F1731" s="8">
        <f>VLOOKUP(financials[[#This Row],[productid]],Products!$B$2:$H$10,3)</f>
        <v>15</v>
      </c>
      <c r="G1731" s="8">
        <f>financials[[#This Row],[Units Sold]]*financials[[#This Row],[Sale Price]]</f>
        <v>120</v>
      </c>
      <c r="H1731" s="8">
        <f>IF(financials[[#This Row],[Discount Band]]="low",0.1,IF(financials[[#This Row],[Discount Band]]="medium",0.15,0.3))</f>
        <v>0.15</v>
      </c>
      <c r="I1731" s="8">
        <f>financials[[#This Row],[Gross Sales]]-financials[[#This Row],[Gross Sales]]*financials[[#This Row],[Discounts]]</f>
        <v>102</v>
      </c>
      <c r="J1731" s="8">
        <f>VLOOKUP(financials[[#This Row],[productid]],Products!$B$2:$H$10,4)</f>
        <v>10</v>
      </c>
      <c r="K1731" s="8">
        <f>financials[[#This Row],[Net Sales]]-financials[[#This Row],[COGS]]</f>
        <v>92</v>
      </c>
      <c r="L1731" s="15">
        <v>45376</v>
      </c>
      <c r="M1731" t="s">
        <v>696</v>
      </c>
    </row>
    <row r="1732" spans="1:13" x14ac:dyDescent="0.25">
      <c r="A1732" t="s">
        <v>85</v>
      </c>
      <c r="B1732" s="6" t="s">
        <v>205</v>
      </c>
      <c r="C1732" s="13">
        <v>109</v>
      </c>
      <c r="D1732" s="14" t="s">
        <v>90</v>
      </c>
      <c r="E1732">
        <v>18</v>
      </c>
      <c r="F1732" s="8">
        <f>VLOOKUP(financials[[#This Row],[productid]],Products!$B$2:$H$10,3)</f>
        <v>36</v>
      </c>
      <c r="G1732" s="8">
        <f>financials[[#This Row],[Units Sold]]*financials[[#This Row],[Sale Price]]</f>
        <v>648</v>
      </c>
      <c r="H1732" s="8">
        <f>IF(financials[[#This Row],[Discount Band]]="low",0.1,IF(financials[[#This Row],[Discount Band]]="medium",0.15,0.3))</f>
        <v>0.15</v>
      </c>
      <c r="I1732" s="8">
        <f>financials[[#This Row],[Gross Sales]]-financials[[#This Row],[Gross Sales]]*financials[[#This Row],[Discounts]]</f>
        <v>550.79999999999995</v>
      </c>
      <c r="J1732" s="8">
        <f>VLOOKUP(financials[[#This Row],[productid]],Products!$B$2:$H$10,4)</f>
        <v>16.8</v>
      </c>
      <c r="K1732" s="8">
        <f>financials[[#This Row],[Net Sales]]-financials[[#This Row],[COGS]]</f>
        <v>534</v>
      </c>
      <c r="L1732" s="15">
        <v>44195</v>
      </c>
      <c r="M1732" t="s">
        <v>697</v>
      </c>
    </row>
    <row r="1733" spans="1:13" x14ac:dyDescent="0.25">
      <c r="A1733" t="s">
        <v>86</v>
      </c>
      <c r="B1733" s="6" t="s">
        <v>84</v>
      </c>
      <c r="C1733" s="13">
        <v>109</v>
      </c>
      <c r="D1733" s="14" t="s">
        <v>90</v>
      </c>
      <c r="E1733">
        <v>19</v>
      </c>
      <c r="F1733" s="8">
        <f>VLOOKUP(financials[[#This Row],[productid]],Products!$B$2:$H$10,3)</f>
        <v>36</v>
      </c>
      <c r="G1733" s="8">
        <f>financials[[#This Row],[Units Sold]]*financials[[#This Row],[Sale Price]]</f>
        <v>684</v>
      </c>
      <c r="H1733" s="8">
        <f>IF(financials[[#This Row],[Discount Band]]="low",0.1,IF(financials[[#This Row],[Discount Band]]="medium",0.15,0.3))</f>
        <v>0.15</v>
      </c>
      <c r="I1733" s="8">
        <f>financials[[#This Row],[Gross Sales]]-financials[[#This Row],[Gross Sales]]*financials[[#This Row],[Discounts]]</f>
        <v>581.4</v>
      </c>
      <c r="J1733" s="8">
        <f>VLOOKUP(financials[[#This Row],[productid]],Products!$B$2:$H$10,4)</f>
        <v>16.8</v>
      </c>
      <c r="K1733" s="8">
        <f>financials[[#This Row],[Net Sales]]-financials[[#This Row],[COGS]]</f>
        <v>564.6</v>
      </c>
      <c r="L1733" s="15">
        <v>45371</v>
      </c>
      <c r="M1733" t="s">
        <v>691</v>
      </c>
    </row>
    <row r="1734" spans="1:13" x14ac:dyDescent="0.25">
      <c r="A1734" t="s">
        <v>89</v>
      </c>
      <c r="B1734" s="6" t="s">
        <v>276</v>
      </c>
      <c r="C1734" s="13">
        <v>102</v>
      </c>
      <c r="D1734" s="14" t="s">
        <v>83</v>
      </c>
      <c r="E1734">
        <v>8</v>
      </c>
      <c r="F1734" s="8">
        <f>VLOOKUP(financials[[#This Row],[productid]],Products!$B$2:$H$10,3)</f>
        <v>15</v>
      </c>
      <c r="G1734" s="8">
        <f>financials[[#This Row],[Units Sold]]*financials[[#This Row],[Sale Price]]</f>
        <v>120</v>
      </c>
      <c r="H1734" s="8">
        <f>IF(financials[[#This Row],[Discount Band]]="low",0.1,IF(financials[[#This Row],[Discount Band]]="medium",0.15,0.3))</f>
        <v>0.3</v>
      </c>
      <c r="I1734" s="8">
        <f>financials[[#This Row],[Gross Sales]]-financials[[#This Row],[Gross Sales]]*financials[[#This Row],[Discounts]]</f>
        <v>84</v>
      </c>
      <c r="J1734" s="8">
        <f>VLOOKUP(financials[[#This Row],[productid]],Products!$B$2:$H$10,4)</f>
        <v>13.95</v>
      </c>
      <c r="K1734" s="8">
        <f>financials[[#This Row],[Net Sales]]-financials[[#This Row],[COGS]]</f>
        <v>70.05</v>
      </c>
      <c r="L1734" s="15">
        <v>45494</v>
      </c>
      <c r="M1734" t="s">
        <v>697</v>
      </c>
    </row>
    <row r="1735" spans="1:13" x14ac:dyDescent="0.25">
      <c r="A1735" t="s">
        <v>89</v>
      </c>
      <c r="B1735" s="6" t="s">
        <v>198</v>
      </c>
      <c r="C1735" s="13">
        <v>102</v>
      </c>
      <c r="D1735" s="14" t="s">
        <v>83</v>
      </c>
      <c r="E1735">
        <v>14</v>
      </c>
      <c r="F1735" s="8">
        <f>VLOOKUP(financials[[#This Row],[productid]],Products!$B$2:$H$10,3)</f>
        <v>15</v>
      </c>
      <c r="G1735" s="8">
        <f>financials[[#This Row],[Units Sold]]*financials[[#This Row],[Sale Price]]</f>
        <v>210</v>
      </c>
      <c r="H1735" s="8">
        <f>IF(financials[[#This Row],[Discount Band]]="low",0.1,IF(financials[[#This Row],[Discount Band]]="medium",0.15,0.3))</f>
        <v>0.3</v>
      </c>
      <c r="I1735" s="8">
        <f>financials[[#This Row],[Gross Sales]]-financials[[#This Row],[Gross Sales]]*financials[[#This Row],[Discounts]]</f>
        <v>147</v>
      </c>
      <c r="J1735" s="8">
        <f>VLOOKUP(financials[[#This Row],[productid]],Products!$B$2:$H$10,4)</f>
        <v>13.95</v>
      </c>
      <c r="K1735" s="8">
        <f>financials[[#This Row],[Net Sales]]-financials[[#This Row],[COGS]]</f>
        <v>133.05000000000001</v>
      </c>
      <c r="L1735" s="15">
        <v>44926</v>
      </c>
      <c r="M1735" t="s">
        <v>700</v>
      </c>
    </row>
    <row r="1736" spans="1:13" x14ac:dyDescent="0.25">
      <c r="A1736" t="s">
        <v>86</v>
      </c>
      <c r="B1736" s="6" t="s">
        <v>159</v>
      </c>
      <c r="C1736" s="13">
        <v>101</v>
      </c>
      <c r="D1736" s="14" t="s">
        <v>91</v>
      </c>
      <c r="E1736">
        <v>14</v>
      </c>
      <c r="F1736" s="8">
        <f>VLOOKUP(financials[[#This Row],[productid]],Products!$B$2:$H$10,3)</f>
        <v>23</v>
      </c>
      <c r="G1736" s="8">
        <f>financials[[#This Row],[Units Sold]]*financials[[#This Row],[Sale Price]]</f>
        <v>322</v>
      </c>
      <c r="H1736" s="8">
        <f>IF(financials[[#This Row],[Discount Band]]="low",0.1,IF(financials[[#This Row],[Discount Band]]="medium",0.15,0.3))</f>
        <v>0.1</v>
      </c>
      <c r="I1736" s="8">
        <f>financials[[#This Row],[Gross Sales]]-financials[[#This Row],[Gross Sales]]*financials[[#This Row],[Discounts]]</f>
        <v>289.8</v>
      </c>
      <c r="J1736" s="8">
        <f>VLOOKUP(financials[[#This Row],[productid]],Products!$B$2:$H$10,4)</f>
        <v>9.9499999999999993</v>
      </c>
      <c r="K1736" s="8">
        <f>financials[[#This Row],[Net Sales]]-financials[[#This Row],[COGS]]</f>
        <v>279.85000000000002</v>
      </c>
      <c r="L1736" s="15">
        <v>44913</v>
      </c>
      <c r="M1736" t="s">
        <v>691</v>
      </c>
    </row>
    <row r="1737" spans="1:13" x14ac:dyDescent="0.25">
      <c r="A1737" t="s">
        <v>85</v>
      </c>
      <c r="B1737" s="6" t="s">
        <v>276</v>
      </c>
      <c r="C1737" s="13">
        <v>109</v>
      </c>
      <c r="D1737" s="14" t="s">
        <v>83</v>
      </c>
      <c r="E1737">
        <v>11</v>
      </c>
      <c r="F1737" s="8">
        <f>VLOOKUP(financials[[#This Row],[productid]],Products!$B$2:$H$10,3)</f>
        <v>36</v>
      </c>
      <c r="G1737" s="8">
        <f>financials[[#This Row],[Units Sold]]*financials[[#This Row],[Sale Price]]</f>
        <v>396</v>
      </c>
      <c r="H1737" s="8">
        <f>IF(financials[[#This Row],[Discount Band]]="low",0.1,IF(financials[[#This Row],[Discount Band]]="medium",0.15,0.3))</f>
        <v>0.3</v>
      </c>
      <c r="I1737" s="8">
        <f>financials[[#This Row],[Gross Sales]]-financials[[#This Row],[Gross Sales]]*financials[[#This Row],[Discounts]]</f>
        <v>277.2</v>
      </c>
      <c r="J1737" s="8">
        <f>VLOOKUP(financials[[#This Row],[productid]],Products!$B$2:$H$10,4)</f>
        <v>16.8</v>
      </c>
      <c r="K1737" s="8">
        <f>financials[[#This Row],[Net Sales]]-financials[[#This Row],[COGS]]</f>
        <v>260.39999999999998</v>
      </c>
      <c r="L1737" s="15">
        <v>44438</v>
      </c>
      <c r="M1737" t="s">
        <v>700</v>
      </c>
    </row>
    <row r="1738" spans="1:13" x14ac:dyDescent="0.25">
      <c r="A1738" t="s">
        <v>85</v>
      </c>
      <c r="B1738" s="6" t="s">
        <v>205</v>
      </c>
      <c r="C1738" s="13">
        <v>104</v>
      </c>
      <c r="D1738" s="14" t="s">
        <v>92</v>
      </c>
      <c r="E1738">
        <v>9</v>
      </c>
      <c r="F1738" s="8">
        <f>VLOOKUP(financials[[#This Row],[productid]],Products!$B$2:$H$10,3)</f>
        <v>5.9</v>
      </c>
      <c r="G1738" s="8">
        <f>financials[[#This Row],[Units Sold]]*financials[[#This Row],[Sale Price]]</f>
        <v>53.1</v>
      </c>
      <c r="H1738" s="8">
        <f>IF(financials[[#This Row],[Discount Band]]="low",0.1,IF(financials[[#This Row],[Discount Band]]="medium",0.15,0.3))</f>
        <v>0.3</v>
      </c>
      <c r="I1738" s="8">
        <f>financials[[#This Row],[Gross Sales]]-financials[[#This Row],[Gross Sales]]*financials[[#This Row],[Discounts]]</f>
        <v>37.17</v>
      </c>
      <c r="J1738" s="8">
        <f>VLOOKUP(financials[[#This Row],[productid]],Products!$B$2:$H$10,4)</f>
        <v>2.9</v>
      </c>
      <c r="K1738" s="8">
        <f>financials[[#This Row],[Net Sales]]-financials[[#This Row],[COGS]]</f>
        <v>34.270000000000003</v>
      </c>
      <c r="L1738" s="15">
        <v>44547</v>
      </c>
      <c r="M1738" t="s">
        <v>690</v>
      </c>
    </row>
    <row r="1739" spans="1:13" x14ac:dyDescent="0.25">
      <c r="A1739" t="s">
        <v>86</v>
      </c>
      <c r="B1739" s="6" t="s">
        <v>268</v>
      </c>
      <c r="C1739" s="13">
        <v>102</v>
      </c>
      <c r="D1739" s="14" t="s">
        <v>90</v>
      </c>
      <c r="E1739">
        <v>15</v>
      </c>
      <c r="F1739" s="8">
        <f>VLOOKUP(financials[[#This Row],[productid]],Products!$B$2:$H$10,3)</f>
        <v>15</v>
      </c>
      <c r="G1739" s="8">
        <f>financials[[#This Row],[Units Sold]]*financials[[#This Row],[Sale Price]]</f>
        <v>225</v>
      </c>
      <c r="H1739" s="8">
        <f>IF(financials[[#This Row],[Discount Band]]="low",0.1,IF(financials[[#This Row],[Discount Band]]="medium",0.15,0.3))</f>
        <v>0.15</v>
      </c>
      <c r="I1739" s="8">
        <f>financials[[#This Row],[Gross Sales]]-financials[[#This Row],[Gross Sales]]*financials[[#This Row],[Discounts]]</f>
        <v>191.25</v>
      </c>
      <c r="J1739" s="8">
        <f>VLOOKUP(financials[[#This Row],[productid]],Products!$B$2:$H$10,4)</f>
        <v>13.95</v>
      </c>
      <c r="K1739" s="8">
        <f>financials[[#This Row],[Net Sales]]-financials[[#This Row],[COGS]]</f>
        <v>177.3</v>
      </c>
      <c r="L1739" s="15">
        <v>44343</v>
      </c>
      <c r="M1739" t="s">
        <v>690</v>
      </c>
    </row>
    <row r="1740" spans="1:13" x14ac:dyDescent="0.25">
      <c r="A1740" t="s">
        <v>86</v>
      </c>
      <c r="B1740" s="6" t="s">
        <v>94</v>
      </c>
      <c r="C1740" s="13">
        <v>101</v>
      </c>
      <c r="D1740" s="14" t="s">
        <v>91</v>
      </c>
      <c r="E1740">
        <v>7</v>
      </c>
      <c r="F1740" s="8">
        <f>VLOOKUP(financials[[#This Row],[productid]],Products!$B$2:$H$10,3)</f>
        <v>23</v>
      </c>
      <c r="G1740" s="8">
        <f>financials[[#This Row],[Units Sold]]*financials[[#This Row],[Sale Price]]</f>
        <v>161</v>
      </c>
      <c r="H1740" s="8">
        <f>IF(financials[[#This Row],[Discount Band]]="low",0.1,IF(financials[[#This Row],[Discount Band]]="medium",0.15,0.3))</f>
        <v>0.1</v>
      </c>
      <c r="I1740" s="8">
        <f>financials[[#This Row],[Gross Sales]]-financials[[#This Row],[Gross Sales]]*financials[[#This Row],[Discounts]]</f>
        <v>144.9</v>
      </c>
      <c r="J1740" s="8">
        <f>VLOOKUP(financials[[#This Row],[productid]],Products!$B$2:$H$10,4)</f>
        <v>9.9499999999999993</v>
      </c>
      <c r="K1740" s="8">
        <f>financials[[#This Row],[Net Sales]]-financials[[#This Row],[COGS]]</f>
        <v>134.95000000000002</v>
      </c>
      <c r="L1740" s="15">
        <v>45261</v>
      </c>
      <c r="M1740" t="s">
        <v>700</v>
      </c>
    </row>
    <row r="1741" spans="1:13" x14ac:dyDescent="0.25">
      <c r="A1741" t="s">
        <v>89</v>
      </c>
      <c r="B1741" s="6" t="s">
        <v>198</v>
      </c>
      <c r="C1741" s="13">
        <v>109</v>
      </c>
      <c r="D1741" s="14" t="s">
        <v>83</v>
      </c>
      <c r="E1741">
        <v>6</v>
      </c>
      <c r="F1741" s="8">
        <f>VLOOKUP(financials[[#This Row],[productid]],Products!$B$2:$H$10,3)</f>
        <v>36</v>
      </c>
      <c r="G1741" s="8">
        <f>financials[[#This Row],[Units Sold]]*financials[[#This Row],[Sale Price]]</f>
        <v>216</v>
      </c>
      <c r="H1741" s="8">
        <f>IF(financials[[#This Row],[Discount Band]]="low",0.1,IF(financials[[#This Row],[Discount Band]]="medium",0.15,0.3))</f>
        <v>0.3</v>
      </c>
      <c r="I1741" s="8">
        <f>financials[[#This Row],[Gross Sales]]-financials[[#This Row],[Gross Sales]]*financials[[#This Row],[Discounts]]</f>
        <v>151.19999999999999</v>
      </c>
      <c r="J1741" s="8">
        <f>VLOOKUP(financials[[#This Row],[productid]],Products!$B$2:$H$10,4)</f>
        <v>16.8</v>
      </c>
      <c r="K1741" s="8">
        <f>financials[[#This Row],[Net Sales]]-financials[[#This Row],[COGS]]</f>
        <v>134.39999999999998</v>
      </c>
      <c r="L1741" s="15">
        <v>44426</v>
      </c>
      <c r="M1741" t="s">
        <v>690</v>
      </c>
    </row>
    <row r="1742" spans="1:13" x14ac:dyDescent="0.25">
      <c r="A1742" t="s">
        <v>87</v>
      </c>
      <c r="B1742" s="6" t="s">
        <v>545</v>
      </c>
      <c r="C1742" s="13">
        <v>107</v>
      </c>
      <c r="D1742" s="14" t="s">
        <v>91</v>
      </c>
      <c r="E1742">
        <v>7</v>
      </c>
      <c r="F1742" s="8">
        <f>VLOOKUP(financials[[#This Row],[productid]],Products!$B$2:$H$10,3)</f>
        <v>15</v>
      </c>
      <c r="G1742" s="8">
        <f>financials[[#This Row],[Units Sold]]*financials[[#This Row],[Sale Price]]</f>
        <v>105</v>
      </c>
      <c r="H1742" s="8">
        <f>IF(financials[[#This Row],[Discount Band]]="low",0.1,IF(financials[[#This Row],[Discount Band]]="medium",0.15,0.3))</f>
        <v>0.1</v>
      </c>
      <c r="I1742" s="8">
        <f>financials[[#This Row],[Gross Sales]]-financials[[#This Row],[Gross Sales]]*financials[[#This Row],[Discounts]]</f>
        <v>94.5</v>
      </c>
      <c r="J1742" s="8">
        <f>VLOOKUP(financials[[#This Row],[productid]],Products!$B$2:$H$10,4)</f>
        <v>5.5</v>
      </c>
      <c r="K1742" s="8">
        <f>financials[[#This Row],[Net Sales]]-financials[[#This Row],[COGS]]</f>
        <v>89</v>
      </c>
      <c r="L1742" s="15">
        <v>44726</v>
      </c>
      <c r="M1742" t="s">
        <v>696</v>
      </c>
    </row>
    <row r="1743" spans="1:13" x14ac:dyDescent="0.25">
      <c r="A1743" t="s">
        <v>89</v>
      </c>
      <c r="B1743" s="6" t="s">
        <v>167</v>
      </c>
      <c r="C1743" s="13">
        <v>109</v>
      </c>
      <c r="D1743" s="14" t="s">
        <v>92</v>
      </c>
      <c r="E1743">
        <v>5</v>
      </c>
      <c r="F1743" s="8">
        <f>VLOOKUP(financials[[#This Row],[productid]],Products!$B$2:$H$10,3)</f>
        <v>36</v>
      </c>
      <c r="G1743" s="8">
        <f>financials[[#This Row],[Units Sold]]*financials[[#This Row],[Sale Price]]</f>
        <v>180</v>
      </c>
      <c r="H1743" s="8">
        <f>IF(financials[[#This Row],[Discount Band]]="low",0.1,IF(financials[[#This Row],[Discount Band]]="medium",0.15,0.3))</f>
        <v>0.3</v>
      </c>
      <c r="I1743" s="8">
        <f>financials[[#This Row],[Gross Sales]]-financials[[#This Row],[Gross Sales]]*financials[[#This Row],[Discounts]]</f>
        <v>126</v>
      </c>
      <c r="J1743" s="8">
        <f>VLOOKUP(financials[[#This Row],[productid]],Products!$B$2:$H$10,4)</f>
        <v>16.8</v>
      </c>
      <c r="K1743" s="8">
        <f>financials[[#This Row],[Net Sales]]-financials[[#This Row],[COGS]]</f>
        <v>109.2</v>
      </c>
      <c r="L1743" s="15">
        <v>45312</v>
      </c>
      <c r="M1743" t="s">
        <v>700</v>
      </c>
    </row>
    <row r="1744" spans="1:13" x14ac:dyDescent="0.25">
      <c r="A1744" t="s">
        <v>89</v>
      </c>
      <c r="B1744" s="6" t="s">
        <v>268</v>
      </c>
      <c r="C1744" s="13">
        <v>108</v>
      </c>
      <c r="D1744" s="14" t="s">
        <v>83</v>
      </c>
      <c r="E1744">
        <v>20</v>
      </c>
      <c r="F1744" s="8">
        <f>VLOOKUP(financials[[#This Row],[productid]],Products!$B$2:$H$10,3)</f>
        <v>5.5</v>
      </c>
      <c r="G1744" s="8">
        <f>financials[[#This Row],[Units Sold]]*financials[[#This Row],[Sale Price]]</f>
        <v>110</v>
      </c>
      <c r="H1744" s="8">
        <f>IF(financials[[#This Row],[Discount Band]]="low",0.1,IF(financials[[#This Row],[Discount Band]]="medium",0.15,0.3))</f>
        <v>0.3</v>
      </c>
      <c r="I1744" s="8">
        <f>financials[[#This Row],[Gross Sales]]-financials[[#This Row],[Gross Sales]]*financials[[#This Row],[Discounts]]</f>
        <v>77</v>
      </c>
      <c r="J1744" s="8">
        <f>VLOOKUP(financials[[#This Row],[productid]],Products!$B$2:$H$10,4)</f>
        <v>3.99</v>
      </c>
      <c r="K1744" s="8">
        <f>financials[[#This Row],[Net Sales]]-financials[[#This Row],[COGS]]</f>
        <v>73.010000000000005</v>
      </c>
      <c r="L1744" s="15">
        <v>44361</v>
      </c>
      <c r="M1744" t="s">
        <v>690</v>
      </c>
    </row>
    <row r="1745" spans="1:13" x14ac:dyDescent="0.25">
      <c r="A1745" t="s">
        <v>89</v>
      </c>
      <c r="B1745" s="6" t="s">
        <v>95</v>
      </c>
      <c r="C1745" s="11">
        <v>107</v>
      </c>
      <c r="D1745" s="9" t="s">
        <v>83</v>
      </c>
      <c r="E1745">
        <v>11</v>
      </c>
      <c r="F1745" s="8">
        <f>VLOOKUP(financials[[#This Row],[productid]],Products!$B$2:$H$10,3)</f>
        <v>15</v>
      </c>
      <c r="G1745" s="8">
        <f>financials[[#This Row],[Units Sold]]*financials[[#This Row],[Sale Price]]</f>
        <v>165</v>
      </c>
      <c r="H1745" s="8">
        <f>IF(financials[[#This Row],[Discount Band]]="low",0.1,IF(financials[[#This Row],[Discount Band]]="medium",0.15,0.3))</f>
        <v>0.3</v>
      </c>
      <c r="I1745" s="8">
        <f>financials[[#This Row],[Gross Sales]]-financials[[#This Row],[Gross Sales]]*financials[[#This Row],[Discounts]]</f>
        <v>115.5</v>
      </c>
      <c r="J1745" s="8">
        <f>VLOOKUP(financials[[#This Row],[productid]],Products!$B$2:$H$10,4)</f>
        <v>5.5</v>
      </c>
      <c r="K1745" s="8">
        <f>financials[[#This Row],[Net Sales]]-financials[[#This Row],[COGS]]</f>
        <v>110</v>
      </c>
      <c r="L1745" s="15">
        <v>45261</v>
      </c>
      <c r="M1745" t="s">
        <v>690</v>
      </c>
    </row>
    <row r="1746" spans="1:13" x14ac:dyDescent="0.25">
      <c r="A1746" t="s">
        <v>86</v>
      </c>
      <c r="B1746" s="6" t="s">
        <v>84</v>
      </c>
      <c r="C1746" s="11">
        <v>109</v>
      </c>
      <c r="D1746" s="9" t="s">
        <v>91</v>
      </c>
      <c r="E1746">
        <v>8</v>
      </c>
      <c r="F1746" s="8">
        <f>VLOOKUP(financials[[#This Row],[productid]],Products!$B$2:$H$10,3)</f>
        <v>36</v>
      </c>
      <c r="G1746" s="8">
        <f>financials[[#This Row],[Units Sold]]*financials[[#This Row],[Sale Price]]</f>
        <v>288</v>
      </c>
      <c r="H1746" s="8">
        <f>IF(financials[[#This Row],[Discount Band]]="low",0.1,IF(financials[[#This Row],[Discount Band]]="medium",0.15,0.3))</f>
        <v>0.1</v>
      </c>
      <c r="I1746" s="8">
        <f>financials[[#This Row],[Gross Sales]]-financials[[#This Row],[Gross Sales]]*financials[[#This Row],[Discounts]]</f>
        <v>259.2</v>
      </c>
      <c r="J1746" s="8">
        <f>VLOOKUP(financials[[#This Row],[productid]],Products!$B$2:$H$10,4)</f>
        <v>16.8</v>
      </c>
      <c r="K1746" s="8">
        <f>financials[[#This Row],[Net Sales]]-financials[[#This Row],[COGS]]</f>
        <v>242.39999999999998</v>
      </c>
      <c r="L1746" s="15">
        <v>44495</v>
      </c>
      <c r="M1746" t="s">
        <v>697</v>
      </c>
    </row>
    <row r="1747" spans="1:13" x14ac:dyDescent="0.25">
      <c r="A1747" t="s">
        <v>89</v>
      </c>
      <c r="B1747" s="6" t="s">
        <v>273</v>
      </c>
      <c r="C1747" s="13">
        <v>107</v>
      </c>
      <c r="D1747" s="14" t="s">
        <v>83</v>
      </c>
      <c r="E1747">
        <v>15</v>
      </c>
      <c r="F1747" s="8">
        <f>VLOOKUP(financials[[#This Row],[productid]],Products!$B$2:$H$10,3)</f>
        <v>15</v>
      </c>
      <c r="G1747" s="8">
        <f>financials[[#This Row],[Units Sold]]*financials[[#This Row],[Sale Price]]</f>
        <v>225</v>
      </c>
      <c r="H1747" s="8">
        <f>IF(financials[[#This Row],[Discount Band]]="low",0.1,IF(financials[[#This Row],[Discount Band]]="medium",0.15,0.3))</f>
        <v>0.3</v>
      </c>
      <c r="I1747" s="8">
        <f>financials[[#This Row],[Gross Sales]]-financials[[#This Row],[Gross Sales]]*financials[[#This Row],[Discounts]]</f>
        <v>157.5</v>
      </c>
      <c r="J1747" s="8">
        <f>VLOOKUP(financials[[#This Row],[productid]],Products!$B$2:$H$10,4)</f>
        <v>5.5</v>
      </c>
      <c r="K1747" s="8">
        <f>financials[[#This Row],[Net Sales]]-financials[[#This Row],[COGS]]</f>
        <v>152</v>
      </c>
      <c r="L1747" s="15">
        <v>45355</v>
      </c>
      <c r="M1747" t="s">
        <v>696</v>
      </c>
    </row>
    <row r="1748" spans="1:13" x14ac:dyDescent="0.25">
      <c r="A1748" t="s">
        <v>86</v>
      </c>
      <c r="B1748" s="6" t="s">
        <v>95</v>
      </c>
      <c r="C1748" s="13">
        <v>102</v>
      </c>
      <c r="D1748" s="14" t="s">
        <v>90</v>
      </c>
      <c r="E1748">
        <v>17</v>
      </c>
      <c r="F1748" s="8">
        <f>VLOOKUP(financials[[#This Row],[productid]],Products!$B$2:$H$10,3)</f>
        <v>15</v>
      </c>
      <c r="G1748" s="8">
        <f>financials[[#This Row],[Units Sold]]*financials[[#This Row],[Sale Price]]</f>
        <v>255</v>
      </c>
      <c r="H1748" s="8">
        <f>IF(financials[[#This Row],[Discount Band]]="low",0.1,IF(financials[[#This Row],[Discount Band]]="medium",0.15,0.3))</f>
        <v>0.15</v>
      </c>
      <c r="I1748" s="8">
        <f>financials[[#This Row],[Gross Sales]]-financials[[#This Row],[Gross Sales]]*financials[[#This Row],[Discounts]]</f>
        <v>216.75</v>
      </c>
      <c r="J1748" s="8">
        <f>VLOOKUP(financials[[#This Row],[productid]],Products!$B$2:$H$10,4)</f>
        <v>13.95</v>
      </c>
      <c r="K1748" s="8">
        <f>financials[[#This Row],[Net Sales]]-financials[[#This Row],[COGS]]</f>
        <v>202.8</v>
      </c>
      <c r="L1748" s="15">
        <v>45316</v>
      </c>
      <c r="M1748" t="s">
        <v>697</v>
      </c>
    </row>
    <row r="1749" spans="1:13" x14ac:dyDescent="0.25">
      <c r="A1749" t="s">
        <v>86</v>
      </c>
      <c r="B1749" s="6" t="s">
        <v>84</v>
      </c>
      <c r="C1749" s="11">
        <v>107</v>
      </c>
      <c r="D1749" s="9" t="s">
        <v>92</v>
      </c>
      <c r="E1749">
        <v>5</v>
      </c>
      <c r="F1749" s="8">
        <f>VLOOKUP(financials[[#This Row],[productid]],Products!$B$2:$H$10,3)</f>
        <v>15</v>
      </c>
      <c r="G1749" s="8">
        <f>financials[[#This Row],[Units Sold]]*financials[[#This Row],[Sale Price]]</f>
        <v>75</v>
      </c>
      <c r="H1749" s="8">
        <f>IF(financials[[#This Row],[Discount Band]]="low",0.1,IF(financials[[#This Row],[Discount Band]]="medium",0.15,0.3))</f>
        <v>0.3</v>
      </c>
      <c r="I1749" s="8">
        <f>financials[[#This Row],[Gross Sales]]-financials[[#This Row],[Gross Sales]]*financials[[#This Row],[Discounts]]</f>
        <v>52.5</v>
      </c>
      <c r="J1749" s="8">
        <f>VLOOKUP(financials[[#This Row],[productid]],Products!$B$2:$H$10,4)</f>
        <v>5.5</v>
      </c>
      <c r="K1749" s="8">
        <f>financials[[#This Row],[Net Sales]]-financials[[#This Row],[COGS]]</f>
        <v>47</v>
      </c>
      <c r="L1749" s="15">
        <v>44390</v>
      </c>
      <c r="M1749" t="s">
        <v>691</v>
      </c>
    </row>
    <row r="1750" spans="1:13" x14ac:dyDescent="0.25">
      <c r="A1750" t="s">
        <v>86</v>
      </c>
      <c r="B1750" s="6" t="s">
        <v>84</v>
      </c>
      <c r="C1750" s="13">
        <v>101</v>
      </c>
      <c r="D1750" s="14" t="s">
        <v>90</v>
      </c>
      <c r="E1750">
        <v>8</v>
      </c>
      <c r="F1750" s="8">
        <f>VLOOKUP(financials[[#This Row],[productid]],Products!$B$2:$H$10,3)</f>
        <v>23</v>
      </c>
      <c r="G1750" s="8">
        <f>financials[[#This Row],[Units Sold]]*financials[[#This Row],[Sale Price]]</f>
        <v>184</v>
      </c>
      <c r="H1750" s="8">
        <f>IF(financials[[#This Row],[Discount Band]]="low",0.1,IF(financials[[#This Row],[Discount Band]]="medium",0.15,0.3))</f>
        <v>0.15</v>
      </c>
      <c r="I1750" s="8">
        <f>financials[[#This Row],[Gross Sales]]-financials[[#This Row],[Gross Sales]]*financials[[#This Row],[Discounts]]</f>
        <v>156.4</v>
      </c>
      <c r="J1750" s="8">
        <f>VLOOKUP(financials[[#This Row],[productid]],Products!$B$2:$H$10,4)</f>
        <v>9.9499999999999993</v>
      </c>
      <c r="K1750" s="8">
        <f>financials[[#This Row],[Net Sales]]-financials[[#This Row],[COGS]]</f>
        <v>146.45000000000002</v>
      </c>
      <c r="L1750" s="15">
        <v>45332</v>
      </c>
      <c r="M1750" t="s">
        <v>690</v>
      </c>
    </row>
    <row r="1751" spans="1:13" x14ac:dyDescent="0.25">
      <c r="A1751" t="s">
        <v>86</v>
      </c>
      <c r="B1751" s="6" t="s">
        <v>205</v>
      </c>
      <c r="C1751" s="11">
        <v>104</v>
      </c>
      <c r="D1751" s="9" t="s">
        <v>90</v>
      </c>
      <c r="E1751">
        <v>16</v>
      </c>
      <c r="F1751" s="8">
        <f>VLOOKUP(financials[[#This Row],[productid]],Products!$B$2:$H$10,3)</f>
        <v>5.9</v>
      </c>
      <c r="G1751" s="8">
        <f>financials[[#This Row],[Units Sold]]*financials[[#This Row],[Sale Price]]</f>
        <v>94.4</v>
      </c>
      <c r="H1751" s="8">
        <f>IF(financials[[#This Row],[Discount Band]]="low",0.1,IF(financials[[#This Row],[Discount Band]]="medium",0.15,0.3))</f>
        <v>0.15</v>
      </c>
      <c r="I1751" s="8">
        <f>financials[[#This Row],[Gross Sales]]-financials[[#This Row],[Gross Sales]]*financials[[#This Row],[Discounts]]</f>
        <v>80.240000000000009</v>
      </c>
      <c r="J1751" s="8">
        <f>VLOOKUP(financials[[#This Row],[productid]],Products!$B$2:$H$10,4)</f>
        <v>2.9</v>
      </c>
      <c r="K1751" s="8">
        <f>financials[[#This Row],[Net Sales]]-financials[[#This Row],[COGS]]</f>
        <v>77.34</v>
      </c>
      <c r="L1751" s="15">
        <v>44008</v>
      </c>
      <c r="M1751" t="s">
        <v>691</v>
      </c>
    </row>
    <row r="1752" spans="1:13" x14ac:dyDescent="0.25">
      <c r="A1752" t="s">
        <v>86</v>
      </c>
      <c r="B1752" s="6" t="s">
        <v>268</v>
      </c>
      <c r="C1752" s="13">
        <v>102</v>
      </c>
      <c r="D1752" s="14" t="s">
        <v>83</v>
      </c>
      <c r="E1752">
        <v>20</v>
      </c>
      <c r="F1752" s="8">
        <f>VLOOKUP(financials[[#This Row],[productid]],Products!$B$2:$H$10,3)</f>
        <v>15</v>
      </c>
      <c r="G1752" s="8">
        <f>financials[[#This Row],[Units Sold]]*financials[[#This Row],[Sale Price]]</f>
        <v>300</v>
      </c>
      <c r="H1752" s="8">
        <f>IF(financials[[#This Row],[Discount Band]]="low",0.1,IF(financials[[#This Row],[Discount Band]]="medium",0.15,0.3))</f>
        <v>0.3</v>
      </c>
      <c r="I1752" s="8">
        <f>financials[[#This Row],[Gross Sales]]-financials[[#This Row],[Gross Sales]]*financials[[#This Row],[Discounts]]</f>
        <v>210</v>
      </c>
      <c r="J1752" s="8">
        <f>VLOOKUP(financials[[#This Row],[productid]],Products!$B$2:$H$10,4)</f>
        <v>13.95</v>
      </c>
      <c r="K1752" s="8">
        <f>financials[[#This Row],[Net Sales]]-financials[[#This Row],[COGS]]</f>
        <v>196.05</v>
      </c>
      <c r="L1752" s="15">
        <v>45203</v>
      </c>
      <c r="M1752" t="s">
        <v>696</v>
      </c>
    </row>
    <row r="1753" spans="1:13" x14ac:dyDescent="0.25">
      <c r="A1753" t="s">
        <v>86</v>
      </c>
      <c r="B1753" s="6" t="s">
        <v>205</v>
      </c>
      <c r="C1753" s="13">
        <v>106</v>
      </c>
      <c r="D1753" s="14" t="s">
        <v>90</v>
      </c>
      <c r="E1753">
        <v>17</v>
      </c>
      <c r="F1753" s="8">
        <f>VLOOKUP(financials[[#This Row],[productid]],Products!$B$2:$H$10,3)</f>
        <v>25</v>
      </c>
      <c r="G1753" s="8">
        <f>financials[[#This Row],[Units Sold]]*financials[[#This Row],[Sale Price]]</f>
        <v>425</v>
      </c>
      <c r="H1753" s="8">
        <f>IF(financials[[#This Row],[Discount Band]]="low",0.1,IF(financials[[#This Row],[Discount Band]]="medium",0.15,0.3))</f>
        <v>0.15</v>
      </c>
      <c r="I1753" s="8">
        <f>financials[[#This Row],[Gross Sales]]-financials[[#This Row],[Gross Sales]]*financials[[#This Row],[Discounts]]</f>
        <v>361.25</v>
      </c>
      <c r="J1753" s="8">
        <f>VLOOKUP(financials[[#This Row],[productid]],Products!$B$2:$H$10,4)</f>
        <v>9.1</v>
      </c>
      <c r="K1753" s="8">
        <f>financials[[#This Row],[Net Sales]]-financials[[#This Row],[COGS]]</f>
        <v>352.15</v>
      </c>
      <c r="L1753" s="15">
        <v>44164</v>
      </c>
      <c r="M1753" t="s">
        <v>691</v>
      </c>
    </row>
    <row r="1754" spans="1:13" x14ac:dyDescent="0.25">
      <c r="A1754" t="s">
        <v>86</v>
      </c>
      <c r="B1754" s="6" t="s">
        <v>644</v>
      </c>
      <c r="C1754" s="11">
        <v>103</v>
      </c>
      <c r="D1754" s="9" t="s">
        <v>90</v>
      </c>
      <c r="E1754">
        <v>10</v>
      </c>
      <c r="F1754" s="8">
        <f>VLOOKUP(financials[[#This Row],[productid]],Products!$B$2:$H$10,3)</f>
        <v>28</v>
      </c>
      <c r="G1754" s="8">
        <f>financials[[#This Row],[Units Sold]]*financials[[#This Row],[Sale Price]]</f>
        <v>280</v>
      </c>
      <c r="H1754" s="8">
        <f>IF(financials[[#This Row],[Discount Band]]="low",0.1,IF(financials[[#This Row],[Discount Band]]="medium",0.15,0.3))</f>
        <v>0.15</v>
      </c>
      <c r="I1754" s="8">
        <f>financials[[#This Row],[Gross Sales]]-financials[[#This Row],[Gross Sales]]*financials[[#This Row],[Discounts]]</f>
        <v>238</v>
      </c>
      <c r="J1754" s="8">
        <f>VLOOKUP(financials[[#This Row],[productid]],Products!$B$2:$H$10,4)</f>
        <v>15</v>
      </c>
      <c r="K1754" s="8">
        <f>financials[[#This Row],[Net Sales]]-financials[[#This Row],[COGS]]</f>
        <v>223</v>
      </c>
      <c r="L1754" s="15">
        <v>45210</v>
      </c>
      <c r="M1754" t="s">
        <v>690</v>
      </c>
    </row>
    <row r="1755" spans="1:13" x14ac:dyDescent="0.25">
      <c r="A1755" t="s">
        <v>86</v>
      </c>
      <c r="B1755" s="6" t="s">
        <v>545</v>
      </c>
      <c r="C1755" s="11">
        <v>106</v>
      </c>
      <c r="D1755" s="9" t="s">
        <v>83</v>
      </c>
      <c r="E1755">
        <v>9</v>
      </c>
      <c r="F1755" s="8">
        <f>VLOOKUP(financials[[#This Row],[productid]],Products!$B$2:$H$10,3)</f>
        <v>25</v>
      </c>
      <c r="G1755" s="8">
        <f>financials[[#This Row],[Units Sold]]*financials[[#This Row],[Sale Price]]</f>
        <v>225</v>
      </c>
      <c r="H1755" s="8">
        <f>IF(financials[[#This Row],[Discount Band]]="low",0.1,IF(financials[[#This Row],[Discount Band]]="medium",0.15,0.3))</f>
        <v>0.3</v>
      </c>
      <c r="I1755" s="8">
        <f>financials[[#This Row],[Gross Sales]]-financials[[#This Row],[Gross Sales]]*financials[[#This Row],[Discounts]]</f>
        <v>157.5</v>
      </c>
      <c r="J1755" s="8">
        <f>VLOOKUP(financials[[#This Row],[productid]],Products!$B$2:$H$10,4)</f>
        <v>9.1</v>
      </c>
      <c r="K1755" s="8">
        <f>financials[[#This Row],[Net Sales]]-financials[[#This Row],[COGS]]</f>
        <v>148.4</v>
      </c>
      <c r="L1755" s="15">
        <v>44154</v>
      </c>
      <c r="M1755" t="s">
        <v>700</v>
      </c>
    </row>
    <row r="1756" spans="1:13" x14ac:dyDescent="0.25">
      <c r="A1756" t="s">
        <v>89</v>
      </c>
      <c r="B1756" s="6" t="s">
        <v>95</v>
      </c>
      <c r="C1756" s="11">
        <v>109</v>
      </c>
      <c r="D1756" s="9" t="s">
        <v>83</v>
      </c>
      <c r="E1756">
        <v>9</v>
      </c>
      <c r="F1756" s="8">
        <f>VLOOKUP(financials[[#This Row],[productid]],Products!$B$2:$H$10,3)</f>
        <v>36</v>
      </c>
      <c r="G1756" s="8">
        <f>financials[[#This Row],[Units Sold]]*financials[[#This Row],[Sale Price]]</f>
        <v>324</v>
      </c>
      <c r="H1756" s="8">
        <f>IF(financials[[#This Row],[Discount Band]]="low",0.1,IF(financials[[#This Row],[Discount Band]]="medium",0.15,0.3))</f>
        <v>0.3</v>
      </c>
      <c r="I1756" s="8">
        <f>financials[[#This Row],[Gross Sales]]-financials[[#This Row],[Gross Sales]]*financials[[#This Row],[Discounts]]</f>
        <v>226.8</v>
      </c>
      <c r="J1756" s="8">
        <f>VLOOKUP(financials[[#This Row],[productid]],Products!$B$2:$H$10,4)</f>
        <v>16.8</v>
      </c>
      <c r="K1756" s="8">
        <f>financials[[#This Row],[Net Sales]]-financials[[#This Row],[COGS]]</f>
        <v>210</v>
      </c>
      <c r="L1756" s="15">
        <v>45046</v>
      </c>
      <c r="M1756" t="s">
        <v>697</v>
      </c>
    </row>
    <row r="1757" spans="1:13" x14ac:dyDescent="0.25">
      <c r="A1757" t="s">
        <v>86</v>
      </c>
      <c r="B1757" s="6" t="s">
        <v>159</v>
      </c>
      <c r="C1757" s="13">
        <v>103</v>
      </c>
      <c r="D1757" s="14" t="s">
        <v>90</v>
      </c>
      <c r="E1757">
        <v>11</v>
      </c>
      <c r="F1757" s="8">
        <f>VLOOKUP(financials[[#This Row],[productid]],Products!$B$2:$H$10,3)</f>
        <v>28</v>
      </c>
      <c r="G1757" s="8">
        <f>financials[[#This Row],[Units Sold]]*financials[[#This Row],[Sale Price]]</f>
        <v>308</v>
      </c>
      <c r="H1757" s="8">
        <f>IF(financials[[#This Row],[Discount Band]]="low",0.1,IF(financials[[#This Row],[Discount Band]]="medium",0.15,0.3))</f>
        <v>0.15</v>
      </c>
      <c r="I1757" s="8">
        <f>financials[[#This Row],[Gross Sales]]-financials[[#This Row],[Gross Sales]]*financials[[#This Row],[Discounts]]</f>
        <v>261.8</v>
      </c>
      <c r="J1757" s="8">
        <f>VLOOKUP(financials[[#This Row],[productid]],Products!$B$2:$H$10,4)</f>
        <v>15</v>
      </c>
      <c r="K1757" s="8">
        <f>financials[[#This Row],[Net Sales]]-financials[[#This Row],[COGS]]</f>
        <v>246.8</v>
      </c>
      <c r="L1757" s="15">
        <v>45089</v>
      </c>
      <c r="M1757" t="s">
        <v>700</v>
      </c>
    </row>
    <row r="1758" spans="1:13" x14ac:dyDescent="0.25">
      <c r="A1758" t="s">
        <v>89</v>
      </c>
      <c r="B1758" s="6" t="s">
        <v>167</v>
      </c>
      <c r="C1758" s="13">
        <v>108</v>
      </c>
      <c r="D1758" s="14" t="s">
        <v>90</v>
      </c>
      <c r="E1758">
        <v>19</v>
      </c>
      <c r="F1758" s="8">
        <f>VLOOKUP(financials[[#This Row],[productid]],Products!$B$2:$H$10,3)</f>
        <v>5.5</v>
      </c>
      <c r="G1758" s="8">
        <f>financials[[#This Row],[Units Sold]]*financials[[#This Row],[Sale Price]]</f>
        <v>104.5</v>
      </c>
      <c r="H1758" s="8">
        <f>IF(financials[[#This Row],[Discount Band]]="low",0.1,IF(financials[[#This Row],[Discount Band]]="medium",0.15,0.3))</f>
        <v>0.15</v>
      </c>
      <c r="I1758" s="8">
        <f>financials[[#This Row],[Gross Sales]]-financials[[#This Row],[Gross Sales]]*financials[[#This Row],[Discounts]]</f>
        <v>88.825000000000003</v>
      </c>
      <c r="J1758" s="8">
        <f>VLOOKUP(financials[[#This Row],[productid]],Products!$B$2:$H$10,4)</f>
        <v>3.99</v>
      </c>
      <c r="K1758" s="8">
        <f>financials[[#This Row],[Net Sales]]-financials[[#This Row],[COGS]]</f>
        <v>84.835000000000008</v>
      </c>
      <c r="L1758" s="15">
        <v>44830</v>
      </c>
      <c r="M1758" t="s">
        <v>700</v>
      </c>
    </row>
    <row r="1759" spans="1:13" x14ac:dyDescent="0.25">
      <c r="A1759" t="s">
        <v>89</v>
      </c>
      <c r="B1759" s="6" t="s">
        <v>198</v>
      </c>
      <c r="C1759" s="11">
        <v>105</v>
      </c>
      <c r="D1759" s="9" t="s">
        <v>91</v>
      </c>
      <c r="E1759">
        <v>20</v>
      </c>
      <c r="F1759" s="8">
        <f>VLOOKUP(financials[[#This Row],[productid]],Products!$B$2:$H$10,3)</f>
        <v>15</v>
      </c>
      <c r="G1759" s="8">
        <f>financials[[#This Row],[Units Sold]]*financials[[#This Row],[Sale Price]]</f>
        <v>300</v>
      </c>
      <c r="H1759" s="8">
        <f>IF(financials[[#This Row],[Discount Band]]="low",0.1,IF(financials[[#This Row],[Discount Band]]="medium",0.15,0.3))</f>
        <v>0.1</v>
      </c>
      <c r="I1759" s="8">
        <f>financials[[#This Row],[Gross Sales]]-financials[[#This Row],[Gross Sales]]*financials[[#This Row],[Discounts]]</f>
        <v>270</v>
      </c>
      <c r="J1759" s="8">
        <f>VLOOKUP(financials[[#This Row],[productid]],Products!$B$2:$H$10,4)</f>
        <v>10</v>
      </c>
      <c r="K1759" s="8">
        <f>financials[[#This Row],[Net Sales]]-financials[[#This Row],[COGS]]</f>
        <v>260</v>
      </c>
      <c r="L1759" s="15">
        <v>44758</v>
      </c>
      <c r="M1759" t="s">
        <v>700</v>
      </c>
    </row>
    <row r="1760" spans="1:13" x14ac:dyDescent="0.25">
      <c r="A1760" t="s">
        <v>85</v>
      </c>
      <c r="B1760" s="6" t="s">
        <v>205</v>
      </c>
      <c r="C1760" s="11">
        <v>106</v>
      </c>
      <c r="D1760" s="9" t="s">
        <v>83</v>
      </c>
      <c r="E1760">
        <v>17</v>
      </c>
      <c r="F1760" s="8">
        <f>VLOOKUP(financials[[#This Row],[productid]],Products!$B$2:$H$10,3)</f>
        <v>25</v>
      </c>
      <c r="G1760" s="8">
        <f>financials[[#This Row],[Units Sold]]*financials[[#This Row],[Sale Price]]</f>
        <v>425</v>
      </c>
      <c r="H1760" s="8">
        <f>IF(financials[[#This Row],[Discount Band]]="low",0.1,IF(financials[[#This Row],[Discount Band]]="medium",0.15,0.3))</f>
        <v>0.3</v>
      </c>
      <c r="I1760" s="8">
        <f>financials[[#This Row],[Gross Sales]]-financials[[#This Row],[Gross Sales]]*financials[[#This Row],[Discounts]]</f>
        <v>297.5</v>
      </c>
      <c r="J1760" s="8">
        <f>VLOOKUP(financials[[#This Row],[productid]],Products!$B$2:$H$10,4)</f>
        <v>9.1</v>
      </c>
      <c r="K1760" s="8">
        <f>financials[[#This Row],[Net Sales]]-financials[[#This Row],[COGS]]</f>
        <v>288.39999999999998</v>
      </c>
      <c r="L1760" s="15">
        <v>45486</v>
      </c>
      <c r="M1760" t="s">
        <v>697</v>
      </c>
    </row>
    <row r="1761" spans="1:13" x14ac:dyDescent="0.25">
      <c r="A1761" t="s">
        <v>85</v>
      </c>
      <c r="B1761" s="6" t="s">
        <v>205</v>
      </c>
      <c r="C1761" s="13">
        <v>101</v>
      </c>
      <c r="D1761" s="14" t="s">
        <v>90</v>
      </c>
      <c r="E1761">
        <v>18</v>
      </c>
      <c r="F1761" s="8">
        <f>VLOOKUP(financials[[#This Row],[productid]],Products!$B$2:$H$10,3)</f>
        <v>23</v>
      </c>
      <c r="G1761" s="8">
        <f>financials[[#This Row],[Units Sold]]*financials[[#This Row],[Sale Price]]</f>
        <v>414</v>
      </c>
      <c r="H1761" s="8">
        <f>IF(financials[[#This Row],[Discount Band]]="low",0.1,IF(financials[[#This Row],[Discount Band]]="medium",0.15,0.3))</f>
        <v>0.15</v>
      </c>
      <c r="I1761" s="8">
        <f>financials[[#This Row],[Gross Sales]]-financials[[#This Row],[Gross Sales]]*financials[[#This Row],[Discounts]]</f>
        <v>351.9</v>
      </c>
      <c r="J1761" s="8">
        <f>VLOOKUP(financials[[#This Row],[productid]],Products!$B$2:$H$10,4)</f>
        <v>9.9499999999999993</v>
      </c>
      <c r="K1761" s="8">
        <f>financials[[#This Row],[Net Sales]]-financials[[#This Row],[COGS]]</f>
        <v>341.95</v>
      </c>
      <c r="L1761" s="15">
        <v>43867</v>
      </c>
      <c r="M1761" t="s">
        <v>690</v>
      </c>
    </row>
    <row r="1762" spans="1:13" x14ac:dyDescent="0.25">
      <c r="A1762" t="s">
        <v>86</v>
      </c>
      <c r="B1762" s="6" t="s">
        <v>545</v>
      </c>
      <c r="C1762" s="11">
        <v>106</v>
      </c>
      <c r="D1762" s="9" t="s">
        <v>83</v>
      </c>
      <c r="E1762">
        <v>7</v>
      </c>
      <c r="F1762" s="8">
        <f>VLOOKUP(financials[[#This Row],[productid]],Products!$B$2:$H$10,3)</f>
        <v>25</v>
      </c>
      <c r="G1762" s="8">
        <f>financials[[#This Row],[Units Sold]]*financials[[#This Row],[Sale Price]]</f>
        <v>175</v>
      </c>
      <c r="H1762" s="8">
        <f>IF(financials[[#This Row],[Discount Band]]="low",0.1,IF(financials[[#This Row],[Discount Band]]="medium",0.15,0.3))</f>
        <v>0.3</v>
      </c>
      <c r="I1762" s="8">
        <f>financials[[#This Row],[Gross Sales]]-financials[[#This Row],[Gross Sales]]*financials[[#This Row],[Discounts]]</f>
        <v>122.5</v>
      </c>
      <c r="J1762" s="8">
        <f>VLOOKUP(financials[[#This Row],[productid]],Products!$B$2:$H$10,4)</f>
        <v>9.1</v>
      </c>
      <c r="K1762" s="8">
        <f>financials[[#This Row],[Net Sales]]-financials[[#This Row],[COGS]]</f>
        <v>113.4</v>
      </c>
      <c r="L1762" s="15">
        <v>43960</v>
      </c>
      <c r="M1762" t="s">
        <v>697</v>
      </c>
    </row>
    <row r="1763" spans="1:13" x14ac:dyDescent="0.25">
      <c r="A1763" t="s">
        <v>86</v>
      </c>
      <c r="B1763" s="6" t="s">
        <v>205</v>
      </c>
      <c r="C1763" s="13">
        <v>103</v>
      </c>
      <c r="D1763" s="14" t="s">
        <v>83</v>
      </c>
      <c r="E1763">
        <v>10</v>
      </c>
      <c r="F1763" s="8">
        <f>VLOOKUP(financials[[#This Row],[productid]],Products!$B$2:$H$10,3)</f>
        <v>28</v>
      </c>
      <c r="G1763" s="8">
        <f>financials[[#This Row],[Units Sold]]*financials[[#This Row],[Sale Price]]</f>
        <v>280</v>
      </c>
      <c r="H1763" s="8">
        <f>IF(financials[[#This Row],[Discount Band]]="low",0.1,IF(financials[[#This Row],[Discount Band]]="medium",0.15,0.3))</f>
        <v>0.3</v>
      </c>
      <c r="I1763" s="8">
        <f>financials[[#This Row],[Gross Sales]]-financials[[#This Row],[Gross Sales]]*financials[[#This Row],[Discounts]]</f>
        <v>196</v>
      </c>
      <c r="J1763" s="8">
        <f>VLOOKUP(financials[[#This Row],[productid]],Products!$B$2:$H$10,4)</f>
        <v>15</v>
      </c>
      <c r="K1763" s="8">
        <f>financials[[#This Row],[Net Sales]]-financials[[#This Row],[COGS]]</f>
        <v>181</v>
      </c>
      <c r="L1763" s="15">
        <v>44727</v>
      </c>
      <c r="M1763" t="s">
        <v>700</v>
      </c>
    </row>
    <row r="1764" spans="1:13" x14ac:dyDescent="0.25">
      <c r="A1764" t="s">
        <v>89</v>
      </c>
      <c r="B1764" s="6" t="s">
        <v>268</v>
      </c>
      <c r="C1764" s="13">
        <v>102</v>
      </c>
      <c r="D1764" s="14" t="s">
        <v>91</v>
      </c>
      <c r="E1764">
        <v>20</v>
      </c>
      <c r="F1764" s="8">
        <f>VLOOKUP(financials[[#This Row],[productid]],Products!$B$2:$H$10,3)</f>
        <v>15</v>
      </c>
      <c r="G1764" s="8">
        <f>financials[[#This Row],[Units Sold]]*financials[[#This Row],[Sale Price]]</f>
        <v>300</v>
      </c>
      <c r="H1764" s="8">
        <f>IF(financials[[#This Row],[Discount Band]]="low",0.1,IF(financials[[#This Row],[Discount Band]]="medium",0.15,0.3))</f>
        <v>0.1</v>
      </c>
      <c r="I1764" s="8">
        <f>financials[[#This Row],[Gross Sales]]-financials[[#This Row],[Gross Sales]]*financials[[#This Row],[Discounts]]</f>
        <v>270</v>
      </c>
      <c r="J1764" s="8">
        <f>VLOOKUP(financials[[#This Row],[productid]],Products!$B$2:$H$10,4)</f>
        <v>13.95</v>
      </c>
      <c r="K1764" s="8">
        <f>financials[[#This Row],[Net Sales]]-financials[[#This Row],[COGS]]</f>
        <v>256.05</v>
      </c>
      <c r="L1764" s="15">
        <v>44761</v>
      </c>
      <c r="M1764" t="s">
        <v>697</v>
      </c>
    </row>
    <row r="1765" spans="1:13" x14ac:dyDescent="0.25">
      <c r="A1765" t="s">
        <v>85</v>
      </c>
      <c r="B1765" s="6" t="s">
        <v>205</v>
      </c>
      <c r="C1765" s="13">
        <v>101</v>
      </c>
      <c r="D1765" s="14" t="s">
        <v>92</v>
      </c>
      <c r="E1765">
        <v>9</v>
      </c>
      <c r="F1765" s="8">
        <f>VLOOKUP(financials[[#This Row],[productid]],Products!$B$2:$H$10,3)</f>
        <v>23</v>
      </c>
      <c r="G1765" s="8">
        <f>financials[[#This Row],[Units Sold]]*financials[[#This Row],[Sale Price]]</f>
        <v>207</v>
      </c>
      <c r="H1765" s="8">
        <f>IF(financials[[#This Row],[Discount Band]]="low",0.1,IF(financials[[#This Row],[Discount Band]]="medium",0.15,0.3))</f>
        <v>0.3</v>
      </c>
      <c r="I1765" s="8">
        <f>financials[[#This Row],[Gross Sales]]-financials[[#This Row],[Gross Sales]]*financials[[#This Row],[Discounts]]</f>
        <v>144.9</v>
      </c>
      <c r="J1765" s="8">
        <f>VLOOKUP(financials[[#This Row],[productid]],Products!$B$2:$H$10,4)</f>
        <v>9.9499999999999993</v>
      </c>
      <c r="K1765" s="8">
        <f>financials[[#This Row],[Net Sales]]-financials[[#This Row],[COGS]]</f>
        <v>134.95000000000002</v>
      </c>
      <c r="L1765" s="15">
        <v>44306</v>
      </c>
      <c r="M1765" t="s">
        <v>700</v>
      </c>
    </row>
    <row r="1766" spans="1:13" x14ac:dyDescent="0.25">
      <c r="A1766" t="s">
        <v>89</v>
      </c>
      <c r="B1766" s="6" t="s">
        <v>94</v>
      </c>
      <c r="C1766" s="13">
        <v>106</v>
      </c>
      <c r="D1766" s="14" t="s">
        <v>91</v>
      </c>
      <c r="E1766">
        <v>17</v>
      </c>
      <c r="F1766" s="8">
        <f>VLOOKUP(financials[[#This Row],[productid]],Products!$B$2:$H$10,3)</f>
        <v>25</v>
      </c>
      <c r="G1766" s="8">
        <f>financials[[#This Row],[Units Sold]]*financials[[#This Row],[Sale Price]]</f>
        <v>425</v>
      </c>
      <c r="H1766" s="8">
        <f>IF(financials[[#This Row],[Discount Band]]="low",0.1,IF(financials[[#This Row],[Discount Band]]="medium",0.15,0.3))</f>
        <v>0.1</v>
      </c>
      <c r="I1766" s="8">
        <f>financials[[#This Row],[Gross Sales]]-financials[[#This Row],[Gross Sales]]*financials[[#This Row],[Discounts]]</f>
        <v>382.5</v>
      </c>
      <c r="J1766" s="8">
        <f>VLOOKUP(financials[[#This Row],[productid]],Products!$B$2:$H$10,4)</f>
        <v>9.1</v>
      </c>
      <c r="K1766" s="8">
        <f>financials[[#This Row],[Net Sales]]-financials[[#This Row],[COGS]]</f>
        <v>373.4</v>
      </c>
      <c r="L1766" s="15">
        <v>44588</v>
      </c>
      <c r="M1766" t="s">
        <v>697</v>
      </c>
    </row>
    <row r="1767" spans="1:13" x14ac:dyDescent="0.25">
      <c r="A1767" t="s">
        <v>88</v>
      </c>
      <c r="B1767" s="6" t="s">
        <v>545</v>
      </c>
      <c r="C1767" s="13">
        <v>104</v>
      </c>
      <c r="D1767" s="14" t="s">
        <v>92</v>
      </c>
      <c r="E1767">
        <v>12</v>
      </c>
      <c r="F1767" s="8">
        <f>VLOOKUP(financials[[#This Row],[productid]],Products!$B$2:$H$10,3)</f>
        <v>5.9</v>
      </c>
      <c r="G1767" s="8">
        <f>financials[[#This Row],[Units Sold]]*financials[[#This Row],[Sale Price]]</f>
        <v>70.800000000000011</v>
      </c>
      <c r="H1767" s="8">
        <f>IF(financials[[#This Row],[Discount Band]]="low",0.1,IF(financials[[#This Row],[Discount Band]]="medium",0.15,0.3))</f>
        <v>0.3</v>
      </c>
      <c r="I1767" s="8">
        <f>financials[[#This Row],[Gross Sales]]-financials[[#This Row],[Gross Sales]]*financials[[#This Row],[Discounts]]</f>
        <v>49.560000000000009</v>
      </c>
      <c r="J1767" s="8">
        <f>VLOOKUP(financials[[#This Row],[productid]],Products!$B$2:$H$10,4)</f>
        <v>2.9</v>
      </c>
      <c r="K1767" s="8">
        <f>financials[[#This Row],[Net Sales]]-financials[[#This Row],[COGS]]</f>
        <v>46.660000000000011</v>
      </c>
      <c r="L1767" s="15">
        <v>44993</v>
      </c>
      <c r="M1767" t="s">
        <v>697</v>
      </c>
    </row>
    <row r="1768" spans="1:13" x14ac:dyDescent="0.25">
      <c r="A1768" t="s">
        <v>89</v>
      </c>
      <c r="B1768" s="6" t="s">
        <v>94</v>
      </c>
      <c r="C1768" s="13">
        <v>109</v>
      </c>
      <c r="D1768" s="14" t="s">
        <v>90</v>
      </c>
      <c r="E1768">
        <v>12</v>
      </c>
      <c r="F1768" s="8">
        <f>VLOOKUP(financials[[#This Row],[productid]],Products!$B$2:$H$10,3)</f>
        <v>36</v>
      </c>
      <c r="G1768" s="8">
        <f>financials[[#This Row],[Units Sold]]*financials[[#This Row],[Sale Price]]</f>
        <v>432</v>
      </c>
      <c r="H1768" s="8">
        <f>IF(financials[[#This Row],[Discount Band]]="low",0.1,IF(financials[[#This Row],[Discount Band]]="medium",0.15,0.3))</f>
        <v>0.15</v>
      </c>
      <c r="I1768" s="8">
        <f>financials[[#This Row],[Gross Sales]]-financials[[#This Row],[Gross Sales]]*financials[[#This Row],[Discounts]]</f>
        <v>367.2</v>
      </c>
      <c r="J1768" s="8">
        <f>VLOOKUP(financials[[#This Row],[productid]],Products!$B$2:$H$10,4)</f>
        <v>16.8</v>
      </c>
      <c r="K1768" s="8">
        <f>financials[[#This Row],[Net Sales]]-financials[[#This Row],[COGS]]</f>
        <v>350.4</v>
      </c>
      <c r="L1768" s="15">
        <v>44839</v>
      </c>
      <c r="M1768" t="s">
        <v>691</v>
      </c>
    </row>
    <row r="1769" spans="1:13" x14ac:dyDescent="0.25">
      <c r="A1769" t="s">
        <v>86</v>
      </c>
      <c r="B1769" s="6" t="s">
        <v>545</v>
      </c>
      <c r="C1769" s="13">
        <v>108</v>
      </c>
      <c r="D1769" s="14" t="s">
        <v>83</v>
      </c>
      <c r="E1769">
        <v>6</v>
      </c>
      <c r="F1769" s="8">
        <f>VLOOKUP(financials[[#This Row],[productid]],Products!$B$2:$H$10,3)</f>
        <v>5.5</v>
      </c>
      <c r="G1769" s="8">
        <f>financials[[#This Row],[Units Sold]]*financials[[#This Row],[Sale Price]]</f>
        <v>33</v>
      </c>
      <c r="H1769" s="8">
        <f>IF(financials[[#This Row],[Discount Band]]="low",0.1,IF(financials[[#This Row],[Discount Band]]="medium",0.15,0.3))</f>
        <v>0.3</v>
      </c>
      <c r="I1769" s="8">
        <f>financials[[#This Row],[Gross Sales]]-financials[[#This Row],[Gross Sales]]*financials[[#This Row],[Discounts]]</f>
        <v>23.1</v>
      </c>
      <c r="J1769" s="8">
        <f>VLOOKUP(financials[[#This Row],[productid]],Products!$B$2:$H$10,4)</f>
        <v>3.99</v>
      </c>
      <c r="K1769" s="8">
        <f>financials[[#This Row],[Net Sales]]-financials[[#This Row],[COGS]]</f>
        <v>19.11</v>
      </c>
      <c r="L1769" s="15">
        <v>44113</v>
      </c>
      <c r="M1769" t="s">
        <v>697</v>
      </c>
    </row>
    <row r="1770" spans="1:13" x14ac:dyDescent="0.25">
      <c r="A1770" t="s">
        <v>86</v>
      </c>
      <c r="B1770" s="6" t="s">
        <v>94</v>
      </c>
      <c r="C1770" s="13">
        <v>104</v>
      </c>
      <c r="D1770" s="14" t="s">
        <v>91</v>
      </c>
      <c r="E1770">
        <v>15</v>
      </c>
      <c r="F1770" s="8">
        <f>VLOOKUP(financials[[#This Row],[productid]],Products!$B$2:$H$10,3)</f>
        <v>5.9</v>
      </c>
      <c r="G1770" s="8">
        <f>financials[[#This Row],[Units Sold]]*financials[[#This Row],[Sale Price]]</f>
        <v>88.5</v>
      </c>
      <c r="H1770" s="8">
        <f>IF(financials[[#This Row],[Discount Band]]="low",0.1,IF(financials[[#This Row],[Discount Band]]="medium",0.15,0.3))</f>
        <v>0.1</v>
      </c>
      <c r="I1770" s="8">
        <f>financials[[#This Row],[Gross Sales]]-financials[[#This Row],[Gross Sales]]*financials[[#This Row],[Discounts]]</f>
        <v>79.650000000000006</v>
      </c>
      <c r="J1770" s="8">
        <f>VLOOKUP(financials[[#This Row],[productid]],Products!$B$2:$H$10,4)</f>
        <v>2.9</v>
      </c>
      <c r="K1770" s="8">
        <f>financials[[#This Row],[Net Sales]]-financials[[#This Row],[COGS]]</f>
        <v>76.75</v>
      </c>
      <c r="L1770" s="15">
        <v>44104</v>
      </c>
      <c r="M1770" t="s">
        <v>690</v>
      </c>
    </row>
    <row r="1771" spans="1:13" x14ac:dyDescent="0.25">
      <c r="A1771" t="s">
        <v>89</v>
      </c>
      <c r="B1771" s="6" t="s">
        <v>276</v>
      </c>
      <c r="C1771" s="13">
        <v>104</v>
      </c>
      <c r="D1771" s="14" t="s">
        <v>83</v>
      </c>
      <c r="E1771">
        <v>20</v>
      </c>
      <c r="F1771" s="8">
        <f>VLOOKUP(financials[[#This Row],[productid]],Products!$B$2:$H$10,3)</f>
        <v>5.9</v>
      </c>
      <c r="G1771" s="8">
        <f>financials[[#This Row],[Units Sold]]*financials[[#This Row],[Sale Price]]</f>
        <v>118</v>
      </c>
      <c r="H1771" s="8">
        <f>IF(financials[[#This Row],[Discount Band]]="low",0.1,IF(financials[[#This Row],[Discount Band]]="medium",0.15,0.3))</f>
        <v>0.3</v>
      </c>
      <c r="I1771" s="8">
        <f>financials[[#This Row],[Gross Sales]]-financials[[#This Row],[Gross Sales]]*financials[[#This Row],[Discounts]]</f>
        <v>82.6</v>
      </c>
      <c r="J1771" s="8">
        <f>VLOOKUP(financials[[#This Row],[productid]],Products!$B$2:$H$10,4)</f>
        <v>2.9</v>
      </c>
      <c r="K1771" s="8">
        <f>financials[[#This Row],[Net Sales]]-financials[[#This Row],[COGS]]</f>
        <v>79.699999999999989</v>
      </c>
      <c r="L1771" s="15">
        <v>45013</v>
      </c>
      <c r="M1771" t="s">
        <v>700</v>
      </c>
    </row>
    <row r="1772" spans="1:13" x14ac:dyDescent="0.25">
      <c r="A1772" t="s">
        <v>89</v>
      </c>
      <c r="B1772" s="6" t="s">
        <v>198</v>
      </c>
      <c r="C1772" s="13">
        <v>108</v>
      </c>
      <c r="D1772" s="14" t="s">
        <v>83</v>
      </c>
      <c r="E1772">
        <v>12</v>
      </c>
      <c r="F1772" s="8">
        <f>VLOOKUP(financials[[#This Row],[productid]],Products!$B$2:$H$10,3)</f>
        <v>5.5</v>
      </c>
      <c r="G1772" s="8">
        <f>financials[[#This Row],[Units Sold]]*financials[[#This Row],[Sale Price]]</f>
        <v>66</v>
      </c>
      <c r="H1772" s="8">
        <f>IF(financials[[#This Row],[Discount Band]]="low",0.1,IF(financials[[#This Row],[Discount Band]]="medium",0.15,0.3))</f>
        <v>0.3</v>
      </c>
      <c r="I1772" s="8">
        <f>financials[[#This Row],[Gross Sales]]-financials[[#This Row],[Gross Sales]]*financials[[#This Row],[Discounts]]</f>
        <v>46.2</v>
      </c>
      <c r="J1772" s="8">
        <f>VLOOKUP(financials[[#This Row],[productid]],Products!$B$2:$H$10,4)</f>
        <v>3.99</v>
      </c>
      <c r="K1772" s="8">
        <f>financials[[#This Row],[Net Sales]]-financials[[#This Row],[COGS]]</f>
        <v>42.21</v>
      </c>
      <c r="L1772" s="15">
        <v>44588</v>
      </c>
      <c r="M1772" t="s">
        <v>690</v>
      </c>
    </row>
    <row r="1773" spans="1:13" x14ac:dyDescent="0.25">
      <c r="A1773" t="s">
        <v>86</v>
      </c>
      <c r="B1773" s="6" t="s">
        <v>94</v>
      </c>
      <c r="C1773" s="13">
        <v>105</v>
      </c>
      <c r="D1773" s="14" t="s">
        <v>90</v>
      </c>
      <c r="E1773">
        <v>5</v>
      </c>
      <c r="F1773" s="8">
        <f>VLOOKUP(financials[[#This Row],[productid]],Products!$B$2:$H$10,3)</f>
        <v>15</v>
      </c>
      <c r="G1773" s="8">
        <f>financials[[#This Row],[Units Sold]]*financials[[#This Row],[Sale Price]]</f>
        <v>75</v>
      </c>
      <c r="H1773" s="8">
        <f>IF(financials[[#This Row],[Discount Band]]="low",0.1,IF(financials[[#This Row],[Discount Band]]="medium",0.15,0.3))</f>
        <v>0.15</v>
      </c>
      <c r="I1773" s="8">
        <f>financials[[#This Row],[Gross Sales]]-financials[[#This Row],[Gross Sales]]*financials[[#This Row],[Discounts]]</f>
        <v>63.75</v>
      </c>
      <c r="J1773" s="8">
        <f>VLOOKUP(financials[[#This Row],[productid]],Products!$B$2:$H$10,4)</f>
        <v>10</v>
      </c>
      <c r="K1773" s="8">
        <f>financials[[#This Row],[Net Sales]]-financials[[#This Row],[COGS]]</f>
        <v>53.75</v>
      </c>
      <c r="L1773" s="15">
        <v>45234</v>
      </c>
      <c r="M1773" t="s">
        <v>696</v>
      </c>
    </row>
    <row r="1774" spans="1:13" x14ac:dyDescent="0.25">
      <c r="A1774" t="s">
        <v>86</v>
      </c>
      <c r="B1774" s="6" t="s">
        <v>84</v>
      </c>
      <c r="C1774" s="13">
        <v>102</v>
      </c>
      <c r="D1774" s="14" t="s">
        <v>83</v>
      </c>
      <c r="E1774">
        <v>16</v>
      </c>
      <c r="F1774" s="8">
        <f>VLOOKUP(financials[[#This Row],[productid]],Products!$B$2:$H$10,3)</f>
        <v>15</v>
      </c>
      <c r="G1774" s="8">
        <f>financials[[#This Row],[Units Sold]]*financials[[#This Row],[Sale Price]]</f>
        <v>240</v>
      </c>
      <c r="H1774" s="8">
        <f>IF(financials[[#This Row],[Discount Band]]="low",0.1,IF(financials[[#This Row],[Discount Band]]="medium",0.15,0.3))</f>
        <v>0.3</v>
      </c>
      <c r="I1774" s="8">
        <f>financials[[#This Row],[Gross Sales]]-financials[[#This Row],[Gross Sales]]*financials[[#This Row],[Discounts]]</f>
        <v>168</v>
      </c>
      <c r="J1774" s="8">
        <f>VLOOKUP(financials[[#This Row],[productid]],Products!$B$2:$H$10,4)</f>
        <v>13.95</v>
      </c>
      <c r="K1774" s="8">
        <f>financials[[#This Row],[Net Sales]]-financials[[#This Row],[COGS]]</f>
        <v>154.05000000000001</v>
      </c>
      <c r="L1774" s="15">
        <v>44731</v>
      </c>
      <c r="M1774" t="s">
        <v>696</v>
      </c>
    </row>
    <row r="1775" spans="1:13" x14ac:dyDescent="0.25">
      <c r="A1775" t="s">
        <v>86</v>
      </c>
      <c r="B1775" s="6" t="s">
        <v>84</v>
      </c>
      <c r="C1775" s="13">
        <v>109</v>
      </c>
      <c r="D1775" s="14" t="s">
        <v>90</v>
      </c>
      <c r="E1775">
        <v>9</v>
      </c>
      <c r="F1775" s="8">
        <f>VLOOKUP(financials[[#This Row],[productid]],Products!$B$2:$H$10,3)</f>
        <v>36</v>
      </c>
      <c r="G1775" s="8">
        <f>financials[[#This Row],[Units Sold]]*financials[[#This Row],[Sale Price]]</f>
        <v>324</v>
      </c>
      <c r="H1775" s="8">
        <f>IF(financials[[#This Row],[Discount Band]]="low",0.1,IF(financials[[#This Row],[Discount Band]]="medium",0.15,0.3))</f>
        <v>0.15</v>
      </c>
      <c r="I1775" s="8">
        <f>financials[[#This Row],[Gross Sales]]-financials[[#This Row],[Gross Sales]]*financials[[#This Row],[Discounts]]</f>
        <v>275.39999999999998</v>
      </c>
      <c r="J1775" s="8">
        <f>VLOOKUP(financials[[#This Row],[productid]],Products!$B$2:$H$10,4)</f>
        <v>16.8</v>
      </c>
      <c r="K1775" s="8">
        <f>financials[[#This Row],[Net Sales]]-financials[[#This Row],[COGS]]</f>
        <v>258.59999999999997</v>
      </c>
      <c r="L1775" s="15">
        <v>43846</v>
      </c>
      <c r="M1775" t="s">
        <v>700</v>
      </c>
    </row>
    <row r="1776" spans="1:13" x14ac:dyDescent="0.25">
      <c r="A1776" t="s">
        <v>85</v>
      </c>
      <c r="B1776" s="6" t="s">
        <v>205</v>
      </c>
      <c r="C1776" s="13">
        <v>106</v>
      </c>
      <c r="D1776" s="14" t="s">
        <v>90</v>
      </c>
      <c r="E1776">
        <v>14</v>
      </c>
      <c r="F1776" s="8">
        <f>VLOOKUP(financials[[#This Row],[productid]],Products!$B$2:$H$10,3)</f>
        <v>25</v>
      </c>
      <c r="G1776" s="8">
        <f>financials[[#This Row],[Units Sold]]*financials[[#This Row],[Sale Price]]</f>
        <v>350</v>
      </c>
      <c r="H1776" s="8">
        <f>IF(financials[[#This Row],[Discount Band]]="low",0.1,IF(financials[[#This Row],[Discount Band]]="medium",0.15,0.3))</f>
        <v>0.15</v>
      </c>
      <c r="I1776" s="8">
        <f>financials[[#This Row],[Gross Sales]]-financials[[#This Row],[Gross Sales]]*financials[[#This Row],[Discounts]]</f>
        <v>297.5</v>
      </c>
      <c r="J1776" s="8">
        <f>VLOOKUP(financials[[#This Row],[productid]],Products!$B$2:$H$10,4)</f>
        <v>9.1</v>
      </c>
      <c r="K1776" s="8">
        <f>financials[[#This Row],[Net Sales]]-financials[[#This Row],[COGS]]</f>
        <v>288.39999999999998</v>
      </c>
      <c r="L1776" s="15">
        <v>43954</v>
      </c>
      <c r="M1776" t="s">
        <v>697</v>
      </c>
    </row>
    <row r="1777" spans="1:13" x14ac:dyDescent="0.25">
      <c r="A1777" t="s">
        <v>86</v>
      </c>
      <c r="B1777" s="6" t="s">
        <v>198</v>
      </c>
      <c r="C1777" s="13">
        <v>109</v>
      </c>
      <c r="D1777" s="14" t="s">
        <v>90</v>
      </c>
      <c r="E1777">
        <v>19</v>
      </c>
      <c r="F1777" s="8">
        <f>VLOOKUP(financials[[#This Row],[productid]],Products!$B$2:$H$10,3)</f>
        <v>36</v>
      </c>
      <c r="G1777" s="8">
        <f>financials[[#This Row],[Units Sold]]*financials[[#This Row],[Sale Price]]</f>
        <v>684</v>
      </c>
      <c r="H1777" s="8">
        <f>IF(financials[[#This Row],[Discount Band]]="low",0.1,IF(financials[[#This Row],[Discount Band]]="medium",0.15,0.3))</f>
        <v>0.15</v>
      </c>
      <c r="I1777" s="8">
        <f>financials[[#This Row],[Gross Sales]]-financials[[#This Row],[Gross Sales]]*financials[[#This Row],[Discounts]]</f>
        <v>581.4</v>
      </c>
      <c r="J1777" s="8">
        <f>VLOOKUP(financials[[#This Row],[productid]],Products!$B$2:$H$10,4)</f>
        <v>16.8</v>
      </c>
      <c r="K1777" s="8">
        <f>financials[[#This Row],[Net Sales]]-financials[[#This Row],[COGS]]</f>
        <v>564.6</v>
      </c>
      <c r="L1777" s="15">
        <v>45123</v>
      </c>
      <c r="M1777" t="s">
        <v>691</v>
      </c>
    </row>
    <row r="1778" spans="1:13" x14ac:dyDescent="0.25">
      <c r="A1778" t="s">
        <v>86</v>
      </c>
      <c r="B1778" s="6" t="s">
        <v>94</v>
      </c>
      <c r="C1778" s="13">
        <v>104</v>
      </c>
      <c r="D1778" s="14" t="s">
        <v>92</v>
      </c>
      <c r="E1778">
        <v>20</v>
      </c>
      <c r="F1778" s="8">
        <f>VLOOKUP(financials[[#This Row],[productid]],Products!$B$2:$H$10,3)</f>
        <v>5.9</v>
      </c>
      <c r="G1778" s="8">
        <f>financials[[#This Row],[Units Sold]]*financials[[#This Row],[Sale Price]]</f>
        <v>118</v>
      </c>
      <c r="H1778" s="8">
        <f>IF(financials[[#This Row],[Discount Band]]="low",0.1,IF(financials[[#This Row],[Discount Band]]="medium",0.15,0.3))</f>
        <v>0.3</v>
      </c>
      <c r="I1778" s="8">
        <f>financials[[#This Row],[Gross Sales]]-financials[[#This Row],[Gross Sales]]*financials[[#This Row],[Discounts]]</f>
        <v>82.6</v>
      </c>
      <c r="J1778" s="8">
        <f>VLOOKUP(financials[[#This Row],[productid]],Products!$B$2:$H$10,4)</f>
        <v>2.9</v>
      </c>
      <c r="K1778" s="8">
        <f>financials[[#This Row],[Net Sales]]-financials[[#This Row],[COGS]]</f>
        <v>79.699999999999989</v>
      </c>
      <c r="L1778" s="15">
        <v>44904</v>
      </c>
      <c r="M1778" t="s">
        <v>697</v>
      </c>
    </row>
    <row r="1779" spans="1:13" x14ac:dyDescent="0.25">
      <c r="A1779" t="s">
        <v>86</v>
      </c>
      <c r="B1779" s="6" t="s">
        <v>84</v>
      </c>
      <c r="C1779" s="11">
        <v>102</v>
      </c>
      <c r="D1779" s="9" t="s">
        <v>83</v>
      </c>
      <c r="E1779">
        <v>16</v>
      </c>
      <c r="F1779" s="8">
        <f>VLOOKUP(financials[[#This Row],[productid]],Products!$B$2:$H$10,3)</f>
        <v>15</v>
      </c>
      <c r="G1779" s="8">
        <f>financials[[#This Row],[Units Sold]]*financials[[#This Row],[Sale Price]]</f>
        <v>240</v>
      </c>
      <c r="H1779" s="8">
        <f>IF(financials[[#This Row],[Discount Band]]="low",0.1,IF(financials[[#This Row],[Discount Band]]="medium",0.15,0.3))</f>
        <v>0.3</v>
      </c>
      <c r="I1779" s="8">
        <f>financials[[#This Row],[Gross Sales]]-financials[[#This Row],[Gross Sales]]*financials[[#This Row],[Discounts]]</f>
        <v>168</v>
      </c>
      <c r="J1779" s="8">
        <f>VLOOKUP(financials[[#This Row],[productid]],Products!$B$2:$H$10,4)</f>
        <v>13.95</v>
      </c>
      <c r="K1779" s="8">
        <f>financials[[#This Row],[Net Sales]]-financials[[#This Row],[COGS]]</f>
        <v>154.05000000000001</v>
      </c>
      <c r="L1779" s="15">
        <v>45615</v>
      </c>
      <c r="M1779" t="s">
        <v>700</v>
      </c>
    </row>
    <row r="1780" spans="1:13" x14ac:dyDescent="0.25">
      <c r="A1780" t="s">
        <v>87</v>
      </c>
      <c r="B1780" s="6" t="s">
        <v>545</v>
      </c>
      <c r="C1780" s="13">
        <v>101</v>
      </c>
      <c r="D1780" s="14" t="s">
        <v>83</v>
      </c>
      <c r="E1780">
        <v>9</v>
      </c>
      <c r="F1780" s="8">
        <f>VLOOKUP(financials[[#This Row],[productid]],Products!$B$2:$H$10,3)</f>
        <v>23</v>
      </c>
      <c r="G1780" s="8">
        <f>financials[[#This Row],[Units Sold]]*financials[[#This Row],[Sale Price]]</f>
        <v>207</v>
      </c>
      <c r="H1780" s="8">
        <f>IF(financials[[#This Row],[Discount Band]]="low",0.1,IF(financials[[#This Row],[Discount Band]]="medium",0.15,0.3))</f>
        <v>0.3</v>
      </c>
      <c r="I1780" s="8">
        <f>financials[[#This Row],[Gross Sales]]-financials[[#This Row],[Gross Sales]]*financials[[#This Row],[Discounts]]</f>
        <v>144.9</v>
      </c>
      <c r="J1780" s="8">
        <f>VLOOKUP(financials[[#This Row],[productid]],Products!$B$2:$H$10,4)</f>
        <v>9.9499999999999993</v>
      </c>
      <c r="K1780" s="8">
        <f>financials[[#This Row],[Net Sales]]-financials[[#This Row],[COGS]]</f>
        <v>134.95000000000002</v>
      </c>
      <c r="L1780" s="15">
        <v>44249</v>
      </c>
      <c r="M1780" t="s">
        <v>690</v>
      </c>
    </row>
    <row r="1781" spans="1:13" x14ac:dyDescent="0.25">
      <c r="A1781" t="s">
        <v>86</v>
      </c>
      <c r="B1781" s="6" t="s">
        <v>167</v>
      </c>
      <c r="C1781" s="13">
        <v>103</v>
      </c>
      <c r="D1781" s="14" t="s">
        <v>90</v>
      </c>
      <c r="E1781">
        <v>11</v>
      </c>
      <c r="F1781" s="8">
        <f>VLOOKUP(financials[[#This Row],[productid]],Products!$B$2:$H$10,3)</f>
        <v>28</v>
      </c>
      <c r="G1781" s="8">
        <f>financials[[#This Row],[Units Sold]]*financials[[#This Row],[Sale Price]]</f>
        <v>308</v>
      </c>
      <c r="H1781" s="8">
        <f>IF(financials[[#This Row],[Discount Band]]="low",0.1,IF(financials[[#This Row],[Discount Band]]="medium",0.15,0.3))</f>
        <v>0.15</v>
      </c>
      <c r="I1781" s="8">
        <f>financials[[#This Row],[Gross Sales]]-financials[[#This Row],[Gross Sales]]*financials[[#This Row],[Discounts]]</f>
        <v>261.8</v>
      </c>
      <c r="J1781" s="8">
        <f>VLOOKUP(financials[[#This Row],[productid]],Products!$B$2:$H$10,4)</f>
        <v>15</v>
      </c>
      <c r="K1781" s="8">
        <f>financials[[#This Row],[Net Sales]]-financials[[#This Row],[COGS]]</f>
        <v>246.8</v>
      </c>
      <c r="L1781" s="15">
        <v>44876</v>
      </c>
      <c r="M1781" t="s">
        <v>700</v>
      </c>
    </row>
    <row r="1782" spans="1:13" x14ac:dyDescent="0.25">
      <c r="A1782" t="s">
        <v>86</v>
      </c>
      <c r="B1782" s="6" t="s">
        <v>167</v>
      </c>
      <c r="C1782" s="11">
        <v>108</v>
      </c>
      <c r="D1782" s="9" t="s">
        <v>83</v>
      </c>
      <c r="E1782">
        <v>18</v>
      </c>
      <c r="F1782" s="8">
        <f>VLOOKUP(financials[[#This Row],[productid]],Products!$B$2:$H$10,3)</f>
        <v>5.5</v>
      </c>
      <c r="G1782" s="8">
        <f>financials[[#This Row],[Units Sold]]*financials[[#This Row],[Sale Price]]</f>
        <v>99</v>
      </c>
      <c r="H1782" s="8">
        <f>IF(financials[[#This Row],[Discount Band]]="low",0.1,IF(financials[[#This Row],[Discount Band]]="medium",0.15,0.3))</f>
        <v>0.3</v>
      </c>
      <c r="I1782" s="8">
        <f>financials[[#This Row],[Gross Sales]]-financials[[#This Row],[Gross Sales]]*financials[[#This Row],[Discounts]]</f>
        <v>69.3</v>
      </c>
      <c r="J1782" s="8">
        <f>VLOOKUP(financials[[#This Row],[productid]],Products!$B$2:$H$10,4)</f>
        <v>3.99</v>
      </c>
      <c r="K1782" s="8">
        <f>financials[[#This Row],[Net Sales]]-financials[[#This Row],[COGS]]</f>
        <v>65.31</v>
      </c>
      <c r="L1782" s="15">
        <v>45030</v>
      </c>
      <c r="M1782" t="s">
        <v>697</v>
      </c>
    </row>
    <row r="1783" spans="1:13" x14ac:dyDescent="0.25">
      <c r="A1783" t="s">
        <v>88</v>
      </c>
      <c r="B1783" s="6" t="s">
        <v>545</v>
      </c>
      <c r="C1783" s="13">
        <v>107</v>
      </c>
      <c r="D1783" s="14" t="s">
        <v>90</v>
      </c>
      <c r="E1783">
        <v>5</v>
      </c>
      <c r="F1783" s="8">
        <f>VLOOKUP(financials[[#This Row],[productid]],Products!$B$2:$H$10,3)</f>
        <v>15</v>
      </c>
      <c r="G1783" s="8">
        <f>financials[[#This Row],[Units Sold]]*financials[[#This Row],[Sale Price]]</f>
        <v>75</v>
      </c>
      <c r="H1783" s="8">
        <f>IF(financials[[#This Row],[Discount Band]]="low",0.1,IF(financials[[#This Row],[Discount Band]]="medium",0.15,0.3))</f>
        <v>0.15</v>
      </c>
      <c r="I1783" s="8">
        <f>financials[[#This Row],[Gross Sales]]-financials[[#This Row],[Gross Sales]]*financials[[#This Row],[Discounts]]</f>
        <v>63.75</v>
      </c>
      <c r="J1783" s="8">
        <f>VLOOKUP(financials[[#This Row],[productid]],Products!$B$2:$H$10,4)</f>
        <v>5.5</v>
      </c>
      <c r="K1783" s="8">
        <f>financials[[#This Row],[Net Sales]]-financials[[#This Row],[COGS]]</f>
        <v>58.25</v>
      </c>
      <c r="L1783" s="15">
        <v>44967</v>
      </c>
      <c r="M1783" t="s">
        <v>697</v>
      </c>
    </row>
    <row r="1784" spans="1:13" x14ac:dyDescent="0.25">
      <c r="A1784" t="s">
        <v>86</v>
      </c>
      <c r="B1784" s="6" t="s">
        <v>167</v>
      </c>
      <c r="C1784" s="13">
        <v>104</v>
      </c>
      <c r="D1784" s="14" t="s">
        <v>90</v>
      </c>
      <c r="E1784">
        <v>7</v>
      </c>
      <c r="F1784" s="8">
        <f>VLOOKUP(financials[[#This Row],[productid]],Products!$B$2:$H$10,3)</f>
        <v>5.9</v>
      </c>
      <c r="G1784" s="8">
        <f>financials[[#This Row],[Units Sold]]*financials[[#This Row],[Sale Price]]</f>
        <v>41.300000000000004</v>
      </c>
      <c r="H1784" s="8">
        <f>IF(financials[[#This Row],[Discount Band]]="low",0.1,IF(financials[[#This Row],[Discount Band]]="medium",0.15,0.3))</f>
        <v>0.15</v>
      </c>
      <c r="I1784" s="8">
        <f>financials[[#This Row],[Gross Sales]]-financials[[#This Row],[Gross Sales]]*financials[[#This Row],[Discounts]]</f>
        <v>35.105000000000004</v>
      </c>
      <c r="J1784" s="8">
        <f>VLOOKUP(financials[[#This Row],[productid]],Products!$B$2:$H$10,4)</f>
        <v>2.9</v>
      </c>
      <c r="K1784" s="8">
        <f>financials[[#This Row],[Net Sales]]-financials[[#This Row],[COGS]]</f>
        <v>32.205000000000005</v>
      </c>
      <c r="L1784" s="15">
        <v>44457</v>
      </c>
      <c r="M1784" t="s">
        <v>697</v>
      </c>
    </row>
    <row r="1785" spans="1:13" x14ac:dyDescent="0.25">
      <c r="A1785" t="s">
        <v>86</v>
      </c>
      <c r="B1785" s="6" t="s">
        <v>545</v>
      </c>
      <c r="C1785" s="13">
        <v>106</v>
      </c>
      <c r="D1785" s="14" t="s">
        <v>91</v>
      </c>
      <c r="E1785">
        <v>12</v>
      </c>
      <c r="F1785" s="8">
        <f>VLOOKUP(financials[[#This Row],[productid]],Products!$B$2:$H$10,3)</f>
        <v>25</v>
      </c>
      <c r="G1785" s="8">
        <f>financials[[#This Row],[Units Sold]]*financials[[#This Row],[Sale Price]]</f>
        <v>300</v>
      </c>
      <c r="H1785" s="8">
        <f>IF(financials[[#This Row],[Discount Band]]="low",0.1,IF(financials[[#This Row],[Discount Band]]="medium",0.15,0.3))</f>
        <v>0.1</v>
      </c>
      <c r="I1785" s="8">
        <f>financials[[#This Row],[Gross Sales]]-financials[[#This Row],[Gross Sales]]*financials[[#This Row],[Discounts]]</f>
        <v>270</v>
      </c>
      <c r="J1785" s="8">
        <f>VLOOKUP(financials[[#This Row],[productid]],Products!$B$2:$H$10,4)</f>
        <v>9.1</v>
      </c>
      <c r="K1785" s="8">
        <f>financials[[#This Row],[Net Sales]]-financials[[#This Row],[COGS]]</f>
        <v>260.89999999999998</v>
      </c>
      <c r="L1785" s="15">
        <v>45402</v>
      </c>
      <c r="M1785" t="s">
        <v>690</v>
      </c>
    </row>
    <row r="1786" spans="1:13" x14ac:dyDescent="0.25">
      <c r="A1786" t="s">
        <v>89</v>
      </c>
      <c r="B1786" s="6" t="s">
        <v>205</v>
      </c>
      <c r="C1786" s="13">
        <v>107</v>
      </c>
      <c r="D1786" s="14" t="s">
        <v>83</v>
      </c>
      <c r="E1786">
        <v>17</v>
      </c>
      <c r="F1786" s="8">
        <f>VLOOKUP(financials[[#This Row],[productid]],Products!$B$2:$H$10,3)</f>
        <v>15</v>
      </c>
      <c r="G1786" s="8">
        <f>financials[[#This Row],[Units Sold]]*financials[[#This Row],[Sale Price]]</f>
        <v>255</v>
      </c>
      <c r="H1786" s="8">
        <f>IF(financials[[#This Row],[Discount Band]]="low",0.1,IF(financials[[#This Row],[Discount Band]]="medium",0.15,0.3))</f>
        <v>0.3</v>
      </c>
      <c r="I1786" s="8">
        <f>financials[[#This Row],[Gross Sales]]-financials[[#This Row],[Gross Sales]]*financials[[#This Row],[Discounts]]</f>
        <v>178.5</v>
      </c>
      <c r="J1786" s="8">
        <f>VLOOKUP(financials[[#This Row],[productid]],Products!$B$2:$H$10,4)</f>
        <v>5.5</v>
      </c>
      <c r="K1786" s="8">
        <f>financials[[#This Row],[Net Sales]]-financials[[#This Row],[COGS]]</f>
        <v>173</v>
      </c>
      <c r="L1786" s="15">
        <v>45355</v>
      </c>
      <c r="M1786" t="s">
        <v>697</v>
      </c>
    </row>
    <row r="1787" spans="1:13" x14ac:dyDescent="0.25">
      <c r="A1787" t="s">
        <v>86</v>
      </c>
      <c r="B1787" s="6" t="s">
        <v>95</v>
      </c>
      <c r="C1787" s="11">
        <v>105</v>
      </c>
      <c r="D1787" s="9" t="s">
        <v>90</v>
      </c>
      <c r="E1787">
        <v>8</v>
      </c>
      <c r="F1787" s="8">
        <f>VLOOKUP(financials[[#This Row],[productid]],Products!$B$2:$H$10,3)</f>
        <v>15</v>
      </c>
      <c r="G1787" s="8">
        <f>financials[[#This Row],[Units Sold]]*financials[[#This Row],[Sale Price]]</f>
        <v>120</v>
      </c>
      <c r="H1787" s="8">
        <f>IF(financials[[#This Row],[Discount Band]]="low",0.1,IF(financials[[#This Row],[Discount Band]]="medium",0.15,0.3))</f>
        <v>0.15</v>
      </c>
      <c r="I1787" s="8">
        <f>financials[[#This Row],[Gross Sales]]-financials[[#This Row],[Gross Sales]]*financials[[#This Row],[Discounts]]</f>
        <v>102</v>
      </c>
      <c r="J1787" s="8">
        <f>VLOOKUP(financials[[#This Row],[productid]],Products!$B$2:$H$10,4)</f>
        <v>10</v>
      </c>
      <c r="K1787" s="8">
        <f>financials[[#This Row],[Net Sales]]-financials[[#This Row],[COGS]]</f>
        <v>92</v>
      </c>
      <c r="L1787" s="15">
        <v>44122</v>
      </c>
      <c r="M1787" t="s">
        <v>691</v>
      </c>
    </row>
    <row r="1788" spans="1:13" x14ac:dyDescent="0.25">
      <c r="A1788" t="s">
        <v>86</v>
      </c>
      <c r="B1788" s="6" t="s">
        <v>198</v>
      </c>
      <c r="C1788" s="13">
        <v>109</v>
      </c>
      <c r="D1788" s="14" t="s">
        <v>90</v>
      </c>
      <c r="E1788">
        <v>12</v>
      </c>
      <c r="F1788" s="8">
        <f>VLOOKUP(financials[[#This Row],[productid]],Products!$B$2:$H$10,3)</f>
        <v>36</v>
      </c>
      <c r="G1788" s="8">
        <f>financials[[#This Row],[Units Sold]]*financials[[#This Row],[Sale Price]]</f>
        <v>432</v>
      </c>
      <c r="H1788" s="8">
        <f>IF(financials[[#This Row],[Discount Band]]="low",0.1,IF(financials[[#This Row],[Discount Band]]="medium",0.15,0.3))</f>
        <v>0.15</v>
      </c>
      <c r="I1788" s="8">
        <f>financials[[#This Row],[Gross Sales]]-financials[[#This Row],[Gross Sales]]*financials[[#This Row],[Discounts]]</f>
        <v>367.2</v>
      </c>
      <c r="J1788" s="8">
        <f>VLOOKUP(financials[[#This Row],[productid]],Products!$B$2:$H$10,4)</f>
        <v>16.8</v>
      </c>
      <c r="K1788" s="8">
        <f>financials[[#This Row],[Net Sales]]-financials[[#This Row],[COGS]]</f>
        <v>350.4</v>
      </c>
      <c r="L1788" s="15">
        <v>44295</v>
      </c>
      <c r="M1788" t="s">
        <v>696</v>
      </c>
    </row>
    <row r="1789" spans="1:13" x14ac:dyDescent="0.25">
      <c r="A1789" t="s">
        <v>86</v>
      </c>
      <c r="B1789" s="6" t="s">
        <v>84</v>
      </c>
      <c r="C1789" s="13">
        <v>109</v>
      </c>
      <c r="D1789" s="14" t="s">
        <v>90</v>
      </c>
      <c r="E1789">
        <v>8</v>
      </c>
      <c r="F1789" s="8">
        <f>VLOOKUP(financials[[#This Row],[productid]],Products!$B$2:$H$10,3)</f>
        <v>36</v>
      </c>
      <c r="G1789" s="8">
        <f>financials[[#This Row],[Units Sold]]*financials[[#This Row],[Sale Price]]</f>
        <v>288</v>
      </c>
      <c r="H1789" s="8">
        <f>IF(financials[[#This Row],[Discount Band]]="low",0.1,IF(financials[[#This Row],[Discount Band]]="medium",0.15,0.3))</f>
        <v>0.15</v>
      </c>
      <c r="I1789" s="8">
        <f>financials[[#This Row],[Gross Sales]]-financials[[#This Row],[Gross Sales]]*financials[[#This Row],[Discounts]]</f>
        <v>244.8</v>
      </c>
      <c r="J1789" s="8">
        <f>VLOOKUP(financials[[#This Row],[productid]],Products!$B$2:$H$10,4)</f>
        <v>16.8</v>
      </c>
      <c r="K1789" s="8">
        <f>financials[[#This Row],[Net Sales]]-financials[[#This Row],[COGS]]</f>
        <v>228</v>
      </c>
      <c r="L1789" s="15">
        <v>44992</v>
      </c>
      <c r="M1789" t="s">
        <v>690</v>
      </c>
    </row>
    <row r="1790" spans="1:13" x14ac:dyDescent="0.25">
      <c r="A1790" t="s">
        <v>86</v>
      </c>
      <c r="B1790" s="6" t="s">
        <v>273</v>
      </c>
      <c r="C1790" s="13">
        <v>103</v>
      </c>
      <c r="D1790" s="14" t="s">
        <v>90</v>
      </c>
      <c r="E1790">
        <v>16</v>
      </c>
      <c r="F1790" s="8">
        <f>VLOOKUP(financials[[#This Row],[productid]],Products!$B$2:$H$10,3)</f>
        <v>28</v>
      </c>
      <c r="G1790" s="8">
        <f>financials[[#This Row],[Units Sold]]*financials[[#This Row],[Sale Price]]</f>
        <v>448</v>
      </c>
      <c r="H1790" s="8">
        <f>IF(financials[[#This Row],[Discount Band]]="low",0.1,IF(financials[[#This Row],[Discount Band]]="medium",0.15,0.3))</f>
        <v>0.15</v>
      </c>
      <c r="I1790" s="8">
        <f>financials[[#This Row],[Gross Sales]]-financials[[#This Row],[Gross Sales]]*financials[[#This Row],[Discounts]]</f>
        <v>380.8</v>
      </c>
      <c r="J1790" s="8">
        <f>VLOOKUP(financials[[#This Row],[productid]],Products!$B$2:$H$10,4)</f>
        <v>15</v>
      </c>
      <c r="K1790" s="8">
        <f>financials[[#This Row],[Net Sales]]-financials[[#This Row],[COGS]]</f>
        <v>365.8</v>
      </c>
      <c r="L1790" s="15">
        <v>44098</v>
      </c>
      <c r="M1790" t="s">
        <v>690</v>
      </c>
    </row>
    <row r="1791" spans="1:13" x14ac:dyDescent="0.25">
      <c r="A1791" t="s">
        <v>86</v>
      </c>
      <c r="B1791" s="6" t="s">
        <v>84</v>
      </c>
      <c r="C1791" s="13">
        <v>105</v>
      </c>
      <c r="D1791" s="14" t="s">
        <v>91</v>
      </c>
      <c r="E1791">
        <v>18</v>
      </c>
      <c r="F1791" s="8">
        <f>VLOOKUP(financials[[#This Row],[productid]],Products!$B$2:$H$10,3)</f>
        <v>15</v>
      </c>
      <c r="G1791" s="8">
        <f>financials[[#This Row],[Units Sold]]*financials[[#This Row],[Sale Price]]</f>
        <v>270</v>
      </c>
      <c r="H1791" s="8">
        <f>IF(financials[[#This Row],[Discount Band]]="low",0.1,IF(financials[[#This Row],[Discount Band]]="medium",0.15,0.3))</f>
        <v>0.1</v>
      </c>
      <c r="I1791" s="8">
        <f>financials[[#This Row],[Gross Sales]]-financials[[#This Row],[Gross Sales]]*financials[[#This Row],[Discounts]]</f>
        <v>243</v>
      </c>
      <c r="J1791" s="8">
        <f>VLOOKUP(financials[[#This Row],[productid]],Products!$B$2:$H$10,4)</f>
        <v>10</v>
      </c>
      <c r="K1791" s="8">
        <f>financials[[#This Row],[Net Sales]]-financials[[#This Row],[COGS]]</f>
        <v>233</v>
      </c>
      <c r="L1791" s="15">
        <v>45626</v>
      </c>
      <c r="M1791" t="s">
        <v>691</v>
      </c>
    </row>
    <row r="1792" spans="1:13" x14ac:dyDescent="0.25">
      <c r="A1792" t="s">
        <v>89</v>
      </c>
      <c r="B1792" s="6" t="s">
        <v>198</v>
      </c>
      <c r="C1792" s="13">
        <v>109</v>
      </c>
      <c r="D1792" s="14" t="s">
        <v>83</v>
      </c>
      <c r="E1792">
        <v>9</v>
      </c>
      <c r="F1792" s="8">
        <f>VLOOKUP(financials[[#This Row],[productid]],Products!$B$2:$H$10,3)</f>
        <v>36</v>
      </c>
      <c r="G1792" s="8">
        <f>financials[[#This Row],[Units Sold]]*financials[[#This Row],[Sale Price]]</f>
        <v>324</v>
      </c>
      <c r="H1792" s="8">
        <f>IF(financials[[#This Row],[Discount Band]]="low",0.1,IF(financials[[#This Row],[Discount Band]]="medium",0.15,0.3))</f>
        <v>0.3</v>
      </c>
      <c r="I1792" s="8">
        <f>financials[[#This Row],[Gross Sales]]-financials[[#This Row],[Gross Sales]]*financials[[#This Row],[Discounts]]</f>
        <v>226.8</v>
      </c>
      <c r="J1792" s="8">
        <f>VLOOKUP(financials[[#This Row],[productid]],Products!$B$2:$H$10,4)</f>
        <v>16.8</v>
      </c>
      <c r="K1792" s="8">
        <f>financials[[#This Row],[Net Sales]]-financials[[#This Row],[COGS]]</f>
        <v>210</v>
      </c>
      <c r="L1792" s="15">
        <v>45583</v>
      </c>
      <c r="M1792" t="s">
        <v>700</v>
      </c>
    </row>
    <row r="1793" spans="1:13" x14ac:dyDescent="0.25">
      <c r="A1793" t="s">
        <v>89</v>
      </c>
      <c r="B1793" s="6" t="s">
        <v>276</v>
      </c>
      <c r="C1793" s="13">
        <v>105</v>
      </c>
      <c r="D1793" s="14" t="s">
        <v>83</v>
      </c>
      <c r="E1793">
        <v>16</v>
      </c>
      <c r="F1793" s="8">
        <f>VLOOKUP(financials[[#This Row],[productid]],Products!$B$2:$H$10,3)</f>
        <v>15</v>
      </c>
      <c r="G1793" s="8">
        <f>financials[[#This Row],[Units Sold]]*financials[[#This Row],[Sale Price]]</f>
        <v>240</v>
      </c>
      <c r="H1793" s="8">
        <f>IF(financials[[#This Row],[Discount Band]]="low",0.1,IF(financials[[#This Row],[Discount Band]]="medium",0.15,0.3))</f>
        <v>0.3</v>
      </c>
      <c r="I1793" s="8">
        <f>financials[[#This Row],[Gross Sales]]-financials[[#This Row],[Gross Sales]]*financials[[#This Row],[Discounts]]</f>
        <v>168</v>
      </c>
      <c r="J1793" s="8">
        <f>VLOOKUP(financials[[#This Row],[productid]],Products!$B$2:$H$10,4)</f>
        <v>10</v>
      </c>
      <c r="K1793" s="8">
        <f>financials[[#This Row],[Net Sales]]-financials[[#This Row],[COGS]]</f>
        <v>158</v>
      </c>
      <c r="L1793" s="15">
        <v>45038</v>
      </c>
      <c r="M1793" t="s">
        <v>697</v>
      </c>
    </row>
    <row r="1794" spans="1:13" x14ac:dyDescent="0.25">
      <c r="A1794" t="s">
        <v>86</v>
      </c>
      <c r="B1794" s="6" t="s">
        <v>159</v>
      </c>
      <c r="C1794" s="11">
        <v>104</v>
      </c>
      <c r="D1794" s="9" t="s">
        <v>90</v>
      </c>
      <c r="E1794">
        <v>20</v>
      </c>
      <c r="F1794" s="8">
        <f>VLOOKUP(financials[[#This Row],[productid]],Products!$B$2:$H$10,3)</f>
        <v>5.9</v>
      </c>
      <c r="G1794" s="8">
        <f>financials[[#This Row],[Units Sold]]*financials[[#This Row],[Sale Price]]</f>
        <v>118</v>
      </c>
      <c r="H1794" s="8">
        <f>IF(financials[[#This Row],[Discount Band]]="low",0.1,IF(financials[[#This Row],[Discount Band]]="medium",0.15,0.3))</f>
        <v>0.15</v>
      </c>
      <c r="I1794" s="8">
        <f>financials[[#This Row],[Gross Sales]]-financials[[#This Row],[Gross Sales]]*financials[[#This Row],[Discounts]]</f>
        <v>100.3</v>
      </c>
      <c r="J1794" s="8">
        <f>VLOOKUP(financials[[#This Row],[productid]],Products!$B$2:$H$10,4)</f>
        <v>2.9</v>
      </c>
      <c r="K1794" s="8">
        <f>financials[[#This Row],[Net Sales]]-financials[[#This Row],[COGS]]</f>
        <v>97.399999999999991</v>
      </c>
      <c r="L1794" s="15">
        <v>45381</v>
      </c>
      <c r="M1794" t="s">
        <v>697</v>
      </c>
    </row>
    <row r="1795" spans="1:13" x14ac:dyDescent="0.25">
      <c r="A1795" t="s">
        <v>86</v>
      </c>
      <c r="B1795" s="6" t="s">
        <v>84</v>
      </c>
      <c r="C1795" s="13">
        <v>109</v>
      </c>
      <c r="D1795" s="14" t="s">
        <v>91</v>
      </c>
      <c r="E1795">
        <v>14</v>
      </c>
      <c r="F1795" s="8">
        <f>VLOOKUP(financials[[#This Row],[productid]],Products!$B$2:$H$10,3)</f>
        <v>36</v>
      </c>
      <c r="G1795" s="8">
        <f>financials[[#This Row],[Units Sold]]*financials[[#This Row],[Sale Price]]</f>
        <v>504</v>
      </c>
      <c r="H1795" s="8">
        <f>IF(financials[[#This Row],[Discount Band]]="low",0.1,IF(financials[[#This Row],[Discount Band]]="medium",0.15,0.3))</f>
        <v>0.1</v>
      </c>
      <c r="I1795" s="8">
        <f>financials[[#This Row],[Gross Sales]]-financials[[#This Row],[Gross Sales]]*financials[[#This Row],[Discounts]]</f>
        <v>453.6</v>
      </c>
      <c r="J1795" s="8">
        <f>VLOOKUP(financials[[#This Row],[productid]],Products!$B$2:$H$10,4)</f>
        <v>16.8</v>
      </c>
      <c r="K1795" s="8">
        <f>financials[[#This Row],[Net Sales]]-financials[[#This Row],[COGS]]</f>
        <v>436.8</v>
      </c>
      <c r="L1795" s="15">
        <v>45509</v>
      </c>
      <c r="M1795" t="s">
        <v>696</v>
      </c>
    </row>
    <row r="1796" spans="1:13" x14ac:dyDescent="0.25">
      <c r="A1796" t="s">
        <v>86</v>
      </c>
      <c r="B1796" s="6" t="s">
        <v>273</v>
      </c>
      <c r="C1796" s="13">
        <v>101</v>
      </c>
      <c r="D1796" s="14" t="s">
        <v>92</v>
      </c>
      <c r="E1796">
        <v>17</v>
      </c>
      <c r="F1796" s="8">
        <f>VLOOKUP(financials[[#This Row],[productid]],Products!$B$2:$H$10,3)</f>
        <v>23</v>
      </c>
      <c r="G1796" s="8">
        <f>financials[[#This Row],[Units Sold]]*financials[[#This Row],[Sale Price]]</f>
        <v>391</v>
      </c>
      <c r="H1796" s="8">
        <f>IF(financials[[#This Row],[Discount Band]]="low",0.1,IF(financials[[#This Row],[Discount Band]]="medium",0.15,0.3))</f>
        <v>0.3</v>
      </c>
      <c r="I1796" s="8">
        <f>financials[[#This Row],[Gross Sales]]-financials[[#This Row],[Gross Sales]]*financials[[#This Row],[Discounts]]</f>
        <v>273.7</v>
      </c>
      <c r="J1796" s="8">
        <f>VLOOKUP(financials[[#This Row],[productid]],Products!$B$2:$H$10,4)</f>
        <v>9.9499999999999993</v>
      </c>
      <c r="K1796" s="8">
        <f>financials[[#This Row],[Net Sales]]-financials[[#This Row],[COGS]]</f>
        <v>263.75</v>
      </c>
      <c r="L1796" s="15">
        <v>44348</v>
      </c>
      <c r="M1796" t="s">
        <v>700</v>
      </c>
    </row>
    <row r="1797" spans="1:13" x14ac:dyDescent="0.25">
      <c r="A1797" t="s">
        <v>86</v>
      </c>
      <c r="B1797" s="6" t="s">
        <v>159</v>
      </c>
      <c r="C1797" s="13">
        <v>101</v>
      </c>
      <c r="D1797" s="14" t="s">
        <v>83</v>
      </c>
      <c r="E1797">
        <v>7</v>
      </c>
      <c r="F1797" s="8">
        <f>VLOOKUP(financials[[#This Row],[productid]],Products!$B$2:$H$10,3)</f>
        <v>23</v>
      </c>
      <c r="G1797" s="8">
        <f>financials[[#This Row],[Units Sold]]*financials[[#This Row],[Sale Price]]</f>
        <v>161</v>
      </c>
      <c r="H1797" s="8">
        <f>IF(financials[[#This Row],[Discount Band]]="low",0.1,IF(financials[[#This Row],[Discount Band]]="medium",0.15,0.3))</f>
        <v>0.3</v>
      </c>
      <c r="I1797" s="8">
        <f>financials[[#This Row],[Gross Sales]]-financials[[#This Row],[Gross Sales]]*financials[[#This Row],[Discounts]]</f>
        <v>112.7</v>
      </c>
      <c r="J1797" s="8">
        <f>VLOOKUP(financials[[#This Row],[productid]],Products!$B$2:$H$10,4)</f>
        <v>9.9499999999999993</v>
      </c>
      <c r="K1797" s="8">
        <f>financials[[#This Row],[Net Sales]]-financials[[#This Row],[COGS]]</f>
        <v>102.75</v>
      </c>
      <c r="L1797" s="15">
        <v>44974</v>
      </c>
      <c r="M1797" t="s">
        <v>691</v>
      </c>
    </row>
    <row r="1798" spans="1:13" x14ac:dyDescent="0.25">
      <c r="A1798" t="s">
        <v>86</v>
      </c>
      <c r="B1798" s="6" t="s">
        <v>94</v>
      </c>
      <c r="C1798" s="13">
        <v>103</v>
      </c>
      <c r="D1798" s="14" t="s">
        <v>83</v>
      </c>
      <c r="E1798">
        <v>8</v>
      </c>
      <c r="F1798" s="8">
        <f>VLOOKUP(financials[[#This Row],[productid]],Products!$B$2:$H$10,3)</f>
        <v>28</v>
      </c>
      <c r="G1798" s="8">
        <f>financials[[#This Row],[Units Sold]]*financials[[#This Row],[Sale Price]]</f>
        <v>224</v>
      </c>
      <c r="H1798" s="8">
        <f>IF(financials[[#This Row],[Discount Band]]="low",0.1,IF(financials[[#This Row],[Discount Band]]="medium",0.15,0.3))</f>
        <v>0.3</v>
      </c>
      <c r="I1798" s="8">
        <f>financials[[#This Row],[Gross Sales]]-financials[[#This Row],[Gross Sales]]*financials[[#This Row],[Discounts]]</f>
        <v>156.80000000000001</v>
      </c>
      <c r="J1798" s="8">
        <f>VLOOKUP(financials[[#This Row],[productid]],Products!$B$2:$H$10,4)</f>
        <v>15</v>
      </c>
      <c r="K1798" s="8">
        <f>financials[[#This Row],[Net Sales]]-financials[[#This Row],[COGS]]</f>
        <v>141.80000000000001</v>
      </c>
      <c r="L1798" s="15">
        <v>44369</v>
      </c>
      <c r="M1798" t="s">
        <v>697</v>
      </c>
    </row>
    <row r="1799" spans="1:13" x14ac:dyDescent="0.25">
      <c r="A1799" t="s">
        <v>87</v>
      </c>
      <c r="B1799" s="6" t="s">
        <v>644</v>
      </c>
      <c r="C1799" s="11">
        <v>103</v>
      </c>
      <c r="D1799" s="9" t="s">
        <v>83</v>
      </c>
      <c r="E1799">
        <v>14</v>
      </c>
      <c r="F1799" s="8">
        <f>VLOOKUP(financials[[#This Row],[productid]],Products!$B$2:$H$10,3)</f>
        <v>28</v>
      </c>
      <c r="G1799" s="8">
        <f>financials[[#This Row],[Units Sold]]*financials[[#This Row],[Sale Price]]</f>
        <v>392</v>
      </c>
      <c r="H1799" s="8">
        <f>IF(financials[[#This Row],[Discount Band]]="low",0.1,IF(financials[[#This Row],[Discount Band]]="medium",0.15,0.3))</f>
        <v>0.3</v>
      </c>
      <c r="I1799" s="8">
        <f>financials[[#This Row],[Gross Sales]]-financials[[#This Row],[Gross Sales]]*financials[[#This Row],[Discounts]]</f>
        <v>274.39999999999998</v>
      </c>
      <c r="J1799" s="8">
        <f>VLOOKUP(financials[[#This Row],[productid]],Products!$B$2:$H$10,4)</f>
        <v>15</v>
      </c>
      <c r="K1799" s="8">
        <f>financials[[#This Row],[Net Sales]]-financials[[#This Row],[COGS]]</f>
        <v>259.39999999999998</v>
      </c>
      <c r="L1799" s="15">
        <v>44309</v>
      </c>
      <c r="M1799" t="s">
        <v>697</v>
      </c>
    </row>
    <row r="1800" spans="1:13" x14ac:dyDescent="0.25">
      <c r="A1800" t="s">
        <v>86</v>
      </c>
      <c r="B1800" s="6" t="s">
        <v>167</v>
      </c>
      <c r="C1800" s="13">
        <v>104</v>
      </c>
      <c r="D1800" s="14" t="s">
        <v>91</v>
      </c>
      <c r="E1800">
        <v>9</v>
      </c>
      <c r="F1800" s="8">
        <f>VLOOKUP(financials[[#This Row],[productid]],Products!$B$2:$H$10,3)</f>
        <v>5.9</v>
      </c>
      <c r="G1800" s="8">
        <f>financials[[#This Row],[Units Sold]]*financials[[#This Row],[Sale Price]]</f>
        <v>53.1</v>
      </c>
      <c r="H1800" s="8">
        <f>IF(financials[[#This Row],[Discount Band]]="low",0.1,IF(financials[[#This Row],[Discount Band]]="medium",0.15,0.3))</f>
        <v>0.1</v>
      </c>
      <c r="I1800" s="8">
        <f>financials[[#This Row],[Gross Sales]]-financials[[#This Row],[Gross Sales]]*financials[[#This Row],[Discounts]]</f>
        <v>47.79</v>
      </c>
      <c r="J1800" s="8">
        <f>VLOOKUP(financials[[#This Row],[productid]],Products!$B$2:$H$10,4)</f>
        <v>2.9</v>
      </c>
      <c r="K1800" s="8">
        <f>financials[[#This Row],[Net Sales]]-financials[[#This Row],[COGS]]</f>
        <v>44.89</v>
      </c>
      <c r="L1800" s="15">
        <v>44050</v>
      </c>
      <c r="M1800" t="s">
        <v>691</v>
      </c>
    </row>
    <row r="1801" spans="1:13" x14ac:dyDescent="0.25">
      <c r="A1801" t="s">
        <v>86</v>
      </c>
      <c r="B1801" s="6" t="s">
        <v>268</v>
      </c>
      <c r="C1801" s="13">
        <v>102</v>
      </c>
      <c r="D1801" s="14" t="s">
        <v>83</v>
      </c>
      <c r="E1801">
        <v>18</v>
      </c>
      <c r="F1801" s="8">
        <f>VLOOKUP(financials[[#This Row],[productid]],Products!$B$2:$H$10,3)</f>
        <v>15</v>
      </c>
      <c r="G1801" s="8">
        <f>financials[[#This Row],[Units Sold]]*financials[[#This Row],[Sale Price]]</f>
        <v>270</v>
      </c>
      <c r="H1801" s="8">
        <f>IF(financials[[#This Row],[Discount Band]]="low",0.1,IF(financials[[#This Row],[Discount Band]]="medium",0.15,0.3))</f>
        <v>0.3</v>
      </c>
      <c r="I1801" s="8">
        <f>financials[[#This Row],[Gross Sales]]-financials[[#This Row],[Gross Sales]]*financials[[#This Row],[Discounts]]</f>
        <v>189</v>
      </c>
      <c r="J1801" s="8">
        <f>VLOOKUP(financials[[#This Row],[productid]],Products!$B$2:$H$10,4)</f>
        <v>13.95</v>
      </c>
      <c r="K1801" s="8">
        <f>financials[[#This Row],[Net Sales]]-financials[[#This Row],[COGS]]</f>
        <v>175.05</v>
      </c>
      <c r="L1801" s="15">
        <v>44737</v>
      </c>
      <c r="M1801" t="s">
        <v>700</v>
      </c>
    </row>
    <row r="1802" spans="1:13" x14ac:dyDescent="0.25">
      <c r="A1802" t="s">
        <v>86</v>
      </c>
      <c r="B1802" s="6" t="s">
        <v>545</v>
      </c>
      <c r="C1802" s="13">
        <v>109</v>
      </c>
      <c r="D1802" s="14" t="s">
        <v>83</v>
      </c>
      <c r="E1802">
        <v>20</v>
      </c>
      <c r="F1802" s="8">
        <f>VLOOKUP(financials[[#This Row],[productid]],Products!$B$2:$H$10,3)</f>
        <v>36</v>
      </c>
      <c r="G1802" s="8">
        <f>financials[[#This Row],[Units Sold]]*financials[[#This Row],[Sale Price]]</f>
        <v>720</v>
      </c>
      <c r="H1802" s="8">
        <f>IF(financials[[#This Row],[Discount Band]]="low",0.1,IF(financials[[#This Row],[Discount Band]]="medium",0.15,0.3))</f>
        <v>0.3</v>
      </c>
      <c r="I1802" s="8">
        <f>financials[[#This Row],[Gross Sales]]-financials[[#This Row],[Gross Sales]]*financials[[#This Row],[Discounts]]</f>
        <v>504</v>
      </c>
      <c r="J1802" s="8">
        <f>VLOOKUP(financials[[#This Row],[productid]],Products!$B$2:$H$10,4)</f>
        <v>16.8</v>
      </c>
      <c r="K1802" s="8">
        <f>financials[[#This Row],[Net Sales]]-financials[[#This Row],[COGS]]</f>
        <v>487.2</v>
      </c>
      <c r="L1802" s="15">
        <v>44264</v>
      </c>
      <c r="M1802" t="s">
        <v>700</v>
      </c>
    </row>
    <row r="1803" spans="1:13" x14ac:dyDescent="0.25">
      <c r="A1803" t="s">
        <v>86</v>
      </c>
      <c r="B1803" s="6" t="s">
        <v>94</v>
      </c>
      <c r="C1803" s="13">
        <v>108</v>
      </c>
      <c r="D1803" s="14" t="s">
        <v>90</v>
      </c>
      <c r="E1803">
        <v>12</v>
      </c>
      <c r="F1803" s="8">
        <f>VLOOKUP(financials[[#This Row],[productid]],Products!$B$2:$H$10,3)</f>
        <v>5.5</v>
      </c>
      <c r="G1803" s="8">
        <f>financials[[#This Row],[Units Sold]]*financials[[#This Row],[Sale Price]]</f>
        <v>66</v>
      </c>
      <c r="H1803" s="8">
        <f>IF(financials[[#This Row],[Discount Band]]="low",0.1,IF(financials[[#This Row],[Discount Band]]="medium",0.15,0.3))</f>
        <v>0.15</v>
      </c>
      <c r="I1803" s="8">
        <f>financials[[#This Row],[Gross Sales]]-financials[[#This Row],[Gross Sales]]*financials[[#This Row],[Discounts]]</f>
        <v>56.1</v>
      </c>
      <c r="J1803" s="8">
        <f>VLOOKUP(financials[[#This Row],[productid]],Products!$B$2:$H$10,4)</f>
        <v>3.99</v>
      </c>
      <c r="K1803" s="8">
        <f>financials[[#This Row],[Net Sales]]-financials[[#This Row],[COGS]]</f>
        <v>52.11</v>
      </c>
      <c r="L1803" s="15">
        <v>44297</v>
      </c>
      <c r="M1803" t="s">
        <v>696</v>
      </c>
    </row>
    <row r="1804" spans="1:13" x14ac:dyDescent="0.25">
      <c r="A1804" t="s">
        <v>86</v>
      </c>
      <c r="B1804" s="6" t="s">
        <v>167</v>
      </c>
      <c r="C1804" s="13">
        <v>108</v>
      </c>
      <c r="D1804" s="14" t="s">
        <v>91</v>
      </c>
      <c r="E1804">
        <v>7</v>
      </c>
      <c r="F1804" s="8">
        <f>VLOOKUP(financials[[#This Row],[productid]],Products!$B$2:$H$10,3)</f>
        <v>5.5</v>
      </c>
      <c r="G1804" s="8">
        <f>financials[[#This Row],[Units Sold]]*financials[[#This Row],[Sale Price]]</f>
        <v>38.5</v>
      </c>
      <c r="H1804" s="8">
        <f>IF(financials[[#This Row],[Discount Band]]="low",0.1,IF(financials[[#This Row],[Discount Band]]="medium",0.15,0.3))</f>
        <v>0.1</v>
      </c>
      <c r="I1804" s="8">
        <f>financials[[#This Row],[Gross Sales]]-financials[[#This Row],[Gross Sales]]*financials[[#This Row],[Discounts]]</f>
        <v>34.65</v>
      </c>
      <c r="J1804" s="8">
        <f>VLOOKUP(financials[[#This Row],[productid]],Products!$B$2:$H$10,4)</f>
        <v>3.99</v>
      </c>
      <c r="K1804" s="8">
        <f>financials[[#This Row],[Net Sales]]-financials[[#This Row],[COGS]]</f>
        <v>30.659999999999997</v>
      </c>
      <c r="L1804" s="15">
        <v>44568</v>
      </c>
      <c r="M1804" t="s">
        <v>700</v>
      </c>
    </row>
    <row r="1805" spans="1:13" x14ac:dyDescent="0.25">
      <c r="A1805" t="s">
        <v>86</v>
      </c>
      <c r="B1805" s="6" t="s">
        <v>84</v>
      </c>
      <c r="C1805" s="13">
        <v>103</v>
      </c>
      <c r="D1805" s="14" t="s">
        <v>83</v>
      </c>
      <c r="E1805">
        <v>8</v>
      </c>
      <c r="F1805" s="8">
        <f>VLOOKUP(financials[[#This Row],[productid]],Products!$B$2:$H$10,3)</f>
        <v>28</v>
      </c>
      <c r="G1805" s="8">
        <f>financials[[#This Row],[Units Sold]]*financials[[#This Row],[Sale Price]]</f>
        <v>224</v>
      </c>
      <c r="H1805" s="8">
        <f>IF(financials[[#This Row],[Discount Band]]="low",0.1,IF(financials[[#This Row],[Discount Band]]="medium",0.15,0.3))</f>
        <v>0.3</v>
      </c>
      <c r="I1805" s="8">
        <f>financials[[#This Row],[Gross Sales]]-financials[[#This Row],[Gross Sales]]*financials[[#This Row],[Discounts]]</f>
        <v>156.80000000000001</v>
      </c>
      <c r="J1805" s="8">
        <f>VLOOKUP(financials[[#This Row],[productid]],Products!$B$2:$H$10,4)</f>
        <v>15</v>
      </c>
      <c r="K1805" s="8">
        <f>financials[[#This Row],[Net Sales]]-financials[[#This Row],[COGS]]</f>
        <v>141.80000000000001</v>
      </c>
      <c r="L1805" s="15">
        <v>43905</v>
      </c>
      <c r="M1805" t="s">
        <v>697</v>
      </c>
    </row>
    <row r="1806" spans="1:13" x14ac:dyDescent="0.25">
      <c r="A1806" t="s">
        <v>86</v>
      </c>
      <c r="B1806" s="6" t="s">
        <v>84</v>
      </c>
      <c r="C1806" s="13">
        <v>108</v>
      </c>
      <c r="D1806" s="14" t="s">
        <v>90</v>
      </c>
      <c r="E1806">
        <v>14</v>
      </c>
      <c r="F1806" s="8">
        <f>VLOOKUP(financials[[#This Row],[productid]],Products!$B$2:$H$10,3)</f>
        <v>5.5</v>
      </c>
      <c r="G1806" s="8">
        <f>financials[[#This Row],[Units Sold]]*financials[[#This Row],[Sale Price]]</f>
        <v>77</v>
      </c>
      <c r="H1806" s="8">
        <f>IF(financials[[#This Row],[Discount Band]]="low",0.1,IF(financials[[#This Row],[Discount Band]]="medium",0.15,0.3))</f>
        <v>0.15</v>
      </c>
      <c r="I1806" s="8">
        <f>financials[[#This Row],[Gross Sales]]-financials[[#This Row],[Gross Sales]]*financials[[#This Row],[Discounts]]</f>
        <v>65.45</v>
      </c>
      <c r="J1806" s="8">
        <f>VLOOKUP(financials[[#This Row],[productid]],Products!$B$2:$H$10,4)</f>
        <v>3.99</v>
      </c>
      <c r="K1806" s="8">
        <f>financials[[#This Row],[Net Sales]]-financials[[#This Row],[COGS]]</f>
        <v>61.46</v>
      </c>
      <c r="L1806" s="15">
        <v>44236</v>
      </c>
      <c r="M1806" t="s">
        <v>691</v>
      </c>
    </row>
    <row r="1807" spans="1:13" x14ac:dyDescent="0.25">
      <c r="A1807" t="s">
        <v>85</v>
      </c>
      <c r="B1807" s="6" t="s">
        <v>205</v>
      </c>
      <c r="C1807" s="13">
        <v>101</v>
      </c>
      <c r="D1807" s="14" t="s">
        <v>90</v>
      </c>
      <c r="E1807">
        <v>12</v>
      </c>
      <c r="F1807" s="8">
        <f>VLOOKUP(financials[[#This Row],[productid]],Products!$B$2:$H$10,3)</f>
        <v>23</v>
      </c>
      <c r="G1807" s="8">
        <f>financials[[#This Row],[Units Sold]]*financials[[#This Row],[Sale Price]]</f>
        <v>276</v>
      </c>
      <c r="H1807" s="8">
        <f>IF(financials[[#This Row],[Discount Band]]="low",0.1,IF(financials[[#This Row],[Discount Band]]="medium",0.15,0.3))</f>
        <v>0.15</v>
      </c>
      <c r="I1807" s="8">
        <f>financials[[#This Row],[Gross Sales]]-financials[[#This Row],[Gross Sales]]*financials[[#This Row],[Discounts]]</f>
        <v>234.6</v>
      </c>
      <c r="J1807" s="8">
        <f>VLOOKUP(financials[[#This Row],[productid]],Products!$B$2:$H$10,4)</f>
        <v>9.9499999999999993</v>
      </c>
      <c r="K1807" s="8">
        <f>financials[[#This Row],[Net Sales]]-financials[[#This Row],[COGS]]</f>
        <v>224.65</v>
      </c>
      <c r="L1807" s="15">
        <v>45415</v>
      </c>
      <c r="M1807" t="s">
        <v>697</v>
      </c>
    </row>
    <row r="1808" spans="1:13" x14ac:dyDescent="0.25">
      <c r="A1808" t="s">
        <v>86</v>
      </c>
      <c r="B1808" s="6" t="s">
        <v>273</v>
      </c>
      <c r="C1808" s="13">
        <v>101</v>
      </c>
      <c r="D1808" s="14" t="s">
        <v>90</v>
      </c>
      <c r="E1808">
        <v>11</v>
      </c>
      <c r="F1808" s="8">
        <f>VLOOKUP(financials[[#This Row],[productid]],Products!$B$2:$H$10,3)</f>
        <v>23</v>
      </c>
      <c r="G1808" s="8">
        <f>financials[[#This Row],[Units Sold]]*financials[[#This Row],[Sale Price]]</f>
        <v>253</v>
      </c>
      <c r="H1808" s="8">
        <f>IF(financials[[#This Row],[Discount Band]]="low",0.1,IF(financials[[#This Row],[Discount Band]]="medium",0.15,0.3))</f>
        <v>0.15</v>
      </c>
      <c r="I1808" s="8">
        <f>financials[[#This Row],[Gross Sales]]-financials[[#This Row],[Gross Sales]]*financials[[#This Row],[Discounts]]</f>
        <v>215.05</v>
      </c>
      <c r="J1808" s="8">
        <f>VLOOKUP(financials[[#This Row],[productid]],Products!$B$2:$H$10,4)</f>
        <v>9.9499999999999993</v>
      </c>
      <c r="K1808" s="8">
        <f>financials[[#This Row],[Net Sales]]-financials[[#This Row],[COGS]]</f>
        <v>205.10000000000002</v>
      </c>
      <c r="L1808" s="15">
        <v>44920</v>
      </c>
      <c r="M1808" t="s">
        <v>691</v>
      </c>
    </row>
    <row r="1809" spans="1:13" x14ac:dyDescent="0.25">
      <c r="A1809" t="s">
        <v>86</v>
      </c>
      <c r="B1809" s="6" t="s">
        <v>167</v>
      </c>
      <c r="C1809" s="13">
        <v>102</v>
      </c>
      <c r="D1809" s="14" t="s">
        <v>92</v>
      </c>
      <c r="E1809">
        <v>8</v>
      </c>
      <c r="F1809" s="8">
        <f>VLOOKUP(financials[[#This Row],[productid]],Products!$B$2:$H$10,3)</f>
        <v>15</v>
      </c>
      <c r="G1809" s="8">
        <f>financials[[#This Row],[Units Sold]]*financials[[#This Row],[Sale Price]]</f>
        <v>120</v>
      </c>
      <c r="H1809" s="8">
        <f>IF(financials[[#This Row],[Discount Band]]="low",0.1,IF(financials[[#This Row],[Discount Band]]="medium",0.15,0.3))</f>
        <v>0.3</v>
      </c>
      <c r="I1809" s="8">
        <f>financials[[#This Row],[Gross Sales]]-financials[[#This Row],[Gross Sales]]*financials[[#This Row],[Discounts]]</f>
        <v>84</v>
      </c>
      <c r="J1809" s="8">
        <f>VLOOKUP(financials[[#This Row],[productid]],Products!$B$2:$H$10,4)</f>
        <v>13.95</v>
      </c>
      <c r="K1809" s="8">
        <f>financials[[#This Row],[Net Sales]]-financials[[#This Row],[COGS]]</f>
        <v>70.05</v>
      </c>
      <c r="L1809" s="15">
        <v>44748</v>
      </c>
      <c r="M1809" t="s">
        <v>696</v>
      </c>
    </row>
    <row r="1810" spans="1:13" x14ac:dyDescent="0.25">
      <c r="A1810" t="s">
        <v>86</v>
      </c>
      <c r="B1810" s="6" t="s">
        <v>159</v>
      </c>
      <c r="C1810" s="13">
        <v>106</v>
      </c>
      <c r="D1810" s="14" t="s">
        <v>91</v>
      </c>
      <c r="E1810">
        <v>5</v>
      </c>
      <c r="F1810" s="8">
        <f>VLOOKUP(financials[[#This Row],[productid]],Products!$B$2:$H$10,3)</f>
        <v>25</v>
      </c>
      <c r="G1810" s="8">
        <f>financials[[#This Row],[Units Sold]]*financials[[#This Row],[Sale Price]]</f>
        <v>125</v>
      </c>
      <c r="H1810" s="8">
        <f>IF(financials[[#This Row],[Discount Band]]="low",0.1,IF(financials[[#This Row],[Discount Band]]="medium",0.15,0.3))</f>
        <v>0.1</v>
      </c>
      <c r="I1810" s="8">
        <f>financials[[#This Row],[Gross Sales]]-financials[[#This Row],[Gross Sales]]*financials[[#This Row],[Discounts]]</f>
        <v>112.5</v>
      </c>
      <c r="J1810" s="8">
        <f>VLOOKUP(financials[[#This Row],[productid]],Products!$B$2:$H$10,4)</f>
        <v>9.1</v>
      </c>
      <c r="K1810" s="8">
        <f>financials[[#This Row],[Net Sales]]-financials[[#This Row],[COGS]]</f>
        <v>103.4</v>
      </c>
      <c r="L1810" s="15">
        <v>44430</v>
      </c>
      <c r="M1810" t="s">
        <v>691</v>
      </c>
    </row>
    <row r="1811" spans="1:13" x14ac:dyDescent="0.25">
      <c r="A1811" t="s">
        <v>89</v>
      </c>
      <c r="B1811" s="6" t="s">
        <v>198</v>
      </c>
      <c r="C1811" s="11">
        <v>108</v>
      </c>
      <c r="D1811" s="9" t="s">
        <v>83</v>
      </c>
      <c r="E1811">
        <v>16</v>
      </c>
      <c r="F1811" s="8">
        <f>VLOOKUP(financials[[#This Row],[productid]],Products!$B$2:$H$10,3)</f>
        <v>5.5</v>
      </c>
      <c r="G1811" s="8">
        <f>financials[[#This Row],[Units Sold]]*financials[[#This Row],[Sale Price]]</f>
        <v>88</v>
      </c>
      <c r="H1811" s="8">
        <f>IF(financials[[#This Row],[Discount Band]]="low",0.1,IF(financials[[#This Row],[Discount Band]]="medium",0.15,0.3))</f>
        <v>0.3</v>
      </c>
      <c r="I1811" s="8">
        <f>financials[[#This Row],[Gross Sales]]-financials[[#This Row],[Gross Sales]]*financials[[#This Row],[Discounts]]</f>
        <v>61.6</v>
      </c>
      <c r="J1811" s="8">
        <f>VLOOKUP(financials[[#This Row],[productid]],Products!$B$2:$H$10,4)</f>
        <v>3.99</v>
      </c>
      <c r="K1811" s="8">
        <f>financials[[#This Row],[Net Sales]]-financials[[#This Row],[COGS]]</f>
        <v>57.61</v>
      </c>
      <c r="L1811" s="15">
        <v>45306</v>
      </c>
      <c r="M1811" t="s">
        <v>700</v>
      </c>
    </row>
    <row r="1812" spans="1:13" x14ac:dyDescent="0.25">
      <c r="A1812" t="s">
        <v>86</v>
      </c>
      <c r="B1812" s="6" t="s">
        <v>268</v>
      </c>
      <c r="C1812" s="13">
        <v>104</v>
      </c>
      <c r="D1812" s="14" t="s">
        <v>90</v>
      </c>
      <c r="E1812">
        <v>16</v>
      </c>
      <c r="F1812" s="8">
        <f>VLOOKUP(financials[[#This Row],[productid]],Products!$B$2:$H$10,3)</f>
        <v>5.9</v>
      </c>
      <c r="G1812" s="8">
        <f>financials[[#This Row],[Units Sold]]*financials[[#This Row],[Sale Price]]</f>
        <v>94.4</v>
      </c>
      <c r="H1812" s="8">
        <f>IF(financials[[#This Row],[Discount Band]]="low",0.1,IF(financials[[#This Row],[Discount Band]]="medium",0.15,0.3))</f>
        <v>0.15</v>
      </c>
      <c r="I1812" s="8">
        <f>financials[[#This Row],[Gross Sales]]-financials[[#This Row],[Gross Sales]]*financials[[#This Row],[Discounts]]</f>
        <v>80.240000000000009</v>
      </c>
      <c r="J1812" s="8">
        <f>VLOOKUP(financials[[#This Row],[productid]],Products!$B$2:$H$10,4)</f>
        <v>2.9</v>
      </c>
      <c r="K1812" s="8">
        <f>financials[[#This Row],[Net Sales]]-financials[[#This Row],[COGS]]</f>
        <v>77.34</v>
      </c>
      <c r="L1812" s="15">
        <v>44130</v>
      </c>
      <c r="M1812" t="s">
        <v>690</v>
      </c>
    </row>
    <row r="1813" spans="1:13" x14ac:dyDescent="0.25">
      <c r="A1813" t="s">
        <v>86</v>
      </c>
      <c r="B1813" s="6" t="s">
        <v>276</v>
      </c>
      <c r="C1813" s="13">
        <v>101</v>
      </c>
      <c r="D1813" s="14" t="s">
        <v>90</v>
      </c>
      <c r="E1813">
        <v>15</v>
      </c>
      <c r="F1813" s="8">
        <f>VLOOKUP(financials[[#This Row],[productid]],Products!$B$2:$H$10,3)</f>
        <v>23</v>
      </c>
      <c r="G1813" s="8">
        <f>financials[[#This Row],[Units Sold]]*financials[[#This Row],[Sale Price]]</f>
        <v>345</v>
      </c>
      <c r="H1813" s="8">
        <f>IF(financials[[#This Row],[Discount Band]]="low",0.1,IF(financials[[#This Row],[Discount Band]]="medium",0.15,0.3))</f>
        <v>0.15</v>
      </c>
      <c r="I1813" s="8">
        <f>financials[[#This Row],[Gross Sales]]-financials[[#This Row],[Gross Sales]]*financials[[#This Row],[Discounts]]</f>
        <v>293.25</v>
      </c>
      <c r="J1813" s="8">
        <f>VLOOKUP(financials[[#This Row],[productid]],Products!$B$2:$H$10,4)</f>
        <v>9.9499999999999993</v>
      </c>
      <c r="K1813" s="8">
        <f>financials[[#This Row],[Net Sales]]-financials[[#This Row],[COGS]]</f>
        <v>283.3</v>
      </c>
      <c r="L1813" s="15">
        <v>44847</v>
      </c>
      <c r="M1813" t="s">
        <v>697</v>
      </c>
    </row>
    <row r="1814" spans="1:13" x14ac:dyDescent="0.25">
      <c r="A1814" t="s">
        <v>86</v>
      </c>
      <c r="B1814" s="6" t="s">
        <v>276</v>
      </c>
      <c r="C1814" s="13">
        <v>103</v>
      </c>
      <c r="D1814" s="14" t="s">
        <v>83</v>
      </c>
      <c r="E1814">
        <v>11</v>
      </c>
      <c r="F1814" s="8">
        <f>VLOOKUP(financials[[#This Row],[productid]],Products!$B$2:$H$10,3)</f>
        <v>28</v>
      </c>
      <c r="G1814" s="8">
        <f>financials[[#This Row],[Units Sold]]*financials[[#This Row],[Sale Price]]</f>
        <v>308</v>
      </c>
      <c r="H1814" s="8">
        <f>IF(financials[[#This Row],[Discount Band]]="low",0.1,IF(financials[[#This Row],[Discount Band]]="medium",0.15,0.3))</f>
        <v>0.3</v>
      </c>
      <c r="I1814" s="8">
        <f>financials[[#This Row],[Gross Sales]]-financials[[#This Row],[Gross Sales]]*financials[[#This Row],[Discounts]]</f>
        <v>215.60000000000002</v>
      </c>
      <c r="J1814" s="8">
        <f>VLOOKUP(financials[[#This Row],[productid]],Products!$B$2:$H$10,4)</f>
        <v>15</v>
      </c>
      <c r="K1814" s="8">
        <f>financials[[#This Row],[Net Sales]]-financials[[#This Row],[COGS]]</f>
        <v>200.60000000000002</v>
      </c>
      <c r="L1814" s="15">
        <v>45619</v>
      </c>
      <c r="M1814" t="s">
        <v>697</v>
      </c>
    </row>
    <row r="1815" spans="1:13" x14ac:dyDescent="0.25">
      <c r="A1815" t="s">
        <v>89</v>
      </c>
      <c r="B1815" s="6" t="s">
        <v>205</v>
      </c>
      <c r="C1815" s="13">
        <v>107</v>
      </c>
      <c r="D1815" s="14" t="s">
        <v>90</v>
      </c>
      <c r="E1815">
        <v>18</v>
      </c>
      <c r="F1815" s="8">
        <f>VLOOKUP(financials[[#This Row],[productid]],Products!$B$2:$H$10,3)</f>
        <v>15</v>
      </c>
      <c r="G1815" s="8">
        <f>financials[[#This Row],[Units Sold]]*financials[[#This Row],[Sale Price]]</f>
        <v>270</v>
      </c>
      <c r="H1815" s="8">
        <f>IF(financials[[#This Row],[Discount Band]]="low",0.1,IF(financials[[#This Row],[Discount Band]]="medium",0.15,0.3))</f>
        <v>0.15</v>
      </c>
      <c r="I1815" s="8">
        <f>financials[[#This Row],[Gross Sales]]-financials[[#This Row],[Gross Sales]]*financials[[#This Row],[Discounts]]</f>
        <v>229.5</v>
      </c>
      <c r="J1815" s="8">
        <f>VLOOKUP(financials[[#This Row],[productid]],Products!$B$2:$H$10,4)</f>
        <v>5.5</v>
      </c>
      <c r="K1815" s="8">
        <f>financials[[#This Row],[Net Sales]]-financials[[#This Row],[COGS]]</f>
        <v>224</v>
      </c>
      <c r="L1815" s="15">
        <v>45412</v>
      </c>
      <c r="M1815" t="s">
        <v>700</v>
      </c>
    </row>
    <row r="1816" spans="1:13" x14ac:dyDescent="0.25">
      <c r="A1816" t="s">
        <v>86</v>
      </c>
      <c r="B1816" s="6" t="s">
        <v>84</v>
      </c>
      <c r="C1816" s="13">
        <v>108</v>
      </c>
      <c r="D1816" s="14" t="s">
        <v>90</v>
      </c>
      <c r="E1816">
        <v>7</v>
      </c>
      <c r="F1816" s="8">
        <f>VLOOKUP(financials[[#This Row],[productid]],Products!$B$2:$H$10,3)</f>
        <v>5.5</v>
      </c>
      <c r="G1816" s="8">
        <f>financials[[#This Row],[Units Sold]]*financials[[#This Row],[Sale Price]]</f>
        <v>38.5</v>
      </c>
      <c r="H1816" s="8">
        <f>IF(financials[[#This Row],[Discount Band]]="low",0.1,IF(financials[[#This Row],[Discount Band]]="medium",0.15,0.3))</f>
        <v>0.15</v>
      </c>
      <c r="I1816" s="8">
        <f>financials[[#This Row],[Gross Sales]]-financials[[#This Row],[Gross Sales]]*financials[[#This Row],[Discounts]]</f>
        <v>32.725000000000001</v>
      </c>
      <c r="J1816" s="8">
        <f>VLOOKUP(financials[[#This Row],[productid]],Products!$B$2:$H$10,4)</f>
        <v>3.99</v>
      </c>
      <c r="K1816" s="8">
        <f>financials[[#This Row],[Net Sales]]-financials[[#This Row],[COGS]]</f>
        <v>28.734999999999999</v>
      </c>
      <c r="L1816" s="15">
        <v>44858</v>
      </c>
      <c r="M1816" t="s">
        <v>700</v>
      </c>
    </row>
    <row r="1817" spans="1:13" x14ac:dyDescent="0.25">
      <c r="A1817" t="s">
        <v>86</v>
      </c>
      <c r="B1817" s="6" t="s">
        <v>273</v>
      </c>
      <c r="C1817" s="13">
        <v>105</v>
      </c>
      <c r="D1817" s="14" t="s">
        <v>90</v>
      </c>
      <c r="E1817">
        <v>9</v>
      </c>
      <c r="F1817" s="8">
        <f>VLOOKUP(financials[[#This Row],[productid]],Products!$B$2:$H$10,3)</f>
        <v>15</v>
      </c>
      <c r="G1817" s="8">
        <f>financials[[#This Row],[Units Sold]]*financials[[#This Row],[Sale Price]]</f>
        <v>135</v>
      </c>
      <c r="H1817" s="8">
        <f>IF(financials[[#This Row],[Discount Band]]="low",0.1,IF(financials[[#This Row],[Discount Band]]="medium",0.15,0.3))</f>
        <v>0.15</v>
      </c>
      <c r="I1817" s="8">
        <f>financials[[#This Row],[Gross Sales]]-financials[[#This Row],[Gross Sales]]*financials[[#This Row],[Discounts]]</f>
        <v>114.75</v>
      </c>
      <c r="J1817" s="8">
        <f>VLOOKUP(financials[[#This Row],[productid]],Products!$B$2:$H$10,4)</f>
        <v>10</v>
      </c>
      <c r="K1817" s="8">
        <f>financials[[#This Row],[Net Sales]]-financials[[#This Row],[COGS]]</f>
        <v>104.75</v>
      </c>
      <c r="L1817" s="15">
        <v>44992</v>
      </c>
      <c r="M1817" t="s">
        <v>691</v>
      </c>
    </row>
    <row r="1818" spans="1:13" x14ac:dyDescent="0.25">
      <c r="A1818" t="s">
        <v>86</v>
      </c>
      <c r="B1818" s="6" t="s">
        <v>205</v>
      </c>
      <c r="C1818" s="13">
        <v>108</v>
      </c>
      <c r="D1818" s="14" t="s">
        <v>91</v>
      </c>
      <c r="E1818">
        <v>14</v>
      </c>
      <c r="F1818" s="8">
        <f>VLOOKUP(financials[[#This Row],[productid]],Products!$B$2:$H$10,3)</f>
        <v>5.5</v>
      </c>
      <c r="G1818" s="8">
        <f>financials[[#This Row],[Units Sold]]*financials[[#This Row],[Sale Price]]</f>
        <v>77</v>
      </c>
      <c r="H1818" s="8">
        <f>IF(financials[[#This Row],[Discount Band]]="low",0.1,IF(financials[[#This Row],[Discount Band]]="medium",0.15,0.3))</f>
        <v>0.1</v>
      </c>
      <c r="I1818" s="8">
        <f>financials[[#This Row],[Gross Sales]]-financials[[#This Row],[Gross Sales]]*financials[[#This Row],[Discounts]]</f>
        <v>69.3</v>
      </c>
      <c r="J1818" s="8">
        <f>VLOOKUP(financials[[#This Row],[productid]],Products!$B$2:$H$10,4)</f>
        <v>3.99</v>
      </c>
      <c r="K1818" s="8">
        <f>financials[[#This Row],[Net Sales]]-financials[[#This Row],[COGS]]</f>
        <v>65.31</v>
      </c>
      <c r="L1818" s="15">
        <v>45510</v>
      </c>
      <c r="M1818" t="s">
        <v>700</v>
      </c>
    </row>
    <row r="1819" spans="1:13" x14ac:dyDescent="0.25">
      <c r="A1819" t="s">
        <v>86</v>
      </c>
      <c r="B1819" s="6" t="s">
        <v>159</v>
      </c>
      <c r="C1819" s="13">
        <v>101</v>
      </c>
      <c r="D1819" s="14" t="s">
        <v>83</v>
      </c>
      <c r="E1819">
        <v>19</v>
      </c>
      <c r="F1819" s="8">
        <f>VLOOKUP(financials[[#This Row],[productid]],Products!$B$2:$H$10,3)</f>
        <v>23</v>
      </c>
      <c r="G1819" s="8">
        <f>financials[[#This Row],[Units Sold]]*financials[[#This Row],[Sale Price]]</f>
        <v>437</v>
      </c>
      <c r="H1819" s="8">
        <f>IF(financials[[#This Row],[Discount Band]]="low",0.1,IF(financials[[#This Row],[Discount Band]]="medium",0.15,0.3))</f>
        <v>0.3</v>
      </c>
      <c r="I1819" s="8">
        <f>financials[[#This Row],[Gross Sales]]-financials[[#This Row],[Gross Sales]]*financials[[#This Row],[Discounts]]</f>
        <v>305.89999999999998</v>
      </c>
      <c r="J1819" s="8">
        <f>VLOOKUP(financials[[#This Row],[productid]],Products!$B$2:$H$10,4)</f>
        <v>9.9499999999999993</v>
      </c>
      <c r="K1819" s="8">
        <f>financials[[#This Row],[Net Sales]]-financials[[#This Row],[COGS]]</f>
        <v>295.95</v>
      </c>
      <c r="L1819" s="15">
        <v>44133</v>
      </c>
      <c r="M1819" t="s">
        <v>696</v>
      </c>
    </row>
    <row r="1820" spans="1:13" x14ac:dyDescent="0.25">
      <c r="A1820" t="s">
        <v>86</v>
      </c>
      <c r="B1820" s="6" t="s">
        <v>84</v>
      </c>
      <c r="C1820" s="13">
        <v>108</v>
      </c>
      <c r="D1820" s="14" t="s">
        <v>83</v>
      </c>
      <c r="E1820">
        <v>6</v>
      </c>
      <c r="F1820" s="8">
        <f>VLOOKUP(financials[[#This Row],[productid]],Products!$B$2:$H$10,3)</f>
        <v>5.5</v>
      </c>
      <c r="G1820" s="8">
        <f>financials[[#This Row],[Units Sold]]*financials[[#This Row],[Sale Price]]</f>
        <v>33</v>
      </c>
      <c r="H1820" s="8">
        <f>IF(financials[[#This Row],[Discount Band]]="low",0.1,IF(financials[[#This Row],[Discount Band]]="medium",0.15,0.3))</f>
        <v>0.3</v>
      </c>
      <c r="I1820" s="8">
        <f>financials[[#This Row],[Gross Sales]]-financials[[#This Row],[Gross Sales]]*financials[[#This Row],[Discounts]]</f>
        <v>23.1</v>
      </c>
      <c r="J1820" s="8">
        <f>VLOOKUP(financials[[#This Row],[productid]],Products!$B$2:$H$10,4)</f>
        <v>3.99</v>
      </c>
      <c r="K1820" s="8">
        <f>financials[[#This Row],[Net Sales]]-financials[[#This Row],[COGS]]</f>
        <v>19.11</v>
      </c>
      <c r="L1820" s="15">
        <v>45106</v>
      </c>
      <c r="M1820" t="s">
        <v>700</v>
      </c>
    </row>
    <row r="1821" spans="1:13" x14ac:dyDescent="0.25">
      <c r="A1821" t="s">
        <v>86</v>
      </c>
      <c r="B1821" s="6" t="s">
        <v>94</v>
      </c>
      <c r="C1821" s="13">
        <v>104</v>
      </c>
      <c r="D1821" s="14" t="s">
        <v>91</v>
      </c>
      <c r="E1821">
        <v>9</v>
      </c>
      <c r="F1821" s="8">
        <f>VLOOKUP(financials[[#This Row],[productid]],Products!$B$2:$H$10,3)</f>
        <v>5.9</v>
      </c>
      <c r="G1821" s="8">
        <f>financials[[#This Row],[Units Sold]]*financials[[#This Row],[Sale Price]]</f>
        <v>53.1</v>
      </c>
      <c r="H1821" s="8">
        <f>IF(financials[[#This Row],[Discount Band]]="low",0.1,IF(financials[[#This Row],[Discount Band]]="medium",0.15,0.3))</f>
        <v>0.1</v>
      </c>
      <c r="I1821" s="8">
        <f>financials[[#This Row],[Gross Sales]]-financials[[#This Row],[Gross Sales]]*financials[[#This Row],[Discounts]]</f>
        <v>47.79</v>
      </c>
      <c r="J1821" s="8">
        <f>VLOOKUP(financials[[#This Row],[productid]],Products!$B$2:$H$10,4)</f>
        <v>2.9</v>
      </c>
      <c r="K1821" s="8">
        <f>financials[[#This Row],[Net Sales]]-financials[[#This Row],[COGS]]</f>
        <v>44.89</v>
      </c>
      <c r="L1821" s="15">
        <v>45371</v>
      </c>
      <c r="M1821" t="s">
        <v>690</v>
      </c>
    </row>
    <row r="1822" spans="1:13" x14ac:dyDescent="0.25">
      <c r="A1822" t="s">
        <v>89</v>
      </c>
      <c r="B1822" s="6" t="s">
        <v>276</v>
      </c>
      <c r="C1822" s="13">
        <v>101</v>
      </c>
      <c r="D1822" s="14" t="s">
        <v>92</v>
      </c>
      <c r="E1822">
        <v>14</v>
      </c>
      <c r="F1822" s="8">
        <f>VLOOKUP(financials[[#This Row],[productid]],Products!$B$2:$H$10,3)</f>
        <v>23</v>
      </c>
      <c r="G1822" s="8">
        <f>financials[[#This Row],[Units Sold]]*financials[[#This Row],[Sale Price]]</f>
        <v>322</v>
      </c>
      <c r="H1822" s="8">
        <f>IF(financials[[#This Row],[Discount Band]]="low",0.1,IF(financials[[#This Row],[Discount Band]]="medium",0.15,0.3))</f>
        <v>0.3</v>
      </c>
      <c r="I1822" s="8">
        <f>financials[[#This Row],[Gross Sales]]-financials[[#This Row],[Gross Sales]]*financials[[#This Row],[Discounts]]</f>
        <v>225.4</v>
      </c>
      <c r="J1822" s="8">
        <f>VLOOKUP(financials[[#This Row],[productid]],Products!$B$2:$H$10,4)</f>
        <v>9.9499999999999993</v>
      </c>
      <c r="K1822" s="8">
        <f>financials[[#This Row],[Net Sales]]-financials[[#This Row],[COGS]]</f>
        <v>215.45000000000002</v>
      </c>
      <c r="L1822" s="15">
        <v>44671</v>
      </c>
      <c r="M1822" t="s">
        <v>697</v>
      </c>
    </row>
    <row r="1823" spans="1:13" x14ac:dyDescent="0.25">
      <c r="A1823" t="s">
        <v>86</v>
      </c>
      <c r="B1823" s="6" t="s">
        <v>95</v>
      </c>
      <c r="C1823" s="11">
        <v>101</v>
      </c>
      <c r="D1823" s="9" t="s">
        <v>90</v>
      </c>
      <c r="E1823">
        <v>5</v>
      </c>
      <c r="F1823" s="8">
        <f>VLOOKUP(financials[[#This Row],[productid]],Products!$B$2:$H$10,3)</f>
        <v>23</v>
      </c>
      <c r="G1823" s="8">
        <f>financials[[#This Row],[Units Sold]]*financials[[#This Row],[Sale Price]]</f>
        <v>115</v>
      </c>
      <c r="H1823" s="8">
        <f>IF(financials[[#This Row],[Discount Band]]="low",0.1,IF(financials[[#This Row],[Discount Band]]="medium",0.15,0.3))</f>
        <v>0.15</v>
      </c>
      <c r="I1823" s="8">
        <f>financials[[#This Row],[Gross Sales]]-financials[[#This Row],[Gross Sales]]*financials[[#This Row],[Discounts]]</f>
        <v>97.75</v>
      </c>
      <c r="J1823" s="8">
        <f>VLOOKUP(financials[[#This Row],[productid]],Products!$B$2:$H$10,4)</f>
        <v>9.9499999999999993</v>
      </c>
      <c r="K1823" s="8">
        <f>financials[[#This Row],[Net Sales]]-financials[[#This Row],[COGS]]</f>
        <v>87.8</v>
      </c>
      <c r="L1823" s="15">
        <v>44747</v>
      </c>
      <c r="M1823" t="s">
        <v>697</v>
      </c>
    </row>
    <row r="1824" spans="1:13" x14ac:dyDescent="0.25">
      <c r="A1824" t="s">
        <v>86</v>
      </c>
      <c r="B1824" s="6" t="s">
        <v>84</v>
      </c>
      <c r="C1824" s="13">
        <v>103</v>
      </c>
      <c r="D1824" s="14" t="s">
        <v>90</v>
      </c>
      <c r="E1824">
        <v>7</v>
      </c>
      <c r="F1824" s="8">
        <f>VLOOKUP(financials[[#This Row],[productid]],Products!$B$2:$H$10,3)</f>
        <v>28</v>
      </c>
      <c r="G1824" s="8">
        <f>financials[[#This Row],[Units Sold]]*financials[[#This Row],[Sale Price]]</f>
        <v>196</v>
      </c>
      <c r="H1824" s="8">
        <f>IF(financials[[#This Row],[Discount Band]]="low",0.1,IF(financials[[#This Row],[Discount Band]]="medium",0.15,0.3))</f>
        <v>0.15</v>
      </c>
      <c r="I1824" s="8">
        <f>financials[[#This Row],[Gross Sales]]-financials[[#This Row],[Gross Sales]]*financials[[#This Row],[Discounts]]</f>
        <v>166.6</v>
      </c>
      <c r="J1824" s="8">
        <f>VLOOKUP(financials[[#This Row],[productid]],Products!$B$2:$H$10,4)</f>
        <v>15</v>
      </c>
      <c r="K1824" s="8">
        <f>financials[[#This Row],[Net Sales]]-financials[[#This Row],[COGS]]</f>
        <v>151.6</v>
      </c>
      <c r="L1824" s="15">
        <v>45005</v>
      </c>
      <c r="M1824" t="s">
        <v>696</v>
      </c>
    </row>
    <row r="1825" spans="1:13" x14ac:dyDescent="0.25">
      <c r="A1825" t="s">
        <v>86</v>
      </c>
      <c r="B1825" s="6" t="s">
        <v>159</v>
      </c>
      <c r="C1825" s="13">
        <v>108</v>
      </c>
      <c r="D1825" s="14" t="s">
        <v>90</v>
      </c>
      <c r="E1825">
        <v>15</v>
      </c>
      <c r="F1825" s="8">
        <f>VLOOKUP(financials[[#This Row],[productid]],Products!$B$2:$H$10,3)</f>
        <v>5.5</v>
      </c>
      <c r="G1825" s="8">
        <f>financials[[#This Row],[Units Sold]]*financials[[#This Row],[Sale Price]]</f>
        <v>82.5</v>
      </c>
      <c r="H1825" s="8">
        <f>IF(financials[[#This Row],[Discount Band]]="low",0.1,IF(financials[[#This Row],[Discount Band]]="medium",0.15,0.3))</f>
        <v>0.15</v>
      </c>
      <c r="I1825" s="8">
        <f>financials[[#This Row],[Gross Sales]]-financials[[#This Row],[Gross Sales]]*financials[[#This Row],[Discounts]]</f>
        <v>70.125</v>
      </c>
      <c r="J1825" s="8">
        <f>VLOOKUP(financials[[#This Row],[productid]],Products!$B$2:$H$10,4)</f>
        <v>3.99</v>
      </c>
      <c r="K1825" s="8">
        <f>financials[[#This Row],[Net Sales]]-financials[[#This Row],[COGS]]</f>
        <v>66.135000000000005</v>
      </c>
      <c r="L1825" s="15">
        <v>44841</v>
      </c>
      <c r="M1825" t="s">
        <v>700</v>
      </c>
    </row>
    <row r="1826" spans="1:13" x14ac:dyDescent="0.25">
      <c r="A1826" t="s">
        <v>86</v>
      </c>
      <c r="B1826" s="6" t="s">
        <v>198</v>
      </c>
      <c r="C1826" s="13">
        <v>101</v>
      </c>
      <c r="D1826" s="14" t="s">
        <v>83</v>
      </c>
      <c r="E1826">
        <v>13</v>
      </c>
      <c r="F1826" s="8">
        <f>VLOOKUP(financials[[#This Row],[productid]],Products!$B$2:$H$10,3)</f>
        <v>23</v>
      </c>
      <c r="G1826" s="8">
        <f>financials[[#This Row],[Units Sold]]*financials[[#This Row],[Sale Price]]</f>
        <v>299</v>
      </c>
      <c r="H1826" s="8">
        <f>IF(financials[[#This Row],[Discount Band]]="low",0.1,IF(financials[[#This Row],[Discount Band]]="medium",0.15,0.3))</f>
        <v>0.3</v>
      </c>
      <c r="I1826" s="8">
        <f>financials[[#This Row],[Gross Sales]]-financials[[#This Row],[Gross Sales]]*financials[[#This Row],[Discounts]]</f>
        <v>209.3</v>
      </c>
      <c r="J1826" s="8">
        <f>VLOOKUP(financials[[#This Row],[productid]],Products!$B$2:$H$10,4)</f>
        <v>9.9499999999999993</v>
      </c>
      <c r="K1826" s="8">
        <f>financials[[#This Row],[Net Sales]]-financials[[#This Row],[COGS]]</f>
        <v>199.35000000000002</v>
      </c>
      <c r="L1826" s="15">
        <v>45082</v>
      </c>
      <c r="M1826" t="s">
        <v>691</v>
      </c>
    </row>
    <row r="1827" spans="1:13" x14ac:dyDescent="0.25">
      <c r="A1827" t="s">
        <v>86</v>
      </c>
      <c r="B1827" s="6" t="s">
        <v>159</v>
      </c>
      <c r="C1827" s="11">
        <v>103</v>
      </c>
      <c r="D1827" s="9" t="s">
        <v>90</v>
      </c>
      <c r="E1827">
        <v>20</v>
      </c>
      <c r="F1827" s="8">
        <f>VLOOKUP(financials[[#This Row],[productid]],Products!$B$2:$H$10,3)</f>
        <v>28</v>
      </c>
      <c r="G1827" s="8">
        <f>financials[[#This Row],[Units Sold]]*financials[[#This Row],[Sale Price]]</f>
        <v>560</v>
      </c>
      <c r="H1827" s="8">
        <f>IF(financials[[#This Row],[Discount Band]]="low",0.1,IF(financials[[#This Row],[Discount Band]]="medium",0.15,0.3))</f>
        <v>0.15</v>
      </c>
      <c r="I1827" s="8">
        <f>financials[[#This Row],[Gross Sales]]-financials[[#This Row],[Gross Sales]]*financials[[#This Row],[Discounts]]</f>
        <v>476</v>
      </c>
      <c r="J1827" s="8">
        <f>VLOOKUP(financials[[#This Row],[productid]],Products!$B$2:$H$10,4)</f>
        <v>15</v>
      </c>
      <c r="K1827" s="8">
        <f>financials[[#This Row],[Net Sales]]-financials[[#This Row],[COGS]]</f>
        <v>461</v>
      </c>
      <c r="L1827" s="15">
        <v>45468</v>
      </c>
      <c r="M1827" t="s">
        <v>691</v>
      </c>
    </row>
    <row r="1828" spans="1:13" x14ac:dyDescent="0.25">
      <c r="A1828" t="s">
        <v>87</v>
      </c>
      <c r="B1828" s="6" t="s">
        <v>266</v>
      </c>
      <c r="C1828" s="13">
        <v>103</v>
      </c>
      <c r="D1828" s="14" t="s">
        <v>92</v>
      </c>
      <c r="E1828">
        <v>16</v>
      </c>
      <c r="F1828" s="8">
        <f>VLOOKUP(financials[[#This Row],[productid]],Products!$B$2:$H$10,3)</f>
        <v>28</v>
      </c>
      <c r="G1828" s="8">
        <f>financials[[#This Row],[Units Sold]]*financials[[#This Row],[Sale Price]]</f>
        <v>448</v>
      </c>
      <c r="H1828" s="8">
        <f>IF(financials[[#This Row],[Discount Band]]="low",0.1,IF(financials[[#This Row],[Discount Band]]="medium",0.15,0.3))</f>
        <v>0.3</v>
      </c>
      <c r="I1828" s="8">
        <f>financials[[#This Row],[Gross Sales]]-financials[[#This Row],[Gross Sales]]*financials[[#This Row],[Discounts]]</f>
        <v>313.60000000000002</v>
      </c>
      <c r="J1828" s="8">
        <f>VLOOKUP(financials[[#This Row],[productid]],Products!$B$2:$H$10,4)</f>
        <v>15</v>
      </c>
      <c r="K1828" s="8">
        <f>financials[[#This Row],[Net Sales]]-financials[[#This Row],[COGS]]</f>
        <v>298.60000000000002</v>
      </c>
      <c r="L1828" s="15">
        <v>45534</v>
      </c>
      <c r="M1828" t="s">
        <v>700</v>
      </c>
    </row>
    <row r="1829" spans="1:13" x14ac:dyDescent="0.25">
      <c r="A1829" t="s">
        <v>86</v>
      </c>
      <c r="B1829" s="6" t="s">
        <v>198</v>
      </c>
      <c r="C1829" s="13">
        <v>104</v>
      </c>
      <c r="D1829" s="14" t="s">
        <v>83</v>
      </c>
      <c r="E1829">
        <v>16</v>
      </c>
      <c r="F1829" s="8">
        <f>VLOOKUP(financials[[#This Row],[productid]],Products!$B$2:$H$10,3)</f>
        <v>5.9</v>
      </c>
      <c r="G1829" s="8">
        <f>financials[[#This Row],[Units Sold]]*financials[[#This Row],[Sale Price]]</f>
        <v>94.4</v>
      </c>
      <c r="H1829" s="8">
        <f>IF(financials[[#This Row],[Discount Band]]="low",0.1,IF(financials[[#This Row],[Discount Band]]="medium",0.15,0.3))</f>
        <v>0.3</v>
      </c>
      <c r="I1829" s="8">
        <f>financials[[#This Row],[Gross Sales]]-financials[[#This Row],[Gross Sales]]*financials[[#This Row],[Discounts]]</f>
        <v>66.080000000000013</v>
      </c>
      <c r="J1829" s="8">
        <f>VLOOKUP(financials[[#This Row],[productid]],Products!$B$2:$H$10,4)</f>
        <v>2.9</v>
      </c>
      <c r="K1829" s="8">
        <f>financials[[#This Row],[Net Sales]]-financials[[#This Row],[COGS]]</f>
        <v>63.180000000000014</v>
      </c>
      <c r="L1829" s="15">
        <v>44660</v>
      </c>
      <c r="M1829" t="s">
        <v>691</v>
      </c>
    </row>
    <row r="1830" spans="1:13" x14ac:dyDescent="0.25">
      <c r="A1830" t="s">
        <v>86</v>
      </c>
      <c r="B1830" s="6" t="s">
        <v>84</v>
      </c>
      <c r="C1830" s="13">
        <v>106</v>
      </c>
      <c r="D1830" s="14" t="s">
        <v>90</v>
      </c>
      <c r="E1830">
        <v>15</v>
      </c>
      <c r="F1830" s="8">
        <f>VLOOKUP(financials[[#This Row],[productid]],Products!$B$2:$H$10,3)</f>
        <v>25</v>
      </c>
      <c r="G1830" s="8">
        <f>financials[[#This Row],[Units Sold]]*financials[[#This Row],[Sale Price]]</f>
        <v>375</v>
      </c>
      <c r="H1830" s="8">
        <f>IF(financials[[#This Row],[Discount Band]]="low",0.1,IF(financials[[#This Row],[Discount Band]]="medium",0.15,0.3))</f>
        <v>0.15</v>
      </c>
      <c r="I1830" s="8">
        <f>financials[[#This Row],[Gross Sales]]-financials[[#This Row],[Gross Sales]]*financials[[#This Row],[Discounts]]</f>
        <v>318.75</v>
      </c>
      <c r="J1830" s="8">
        <f>VLOOKUP(financials[[#This Row],[productid]],Products!$B$2:$H$10,4)</f>
        <v>9.1</v>
      </c>
      <c r="K1830" s="8">
        <f>financials[[#This Row],[Net Sales]]-financials[[#This Row],[COGS]]</f>
        <v>309.64999999999998</v>
      </c>
      <c r="L1830" s="15">
        <v>45199</v>
      </c>
      <c r="M1830" t="s">
        <v>690</v>
      </c>
    </row>
    <row r="1831" spans="1:13" x14ac:dyDescent="0.25">
      <c r="A1831" t="s">
        <v>89</v>
      </c>
      <c r="B1831" s="6" t="s">
        <v>198</v>
      </c>
      <c r="C1831" s="13">
        <v>101</v>
      </c>
      <c r="D1831" s="14" t="s">
        <v>90</v>
      </c>
      <c r="E1831">
        <v>5</v>
      </c>
      <c r="F1831" s="8">
        <f>VLOOKUP(financials[[#This Row],[productid]],Products!$B$2:$H$10,3)</f>
        <v>23</v>
      </c>
      <c r="G1831" s="8">
        <f>financials[[#This Row],[Units Sold]]*financials[[#This Row],[Sale Price]]</f>
        <v>115</v>
      </c>
      <c r="H1831" s="8">
        <f>IF(financials[[#This Row],[Discount Band]]="low",0.1,IF(financials[[#This Row],[Discount Band]]="medium",0.15,0.3))</f>
        <v>0.15</v>
      </c>
      <c r="I1831" s="8">
        <f>financials[[#This Row],[Gross Sales]]-financials[[#This Row],[Gross Sales]]*financials[[#This Row],[Discounts]]</f>
        <v>97.75</v>
      </c>
      <c r="J1831" s="8">
        <f>VLOOKUP(financials[[#This Row],[productid]],Products!$B$2:$H$10,4)</f>
        <v>9.9499999999999993</v>
      </c>
      <c r="K1831" s="8">
        <f>financials[[#This Row],[Net Sales]]-financials[[#This Row],[COGS]]</f>
        <v>87.8</v>
      </c>
      <c r="L1831" s="15">
        <v>44509</v>
      </c>
      <c r="M1831" t="s">
        <v>696</v>
      </c>
    </row>
    <row r="1832" spans="1:13" x14ac:dyDescent="0.25">
      <c r="A1832" t="s">
        <v>86</v>
      </c>
      <c r="B1832" s="6" t="s">
        <v>94</v>
      </c>
      <c r="C1832" s="13">
        <v>101</v>
      </c>
      <c r="D1832" s="14" t="s">
        <v>91</v>
      </c>
      <c r="E1832">
        <v>14</v>
      </c>
      <c r="F1832" s="8">
        <f>VLOOKUP(financials[[#This Row],[productid]],Products!$B$2:$H$10,3)</f>
        <v>23</v>
      </c>
      <c r="G1832" s="8">
        <f>financials[[#This Row],[Units Sold]]*financials[[#This Row],[Sale Price]]</f>
        <v>322</v>
      </c>
      <c r="H1832" s="8">
        <f>IF(financials[[#This Row],[Discount Band]]="low",0.1,IF(financials[[#This Row],[Discount Band]]="medium",0.15,0.3))</f>
        <v>0.1</v>
      </c>
      <c r="I1832" s="8">
        <f>financials[[#This Row],[Gross Sales]]-financials[[#This Row],[Gross Sales]]*financials[[#This Row],[Discounts]]</f>
        <v>289.8</v>
      </c>
      <c r="J1832" s="8">
        <f>VLOOKUP(financials[[#This Row],[productid]],Products!$B$2:$H$10,4)</f>
        <v>9.9499999999999993</v>
      </c>
      <c r="K1832" s="8">
        <f>financials[[#This Row],[Net Sales]]-financials[[#This Row],[COGS]]</f>
        <v>279.85000000000002</v>
      </c>
      <c r="L1832" s="15">
        <v>44470</v>
      </c>
      <c r="M1832" t="s">
        <v>696</v>
      </c>
    </row>
    <row r="1833" spans="1:13" x14ac:dyDescent="0.25">
      <c r="A1833" t="s">
        <v>86</v>
      </c>
      <c r="B1833" s="6" t="s">
        <v>545</v>
      </c>
      <c r="C1833" s="13">
        <v>106</v>
      </c>
      <c r="D1833" s="14" t="s">
        <v>90</v>
      </c>
      <c r="E1833">
        <v>13</v>
      </c>
      <c r="F1833" s="8">
        <f>VLOOKUP(financials[[#This Row],[productid]],Products!$B$2:$H$10,3)</f>
        <v>25</v>
      </c>
      <c r="G1833" s="8">
        <f>financials[[#This Row],[Units Sold]]*financials[[#This Row],[Sale Price]]</f>
        <v>325</v>
      </c>
      <c r="H1833" s="8">
        <f>IF(financials[[#This Row],[Discount Band]]="low",0.1,IF(financials[[#This Row],[Discount Band]]="medium",0.15,0.3))</f>
        <v>0.15</v>
      </c>
      <c r="I1833" s="8">
        <f>financials[[#This Row],[Gross Sales]]-financials[[#This Row],[Gross Sales]]*financials[[#This Row],[Discounts]]</f>
        <v>276.25</v>
      </c>
      <c r="J1833" s="8">
        <f>VLOOKUP(financials[[#This Row],[productid]],Products!$B$2:$H$10,4)</f>
        <v>9.1</v>
      </c>
      <c r="K1833" s="8">
        <f>financials[[#This Row],[Net Sales]]-financials[[#This Row],[COGS]]</f>
        <v>267.14999999999998</v>
      </c>
      <c r="L1833" s="15">
        <v>44303</v>
      </c>
      <c r="M1833" t="s">
        <v>690</v>
      </c>
    </row>
    <row r="1834" spans="1:13" x14ac:dyDescent="0.25">
      <c r="A1834" t="s">
        <v>86</v>
      </c>
      <c r="B1834" s="6" t="s">
        <v>159</v>
      </c>
      <c r="C1834" s="13">
        <v>109</v>
      </c>
      <c r="D1834" s="14" t="s">
        <v>91</v>
      </c>
      <c r="E1834">
        <v>12</v>
      </c>
      <c r="F1834" s="8">
        <f>VLOOKUP(financials[[#This Row],[productid]],Products!$B$2:$H$10,3)</f>
        <v>36</v>
      </c>
      <c r="G1834" s="8">
        <f>financials[[#This Row],[Units Sold]]*financials[[#This Row],[Sale Price]]</f>
        <v>432</v>
      </c>
      <c r="H1834" s="8">
        <f>IF(financials[[#This Row],[Discount Band]]="low",0.1,IF(financials[[#This Row],[Discount Band]]="medium",0.15,0.3))</f>
        <v>0.1</v>
      </c>
      <c r="I1834" s="8">
        <f>financials[[#This Row],[Gross Sales]]-financials[[#This Row],[Gross Sales]]*financials[[#This Row],[Discounts]]</f>
        <v>388.8</v>
      </c>
      <c r="J1834" s="8">
        <f>VLOOKUP(financials[[#This Row],[productid]],Products!$B$2:$H$10,4)</f>
        <v>16.8</v>
      </c>
      <c r="K1834" s="8">
        <f>financials[[#This Row],[Net Sales]]-financials[[#This Row],[COGS]]</f>
        <v>372</v>
      </c>
      <c r="L1834" s="15">
        <v>44816</v>
      </c>
      <c r="M1834" t="s">
        <v>700</v>
      </c>
    </row>
    <row r="1835" spans="1:13" x14ac:dyDescent="0.25">
      <c r="A1835" t="s">
        <v>87</v>
      </c>
      <c r="B1835" s="6" t="s">
        <v>644</v>
      </c>
      <c r="C1835" s="13">
        <v>105</v>
      </c>
      <c r="D1835" s="14" t="s">
        <v>90</v>
      </c>
      <c r="E1835">
        <v>20</v>
      </c>
      <c r="F1835" s="8">
        <f>VLOOKUP(financials[[#This Row],[productid]],Products!$B$2:$H$10,3)</f>
        <v>15</v>
      </c>
      <c r="G1835" s="8">
        <f>financials[[#This Row],[Units Sold]]*financials[[#This Row],[Sale Price]]</f>
        <v>300</v>
      </c>
      <c r="H1835" s="8">
        <f>IF(financials[[#This Row],[Discount Band]]="low",0.1,IF(financials[[#This Row],[Discount Band]]="medium",0.15,0.3))</f>
        <v>0.15</v>
      </c>
      <c r="I1835" s="8">
        <f>financials[[#This Row],[Gross Sales]]-financials[[#This Row],[Gross Sales]]*financials[[#This Row],[Discounts]]</f>
        <v>255</v>
      </c>
      <c r="J1835" s="8">
        <f>VLOOKUP(financials[[#This Row],[productid]],Products!$B$2:$H$10,4)</f>
        <v>10</v>
      </c>
      <c r="K1835" s="8">
        <f>financials[[#This Row],[Net Sales]]-financials[[#This Row],[COGS]]</f>
        <v>245</v>
      </c>
      <c r="L1835" s="15">
        <v>45168</v>
      </c>
      <c r="M1835" t="s">
        <v>696</v>
      </c>
    </row>
    <row r="1836" spans="1:13" x14ac:dyDescent="0.25">
      <c r="A1836" t="s">
        <v>86</v>
      </c>
      <c r="B1836" s="6" t="s">
        <v>84</v>
      </c>
      <c r="C1836" s="13">
        <v>103</v>
      </c>
      <c r="D1836" s="14" t="s">
        <v>90</v>
      </c>
      <c r="E1836">
        <v>11</v>
      </c>
      <c r="F1836" s="8">
        <f>VLOOKUP(financials[[#This Row],[productid]],Products!$B$2:$H$10,3)</f>
        <v>28</v>
      </c>
      <c r="G1836" s="8">
        <f>financials[[#This Row],[Units Sold]]*financials[[#This Row],[Sale Price]]</f>
        <v>308</v>
      </c>
      <c r="H1836" s="8">
        <f>IF(financials[[#This Row],[Discount Band]]="low",0.1,IF(financials[[#This Row],[Discount Band]]="medium",0.15,0.3))</f>
        <v>0.15</v>
      </c>
      <c r="I1836" s="8">
        <f>financials[[#This Row],[Gross Sales]]-financials[[#This Row],[Gross Sales]]*financials[[#This Row],[Discounts]]</f>
        <v>261.8</v>
      </c>
      <c r="J1836" s="8">
        <f>VLOOKUP(financials[[#This Row],[productid]],Products!$B$2:$H$10,4)</f>
        <v>15</v>
      </c>
      <c r="K1836" s="8">
        <f>financials[[#This Row],[Net Sales]]-financials[[#This Row],[COGS]]</f>
        <v>246.8</v>
      </c>
      <c r="L1836" s="15">
        <v>45454</v>
      </c>
      <c r="M1836" t="s">
        <v>691</v>
      </c>
    </row>
    <row r="1837" spans="1:13" x14ac:dyDescent="0.25">
      <c r="A1837" t="s">
        <v>86</v>
      </c>
      <c r="B1837" s="6" t="s">
        <v>84</v>
      </c>
      <c r="C1837" s="13">
        <v>104</v>
      </c>
      <c r="D1837" s="14" t="s">
        <v>90</v>
      </c>
      <c r="E1837">
        <v>16</v>
      </c>
      <c r="F1837" s="8">
        <f>VLOOKUP(financials[[#This Row],[productid]],Products!$B$2:$H$10,3)</f>
        <v>5.9</v>
      </c>
      <c r="G1837" s="8">
        <f>financials[[#This Row],[Units Sold]]*financials[[#This Row],[Sale Price]]</f>
        <v>94.4</v>
      </c>
      <c r="H1837" s="8">
        <f>IF(financials[[#This Row],[Discount Band]]="low",0.1,IF(financials[[#This Row],[Discount Band]]="medium",0.15,0.3))</f>
        <v>0.15</v>
      </c>
      <c r="I1837" s="8">
        <f>financials[[#This Row],[Gross Sales]]-financials[[#This Row],[Gross Sales]]*financials[[#This Row],[Discounts]]</f>
        <v>80.240000000000009</v>
      </c>
      <c r="J1837" s="8">
        <f>VLOOKUP(financials[[#This Row],[productid]],Products!$B$2:$H$10,4)</f>
        <v>2.9</v>
      </c>
      <c r="K1837" s="8">
        <f>financials[[#This Row],[Net Sales]]-financials[[#This Row],[COGS]]</f>
        <v>77.34</v>
      </c>
      <c r="L1837" s="15">
        <v>44208</v>
      </c>
      <c r="M1837" t="s">
        <v>696</v>
      </c>
    </row>
    <row r="1838" spans="1:13" x14ac:dyDescent="0.25">
      <c r="A1838" t="s">
        <v>86</v>
      </c>
      <c r="B1838" s="6" t="s">
        <v>198</v>
      </c>
      <c r="C1838" s="13">
        <v>101</v>
      </c>
      <c r="D1838" s="14" t="s">
        <v>91</v>
      </c>
      <c r="E1838">
        <v>8</v>
      </c>
      <c r="F1838" s="8">
        <f>VLOOKUP(financials[[#This Row],[productid]],Products!$B$2:$H$10,3)</f>
        <v>23</v>
      </c>
      <c r="G1838" s="8">
        <f>financials[[#This Row],[Units Sold]]*financials[[#This Row],[Sale Price]]</f>
        <v>184</v>
      </c>
      <c r="H1838" s="8">
        <f>IF(financials[[#This Row],[Discount Band]]="low",0.1,IF(financials[[#This Row],[Discount Band]]="medium",0.15,0.3))</f>
        <v>0.1</v>
      </c>
      <c r="I1838" s="8">
        <f>financials[[#This Row],[Gross Sales]]-financials[[#This Row],[Gross Sales]]*financials[[#This Row],[Discounts]]</f>
        <v>165.6</v>
      </c>
      <c r="J1838" s="8">
        <f>VLOOKUP(financials[[#This Row],[productid]],Products!$B$2:$H$10,4)</f>
        <v>9.9499999999999993</v>
      </c>
      <c r="K1838" s="8">
        <f>financials[[#This Row],[Net Sales]]-financials[[#This Row],[COGS]]</f>
        <v>155.65</v>
      </c>
      <c r="L1838" s="15">
        <v>43935</v>
      </c>
      <c r="M1838" t="s">
        <v>697</v>
      </c>
    </row>
    <row r="1839" spans="1:13" x14ac:dyDescent="0.25">
      <c r="A1839" t="s">
        <v>86</v>
      </c>
      <c r="B1839" s="6" t="s">
        <v>94</v>
      </c>
      <c r="C1839" s="13">
        <v>105</v>
      </c>
      <c r="D1839" s="14" t="s">
        <v>91</v>
      </c>
      <c r="E1839">
        <v>7</v>
      </c>
      <c r="F1839" s="8">
        <f>VLOOKUP(financials[[#This Row],[productid]],Products!$B$2:$H$10,3)</f>
        <v>15</v>
      </c>
      <c r="G1839" s="8">
        <f>financials[[#This Row],[Units Sold]]*financials[[#This Row],[Sale Price]]</f>
        <v>105</v>
      </c>
      <c r="H1839" s="8">
        <f>IF(financials[[#This Row],[Discount Band]]="low",0.1,IF(financials[[#This Row],[Discount Band]]="medium",0.15,0.3))</f>
        <v>0.1</v>
      </c>
      <c r="I1839" s="8">
        <f>financials[[#This Row],[Gross Sales]]-financials[[#This Row],[Gross Sales]]*financials[[#This Row],[Discounts]]</f>
        <v>94.5</v>
      </c>
      <c r="J1839" s="8">
        <f>VLOOKUP(financials[[#This Row],[productid]],Products!$B$2:$H$10,4)</f>
        <v>10</v>
      </c>
      <c r="K1839" s="8">
        <f>financials[[#This Row],[Net Sales]]-financials[[#This Row],[COGS]]</f>
        <v>84.5</v>
      </c>
      <c r="L1839" s="15">
        <v>44922</v>
      </c>
      <c r="M1839" t="s">
        <v>696</v>
      </c>
    </row>
    <row r="1840" spans="1:13" x14ac:dyDescent="0.25">
      <c r="A1840" t="s">
        <v>89</v>
      </c>
      <c r="B1840" s="6" t="s">
        <v>205</v>
      </c>
      <c r="C1840" s="13">
        <v>102</v>
      </c>
      <c r="D1840" s="14" t="s">
        <v>83</v>
      </c>
      <c r="E1840">
        <v>12</v>
      </c>
      <c r="F1840" s="8">
        <f>VLOOKUP(financials[[#This Row],[productid]],Products!$B$2:$H$10,3)</f>
        <v>15</v>
      </c>
      <c r="G1840" s="8">
        <f>financials[[#This Row],[Units Sold]]*financials[[#This Row],[Sale Price]]</f>
        <v>180</v>
      </c>
      <c r="H1840" s="8">
        <f>IF(financials[[#This Row],[Discount Band]]="low",0.1,IF(financials[[#This Row],[Discount Band]]="medium",0.15,0.3))</f>
        <v>0.3</v>
      </c>
      <c r="I1840" s="8">
        <f>financials[[#This Row],[Gross Sales]]-financials[[#This Row],[Gross Sales]]*financials[[#This Row],[Discounts]]</f>
        <v>126</v>
      </c>
      <c r="J1840" s="8">
        <f>VLOOKUP(financials[[#This Row],[productid]],Products!$B$2:$H$10,4)</f>
        <v>13.95</v>
      </c>
      <c r="K1840" s="8">
        <f>financials[[#This Row],[Net Sales]]-financials[[#This Row],[COGS]]</f>
        <v>112.05</v>
      </c>
      <c r="L1840" s="15">
        <v>45518</v>
      </c>
      <c r="M1840" t="s">
        <v>700</v>
      </c>
    </row>
    <row r="1841" spans="1:13" x14ac:dyDescent="0.25">
      <c r="A1841" t="s">
        <v>86</v>
      </c>
      <c r="B1841" s="6" t="s">
        <v>84</v>
      </c>
      <c r="C1841" s="13">
        <v>101</v>
      </c>
      <c r="D1841" s="14" t="s">
        <v>83</v>
      </c>
      <c r="E1841">
        <v>5</v>
      </c>
      <c r="F1841" s="8">
        <f>VLOOKUP(financials[[#This Row],[productid]],Products!$B$2:$H$10,3)</f>
        <v>23</v>
      </c>
      <c r="G1841" s="8">
        <f>financials[[#This Row],[Units Sold]]*financials[[#This Row],[Sale Price]]</f>
        <v>115</v>
      </c>
      <c r="H1841" s="8">
        <f>IF(financials[[#This Row],[Discount Band]]="low",0.1,IF(financials[[#This Row],[Discount Band]]="medium",0.15,0.3))</f>
        <v>0.3</v>
      </c>
      <c r="I1841" s="8">
        <f>financials[[#This Row],[Gross Sales]]-financials[[#This Row],[Gross Sales]]*financials[[#This Row],[Discounts]]</f>
        <v>80.5</v>
      </c>
      <c r="J1841" s="8">
        <f>VLOOKUP(financials[[#This Row],[productid]],Products!$B$2:$H$10,4)</f>
        <v>9.9499999999999993</v>
      </c>
      <c r="K1841" s="8">
        <f>financials[[#This Row],[Net Sales]]-financials[[#This Row],[COGS]]</f>
        <v>70.55</v>
      </c>
      <c r="L1841" s="15">
        <v>44423</v>
      </c>
      <c r="M1841" t="s">
        <v>691</v>
      </c>
    </row>
    <row r="1842" spans="1:13" x14ac:dyDescent="0.25">
      <c r="A1842" t="s">
        <v>86</v>
      </c>
      <c r="B1842" s="6" t="s">
        <v>276</v>
      </c>
      <c r="C1842" s="13">
        <v>109</v>
      </c>
      <c r="D1842" s="14" t="s">
        <v>90</v>
      </c>
      <c r="E1842">
        <v>9</v>
      </c>
      <c r="F1842" s="8">
        <f>VLOOKUP(financials[[#This Row],[productid]],Products!$B$2:$H$10,3)</f>
        <v>36</v>
      </c>
      <c r="G1842" s="8">
        <f>financials[[#This Row],[Units Sold]]*financials[[#This Row],[Sale Price]]</f>
        <v>324</v>
      </c>
      <c r="H1842" s="8">
        <f>IF(financials[[#This Row],[Discount Band]]="low",0.1,IF(financials[[#This Row],[Discount Band]]="medium",0.15,0.3))</f>
        <v>0.15</v>
      </c>
      <c r="I1842" s="8">
        <f>financials[[#This Row],[Gross Sales]]-financials[[#This Row],[Gross Sales]]*financials[[#This Row],[Discounts]]</f>
        <v>275.39999999999998</v>
      </c>
      <c r="J1842" s="8">
        <f>VLOOKUP(financials[[#This Row],[productid]],Products!$B$2:$H$10,4)</f>
        <v>16.8</v>
      </c>
      <c r="K1842" s="8">
        <f>financials[[#This Row],[Net Sales]]-financials[[#This Row],[COGS]]</f>
        <v>258.59999999999997</v>
      </c>
      <c r="L1842" s="15">
        <v>45445</v>
      </c>
      <c r="M1842" t="s">
        <v>700</v>
      </c>
    </row>
    <row r="1843" spans="1:13" x14ac:dyDescent="0.25">
      <c r="A1843" t="s">
        <v>86</v>
      </c>
      <c r="B1843" s="6" t="s">
        <v>167</v>
      </c>
      <c r="C1843" s="13">
        <v>109</v>
      </c>
      <c r="D1843" s="14" t="s">
        <v>90</v>
      </c>
      <c r="E1843">
        <v>14</v>
      </c>
      <c r="F1843" s="8">
        <f>VLOOKUP(financials[[#This Row],[productid]],Products!$B$2:$H$10,3)</f>
        <v>36</v>
      </c>
      <c r="G1843" s="8">
        <f>financials[[#This Row],[Units Sold]]*financials[[#This Row],[Sale Price]]</f>
        <v>504</v>
      </c>
      <c r="H1843" s="8">
        <f>IF(financials[[#This Row],[Discount Band]]="low",0.1,IF(financials[[#This Row],[Discount Band]]="medium",0.15,0.3))</f>
        <v>0.15</v>
      </c>
      <c r="I1843" s="8">
        <f>financials[[#This Row],[Gross Sales]]-financials[[#This Row],[Gross Sales]]*financials[[#This Row],[Discounts]]</f>
        <v>428.4</v>
      </c>
      <c r="J1843" s="8">
        <f>VLOOKUP(financials[[#This Row],[productid]],Products!$B$2:$H$10,4)</f>
        <v>16.8</v>
      </c>
      <c r="K1843" s="8">
        <f>financials[[#This Row],[Net Sales]]-financials[[#This Row],[COGS]]</f>
        <v>411.59999999999997</v>
      </c>
      <c r="L1843" s="15">
        <v>44197</v>
      </c>
      <c r="M1843" t="s">
        <v>696</v>
      </c>
    </row>
    <row r="1844" spans="1:13" x14ac:dyDescent="0.25">
      <c r="A1844" t="s">
        <v>86</v>
      </c>
      <c r="B1844" s="6" t="s">
        <v>95</v>
      </c>
      <c r="C1844" s="13">
        <v>105</v>
      </c>
      <c r="D1844" s="14" t="s">
        <v>90</v>
      </c>
      <c r="E1844">
        <v>16</v>
      </c>
      <c r="F1844" s="8">
        <f>VLOOKUP(financials[[#This Row],[productid]],Products!$B$2:$H$10,3)</f>
        <v>15</v>
      </c>
      <c r="G1844" s="8">
        <f>financials[[#This Row],[Units Sold]]*financials[[#This Row],[Sale Price]]</f>
        <v>240</v>
      </c>
      <c r="H1844" s="8">
        <f>IF(financials[[#This Row],[Discount Band]]="low",0.1,IF(financials[[#This Row],[Discount Band]]="medium",0.15,0.3))</f>
        <v>0.15</v>
      </c>
      <c r="I1844" s="8">
        <f>financials[[#This Row],[Gross Sales]]-financials[[#This Row],[Gross Sales]]*financials[[#This Row],[Discounts]]</f>
        <v>204</v>
      </c>
      <c r="J1844" s="8">
        <f>VLOOKUP(financials[[#This Row],[productid]],Products!$B$2:$H$10,4)</f>
        <v>10</v>
      </c>
      <c r="K1844" s="8">
        <f>financials[[#This Row],[Net Sales]]-financials[[#This Row],[COGS]]</f>
        <v>194</v>
      </c>
      <c r="L1844" s="15">
        <v>44403</v>
      </c>
      <c r="M1844" t="s">
        <v>697</v>
      </c>
    </row>
    <row r="1845" spans="1:13" x14ac:dyDescent="0.25">
      <c r="A1845" t="s">
        <v>86</v>
      </c>
      <c r="B1845" s="6" t="s">
        <v>205</v>
      </c>
      <c r="C1845" s="11">
        <v>103</v>
      </c>
      <c r="D1845" s="9" t="s">
        <v>83</v>
      </c>
      <c r="E1845">
        <v>16</v>
      </c>
      <c r="F1845" s="8">
        <f>VLOOKUP(financials[[#This Row],[productid]],Products!$B$2:$H$10,3)</f>
        <v>28</v>
      </c>
      <c r="G1845" s="8">
        <f>financials[[#This Row],[Units Sold]]*financials[[#This Row],[Sale Price]]</f>
        <v>448</v>
      </c>
      <c r="H1845" s="8">
        <f>IF(financials[[#This Row],[Discount Band]]="low",0.1,IF(financials[[#This Row],[Discount Band]]="medium",0.15,0.3))</f>
        <v>0.3</v>
      </c>
      <c r="I1845" s="8">
        <f>financials[[#This Row],[Gross Sales]]-financials[[#This Row],[Gross Sales]]*financials[[#This Row],[Discounts]]</f>
        <v>313.60000000000002</v>
      </c>
      <c r="J1845" s="8">
        <f>VLOOKUP(financials[[#This Row],[productid]],Products!$B$2:$H$10,4)</f>
        <v>15</v>
      </c>
      <c r="K1845" s="8">
        <f>financials[[#This Row],[Net Sales]]-financials[[#This Row],[COGS]]</f>
        <v>298.60000000000002</v>
      </c>
      <c r="L1845" s="15">
        <v>44711</v>
      </c>
      <c r="M1845" t="s">
        <v>696</v>
      </c>
    </row>
    <row r="1846" spans="1:13" x14ac:dyDescent="0.25">
      <c r="A1846" t="s">
        <v>89</v>
      </c>
      <c r="B1846" s="6" t="s">
        <v>205</v>
      </c>
      <c r="C1846" s="13">
        <v>109</v>
      </c>
      <c r="D1846" s="14" t="s">
        <v>83</v>
      </c>
      <c r="E1846">
        <v>7</v>
      </c>
      <c r="F1846" s="8">
        <f>VLOOKUP(financials[[#This Row],[productid]],Products!$B$2:$H$10,3)</f>
        <v>36</v>
      </c>
      <c r="G1846" s="8">
        <f>financials[[#This Row],[Units Sold]]*financials[[#This Row],[Sale Price]]</f>
        <v>252</v>
      </c>
      <c r="H1846" s="8">
        <f>IF(financials[[#This Row],[Discount Band]]="low",0.1,IF(financials[[#This Row],[Discount Band]]="medium",0.15,0.3))</f>
        <v>0.3</v>
      </c>
      <c r="I1846" s="8">
        <f>financials[[#This Row],[Gross Sales]]-financials[[#This Row],[Gross Sales]]*financials[[#This Row],[Discounts]]</f>
        <v>176.4</v>
      </c>
      <c r="J1846" s="8">
        <f>VLOOKUP(financials[[#This Row],[productid]],Products!$B$2:$H$10,4)</f>
        <v>16.8</v>
      </c>
      <c r="K1846" s="8">
        <f>financials[[#This Row],[Net Sales]]-financials[[#This Row],[COGS]]</f>
        <v>159.6</v>
      </c>
      <c r="L1846" s="15">
        <v>44628</v>
      </c>
      <c r="M1846" t="s">
        <v>697</v>
      </c>
    </row>
    <row r="1847" spans="1:13" x14ac:dyDescent="0.25">
      <c r="A1847" t="s">
        <v>86</v>
      </c>
      <c r="B1847" s="6" t="s">
        <v>95</v>
      </c>
      <c r="C1847" s="13">
        <v>106</v>
      </c>
      <c r="D1847" s="14" t="s">
        <v>83</v>
      </c>
      <c r="E1847">
        <v>16</v>
      </c>
      <c r="F1847" s="8">
        <f>VLOOKUP(financials[[#This Row],[productid]],Products!$B$2:$H$10,3)</f>
        <v>25</v>
      </c>
      <c r="G1847" s="8">
        <f>financials[[#This Row],[Units Sold]]*financials[[#This Row],[Sale Price]]</f>
        <v>400</v>
      </c>
      <c r="H1847" s="8">
        <f>IF(financials[[#This Row],[Discount Band]]="low",0.1,IF(financials[[#This Row],[Discount Band]]="medium",0.15,0.3))</f>
        <v>0.3</v>
      </c>
      <c r="I1847" s="8">
        <f>financials[[#This Row],[Gross Sales]]-financials[[#This Row],[Gross Sales]]*financials[[#This Row],[Discounts]]</f>
        <v>280</v>
      </c>
      <c r="J1847" s="8">
        <f>VLOOKUP(financials[[#This Row],[productid]],Products!$B$2:$H$10,4)</f>
        <v>9.1</v>
      </c>
      <c r="K1847" s="8">
        <f>financials[[#This Row],[Net Sales]]-financials[[#This Row],[COGS]]</f>
        <v>270.89999999999998</v>
      </c>
      <c r="L1847" s="15">
        <v>44869</v>
      </c>
      <c r="M1847" t="s">
        <v>700</v>
      </c>
    </row>
    <row r="1848" spans="1:13" x14ac:dyDescent="0.25">
      <c r="A1848" t="s">
        <v>89</v>
      </c>
      <c r="B1848" s="6" t="s">
        <v>205</v>
      </c>
      <c r="C1848" s="13">
        <v>102</v>
      </c>
      <c r="D1848" s="14" t="s">
        <v>83</v>
      </c>
      <c r="E1848">
        <v>14</v>
      </c>
      <c r="F1848" s="8">
        <f>VLOOKUP(financials[[#This Row],[productid]],Products!$B$2:$H$10,3)</f>
        <v>15</v>
      </c>
      <c r="G1848" s="8">
        <f>financials[[#This Row],[Units Sold]]*financials[[#This Row],[Sale Price]]</f>
        <v>210</v>
      </c>
      <c r="H1848" s="8">
        <f>IF(financials[[#This Row],[Discount Band]]="low",0.1,IF(financials[[#This Row],[Discount Band]]="medium",0.15,0.3))</f>
        <v>0.3</v>
      </c>
      <c r="I1848" s="8">
        <f>financials[[#This Row],[Gross Sales]]-financials[[#This Row],[Gross Sales]]*financials[[#This Row],[Discounts]]</f>
        <v>147</v>
      </c>
      <c r="J1848" s="8">
        <f>VLOOKUP(financials[[#This Row],[productid]],Products!$B$2:$H$10,4)</f>
        <v>13.95</v>
      </c>
      <c r="K1848" s="8">
        <f>financials[[#This Row],[Net Sales]]-financials[[#This Row],[COGS]]</f>
        <v>133.05000000000001</v>
      </c>
      <c r="L1848" s="15">
        <v>44258</v>
      </c>
      <c r="M1848" t="s">
        <v>696</v>
      </c>
    </row>
    <row r="1849" spans="1:13" x14ac:dyDescent="0.25">
      <c r="A1849" t="s">
        <v>89</v>
      </c>
      <c r="B1849" s="6" t="s">
        <v>276</v>
      </c>
      <c r="C1849" s="13">
        <v>108</v>
      </c>
      <c r="D1849" s="14" t="s">
        <v>83</v>
      </c>
      <c r="E1849">
        <v>11</v>
      </c>
      <c r="F1849" s="8">
        <f>VLOOKUP(financials[[#This Row],[productid]],Products!$B$2:$H$10,3)</f>
        <v>5.5</v>
      </c>
      <c r="G1849" s="8">
        <f>financials[[#This Row],[Units Sold]]*financials[[#This Row],[Sale Price]]</f>
        <v>60.5</v>
      </c>
      <c r="H1849" s="8">
        <f>IF(financials[[#This Row],[Discount Band]]="low",0.1,IF(financials[[#This Row],[Discount Band]]="medium",0.15,0.3))</f>
        <v>0.3</v>
      </c>
      <c r="I1849" s="8">
        <f>financials[[#This Row],[Gross Sales]]-financials[[#This Row],[Gross Sales]]*financials[[#This Row],[Discounts]]</f>
        <v>42.35</v>
      </c>
      <c r="J1849" s="8">
        <f>VLOOKUP(financials[[#This Row],[productid]],Products!$B$2:$H$10,4)</f>
        <v>3.99</v>
      </c>
      <c r="K1849" s="8">
        <f>financials[[#This Row],[Net Sales]]-financials[[#This Row],[COGS]]</f>
        <v>38.36</v>
      </c>
      <c r="L1849" s="15">
        <v>44350</v>
      </c>
      <c r="M1849" t="s">
        <v>696</v>
      </c>
    </row>
    <row r="1850" spans="1:13" x14ac:dyDescent="0.25">
      <c r="A1850" t="s">
        <v>86</v>
      </c>
      <c r="B1850" s="6" t="s">
        <v>159</v>
      </c>
      <c r="C1850" s="13">
        <v>104</v>
      </c>
      <c r="D1850" s="14" t="s">
        <v>90</v>
      </c>
      <c r="E1850">
        <v>17</v>
      </c>
      <c r="F1850" s="8">
        <f>VLOOKUP(financials[[#This Row],[productid]],Products!$B$2:$H$10,3)</f>
        <v>5.9</v>
      </c>
      <c r="G1850" s="8">
        <f>financials[[#This Row],[Units Sold]]*financials[[#This Row],[Sale Price]]</f>
        <v>100.30000000000001</v>
      </c>
      <c r="H1850" s="8">
        <f>IF(financials[[#This Row],[Discount Band]]="low",0.1,IF(financials[[#This Row],[Discount Band]]="medium",0.15,0.3))</f>
        <v>0.15</v>
      </c>
      <c r="I1850" s="8">
        <f>financials[[#This Row],[Gross Sales]]-financials[[#This Row],[Gross Sales]]*financials[[#This Row],[Discounts]]</f>
        <v>85.25500000000001</v>
      </c>
      <c r="J1850" s="8">
        <f>VLOOKUP(financials[[#This Row],[productid]],Products!$B$2:$H$10,4)</f>
        <v>2.9</v>
      </c>
      <c r="K1850" s="8">
        <f>financials[[#This Row],[Net Sales]]-financials[[#This Row],[COGS]]</f>
        <v>82.355000000000004</v>
      </c>
      <c r="L1850" s="15">
        <v>44839</v>
      </c>
      <c r="M1850" t="s">
        <v>690</v>
      </c>
    </row>
    <row r="1851" spans="1:13" x14ac:dyDescent="0.25">
      <c r="A1851" t="s">
        <v>89</v>
      </c>
      <c r="B1851" s="6" t="s">
        <v>205</v>
      </c>
      <c r="C1851" s="13">
        <v>106</v>
      </c>
      <c r="D1851" s="14" t="s">
        <v>90</v>
      </c>
      <c r="E1851">
        <v>11</v>
      </c>
      <c r="F1851" s="8">
        <f>VLOOKUP(financials[[#This Row],[productid]],Products!$B$2:$H$10,3)</f>
        <v>25</v>
      </c>
      <c r="G1851" s="8">
        <f>financials[[#This Row],[Units Sold]]*financials[[#This Row],[Sale Price]]</f>
        <v>275</v>
      </c>
      <c r="H1851" s="8">
        <f>IF(financials[[#This Row],[Discount Band]]="low",0.1,IF(financials[[#This Row],[Discount Band]]="medium",0.15,0.3))</f>
        <v>0.15</v>
      </c>
      <c r="I1851" s="8">
        <f>financials[[#This Row],[Gross Sales]]-financials[[#This Row],[Gross Sales]]*financials[[#This Row],[Discounts]]</f>
        <v>233.75</v>
      </c>
      <c r="J1851" s="8">
        <f>VLOOKUP(financials[[#This Row],[productid]],Products!$B$2:$H$10,4)</f>
        <v>9.1</v>
      </c>
      <c r="K1851" s="8">
        <f>financials[[#This Row],[Net Sales]]-financials[[#This Row],[COGS]]</f>
        <v>224.65</v>
      </c>
      <c r="L1851" s="15">
        <v>45178</v>
      </c>
      <c r="M1851" t="s">
        <v>691</v>
      </c>
    </row>
    <row r="1852" spans="1:13" x14ac:dyDescent="0.25">
      <c r="A1852" t="s">
        <v>89</v>
      </c>
      <c r="B1852" s="6" t="s">
        <v>198</v>
      </c>
      <c r="C1852" s="11">
        <v>103</v>
      </c>
      <c r="D1852" s="9" t="s">
        <v>83</v>
      </c>
      <c r="E1852">
        <v>20</v>
      </c>
      <c r="F1852" s="8">
        <f>VLOOKUP(financials[[#This Row],[productid]],Products!$B$2:$H$10,3)</f>
        <v>28</v>
      </c>
      <c r="G1852" s="8">
        <f>financials[[#This Row],[Units Sold]]*financials[[#This Row],[Sale Price]]</f>
        <v>560</v>
      </c>
      <c r="H1852" s="8">
        <f>IF(financials[[#This Row],[Discount Band]]="low",0.1,IF(financials[[#This Row],[Discount Band]]="medium",0.15,0.3))</f>
        <v>0.3</v>
      </c>
      <c r="I1852" s="8">
        <f>financials[[#This Row],[Gross Sales]]-financials[[#This Row],[Gross Sales]]*financials[[#This Row],[Discounts]]</f>
        <v>392</v>
      </c>
      <c r="J1852" s="8">
        <f>VLOOKUP(financials[[#This Row],[productid]],Products!$B$2:$H$10,4)</f>
        <v>15</v>
      </c>
      <c r="K1852" s="8">
        <f>financials[[#This Row],[Net Sales]]-financials[[#This Row],[COGS]]</f>
        <v>377</v>
      </c>
      <c r="L1852" s="15">
        <v>45062</v>
      </c>
      <c r="M1852" t="s">
        <v>700</v>
      </c>
    </row>
    <row r="1853" spans="1:13" x14ac:dyDescent="0.25">
      <c r="A1853" t="s">
        <v>86</v>
      </c>
      <c r="B1853" s="6" t="s">
        <v>276</v>
      </c>
      <c r="C1853" s="13">
        <v>107</v>
      </c>
      <c r="D1853" s="14" t="s">
        <v>90</v>
      </c>
      <c r="E1853">
        <v>8</v>
      </c>
      <c r="F1853" s="8">
        <f>VLOOKUP(financials[[#This Row],[productid]],Products!$B$2:$H$10,3)</f>
        <v>15</v>
      </c>
      <c r="G1853" s="8">
        <f>financials[[#This Row],[Units Sold]]*financials[[#This Row],[Sale Price]]</f>
        <v>120</v>
      </c>
      <c r="H1853" s="8">
        <f>IF(financials[[#This Row],[Discount Band]]="low",0.1,IF(financials[[#This Row],[Discount Band]]="medium",0.15,0.3))</f>
        <v>0.15</v>
      </c>
      <c r="I1853" s="8">
        <f>financials[[#This Row],[Gross Sales]]-financials[[#This Row],[Gross Sales]]*financials[[#This Row],[Discounts]]</f>
        <v>102</v>
      </c>
      <c r="J1853" s="8">
        <f>VLOOKUP(financials[[#This Row],[productid]],Products!$B$2:$H$10,4)</f>
        <v>5.5</v>
      </c>
      <c r="K1853" s="8">
        <f>financials[[#This Row],[Net Sales]]-financials[[#This Row],[COGS]]</f>
        <v>96.5</v>
      </c>
      <c r="L1853" s="15">
        <v>44471</v>
      </c>
      <c r="M1853" t="s">
        <v>696</v>
      </c>
    </row>
    <row r="1854" spans="1:13" x14ac:dyDescent="0.25">
      <c r="A1854" t="s">
        <v>89</v>
      </c>
      <c r="B1854" s="6" t="s">
        <v>276</v>
      </c>
      <c r="C1854" s="11">
        <v>102</v>
      </c>
      <c r="D1854" s="9" t="s">
        <v>90</v>
      </c>
      <c r="E1854">
        <v>20</v>
      </c>
      <c r="F1854" s="8">
        <f>VLOOKUP(financials[[#This Row],[productid]],Products!$B$2:$H$10,3)</f>
        <v>15</v>
      </c>
      <c r="G1854" s="8">
        <f>financials[[#This Row],[Units Sold]]*financials[[#This Row],[Sale Price]]</f>
        <v>300</v>
      </c>
      <c r="H1854" s="8">
        <f>IF(financials[[#This Row],[Discount Band]]="low",0.1,IF(financials[[#This Row],[Discount Band]]="medium",0.15,0.3))</f>
        <v>0.15</v>
      </c>
      <c r="I1854" s="8">
        <f>financials[[#This Row],[Gross Sales]]-financials[[#This Row],[Gross Sales]]*financials[[#This Row],[Discounts]]</f>
        <v>255</v>
      </c>
      <c r="J1854" s="8">
        <f>VLOOKUP(financials[[#This Row],[productid]],Products!$B$2:$H$10,4)</f>
        <v>13.95</v>
      </c>
      <c r="K1854" s="8">
        <f>financials[[#This Row],[Net Sales]]-financials[[#This Row],[COGS]]</f>
        <v>241.05</v>
      </c>
      <c r="L1854" s="15">
        <v>45372</v>
      </c>
      <c r="M1854" t="s">
        <v>700</v>
      </c>
    </row>
    <row r="1855" spans="1:13" x14ac:dyDescent="0.25">
      <c r="A1855" t="s">
        <v>89</v>
      </c>
      <c r="B1855" s="6" t="s">
        <v>205</v>
      </c>
      <c r="C1855" s="13">
        <v>102</v>
      </c>
      <c r="D1855" s="14" t="s">
        <v>90</v>
      </c>
      <c r="E1855">
        <v>15</v>
      </c>
      <c r="F1855" s="8">
        <f>VLOOKUP(financials[[#This Row],[productid]],Products!$B$2:$H$10,3)</f>
        <v>15</v>
      </c>
      <c r="G1855" s="8">
        <f>financials[[#This Row],[Units Sold]]*financials[[#This Row],[Sale Price]]</f>
        <v>225</v>
      </c>
      <c r="H1855" s="8">
        <f>IF(financials[[#This Row],[Discount Band]]="low",0.1,IF(financials[[#This Row],[Discount Band]]="medium",0.15,0.3))</f>
        <v>0.15</v>
      </c>
      <c r="I1855" s="8">
        <f>financials[[#This Row],[Gross Sales]]-financials[[#This Row],[Gross Sales]]*financials[[#This Row],[Discounts]]</f>
        <v>191.25</v>
      </c>
      <c r="J1855" s="8">
        <f>VLOOKUP(financials[[#This Row],[productid]],Products!$B$2:$H$10,4)</f>
        <v>13.95</v>
      </c>
      <c r="K1855" s="8">
        <f>financials[[#This Row],[Net Sales]]-financials[[#This Row],[COGS]]</f>
        <v>177.3</v>
      </c>
      <c r="L1855" s="15">
        <v>44344</v>
      </c>
      <c r="M1855" t="s">
        <v>696</v>
      </c>
    </row>
    <row r="1856" spans="1:13" x14ac:dyDescent="0.25">
      <c r="A1856" t="s">
        <v>86</v>
      </c>
      <c r="B1856" s="6" t="s">
        <v>95</v>
      </c>
      <c r="C1856" s="11">
        <v>103</v>
      </c>
      <c r="D1856" s="9" t="s">
        <v>91</v>
      </c>
      <c r="E1856">
        <v>6</v>
      </c>
      <c r="F1856" s="8">
        <f>VLOOKUP(financials[[#This Row],[productid]],Products!$B$2:$H$10,3)</f>
        <v>28</v>
      </c>
      <c r="G1856" s="8">
        <f>financials[[#This Row],[Units Sold]]*financials[[#This Row],[Sale Price]]</f>
        <v>168</v>
      </c>
      <c r="H1856" s="8">
        <f>IF(financials[[#This Row],[Discount Band]]="low",0.1,IF(financials[[#This Row],[Discount Band]]="medium",0.15,0.3))</f>
        <v>0.1</v>
      </c>
      <c r="I1856" s="8">
        <f>financials[[#This Row],[Gross Sales]]-financials[[#This Row],[Gross Sales]]*financials[[#This Row],[Discounts]]</f>
        <v>151.19999999999999</v>
      </c>
      <c r="J1856" s="8">
        <f>VLOOKUP(financials[[#This Row],[productid]],Products!$B$2:$H$10,4)</f>
        <v>15</v>
      </c>
      <c r="K1856" s="8">
        <f>financials[[#This Row],[Net Sales]]-financials[[#This Row],[COGS]]</f>
        <v>136.19999999999999</v>
      </c>
      <c r="L1856" s="15">
        <v>45543</v>
      </c>
      <c r="M1856" t="s">
        <v>697</v>
      </c>
    </row>
    <row r="1857" spans="1:13" x14ac:dyDescent="0.25">
      <c r="A1857" t="s">
        <v>87</v>
      </c>
      <c r="B1857" s="6" t="s">
        <v>644</v>
      </c>
      <c r="C1857" s="13">
        <v>101</v>
      </c>
      <c r="D1857" s="14" t="s">
        <v>83</v>
      </c>
      <c r="E1857">
        <v>13</v>
      </c>
      <c r="F1857" s="8">
        <f>VLOOKUP(financials[[#This Row],[productid]],Products!$B$2:$H$10,3)</f>
        <v>23</v>
      </c>
      <c r="G1857" s="8">
        <f>financials[[#This Row],[Units Sold]]*financials[[#This Row],[Sale Price]]</f>
        <v>299</v>
      </c>
      <c r="H1857" s="8">
        <f>IF(financials[[#This Row],[Discount Band]]="low",0.1,IF(financials[[#This Row],[Discount Band]]="medium",0.15,0.3))</f>
        <v>0.3</v>
      </c>
      <c r="I1857" s="8">
        <f>financials[[#This Row],[Gross Sales]]-financials[[#This Row],[Gross Sales]]*financials[[#This Row],[Discounts]]</f>
        <v>209.3</v>
      </c>
      <c r="J1857" s="8">
        <f>VLOOKUP(financials[[#This Row],[productid]],Products!$B$2:$H$10,4)</f>
        <v>9.9499999999999993</v>
      </c>
      <c r="K1857" s="8">
        <f>financials[[#This Row],[Net Sales]]-financials[[#This Row],[COGS]]</f>
        <v>199.35000000000002</v>
      </c>
      <c r="L1857" s="15">
        <v>45584</v>
      </c>
      <c r="M1857" t="s">
        <v>700</v>
      </c>
    </row>
    <row r="1858" spans="1:13" x14ac:dyDescent="0.25">
      <c r="A1858" t="s">
        <v>86</v>
      </c>
      <c r="B1858" s="6" t="s">
        <v>84</v>
      </c>
      <c r="C1858" s="13">
        <v>103</v>
      </c>
      <c r="D1858" s="14" t="s">
        <v>91</v>
      </c>
      <c r="E1858">
        <v>12</v>
      </c>
      <c r="F1858" s="8">
        <f>VLOOKUP(financials[[#This Row],[productid]],Products!$B$2:$H$10,3)</f>
        <v>28</v>
      </c>
      <c r="G1858" s="8">
        <f>financials[[#This Row],[Units Sold]]*financials[[#This Row],[Sale Price]]</f>
        <v>336</v>
      </c>
      <c r="H1858" s="8">
        <f>IF(financials[[#This Row],[Discount Band]]="low",0.1,IF(financials[[#This Row],[Discount Band]]="medium",0.15,0.3))</f>
        <v>0.1</v>
      </c>
      <c r="I1858" s="8">
        <f>financials[[#This Row],[Gross Sales]]-financials[[#This Row],[Gross Sales]]*financials[[#This Row],[Discounts]]</f>
        <v>302.39999999999998</v>
      </c>
      <c r="J1858" s="8">
        <f>VLOOKUP(financials[[#This Row],[productid]],Products!$B$2:$H$10,4)</f>
        <v>15</v>
      </c>
      <c r="K1858" s="8">
        <f>financials[[#This Row],[Net Sales]]-financials[[#This Row],[COGS]]</f>
        <v>287.39999999999998</v>
      </c>
      <c r="L1858" s="15">
        <v>45080</v>
      </c>
      <c r="M1858" t="s">
        <v>700</v>
      </c>
    </row>
    <row r="1859" spans="1:13" x14ac:dyDescent="0.25">
      <c r="A1859" t="s">
        <v>86</v>
      </c>
      <c r="B1859" s="6" t="s">
        <v>159</v>
      </c>
      <c r="C1859" s="13">
        <v>108</v>
      </c>
      <c r="D1859" s="14" t="s">
        <v>90</v>
      </c>
      <c r="E1859">
        <v>5</v>
      </c>
      <c r="F1859" s="8">
        <f>VLOOKUP(financials[[#This Row],[productid]],Products!$B$2:$H$10,3)</f>
        <v>5.5</v>
      </c>
      <c r="G1859" s="8">
        <f>financials[[#This Row],[Units Sold]]*financials[[#This Row],[Sale Price]]</f>
        <v>27.5</v>
      </c>
      <c r="H1859" s="8">
        <f>IF(financials[[#This Row],[Discount Band]]="low",0.1,IF(financials[[#This Row],[Discount Band]]="medium",0.15,0.3))</f>
        <v>0.15</v>
      </c>
      <c r="I1859" s="8">
        <f>financials[[#This Row],[Gross Sales]]-financials[[#This Row],[Gross Sales]]*financials[[#This Row],[Discounts]]</f>
        <v>23.375</v>
      </c>
      <c r="J1859" s="8">
        <f>VLOOKUP(financials[[#This Row],[productid]],Products!$B$2:$H$10,4)</f>
        <v>3.99</v>
      </c>
      <c r="K1859" s="8">
        <f>financials[[#This Row],[Net Sales]]-financials[[#This Row],[COGS]]</f>
        <v>19.384999999999998</v>
      </c>
      <c r="L1859" s="15">
        <v>45605</v>
      </c>
      <c r="M1859" t="s">
        <v>696</v>
      </c>
    </row>
    <row r="1860" spans="1:13" x14ac:dyDescent="0.25">
      <c r="A1860" t="s">
        <v>86</v>
      </c>
      <c r="B1860" s="6" t="s">
        <v>84</v>
      </c>
      <c r="C1860" s="13">
        <v>105</v>
      </c>
      <c r="D1860" s="14" t="s">
        <v>91</v>
      </c>
      <c r="E1860">
        <v>8</v>
      </c>
      <c r="F1860" s="8">
        <f>VLOOKUP(financials[[#This Row],[productid]],Products!$B$2:$H$10,3)</f>
        <v>15</v>
      </c>
      <c r="G1860" s="8">
        <f>financials[[#This Row],[Units Sold]]*financials[[#This Row],[Sale Price]]</f>
        <v>120</v>
      </c>
      <c r="H1860" s="8">
        <f>IF(financials[[#This Row],[Discount Band]]="low",0.1,IF(financials[[#This Row],[Discount Band]]="medium",0.15,0.3))</f>
        <v>0.1</v>
      </c>
      <c r="I1860" s="8">
        <f>financials[[#This Row],[Gross Sales]]-financials[[#This Row],[Gross Sales]]*financials[[#This Row],[Discounts]]</f>
        <v>108</v>
      </c>
      <c r="J1860" s="8">
        <f>VLOOKUP(financials[[#This Row],[productid]],Products!$B$2:$H$10,4)</f>
        <v>10</v>
      </c>
      <c r="K1860" s="8">
        <f>financials[[#This Row],[Net Sales]]-financials[[#This Row],[COGS]]</f>
        <v>98</v>
      </c>
      <c r="L1860" s="15">
        <v>45247</v>
      </c>
      <c r="M1860" t="s">
        <v>697</v>
      </c>
    </row>
    <row r="1861" spans="1:13" x14ac:dyDescent="0.25">
      <c r="A1861" t="s">
        <v>86</v>
      </c>
      <c r="B1861" s="6" t="s">
        <v>167</v>
      </c>
      <c r="C1861" s="13">
        <v>108</v>
      </c>
      <c r="D1861" s="14" t="s">
        <v>90</v>
      </c>
      <c r="E1861">
        <v>20</v>
      </c>
      <c r="F1861" s="8">
        <f>VLOOKUP(financials[[#This Row],[productid]],Products!$B$2:$H$10,3)</f>
        <v>5.5</v>
      </c>
      <c r="G1861" s="8">
        <f>financials[[#This Row],[Units Sold]]*financials[[#This Row],[Sale Price]]</f>
        <v>110</v>
      </c>
      <c r="H1861" s="8">
        <f>IF(financials[[#This Row],[Discount Band]]="low",0.1,IF(financials[[#This Row],[Discount Band]]="medium",0.15,0.3))</f>
        <v>0.15</v>
      </c>
      <c r="I1861" s="8">
        <f>financials[[#This Row],[Gross Sales]]-financials[[#This Row],[Gross Sales]]*financials[[#This Row],[Discounts]]</f>
        <v>93.5</v>
      </c>
      <c r="J1861" s="8">
        <f>VLOOKUP(financials[[#This Row],[productid]],Products!$B$2:$H$10,4)</f>
        <v>3.99</v>
      </c>
      <c r="K1861" s="8">
        <f>financials[[#This Row],[Net Sales]]-financials[[#This Row],[COGS]]</f>
        <v>89.51</v>
      </c>
      <c r="L1861" s="15">
        <v>44508</v>
      </c>
      <c r="M1861" t="s">
        <v>697</v>
      </c>
    </row>
    <row r="1862" spans="1:13" x14ac:dyDescent="0.25">
      <c r="A1862" t="s">
        <v>86</v>
      </c>
      <c r="B1862" s="6" t="s">
        <v>84</v>
      </c>
      <c r="C1862" s="11">
        <v>107</v>
      </c>
      <c r="D1862" s="9" t="s">
        <v>90</v>
      </c>
      <c r="E1862">
        <v>10</v>
      </c>
      <c r="F1862" s="8">
        <f>VLOOKUP(financials[[#This Row],[productid]],Products!$B$2:$H$10,3)</f>
        <v>15</v>
      </c>
      <c r="G1862" s="8">
        <f>financials[[#This Row],[Units Sold]]*financials[[#This Row],[Sale Price]]</f>
        <v>150</v>
      </c>
      <c r="H1862" s="8">
        <f>IF(financials[[#This Row],[Discount Band]]="low",0.1,IF(financials[[#This Row],[Discount Band]]="medium",0.15,0.3))</f>
        <v>0.15</v>
      </c>
      <c r="I1862" s="8">
        <f>financials[[#This Row],[Gross Sales]]-financials[[#This Row],[Gross Sales]]*financials[[#This Row],[Discounts]]</f>
        <v>127.5</v>
      </c>
      <c r="J1862" s="8">
        <f>VLOOKUP(financials[[#This Row],[productid]],Products!$B$2:$H$10,4)</f>
        <v>5.5</v>
      </c>
      <c r="K1862" s="8">
        <f>financials[[#This Row],[Net Sales]]-financials[[#This Row],[COGS]]</f>
        <v>122</v>
      </c>
      <c r="L1862" s="15">
        <v>44123</v>
      </c>
      <c r="M1862" t="s">
        <v>691</v>
      </c>
    </row>
    <row r="1863" spans="1:13" x14ac:dyDescent="0.25">
      <c r="A1863" t="s">
        <v>87</v>
      </c>
      <c r="B1863" s="6" t="s">
        <v>266</v>
      </c>
      <c r="C1863" s="13">
        <v>101</v>
      </c>
      <c r="D1863" s="14" t="s">
        <v>83</v>
      </c>
      <c r="E1863">
        <v>19</v>
      </c>
      <c r="F1863" s="8">
        <f>VLOOKUP(financials[[#This Row],[productid]],Products!$B$2:$H$10,3)</f>
        <v>23</v>
      </c>
      <c r="G1863" s="8">
        <f>financials[[#This Row],[Units Sold]]*financials[[#This Row],[Sale Price]]</f>
        <v>437</v>
      </c>
      <c r="H1863" s="8">
        <f>IF(financials[[#This Row],[Discount Band]]="low",0.1,IF(financials[[#This Row],[Discount Band]]="medium",0.15,0.3))</f>
        <v>0.3</v>
      </c>
      <c r="I1863" s="8">
        <f>financials[[#This Row],[Gross Sales]]-financials[[#This Row],[Gross Sales]]*financials[[#This Row],[Discounts]]</f>
        <v>305.89999999999998</v>
      </c>
      <c r="J1863" s="8">
        <f>VLOOKUP(financials[[#This Row],[productid]],Products!$B$2:$H$10,4)</f>
        <v>9.9499999999999993</v>
      </c>
      <c r="K1863" s="8">
        <f>financials[[#This Row],[Net Sales]]-financials[[#This Row],[COGS]]</f>
        <v>295.95</v>
      </c>
      <c r="L1863" s="15">
        <v>45191</v>
      </c>
      <c r="M1863" t="s">
        <v>696</v>
      </c>
    </row>
    <row r="1864" spans="1:13" x14ac:dyDescent="0.25">
      <c r="A1864" t="s">
        <v>89</v>
      </c>
      <c r="B1864" s="6" t="s">
        <v>205</v>
      </c>
      <c r="C1864" s="13">
        <v>104</v>
      </c>
      <c r="D1864" s="14" t="s">
        <v>90</v>
      </c>
      <c r="E1864">
        <v>5</v>
      </c>
      <c r="F1864" s="8">
        <f>VLOOKUP(financials[[#This Row],[productid]],Products!$B$2:$H$10,3)</f>
        <v>5.9</v>
      </c>
      <c r="G1864" s="8">
        <f>financials[[#This Row],[Units Sold]]*financials[[#This Row],[Sale Price]]</f>
        <v>29.5</v>
      </c>
      <c r="H1864" s="8">
        <f>IF(financials[[#This Row],[Discount Band]]="low",0.1,IF(financials[[#This Row],[Discount Band]]="medium",0.15,0.3))</f>
        <v>0.15</v>
      </c>
      <c r="I1864" s="8">
        <f>financials[[#This Row],[Gross Sales]]-financials[[#This Row],[Gross Sales]]*financials[[#This Row],[Discounts]]</f>
        <v>25.074999999999999</v>
      </c>
      <c r="J1864" s="8">
        <f>VLOOKUP(financials[[#This Row],[productid]],Products!$B$2:$H$10,4)</f>
        <v>2.9</v>
      </c>
      <c r="K1864" s="8">
        <f>financials[[#This Row],[Net Sales]]-financials[[#This Row],[COGS]]</f>
        <v>22.175000000000001</v>
      </c>
      <c r="L1864" s="15">
        <v>44295</v>
      </c>
      <c r="M1864" t="s">
        <v>691</v>
      </c>
    </row>
    <row r="1865" spans="1:13" x14ac:dyDescent="0.25">
      <c r="A1865" t="s">
        <v>86</v>
      </c>
      <c r="B1865" s="6" t="s">
        <v>94</v>
      </c>
      <c r="C1865" s="13">
        <v>109</v>
      </c>
      <c r="D1865" s="14" t="s">
        <v>91</v>
      </c>
      <c r="E1865">
        <v>6</v>
      </c>
      <c r="F1865" s="8">
        <f>VLOOKUP(financials[[#This Row],[productid]],Products!$B$2:$H$10,3)</f>
        <v>36</v>
      </c>
      <c r="G1865" s="8">
        <f>financials[[#This Row],[Units Sold]]*financials[[#This Row],[Sale Price]]</f>
        <v>216</v>
      </c>
      <c r="H1865" s="8">
        <f>IF(financials[[#This Row],[Discount Band]]="low",0.1,IF(financials[[#This Row],[Discount Band]]="medium",0.15,0.3))</f>
        <v>0.1</v>
      </c>
      <c r="I1865" s="8">
        <f>financials[[#This Row],[Gross Sales]]-financials[[#This Row],[Gross Sales]]*financials[[#This Row],[Discounts]]</f>
        <v>194.4</v>
      </c>
      <c r="J1865" s="8">
        <f>VLOOKUP(financials[[#This Row],[productid]],Products!$B$2:$H$10,4)</f>
        <v>16.8</v>
      </c>
      <c r="K1865" s="8">
        <f>financials[[#This Row],[Net Sales]]-financials[[#This Row],[COGS]]</f>
        <v>177.6</v>
      </c>
      <c r="L1865" s="15">
        <v>44903</v>
      </c>
      <c r="M1865" t="s">
        <v>700</v>
      </c>
    </row>
    <row r="1866" spans="1:13" x14ac:dyDescent="0.25">
      <c r="A1866" t="s">
        <v>86</v>
      </c>
      <c r="B1866" s="6" t="s">
        <v>198</v>
      </c>
      <c r="C1866" s="13">
        <v>101</v>
      </c>
      <c r="D1866" s="14" t="s">
        <v>90</v>
      </c>
      <c r="E1866">
        <v>10</v>
      </c>
      <c r="F1866" s="8">
        <f>VLOOKUP(financials[[#This Row],[productid]],Products!$B$2:$H$10,3)</f>
        <v>23</v>
      </c>
      <c r="G1866" s="8">
        <f>financials[[#This Row],[Units Sold]]*financials[[#This Row],[Sale Price]]</f>
        <v>230</v>
      </c>
      <c r="H1866" s="8">
        <f>IF(financials[[#This Row],[Discount Band]]="low",0.1,IF(financials[[#This Row],[Discount Band]]="medium",0.15,0.3))</f>
        <v>0.15</v>
      </c>
      <c r="I1866" s="8">
        <f>financials[[#This Row],[Gross Sales]]-financials[[#This Row],[Gross Sales]]*financials[[#This Row],[Discounts]]</f>
        <v>195.5</v>
      </c>
      <c r="J1866" s="8">
        <f>VLOOKUP(financials[[#This Row],[productid]],Products!$B$2:$H$10,4)</f>
        <v>9.9499999999999993</v>
      </c>
      <c r="K1866" s="8">
        <f>financials[[#This Row],[Net Sales]]-financials[[#This Row],[COGS]]</f>
        <v>185.55</v>
      </c>
      <c r="L1866" s="15">
        <v>44543</v>
      </c>
      <c r="M1866" t="s">
        <v>697</v>
      </c>
    </row>
    <row r="1867" spans="1:13" x14ac:dyDescent="0.25">
      <c r="A1867" t="s">
        <v>86</v>
      </c>
      <c r="B1867" s="6" t="s">
        <v>84</v>
      </c>
      <c r="C1867" s="13">
        <v>107</v>
      </c>
      <c r="D1867" s="14" t="s">
        <v>83</v>
      </c>
      <c r="E1867">
        <v>9</v>
      </c>
      <c r="F1867" s="8">
        <f>VLOOKUP(financials[[#This Row],[productid]],Products!$B$2:$H$10,3)</f>
        <v>15</v>
      </c>
      <c r="G1867" s="8">
        <f>financials[[#This Row],[Units Sold]]*financials[[#This Row],[Sale Price]]</f>
        <v>135</v>
      </c>
      <c r="H1867" s="8">
        <f>IF(financials[[#This Row],[Discount Band]]="low",0.1,IF(financials[[#This Row],[Discount Band]]="medium",0.15,0.3))</f>
        <v>0.3</v>
      </c>
      <c r="I1867" s="8">
        <f>financials[[#This Row],[Gross Sales]]-financials[[#This Row],[Gross Sales]]*financials[[#This Row],[Discounts]]</f>
        <v>94.5</v>
      </c>
      <c r="J1867" s="8">
        <f>VLOOKUP(financials[[#This Row],[productid]],Products!$B$2:$H$10,4)</f>
        <v>5.5</v>
      </c>
      <c r="K1867" s="8">
        <f>financials[[#This Row],[Net Sales]]-financials[[#This Row],[COGS]]</f>
        <v>89</v>
      </c>
      <c r="L1867" s="15">
        <v>45343</v>
      </c>
      <c r="M1867" t="s">
        <v>696</v>
      </c>
    </row>
    <row r="1868" spans="1:13" x14ac:dyDescent="0.25">
      <c r="A1868" t="s">
        <v>86</v>
      </c>
      <c r="B1868" s="6" t="s">
        <v>268</v>
      </c>
      <c r="C1868" s="13">
        <v>102</v>
      </c>
      <c r="D1868" s="14" t="s">
        <v>90</v>
      </c>
      <c r="E1868">
        <v>18</v>
      </c>
      <c r="F1868" s="8">
        <f>VLOOKUP(financials[[#This Row],[productid]],Products!$B$2:$H$10,3)</f>
        <v>15</v>
      </c>
      <c r="G1868" s="8">
        <f>financials[[#This Row],[Units Sold]]*financials[[#This Row],[Sale Price]]</f>
        <v>270</v>
      </c>
      <c r="H1868" s="8">
        <f>IF(financials[[#This Row],[Discount Band]]="low",0.1,IF(financials[[#This Row],[Discount Band]]="medium",0.15,0.3))</f>
        <v>0.15</v>
      </c>
      <c r="I1868" s="8">
        <f>financials[[#This Row],[Gross Sales]]-financials[[#This Row],[Gross Sales]]*financials[[#This Row],[Discounts]]</f>
        <v>229.5</v>
      </c>
      <c r="J1868" s="8">
        <f>VLOOKUP(financials[[#This Row],[productid]],Products!$B$2:$H$10,4)</f>
        <v>13.95</v>
      </c>
      <c r="K1868" s="8">
        <f>financials[[#This Row],[Net Sales]]-financials[[#This Row],[COGS]]</f>
        <v>215.55</v>
      </c>
      <c r="L1868" s="15">
        <v>45411</v>
      </c>
      <c r="M1868" t="s">
        <v>690</v>
      </c>
    </row>
    <row r="1869" spans="1:13" x14ac:dyDescent="0.25">
      <c r="A1869" t="s">
        <v>86</v>
      </c>
      <c r="B1869" s="6" t="s">
        <v>95</v>
      </c>
      <c r="C1869" s="13">
        <v>106</v>
      </c>
      <c r="D1869" s="14" t="s">
        <v>90</v>
      </c>
      <c r="E1869">
        <v>17</v>
      </c>
      <c r="F1869" s="8">
        <f>VLOOKUP(financials[[#This Row],[productid]],Products!$B$2:$H$10,3)</f>
        <v>25</v>
      </c>
      <c r="G1869" s="8">
        <f>financials[[#This Row],[Units Sold]]*financials[[#This Row],[Sale Price]]</f>
        <v>425</v>
      </c>
      <c r="H1869" s="8">
        <f>IF(financials[[#This Row],[Discount Band]]="low",0.1,IF(financials[[#This Row],[Discount Band]]="medium",0.15,0.3))</f>
        <v>0.15</v>
      </c>
      <c r="I1869" s="8">
        <f>financials[[#This Row],[Gross Sales]]-financials[[#This Row],[Gross Sales]]*financials[[#This Row],[Discounts]]</f>
        <v>361.25</v>
      </c>
      <c r="J1869" s="8">
        <f>VLOOKUP(financials[[#This Row],[productid]],Products!$B$2:$H$10,4)</f>
        <v>9.1</v>
      </c>
      <c r="K1869" s="8">
        <f>financials[[#This Row],[Net Sales]]-financials[[#This Row],[COGS]]</f>
        <v>352.15</v>
      </c>
      <c r="L1869" s="15">
        <v>44721</v>
      </c>
      <c r="M1869" t="s">
        <v>690</v>
      </c>
    </row>
    <row r="1870" spans="1:13" x14ac:dyDescent="0.25">
      <c r="A1870" t="s">
        <v>86</v>
      </c>
      <c r="B1870" s="6" t="s">
        <v>84</v>
      </c>
      <c r="C1870" s="11">
        <v>102</v>
      </c>
      <c r="D1870" s="9" t="s">
        <v>91</v>
      </c>
      <c r="E1870">
        <v>13</v>
      </c>
      <c r="F1870" s="8">
        <f>VLOOKUP(financials[[#This Row],[productid]],Products!$B$2:$H$10,3)</f>
        <v>15</v>
      </c>
      <c r="G1870" s="8">
        <f>financials[[#This Row],[Units Sold]]*financials[[#This Row],[Sale Price]]</f>
        <v>195</v>
      </c>
      <c r="H1870" s="8">
        <f>IF(financials[[#This Row],[Discount Band]]="low",0.1,IF(financials[[#This Row],[Discount Band]]="medium",0.15,0.3))</f>
        <v>0.1</v>
      </c>
      <c r="I1870" s="8">
        <f>financials[[#This Row],[Gross Sales]]-financials[[#This Row],[Gross Sales]]*financials[[#This Row],[Discounts]]</f>
        <v>175.5</v>
      </c>
      <c r="J1870" s="8">
        <f>VLOOKUP(financials[[#This Row],[productid]],Products!$B$2:$H$10,4)</f>
        <v>13.95</v>
      </c>
      <c r="K1870" s="8">
        <f>financials[[#This Row],[Net Sales]]-financials[[#This Row],[COGS]]</f>
        <v>161.55000000000001</v>
      </c>
      <c r="L1870" s="15">
        <v>44470</v>
      </c>
      <c r="M1870" t="s">
        <v>700</v>
      </c>
    </row>
    <row r="1871" spans="1:13" x14ac:dyDescent="0.25">
      <c r="A1871" t="s">
        <v>86</v>
      </c>
      <c r="B1871" s="6" t="s">
        <v>198</v>
      </c>
      <c r="C1871" s="13">
        <v>104</v>
      </c>
      <c r="D1871" s="14" t="s">
        <v>83</v>
      </c>
      <c r="E1871">
        <v>17</v>
      </c>
      <c r="F1871" s="8">
        <f>VLOOKUP(financials[[#This Row],[productid]],Products!$B$2:$H$10,3)</f>
        <v>5.9</v>
      </c>
      <c r="G1871" s="8">
        <f>financials[[#This Row],[Units Sold]]*financials[[#This Row],[Sale Price]]</f>
        <v>100.30000000000001</v>
      </c>
      <c r="H1871" s="8">
        <f>IF(financials[[#This Row],[Discount Band]]="low",0.1,IF(financials[[#This Row],[Discount Band]]="medium",0.15,0.3))</f>
        <v>0.3</v>
      </c>
      <c r="I1871" s="8">
        <f>financials[[#This Row],[Gross Sales]]-financials[[#This Row],[Gross Sales]]*financials[[#This Row],[Discounts]]</f>
        <v>70.210000000000008</v>
      </c>
      <c r="J1871" s="8">
        <f>VLOOKUP(financials[[#This Row],[productid]],Products!$B$2:$H$10,4)</f>
        <v>2.9</v>
      </c>
      <c r="K1871" s="8">
        <f>financials[[#This Row],[Net Sales]]-financials[[#This Row],[COGS]]</f>
        <v>67.31</v>
      </c>
      <c r="L1871" s="15">
        <v>44684</v>
      </c>
      <c r="M1871" t="s">
        <v>696</v>
      </c>
    </row>
    <row r="1872" spans="1:13" x14ac:dyDescent="0.25">
      <c r="A1872" t="s">
        <v>86</v>
      </c>
      <c r="B1872" s="6" t="s">
        <v>84</v>
      </c>
      <c r="C1872" s="13">
        <v>105</v>
      </c>
      <c r="D1872" s="14" t="s">
        <v>92</v>
      </c>
      <c r="E1872">
        <v>8</v>
      </c>
      <c r="F1872" s="8">
        <f>VLOOKUP(financials[[#This Row],[productid]],Products!$B$2:$H$10,3)</f>
        <v>15</v>
      </c>
      <c r="G1872" s="8">
        <f>financials[[#This Row],[Units Sold]]*financials[[#This Row],[Sale Price]]</f>
        <v>120</v>
      </c>
      <c r="H1872" s="8">
        <f>IF(financials[[#This Row],[Discount Band]]="low",0.1,IF(financials[[#This Row],[Discount Band]]="medium",0.15,0.3))</f>
        <v>0.3</v>
      </c>
      <c r="I1872" s="8">
        <f>financials[[#This Row],[Gross Sales]]-financials[[#This Row],[Gross Sales]]*financials[[#This Row],[Discounts]]</f>
        <v>84</v>
      </c>
      <c r="J1872" s="8">
        <f>VLOOKUP(financials[[#This Row],[productid]],Products!$B$2:$H$10,4)</f>
        <v>10</v>
      </c>
      <c r="K1872" s="8">
        <f>financials[[#This Row],[Net Sales]]-financials[[#This Row],[COGS]]</f>
        <v>74</v>
      </c>
      <c r="L1872" s="15">
        <v>44923</v>
      </c>
      <c r="M1872" t="s">
        <v>690</v>
      </c>
    </row>
    <row r="1873" spans="1:13" x14ac:dyDescent="0.25">
      <c r="A1873" t="s">
        <v>86</v>
      </c>
      <c r="B1873" s="6" t="s">
        <v>276</v>
      </c>
      <c r="C1873" s="13">
        <v>109</v>
      </c>
      <c r="D1873" s="14" t="s">
        <v>90</v>
      </c>
      <c r="E1873">
        <v>18</v>
      </c>
      <c r="F1873" s="8">
        <f>VLOOKUP(financials[[#This Row],[productid]],Products!$B$2:$H$10,3)</f>
        <v>36</v>
      </c>
      <c r="G1873" s="8">
        <f>financials[[#This Row],[Units Sold]]*financials[[#This Row],[Sale Price]]</f>
        <v>648</v>
      </c>
      <c r="H1873" s="8">
        <f>IF(financials[[#This Row],[Discount Band]]="low",0.1,IF(financials[[#This Row],[Discount Band]]="medium",0.15,0.3))</f>
        <v>0.15</v>
      </c>
      <c r="I1873" s="8">
        <f>financials[[#This Row],[Gross Sales]]-financials[[#This Row],[Gross Sales]]*financials[[#This Row],[Discounts]]</f>
        <v>550.79999999999995</v>
      </c>
      <c r="J1873" s="8">
        <f>VLOOKUP(financials[[#This Row],[productid]],Products!$B$2:$H$10,4)</f>
        <v>16.8</v>
      </c>
      <c r="K1873" s="8">
        <f>financials[[#This Row],[Net Sales]]-financials[[#This Row],[COGS]]</f>
        <v>534</v>
      </c>
      <c r="L1873" s="15">
        <v>44342</v>
      </c>
      <c r="M1873" t="s">
        <v>691</v>
      </c>
    </row>
    <row r="1874" spans="1:13" x14ac:dyDescent="0.25">
      <c r="A1874" t="s">
        <v>86</v>
      </c>
      <c r="B1874" s="6" t="s">
        <v>94</v>
      </c>
      <c r="C1874" s="13">
        <v>103</v>
      </c>
      <c r="D1874" s="14" t="s">
        <v>83</v>
      </c>
      <c r="E1874">
        <v>7</v>
      </c>
      <c r="F1874" s="8">
        <f>VLOOKUP(financials[[#This Row],[productid]],Products!$B$2:$H$10,3)</f>
        <v>28</v>
      </c>
      <c r="G1874" s="8">
        <f>financials[[#This Row],[Units Sold]]*financials[[#This Row],[Sale Price]]</f>
        <v>196</v>
      </c>
      <c r="H1874" s="8">
        <f>IF(financials[[#This Row],[Discount Band]]="low",0.1,IF(financials[[#This Row],[Discount Band]]="medium",0.15,0.3))</f>
        <v>0.3</v>
      </c>
      <c r="I1874" s="8">
        <f>financials[[#This Row],[Gross Sales]]-financials[[#This Row],[Gross Sales]]*financials[[#This Row],[Discounts]]</f>
        <v>137.19999999999999</v>
      </c>
      <c r="J1874" s="8">
        <f>VLOOKUP(financials[[#This Row],[productid]],Products!$B$2:$H$10,4)</f>
        <v>15</v>
      </c>
      <c r="K1874" s="8">
        <f>financials[[#This Row],[Net Sales]]-financials[[#This Row],[COGS]]</f>
        <v>122.19999999999999</v>
      </c>
      <c r="L1874" s="15">
        <v>44314</v>
      </c>
      <c r="M1874" t="s">
        <v>696</v>
      </c>
    </row>
    <row r="1875" spans="1:13" x14ac:dyDescent="0.25">
      <c r="A1875" t="s">
        <v>86</v>
      </c>
      <c r="B1875" s="6" t="s">
        <v>644</v>
      </c>
      <c r="C1875" s="13">
        <v>107</v>
      </c>
      <c r="D1875" s="14" t="s">
        <v>91</v>
      </c>
      <c r="E1875">
        <v>11</v>
      </c>
      <c r="F1875" s="8">
        <f>VLOOKUP(financials[[#This Row],[productid]],Products!$B$2:$H$10,3)</f>
        <v>15</v>
      </c>
      <c r="G1875" s="8">
        <f>financials[[#This Row],[Units Sold]]*financials[[#This Row],[Sale Price]]</f>
        <v>165</v>
      </c>
      <c r="H1875" s="8">
        <f>IF(financials[[#This Row],[Discount Band]]="low",0.1,IF(financials[[#This Row],[Discount Band]]="medium",0.15,0.3))</f>
        <v>0.1</v>
      </c>
      <c r="I1875" s="8">
        <f>financials[[#This Row],[Gross Sales]]-financials[[#This Row],[Gross Sales]]*financials[[#This Row],[Discounts]]</f>
        <v>148.5</v>
      </c>
      <c r="J1875" s="8">
        <f>VLOOKUP(financials[[#This Row],[productid]],Products!$B$2:$H$10,4)</f>
        <v>5.5</v>
      </c>
      <c r="K1875" s="8">
        <f>financials[[#This Row],[Net Sales]]-financials[[#This Row],[COGS]]</f>
        <v>143</v>
      </c>
      <c r="L1875" s="15">
        <v>43887</v>
      </c>
      <c r="M1875" t="s">
        <v>700</v>
      </c>
    </row>
    <row r="1876" spans="1:13" x14ac:dyDescent="0.25">
      <c r="A1876" t="s">
        <v>86</v>
      </c>
      <c r="B1876" s="6" t="s">
        <v>159</v>
      </c>
      <c r="C1876" s="13">
        <v>104</v>
      </c>
      <c r="D1876" s="14" t="s">
        <v>83</v>
      </c>
      <c r="E1876">
        <v>9</v>
      </c>
      <c r="F1876" s="8">
        <f>VLOOKUP(financials[[#This Row],[productid]],Products!$B$2:$H$10,3)</f>
        <v>5.9</v>
      </c>
      <c r="G1876" s="8">
        <f>financials[[#This Row],[Units Sold]]*financials[[#This Row],[Sale Price]]</f>
        <v>53.1</v>
      </c>
      <c r="H1876" s="8">
        <f>IF(financials[[#This Row],[Discount Band]]="low",0.1,IF(financials[[#This Row],[Discount Band]]="medium",0.15,0.3))</f>
        <v>0.3</v>
      </c>
      <c r="I1876" s="8">
        <f>financials[[#This Row],[Gross Sales]]-financials[[#This Row],[Gross Sales]]*financials[[#This Row],[Discounts]]</f>
        <v>37.17</v>
      </c>
      <c r="J1876" s="8">
        <f>VLOOKUP(financials[[#This Row],[productid]],Products!$B$2:$H$10,4)</f>
        <v>2.9</v>
      </c>
      <c r="K1876" s="8">
        <f>financials[[#This Row],[Net Sales]]-financials[[#This Row],[COGS]]</f>
        <v>34.270000000000003</v>
      </c>
      <c r="L1876" s="15">
        <v>44833</v>
      </c>
      <c r="M1876" t="s">
        <v>696</v>
      </c>
    </row>
    <row r="1877" spans="1:13" x14ac:dyDescent="0.25">
      <c r="A1877" t="s">
        <v>86</v>
      </c>
      <c r="B1877" s="6" t="s">
        <v>273</v>
      </c>
      <c r="C1877" s="13">
        <v>109</v>
      </c>
      <c r="D1877" s="14" t="s">
        <v>90</v>
      </c>
      <c r="E1877">
        <v>15</v>
      </c>
      <c r="F1877" s="8">
        <f>VLOOKUP(financials[[#This Row],[productid]],Products!$B$2:$H$10,3)</f>
        <v>36</v>
      </c>
      <c r="G1877" s="8">
        <f>financials[[#This Row],[Units Sold]]*financials[[#This Row],[Sale Price]]</f>
        <v>540</v>
      </c>
      <c r="H1877" s="8">
        <f>IF(financials[[#This Row],[Discount Band]]="low",0.1,IF(financials[[#This Row],[Discount Band]]="medium",0.15,0.3))</f>
        <v>0.15</v>
      </c>
      <c r="I1877" s="8">
        <f>financials[[#This Row],[Gross Sales]]-financials[[#This Row],[Gross Sales]]*financials[[#This Row],[Discounts]]</f>
        <v>459</v>
      </c>
      <c r="J1877" s="8">
        <f>VLOOKUP(financials[[#This Row],[productid]],Products!$B$2:$H$10,4)</f>
        <v>16.8</v>
      </c>
      <c r="K1877" s="8">
        <f>financials[[#This Row],[Net Sales]]-financials[[#This Row],[COGS]]</f>
        <v>442.2</v>
      </c>
      <c r="L1877" s="15">
        <v>44925</v>
      </c>
      <c r="M1877" t="s">
        <v>691</v>
      </c>
    </row>
    <row r="1878" spans="1:13" x14ac:dyDescent="0.25">
      <c r="A1878" t="s">
        <v>86</v>
      </c>
      <c r="B1878" s="6" t="s">
        <v>167</v>
      </c>
      <c r="C1878" s="11">
        <v>101</v>
      </c>
      <c r="D1878" s="9" t="s">
        <v>92</v>
      </c>
      <c r="E1878">
        <v>20</v>
      </c>
      <c r="F1878" s="8">
        <f>VLOOKUP(financials[[#This Row],[productid]],Products!$B$2:$H$10,3)</f>
        <v>23</v>
      </c>
      <c r="G1878" s="8">
        <f>financials[[#This Row],[Units Sold]]*financials[[#This Row],[Sale Price]]</f>
        <v>460</v>
      </c>
      <c r="H1878" s="8">
        <f>IF(financials[[#This Row],[Discount Band]]="low",0.1,IF(financials[[#This Row],[Discount Band]]="medium",0.15,0.3))</f>
        <v>0.3</v>
      </c>
      <c r="I1878" s="8">
        <f>financials[[#This Row],[Gross Sales]]-financials[[#This Row],[Gross Sales]]*financials[[#This Row],[Discounts]]</f>
        <v>322</v>
      </c>
      <c r="J1878" s="8">
        <f>VLOOKUP(financials[[#This Row],[productid]],Products!$B$2:$H$10,4)</f>
        <v>9.9499999999999993</v>
      </c>
      <c r="K1878" s="8">
        <f>financials[[#This Row],[Net Sales]]-financials[[#This Row],[COGS]]</f>
        <v>312.05</v>
      </c>
      <c r="L1878" s="15">
        <v>44828</v>
      </c>
      <c r="M1878" t="s">
        <v>690</v>
      </c>
    </row>
    <row r="1879" spans="1:13" x14ac:dyDescent="0.25">
      <c r="A1879" t="s">
        <v>86</v>
      </c>
      <c r="B1879" s="6" t="s">
        <v>167</v>
      </c>
      <c r="C1879" s="13">
        <v>103</v>
      </c>
      <c r="D1879" s="14" t="s">
        <v>90</v>
      </c>
      <c r="E1879">
        <v>18</v>
      </c>
      <c r="F1879" s="8">
        <f>VLOOKUP(financials[[#This Row],[productid]],Products!$B$2:$H$10,3)</f>
        <v>28</v>
      </c>
      <c r="G1879" s="8">
        <f>financials[[#This Row],[Units Sold]]*financials[[#This Row],[Sale Price]]</f>
        <v>504</v>
      </c>
      <c r="H1879" s="8">
        <f>IF(financials[[#This Row],[Discount Band]]="low",0.1,IF(financials[[#This Row],[Discount Band]]="medium",0.15,0.3))</f>
        <v>0.15</v>
      </c>
      <c r="I1879" s="8">
        <f>financials[[#This Row],[Gross Sales]]-financials[[#This Row],[Gross Sales]]*financials[[#This Row],[Discounts]]</f>
        <v>428.4</v>
      </c>
      <c r="J1879" s="8">
        <f>VLOOKUP(financials[[#This Row],[productid]],Products!$B$2:$H$10,4)</f>
        <v>15</v>
      </c>
      <c r="K1879" s="8">
        <f>financials[[#This Row],[Net Sales]]-financials[[#This Row],[COGS]]</f>
        <v>413.4</v>
      </c>
      <c r="L1879" s="15">
        <v>44455</v>
      </c>
      <c r="M1879" t="s">
        <v>697</v>
      </c>
    </row>
    <row r="1880" spans="1:13" x14ac:dyDescent="0.25">
      <c r="A1880" t="s">
        <v>86</v>
      </c>
      <c r="B1880" s="6" t="s">
        <v>84</v>
      </c>
      <c r="C1880" s="13">
        <v>101</v>
      </c>
      <c r="D1880" s="14" t="s">
        <v>90</v>
      </c>
      <c r="E1880">
        <v>17</v>
      </c>
      <c r="F1880" s="8">
        <f>VLOOKUP(financials[[#This Row],[productid]],Products!$B$2:$H$10,3)</f>
        <v>23</v>
      </c>
      <c r="G1880" s="8">
        <f>financials[[#This Row],[Units Sold]]*financials[[#This Row],[Sale Price]]</f>
        <v>391</v>
      </c>
      <c r="H1880" s="8">
        <f>IF(financials[[#This Row],[Discount Band]]="low",0.1,IF(financials[[#This Row],[Discount Band]]="medium",0.15,0.3))</f>
        <v>0.15</v>
      </c>
      <c r="I1880" s="8">
        <f>financials[[#This Row],[Gross Sales]]-financials[[#This Row],[Gross Sales]]*financials[[#This Row],[Discounts]]</f>
        <v>332.35</v>
      </c>
      <c r="J1880" s="8">
        <f>VLOOKUP(financials[[#This Row],[productid]],Products!$B$2:$H$10,4)</f>
        <v>9.9499999999999993</v>
      </c>
      <c r="K1880" s="8">
        <f>financials[[#This Row],[Net Sales]]-financials[[#This Row],[COGS]]</f>
        <v>322.40000000000003</v>
      </c>
      <c r="L1880" s="15">
        <v>43867</v>
      </c>
      <c r="M1880" t="s">
        <v>697</v>
      </c>
    </row>
    <row r="1881" spans="1:13" x14ac:dyDescent="0.25">
      <c r="A1881" t="s">
        <v>87</v>
      </c>
      <c r="B1881" s="6" t="s">
        <v>644</v>
      </c>
      <c r="C1881" s="13">
        <v>108</v>
      </c>
      <c r="D1881" s="14" t="s">
        <v>90</v>
      </c>
      <c r="E1881">
        <v>19</v>
      </c>
      <c r="F1881" s="8">
        <f>VLOOKUP(financials[[#This Row],[productid]],Products!$B$2:$H$10,3)</f>
        <v>5.5</v>
      </c>
      <c r="G1881" s="8">
        <f>financials[[#This Row],[Units Sold]]*financials[[#This Row],[Sale Price]]</f>
        <v>104.5</v>
      </c>
      <c r="H1881" s="8">
        <f>IF(financials[[#This Row],[Discount Band]]="low",0.1,IF(financials[[#This Row],[Discount Band]]="medium",0.15,0.3))</f>
        <v>0.15</v>
      </c>
      <c r="I1881" s="8">
        <f>financials[[#This Row],[Gross Sales]]-financials[[#This Row],[Gross Sales]]*financials[[#This Row],[Discounts]]</f>
        <v>88.825000000000003</v>
      </c>
      <c r="J1881" s="8">
        <f>VLOOKUP(financials[[#This Row],[productid]],Products!$B$2:$H$10,4)</f>
        <v>3.99</v>
      </c>
      <c r="K1881" s="8">
        <f>financials[[#This Row],[Net Sales]]-financials[[#This Row],[COGS]]</f>
        <v>84.835000000000008</v>
      </c>
      <c r="L1881" s="15">
        <v>44905</v>
      </c>
      <c r="M1881" t="s">
        <v>697</v>
      </c>
    </row>
    <row r="1882" spans="1:13" x14ac:dyDescent="0.25">
      <c r="A1882" t="s">
        <v>86</v>
      </c>
      <c r="B1882" s="6" t="s">
        <v>84</v>
      </c>
      <c r="C1882" s="13">
        <v>109</v>
      </c>
      <c r="D1882" s="14" t="s">
        <v>91</v>
      </c>
      <c r="E1882">
        <v>11</v>
      </c>
      <c r="F1882" s="8">
        <f>VLOOKUP(financials[[#This Row],[productid]],Products!$B$2:$H$10,3)</f>
        <v>36</v>
      </c>
      <c r="G1882" s="8">
        <f>financials[[#This Row],[Units Sold]]*financials[[#This Row],[Sale Price]]</f>
        <v>396</v>
      </c>
      <c r="H1882" s="8">
        <f>IF(financials[[#This Row],[Discount Band]]="low",0.1,IF(financials[[#This Row],[Discount Band]]="medium",0.15,0.3))</f>
        <v>0.1</v>
      </c>
      <c r="I1882" s="8">
        <f>financials[[#This Row],[Gross Sales]]-financials[[#This Row],[Gross Sales]]*financials[[#This Row],[Discounts]]</f>
        <v>356.4</v>
      </c>
      <c r="J1882" s="8">
        <f>VLOOKUP(financials[[#This Row],[productid]],Products!$B$2:$H$10,4)</f>
        <v>16.8</v>
      </c>
      <c r="K1882" s="8">
        <f>financials[[#This Row],[Net Sales]]-financials[[#This Row],[COGS]]</f>
        <v>339.59999999999997</v>
      </c>
      <c r="L1882" s="15">
        <v>43975</v>
      </c>
      <c r="M1882" t="s">
        <v>696</v>
      </c>
    </row>
    <row r="1883" spans="1:13" x14ac:dyDescent="0.25">
      <c r="A1883" t="s">
        <v>86</v>
      </c>
      <c r="B1883" s="6" t="s">
        <v>159</v>
      </c>
      <c r="C1883" s="13">
        <v>102</v>
      </c>
      <c r="D1883" s="14" t="s">
        <v>90</v>
      </c>
      <c r="E1883">
        <v>16</v>
      </c>
      <c r="F1883" s="8">
        <f>VLOOKUP(financials[[#This Row],[productid]],Products!$B$2:$H$10,3)</f>
        <v>15</v>
      </c>
      <c r="G1883" s="8">
        <f>financials[[#This Row],[Units Sold]]*financials[[#This Row],[Sale Price]]</f>
        <v>240</v>
      </c>
      <c r="H1883" s="8">
        <f>IF(financials[[#This Row],[Discount Band]]="low",0.1,IF(financials[[#This Row],[Discount Band]]="medium",0.15,0.3))</f>
        <v>0.15</v>
      </c>
      <c r="I1883" s="8">
        <f>financials[[#This Row],[Gross Sales]]-financials[[#This Row],[Gross Sales]]*financials[[#This Row],[Discounts]]</f>
        <v>204</v>
      </c>
      <c r="J1883" s="8">
        <f>VLOOKUP(financials[[#This Row],[productid]],Products!$B$2:$H$10,4)</f>
        <v>13.95</v>
      </c>
      <c r="K1883" s="8">
        <f>financials[[#This Row],[Net Sales]]-financials[[#This Row],[COGS]]</f>
        <v>190.05</v>
      </c>
      <c r="L1883" s="15">
        <v>44660</v>
      </c>
      <c r="M1883" t="s">
        <v>697</v>
      </c>
    </row>
    <row r="1884" spans="1:13" x14ac:dyDescent="0.25">
      <c r="A1884" t="s">
        <v>86</v>
      </c>
      <c r="B1884" s="6" t="s">
        <v>205</v>
      </c>
      <c r="C1884" s="13">
        <v>109</v>
      </c>
      <c r="D1884" s="14" t="s">
        <v>90</v>
      </c>
      <c r="E1884">
        <v>9</v>
      </c>
      <c r="F1884" s="8">
        <f>VLOOKUP(financials[[#This Row],[productid]],Products!$B$2:$H$10,3)</f>
        <v>36</v>
      </c>
      <c r="G1884" s="8">
        <f>financials[[#This Row],[Units Sold]]*financials[[#This Row],[Sale Price]]</f>
        <v>324</v>
      </c>
      <c r="H1884" s="8">
        <f>IF(financials[[#This Row],[Discount Band]]="low",0.1,IF(financials[[#This Row],[Discount Band]]="medium",0.15,0.3))</f>
        <v>0.15</v>
      </c>
      <c r="I1884" s="8">
        <f>financials[[#This Row],[Gross Sales]]-financials[[#This Row],[Gross Sales]]*financials[[#This Row],[Discounts]]</f>
        <v>275.39999999999998</v>
      </c>
      <c r="J1884" s="8">
        <f>VLOOKUP(financials[[#This Row],[productid]],Products!$B$2:$H$10,4)</f>
        <v>16.8</v>
      </c>
      <c r="K1884" s="8">
        <f>financials[[#This Row],[Net Sales]]-financials[[#This Row],[COGS]]</f>
        <v>258.59999999999997</v>
      </c>
      <c r="L1884" s="15">
        <v>44790</v>
      </c>
      <c r="M1884" t="s">
        <v>697</v>
      </c>
    </row>
    <row r="1885" spans="1:13" x14ac:dyDescent="0.25">
      <c r="A1885" t="s">
        <v>89</v>
      </c>
      <c r="B1885" s="6" t="s">
        <v>205</v>
      </c>
      <c r="C1885" s="13">
        <v>108</v>
      </c>
      <c r="D1885" s="14" t="s">
        <v>90</v>
      </c>
      <c r="E1885">
        <v>20</v>
      </c>
      <c r="F1885" s="8">
        <f>VLOOKUP(financials[[#This Row],[productid]],Products!$B$2:$H$10,3)</f>
        <v>5.5</v>
      </c>
      <c r="G1885" s="8">
        <f>financials[[#This Row],[Units Sold]]*financials[[#This Row],[Sale Price]]</f>
        <v>110</v>
      </c>
      <c r="H1885" s="8">
        <f>IF(financials[[#This Row],[Discount Band]]="low",0.1,IF(financials[[#This Row],[Discount Band]]="medium",0.15,0.3))</f>
        <v>0.15</v>
      </c>
      <c r="I1885" s="8">
        <f>financials[[#This Row],[Gross Sales]]-financials[[#This Row],[Gross Sales]]*financials[[#This Row],[Discounts]]</f>
        <v>93.5</v>
      </c>
      <c r="J1885" s="8">
        <f>VLOOKUP(financials[[#This Row],[productid]],Products!$B$2:$H$10,4)</f>
        <v>3.99</v>
      </c>
      <c r="K1885" s="8">
        <f>financials[[#This Row],[Net Sales]]-financials[[#This Row],[COGS]]</f>
        <v>89.51</v>
      </c>
      <c r="L1885" s="15">
        <v>45269</v>
      </c>
      <c r="M1885" t="s">
        <v>696</v>
      </c>
    </row>
    <row r="1886" spans="1:13" x14ac:dyDescent="0.25">
      <c r="A1886" t="s">
        <v>86</v>
      </c>
      <c r="B1886" s="6" t="s">
        <v>198</v>
      </c>
      <c r="C1886" s="13">
        <v>103</v>
      </c>
      <c r="D1886" s="14" t="s">
        <v>83</v>
      </c>
      <c r="E1886">
        <v>12</v>
      </c>
      <c r="F1886" s="8">
        <f>VLOOKUP(financials[[#This Row],[productid]],Products!$B$2:$H$10,3)</f>
        <v>28</v>
      </c>
      <c r="G1886" s="8">
        <f>financials[[#This Row],[Units Sold]]*financials[[#This Row],[Sale Price]]</f>
        <v>336</v>
      </c>
      <c r="H1886" s="8">
        <f>IF(financials[[#This Row],[Discount Band]]="low",0.1,IF(financials[[#This Row],[Discount Band]]="medium",0.15,0.3))</f>
        <v>0.3</v>
      </c>
      <c r="I1886" s="8">
        <f>financials[[#This Row],[Gross Sales]]-financials[[#This Row],[Gross Sales]]*financials[[#This Row],[Discounts]]</f>
        <v>235.2</v>
      </c>
      <c r="J1886" s="8">
        <f>VLOOKUP(financials[[#This Row],[productid]],Products!$B$2:$H$10,4)</f>
        <v>15</v>
      </c>
      <c r="K1886" s="8">
        <f>financials[[#This Row],[Net Sales]]-financials[[#This Row],[COGS]]</f>
        <v>220.2</v>
      </c>
      <c r="L1886" s="15">
        <v>45262</v>
      </c>
      <c r="M1886" t="s">
        <v>691</v>
      </c>
    </row>
    <row r="1887" spans="1:13" x14ac:dyDescent="0.25">
      <c r="A1887" t="s">
        <v>86</v>
      </c>
      <c r="B1887" s="6" t="s">
        <v>95</v>
      </c>
      <c r="C1887" s="13">
        <v>103</v>
      </c>
      <c r="D1887" s="14" t="s">
        <v>90</v>
      </c>
      <c r="E1887">
        <v>9</v>
      </c>
      <c r="F1887" s="8">
        <f>VLOOKUP(financials[[#This Row],[productid]],Products!$B$2:$H$10,3)</f>
        <v>28</v>
      </c>
      <c r="G1887" s="8">
        <f>financials[[#This Row],[Units Sold]]*financials[[#This Row],[Sale Price]]</f>
        <v>252</v>
      </c>
      <c r="H1887" s="8">
        <f>IF(financials[[#This Row],[Discount Band]]="low",0.1,IF(financials[[#This Row],[Discount Band]]="medium",0.15,0.3))</f>
        <v>0.15</v>
      </c>
      <c r="I1887" s="8">
        <f>financials[[#This Row],[Gross Sales]]-financials[[#This Row],[Gross Sales]]*financials[[#This Row],[Discounts]]</f>
        <v>214.2</v>
      </c>
      <c r="J1887" s="8">
        <f>VLOOKUP(financials[[#This Row],[productid]],Products!$B$2:$H$10,4)</f>
        <v>15</v>
      </c>
      <c r="K1887" s="8">
        <f>financials[[#This Row],[Net Sales]]-financials[[#This Row],[COGS]]</f>
        <v>199.2</v>
      </c>
      <c r="L1887" s="15">
        <v>45002</v>
      </c>
      <c r="M1887" t="s">
        <v>696</v>
      </c>
    </row>
    <row r="1888" spans="1:13" x14ac:dyDescent="0.25">
      <c r="A1888" t="s">
        <v>86</v>
      </c>
      <c r="B1888" s="6" t="s">
        <v>198</v>
      </c>
      <c r="C1888" s="13">
        <v>103</v>
      </c>
      <c r="D1888" s="14" t="s">
        <v>83</v>
      </c>
      <c r="E1888">
        <v>13</v>
      </c>
      <c r="F1888" s="8">
        <f>VLOOKUP(financials[[#This Row],[productid]],Products!$B$2:$H$10,3)</f>
        <v>28</v>
      </c>
      <c r="G1888" s="8">
        <f>financials[[#This Row],[Units Sold]]*financials[[#This Row],[Sale Price]]</f>
        <v>364</v>
      </c>
      <c r="H1888" s="8">
        <f>IF(financials[[#This Row],[Discount Band]]="low",0.1,IF(financials[[#This Row],[Discount Band]]="medium",0.15,0.3))</f>
        <v>0.3</v>
      </c>
      <c r="I1888" s="8">
        <f>financials[[#This Row],[Gross Sales]]-financials[[#This Row],[Gross Sales]]*financials[[#This Row],[Discounts]]</f>
        <v>254.8</v>
      </c>
      <c r="J1888" s="8">
        <f>VLOOKUP(financials[[#This Row],[productid]],Products!$B$2:$H$10,4)</f>
        <v>15</v>
      </c>
      <c r="K1888" s="8">
        <f>financials[[#This Row],[Net Sales]]-financials[[#This Row],[COGS]]</f>
        <v>239.8</v>
      </c>
      <c r="L1888" s="15">
        <v>45226</v>
      </c>
      <c r="M1888" t="s">
        <v>700</v>
      </c>
    </row>
    <row r="1889" spans="1:13" x14ac:dyDescent="0.25">
      <c r="A1889" t="s">
        <v>86</v>
      </c>
      <c r="B1889" s="6" t="s">
        <v>273</v>
      </c>
      <c r="C1889" s="13">
        <v>102</v>
      </c>
      <c r="D1889" s="14" t="s">
        <v>83</v>
      </c>
      <c r="E1889">
        <v>9</v>
      </c>
      <c r="F1889" s="8">
        <f>VLOOKUP(financials[[#This Row],[productid]],Products!$B$2:$H$10,3)</f>
        <v>15</v>
      </c>
      <c r="G1889" s="8">
        <f>financials[[#This Row],[Units Sold]]*financials[[#This Row],[Sale Price]]</f>
        <v>135</v>
      </c>
      <c r="H1889" s="8">
        <f>IF(financials[[#This Row],[Discount Band]]="low",0.1,IF(financials[[#This Row],[Discount Band]]="medium",0.15,0.3))</f>
        <v>0.3</v>
      </c>
      <c r="I1889" s="8">
        <f>financials[[#This Row],[Gross Sales]]-financials[[#This Row],[Gross Sales]]*financials[[#This Row],[Discounts]]</f>
        <v>94.5</v>
      </c>
      <c r="J1889" s="8">
        <f>VLOOKUP(financials[[#This Row],[productid]],Products!$B$2:$H$10,4)</f>
        <v>13.95</v>
      </c>
      <c r="K1889" s="8">
        <f>financials[[#This Row],[Net Sales]]-financials[[#This Row],[COGS]]</f>
        <v>80.55</v>
      </c>
      <c r="L1889" s="15">
        <v>44993</v>
      </c>
      <c r="M1889" t="s">
        <v>696</v>
      </c>
    </row>
    <row r="1890" spans="1:13" x14ac:dyDescent="0.25">
      <c r="A1890" t="s">
        <v>86</v>
      </c>
      <c r="B1890" s="6" t="s">
        <v>94</v>
      </c>
      <c r="C1890" s="13">
        <v>105</v>
      </c>
      <c r="D1890" s="14" t="s">
        <v>92</v>
      </c>
      <c r="E1890">
        <v>9</v>
      </c>
      <c r="F1890" s="8">
        <f>VLOOKUP(financials[[#This Row],[productid]],Products!$B$2:$H$10,3)</f>
        <v>15</v>
      </c>
      <c r="G1890" s="8">
        <f>financials[[#This Row],[Units Sold]]*financials[[#This Row],[Sale Price]]</f>
        <v>135</v>
      </c>
      <c r="H1890" s="8">
        <f>IF(financials[[#This Row],[Discount Band]]="low",0.1,IF(financials[[#This Row],[Discount Band]]="medium",0.15,0.3))</f>
        <v>0.3</v>
      </c>
      <c r="I1890" s="8">
        <f>financials[[#This Row],[Gross Sales]]-financials[[#This Row],[Gross Sales]]*financials[[#This Row],[Discounts]]</f>
        <v>94.5</v>
      </c>
      <c r="J1890" s="8">
        <f>VLOOKUP(financials[[#This Row],[productid]],Products!$B$2:$H$10,4)</f>
        <v>10</v>
      </c>
      <c r="K1890" s="8">
        <f>financials[[#This Row],[Net Sales]]-financials[[#This Row],[COGS]]</f>
        <v>84.5</v>
      </c>
      <c r="L1890" s="15">
        <v>45359</v>
      </c>
      <c r="M1890" t="s">
        <v>690</v>
      </c>
    </row>
    <row r="1891" spans="1:13" x14ac:dyDescent="0.25">
      <c r="A1891" t="s">
        <v>86</v>
      </c>
      <c r="B1891" s="6" t="s">
        <v>273</v>
      </c>
      <c r="C1891" s="11">
        <v>107</v>
      </c>
      <c r="D1891" s="9" t="s">
        <v>83</v>
      </c>
      <c r="E1891">
        <v>5</v>
      </c>
      <c r="F1891" s="8">
        <f>VLOOKUP(financials[[#This Row],[productid]],Products!$B$2:$H$10,3)</f>
        <v>15</v>
      </c>
      <c r="G1891" s="8">
        <f>financials[[#This Row],[Units Sold]]*financials[[#This Row],[Sale Price]]</f>
        <v>75</v>
      </c>
      <c r="H1891" s="8">
        <f>IF(financials[[#This Row],[Discount Band]]="low",0.1,IF(financials[[#This Row],[Discount Band]]="medium",0.15,0.3))</f>
        <v>0.3</v>
      </c>
      <c r="I1891" s="8">
        <f>financials[[#This Row],[Gross Sales]]-financials[[#This Row],[Gross Sales]]*financials[[#This Row],[Discounts]]</f>
        <v>52.5</v>
      </c>
      <c r="J1891" s="8">
        <f>VLOOKUP(financials[[#This Row],[productid]],Products!$B$2:$H$10,4)</f>
        <v>5.5</v>
      </c>
      <c r="K1891" s="8">
        <f>financials[[#This Row],[Net Sales]]-financials[[#This Row],[COGS]]</f>
        <v>47</v>
      </c>
      <c r="L1891" s="15">
        <v>45165</v>
      </c>
      <c r="M1891" t="s">
        <v>691</v>
      </c>
    </row>
    <row r="1892" spans="1:13" x14ac:dyDescent="0.25">
      <c r="A1892" t="s">
        <v>86</v>
      </c>
      <c r="B1892" s="6" t="s">
        <v>159</v>
      </c>
      <c r="C1892" s="13">
        <v>106</v>
      </c>
      <c r="D1892" s="14" t="s">
        <v>90</v>
      </c>
      <c r="E1892">
        <v>20</v>
      </c>
      <c r="F1892" s="8">
        <f>VLOOKUP(financials[[#This Row],[productid]],Products!$B$2:$H$10,3)</f>
        <v>25</v>
      </c>
      <c r="G1892" s="8">
        <f>financials[[#This Row],[Units Sold]]*financials[[#This Row],[Sale Price]]</f>
        <v>500</v>
      </c>
      <c r="H1892" s="8">
        <f>IF(financials[[#This Row],[Discount Band]]="low",0.1,IF(financials[[#This Row],[Discount Band]]="medium",0.15,0.3))</f>
        <v>0.15</v>
      </c>
      <c r="I1892" s="8">
        <f>financials[[#This Row],[Gross Sales]]-financials[[#This Row],[Gross Sales]]*financials[[#This Row],[Discounts]]</f>
        <v>425</v>
      </c>
      <c r="J1892" s="8">
        <f>VLOOKUP(financials[[#This Row],[productid]],Products!$B$2:$H$10,4)</f>
        <v>9.1</v>
      </c>
      <c r="K1892" s="8">
        <f>financials[[#This Row],[Net Sales]]-financials[[#This Row],[COGS]]</f>
        <v>415.9</v>
      </c>
      <c r="L1892" s="15">
        <v>43939</v>
      </c>
      <c r="M1892" t="s">
        <v>697</v>
      </c>
    </row>
    <row r="1893" spans="1:13" x14ac:dyDescent="0.25">
      <c r="A1893" t="s">
        <v>86</v>
      </c>
      <c r="B1893" s="6" t="s">
        <v>84</v>
      </c>
      <c r="C1893" s="13">
        <v>102</v>
      </c>
      <c r="D1893" s="14" t="s">
        <v>90</v>
      </c>
      <c r="E1893">
        <v>16</v>
      </c>
      <c r="F1893" s="8">
        <f>VLOOKUP(financials[[#This Row],[productid]],Products!$B$2:$H$10,3)</f>
        <v>15</v>
      </c>
      <c r="G1893" s="8">
        <f>financials[[#This Row],[Units Sold]]*financials[[#This Row],[Sale Price]]</f>
        <v>240</v>
      </c>
      <c r="H1893" s="8">
        <f>IF(financials[[#This Row],[Discount Band]]="low",0.1,IF(financials[[#This Row],[Discount Band]]="medium",0.15,0.3))</f>
        <v>0.15</v>
      </c>
      <c r="I1893" s="8">
        <f>financials[[#This Row],[Gross Sales]]-financials[[#This Row],[Gross Sales]]*financials[[#This Row],[Discounts]]</f>
        <v>204</v>
      </c>
      <c r="J1893" s="8">
        <f>VLOOKUP(financials[[#This Row],[productid]],Products!$B$2:$H$10,4)</f>
        <v>13.95</v>
      </c>
      <c r="K1893" s="8">
        <f>financials[[#This Row],[Net Sales]]-financials[[#This Row],[COGS]]</f>
        <v>190.05</v>
      </c>
      <c r="L1893" s="15">
        <v>44957</v>
      </c>
      <c r="M1893" t="s">
        <v>696</v>
      </c>
    </row>
    <row r="1894" spans="1:13" x14ac:dyDescent="0.25">
      <c r="A1894" t="s">
        <v>86</v>
      </c>
      <c r="B1894" s="6" t="s">
        <v>95</v>
      </c>
      <c r="C1894" s="11">
        <v>108</v>
      </c>
      <c r="D1894" s="9" t="s">
        <v>83</v>
      </c>
      <c r="E1894">
        <v>10</v>
      </c>
      <c r="F1894" s="8">
        <f>VLOOKUP(financials[[#This Row],[productid]],Products!$B$2:$H$10,3)</f>
        <v>5.5</v>
      </c>
      <c r="G1894" s="8">
        <f>financials[[#This Row],[Units Sold]]*financials[[#This Row],[Sale Price]]</f>
        <v>55</v>
      </c>
      <c r="H1894" s="8">
        <f>IF(financials[[#This Row],[Discount Band]]="low",0.1,IF(financials[[#This Row],[Discount Band]]="medium",0.15,0.3))</f>
        <v>0.3</v>
      </c>
      <c r="I1894" s="8">
        <f>financials[[#This Row],[Gross Sales]]-financials[[#This Row],[Gross Sales]]*financials[[#This Row],[Discounts]]</f>
        <v>38.5</v>
      </c>
      <c r="J1894" s="8">
        <f>VLOOKUP(financials[[#This Row],[productid]],Products!$B$2:$H$10,4)</f>
        <v>3.99</v>
      </c>
      <c r="K1894" s="8">
        <f>financials[[#This Row],[Net Sales]]-financials[[#This Row],[COGS]]</f>
        <v>34.51</v>
      </c>
      <c r="L1894" s="15">
        <v>45624</v>
      </c>
      <c r="M1894" t="s">
        <v>691</v>
      </c>
    </row>
    <row r="1895" spans="1:13" x14ac:dyDescent="0.25">
      <c r="A1895" t="s">
        <v>86</v>
      </c>
      <c r="B1895" s="6" t="s">
        <v>159</v>
      </c>
      <c r="C1895" s="13">
        <v>102</v>
      </c>
      <c r="D1895" s="14" t="s">
        <v>90</v>
      </c>
      <c r="E1895">
        <v>18</v>
      </c>
      <c r="F1895" s="8">
        <f>VLOOKUP(financials[[#This Row],[productid]],Products!$B$2:$H$10,3)</f>
        <v>15</v>
      </c>
      <c r="G1895" s="8">
        <f>financials[[#This Row],[Units Sold]]*financials[[#This Row],[Sale Price]]</f>
        <v>270</v>
      </c>
      <c r="H1895" s="8">
        <f>IF(financials[[#This Row],[Discount Band]]="low",0.1,IF(financials[[#This Row],[Discount Band]]="medium",0.15,0.3))</f>
        <v>0.15</v>
      </c>
      <c r="I1895" s="8">
        <f>financials[[#This Row],[Gross Sales]]-financials[[#This Row],[Gross Sales]]*financials[[#This Row],[Discounts]]</f>
        <v>229.5</v>
      </c>
      <c r="J1895" s="8">
        <f>VLOOKUP(financials[[#This Row],[productid]],Products!$B$2:$H$10,4)</f>
        <v>13.95</v>
      </c>
      <c r="K1895" s="8">
        <f>financials[[#This Row],[Net Sales]]-financials[[#This Row],[COGS]]</f>
        <v>215.55</v>
      </c>
      <c r="L1895" s="15">
        <v>44669</v>
      </c>
      <c r="M1895" t="s">
        <v>690</v>
      </c>
    </row>
    <row r="1896" spans="1:13" x14ac:dyDescent="0.25">
      <c r="A1896" t="s">
        <v>86</v>
      </c>
      <c r="B1896" s="6" t="s">
        <v>84</v>
      </c>
      <c r="C1896" s="11">
        <v>108</v>
      </c>
      <c r="D1896" s="9" t="s">
        <v>90</v>
      </c>
      <c r="E1896">
        <v>11</v>
      </c>
      <c r="F1896" s="8">
        <f>VLOOKUP(financials[[#This Row],[productid]],Products!$B$2:$H$10,3)</f>
        <v>5.5</v>
      </c>
      <c r="G1896" s="8">
        <f>financials[[#This Row],[Units Sold]]*financials[[#This Row],[Sale Price]]</f>
        <v>60.5</v>
      </c>
      <c r="H1896" s="8">
        <f>IF(financials[[#This Row],[Discount Band]]="low",0.1,IF(financials[[#This Row],[Discount Band]]="medium",0.15,0.3))</f>
        <v>0.15</v>
      </c>
      <c r="I1896" s="8">
        <f>financials[[#This Row],[Gross Sales]]-financials[[#This Row],[Gross Sales]]*financials[[#This Row],[Discounts]]</f>
        <v>51.424999999999997</v>
      </c>
      <c r="J1896" s="8">
        <f>VLOOKUP(financials[[#This Row],[productid]],Products!$B$2:$H$10,4)</f>
        <v>3.99</v>
      </c>
      <c r="K1896" s="8">
        <f>financials[[#This Row],[Net Sales]]-financials[[#This Row],[COGS]]</f>
        <v>47.434999999999995</v>
      </c>
      <c r="L1896" s="15">
        <v>45553</v>
      </c>
      <c r="M1896" t="s">
        <v>697</v>
      </c>
    </row>
    <row r="1897" spans="1:13" x14ac:dyDescent="0.25">
      <c r="A1897" t="s">
        <v>89</v>
      </c>
      <c r="B1897" s="6" t="s">
        <v>205</v>
      </c>
      <c r="C1897" s="11">
        <v>104</v>
      </c>
      <c r="D1897" s="9" t="s">
        <v>83</v>
      </c>
      <c r="E1897">
        <v>14</v>
      </c>
      <c r="F1897" s="8">
        <f>VLOOKUP(financials[[#This Row],[productid]],Products!$B$2:$H$10,3)</f>
        <v>5.9</v>
      </c>
      <c r="G1897" s="8">
        <f>financials[[#This Row],[Units Sold]]*financials[[#This Row],[Sale Price]]</f>
        <v>82.600000000000009</v>
      </c>
      <c r="H1897" s="8">
        <f>IF(financials[[#This Row],[Discount Band]]="low",0.1,IF(financials[[#This Row],[Discount Band]]="medium",0.15,0.3))</f>
        <v>0.3</v>
      </c>
      <c r="I1897" s="8">
        <f>financials[[#This Row],[Gross Sales]]-financials[[#This Row],[Gross Sales]]*financials[[#This Row],[Discounts]]</f>
        <v>57.820000000000007</v>
      </c>
      <c r="J1897" s="8">
        <f>VLOOKUP(financials[[#This Row],[productid]],Products!$B$2:$H$10,4)</f>
        <v>2.9</v>
      </c>
      <c r="K1897" s="8">
        <f>financials[[#This Row],[Net Sales]]-financials[[#This Row],[COGS]]</f>
        <v>54.920000000000009</v>
      </c>
      <c r="L1897" s="15">
        <v>45194</v>
      </c>
      <c r="M1897" t="s">
        <v>690</v>
      </c>
    </row>
    <row r="1898" spans="1:13" x14ac:dyDescent="0.25">
      <c r="A1898" t="s">
        <v>86</v>
      </c>
      <c r="B1898" s="6" t="s">
        <v>268</v>
      </c>
      <c r="C1898" s="13">
        <v>108</v>
      </c>
      <c r="D1898" s="14" t="s">
        <v>92</v>
      </c>
      <c r="E1898">
        <v>18</v>
      </c>
      <c r="F1898" s="8">
        <f>VLOOKUP(financials[[#This Row],[productid]],Products!$B$2:$H$10,3)</f>
        <v>5.5</v>
      </c>
      <c r="G1898" s="8">
        <f>financials[[#This Row],[Units Sold]]*financials[[#This Row],[Sale Price]]</f>
        <v>99</v>
      </c>
      <c r="H1898" s="8">
        <f>IF(financials[[#This Row],[Discount Band]]="low",0.1,IF(financials[[#This Row],[Discount Band]]="medium",0.15,0.3))</f>
        <v>0.3</v>
      </c>
      <c r="I1898" s="8">
        <f>financials[[#This Row],[Gross Sales]]-financials[[#This Row],[Gross Sales]]*financials[[#This Row],[Discounts]]</f>
        <v>69.3</v>
      </c>
      <c r="J1898" s="8">
        <f>VLOOKUP(financials[[#This Row],[productid]],Products!$B$2:$H$10,4)</f>
        <v>3.99</v>
      </c>
      <c r="K1898" s="8">
        <f>financials[[#This Row],[Net Sales]]-financials[[#This Row],[COGS]]</f>
        <v>65.31</v>
      </c>
      <c r="L1898" s="15">
        <v>44650</v>
      </c>
      <c r="M1898" t="s">
        <v>697</v>
      </c>
    </row>
    <row r="1899" spans="1:13" x14ac:dyDescent="0.25">
      <c r="A1899" t="s">
        <v>86</v>
      </c>
      <c r="B1899" s="6" t="s">
        <v>273</v>
      </c>
      <c r="C1899" s="11">
        <v>101</v>
      </c>
      <c r="D1899" s="9" t="s">
        <v>91</v>
      </c>
      <c r="E1899">
        <v>12</v>
      </c>
      <c r="F1899" s="8">
        <f>VLOOKUP(financials[[#This Row],[productid]],Products!$B$2:$H$10,3)</f>
        <v>23</v>
      </c>
      <c r="G1899" s="8">
        <f>financials[[#This Row],[Units Sold]]*financials[[#This Row],[Sale Price]]</f>
        <v>276</v>
      </c>
      <c r="H1899" s="8">
        <f>IF(financials[[#This Row],[Discount Band]]="low",0.1,IF(financials[[#This Row],[Discount Band]]="medium",0.15,0.3))</f>
        <v>0.1</v>
      </c>
      <c r="I1899" s="8">
        <f>financials[[#This Row],[Gross Sales]]-financials[[#This Row],[Gross Sales]]*financials[[#This Row],[Discounts]]</f>
        <v>248.4</v>
      </c>
      <c r="J1899" s="8">
        <f>VLOOKUP(financials[[#This Row],[productid]],Products!$B$2:$H$10,4)</f>
        <v>9.9499999999999993</v>
      </c>
      <c r="K1899" s="8">
        <f>financials[[#This Row],[Net Sales]]-financials[[#This Row],[COGS]]</f>
        <v>238.45000000000002</v>
      </c>
      <c r="L1899" s="15">
        <v>45520</v>
      </c>
      <c r="M1899" t="s">
        <v>700</v>
      </c>
    </row>
    <row r="1900" spans="1:13" x14ac:dyDescent="0.25">
      <c r="A1900" t="s">
        <v>86</v>
      </c>
      <c r="B1900" s="6" t="s">
        <v>198</v>
      </c>
      <c r="C1900" s="13">
        <v>102</v>
      </c>
      <c r="D1900" s="14" t="s">
        <v>83</v>
      </c>
      <c r="E1900">
        <v>12</v>
      </c>
      <c r="F1900" s="8">
        <f>VLOOKUP(financials[[#This Row],[productid]],Products!$B$2:$H$10,3)</f>
        <v>15</v>
      </c>
      <c r="G1900" s="8">
        <f>financials[[#This Row],[Units Sold]]*financials[[#This Row],[Sale Price]]</f>
        <v>180</v>
      </c>
      <c r="H1900" s="8">
        <f>IF(financials[[#This Row],[Discount Band]]="low",0.1,IF(financials[[#This Row],[Discount Band]]="medium",0.15,0.3))</f>
        <v>0.3</v>
      </c>
      <c r="I1900" s="8">
        <f>financials[[#This Row],[Gross Sales]]-financials[[#This Row],[Gross Sales]]*financials[[#This Row],[Discounts]]</f>
        <v>126</v>
      </c>
      <c r="J1900" s="8">
        <f>VLOOKUP(financials[[#This Row],[productid]],Products!$B$2:$H$10,4)</f>
        <v>13.95</v>
      </c>
      <c r="K1900" s="8">
        <f>financials[[#This Row],[Net Sales]]-financials[[#This Row],[COGS]]</f>
        <v>112.05</v>
      </c>
      <c r="L1900" s="15">
        <v>44702</v>
      </c>
      <c r="M1900" t="s">
        <v>690</v>
      </c>
    </row>
    <row r="1901" spans="1:13" x14ac:dyDescent="0.25">
      <c r="A1901" t="s">
        <v>86</v>
      </c>
      <c r="B1901" s="6" t="s">
        <v>159</v>
      </c>
      <c r="C1901" s="11">
        <v>106</v>
      </c>
      <c r="D1901" s="9" t="s">
        <v>91</v>
      </c>
      <c r="E1901">
        <v>14</v>
      </c>
      <c r="F1901" s="8">
        <f>VLOOKUP(financials[[#This Row],[productid]],Products!$B$2:$H$10,3)</f>
        <v>25</v>
      </c>
      <c r="G1901" s="8">
        <f>financials[[#This Row],[Units Sold]]*financials[[#This Row],[Sale Price]]</f>
        <v>350</v>
      </c>
      <c r="H1901" s="8">
        <f>IF(financials[[#This Row],[Discount Band]]="low",0.1,IF(financials[[#This Row],[Discount Band]]="medium",0.15,0.3))</f>
        <v>0.1</v>
      </c>
      <c r="I1901" s="8">
        <f>financials[[#This Row],[Gross Sales]]-financials[[#This Row],[Gross Sales]]*financials[[#This Row],[Discounts]]</f>
        <v>315</v>
      </c>
      <c r="J1901" s="8">
        <f>VLOOKUP(financials[[#This Row],[productid]],Products!$B$2:$H$10,4)</f>
        <v>9.1</v>
      </c>
      <c r="K1901" s="8">
        <f>financials[[#This Row],[Net Sales]]-financials[[#This Row],[COGS]]</f>
        <v>305.89999999999998</v>
      </c>
      <c r="L1901" s="15">
        <v>43906</v>
      </c>
      <c r="M1901" t="s">
        <v>691</v>
      </c>
    </row>
    <row r="1902" spans="1:13" x14ac:dyDescent="0.25">
      <c r="A1902" t="s">
        <v>86</v>
      </c>
      <c r="B1902" s="6" t="s">
        <v>84</v>
      </c>
      <c r="C1902" s="13">
        <v>105</v>
      </c>
      <c r="D1902" s="14" t="s">
        <v>83</v>
      </c>
      <c r="E1902">
        <v>13</v>
      </c>
      <c r="F1902" s="8">
        <f>VLOOKUP(financials[[#This Row],[productid]],Products!$B$2:$H$10,3)</f>
        <v>15</v>
      </c>
      <c r="G1902" s="8">
        <f>financials[[#This Row],[Units Sold]]*financials[[#This Row],[Sale Price]]</f>
        <v>195</v>
      </c>
      <c r="H1902" s="8">
        <f>IF(financials[[#This Row],[Discount Band]]="low",0.1,IF(financials[[#This Row],[Discount Band]]="medium",0.15,0.3))</f>
        <v>0.3</v>
      </c>
      <c r="I1902" s="8">
        <f>financials[[#This Row],[Gross Sales]]-financials[[#This Row],[Gross Sales]]*financials[[#This Row],[Discounts]]</f>
        <v>136.5</v>
      </c>
      <c r="J1902" s="8">
        <f>VLOOKUP(financials[[#This Row],[productid]],Products!$B$2:$H$10,4)</f>
        <v>10</v>
      </c>
      <c r="K1902" s="8">
        <f>financials[[#This Row],[Net Sales]]-financials[[#This Row],[COGS]]</f>
        <v>126.5</v>
      </c>
      <c r="L1902" s="15">
        <v>44927</v>
      </c>
      <c r="M1902" t="s">
        <v>700</v>
      </c>
    </row>
    <row r="1903" spans="1:13" x14ac:dyDescent="0.25">
      <c r="A1903" t="s">
        <v>87</v>
      </c>
      <c r="B1903" s="6" t="s">
        <v>644</v>
      </c>
      <c r="C1903" s="13">
        <v>106</v>
      </c>
      <c r="D1903" s="14" t="s">
        <v>91</v>
      </c>
      <c r="E1903">
        <v>20</v>
      </c>
      <c r="F1903" s="8">
        <f>VLOOKUP(financials[[#This Row],[productid]],Products!$B$2:$H$10,3)</f>
        <v>25</v>
      </c>
      <c r="G1903" s="8">
        <f>financials[[#This Row],[Units Sold]]*financials[[#This Row],[Sale Price]]</f>
        <v>500</v>
      </c>
      <c r="H1903" s="8">
        <f>IF(financials[[#This Row],[Discount Band]]="low",0.1,IF(financials[[#This Row],[Discount Band]]="medium",0.15,0.3))</f>
        <v>0.1</v>
      </c>
      <c r="I1903" s="8">
        <f>financials[[#This Row],[Gross Sales]]-financials[[#This Row],[Gross Sales]]*financials[[#This Row],[Discounts]]</f>
        <v>450</v>
      </c>
      <c r="J1903" s="8">
        <f>VLOOKUP(financials[[#This Row],[productid]],Products!$B$2:$H$10,4)</f>
        <v>9.1</v>
      </c>
      <c r="K1903" s="8">
        <f>financials[[#This Row],[Net Sales]]-financials[[#This Row],[COGS]]</f>
        <v>440.9</v>
      </c>
      <c r="L1903" s="15">
        <v>44251</v>
      </c>
      <c r="M1903" t="s">
        <v>700</v>
      </c>
    </row>
    <row r="1904" spans="1:13" x14ac:dyDescent="0.25">
      <c r="A1904" t="s">
        <v>86</v>
      </c>
      <c r="B1904" s="6" t="s">
        <v>84</v>
      </c>
      <c r="C1904" s="13">
        <v>102</v>
      </c>
      <c r="D1904" s="14" t="s">
        <v>83</v>
      </c>
      <c r="E1904">
        <v>6</v>
      </c>
      <c r="F1904" s="8">
        <f>VLOOKUP(financials[[#This Row],[productid]],Products!$B$2:$H$10,3)</f>
        <v>15</v>
      </c>
      <c r="G1904" s="8">
        <f>financials[[#This Row],[Units Sold]]*financials[[#This Row],[Sale Price]]</f>
        <v>90</v>
      </c>
      <c r="H1904" s="8">
        <f>IF(financials[[#This Row],[Discount Band]]="low",0.1,IF(financials[[#This Row],[Discount Band]]="medium",0.15,0.3))</f>
        <v>0.3</v>
      </c>
      <c r="I1904" s="8">
        <f>financials[[#This Row],[Gross Sales]]-financials[[#This Row],[Gross Sales]]*financials[[#This Row],[Discounts]]</f>
        <v>63</v>
      </c>
      <c r="J1904" s="8">
        <f>VLOOKUP(financials[[#This Row],[productid]],Products!$B$2:$H$10,4)</f>
        <v>13.95</v>
      </c>
      <c r="K1904" s="8">
        <f>financials[[#This Row],[Net Sales]]-financials[[#This Row],[COGS]]</f>
        <v>49.05</v>
      </c>
      <c r="L1904" s="15">
        <v>45538</v>
      </c>
      <c r="M1904" t="s">
        <v>690</v>
      </c>
    </row>
    <row r="1905" spans="1:13" x14ac:dyDescent="0.25">
      <c r="A1905" t="s">
        <v>86</v>
      </c>
      <c r="B1905" s="6" t="s">
        <v>159</v>
      </c>
      <c r="C1905" s="13">
        <v>104</v>
      </c>
      <c r="D1905" s="14" t="s">
        <v>90</v>
      </c>
      <c r="E1905">
        <v>19</v>
      </c>
      <c r="F1905" s="8">
        <f>VLOOKUP(financials[[#This Row],[productid]],Products!$B$2:$H$10,3)</f>
        <v>5.9</v>
      </c>
      <c r="G1905" s="8">
        <f>financials[[#This Row],[Units Sold]]*financials[[#This Row],[Sale Price]]</f>
        <v>112.10000000000001</v>
      </c>
      <c r="H1905" s="8">
        <f>IF(financials[[#This Row],[Discount Band]]="low",0.1,IF(financials[[#This Row],[Discount Band]]="medium",0.15,0.3))</f>
        <v>0.15</v>
      </c>
      <c r="I1905" s="8">
        <f>financials[[#This Row],[Gross Sales]]-financials[[#This Row],[Gross Sales]]*financials[[#This Row],[Discounts]]</f>
        <v>95.285000000000011</v>
      </c>
      <c r="J1905" s="8">
        <f>VLOOKUP(financials[[#This Row],[productid]],Products!$B$2:$H$10,4)</f>
        <v>2.9</v>
      </c>
      <c r="K1905" s="8">
        <f>financials[[#This Row],[Net Sales]]-financials[[#This Row],[COGS]]</f>
        <v>92.385000000000005</v>
      </c>
      <c r="L1905" s="15">
        <v>45218</v>
      </c>
      <c r="M1905" t="s">
        <v>691</v>
      </c>
    </row>
    <row r="1906" spans="1:13" x14ac:dyDescent="0.25">
      <c r="A1906" t="s">
        <v>86</v>
      </c>
      <c r="B1906" s="6" t="s">
        <v>84</v>
      </c>
      <c r="C1906" s="13">
        <v>105</v>
      </c>
      <c r="D1906" s="14" t="s">
        <v>90</v>
      </c>
      <c r="E1906">
        <v>5</v>
      </c>
      <c r="F1906" s="8">
        <f>VLOOKUP(financials[[#This Row],[productid]],Products!$B$2:$H$10,3)</f>
        <v>15</v>
      </c>
      <c r="G1906" s="8">
        <f>financials[[#This Row],[Units Sold]]*financials[[#This Row],[Sale Price]]</f>
        <v>75</v>
      </c>
      <c r="H1906" s="8">
        <f>IF(financials[[#This Row],[Discount Band]]="low",0.1,IF(financials[[#This Row],[Discount Band]]="medium",0.15,0.3))</f>
        <v>0.15</v>
      </c>
      <c r="I1906" s="8">
        <f>financials[[#This Row],[Gross Sales]]-financials[[#This Row],[Gross Sales]]*financials[[#This Row],[Discounts]]</f>
        <v>63.75</v>
      </c>
      <c r="J1906" s="8">
        <f>VLOOKUP(financials[[#This Row],[productid]],Products!$B$2:$H$10,4)</f>
        <v>10</v>
      </c>
      <c r="K1906" s="8">
        <f>financials[[#This Row],[Net Sales]]-financials[[#This Row],[COGS]]</f>
        <v>53.75</v>
      </c>
      <c r="L1906" s="15">
        <v>44051</v>
      </c>
      <c r="M1906" t="s">
        <v>696</v>
      </c>
    </row>
    <row r="1907" spans="1:13" x14ac:dyDescent="0.25">
      <c r="A1907" t="s">
        <v>86</v>
      </c>
      <c r="B1907" s="6" t="s">
        <v>84</v>
      </c>
      <c r="C1907" s="13">
        <v>105</v>
      </c>
      <c r="D1907" s="14" t="s">
        <v>83</v>
      </c>
      <c r="E1907">
        <v>8</v>
      </c>
      <c r="F1907" s="8">
        <f>VLOOKUP(financials[[#This Row],[productid]],Products!$B$2:$H$10,3)</f>
        <v>15</v>
      </c>
      <c r="G1907" s="8">
        <f>financials[[#This Row],[Units Sold]]*financials[[#This Row],[Sale Price]]</f>
        <v>120</v>
      </c>
      <c r="H1907" s="8">
        <f>IF(financials[[#This Row],[Discount Band]]="low",0.1,IF(financials[[#This Row],[Discount Band]]="medium",0.15,0.3))</f>
        <v>0.3</v>
      </c>
      <c r="I1907" s="8">
        <f>financials[[#This Row],[Gross Sales]]-financials[[#This Row],[Gross Sales]]*financials[[#This Row],[Discounts]]</f>
        <v>84</v>
      </c>
      <c r="J1907" s="8">
        <f>VLOOKUP(financials[[#This Row],[productid]],Products!$B$2:$H$10,4)</f>
        <v>10</v>
      </c>
      <c r="K1907" s="8">
        <f>financials[[#This Row],[Net Sales]]-financials[[#This Row],[COGS]]</f>
        <v>74</v>
      </c>
      <c r="L1907" s="15">
        <v>45213</v>
      </c>
      <c r="M1907" t="s">
        <v>697</v>
      </c>
    </row>
    <row r="1908" spans="1:13" x14ac:dyDescent="0.25">
      <c r="A1908" t="s">
        <v>86</v>
      </c>
      <c r="B1908" s="6" t="s">
        <v>84</v>
      </c>
      <c r="C1908" s="13">
        <v>108</v>
      </c>
      <c r="D1908" s="14" t="s">
        <v>90</v>
      </c>
      <c r="E1908">
        <v>18</v>
      </c>
      <c r="F1908" s="8">
        <f>VLOOKUP(financials[[#This Row],[productid]],Products!$B$2:$H$10,3)</f>
        <v>5.5</v>
      </c>
      <c r="G1908" s="8">
        <f>financials[[#This Row],[Units Sold]]*financials[[#This Row],[Sale Price]]</f>
        <v>99</v>
      </c>
      <c r="H1908" s="8">
        <f>IF(financials[[#This Row],[Discount Band]]="low",0.1,IF(financials[[#This Row],[Discount Band]]="medium",0.15,0.3))</f>
        <v>0.15</v>
      </c>
      <c r="I1908" s="8">
        <f>financials[[#This Row],[Gross Sales]]-financials[[#This Row],[Gross Sales]]*financials[[#This Row],[Discounts]]</f>
        <v>84.15</v>
      </c>
      <c r="J1908" s="8">
        <f>VLOOKUP(financials[[#This Row],[productid]],Products!$B$2:$H$10,4)</f>
        <v>3.99</v>
      </c>
      <c r="K1908" s="8">
        <f>financials[[#This Row],[Net Sales]]-financials[[#This Row],[COGS]]</f>
        <v>80.160000000000011</v>
      </c>
      <c r="L1908" s="15">
        <v>45516</v>
      </c>
      <c r="M1908" t="s">
        <v>700</v>
      </c>
    </row>
    <row r="1909" spans="1:13" x14ac:dyDescent="0.25">
      <c r="A1909" t="s">
        <v>86</v>
      </c>
      <c r="B1909" s="6" t="s">
        <v>205</v>
      </c>
      <c r="C1909" s="13">
        <v>106</v>
      </c>
      <c r="D1909" s="14" t="s">
        <v>83</v>
      </c>
      <c r="E1909">
        <v>7</v>
      </c>
      <c r="F1909" s="8">
        <f>VLOOKUP(financials[[#This Row],[productid]],Products!$B$2:$H$10,3)</f>
        <v>25</v>
      </c>
      <c r="G1909" s="8">
        <f>financials[[#This Row],[Units Sold]]*financials[[#This Row],[Sale Price]]</f>
        <v>175</v>
      </c>
      <c r="H1909" s="8">
        <f>IF(financials[[#This Row],[Discount Band]]="low",0.1,IF(financials[[#This Row],[Discount Band]]="medium",0.15,0.3))</f>
        <v>0.3</v>
      </c>
      <c r="I1909" s="8">
        <f>financials[[#This Row],[Gross Sales]]-financials[[#This Row],[Gross Sales]]*financials[[#This Row],[Discounts]]</f>
        <v>122.5</v>
      </c>
      <c r="J1909" s="8">
        <f>VLOOKUP(financials[[#This Row],[productid]],Products!$B$2:$H$10,4)</f>
        <v>9.1</v>
      </c>
      <c r="K1909" s="8">
        <f>financials[[#This Row],[Net Sales]]-financials[[#This Row],[COGS]]</f>
        <v>113.4</v>
      </c>
      <c r="L1909" s="15">
        <v>44781</v>
      </c>
      <c r="M1909" t="s">
        <v>696</v>
      </c>
    </row>
    <row r="1910" spans="1:13" x14ac:dyDescent="0.25">
      <c r="A1910" t="s">
        <v>86</v>
      </c>
      <c r="B1910" s="6" t="s">
        <v>84</v>
      </c>
      <c r="C1910" s="11">
        <v>107</v>
      </c>
      <c r="D1910" s="9" t="s">
        <v>91</v>
      </c>
      <c r="E1910">
        <v>7</v>
      </c>
      <c r="F1910" s="8">
        <f>VLOOKUP(financials[[#This Row],[productid]],Products!$B$2:$H$10,3)</f>
        <v>15</v>
      </c>
      <c r="G1910" s="8">
        <f>financials[[#This Row],[Units Sold]]*financials[[#This Row],[Sale Price]]</f>
        <v>105</v>
      </c>
      <c r="H1910" s="8">
        <f>IF(financials[[#This Row],[Discount Band]]="low",0.1,IF(financials[[#This Row],[Discount Band]]="medium",0.15,0.3))</f>
        <v>0.1</v>
      </c>
      <c r="I1910" s="8">
        <f>financials[[#This Row],[Gross Sales]]-financials[[#This Row],[Gross Sales]]*financials[[#This Row],[Discounts]]</f>
        <v>94.5</v>
      </c>
      <c r="J1910" s="8">
        <f>VLOOKUP(financials[[#This Row],[productid]],Products!$B$2:$H$10,4)</f>
        <v>5.5</v>
      </c>
      <c r="K1910" s="8">
        <f>financials[[#This Row],[Net Sales]]-financials[[#This Row],[COGS]]</f>
        <v>89</v>
      </c>
      <c r="L1910" s="15">
        <v>44655</v>
      </c>
      <c r="M1910" t="s">
        <v>690</v>
      </c>
    </row>
    <row r="1911" spans="1:13" x14ac:dyDescent="0.25">
      <c r="A1911" t="s">
        <v>86</v>
      </c>
      <c r="B1911" s="6" t="s">
        <v>273</v>
      </c>
      <c r="C1911" s="13">
        <v>106</v>
      </c>
      <c r="D1911" s="14" t="s">
        <v>83</v>
      </c>
      <c r="E1911">
        <v>17</v>
      </c>
      <c r="F1911" s="8">
        <f>VLOOKUP(financials[[#This Row],[productid]],Products!$B$2:$H$10,3)</f>
        <v>25</v>
      </c>
      <c r="G1911" s="8">
        <f>financials[[#This Row],[Units Sold]]*financials[[#This Row],[Sale Price]]</f>
        <v>425</v>
      </c>
      <c r="H1911" s="8">
        <f>IF(financials[[#This Row],[Discount Band]]="low",0.1,IF(financials[[#This Row],[Discount Band]]="medium",0.15,0.3))</f>
        <v>0.3</v>
      </c>
      <c r="I1911" s="8">
        <f>financials[[#This Row],[Gross Sales]]-financials[[#This Row],[Gross Sales]]*financials[[#This Row],[Discounts]]</f>
        <v>297.5</v>
      </c>
      <c r="J1911" s="8">
        <f>VLOOKUP(financials[[#This Row],[productid]],Products!$B$2:$H$10,4)</f>
        <v>9.1</v>
      </c>
      <c r="K1911" s="8">
        <f>financials[[#This Row],[Net Sales]]-financials[[#This Row],[COGS]]</f>
        <v>288.39999999999998</v>
      </c>
      <c r="L1911" s="15">
        <v>43951</v>
      </c>
      <c r="M1911" t="s">
        <v>690</v>
      </c>
    </row>
    <row r="1912" spans="1:13" x14ac:dyDescent="0.25">
      <c r="A1912" t="s">
        <v>86</v>
      </c>
      <c r="B1912" s="6" t="s">
        <v>198</v>
      </c>
      <c r="C1912" s="11">
        <v>106</v>
      </c>
      <c r="D1912" s="9" t="s">
        <v>83</v>
      </c>
      <c r="E1912">
        <v>13</v>
      </c>
      <c r="F1912" s="8">
        <f>VLOOKUP(financials[[#This Row],[productid]],Products!$B$2:$H$10,3)</f>
        <v>25</v>
      </c>
      <c r="G1912" s="8">
        <f>financials[[#This Row],[Units Sold]]*financials[[#This Row],[Sale Price]]</f>
        <v>325</v>
      </c>
      <c r="H1912" s="8">
        <f>IF(financials[[#This Row],[Discount Band]]="low",0.1,IF(financials[[#This Row],[Discount Band]]="medium",0.15,0.3))</f>
        <v>0.3</v>
      </c>
      <c r="I1912" s="8">
        <f>financials[[#This Row],[Gross Sales]]-financials[[#This Row],[Gross Sales]]*financials[[#This Row],[Discounts]]</f>
        <v>227.5</v>
      </c>
      <c r="J1912" s="8">
        <f>VLOOKUP(financials[[#This Row],[productid]],Products!$B$2:$H$10,4)</f>
        <v>9.1</v>
      </c>
      <c r="K1912" s="8">
        <f>financials[[#This Row],[Net Sales]]-financials[[#This Row],[COGS]]</f>
        <v>218.4</v>
      </c>
      <c r="L1912" s="15">
        <v>43895</v>
      </c>
      <c r="M1912" t="s">
        <v>691</v>
      </c>
    </row>
    <row r="1913" spans="1:13" x14ac:dyDescent="0.25">
      <c r="A1913" t="s">
        <v>87</v>
      </c>
      <c r="B1913" s="6" t="s">
        <v>266</v>
      </c>
      <c r="C1913" s="13">
        <v>107</v>
      </c>
      <c r="D1913" s="14" t="s">
        <v>83</v>
      </c>
      <c r="E1913">
        <v>16</v>
      </c>
      <c r="F1913" s="8">
        <f>VLOOKUP(financials[[#This Row],[productid]],Products!$B$2:$H$10,3)</f>
        <v>15</v>
      </c>
      <c r="G1913" s="8">
        <f>financials[[#This Row],[Units Sold]]*financials[[#This Row],[Sale Price]]</f>
        <v>240</v>
      </c>
      <c r="H1913" s="8">
        <f>IF(financials[[#This Row],[Discount Band]]="low",0.1,IF(financials[[#This Row],[Discount Band]]="medium",0.15,0.3))</f>
        <v>0.3</v>
      </c>
      <c r="I1913" s="8">
        <f>financials[[#This Row],[Gross Sales]]-financials[[#This Row],[Gross Sales]]*financials[[#This Row],[Discounts]]</f>
        <v>168</v>
      </c>
      <c r="J1913" s="8">
        <f>VLOOKUP(financials[[#This Row],[productid]],Products!$B$2:$H$10,4)</f>
        <v>5.5</v>
      </c>
      <c r="K1913" s="8">
        <f>financials[[#This Row],[Net Sales]]-financials[[#This Row],[COGS]]</f>
        <v>162.5</v>
      </c>
      <c r="L1913" s="15">
        <v>44053</v>
      </c>
      <c r="M1913" t="s">
        <v>691</v>
      </c>
    </row>
    <row r="1914" spans="1:13" x14ac:dyDescent="0.25">
      <c r="A1914" t="s">
        <v>86</v>
      </c>
      <c r="B1914" s="6" t="s">
        <v>159</v>
      </c>
      <c r="C1914" s="13">
        <v>107</v>
      </c>
      <c r="D1914" s="14" t="s">
        <v>90</v>
      </c>
      <c r="E1914">
        <v>20</v>
      </c>
      <c r="F1914" s="8">
        <f>VLOOKUP(financials[[#This Row],[productid]],Products!$B$2:$H$10,3)</f>
        <v>15</v>
      </c>
      <c r="G1914" s="8">
        <f>financials[[#This Row],[Units Sold]]*financials[[#This Row],[Sale Price]]</f>
        <v>300</v>
      </c>
      <c r="H1914" s="8">
        <f>IF(financials[[#This Row],[Discount Band]]="low",0.1,IF(financials[[#This Row],[Discount Band]]="medium",0.15,0.3))</f>
        <v>0.15</v>
      </c>
      <c r="I1914" s="8">
        <f>financials[[#This Row],[Gross Sales]]-financials[[#This Row],[Gross Sales]]*financials[[#This Row],[Discounts]]</f>
        <v>255</v>
      </c>
      <c r="J1914" s="8">
        <f>VLOOKUP(financials[[#This Row],[productid]],Products!$B$2:$H$10,4)</f>
        <v>5.5</v>
      </c>
      <c r="K1914" s="8">
        <f>financials[[#This Row],[Net Sales]]-financials[[#This Row],[COGS]]</f>
        <v>249.5</v>
      </c>
      <c r="L1914" s="15">
        <v>44300</v>
      </c>
      <c r="M1914" t="s">
        <v>696</v>
      </c>
    </row>
    <row r="1915" spans="1:13" x14ac:dyDescent="0.25">
      <c r="A1915" t="s">
        <v>86</v>
      </c>
      <c r="B1915" s="6" t="s">
        <v>205</v>
      </c>
      <c r="C1915" s="13">
        <v>104</v>
      </c>
      <c r="D1915" s="14" t="s">
        <v>83</v>
      </c>
      <c r="E1915">
        <v>6</v>
      </c>
      <c r="F1915" s="8">
        <f>VLOOKUP(financials[[#This Row],[productid]],Products!$B$2:$H$10,3)</f>
        <v>5.9</v>
      </c>
      <c r="G1915" s="8">
        <f>financials[[#This Row],[Units Sold]]*financials[[#This Row],[Sale Price]]</f>
        <v>35.400000000000006</v>
      </c>
      <c r="H1915" s="8">
        <f>IF(financials[[#This Row],[Discount Band]]="low",0.1,IF(financials[[#This Row],[Discount Band]]="medium",0.15,0.3))</f>
        <v>0.3</v>
      </c>
      <c r="I1915" s="8">
        <f>financials[[#This Row],[Gross Sales]]-financials[[#This Row],[Gross Sales]]*financials[[#This Row],[Discounts]]</f>
        <v>24.780000000000005</v>
      </c>
      <c r="J1915" s="8">
        <f>VLOOKUP(financials[[#This Row],[productid]],Products!$B$2:$H$10,4)</f>
        <v>2.9</v>
      </c>
      <c r="K1915" s="8">
        <f>financials[[#This Row],[Net Sales]]-financials[[#This Row],[COGS]]</f>
        <v>21.880000000000006</v>
      </c>
      <c r="L1915" s="15">
        <v>44475</v>
      </c>
      <c r="M1915" t="s">
        <v>697</v>
      </c>
    </row>
    <row r="1916" spans="1:13" x14ac:dyDescent="0.25">
      <c r="A1916" t="s">
        <v>86</v>
      </c>
      <c r="B1916" s="6" t="s">
        <v>124</v>
      </c>
      <c r="C1916" s="13">
        <v>109</v>
      </c>
      <c r="D1916" s="14" t="s">
        <v>83</v>
      </c>
      <c r="E1916">
        <v>17</v>
      </c>
      <c r="F1916" s="8">
        <f>VLOOKUP(financials[[#This Row],[productid]],Products!$B$2:$H$10,3)</f>
        <v>36</v>
      </c>
      <c r="G1916" s="8">
        <f>financials[[#This Row],[Units Sold]]*financials[[#This Row],[Sale Price]]</f>
        <v>612</v>
      </c>
      <c r="H1916" s="8">
        <f>IF(financials[[#This Row],[Discount Band]]="low",0.1,IF(financials[[#This Row],[Discount Band]]="medium",0.15,0.3))</f>
        <v>0.3</v>
      </c>
      <c r="I1916" s="8">
        <f>financials[[#This Row],[Gross Sales]]-financials[[#This Row],[Gross Sales]]*financials[[#This Row],[Discounts]]</f>
        <v>428.4</v>
      </c>
      <c r="J1916" s="8">
        <f>VLOOKUP(financials[[#This Row],[productid]],Products!$B$2:$H$10,4)</f>
        <v>16.8</v>
      </c>
      <c r="K1916" s="8">
        <f>financials[[#This Row],[Net Sales]]-financials[[#This Row],[COGS]]</f>
        <v>411.59999999999997</v>
      </c>
      <c r="L1916" s="15">
        <v>45618</v>
      </c>
      <c r="M1916" t="s">
        <v>697</v>
      </c>
    </row>
    <row r="1917" spans="1:13" x14ac:dyDescent="0.25">
      <c r="A1917" t="s">
        <v>86</v>
      </c>
      <c r="B1917" s="6" t="s">
        <v>84</v>
      </c>
      <c r="C1917" s="13">
        <v>107</v>
      </c>
      <c r="D1917" s="14" t="s">
        <v>83</v>
      </c>
      <c r="E1917">
        <v>8</v>
      </c>
      <c r="F1917" s="8">
        <f>VLOOKUP(financials[[#This Row],[productid]],Products!$B$2:$H$10,3)</f>
        <v>15</v>
      </c>
      <c r="G1917" s="8">
        <f>financials[[#This Row],[Units Sold]]*financials[[#This Row],[Sale Price]]</f>
        <v>120</v>
      </c>
      <c r="H1917" s="8">
        <f>IF(financials[[#This Row],[Discount Band]]="low",0.1,IF(financials[[#This Row],[Discount Band]]="medium",0.15,0.3))</f>
        <v>0.3</v>
      </c>
      <c r="I1917" s="8">
        <f>financials[[#This Row],[Gross Sales]]-financials[[#This Row],[Gross Sales]]*financials[[#This Row],[Discounts]]</f>
        <v>84</v>
      </c>
      <c r="J1917" s="8">
        <f>VLOOKUP(financials[[#This Row],[productid]],Products!$B$2:$H$10,4)</f>
        <v>5.5</v>
      </c>
      <c r="K1917" s="8">
        <f>financials[[#This Row],[Net Sales]]-financials[[#This Row],[COGS]]</f>
        <v>78.5</v>
      </c>
      <c r="L1917" s="15">
        <v>44673</v>
      </c>
      <c r="M1917" t="s">
        <v>696</v>
      </c>
    </row>
    <row r="1918" spans="1:13" x14ac:dyDescent="0.25">
      <c r="A1918" t="s">
        <v>86</v>
      </c>
      <c r="B1918" s="6" t="s">
        <v>205</v>
      </c>
      <c r="C1918" s="13">
        <v>102</v>
      </c>
      <c r="D1918" s="14" t="s">
        <v>90</v>
      </c>
      <c r="E1918">
        <v>20</v>
      </c>
      <c r="F1918" s="8">
        <f>VLOOKUP(financials[[#This Row],[productid]],Products!$B$2:$H$10,3)</f>
        <v>15</v>
      </c>
      <c r="G1918" s="8">
        <f>financials[[#This Row],[Units Sold]]*financials[[#This Row],[Sale Price]]</f>
        <v>300</v>
      </c>
      <c r="H1918" s="8">
        <f>IF(financials[[#This Row],[Discount Band]]="low",0.1,IF(financials[[#This Row],[Discount Band]]="medium",0.15,0.3))</f>
        <v>0.15</v>
      </c>
      <c r="I1918" s="8">
        <f>financials[[#This Row],[Gross Sales]]-financials[[#This Row],[Gross Sales]]*financials[[#This Row],[Discounts]]</f>
        <v>255</v>
      </c>
      <c r="J1918" s="8">
        <f>VLOOKUP(financials[[#This Row],[productid]],Products!$B$2:$H$10,4)</f>
        <v>13.95</v>
      </c>
      <c r="K1918" s="8">
        <f>financials[[#This Row],[Net Sales]]-financials[[#This Row],[COGS]]</f>
        <v>241.05</v>
      </c>
      <c r="L1918" s="15">
        <v>45263</v>
      </c>
      <c r="M1918" t="s">
        <v>697</v>
      </c>
    </row>
    <row r="1919" spans="1:13" x14ac:dyDescent="0.25">
      <c r="A1919" t="s">
        <v>86</v>
      </c>
      <c r="B1919" s="6" t="s">
        <v>159</v>
      </c>
      <c r="C1919" s="13">
        <v>107</v>
      </c>
      <c r="D1919" s="14" t="s">
        <v>90</v>
      </c>
      <c r="E1919">
        <v>16</v>
      </c>
      <c r="F1919" s="8">
        <f>VLOOKUP(financials[[#This Row],[productid]],Products!$B$2:$H$10,3)</f>
        <v>15</v>
      </c>
      <c r="G1919" s="8">
        <f>financials[[#This Row],[Units Sold]]*financials[[#This Row],[Sale Price]]</f>
        <v>240</v>
      </c>
      <c r="H1919" s="8">
        <f>IF(financials[[#This Row],[Discount Band]]="low",0.1,IF(financials[[#This Row],[Discount Band]]="medium",0.15,0.3))</f>
        <v>0.15</v>
      </c>
      <c r="I1919" s="8">
        <f>financials[[#This Row],[Gross Sales]]-financials[[#This Row],[Gross Sales]]*financials[[#This Row],[Discounts]]</f>
        <v>204</v>
      </c>
      <c r="J1919" s="8">
        <f>VLOOKUP(financials[[#This Row],[productid]],Products!$B$2:$H$10,4)</f>
        <v>5.5</v>
      </c>
      <c r="K1919" s="8">
        <f>financials[[#This Row],[Net Sales]]-financials[[#This Row],[COGS]]</f>
        <v>198.5</v>
      </c>
      <c r="L1919" s="15">
        <v>44859</v>
      </c>
      <c r="M1919" t="s">
        <v>696</v>
      </c>
    </row>
    <row r="1920" spans="1:13" x14ac:dyDescent="0.25">
      <c r="A1920" t="s">
        <v>86</v>
      </c>
      <c r="B1920" s="6" t="s">
        <v>84</v>
      </c>
      <c r="C1920" s="13">
        <v>104</v>
      </c>
      <c r="D1920" s="14" t="s">
        <v>90</v>
      </c>
      <c r="E1920">
        <v>9</v>
      </c>
      <c r="F1920" s="8">
        <f>VLOOKUP(financials[[#This Row],[productid]],Products!$B$2:$H$10,3)</f>
        <v>5.9</v>
      </c>
      <c r="G1920" s="8">
        <f>financials[[#This Row],[Units Sold]]*financials[[#This Row],[Sale Price]]</f>
        <v>53.1</v>
      </c>
      <c r="H1920" s="8">
        <f>IF(financials[[#This Row],[Discount Band]]="low",0.1,IF(financials[[#This Row],[Discount Band]]="medium",0.15,0.3))</f>
        <v>0.15</v>
      </c>
      <c r="I1920" s="8">
        <f>financials[[#This Row],[Gross Sales]]-financials[[#This Row],[Gross Sales]]*financials[[#This Row],[Discounts]]</f>
        <v>45.135000000000005</v>
      </c>
      <c r="J1920" s="8">
        <f>VLOOKUP(financials[[#This Row],[productid]],Products!$B$2:$H$10,4)</f>
        <v>2.9</v>
      </c>
      <c r="K1920" s="8">
        <f>financials[[#This Row],[Net Sales]]-financials[[#This Row],[COGS]]</f>
        <v>42.235000000000007</v>
      </c>
      <c r="L1920" s="15">
        <v>44295</v>
      </c>
      <c r="M1920" t="s">
        <v>700</v>
      </c>
    </row>
    <row r="1921" spans="1:13" x14ac:dyDescent="0.25">
      <c r="A1921" t="s">
        <v>88</v>
      </c>
      <c r="B1921" s="6" t="s">
        <v>644</v>
      </c>
      <c r="C1921" s="13">
        <v>107</v>
      </c>
      <c r="D1921" s="14" t="s">
        <v>90</v>
      </c>
      <c r="E1921">
        <v>12</v>
      </c>
      <c r="F1921" s="8">
        <f>VLOOKUP(financials[[#This Row],[productid]],Products!$B$2:$H$10,3)</f>
        <v>15</v>
      </c>
      <c r="G1921" s="8">
        <f>financials[[#This Row],[Units Sold]]*financials[[#This Row],[Sale Price]]</f>
        <v>180</v>
      </c>
      <c r="H1921" s="8">
        <f>IF(financials[[#This Row],[Discount Band]]="low",0.1,IF(financials[[#This Row],[Discount Band]]="medium",0.15,0.3))</f>
        <v>0.15</v>
      </c>
      <c r="I1921" s="8">
        <f>financials[[#This Row],[Gross Sales]]-financials[[#This Row],[Gross Sales]]*financials[[#This Row],[Discounts]]</f>
        <v>153</v>
      </c>
      <c r="J1921" s="8">
        <f>VLOOKUP(financials[[#This Row],[productid]],Products!$B$2:$H$10,4)</f>
        <v>5.5</v>
      </c>
      <c r="K1921" s="8">
        <f>financials[[#This Row],[Net Sales]]-financials[[#This Row],[COGS]]</f>
        <v>147.5</v>
      </c>
      <c r="L1921" s="15">
        <v>44823</v>
      </c>
      <c r="M1921" t="s">
        <v>690</v>
      </c>
    </row>
    <row r="1922" spans="1:13" x14ac:dyDescent="0.25">
      <c r="A1922" t="s">
        <v>86</v>
      </c>
      <c r="B1922" s="6" t="s">
        <v>205</v>
      </c>
      <c r="C1922" s="13">
        <v>109</v>
      </c>
      <c r="D1922" s="14" t="s">
        <v>90</v>
      </c>
      <c r="E1922">
        <v>9</v>
      </c>
      <c r="F1922" s="8">
        <f>VLOOKUP(financials[[#This Row],[productid]],Products!$B$2:$H$10,3)</f>
        <v>36</v>
      </c>
      <c r="G1922" s="8">
        <f>financials[[#This Row],[Units Sold]]*financials[[#This Row],[Sale Price]]</f>
        <v>324</v>
      </c>
      <c r="H1922" s="8">
        <f>IF(financials[[#This Row],[Discount Band]]="low",0.1,IF(financials[[#This Row],[Discount Band]]="medium",0.15,0.3))</f>
        <v>0.15</v>
      </c>
      <c r="I1922" s="8">
        <f>financials[[#This Row],[Gross Sales]]-financials[[#This Row],[Gross Sales]]*financials[[#This Row],[Discounts]]</f>
        <v>275.39999999999998</v>
      </c>
      <c r="J1922" s="8">
        <f>VLOOKUP(financials[[#This Row],[productid]],Products!$B$2:$H$10,4)</f>
        <v>16.8</v>
      </c>
      <c r="K1922" s="8">
        <f>financials[[#This Row],[Net Sales]]-financials[[#This Row],[COGS]]</f>
        <v>258.59999999999997</v>
      </c>
      <c r="L1922" s="15">
        <v>45238</v>
      </c>
      <c r="M1922" t="s">
        <v>700</v>
      </c>
    </row>
    <row r="1923" spans="1:13" x14ac:dyDescent="0.25">
      <c r="A1923" t="s">
        <v>86</v>
      </c>
      <c r="B1923" s="6" t="s">
        <v>276</v>
      </c>
      <c r="C1923" s="13">
        <v>101</v>
      </c>
      <c r="D1923" s="14" t="s">
        <v>83</v>
      </c>
      <c r="E1923">
        <v>18</v>
      </c>
      <c r="F1923" s="8">
        <f>VLOOKUP(financials[[#This Row],[productid]],Products!$B$2:$H$10,3)</f>
        <v>23</v>
      </c>
      <c r="G1923" s="8">
        <f>financials[[#This Row],[Units Sold]]*financials[[#This Row],[Sale Price]]</f>
        <v>414</v>
      </c>
      <c r="H1923" s="8">
        <f>IF(financials[[#This Row],[Discount Band]]="low",0.1,IF(financials[[#This Row],[Discount Band]]="medium",0.15,0.3))</f>
        <v>0.3</v>
      </c>
      <c r="I1923" s="8">
        <f>financials[[#This Row],[Gross Sales]]-financials[[#This Row],[Gross Sales]]*financials[[#This Row],[Discounts]]</f>
        <v>289.8</v>
      </c>
      <c r="J1923" s="8">
        <f>VLOOKUP(financials[[#This Row],[productid]],Products!$B$2:$H$10,4)</f>
        <v>9.9499999999999993</v>
      </c>
      <c r="K1923" s="8">
        <f>financials[[#This Row],[Net Sales]]-financials[[#This Row],[COGS]]</f>
        <v>279.85000000000002</v>
      </c>
      <c r="L1923" s="15">
        <v>45086</v>
      </c>
      <c r="M1923" t="s">
        <v>700</v>
      </c>
    </row>
    <row r="1924" spans="1:13" x14ac:dyDescent="0.25">
      <c r="A1924" t="s">
        <v>86</v>
      </c>
      <c r="B1924" s="6" t="s">
        <v>124</v>
      </c>
      <c r="C1924" s="13">
        <v>105</v>
      </c>
      <c r="D1924" s="14" t="s">
        <v>91</v>
      </c>
      <c r="E1924">
        <v>16</v>
      </c>
      <c r="F1924" s="8">
        <f>VLOOKUP(financials[[#This Row],[productid]],Products!$B$2:$H$10,3)</f>
        <v>15</v>
      </c>
      <c r="G1924" s="8">
        <f>financials[[#This Row],[Units Sold]]*financials[[#This Row],[Sale Price]]</f>
        <v>240</v>
      </c>
      <c r="H1924" s="8">
        <f>IF(financials[[#This Row],[Discount Band]]="low",0.1,IF(financials[[#This Row],[Discount Band]]="medium",0.15,0.3))</f>
        <v>0.1</v>
      </c>
      <c r="I1924" s="8">
        <f>financials[[#This Row],[Gross Sales]]-financials[[#This Row],[Gross Sales]]*financials[[#This Row],[Discounts]]</f>
        <v>216</v>
      </c>
      <c r="J1924" s="8">
        <f>VLOOKUP(financials[[#This Row],[productid]],Products!$B$2:$H$10,4)</f>
        <v>10</v>
      </c>
      <c r="K1924" s="8">
        <f>financials[[#This Row],[Net Sales]]-financials[[#This Row],[COGS]]</f>
        <v>206</v>
      </c>
      <c r="L1924" s="15">
        <v>44649</v>
      </c>
      <c r="M1924" t="s">
        <v>696</v>
      </c>
    </row>
    <row r="1925" spans="1:13" x14ac:dyDescent="0.25">
      <c r="A1925" t="s">
        <v>86</v>
      </c>
      <c r="B1925" s="6" t="s">
        <v>644</v>
      </c>
      <c r="C1925" s="13">
        <v>102</v>
      </c>
      <c r="D1925" s="14" t="s">
        <v>91</v>
      </c>
      <c r="E1925">
        <v>15</v>
      </c>
      <c r="F1925" s="8">
        <f>VLOOKUP(financials[[#This Row],[productid]],Products!$B$2:$H$10,3)</f>
        <v>15</v>
      </c>
      <c r="G1925" s="8">
        <f>financials[[#This Row],[Units Sold]]*financials[[#This Row],[Sale Price]]</f>
        <v>225</v>
      </c>
      <c r="H1925" s="8">
        <f>IF(financials[[#This Row],[Discount Band]]="low",0.1,IF(financials[[#This Row],[Discount Band]]="medium",0.15,0.3))</f>
        <v>0.1</v>
      </c>
      <c r="I1925" s="8">
        <f>financials[[#This Row],[Gross Sales]]-financials[[#This Row],[Gross Sales]]*financials[[#This Row],[Discounts]]</f>
        <v>202.5</v>
      </c>
      <c r="J1925" s="8">
        <f>VLOOKUP(financials[[#This Row],[productid]],Products!$B$2:$H$10,4)</f>
        <v>13.95</v>
      </c>
      <c r="K1925" s="8">
        <f>financials[[#This Row],[Net Sales]]-financials[[#This Row],[COGS]]</f>
        <v>188.55</v>
      </c>
      <c r="L1925" s="15">
        <v>43902</v>
      </c>
      <c r="M1925" t="s">
        <v>700</v>
      </c>
    </row>
    <row r="1926" spans="1:13" x14ac:dyDescent="0.25">
      <c r="A1926" t="s">
        <v>86</v>
      </c>
      <c r="B1926" s="6" t="s">
        <v>159</v>
      </c>
      <c r="C1926" s="13">
        <v>104</v>
      </c>
      <c r="D1926" s="14" t="s">
        <v>91</v>
      </c>
      <c r="E1926">
        <v>5</v>
      </c>
      <c r="F1926" s="8">
        <f>VLOOKUP(financials[[#This Row],[productid]],Products!$B$2:$H$10,3)</f>
        <v>5.9</v>
      </c>
      <c r="G1926" s="8">
        <f>financials[[#This Row],[Units Sold]]*financials[[#This Row],[Sale Price]]</f>
        <v>29.5</v>
      </c>
      <c r="H1926" s="8">
        <f>IF(financials[[#This Row],[Discount Band]]="low",0.1,IF(financials[[#This Row],[Discount Band]]="medium",0.15,0.3))</f>
        <v>0.1</v>
      </c>
      <c r="I1926" s="8">
        <f>financials[[#This Row],[Gross Sales]]-financials[[#This Row],[Gross Sales]]*financials[[#This Row],[Discounts]]</f>
        <v>26.55</v>
      </c>
      <c r="J1926" s="8">
        <f>VLOOKUP(financials[[#This Row],[productid]],Products!$B$2:$H$10,4)</f>
        <v>2.9</v>
      </c>
      <c r="K1926" s="8">
        <f>financials[[#This Row],[Net Sales]]-financials[[#This Row],[COGS]]</f>
        <v>23.650000000000002</v>
      </c>
      <c r="L1926" s="15">
        <v>44341</v>
      </c>
      <c r="M1926" t="s">
        <v>700</v>
      </c>
    </row>
    <row r="1927" spans="1:13" x14ac:dyDescent="0.25">
      <c r="A1927" t="s">
        <v>86</v>
      </c>
      <c r="B1927" s="6" t="s">
        <v>84</v>
      </c>
      <c r="C1927" s="13">
        <v>102</v>
      </c>
      <c r="D1927" s="14" t="s">
        <v>83</v>
      </c>
      <c r="E1927">
        <v>14</v>
      </c>
      <c r="F1927" s="8">
        <f>VLOOKUP(financials[[#This Row],[productid]],Products!$B$2:$H$10,3)</f>
        <v>15</v>
      </c>
      <c r="G1927" s="8">
        <f>financials[[#This Row],[Units Sold]]*financials[[#This Row],[Sale Price]]</f>
        <v>210</v>
      </c>
      <c r="H1927" s="8">
        <f>IF(financials[[#This Row],[Discount Band]]="low",0.1,IF(financials[[#This Row],[Discount Band]]="medium",0.15,0.3))</f>
        <v>0.3</v>
      </c>
      <c r="I1927" s="8">
        <f>financials[[#This Row],[Gross Sales]]-financials[[#This Row],[Gross Sales]]*financials[[#This Row],[Discounts]]</f>
        <v>147</v>
      </c>
      <c r="J1927" s="8">
        <f>VLOOKUP(financials[[#This Row],[productid]],Products!$B$2:$H$10,4)</f>
        <v>13.95</v>
      </c>
      <c r="K1927" s="8">
        <f>financials[[#This Row],[Net Sales]]-financials[[#This Row],[COGS]]</f>
        <v>133.05000000000001</v>
      </c>
      <c r="L1927" s="15">
        <v>44397</v>
      </c>
      <c r="M1927" t="s">
        <v>696</v>
      </c>
    </row>
    <row r="1928" spans="1:13" x14ac:dyDescent="0.25">
      <c r="A1928" t="s">
        <v>86</v>
      </c>
      <c r="B1928" s="6" t="s">
        <v>124</v>
      </c>
      <c r="C1928" s="13">
        <v>102</v>
      </c>
      <c r="D1928" s="14" t="s">
        <v>91</v>
      </c>
      <c r="E1928">
        <v>10</v>
      </c>
      <c r="F1928" s="8">
        <f>VLOOKUP(financials[[#This Row],[productid]],Products!$B$2:$H$10,3)</f>
        <v>15</v>
      </c>
      <c r="G1928" s="8">
        <f>financials[[#This Row],[Units Sold]]*financials[[#This Row],[Sale Price]]</f>
        <v>150</v>
      </c>
      <c r="H1928" s="8">
        <f>IF(financials[[#This Row],[Discount Band]]="low",0.1,IF(financials[[#This Row],[Discount Band]]="medium",0.15,0.3))</f>
        <v>0.1</v>
      </c>
      <c r="I1928" s="8">
        <f>financials[[#This Row],[Gross Sales]]-financials[[#This Row],[Gross Sales]]*financials[[#This Row],[Discounts]]</f>
        <v>135</v>
      </c>
      <c r="J1928" s="8">
        <f>VLOOKUP(financials[[#This Row],[productid]],Products!$B$2:$H$10,4)</f>
        <v>13.95</v>
      </c>
      <c r="K1928" s="8">
        <f>financials[[#This Row],[Net Sales]]-financials[[#This Row],[COGS]]</f>
        <v>121.05</v>
      </c>
      <c r="L1928" s="15">
        <v>43844</v>
      </c>
      <c r="M1928" t="s">
        <v>700</v>
      </c>
    </row>
    <row r="1929" spans="1:13" x14ac:dyDescent="0.25">
      <c r="A1929" t="s">
        <v>86</v>
      </c>
      <c r="B1929" s="6" t="s">
        <v>159</v>
      </c>
      <c r="C1929" s="13">
        <v>109</v>
      </c>
      <c r="D1929" s="14" t="s">
        <v>91</v>
      </c>
      <c r="E1929">
        <v>8</v>
      </c>
      <c r="F1929" s="8">
        <f>VLOOKUP(financials[[#This Row],[productid]],Products!$B$2:$H$10,3)</f>
        <v>36</v>
      </c>
      <c r="G1929" s="8">
        <f>financials[[#This Row],[Units Sold]]*financials[[#This Row],[Sale Price]]</f>
        <v>288</v>
      </c>
      <c r="H1929" s="8">
        <f>IF(financials[[#This Row],[Discount Band]]="low",0.1,IF(financials[[#This Row],[Discount Band]]="medium",0.15,0.3))</f>
        <v>0.1</v>
      </c>
      <c r="I1929" s="8">
        <f>financials[[#This Row],[Gross Sales]]-financials[[#This Row],[Gross Sales]]*financials[[#This Row],[Discounts]]</f>
        <v>259.2</v>
      </c>
      <c r="J1929" s="8">
        <f>VLOOKUP(financials[[#This Row],[productid]],Products!$B$2:$H$10,4)</f>
        <v>16.8</v>
      </c>
      <c r="K1929" s="8">
        <f>financials[[#This Row],[Net Sales]]-financials[[#This Row],[COGS]]</f>
        <v>242.39999999999998</v>
      </c>
      <c r="L1929" s="15">
        <v>45567</v>
      </c>
      <c r="M1929" t="s">
        <v>700</v>
      </c>
    </row>
    <row r="1930" spans="1:13" x14ac:dyDescent="0.25">
      <c r="A1930" t="s">
        <v>86</v>
      </c>
      <c r="B1930" s="6" t="s">
        <v>84</v>
      </c>
      <c r="C1930" s="13">
        <v>104</v>
      </c>
      <c r="D1930" s="14" t="s">
        <v>90</v>
      </c>
      <c r="E1930">
        <v>12</v>
      </c>
      <c r="F1930" s="8">
        <f>VLOOKUP(financials[[#This Row],[productid]],Products!$B$2:$H$10,3)</f>
        <v>5.9</v>
      </c>
      <c r="G1930" s="8">
        <f>financials[[#This Row],[Units Sold]]*financials[[#This Row],[Sale Price]]</f>
        <v>70.800000000000011</v>
      </c>
      <c r="H1930" s="8">
        <f>IF(financials[[#This Row],[Discount Band]]="low",0.1,IF(financials[[#This Row],[Discount Band]]="medium",0.15,0.3))</f>
        <v>0.15</v>
      </c>
      <c r="I1930" s="8">
        <f>financials[[#This Row],[Gross Sales]]-financials[[#This Row],[Gross Sales]]*financials[[#This Row],[Discounts]]</f>
        <v>60.180000000000007</v>
      </c>
      <c r="J1930" s="8">
        <f>VLOOKUP(financials[[#This Row],[productid]],Products!$B$2:$H$10,4)</f>
        <v>2.9</v>
      </c>
      <c r="K1930" s="8">
        <f>financials[[#This Row],[Net Sales]]-financials[[#This Row],[COGS]]</f>
        <v>57.280000000000008</v>
      </c>
      <c r="L1930" s="15">
        <v>43894</v>
      </c>
      <c r="M1930" t="s">
        <v>690</v>
      </c>
    </row>
    <row r="1931" spans="1:13" x14ac:dyDescent="0.25">
      <c r="A1931" t="s">
        <v>86</v>
      </c>
      <c r="B1931" s="6" t="s">
        <v>84</v>
      </c>
      <c r="C1931" s="13">
        <v>103</v>
      </c>
      <c r="D1931" s="14" t="s">
        <v>91</v>
      </c>
      <c r="E1931">
        <v>14</v>
      </c>
      <c r="F1931" s="8">
        <f>VLOOKUP(financials[[#This Row],[productid]],Products!$B$2:$H$10,3)</f>
        <v>28</v>
      </c>
      <c r="G1931" s="8">
        <f>financials[[#This Row],[Units Sold]]*financials[[#This Row],[Sale Price]]</f>
        <v>392</v>
      </c>
      <c r="H1931" s="8">
        <f>IF(financials[[#This Row],[Discount Band]]="low",0.1,IF(financials[[#This Row],[Discount Band]]="medium",0.15,0.3))</f>
        <v>0.1</v>
      </c>
      <c r="I1931" s="8">
        <f>financials[[#This Row],[Gross Sales]]-financials[[#This Row],[Gross Sales]]*financials[[#This Row],[Discounts]]</f>
        <v>352.8</v>
      </c>
      <c r="J1931" s="8">
        <f>VLOOKUP(financials[[#This Row],[productid]],Products!$B$2:$H$10,4)</f>
        <v>15</v>
      </c>
      <c r="K1931" s="8">
        <f>financials[[#This Row],[Net Sales]]-financials[[#This Row],[COGS]]</f>
        <v>337.8</v>
      </c>
      <c r="L1931" s="15">
        <v>45282</v>
      </c>
      <c r="M1931" t="s">
        <v>700</v>
      </c>
    </row>
    <row r="1932" spans="1:13" x14ac:dyDescent="0.25">
      <c r="A1932" t="s">
        <v>86</v>
      </c>
      <c r="B1932" s="6" t="s">
        <v>124</v>
      </c>
      <c r="C1932" s="13">
        <v>105</v>
      </c>
      <c r="D1932" s="14" t="s">
        <v>90</v>
      </c>
      <c r="E1932">
        <v>6</v>
      </c>
      <c r="F1932" s="8">
        <f>VLOOKUP(financials[[#This Row],[productid]],Products!$B$2:$H$10,3)</f>
        <v>15</v>
      </c>
      <c r="G1932" s="8">
        <f>financials[[#This Row],[Units Sold]]*financials[[#This Row],[Sale Price]]</f>
        <v>90</v>
      </c>
      <c r="H1932" s="8">
        <f>IF(financials[[#This Row],[Discount Band]]="low",0.1,IF(financials[[#This Row],[Discount Band]]="medium",0.15,0.3))</f>
        <v>0.15</v>
      </c>
      <c r="I1932" s="8">
        <f>financials[[#This Row],[Gross Sales]]-financials[[#This Row],[Gross Sales]]*financials[[#This Row],[Discounts]]</f>
        <v>76.5</v>
      </c>
      <c r="J1932" s="8">
        <f>VLOOKUP(financials[[#This Row],[productid]],Products!$B$2:$H$10,4)</f>
        <v>10</v>
      </c>
      <c r="K1932" s="8">
        <f>financials[[#This Row],[Net Sales]]-financials[[#This Row],[COGS]]</f>
        <v>66.5</v>
      </c>
      <c r="L1932" s="15">
        <v>44621</v>
      </c>
      <c r="M1932" t="s">
        <v>691</v>
      </c>
    </row>
    <row r="1933" spans="1:13" x14ac:dyDescent="0.25">
      <c r="A1933" t="s">
        <v>86</v>
      </c>
      <c r="B1933" s="6" t="s">
        <v>159</v>
      </c>
      <c r="C1933" s="13">
        <v>103</v>
      </c>
      <c r="D1933" s="14" t="s">
        <v>90</v>
      </c>
      <c r="E1933">
        <v>6</v>
      </c>
      <c r="F1933" s="8">
        <f>VLOOKUP(financials[[#This Row],[productid]],Products!$B$2:$H$10,3)</f>
        <v>28</v>
      </c>
      <c r="G1933" s="8">
        <f>financials[[#This Row],[Units Sold]]*financials[[#This Row],[Sale Price]]</f>
        <v>168</v>
      </c>
      <c r="H1933" s="8">
        <f>IF(financials[[#This Row],[Discount Band]]="low",0.1,IF(financials[[#This Row],[Discount Band]]="medium",0.15,0.3))</f>
        <v>0.15</v>
      </c>
      <c r="I1933" s="8">
        <f>financials[[#This Row],[Gross Sales]]-financials[[#This Row],[Gross Sales]]*financials[[#This Row],[Discounts]]</f>
        <v>142.80000000000001</v>
      </c>
      <c r="J1933" s="8">
        <f>VLOOKUP(financials[[#This Row],[productid]],Products!$B$2:$H$10,4)</f>
        <v>15</v>
      </c>
      <c r="K1933" s="8">
        <f>financials[[#This Row],[Net Sales]]-financials[[#This Row],[COGS]]</f>
        <v>127.80000000000001</v>
      </c>
      <c r="L1933" s="15">
        <v>45169</v>
      </c>
      <c r="M1933" t="s">
        <v>700</v>
      </c>
    </row>
    <row r="1934" spans="1:13" x14ac:dyDescent="0.25">
      <c r="A1934" t="s">
        <v>86</v>
      </c>
      <c r="B1934" s="6" t="s">
        <v>159</v>
      </c>
      <c r="C1934" s="13">
        <v>107</v>
      </c>
      <c r="D1934" s="14" t="s">
        <v>92</v>
      </c>
      <c r="E1934">
        <v>12</v>
      </c>
      <c r="F1934" s="8">
        <f>VLOOKUP(financials[[#This Row],[productid]],Products!$B$2:$H$10,3)</f>
        <v>15</v>
      </c>
      <c r="G1934" s="8">
        <f>financials[[#This Row],[Units Sold]]*financials[[#This Row],[Sale Price]]</f>
        <v>180</v>
      </c>
      <c r="H1934" s="8">
        <f>IF(financials[[#This Row],[Discount Band]]="low",0.1,IF(financials[[#This Row],[Discount Band]]="medium",0.15,0.3))</f>
        <v>0.3</v>
      </c>
      <c r="I1934" s="8">
        <f>financials[[#This Row],[Gross Sales]]-financials[[#This Row],[Gross Sales]]*financials[[#This Row],[Discounts]]</f>
        <v>126</v>
      </c>
      <c r="J1934" s="8">
        <f>VLOOKUP(financials[[#This Row],[productid]],Products!$B$2:$H$10,4)</f>
        <v>5.5</v>
      </c>
      <c r="K1934" s="8">
        <f>financials[[#This Row],[Net Sales]]-financials[[#This Row],[COGS]]</f>
        <v>120.5</v>
      </c>
      <c r="L1934" s="15">
        <v>44867</v>
      </c>
      <c r="M1934" t="s">
        <v>690</v>
      </c>
    </row>
    <row r="1935" spans="1:13" x14ac:dyDescent="0.25">
      <c r="A1935" t="s">
        <v>86</v>
      </c>
      <c r="B1935" s="6" t="s">
        <v>159</v>
      </c>
      <c r="C1935" s="13">
        <v>109</v>
      </c>
      <c r="D1935" s="14" t="s">
        <v>83</v>
      </c>
      <c r="E1935">
        <v>6</v>
      </c>
      <c r="F1935" s="8">
        <f>VLOOKUP(financials[[#This Row],[productid]],Products!$B$2:$H$10,3)</f>
        <v>36</v>
      </c>
      <c r="G1935" s="8">
        <f>financials[[#This Row],[Units Sold]]*financials[[#This Row],[Sale Price]]</f>
        <v>216</v>
      </c>
      <c r="H1935" s="8">
        <f>IF(financials[[#This Row],[Discount Band]]="low",0.1,IF(financials[[#This Row],[Discount Band]]="medium",0.15,0.3))</f>
        <v>0.3</v>
      </c>
      <c r="I1935" s="8">
        <f>financials[[#This Row],[Gross Sales]]-financials[[#This Row],[Gross Sales]]*financials[[#This Row],[Discounts]]</f>
        <v>151.19999999999999</v>
      </c>
      <c r="J1935" s="8">
        <f>VLOOKUP(financials[[#This Row],[productid]],Products!$B$2:$H$10,4)</f>
        <v>16.8</v>
      </c>
      <c r="K1935" s="8">
        <f>financials[[#This Row],[Net Sales]]-financials[[#This Row],[COGS]]</f>
        <v>134.39999999999998</v>
      </c>
      <c r="L1935" s="15">
        <v>45521</v>
      </c>
      <c r="M1935" t="s">
        <v>697</v>
      </c>
    </row>
    <row r="1936" spans="1:13" x14ac:dyDescent="0.25">
      <c r="A1936" t="s">
        <v>86</v>
      </c>
      <c r="B1936" s="6" t="s">
        <v>644</v>
      </c>
      <c r="C1936" s="11">
        <v>104</v>
      </c>
      <c r="D1936" s="9" t="s">
        <v>91</v>
      </c>
      <c r="E1936">
        <v>10</v>
      </c>
      <c r="F1936" s="8">
        <f>VLOOKUP(financials[[#This Row],[productid]],Products!$B$2:$H$10,3)</f>
        <v>5.9</v>
      </c>
      <c r="G1936" s="8">
        <f>financials[[#This Row],[Units Sold]]*financials[[#This Row],[Sale Price]]</f>
        <v>59</v>
      </c>
      <c r="H1936" s="8">
        <f>IF(financials[[#This Row],[Discount Band]]="low",0.1,IF(financials[[#This Row],[Discount Band]]="medium",0.15,0.3))</f>
        <v>0.1</v>
      </c>
      <c r="I1936" s="8">
        <f>financials[[#This Row],[Gross Sales]]-financials[[#This Row],[Gross Sales]]*financials[[#This Row],[Discounts]]</f>
        <v>53.1</v>
      </c>
      <c r="J1936" s="8">
        <f>VLOOKUP(financials[[#This Row],[productid]],Products!$B$2:$H$10,4)</f>
        <v>2.9</v>
      </c>
      <c r="K1936" s="8">
        <f>financials[[#This Row],[Net Sales]]-financials[[#This Row],[COGS]]</f>
        <v>50.2</v>
      </c>
      <c r="L1936" s="15">
        <v>44037</v>
      </c>
      <c r="M1936" t="s">
        <v>696</v>
      </c>
    </row>
    <row r="1937" spans="1:13" x14ac:dyDescent="0.25">
      <c r="A1937" t="s">
        <v>86</v>
      </c>
      <c r="B1937" s="6" t="s">
        <v>159</v>
      </c>
      <c r="C1937" s="13">
        <v>101</v>
      </c>
      <c r="D1937" s="14" t="s">
        <v>90</v>
      </c>
      <c r="E1937">
        <v>11</v>
      </c>
      <c r="F1937" s="8">
        <f>VLOOKUP(financials[[#This Row],[productid]],Products!$B$2:$H$10,3)</f>
        <v>23</v>
      </c>
      <c r="G1937" s="8">
        <f>financials[[#This Row],[Units Sold]]*financials[[#This Row],[Sale Price]]</f>
        <v>253</v>
      </c>
      <c r="H1937" s="8">
        <f>IF(financials[[#This Row],[Discount Band]]="low",0.1,IF(financials[[#This Row],[Discount Band]]="medium",0.15,0.3))</f>
        <v>0.15</v>
      </c>
      <c r="I1937" s="8">
        <f>financials[[#This Row],[Gross Sales]]-financials[[#This Row],[Gross Sales]]*financials[[#This Row],[Discounts]]</f>
        <v>215.05</v>
      </c>
      <c r="J1937" s="8">
        <f>VLOOKUP(financials[[#This Row],[productid]],Products!$B$2:$H$10,4)</f>
        <v>9.9499999999999993</v>
      </c>
      <c r="K1937" s="8">
        <f>financials[[#This Row],[Net Sales]]-financials[[#This Row],[COGS]]</f>
        <v>205.10000000000002</v>
      </c>
      <c r="L1937" s="15">
        <v>45205</v>
      </c>
      <c r="M1937" t="s">
        <v>690</v>
      </c>
    </row>
    <row r="1938" spans="1:13" x14ac:dyDescent="0.25">
      <c r="A1938" t="s">
        <v>86</v>
      </c>
      <c r="B1938" s="6" t="s">
        <v>124</v>
      </c>
      <c r="C1938" s="13">
        <v>109</v>
      </c>
      <c r="D1938" s="14" t="s">
        <v>90</v>
      </c>
      <c r="E1938">
        <v>14</v>
      </c>
      <c r="F1938" s="8">
        <f>VLOOKUP(financials[[#This Row],[productid]],Products!$B$2:$H$10,3)</f>
        <v>36</v>
      </c>
      <c r="G1938" s="8">
        <f>financials[[#This Row],[Units Sold]]*financials[[#This Row],[Sale Price]]</f>
        <v>504</v>
      </c>
      <c r="H1938" s="8">
        <f>IF(financials[[#This Row],[Discount Band]]="low",0.1,IF(financials[[#This Row],[Discount Band]]="medium",0.15,0.3))</f>
        <v>0.15</v>
      </c>
      <c r="I1938" s="8">
        <f>financials[[#This Row],[Gross Sales]]-financials[[#This Row],[Gross Sales]]*financials[[#This Row],[Discounts]]</f>
        <v>428.4</v>
      </c>
      <c r="J1938" s="8">
        <f>VLOOKUP(financials[[#This Row],[productid]],Products!$B$2:$H$10,4)</f>
        <v>16.8</v>
      </c>
      <c r="K1938" s="8">
        <f>financials[[#This Row],[Net Sales]]-financials[[#This Row],[COGS]]</f>
        <v>411.59999999999997</v>
      </c>
      <c r="L1938" s="15">
        <v>43923</v>
      </c>
      <c r="M1938" t="s">
        <v>697</v>
      </c>
    </row>
    <row r="1939" spans="1:13" x14ac:dyDescent="0.25">
      <c r="A1939" t="s">
        <v>86</v>
      </c>
      <c r="B1939" s="6" t="s">
        <v>205</v>
      </c>
      <c r="C1939" s="13">
        <v>104</v>
      </c>
      <c r="D1939" s="14" t="s">
        <v>90</v>
      </c>
      <c r="E1939">
        <v>14</v>
      </c>
      <c r="F1939" s="8">
        <f>VLOOKUP(financials[[#This Row],[productid]],Products!$B$2:$H$10,3)</f>
        <v>5.9</v>
      </c>
      <c r="G1939" s="8">
        <f>financials[[#This Row],[Units Sold]]*financials[[#This Row],[Sale Price]]</f>
        <v>82.600000000000009</v>
      </c>
      <c r="H1939" s="8">
        <f>IF(financials[[#This Row],[Discount Band]]="low",0.1,IF(financials[[#This Row],[Discount Band]]="medium",0.15,0.3))</f>
        <v>0.15</v>
      </c>
      <c r="I1939" s="8">
        <f>financials[[#This Row],[Gross Sales]]-financials[[#This Row],[Gross Sales]]*financials[[#This Row],[Discounts]]</f>
        <v>70.210000000000008</v>
      </c>
      <c r="J1939" s="8">
        <f>VLOOKUP(financials[[#This Row],[productid]],Products!$B$2:$H$10,4)</f>
        <v>2.9</v>
      </c>
      <c r="K1939" s="8">
        <f>financials[[#This Row],[Net Sales]]-financials[[#This Row],[COGS]]</f>
        <v>67.31</v>
      </c>
      <c r="L1939" s="15">
        <v>45589</v>
      </c>
      <c r="M1939" t="s">
        <v>690</v>
      </c>
    </row>
    <row r="1940" spans="1:13" x14ac:dyDescent="0.25">
      <c r="A1940" t="s">
        <v>87</v>
      </c>
      <c r="B1940" s="6" t="s">
        <v>644</v>
      </c>
      <c r="C1940" s="13">
        <v>103</v>
      </c>
      <c r="D1940" s="14" t="s">
        <v>90</v>
      </c>
      <c r="E1940">
        <v>19</v>
      </c>
      <c r="F1940" s="8">
        <f>VLOOKUP(financials[[#This Row],[productid]],Products!$B$2:$H$10,3)</f>
        <v>28</v>
      </c>
      <c r="G1940" s="8">
        <f>financials[[#This Row],[Units Sold]]*financials[[#This Row],[Sale Price]]</f>
        <v>532</v>
      </c>
      <c r="H1940" s="8">
        <f>IF(financials[[#This Row],[Discount Band]]="low",0.1,IF(financials[[#This Row],[Discount Band]]="medium",0.15,0.3))</f>
        <v>0.15</v>
      </c>
      <c r="I1940" s="8">
        <f>financials[[#This Row],[Gross Sales]]-financials[[#This Row],[Gross Sales]]*financials[[#This Row],[Discounts]]</f>
        <v>452.2</v>
      </c>
      <c r="J1940" s="8">
        <f>VLOOKUP(financials[[#This Row],[productid]],Products!$B$2:$H$10,4)</f>
        <v>15</v>
      </c>
      <c r="K1940" s="8">
        <f>financials[[#This Row],[Net Sales]]-financials[[#This Row],[COGS]]</f>
        <v>437.2</v>
      </c>
      <c r="L1940" s="15">
        <v>44556</v>
      </c>
      <c r="M1940" t="s">
        <v>696</v>
      </c>
    </row>
    <row r="1941" spans="1:13" x14ac:dyDescent="0.25">
      <c r="A1941" t="s">
        <v>86</v>
      </c>
      <c r="B1941" s="6" t="s">
        <v>84</v>
      </c>
      <c r="C1941" s="13">
        <v>105</v>
      </c>
      <c r="D1941" s="14" t="s">
        <v>91</v>
      </c>
      <c r="E1941">
        <v>15</v>
      </c>
      <c r="F1941" s="8">
        <f>VLOOKUP(financials[[#This Row],[productid]],Products!$B$2:$H$10,3)</f>
        <v>15</v>
      </c>
      <c r="G1941" s="8">
        <f>financials[[#This Row],[Units Sold]]*financials[[#This Row],[Sale Price]]</f>
        <v>225</v>
      </c>
      <c r="H1941" s="8">
        <f>IF(financials[[#This Row],[Discount Band]]="low",0.1,IF(financials[[#This Row],[Discount Band]]="medium",0.15,0.3))</f>
        <v>0.1</v>
      </c>
      <c r="I1941" s="8">
        <f>financials[[#This Row],[Gross Sales]]-financials[[#This Row],[Gross Sales]]*financials[[#This Row],[Discounts]]</f>
        <v>202.5</v>
      </c>
      <c r="J1941" s="8">
        <f>VLOOKUP(financials[[#This Row],[productid]],Products!$B$2:$H$10,4)</f>
        <v>10</v>
      </c>
      <c r="K1941" s="8">
        <f>financials[[#This Row],[Net Sales]]-financials[[#This Row],[COGS]]</f>
        <v>192.5</v>
      </c>
      <c r="L1941" s="15">
        <v>44133</v>
      </c>
      <c r="M1941" t="s">
        <v>697</v>
      </c>
    </row>
    <row r="1942" spans="1:13" x14ac:dyDescent="0.25">
      <c r="A1942" t="s">
        <v>86</v>
      </c>
      <c r="B1942" s="6" t="s">
        <v>84</v>
      </c>
      <c r="C1942" s="13">
        <v>109</v>
      </c>
      <c r="D1942" s="14" t="s">
        <v>90</v>
      </c>
      <c r="E1942">
        <v>20</v>
      </c>
      <c r="F1942" s="8">
        <f>VLOOKUP(financials[[#This Row],[productid]],Products!$B$2:$H$10,3)</f>
        <v>36</v>
      </c>
      <c r="G1942" s="8">
        <f>financials[[#This Row],[Units Sold]]*financials[[#This Row],[Sale Price]]</f>
        <v>720</v>
      </c>
      <c r="H1942" s="8">
        <f>IF(financials[[#This Row],[Discount Band]]="low",0.1,IF(financials[[#This Row],[Discount Band]]="medium",0.15,0.3))</f>
        <v>0.15</v>
      </c>
      <c r="I1942" s="8">
        <f>financials[[#This Row],[Gross Sales]]-financials[[#This Row],[Gross Sales]]*financials[[#This Row],[Discounts]]</f>
        <v>612</v>
      </c>
      <c r="J1942" s="8">
        <f>VLOOKUP(financials[[#This Row],[productid]],Products!$B$2:$H$10,4)</f>
        <v>16.8</v>
      </c>
      <c r="K1942" s="8">
        <f>financials[[#This Row],[Net Sales]]-financials[[#This Row],[COGS]]</f>
        <v>595.20000000000005</v>
      </c>
      <c r="L1942" s="15">
        <v>44631</v>
      </c>
      <c r="M1942" t="s">
        <v>690</v>
      </c>
    </row>
    <row r="1943" spans="1:13" x14ac:dyDescent="0.25">
      <c r="A1943" t="s">
        <v>86</v>
      </c>
      <c r="B1943" s="6" t="s">
        <v>84</v>
      </c>
      <c r="C1943" s="13">
        <v>108</v>
      </c>
      <c r="D1943" s="14" t="s">
        <v>90</v>
      </c>
      <c r="E1943">
        <v>14</v>
      </c>
      <c r="F1943" s="8">
        <f>VLOOKUP(financials[[#This Row],[productid]],Products!$B$2:$H$10,3)</f>
        <v>5.5</v>
      </c>
      <c r="G1943" s="8">
        <f>financials[[#This Row],[Units Sold]]*financials[[#This Row],[Sale Price]]</f>
        <v>77</v>
      </c>
      <c r="H1943" s="8">
        <f>IF(financials[[#This Row],[Discount Band]]="low",0.1,IF(financials[[#This Row],[Discount Band]]="medium",0.15,0.3))</f>
        <v>0.15</v>
      </c>
      <c r="I1943" s="8">
        <f>financials[[#This Row],[Gross Sales]]-financials[[#This Row],[Gross Sales]]*financials[[#This Row],[Discounts]]</f>
        <v>65.45</v>
      </c>
      <c r="J1943" s="8">
        <f>VLOOKUP(financials[[#This Row],[productid]],Products!$B$2:$H$10,4)</f>
        <v>3.99</v>
      </c>
      <c r="K1943" s="8">
        <f>financials[[#This Row],[Net Sales]]-financials[[#This Row],[COGS]]</f>
        <v>61.46</v>
      </c>
      <c r="L1943" s="15">
        <v>44675</v>
      </c>
      <c r="M1943" t="s">
        <v>691</v>
      </c>
    </row>
    <row r="1944" spans="1:13" x14ac:dyDescent="0.25">
      <c r="A1944" t="s">
        <v>86</v>
      </c>
      <c r="B1944" s="6" t="s">
        <v>159</v>
      </c>
      <c r="C1944" s="11">
        <v>109</v>
      </c>
      <c r="D1944" s="9" t="s">
        <v>83</v>
      </c>
      <c r="E1944">
        <v>16</v>
      </c>
      <c r="F1944" s="8">
        <f>VLOOKUP(financials[[#This Row],[productid]],Products!$B$2:$H$10,3)</f>
        <v>36</v>
      </c>
      <c r="G1944" s="8">
        <f>financials[[#This Row],[Units Sold]]*financials[[#This Row],[Sale Price]]</f>
        <v>576</v>
      </c>
      <c r="H1944" s="8">
        <f>IF(financials[[#This Row],[Discount Band]]="low",0.1,IF(financials[[#This Row],[Discount Band]]="medium",0.15,0.3))</f>
        <v>0.3</v>
      </c>
      <c r="I1944" s="8">
        <f>financials[[#This Row],[Gross Sales]]-financials[[#This Row],[Gross Sales]]*financials[[#This Row],[Discounts]]</f>
        <v>403.20000000000005</v>
      </c>
      <c r="J1944" s="8">
        <f>VLOOKUP(financials[[#This Row],[productid]],Products!$B$2:$H$10,4)</f>
        <v>16.8</v>
      </c>
      <c r="K1944" s="8">
        <f>financials[[#This Row],[Net Sales]]-financials[[#This Row],[COGS]]</f>
        <v>386.40000000000003</v>
      </c>
      <c r="L1944" s="15">
        <v>44944</v>
      </c>
      <c r="M1944" t="s">
        <v>696</v>
      </c>
    </row>
    <row r="1945" spans="1:13" x14ac:dyDescent="0.25">
      <c r="A1945" t="s">
        <v>86</v>
      </c>
      <c r="B1945" s="6" t="s">
        <v>84</v>
      </c>
      <c r="C1945" s="13">
        <v>105</v>
      </c>
      <c r="D1945" s="14" t="s">
        <v>91</v>
      </c>
      <c r="E1945">
        <v>20</v>
      </c>
      <c r="F1945" s="8">
        <f>VLOOKUP(financials[[#This Row],[productid]],Products!$B$2:$H$10,3)</f>
        <v>15</v>
      </c>
      <c r="G1945" s="8">
        <f>financials[[#This Row],[Units Sold]]*financials[[#This Row],[Sale Price]]</f>
        <v>300</v>
      </c>
      <c r="H1945" s="8">
        <f>IF(financials[[#This Row],[Discount Band]]="low",0.1,IF(financials[[#This Row],[Discount Band]]="medium",0.15,0.3))</f>
        <v>0.1</v>
      </c>
      <c r="I1945" s="8">
        <f>financials[[#This Row],[Gross Sales]]-financials[[#This Row],[Gross Sales]]*financials[[#This Row],[Discounts]]</f>
        <v>270</v>
      </c>
      <c r="J1945" s="8">
        <f>VLOOKUP(financials[[#This Row],[productid]],Products!$B$2:$H$10,4)</f>
        <v>10</v>
      </c>
      <c r="K1945" s="8">
        <f>financials[[#This Row],[Net Sales]]-financials[[#This Row],[COGS]]</f>
        <v>260</v>
      </c>
      <c r="L1945" s="15">
        <v>44921</v>
      </c>
      <c r="M1945" t="s">
        <v>700</v>
      </c>
    </row>
    <row r="1946" spans="1:13" x14ac:dyDescent="0.25">
      <c r="A1946" t="s">
        <v>86</v>
      </c>
      <c r="B1946" s="6" t="s">
        <v>84</v>
      </c>
      <c r="C1946" s="13">
        <v>109</v>
      </c>
      <c r="D1946" s="14" t="s">
        <v>90</v>
      </c>
      <c r="E1946">
        <v>5</v>
      </c>
      <c r="F1946" s="8">
        <f>VLOOKUP(financials[[#This Row],[productid]],Products!$B$2:$H$10,3)</f>
        <v>36</v>
      </c>
      <c r="G1946" s="8">
        <f>financials[[#This Row],[Units Sold]]*financials[[#This Row],[Sale Price]]</f>
        <v>180</v>
      </c>
      <c r="H1946" s="8">
        <f>IF(financials[[#This Row],[Discount Band]]="low",0.1,IF(financials[[#This Row],[Discount Band]]="medium",0.15,0.3))</f>
        <v>0.15</v>
      </c>
      <c r="I1946" s="8">
        <f>financials[[#This Row],[Gross Sales]]-financials[[#This Row],[Gross Sales]]*financials[[#This Row],[Discounts]]</f>
        <v>153</v>
      </c>
      <c r="J1946" s="8">
        <f>VLOOKUP(financials[[#This Row],[productid]],Products!$B$2:$H$10,4)</f>
        <v>16.8</v>
      </c>
      <c r="K1946" s="8">
        <f>financials[[#This Row],[Net Sales]]-financials[[#This Row],[COGS]]</f>
        <v>136.19999999999999</v>
      </c>
      <c r="L1946" s="15">
        <v>44173</v>
      </c>
      <c r="M1946" t="s">
        <v>700</v>
      </c>
    </row>
    <row r="1947" spans="1:13" x14ac:dyDescent="0.25">
      <c r="A1947" t="s">
        <v>86</v>
      </c>
      <c r="B1947" s="6" t="s">
        <v>205</v>
      </c>
      <c r="C1947" s="13">
        <v>104</v>
      </c>
      <c r="D1947" s="14" t="s">
        <v>83</v>
      </c>
      <c r="E1947">
        <v>12</v>
      </c>
      <c r="F1947" s="8">
        <f>VLOOKUP(financials[[#This Row],[productid]],Products!$B$2:$H$10,3)</f>
        <v>5.9</v>
      </c>
      <c r="G1947" s="8">
        <f>financials[[#This Row],[Units Sold]]*financials[[#This Row],[Sale Price]]</f>
        <v>70.800000000000011</v>
      </c>
      <c r="H1947" s="8">
        <f>IF(financials[[#This Row],[Discount Band]]="low",0.1,IF(financials[[#This Row],[Discount Band]]="medium",0.15,0.3))</f>
        <v>0.3</v>
      </c>
      <c r="I1947" s="8">
        <f>financials[[#This Row],[Gross Sales]]-financials[[#This Row],[Gross Sales]]*financials[[#This Row],[Discounts]]</f>
        <v>49.560000000000009</v>
      </c>
      <c r="J1947" s="8">
        <f>VLOOKUP(financials[[#This Row],[productid]],Products!$B$2:$H$10,4)</f>
        <v>2.9</v>
      </c>
      <c r="K1947" s="8">
        <f>financials[[#This Row],[Net Sales]]-financials[[#This Row],[COGS]]</f>
        <v>46.660000000000011</v>
      </c>
      <c r="L1947" s="15">
        <v>45331</v>
      </c>
      <c r="M1947" t="s">
        <v>700</v>
      </c>
    </row>
    <row r="1948" spans="1:13" x14ac:dyDescent="0.25">
      <c r="A1948" t="s">
        <v>86</v>
      </c>
      <c r="B1948" s="6" t="s">
        <v>198</v>
      </c>
      <c r="C1948" s="13">
        <v>103</v>
      </c>
      <c r="D1948" s="14" t="s">
        <v>90</v>
      </c>
      <c r="E1948">
        <v>5</v>
      </c>
      <c r="F1948" s="8">
        <f>VLOOKUP(financials[[#This Row],[productid]],Products!$B$2:$H$10,3)</f>
        <v>28</v>
      </c>
      <c r="G1948" s="8">
        <f>financials[[#This Row],[Units Sold]]*financials[[#This Row],[Sale Price]]</f>
        <v>140</v>
      </c>
      <c r="H1948" s="8">
        <f>IF(financials[[#This Row],[Discount Band]]="low",0.1,IF(financials[[#This Row],[Discount Band]]="medium",0.15,0.3))</f>
        <v>0.15</v>
      </c>
      <c r="I1948" s="8">
        <f>financials[[#This Row],[Gross Sales]]-financials[[#This Row],[Gross Sales]]*financials[[#This Row],[Discounts]]</f>
        <v>119</v>
      </c>
      <c r="J1948" s="8">
        <f>VLOOKUP(financials[[#This Row],[productid]],Products!$B$2:$H$10,4)</f>
        <v>15</v>
      </c>
      <c r="K1948" s="8">
        <f>financials[[#This Row],[Net Sales]]-financials[[#This Row],[COGS]]</f>
        <v>104</v>
      </c>
      <c r="L1948" s="15">
        <v>44861</v>
      </c>
      <c r="M1948" t="s">
        <v>690</v>
      </c>
    </row>
    <row r="1949" spans="1:13" x14ac:dyDescent="0.25">
      <c r="A1949" t="s">
        <v>87</v>
      </c>
      <c r="B1949" s="6" t="s">
        <v>644</v>
      </c>
      <c r="C1949" s="13">
        <v>109</v>
      </c>
      <c r="D1949" s="14" t="s">
        <v>90</v>
      </c>
      <c r="E1949">
        <v>20</v>
      </c>
      <c r="F1949" s="8">
        <f>VLOOKUP(financials[[#This Row],[productid]],Products!$B$2:$H$10,3)</f>
        <v>36</v>
      </c>
      <c r="G1949" s="8">
        <f>financials[[#This Row],[Units Sold]]*financials[[#This Row],[Sale Price]]</f>
        <v>720</v>
      </c>
      <c r="H1949" s="8">
        <f>IF(financials[[#This Row],[Discount Band]]="low",0.1,IF(financials[[#This Row],[Discount Band]]="medium",0.15,0.3))</f>
        <v>0.15</v>
      </c>
      <c r="I1949" s="8">
        <f>financials[[#This Row],[Gross Sales]]-financials[[#This Row],[Gross Sales]]*financials[[#This Row],[Discounts]]</f>
        <v>612</v>
      </c>
      <c r="J1949" s="8">
        <f>VLOOKUP(financials[[#This Row],[productid]],Products!$B$2:$H$10,4)</f>
        <v>16.8</v>
      </c>
      <c r="K1949" s="8">
        <f>financials[[#This Row],[Net Sales]]-financials[[#This Row],[COGS]]</f>
        <v>595.20000000000005</v>
      </c>
      <c r="L1949" s="15">
        <v>45270</v>
      </c>
      <c r="M1949" t="s">
        <v>690</v>
      </c>
    </row>
    <row r="1950" spans="1:13" x14ac:dyDescent="0.25">
      <c r="A1950" t="s">
        <v>86</v>
      </c>
      <c r="B1950" s="6" t="s">
        <v>205</v>
      </c>
      <c r="C1950" s="13">
        <v>103</v>
      </c>
      <c r="D1950" s="14" t="s">
        <v>91</v>
      </c>
      <c r="E1950">
        <v>16</v>
      </c>
      <c r="F1950" s="8">
        <f>VLOOKUP(financials[[#This Row],[productid]],Products!$B$2:$H$10,3)</f>
        <v>28</v>
      </c>
      <c r="G1950" s="8">
        <f>financials[[#This Row],[Units Sold]]*financials[[#This Row],[Sale Price]]</f>
        <v>448</v>
      </c>
      <c r="H1950" s="8">
        <f>IF(financials[[#This Row],[Discount Band]]="low",0.1,IF(financials[[#This Row],[Discount Band]]="medium",0.15,0.3))</f>
        <v>0.1</v>
      </c>
      <c r="I1950" s="8">
        <f>financials[[#This Row],[Gross Sales]]-financials[[#This Row],[Gross Sales]]*financials[[#This Row],[Discounts]]</f>
        <v>403.2</v>
      </c>
      <c r="J1950" s="8">
        <f>VLOOKUP(financials[[#This Row],[productid]],Products!$B$2:$H$10,4)</f>
        <v>15</v>
      </c>
      <c r="K1950" s="8">
        <f>financials[[#This Row],[Net Sales]]-financials[[#This Row],[COGS]]</f>
        <v>388.2</v>
      </c>
      <c r="L1950" s="15">
        <v>44338</v>
      </c>
      <c r="M1950" t="s">
        <v>697</v>
      </c>
    </row>
    <row r="1951" spans="1:13" x14ac:dyDescent="0.25">
      <c r="A1951" t="s">
        <v>86</v>
      </c>
      <c r="B1951" s="6" t="s">
        <v>84</v>
      </c>
      <c r="C1951" s="13">
        <v>108</v>
      </c>
      <c r="D1951" s="14" t="s">
        <v>83</v>
      </c>
      <c r="E1951">
        <v>5</v>
      </c>
      <c r="F1951" s="8">
        <f>VLOOKUP(financials[[#This Row],[productid]],Products!$B$2:$H$10,3)</f>
        <v>5.5</v>
      </c>
      <c r="G1951" s="8">
        <f>financials[[#This Row],[Units Sold]]*financials[[#This Row],[Sale Price]]</f>
        <v>27.5</v>
      </c>
      <c r="H1951" s="8">
        <f>IF(financials[[#This Row],[Discount Band]]="low",0.1,IF(financials[[#This Row],[Discount Band]]="medium",0.15,0.3))</f>
        <v>0.3</v>
      </c>
      <c r="I1951" s="8">
        <f>financials[[#This Row],[Gross Sales]]-financials[[#This Row],[Gross Sales]]*financials[[#This Row],[Discounts]]</f>
        <v>19.25</v>
      </c>
      <c r="J1951" s="8">
        <f>VLOOKUP(financials[[#This Row],[productid]],Products!$B$2:$H$10,4)</f>
        <v>3.99</v>
      </c>
      <c r="K1951" s="8">
        <f>financials[[#This Row],[Net Sales]]-financials[[#This Row],[COGS]]</f>
        <v>15.26</v>
      </c>
      <c r="L1951" s="15">
        <v>44324</v>
      </c>
      <c r="M1951" t="s">
        <v>696</v>
      </c>
    </row>
    <row r="1952" spans="1:13" x14ac:dyDescent="0.25">
      <c r="A1952" t="s">
        <v>86</v>
      </c>
      <c r="B1952" s="6" t="s">
        <v>124</v>
      </c>
      <c r="C1952" s="13">
        <v>108</v>
      </c>
      <c r="D1952" s="14" t="s">
        <v>90</v>
      </c>
      <c r="E1952">
        <v>9</v>
      </c>
      <c r="F1952" s="8">
        <f>VLOOKUP(financials[[#This Row],[productid]],Products!$B$2:$H$10,3)</f>
        <v>5.5</v>
      </c>
      <c r="G1952" s="8">
        <f>financials[[#This Row],[Units Sold]]*financials[[#This Row],[Sale Price]]</f>
        <v>49.5</v>
      </c>
      <c r="H1952" s="8">
        <f>IF(financials[[#This Row],[Discount Band]]="low",0.1,IF(financials[[#This Row],[Discount Band]]="medium",0.15,0.3))</f>
        <v>0.15</v>
      </c>
      <c r="I1952" s="8">
        <f>financials[[#This Row],[Gross Sales]]-financials[[#This Row],[Gross Sales]]*financials[[#This Row],[Discounts]]</f>
        <v>42.075000000000003</v>
      </c>
      <c r="J1952" s="8">
        <f>VLOOKUP(financials[[#This Row],[productid]],Products!$B$2:$H$10,4)</f>
        <v>3.99</v>
      </c>
      <c r="K1952" s="8">
        <f>financials[[#This Row],[Net Sales]]-financials[[#This Row],[COGS]]</f>
        <v>38.085000000000001</v>
      </c>
      <c r="L1952" s="15">
        <v>44368</v>
      </c>
      <c r="M1952" t="s">
        <v>691</v>
      </c>
    </row>
    <row r="1953" spans="1:13" x14ac:dyDescent="0.25">
      <c r="A1953" t="s">
        <v>86</v>
      </c>
      <c r="B1953" s="6" t="s">
        <v>84</v>
      </c>
      <c r="C1953" s="13">
        <v>109</v>
      </c>
      <c r="D1953" s="14" t="s">
        <v>91</v>
      </c>
      <c r="E1953">
        <v>7</v>
      </c>
      <c r="F1953" s="8">
        <f>VLOOKUP(financials[[#This Row],[productid]],Products!$B$2:$H$10,3)</f>
        <v>36</v>
      </c>
      <c r="G1953" s="8">
        <f>financials[[#This Row],[Units Sold]]*financials[[#This Row],[Sale Price]]</f>
        <v>252</v>
      </c>
      <c r="H1953" s="8">
        <f>IF(financials[[#This Row],[Discount Band]]="low",0.1,IF(financials[[#This Row],[Discount Band]]="medium",0.15,0.3))</f>
        <v>0.1</v>
      </c>
      <c r="I1953" s="8">
        <f>financials[[#This Row],[Gross Sales]]-financials[[#This Row],[Gross Sales]]*financials[[#This Row],[Discounts]]</f>
        <v>226.8</v>
      </c>
      <c r="J1953" s="8">
        <f>VLOOKUP(financials[[#This Row],[productid]],Products!$B$2:$H$10,4)</f>
        <v>16.8</v>
      </c>
      <c r="K1953" s="8">
        <f>financials[[#This Row],[Net Sales]]-financials[[#This Row],[COGS]]</f>
        <v>210</v>
      </c>
      <c r="L1953" s="15">
        <v>45375</v>
      </c>
      <c r="M1953" t="s">
        <v>690</v>
      </c>
    </row>
    <row r="1954" spans="1:13" x14ac:dyDescent="0.25">
      <c r="A1954" t="s">
        <v>87</v>
      </c>
      <c r="B1954" s="6" t="s">
        <v>644</v>
      </c>
      <c r="C1954" s="13">
        <v>108</v>
      </c>
      <c r="D1954" s="14" t="s">
        <v>90</v>
      </c>
      <c r="E1954">
        <v>15</v>
      </c>
      <c r="F1954" s="8">
        <f>VLOOKUP(financials[[#This Row],[productid]],Products!$B$2:$H$10,3)</f>
        <v>5.5</v>
      </c>
      <c r="G1954" s="8">
        <f>financials[[#This Row],[Units Sold]]*financials[[#This Row],[Sale Price]]</f>
        <v>82.5</v>
      </c>
      <c r="H1954" s="8">
        <f>IF(financials[[#This Row],[Discount Band]]="low",0.1,IF(financials[[#This Row],[Discount Band]]="medium",0.15,0.3))</f>
        <v>0.15</v>
      </c>
      <c r="I1954" s="8">
        <f>financials[[#This Row],[Gross Sales]]-financials[[#This Row],[Gross Sales]]*financials[[#This Row],[Discounts]]</f>
        <v>70.125</v>
      </c>
      <c r="J1954" s="8">
        <f>VLOOKUP(financials[[#This Row],[productid]],Products!$B$2:$H$10,4)</f>
        <v>3.99</v>
      </c>
      <c r="K1954" s="8">
        <f>financials[[#This Row],[Net Sales]]-financials[[#This Row],[COGS]]</f>
        <v>66.135000000000005</v>
      </c>
      <c r="L1954" s="15">
        <v>44094</v>
      </c>
      <c r="M1954" t="s">
        <v>696</v>
      </c>
    </row>
    <row r="1955" spans="1:13" x14ac:dyDescent="0.25">
      <c r="A1955" t="s">
        <v>86</v>
      </c>
      <c r="B1955" s="6" t="s">
        <v>84</v>
      </c>
      <c r="C1955" s="13">
        <v>107</v>
      </c>
      <c r="D1955" s="14" t="s">
        <v>90</v>
      </c>
      <c r="E1955">
        <v>8</v>
      </c>
      <c r="F1955" s="8">
        <f>VLOOKUP(financials[[#This Row],[productid]],Products!$B$2:$H$10,3)</f>
        <v>15</v>
      </c>
      <c r="G1955" s="8">
        <f>financials[[#This Row],[Units Sold]]*financials[[#This Row],[Sale Price]]</f>
        <v>120</v>
      </c>
      <c r="H1955" s="8">
        <f>IF(financials[[#This Row],[Discount Band]]="low",0.1,IF(financials[[#This Row],[Discount Band]]="medium",0.15,0.3))</f>
        <v>0.15</v>
      </c>
      <c r="I1955" s="8">
        <f>financials[[#This Row],[Gross Sales]]-financials[[#This Row],[Gross Sales]]*financials[[#This Row],[Discounts]]</f>
        <v>102</v>
      </c>
      <c r="J1955" s="8">
        <f>VLOOKUP(financials[[#This Row],[productid]],Products!$B$2:$H$10,4)</f>
        <v>5.5</v>
      </c>
      <c r="K1955" s="8">
        <f>financials[[#This Row],[Net Sales]]-financials[[#This Row],[COGS]]</f>
        <v>96.5</v>
      </c>
      <c r="L1955" s="15">
        <v>44418</v>
      </c>
      <c r="M1955" t="s">
        <v>697</v>
      </c>
    </row>
    <row r="1956" spans="1:13" x14ac:dyDescent="0.25">
      <c r="A1956" t="s">
        <v>86</v>
      </c>
      <c r="B1956" s="6" t="s">
        <v>159</v>
      </c>
      <c r="C1956" s="13">
        <v>103</v>
      </c>
      <c r="D1956" s="14" t="s">
        <v>90</v>
      </c>
      <c r="E1956">
        <v>5</v>
      </c>
      <c r="F1956" s="8">
        <f>VLOOKUP(financials[[#This Row],[productid]],Products!$B$2:$H$10,3)</f>
        <v>28</v>
      </c>
      <c r="G1956" s="8">
        <f>financials[[#This Row],[Units Sold]]*financials[[#This Row],[Sale Price]]</f>
        <v>140</v>
      </c>
      <c r="H1956" s="8">
        <f>IF(financials[[#This Row],[Discount Band]]="low",0.1,IF(financials[[#This Row],[Discount Band]]="medium",0.15,0.3))</f>
        <v>0.15</v>
      </c>
      <c r="I1956" s="8">
        <f>financials[[#This Row],[Gross Sales]]-financials[[#This Row],[Gross Sales]]*financials[[#This Row],[Discounts]]</f>
        <v>119</v>
      </c>
      <c r="J1956" s="8">
        <f>VLOOKUP(financials[[#This Row],[productid]],Products!$B$2:$H$10,4)</f>
        <v>15</v>
      </c>
      <c r="K1956" s="8">
        <f>financials[[#This Row],[Net Sales]]-financials[[#This Row],[COGS]]</f>
        <v>104</v>
      </c>
      <c r="L1956" s="15">
        <v>45332</v>
      </c>
      <c r="M1956" t="s">
        <v>690</v>
      </c>
    </row>
    <row r="1957" spans="1:13" x14ac:dyDescent="0.25">
      <c r="A1957" t="s">
        <v>86</v>
      </c>
      <c r="B1957" s="6" t="s">
        <v>84</v>
      </c>
      <c r="C1957" s="13">
        <v>108</v>
      </c>
      <c r="D1957" s="14" t="s">
        <v>83</v>
      </c>
      <c r="E1957">
        <v>18</v>
      </c>
      <c r="F1957" s="8">
        <f>VLOOKUP(financials[[#This Row],[productid]],Products!$B$2:$H$10,3)</f>
        <v>5.5</v>
      </c>
      <c r="G1957" s="8">
        <f>financials[[#This Row],[Units Sold]]*financials[[#This Row],[Sale Price]]</f>
        <v>99</v>
      </c>
      <c r="H1957" s="8">
        <f>IF(financials[[#This Row],[Discount Band]]="low",0.1,IF(financials[[#This Row],[Discount Band]]="medium",0.15,0.3))</f>
        <v>0.3</v>
      </c>
      <c r="I1957" s="8">
        <f>financials[[#This Row],[Gross Sales]]-financials[[#This Row],[Gross Sales]]*financials[[#This Row],[Discounts]]</f>
        <v>69.3</v>
      </c>
      <c r="J1957" s="8">
        <f>VLOOKUP(financials[[#This Row],[productid]],Products!$B$2:$H$10,4)</f>
        <v>3.99</v>
      </c>
      <c r="K1957" s="8">
        <f>financials[[#This Row],[Net Sales]]-financials[[#This Row],[COGS]]</f>
        <v>65.31</v>
      </c>
      <c r="L1957" s="15">
        <v>43864</v>
      </c>
      <c r="M1957" t="s">
        <v>690</v>
      </c>
    </row>
    <row r="1958" spans="1:13" x14ac:dyDescent="0.25">
      <c r="A1958" t="s">
        <v>86</v>
      </c>
      <c r="B1958" s="6" t="s">
        <v>198</v>
      </c>
      <c r="C1958" s="13">
        <v>103</v>
      </c>
      <c r="D1958" s="14" t="s">
        <v>90</v>
      </c>
      <c r="E1958">
        <v>14</v>
      </c>
      <c r="F1958" s="8">
        <f>VLOOKUP(financials[[#This Row],[productid]],Products!$B$2:$H$10,3)</f>
        <v>28</v>
      </c>
      <c r="G1958" s="8">
        <f>financials[[#This Row],[Units Sold]]*financials[[#This Row],[Sale Price]]</f>
        <v>392</v>
      </c>
      <c r="H1958" s="8">
        <f>IF(financials[[#This Row],[Discount Band]]="low",0.1,IF(financials[[#This Row],[Discount Band]]="medium",0.15,0.3))</f>
        <v>0.15</v>
      </c>
      <c r="I1958" s="8">
        <f>financials[[#This Row],[Gross Sales]]-financials[[#This Row],[Gross Sales]]*financials[[#This Row],[Discounts]]</f>
        <v>333.2</v>
      </c>
      <c r="J1958" s="8">
        <f>VLOOKUP(financials[[#This Row],[productid]],Products!$B$2:$H$10,4)</f>
        <v>15</v>
      </c>
      <c r="K1958" s="8">
        <f>financials[[#This Row],[Net Sales]]-financials[[#This Row],[COGS]]</f>
        <v>318.2</v>
      </c>
      <c r="L1958" s="15">
        <v>43893</v>
      </c>
      <c r="M1958" t="s">
        <v>690</v>
      </c>
    </row>
    <row r="1959" spans="1:13" x14ac:dyDescent="0.25">
      <c r="A1959" t="s">
        <v>86</v>
      </c>
      <c r="B1959" s="6" t="s">
        <v>84</v>
      </c>
      <c r="C1959" s="13">
        <v>108</v>
      </c>
      <c r="D1959" s="14" t="s">
        <v>83</v>
      </c>
      <c r="E1959">
        <v>10</v>
      </c>
      <c r="F1959" s="8">
        <f>VLOOKUP(financials[[#This Row],[productid]],Products!$B$2:$H$10,3)</f>
        <v>5.5</v>
      </c>
      <c r="G1959" s="8">
        <f>financials[[#This Row],[Units Sold]]*financials[[#This Row],[Sale Price]]</f>
        <v>55</v>
      </c>
      <c r="H1959" s="8">
        <f>IF(financials[[#This Row],[Discount Band]]="low",0.1,IF(financials[[#This Row],[Discount Band]]="medium",0.15,0.3))</f>
        <v>0.3</v>
      </c>
      <c r="I1959" s="8">
        <f>financials[[#This Row],[Gross Sales]]-financials[[#This Row],[Gross Sales]]*financials[[#This Row],[Discounts]]</f>
        <v>38.5</v>
      </c>
      <c r="J1959" s="8">
        <f>VLOOKUP(financials[[#This Row],[productid]],Products!$B$2:$H$10,4)</f>
        <v>3.99</v>
      </c>
      <c r="K1959" s="8">
        <f>financials[[#This Row],[Net Sales]]-financials[[#This Row],[COGS]]</f>
        <v>34.51</v>
      </c>
      <c r="L1959" s="15">
        <v>44704</v>
      </c>
      <c r="M1959" t="s">
        <v>700</v>
      </c>
    </row>
    <row r="1960" spans="1:13" x14ac:dyDescent="0.25">
      <c r="A1960" t="s">
        <v>86</v>
      </c>
      <c r="B1960" s="6" t="s">
        <v>205</v>
      </c>
      <c r="C1960" s="13">
        <v>102</v>
      </c>
      <c r="D1960" s="14" t="s">
        <v>83</v>
      </c>
      <c r="E1960">
        <v>16</v>
      </c>
      <c r="F1960" s="8">
        <f>VLOOKUP(financials[[#This Row],[productid]],Products!$B$2:$H$10,3)</f>
        <v>15</v>
      </c>
      <c r="G1960" s="8">
        <f>financials[[#This Row],[Units Sold]]*financials[[#This Row],[Sale Price]]</f>
        <v>240</v>
      </c>
      <c r="H1960" s="8">
        <f>IF(financials[[#This Row],[Discount Band]]="low",0.1,IF(financials[[#This Row],[Discount Band]]="medium",0.15,0.3))</f>
        <v>0.3</v>
      </c>
      <c r="I1960" s="8">
        <f>financials[[#This Row],[Gross Sales]]-financials[[#This Row],[Gross Sales]]*financials[[#This Row],[Discounts]]</f>
        <v>168</v>
      </c>
      <c r="J1960" s="8">
        <f>VLOOKUP(financials[[#This Row],[productid]],Products!$B$2:$H$10,4)</f>
        <v>13.95</v>
      </c>
      <c r="K1960" s="8">
        <f>financials[[#This Row],[Net Sales]]-financials[[#This Row],[COGS]]</f>
        <v>154.05000000000001</v>
      </c>
      <c r="L1960" s="15">
        <v>43919</v>
      </c>
      <c r="M1960" t="s">
        <v>696</v>
      </c>
    </row>
    <row r="1961" spans="1:13" x14ac:dyDescent="0.25">
      <c r="A1961" t="s">
        <v>86</v>
      </c>
      <c r="B1961" s="6" t="s">
        <v>159</v>
      </c>
      <c r="C1961" s="13">
        <v>104</v>
      </c>
      <c r="D1961" s="14" t="s">
        <v>90</v>
      </c>
      <c r="E1961">
        <v>14</v>
      </c>
      <c r="F1961" s="8">
        <f>VLOOKUP(financials[[#This Row],[productid]],Products!$B$2:$H$10,3)</f>
        <v>5.9</v>
      </c>
      <c r="G1961" s="8">
        <f>financials[[#This Row],[Units Sold]]*financials[[#This Row],[Sale Price]]</f>
        <v>82.600000000000009</v>
      </c>
      <c r="H1961" s="8">
        <f>IF(financials[[#This Row],[Discount Band]]="low",0.1,IF(financials[[#This Row],[Discount Band]]="medium",0.15,0.3))</f>
        <v>0.15</v>
      </c>
      <c r="I1961" s="8">
        <f>financials[[#This Row],[Gross Sales]]-financials[[#This Row],[Gross Sales]]*financials[[#This Row],[Discounts]]</f>
        <v>70.210000000000008</v>
      </c>
      <c r="J1961" s="8">
        <f>VLOOKUP(financials[[#This Row],[productid]],Products!$B$2:$H$10,4)</f>
        <v>2.9</v>
      </c>
      <c r="K1961" s="8">
        <f>financials[[#This Row],[Net Sales]]-financials[[#This Row],[COGS]]</f>
        <v>67.31</v>
      </c>
      <c r="L1961" s="15">
        <v>45493</v>
      </c>
      <c r="M1961" t="s">
        <v>700</v>
      </c>
    </row>
    <row r="1962" spans="1:13" x14ac:dyDescent="0.25">
      <c r="A1962" t="s">
        <v>86</v>
      </c>
      <c r="B1962" s="6" t="s">
        <v>84</v>
      </c>
      <c r="C1962" s="13">
        <v>104</v>
      </c>
      <c r="D1962" s="14" t="s">
        <v>90</v>
      </c>
      <c r="E1962">
        <v>13</v>
      </c>
      <c r="F1962" s="8">
        <f>VLOOKUP(financials[[#This Row],[productid]],Products!$B$2:$H$10,3)</f>
        <v>5.9</v>
      </c>
      <c r="G1962" s="8">
        <f>financials[[#This Row],[Units Sold]]*financials[[#This Row],[Sale Price]]</f>
        <v>76.7</v>
      </c>
      <c r="H1962" s="8">
        <f>IF(financials[[#This Row],[Discount Band]]="low",0.1,IF(financials[[#This Row],[Discount Band]]="medium",0.15,0.3))</f>
        <v>0.15</v>
      </c>
      <c r="I1962" s="8">
        <f>financials[[#This Row],[Gross Sales]]-financials[[#This Row],[Gross Sales]]*financials[[#This Row],[Discounts]]</f>
        <v>65.195000000000007</v>
      </c>
      <c r="J1962" s="8">
        <f>VLOOKUP(financials[[#This Row],[productid]],Products!$B$2:$H$10,4)</f>
        <v>2.9</v>
      </c>
      <c r="K1962" s="8">
        <f>financials[[#This Row],[Net Sales]]-financials[[#This Row],[COGS]]</f>
        <v>62.295000000000009</v>
      </c>
      <c r="L1962" s="15">
        <v>44203</v>
      </c>
      <c r="M1962" t="s">
        <v>691</v>
      </c>
    </row>
    <row r="1963" spans="1:13" x14ac:dyDescent="0.25">
      <c r="A1963" t="s">
        <v>86</v>
      </c>
      <c r="B1963" s="6" t="s">
        <v>159</v>
      </c>
      <c r="C1963" s="13">
        <v>102</v>
      </c>
      <c r="D1963" s="14" t="s">
        <v>83</v>
      </c>
      <c r="E1963">
        <v>10</v>
      </c>
      <c r="F1963" s="8">
        <f>VLOOKUP(financials[[#This Row],[productid]],Products!$B$2:$H$10,3)</f>
        <v>15</v>
      </c>
      <c r="G1963" s="8">
        <f>financials[[#This Row],[Units Sold]]*financials[[#This Row],[Sale Price]]</f>
        <v>150</v>
      </c>
      <c r="H1963" s="8">
        <f>IF(financials[[#This Row],[Discount Band]]="low",0.1,IF(financials[[#This Row],[Discount Band]]="medium",0.15,0.3))</f>
        <v>0.3</v>
      </c>
      <c r="I1963" s="8">
        <f>financials[[#This Row],[Gross Sales]]-financials[[#This Row],[Gross Sales]]*financials[[#This Row],[Discounts]]</f>
        <v>105</v>
      </c>
      <c r="J1963" s="8">
        <f>VLOOKUP(financials[[#This Row],[productid]],Products!$B$2:$H$10,4)</f>
        <v>13.95</v>
      </c>
      <c r="K1963" s="8">
        <f>financials[[#This Row],[Net Sales]]-financials[[#This Row],[COGS]]</f>
        <v>91.05</v>
      </c>
      <c r="L1963" s="15">
        <v>44716</v>
      </c>
      <c r="M1963" t="s">
        <v>700</v>
      </c>
    </row>
    <row r="1964" spans="1:13" x14ac:dyDescent="0.25">
      <c r="A1964" t="s">
        <v>85</v>
      </c>
      <c r="B1964" s="6" t="s">
        <v>84</v>
      </c>
      <c r="C1964" s="13">
        <v>101</v>
      </c>
      <c r="D1964" s="14" t="s">
        <v>83</v>
      </c>
      <c r="E1964">
        <v>6</v>
      </c>
      <c r="F1964" s="8">
        <f>VLOOKUP(financials[[#This Row],[productid]],Products!$B$2:$H$10,3)</f>
        <v>23</v>
      </c>
      <c r="G1964" s="8">
        <f>financials[[#This Row],[Units Sold]]*financials[[#This Row],[Sale Price]]</f>
        <v>138</v>
      </c>
      <c r="H1964" s="8">
        <f>IF(financials[[#This Row],[Discount Band]]="low",0.1,IF(financials[[#This Row],[Discount Band]]="medium",0.15,0.3))</f>
        <v>0.3</v>
      </c>
      <c r="I1964" s="8">
        <f>financials[[#This Row],[Gross Sales]]-financials[[#This Row],[Gross Sales]]*financials[[#This Row],[Discounts]]</f>
        <v>96.6</v>
      </c>
      <c r="J1964" s="8">
        <f>VLOOKUP(financials[[#This Row],[productid]],Products!$B$2:$H$10,4)</f>
        <v>9.9499999999999993</v>
      </c>
      <c r="K1964" s="8">
        <f>financials[[#This Row],[Net Sales]]-financials[[#This Row],[COGS]]</f>
        <v>86.649999999999991</v>
      </c>
      <c r="L1964" s="15">
        <v>44803</v>
      </c>
      <c r="M1964" t="s">
        <v>696</v>
      </c>
    </row>
    <row r="1965" spans="1:13" x14ac:dyDescent="0.25">
      <c r="A1965" t="s">
        <v>85</v>
      </c>
      <c r="B1965" s="6" t="s">
        <v>84</v>
      </c>
      <c r="C1965" s="13">
        <v>106</v>
      </c>
      <c r="D1965" s="14" t="s">
        <v>90</v>
      </c>
      <c r="E1965">
        <v>11</v>
      </c>
      <c r="F1965" s="8">
        <f>VLOOKUP(financials[[#This Row],[productid]],Products!$B$2:$H$10,3)</f>
        <v>25</v>
      </c>
      <c r="G1965" s="8">
        <f>financials[[#This Row],[Units Sold]]*financials[[#This Row],[Sale Price]]</f>
        <v>275</v>
      </c>
      <c r="H1965" s="8">
        <f>IF(financials[[#This Row],[Discount Band]]="low",0.1,IF(financials[[#This Row],[Discount Band]]="medium",0.15,0.3))</f>
        <v>0.15</v>
      </c>
      <c r="I1965" s="8">
        <f>financials[[#This Row],[Gross Sales]]-financials[[#This Row],[Gross Sales]]*financials[[#This Row],[Discounts]]</f>
        <v>233.75</v>
      </c>
      <c r="J1965" s="8">
        <f>VLOOKUP(financials[[#This Row],[productid]],Products!$B$2:$H$10,4)</f>
        <v>9.1</v>
      </c>
      <c r="K1965" s="8">
        <f>financials[[#This Row],[Net Sales]]-financials[[#This Row],[COGS]]</f>
        <v>224.65</v>
      </c>
      <c r="L1965" s="15">
        <v>45177</v>
      </c>
      <c r="M1965" t="s">
        <v>691</v>
      </c>
    </row>
    <row r="1966" spans="1:13" x14ac:dyDescent="0.25">
      <c r="A1966" t="s">
        <v>86</v>
      </c>
      <c r="B1966" s="6" t="s">
        <v>124</v>
      </c>
      <c r="C1966" s="11">
        <v>109</v>
      </c>
      <c r="D1966" s="9" t="s">
        <v>91</v>
      </c>
      <c r="E1966">
        <v>6</v>
      </c>
      <c r="F1966" s="8">
        <f>VLOOKUP(financials[[#This Row],[productid]],Products!$B$2:$H$10,3)</f>
        <v>36</v>
      </c>
      <c r="G1966" s="8">
        <f>financials[[#This Row],[Units Sold]]*financials[[#This Row],[Sale Price]]</f>
        <v>216</v>
      </c>
      <c r="H1966" s="8">
        <f>IF(financials[[#This Row],[Discount Band]]="low",0.1,IF(financials[[#This Row],[Discount Band]]="medium",0.15,0.3))</f>
        <v>0.1</v>
      </c>
      <c r="I1966" s="8">
        <f>financials[[#This Row],[Gross Sales]]-financials[[#This Row],[Gross Sales]]*financials[[#This Row],[Discounts]]</f>
        <v>194.4</v>
      </c>
      <c r="J1966" s="8">
        <f>VLOOKUP(financials[[#This Row],[productid]],Products!$B$2:$H$10,4)</f>
        <v>16.8</v>
      </c>
      <c r="K1966" s="8">
        <f>financials[[#This Row],[Net Sales]]-financials[[#This Row],[COGS]]</f>
        <v>177.6</v>
      </c>
      <c r="L1966" s="15">
        <v>44170</v>
      </c>
      <c r="M1966" t="s">
        <v>690</v>
      </c>
    </row>
    <row r="1967" spans="1:13" x14ac:dyDescent="0.25">
      <c r="A1967" t="s">
        <v>86</v>
      </c>
      <c r="B1967" s="6" t="s">
        <v>84</v>
      </c>
      <c r="C1967" s="13">
        <v>107</v>
      </c>
      <c r="D1967" s="14" t="s">
        <v>83</v>
      </c>
      <c r="E1967">
        <v>13</v>
      </c>
      <c r="F1967" s="8">
        <f>VLOOKUP(financials[[#This Row],[productid]],Products!$B$2:$H$10,3)</f>
        <v>15</v>
      </c>
      <c r="G1967" s="8">
        <f>financials[[#This Row],[Units Sold]]*financials[[#This Row],[Sale Price]]</f>
        <v>195</v>
      </c>
      <c r="H1967" s="8">
        <f>IF(financials[[#This Row],[Discount Band]]="low",0.1,IF(financials[[#This Row],[Discount Band]]="medium",0.15,0.3))</f>
        <v>0.3</v>
      </c>
      <c r="I1967" s="8">
        <f>financials[[#This Row],[Gross Sales]]-financials[[#This Row],[Gross Sales]]*financials[[#This Row],[Discounts]]</f>
        <v>136.5</v>
      </c>
      <c r="J1967" s="8">
        <f>VLOOKUP(financials[[#This Row],[productid]],Products!$B$2:$H$10,4)</f>
        <v>5.5</v>
      </c>
      <c r="K1967" s="8">
        <f>financials[[#This Row],[Net Sales]]-financials[[#This Row],[COGS]]</f>
        <v>131</v>
      </c>
      <c r="L1967" s="15">
        <v>44586</v>
      </c>
      <c r="M1967" t="s">
        <v>697</v>
      </c>
    </row>
    <row r="1968" spans="1:13" x14ac:dyDescent="0.25">
      <c r="A1968" t="s">
        <v>86</v>
      </c>
      <c r="B1968" s="6" t="s">
        <v>84</v>
      </c>
      <c r="C1968" s="13">
        <v>104</v>
      </c>
      <c r="D1968" s="14" t="s">
        <v>83</v>
      </c>
      <c r="E1968">
        <v>11</v>
      </c>
      <c r="F1968" s="8">
        <f>VLOOKUP(financials[[#This Row],[productid]],Products!$B$2:$H$10,3)</f>
        <v>5.9</v>
      </c>
      <c r="G1968" s="8">
        <f>financials[[#This Row],[Units Sold]]*financials[[#This Row],[Sale Price]]</f>
        <v>64.900000000000006</v>
      </c>
      <c r="H1968" s="8">
        <f>IF(financials[[#This Row],[Discount Band]]="low",0.1,IF(financials[[#This Row],[Discount Band]]="medium",0.15,0.3))</f>
        <v>0.3</v>
      </c>
      <c r="I1968" s="8">
        <f>financials[[#This Row],[Gross Sales]]-financials[[#This Row],[Gross Sales]]*financials[[#This Row],[Discounts]]</f>
        <v>45.430000000000007</v>
      </c>
      <c r="J1968" s="8">
        <f>VLOOKUP(financials[[#This Row],[productid]],Products!$B$2:$H$10,4)</f>
        <v>2.9</v>
      </c>
      <c r="K1968" s="8">
        <f>financials[[#This Row],[Net Sales]]-financials[[#This Row],[COGS]]</f>
        <v>42.530000000000008</v>
      </c>
      <c r="L1968" s="15">
        <v>45522</v>
      </c>
      <c r="M1968" t="s">
        <v>690</v>
      </c>
    </row>
    <row r="1969" spans="1:13" x14ac:dyDescent="0.25">
      <c r="A1969" t="s">
        <v>86</v>
      </c>
      <c r="B1969" s="6" t="s">
        <v>84</v>
      </c>
      <c r="C1969" s="13">
        <v>108</v>
      </c>
      <c r="D1969" s="14" t="s">
        <v>83</v>
      </c>
      <c r="E1969">
        <v>17</v>
      </c>
      <c r="F1969" s="8">
        <f>VLOOKUP(financials[[#This Row],[productid]],Products!$B$2:$H$10,3)</f>
        <v>5.5</v>
      </c>
      <c r="G1969" s="8">
        <f>financials[[#This Row],[Units Sold]]*financials[[#This Row],[Sale Price]]</f>
        <v>93.5</v>
      </c>
      <c r="H1969" s="8">
        <f>IF(financials[[#This Row],[Discount Band]]="low",0.1,IF(financials[[#This Row],[Discount Band]]="medium",0.15,0.3))</f>
        <v>0.3</v>
      </c>
      <c r="I1969" s="8">
        <f>financials[[#This Row],[Gross Sales]]-financials[[#This Row],[Gross Sales]]*financials[[#This Row],[Discounts]]</f>
        <v>65.45</v>
      </c>
      <c r="J1969" s="8">
        <f>VLOOKUP(financials[[#This Row],[productid]],Products!$B$2:$H$10,4)</f>
        <v>3.99</v>
      </c>
      <c r="K1969" s="8">
        <f>financials[[#This Row],[Net Sales]]-financials[[#This Row],[COGS]]</f>
        <v>61.46</v>
      </c>
      <c r="L1969" s="15">
        <v>45360</v>
      </c>
      <c r="M1969" t="s">
        <v>696</v>
      </c>
    </row>
    <row r="1970" spans="1:13" x14ac:dyDescent="0.25">
      <c r="A1970" t="s">
        <v>86</v>
      </c>
      <c r="B1970" s="6" t="s">
        <v>124</v>
      </c>
      <c r="C1970" s="11">
        <v>107</v>
      </c>
      <c r="D1970" s="9" t="s">
        <v>90</v>
      </c>
      <c r="E1970">
        <v>12</v>
      </c>
      <c r="F1970" s="8">
        <f>VLOOKUP(financials[[#This Row],[productid]],Products!$B$2:$H$10,3)</f>
        <v>15</v>
      </c>
      <c r="G1970" s="8">
        <f>financials[[#This Row],[Units Sold]]*financials[[#This Row],[Sale Price]]</f>
        <v>180</v>
      </c>
      <c r="H1970" s="8">
        <f>IF(financials[[#This Row],[Discount Band]]="low",0.1,IF(financials[[#This Row],[Discount Band]]="medium",0.15,0.3))</f>
        <v>0.15</v>
      </c>
      <c r="I1970" s="8">
        <f>financials[[#This Row],[Gross Sales]]-financials[[#This Row],[Gross Sales]]*financials[[#This Row],[Discounts]]</f>
        <v>153</v>
      </c>
      <c r="J1970" s="8">
        <f>VLOOKUP(financials[[#This Row],[productid]],Products!$B$2:$H$10,4)</f>
        <v>5.5</v>
      </c>
      <c r="K1970" s="8">
        <f>financials[[#This Row],[Net Sales]]-financials[[#This Row],[COGS]]</f>
        <v>147.5</v>
      </c>
      <c r="L1970" s="15">
        <v>45078</v>
      </c>
      <c r="M1970" t="s">
        <v>696</v>
      </c>
    </row>
    <row r="1971" spans="1:13" x14ac:dyDescent="0.25">
      <c r="A1971" t="s">
        <v>86</v>
      </c>
      <c r="B1971" s="6" t="s">
        <v>84</v>
      </c>
      <c r="C1971" s="13">
        <v>104</v>
      </c>
      <c r="D1971" s="14" t="s">
        <v>83</v>
      </c>
      <c r="E1971">
        <v>14</v>
      </c>
      <c r="F1971" s="8">
        <f>VLOOKUP(financials[[#This Row],[productid]],Products!$B$2:$H$10,3)</f>
        <v>5.9</v>
      </c>
      <c r="G1971" s="8">
        <f>financials[[#This Row],[Units Sold]]*financials[[#This Row],[Sale Price]]</f>
        <v>82.600000000000009</v>
      </c>
      <c r="H1971" s="8">
        <f>IF(financials[[#This Row],[Discount Band]]="low",0.1,IF(financials[[#This Row],[Discount Band]]="medium",0.15,0.3))</f>
        <v>0.3</v>
      </c>
      <c r="I1971" s="8">
        <f>financials[[#This Row],[Gross Sales]]-financials[[#This Row],[Gross Sales]]*financials[[#This Row],[Discounts]]</f>
        <v>57.820000000000007</v>
      </c>
      <c r="J1971" s="8">
        <f>VLOOKUP(financials[[#This Row],[productid]],Products!$B$2:$H$10,4)</f>
        <v>2.9</v>
      </c>
      <c r="K1971" s="8">
        <f>financials[[#This Row],[Net Sales]]-financials[[#This Row],[COGS]]</f>
        <v>54.920000000000009</v>
      </c>
      <c r="L1971" s="15">
        <v>44669</v>
      </c>
      <c r="M1971" t="s">
        <v>696</v>
      </c>
    </row>
    <row r="1972" spans="1:13" x14ac:dyDescent="0.25">
      <c r="A1972" t="s">
        <v>86</v>
      </c>
      <c r="B1972" s="6" t="s">
        <v>84</v>
      </c>
      <c r="C1972" s="13">
        <v>109</v>
      </c>
      <c r="D1972" s="14" t="s">
        <v>90</v>
      </c>
      <c r="E1972">
        <v>13</v>
      </c>
      <c r="F1972" s="8">
        <f>VLOOKUP(financials[[#This Row],[productid]],Products!$B$2:$H$10,3)</f>
        <v>36</v>
      </c>
      <c r="G1972" s="8">
        <f>financials[[#This Row],[Units Sold]]*financials[[#This Row],[Sale Price]]</f>
        <v>468</v>
      </c>
      <c r="H1972" s="8">
        <f>IF(financials[[#This Row],[Discount Band]]="low",0.1,IF(financials[[#This Row],[Discount Band]]="medium",0.15,0.3))</f>
        <v>0.15</v>
      </c>
      <c r="I1972" s="8">
        <f>financials[[#This Row],[Gross Sales]]-financials[[#This Row],[Gross Sales]]*financials[[#This Row],[Discounts]]</f>
        <v>397.8</v>
      </c>
      <c r="J1972" s="8">
        <f>VLOOKUP(financials[[#This Row],[productid]],Products!$B$2:$H$10,4)</f>
        <v>16.8</v>
      </c>
      <c r="K1972" s="8">
        <f>financials[[#This Row],[Net Sales]]-financials[[#This Row],[COGS]]</f>
        <v>381</v>
      </c>
      <c r="L1972" s="15">
        <v>45648</v>
      </c>
      <c r="M1972" t="s">
        <v>700</v>
      </c>
    </row>
    <row r="1973" spans="1:13" x14ac:dyDescent="0.25">
      <c r="A1973" t="s">
        <v>86</v>
      </c>
      <c r="B1973" s="6" t="s">
        <v>124</v>
      </c>
      <c r="C1973" s="13">
        <v>102</v>
      </c>
      <c r="D1973" s="14" t="s">
        <v>90</v>
      </c>
      <c r="E1973">
        <v>8</v>
      </c>
      <c r="F1973" s="8">
        <f>VLOOKUP(financials[[#This Row],[productid]],Products!$B$2:$H$10,3)</f>
        <v>15</v>
      </c>
      <c r="G1973" s="8">
        <f>financials[[#This Row],[Units Sold]]*financials[[#This Row],[Sale Price]]</f>
        <v>120</v>
      </c>
      <c r="H1973" s="8">
        <f>IF(financials[[#This Row],[Discount Band]]="low",0.1,IF(financials[[#This Row],[Discount Band]]="medium",0.15,0.3))</f>
        <v>0.15</v>
      </c>
      <c r="I1973" s="8">
        <f>financials[[#This Row],[Gross Sales]]-financials[[#This Row],[Gross Sales]]*financials[[#This Row],[Discounts]]</f>
        <v>102</v>
      </c>
      <c r="J1973" s="8">
        <f>VLOOKUP(financials[[#This Row],[productid]],Products!$B$2:$H$10,4)</f>
        <v>13.95</v>
      </c>
      <c r="K1973" s="8">
        <f>financials[[#This Row],[Net Sales]]-financials[[#This Row],[COGS]]</f>
        <v>88.05</v>
      </c>
      <c r="L1973" s="15">
        <v>45533</v>
      </c>
      <c r="M1973" t="s">
        <v>696</v>
      </c>
    </row>
    <row r="1974" spans="1:13" x14ac:dyDescent="0.25">
      <c r="A1974" t="s">
        <v>85</v>
      </c>
      <c r="B1974" s="6" t="s">
        <v>159</v>
      </c>
      <c r="C1974" s="13">
        <v>109</v>
      </c>
      <c r="D1974" s="14" t="s">
        <v>90</v>
      </c>
      <c r="E1974">
        <v>17</v>
      </c>
      <c r="F1974" s="8">
        <f>VLOOKUP(financials[[#This Row],[productid]],Products!$B$2:$H$10,3)</f>
        <v>36</v>
      </c>
      <c r="G1974" s="8">
        <f>financials[[#This Row],[Units Sold]]*financials[[#This Row],[Sale Price]]</f>
        <v>612</v>
      </c>
      <c r="H1974" s="8">
        <f>IF(financials[[#This Row],[Discount Band]]="low",0.1,IF(financials[[#This Row],[Discount Band]]="medium",0.15,0.3))</f>
        <v>0.15</v>
      </c>
      <c r="I1974" s="8">
        <f>financials[[#This Row],[Gross Sales]]-financials[[#This Row],[Gross Sales]]*financials[[#This Row],[Discounts]]</f>
        <v>520.20000000000005</v>
      </c>
      <c r="J1974" s="8">
        <f>VLOOKUP(financials[[#This Row],[productid]],Products!$B$2:$H$10,4)</f>
        <v>16.8</v>
      </c>
      <c r="K1974" s="8">
        <f>financials[[#This Row],[Net Sales]]-financials[[#This Row],[COGS]]</f>
        <v>503.40000000000003</v>
      </c>
      <c r="L1974" s="15">
        <v>44567</v>
      </c>
      <c r="M1974" t="s">
        <v>700</v>
      </c>
    </row>
    <row r="1975" spans="1:13" x14ac:dyDescent="0.25">
      <c r="A1975" t="s">
        <v>86</v>
      </c>
      <c r="B1975" s="6" t="s">
        <v>159</v>
      </c>
      <c r="C1975" s="13">
        <v>107</v>
      </c>
      <c r="D1975" s="14" t="s">
        <v>90</v>
      </c>
      <c r="E1975">
        <v>7</v>
      </c>
      <c r="F1975" s="8">
        <f>VLOOKUP(financials[[#This Row],[productid]],Products!$B$2:$H$10,3)</f>
        <v>15</v>
      </c>
      <c r="G1975" s="8">
        <f>financials[[#This Row],[Units Sold]]*financials[[#This Row],[Sale Price]]</f>
        <v>105</v>
      </c>
      <c r="H1975" s="8">
        <f>IF(financials[[#This Row],[Discount Band]]="low",0.1,IF(financials[[#This Row],[Discount Band]]="medium",0.15,0.3))</f>
        <v>0.15</v>
      </c>
      <c r="I1975" s="8">
        <f>financials[[#This Row],[Gross Sales]]-financials[[#This Row],[Gross Sales]]*financials[[#This Row],[Discounts]]</f>
        <v>89.25</v>
      </c>
      <c r="J1975" s="8">
        <f>VLOOKUP(financials[[#This Row],[productid]],Products!$B$2:$H$10,4)</f>
        <v>5.5</v>
      </c>
      <c r="K1975" s="8">
        <f>financials[[#This Row],[Net Sales]]-financials[[#This Row],[COGS]]</f>
        <v>83.75</v>
      </c>
      <c r="L1975" s="15">
        <v>44147</v>
      </c>
      <c r="M1975" t="s">
        <v>690</v>
      </c>
    </row>
    <row r="1976" spans="1:13" x14ac:dyDescent="0.25">
      <c r="A1976" t="s">
        <v>85</v>
      </c>
      <c r="B1976" s="6" t="s">
        <v>84</v>
      </c>
      <c r="C1976" s="13">
        <v>109</v>
      </c>
      <c r="D1976" s="14" t="s">
        <v>83</v>
      </c>
      <c r="E1976">
        <v>11</v>
      </c>
      <c r="F1976" s="8">
        <f>VLOOKUP(financials[[#This Row],[productid]],Products!$B$2:$H$10,3)</f>
        <v>36</v>
      </c>
      <c r="G1976" s="8">
        <f>financials[[#This Row],[Units Sold]]*financials[[#This Row],[Sale Price]]</f>
        <v>396</v>
      </c>
      <c r="H1976" s="8">
        <f>IF(financials[[#This Row],[Discount Band]]="low",0.1,IF(financials[[#This Row],[Discount Band]]="medium",0.15,0.3))</f>
        <v>0.3</v>
      </c>
      <c r="I1976" s="8">
        <f>financials[[#This Row],[Gross Sales]]-financials[[#This Row],[Gross Sales]]*financials[[#This Row],[Discounts]]</f>
        <v>277.2</v>
      </c>
      <c r="J1976" s="8">
        <f>VLOOKUP(financials[[#This Row],[productid]],Products!$B$2:$H$10,4)</f>
        <v>16.8</v>
      </c>
      <c r="K1976" s="8">
        <f>financials[[#This Row],[Net Sales]]-financials[[#This Row],[COGS]]</f>
        <v>260.39999999999998</v>
      </c>
      <c r="L1976" s="15">
        <v>44618</v>
      </c>
      <c r="M1976" t="s">
        <v>691</v>
      </c>
    </row>
    <row r="1977" spans="1:13" x14ac:dyDescent="0.25">
      <c r="A1977" t="s">
        <v>86</v>
      </c>
      <c r="B1977" s="6" t="s">
        <v>84</v>
      </c>
      <c r="C1977" s="11">
        <v>107</v>
      </c>
      <c r="D1977" s="9" t="s">
        <v>90</v>
      </c>
      <c r="E1977">
        <v>18</v>
      </c>
      <c r="F1977" s="8">
        <f>VLOOKUP(financials[[#This Row],[productid]],Products!$B$2:$H$10,3)</f>
        <v>15</v>
      </c>
      <c r="G1977" s="8">
        <f>financials[[#This Row],[Units Sold]]*financials[[#This Row],[Sale Price]]</f>
        <v>270</v>
      </c>
      <c r="H1977" s="8">
        <f>IF(financials[[#This Row],[Discount Band]]="low",0.1,IF(financials[[#This Row],[Discount Band]]="medium",0.15,0.3))</f>
        <v>0.15</v>
      </c>
      <c r="I1977" s="8">
        <f>financials[[#This Row],[Gross Sales]]-financials[[#This Row],[Gross Sales]]*financials[[#This Row],[Discounts]]</f>
        <v>229.5</v>
      </c>
      <c r="J1977" s="8">
        <f>VLOOKUP(financials[[#This Row],[productid]],Products!$B$2:$H$10,4)</f>
        <v>5.5</v>
      </c>
      <c r="K1977" s="8">
        <f>financials[[#This Row],[Net Sales]]-financials[[#This Row],[COGS]]</f>
        <v>224</v>
      </c>
      <c r="L1977" s="15">
        <v>44467</v>
      </c>
      <c r="M1977" t="s">
        <v>700</v>
      </c>
    </row>
    <row r="1978" spans="1:13" x14ac:dyDescent="0.25">
      <c r="A1978" t="s">
        <v>86</v>
      </c>
      <c r="B1978" s="6" t="s">
        <v>124</v>
      </c>
      <c r="C1978" s="11">
        <v>109</v>
      </c>
      <c r="D1978" s="9" t="s">
        <v>90</v>
      </c>
      <c r="E1978">
        <v>13</v>
      </c>
      <c r="F1978" s="8">
        <f>VLOOKUP(financials[[#This Row],[productid]],Products!$B$2:$H$10,3)</f>
        <v>36</v>
      </c>
      <c r="G1978" s="8">
        <f>financials[[#This Row],[Units Sold]]*financials[[#This Row],[Sale Price]]</f>
        <v>468</v>
      </c>
      <c r="H1978" s="8">
        <f>IF(financials[[#This Row],[Discount Band]]="low",0.1,IF(financials[[#This Row],[Discount Band]]="medium",0.15,0.3))</f>
        <v>0.15</v>
      </c>
      <c r="I1978" s="8">
        <f>financials[[#This Row],[Gross Sales]]-financials[[#This Row],[Gross Sales]]*financials[[#This Row],[Discounts]]</f>
        <v>397.8</v>
      </c>
      <c r="J1978" s="8">
        <f>VLOOKUP(financials[[#This Row],[productid]],Products!$B$2:$H$10,4)</f>
        <v>16.8</v>
      </c>
      <c r="K1978" s="8">
        <f>financials[[#This Row],[Net Sales]]-financials[[#This Row],[COGS]]</f>
        <v>381</v>
      </c>
      <c r="L1978" s="15">
        <v>44525</v>
      </c>
      <c r="M1978" t="s">
        <v>691</v>
      </c>
    </row>
    <row r="1979" spans="1:13" x14ac:dyDescent="0.25">
      <c r="A1979" t="s">
        <v>86</v>
      </c>
      <c r="B1979" s="6" t="s">
        <v>205</v>
      </c>
      <c r="C1979" s="13">
        <v>101</v>
      </c>
      <c r="D1979" s="14" t="s">
        <v>83</v>
      </c>
      <c r="E1979">
        <v>5</v>
      </c>
      <c r="F1979" s="8">
        <f>VLOOKUP(financials[[#This Row],[productid]],Products!$B$2:$H$10,3)</f>
        <v>23</v>
      </c>
      <c r="G1979" s="8">
        <f>financials[[#This Row],[Units Sold]]*financials[[#This Row],[Sale Price]]</f>
        <v>115</v>
      </c>
      <c r="H1979" s="8">
        <f>IF(financials[[#This Row],[Discount Band]]="low",0.1,IF(financials[[#This Row],[Discount Band]]="medium",0.15,0.3))</f>
        <v>0.3</v>
      </c>
      <c r="I1979" s="8">
        <f>financials[[#This Row],[Gross Sales]]-financials[[#This Row],[Gross Sales]]*financials[[#This Row],[Discounts]]</f>
        <v>80.5</v>
      </c>
      <c r="J1979" s="8">
        <f>VLOOKUP(financials[[#This Row],[productid]],Products!$B$2:$H$10,4)</f>
        <v>9.9499999999999993</v>
      </c>
      <c r="K1979" s="8">
        <f>financials[[#This Row],[Net Sales]]-financials[[#This Row],[COGS]]</f>
        <v>70.55</v>
      </c>
      <c r="L1979" s="15">
        <v>44793</v>
      </c>
      <c r="M1979" t="s">
        <v>691</v>
      </c>
    </row>
    <row r="1980" spans="1:13" x14ac:dyDescent="0.25">
      <c r="A1980" t="s">
        <v>86</v>
      </c>
      <c r="B1980" s="6" t="s">
        <v>545</v>
      </c>
      <c r="C1980" s="13">
        <v>109</v>
      </c>
      <c r="D1980" s="14" t="s">
        <v>90</v>
      </c>
      <c r="E1980">
        <v>17</v>
      </c>
      <c r="F1980" s="8">
        <f>VLOOKUP(financials[[#This Row],[productid]],Products!$B$2:$H$10,3)</f>
        <v>36</v>
      </c>
      <c r="G1980" s="8">
        <f>financials[[#This Row],[Units Sold]]*financials[[#This Row],[Sale Price]]</f>
        <v>612</v>
      </c>
      <c r="H1980" s="8">
        <f>IF(financials[[#This Row],[Discount Band]]="low",0.1,IF(financials[[#This Row],[Discount Band]]="medium",0.15,0.3))</f>
        <v>0.15</v>
      </c>
      <c r="I1980" s="8">
        <f>financials[[#This Row],[Gross Sales]]-financials[[#This Row],[Gross Sales]]*financials[[#This Row],[Discounts]]</f>
        <v>520.20000000000005</v>
      </c>
      <c r="J1980" s="8">
        <f>VLOOKUP(financials[[#This Row],[productid]],Products!$B$2:$H$10,4)</f>
        <v>16.8</v>
      </c>
      <c r="K1980" s="8">
        <f>financials[[#This Row],[Net Sales]]-financials[[#This Row],[COGS]]</f>
        <v>503.40000000000003</v>
      </c>
      <c r="L1980" s="15">
        <v>45244</v>
      </c>
      <c r="M1980" t="s">
        <v>691</v>
      </c>
    </row>
    <row r="1981" spans="1:13" x14ac:dyDescent="0.25">
      <c r="A1981" t="s">
        <v>85</v>
      </c>
      <c r="B1981" s="6" t="s">
        <v>84</v>
      </c>
      <c r="C1981" s="13">
        <v>109</v>
      </c>
      <c r="D1981" s="14" t="s">
        <v>92</v>
      </c>
      <c r="E1981">
        <v>12</v>
      </c>
      <c r="F1981" s="8">
        <f>VLOOKUP(financials[[#This Row],[productid]],Products!$B$2:$H$10,3)</f>
        <v>36</v>
      </c>
      <c r="G1981" s="8">
        <f>financials[[#This Row],[Units Sold]]*financials[[#This Row],[Sale Price]]</f>
        <v>432</v>
      </c>
      <c r="H1981" s="8">
        <f>IF(financials[[#This Row],[Discount Band]]="low",0.1,IF(financials[[#This Row],[Discount Band]]="medium",0.15,0.3))</f>
        <v>0.3</v>
      </c>
      <c r="I1981" s="8">
        <f>financials[[#This Row],[Gross Sales]]-financials[[#This Row],[Gross Sales]]*financials[[#This Row],[Discounts]]</f>
        <v>302.39999999999998</v>
      </c>
      <c r="J1981" s="8">
        <f>VLOOKUP(financials[[#This Row],[productid]],Products!$B$2:$H$10,4)</f>
        <v>16.8</v>
      </c>
      <c r="K1981" s="8">
        <f>financials[[#This Row],[Net Sales]]-financials[[#This Row],[COGS]]</f>
        <v>285.59999999999997</v>
      </c>
      <c r="L1981" s="15">
        <v>44071</v>
      </c>
      <c r="M1981" t="s">
        <v>691</v>
      </c>
    </row>
    <row r="1982" spans="1:13" x14ac:dyDescent="0.25">
      <c r="A1982" t="s">
        <v>86</v>
      </c>
      <c r="B1982" s="6" t="s">
        <v>84</v>
      </c>
      <c r="C1982" s="13">
        <v>106</v>
      </c>
      <c r="D1982" s="14" t="s">
        <v>90</v>
      </c>
      <c r="E1982">
        <v>6</v>
      </c>
      <c r="F1982" s="8">
        <f>VLOOKUP(financials[[#This Row],[productid]],Products!$B$2:$H$10,3)</f>
        <v>25</v>
      </c>
      <c r="G1982" s="8">
        <f>financials[[#This Row],[Units Sold]]*financials[[#This Row],[Sale Price]]</f>
        <v>150</v>
      </c>
      <c r="H1982" s="8">
        <f>IF(financials[[#This Row],[Discount Band]]="low",0.1,IF(financials[[#This Row],[Discount Band]]="medium",0.15,0.3))</f>
        <v>0.15</v>
      </c>
      <c r="I1982" s="8">
        <f>financials[[#This Row],[Gross Sales]]-financials[[#This Row],[Gross Sales]]*financials[[#This Row],[Discounts]]</f>
        <v>127.5</v>
      </c>
      <c r="J1982" s="8">
        <f>VLOOKUP(financials[[#This Row],[productid]],Products!$B$2:$H$10,4)</f>
        <v>9.1</v>
      </c>
      <c r="K1982" s="8">
        <f>financials[[#This Row],[Net Sales]]-financials[[#This Row],[COGS]]</f>
        <v>118.4</v>
      </c>
      <c r="L1982" s="15">
        <v>43916</v>
      </c>
      <c r="M1982" t="s">
        <v>696</v>
      </c>
    </row>
    <row r="1983" spans="1:13" x14ac:dyDescent="0.25">
      <c r="A1983" t="s">
        <v>86</v>
      </c>
      <c r="B1983" s="6" t="s">
        <v>84</v>
      </c>
      <c r="C1983" s="13">
        <v>106</v>
      </c>
      <c r="D1983" s="14" t="s">
        <v>90</v>
      </c>
      <c r="E1983">
        <v>14</v>
      </c>
      <c r="F1983" s="8">
        <f>VLOOKUP(financials[[#This Row],[productid]],Products!$B$2:$H$10,3)</f>
        <v>25</v>
      </c>
      <c r="G1983" s="8">
        <f>financials[[#This Row],[Units Sold]]*financials[[#This Row],[Sale Price]]</f>
        <v>350</v>
      </c>
      <c r="H1983" s="8">
        <f>IF(financials[[#This Row],[Discount Band]]="low",0.1,IF(financials[[#This Row],[Discount Band]]="medium",0.15,0.3))</f>
        <v>0.15</v>
      </c>
      <c r="I1983" s="8">
        <f>financials[[#This Row],[Gross Sales]]-financials[[#This Row],[Gross Sales]]*financials[[#This Row],[Discounts]]</f>
        <v>297.5</v>
      </c>
      <c r="J1983" s="8">
        <f>VLOOKUP(financials[[#This Row],[productid]],Products!$B$2:$H$10,4)</f>
        <v>9.1</v>
      </c>
      <c r="K1983" s="8">
        <f>financials[[#This Row],[Net Sales]]-financials[[#This Row],[COGS]]</f>
        <v>288.39999999999998</v>
      </c>
      <c r="L1983" s="15">
        <v>45031</v>
      </c>
      <c r="M1983" t="s">
        <v>697</v>
      </c>
    </row>
    <row r="1984" spans="1:13" x14ac:dyDescent="0.25">
      <c r="A1984" t="s">
        <v>86</v>
      </c>
      <c r="B1984" s="6" t="s">
        <v>84</v>
      </c>
      <c r="C1984" s="13">
        <v>103</v>
      </c>
      <c r="D1984" s="14" t="s">
        <v>91</v>
      </c>
      <c r="E1984">
        <v>15</v>
      </c>
      <c r="F1984" s="8">
        <f>VLOOKUP(financials[[#This Row],[productid]],Products!$B$2:$H$10,3)</f>
        <v>28</v>
      </c>
      <c r="G1984" s="8">
        <f>financials[[#This Row],[Units Sold]]*financials[[#This Row],[Sale Price]]</f>
        <v>420</v>
      </c>
      <c r="H1984" s="8">
        <f>IF(financials[[#This Row],[Discount Band]]="low",0.1,IF(financials[[#This Row],[Discount Band]]="medium",0.15,0.3))</f>
        <v>0.1</v>
      </c>
      <c r="I1984" s="8">
        <f>financials[[#This Row],[Gross Sales]]-financials[[#This Row],[Gross Sales]]*financials[[#This Row],[Discounts]]</f>
        <v>378</v>
      </c>
      <c r="J1984" s="8">
        <f>VLOOKUP(financials[[#This Row],[productid]],Products!$B$2:$H$10,4)</f>
        <v>15</v>
      </c>
      <c r="K1984" s="8">
        <f>financials[[#This Row],[Net Sales]]-financials[[#This Row],[COGS]]</f>
        <v>363</v>
      </c>
      <c r="L1984" s="15">
        <v>44906</v>
      </c>
      <c r="M1984" t="s">
        <v>697</v>
      </c>
    </row>
    <row r="1985" spans="1:13" x14ac:dyDescent="0.25">
      <c r="A1985" t="s">
        <v>86</v>
      </c>
      <c r="B1985" s="6" t="s">
        <v>84</v>
      </c>
      <c r="C1985" s="13">
        <v>108</v>
      </c>
      <c r="D1985" s="14" t="s">
        <v>90</v>
      </c>
      <c r="E1985">
        <v>16</v>
      </c>
      <c r="F1985" s="8">
        <f>VLOOKUP(financials[[#This Row],[productid]],Products!$B$2:$H$10,3)</f>
        <v>5.5</v>
      </c>
      <c r="G1985" s="8">
        <f>financials[[#This Row],[Units Sold]]*financials[[#This Row],[Sale Price]]</f>
        <v>88</v>
      </c>
      <c r="H1985" s="8">
        <f>IF(financials[[#This Row],[Discount Band]]="low",0.1,IF(financials[[#This Row],[Discount Band]]="medium",0.15,0.3))</f>
        <v>0.15</v>
      </c>
      <c r="I1985" s="8">
        <f>financials[[#This Row],[Gross Sales]]-financials[[#This Row],[Gross Sales]]*financials[[#This Row],[Discounts]]</f>
        <v>74.8</v>
      </c>
      <c r="J1985" s="8">
        <f>VLOOKUP(financials[[#This Row],[productid]],Products!$B$2:$H$10,4)</f>
        <v>3.99</v>
      </c>
      <c r="K1985" s="8">
        <f>financials[[#This Row],[Net Sales]]-financials[[#This Row],[COGS]]</f>
        <v>70.81</v>
      </c>
      <c r="L1985" s="15">
        <v>45632</v>
      </c>
      <c r="M1985" t="s">
        <v>690</v>
      </c>
    </row>
    <row r="1986" spans="1:13" x14ac:dyDescent="0.25">
      <c r="A1986" t="s">
        <v>86</v>
      </c>
      <c r="B1986" s="6" t="s">
        <v>84</v>
      </c>
      <c r="C1986" s="13">
        <v>104</v>
      </c>
      <c r="D1986" s="14" t="s">
        <v>83</v>
      </c>
      <c r="E1986">
        <v>12</v>
      </c>
      <c r="F1986" s="8">
        <f>VLOOKUP(financials[[#This Row],[productid]],Products!$B$2:$H$10,3)</f>
        <v>5.9</v>
      </c>
      <c r="G1986" s="8">
        <f>financials[[#This Row],[Units Sold]]*financials[[#This Row],[Sale Price]]</f>
        <v>70.800000000000011</v>
      </c>
      <c r="H1986" s="8">
        <f>IF(financials[[#This Row],[Discount Band]]="low",0.1,IF(financials[[#This Row],[Discount Band]]="medium",0.15,0.3))</f>
        <v>0.3</v>
      </c>
      <c r="I1986" s="8">
        <f>financials[[#This Row],[Gross Sales]]-financials[[#This Row],[Gross Sales]]*financials[[#This Row],[Discounts]]</f>
        <v>49.560000000000009</v>
      </c>
      <c r="J1986" s="8">
        <f>VLOOKUP(financials[[#This Row],[productid]],Products!$B$2:$H$10,4)</f>
        <v>2.9</v>
      </c>
      <c r="K1986" s="8">
        <f>financials[[#This Row],[Net Sales]]-financials[[#This Row],[COGS]]</f>
        <v>46.660000000000011</v>
      </c>
      <c r="L1986" s="15">
        <v>44051</v>
      </c>
      <c r="M1986" t="s">
        <v>700</v>
      </c>
    </row>
    <row r="1987" spans="1:13" x14ac:dyDescent="0.25">
      <c r="A1987" t="s">
        <v>86</v>
      </c>
      <c r="B1987" s="6" t="s">
        <v>84</v>
      </c>
      <c r="C1987" s="13">
        <v>104</v>
      </c>
      <c r="D1987" s="14" t="s">
        <v>90</v>
      </c>
      <c r="E1987">
        <v>14</v>
      </c>
      <c r="F1987" s="8">
        <f>VLOOKUP(financials[[#This Row],[productid]],Products!$B$2:$H$10,3)</f>
        <v>5.9</v>
      </c>
      <c r="G1987" s="8">
        <f>financials[[#This Row],[Units Sold]]*financials[[#This Row],[Sale Price]]</f>
        <v>82.600000000000009</v>
      </c>
      <c r="H1987" s="8">
        <f>IF(financials[[#This Row],[Discount Band]]="low",0.1,IF(financials[[#This Row],[Discount Band]]="medium",0.15,0.3))</f>
        <v>0.15</v>
      </c>
      <c r="I1987" s="8">
        <f>financials[[#This Row],[Gross Sales]]-financials[[#This Row],[Gross Sales]]*financials[[#This Row],[Discounts]]</f>
        <v>70.210000000000008</v>
      </c>
      <c r="J1987" s="8">
        <f>VLOOKUP(financials[[#This Row],[productid]],Products!$B$2:$H$10,4)</f>
        <v>2.9</v>
      </c>
      <c r="K1987" s="8">
        <f>financials[[#This Row],[Net Sales]]-financials[[#This Row],[COGS]]</f>
        <v>67.31</v>
      </c>
      <c r="L1987" s="15">
        <v>44437</v>
      </c>
      <c r="M1987" t="s">
        <v>696</v>
      </c>
    </row>
    <row r="1988" spans="1:13" x14ac:dyDescent="0.25">
      <c r="A1988" t="s">
        <v>85</v>
      </c>
      <c r="B1988" s="6" t="s">
        <v>84</v>
      </c>
      <c r="C1988" s="13">
        <v>105</v>
      </c>
      <c r="D1988" s="14" t="s">
        <v>90</v>
      </c>
      <c r="E1988">
        <v>20</v>
      </c>
      <c r="F1988" s="8">
        <f>VLOOKUP(financials[[#This Row],[productid]],Products!$B$2:$H$10,3)</f>
        <v>15</v>
      </c>
      <c r="G1988" s="8">
        <f>financials[[#This Row],[Units Sold]]*financials[[#This Row],[Sale Price]]</f>
        <v>300</v>
      </c>
      <c r="H1988" s="8">
        <f>IF(financials[[#This Row],[Discount Band]]="low",0.1,IF(financials[[#This Row],[Discount Band]]="medium",0.15,0.3))</f>
        <v>0.15</v>
      </c>
      <c r="I1988" s="8">
        <f>financials[[#This Row],[Gross Sales]]-financials[[#This Row],[Gross Sales]]*financials[[#This Row],[Discounts]]</f>
        <v>255</v>
      </c>
      <c r="J1988" s="8">
        <f>VLOOKUP(financials[[#This Row],[productid]],Products!$B$2:$H$10,4)</f>
        <v>10</v>
      </c>
      <c r="K1988" s="8">
        <f>financials[[#This Row],[Net Sales]]-financials[[#This Row],[COGS]]</f>
        <v>245</v>
      </c>
      <c r="L1988" s="15">
        <v>45576</v>
      </c>
      <c r="M1988" t="s">
        <v>691</v>
      </c>
    </row>
    <row r="1989" spans="1:13" x14ac:dyDescent="0.25">
      <c r="A1989" t="s">
        <v>86</v>
      </c>
      <c r="B1989" s="6" t="s">
        <v>84</v>
      </c>
      <c r="C1989" s="13">
        <v>103</v>
      </c>
      <c r="D1989" s="14" t="s">
        <v>83</v>
      </c>
      <c r="E1989">
        <v>10</v>
      </c>
      <c r="F1989" s="8">
        <f>VLOOKUP(financials[[#This Row],[productid]],Products!$B$2:$H$10,3)</f>
        <v>28</v>
      </c>
      <c r="G1989" s="8">
        <f>financials[[#This Row],[Units Sold]]*financials[[#This Row],[Sale Price]]</f>
        <v>280</v>
      </c>
      <c r="H1989" s="8">
        <f>IF(financials[[#This Row],[Discount Band]]="low",0.1,IF(financials[[#This Row],[Discount Band]]="medium",0.15,0.3))</f>
        <v>0.3</v>
      </c>
      <c r="I1989" s="8">
        <f>financials[[#This Row],[Gross Sales]]-financials[[#This Row],[Gross Sales]]*financials[[#This Row],[Discounts]]</f>
        <v>196</v>
      </c>
      <c r="J1989" s="8">
        <f>VLOOKUP(financials[[#This Row],[productid]],Products!$B$2:$H$10,4)</f>
        <v>15</v>
      </c>
      <c r="K1989" s="8">
        <f>financials[[#This Row],[Net Sales]]-financials[[#This Row],[COGS]]</f>
        <v>181</v>
      </c>
      <c r="L1989" s="15">
        <v>44519</v>
      </c>
      <c r="M1989" t="s">
        <v>696</v>
      </c>
    </row>
    <row r="1990" spans="1:13" x14ac:dyDescent="0.25">
      <c r="A1990" t="s">
        <v>86</v>
      </c>
      <c r="B1990" s="6" t="s">
        <v>84</v>
      </c>
      <c r="C1990" s="13">
        <v>108</v>
      </c>
      <c r="D1990" s="14" t="s">
        <v>91</v>
      </c>
      <c r="E1990">
        <v>14</v>
      </c>
      <c r="F1990" s="8">
        <f>VLOOKUP(financials[[#This Row],[productid]],Products!$B$2:$H$10,3)</f>
        <v>5.5</v>
      </c>
      <c r="G1990" s="8">
        <f>financials[[#This Row],[Units Sold]]*financials[[#This Row],[Sale Price]]</f>
        <v>77</v>
      </c>
      <c r="H1990" s="8">
        <f>IF(financials[[#This Row],[Discount Band]]="low",0.1,IF(financials[[#This Row],[Discount Band]]="medium",0.15,0.3))</f>
        <v>0.1</v>
      </c>
      <c r="I1990" s="8">
        <f>financials[[#This Row],[Gross Sales]]-financials[[#This Row],[Gross Sales]]*financials[[#This Row],[Discounts]]</f>
        <v>69.3</v>
      </c>
      <c r="J1990" s="8">
        <f>VLOOKUP(financials[[#This Row],[productid]],Products!$B$2:$H$10,4)</f>
        <v>3.99</v>
      </c>
      <c r="K1990" s="8">
        <f>financials[[#This Row],[Net Sales]]-financials[[#This Row],[COGS]]</f>
        <v>65.31</v>
      </c>
      <c r="L1990" s="15">
        <v>44522</v>
      </c>
      <c r="M1990" t="s">
        <v>697</v>
      </c>
    </row>
    <row r="1991" spans="1:13" x14ac:dyDescent="0.25">
      <c r="A1991" t="s">
        <v>86</v>
      </c>
      <c r="B1991" s="6" t="s">
        <v>84</v>
      </c>
      <c r="C1991" s="13">
        <v>109</v>
      </c>
      <c r="D1991" s="14" t="s">
        <v>91</v>
      </c>
      <c r="E1991">
        <v>6</v>
      </c>
      <c r="F1991" s="8">
        <f>VLOOKUP(financials[[#This Row],[productid]],Products!$B$2:$H$10,3)</f>
        <v>36</v>
      </c>
      <c r="G1991" s="8">
        <f>financials[[#This Row],[Units Sold]]*financials[[#This Row],[Sale Price]]</f>
        <v>216</v>
      </c>
      <c r="H1991" s="8">
        <f>IF(financials[[#This Row],[Discount Band]]="low",0.1,IF(financials[[#This Row],[Discount Band]]="medium",0.15,0.3))</f>
        <v>0.1</v>
      </c>
      <c r="I1991" s="8">
        <f>financials[[#This Row],[Gross Sales]]-financials[[#This Row],[Gross Sales]]*financials[[#This Row],[Discounts]]</f>
        <v>194.4</v>
      </c>
      <c r="J1991" s="8">
        <f>VLOOKUP(financials[[#This Row],[productid]],Products!$B$2:$H$10,4)</f>
        <v>16.8</v>
      </c>
      <c r="K1991" s="8">
        <f>financials[[#This Row],[Net Sales]]-financials[[#This Row],[COGS]]</f>
        <v>177.6</v>
      </c>
      <c r="L1991" s="15">
        <v>45009</v>
      </c>
      <c r="M1991" t="s">
        <v>700</v>
      </c>
    </row>
    <row r="1992" spans="1:13" x14ac:dyDescent="0.25">
      <c r="A1992" t="s">
        <v>88</v>
      </c>
      <c r="B1992" s="6" t="s">
        <v>644</v>
      </c>
      <c r="C1992" s="11">
        <v>102</v>
      </c>
      <c r="D1992" s="9" t="s">
        <v>83</v>
      </c>
      <c r="E1992">
        <v>10</v>
      </c>
      <c r="F1992" s="8">
        <f>VLOOKUP(financials[[#This Row],[productid]],Products!$B$2:$H$10,3)</f>
        <v>15</v>
      </c>
      <c r="G1992" s="8">
        <f>financials[[#This Row],[Units Sold]]*financials[[#This Row],[Sale Price]]</f>
        <v>150</v>
      </c>
      <c r="H1992" s="8">
        <f>IF(financials[[#This Row],[Discount Band]]="low",0.1,IF(financials[[#This Row],[Discount Band]]="medium",0.15,0.3))</f>
        <v>0.3</v>
      </c>
      <c r="I1992" s="8">
        <f>financials[[#This Row],[Gross Sales]]-financials[[#This Row],[Gross Sales]]*financials[[#This Row],[Discounts]]</f>
        <v>105</v>
      </c>
      <c r="J1992" s="8">
        <f>VLOOKUP(financials[[#This Row],[productid]],Products!$B$2:$H$10,4)</f>
        <v>13.95</v>
      </c>
      <c r="K1992" s="8">
        <f>financials[[#This Row],[Net Sales]]-financials[[#This Row],[COGS]]</f>
        <v>91.05</v>
      </c>
      <c r="L1992" s="15">
        <v>44897</v>
      </c>
      <c r="M1992" t="s">
        <v>696</v>
      </c>
    </row>
    <row r="1993" spans="1:13" x14ac:dyDescent="0.25">
      <c r="A1993" t="s">
        <v>85</v>
      </c>
      <c r="B1993" s="6" t="s">
        <v>159</v>
      </c>
      <c r="C1993" s="13">
        <v>107</v>
      </c>
      <c r="D1993" s="14" t="s">
        <v>83</v>
      </c>
      <c r="E1993">
        <v>10</v>
      </c>
      <c r="F1993" s="8">
        <f>VLOOKUP(financials[[#This Row],[productid]],Products!$B$2:$H$10,3)</f>
        <v>15</v>
      </c>
      <c r="G1993" s="8">
        <f>financials[[#This Row],[Units Sold]]*financials[[#This Row],[Sale Price]]</f>
        <v>150</v>
      </c>
      <c r="H1993" s="8">
        <f>IF(financials[[#This Row],[Discount Band]]="low",0.1,IF(financials[[#This Row],[Discount Band]]="medium",0.15,0.3))</f>
        <v>0.3</v>
      </c>
      <c r="I1993" s="8">
        <f>financials[[#This Row],[Gross Sales]]-financials[[#This Row],[Gross Sales]]*financials[[#This Row],[Discounts]]</f>
        <v>105</v>
      </c>
      <c r="J1993" s="8">
        <f>VLOOKUP(financials[[#This Row],[productid]],Products!$B$2:$H$10,4)</f>
        <v>5.5</v>
      </c>
      <c r="K1993" s="8">
        <f>financials[[#This Row],[Net Sales]]-financials[[#This Row],[COGS]]</f>
        <v>99.5</v>
      </c>
      <c r="L1993" s="15">
        <v>43979</v>
      </c>
      <c r="M1993" t="s">
        <v>690</v>
      </c>
    </row>
    <row r="1994" spans="1:13" x14ac:dyDescent="0.25">
      <c r="A1994" t="s">
        <v>87</v>
      </c>
      <c r="B1994" s="6" t="s">
        <v>266</v>
      </c>
      <c r="C1994" s="13">
        <v>104</v>
      </c>
      <c r="D1994" s="14" t="s">
        <v>90</v>
      </c>
      <c r="E1994">
        <v>14</v>
      </c>
      <c r="F1994" s="8">
        <f>VLOOKUP(financials[[#This Row],[productid]],Products!$B$2:$H$10,3)</f>
        <v>5.9</v>
      </c>
      <c r="G1994" s="8">
        <f>financials[[#This Row],[Units Sold]]*financials[[#This Row],[Sale Price]]</f>
        <v>82.600000000000009</v>
      </c>
      <c r="H1994" s="8">
        <f>IF(financials[[#This Row],[Discount Band]]="low",0.1,IF(financials[[#This Row],[Discount Band]]="medium",0.15,0.3))</f>
        <v>0.15</v>
      </c>
      <c r="I1994" s="8">
        <f>financials[[#This Row],[Gross Sales]]-financials[[#This Row],[Gross Sales]]*financials[[#This Row],[Discounts]]</f>
        <v>70.210000000000008</v>
      </c>
      <c r="J1994" s="8">
        <f>VLOOKUP(financials[[#This Row],[productid]],Products!$B$2:$H$10,4)</f>
        <v>2.9</v>
      </c>
      <c r="K1994" s="8">
        <f>financials[[#This Row],[Net Sales]]-financials[[#This Row],[COGS]]</f>
        <v>67.31</v>
      </c>
      <c r="L1994" s="15">
        <v>45245</v>
      </c>
      <c r="M1994" t="s">
        <v>697</v>
      </c>
    </row>
    <row r="1995" spans="1:13" x14ac:dyDescent="0.25">
      <c r="A1995" t="s">
        <v>85</v>
      </c>
      <c r="B1995" s="6" t="s">
        <v>84</v>
      </c>
      <c r="C1995" s="11">
        <v>109</v>
      </c>
      <c r="D1995" s="9" t="s">
        <v>83</v>
      </c>
      <c r="E1995">
        <v>9</v>
      </c>
      <c r="F1995" s="8">
        <f>VLOOKUP(financials[[#This Row],[productid]],Products!$B$2:$H$10,3)</f>
        <v>36</v>
      </c>
      <c r="G1995" s="8">
        <f>financials[[#This Row],[Units Sold]]*financials[[#This Row],[Sale Price]]</f>
        <v>324</v>
      </c>
      <c r="H1995" s="8">
        <f>IF(financials[[#This Row],[Discount Band]]="low",0.1,IF(financials[[#This Row],[Discount Band]]="medium",0.15,0.3))</f>
        <v>0.3</v>
      </c>
      <c r="I1995" s="8">
        <f>financials[[#This Row],[Gross Sales]]-financials[[#This Row],[Gross Sales]]*financials[[#This Row],[Discounts]]</f>
        <v>226.8</v>
      </c>
      <c r="J1995" s="8">
        <f>VLOOKUP(financials[[#This Row],[productid]],Products!$B$2:$H$10,4)</f>
        <v>16.8</v>
      </c>
      <c r="K1995" s="8">
        <f>financials[[#This Row],[Net Sales]]-financials[[#This Row],[COGS]]</f>
        <v>210</v>
      </c>
      <c r="L1995" s="15">
        <v>45328</v>
      </c>
      <c r="M1995" t="s">
        <v>690</v>
      </c>
    </row>
    <row r="1996" spans="1:13" x14ac:dyDescent="0.25">
      <c r="A1996" t="s">
        <v>85</v>
      </c>
      <c r="B1996" s="6" t="s">
        <v>84</v>
      </c>
      <c r="C1996" s="13">
        <v>108</v>
      </c>
      <c r="D1996" s="14" t="s">
        <v>83</v>
      </c>
      <c r="E1996">
        <v>9</v>
      </c>
      <c r="F1996" s="8">
        <f>VLOOKUP(financials[[#This Row],[productid]],Products!$B$2:$H$10,3)</f>
        <v>5.5</v>
      </c>
      <c r="G1996" s="8">
        <f>financials[[#This Row],[Units Sold]]*financials[[#This Row],[Sale Price]]</f>
        <v>49.5</v>
      </c>
      <c r="H1996" s="8">
        <f>IF(financials[[#This Row],[Discount Band]]="low",0.1,IF(financials[[#This Row],[Discount Band]]="medium",0.15,0.3))</f>
        <v>0.3</v>
      </c>
      <c r="I1996" s="8">
        <f>financials[[#This Row],[Gross Sales]]-financials[[#This Row],[Gross Sales]]*financials[[#This Row],[Discounts]]</f>
        <v>34.65</v>
      </c>
      <c r="J1996" s="8">
        <f>VLOOKUP(financials[[#This Row],[productid]],Products!$B$2:$H$10,4)</f>
        <v>3.99</v>
      </c>
      <c r="K1996" s="8">
        <f>financials[[#This Row],[Net Sales]]-financials[[#This Row],[COGS]]</f>
        <v>30.659999999999997</v>
      </c>
      <c r="L1996" s="15">
        <v>44625</v>
      </c>
      <c r="M1996" t="s">
        <v>700</v>
      </c>
    </row>
    <row r="1997" spans="1:13" x14ac:dyDescent="0.25">
      <c r="A1997" t="s">
        <v>86</v>
      </c>
      <c r="B1997" s="6" t="s">
        <v>124</v>
      </c>
      <c r="C1997" s="13">
        <v>109</v>
      </c>
      <c r="D1997" s="14" t="s">
        <v>91</v>
      </c>
      <c r="E1997">
        <v>13</v>
      </c>
      <c r="F1997" s="8">
        <f>VLOOKUP(financials[[#This Row],[productid]],Products!$B$2:$H$10,3)</f>
        <v>36</v>
      </c>
      <c r="G1997" s="8">
        <f>financials[[#This Row],[Units Sold]]*financials[[#This Row],[Sale Price]]</f>
        <v>468</v>
      </c>
      <c r="H1997" s="8">
        <f>IF(financials[[#This Row],[Discount Band]]="low",0.1,IF(financials[[#This Row],[Discount Band]]="medium",0.15,0.3))</f>
        <v>0.1</v>
      </c>
      <c r="I1997" s="8">
        <f>financials[[#This Row],[Gross Sales]]-financials[[#This Row],[Gross Sales]]*financials[[#This Row],[Discounts]]</f>
        <v>421.2</v>
      </c>
      <c r="J1997" s="8">
        <f>VLOOKUP(financials[[#This Row],[productid]],Products!$B$2:$H$10,4)</f>
        <v>16.8</v>
      </c>
      <c r="K1997" s="8">
        <f>financials[[#This Row],[Net Sales]]-financials[[#This Row],[COGS]]</f>
        <v>404.4</v>
      </c>
      <c r="L1997" s="15">
        <v>44404</v>
      </c>
      <c r="M1997" t="s">
        <v>690</v>
      </c>
    </row>
    <row r="1998" spans="1:13" x14ac:dyDescent="0.25">
      <c r="A1998" t="s">
        <v>85</v>
      </c>
      <c r="B1998" s="6" t="s">
        <v>84</v>
      </c>
      <c r="C1998" s="13">
        <v>102</v>
      </c>
      <c r="D1998" s="14" t="s">
        <v>90</v>
      </c>
      <c r="E1998">
        <v>10</v>
      </c>
      <c r="F1998" s="8">
        <f>VLOOKUP(financials[[#This Row],[productid]],Products!$B$2:$H$10,3)</f>
        <v>15</v>
      </c>
      <c r="G1998" s="8">
        <f>financials[[#This Row],[Units Sold]]*financials[[#This Row],[Sale Price]]</f>
        <v>150</v>
      </c>
      <c r="H1998" s="8">
        <f>IF(financials[[#This Row],[Discount Band]]="low",0.1,IF(financials[[#This Row],[Discount Band]]="medium",0.15,0.3))</f>
        <v>0.15</v>
      </c>
      <c r="I1998" s="8">
        <f>financials[[#This Row],[Gross Sales]]-financials[[#This Row],[Gross Sales]]*financials[[#This Row],[Discounts]]</f>
        <v>127.5</v>
      </c>
      <c r="J1998" s="8">
        <f>VLOOKUP(financials[[#This Row],[productid]],Products!$B$2:$H$10,4)</f>
        <v>13.95</v>
      </c>
      <c r="K1998" s="8">
        <f>financials[[#This Row],[Net Sales]]-financials[[#This Row],[COGS]]</f>
        <v>113.55</v>
      </c>
      <c r="L1998" s="15">
        <v>45145</v>
      </c>
      <c r="M1998" t="s">
        <v>697</v>
      </c>
    </row>
    <row r="1999" spans="1:13" x14ac:dyDescent="0.25">
      <c r="A1999" t="s">
        <v>85</v>
      </c>
      <c r="B1999" s="6" t="s">
        <v>84</v>
      </c>
      <c r="C1999" s="13">
        <v>106</v>
      </c>
      <c r="D1999" s="14" t="s">
        <v>91</v>
      </c>
      <c r="E1999">
        <v>10</v>
      </c>
      <c r="F1999" s="8">
        <f>VLOOKUP(financials[[#This Row],[productid]],Products!$B$2:$H$10,3)</f>
        <v>25</v>
      </c>
      <c r="G1999" s="8">
        <f>financials[[#This Row],[Units Sold]]*financials[[#This Row],[Sale Price]]</f>
        <v>250</v>
      </c>
      <c r="H1999" s="8">
        <f>IF(financials[[#This Row],[Discount Band]]="low",0.1,IF(financials[[#This Row],[Discount Band]]="medium",0.15,0.3))</f>
        <v>0.1</v>
      </c>
      <c r="I1999" s="8">
        <f>financials[[#This Row],[Gross Sales]]-financials[[#This Row],[Gross Sales]]*financials[[#This Row],[Discounts]]</f>
        <v>225</v>
      </c>
      <c r="J1999" s="8">
        <f>VLOOKUP(financials[[#This Row],[productid]],Products!$B$2:$H$10,4)</f>
        <v>9.1</v>
      </c>
      <c r="K1999" s="8">
        <f>financials[[#This Row],[Net Sales]]-financials[[#This Row],[COGS]]</f>
        <v>215.9</v>
      </c>
      <c r="L1999" s="15">
        <v>44411</v>
      </c>
      <c r="M1999" t="s">
        <v>690</v>
      </c>
    </row>
    <row r="2000" spans="1:13" x14ac:dyDescent="0.25">
      <c r="A2000" t="s">
        <v>86</v>
      </c>
      <c r="B2000" s="6" t="s">
        <v>159</v>
      </c>
      <c r="C2000" s="13">
        <v>101</v>
      </c>
      <c r="D2000" s="14" t="s">
        <v>83</v>
      </c>
      <c r="E2000">
        <v>20</v>
      </c>
      <c r="F2000" s="8">
        <f>VLOOKUP(financials[[#This Row],[productid]],Products!$B$2:$H$10,3)</f>
        <v>23</v>
      </c>
      <c r="G2000" s="8">
        <f>financials[[#This Row],[Units Sold]]*financials[[#This Row],[Sale Price]]</f>
        <v>460</v>
      </c>
      <c r="H2000" s="8">
        <f>IF(financials[[#This Row],[Discount Band]]="low",0.1,IF(financials[[#This Row],[Discount Band]]="medium",0.15,0.3))</f>
        <v>0.3</v>
      </c>
      <c r="I2000" s="8">
        <f>financials[[#This Row],[Gross Sales]]-financials[[#This Row],[Gross Sales]]*financials[[#This Row],[Discounts]]</f>
        <v>322</v>
      </c>
      <c r="J2000" s="8">
        <f>VLOOKUP(financials[[#This Row],[productid]],Products!$B$2:$H$10,4)</f>
        <v>9.9499999999999993</v>
      </c>
      <c r="K2000" s="8">
        <f>financials[[#This Row],[Net Sales]]-financials[[#This Row],[COGS]]</f>
        <v>312.05</v>
      </c>
      <c r="L2000" s="15">
        <v>45496</v>
      </c>
      <c r="M2000" t="s">
        <v>700</v>
      </c>
    </row>
    <row r="2001" spans="1:13" x14ac:dyDescent="0.25">
      <c r="A2001" t="s">
        <v>86</v>
      </c>
      <c r="B2001" s="6" t="s">
        <v>84</v>
      </c>
      <c r="C2001" s="13">
        <v>106</v>
      </c>
      <c r="D2001" s="14" t="s">
        <v>90</v>
      </c>
      <c r="E2001">
        <v>17</v>
      </c>
      <c r="F2001" s="8">
        <f>VLOOKUP(financials[[#This Row],[productid]],Products!$B$2:$H$10,3)</f>
        <v>25</v>
      </c>
      <c r="G2001" s="8">
        <f>financials[[#This Row],[Units Sold]]*financials[[#This Row],[Sale Price]]</f>
        <v>425</v>
      </c>
      <c r="H2001" s="8">
        <f>IF(financials[[#This Row],[Discount Band]]="low",0.1,IF(financials[[#This Row],[Discount Band]]="medium",0.15,0.3))</f>
        <v>0.15</v>
      </c>
      <c r="I2001" s="8">
        <f>financials[[#This Row],[Gross Sales]]-financials[[#This Row],[Gross Sales]]*financials[[#This Row],[Discounts]]</f>
        <v>361.25</v>
      </c>
      <c r="J2001" s="8">
        <f>VLOOKUP(financials[[#This Row],[productid]],Products!$B$2:$H$10,4)</f>
        <v>9.1</v>
      </c>
      <c r="K2001" s="8">
        <f>financials[[#This Row],[Net Sales]]-financials[[#This Row],[COGS]]</f>
        <v>352.15</v>
      </c>
      <c r="L2001" s="15">
        <v>45052</v>
      </c>
      <c r="M2001" t="s">
        <v>690</v>
      </c>
    </row>
    <row r="2002" spans="1:13" x14ac:dyDescent="0.25">
      <c r="A2002" t="s">
        <v>85</v>
      </c>
      <c r="B2002" s="6" t="s">
        <v>84</v>
      </c>
      <c r="C2002" s="13">
        <v>109</v>
      </c>
      <c r="D2002" s="14" t="s">
        <v>90</v>
      </c>
      <c r="E2002">
        <v>9</v>
      </c>
      <c r="F2002" s="8">
        <f>VLOOKUP(financials[[#This Row],[productid]],Products!$B$2:$H$10,3)</f>
        <v>36</v>
      </c>
      <c r="G2002" s="8">
        <f>financials[[#This Row],[Units Sold]]*financials[[#This Row],[Sale Price]]</f>
        <v>324</v>
      </c>
      <c r="H2002" s="8">
        <f>IF(financials[[#This Row],[Discount Band]]="low",0.1,IF(financials[[#This Row],[Discount Band]]="medium",0.15,0.3))</f>
        <v>0.15</v>
      </c>
      <c r="I2002" s="8">
        <f>financials[[#This Row],[Gross Sales]]-financials[[#This Row],[Gross Sales]]*financials[[#This Row],[Discounts]]</f>
        <v>275.39999999999998</v>
      </c>
      <c r="J2002" s="8">
        <f>VLOOKUP(financials[[#This Row],[productid]],Products!$B$2:$H$10,4)</f>
        <v>16.8</v>
      </c>
      <c r="K2002" s="8">
        <f>financials[[#This Row],[Net Sales]]-financials[[#This Row],[COGS]]</f>
        <v>258.59999999999997</v>
      </c>
      <c r="L2002" s="15">
        <v>45173</v>
      </c>
      <c r="M2002" t="s">
        <v>691</v>
      </c>
    </row>
    <row r="2003" spans="1:13" x14ac:dyDescent="0.25">
      <c r="A2003" t="s">
        <v>87</v>
      </c>
      <c r="B2003" s="6" t="s">
        <v>545</v>
      </c>
      <c r="C2003" s="11">
        <v>103</v>
      </c>
      <c r="D2003" s="9" t="s">
        <v>91</v>
      </c>
      <c r="E2003">
        <v>13</v>
      </c>
      <c r="F2003" s="8">
        <f>VLOOKUP(financials[[#This Row],[productid]],Products!$B$2:$H$10,3)</f>
        <v>28</v>
      </c>
      <c r="G2003" s="8">
        <f>financials[[#This Row],[Units Sold]]*financials[[#This Row],[Sale Price]]</f>
        <v>364</v>
      </c>
      <c r="H2003" s="8">
        <f>IF(financials[[#This Row],[Discount Band]]="low",0.1,IF(financials[[#This Row],[Discount Band]]="medium",0.15,0.3))</f>
        <v>0.1</v>
      </c>
      <c r="I2003" s="8">
        <f>financials[[#This Row],[Gross Sales]]-financials[[#This Row],[Gross Sales]]*financials[[#This Row],[Discounts]]</f>
        <v>327.60000000000002</v>
      </c>
      <c r="J2003" s="8">
        <f>VLOOKUP(financials[[#This Row],[productid]],Products!$B$2:$H$10,4)</f>
        <v>15</v>
      </c>
      <c r="K2003" s="8">
        <f>financials[[#This Row],[Net Sales]]-financials[[#This Row],[COGS]]</f>
        <v>312.60000000000002</v>
      </c>
      <c r="L2003" s="15">
        <v>44652</v>
      </c>
      <c r="M2003" t="s">
        <v>690</v>
      </c>
    </row>
    <row r="2004" spans="1:13" x14ac:dyDescent="0.25">
      <c r="A2004" t="s">
        <v>88</v>
      </c>
      <c r="B2004" s="6" t="s">
        <v>545</v>
      </c>
      <c r="C2004" s="11">
        <v>102</v>
      </c>
      <c r="D2004" s="9" t="s">
        <v>90</v>
      </c>
      <c r="E2004">
        <v>7</v>
      </c>
      <c r="F2004" s="8">
        <f>VLOOKUP(financials[[#This Row],[productid]],Products!$B$2:$H$10,3)</f>
        <v>15</v>
      </c>
      <c r="G2004" s="8">
        <f>financials[[#This Row],[Units Sold]]*financials[[#This Row],[Sale Price]]</f>
        <v>105</v>
      </c>
      <c r="H2004" s="8">
        <f>IF(financials[[#This Row],[Discount Band]]="low",0.1,IF(financials[[#This Row],[Discount Band]]="medium",0.15,0.3))</f>
        <v>0.15</v>
      </c>
      <c r="I2004" s="8">
        <f>financials[[#This Row],[Gross Sales]]-financials[[#This Row],[Gross Sales]]*financials[[#This Row],[Discounts]]</f>
        <v>89.25</v>
      </c>
      <c r="J2004" s="8">
        <f>VLOOKUP(financials[[#This Row],[productid]],Products!$B$2:$H$10,4)</f>
        <v>13.95</v>
      </c>
      <c r="K2004" s="8">
        <f>financials[[#This Row],[Net Sales]]-financials[[#This Row],[COGS]]</f>
        <v>75.3</v>
      </c>
      <c r="L2004" s="15">
        <v>45472</v>
      </c>
      <c r="M2004" t="s">
        <v>696</v>
      </c>
    </row>
    <row r="2005" spans="1:13" x14ac:dyDescent="0.25">
      <c r="A2005" t="s">
        <v>85</v>
      </c>
      <c r="B2005" s="6" t="s">
        <v>84</v>
      </c>
      <c r="C2005" s="13">
        <v>107</v>
      </c>
      <c r="D2005" s="14" t="s">
        <v>91</v>
      </c>
      <c r="E2005">
        <v>10</v>
      </c>
      <c r="F2005" s="8">
        <f>VLOOKUP(financials[[#This Row],[productid]],Products!$B$2:$H$10,3)</f>
        <v>15</v>
      </c>
      <c r="G2005" s="8">
        <f>financials[[#This Row],[Units Sold]]*financials[[#This Row],[Sale Price]]</f>
        <v>150</v>
      </c>
      <c r="H2005" s="8">
        <f>IF(financials[[#This Row],[Discount Band]]="low",0.1,IF(financials[[#This Row],[Discount Band]]="medium",0.15,0.3))</f>
        <v>0.1</v>
      </c>
      <c r="I2005" s="8">
        <f>financials[[#This Row],[Gross Sales]]-financials[[#This Row],[Gross Sales]]*financials[[#This Row],[Discounts]]</f>
        <v>135</v>
      </c>
      <c r="J2005" s="8">
        <f>VLOOKUP(financials[[#This Row],[productid]],Products!$B$2:$H$10,4)</f>
        <v>5.5</v>
      </c>
      <c r="K2005" s="8">
        <f>financials[[#This Row],[Net Sales]]-financials[[#This Row],[COGS]]</f>
        <v>129.5</v>
      </c>
      <c r="L2005" s="15">
        <v>45478</v>
      </c>
      <c r="M2005" t="s">
        <v>691</v>
      </c>
    </row>
    <row r="2006" spans="1:13" x14ac:dyDescent="0.25">
      <c r="A2006" t="s">
        <v>85</v>
      </c>
      <c r="B2006" s="6" t="s">
        <v>84</v>
      </c>
      <c r="C2006" s="13">
        <v>101</v>
      </c>
      <c r="D2006" s="14" t="s">
        <v>91</v>
      </c>
      <c r="E2006">
        <v>12</v>
      </c>
      <c r="F2006" s="8">
        <f>VLOOKUP(financials[[#This Row],[productid]],Products!$B$2:$H$10,3)</f>
        <v>23</v>
      </c>
      <c r="G2006" s="8">
        <f>financials[[#This Row],[Units Sold]]*financials[[#This Row],[Sale Price]]</f>
        <v>276</v>
      </c>
      <c r="H2006" s="8">
        <f>IF(financials[[#This Row],[Discount Band]]="low",0.1,IF(financials[[#This Row],[Discount Band]]="medium",0.15,0.3))</f>
        <v>0.1</v>
      </c>
      <c r="I2006" s="8">
        <f>financials[[#This Row],[Gross Sales]]-financials[[#This Row],[Gross Sales]]*financials[[#This Row],[Discounts]]</f>
        <v>248.4</v>
      </c>
      <c r="J2006" s="8">
        <f>VLOOKUP(financials[[#This Row],[productid]],Products!$B$2:$H$10,4)</f>
        <v>9.9499999999999993</v>
      </c>
      <c r="K2006" s="8">
        <f>financials[[#This Row],[Net Sales]]-financials[[#This Row],[COGS]]</f>
        <v>238.45000000000002</v>
      </c>
      <c r="L2006" s="15">
        <v>44812</v>
      </c>
      <c r="M2006" t="s">
        <v>697</v>
      </c>
    </row>
    <row r="2007" spans="1:13" x14ac:dyDescent="0.25">
      <c r="A2007" t="s">
        <v>86</v>
      </c>
      <c r="B2007" s="6" t="s">
        <v>84</v>
      </c>
      <c r="C2007" s="13">
        <v>101</v>
      </c>
      <c r="D2007" s="14" t="s">
        <v>83</v>
      </c>
      <c r="E2007">
        <v>11</v>
      </c>
      <c r="F2007" s="8">
        <f>VLOOKUP(financials[[#This Row],[productid]],Products!$B$2:$H$10,3)</f>
        <v>23</v>
      </c>
      <c r="G2007" s="8">
        <f>financials[[#This Row],[Units Sold]]*financials[[#This Row],[Sale Price]]</f>
        <v>253</v>
      </c>
      <c r="H2007" s="8">
        <f>IF(financials[[#This Row],[Discount Band]]="low",0.1,IF(financials[[#This Row],[Discount Band]]="medium",0.15,0.3))</f>
        <v>0.3</v>
      </c>
      <c r="I2007" s="8">
        <f>financials[[#This Row],[Gross Sales]]-financials[[#This Row],[Gross Sales]]*financials[[#This Row],[Discounts]]</f>
        <v>177.10000000000002</v>
      </c>
      <c r="J2007" s="8">
        <f>VLOOKUP(financials[[#This Row],[productid]],Products!$B$2:$H$10,4)</f>
        <v>9.9499999999999993</v>
      </c>
      <c r="K2007" s="8">
        <f>financials[[#This Row],[Net Sales]]-financials[[#This Row],[COGS]]</f>
        <v>167.15000000000003</v>
      </c>
      <c r="L2007" s="15">
        <v>45146</v>
      </c>
      <c r="M2007" t="s">
        <v>691</v>
      </c>
    </row>
    <row r="2008" spans="1:13" x14ac:dyDescent="0.25">
      <c r="A2008" t="s">
        <v>86</v>
      </c>
      <c r="B2008" s="6" t="s">
        <v>84</v>
      </c>
      <c r="C2008" s="13">
        <v>103</v>
      </c>
      <c r="D2008" s="14" t="s">
        <v>90</v>
      </c>
      <c r="E2008">
        <v>12</v>
      </c>
      <c r="F2008" s="8">
        <f>VLOOKUP(financials[[#This Row],[productid]],Products!$B$2:$H$10,3)</f>
        <v>28</v>
      </c>
      <c r="G2008" s="8">
        <f>financials[[#This Row],[Units Sold]]*financials[[#This Row],[Sale Price]]</f>
        <v>336</v>
      </c>
      <c r="H2008" s="8">
        <f>IF(financials[[#This Row],[Discount Band]]="low",0.1,IF(financials[[#This Row],[Discount Band]]="medium",0.15,0.3))</f>
        <v>0.15</v>
      </c>
      <c r="I2008" s="8">
        <f>financials[[#This Row],[Gross Sales]]-financials[[#This Row],[Gross Sales]]*financials[[#This Row],[Discounts]]</f>
        <v>285.60000000000002</v>
      </c>
      <c r="J2008" s="8">
        <f>VLOOKUP(financials[[#This Row],[productid]],Products!$B$2:$H$10,4)</f>
        <v>15</v>
      </c>
      <c r="K2008" s="8">
        <f>financials[[#This Row],[Net Sales]]-financials[[#This Row],[COGS]]</f>
        <v>270.60000000000002</v>
      </c>
      <c r="L2008" s="15">
        <v>44301</v>
      </c>
      <c r="M2008" t="s">
        <v>696</v>
      </c>
    </row>
    <row r="2009" spans="1:13" x14ac:dyDescent="0.25">
      <c r="A2009" t="s">
        <v>86</v>
      </c>
      <c r="B2009" s="6" t="s">
        <v>84</v>
      </c>
      <c r="C2009" s="13">
        <v>101</v>
      </c>
      <c r="D2009" s="14" t="s">
        <v>83</v>
      </c>
      <c r="E2009">
        <v>15</v>
      </c>
      <c r="F2009" s="8">
        <f>VLOOKUP(financials[[#This Row],[productid]],Products!$B$2:$H$10,3)</f>
        <v>23</v>
      </c>
      <c r="G2009" s="8">
        <f>financials[[#This Row],[Units Sold]]*financials[[#This Row],[Sale Price]]</f>
        <v>345</v>
      </c>
      <c r="H2009" s="8">
        <f>IF(financials[[#This Row],[Discount Band]]="low",0.1,IF(financials[[#This Row],[Discount Band]]="medium",0.15,0.3))</f>
        <v>0.3</v>
      </c>
      <c r="I2009" s="8">
        <f>financials[[#This Row],[Gross Sales]]-financials[[#This Row],[Gross Sales]]*financials[[#This Row],[Discounts]]</f>
        <v>241.5</v>
      </c>
      <c r="J2009" s="8">
        <f>VLOOKUP(financials[[#This Row],[productid]],Products!$B$2:$H$10,4)</f>
        <v>9.9499999999999993</v>
      </c>
      <c r="K2009" s="8">
        <f>financials[[#This Row],[Net Sales]]-financials[[#This Row],[COGS]]</f>
        <v>231.55</v>
      </c>
      <c r="L2009" s="15">
        <v>45200</v>
      </c>
      <c r="M2009" t="s">
        <v>690</v>
      </c>
    </row>
    <row r="2010" spans="1:13" x14ac:dyDescent="0.25">
      <c r="A2010" t="s">
        <v>86</v>
      </c>
      <c r="B2010" s="6" t="s">
        <v>159</v>
      </c>
      <c r="C2010" s="13">
        <v>109</v>
      </c>
      <c r="D2010" s="14" t="s">
        <v>90</v>
      </c>
      <c r="E2010">
        <v>20</v>
      </c>
      <c r="F2010" s="8">
        <f>VLOOKUP(financials[[#This Row],[productid]],Products!$B$2:$H$10,3)</f>
        <v>36</v>
      </c>
      <c r="G2010" s="8">
        <f>financials[[#This Row],[Units Sold]]*financials[[#This Row],[Sale Price]]</f>
        <v>720</v>
      </c>
      <c r="H2010" s="8">
        <f>IF(financials[[#This Row],[Discount Band]]="low",0.1,IF(financials[[#This Row],[Discount Band]]="medium",0.15,0.3))</f>
        <v>0.15</v>
      </c>
      <c r="I2010" s="8">
        <f>financials[[#This Row],[Gross Sales]]-financials[[#This Row],[Gross Sales]]*financials[[#This Row],[Discounts]]</f>
        <v>612</v>
      </c>
      <c r="J2010" s="8">
        <f>VLOOKUP(financials[[#This Row],[productid]],Products!$B$2:$H$10,4)</f>
        <v>16.8</v>
      </c>
      <c r="K2010" s="8">
        <f>financials[[#This Row],[Net Sales]]-financials[[#This Row],[COGS]]</f>
        <v>595.20000000000005</v>
      </c>
      <c r="L2010" s="15">
        <v>45051</v>
      </c>
      <c r="M2010" t="s">
        <v>700</v>
      </c>
    </row>
    <row r="2011" spans="1:13" x14ac:dyDescent="0.25">
      <c r="A2011" t="s">
        <v>85</v>
      </c>
      <c r="B2011" s="6" t="s">
        <v>84</v>
      </c>
      <c r="C2011" s="13">
        <v>102</v>
      </c>
      <c r="D2011" s="14" t="s">
        <v>90</v>
      </c>
      <c r="E2011">
        <v>20</v>
      </c>
      <c r="F2011" s="8">
        <f>VLOOKUP(financials[[#This Row],[productid]],Products!$B$2:$H$10,3)</f>
        <v>15</v>
      </c>
      <c r="G2011" s="8">
        <f>financials[[#This Row],[Units Sold]]*financials[[#This Row],[Sale Price]]</f>
        <v>300</v>
      </c>
      <c r="H2011" s="8">
        <f>IF(financials[[#This Row],[Discount Band]]="low",0.1,IF(financials[[#This Row],[Discount Band]]="medium",0.15,0.3))</f>
        <v>0.15</v>
      </c>
      <c r="I2011" s="8">
        <f>financials[[#This Row],[Gross Sales]]-financials[[#This Row],[Gross Sales]]*financials[[#This Row],[Discounts]]</f>
        <v>255</v>
      </c>
      <c r="J2011" s="8">
        <f>VLOOKUP(financials[[#This Row],[productid]],Products!$B$2:$H$10,4)</f>
        <v>13.95</v>
      </c>
      <c r="K2011" s="8">
        <f>financials[[#This Row],[Net Sales]]-financials[[#This Row],[COGS]]</f>
        <v>241.05</v>
      </c>
      <c r="L2011" s="15">
        <v>43955</v>
      </c>
      <c r="M2011" t="s">
        <v>697</v>
      </c>
    </row>
    <row r="2012" spans="1:13" x14ac:dyDescent="0.25">
      <c r="A2012" t="s">
        <v>85</v>
      </c>
      <c r="B2012" s="6" t="s">
        <v>159</v>
      </c>
      <c r="C2012" s="13">
        <v>102</v>
      </c>
      <c r="D2012" s="14" t="s">
        <v>83</v>
      </c>
      <c r="E2012">
        <v>18</v>
      </c>
      <c r="F2012" s="8">
        <f>VLOOKUP(financials[[#This Row],[productid]],Products!$B$2:$H$10,3)</f>
        <v>15</v>
      </c>
      <c r="G2012" s="8">
        <f>financials[[#This Row],[Units Sold]]*financials[[#This Row],[Sale Price]]</f>
        <v>270</v>
      </c>
      <c r="H2012" s="8">
        <f>IF(financials[[#This Row],[Discount Band]]="low",0.1,IF(financials[[#This Row],[Discount Band]]="medium",0.15,0.3))</f>
        <v>0.3</v>
      </c>
      <c r="I2012" s="8">
        <f>financials[[#This Row],[Gross Sales]]-financials[[#This Row],[Gross Sales]]*financials[[#This Row],[Discounts]]</f>
        <v>189</v>
      </c>
      <c r="J2012" s="8">
        <f>VLOOKUP(financials[[#This Row],[productid]],Products!$B$2:$H$10,4)</f>
        <v>13.95</v>
      </c>
      <c r="K2012" s="8">
        <f>financials[[#This Row],[Net Sales]]-financials[[#This Row],[COGS]]</f>
        <v>175.05</v>
      </c>
      <c r="L2012" s="15">
        <v>44677</v>
      </c>
      <c r="M2012" t="s">
        <v>691</v>
      </c>
    </row>
    <row r="2013" spans="1:13" x14ac:dyDescent="0.25">
      <c r="A2013" t="s">
        <v>85</v>
      </c>
      <c r="B2013" s="6" t="s">
        <v>84</v>
      </c>
      <c r="C2013" s="13">
        <v>103</v>
      </c>
      <c r="D2013" s="14" t="s">
        <v>91</v>
      </c>
      <c r="E2013">
        <v>18</v>
      </c>
      <c r="F2013" s="8">
        <f>VLOOKUP(financials[[#This Row],[productid]],Products!$B$2:$H$10,3)</f>
        <v>28</v>
      </c>
      <c r="G2013" s="8">
        <f>financials[[#This Row],[Units Sold]]*financials[[#This Row],[Sale Price]]</f>
        <v>504</v>
      </c>
      <c r="H2013" s="8">
        <f>IF(financials[[#This Row],[Discount Band]]="low",0.1,IF(financials[[#This Row],[Discount Band]]="medium",0.15,0.3))</f>
        <v>0.1</v>
      </c>
      <c r="I2013" s="8">
        <f>financials[[#This Row],[Gross Sales]]-financials[[#This Row],[Gross Sales]]*financials[[#This Row],[Discounts]]</f>
        <v>453.6</v>
      </c>
      <c r="J2013" s="8">
        <f>VLOOKUP(financials[[#This Row],[productid]],Products!$B$2:$H$10,4)</f>
        <v>15</v>
      </c>
      <c r="K2013" s="8">
        <f>financials[[#This Row],[Net Sales]]-financials[[#This Row],[COGS]]</f>
        <v>438.6</v>
      </c>
      <c r="L2013" s="15">
        <v>44331</v>
      </c>
      <c r="M2013" t="s">
        <v>700</v>
      </c>
    </row>
    <row r="2014" spans="1:13" x14ac:dyDescent="0.25">
      <c r="A2014" t="s">
        <v>88</v>
      </c>
      <c r="B2014" s="6" t="s">
        <v>644</v>
      </c>
      <c r="C2014" s="13">
        <v>105</v>
      </c>
      <c r="D2014" s="14" t="s">
        <v>83</v>
      </c>
      <c r="E2014">
        <v>17</v>
      </c>
      <c r="F2014" s="8">
        <f>VLOOKUP(financials[[#This Row],[productid]],Products!$B$2:$H$10,3)</f>
        <v>15</v>
      </c>
      <c r="G2014" s="8">
        <f>financials[[#This Row],[Units Sold]]*financials[[#This Row],[Sale Price]]</f>
        <v>255</v>
      </c>
      <c r="H2014" s="8">
        <f>IF(financials[[#This Row],[Discount Band]]="low",0.1,IF(financials[[#This Row],[Discount Band]]="medium",0.15,0.3))</f>
        <v>0.3</v>
      </c>
      <c r="I2014" s="8">
        <f>financials[[#This Row],[Gross Sales]]-financials[[#This Row],[Gross Sales]]*financials[[#This Row],[Discounts]]</f>
        <v>178.5</v>
      </c>
      <c r="J2014" s="8">
        <f>VLOOKUP(financials[[#This Row],[productid]],Products!$B$2:$H$10,4)</f>
        <v>10</v>
      </c>
      <c r="K2014" s="8">
        <f>financials[[#This Row],[Net Sales]]-financials[[#This Row],[COGS]]</f>
        <v>168.5</v>
      </c>
      <c r="L2014" s="15">
        <v>45097</v>
      </c>
      <c r="M2014" t="s">
        <v>696</v>
      </c>
    </row>
    <row r="2015" spans="1:13" x14ac:dyDescent="0.25">
      <c r="A2015" t="s">
        <v>87</v>
      </c>
      <c r="B2015" s="6" t="s">
        <v>93</v>
      </c>
      <c r="C2015" s="11">
        <v>102</v>
      </c>
      <c r="D2015" s="9" t="s">
        <v>83</v>
      </c>
      <c r="E2015">
        <v>8</v>
      </c>
      <c r="F2015" s="8">
        <f>VLOOKUP(financials[[#This Row],[productid]],Products!$B$2:$H$10,3)</f>
        <v>15</v>
      </c>
      <c r="G2015" s="8">
        <f>financials[[#This Row],[Units Sold]]*financials[[#This Row],[Sale Price]]</f>
        <v>120</v>
      </c>
      <c r="H2015" s="8">
        <f>IF(financials[[#This Row],[Discount Band]]="low",0.1,IF(financials[[#This Row],[Discount Band]]="medium",0.15,0.3))</f>
        <v>0.3</v>
      </c>
      <c r="I2015" s="8">
        <f>financials[[#This Row],[Gross Sales]]-financials[[#This Row],[Gross Sales]]*financials[[#This Row],[Discounts]]</f>
        <v>84</v>
      </c>
      <c r="J2015" s="8">
        <f>VLOOKUP(financials[[#This Row],[productid]],Products!$B$2:$H$10,4)</f>
        <v>13.95</v>
      </c>
      <c r="K2015" s="8">
        <f>financials[[#This Row],[Net Sales]]-financials[[#This Row],[COGS]]</f>
        <v>70.05</v>
      </c>
      <c r="L2015" s="15">
        <v>45264</v>
      </c>
      <c r="M2015" t="s">
        <v>697</v>
      </c>
    </row>
    <row r="2016" spans="1:13" x14ac:dyDescent="0.25">
      <c r="A2016" t="s">
        <v>86</v>
      </c>
      <c r="B2016" s="6" t="s">
        <v>159</v>
      </c>
      <c r="C2016" s="13">
        <v>109</v>
      </c>
      <c r="D2016" s="14" t="s">
        <v>91</v>
      </c>
      <c r="E2016">
        <v>14</v>
      </c>
      <c r="F2016" s="8">
        <f>VLOOKUP(financials[[#This Row],[productid]],Products!$B$2:$H$10,3)</f>
        <v>36</v>
      </c>
      <c r="G2016" s="8">
        <f>financials[[#This Row],[Units Sold]]*financials[[#This Row],[Sale Price]]</f>
        <v>504</v>
      </c>
      <c r="H2016" s="8">
        <f>IF(financials[[#This Row],[Discount Band]]="low",0.1,IF(financials[[#This Row],[Discount Band]]="medium",0.15,0.3))</f>
        <v>0.1</v>
      </c>
      <c r="I2016" s="8">
        <f>financials[[#This Row],[Gross Sales]]-financials[[#This Row],[Gross Sales]]*financials[[#This Row],[Discounts]]</f>
        <v>453.6</v>
      </c>
      <c r="J2016" s="8">
        <f>VLOOKUP(financials[[#This Row],[productid]],Products!$B$2:$H$10,4)</f>
        <v>16.8</v>
      </c>
      <c r="K2016" s="8">
        <f>financials[[#This Row],[Net Sales]]-financials[[#This Row],[COGS]]</f>
        <v>436.8</v>
      </c>
      <c r="L2016" s="15">
        <v>44944</v>
      </c>
      <c r="M2016" t="s">
        <v>690</v>
      </c>
    </row>
    <row r="2017" spans="1:13" x14ac:dyDescent="0.25">
      <c r="A2017" t="s">
        <v>85</v>
      </c>
      <c r="B2017" s="6" t="s">
        <v>84</v>
      </c>
      <c r="C2017" s="11">
        <v>107</v>
      </c>
      <c r="D2017" s="9" t="s">
        <v>83</v>
      </c>
      <c r="E2017">
        <v>13</v>
      </c>
      <c r="F2017" s="8">
        <f>VLOOKUP(financials[[#This Row],[productid]],Products!$B$2:$H$10,3)</f>
        <v>15</v>
      </c>
      <c r="G2017" s="8">
        <f>financials[[#This Row],[Units Sold]]*financials[[#This Row],[Sale Price]]</f>
        <v>195</v>
      </c>
      <c r="H2017" s="8">
        <f>IF(financials[[#This Row],[Discount Band]]="low",0.1,IF(financials[[#This Row],[Discount Band]]="medium",0.15,0.3))</f>
        <v>0.3</v>
      </c>
      <c r="I2017" s="8">
        <f>financials[[#This Row],[Gross Sales]]-financials[[#This Row],[Gross Sales]]*financials[[#This Row],[Discounts]]</f>
        <v>136.5</v>
      </c>
      <c r="J2017" s="8">
        <f>VLOOKUP(financials[[#This Row],[productid]],Products!$B$2:$H$10,4)</f>
        <v>5.5</v>
      </c>
      <c r="K2017" s="8">
        <f>financials[[#This Row],[Net Sales]]-financials[[#This Row],[COGS]]</f>
        <v>131</v>
      </c>
      <c r="L2017" s="15">
        <v>45579</v>
      </c>
      <c r="M2017" t="s">
        <v>690</v>
      </c>
    </row>
    <row r="2018" spans="1:13" x14ac:dyDescent="0.25">
      <c r="A2018" t="s">
        <v>86</v>
      </c>
      <c r="B2018" s="6" t="s">
        <v>159</v>
      </c>
      <c r="C2018" s="13">
        <v>103</v>
      </c>
      <c r="D2018" s="14" t="s">
        <v>83</v>
      </c>
      <c r="E2018">
        <v>11</v>
      </c>
      <c r="F2018" s="8">
        <f>VLOOKUP(financials[[#This Row],[productid]],Products!$B$2:$H$10,3)</f>
        <v>28</v>
      </c>
      <c r="G2018" s="8">
        <f>financials[[#This Row],[Units Sold]]*financials[[#This Row],[Sale Price]]</f>
        <v>308</v>
      </c>
      <c r="H2018" s="8">
        <f>IF(financials[[#This Row],[Discount Band]]="low",0.1,IF(financials[[#This Row],[Discount Band]]="medium",0.15,0.3))</f>
        <v>0.3</v>
      </c>
      <c r="I2018" s="8">
        <f>financials[[#This Row],[Gross Sales]]-financials[[#This Row],[Gross Sales]]*financials[[#This Row],[Discounts]]</f>
        <v>215.60000000000002</v>
      </c>
      <c r="J2018" s="8">
        <f>VLOOKUP(financials[[#This Row],[productid]],Products!$B$2:$H$10,4)</f>
        <v>15</v>
      </c>
      <c r="K2018" s="8">
        <f>financials[[#This Row],[Net Sales]]-financials[[#This Row],[COGS]]</f>
        <v>200.60000000000002</v>
      </c>
      <c r="L2018" s="15">
        <v>44923</v>
      </c>
      <c r="M2018" t="s">
        <v>691</v>
      </c>
    </row>
    <row r="2019" spans="1:13" x14ac:dyDescent="0.25">
      <c r="A2019" t="s">
        <v>86</v>
      </c>
      <c r="B2019" s="6" t="s">
        <v>644</v>
      </c>
      <c r="C2019" s="13">
        <v>102</v>
      </c>
      <c r="D2019" s="14" t="s">
        <v>83</v>
      </c>
      <c r="E2019">
        <v>20</v>
      </c>
      <c r="F2019" s="8">
        <f>VLOOKUP(financials[[#This Row],[productid]],Products!$B$2:$H$10,3)</f>
        <v>15</v>
      </c>
      <c r="G2019" s="8">
        <f>financials[[#This Row],[Units Sold]]*financials[[#This Row],[Sale Price]]</f>
        <v>300</v>
      </c>
      <c r="H2019" s="8">
        <f>IF(financials[[#This Row],[Discount Band]]="low",0.1,IF(financials[[#This Row],[Discount Band]]="medium",0.15,0.3))</f>
        <v>0.3</v>
      </c>
      <c r="I2019" s="8">
        <f>financials[[#This Row],[Gross Sales]]-financials[[#This Row],[Gross Sales]]*financials[[#This Row],[Discounts]]</f>
        <v>210</v>
      </c>
      <c r="J2019" s="8">
        <f>VLOOKUP(financials[[#This Row],[productid]],Products!$B$2:$H$10,4)</f>
        <v>13.95</v>
      </c>
      <c r="K2019" s="8">
        <f>financials[[#This Row],[Net Sales]]-financials[[#This Row],[COGS]]</f>
        <v>196.05</v>
      </c>
      <c r="L2019" s="15">
        <v>44874</v>
      </c>
      <c r="M2019" t="s">
        <v>691</v>
      </c>
    </row>
    <row r="2020" spans="1:13" x14ac:dyDescent="0.25">
      <c r="A2020" t="s">
        <v>85</v>
      </c>
      <c r="B2020" s="6" t="s">
        <v>159</v>
      </c>
      <c r="C2020" s="13">
        <v>106</v>
      </c>
      <c r="D2020" s="14" t="s">
        <v>83</v>
      </c>
      <c r="E2020">
        <v>15</v>
      </c>
      <c r="F2020" s="8">
        <f>VLOOKUP(financials[[#This Row],[productid]],Products!$B$2:$H$10,3)</f>
        <v>25</v>
      </c>
      <c r="G2020" s="8">
        <f>financials[[#This Row],[Units Sold]]*financials[[#This Row],[Sale Price]]</f>
        <v>375</v>
      </c>
      <c r="H2020" s="8">
        <f>IF(financials[[#This Row],[Discount Band]]="low",0.1,IF(financials[[#This Row],[Discount Band]]="medium",0.15,0.3))</f>
        <v>0.3</v>
      </c>
      <c r="I2020" s="8">
        <f>financials[[#This Row],[Gross Sales]]-financials[[#This Row],[Gross Sales]]*financials[[#This Row],[Discounts]]</f>
        <v>262.5</v>
      </c>
      <c r="J2020" s="8">
        <f>VLOOKUP(financials[[#This Row],[productid]],Products!$B$2:$H$10,4)</f>
        <v>9.1</v>
      </c>
      <c r="K2020" s="8">
        <f>financials[[#This Row],[Net Sales]]-financials[[#This Row],[COGS]]</f>
        <v>253.4</v>
      </c>
      <c r="L2020" s="15">
        <v>45311</v>
      </c>
      <c r="M2020" t="s">
        <v>696</v>
      </c>
    </row>
    <row r="2021" spans="1:13" x14ac:dyDescent="0.25">
      <c r="A2021" t="s">
        <v>88</v>
      </c>
      <c r="B2021" s="6" t="s">
        <v>644</v>
      </c>
      <c r="C2021" s="13">
        <v>104</v>
      </c>
      <c r="D2021" s="14" t="s">
        <v>92</v>
      </c>
      <c r="E2021">
        <v>8</v>
      </c>
      <c r="F2021" s="8">
        <f>VLOOKUP(financials[[#This Row],[productid]],Products!$B$2:$H$10,3)</f>
        <v>5.9</v>
      </c>
      <c r="G2021" s="8">
        <f>financials[[#This Row],[Units Sold]]*financials[[#This Row],[Sale Price]]</f>
        <v>47.2</v>
      </c>
      <c r="H2021" s="8">
        <f>IF(financials[[#This Row],[Discount Band]]="low",0.1,IF(financials[[#This Row],[Discount Band]]="medium",0.15,0.3))</f>
        <v>0.3</v>
      </c>
      <c r="I2021" s="8">
        <f>financials[[#This Row],[Gross Sales]]-financials[[#This Row],[Gross Sales]]*financials[[#This Row],[Discounts]]</f>
        <v>33.040000000000006</v>
      </c>
      <c r="J2021" s="8">
        <f>VLOOKUP(financials[[#This Row],[productid]],Products!$B$2:$H$10,4)</f>
        <v>2.9</v>
      </c>
      <c r="K2021" s="8">
        <f>financials[[#This Row],[Net Sales]]-financials[[#This Row],[COGS]]</f>
        <v>30.140000000000008</v>
      </c>
      <c r="L2021" s="15">
        <v>44233</v>
      </c>
      <c r="M2021" t="s">
        <v>697</v>
      </c>
    </row>
    <row r="2022" spans="1:13" x14ac:dyDescent="0.25">
      <c r="A2022" t="s">
        <v>86</v>
      </c>
      <c r="B2022" s="6" t="s">
        <v>159</v>
      </c>
      <c r="C2022" s="13">
        <v>105</v>
      </c>
      <c r="D2022" s="14" t="s">
        <v>92</v>
      </c>
      <c r="E2022">
        <v>6</v>
      </c>
      <c r="F2022" s="8">
        <f>VLOOKUP(financials[[#This Row],[productid]],Products!$B$2:$H$10,3)</f>
        <v>15</v>
      </c>
      <c r="G2022" s="8">
        <f>financials[[#This Row],[Units Sold]]*financials[[#This Row],[Sale Price]]</f>
        <v>90</v>
      </c>
      <c r="H2022" s="8">
        <f>IF(financials[[#This Row],[Discount Band]]="low",0.1,IF(financials[[#This Row],[Discount Band]]="medium",0.15,0.3))</f>
        <v>0.3</v>
      </c>
      <c r="I2022" s="8">
        <f>financials[[#This Row],[Gross Sales]]-financials[[#This Row],[Gross Sales]]*financials[[#This Row],[Discounts]]</f>
        <v>63</v>
      </c>
      <c r="J2022" s="8">
        <f>VLOOKUP(financials[[#This Row],[productid]],Products!$B$2:$H$10,4)</f>
        <v>10</v>
      </c>
      <c r="K2022" s="8">
        <f>financials[[#This Row],[Net Sales]]-financials[[#This Row],[COGS]]</f>
        <v>53</v>
      </c>
      <c r="L2022" s="15">
        <v>44445</v>
      </c>
      <c r="M2022" t="s">
        <v>697</v>
      </c>
    </row>
    <row r="2023" spans="1:13" x14ac:dyDescent="0.25">
      <c r="A2023" t="s">
        <v>85</v>
      </c>
      <c r="B2023" s="6" t="s">
        <v>84</v>
      </c>
      <c r="C2023" s="13">
        <v>104</v>
      </c>
      <c r="D2023" s="14" t="s">
        <v>83</v>
      </c>
      <c r="E2023">
        <v>11</v>
      </c>
      <c r="F2023" s="8">
        <f>VLOOKUP(financials[[#This Row],[productid]],Products!$B$2:$H$10,3)</f>
        <v>5.9</v>
      </c>
      <c r="G2023" s="8">
        <f>financials[[#This Row],[Units Sold]]*financials[[#This Row],[Sale Price]]</f>
        <v>64.900000000000006</v>
      </c>
      <c r="H2023" s="8">
        <f>IF(financials[[#This Row],[Discount Band]]="low",0.1,IF(financials[[#This Row],[Discount Band]]="medium",0.15,0.3))</f>
        <v>0.3</v>
      </c>
      <c r="I2023" s="8">
        <f>financials[[#This Row],[Gross Sales]]-financials[[#This Row],[Gross Sales]]*financials[[#This Row],[Discounts]]</f>
        <v>45.430000000000007</v>
      </c>
      <c r="J2023" s="8">
        <f>VLOOKUP(financials[[#This Row],[productid]],Products!$B$2:$H$10,4)</f>
        <v>2.9</v>
      </c>
      <c r="K2023" s="8">
        <f>financials[[#This Row],[Net Sales]]-financials[[#This Row],[COGS]]</f>
        <v>42.530000000000008</v>
      </c>
      <c r="L2023" s="15">
        <v>43963</v>
      </c>
      <c r="M2023" t="s">
        <v>696</v>
      </c>
    </row>
    <row r="2024" spans="1:13" x14ac:dyDescent="0.25">
      <c r="A2024" t="s">
        <v>87</v>
      </c>
      <c r="B2024" s="6" t="s">
        <v>266</v>
      </c>
      <c r="C2024" s="13">
        <v>103</v>
      </c>
      <c r="D2024" s="14" t="s">
        <v>90</v>
      </c>
      <c r="E2024">
        <v>17</v>
      </c>
      <c r="F2024" s="8">
        <f>VLOOKUP(financials[[#This Row],[productid]],Products!$B$2:$H$10,3)</f>
        <v>28</v>
      </c>
      <c r="G2024" s="8">
        <f>financials[[#This Row],[Units Sold]]*financials[[#This Row],[Sale Price]]</f>
        <v>476</v>
      </c>
      <c r="H2024" s="8">
        <f>IF(financials[[#This Row],[Discount Band]]="low",0.1,IF(financials[[#This Row],[Discount Band]]="medium",0.15,0.3))</f>
        <v>0.15</v>
      </c>
      <c r="I2024" s="8">
        <f>financials[[#This Row],[Gross Sales]]-financials[[#This Row],[Gross Sales]]*financials[[#This Row],[Discounts]]</f>
        <v>404.6</v>
      </c>
      <c r="J2024" s="8">
        <f>VLOOKUP(financials[[#This Row],[productid]],Products!$B$2:$H$10,4)</f>
        <v>15</v>
      </c>
      <c r="K2024" s="8">
        <f>financials[[#This Row],[Net Sales]]-financials[[#This Row],[COGS]]</f>
        <v>389.6</v>
      </c>
      <c r="L2024" s="15">
        <v>44463</v>
      </c>
      <c r="M2024" t="s">
        <v>700</v>
      </c>
    </row>
    <row r="2025" spans="1:13" x14ac:dyDescent="0.25">
      <c r="A2025" t="s">
        <v>87</v>
      </c>
      <c r="B2025" s="6" t="s">
        <v>93</v>
      </c>
      <c r="C2025" s="13">
        <v>106</v>
      </c>
      <c r="D2025" s="14" t="s">
        <v>83</v>
      </c>
      <c r="E2025">
        <v>12</v>
      </c>
      <c r="F2025" s="8">
        <f>VLOOKUP(financials[[#This Row],[productid]],Products!$B$2:$H$10,3)</f>
        <v>25</v>
      </c>
      <c r="G2025" s="8">
        <f>financials[[#This Row],[Units Sold]]*financials[[#This Row],[Sale Price]]</f>
        <v>300</v>
      </c>
      <c r="H2025" s="8">
        <f>IF(financials[[#This Row],[Discount Band]]="low",0.1,IF(financials[[#This Row],[Discount Band]]="medium",0.15,0.3))</f>
        <v>0.3</v>
      </c>
      <c r="I2025" s="8">
        <f>financials[[#This Row],[Gross Sales]]-financials[[#This Row],[Gross Sales]]*financials[[#This Row],[Discounts]]</f>
        <v>210</v>
      </c>
      <c r="J2025" s="8">
        <f>VLOOKUP(financials[[#This Row],[productid]],Products!$B$2:$H$10,4)</f>
        <v>9.1</v>
      </c>
      <c r="K2025" s="8">
        <f>financials[[#This Row],[Net Sales]]-financials[[#This Row],[COGS]]</f>
        <v>200.9</v>
      </c>
      <c r="L2025" s="15">
        <v>44203</v>
      </c>
      <c r="M2025" t="s">
        <v>690</v>
      </c>
    </row>
    <row r="2026" spans="1:13" x14ac:dyDescent="0.25">
      <c r="A2026" t="s">
        <v>85</v>
      </c>
      <c r="B2026" s="6" t="s">
        <v>84</v>
      </c>
      <c r="C2026" s="13">
        <v>105</v>
      </c>
      <c r="D2026" s="14" t="s">
        <v>90</v>
      </c>
      <c r="E2026">
        <v>19</v>
      </c>
      <c r="F2026" s="8">
        <f>VLOOKUP(financials[[#This Row],[productid]],Products!$B$2:$H$10,3)</f>
        <v>15</v>
      </c>
      <c r="G2026" s="8">
        <f>financials[[#This Row],[Units Sold]]*financials[[#This Row],[Sale Price]]</f>
        <v>285</v>
      </c>
      <c r="H2026" s="8">
        <f>IF(financials[[#This Row],[Discount Band]]="low",0.1,IF(financials[[#This Row],[Discount Band]]="medium",0.15,0.3))</f>
        <v>0.15</v>
      </c>
      <c r="I2026" s="8">
        <f>financials[[#This Row],[Gross Sales]]-financials[[#This Row],[Gross Sales]]*financials[[#This Row],[Discounts]]</f>
        <v>242.25</v>
      </c>
      <c r="J2026" s="8">
        <f>VLOOKUP(financials[[#This Row],[productid]],Products!$B$2:$H$10,4)</f>
        <v>10</v>
      </c>
      <c r="K2026" s="8">
        <f>financials[[#This Row],[Net Sales]]-financials[[#This Row],[COGS]]</f>
        <v>232.25</v>
      </c>
      <c r="L2026" s="15">
        <v>43990</v>
      </c>
      <c r="M2026" t="s">
        <v>697</v>
      </c>
    </row>
    <row r="2027" spans="1:13" x14ac:dyDescent="0.25">
      <c r="A2027" t="s">
        <v>86</v>
      </c>
      <c r="B2027" s="6" t="s">
        <v>159</v>
      </c>
      <c r="C2027" s="11">
        <v>106</v>
      </c>
      <c r="D2027" s="9" t="s">
        <v>83</v>
      </c>
      <c r="E2027">
        <v>10</v>
      </c>
      <c r="F2027" s="8">
        <f>VLOOKUP(financials[[#This Row],[productid]],Products!$B$2:$H$10,3)</f>
        <v>25</v>
      </c>
      <c r="G2027" s="8">
        <f>financials[[#This Row],[Units Sold]]*financials[[#This Row],[Sale Price]]</f>
        <v>250</v>
      </c>
      <c r="H2027" s="8">
        <f>IF(financials[[#This Row],[Discount Band]]="low",0.1,IF(financials[[#This Row],[Discount Band]]="medium",0.15,0.3))</f>
        <v>0.3</v>
      </c>
      <c r="I2027" s="8">
        <f>financials[[#This Row],[Gross Sales]]-financials[[#This Row],[Gross Sales]]*financials[[#This Row],[Discounts]]</f>
        <v>175</v>
      </c>
      <c r="J2027" s="8">
        <f>VLOOKUP(financials[[#This Row],[productid]],Products!$B$2:$H$10,4)</f>
        <v>9.1</v>
      </c>
      <c r="K2027" s="8">
        <f>financials[[#This Row],[Net Sales]]-financials[[#This Row],[COGS]]</f>
        <v>165.9</v>
      </c>
      <c r="L2027" s="15">
        <v>45294</v>
      </c>
      <c r="M2027" t="s">
        <v>691</v>
      </c>
    </row>
    <row r="2028" spans="1:13" x14ac:dyDescent="0.25">
      <c r="A2028" t="s">
        <v>86</v>
      </c>
      <c r="B2028" s="6" t="s">
        <v>159</v>
      </c>
      <c r="C2028" s="13">
        <v>108</v>
      </c>
      <c r="D2028" s="14" t="s">
        <v>90</v>
      </c>
      <c r="E2028">
        <v>8</v>
      </c>
      <c r="F2028" s="8">
        <f>VLOOKUP(financials[[#This Row],[productid]],Products!$B$2:$H$10,3)</f>
        <v>5.5</v>
      </c>
      <c r="G2028" s="8">
        <f>financials[[#This Row],[Units Sold]]*financials[[#This Row],[Sale Price]]</f>
        <v>44</v>
      </c>
      <c r="H2028" s="8">
        <f>IF(financials[[#This Row],[Discount Band]]="low",0.1,IF(financials[[#This Row],[Discount Band]]="medium",0.15,0.3))</f>
        <v>0.15</v>
      </c>
      <c r="I2028" s="8">
        <f>financials[[#This Row],[Gross Sales]]-financials[[#This Row],[Gross Sales]]*financials[[#This Row],[Discounts]]</f>
        <v>37.4</v>
      </c>
      <c r="J2028" s="8">
        <f>VLOOKUP(financials[[#This Row],[productid]],Products!$B$2:$H$10,4)</f>
        <v>3.99</v>
      </c>
      <c r="K2028" s="8">
        <f>financials[[#This Row],[Net Sales]]-financials[[#This Row],[COGS]]</f>
        <v>33.409999999999997</v>
      </c>
      <c r="L2028" s="15">
        <v>44000</v>
      </c>
      <c r="M2028" t="s">
        <v>690</v>
      </c>
    </row>
    <row r="2029" spans="1:13" x14ac:dyDescent="0.25">
      <c r="A2029" t="s">
        <v>89</v>
      </c>
      <c r="B2029" s="6" t="s">
        <v>84</v>
      </c>
      <c r="C2029" s="11">
        <v>101</v>
      </c>
      <c r="D2029" s="9" t="s">
        <v>92</v>
      </c>
      <c r="E2029">
        <v>6</v>
      </c>
      <c r="F2029" s="8">
        <f>VLOOKUP(financials[[#This Row],[productid]],Products!$B$2:$H$10,3)</f>
        <v>23</v>
      </c>
      <c r="G2029" s="8">
        <f>financials[[#This Row],[Units Sold]]*financials[[#This Row],[Sale Price]]</f>
        <v>138</v>
      </c>
      <c r="H2029" s="8">
        <f>IF(financials[[#This Row],[Discount Band]]="low",0.1,IF(financials[[#This Row],[Discount Band]]="medium",0.15,0.3))</f>
        <v>0.3</v>
      </c>
      <c r="I2029" s="8">
        <f>financials[[#This Row],[Gross Sales]]-financials[[#This Row],[Gross Sales]]*financials[[#This Row],[Discounts]]</f>
        <v>96.6</v>
      </c>
      <c r="J2029" s="8">
        <f>VLOOKUP(financials[[#This Row],[productid]],Products!$B$2:$H$10,4)</f>
        <v>9.9499999999999993</v>
      </c>
      <c r="K2029" s="8">
        <f>financials[[#This Row],[Net Sales]]-financials[[#This Row],[COGS]]</f>
        <v>86.649999999999991</v>
      </c>
      <c r="L2029" s="15">
        <v>44346</v>
      </c>
      <c r="M2029" t="s">
        <v>697</v>
      </c>
    </row>
    <row r="2030" spans="1:13" x14ac:dyDescent="0.25">
      <c r="A2030" t="s">
        <v>85</v>
      </c>
      <c r="B2030" s="6" t="s">
        <v>84</v>
      </c>
      <c r="C2030" s="13">
        <v>101</v>
      </c>
      <c r="D2030" s="14" t="s">
        <v>83</v>
      </c>
      <c r="E2030">
        <v>9</v>
      </c>
      <c r="F2030" s="8">
        <f>VLOOKUP(financials[[#This Row],[productid]],Products!$B$2:$H$10,3)</f>
        <v>23</v>
      </c>
      <c r="G2030" s="8">
        <f>financials[[#This Row],[Units Sold]]*financials[[#This Row],[Sale Price]]</f>
        <v>207</v>
      </c>
      <c r="H2030" s="8">
        <f>IF(financials[[#This Row],[Discount Band]]="low",0.1,IF(financials[[#This Row],[Discount Band]]="medium",0.15,0.3))</f>
        <v>0.3</v>
      </c>
      <c r="I2030" s="8">
        <f>financials[[#This Row],[Gross Sales]]-financials[[#This Row],[Gross Sales]]*financials[[#This Row],[Discounts]]</f>
        <v>144.9</v>
      </c>
      <c r="J2030" s="8">
        <f>VLOOKUP(financials[[#This Row],[productid]],Products!$B$2:$H$10,4)</f>
        <v>9.9499999999999993</v>
      </c>
      <c r="K2030" s="8">
        <f>financials[[#This Row],[Net Sales]]-financials[[#This Row],[COGS]]</f>
        <v>134.95000000000002</v>
      </c>
      <c r="L2030" s="15">
        <v>45587</v>
      </c>
      <c r="M2030" t="s">
        <v>691</v>
      </c>
    </row>
    <row r="2031" spans="1:13" x14ac:dyDescent="0.25">
      <c r="A2031" t="s">
        <v>87</v>
      </c>
      <c r="B2031" s="6" t="s">
        <v>266</v>
      </c>
      <c r="C2031" s="11">
        <v>103</v>
      </c>
      <c r="D2031" s="9" t="s">
        <v>90</v>
      </c>
      <c r="E2031">
        <v>6</v>
      </c>
      <c r="F2031" s="8">
        <f>VLOOKUP(financials[[#This Row],[productid]],Products!$B$2:$H$10,3)</f>
        <v>28</v>
      </c>
      <c r="G2031" s="8">
        <f>financials[[#This Row],[Units Sold]]*financials[[#This Row],[Sale Price]]</f>
        <v>168</v>
      </c>
      <c r="H2031" s="8">
        <f>IF(financials[[#This Row],[Discount Band]]="low",0.1,IF(financials[[#This Row],[Discount Band]]="medium",0.15,0.3))</f>
        <v>0.15</v>
      </c>
      <c r="I2031" s="8">
        <f>financials[[#This Row],[Gross Sales]]-financials[[#This Row],[Gross Sales]]*financials[[#This Row],[Discounts]]</f>
        <v>142.80000000000001</v>
      </c>
      <c r="J2031" s="8">
        <f>VLOOKUP(financials[[#This Row],[productid]],Products!$B$2:$H$10,4)</f>
        <v>15</v>
      </c>
      <c r="K2031" s="8">
        <f>financials[[#This Row],[Net Sales]]-financials[[#This Row],[COGS]]</f>
        <v>127.80000000000001</v>
      </c>
      <c r="L2031" s="15">
        <v>44981</v>
      </c>
      <c r="M2031" t="s">
        <v>690</v>
      </c>
    </row>
    <row r="2032" spans="1:13" x14ac:dyDescent="0.25">
      <c r="A2032" t="s">
        <v>89</v>
      </c>
      <c r="B2032" s="6" t="s">
        <v>84</v>
      </c>
      <c r="C2032" s="13">
        <v>108</v>
      </c>
      <c r="D2032" s="14" t="s">
        <v>83</v>
      </c>
      <c r="E2032">
        <v>11</v>
      </c>
      <c r="F2032" s="8">
        <f>VLOOKUP(financials[[#This Row],[productid]],Products!$B$2:$H$10,3)</f>
        <v>5.5</v>
      </c>
      <c r="G2032" s="8">
        <f>financials[[#This Row],[Units Sold]]*financials[[#This Row],[Sale Price]]</f>
        <v>60.5</v>
      </c>
      <c r="H2032" s="8">
        <f>IF(financials[[#This Row],[Discount Band]]="low",0.1,IF(financials[[#This Row],[Discount Band]]="medium",0.15,0.3))</f>
        <v>0.3</v>
      </c>
      <c r="I2032" s="8">
        <f>financials[[#This Row],[Gross Sales]]-financials[[#This Row],[Gross Sales]]*financials[[#This Row],[Discounts]]</f>
        <v>42.35</v>
      </c>
      <c r="J2032" s="8">
        <f>VLOOKUP(financials[[#This Row],[productid]],Products!$B$2:$H$10,4)</f>
        <v>3.99</v>
      </c>
      <c r="K2032" s="8">
        <f>financials[[#This Row],[Net Sales]]-financials[[#This Row],[COGS]]</f>
        <v>38.36</v>
      </c>
      <c r="L2032" s="15">
        <v>44531</v>
      </c>
      <c r="M2032" t="s">
        <v>697</v>
      </c>
    </row>
    <row r="2033" spans="1:13" x14ac:dyDescent="0.25">
      <c r="A2033" t="s">
        <v>88</v>
      </c>
      <c r="B2033" s="6" t="s">
        <v>266</v>
      </c>
      <c r="C2033" s="11">
        <v>107</v>
      </c>
      <c r="D2033" s="9" t="s">
        <v>91</v>
      </c>
      <c r="E2033">
        <v>14</v>
      </c>
      <c r="F2033" s="8">
        <f>VLOOKUP(financials[[#This Row],[productid]],Products!$B$2:$H$10,3)</f>
        <v>15</v>
      </c>
      <c r="G2033" s="8">
        <f>financials[[#This Row],[Units Sold]]*financials[[#This Row],[Sale Price]]</f>
        <v>210</v>
      </c>
      <c r="H2033" s="8">
        <f>IF(financials[[#This Row],[Discount Band]]="low",0.1,IF(financials[[#This Row],[Discount Band]]="medium",0.15,0.3))</f>
        <v>0.1</v>
      </c>
      <c r="I2033" s="8">
        <f>financials[[#This Row],[Gross Sales]]-financials[[#This Row],[Gross Sales]]*financials[[#This Row],[Discounts]]</f>
        <v>189</v>
      </c>
      <c r="J2033" s="8">
        <f>VLOOKUP(financials[[#This Row],[productid]],Products!$B$2:$H$10,4)</f>
        <v>5.5</v>
      </c>
      <c r="K2033" s="8">
        <f>financials[[#This Row],[Net Sales]]-financials[[#This Row],[COGS]]</f>
        <v>183.5</v>
      </c>
      <c r="L2033" s="15">
        <v>44484</v>
      </c>
      <c r="M2033" t="s">
        <v>690</v>
      </c>
    </row>
    <row r="2034" spans="1:13" x14ac:dyDescent="0.25">
      <c r="A2034" t="s">
        <v>85</v>
      </c>
      <c r="B2034" s="6" t="s">
        <v>84</v>
      </c>
      <c r="C2034" s="13">
        <v>105</v>
      </c>
      <c r="D2034" s="14" t="s">
        <v>83</v>
      </c>
      <c r="E2034">
        <v>15</v>
      </c>
      <c r="F2034" s="8">
        <f>VLOOKUP(financials[[#This Row],[productid]],Products!$B$2:$H$10,3)</f>
        <v>15</v>
      </c>
      <c r="G2034" s="8">
        <f>financials[[#This Row],[Units Sold]]*financials[[#This Row],[Sale Price]]</f>
        <v>225</v>
      </c>
      <c r="H2034" s="8">
        <f>IF(financials[[#This Row],[Discount Band]]="low",0.1,IF(financials[[#This Row],[Discount Band]]="medium",0.15,0.3))</f>
        <v>0.3</v>
      </c>
      <c r="I2034" s="8">
        <f>financials[[#This Row],[Gross Sales]]-financials[[#This Row],[Gross Sales]]*financials[[#This Row],[Discounts]]</f>
        <v>157.5</v>
      </c>
      <c r="J2034" s="8">
        <f>VLOOKUP(financials[[#This Row],[productid]],Products!$B$2:$H$10,4)</f>
        <v>10</v>
      </c>
      <c r="K2034" s="8">
        <f>financials[[#This Row],[Net Sales]]-financials[[#This Row],[COGS]]</f>
        <v>147.5</v>
      </c>
      <c r="L2034" s="15">
        <v>44116</v>
      </c>
      <c r="M2034" t="s">
        <v>697</v>
      </c>
    </row>
    <row r="2035" spans="1:13" x14ac:dyDescent="0.25">
      <c r="A2035" t="s">
        <v>85</v>
      </c>
      <c r="B2035" s="6" t="s">
        <v>84</v>
      </c>
      <c r="C2035" s="13">
        <v>101</v>
      </c>
      <c r="D2035" s="14" t="s">
        <v>91</v>
      </c>
      <c r="E2035">
        <v>16</v>
      </c>
      <c r="F2035" s="8">
        <f>VLOOKUP(financials[[#This Row],[productid]],Products!$B$2:$H$10,3)</f>
        <v>23</v>
      </c>
      <c r="G2035" s="8">
        <f>financials[[#This Row],[Units Sold]]*financials[[#This Row],[Sale Price]]</f>
        <v>368</v>
      </c>
      <c r="H2035" s="8">
        <f>IF(financials[[#This Row],[Discount Band]]="low",0.1,IF(financials[[#This Row],[Discount Band]]="medium",0.15,0.3))</f>
        <v>0.1</v>
      </c>
      <c r="I2035" s="8">
        <f>financials[[#This Row],[Gross Sales]]-financials[[#This Row],[Gross Sales]]*financials[[#This Row],[Discounts]]</f>
        <v>331.2</v>
      </c>
      <c r="J2035" s="8">
        <f>VLOOKUP(financials[[#This Row],[productid]],Products!$B$2:$H$10,4)</f>
        <v>9.9499999999999993</v>
      </c>
      <c r="K2035" s="8">
        <f>financials[[#This Row],[Net Sales]]-financials[[#This Row],[COGS]]</f>
        <v>321.25</v>
      </c>
      <c r="L2035" s="15">
        <v>45189</v>
      </c>
      <c r="M2035" t="s">
        <v>700</v>
      </c>
    </row>
    <row r="2036" spans="1:13" x14ac:dyDescent="0.25">
      <c r="A2036" t="s">
        <v>89</v>
      </c>
      <c r="B2036" s="6" t="s">
        <v>159</v>
      </c>
      <c r="C2036" s="13">
        <v>106</v>
      </c>
      <c r="D2036" s="14" t="s">
        <v>91</v>
      </c>
      <c r="E2036">
        <v>16</v>
      </c>
      <c r="F2036" s="8">
        <f>VLOOKUP(financials[[#This Row],[productid]],Products!$B$2:$H$10,3)</f>
        <v>25</v>
      </c>
      <c r="G2036" s="8">
        <f>financials[[#This Row],[Units Sold]]*financials[[#This Row],[Sale Price]]</f>
        <v>400</v>
      </c>
      <c r="H2036" s="8">
        <f>IF(financials[[#This Row],[Discount Band]]="low",0.1,IF(financials[[#This Row],[Discount Band]]="medium",0.15,0.3))</f>
        <v>0.1</v>
      </c>
      <c r="I2036" s="8">
        <f>financials[[#This Row],[Gross Sales]]-financials[[#This Row],[Gross Sales]]*financials[[#This Row],[Discounts]]</f>
        <v>360</v>
      </c>
      <c r="J2036" s="8">
        <f>VLOOKUP(financials[[#This Row],[productid]],Products!$B$2:$H$10,4)</f>
        <v>9.1</v>
      </c>
      <c r="K2036" s="8">
        <f>financials[[#This Row],[Net Sales]]-financials[[#This Row],[COGS]]</f>
        <v>350.9</v>
      </c>
      <c r="L2036" s="15">
        <v>44241</v>
      </c>
      <c r="M2036" t="s">
        <v>690</v>
      </c>
    </row>
    <row r="2037" spans="1:13" x14ac:dyDescent="0.25">
      <c r="A2037" t="s">
        <v>86</v>
      </c>
      <c r="B2037" s="6" t="s">
        <v>159</v>
      </c>
      <c r="C2037" s="13">
        <v>103</v>
      </c>
      <c r="D2037" s="14" t="s">
        <v>83</v>
      </c>
      <c r="E2037">
        <v>9</v>
      </c>
      <c r="F2037" s="8">
        <f>VLOOKUP(financials[[#This Row],[productid]],Products!$B$2:$H$10,3)</f>
        <v>28</v>
      </c>
      <c r="G2037" s="8">
        <f>financials[[#This Row],[Units Sold]]*financials[[#This Row],[Sale Price]]</f>
        <v>252</v>
      </c>
      <c r="H2037" s="8">
        <f>IF(financials[[#This Row],[Discount Band]]="low",0.1,IF(financials[[#This Row],[Discount Band]]="medium",0.15,0.3))</f>
        <v>0.3</v>
      </c>
      <c r="I2037" s="8">
        <f>financials[[#This Row],[Gross Sales]]-financials[[#This Row],[Gross Sales]]*financials[[#This Row],[Discounts]]</f>
        <v>176.4</v>
      </c>
      <c r="J2037" s="8">
        <f>VLOOKUP(financials[[#This Row],[productid]],Products!$B$2:$H$10,4)</f>
        <v>15</v>
      </c>
      <c r="K2037" s="8">
        <f>financials[[#This Row],[Net Sales]]-financials[[#This Row],[COGS]]</f>
        <v>161.4</v>
      </c>
      <c r="L2037" s="15">
        <v>44742</v>
      </c>
      <c r="M2037" t="s">
        <v>696</v>
      </c>
    </row>
    <row r="2038" spans="1:13" x14ac:dyDescent="0.25">
      <c r="A2038" t="s">
        <v>89</v>
      </c>
      <c r="B2038" s="6" t="s">
        <v>84</v>
      </c>
      <c r="C2038" s="13">
        <v>107</v>
      </c>
      <c r="D2038" s="14" t="s">
        <v>90</v>
      </c>
      <c r="E2038">
        <v>7</v>
      </c>
      <c r="F2038" s="8">
        <f>VLOOKUP(financials[[#This Row],[productid]],Products!$B$2:$H$10,3)</f>
        <v>15</v>
      </c>
      <c r="G2038" s="8">
        <f>financials[[#This Row],[Units Sold]]*financials[[#This Row],[Sale Price]]</f>
        <v>105</v>
      </c>
      <c r="H2038" s="8">
        <f>IF(financials[[#This Row],[Discount Band]]="low",0.1,IF(financials[[#This Row],[Discount Band]]="medium",0.15,0.3))</f>
        <v>0.15</v>
      </c>
      <c r="I2038" s="8">
        <f>financials[[#This Row],[Gross Sales]]-financials[[#This Row],[Gross Sales]]*financials[[#This Row],[Discounts]]</f>
        <v>89.25</v>
      </c>
      <c r="J2038" s="8">
        <f>VLOOKUP(financials[[#This Row],[productid]],Products!$B$2:$H$10,4)</f>
        <v>5.5</v>
      </c>
      <c r="K2038" s="8">
        <f>financials[[#This Row],[Net Sales]]-financials[[#This Row],[COGS]]</f>
        <v>83.75</v>
      </c>
      <c r="L2038" s="15">
        <v>44544</v>
      </c>
      <c r="M2038" t="s">
        <v>691</v>
      </c>
    </row>
    <row r="2039" spans="1:13" x14ac:dyDescent="0.25">
      <c r="A2039" t="s">
        <v>87</v>
      </c>
      <c r="B2039" s="6" t="s">
        <v>266</v>
      </c>
      <c r="C2039" s="13">
        <v>101</v>
      </c>
      <c r="D2039" s="14" t="s">
        <v>91</v>
      </c>
      <c r="E2039">
        <v>5</v>
      </c>
      <c r="F2039" s="8">
        <f>VLOOKUP(financials[[#This Row],[productid]],Products!$B$2:$H$10,3)</f>
        <v>23</v>
      </c>
      <c r="G2039" s="8">
        <f>financials[[#This Row],[Units Sold]]*financials[[#This Row],[Sale Price]]</f>
        <v>115</v>
      </c>
      <c r="H2039" s="8">
        <f>IF(financials[[#This Row],[Discount Band]]="low",0.1,IF(financials[[#This Row],[Discount Band]]="medium",0.15,0.3))</f>
        <v>0.1</v>
      </c>
      <c r="I2039" s="8">
        <f>financials[[#This Row],[Gross Sales]]-financials[[#This Row],[Gross Sales]]*financials[[#This Row],[Discounts]]</f>
        <v>103.5</v>
      </c>
      <c r="J2039" s="8">
        <f>VLOOKUP(financials[[#This Row],[productid]],Products!$B$2:$H$10,4)</f>
        <v>9.9499999999999993</v>
      </c>
      <c r="K2039" s="8">
        <f>financials[[#This Row],[Net Sales]]-financials[[#This Row],[COGS]]</f>
        <v>93.55</v>
      </c>
      <c r="L2039" s="15">
        <v>45551</v>
      </c>
      <c r="M2039" t="s">
        <v>690</v>
      </c>
    </row>
    <row r="2040" spans="1:13" x14ac:dyDescent="0.25">
      <c r="A2040" t="s">
        <v>86</v>
      </c>
      <c r="B2040" s="6" t="s">
        <v>159</v>
      </c>
      <c r="C2040" s="13">
        <v>109</v>
      </c>
      <c r="D2040" s="14" t="s">
        <v>91</v>
      </c>
      <c r="E2040">
        <v>13</v>
      </c>
      <c r="F2040" s="8">
        <f>VLOOKUP(financials[[#This Row],[productid]],Products!$B$2:$H$10,3)</f>
        <v>36</v>
      </c>
      <c r="G2040" s="8">
        <f>financials[[#This Row],[Units Sold]]*financials[[#This Row],[Sale Price]]</f>
        <v>468</v>
      </c>
      <c r="H2040" s="8">
        <f>IF(financials[[#This Row],[Discount Band]]="low",0.1,IF(financials[[#This Row],[Discount Band]]="medium",0.15,0.3))</f>
        <v>0.1</v>
      </c>
      <c r="I2040" s="8">
        <f>financials[[#This Row],[Gross Sales]]-financials[[#This Row],[Gross Sales]]*financials[[#This Row],[Discounts]]</f>
        <v>421.2</v>
      </c>
      <c r="J2040" s="8">
        <f>VLOOKUP(financials[[#This Row],[productid]],Products!$B$2:$H$10,4)</f>
        <v>16.8</v>
      </c>
      <c r="K2040" s="8">
        <f>financials[[#This Row],[Net Sales]]-financials[[#This Row],[COGS]]</f>
        <v>404.4</v>
      </c>
      <c r="L2040" s="15">
        <v>45121</v>
      </c>
      <c r="M2040" t="s">
        <v>696</v>
      </c>
    </row>
    <row r="2041" spans="1:13" x14ac:dyDescent="0.25">
      <c r="A2041" t="s">
        <v>88</v>
      </c>
      <c r="B2041" s="6" t="s">
        <v>266</v>
      </c>
      <c r="C2041" s="11">
        <v>109</v>
      </c>
      <c r="D2041" s="9" t="s">
        <v>91</v>
      </c>
      <c r="E2041">
        <v>10</v>
      </c>
      <c r="F2041" s="8">
        <f>VLOOKUP(financials[[#This Row],[productid]],Products!$B$2:$H$10,3)</f>
        <v>36</v>
      </c>
      <c r="G2041" s="8">
        <f>financials[[#This Row],[Units Sold]]*financials[[#This Row],[Sale Price]]</f>
        <v>360</v>
      </c>
      <c r="H2041" s="8">
        <f>IF(financials[[#This Row],[Discount Band]]="low",0.1,IF(financials[[#This Row],[Discount Band]]="medium",0.15,0.3))</f>
        <v>0.1</v>
      </c>
      <c r="I2041" s="8">
        <f>financials[[#This Row],[Gross Sales]]-financials[[#This Row],[Gross Sales]]*financials[[#This Row],[Discounts]]</f>
        <v>324</v>
      </c>
      <c r="J2041" s="8">
        <f>VLOOKUP(financials[[#This Row],[productid]],Products!$B$2:$H$10,4)</f>
        <v>16.8</v>
      </c>
      <c r="K2041" s="8">
        <f>financials[[#This Row],[Net Sales]]-financials[[#This Row],[COGS]]</f>
        <v>307.2</v>
      </c>
      <c r="L2041" s="15">
        <v>44464</v>
      </c>
      <c r="M2041" t="s">
        <v>690</v>
      </c>
    </row>
    <row r="2042" spans="1:13" x14ac:dyDescent="0.25">
      <c r="A2042" t="s">
        <v>86</v>
      </c>
      <c r="B2042" s="6" t="s">
        <v>124</v>
      </c>
      <c r="C2042" s="13">
        <v>103</v>
      </c>
      <c r="D2042" s="14" t="s">
        <v>83</v>
      </c>
      <c r="E2042">
        <v>7</v>
      </c>
      <c r="F2042" s="8">
        <f>VLOOKUP(financials[[#This Row],[productid]],Products!$B$2:$H$10,3)</f>
        <v>28</v>
      </c>
      <c r="G2042" s="8">
        <f>financials[[#This Row],[Units Sold]]*financials[[#This Row],[Sale Price]]</f>
        <v>196</v>
      </c>
      <c r="H2042" s="8">
        <f>IF(financials[[#This Row],[Discount Band]]="low",0.1,IF(financials[[#This Row],[Discount Band]]="medium",0.15,0.3))</f>
        <v>0.3</v>
      </c>
      <c r="I2042" s="8">
        <f>financials[[#This Row],[Gross Sales]]-financials[[#This Row],[Gross Sales]]*financials[[#This Row],[Discounts]]</f>
        <v>137.19999999999999</v>
      </c>
      <c r="J2042" s="8">
        <f>VLOOKUP(financials[[#This Row],[productid]],Products!$B$2:$H$10,4)</f>
        <v>15</v>
      </c>
      <c r="K2042" s="8">
        <f>financials[[#This Row],[Net Sales]]-financials[[#This Row],[COGS]]</f>
        <v>122.19999999999999</v>
      </c>
      <c r="L2042" s="15">
        <v>43974</v>
      </c>
      <c r="M2042" t="s">
        <v>697</v>
      </c>
    </row>
    <row r="2043" spans="1:13" x14ac:dyDescent="0.25">
      <c r="A2043" t="s">
        <v>89</v>
      </c>
      <c r="B2043" s="6" t="s">
        <v>84</v>
      </c>
      <c r="C2043" s="13">
        <v>102</v>
      </c>
      <c r="D2043" s="14" t="s">
        <v>91</v>
      </c>
      <c r="E2043">
        <v>16</v>
      </c>
      <c r="F2043" s="8">
        <f>VLOOKUP(financials[[#This Row],[productid]],Products!$B$2:$H$10,3)</f>
        <v>15</v>
      </c>
      <c r="G2043" s="8">
        <f>financials[[#This Row],[Units Sold]]*financials[[#This Row],[Sale Price]]</f>
        <v>240</v>
      </c>
      <c r="H2043" s="8">
        <f>IF(financials[[#This Row],[Discount Band]]="low",0.1,IF(financials[[#This Row],[Discount Band]]="medium",0.15,0.3))</f>
        <v>0.1</v>
      </c>
      <c r="I2043" s="8">
        <f>financials[[#This Row],[Gross Sales]]-financials[[#This Row],[Gross Sales]]*financials[[#This Row],[Discounts]]</f>
        <v>216</v>
      </c>
      <c r="J2043" s="8">
        <f>VLOOKUP(financials[[#This Row],[productid]],Products!$B$2:$H$10,4)</f>
        <v>13.95</v>
      </c>
      <c r="K2043" s="8">
        <f>financials[[#This Row],[Net Sales]]-financials[[#This Row],[COGS]]</f>
        <v>202.05</v>
      </c>
      <c r="L2043" s="15">
        <v>45041</v>
      </c>
      <c r="M2043" t="s">
        <v>691</v>
      </c>
    </row>
    <row r="2044" spans="1:13" x14ac:dyDescent="0.25">
      <c r="A2044" t="s">
        <v>85</v>
      </c>
      <c r="B2044" s="6" t="s">
        <v>84</v>
      </c>
      <c r="C2044" s="13">
        <v>102</v>
      </c>
      <c r="D2044" s="14" t="s">
        <v>83</v>
      </c>
      <c r="E2044">
        <v>15</v>
      </c>
      <c r="F2044" s="8">
        <f>VLOOKUP(financials[[#This Row],[productid]],Products!$B$2:$H$10,3)</f>
        <v>15</v>
      </c>
      <c r="G2044" s="8">
        <f>financials[[#This Row],[Units Sold]]*financials[[#This Row],[Sale Price]]</f>
        <v>225</v>
      </c>
      <c r="H2044" s="8">
        <f>IF(financials[[#This Row],[Discount Band]]="low",0.1,IF(financials[[#This Row],[Discount Band]]="medium",0.15,0.3))</f>
        <v>0.3</v>
      </c>
      <c r="I2044" s="8">
        <f>financials[[#This Row],[Gross Sales]]-financials[[#This Row],[Gross Sales]]*financials[[#This Row],[Discounts]]</f>
        <v>157.5</v>
      </c>
      <c r="J2044" s="8">
        <f>VLOOKUP(financials[[#This Row],[productid]],Products!$B$2:$H$10,4)</f>
        <v>13.95</v>
      </c>
      <c r="K2044" s="8">
        <f>financials[[#This Row],[Net Sales]]-financials[[#This Row],[COGS]]</f>
        <v>143.55000000000001</v>
      </c>
      <c r="L2044" s="15">
        <v>45406</v>
      </c>
      <c r="M2044" t="s">
        <v>690</v>
      </c>
    </row>
    <row r="2045" spans="1:13" x14ac:dyDescent="0.25">
      <c r="A2045" t="s">
        <v>86</v>
      </c>
      <c r="B2045" s="6" t="s">
        <v>159</v>
      </c>
      <c r="C2045" s="13">
        <v>104</v>
      </c>
      <c r="D2045" s="14" t="s">
        <v>90</v>
      </c>
      <c r="E2045">
        <v>15</v>
      </c>
      <c r="F2045" s="8">
        <f>VLOOKUP(financials[[#This Row],[productid]],Products!$B$2:$H$10,3)</f>
        <v>5.9</v>
      </c>
      <c r="G2045" s="8">
        <f>financials[[#This Row],[Units Sold]]*financials[[#This Row],[Sale Price]]</f>
        <v>88.5</v>
      </c>
      <c r="H2045" s="8">
        <f>IF(financials[[#This Row],[Discount Band]]="low",0.1,IF(financials[[#This Row],[Discount Band]]="medium",0.15,0.3))</f>
        <v>0.15</v>
      </c>
      <c r="I2045" s="8">
        <f>financials[[#This Row],[Gross Sales]]-financials[[#This Row],[Gross Sales]]*financials[[#This Row],[Discounts]]</f>
        <v>75.224999999999994</v>
      </c>
      <c r="J2045" s="8">
        <f>VLOOKUP(financials[[#This Row],[productid]],Products!$B$2:$H$10,4)</f>
        <v>2.9</v>
      </c>
      <c r="K2045" s="8">
        <f>financials[[#This Row],[Net Sales]]-financials[[#This Row],[COGS]]</f>
        <v>72.324999999999989</v>
      </c>
      <c r="L2045" s="15">
        <v>45265</v>
      </c>
      <c r="M2045" t="s">
        <v>690</v>
      </c>
    </row>
    <row r="2046" spans="1:13" x14ac:dyDescent="0.25">
      <c r="A2046" t="s">
        <v>86</v>
      </c>
      <c r="B2046" s="6" t="s">
        <v>124</v>
      </c>
      <c r="C2046" s="13">
        <v>101</v>
      </c>
      <c r="D2046" s="14" t="s">
        <v>91</v>
      </c>
      <c r="E2046">
        <v>10</v>
      </c>
      <c r="F2046" s="8">
        <f>VLOOKUP(financials[[#This Row],[productid]],Products!$B$2:$H$10,3)</f>
        <v>23</v>
      </c>
      <c r="G2046" s="8">
        <f>financials[[#This Row],[Units Sold]]*financials[[#This Row],[Sale Price]]</f>
        <v>230</v>
      </c>
      <c r="H2046" s="8">
        <f>IF(financials[[#This Row],[Discount Band]]="low",0.1,IF(financials[[#This Row],[Discount Band]]="medium",0.15,0.3))</f>
        <v>0.1</v>
      </c>
      <c r="I2046" s="8">
        <f>financials[[#This Row],[Gross Sales]]-financials[[#This Row],[Gross Sales]]*financials[[#This Row],[Discounts]]</f>
        <v>207</v>
      </c>
      <c r="J2046" s="8">
        <f>VLOOKUP(financials[[#This Row],[productid]],Products!$B$2:$H$10,4)</f>
        <v>9.9499999999999993</v>
      </c>
      <c r="K2046" s="8">
        <f>financials[[#This Row],[Net Sales]]-financials[[#This Row],[COGS]]</f>
        <v>197.05</v>
      </c>
      <c r="L2046" s="15">
        <v>44231</v>
      </c>
      <c r="M2046" t="s">
        <v>691</v>
      </c>
    </row>
    <row r="2047" spans="1:13" x14ac:dyDescent="0.25">
      <c r="A2047" t="s">
        <v>89</v>
      </c>
      <c r="B2047" s="6" t="s">
        <v>159</v>
      </c>
      <c r="C2047" s="13">
        <v>106</v>
      </c>
      <c r="D2047" s="14" t="s">
        <v>92</v>
      </c>
      <c r="E2047">
        <v>7</v>
      </c>
      <c r="F2047" s="8">
        <f>VLOOKUP(financials[[#This Row],[productid]],Products!$B$2:$H$10,3)</f>
        <v>25</v>
      </c>
      <c r="G2047" s="8">
        <f>financials[[#This Row],[Units Sold]]*financials[[#This Row],[Sale Price]]</f>
        <v>175</v>
      </c>
      <c r="H2047" s="8">
        <f>IF(financials[[#This Row],[Discount Band]]="low",0.1,IF(financials[[#This Row],[Discount Band]]="medium",0.15,0.3))</f>
        <v>0.3</v>
      </c>
      <c r="I2047" s="8">
        <f>financials[[#This Row],[Gross Sales]]-financials[[#This Row],[Gross Sales]]*financials[[#This Row],[Discounts]]</f>
        <v>122.5</v>
      </c>
      <c r="J2047" s="8">
        <f>VLOOKUP(financials[[#This Row],[productid]],Products!$B$2:$H$10,4)</f>
        <v>9.1</v>
      </c>
      <c r="K2047" s="8">
        <f>financials[[#This Row],[Net Sales]]-financials[[#This Row],[COGS]]</f>
        <v>113.4</v>
      </c>
      <c r="L2047" s="15">
        <v>45585</v>
      </c>
      <c r="M2047" t="s">
        <v>690</v>
      </c>
    </row>
    <row r="2048" spans="1:13" x14ac:dyDescent="0.25">
      <c r="A2048" t="s">
        <v>89</v>
      </c>
      <c r="B2048" s="6" t="s">
        <v>84</v>
      </c>
      <c r="C2048" s="13">
        <v>103</v>
      </c>
      <c r="D2048" s="14" t="s">
        <v>83</v>
      </c>
      <c r="E2048">
        <v>5</v>
      </c>
      <c r="F2048" s="8">
        <f>VLOOKUP(financials[[#This Row],[productid]],Products!$B$2:$H$10,3)</f>
        <v>28</v>
      </c>
      <c r="G2048" s="8">
        <f>financials[[#This Row],[Units Sold]]*financials[[#This Row],[Sale Price]]</f>
        <v>140</v>
      </c>
      <c r="H2048" s="8">
        <f>IF(financials[[#This Row],[Discount Band]]="low",0.1,IF(financials[[#This Row],[Discount Band]]="medium",0.15,0.3))</f>
        <v>0.3</v>
      </c>
      <c r="I2048" s="8">
        <f>financials[[#This Row],[Gross Sales]]-financials[[#This Row],[Gross Sales]]*financials[[#This Row],[Discounts]]</f>
        <v>98</v>
      </c>
      <c r="J2048" s="8">
        <f>VLOOKUP(financials[[#This Row],[productid]],Products!$B$2:$H$10,4)</f>
        <v>15</v>
      </c>
      <c r="K2048" s="8">
        <f>financials[[#This Row],[Net Sales]]-financials[[#This Row],[COGS]]</f>
        <v>83</v>
      </c>
      <c r="L2048" s="15">
        <v>44172</v>
      </c>
      <c r="M2048" t="s">
        <v>697</v>
      </c>
    </row>
    <row r="2049" spans="1:13" x14ac:dyDescent="0.25">
      <c r="A2049" t="s">
        <v>85</v>
      </c>
      <c r="B2049" s="6" t="s">
        <v>84</v>
      </c>
      <c r="C2049" s="13">
        <v>103</v>
      </c>
      <c r="D2049" s="14" t="s">
        <v>92</v>
      </c>
      <c r="E2049">
        <v>12</v>
      </c>
      <c r="F2049" s="8">
        <f>VLOOKUP(financials[[#This Row],[productid]],Products!$B$2:$H$10,3)</f>
        <v>28</v>
      </c>
      <c r="G2049" s="8">
        <f>financials[[#This Row],[Units Sold]]*financials[[#This Row],[Sale Price]]</f>
        <v>336</v>
      </c>
      <c r="H2049" s="8">
        <f>IF(financials[[#This Row],[Discount Band]]="low",0.1,IF(financials[[#This Row],[Discount Band]]="medium",0.15,0.3))</f>
        <v>0.3</v>
      </c>
      <c r="I2049" s="8">
        <f>financials[[#This Row],[Gross Sales]]-financials[[#This Row],[Gross Sales]]*financials[[#This Row],[Discounts]]</f>
        <v>235.2</v>
      </c>
      <c r="J2049" s="8">
        <f>VLOOKUP(financials[[#This Row],[productid]],Products!$B$2:$H$10,4)</f>
        <v>15</v>
      </c>
      <c r="K2049" s="8">
        <f>financials[[#This Row],[Net Sales]]-financials[[#This Row],[COGS]]</f>
        <v>220.2</v>
      </c>
      <c r="L2049" s="15">
        <v>44191</v>
      </c>
      <c r="M2049" t="s">
        <v>690</v>
      </c>
    </row>
    <row r="2050" spans="1:13" x14ac:dyDescent="0.25">
      <c r="A2050" t="s">
        <v>85</v>
      </c>
      <c r="B2050" s="6" t="s">
        <v>84</v>
      </c>
      <c r="C2050" s="13">
        <v>109</v>
      </c>
      <c r="D2050" s="14" t="s">
        <v>91</v>
      </c>
      <c r="E2050">
        <v>19</v>
      </c>
      <c r="F2050" s="8">
        <f>VLOOKUP(financials[[#This Row],[productid]],Products!$B$2:$H$10,3)</f>
        <v>36</v>
      </c>
      <c r="G2050" s="8">
        <f>financials[[#This Row],[Units Sold]]*financials[[#This Row],[Sale Price]]</f>
        <v>684</v>
      </c>
      <c r="H2050" s="8">
        <f>IF(financials[[#This Row],[Discount Band]]="low",0.1,IF(financials[[#This Row],[Discount Band]]="medium",0.15,0.3))</f>
        <v>0.1</v>
      </c>
      <c r="I2050" s="8">
        <f>financials[[#This Row],[Gross Sales]]-financials[[#This Row],[Gross Sales]]*financials[[#This Row],[Discounts]]</f>
        <v>615.6</v>
      </c>
      <c r="J2050" s="8">
        <f>VLOOKUP(financials[[#This Row],[productid]],Products!$B$2:$H$10,4)</f>
        <v>16.8</v>
      </c>
      <c r="K2050" s="8">
        <f>financials[[#This Row],[Net Sales]]-financials[[#This Row],[COGS]]</f>
        <v>598.80000000000007</v>
      </c>
      <c r="L2050" s="15">
        <v>45328</v>
      </c>
      <c r="M2050" t="s">
        <v>696</v>
      </c>
    </row>
    <row r="2051" spans="1:13" x14ac:dyDescent="0.25">
      <c r="A2051" t="s">
        <v>85</v>
      </c>
      <c r="B2051" s="6" t="s">
        <v>84</v>
      </c>
      <c r="C2051" s="13">
        <v>106</v>
      </c>
      <c r="D2051" s="14" t="s">
        <v>91</v>
      </c>
      <c r="E2051">
        <v>20</v>
      </c>
      <c r="F2051" s="8">
        <f>VLOOKUP(financials[[#This Row],[productid]],Products!$B$2:$H$10,3)</f>
        <v>25</v>
      </c>
      <c r="G2051" s="8">
        <f>financials[[#This Row],[Units Sold]]*financials[[#This Row],[Sale Price]]</f>
        <v>500</v>
      </c>
      <c r="H2051" s="8">
        <f>IF(financials[[#This Row],[Discount Band]]="low",0.1,IF(financials[[#This Row],[Discount Band]]="medium",0.15,0.3))</f>
        <v>0.1</v>
      </c>
      <c r="I2051" s="8">
        <f>financials[[#This Row],[Gross Sales]]-financials[[#This Row],[Gross Sales]]*financials[[#This Row],[Discounts]]</f>
        <v>450</v>
      </c>
      <c r="J2051" s="8">
        <f>VLOOKUP(financials[[#This Row],[productid]],Products!$B$2:$H$10,4)</f>
        <v>9.1</v>
      </c>
      <c r="K2051" s="8">
        <f>financials[[#This Row],[Net Sales]]-financials[[#This Row],[COGS]]</f>
        <v>440.9</v>
      </c>
      <c r="L2051" s="15">
        <v>44253</v>
      </c>
      <c r="M2051" t="s">
        <v>700</v>
      </c>
    </row>
    <row r="2052" spans="1:13" x14ac:dyDescent="0.25">
      <c r="A2052" t="s">
        <v>89</v>
      </c>
      <c r="B2052" s="6" t="s">
        <v>159</v>
      </c>
      <c r="C2052" s="13">
        <v>107</v>
      </c>
      <c r="D2052" s="14" t="s">
        <v>83</v>
      </c>
      <c r="E2052">
        <v>10</v>
      </c>
      <c r="F2052" s="8">
        <f>VLOOKUP(financials[[#This Row],[productid]],Products!$B$2:$H$10,3)</f>
        <v>15</v>
      </c>
      <c r="G2052" s="8">
        <f>financials[[#This Row],[Units Sold]]*financials[[#This Row],[Sale Price]]</f>
        <v>150</v>
      </c>
      <c r="H2052" s="8">
        <f>IF(financials[[#This Row],[Discount Band]]="low",0.1,IF(financials[[#This Row],[Discount Band]]="medium",0.15,0.3))</f>
        <v>0.3</v>
      </c>
      <c r="I2052" s="8">
        <f>financials[[#This Row],[Gross Sales]]-financials[[#This Row],[Gross Sales]]*financials[[#This Row],[Discounts]]</f>
        <v>105</v>
      </c>
      <c r="J2052" s="8">
        <f>VLOOKUP(financials[[#This Row],[productid]],Products!$B$2:$H$10,4)</f>
        <v>5.5</v>
      </c>
      <c r="K2052" s="8">
        <f>financials[[#This Row],[Net Sales]]-financials[[#This Row],[COGS]]</f>
        <v>99.5</v>
      </c>
      <c r="L2052" s="15">
        <v>44882</v>
      </c>
      <c r="M2052" t="s">
        <v>696</v>
      </c>
    </row>
    <row r="2053" spans="1:13" x14ac:dyDescent="0.25">
      <c r="A2053" t="s">
        <v>89</v>
      </c>
      <c r="B2053" s="6" t="s">
        <v>159</v>
      </c>
      <c r="C2053" s="11">
        <v>108</v>
      </c>
      <c r="D2053" s="9" t="s">
        <v>92</v>
      </c>
      <c r="E2053">
        <v>9</v>
      </c>
      <c r="F2053" s="8">
        <f>VLOOKUP(financials[[#This Row],[productid]],Products!$B$2:$H$10,3)</f>
        <v>5.5</v>
      </c>
      <c r="G2053" s="8">
        <f>financials[[#This Row],[Units Sold]]*financials[[#This Row],[Sale Price]]</f>
        <v>49.5</v>
      </c>
      <c r="H2053" s="8">
        <f>IF(financials[[#This Row],[Discount Band]]="low",0.1,IF(financials[[#This Row],[Discount Band]]="medium",0.15,0.3))</f>
        <v>0.3</v>
      </c>
      <c r="I2053" s="8">
        <f>financials[[#This Row],[Gross Sales]]-financials[[#This Row],[Gross Sales]]*financials[[#This Row],[Discounts]]</f>
        <v>34.65</v>
      </c>
      <c r="J2053" s="8">
        <f>VLOOKUP(financials[[#This Row],[productid]],Products!$B$2:$H$10,4)</f>
        <v>3.99</v>
      </c>
      <c r="K2053" s="8">
        <f>financials[[#This Row],[Net Sales]]-financials[[#This Row],[COGS]]</f>
        <v>30.659999999999997</v>
      </c>
      <c r="L2053" s="15">
        <v>45558</v>
      </c>
      <c r="M2053" t="s">
        <v>696</v>
      </c>
    </row>
    <row r="2054" spans="1:13" x14ac:dyDescent="0.25">
      <c r="A2054" t="s">
        <v>86</v>
      </c>
      <c r="B2054" s="6" t="s">
        <v>159</v>
      </c>
      <c r="C2054" s="11">
        <v>104</v>
      </c>
      <c r="D2054" s="9" t="s">
        <v>90</v>
      </c>
      <c r="E2054">
        <v>20</v>
      </c>
      <c r="F2054" s="8">
        <f>VLOOKUP(financials[[#This Row],[productid]],Products!$B$2:$H$10,3)</f>
        <v>5.9</v>
      </c>
      <c r="G2054" s="8">
        <f>financials[[#This Row],[Units Sold]]*financials[[#This Row],[Sale Price]]</f>
        <v>118</v>
      </c>
      <c r="H2054" s="8">
        <f>IF(financials[[#This Row],[Discount Band]]="low",0.1,IF(financials[[#This Row],[Discount Band]]="medium",0.15,0.3))</f>
        <v>0.15</v>
      </c>
      <c r="I2054" s="8">
        <f>financials[[#This Row],[Gross Sales]]-financials[[#This Row],[Gross Sales]]*financials[[#This Row],[Discounts]]</f>
        <v>100.3</v>
      </c>
      <c r="J2054" s="8">
        <f>VLOOKUP(financials[[#This Row],[productid]],Products!$B$2:$H$10,4)</f>
        <v>2.9</v>
      </c>
      <c r="K2054" s="8">
        <f>financials[[#This Row],[Net Sales]]-financials[[#This Row],[COGS]]</f>
        <v>97.399999999999991</v>
      </c>
      <c r="L2054" s="15">
        <v>43861</v>
      </c>
      <c r="M2054" t="s">
        <v>697</v>
      </c>
    </row>
    <row r="2055" spans="1:13" x14ac:dyDescent="0.25">
      <c r="A2055" t="s">
        <v>89</v>
      </c>
      <c r="B2055" s="6" t="s">
        <v>84</v>
      </c>
      <c r="C2055" s="11">
        <v>107</v>
      </c>
      <c r="D2055" s="9" t="s">
        <v>91</v>
      </c>
      <c r="E2055">
        <v>10</v>
      </c>
      <c r="F2055" s="8">
        <f>VLOOKUP(financials[[#This Row],[productid]],Products!$B$2:$H$10,3)</f>
        <v>15</v>
      </c>
      <c r="G2055" s="8">
        <f>financials[[#This Row],[Units Sold]]*financials[[#This Row],[Sale Price]]</f>
        <v>150</v>
      </c>
      <c r="H2055" s="8">
        <f>IF(financials[[#This Row],[Discount Band]]="low",0.1,IF(financials[[#This Row],[Discount Band]]="medium",0.15,0.3))</f>
        <v>0.1</v>
      </c>
      <c r="I2055" s="8">
        <f>financials[[#This Row],[Gross Sales]]-financials[[#This Row],[Gross Sales]]*financials[[#This Row],[Discounts]]</f>
        <v>135</v>
      </c>
      <c r="J2055" s="8">
        <f>VLOOKUP(financials[[#This Row],[productid]],Products!$B$2:$H$10,4)</f>
        <v>5.5</v>
      </c>
      <c r="K2055" s="8">
        <f>financials[[#This Row],[Net Sales]]-financials[[#This Row],[COGS]]</f>
        <v>129.5</v>
      </c>
      <c r="L2055" s="15">
        <v>44289</v>
      </c>
      <c r="M2055" t="s">
        <v>697</v>
      </c>
    </row>
    <row r="2056" spans="1:13" x14ac:dyDescent="0.25">
      <c r="A2056" t="s">
        <v>86</v>
      </c>
      <c r="B2056" s="6" t="s">
        <v>159</v>
      </c>
      <c r="C2056" s="11">
        <v>102</v>
      </c>
      <c r="D2056" s="9" t="s">
        <v>91</v>
      </c>
      <c r="E2056">
        <v>13</v>
      </c>
      <c r="F2056" s="8">
        <f>VLOOKUP(financials[[#This Row],[productid]],Products!$B$2:$H$10,3)</f>
        <v>15</v>
      </c>
      <c r="G2056" s="8">
        <f>financials[[#This Row],[Units Sold]]*financials[[#This Row],[Sale Price]]</f>
        <v>195</v>
      </c>
      <c r="H2056" s="8">
        <f>IF(financials[[#This Row],[Discount Band]]="low",0.1,IF(financials[[#This Row],[Discount Band]]="medium",0.15,0.3))</f>
        <v>0.1</v>
      </c>
      <c r="I2056" s="8">
        <f>financials[[#This Row],[Gross Sales]]-financials[[#This Row],[Gross Sales]]*financials[[#This Row],[Discounts]]</f>
        <v>175.5</v>
      </c>
      <c r="J2056" s="8">
        <f>VLOOKUP(financials[[#This Row],[productid]],Products!$B$2:$H$10,4)</f>
        <v>13.95</v>
      </c>
      <c r="K2056" s="8">
        <f>financials[[#This Row],[Net Sales]]-financials[[#This Row],[COGS]]</f>
        <v>161.55000000000001</v>
      </c>
      <c r="L2056" s="15">
        <v>44404</v>
      </c>
      <c r="M2056" t="s">
        <v>690</v>
      </c>
    </row>
    <row r="2057" spans="1:13" x14ac:dyDescent="0.25">
      <c r="A2057" t="s">
        <v>86</v>
      </c>
      <c r="B2057" s="6" t="s">
        <v>124</v>
      </c>
      <c r="C2057" s="13">
        <v>103</v>
      </c>
      <c r="D2057" s="14" t="s">
        <v>90</v>
      </c>
      <c r="E2057">
        <v>6</v>
      </c>
      <c r="F2057" s="8">
        <f>VLOOKUP(financials[[#This Row],[productid]],Products!$B$2:$H$10,3)</f>
        <v>28</v>
      </c>
      <c r="G2057" s="8">
        <f>financials[[#This Row],[Units Sold]]*financials[[#This Row],[Sale Price]]</f>
        <v>168</v>
      </c>
      <c r="H2057" s="8">
        <f>IF(financials[[#This Row],[Discount Band]]="low",0.1,IF(financials[[#This Row],[Discount Band]]="medium",0.15,0.3))</f>
        <v>0.15</v>
      </c>
      <c r="I2057" s="8">
        <f>financials[[#This Row],[Gross Sales]]-financials[[#This Row],[Gross Sales]]*financials[[#This Row],[Discounts]]</f>
        <v>142.80000000000001</v>
      </c>
      <c r="J2057" s="8">
        <f>VLOOKUP(financials[[#This Row],[productid]],Products!$B$2:$H$10,4)</f>
        <v>15</v>
      </c>
      <c r="K2057" s="8">
        <f>financials[[#This Row],[Net Sales]]-financials[[#This Row],[COGS]]</f>
        <v>127.80000000000001</v>
      </c>
      <c r="L2057" s="15">
        <v>43910</v>
      </c>
      <c r="M2057" t="s">
        <v>700</v>
      </c>
    </row>
    <row r="2058" spans="1:13" x14ac:dyDescent="0.25">
      <c r="A2058" t="s">
        <v>85</v>
      </c>
      <c r="B2058" s="6" t="s">
        <v>84</v>
      </c>
      <c r="C2058" s="13">
        <v>109</v>
      </c>
      <c r="D2058" s="14" t="s">
        <v>83</v>
      </c>
      <c r="E2058">
        <v>10</v>
      </c>
      <c r="F2058" s="8">
        <f>VLOOKUP(financials[[#This Row],[productid]],Products!$B$2:$H$10,3)</f>
        <v>36</v>
      </c>
      <c r="G2058" s="8">
        <f>financials[[#This Row],[Units Sold]]*financials[[#This Row],[Sale Price]]</f>
        <v>360</v>
      </c>
      <c r="H2058" s="8">
        <f>IF(financials[[#This Row],[Discount Band]]="low",0.1,IF(financials[[#This Row],[Discount Band]]="medium",0.15,0.3))</f>
        <v>0.3</v>
      </c>
      <c r="I2058" s="8">
        <f>financials[[#This Row],[Gross Sales]]-financials[[#This Row],[Gross Sales]]*financials[[#This Row],[Discounts]]</f>
        <v>252</v>
      </c>
      <c r="J2058" s="8">
        <f>VLOOKUP(financials[[#This Row],[productid]],Products!$B$2:$H$10,4)</f>
        <v>16.8</v>
      </c>
      <c r="K2058" s="8">
        <f>financials[[#This Row],[Net Sales]]-financials[[#This Row],[COGS]]</f>
        <v>235.2</v>
      </c>
      <c r="L2058" s="15">
        <v>43836</v>
      </c>
      <c r="M2058" t="s">
        <v>696</v>
      </c>
    </row>
    <row r="2059" spans="1:13" x14ac:dyDescent="0.25">
      <c r="A2059" t="s">
        <v>86</v>
      </c>
      <c r="B2059" s="6" t="s">
        <v>545</v>
      </c>
      <c r="C2059" s="13">
        <v>107</v>
      </c>
      <c r="D2059" s="14" t="s">
        <v>83</v>
      </c>
      <c r="E2059">
        <v>13</v>
      </c>
      <c r="F2059" s="8">
        <f>VLOOKUP(financials[[#This Row],[productid]],Products!$B$2:$H$10,3)</f>
        <v>15</v>
      </c>
      <c r="G2059" s="8">
        <f>financials[[#This Row],[Units Sold]]*financials[[#This Row],[Sale Price]]</f>
        <v>195</v>
      </c>
      <c r="H2059" s="8">
        <f>IF(financials[[#This Row],[Discount Band]]="low",0.1,IF(financials[[#This Row],[Discount Band]]="medium",0.15,0.3))</f>
        <v>0.3</v>
      </c>
      <c r="I2059" s="8">
        <f>financials[[#This Row],[Gross Sales]]-financials[[#This Row],[Gross Sales]]*financials[[#This Row],[Discounts]]</f>
        <v>136.5</v>
      </c>
      <c r="J2059" s="8">
        <f>VLOOKUP(financials[[#This Row],[productid]],Products!$B$2:$H$10,4)</f>
        <v>5.5</v>
      </c>
      <c r="K2059" s="8">
        <f>financials[[#This Row],[Net Sales]]-financials[[#This Row],[COGS]]</f>
        <v>131</v>
      </c>
      <c r="L2059" s="15">
        <v>44209</v>
      </c>
      <c r="M2059" t="s">
        <v>696</v>
      </c>
    </row>
    <row r="2060" spans="1:13" x14ac:dyDescent="0.25">
      <c r="A2060" t="s">
        <v>87</v>
      </c>
      <c r="B2060" s="6" t="s">
        <v>93</v>
      </c>
      <c r="C2060" s="13">
        <v>102</v>
      </c>
      <c r="D2060" s="14" t="s">
        <v>83</v>
      </c>
      <c r="E2060">
        <v>14</v>
      </c>
      <c r="F2060" s="8">
        <f>VLOOKUP(financials[[#This Row],[productid]],Products!$B$2:$H$10,3)</f>
        <v>15</v>
      </c>
      <c r="G2060" s="8">
        <f>financials[[#This Row],[Units Sold]]*financials[[#This Row],[Sale Price]]</f>
        <v>210</v>
      </c>
      <c r="H2060" s="8">
        <f>IF(financials[[#This Row],[Discount Band]]="low",0.1,IF(financials[[#This Row],[Discount Band]]="medium",0.15,0.3))</f>
        <v>0.3</v>
      </c>
      <c r="I2060" s="8">
        <f>financials[[#This Row],[Gross Sales]]-financials[[#This Row],[Gross Sales]]*financials[[#This Row],[Discounts]]</f>
        <v>147</v>
      </c>
      <c r="J2060" s="8">
        <f>VLOOKUP(financials[[#This Row],[productid]],Products!$B$2:$H$10,4)</f>
        <v>13.95</v>
      </c>
      <c r="K2060" s="8">
        <f>financials[[#This Row],[Net Sales]]-financials[[#This Row],[COGS]]</f>
        <v>133.05000000000001</v>
      </c>
      <c r="L2060" s="15">
        <v>45389</v>
      </c>
      <c r="M2060" t="s">
        <v>690</v>
      </c>
    </row>
    <row r="2061" spans="1:13" x14ac:dyDescent="0.25">
      <c r="A2061" t="s">
        <v>89</v>
      </c>
      <c r="B2061" s="6" t="s">
        <v>159</v>
      </c>
      <c r="C2061" s="13">
        <v>104</v>
      </c>
      <c r="D2061" s="14" t="s">
        <v>91</v>
      </c>
      <c r="E2061">
        <v>20</v>
      </c>
      <c r="F2061" s="8">
        <f>VLOOKUP(financials[[#This Row],[productid]],Products!$B$2:$H$10,3)</f>
        <v>5.9</v>
      </c>
      <c r="G2061" s="8">
        <f>financials[[#This Row],[Units Sold]]*financials[[#This Row],[Sale Price]]</f>
        <v>118</v>
      </c>
      <c r="H2061" s="8">
        <f>IF(financials[[#This Row],[Discount Band]]="low",0.1,IF(financials[[#This Row],[Discount Band]]="medium",0.15,0.3))</f>
        <v>0.1</v>
      </c>
      <c r="I2061" s="8">
        <f>financials[[#This Row],[Gross Sales]]-financials[[#This Row],[Gross Sales]]*financials[[#This Row],[Discounts]]</f>
        <v>106.2</v>
      </c>
      <c r="J2061" s="8">
        <f>VLOOKUP(financials[[#This Row],[productid]],Products!$B$2:$H$10,4)</f>
        <v>2.9</v>
      </c>
      <c r="K2061" s="8">
        <f>financials[[#This Row],[Net Sales]]-financials[[#This Row],[COGS]]</f>
        <v>103.3</v>
      </c>
      <c r="L2061" s="15">
        <v>45228</v>
      </c>
      <c r="M2061" t="s">
        <v>691</v>
      </c>
    </row>
    <row r="2062" spans="1:13" x14ac:dyDescent="0.25">
      <c r="A2062" t="s">
        <v>86</v>
      </c>
      <c r="B2062" s="6" t="s">
        <v>159</v>
      </c>
      <c r="C2062" s="13">
        <v>105</v>
      </c>
      <c r="D2062" s="14" t="s">
        <v>92</v>
      </c>
      <c r="E2062">
        <v>13</v>
      </c>
      <c r="F2062" s="8">
        <f>VLOOKUP(financials[[#This Row],[productid]],Products!$B$2:$H$10,3)</f>
        <v>15</v>
      </c>
      <c r="G2062" s="8">
        <f>financials[[#This Row],[Units Sold]]*financials[[#This Row],[Sale Price]]</f>
        <v>195</v>
      </c>
      <c r="H2062" s="8">
        <f>IF(financials[[#This Row],[Discount Band]]="low",0.1,IF(financials[[#This Row],[Discount Band]]="medium",0.15,0.3))</f>
        <v>0.3</v>
      </c>
      <c r="I2062" s="8">
        <f>financials[[#This Row],[Gross Sales]]-financials[[#This Row],[Gross Sales]]*financials[[#This Row],[Discounts]]</f>
        <v>136.5</v>
      </c>
      <c r="J2062" s="8">
        <f>VLOOKUP(financials[[#This Row],[productid]],Products!$B$2:$H$10,4)</f>
        <v>10</v>
      </c>
      <c r="K2062" s="8">
        <f>financials[[#This Row],[Net Sales]]-financials[[#This Row],[COGS]]</f>
        <v>126.5</v>
      </c>
      <c r="L2062" s="15">
        <v>43865</v>
      </c>
      <c r="M2062" t="s">
        <v>690</v>
      </c>
    </row>
    <row r="2063" spans="1:13" x14ac:dyDescent="0.25">
      <c r="A2063" t="s">
        <v>86</v>
      </c>
      <c r="B2063" s="6" t="s">
        <v>159</v>
      </c>
      <c r="C2063" s="11">
        <v>107</v>
      </c>
      <c r="D2063" s="9" t="s">
        <v>90</v>
      </c>
      <c r="E2063">
        <v>7</v>
      </c>
      <c r="F2063" s="8">
        <f>VLOOKUP(financials[[#This Row],[productid]],Products!$B$2:$H$10,3)</f>
        <v>15</v>
      </c>
      <c r="G2063" s="8">
        <f>financials[[#This Row],[Units Sold]]*financials[[#This Row],[Sale Price]]</f>
        <v>105</v>
      </c>
      <c r="H2063" s="8">
        <f>IF(financials[[#This Row],[Discount Band]]="low",0.1,IF(financials[[#This Row],[Discount Band]]="medium",0.15,0.3))</f>
        <v>0.15</v>
      </c>
      <c r="I2063" s="8">
        <f>financials[[#This Row],[Gross Sales]]-financials[[#This Row],[Gross Sales]]*financials[[#This Row],[Discounts]]</f>
        <v>89.25</v>
      </c>
      <c r="J2063" s="8">
        <f>VLOOKUP(financials[[#This Row],[productid]],Products!$B$2:$H$10,4)</f>
        <v>5.5</v>
      </c>
      <c r="K2063" s="8">
        <f>financials[[#This Row],[Net Sales]]-financials[[#This Row],[COGS]]</f>
        <v>83.75</v>
      </c>
      <c r="L2063" s="15">
        <v>45275</v>
      </c>
      <c r="M2063" t="s">
        <v>690</v>
      </c>
    </row>
    <row r="2064" spans="1:13" x14ac:dyDescent="0.25">
      <c r="A2064" t="s">
        <v>89</v>
      </c>
      <c r="B2064" s="6" t="s">
        <v>159</v>
      </c>
      <c r="C2064" s="13">
        <v>107</v>
      </c>
      <c r="D2064" s="14" t="s">
        <v>83</v>
      </c>
      <c r="E2064">
        <v>18</v>
      </c>
      <c r="F2064" s="8">
        <f>VLOOKUP(financials[[#This Row],[productid]],Products!$B$2:$H$10,3)</f>
        <v>15</v>
      </c>
      <c r="G2064" s="8">
        <f>financials[[#This Row],[Units Sold]]*financials[[#This Row],[Sale Price]]</f>
        <v>270</v>
      </c>
      <c r="H2064" s="8">
        <f>IF(financials[[#This Row],[Discount Band]]="low",0.1,IF(financials[[#This Row],[Discount Band]]="medium",0.15,0.3))</f>
        <v>0.3</v>
      </c>
      <c r="I2064" s="8">
        <f>financials[[#This Row],[Gross Sales]]-financials[[#This Row],[Gross Sales]]*financials[[#This Row],[Discounts]]</f>
        <v>189</v>
      </c>
      <c r="J2064" s="8">
        <f>VLOOKUP(financials[[#This Row],[productid]],Products!$B$2:$H$10,4)</f>
        <v>5.5</v>
      </c>
      <c r="K2064" s="8">
        <f>financials[[#This Row],[Net Sales]]-financials[[#This Row],[COGS]]</f>
        <v>183.5</v>
      </c>
      <c r="L2064" s="15">
        <v>45483</v>
      </c>
      <c r="M2064" t="s">
        <v>696</v>
      </c>
    </row>
    <row r="2065" spans="1:13" x14ac:dyDescent="0.25">
      <c r="A2065" t="s">
        <v>85</v>
      </c>
      <c r="B2065" s="6" t="s">
        <v>84</v>
      </c>
      <c r="C2065" s="11">
        <v>105</v>
      </c>
      <c r="D2065" s="9" t="s">
        <v>90</v>
      </c>
      <c r="E2065">
        <v>19</v>
      </c>
      <c r="F2065" s="8">
        <f>VLOOKUP(financials[[#This Row],[productid]],Products!$B$2:$H$10,3)</f>
        <v>15</v>
      </c>
      <c r="G2065" s="8">
        <f>financials[[#This Row],[Units Sold]]*financials[[#This Row],[Sale Price]]</f>
        <v>285</v>
      </c>
      <c r="H2065" s="8">
        <f>IF(financials[[#This Row],[Discount Band]]="low",0.1,IF(financials[[#This Row],[Discount Band]]="medium",0.15,0.3))</f>
        <v>0.15</v>
      </c>
      <c r="I2065" s="8">
        <f>financials[[#This Row],[Gross Sales]]-financials[[#This Row],[Gross Sales]]*financials[[#This Row],[Discounts]]</f>
        <v>242.25</v>
      </c>
      <c r="J2065" s="8">
        <f>VLOOKUP(financials[[#This Row],[productid]],Products!$B$2:$H$10,4)</f>
        <v>10</v>
      </c>
      <c r="K2065" s="8">
        <f>financials[[#This Row],[Net Sales]]-financials[[#This Row],[COGS]]</f>
        <v>232.25</v>
      </c>
      <c r="L2065" s="15">
        <v>45564</v>
      </c>
      <c r="M2065" t="s">
        <v>700</v>
      </c>
    </row>
    <row r="2066" spans="1:13" x14ac:dyDescent="0.25">
      <c r="A2066" t="s">
        <v>86</v>
      </c>
      <c r="B2066" s="6" t="s">
        <v>159</v>
      </c>
      <c r="C2066" s="11">
        <v>103</v>
      </c>
      <c r="D2066" s="9" t="s">
        <v>90</v>
      </c>
      <c r="E2066">
        <v>18</v>
      </c>
      <c r="F2066" s="8">
        <f>VLOOKUP(financials[[#This Row],[productid]],Products!$B$2:$H$10,3)</f>
        <v>28</v>
      </c>
      <c r="G2066" s="8">
        <f>financials[[#This Row],[Units Sold]]*financials[[#This Row],[Sale Price]]</f>
        <v>504</v>
      </c>
      <c r="H2066" s="8">
        <f>IF(financials[[#This Row],[Discount Band]]="low",0.1,IF(financials[[#This Row],[Discount Band]]="medium",0.15,0.3))</f>
        <v>0.15</v>
      </c>
      <c r="I2066" s="8">
        <f>financials[[#This Row],[Gross Sales]]-financials[[#This Row],[Gross Sales]]*financials[[#This Row],[Discounts]]</f>
        <v>428.4</v>
      </c>
      <c r="J2066" s="8">
        <f>VLOOKUP(financials[[#This Row],[productid]],Products!$B$2:$H$10,4)</f>
        <v>15</v>
      </c>
      <c r="K2066" s="8">
        <f>financials[[#This Row],[Net Sales]]-financials[[#This Row],[COGS]]</f>
        <v>413.4</v>
      </c>
      <c r="L2066" s="15">
        <v>43842</v>
      </c>
      <c r="M2066" t="s">
        <v>697</v>
      </c>
    </row>
    <row r="2067" spans="1:13" x14ac:dyDescent="0.25">
      <c r="A2067" t="s">
        <v>86</v>
      </c>
      <c r="B2067" s="6" t="s">
        <v>644</v>
      </c>
      <c r="C2067" s="13">
        <v>107</v>
      </c>
      <c r="D2067" s="14" t="s">
        <v>83</v>
      </c>
      <c r="E2067">
        <v>11</v>
      </c>
      <c r="F2067" s="8">
        <f>VLOOKUP(financials[[#This Row],[productid]],Products!$B$2:$H$10,3)</f>
        <v>15</v>
      </c>
      <c r="G2067" s="8">
        <f>financials[[#This Row],[Units Sold]]*financials[[#This Row],[Sale Price]]</f>
        <v>165</v>
      </c>
      <c r="H2067" s="8">
        <f>IF(financials[[#This Row],[Discount Band]]="low",0.1,IF(financials[[#This Row],[Discount Band]]="medium",0.15,0.3))</f>
        <v>0.3</v>
      </c>
      <c r="I2067" s="8">
        <f>financials[[#This Row],[Gross Sales]]-financials[[#This Row],[Gross Sales]]*financials[[#This Row],[Discounts]]</f>
        <v>115.5</v>
      </c>
      <c r="J2067" s="8">
        <f>VLOOKUP(financials[[#This Row],[productid]],Products!$B$2:$H$10,4)</f>
        <v>5.5</v>
      </c>
      <c r="K2067" s="8">
        <f>financials[[#This Row],[Net Sales]]-financials[[#This Row],[COGS]]</f>
        <v>110</v>
      </c>
      <c r="L2067" s="15">
        <v>45392</v>
      </c>
      <c r="M2067" t="s">
        <v>700</v>
      </c>
    </row>
    <row r="2068" spans="1:13" x14ac:dyDescent="0.25">
      <c r="A2068" t="s">
        <v>86</v>
      </c>
      <c r="B2068" s="6" t="s">
        <v>124</v>
      </c>
      <c r="C2068" s="13">
        <v>103</v>
      </c>
      <c r="D2068" s="14" t="s">
        <v>90</v>
      </c>
      <c r="E2068">
        <v>10</v>
      </c>
      <c r="F2068" s="8">
        <f>VLOOKUP(financials[[#This Row],[productid]],Products!$B$2:$H$10,3)</f>
        <v>28</v>
      </c>
      <c r="G2068" s="8">
        <f>financials[[#This Row],[Units Sold]]*financials[[#This Row],[Sale Price]]</f>
        <v>280</v>
      </c>
      <c r="H2068" s="8">
        <f>IF(financials[[#This Row],[Discount Band]]="low",0.1,IF(financials[[#This Row],[Discount Band]]="medium",0.15,0.3))</f>
        <v>0.15</v>
      </c>
      <c r="I2068" s="8">
        <f>financials[[#This Row],[Gross Sales]]-financials[[#This Row],[Gross Sales]]*financials[[#This Row],[Discounts]]</f>
        <v>238</v>
      </c>
      <c r="J2068" s="8">
        <f>VLOOKUP(financials[[#This Row],[productid]],Products!$B$2:$H$10,4)</f>
        <v>15</v>
      </c>
      <c r="K2068" s="8">
        <f>financials[[#This Row],[Net Sales]]-financials[[#This Row],[COGS]]</f>
        <v>223</v>
      </c>
      <c r="L2068" s="15">
        <v>45001</v>
      </c>
      <c r="M2068" t="s">
        <v>696</v>
      </c>
    </row>
    <row r="2069" spans="1:13" x14ac:dyDescent="0.25">
      <c r="A2069" t="s">
        <v>85</v>
      </c>
      <c r="B2069" s="6" t="s">
        <v>159</v>
      </c>
      <c r="C2069" s="13">
        <v>108</v>
      </c>
      <c r="D2069" s="14" t="s">
        <v>90</v>
      </c>
      <c r="E2069">
        <v>15</v>
      </c>
      <c r="F2069" s="8">
        <f>VLOOKUP(financials[[#This Row],[productid]],Products!$B$2:$H$10,3)</f>
        <v>5.5</v>
      </c>
      <c r="G2069" s="8">
        <f>financials[[#This Row],[Units Sold]]*financials[[#This Row],[Sale Price]]</f>
        <v>82.5</v>
      </c>
      <c r="H2069" s="8">
        <f>IF(financials[[#This Row],[Discount Band]]="low",0.1,IF(financials[[#This Row],[Discount Band]]="medium",0.15,0.3))</f>
        <v>0.15</v>
      </c>
      <c r="I2069" s="8">
        <f>financials[[#This Row],[Gross Sales]]-financials[[#This Row],[Gross Sales]]*financials[[#This Row],[Discounts]]</f>
        <v>70.125</v>
      </c>
      <c r="J2069" s="8">
        <f>VLOOKUP(financials[[#This Row],[productid]],Products!$B$2:$H$10,4)</f>
        <v>3.99</v>
      </c>
      <c r="K2069" s="8">
        <f>financials[[#This Row],[Net Sales]]-financials[[#This Row],[COGS]]</f>
        <v>66.135000000000005</v>
      </c>
      <c r="L2069" s="15">
        <v>44367</v>
      </c>
      <c r="M2069" t="s">
        <v>696</v>
      </c>
    </row>
    <row r="2070" spans="1:13" x14ac:dyDescent="0.25">
      <c r="A2070" t="s">
        <v>85</v>
      </c>
      <c r="B2070" s="6" t="s">
        <v>84</v>
      </c>
      <c r="C2070" s="13">
        <v>104</v>
      </c>
      <c r="D2070" s="14" t="s">
        <v>83</v>
      </c>
      <c r="E2070">
        <v>10</v>
      </c>
      <c r="F2070" s="8">
        <f>VLOOKUP(financials[[#This Row],[productid]],Products!$B$2:$H$10,3)</f>
        <v>5.9</v>
      </c>
      <c r="G2070" s="8">
        <f>financials[[#This Row],[Units Sold]]*financials[[#This Row],[Sale Price]]</f>
        <v>59</v>
      </c>
      <c r="H2070" s="8">
        <f>IF(financials[[#This Row],[Discount Band]]="low",0.1,IF(financials[[#This Row],[Discount Band]]="medium",0.15,0.3))</f>
        <v>0.3</v>
      </c>
      <c r="I2070" s="8">
        <f>financials[[#This Row],[Gross Sales]]-financials[[#This Row],[Gross Sales]]*financials[[#This Row],[Discounts]]</f>
        <v>41.3</v>
      </c>
      <c r="J2070" s="8">
        <f>VLOOKUP(financials[[#This Row],[productid]],Products!$B$2:$H$10,4)</f>
        <v>2.9</v>
      </c>
      <c r="K2070" s="8">
        <f>financials[[#This Row],[Net Sales]]-financials[[#This Row],[COGS]]</f>
        <v>38.4</v>
      </c>
      <c r="L2070" s="15">
        <v>45498</v>
      </c>
      <c r="M2070" t="s">
        <v>690</v>
      </c>
    </row>
    <row r="2071" spans="1:13" x14ac:dyDescent="0.25">
      <c r="A2071" t="s">
        <v>86</v>
      </c>
      <c r="B2071" s="6" t="s">
        <v>159</v>
      </c>
      <c r="C2071" s="13">
        <v>102</v>
      </c>
      <c r="D2071" s="14" t="s">
        <v>90</v>
      </c>
      <c r="E2071">
        <v>11</v>
      </c>
      <c r="F2071" s="8">
        <f>VLOOKUP(financials[[#This Row],[productid]],Products!$B$2:$H$10,3)</f>
        <v>15</v>
      </c>
      <c r="G2071" s="8">
        <f>financials[[#This Row],[Units Sold]]*financials[[#This Row],[Sale Price]]</f>
        <v>165</v>
      </c>
      <c r="H2071" s="8">
        <f>IF(financials[[#This Row],[Discount Band]]="low",0.1,IF(financials[[#This Row],[Discount Band]]="medium",0.15,0.3))</f>
        <v>0.15</v>
      </c>
      <c r="I2071" s="8">
        <f>financials[[#This Row],[Gross Sales]]-financials[[#This Row],[Gross Sales]]*financials[[#This Row],[Discounts]]</f>
        <v>140.25</v>
      </c>
      <c r="J2071" s="8">
        <f>VLOOKUP(financials[[#This Row],[productid]],Products!$B$2:$H$10,4)</f>
        <v>13.95</v>
      </c>
      <c r="K2071" s="8">
        <f>financials[[#This Row],[Net Sales]]-financials[[#This Row],[COGS]]</f>
        <v>126.3</v>
      </c>
      <c r="L2071" s="15">
        <v>44311</v>
      </c>
      <c r="M2071" t="s">
        <v>691</v>
      </c>
    </row>
    <row r="2072" spans="1:13" x14ac:dyDescent="0.25">
      <c r="A2072" t="s">
        <v>89</v>
      </c>
      <c r="B2072" s="6" t="s">
        <v>159</v>
      </c>
      <c r="C2072" s="13">
        <v>101</v>
      </c>
      <c r="D2072" s="14" t="s">
        <v>90</v>
      </c>
      <c r="E2072">
        <v>19</v>
      </c>
      <c r="F2072" s="8">
        <f>VLOOKUP(financials[[#This Row],[productid]],Products!$B$2:$H$10,3)</f>
        <v>23</v>
      </c>
      <c r="G2072" s="8">
        <f>financials[[#This Row],[Units Sold]]*financials[[#This Row],[Sale Price]]</f>
        <v>437</v>
      </c>
      <c r="H2072" s="8">
        <f>IF(financials[[#This Row],[Discount Band]]="low",0.1,IF(financials[[#This Row],[Discount Band]]="medium",0.15,0.3))</f>
        <v>0.15</v>
      </c>
      <c r="I2072" s="8">
        <f>financials[[#This Row],[Gross Sales]]-financials[[#This Row],[Gross Sales]]*financials[[#This Row],[Discounts]]</f>
        <v>371.45</v>
      </c>
      <c r="J2072" s="8">
        <f>VLOOKUP(financials[[#This Row],[productid]],Products!$B$2:$H$10,4)</f>
        <v>9.9499999999999993</v>
      </c>
      <c r="K2072" s="8">
        <f>financials[[#This Row],[Net Sales]]-financials[[#This Row],[COGS]]</f>
        <v>361.5</v>
      </c>
      <c r="L2072" s="15">
        <v>44839</v>
      </c>
      <c r="M2072" t="s">
        <v>691</v>
      </c>
    </row>
    <row r="2073" spans="1:13" x14ac:dyDescent="0.25">
      <c r="A2073" t="s">
        <v>87</v>
      </c>
      <c r="B2073" s="6" t="s">
        <v>93</v>
      </c>
      <c r="C2073" s="13">
        <v>109</v>
      </c>
      <c r="D2073" s="14" t="s">
        <v>90</v>
      </c>
      <c r="E2073">
        <v>19</v>
      </c>
      <c r="F2073" s="8">
        <f>VLOOKUP(financials[[#This Row],[productid]],Products!$B$2:$H$10,3)</f>
        <v>36</v>
      </c>
      <c r="G2073" s="8">
        <f>financials[[#This Row],[Units Sold]]*financials[[#This Row],[Sale Price]]</f>
        <v>684</v>
      </c>
      <c r="H2073" s="8">
        <f>IF(financials[[#This Row],[Discount Band]]="low",0.1,IF(financials[[#This Row],[Discount Band]]="medium",0.15,0.3))</f>
        <v>0.15</v>
      </c>
      <c r="I2073" s="8">
        <f>financials[[#This Row],[Gross Sales]]-financials[[#This Row],[Gross Sales]]*financials[[#This Row],[Discounts]]</f>
        <v>581.4</v>
      </c>
      <c r="J2073" s="8">
        <f>VLOOKUP(financials[[#This Row],[productid]],Products!$B$2:$H$10,4)</f>
        <v>16.8</v>
      </c>
      <c r="K2073" s="8">
        <f>financials[[#This Row],[Net Sales]]-financials[[#This Row],[COGS]]</f>
        <v>564.6</v>
      </c>
      <c r="L2073" s="15">
        <v>45184</v>
      </c>
      <c r="M2073" t="s">
        <v>697</v>
      </c>
    </row>
    <row r="2074" spans="1:13" x14ac:dyDescent="0.25">
      <c r="A2074" t="s">
        <v>85</v>
      </c>
      <c r="B2074" s="6" t="s">
        <v>159</v>
      </c>
      <c r="C2074" s="13">
        <v>103</v>
      </c>
      <c r="D2074" s="14" t="s">
        <v>83</v>
      </c>
      <c r="E2074">
        <v>9</v>
      </c>
      <c r="F2074" s="8">
        <f>VLOOKUP(financials[[#This Row],[productid]],Products!$B$2:$H$10,3)</f>
        <v>28</v>
      </c>
      <c r="G2074" s="8">
        <f>financials[[#This Row],[Units Sold]]*financials[[#This Row],[Sale Price]]</f>
        <v>252</v>
      </c>
      <c r="H2074" s="8">
        <f>IF(financials[[#This Row],[Discount Band]]="low",0.1,IF(financials[[#This Row],[Discount Band]]="medium",0.15,0.3))</f>
        <v>0.3</v>
      </c>
      <c r="I2074" s="8">
        <f>financials[[#This Row],[Gross Sales]]-financials[[#This Row],[Gross Sales]]*financials[[#This Row],[Discounts]]</f>
        <v>176.4</v>
      </c>
      <c r="J2074" s="8">
        <f>VLOOKUP(financials[[#This Row],[productid]],Products!$B$2:$H$10,4)</f>
        <v>15</v>
      </c>
      <c r="K2074" s="8">
        <f>financials[[#This Row],[Net Sales]]-financials[[#This Row],[COGS]]</f>
        <v>161.4</v>
      </c>
      <c r="L2074" s="15">
        <v>45168</v>
      </c>
      <c r="M2074" t="s">
        <v>697</v>
      </c>
    </row>
    <row r="2075" spans="1:13" x14ac:dyDescent="0.25">
      <c r="A2075" t="s">
        <v>85</v>
      </c>
      <c r="B2075" s="6" t="s">
        <v>159</v>
      </c>
      <c r="C2075" s="11">
        <v>105</v>
      </c>
      <c r="D2075" s="9" t="s">
        <v>91</v>
      </c>
      <c r="E2075">
        <v>10</v>
      </c>
      <c r="F2075" s="8">
        <f>VLOOKUP(financials[[#This Row],[productid]],Products!$B$2:$H$10,3)</f>
        <v>15</v>
      </c>
      <c r="G2075" s="8">
        <f>financials[[#This Row],[Units Sold]]*financials[[#This Row],[Sale Price]]</f>
        <v>150</v>
      </c>
      <c r="H2075" s="8">
        <f>IF(financials[[#This Row],[Discount Band]]="low",0.1,IF(financials[[#This Row],[Discount Band]]="medium",0.15,0.3))</f>
        <v>0.1</v>
      </c>
      <c r="I2075" s="8">
        <f>financials[[#This Row],[Gross Sales]]-financials[[#This Row],[Gross Sales]]*financials[[#This Row],[Discounts]]</f>
        <v>135</v>
      </c>
      <c r="J2075" s="8">
        <f>VLOOKUP(financials[[#This Row],[productid]],Products!$B$2:$H$10,4)</f>
        <v>10</v>
      </c>
      <c r="K2075" s="8">
        <f>financials[[#This Row],[Net Sales]]-financials[[#This Row],[COGS]]</f>
        <v>125</v>
      </c>
      <c r="L2075" s="15">
        <v>44450</v>
      </c>
      <c r="M2075" t="s">
        <v>700</v>
      </c>
    </row>
    <row r="2076" spans="1:13" x14ac:dyDescent="0.25">
      <c r="A2076" t="s">
        <v>86</v>
      </c>
      <c r="B2076" s="6" t="s">
        <v>159</v>
      </c>
      <c r="C2076" s="11">
        <v>107</v>
      </c>
      <c r="D2076" s="9" t="s">
        <v>91</v>
      </c>
      <c r="E2076">
        <v>20</v>
      </c>
      <c r="F2076" s="8">
        <f>VLOOKUP(financials[[#This Row],[productid]],Products!$B$2:$H$10,3)</f>
        <v>15</v>
      </c>
      <c r="G2076" s="8">
        <f>financials[[#This Row],[Units Sold]]*financials[[#This Row],[Sale Price]]</f>
        <v>300</v>
      </c>
      <c r="H2076" s="8">
        <f>IF(financials[[#This Row],[Discount Band]]="low",0.1,IF(financials[[#This Row],[Discount Band]]="medium",0.15,0.3))</f>
        <v>0.1</v>
      </c>
      <c r="I2076" s="8">
        <f>financials[[#This Row],[Gross Sales]]-financials[[#This Row],[Gross Sales]]*financials[[#This Row],[Discounts]]</f>
        <v>270</v>
      </c>
      <c r="J2076" s="8">
        <f>VLOOKUP(financials[[#This Row],[productid]],Products!$B$2:$H$10,4)</f>
        <v>5.5</v>
      </c>
      <c r="K2076" s="8">
        <f>financials[[#This Row],[Net Sales]]-financials[[#This Row],[COGS]]</f>
        <v>264.5</v>
      </c>
      <c r="L2076" s="15">
        <v>44807</v>
      </c>
      <c r="M2076" t="s">
        <v>697</v>
      </c>
    </row>
    <row r="2077" spans="1:13" x14ac:dyDescent="0.25">
      <c r="A2077" t="s">
        <v>89</v>
      </c>
      <c r="B2077" s="6" t="s">
        <v>84</v>
      </c>
      <c r="C2077" s="13">
        <v>105</v>
      </c>
      <c r="D2077" s="14" t="s">
        <v>90</v>
      </c>
      <c r="E2077">
        <v>15</v>
      </c>
      <c r="F2077" s="8">
        <f>VLOOKUP(financials[[#This Row],[productid]],Products!$B$2:$H$10,3)</f>
        <v>15</v>
      </c>
      <c r="G2077" s="8">
        <f>financials[[#This Row],[Units Sold]]*financials[[#This Row],[Sale Price]]</f>
        <v>225</v>
      </c>
      <c r="H2077" s="8">
        <f>IF(financials[[#This Row],[Discount Band]]="low",0.1,IF(financials[[#This Row],[Discount Band]]="medium",0.15,0.3))</f>
        <v>0.15</v>
      </c>
      <c r="I2077" s="8">
        <f>financials[[#This Row],[Gross Sales]]-financials[[#This Row],[Gross Sales]]*financials[[#This Row],[Discounts]]</f>
        <v>191.25</v>
      </c>
      <c r="J2077" s="8">
        <f>VLOOKUP(financials[[#This Row],[productid]],Products!$B$2:$H$10,4)</f>
        <v>10</v>
      </c>
      <c r="K2077" s="8">
        <f>financials[[#This Row],[Net Sales]]-financials[[#This Row],[COGS]]</f>
        <v>181.25</v>
      </c>
      <c r="L2077" s="15">
        <v>44931</v>
      </c>
      <c r="M2077" t="s">
        <v>697</v>
      </c>
    </row>
    <row r="2078" spans="1:13" x14ac:dyDescent="0.25">
      <c r="A2078" t="s">
        <v>86</v>
      </c>
      <c r="B2078" s="6" t="s">
        <v>159</v>
      </c>
      <c r="C2078" s="11">
        <v>109</v>
      </c>
      <c r="D2078" s="9" t="s">
        <v>90</v>
      </c>
      <c r="E2078">
        <v>9</v>
      </c>
      <c r="F2078" s="8">
        <f>VLOOKUP(financials[[#This Row],[productid]],Products!$B$2:$H$10,3)</f>
        <v>36</v>
      </c>
      <c r="G2078" s="8">
        <f>financials[[#This Row],[Units Sold]]*financials[[#This Row],[Sale Price]]</f>
        <v>324</v>
      </c>
      <c r="H2078" s="8">
        <f>IF(financials[[#This Row],[Discount Band]]="low",0.1,IF(financials[[#This Row],[Discount Band]]="medium",0.15,0.3))</f>
        <v>0.15</v>
      </c>
      <c r="I2078" s="8">
        <f>financials[[#This Row],[Gross Sales]]-financials[[#This Row],[Gross Sales]]*financials[[#This Row],[Discounts]]</f>
        <v>275.39999999999998</v>
      </c>
      <c r="J2078" s="8">
        <f>VLOOKUP(financials[[#This Row],[productid]],Products!$B$2:$H$10,4)</f>
        <v>16.8</v>
      </c>
      <c r="K2078" s="8">
        <f>financials[[#This Row],[Net Sales]]-financials[[#This Row],[COGS]]</f>
        <v>258.59999999999997</v>
      </c>
      <c r="L2078" s="15">
        <v>45534</v>
      </c>
      <c r="M2078" t="s">
        <v>691</v>
      </c>
    </row>
    <row r="2079" spans="1:13" x14ac:dyDescent="0.25">
      <c r="A2079" t="s">
        <v>87</v>
      </c>
      <c r="B2079" s="6" t="s">
        <v>545</v>
      </c>
      <c r="C2079" s="13">
        <v>102</v>
      </c>
      <c r="D2079" s="14" t="s">
        <v>90</v>
      </c>
      <c r="E2079">
        <v>17</v>
      </c>
      <c r="F2079" s="8">
        <f>VLOOKUP(financials[[#This Row],[productid]],Products!$B$2:$H$10,3)</f>
        <v>15</v>
      </c>
      <c r="G2079" s="8">
        <f>financials[[#This Row],[Units Sold]]*financials[[#This Row],[Sale Price]]</f>
        <v>255</v>
      </c>
      <c r="H2079" s="8">
        <f>IF(financials[[#This Row],[Discount Band]]="low",0.1,IF(financials[[#This Row],[Discount Band]]="medium",0.15,0.3))</f>
        <v>0.15</v>
      </c>
      <c r="I2079" s="8">
        <f>financials[[#This Row],[Gross Sales]]-financials[[#This Row],[Gross Sales]]*financials[[#This Row],[Discounts]]</f>
        <v>216.75</v>
      </c>
      <c r="J2079" s="8">
        <f>VLOOKUP(financials[[#This Row],[productid]],Products!$B$2:$H$10,4)</f>
        <v>13.95</v>
      </c>
      <c r="K2079" s="8">
        <f>financials[[#This Row],[Net Sales]]-financials[[#This Row],[COGS]]</f>
        <v>202.8</v>
      </c>
      <c r="L2079" s="15">
        <v>44841</v>
      </c>
      <c r="M2079" t="s">
        <v>696</v>
      </c>
    </row>
    <row r="2080" spans="1:13" x14ac:dyDescent="0.25">
      <c r="A2080" t="s">
        <v>89</v>
      </c>
      <c r="B2080" s="6" t="s">
        <v>84</v>
      </c>
      <c r="C2080" s="13">
        <v>103</v>
      </c>
      <c r="D2080" s="14" t="s">
        <v>83</v>
      </c>
      <c r="E2080">
        <v>6</v>
      </c>
      <c r="F2080" s="8">
        <f>VLOOKUP(financials[[#This Row],[productid]],Products!$B$2:$H$10,3)</f>
        <v>28</v>
      </c>
      <c r="G2080" s="8">
        <f>financials[[#This Row],[Units Sold]]*financials[[#This Row],[Sale Price]]</f>
        <v>168</v>
      </c>
      <c r="H2080" s="8">
        <f>IF(financials[[#This Row],[Discount Band]]="low",0.1,IF(financials[[#This Row],[Discount Band]]="medium",0.15,0.3))</f>
        <v>0.3</v>
      </c>
      <c r="I2080" s="8">
        <f>financials[[#This Row],[Gross Sales]]-financials[[#This Row],[Gross Sales]]*financials[[#This Row],[Discounts]]</f>
        <v>117.6</v>
      </c>
      <c r="J2080" s="8">
        <f>VLOOKUP(financials[[#This Row],[productid]],Products!$B$2:$H$10,4)</f>
        <v>15</v>
      </c>
      <c r="K2080" s="8">
        <f>financials[[#This Row],[Net Sales]]-financials[[#This Row],[COGS]]</f>
        <v>102.6</v>
      </c>
      <c r="L2080" s="15">
        <v>44407</v>
      </c>
      <c r="M2080" t="s">
        <v>697</v>
      </c>
    </row>
    <row r="2081" spans="1:13" x14ac:dyDescent="0.25">
      <c r="A2081" t="s">
        <v>89</v>
      </c>
      <c r="B2081" s="6" t="s">
        <v>84</v>
      </c>
      <c r="C2081" s="13">
        <v>102</v>
      </c>
      <c r="D2081" s="14" t="s">
        <v>83</v>
      </c>
      <c r="E2081">
        <v>19</v>
      </c>
      <c r="F2081" s="8">
        <f>VLOOKUP(financials[[#This Row],[productid]],Products!$B$2:$H$10,3)</f>
        <v>15</v>
      </c>
      <c r="G2081" s="8">
        <f>financials[[#This Row],[Units Sold]]*financials[[#This Row],[Sale Price]]</f>
        <v>285</v>
      </c>
      <c r="H2081" s="8">
        <f>IF(financials[[#This Row],[Discount Band]]="low",0.1,IF(financials[[#This Row],[Discount Band]]="medium",0.15,0.3))</f>
        <v>0.3</v>
      </c>
      <c r="I2081" s="8">
        <f>financials[[#This Row],[Gross Sales]]-financials[[#This Row],[Gross Sales]]*financials[[#This Row],[Discounts]]</f>
        <v>199.5</v>
      </c>
      <c r="J2081" s="8">
        <f>VLOOKUP(financials[[#This Row],[productid]],Products!$B$2:$H$10,4)</f>
        <v>13.95</v>
      </c>
      <c r="K2081" s="8">
        <f>financials[[#This Row],[Net Sales]]-financials[[#This Row],[COGS]]</f>
        <v>185.55</v>
      </c>
      <c r="L2081" s="15">
        <v>44641</v>
      </c>
      <c r="M2081" t="s">
        <v>691</v>
      </c>
    </row>
    <row r="2082" spans="1:13" x14ac:dyDescent="0.25">
      <c r="A2082" t="s">
        <v>89</v>
      </c>
      <c r="B2082" s="6" t="s">
        <v>84</v>
      </c>
      <c r="C2082" s="13">
        <v>107</v>
      </c>
      <c r="D2082" s="14" t="s">
        <v>83</v>
      </c>
      <c r="E2082">
        <v>12</v>
      </c>
      <c r="F2082" s="8">
        <f>VLOOKUP(financials[[#This Row],[productid]],Products!$B$2:$H$10,3)</f>
        <v>15</v>
      </c>
      <c r="G2082" s="8">
        <f>financials[[#This Row],[Units Sold]]*financials[[#This Row],[Sale Price]]</f>
        <v>180</v>
      </c>
      <c r="H2082" s="8">
        <f>IF(financials[[#This Row],[Discount Band]]="low",0.1,IF(financials[[#This Row],[Discount Band]]="medium",0.15,0.3))</f>
        <v>0.3</v>
      </c>
      <c r="I2082" s="8">
        <f>financials[[#This Row],[Gross Sales]]-financials[[#This Row],[Gross Sales]]*financials[[#This Row],[Discounts]]</f>
        <v>126</v>
      </c>
      <c r="J2082" s="8">
        <f>VLOOKUP(financials[[#This Row],[productid]],Products!$B$2:$H$10,4)</f>
        <v>5.5</v>
      </c>
      <c r="K2082" s="8">
        <f>financials[[#This Row],[Net Sales]]-financials[[#This Row],[COGS]]</f>
        <v>120.5</v>
      </c>
      <c r="L2082" s="15">
        <v>44392</v>
      </c>
      <c r="M2082" t="s">
        <v>690</v>
      </c>
    </row>
    <row r="2083" spans="1:13" x14ac:dyDescent="0.25">
      <c r="A2083" t="s">
        <v>85</v>
      </c>
      <c r="B2083" s="6" t="s">
        <v>84</v>
      </c>
      <c r="C2083" s="11">
        <v>101</v>
      </c>
      <c r="D2083" s="9" t="s">
        <v>90</v>
      </c>
      <c r="E2083">
        <v>10</v>
      </c>
      <c r="F2083" s="8">
        <f>VLOOKUP(financials[[#This Row],[productid]],Products!$B$2:$H$10,3)</f>
        <v>23</v>
      </c>
      <c r="G2083" s="8">
        <f>financials[[#This Row],[Units Sold]]*financials[[#This Row],[Sale Price]]</f>
        <v>230</v>
      </c>
      <c r="H2083" s="8">
        <f>IF(financials[[#This Row],[Discount Band]]="low",0.1,IF(financials[[#This Row],[Discount Band]]="medium",0.15,0.3))</f>
        <v>0.15</v>
      </c>
      <c r="I2083" s="8">
        <f>financials[[#This Row],[Gross Sales]]-financials[[#This Row],[Gross Sales]]*financials[[#This Row],[Discounts]]</f>
        <v>195.5</v>
      </c>
      <c r="J2083" s="8">
        <f>VLOOKUP(financials[[#This Row],[productid]],Products!$B$2:$H$10,4)</f>
        <v>9.9499999999999993</v>
      </c>
      <c r="K2083" s="8">
        <f>financials[[#This Row],[Net Sales]]-financials[[#This Row],[COGS]]</f>
        <v>185.55</v>
      </c>
      <c r="L2083" s="15">
        <v>44322</v>
      </c>
      <c r="M2083" t="s">
        <v>690</v>
      </c>
    </row>
    <row r="2084" spans="1:13" x14ac:dyDescent="0.25">
      <c r="A2084" t="s">
        <v>86</v>
      </c>
      <c r="B2084" s="6" t="s">
        <v>159</v>
      </c>
      <c r="C2084" s="13">
        <v>109</v>
      </c>
      <c r="D2084" s="14" t="s">
        <v>90</v>
      </c>
      <c r="E2084">
        <v>20</v>
      </c>
      <c r="F2084" s="8">
        <f>VLOOKUP(financials[[#This Row],[productid]],Products!$B$2:$H$10,3)</f>
        <v>36</v>
      </c>
      <c r="G2084" s="8">
        <f>financials[[#This Row],[Units Sold]]*financials[[#This Row],[Sale Price]]</f>
        <v>720</v>
      </c>
      <c r="H2084" s="8">
        <f>IF(financials[[#This Row],[Discount Band]]="low",0.1,IF(financials[[#This Row],[Discount Band]]="medium",0.15,0.3))</f>
        <v>0.15</v>
      </c>
      <c r="I2084" s="8">
        <f>financials[[#This Row],[Gross Sales]]-financials[[#This Row],[Gross Sales]]*financials[[#This Row],[Discounts]]</f>
        <v>612</v>
      </c>
      <c r="J2084" s="8">
        <f>VLOOKUP(financials[[#This Row],[productid]],Products!$B$2:$H$10,4)</f>
        <v>16.8</v>
      </c>
      <c r="K2084" s="8">
        <f>financials[[#This Row],[Net Sales]]-financials[[#This Row],[COGS]]</f>
        <v>595.20000000000005</v>
      </c>
      <c r="L2084" s="15">
        <v>44248</v>
      </c>
      <c r="M2084" t="s">
        <v>696</v>
      </c>
    </row>
    <row r="2085" spans="1:13" x14ac:dyDescent="0.25">
      <c r="A2085" t="s">
        <v>89</v>
      </c>
      <c r="B2085" s="6" t="s">
        <v>84</v>
      </c>
      <c r="C2085" s="13">
        <v>103</v>
      </c>
      <c r="D2085" s="14" t="s">
        <v>90</v>
      </c>
      <c r="E2085">
        <v>14</v>
      </c>
      <c r="F2085" s="8">
        <f>VLOOKUP(financials[[#This Row],[productid]],Products!$B$2:$H$10,3)</f>
        <v>28</v>
      </c>
      <c r="G2085" s="8">
        <f>financials[[#This Row],[Units Sold]]*financials[[#This Row],[Sale Price]]</f>
        <v>392</v>
      </c>
      <c r="H2085" s="8">
        <f>IF(financials[[#This Row],[Discount Band]]="low",0.1,IF(financials[[#This Row],[Discount Band]]="medium",0.15,0.3))</f>
        <v>0.15</v>
      </c>
      <c r="I2085" s="8">
        <f>financials[[#This Row],[Gross Sales]]-financials[[#This Row],[Gross Sales]]*financials[[#This Row],[Discounts]]</f>
        <v>333.2</v>
      </c>
      <c r="J2085" s="8">
        <f>VLOOKUP(financials[[#This Row],[productid]],Products!$B$2:$H$10,4)</f>
        <v>15</v>
      </c>
      <c r="K2085" s="8">
        <f>financials[[#This Row],[Net Sales]]-financials[[#This Row],[COGS]]</f>
        <v>318.2</v>
      </c>
      <c r="L2085" s="15">
        <v>45018</v>
      </c>
      <c r="M2085" t="s">
        <v>700</v>
      </c>
    </row>
    <row r="2086" spans="1:13" x14ac:dyDescent="0.25">
      <c r="A2086" t="s">
        <v>89</v>
      </c>
      <c r="B2086" s="6" t="s">
        <v>84</v>
      </c>
      <c r="C2086" s="13">
        <v>105</v>
      </c>
      <c r="D2086" s="14" t="s">
        <v>90</v>
      </c>
      <c r="E2086">
        <v>10</v>
      </c>
      <c r="F2086" s="8">
        <f>VLOOKUP(financials[[#This Row],[productid]],Products!$B$2:$H$10,3)</f>
        <v>15</v>
      </c>
      <c r="G2086" s="8">
        <f>financials[[#This Row],[Units Sold]]*financials[[#This Row],[Sale Price]]</f>
        <v>150</v>
      </c>
      <c r="H2086" s="8">
        <f>IF(financials[[#This Row],[Discount Band]]="low",0.1,IF(financials[[#This Row],[Discount Band]]="medium",0.15,0.3))</f>
        <v>0.15</v>
      </c>
      <c r="I2086" s="8">
        <f>financials[[#This Row],[Gross Sales]]-financials[[#This Row],[Gross Sales]]*financials[[#This Row],[Discounts]]</f>
        <v>127.5</v>
      </c>
      <c r="J2086" s="8">
        <f>VLOOKUP(financials[[#This Row],[productid]],Products!$B$2:$H$10,4)</f>
        <v>10</v>
      </c>
      <c r="K2086" s="8">
        <f>financials[[#This Row],[Net Sales]]-financials[[#This Row],[COGS]]</f>
        <v>117.5</v>
      </c>
      <c r="L2086" s="15">
        <v>44247</v>
      </c>
      <c r="M2086" t="s">
        <v>696</v>
      </c>
    </row>
    <row r="2087" spans="1:13" x14ac:dyDescent="0.25">
      <c r="A2087" t="s">
        <v>86</v>
      </c>
      <c r="B2087" s="6" t="s">
        <v>159</v>
      </c>
      <c r="C2087" s="13">
        <v>106</v>
      </c>
      <c r="D2087" s="14" t="s">
        <v>90</v>
      </c>
      <c r="E2087">
        <v>8</v>
      </c>
      <c r="F2087" s="8">
        <f>VLOOKUP(financials[[#This Row],[productid]],Products!$B$2:$H$10,3)</f>
        <v>25</v>
      </c>
      <c r="G2087" s="8">
        <f>financials[[#This Row],[Units Sold]]*financials[[#This Row],[Sale Price]]</f>
        <v>200</v>
      </c>
      <c r="H2087" s="8">
        <f>IF(financials[[#This Row],[Discount Band]]="low",0.1,IF(financials[[#This Row],[Discount Band]]="medium",0.15,0.3))</f>
        <v>0.15</v>
      </c>
      <c r="I2087" s="8">
        <f>financials[[#This Row],[Gross Sales]]-financials[[#This Row],[Gross Sales]]*financials[[#This Row],[Discounts]]</f>
        <v>170</v>
      </c>
      <c r="J2087" s="8">
        <f>VLOOKUP(financials[[#This Row],[productid]],Products!$B$2:$H$10,4)</f>
        <v>9.1</v>
      </c>
      <c r="K2087" s="8">
        <f>financials[[#This Row],[Net Sales]]-financials[[#This Row],[COGS]]</f>
        <v>160.9</v>
      </c>
      <c r="L2087" s="15">
        <v>45111</v>
      </c>
      <c r="M2087" t="s">
        <v>696</v>
      </c>
    </row>
    <row r="2088" spans="1:13" x14ac:dyDescent="0.25">
      <c r="A2088" t="s">
        <v>85</v>
      </c>
      <c r="B2088" s="6" t="s">
        <v>84</v>
      </c>
      <c r="C2088" s="11">
        <v>101</v>
      </c>
      <c r="D2088" s="9" t="s">
        <v>92</v>
      </c>
      <c r="E2088">
        <v>10</v>
      </c>
      <c r="F2088" s="8">
        <f>VLOOKUP(financials[[#This Row],[productid]],Products!$B$2:$H$10,3)</f>
        <v>23</v>
      </c>
      <c r="G2088" s="8">
        <f>financials[[#This Row],[Units Sold]]*financials[[#This Row],[Sale Price]]</f>
        <v>230</v>
      </c>
      <c r="H2088" s="8">
        <f>IF(financials[[#This Row],[Discount Band]]="low",0.1,IF(financials[[#This Row],[Discount Band]]="medium",0.15,0.3))</f>
        <v>0.3</v>
      </c>
      <c r="I2088" s="8">
        <f>financials[[#This Row],[Gross Sales]]-financials[[#This Row],[Gross Sales]]*financials[[#This Row],[Discounts]]</f>
        <v>161</v>
      </c>
      <c r="J2088" s="8">
        <f>VLOOKUP(financials[[#This Row],[productid]],Products!$B$2:$H$10,4)</f>
        <v>9.9499999999999993</v>
      </c>
      <c r="K2088" s="8">
        <f>financials[[#This Row],[Net Sales]]-financials[[#This Row],[COGS]]</f>
        <v>151.05000000000001</v>
      </c>
      <c r="L2088" s="15">
        <v>44275</v>
      </c>
      <c r="M2088" t="s">
        <v>700</v>
      </c>
    </row>
    <row r="2089" spans="1:13" x14ac:dyDescent="0.25">
      <c r="A2089" t="s">
        <v>85</v>
      </c>
      <c r="B2089" s="6" t="s">
        <v>84</v>
      </c>
      <c r="C2089" s="13">
        <v>107</v>
      </c>
      <c r="D2089" s="14" t="s">
        <v>91</v>
      </c>
      <c r="E2089">
        <v>9</v>
      </c>
      <c r="F2089" s="8">
        <f>VLOOKUP(financials[[#This Row],[productid]],Products!$B$2:$H$10,3)</f>
        <v>15</v>
      </c>
      <c r="G2089" s="8">
        <f>financials[[#This Row],[Units Sold]]*financials[[#This Row],[Sale Price]]</f>
        <v>135</v>
      </c>
      <c r="H2089" s="8">
        <f>IF(financials[[#This Row],[Discount Band]]="low",0.1,IF(financials[[#This Row],[Discount Band]]="medium",0.15,0.3))</f>
        <v>0.1</v>
      </c>
      <c r="I2089" s="8">
        <f>financials[[#This Row],[Gross Sales]]-financials[[#This Row],[Gross Sales]]*financials[[#This Row],[Discounts]]</f>
        <v>121.5</v>
      </c>
      <c r="J2089" s="8">
        <f>VLOOKUP(financials[[#This Row],[productid]],Products!$B$2:$H$10,4)</f>
        <v>5.5</v>
      </c>
      <c r="K2089" s="8">
        <f>financials[[#This Row],[Net Sales]]-financials[[#This Row],[COGS]]</f>
        <v>116</v>
      </c>
      <c r="L2089" s="15">
        <v>44692</v>
      </c>
      <c r="M2089" t="s">
        <v>691</v>
      </c>
    </row>
    <row r="2090" spans="1:13" x14ac:dyDescent="0.25">
      <c r="A2090" t="s">
        <v>86</v>
      </c>
      <c r="B2090" s="6" t="s">
        <v>124</v>
      </c>
      <c r="C2090" s="11">
        <v>103</v>
      </c>
      <c r="D2090" s="9" t="s">
        <v>83</v>
      </c>
      <c r="E2090">
        <v>7</v>
      </c>
      <c r="F2090" s="8">
        <f>VLOOKUP(financials[[#This Row],[productid]],Products!$B$2:$H$10,3)</f>
        <v>28</v>
      </c>
      <c r="G2090" s="8">
        <f>financials[[#This Row],[Units Sold]]*financials[[#This Row],[Sale Price]]</f>
        <v>196</v>
      </c>
      <c r="H2090" s="8">
        <f>IF(financials[[#This Row],[Discount Band]]="low",0.1,IF(financials[[#This Row],[Discount Band]]="medium",0.15,0.3))</f>
        <v>0.3</v>
      </c>
      <c r="I2090" s="8">
        <f>financials[[#This Row],[Gross Sales]]-financials[[#This Row],[Gross Sales]]*financials[[#This Row],[Discounts]]</f>
        <v>137.19999999999999</v>
      </c>
      <c r="J2090" s="8">
        <f>VLOOKUP(financials[[#This Row],[productid]],Products!$B$2:$H$10,4)</f>
        <v>15</v>
      </c>
      <c r="K2090" s="8">
        <f>financials[[#This Row],[Net Sales]]-financials[[#This Row],[COGS]]</f>
        <v>122.19999999999999</v>
      </c>
      <c r="L2090" s="15">
        <v>44468</v>
      </c>
      <c r="M2090" t="s">
        <v>700</v>
      </c>
    </row>
    <row r="2091" spans="1:13" x14ac:dyDescent="0.25">
      <c r="A2091" t="s">
        <v>89</v>
      </c>
      <c r="B2091" s="6" t="s">
        <v>84</v>
      </c>
      <c r="C2091" s="13">
        <v>102</v>
      </c>
      <c r="D2091" s="14" t="s">
        <v>90</v>
      </c>
      <c r="E2091">
        <v>9</v>
      </c>
      <c r="F2091" s="8">
        <f>VLOOKUP(financials[[#This Row],[productid]],Products!$B$2:$H$10,3)</f>
        <v>15</v>
      </c>
      <c r="G2091" s="8">
        <f>financials[[#This Row],[Units Sold]]*financials[[#This Row],[Sale Price]]</f>
        <v>135</v>
      </c>
      <c r="H2091" s="8">
        <f>IF(financials[[#This Row],[Discount Band]]="low",0.1,IF(financials[[#This Row],[Discount Band]]="medium",0.15,0.3))</f>
        <v>0.15</v>
      </c>
      <c r="I2091" s="8">
        <f>financials[[#This Row],[Gross Sales]]-financials[[#This Row],[Gross Sales]]*financials[[#This Row],[Discounts]]</f>
        <v>114.75</v>
      </c>
      <c r="J2091" s="8">
        <f>VLOOKUP(financials[[#This Row],[productid]],Products!$B$2:$H$10,4)</f>
        <v>13.95</v>
      </c>
      <c r="K2091" s="8">
        <f>financials[[#This Row],[Net Sales]]-financials[[#This Row],[COGS]]</f>
        <v>100.8</v>
      </c>
      <c r="L2091" s="15">
        <v>44382</v>
      </c>
      <c r="M2091" t="s">
        <v>697</v>
      </c>
    </row>
    <row r="2092" spans="1:13" x14ac:dyDescent="0.25">
      <c r="A2092" t="s">
        <v>89</v>
      </c>
      <c r="B2092" s="6" t="s">
        <v>84</v>
      </c>
      <c r="C2092" s="13">
        <v>103</v>
      </c>
      <c r="D2092" s="14" t="s">
        <v>92</v>
      </c>
      <c r="E2092">
        <v>9</v>
      </c>
      <c r="F2092" s="8">
        <f>VLOOKUP(financials[[#This Row],[productid]],Products!$B$2:$H$10,3)</f>
        <v>28</v>
      </c>
      <c r="G2092" s="8">
        <f>financials[[#This Row],[Units Sold]]*financials[[#This Row],[Sale Price]]</f>
        <v>252</v>
      </c>
      <c r="H2092" s="8">
        <f>IF(financials[[#This Row],[Discount Band]]="low",0.1,IF(financials[[#This Row],[Discount Band]]="medium",0.15,0.3))</f>
        <v>0.3</v>
      </c>
      <c r="I2092" s="8">
        <f>financials[[#This Row],[Gross Sales]]-financials[[#This Row],[Gross Sales]]*financials[[#This Row],[Discounts]]</f>
        <v>176.4</v>
      </c>
      <c r="J2092" s="8">
        <f>VLOOKUP(financials[[#This Row],[productid]],Products!$B$2:$H$10,4)</f>
        <v>15</v>
      </c>
      <c r="K2092" s="8">
        <f>financials[[#This Row],[Net Sales]]-financials[[#This Row],[COGS]]</f>
        <v>161.4</v>
      </c>
      <c r="L2092" s="15">
        <v>45631</v>
      </c>
      <c r="M2092" t="s">
        <v>697</v>
      </c>
    </row>
    <row r="2093" spans="1:13" x14ac:dyDescent="0.25">
      <c r="A2093" t="s">
        <v>89</v>
      </c>
      <c r="B2093" s="6" t="s">
        <v>84</v>
      </c>
      <c r="C2093" s="13">
        <v>101</v>
      </c>
      <c r="D2093" s="14" t="s">
        <v>91</v>
      </c>
      <c r="E2093">
        <v>16</v>
      </c>
      <c r="F2093" s="8">
        <f>VLOOKUP(financials[[#This Row],[productid]],Products!$B$2:$H$10,3)</f>
        <v>23</v>
      </c>
      <c r="G2093" s="8">
        <f>financials[[#This Row],[Units Sold]]*financials[[#This Row],[Sale Price]]</f>
        <v>368</v>
      </c>
      <c r="H2093" s="8">
        <f>IF(financials[[#This Row],[Discount Band]]="low",0.1,IF(financials[[#This Row],[Discount Band]]="medium",0.15,0.3))</f>
        <v>0.1</v>
      </c>
      <c r="I2093" s="8">
        <f>financials[[#This Row],[Gross Sales]]-financials[[#This Row],[Gross Sales]]*financials[[#This Row],[Discounts]]</f>
        <v>331.2</v>
      </c>
      <c r="J2093" s="8">
        <f>VLOOKUP(financials[[#This Row],[productid]],Products!$B$2:$H$10,4)</f>
        <v>9.9499999999999993</v>
      </c>
      <c r="K2093" s="8">
        <f>financials[[#This Row],[Net Sales]]-financials[[#This Row],[COGS]]</f>
        <v>321.25</v>
      </c>
      <c r="L2093" s="15">
        <v>44439</v>
      </c>
      <c r="M2093" t="s">
        <v>691</v>
      </c>
    </row>
    <row r="2094" spans="1:13" x14ac:dyDescent="0.25">
      <c r="A2094" t="s">
        <v>85</v>
      </c>
      <c r="B2094" s="6" t="s">
        <v>84</v>
      </c>
      <c r="C2094" s="13">
        <v>106</v>
      </c>
      <c r="D2094" s="14" t="s">
        <v>90</v>
      </c>
      <c r="E2094">
        <v>7</v>
      </c>
      <c r="F2094" s="8">
        <f>VLOOKUP(financials[[#This Row],[productid]],Products!$B$2:$H$10,3)</f>
        <v>25</v>
      </c>
      <c r="G2094" s="8">
        <f>financials[[#This Row],[Units Sold]]*financials[[#This Row],[Sale Price]]</f>
        <v>175</v>
      </c>
      <c r="H2094" s="8">
        <f>IF(financials[[#This Row],[Discount Band]]="low",0.1,IF(financials[[#This Row],[Discount Band]]="medium",0.15,0.3))</f>
        <v>0.15</v>
      </c>
      <c r="I2094" s="8">
        <f>financials[[#This Row],[Gross Sales]]-financials[[#This Row],[Gross Sales]]*financials[[#This Row],[Discounts]]</f>
        <v>148.75</v>
      </c>
      <c r="J2094" s="8">
        <f>VLOOKUP(financials[[#This Row],[productid]],Products!$B$2:$H$10,4)</f>
        <v>9.1</v>
      </c>
      <c r="K2094" s="8">
        <f>financials[[#This Row],[Net Sales]]-financials[[#This Row],[COGS]]</f>
        <v>139.65</v>
      </c>
      <c r="L2094" s="15">
        <v>45135</v>
      </c>
      <c r="M2094" t="s">
        <v>700</v>
      </c>
    </row>
    <row r="2095" spans="1:13" x14ac:dyDescent="0.25">
      <c r="A2095" t="s">
        <v>86</v>
      </c>
      <c r="B2095" s="6" t="s">
        <v>266</v>
      </c>
      <c r="C2095" s="13">
        <v>103</v>
      </c>
      <c r="D2095" s="14" t="s">
        <v>90</v>
      </c>
      <c r="E2095">
        <v>9</v>
      </c>
      <c r="F2095" s="8">
        <f>VLOOKUP(financials[[#This Row],[productid]],Products!$B$2:$H$10,3)</f>
        <v>28</v>
      </c>
      <c r="G2095" s="8">
        <f>financials[[#This Row],[Units Sold]]*financials[[#This Row],[Sale Price]]</f>
        <v>252</v>
      </c>
      <c r="H2095" s="8">
        <f>IF(financials[[#This Row],[Discount Band]]="low",0.1,IF(financials[[#This Row],[Discount Band]]="medium",0.15,0.3))</f>
        <v>0.15</v>
      </c>
      <c r="I2095" s="8">
        <f>financials[[#This Row],[Gross Sales]]-financials[[#This Row],[Gross Sales]]*financials[[#This Row],[Discounts]]</f>
        <v>214.2</v>
      </c>
      <c r="J2095" s="8">
        <f>VLOOKUP(financials[[#This Row],[productid]],Products!$B$2:$H$10,4)</f>
        <v>15</v>
      </c>
      <c r="K2095" s="8">
        <f>financials[[#This Row],[Net Sales]]-financials[[#This Row],[COGS]]</f>
        <v>199.2</v>
      </c>
      <c r="L2095" s="15">
        <v>45020</v>
      </c>
      <c r="M2095" t="s">
        <v>700</v>
      </c>
    </row>
    <row r="2096" spans="1:13" x14ac:dyDescent="0.25">
      <c r="A2096" t="s">
        <v>85</v>
      </c>
      <c r="B2096" s="6" t="s">
        <v>84</v>
      </c>
      <c r="C2096" s="13">
        <v>102</v>
      </c>
      <c r="D2096" s="14" t="s">
        <v>90</v>
      </c>
      <c r="E2096">
        <v>6</v>
      </c>
      <c r="F2096" s="8">
        <f>VLOOKUP(financials[[#This Row],[productid]],Products!$B$2:$H$10,3)</f>
        <v>15</v>
      </c>
      <c r="G2096" s="8">
        <f>financials[[#This Row],[Units Sold]]*financials[[#This Row],[Sale Price]]</f>
        <v>90</v>
      </c>
      <c r="H2096" s="8">
        <f>IF(financials[[#This Row],[Discount Band]]="low",0.1,IF(financials[[#This Row],[Discount Band]]="medium",0.15,0.3))</f>
        <v>0.15</v>
      </c>
      <c r="I2096" s="8">
        <f>financials[[#This Row],[Gross Sales]]-financials[[#This Row],[Gross Sales]]*financials[[#This Row],[Discounts]]</f>
        <v>76.5</v>
      </c>
      <c r="J2096" s="8">
        <f>VLOOKUP(financials[[#This Row],[productid]],Products!$B$2:$H$10,4)</f>
        <v>13.95</v>
      </c>
      <c r="K2096" s="8">
        <f>financials[[#This Row],[Net Sales]]-financials[[#This Row],[COGS]]</f>
        <v>62.55</v>
      </c>
      <c r="L2096" s="15">
        <v>44795</v>
      </c>
      <c r="M2096" t="s">
        <v>690</v>
      </c>
    </row>
    <row r="2097" spans="1:13" x14ac:dyDescent="0.25">
      <c r="A2097" t="s">
        <v>85</v>
      </c>
      <c r="B2097" s="6" t="s">
        <v>159</v>
      </c>
      <c r="C2097" s="13">
        <v>104</v>
      </c>
      <c r="D2097" s="14" t="s">
        <v>83</v>
      </c>
      <c r="E2097">
        <v>17</v>
      </c>
      <c r="F2097" s="8">
        <f>VLOOKUP(financials[[#This Row],[productid]],Products!$B$2:$H$10,3)</f>
        <v>5.9</v>
      </c>
      <c r="G2097" s="8">
        <f>financials[[#This Row],[Units Sold]]*financials[[#This Row],[Sale Price]]</f>
        <v>100.30000000000001</v>
      </c>
      <c r="H2097" s="8">
        <f>IF(financials[[#This Row],[Discount Band]]="low",0.1,IF(financials[[#This Row],[Discount Band]]="medium",0.15,0.3))</f>
        <v>0.3</v>
      </c>
      <c r="I2097" s="8">
        <f>financials[[#This Row],[Gross Sales]]-financials[[#This Row],[Gross Sales]]*financials[[#This Row],[Discounts]]</f>
        <v>70.210000000000008</v>
      </c>
      <c r="J2097" s="8">
        <f>VLOOKUP(financials[[#This Row],[productid]],Products!$B$2:$H$10,4)</f>
        <v>2.9</v>
      </c>
      <c r="K2097" s="8">
        <f>financials[[#This Row],[Net Sales]]-financials[[#This Row],[COGS]]</f>
        <v>67.31</v>
      </c>
      <c r="L2097" s="15">
        <v>44533</v>
      </c>
      <c r="M2097" t="s">
        <v>696</v>
      </c>
    </row>
    <row r="2098" spans="1:13" x14ac:dyDescent="0.25">
      <c r="A2098" t="s">
        <v>89</v>
      </c>
      <c r="B2098" s="6" t="s">
        <v>84</v>
      </c>
      <c r="C2098" s="13">
        <v>107</v>
      </c>
      <c r="D2098" s="14" t="s">
        <v>83</v>
      </c>
      <c r="E2098">
        <v>5</v>
      </c>
      <c r="F2098" s="8">
        <f>VLOOKUP(financials[[#This Row],[productid]],Products!$B$2:$H$10,3)</f>
        <v>15</v>
      </c>
      <c r="G2098" s="8">
        <f>financials[[#This Row],[Units Sold]]*financials[[#This Row],[Sale Price]]</f>
        <v>75</v>
      </c>
      <c r="H2098" s="8">
        <f>IF(financials[[#This Row],[Discount Band]]="low",0.1,IF(financials[[#This Row],[Discount Band]]="medium",0.15,0.3))</f>
        <v>0.3</v>
      </c>
      <c r="I2098" s="8">
        <f>financials[[#This Row],[Gross Sales]]-financials[[#This Row],[Gross Sales]]*financials[[#This Row],[Discounts]]</f>
        <v>52.5</v>
      </c>
      <c r="J2098" s="8">
        <f>VLOOKUP(financials[[#This Row],[productid]],Products!$B$2:$H$10,4)</f>
        <v>5.5</v>
      </c>
      <c r="K2098" s="8">
        <f>financials[[#This Row],[Net Sales]]-financials[[#This Row],[COGS]]</f>
        <v>47</v>
      </c>
      <c r="L2098" s="15">
        <v>43897</v>
      </c>
      <c r="M2098" t="s">
        <v>690</v>
      </c>
    </row>
    <row r="2099" spans="1:13" x14ac:dyDescent="0.25">
      <c r="A2099" t="s">
        <v>86</v>
      </c>
      <c r="B2099" s="6" t="s">
        <v>124</v>
      </c>
      <c r="C2099" s="13">
        <v>109</v>
      </c>
      <c r="D2099" s="14" t="s">
        <v>90</v>
      </c>
      <c r="E2099">
        <v>7</v>
      </c>
      <c r="F2099" s="8">
        <f>VLOOKUP(financials[[#This Row],[productid]],Products!$B$2:$H$10,3)</f>
        <v>36</v>
      </c>
      <c r="G2099" s="8">
        <f>financials[[#This Row],[Units Sold]]*financials[[#This Row],[Sale Price]]</f>
        <v>252</v>
      </c>
      <c r="H2099" s="8">
        <f>IF(financials[[#This Row],[Discount Band]]="low",0.1,IF(financials[[#This Row],[Discount Band]]="medium",0.15,0.3))</f>
        <v>0.15</v>
      </c>
      <c r="I2099" s="8">
        <f>financials[[#This Row],[Gross Sales]]-financials[[#This Row],[Gross Sales]]*financials[[#This Row],[Discounts]]</f>
        <v>214.2</v>
      </c>
      <c r="J2099" s="8">
        <f>VLOOKUP(financials[[#This Row],[productid]],Products!$B$2:$H$10,4)</f>
        <v>16.8</v>
      </c>
      <c r="K2099" s="8">
        <f>financials[[#This Row],[Net Sales]]-financials[[#This Row],[COGS]]</f>
        <v>197.39999999999998</v>
      </c>
      <c r="L2099" s="15">
        <v>45097</v>
      </c>
      <c r="M2099" t="s">
        <v>690</v>
      </c>
    </row>
    <row r="2100" spans="1:13" x14ac:dyDescent="0.25">
      <c r="A2100" t="s">
        <v>86</v>
      </c>
      <c r="B2100" s="6" t="s">
        <v>159</v>
      </c>
      <c r="C2100" s="13">
        <v>108</v>
      </c>
      <c r="D2100" s="14" t="s">
        <v>83</v>
      </c>
      <c r="E2100">
        <v>15</v>
      </c>
      <c r="F2100" s="8">
        <f>VLOOKUP(financials[[#This Row],[productid]],Products!$B$2:$H$10,3)</f>
        <v>5.5</v>
      </c>
      <c r="G2100" s="8">
        <f>financials[[#This Row],[Units Sold]]*financials[[#This Row],[Sale Price]]</f>
        <v>82.5</v>
      </c>
      <c r="H2100" s="8">
        <f>IF(financials[[#This Row],[Discount Band]]="low",0.1,IF(financials[[#This Row],[Discount Band]]="medium",0.15,0.3))</f>
        <v>0.3</v>
      </c>
      <c r="I2100" s="8">
        <f>financials[[#This Row],[Gross Sales]]-financials[[#This Row],[Gross Sales]]*financials[[#This Row],[Discounts]]</f>
        <v>57.75</v>
      </c>
      <c r="J2100" s="8">
        <f>VLOOKUP(financials[[#This Row],[productid]],Products!$B$2:$H$10,4)</f>
        <v>3.99</v>
      </c>
      <c r="K2100" s="8">
        <f>financials[[#This Row],[Net Sales]]-financials[[#This Row],[COGS]]</f>
        <v>53.76</v>
      </c>
      <c r="L2100" s="15">
        <v>45200</v>
      </c>
      <c r="M2100" t="s">
        <v>691</v>
      </c>
    </row>
    <row r="2101" spans="1:13" x14ac:dyDescent="0.25">
      <c r="A2101" t="s">
        <v>85</v>
      </c>
      <c r="B2101" s="6" t="s">
        <v>84</v>
      </c>
      <c r="C2101" s="11">
        <v>107</v>
      </c>
      <c r="D2101" s="9" t="s">
        <v>83</v>
      </c>
      <c r="E2101">
        <v>13</v>
      </c>
      <c r="F2101" s="8">
        <f>VLOOKUP(financials[[#This Row],[productid]],Products!$B$2:$H$10,3)</f>
        <v>15</v>
      </c>
      <c r="G2101" s="8">
        <f>financials[[#This Row],[Units Sold]]*financials[[#This Row],[Sale Price]]</f>
        <v>195</v>
      </c>
      <c r="H2101" s="8">
        <f>IF(financials[[#This Row],[Discount Band]]="low",0.1,IF(financials[[#This Row],[Discount Band]]="medium",0.15,0.3))</f>
        <v>0.3</v>
      </c>
      <c r="I2101" s="8">
        <f>financials[[#This Row],[Gross Sales]]-financials[[#This Row],[Gross Sales]]*financials[[#This Row],[Discounts]]</f>
        <v>136.5</v>
      </c>
      <c r="J2101" s="8">
        <f>VLOOKUP(financials[[#This Row],[productid]],Products!$B$2:$H$10,4)</f>
        <v>5.5</v>
      </c>
      <c r="K2101" s="8">
        <f>financials[[#This Row],[Net Sales]]-financials[[#This Row],[COGS]]</f>
        <v>131</v>
      </c>
      <c r="L2101" s="15">
        <v>44477</v>
      </c>
      <c r="M2101" t="s">
        <v>696</v>
      </c>
    </row>
    <row r="2102" spans="1:13" x14ac:dyDescent="0.25">
      <c r="A2102" t="s">
        <v>86</v>
      </c>
      <c r="B2102" s="6" t="s">
        <v>124</v>
      </c>
      <c r="C2102" s="13">
        <v>107</v>
      </c>
      <c r="D2102" s="14" t="s">
        <v>90</v>
      </c>
      <c r="E2102">
        <v>11</v>
      </c>
      <c r="F2102" s="8">
        <f>VLOOKUP(financials[[#This Row],[productid]],Products!$B$2:$H$10,3)</f>
        <v>15</v>
      </c>
      <c r="G2102" s="8">
        <f>financials[[#This Row],[Units Sold]]*financials[[#This Row],[Sale Price]]</f>
        <v>165</v>
      </c>
      <c r="H2102" s="8">
        <f>IF(financials[[#This Row],[Discount Band]]="low",0.1,IF(financials[[#This Row],[Discount Band]]="medium",0.15,0.3))</f>
        <v>0.15</v>
      </c>
      <c r="I2102" s="8">
        <f>financials[[#This Row],[Gross Sales]]-financials[[#This Row],[Gross Sales]]*financials[[#This Row],[Discounts]]</f>
        <v>140.25</v>
      </c>
      <c r="J2102" s="8">
        <f>VLOOKUP(financials[[#This Row],[productid]],Products!$B$2:$H$10,4)</f>
        <v>5.5</v>
      </c>
      <c r="K2102" s="8">
        <f>financials[[#This Row],[Net Sales]]-financials[[#This Row],[COGS]]</f>
        <v>134.75</v>
      </c>
      <c r="L2102" s="15">
        <v>45392</v>
      </c>
      <c r="M2102" t="s">
        <v>691</v>
      </c>
    </row>
    <row r="2103" spans="1:13" x14ac:dyDescent="0.25">
      <c r="A2103" t="s">
        <v>85</v>
      </c>
      <c r="B2103" s="6" t="s">
        <v>159</v>
      </c>
      <c r="C2103" s="13">
        <v>106</v>
      </c>
      <c r="D2103" s="14" t="s">
        <v>90</v>
      </c>
      <c r="E2103">
        <v>19</v>
      </c>
      <c r="F2103" s="8">
        <f>VLOOKUP(financials[[#This Row],[productid]],Products!$B$2:$H$10,3)</f>
        <v>25</v>
      </c>
      <c r="G2103" s="8">
        <f>financials[[#This Row],[Units Sold]]*financials[[#This Row],[Sale Price]]</f>
        <v>475</v>
      </c>
      <c r="H2103" s="8">
        <f>IF(financials[[#This Row],[Discount Band]]="low",0.1,IF(financials[[#This Row],[Discount Band]]="medium",0.15,0.3))</f>
        <v>0.15</v>
      </c>
      <c r="I2103" s="8">
        <f>financials[[#This Row],[Gross Sales]]-financials[[#This Row],[Gross Sales]]*financials[[#This Row],[Discounts]]</f>
        <v>403.75</v>
      </c>
      <c r="J2103" s="8">
        <f>VLOOKUP(financials[[#This Row],[productid]],Products!$B$2:$H$10,4)</f>
        <v>9.1</v>
      </c>
      <c r="K2103" s="8">
        <f>financials[[#This Row],[Net Sales]]-financials[[#This Row],[COGS]]</f>
        <v>394.65</v>
      </c>
      <c r="L2103" s="15">
        <v>45639</v>
      </c>
      <c r="M2103" t="s">
        <v>697</v>
      </c>
    </row>
    <row r="2104" spans="1:13" x14ac:dyDescent="0.25">
      <c r="A2104" t="s">
        <v>87</v>
      </c>
      <c r="B2104" s="6" t="s">
        <v>125</v>
      </c>
      <c r="C2104" s="13">
        <v>109</v>
      </c>
      <c r="D2104" s="14" t="s">
        <v>90</v>
      </c>
      <c r="E2104">
        <v>6</v>
      </c>
      <c r="F2104" s="8">
        <f>VLOOKUP(financials[[#This Row],[productid]],Products!$B$2:$H$10,3)</f>
        <v>36</v>
      </c>
      <c r="G2104" s="8">
        <f>financials[[#This Row],[Units Sold]]*financials[[#This Row],[Sale Price]]</f>
        <v>216</v>
      </c>
      <c r="H2104" s="8">
        <f>IF(financials[[#This Row],[Discount Band]]="low",0.1,IF(financials[[#This Row],[Discount Band]]="medium",0.15,0.3))</f>
        <v>0.15</v>
      </c>
      <c r="I2104" s="8">
        <f>financials[[#This Row],[Gross Sales]]-financials[[#This Row],[Gross Sales]]*financials[[#This Row],[Discounts]]</f>
        <v>183.6</v>
      </c>
      <c r="J2104" s="8">
        <f>VLOOKUP(financials[[#This Row],[productid]],Products!$B$2:$H$10,4)</f>
        <v>16.8</v>
      </c>
      <c r="K2104" s="8">
        <f>financials[[#This Row],[Net Sales]]-financials[[#This Row],[COGS]]</f>
        <v>166.79999999999998</v>
      </c>
      <c r="L2104" s="15">
        <v>45019</v>
      </c>
      <c r="M2104" t="s">
        <v>700</v>
      </c>
    </row>
    <row r="2105" spans="1:13" x14ac:dyDescent="0.25">
      <c r="A2105" t="s">
        <v>85</v>
      </c>
      <c r="B2105" s="6" t="s">
        <v>159</v>
      </c>
      <c r="C2105" s="13">
        <v>107</v>
      </c>
      <c r="D2105" s="14" t="s">
        <v>91</v>
      </c>
      <c r="E2105">
        <v>13</v>
      </c>
      <c r="F2105" s="8">
        <f>VLOOKUP(financials[[#This Row],[productid]],Products!$B$2:$H$10,3)</f>
        <v>15</v>
      </c>
      <c r="G2105" s="8">
        <f>financials[[#This Row],[Units Sold]]*financials[[#This Row],[Sale Price]]</f>
        <v>195</v>
      </c>
      <c r="H2105" s="8">
        <f>IF(financials[[#This Row],[Discount Band]]="low",0.1,IF(financials[[#This Row],[Discount Band]]="medium",0.15,0.3))</f>
        <v>0.1</v>
      </c>
      <c r="I2105" s="8">
        <f>financials[[#This Row],[Gross Sales]]-financials[[#This Row],[Gross Sales]]*financials[[#This Row],[Discounts]]</f>
        <v>175.5</v>
      </c>
      <c r="J2105" s="8">
        <f>VLOOKUP(financials[[#This Row],[productid]],Products!$B$2:$H$10,4)</f>
        <v>5.5</v>
      </c>
      <c r="K2105" s="8">
        <f>financials[[#This Row],[Net Sales]]-financials[[#This Row],[COGS]]</f>
        <v>170</v>
      </c>
      <c r="L2105" s="15">
        <v>44693</v>
      </c>
      <c r="M2105" t="s">
        <v>691</v>
      </c>
    </row>
    <row r="2106" spans="1:13" x14ac:dyDescent="0.25">
      <c r="A2106" t="s">
        <v>86</v>
      </c>
      <c r="B2106" s="6" t="s">
        <v>124</v>
      </c>
      <c r="C2106" s="13">
        <v>105</v>
      </c>
      <c r="D2106" s="14" t="s">
        <v>92</v>
      </c>
      <c r="E2106">
        <v>19</v>
      </c>
      <c r="F2106" s="8">
        <f>VLOOKUP(financials[[#This Row],[productid]],Products!$B$2:$H$10,3)</f>
        <v>15</v>
      </c>
      <c r="G2106" s="8">
        <f>financials[[#This Row],[Units Sold]]*financials[[#This Row],[Sale Price]]</f>
        <v>285</v>
      </c>
      <c r="H2106" s="8">
        <f>IF(financials[[#This Row],[Discount Band]]="low",0.1,IF(financials[[#This Row],[Discount Band]]="medium",0.15,0.3))</f>
        <v>0.3</v>
      </c>
      <c r="I2106" s="8">
        <f>financials[[#This Row],[Gross Sales]]-financials[[#This Row],[Gross Sales]]*financials[[#This Row],[Discounts]]</f>
        <v>199.5</v>
      </c>
      <c r="J2106" s="8">
        <f>VLOOKUP(financials[[#This Row],[productid]],Products!$B$2:$H$10,4)</f>
        <v>10</v>
      </c>
      <c r="K2106" s="8">
        <f>financials[[#This Row],[Net Sales]]-financials[[#This Row],[COGS]]</f>
        <v>189.5</v>
      </c>
      <c r="L2106" s="15">
        <v>45321</v>
      </c>
      <c r="M2106" t="s">
        <v>691</v>
      </c>
    </row>
    <row r="2107" spans="1:13" x14ac:dyDescent="0.25">
      <c r="A2107" t="s">
        <v>89</v>
      </c>
      <c r="B2107" s="6" t="s">
        <v>84</v>
      </c>
      <c r="C2107" s="13">
        <v>106</v>
      </c>
      <c r="D2107" s="14" t="s">
        <v>83</v>
      </c>
      <c r="E2107">
        <v>18</v>
      </c>
      <c r="F2107" s="8">
        <f>VLOOKUP(financials[[#This Row],[productid]],Products!$B$2:$H$10,3)</f>
        <v>25</v>
      </c>
      <c r="G2107" s="8">
        <f>financials[[#This Row],[Units Sold]]*financials[[#This Row],[Sale Price]]</f>
        <v>450</v>
      </c>
      <c r="H2107" s="8">
        <f>IF(financials[[#This Row],[Discount Band]]="low",0.1,IF(financials[[#This Row],[Discount Band]]="medium",0.15,0.3))</f>
        <v>0.3</v>
      </c>
      <c r="I2107" s="8">
        <f>financials[[#This Row],[Gross Sales]]-financials[[#This Row],[Gross Sales]]*financials[[#This Row],[Discounts]]</f>
        <v>315</v>
      </c>
      <c r="J2107" s="8">
        <f>VLOOKUP(financials[[#This Row],[productid]],Products!$B$2:$H$10,4)</f>
        <v>9.1</v>
      </c>
      <c r="K2107" s="8">
        <f>financials[[#This Row],[Net Sales]]-financials[[#This Row],[COGS]]</f>
        <v>305.89999999999998</v>
      </c>
      <c r="L2107" s="15">
        <v>44363</v>
      </c>
      <c r="M2107" t="s">
        <v>700</v>
      </c>
    </row>
    <row r="2108" spans="1:13" x14ac:dyDescent="0.25">
      <c r="A2108" t="s">
        <v>87</v>
      </c>
      <c r="B2108" s="6" t="s">
        <v>125</v>
      </c>
      <c r="C2108" s="13">
        <v>104</v>
      </c>
      <c r="D2108" s="14" t="s">
        <v>83</v>
      </c>
      <c r="E2108">
        <v>8</v>
      </c>
      <c r="F2108" s="8">
        <f>VLOOKUP(financials[[#This Row],[productid]],Products!$B$2:$H$10,3)</f>
        <v>5.9</v>
      </c>
      <c r="G2108" s="8">
        <f>financials[[#This Row],[Units Sold]]*financials[[#This Row],[Sale Price]]</f>
        <v>47.2</v>
      </c>
      <c r="H2108" s="8">
        <f>IF(financials[[#This Row],[Discount Band]]="low",0.1,IF(financials[[#This Row],[Discount Band]]="medium",0.15,0.3))</f>
        <v>0.3</v>
      </c>
      <c r="I2108" s="8">
        <f>financials[[#This Row],[Gross Sales]]-financials[[#This Row],[Gross Sales]]*financials[[#This Row],[Discounts]]</f>
        <v>33.040000000000006</v>
      </c>
      <c r="J2108" s="8">
        <f>VLOOKUP(financials[[#This Row],[productid]],Products!$B$2:$H$10,4)</f>
        <v>2.9</v>
      </c>
      <c r="K2108" s="8">
        <f>financials[[#This Row],[Net Sales]]-financials[[#This Row],[COGS]]</f>
        <v>30.140000000000008</v>
      </c>
      <c r="L2108" s="15">
        <v>45162</v>
      </c>
      <c r="M2108" t="s">
        <v>696</v>
      </c>
    </row>
    <row r="2109" spans="1:13" x14ac:dyDescent="0.25">
      <c r="A2109" t="s">
        <v>85</v>
      </c>
      <c r="B2109" s="6" t="s">
        <v>84</v>
      </c>
      <c r="C2109" s="13">
        <v>101</v>
      </c>
      <c r="D2109" s="14" t="s">
        <v>92</v>
      </c>
      <c r="E2109">
        <v>20</v>
      </c>
      <c r="F2109" s="8">
        <f>VLOOKUP(financials[[#This Row],[productid]],Products!$B$2:$H$10,3)</f>
        <v>23</v>
      </c>
      <c r="G2109" s="8">
        <f>financials[[#This Row],[Units Sold]]*financials[[#This Row],[Sale Price]]</f>
        <v>460</v>
      </c>
      <c r="H2109" s="8">
        <f>IF(financials[[#This Row],[Discount Band]]="low",0.1,IF(financials[[#This Row],[Discount Band]]="medium",0.15,0.3))</f>
        <v>0.3</v>
      </c>
      <c r="I2109" s="8">
        <f>financials[[#This Row],[Gross Sales]]-financials[[#This Row],[Gross Sales]]*financials[[#This Row],[Discounts]]</f>
        <v>322</v>
      </c>
      <c r="J2109" s="8">
        <f>VLOOKUP(financials[[#This Row],[productid]],Products!$B$2:$H$10,4)</f>
        <v>9.9499999999999993</v>
      </c>
      <c r="K2109" s="8">
        <f>financials[[#This Row],[Net Sales]]-financials[[#This Row],[COGS]]</f>
        <v>312.05</v>
      </c>
      <c r="L2109" s="15">
        <v>45348</v>
      </c>
      <c r="M2109" t="s">
        <v>700</v>
      </c>
    </row>
    <row r="2110" spans="1:13" x14ac:dyDescent="0.25">
      <c r="A2110" t="s">
        <v>89</v>
      </c>
      <c r="B2110" s="6" t="s">
        <v>84</v>
      </c>
      <c r="C2110" s="13">
        <v>106</v>
      </c>
      <c r="D2110" s="14" t="s">
        <v>92</v>
      </c>
      <c r="E2110">
        <v>16</v>
      </c>
      <c r="F2110" s="8">
        <f>VLOOKUP(financials[[#This Row],[productid]],Products!$B$2:$H$10,3)</f>
        <v>25</v>
      </c>
      <c r="G2110" s="8">
        <f>financials[[#This Row],[Units Sold]]*financials[[#This Row],[Sale Price]]</f>
        <v>400</v>
      </c>
      <c r="H2110" s="8">
        <f>IF(financials[[#This Row],[Discount Band]]="low",0.1,IF(financials[[#This Row],[Discount Band]]="medium",0.15,0.3))</f>
        <v>0.3</v>
      </c>
      <c r="I2110" s="8">
        <f>financials[[#This Row],[Gross Sales]]-financials[[#This Row],[Gross Sales]]*financials[[#This Row],[Discounts]]</f>
        <v>280</v>
      </c>
      <c r="J2110" s="8">
        <f>VLOOKUP(financials[[#This Row],[productid]],Products!$B$2:$H$10,4)</f>
        <v>9.1</v>
      </c>
      <c r="K2110" s="8">
        <f>financials[[#This Row],[Net Sales]]-financials[[#This Row],[COGS]]</f>
        <v>270.89999999999998</v>
      </c>
      <c r="L2110" s="15">
        <v>44691</v>
      </c>
      <c r="M2110" t="s">
        <v>700</v>
      </c>
    </row>
    <row r="2111" spans="1:13" x14ac:dyDescent="0.25">
      <c r="A2111" t="s">
        <v>86</v>
      </c>
      <c r="B2111" s="6" t="s">
        <v>124</v>
      </c>
      <c r="C2111" s="13">
        <v>107</v>
      </c>
      <c r="D2111" s="14" t="s">
        <v>90</v>
      </c>
      <c r="E2111">
        <v>14</v>
      </c>
      <c r="F2111" s="8">
        <f>VLOOKUP(financials[[#This Row],[productid]],Products!$B$2:$H$10,3)</f>
        <v>15</v>
      </c>
      <c r="G2111" s="8">
        <f>financials[[#This Row],[Units Sold]]*financials[[#This Row],[Sale Price]]</f>
        <v>210</v>
      </c>
      <c r="H2111" s="8">
        <f>IF(financials[[#This Row],[Discount Band]]="low",0.1,IF(financials[[#This Row],[Discount Band]]="medium",0.15,0.3))</f>
        <v>0.15</v>
      </c>
      <c r="I2111" s="8">
        <f>financials[[#This Row],[Gross Sales]]-financials[[#This Row],[Gross Sales]]*financials[[#This Row],[Discounts]]</f>
        <v>178.5</v>
      </c>
      <c r="J2111" s="8">
        <f>VLOOKUP(financials[[#This Row],[productid]],Products!$B$2:$H$10,4)</f>
        <v>5.5</v>
      </c>
      <c r="K2111" s="8">
        <f>financials[[#This Row],[Net Sales]]-financials[[#This Row],[COGS]]</f>
        <v>173</v>
      </c>
      <c r="L2111" s="15">
        <v>44344</v>
      </c>
      <c r="M2111" t="s">
        <v>697</v>
      </c>
    </row>
    <row r="2112" spans="1:13" x14ac:dyDescent="0.25">
      <c r="A2112" t="s">
        <v>88</v>
      </c>
      <c r="B2112" s="6" t="s">
        <v>644</v>
      </c>
      <c r="C2112" s="13">
        <v>102</v>
      </c>
      <c r="D2112" s="14" t="s">
        <v>90</v>
      </c>
      <c r="E2112">
        <v>12</v>
      </c>
      <c r="F2112" s="8">
        <f>VLOOKUP(financials[[#This Row],[productid]],Products!$B$2:$H$10,3)</f>
        <v>15</v>
      </c>
      <c r="G2112" s="8">
        <f>financials[[#This Row],[Units Sold]]*financials[[#This Row],[Sale Price]]</f>
        <v>180</v>
      </c>
      <c r="H2112" s="8">
        <f>IF(financials[[#This Row],[Discount Band]]="low",0.1,IF(financials[[#This Row],[Discount Band]]="medium",0.15,0.3))</f>
        <v>0.15</v>
      </c>
      <c r="I2112" s="8">
        <f>financials[[#This Row],[Gross Sales]]-financials[[#This Row],[Gross Sales]]*financials[[#This Row],[Discounts]]</f>
        <v>153</v>
      </c>
      <c r="J2112" s="8">
        <f>VLOOKUP(financials[[#This Row],[productid]],Products!$B$2:$H$10,4)</f>
        <v>13.95</v>
      </c>
      <c r="K2112" s="8">
        <f>financials[[#This Row],[Net Sales]]-financials[[#This Row],[COGS]]</f>
        <v>139.05000000000001</v>
      </c>
      <c r="L2112" s="15">
        <v>44055</v>
      </c>
      <c r="M2112" t="s">
        <v>696</v>
      </c>
    </row>
    <row r="2113" spans="1:13" x14ac:dyDescent="0.25">
      <c r="A2113" t="s">
        <v>88</v>
      </c>
      <c r="B2113" s="6" t="s">
        <v>644</v>
      </c>
      <c r="C2113" s="13">
        <v>105</v>
      </c>
      <c r="D2113" s="14" t="s">
        <v>90</v>
      </c>
      <c r="E2113">
        <v>18</v>
      </c>
      <c r="F2113" s="8">
        <f>VLOOKUP(financials[[#This Row],[productid]],Products!$B$2:$H$10,3)</f>
        <v>15</v>
      </c>
      <c r="G2113" s="8">
        <f>financials[[#This Row],[Units Sold]]*financials[[#This Row],[Sale Price]]</f>
        <v>270</v>
      </c>
      <c r="H2113" s="8">
        <f>IF(financials[[#This Row],[Discount Band]]="low",0.1,IF(financials[[#This Row],[Discount Band]]="medium",0.15,0.3))</f>
        <v>0.15</v>
      </c>
      <c r="I2113" s="8">
        <f>financials[[#This Row],[Gross Sales]]-financials[[#This Row],[Gross Sales]]*financials[[#This Row],[Discounts]]</f>
        <v>229.5</v>
      </c>
      <c r="J2113" s="8">
        <f>VLOOKUP(financials[[#This Row],[productid]],Products!$B$2:$H$10,4)</f>
        <v>10</v>
      </c>
      <c r="K2113" s="8">
        <f>financials[[#This Row],[Net Sales]]-financials[[#This Row],[COGS]]</f>
        <v>219.5</v>
      </c>
      <c r="L2113" s="15">
        <v>44539</v>
      </c>
      <c r="M2113" t="s">
        <v>696</v>
      </c>
    </row>
    <row r="2114" spans="1:13" x14ac:dyDescent="0.25">
      <c r="A2114" t="s">
        <v>86</v>
      </c>
      <c r="B2114" s="6" t="s">
        <v>159</v>
      </c>
      <c r="C2114" s="11">
        <v>109</v>
      </c>
      <c r="D2114" s="9" t="s">
        <v>90</v>
      </c>
      <c r="E2114">
        <v>12</v>
      </c>
      <c r="F2114" s="8">
        <f>VLOOKUP(financials[[#This Row],[productid]],Products!$B$2:$H$10,3)</f>
        <v>36</v>
      </c>
      <c r="G2114" s="8">
        <f>financials[[#This Row],[Units Sold]]*financials[[#This Row],[Sale Price]]</f>
        <v>432</v>
      </c>
      <c r="H2114" s="8">
        <f>IF(financials[[#This Row],[Discount Band]]="low",0.1,IF(financials[[#This Row],[Discount Band]]="medium",0.15,0.3))</f>
        <v>0.15</v>
      </c>
      <c r="I2114" s="8">
        <f>financials[[#This Row],[Gross Sales]]-financials[[#This Row],[Gross Sales]]*financials[[#This Row],[Discounts]]</f>
        <v>367.2</v>
      </c>
      <c r="J2114" s="8">
        <f>VLOOKUP(financials[[#This Row],[productid]],Products!$B$2:$H$10,4)</f>
        <v>16.8</v>
      </c>
      <c r="K2114" s="8">
        <f>financials[[#This Row],[Net Sales]]-financials[[#This Row],[COGS]]</f>
        <v>350.4</v>
      </c>
      <c r="L2114" s="15">
        <v>44692</v>
      </c>
      <c r="M2114" t="s">
        <v>700</v>
      </c>
    </row>
    <row r="2115" spans="1:13" x14ac:dyDescent="0.25">
      <c r="A2115" t="s">
        <v>86</v>
      </c>
      <c r="B2115" s="6" t="s">
        <v>159</v>
      </c>
      <c r="C2115" s="13">
        <v>109</v>
      </c>
      <c r="D2115" s="14" t="s">
        <v>83</v>
      </c>
      <c r="E2115">
        <v>18</v>
      </c>
      <c r="F2115" s="8">
        <f>VLOOKUP(financials[[#This Row],[productid]],Products!$B$2:$H$10,3)</f>
        <v>36</v>
      </c>
      <c r="G2115" s="8">
        <f>financials[[#This Row],[Units Sold]]*financials[[#This Row],[Sale Price]]</f>
        <v>648</v>
      </c>
      <c r="H2115" s="8">
        <f>IF(financials[[#This Row],[Discount Band]]="low",0.1,IF(financials[[#This Row],[Discount Band]]="medium",0.15,0.3))</f>
        <v>0.3</v>
      </c>
      <c r="I2115" s="8">
        <f>financials[[#This Row],[Gross Sales]]-financials[[#This Row],[Gross Sales]]*financials[[#This Row],[Discounts]]</f>
        <v>453.6</v>
      </c>
      <c r="J2115" s="8">
        <f>VLOOKUP(financials[[#This Row],[productid]],Products!$B$2:$H$10,4)</f>
        <v>16.8</v>
      </c>
      <c r="K2115" s="8">
        <f>financials[[#This Row],[Net Sales]]-financials[[#This Row],[COGS]]</f>
        <v>436.8</v>
      </c>
      <c r="L2115" s="15">
        <v>44552</v>
      </c>
      <c r="M2115" t="s">
        <v>690</v>
      </c>
    </row>
    <row r="2116" spans="1:13" x14ac:dyDescent="0.25">
      <c r="A2116" t="s">
        <v>89</v>
      </c>
      <c r="B2116" s="6" t="s">
        <v>84</v>
      </c>
      <c r="C2116" s="13">
        <v>106</v>
      </c>
      <c r="D2116" s="14" t="s">
        <v>90</v>
      </c>
      <c r="E2116">
        <v>12</v>
      </c>
      <c r="F2116" s="8">
        <f>VLOOKUP(financials[[#This Row],[productid]],Products!$B$2:$H$10,3)</f>
        <v>25</v>
      </c>
      <c r="G2116" s="8">
        <f>financials[[#This Row],[Units Sold]]*financials[[#This Row],[Sale Price]]</f>
        <v>300</v>
      </c>
      <c r="H2116" s="8">
        <f>IF(financials[[#This Row],[Discount Band]]="low",0.1,IF(financials[[#This Row],[Discount Band]]="medium",0.15,0.3))</f>
        <v>0.15</v>
      </c>
      <c r="I2116" s="8">
        <f>financials[[#This Row],[Gross Sales]]-financials[[#This Row],[Gross Sales]]*financials[[#This Row],[Discounts]]</f>
        <v>255</v>
      </c>
      <c r="J2116" s="8">
        <f>VLOOKUP(financials[[#This Row],[productid]],Products!$B$2:$H$10,4)</f>
        <v>9.1</v>
      </c>
      <c r="K2116" s="8">
        <f>financials[[#This Row],[Net Sales]]-financials[[#This Row],[COGS]]</f>
        <v>245.9</v>
      </c>
      <c r="L2116" s="15">
        <v>44325</v>
      </c>
      <c r="M2116" t="s">
        <v>691</v>
      </c>
    </row>
    <row r="2117" spans="1:13" x14ac:dyDescent="0.25">
      <c r="A2117" t="s">
        <v>87</v>
      </c>
      <c r="B2117" s="6" t="s">
        <v>158</v>
      </c>
      <c r="C2117" s="13">
        <v>105</v>
      </c>
      <c r="D2117" s="14" t="s">
        <v>83</v>
      </c>
      <c r="E2117">
        <v>8</v>
      </c>
      <c r="F2117" s="8">
        <f>VLOOKUP(financials[[#This Row],[productid]],Products!$B$2:$H$10,3)</f>
        <v>15</v>
      </c>
      <c r="G2117" s="8">
        <f>financials[[#This Row],[Units Sold]]*financials[[#This Row],[Sale Price]]</f>
        <v>120</v>
      </c>
      <c r="H2117" s="8">
        <f>IF(financials[[#This Row],[Discount Band]]="low",0.1,IF(financials[[#This Row],[Discount Band]]="medium",0.15,0.3))</f>
        <v>0.3</v>
      </c>
      <c r="I2117" s="8">
        <f>financials[[#This Row],[Gross Sales]]-financials[[#This Row],[Gross Sales]]*financials[[#This Row],[Discounts]]</f>
        <v>84</v>
      </c>
      <c r="J2117" s="8">
        <f>VLOOKUP(financials[[#This Row],[productid]],Products!$B$2:$H$10,4)</f>
        <v>10</v>
      </c>
      <c r="K2117" s="8">
        <f>financials[[#This Row],[Net Sales]]-financials[[#This Row],[COGS]]</f>
        <v>74</v>
      </c>
      <c r="L2117" s="15">
        <v>44328</v>
      </c>
      <c r="M2117" t="s">
        <v>700</v>
      </c>
    </row>
    <row r="2118" spans="1:13" x14ac:dyDescent="0.25">
      <c r="A2118" t="s">
        <v>89</v>
      </c>
      <c r="B2118" s="6" t="s">
        <v>84</v>
      </c>
      <c r="C2118" s="13">
        <v>107</v>
      </c>
      <c r="D2118" s="14" t="s">
        <v>83</v>
      </c>
      <c r="E2118">
        <v>17</v>
      </c>
      <c r="F2118" s="8">
        <f>VLOOKUP(financials[[#This Row],[productid]],Products!$B$2:$H$10,3)</f>
        <v>15</v>
      </c>
      <c r="G2118" s="8">
        <f>financials[[#This Row],[Units Sold]]*financials[[#This Row],[Sale Price]]</f>
        <v>255</v>
      </c>
      <c r="H2118" s="8">
        <f>IF(financials[[#This Row],[Discount Band]]="low",0.1,IF(financials[[#This Row],[Discount Band]]="medium",0.15,0.3))</f>
        <v>0.3</v>
      </c>
      <c r="I2118" s="8">
        <f>financials[[#This Row],[Gross Sales]]-financials[[#This Row],[Gross Sales]]*financials[[#This Row],[Discounts]]</f>
        <v>178.5</v>
      </c>
      <c r="J2118" s="8">
        <f>VLOOKUP(financials[[#This Row],[productid]],Products!$B$2:$H$10,4)</f>
        <v>5.5</v>
      </c>
      <c r="K2118" s="8">
        <f>financials[[#This Row],[Net Sales]]-financials[[#This Row],[COGS]]</f>
        <v>173</v>
      </c>
      <c r="L2118" s="15">
        <v>44273</v>
      </c>
      <c r="M2118" t="s">
        <v>700</v>
      </c>
    </row>
    <row r="2119" spans="1:13" x14ac:dyDescent="0.25">
      <c r="A2119" t="s">
        <v>89</v>
      </c>
      <c r="B2119" s="6" t="s">
        <v>84</v>
      </c>
      <c r="C2119" s="13">
        <v>103</v>
      </c>
      <c r="D2119" s="14" t="s">
        <v>91</v>
      </c>
      <c r="E2119">
        <v>6</v>
      </c>
      <c r="F2119" s="8">
        <f>VLOOKUP(financials[[#This Row],[productid]],Products!$B$2:$H$10,3)</f>
        <v>28</v>
      </c>
      <c r="G2119" s="8">
        <f>financials[[#This Row],[Units Sold]]*financials[[#This Row],[Sale Price]]</f>
        <v>168</v>
      </c>
      <c r="H2119" s="8">
        <f>IF(financials[[#This Row],[Discount Band]]="low",0.1,IF(financials[[#This Row],[Discount Band]]="medium",0.15,0.3))</f>
        <v>0.1</v>
      </c>
      <c r="I2119" s="8">
        <f>financials[[#This Row],[Gross Sales]]-financials[[#This Row],[Gross Sales]]*financials[[#This Row],[Discounts]]</f>
        <v>151.19999999999999</v>
      </c>
      <c r="J2119" s="8">
        <f>VLOOKUP(financials[[#This Row],[productid]],Products!$B$2:$H$10,4)</f>
        <v>15</v>
      </c>
      <c r="K2119" s="8">
        <f>financials[[#This Row],[Net Sales]]-financials[[#This Row],[COGS]]</f>
        <v>136.19999999999999</v>
      </c>
      <c r="L2119" s="15">
        <v>44159</v>
      </c>
      <c r="M2119" t="s">
        <v>696</v>
      </c>
    </row>
    <row r="2120" spans="1:13" x14ac:dyDescent="0.25">
      <c r="A2120" t="s">
        <v>85</v>
      </c>
      <c r="B2120" s="6" t="s">
        <v>159</v>
      </c>
      <c r="C2120" s="13">
        <v>103</v>
      </c>
      <c r="D2120" s="14" t="s">
        <v>90</v>
      </c>
      <c r="E2120">
        <v>19</v>
      </c>
      <c r="F2120" s="8">
        <f>VLOOKUP(financials[[#This Row],[productid]],Products!$B$2:$H$10,3)</f>
        <v>28</v>
      </c>
      <c r="G2120" s="8">
        <f>financials[[#This Row],[Units Sold]]*financials[[#This Row],[Sale Price]]</f>
        <v>532</v>
      </c>
      <c r="H2120" s="8">
        <f>IF(financials[[#This Row],[Discount Band]]="low",0.1,IF(financials[[#This Row],[Discount Band]]="medium",0.15,0.3))</f>
        <v>0.15</v>
      </c>
      <c r="I2120" s="8">
        <f>financials[[#This Row],[Gross Sales]]-financials[[#This Row],[Gross Sales]]*financials[[#This Row],[Discounts]]</f>
        <v>452.2</v>
      </c>
      <c r="J2120" s="8">
        <f>VLOOKUP(financials[[#This Row],[productid]],Products!$B$2:$H$10,4)</f>
        <v>15</v>
      </c>
      <c r="K2120" s="8">
        <f>financials[[#This Row],[Net Sales]]-financials[[#This Row],[COGS]]</f>
        <v>437.2</v>
      </c>
      <c r="L2120" s="15">
        <v>45227</v>
      </c>
      <c r="M2120" t="s">
        <v>691</v>
      </c>
    </row>
    <row r="2121" spans="1:13" x14ac:dyDescent="0.25">
      <c r="A2121" t="s">
        <v>86</v>
      </c>
      <c r="B2121" s="6" t="s">
        <v>644</v>
      </c>
      <c r="C2121" s="13">
        <v>108</v>
      </c>
      <c r="D2121" s="14" t="s">
        <v>90</v>
      </c>
      <c r="E2121">
        <v>12</v>
      </c>
      <c r="F2121" s="8">
        <f>VLOOKUP(financials[[#This Row],[productid]],Products!$B$2:$H$10,3)</f>
        <v>5.5</v>
      </c>
      <c r="G2121" s="8">
        <f>financials[[#This Row],[Units Sold]]*financials[[#This Row],[Sale Price]]</f>
        <v>66</v>
      </c>
      <c r="H2121" s="8">
        <f>IF(financials[[#This Row],[Discount Band]]="low",0.1,IF(financials[[#This Row],[Discount Band]]="medium",0.15,0.3))</f>
        <v>0.15</v>
      </c>
      <c r="I2121" s="8">
        <f>financials[[#This Row],[Gross Sales]]-financials[[#This Row],[Gross Sales]]*financials[[#This Row],[Discounts]]</f>
        <v>56.1</v>
      </c>
      <c r="J2121" s="8">
        <f>VLOOKUP(financials[[#This Row],[productid]],Products!$B$2:$H$10,4)</f>
        <v>3.99</v>
      </c>
      <c r="K2121" s="8">
        <f>financials[[#This Row],[Net Sales]]-financials[[#This Row],[COGS]]</f>
        <v>52.11</v>
      </c>
      <c r="L2121" s="15">
        <v>43847</v>
      </c>
      <c r="M2121" t="s">
        <v>696</v>
      </c>
    </row>
    <row r="2122" spans="1:13" x14ac:dyDescent="0.25">
      <c r="A2122" t="s">
        <v>86</v>
      </c>
      <c r="B2122" s="6" t="s">
        <v>159</v>
      </c>
      <c r="C2122" s="11">
        <v>108</v>
      </c>
      <c r="D2122" s="9" t="s">
        <v>90</v>
      </c>
      <c r="E2122">
        <v>15</v>
      </c>
      <c r="F2122" s="8">
        <f>VLOOKUP(financials[[#This Row],[productid]],Products!$B$2:$H$10,3)</f>
        <v>5.5</v>
      </c>
      <c r="G2122" s="8">
        <f>financials[[#This Row],[Units Sold]]*financials[[#This Row],[Sale Price]]</f>
        <v>82.5</v>
      </c>
      <c r="H2122" s="8">
        <f>IF(financials[[#This Row],[Discount Band]]="low",0.1,IF(financials[[#This Row],[Discount Band]]="medium",0.15,0.3))</f>
        <v>0.15</v>
      </c>
      <c r="I2122" s="8">
        <f>financials[[#This Row],[Gross Sales]]-financials[[#This Row],[Gross Sales]]*financials[[#This Row],[Discounts]]</f>
        <v>70.125</v>
      </c>
      <c r="J2122" s="8">
        <f>VLOOKUP(financials[[#This Row],[productid]],Products!$B$2:$H$10,4)</f>
        <v>3.99</v>
      </c>
      <c r="K2122" s="8">
        <f>financials[[#This Row],[Net Sales]]-financials[[#This Row],[COGS]]</f>
        <v>66.135000000000005</v>
      </c>
      <c r="L2122" s="15">
        <v>45219</v>
      </c>
      <c r="M2122" t="s">
        <v>690</v>
      </c>
    </row>
    <row r="2123" spans="1:13" x14ac:dyDescent="0.25">
      <c r="A2123" t="s">
        <v>87</v>
      </c>
      <c r="B2123" s="6" t="s">
        <v>93</v>
      </c>
      <c r="C2123" s="11">
        <v>106</v>
      </c>
      <c r="D2123" s="9" t="s">
        <v>83</v>
      </c>
      <c r="E2123">
        <v>6</v>
      </c>
      <c r="F2123" s="8">
        <f>VLOOKUP(financials[[#This Row],[productid]],Products!$B$2:$H$10,3)</f>
        <v>25</v>
      </c>
      <c r="G2123" s="8">
        <f>financials[[#This Row],[Units Sold]]*financials[[#This Row],[Sale Price]]</f>
        <v>150</v>
      </c>
      <c r="H2123" s="8">
        <f>IF(financials[[#This Row],[Discount Band]]="low",0.1,IF(financials[[#This Row],[Discount Band]]="medium",0.15,0.3))</f>
        <v>0.3</v>
      </c>
      <c r="I2123" s="8">
        <f>financials[[#This Row],[Gross Sales]]-financials[[#This Row],[Gross Sales]]*financials[[#This Row],[Discounts]]</f>
        <v>105</v>
      </c>
      <c r="J2123" s="8">
        <f>VLOOKUP(financials[[#This Row],[productid]],Products!$B$2:$H$10,4)</f>
        <v>9.1</v>
      </c>
      <c r="K2123" s="8">
        <f>financials[[#This Row],[Net Sales]]-financials[[#This Row],[COGS]]</f>
        <v>95.9</v>
      </c>
      <c r="L2123" s="15">
        <v>44757</v>
      </c>
      <c r="M2123" t="s">
        <v>690</v>
      </c>
    </row>
    <row r="2124" spans="1:13" x14ac:dyDescent="0.25">
      <c r="A2124" t="s">
        <v>89</v>
      </c>
      <c r="B2124" s="6" t="s">
        <v>159</v>
      </c>
      <c r="C2124" s="13">
        <v>101</v>
      </c>
      <c r="D2124" s="14" t="s">
        <v>90</v>
      </c>
      <c r="E2124">
        <v>14</v>
      </c>
      <c r="F2124" s="8">
        <f>VLOOKUP(financials[[#This Row],[productid]],Products!$B$2:$H$10,3)</f>
        <v>23</v>
      </c>
      <c r="G2124" s="8">
        <f>financials[[#This Row],[Units Sold]]*financials[[#This Row],[Sale Price]]</f>
        <v>322</v>
      </c>
      <c r="H2124" s="8">
        <f>IF(financials[[#This Row],[Discount Band]]="low",0.1,IF(financials[[#This Row],[Discount Band]]="medium",0.15,0.3))</f>
        <v>0.15</v>
      </c>
      <c r="I2124" s="8">
        <f>financials[[#This Row],[Gross Sales]]-financials[[#This Row],[Gross Sales]]*financials[[#This Row],[Discounts]]</f>
        <v>273.7</v>
      </c>
      <c r="J2124" s="8">
        <f>VLOOKUP(financials[[#This Row],[productid]],Products!$B$2:$H$10,4)</f>
        <v>9.9499999999999993</v>
      </c>
      <c r="K2124" s="8">
        <f>financials[[#This Row],[Net Sales]]-financials[[#This Row],[COGS]]</f>
        <v>263.75</v>
      </c>
      <c r="L2124" s="15">
        <v>43932</v>
      </c>
      <c r="M2124" t="s">
        <v>700</v>
      </c>
    </row>
    <row r="2125" spans="1:13" x14ac:dyDescent="0.25">
      <c r="A2125" t="s">
        <v>86</v>
      </c>
      <c r="B2125" s="6" t="s">
        <v>159</v>
      </c>
      <c r="C2125" s="13">
        <v>102</v>
      </c>
      <c r="D2125" s="14" t="s">
        <v>90</v>
      </c>
      <c r="E2125">
        <v>10</v>
      </c>
      <c r="F2125" s="8">
        <f>VLOOKUP(financials[[#This Row],[productid]],Products!$B$2:$H$10,3)</f>
        <v>15</v>
      </c>
      <c r="G2125" s="8">
        <f>financials[[#This Row],[Units Sold]]*financials[[#This Row],[Sale Price]]</f>
        <v>150</v>
      </c>
      <c r="H2125" s="8">
        <f>IF(financials[[#This Row],[Discount Band]]="low",0.1,IF(financials[[#This Row],[Discount Band]]="medium",0.15,0.3))</f>
        <v>0.15</v>
      </c>
      <c r="I2125" s="8">
        <f>financials[[#This Row],[Gross Sales]]-financials[[#This Row],[Gross Sales]]*financials[[#This Row],[Discounts]]</f>
        <v>127.5</v>
      </c>
      <c r="J2125" s="8">
        <f>VLOOKUP(financials[[#This Row],[productid]],Products!$B$2:$H$10,4)</f>
        <v>13.95</v>
      </c>
      <c r="K2125" s="8">
        <f>financials[[#This Row],[Net Sales]]-financials[[#This Row],[COGS]]</f>
        <v>113.55</v>
      </c>
      <c r="L2125" s="15">
        <v>44256</v>
      </c>
      <c r="M2125" t="s">
        <v>690</v>
      </c>
    </row>
    <row r="2126" spans="1:13" x14ac:dyDescent="0.25">
      <c r="A2126" t="s">
        <v>85</v>
      </c>
      <c r="B2126" s="6" t="s">
        <v>159</v>
      </c>
      <c r="C2126" s="13">
        <v>103</v>
      </c>
      <c r="D2126" s="14" t="s">
        <v>90</v>
      </c>
      <c r="E2126">
        <v>14</v>
      </c>
      <c r="F2126" s="8">
        <f>VLOOKUP(financials[[#This Row],[productid]],Products!$B$2:$H$10,3)</f>
        <v>28</v>
      </c>
      <c r="G2126" s="8">
        <f>financials[[#This Row],[Units Sold]]*financials[[#This Row],[Sale Price]]</f>
        <v>392</v>
      </c>
      <c r="H2126" s="8">
        <f>IF(financials[[#This Row],[Discount Band]]="low",0.1,IF(financials[[#This Row],[Discount Band]]="medium",0.15,0.3))</f>
        <v>0.15</v>
      </c>
      <c r="I2126" s="8">
        <f>financials[[#This Row],[Gross Sales]]-financials[[#This Row],[Gross Sales]]*financials[[#This Row],[Discounts]]</f>
        <v>333.2</v>
      </c>
      <c r="J2126" s="8">
        <f>VLOOKUP(financials[[#This Row],[productid]],Products!$B$2:$H$10,4)</f>
        <v>15</v>
      </c>
      <c r="K2126" s="8">
        <f>financials[[#This Row],[Net Sales]]-financials[[#This Row],[COGS]]</f>
        <v>318.2</v>
      </c>
      <c r="L2126" s="15">
        <v>45400</v>
      </c>
      <c r="M2126" t="s">
        <v>700</v>
      </c>
    </row>
    <row r="2127" spans="1:13" x14ac:dyDescent="0.25">
      <c r="A2127" t="s">
        <v>85</v>
      </c>
      <c r="B2127" s="6" t="s">
        <v>84</v>
      </c>
      <c r="C2127" s="13">
        <v>105</v>
      </c>
      <c r="D2127" s="14" t="s">
        <v>92</v>
      </c>
      <c r="E2127">
        <v>5</v>
      </c>
      <c r="F2127" s="8">
        <f>VLOOKUP(financials[[#This Row],[productid]],Products!$B$2:$H$10,3)</f>
        <v>15</v>
      </c>
      <c r="G2127" s="8">
        <f>financials[[#This Row],[Units Sold]]*financials[[#This Row],[Sale Price]]</f>
        <v>75</v>
      </c>
      <c r="H2127" s="8">
        <f>IF(financials[[#This Row],[Discount Band]]="low",0.1,IF(financials[[#This Row],[Discount Band]]="medium",0.15,0.3))</f>
        <v>0.3</v>
      </c>
      <c r="I2127" s="8">
        <f>financials[[#This Row],[Gross Sales]]-financials[[#This Row],[Gross Sales]]*financials[[#This Row],[Discounts]]</f>
        <v>52.5</v>
      </c>
      <c r="J2127" s="8">
        <f>VLOOKUP(financials[[#This Row],[productid]],Products!$B$2:$H$10,4)</f>
        <v>10</v>
      </c>
      <c r="K2127" s="8">
        <f>financials[[#This Row],[Net Sales]]-financials[[#This Row],[COGS]]</f>
        <v>42.5</v>
      </c>
      <c r="L2127" s="15">
        <v>45609</v>
      </c>
      <c r="M2127" t="s">
        <v>690</v>
      </c>
    </row>
    <row r="2128" spans="1:13" x14ac:dyDescent="0.25">
      <c r="A2128" t="s">
        <v>85</v>
      </c>
      <c r="B2128" s="6" t="s">
        <v>159</v>
      </c>
      <c r="C2128" s="11">
        <v>106</v>
      </c>
      <c r="D2128" s="9" t="s">
        <v>90</v>
      </c>
      <c r="E2128">
        <v>7</v>
      </c>
      <c r="F2128" s="8">
        <f>VLOOKUP(financials[[#This Row],[productid]],Products!$B$2:$H$10,3)</f>
        <v>25</v>
      </c>
      <c r="G2128" s="8">
        <f>financials[[#This Row],[Units Sold]]*financials[[#This Row],[Sale Price]]</f>
        <v>175</v>
      </c>
      <c r="H2128" s="8">
        <f>IF(financials[[#This Row],[Discount Band]]="low",0.1,IF(financials[[#This Row],[Discount Band]]="medium",0.15,0.3))</f>
        <v>0.15</v>
      </c>
      <c r="I2128" s="8">
        <f>financials[[#This Row],[Gross Sales]]-financials[[#This Row],[Gross Sales]]*financials[[#This Row],[Discounts]]</f>
        <v>148.75</v>
      </c>
      <c r="J2128" s="8">
        <f>VLOOKUP(financials[[#This Row],[productid]],Products!$B$2:$H$10,4)</f>
        <v>9.1</v>
      </c>
      <c r="K2128" s="8">
        <f>financials[[#This Row],[Net Sales]]-financials[[#This Row],[COGS]]</f>
        <v>139.65</v>
      </c>
      <c r="L2128" s="15">
        <v>44136</v>
      </c>
      <c r="M2128" t="s">
        <v>697</v>
      </c>
    </row>
    <row r="2129" spans="1:13" x14ac:dyDescent="0.25">
      <c r="A2129" t="s">
        <v>87</v>
      </c>
      <c r="B2129" s="6" t="s">
        <v>158</v>
      </c>
      <c r="C2129" s="13">
        <v>103</v>
      </c>
      <c r="D2129" s="14" t="s">
        <v>90</v>
      </c>
      <c r="E2129">
        <v>17</v>
      </c>
      <c r="F2129" s="8">
        <f>VLOOKUP(financials[[#This Row],[productid]],Products!$B$2:$H$10,3)</f>
        <v>28</v>
      </c>
      <c r="G2129" s="8">
        <f>financials[[#This Row],[Units Sold]]*financials[[#This Row],[Sale Price]]</f>
        <v>476</v>
      </c>
      <c r="H2129" s="8">
        <f>IF(financials[[#This Row],[Discount Band]]="low",0.1,IF(financials[[#This Row],[Discount Band]]="medium",0.15,0.3))</f>
        <v>0.15</v>
      </c>
      <c r="I2129" s="8">
        <f>financials[[#This Row],[Gross Sales]]-financials[[#This Row],[Gross Sales]]*financials[[#This Row],[Discounts]]</f>
        <v>404.6</v>
      </c>
      <c r="J2129" s="8">
        <f>VLOOKUP(financials[[#This Row],[productid]],Products!$B$2:$H$10,4)</f>
        <v>15</v>
      </c>
      <c r="K2129" s="8">
        <f>financials[[#This Row],[Net Sales]]-financials[[#This Row],[COGS]]</f>
        <v>389.6</v>
      </c>
      <c r="L2129" s="15">
        <v>44213</v>
      </c>
      <c r="M2129" t="s">
        <v>691</v>
      </c>
    </row>
    <row r="2130" spans="1:13" x14ac:dyDescent="0.25">
      <c r="A2130" t="s">
        <v>86</v>
      </c>
      <c r="B2130" s="6" t="s">
        <v>159</v>
      </c>
      <c r="C2130" s="11">
        <v>106</v>
      </c>
      <c r="D2130" s="9" t="s">
        <v>83</v>
      </c>
      <c r="E2130">
        <v>10</v>
      </c>
      <c r="F2130" s="8">
        <f>VLOOKUP(financials[[#This Row],[productid]],Products!$B$2:$H$10,3)</f>
        <v>25</v>
      </c>
      <c r="G2130" s="8">
        <f>financials[[#This Row],[Units Sold]]*financials[[#This Row],[Sale Price]]</f>
        <v>250</v>
      </c>
      <c r="H2130" s="8">
        <f>IF(financials[[#This Row],[Discount Band]]="low",0.1,IF(financials[[#This Row],[Discount Band]]="medium",0.15,0.3))</f>
        <v>0.3</v>
      </c>
      <c r="I2130" s="8">
        <f>financials[[#This Row],[Gross Sales]]-financials[[#This Row],[Gross Sales]]*financials[[#This Row],[Discounts]]</f>
        <v>175</v>
      </c>
      <c r="J2130" s="8">
        <f>VLOOKUP(financials[[#This Row],[productid]],Products!$B$2:$H$10,4)</f>
        <v>9.1</v>
      </c>
      <c r="K2130" s="8">
        <f>financials[[#This Row],[Net Sales]]-financials[[#This Row],[COGS]]</f>
        <v>165.9</v>
      </c>
      <c r="L2130" s="15">
        <v>44947</v>
      </c>
      <c r="M2130" t="s">
        <v>690</v>
      </c>
    </row>
    <row r="2131" spans="1:13" x14ac:dyDescent="0.25">
      <c r="A2131" t="s">
        <v>85</v>
      </c>
      <c r="B2131" s="6" t="s">
        <v>84</v>
      </c>
      <c r="C2131" s="13">
        <v>104</v>
      </c>
      <c r="D2131" s="14" t="s">
        <v>90</v>
      </c>
      <c r="E2131">
        <v>6</v>
      </c>
      <c r="F2131" s="8">
        <f>VLOOKUP(financials[[#This Row],[productid]],Products!$B$2:$H$10,3)</f>
        <v>5.9</v>
      </c>
      <c r="G2131" s="8">
        <f>financials[[#This Row],[Units Sold]]*financials[[#This Row],[Sale Price]]</f>
        <v>35.400000000000006</v>
      </c>
      <c r="H2131" s="8">
        <f>IF(financials[[#This Row],[Discount Band]]="low",0.1,IF(financials[[#This Row],[Discount Band]]="medium",0.15,0.3))</f>
        <v>0.15</v>
      </c>
      <c r="I2131" s="8">
        <f>financials[[#This Row],[Gross Sales]]-financials[[#This Row],[Gross Sales]]*financials[[#This Row],[Discounts]]</f>
        <v>30.090000000000003</v>
      </c>
      <c r="J2131" s="8">
        <f>VLOOKUP(financials[[#This Row],[productid]],Products!$B$2:$H$10,4)</f>
        <v>2.9</v>
      </c>
      <c r="K2131" s="8">
        <f>financials[[#This Row],[Net Sales]]-financials[[#This Row],[COGS]]</f>
        <v>27.190000000000005</v>
      </c>
      <c r="L2131" s="15">
        <v>45631</v>
      </c>
      <c r="M2131" t="s">
        <v>700</v>
      </c>
    </row>
    <row r="2132" spans="1:13" x14ac:dyDescent="0.25">
      <c r="A2132" t="s">
        <v>87</v>
      </c>
      <c r="B2132" s="6" t="s">
        <v>148</v>
      </c>
      <c r="C2132" s="13">
        <v>104</v>
      </c>
      <c r="D2132" s="14" t="s">
        <v>83</v>
      </c>
      <c r="E2132">
        <v>13</v>
      </c>
      <c r="F2132" s="8">
        <f>VLOOKUP(financials[[#This Row],[productid]],Products!$B$2:$H$10,3)</f>
        <v>5.9</v>
      </c>
      <c r="G2132" s="8">
        <f>financials[[#This Row],[Units Sold]]*financials[[#This Row],[Sale Price]]</f>
        <v>76.7</v>
      </c>
      <c r="H2132" s="8">
        <f>IF(financials[[#This Row],[Discount Band]]="low",0.1,IF(financials[[#This Row],[Discount Band]]="medium",0.15,0.3))</f>
        <v>0.3</v>
      </c>
      <c r="I2132" s="8">
        <f>financials[[#This Row],[Gross Sales]]-financials[[#This Row],[Gross Sales]]*financials[[#This Row],[Discounts]]</f>
        <v>53.69</v>
      </c>
      <c r="J2132" s="8">
        <f>VLOOKUP(financials[[#This Row],[productid]],Products!$B$2:$H$10,4)</f>
        <v>2.9</v>
      </c>
      <c r="K2132" s="8">
        <f>financials[[#This Row],[Net Sales]]-financials[[#This Row],[COGS]]</f>
        <v>50.79</v>
      </c>
      <c r="L2132" s="15">
        <v>45323</v>
      </c>
      <c r="M2132" t="s">
        <v>696</v>
      </c>
    </row>
    <row r="2133" spans="1:13" x14ac:dyDescent="0.25">
      <c r="A2133" t="s">
        <v>86</v>
      </c>
      <c r="B2133" s="6" t="s">
        <v>159</v>
      </c>
      <c r="C2133" s="13">
        <v>109</v>
      </c>
      <c r="D2133" s="14" t="s">
        <v>90</v>
      </c>
      <c r="E2133">
        <v>14</v>
      </c>
      <c r="F2133" s="8">
        <f>VLOOKUP(financials[[#This Row],[productid]],Products!$B$2:$H$10,3)</f>
        <v>36</v>
      </c>
      <c r="G2133" s="8">
        <f>financials[[#This Row],[Units Sold]]*financials[[#This Row],[Sale Price]]</f>
        <v>504</v>
      </c>
      <c r="H2133" s="8">
        <f>IF(financials[[#This Row],[Discount Band]]="low",0.1,IF(financials[[#This Row],[Discount Band]]="medium",0.15,0.3))</f>
        <v>0.15</v>
      </c>
      <c r="I2133" s="8">
        <f>financials[[#This Row],[Gross Sales]]-financials[[#This Row],[Gross Sales]]*financials[[#This Row],[Discounts]]</f>
        <v>428.4</v>
      </c>
      <c r="J2133" s="8">
        <f>VLOOKUP(financials[[#This Row],[productid]],Products!$B$2:$H$10,4)</f>
        <v>16.8</v>
      </c>
      <c r="K2133" s="8">
        <f>financials[[#This Row],[Net Sales]]-financials[[#This Row],[COGS]]</f>
        <v>411.59999999999997</v>
      </c>
      <c r="L2133" s="15">
        <v>43926</v>
      </c>
      <c r="M2133" t="s">
        <v>697</v>
      </c>
    </row>
    <row r="2134" spans="1:13" x14ac:dyDescent="0.25">
      <c r="A2134" t="s">
        <v>86</v>
      </c>
      <c r="B2134" s="6" t="s">
        <v>266</v>
      </c>
      <c r="C2134" s="13">
        <v>101</v>
      </c>
      <c r="D2134" s="14" t="s">
        <v>90</v>
      </c>
      <c r="E2134">
        <v>6</v>
      </c>
      <c r="F2134" s="8">
        <f>VLOOKUP(financials[[#This Row],[productid]],Products!$B$2:$H$10,3)</f>
        <v>23</v>
      </c>
      <c r="G2134" s="8">
        <f>financials[[#This Row],[Units Sold]]*financials[[#This Row],[Sale Price]]</f>
        <v>138</v>
      </c>
      <c r="H2134" s="8">
        <f>IF(financials[[#This Row],[Discount Band]]="low",0.1,IF(financials[[#This Row],[Discount Band]]="medium",0.15,0.3))</f>
        <v>0.15</v>
      </c>
      <c r="I2134" s="8">
        <f>financials[[#This Row],[Gross Sales]]-financials[[#This Row],[Gross Sales]]*financials[[#This Row],[Discounts]]</f>
        <v>117.3</v>
      </c>
      <c r="J2134" s="8">
        <f>VLOOKUP(financials[[#This Row],[productid]],Products!$B$2:$H$10,4)</f>
        <v>9.9499999999999993</v>
      </c>
      <c r="K2134" s="8">
        <f>financials[[#This Row],[Net Sales]]-financials[[#This Row],[COGS]]</f>
        <v>107.35</v>
      </c>
      <c r="L2134" s="15">
        <v>44930</v>
      </c>
      <c r="M2134" t="s">
        <v>697</v>
      </c>
    </row>
    <row r="2135" spans="1:13" x14ac:dyDescent="0.25">
      <c r="A2135" t="s">
        <v>89</v>
      </c>
      <c r="B2135" s="6" t="s">
        <v>84</v>
      </c>
      <c r="C2135" s="11">
        <v>101</v>
      </c>
      <c r="D2135" s="9" t="s">
        <v>92</v>
      </c>
      <c r="E2135">
        <v>14</v>
      </c>
      <c r="F2135" s="8">
        <f>VLOOKUP(financials[[#This Row],[productid]],Products!$B$2:$H$10,3)</f>
        <v>23</v>
      </c>
      <c r="G2135" s="8">
        <f>financials[[#This Row],[Units Sold]]*financials[[#This Row],[Sale Price]]</f>
        <v>322</v>
      </c>
      <c r="H2135" s="8">
        <f>IF(financials[[#This Row],[Discount Band]]="low",0.1,IF(financials[[#This Row],[Discount Band]]="medium",0.15,0.3))</f>
        <v>0.3</v>
      </c>
      <c r="I2135" s="8">
        <f>financials[[#This Row],[Gross Sales]]-financials[[#This Row],[Gross Sales]]*financials[[#This Row],[Discounts]]</f>
        <v>225.4</v>
      </c>
      <c r="J2135" s="8">
        <f>VLOOKUP(financials[[#This Row],[productid]],Products!$B$2:$H$10,4)</f>
        <v>9.9499999999999993</v>
      </c>
      <c r="K2135" s="8">
        <f>financials[[#This Row],[Net Sales]]-financials[[#This Row],[COGS]]</f>
        <v>215.45000000000002</v>
      </c>
      <c r="L2135" s="15">
        <v>45009</v>
      </c>
      <c r="M2135" t="s">
        <v>691</v>
      </c>
    </row>
    <row r="2136" spans="1:13" x14ac:dyDescent="0.25">
      <c r="A2136" t="s">
        <v>86</v>
      </c>
      <c r="B2136" s="6" t="s">
        <v>124</v>
      </c>
      <c r="C2136" s="13">
        <v>105</v>
      </c>
      <c r="D2136" s="14" t="s">
        <v>83</v>
      </c>
      <c r="E2136">
        <v>10</v>
      </c>
      <c r="F2136" s="8">
        <f>VLOOKUP(financials[[#This Row],[productid]],Products!$B$2:$H$10,3)</f>
        <v>15</v>
      </c>
      <c r="G2136" s="8">
        <f>financials[[#This Row],[Units Sold]]*financials[[#This Row],[Sale Price]]</f>
        <v>150</v>
      </c>
      <c r="H2136" s="8">
        <f>IF(financials[[#This Row],[Discount Band]]="low",0.1,IF(financials[[#This Row],[Discount Band]]="medium",0.15,0.3))</f>
        <v>0.3</v>
      </c>
      <c r="I2136" s="8">
        <f>financials[[#This Row],[Gross Sales]]-financials[[#This Row],[Gross Sales]]*financials[[#This Row],[Discounts]]</f>
        <v>105</v>
      </c>
      <c r="J2136" s="8">
        <f>VLOOKUP(financials[[#This Row],[productid]],Products!$B$2:$H$10,4)</f>
        <v>10</v>
      </c>
      <c r="K2136" s="8">
        <f>financials[[#This Row],[Net Sales]]-financials[[#This Row],[COGS]]</f>
        <v>95</v>
      </c>
      <c r="L2136" s="15">
        <v>45232</v>
      </c>
      <c r="M2136" t="s">
        <v>691</v>
      </c>
    </row>
    <row r="2137" spans="1:13" x14ac:dyDescent="0.25">
      <c r="A2137" t="s">
        <v>86</v>
      </c>
      <c r="B2137" s="6" t="s">
        <v>159</v>
      </c>
      <c r="C2137" s="11">
        <v>106</v>
      </c>
      <c r="D2137" s="9" t="s">
        <v>92</v>
      </c>
      <c r="E2137">
        <v>16</v>
      </c>
      <c r="F2137" s="8">
        <f>VLOOKUP(financials[[#This Row],[productid]],Products!$B$2:$H$10,3)</f>
        <v>25</v>
      </c>
      <c r="G2137" s="8">
        <f>financials[[#This Row],[Units Sold]]*financials[[#This Row],[Sale Price]]</f>
        <v>400</v>
      </c>
      <c r="H2137" s="8">
        <f>IF(financials[[#This Row],[Discount Band]]="low",0.1,IF(financials[[#This Row],[Discount Band]]="medium",0.15,0.3))</f>
        <v>0.3</v>
      </c>
      <c r="I2137" s="8">
        <f>financials[[#This Row],[Gross Sales]]-financials[[#This Row],[Gross Sales]]*financials[[#This Row],[Discounts]]</f>
        <v>280</v>
      </c>
      <c r="J2137" s="8">
        <f>VLOOKUP(financials[[#This Row],[productid]],Products!$B$2:$H$10,4)</f>
        <v>9.1</v>
      </c>
      <c r="K2137" s="8">
        <f>financials[[#This Row],[Net Sales]]-financials[[#This Row],[COGS]]</f>
        <v>270.89999999999998</v>
      </c>
      <c r="L2137" s="15">
        <v>44777</v>
      </c>
      <c r="M2137" t="s">
        <v>690</v>
      </c>
    </row>
    <row r="2138" spans="1:13" x14ac:dyDescent="0.25">
      <c r="A2138" t="s">
        <v>89</v>
      </c>
      <c r="B2138" s="6" t="s">
        <v>84</v>
      </c>
      <c r="C2138" s="13">
        <v>104</v>
      </c>
      <c r="D2138" s="14" t="s">
        <v>91</v>
      </c>
      <c r="E2138">
        <v>11</v>
      </c>
      <c r="F2138" s="8">
        <f>VLOOKUP(financials[[#This Row],[productid]],Products!$B$2:$H$10,3)</f>
        <v>5.9</v>
      </c>
      <c r="G2138" s="8">
        <f>financials[[#This Row],[Units Sold]]*financials[[#This Row],[Sale Price]]</f>
        <v>64.900000000000006</v>
      </c>
      <c r="H2138" s="8">
        <f>IF(financials[[#This Row],[Discount Band]]="low",0.1,IF(financials[[#This Row],[Discount Band]]="medium",0.15,0.3))</f>
        <v>0.1</v>
      </c>
      <c r="I2138" s="8">
        <f>financials[[#This Row],[Gross Sales]]-financials[[#This Row],[Gross Sales]]*financials[[#This Row],[Discounts]]</f>
        <v>58.410000000000004</v>
      </c>
      <c r="J2138" s="8">
        <f>VLOOKUP(financials[[#This Row],[productid]],Products!$B$2:$H$10,4)</f>
        <v>2.9</v>
      </c>
      <c r="K2138" s="8">
        <f>financials[[#This Row],[Net Sales]]-financials[[#This Row],[COGS]]</f>
        <v>55.510000000000005</v>
      </c>
      <c r="L2138" s="15">
        <v>45341</v>
      </c>
      <c r="M2138" t="s">
        <v>697</v>
      </c>
    </row>
    <row r="2139" spans="1:13" x14ac:dyDescent="0.25">
      <c r="A2139" t="s">
        <v>87</v>
      </c>
      <c r="B2139" s="6" t="s">
        <v>240</v>
      </c>
      <c r="C2139" s="13">
        <v>103</v>
      </c>
      <c r="D2139" s="14" t="s">
        <v>90</v>
      </c>
      <c r="E2139">
        <v>20</v>
      </c>
      <c r="F2139" s="8">
        <f>VLOOKUP(financials[[#This Row],[productid]],Products!$B$2:$H$10,3)</f>
        <v>28</v>
      </c>
      <c r="G2139" s="8">
        <f>financials[[#This Row],[Units Sold]]*financials[[#This Row],[Sale Price]]</f>
        <v>560</v>
      </c>
      <c r="H2139" s="8">
        <f>IF(financials[[#This Row],[Discount Band]]="low",0.1,IF(financials[[#This Row],[Discount Band]]="medium",0.15,0.3))</f>
        <v>0.15</v>
      </c>
      <c r="I2139" s="8">
        <f>financials[[#This Row],[Gross Sales]]-financials[[#This Row],[Gross Sales]]*financials[[#This Row],[Discounts]]</f>
        <v>476</v>
      </c>
      <c r="J2139" s="8">
        <f>VLOOKUP(financials[[#This Row],[productid]],Products!$B$2:$H$10,4)</f>
        <v>15</v>
      </c>
      <c r="K2139" s="8">
        <f>financials[[#This Row],[Net Sales]]-financials[[#This Row],[COGS]]</f>
        <v>461</v>
      </c>
      <c r="L2139" s="15">
        <v>43875</v>
      </c>
      <c r="M2139" t="s">
        <v>691</v>
      </c>
    </row>
    <row r="2140" spans="1:13" x14ac:dyDescent="0.25">
      <c r="A2140" t="s">
        <v>86</v>
      </c>
      <c r="B2140" s="6" t="s">
        <v>124</v>
      </c>
      <c r="C2140" s="13">
        <v>104</v>
      </c>
      <c r="D2140" s="14" t="s">
        <v>90</v>
      </c>
      <c r="E2140">
        <v>10</v>
      </c>
      <c r="F2140" s="8">
        <f>VLOOKUP(financials[[#This Row],[productid]],Products!$B$2:$H$10,3)</f>
        <v>5.9</v>
      </c>
      <c r="G2140" s="8">
        <f>financials[[#This Row],[Units Sold]]*financials[[#This Row],[Sale Price]]</f>
        <v>59</v>
      </c>
      <c r="H2140" s="8">
        <f>IF(financials[[#This Row],[Discount Band]]="low",0.1,IF(financials[[#This Row],[Discount Band]]="medium",0.15,0.3))</f>
        <v>0.15</v>
      </c>
      <c r="I2140" s="8">
        <f>financials[[#This Row],[Gross Sales]]-financials[[#This Row],[Gross Sales]]*financials[[#This Row],[Discounts]]</f>
        <v>50.15</v>
      </c>
      <c r="J2140" s="8">
        <f>VLOOKUP(financials[[#This Row],[productid]],Products!$B$2:$H$10,4)</f>
        <v>2.9</v>
      </c>
      <c r="K2140" s="8">
        <f>financials[[#This Row],[Net Sales]]-financials[[#This Row],[COGS]]</f>
        <v>47.25</v>
      </c>
      <c r="L2140" s="15">
        <v>44610</v>
      </c>
      <c r="M2140" t="s">
        <v>690</v>
      </c>
    </row>
    <row r="2141" spans="1:13" x14ac:dyDescent="0.25">
      <c r="A2141" t="s">
        <v>89</v>
      </c>
      <c r="B2141" s="6" t="s">
        <v>84</v>
      </c>
      <c r="C2141" s="13">
        <v>107</v>
      </c>
      <c r="D2141" s="14" t="s">
        <v>83</v>
      </c>
      <c r="E2141">
        <v>18</v>
      </c>
      <c r="F2141" s="8">
        <f>VLOOKUP(financials[[#This Row],[productid]],Products!$B$2:$H$10,3)</f>
        <v>15</v>
      </c>
      <c r="G2141" s="8">
        <f>financials[[#This Row],[Units Sold]]*financials[[#This Row],[Sale Price]]</f>
        <v>270</v>
      </c>
      <c r="H2141" s="8">
        <f>IF(financials[[#This Row],[Discount Band]]="low",0.1,IF(financials[[#This Row],[Discount Band]]="medium",0.15,0.3))</f>
        <v>0.3</v>
      </c>
      <c r="I2141" s="8">
        <f>financials[[#This Row],[Gross Sales]]-financials[[#This Row],[Gross Sales]]*financials[[#This Row],[Discounts]]</f>
        <v>189</v>
      </c>
      <c r="J2141" s="8">
        <f>VLOOKUP(financials[[#This Row],[productid]],Products!$B$2:$H$10,4)</f>
        <v>5.5</v>
      </c>
      <c r="K2141" s="8">
        <f>financials[[#This Row],[Net Sales]]-financials[[#This Row],[COGS]]</f>
        <v>183.5</v>
      </c>
      <c r="L2141" s="15">
        <v>44185</v>
      </c>
      <c r="M2141" t="s">
        <v>700</v>
      </c>
    </row>
    <row r="2142" spans="1:13" x14ac:dyDescent="0.25">
      <c r="A2142" t="s">
        <v>85</v>
      </c>
      <c r="B2142" s="6" t="s">
        <v>159</v>
      </c>
      <c r="C2142" s="13">
        <v>105</v>
      </c>
      <c r="D2142" s="14" t="s">
        <v>83</v>
      </c>
      <c r="E2142">
        <v>10</v>
      </c>
      <c r="F2142" s="8">
        <f>VLOOKUP(financials[[#This Row],[productid]],Products!$B$2:$H$10,3)</f>
        <v>15</v>
      </c>
      <c r="G2142" s="8">
        <f>financials[[#This Row],[Units Sold]]*financials[[#This Row],[Sale Price]]</f>
        <v>150</v>
      </c>
      <c r="H2142" s="8">
        <f>IF(financials[[#This Row],[Discount Band]]="low",0.1,IF(financials[[#This Row],[Discount Band]]="medium",0.15,0.3))</f>
        <v>0.3</v>
      </c>
      <c r="I2142" s="8">
        <f>financials[[#This Row],[Gross Sales]]-financials[[#This Row],[Gross Sales]]*financials[[#This Row],[Discounts]]</f>
        <v>105</v>
      </c>
      <c r="J2142" s="8">
        <f>VLOOKUP(financials[[#This Row],[productid]],Products!$B$2:$H$10,4)</f>
        <v>10</v>
      </c>
      <c r="K2142" s="8">
        <f>financials[[#This Row],[Net Sales]]-financials[[#This Row],[COGS]]</f>
        <v>95</v>
      </c>
      <c r="L2142" s="15">
        <v>45105</v>
      </c>
      <c r="M2142" t="s">
        <v>696</v>
      </c>
    </row>
    <row r="2143" spans="1:13" x14ac:dyDescent="0.25">
      <c r="A2143" t="s">
        <v>87</v>
      </c>
      <c r="B2143" s="6" t="s">
        <v>125</v>
      </c>
      <c r="C2143" s="11">
        <v>106</v>
      </c>
      <c r="D2143" s="9" t="s">
        <v>91</v>
      </c>
      <c r="E2143">
        <v>6</v>
      </c>
      <c r="F2143" s="8">
        <f>VLOOKUP(financials[[#This Row],[productid]],Products!$B$2:$H$10,3)</f>
        <v>25</v>
      </c>
      <c r="G2143" s="8">
        <f>financials[[#This Row],[Units Sold]]*financials[[#This Row],[Sale Price]]</f>
        <v>150</v>
      </c>
      <c r="H2143" s="8">
        <f>IF(financials[[#This Row],[Discount Band]]="low",0.1,IF(financials[[#This Row],[Discount Band]]="medium",0.15,0.3))</f>
        <v>0.1</v>
      </c>
      <c r="I2143" s="8">
        <f>financials[[#This Row],[Gross Sales]]-financials[[#This Row],[Gross Sales]]*financials[[#This Row],[Discounts]]</f>
        <v>135</v>
      </c>
      <c r="J2143" s="8">
        <f>VLOOKUP(financials[[#This Row],[productid]],Products!$B$2:$H$10,4)</f>
        <v>9.1</v>
      </c>
      <c r="K2143" s="8">
        <f>financials[[#This Row],[Net Sales]]-financials[[#This Row],[COGS]]</f>
        <v>125.9</v>
      </c>
      <c r="L2143" s="15">
        <v>43937</v>
      </c>
      <c r="M2143" t="s">
        <v>700</v>
      </c>
    </row>
    <row r="2144" spans="1:13" x14ac:dyDescent="0.25">
      <c r="A2144" t="s">
        <v>86</v>
      </c>
      <c r="B2144" s="6" t="s">
        <v>124</v>
      </c>
      <c r="C2144" s="13">
        <v>109</v>
      </c>
      <c r="D2144" s="14" t="s">
        <v>83</v>
      </c>
      <c r="E2144">
        <v>7</v>
      </c>
      <c r="F2144" s="8">
        <f>VLOOKUP(financials[[#This Row],[productid]],Products!$B$2:$H$10,3)</f>
        <v>36</v>
      </c>
      <c r="G2144" s="8">
        <f>financials[[#This Row],[Units Sold]]*financials[[#This Row],[Sale Price]]</f>
        <v>252</v>
      </c>
      <c r="H2144" s="8">
        <f>IF(financials[[#This Row],[Discount Band]]="low",0.1,IF(financials[[#This Row],[Discount Band]]="medium",0.15,0.3))</f>
        <v>0.3</v>
      </c>
      <c r="I2144" s="8">
        <f>financials[[#This Row],[Gross Sales]]-financials[[#This Row],[Gross Sales]]*financials[[#This Row],[Discounts]]</f>
        <v>176.4</v>
      </c>
      <c r="J2144" s="8">
        <f>VLOOKUP(financials[[#This Row],[productid]],Products!$B$2:$H$10,4)</f>
        <v>16.8</v>
      </c>
      <c r="K2144" s="8">
        <f>financials[[#This Row],[Net Sales]]-financials[[#This Row],[COGS]]</f>
        <v>159.6</v>
      </c>
      <c r="L2144" s="15">
        <v>44009</v>
      </c>
      <c r="M2144" t="s">
        <v>690</v>
      </c>
    </row>
    <row r="2145" spans="1:13" x14ac:dyDescent="0.25">
      <c r="A2145" t="s">
        <v>86</v>
      </c>
      <c r="B2145" s="6" t="s">
        <v>124</v>
      </c>
      <c r="C2145" s="13">
        <v>102</v>
      </c>
      <c r="D2145" s="14" t="s">
        <v>90</v>
      </c>
      <c r="E2145">
        <v>15</v>
      </c>
      <c r="F2145" s="8">
        <f>VLOOKUP(financials[[#This Row],[productid]],Products!$B$2:$H$10,3)</f>
        <v>15</v>
      </c>
      <c r="G2145" s="8">
        <f>financials[[#This Row],[Units Sold]]*financials[[#This Row],[Sale Price]]</f>
        <v>225</v>
      </c>
      <c r="H2145" s="8">
        <f>IF(financials[[#This Row],[Discount Band]]="low",0.1,IF(financials[[#This Row],[Discount Band]]="medium",0.15,0.3))</f>
        <v>0.15</v>
      </c>
      <c r="I2145" s="8">
        <f>financials[[#This Row],[Gross Sales]]-financials[[#This Row],[Gross Sales]]*financials[[#This Row],[Discounts]]</f>
        <v>191.25</v>
      </c>
      <c r="J2145" s="8">
        <f>VLOOKUP(financials[[#This Row],[productid]],Products!$B$2:$H$10,4)</f>
        <v>13.95</v>
      </c>
      <c r="K2145" s="8">
        <f>financials[[#This Row],[Net Sales]]-financials[[#This Row],[COGS]]</f>
        <v>177.3</v>
      </c>
      <c r="L2145" s="15">
        <v>44332</v>
      </c>
      <c r="M2145" t="s">
        <v>697</v>
      </c>
    </row>
    <row r="2146" spans="1:13" x14ac:dyDescent="0.25">
      <c r="A2146" t="s">
        <v>86</v>
      </c>
      <c r="B2146" s="6" t="s">
        <v>159</v>
      </c>
      <c r="C2146" s="13">
        <v>101</v>
      </c>
      <c r="D2146" s="14" t="s">
        <v>90</v>
      </c>
      <c r="E2146">
        <v>5</v>
      </c>
      <c r="F2146" s="8">
        <f>VLOOKUP(financials[[#This Row],[productid]],Products!$B$2:$H$10,3)</f>
        <v>23</v>
      </c>
      <c r="G2146" s="8">
        <f>financials[[#This Row],[Units Sold]]*financials[[#This Row],[Sale Price]]</f>
        <v>115</v>
      </c>
      <c r="H2146" s="8">
        <f>IF(financials[[#This Row],[Discount Band]]="low",0.1,IF(financials[[#This Row],[Discount Band]]="medium",0.15,0.3))</f>
        <v>0.15</v>
      </c>
      <c r="I2146" s="8">
        <f>financials[[#This Row],[Gross Sales]]-financials[[#This Row],[Gross Sales]]*financials[[#This Row],[Discounts]]</f>
        <v>97.75</v>
      </c>
      <c r="J2146" s="8">
        <f>VLOOKUP(financials[[#This Row],[productid]],Products!$B$2:$H$10,4)</f>
        <v>9.9499999999999993</v>
      </c>
      <c r="K2146" s="8">
        <f>financials[[#This Row],[Net Sales]]-financials[[#This Row],[COGS]]</f>
        <v>87.8</v>
      </c>
      <c r="L2146" s="15">
        <v>44206</v>
      </c>
      <c r="M2146" t="s">
        <v>696</v>
      </c>
    </row>
    <row r="2147" spans="1:13" x14ac:dyDescent="0.25">
      <c r="A2147" t="s">
        <v>85</v>
      </c>
      <c r="B2147" s="6" t="s">
        <v>159</v>
      </c>
      <c r="C2147" s="11">
        <v>107</v>
      </c>
      <c r="D2147" s="9" t="s">
        <v>92</v>
      </c>
      <c r="E2147">
        <v>10</v>
      </c>
      <c r="F2147" s="8">
        <f>VLOOKUP(financials[[#This Row],[productid]],Products!$B$2:$H$10,3)</f>
        <v>15</v>
      </c>
      <c r="G2147" s="8">
        <f>financials[[#This Row],[Units Sold]]*financials[[#This Row],[Sale Price]]</f>
        <v>150</v>
      </c>
      <c r="H2147" s="8">
        <f>IF(financials[[#This Row],[Discount Band]]="low",0.1,IF(financials[[#This Row],[Discount Band]]="medium",0.15,0.3))</f>
        <v>0.3</v>
      </c>
      <c r="I2147" s="8">
        <f>financials[[#This Row],[Gross Sales]]-financials[[#This Row],[Gross Sales]]*financials[[#This Row],[Discounts]]</f>
        <v>105</v>
      </c>
      <c r="J2147" s="8">
        <f>VLOOKUP(financials[[#This Row],[productid]],Products!$B$2:$H$10,4)</f>
        <v>5.5</v>
      </c>
      <c r="K2147" s="8">
        <f>financials[[#This Row],[Net Sales]]-financials[[#This Row],[COGS]]</f>
        <v>99.5</v>
      </c>
      <c r="L2147" s="15">
        <v>44100</v>
      </c>
      <c r="M2147" t="s">
        <v>697</v>
      </c>
    </row>
    <row r="2148" spans="1:13" x14ac:dyDescent="0.25">
      <c r="A2148" t="s">
        <v>86</v>
      </c>
      <c r="B2148" s="6" t="s">
        <v>124</v>
      </c>
      <c r="C2148" s="13">
        <v>105</v>
      </c>
      <c r="D2148" s="14" t="s">
        <v>83</v>
      </c>
      <c r="E2148">
        <v>12</v>
      </c>
      <c r="F2148" s="8">
        <f>VLOOKUP(financials[[#This Row],[productid]],Products!$B$2:$H$10,3)</f>
        <v>15</v>
      </c>
      <c r="G2148" s="8">
        <f>financials[[#This Row],[Units Sold]]*financials[[#This Row],[Sale Price]]</f>
        <v>180</v>
      </c>
      <c r="H2148" s="8">
        <f>IF(financials[[#This Row],[Discount Band]]="low",0.1,IF(financials[[#This Row],[Discount Band]]="medium",0.15,0.3))</f>
        <v>0.3</v>
      </c>
      <c r="I2148" s="8">
        <f>financials[[#This Row],[Gross Sales]]-financials[[#This Row],[Gross Sales]]*financials[[#This Row],[Discounts]]</f>
        <v>126</v>
      </c>
      <c r="J2148" s="8">
        <f>VLOOKUP(financials[[#This Row],[productid]],Products!$B$2:$H$10,4)</f>
        <v>10</v>
      </c>
      <c r="K2148" s="8">
        <f>financials[[#This Row],[Net Sales]]-financials[[#This Row],[COGS]]</f>
        <v>116</v>
      </c>
      <c r="L2148" s="15">
        <v>45631</v>
      </c>
      <c r="M2148" t="s">
        <v>691</v>
      </c>
    </row>
    <row r="2149" spans="1:13" x14ac:dyDescent="0.25">
      <c r="A2149" t="s">
        <v>85</v>
      </c>
      <c r="B2149" s="6" t="s">
        <v>159</v>
      </c>
      <c r="C2149" s="13">
        <v>105</v>
      </c>
      <c r="D2149" s="14" t="s">
        <v>91</v>
      </c>
      <c r="E2149">
        <v>18</v>
      </c>
      <c r="F2149" s="8">
        <f>VLOOKUP(financials[[#This Row],[productid]],Products!$B$2:$H$10,3)</f>
        <v>15</v>
      </c>
      <c r="G2149" s="8">
        <f>financials[[#This Row],[Units Sold]]*financials[[#This Row],[Sale Price]]</f>
        <v>270</v>
      </c>
      <c r="H2149" s="8">
        <f>IF(financials[[#This Row],[Discount Band]]="low",0.1,IF(financials[[#This Row],[Discount Band]]="medium",0.15,0.3))</f>
        <v>0.1</v>
      </c>
      <c r="I2149" s="8">
        <f>financials[[#This Row],[Gross Sales]]-financials[[#This Row],[Gross Sales]]*financials[[#This Row],[Discounts]]</f>
        <v>243</v>
      </c>
      <c r="J2149" s="8">
        <f>VLOOKUP(financials[[#This Row],[productid]],Products!$B$2:$H$10,4)</f>
        <v>10</v>
      </c>
      <c r="K2149" s="8">
        <f>financials[[#This Row],[Net Sales]]-financials[[#This Row],[COGS]]</f>
        <v>233</v>
      </c>
      <c r="L2149" s="15">
        <v>44194</v>
      </c>
      <c r="M2149" t="s">
        <v>697</v>
      </c>
    </row>
    <row r="2150" spans="1:13" x14ac:dyDescent="0.25">
      <c r="A2150" t="s">
        <v>87</v>
      </c>
      <c r="B2150" s="6" t="s">
        <v>93</v>
      </c>
      <c r="C2150" s="13">
        <v>106</v>
      </c>
      <c r="D2150" s="14" t="s">
        <v>83</v>
      </c>
      <c r="E2150">
        <v>17</v>
      </c>
      <c r="F2150" s="8">
        <f>VLOOKUP(financials[[#This Row],[productid]],Products!$B$2:$H$10,3)</f>
        <v>25</v>
      </c>
      <c r="G2150" s="8">
        <f>financials[[#This Row],[Units Sold]]*financials[[#This Row],[Sale Price]]</f>
        <v>425</v>
      </c>
      <c r="H2150" s="8">
        <f>IF(financials[[#This Row],[Discount Band]]="low",0.1,IF(financials[[#This Row],[Discount Band]]="medium",0.15,0.3))</f>
        <v>0.3</v>
      </c>
      <c r="I2150" s="8">
        <f>financials[[#This Row],[Gross Sales]]-financials[[#This Row],[Gross Sales]]*financials[[#This Row],[Discounts]]</f>
        <v>297.5</v>
      </c>
      <c r="J2150" s="8">
        <f>VLOOKUP(financials[[#This Row],[productid]],Products!$B$2:$H$10,4)</f>
        <v>9.1</v>
      </c>
      <c r="K2150" s="8">
        <f>financials[[#This Row],[Net Sales]]-financials[[#This Row],[COGS]]</f>
        <v>288.39999999999998</v>
      </c>
      <c r="L2150" s="15">
        <v>44575</v>
      </c>
      <c r="M2150" t="s">
        <v>691</v>
      </c>
    </row>
    <row r="2151" spans="1:13" x14ac:dyDescent="0.25">
      <c r="A2151" t="s">
        <v>85</v>
      </c>
      <c r="B2151" s="6" t="s">
        <v>84</v>
      </c>
      <c r="C2151" s="13">
        <v>104</v>
      </c>
      <c r="D2151" s="14" t="s">
        <v>91</v>
      </c>
      <c r="E2151">
        <v>5</v>
      </c>
      <c r="F2151" s="8">
        <f>VLOOKUP(financials[[#This Row],[productid]],Products!$B$2:$H$10,3)</f>
        <v>5.9</v>
      </c>
      <c r="G2151" s="8">
        <f>financials[[#This Row],[Units Sold]]*financials[[#This Row],[Sale Price]]</f>
        <v>29.5</v>
      </c>
      <c r="H2151" s="8">
        <f>IF(financials[[#This Row],[Discount Band]]="low",0.1,IF(financials[[#This Row],[Discount Band]]="medium",0.15,0.3))</f>
        <v>0.1</v>
      </c>
      <c r="I2151" s="8">
        <f>financials[[#This Row],[Gross Sales]]-financials[[#This Row],[Gross Sales]]*financials[[#This Row],[Discounts]]</f>
        <v>26.55</v>
      </c>
      <c r="J2151" s="8">
        <f>VLOOKUP(financials[[#This Row],[productid]],Products!$B$2:$H$10,4)</f>
        <v>2.9</v>
      </c>
      <c r="K2151" s="8">
        <f>financials[[#This Row],[Net Sales]]-financials[[#This Row],[COGS]]</f>
        <v>23.650000000000002</v>
      </c>
      <c r="L2151" s="15">
        <v>44569</v>
      </c>
      <c r="M2151" t="s">
        <v>696</v>
      </c>
    </row>
    <row r="2152" spans="1:13" x14ac:dyDescent="0.25">
      <c r="A2152" t="s">
        <v>86</v>
      </c>
      <c r="B2152" s="6" t="s">
        <v>159</v>
      </c>
      <c r="C2152" s="13">
        <v>104</v>
      </c>
      <c r="D2152" s="14" t="s">
        <v>92</v>
      </c>
      <c r="E2152">
        <v>5</v>
      </c>
      <c r="F2152" s="8">
        <f>VLOOKUP(financials[[#This Row],[productid]],Products!$B$2:$H$10,3)</f>
        <v>5.9</v>
      </c>
      <c r="G2152" s="8">
        <f>financials[[#This Row],[Units Sold]]*financials[[#This Row],[Sale Price]]</f>
        <v>29.5</v>
      </c>
      <c r="H2152" s="8">
        <f>IF(financials[[#This Row],[Discount Band]]="low",0.1,IF(financials[[#This Row],[Discount Band]]="medium",0.15,0.3))</f>
        <v>0.3</v>
      </c>
      <c r="I2152" s="8">
        <f>financials[[#This Row],[Gross Sales]]-financials[[#This Row],[Gross Sales]]*financials[[#This Row],[Discounts]]</f>
        <v>20.65</v>
      </c>
      <c r="J2152" s="8">
        <f>VLOOKUP(financials[[#This Row],[productid]],Products!$B$2:$H$10,4)</f>
        <v>2.9</v>
      </c>
      <c r="K2152" s="8">
        <f>financials[[#This Row],[Net Sales]]-financials[[#This Row],[COGS]]</f>
        <v>17.75</v>
      </c>
      <c r="L2152" s="15">
        <v>43859</v>
      </c>
      <c r="M2152" t="s">
        <v>696</v>
      </c>
    </row>
    <row r="2153" spans="1:13" x14ac:dyDescent="0.25">
      <c r="A2153" t="s">
        <v>85</v>
      </c>
      <c r="B2153" s="6" t="s">
        <v>159</v>
      </c>
      <c r="C2153" s="13">
        <v>105</v>
      </c>
      <c r="D2153" s="14" t="s">
        <v>83</v>
      </c>
      <c r="E2153">
        <v>10</v>
      </c>
      <c r="F2153" s="8">
        <f>VLOOKUP(financials[[#This Row],[productid]],Products!$B$2:$H$10,3)</f>
        <v>15</v>
      </c>
      <c r="G2153" s="8">
        <f>financials[[#This Row],[Units Sold]]*financials[[#This Row],[Sale Price]]</f>
        <v>150</v>
      </c>
      <c r="H2153" s="8">
        <f>IF(financials[[#This Row],[Discount Band]]="low",0.1,IF(financials[[#This Row],[Discount Band]]="medium",0.15,0.3))</f>
        <v>0.3</v>
      </c>
      <c r="I2153" s="8">
        <f>financials[[#This Row],[Gross Sales]]-financials[[#This Row],[Gross Sales]]*financials[[#This Row],[Discounts]]</f>
        <v>105</v>
      </c>
      <c r="J2153" s="8">
        <f>VLOOKUP(financials[[#This Row],[productid]],Products!$B$2:$H$10,4)</f>
        <v>10</v>
      </c>
      <c r="K2153" s="8">
        <f>financials[[#This Row],[Net Sales]]-financials[[#This Row],[COGS]]</f>
        <v>95</v>
      </c>
      <c r="L2153" s="15">
        <v>45430</v>
      </c>
      <c r="M2153" t="s">
        <v>690</v>
      </c>
    </row>
    <row r="2154" spans="1:13" x14ac:dyDescent="0.25">
      <c r="A2154" t="s">
        <v>87</v>
      </c>
      <c r="B2154" s="6" t="s">
        <v>197</v>
      </c>
      <c r="C2154" s="13">
        <v>105</v>
      </c>
      <c r="D2154" s="14" t="s">
        <v>83</v>
      </c>
      <c r="E2154">
        <v>10</v>
      </c>
      <c r="F2154" s="8">
        <f>VLOOKUP(financials[[#This Row],[productid]],Products!$B$2:$H$10,3)</f>
        <v>15</v>
      </c>
      <c r="G2154" s="8">
        <f>financials[[#This Row],[Units Sold]]*financials[[#This Row],[Sale Price]]</f>
        <v>150</v>
      </c>
      <c r="H2154" s="8">
        <f>IF(financials[[#This Row],[Discount Band]]="low",0.1,IF(financials[[#This Row],[Discount Band]]="medium",0.15,0.3))</f>
        <v>0.3</v>
      </c>
      <c r="I2154" s="8">
        <f>financials[[#This Row],[Gross Sales]]-financials[[#This Row],[Gross Sales]]*financials[[#This Row],[Discounts]]</f>
        <v>105</v>
      </c>
      <c r="J2154" s="8">
        <f>VLOOKUP(financials[[#This Row],[productid]],Products!$B$2:$H$10,4)</f>
        <v>10</v>
      </c>
      <c r="K2154" s="8">
        <f>financials[[#This Row],[Net Sales]]-financials[[#This Row],[COGS]]</f>
        <v>95</v>
      </c>
      <c r="L2154" s="15">
        <v>45050</v>
      </c>
      <c r="M2154" t="s">
        <v>696</v>
      </c>
    </row>
    <row r="2155" spans="1:13" x14ac:dyDescent="0.25">
      <c r="A2155" t="s">
        <v>87</v>
      </c>
      <c r="B2155" s="6" t="s">
        <v>158</v>
      </c>
      <c r="C2155" s="13">
        <v>108</v>
      </c>
      <c r="D2155" s="14" t="s">
        <v>91</v>
      </c>
      <c r="E2155">
        <v>20</v>
      </c>
      <c r="F2155" s="8">
        <f>VLOOKUP(financials[[#This Row],[productid]],Products!$B$2:$H$10,3)</f>
        <v>5.5</v>
      </c>
      <c r="G2155" s="8">
        <f>financials[[#This Row],[Units Sold]]*financials[[#This Row],[Sale Price]]</f>
        <v>110</v>
      </c>
      <c r="H2155" s="8">
        <f>IF(financials[[#This Row],[Discount Band]]="low",0.1,IF(financials[[#This Row],[Discount Band]]="medium",0.15,0.3))</f>
        <v>0.1</v>
      </c>
      <c r="I2155" s="8">
        <f>financials[[#This Row],[Gross Sales]]-financials[[#This Row],[Gross Sales]]*financials[[#This Row],[Discounts]]</f>
        <v>99</v>
      </c>
      <c r="J2155" s="8">
        <f>VLOOKUP(financials[[#This Row],[productid]],Products!$B$2:$H$10,4)</f>
        <v>3.99</v>
      </c>
      <c r="K2155" s="8">
        <f>financials[[#This Row],[Net Sales]]-financials[[#This Row],[COGS]]</f>
        <v>95.01</v>
      </c>
      <c r="L2155" s="15">
        <v>44273</v>
      </c>
      <c r="M2155" t="s">
        <v>690</v>
      </c>
    </row>
    <row r="2156" spans="1:13" x14ac:dyDescent="0.25">
      <c r="A2156" t="s">
        <v>87</v>
      </c>
      <c r="B2156" s="6" t="s">
        <v>148</v>
      </c>
      <c r="C2156" s="13">
        <v>105</v>
      </c>
      <c r="D2156" s="14" t="s">
        <v>90</v>
      </c>
      <c r="E2156">
        <v>17</v>
      </c>
      <c r="F2156" s="8">
        <f>VLOOKUP(financials[[#This Row],[productid]],Products!$B$2:$H$10,3)</f>
        <v>15</v>
      </c>
      <c r="G2156" s="8">
        <f>financials[[#This Row],[Units Sold]]*financials[[#This Row],[Sale Price]]</f>
        <v>255</v>
      </c>
      <c r="H2156" s="8">
        <f>IF(financials[[#This Row],[Discount Band]]="low",0.1,IF(financials[[#This Row],[Discount Band]]="medium",0.15,0.3))</f>
        <v>0.15</v>
      </c>
      <c r="I2156" s="8">
        <f>financials[[#This Row],[Gross Sales]]-financials[[#This Row],[Gross Sales]]*financials[[#This Row],[Discounts]]</f>
        <v>216.75</v>
      </c>
      <c r="J2156" s="8">
        <f>VLOOKUP(financials[[#This Row],[productid]],Products!$B$2:$H$10,4)</f>
        <v>10</v>
      </c>
      <c r="K2156" s="8">
        <f>financials[[#This Row],[Net Sales]]-financials[[#This Row],[COGS]]</f>
        <v>206.75</v>
      </c>
      <c r="L2156" s="15">
        <v>44864</v>
      </c>
      <c r="M2156" t="s">
        <v>697</v>
      </c>
    </row>
    <row r="2157" spans="1:13" x14ac:dyDescent="0.25">
      <c r="A2157" t="s">
        <v>85</v>
      </c>
      <c r="B2157" s="6" t="s">
        <v>84</v>
      </c>
      <c r="C2157" s="13">
        <v>108</v>
      </c>
      <c r="D2157" s="14" t="s">
        <v>83</v>
      </c>
      <c r="E2157">
        <v>16</v>
      </c>
      <c r="F2157" s="8">
        <f>VLOOKUP(financials[[#This Row],[productid]],Products!$B$2:$H$10,3)</f>
        <v>5.5</v>
      </c>
      <c r="G2157" s="8">
        <f>financials[[#This Row],[Units Sold]]*financials[[#This Row],[Sale Price]]</f>
        <v>88</v>
      </c>
      <c r="H2157" s="8">
        <f>IF(financials[[#This Row],[Discount Band]]="low",0.1,IF(financials[[#This Row],[Discount Band]]="medium",0.15,0.3))</f>
        <v>0.3</v>
      </c>
      <c r="I2157" s="8">
        <f>financials[[#This Row],[Gross Sales]]-financials[[#This Row],[Gross Sales]]*financials[[#This Row],[Discounts]]</f>
        <v>61.6</v>
      </c>
      <c r="J2157" s="8">
        <f>VLOOKUP(financials[[#This Row],[productid]],Products!$B$2:$H$10,4)</f>
        <v>3.99</v>
      </c>
      <c r="K2157" s="8">
        <f>financials[[#This Row],[Net Sales]]-financials[[#This Row],[COGS]]</f>
        <v>57.61</v>
      </c>
      <c r="L2157" s="15">
        <v>44504</v>
      </c>
      <c r="M2157" t="s">
        <v>700</v>
      </c>
    </row>
    <row r="2158" spans="1:13" x14ac:dyDescent="0.25">
      <c r="A2158" t="s">
        <v>85</v>
      </c>
      <c r="B2158" s="6" t="s">
        <v>84</v>
      </c>
      <c r="C2158" s="11">
        <v>105</v>
      </c>
      <c r="D2158" s="9" t="s">
        <v>83</v>
      </c>
      <c r="E2158">
        <v>19</v>
      </c>
      <c r="F2158" s="8">
        <f>VLOOKUP(financials[[#This Row],[productid]],Products!$B$2:$H$10,3)</f>
        <v>15</v>
      </c>
      <c r="G2158" s="8">
        <f>financials[[#This Row],[Units Sold]]*financials[[#This Row],[Sale Price]]</f>
        <v>285</v>
      </c>
      <c r="H2158" s="8">
        <f>IF(financials[[#This Row],[Discount Band]]="low",0.1,IF(financials[[#This Row],[Discount Band]]="medium",0.15,0.3))</f>
        <v>0.3</v>
      </c>
      <c r="I2158" s="8">
        <f>financials[[#This Row],[Gross Sales]]-financials[[#This Row],[Gross Sales]]*financials[[#This Row],[Discounts]]</f>
        <v>199.5</v>
      </c>
      <c r="J2158" s="8">
        <f>VLOOKUP(financials[[#This Row],[productid]],Products!$B$2:$H$10,4)</f>
        <v>10</v>
      </c>
      <c r="K2158" s="8">
        <f>financials[[#This Row],[Net Sales]]-financials[[#This Row],[COGS]]</f>
        <v>189.5</v>
      </c>
      <c r="L2158" s="15">
        <v>44809</v>
      </c>
      <c r="M2158" t="s">
        <v>697</v>
      </c>
    </row>
    <row r="2159" spans="1:13" x14ac:dyDescent="0.25">
      <c r="A2159" t="s">
        <v>89</v>
      </c>
      <c r="B2159" s="6" t="s">
        <v>84</v>
      </c>
      <c r="C2159" s="11">
        <v>109</v>
      </c>
      <c r="D2159" s="9" t="s">
        <v>91</v>
      </c>
      <c r="E2159">
        <v>14</v>
      </c>
      <c r="F2159" s="8">
        <f>VLOOKUP(financials[[#This Row],[productid]],Products!$B$2:$H$10,3)</f>
        <v>36</v>
      </c>
      <c r="G2159" s="8">
        <f>financials[[#This Row],[Units Sold]]*financials[[#This Row],[Sale Price]]</f>
        <v>504</v>
      </c>
      <c r="H2159" s="8">
        <f>IF(financials[[#This Row],[Discount Band]]="low",0.1,IF(financials[[#This Row],[Discount Band]]="medium",0.15,0.3))</f>
        <v>0.1</v>
      </c>
      <c r="I2159" s="8">
        <f>financials[[#This Row],[Gross Sales]]-financials[[#This Row],[Gross Sales]]*financials[[#This Row],[Discounts]]</f>
        <v>453.6</v>
      </c>
      <c r="J2159" s="8">
        <f>VLOOKUP(financials[[#This Row],[productid]],Products!$B$2:$H$10,4)</f>
        <v>16.8</v>
      </c>
      <c r="K2159" s="8">
        <f>financials[[#This Row],[Net Sales]]-financials[[#This Row],[COGS]]</f>
        <v>436.8</v>
      </c>
      <c r="L2159" s="15">
        <v>44786</v>
      </c>
      <c r="M2159" t="s">
        <v>696</v>
      </c>
    </row>
    <row r="2160" spans="1:13" x14ac:dyDescent="0.25">
      <c r="A2160" t="s">
        <v>85</v>
      </c>
      <c r="B2160" s="6" t="s">
        <v>84</v>
      </c>
      <c r="C2160" s="13">
        <v>104</v>
      </c>
      <c r="D2160" s="14" t="s">
        <v>92</v>
      </c>
      <c r="E2160">
        <v>17</v>
      </c>
      <c r="F2160" s="8">
        <f>VLOOKUP(financials[[#This Row],[productid]],Products!$B$2:$H$10,3)</f>
        <v>5.9</v>
      </c>
      <c r="G2160" s="8">
        <f>financials[[#This Row],[Units Sold]]*financials[[#This Row],[Sale Price]]</f>
        <v>100.30000000000001</v>
      </c>
      <c r="H2160" s="8">
        <f>IF(financials[[#This Row],[Discount Band]]="low",0.1,IF(financials[[#This Row],[Discount Band]]="medium",0.15,0.3))</f>
        <v>0.3</v>
      </c>
      <c r="I2160" s="8">
        <f>financials[[#This Row],[Gross Sales]]-financials[[#This Row],[Gross Sales]]*financials[[#This Row],[Discounts]]</f>
        <v>70.210000000000008</v>
      </c>
      <c r="J2160" s="8">
        <f>VLOOKUP(financials[[#This Row],[productid]],Products!$B$2:$H$10,4)</f>
        <v>2.9</v>
      </c>
      <c r="K2160" s="8">
        <f>financials[[#This Row],[Net Sales]]-financials[[#This Row],[COGS]]</f>
        <v>67.31</v>
      </c>
      <c r="L2160" s="15">
        <v>44067</v>
      </c>
      <c r="M2160" t="s">
        <v>700</v>
      </c>
    </row>
    <row r="2161" spans="1:13" x14ac:dyDescent="0.25">
      <c r="A2161" t="s">
        <v>86</v>
      </c>
      <c r="B2161" s="6" t="s">
        <v>124</v>
      </c>
      <c r="C2161" s="13">
        <v>102</v>
      </c>
      <c r="D2161" s="14" t="s">
        <v>90</v>
      </c>
      <c r="E2161">
        <v>9</v>
      </c>
      <c r="F2161" s="8">
        <f>VLOOKUP(financials[[#This Row],[productid]],Products!$B$2:$H$10,3)</f>
        <v>15</v>
      </c>
      <c r="G2161" s="8">
        <f>financials[[#This Row],[Units Sold]]*financials[[#This Row],[Sale Price]]</f>
        <v>135</v>
      </c>
      <c r="H2161" s="8">
        <f>IF(financials[[#This Row],[Discount Band]]="low",0.1,IF(financials[[#This Row],[Discount Band]]="medium",0.15,0.3))</f>
        <v>0.15</v>
      </c>
      <c r="I2161" s="8">
        <f>financials[[#This Row],[Gross Sales]]-financials[[#This Row],[Gross Sales]]*financials[[#This Row],[Discounts]]</f>
        <v>114.75</v>
      </c>
      <c r="J2161" s="8">
        <f>VLOOKUP(financials[[#This Row],[productid]],Products!$B$2:$H$10,4)</f>
        <v>13.95</v>
      </c>
      <c r="K2161" s="8">
        <f>financials[[#This Row],[Net Sales]]-financials[[#This Row],[COGS]]</f>
        <v>100.8</v>
      </c>
      <c r="L2161" s="15">
        <v>45476</v>
      </c>
      <c r="M2161" t="s">
        <v>696</v>
      </c>
    </row>
    <row r="2162" spans="1:13" x14ac:dyDescent="0.25">
      <c r="A2162" t="s">
        <v>89</v>
      </c>
      <c r="B2162" s="6" t="s">
        <v>84</v>
      </c>
      <c r="C2162" s="13">
        <v>102</v>
      </c>
      <c r="D2162" s="14" t="s">
        <v>83</v>
      </c>
      <c r="E2162">
        <v>15</v>
      </c>
      <c r="F2162" s="8">
        <f>VLOOKUP(financials[[#This Row],[productid]],Products!$B$2:$H$10,3)</f>
        <v>15</v>
      </c>
      <c r="G2162" s="8">
        <f>financials[[#This Row],[Units Sold]]*financials[[#This Row],[Sale Price]]</f>
        <v>225</v>
      </c>
      <c r="H2162" s="8">
        <f>IF(financials[[#This Row],[Discount Band]]="low",0.1,IF(financials[[#This Row],[Discount Band]]="medium",0.15,0.3))</f>
        <v>0.3</v>
      </c>
      <c r="I2162" s="8">
        <f>financials[[#This Row],[Gross Sales]]-financials[[#This Row],[Gross Sales]]*financials[[#This Row],[Discounts]]</f>
        <v>157.5</v>
      </c>
      <c r="J2162" s="8">
        <f>VLOOKUP(financials[[#This Row],[productid]],Products!$B$2:$H$10,4)</f>
        <v>13.95</v>
      </c>
      <c r="K2162" s="8">
        <f>financials[[#This Row],[Net Sales]]-financials[[#This Row],[COGS]]</f>
        <v>143.55000000000001</v>
      </c>
      <c r="L2162" s="15">
        <v>44245</v>
      </c>
      <c r="M2162" t="s">
        <v>691</v>
      </c>
    </row>
    <row r="2163" spans="1:13" x14ac:dyDescent="0.25">
      <c r="A2163" t="s">
        <v>89</v>
      </c>
      <c r="B2163" s="6" t="s">
        <v>159</v>
      </c>
      <c r="C2163" s="13">
        <v>106</v>
      </c>
      <c r="D2163" s="14" t="s">
        <v>90</v>
      </c>
      <c r="E2163">
        <v>7</v>
      </c>
      <c r="F2163" s="8">
        <f>VLOOKUP(financials[[#This Row],[productid]],Products!$B$2:$H$10,3)</f>
        <v>25</v>
      </c>
      <c r="G2163" s="8">
        <f>financials[[#This Row],[Units Sold]]*financials[[#This Row],[Sale Price]]</f>
        <v>175</v>
      </c>
      <c r="H2163" s="8">
        <f>IF(financials[[#This Row],[Discount Band]]="low",0.1,IF(financials[[#This Row],[Discount Band]]="medium",0.15,0.3))</f>
        <v>0.15</v>
      </c>
      <c r="I2163" s="8">
        <f>financials[[#This Row],[Gross Sales]]-financials[[#This Row],[Gross Sales]]*financials[[#This Row],[Discounts]]</f>
        <v>148.75</v>
      </c>
      <c r="J2163" s="8">
        <f>VLOOKUP(financials[[#This Row],[productid]],Products!$B$2:$H$10,4)</f>
        <v>9.1</v>
      </c>
      <c r="K2163" s="8">
        <f>financials[[#This Row],[Net Sales]]-financials[[#This Row],[COGS]]</f>
        <v>139.65</v>
      </c>
      <c r="L2163" s="15">
        <v>45435</v>
      </c>
      <c r="M2163" t="s">
        <v>700</v>
      </c>
    </row>
    <row r="2164" spans="1:13" x14ac:dyDescent="0.25">
      <c r="A2164" t="s">
        <v>87</v>
      </c>
      <c r="B2164" s="6" t="s">
        <v>617</v>
      </c>
      <c r="C2164" s="11">
        <v>108</v>
      </c>
      <c r="D2164" s="9" t="s">
        <v>83</v>
      </c>
      <c r="E2164">
        <v>15</v>
      </c>
      <c r="F2164" s="8">
        <f>VLOOKUP(financials[[#This Row],[productid]],Products!$B$2:$H$10,3)</f>
        <v>5.5</v>
      </c>
      <c r="G2164" s="8">
        <f>financials[[#This Row],[Units Sold]]*financials[[#This Row],[Sale Price]]</f>
        <v>82.5</v>
      </c>
      <c r="H2164" s="8">
        <f>IF(financials[[#This Row],[Discount Band]]="low",0.1,IF(financials[[#This Row],[Discount Band]]="medium",0.15,0.3))</f>
        <v>0.3</v>
      </c>
      <c r="I2164" s="8">
        <f>financials[[#This Row],[Gross Sales]]-financials[[#This Row],[Gross Sales]]*financials[[#This Row],[Discounts]]</f>
        <v>57.75</v>
      </c>
      <c r="J2164" s="8">
        <f>VLOOKUP(financials[[#This Row],[productid]],Products!$B$2:$H$10,4)</f>
        <v>3.99</v>
      </c>
      <c r="K2164" s="8">
        <f>financials[[#This Row],[Net Sales]]-financials[[#This Row],[COGS]]</f>
        <v>53.76</v>
      </c>
      <c r="L2164" s="15">
        <v>44329</v>
      </c>
      <c r="M2164" t="s">
        <v>690</v>
      </c>
    </row>
    <row r="2165" spans="1:13" x14ac:dyDescent="0.25">
      <c r="A2165" t="s">
        <v>87</v>
      </c>
      <c r="B2165" s="6" t="s">
        <v>287</v>
      </c>
      <c r="C2165" s="13">
        <v>108</v>
      </c>
      <c r="D2165" s="14" t="s">
        <v>83</v>
      </c>
      <c r="E2165">
        <v>15</v>
      </c>
      <c r="F2165" s="8">
        <f>VLOOKUP(financials[[#This Row],[productid]],Products!$B$2:$H$10,3)</f>
        <v>5.5</v>
      </c>
      <c r="G2165" s="8">
        <f>financials[[#This Row],[Units Sold]]*financials[[#This Row],[Sale Price]]</f>
        <v>82.5</v>
      </c>
      <c r="H2165" s="8">
        <f>IF(financials[[#This Row],[Discount Band]]="low",0.1,IF(financials[[#This Row],[Discount Band]]="medium",0.15,0.3))</f>
        <v>0.3</v>
      </c>
      <c r="I2165" s="8">
        <f>financials[[#This Row],[Gross Sales]]-financials[[#This Row],[Gross Sales]]*financials[[#This Row],[Discounts]]</f>
        <v>57.75</v>
      </c>
      <c r="J2165" s="8">
        <f>VLOOKUP(financials[[#This Row],[productid]],Products!$B$2:$H$10,4)</f>
        <v>3.99</v>
      </c>
      <c r="K2165" s="8">
        <f>financials[[#This Row],[Net Sales]]-financials[[#This Row],[COGS]]</f>
        <v>53.76</v>
      </c>
      <c r="L2165" s="15">
        <v>45328</v>
      </c>
      <c r="M2165" t="s">
        <v>697</v>
      </c>
    </row>
    <row r="2166" spans="1:13" x14ac:dyDescent="0.25">
      <c r="A2166" t="s">
        <v>85</v>
      </c>
      <c r="B2166" s="6" t="s">
        <v>159</v>
      </c>
      <c r="C2166" s="11">
        <v>106</v>
      </c>
      <c r="D2166" s="9" t="s">
        <v>90</v>
      </c>
      <c r="E2166">
        <v>20</v>
      </c>
      <c r="F2166" s="8">
        <f>VLOOKUP(financials[[#This Row],[productid]],Products!$B$2:$H$10,3)</f>
        <v>25</v>
      </c>
      <c r="G2166" s="8">
        <f>financials[[#This Row],[Units Sold]]*financials[[#This Row],[Sale Price]]</f>
        <v>500</v>
      </c>
      <c r="H2166" s="8">
        <f>IF(financials[[#This Row],[Discount Band]]="low",0.1,IF(financials[[#This Row],[Discount Band]]="medium",0.15,0.3))</f>
        <v>0.15</v>
      </c>
      <c r="I2166" s="8">
        <f>financials[[#This Row],[Gross Sales]]-financials[[#This Row],[Gross Sales]]*financials[[#This Row],[Discounts]]</f>
        <v>425</v>
      </c>
      <c r="J2166" s="8">
        <f>VLOOKUP(financials[[#This Row],[productid]],Products!$B$2:$H$10,4)</f>
        <v>9.1</v>
      </c>
      <c r="K2166" s="8">
        <f>financials[[#This Row],[Net Sales]]-financials[[#This Row],[COGS]]</f>
        <v>415.9</v>
      </c>
      <c r="L2166" s="15">
        <v>45164</v>
      </c>
      <c r="M2166" t="s">
        <v>700</v>
      </c>
    </row>
    <row r="2167" spans="1:13" x14ac:dyDescent="0.25">
      <c r="A2167" t="s">
        <v>86</v>
      </c>
      <c r="B2167" s="6" t="s">
        <v>159</v>
      </c>
      <c r="C2167" s="13">
        <v>108</v>
      </c>
      <c r="D2167" s="14" t="s">
        <v>91</v>
      </c>
      <c r="E2167">
        <v>10</v>
      </c>
      <c r="F2167" s="8">
        <f>VLOOKUP(financials[[#This Row],[productid]],Products!$B$2:$H$10,3)</f>
        <v>5.5</v>
      </c>
      <c r="G2167" s="8">
        <f>financials[[#This Row],[Units Sold]]*financials[[#This Row],[Sale Price]]</f>
        <v>55</v>
      </c>
      <c r="H2167" s="8">
        <f>IF(financials[[#This Row],[Discount Band]]="low",0.1,IF(financials[[#This Row],[Discount Band]]="medium",0.15,0.3))</f>
        <v>0.1</v>
      </c>
      <c r="I2167" s="8">
        <f>financials[[#This Row],[Gross Sales]]-financials[[#This Row],[Gross Sales]]*financials[[#This Row],[Discounts]]</f>
        <v>49.5</v>
      </c>
      <c r="J2167" s="8">
        <f>VLOOKUP(financials[[#This Row],[productid]],Products!$B$2:$H$10,4)</f>
        <v>3.99</v>
      </c>
      <c r="K2167" s="8">
        <f>financials[[#This Row],[Net Sales]]-financials[[#This Row],[COGS]]</f>
        <v>45.51</v>
      </c>
      <c r="L2167" s="15">
        <v>44104</v>
      </c>
      <c r="M2167" t="s">
        <v>691</v>
      </c>
    </row>
    <row r="2168" spans="1:13" x14ac:dyDescent="0.25">
      <c r="A2168" t="s">
        <v>85</v>
      </c>
      <c r="B2168" s="6" t="s">
        <v>159</v>
      </c>
      <c r="C2168" s="13">
        <v>104</v>
      </c>
      <c r="D2168" s="14" t="s">
        <v>83</v>
      </c>
      <c r="E2168">
        <v>7</v>
      </c>
      <c r="F2168" s="8">
        <f>VLOOKUP(financials[[#This Row],[productid]],Products!$B$2:$H$10,3)</f>
        <v>5.9</v>
      </c>
      <c r="G2168" s="8">
        <f>financials[[#This Row],[Units Sold]]*financials[[#This Row],[Sale Price]]</f>
        <v>41.300000000000004</v>
      </c>
      <c r="H2168" s="8">
        <f>IF(financials[[#This Row],[Discount Band]]="low",0.1,IF(financials[[#This Row],[Discount Band]]="medium",0.15,0.3))</f>
        <v>0.3</v>
      </c>
      <c r="I2168" s="8">
        <f>financials[[#This Row],[Gross Sales]]-financials[[#This Row],[Gross Sales]]*financials[[#This Row],[Discounts]]</f>
        <v>28.910000000000004</v>
      </c>
      <c r="J2168" s="8">
        <f>VLOOKUP(financials[[#This Row],[productid]],Products!$B$2:$H$10,4)</f>
        <v>2.9</v>
      </c>
      <c r="K2168" s="8">
        <f>financials[[#This Row],[Net Sales]]-financials[[#This Row],[COGS]]</f>
        <v>26.010000000000005</v>
      </c>
      <c r="L2168" s="15">
        <v>44922</v>
      </c>
      <c r="M2168" t="s">
        <v>696</v>
      </c>
    </row>
    <row r="2169" spans="1:13" x14ac:dyDescent="0.25">
      <c r="A2169" t="s">
        <v>88</v>
      </c>
      <c r="B2169" s="6" t="s">
        <v>644</v>
      </c>
      <c r="C2169" s="13">
        <v>103</v>
      </c>
      <c r="D2169" s="14" t="s">
        <v>91</v>
      </c>
      <c r="E2169">
        <v>15</v>
      </c>
      <c r="F2169" s="8">
        <f>VLOOKUP(financials[[#This Row],[productid]],Products!$B$2:$H$10,3)</f>
        <v>28</v>
      </c>
      <c r="G2169" s="8">
        <f>financials[[#This Row],[Units Sold]]*financials[[#This Row],[Sale Price]]</f>
        <v>420</v>
      </c>
      <c r="H2169" s="8">
        <f>IF(financials[[#This Row],[Discount Band]]="low",0.1,IF(financials[[#This Row],[Discount Band]]="medium",0.15,0.3))</f>
        <v>0.1</v>
      </c>
      <c r="I2169" s="8">
        <f>financials[[#This Row],[Gross Sales]]-financials[[#This Row],[Gross Sales]]*financials[[#This Row],[Discounts]]</f>
        <v>378</v>
      </c>
      <c r="J2169" s="8">
        <f>VLOOKUP(financials[[#This Row],[productid]],Products!$B$2:$H$10,4)</f>
        <v>15</v>
      </c>
      <c r="K2169" s="8">
        <f>financials[[#This Row],[Net Sales]]-financials[[#This Row],[COGS]]</f>
        <v>363</v>
      </c>
      <c r="L2169" s="15">
        <v>45635</v>
      </c>
      <c r="M2169" t="s">
        <v>696</v>
      </c>
    </row>
    <row r="2170" spans="1:13" x14ac:dyDescent="0.25">
      <c r="A2170" t="s">
        <v>87</v>
      </c>
      <c r="B2170" s="6" t="s">
        <v>274</v>
      </c>
      <c r="C2170" s="13">
        <v>104</v>
      </c>
      <c r="D2170" s="14" t="s">
        <v>91</v>
      </c>
      <c r="E2170">
        <v>20</v>
      </c>
      <c r="F2170" s="8">
        <f>VLOOKUP(financials[[#This Row],[productid]],Products!$B$2:$H$10,3)</f>
        <v>5.9</v>
      </c>
      <c r="G2170" s="8">
        <f>financials[[#This Row],[Units Sold]]*financials[[#This Row],[Sale Price]]</f>
        <v>118</v>
      </c>
      <c r="H2170" s="8">
        <f>IF(financials[[#This Row],[Discount Band]]="low",0.1,IF(financials[[#This Row],[Discount Band]]="medium",0.15,0.3))</f>
        <v>0.1</v>
      </c>
      <c r="I2170" s="8">
        <f>financials[[#This Row],[Gross Sales]]-financials[[#This Row],[Gross Sales]]*financials[[#This Row],[Discounts]]</f>
        <v>106.2</v>
      </c>
      <c r="J2170" s="8">
        <f>VLOOKUP(financials[[#This Row],[productid]],Products!$B$2:$H$10,4)</f>
        <v>2.9</v>
      </c>
      <c r="K2170" s="8">
        <f>financials[[#This Row],[Net Sales]]-financials[[#This Row],[COGS]]</f>
        <v>103.3</v>
      </c>
      <c r="L2170" s="15">
        <v>45200</v>
      </c>
      <c r="M2170" t="s">
        <v>691</v>
      </c>
    </row>
    <row r="2171" spans="1:13" x14ac:dyDescent="0.25">
      <c r="A2171" t="s">
        <v>86</v>
      </c>
      <c r="B2171" s="6" t="s">
        <v>124</v>
      </c>
      <c r="C2171" s="13">
        <v>106</v>
      </c>
      <c r="D2171" s="14" t="s">
        <v>90</v>
      </c>
      <c r="E2171">
        <v>9</v>
      </c>
      <c r="F2171" s="8">
        <f>VLOOKUP(financials[[#This Row],[productid]],Products!$B$2:$H$10,3)</f>
        <v>25</v>
      </c>
      <c r="G2171" s="8">
        <f>financials[[#This Row],[Units Sold]]*financials[[#This Row],[Sale Price]]</f>
        <v>225</v>
      </c>
      <c r="H2171" s="8">
        <f>IF(financials[[#This Row],[Discount Band]]="low",0.1,IF(financials[[#This Row],[Discount Band]]="medium",0.15,0.3))</f>
        <v>0.15</v>
      </c>
      <c r="I2171" s="8">
        <f>financials[[#This Row],[Gross Sales]]-financials[[#This Row],[Gross Sales]]*financials[[#This Row],[Discounts]]</f>
        <v>191.25</v>
      </c>
      <c r="J2171" s="8">
        <f>VLOOKUP(financials[[#This Row],[productid]],Products!$B$2:$H$10,4)</f>
        <v>9.1</v>
      </c>
      <c r="K2171" s="8">
        <f>financials[[#This Row],[Net Sales]]-financials[[#This Row],[COGS]]</f>
        <v>182.15</v>
      </c>
      <c r="L2171" s="15">
        <v>45055</v>
      </c>
      <c r="M2171" t="s">
        <v>700</v>
      </c>
    </row>
    <row r="2172" spans="1:13" x14ac:dyDescent="0.25">
      <c r="A2172" t="s">
        <v>89</v>
      </c>
      <c r="B2172" s="6" t="s">
        <v>159</v>
      </c>
      <c r="C2172" s="13">
        <v>102</v>
      </c>
      <c r="D2172" s="14" t="s">
        <v>90</v>
      </c>
      <c r="E2172">
        <v>17</v>
      </c>
      <c r="F2172" s="8">
        <f>VLOOKUP(financials[[#This Row],[productid]],Products!$B$2:$H$10,3)</f>
        <v>15</v>
      </c>
      <c r="G2172" s="8">
        <f>financials[[#This Row],[Units Sold]]*financials[[#This Row],[Sale Price]]</f>
        <v>255</v>
      </c>
      <c r="H2172" s="8">
        <f>IF(financials[[#This Row],[Discount Band]]="low",0.1,IF(financials[[#This Row],[Discount Band]]="medium",0.15,0.3))</f>
        <v>0.15</v>
      </c>
      <c r="I2172" s="8">
        <f>financials[[#This Row],[Gross Sales]]-financials[[#This Row],[Gross Sales]]*financials[[#This Row],[Discounts]]</f>
        <v>216.75</v>
      </c>
      <c r="J2172" s="8">
        <f>VLOOKUP(financials[[#This Row],[productid]],Products!$B$2:$H$10,4)</f>
        <v>13.95</v>
      </c>
      <c r="K2172" s="8">
        <f>financials[[#This Row],[Net Sales]]-financials[[#This Row],[COGS]]</f>
        <v>202.8</v>
      </c>
      <c r="L2172" s="15">
        <v>44188</v>
      </c>
      <c r="M2172" t="s">
        <v>700</v>
      </c>
    </row>
    <row r="2173" spans="1:13" x14ac:dyDescent="0.25">
      <c r="A2173" t="s">
        <v>85</v>
      </c>
      <c r="B2173" s="6" t="s">
        <v>84</v>
      </c>
      <c r="C2173" s="13">
        <v>103</v>
      </c>
      <c r="D2173" s="14" t="s">
        <v>92</v>
      </c>
      <c r="E2173">
        <v>19</v>
      </c>
      <c r="F2173" s="8">
        <f>VLOOKUP(financials[[#This Row],[productid]],Products!$B$2:$H$10,3)</f>
        <v>28</v>
      </c>
      <c r="G2173" s="8">
        <f>financials[[#This Row],[Units Sold]]*financials[[#This Row],[Sale Price]]</f>
        <v>532</v>
      </c>
      <c r="H2173" s="8">
        <f>IF(financials[[#This Row],[Discount Band]]="low",0.1,IF(financials[[#This Row],[Discount Band]]="medium",0.15,0.3))</f>
        <v>0.3</v>
      </c>
      <c r="I2173" s="8">
        <f>financials[[#This Row],[Gross Sales]]-financials[[#This Row],[Gross Sales]]*financials[[#This Row],[Discounts]]</f>
        <v>372.4</v>
      </c>
      <c r="J2173" s="8">
        <f>VLOOKUP(financials[[#This Row],[productid]],Products!$B$2:$H$10,4)</f>
        <v>15</v>
      </c>
      <c r="K2173" s="8">
        <f>financials[[#This Row],[Net Sales]]-financials[[#This Row],[COGS]]</f>
        <v>357.4</v>
      </c>
      <c r="L2173" s="15">
        <v>44436</v>
      </c>
      <c r="M2173" t="s">
        <v>690</v>
      </c>
    </row>
    <row r="2174" spans="1:13" x14ac:dyDescent="0.25">
      <c r="A2174" t="s">
        <v>86</v>
      </c>
      <c r="B2174" s="6" t="s">
        <v>159</v>
      </c>
      <c r="C2174" s="11">
        <v>105</v>
      </c>
      <c r="D2174" s="9" t="s">
        <v>90</v>
      </c>
      <c r="E2174">
        <v>18</v>
      </c>
      <c r="F2174" s="8">
        <f>VLOOKUP(financials[[#This Row],[productid]],Products!$B$2:$H$10,3)</f>
        <v>15</v>
      </c>
      <c r="G2174" s="8">
        <f>financials[[#This Row],[Units Sold]]*financials[[#This Row],[Sale Price]]</f>
        <v>270</v>
      </c>
      <c r="H2174" s="8">
        <f>IF(financials[[#This Row],[Discount Band]]="low",0.1,IF(financials[[#This Row],[Discount Band]]="medium",0.15,0.3))</f>
        <v>0.15</v>
      </c>
      <c r="I2174" s="8">
        <f>financials[[#This Row],[Gross Sales]]-financials[[#This Row],[Gross Sales]]*financials[[#This Row],[Discounts]]</f>
        <v>229.5</v>
      </c>
      <c r="J2174" s="8">
        <f>VLOOKUP(financials[[#This Row],[productid]],Products!$B$2:$H$10,4)</f>
        <v>10</v>
      </c>
      <c r="K2174" s="8">
        <f>financials[[#This Row],[Net Sales]]-financials[[#This Row],[COGS]]</f>
        <v>219.5</v>
      </c>
      <c r="L2174" s="15">
        <v>45296</v>
      </c>
      <c r="M2174" t="s">
        <v>697</v>
      </c>
    </row>
    <row r="2175" spans="1:13" x14ac:dyDescent="0.25">
      <c r="A2175" t="s">
        <v>89</v>
      </c>
      <c r="B2175" s="6" t="s">
        <v>84</v>
      </c>
      <c r="C2175" s="11">
        <v>105</v>
      </c>
      <c r="D2175" s="9" t="s">
        <v>92</v>
      </c>
      <c r="E2175">
        <v>19</v>
      </c>
      <c r="F2175" s="8">
        <f>VLOOKUP(financials[[#This Row],[productid]],Products!$B$2:$H$10,3)</f>
        <v>15</v>
      </c>
      <c r="G2175" s="8">
        <f>financials[[#This Row],[Units Sold]]*financials[[#This Row],[Sale Price]]</f>
        <v>285</v>
      </c>
      <c r="H2175" s="8">
        <f>IF(financials[[#This Row],[Discount Band]]="low",0.1,IF(financials[[#This Row],[Discount Band]]="medium",0.15,0.3))</f>
        <v>0.3</v>
      </c>
      <c r="I2175" s="8">
        <f>financials[[#This Row],[Gross Sales]]-financials[[#This Row],[Gross Sales]]*financials[[#This Row],[Discounts]]</f>
        <v>199.5</v>
      </c>
      <c r="J2175" s="8">
        <f>VLOOKUP(financials[[#This Row],[productid]],Products!$B$2:$H$10,4)</f>
        <v>10</v>
      </c>
      <c r="K2175" s="8">
        <f>financials[[#This Row],[Net Sales]]-financials[[#This Row],[COGS]]</f>
        <v>189.5</v>
      </c>
      <c r="L2175" s="15">
        <v>44765</v>
      </c>
      <c r="M2175" t="s">
        <v>696</v>
      </c>
    </row>
    <row r="2176" spans="1:13" x14ac:dyDescent="0.25">
      <c r="A2176" t="s">
        <v>87</v>
      </c>
      <c r="B2176" s="6" t="s">
        <v>93</v>
      </c>
      <c r="C2176" s="13">
        <v>102</v>
      </c>
      <c r="D2176" s="14" t="s">
        <v>83</v>
      </c>
      <c r="E2176">
        <v>5</v>
      </c>
      <c r="F2176" s="8">
        <f>VLOOKUP(financials[[#This Row],[productid]],Products!$B$2:$H$10,3)</f>
        <v>15</v>
      </c>
      <c r="G2176" s="8">
        <f>financials[[#This Row],[Units Sold]]*financials[[#This Row],[Sale Price]]</f>
        <v>75</v>
      </c>
      <c r="H2176" s="8">
        <f>IF(financials[[#This Row],[Discount Band]]="low",0.1,IF(financials[[#This Row],[Discount Band]]="medium",0.15,0.3))</f>
        <v>0.3</v>
      </c>
      <c r="I2176" s="8">
        <f>financials[[#This Row],[Gross Sales]]-financials[[#This Row],[Gross Sales]]*financials[[#This Row],[Discounts]]</f>
        <v>52.5</v>
      </c>
      <c r="J2176" s="8">
        <f>VLOOKUP(financials[[#This Row],[productid]],Products!$B$2:$H$10,4)</f>
        <v>13.95</v>
      </c>
      <c r="K2176" s="8">
        <f>financials[[#This Row],[Net Sales]]-financials[[#This Row],[COGS]]</f>
        <v>38.549999999999997</v>
      </c>
      <c r="L2176" s="15">
        <v>43907</v>
      </c>
      <c r="M2176" t="s">
        <v>690</v>
      </c>
    </row>
    <row r="2177" spans="1:13" x14ac:dyDescent="0.25">
      <c r="A2177" t="s">
        <v>86</v>
      </c>
      <c r="B2177" s="6" t="s">
        <v>159</v>
      </c>
      <c r="C2177" s="11">
        <v>105</v>
      </c>
      <c r="D2177" s="9" t="s">
        <v>83</v>
      </c>
      <c r="E2177">
        <v>11</v>
      </c>
      <c r="F2177" s="8">
        <f>VLOOKUP(financials[[#This Row],[productid]],Products!$B$2:$H$10,3)</f>
        <v>15</v>
      </c>
      <c r="G2177" s="8">
        <f>financials[[#This Row],[Units Sold]]*financials[[#This Row],[Sale Price]]</f>
        <v>165</v>
      </c>
      <c r="H2177" s="8">
        <f>IF(financials[[#This Row],[Discount Band]]="low",0.1,IF(financials[[#This Row],[Discount Band]]="medium",0.15,0.3))</f>
        <v>0.3</v>
      </c>
      <c r="I2177" s="8">
        <f>financials[[#This Row],[Gross Sales]]-financials[[#This Row],[Gross Sales]]*financials[[#This Row],[Discounts]]</f>
        <v>115.5</v>
      </c>
      <c r="J2177" s="8">
        <f>VLOOKUP(financials[[#This Row],[productid]],Products!$B$2:$H$10,4)</f>
        <v>10</v>
      </c>
      <c r="K2177" s="8">
        <f>financials[[#This Row],[Net Sales]]-financials[[#This Row],[COGS]]</f>
        <v>105.5</v>
      </c>
      <c r="L2177" s="15">
        <v>44933</v>
      </c>
      <c r="M2177" t="s">
        <v>690</v>
      </c>
    </row>
    <row r="2178" spans="1:13" x14ac:dyDescent="0.25">
      <c r="A2178" t="s">
        <v>85</v>
      </c>
      <c r="B2178" s="6" t="s">
        <v>84</v>
      </c>
      <c r="C2178" s="11">
        <v>104</v>
      </c>
      <c r="D2178" s="9" t="s">
        <v>83</v>
      </c>
      <c r="E2178">
        <v>9</v>
      </c>
      <c r="F2178" s="8">
        <f>VLOOKUP(financials[[#This Row],[productid]],Products!$B$2:$H$10,3)</f>
        <v>5.9</v>
      </c>
      <c r="G2178" s="8">
        <f>financials[[#This Row],[Units Sold]]*financials[[#This Row],[Sale Price]]</f>
        <v>53.1</v>
      </c>
      <c r="H2178" s="8">
        <f>IF(financials[[#This Row],[Discount Band]]="low",0.1,IF(financials[[#This Row],[Discount Band]]="medium",0.15,0.3))</f>
        <v>0.3</v>
      </c>
      <c r="I2178" s="8">
        <f>financials[[#This Row],[Gross Sales]]-financials[[#This Row],[Gross Sales]]*financials[[#This Row],[Discounts]]</f>
        <v>37.17</v>
      </c>
      <c r="J2178" s="8">
        <f>VLOOKUP(financials[[#This Row],[productid]],Products!$B$2:$H$10,4)</f>
        <v>2.9</v>
      </c>
      <c r="K2178" s="8">
        <f>financials[[#This Row],[Net Sales]]-financials[[#This Row],[COGS]]</f>
        <v>34.270000000000003</v>
      </c>
      <c r="L2178" s="15">
        <v>45657</v>
      </c>
      <c r="M2178" t="s">
        <v>690</v>
      </c>
    </row>
    <row r="2179" spans="1:13" x14ac:dyDescent="0.25">
      <c r="A2179" t="s">
        <v>89</v>
      </c>
      <c r="B2179" s="6" t="s">
        <v>159</v>
      </c>
      <c r="C2179" s="13">
        <v>107</v>
      </c>
      <c r="D2179" s="14" t="s">
        <v>83</v>
      </c>
      <c r="E2179">
        <v>16</v>
      </c>
      <c r="F2179" s="8">
        <f>VLOOKUP(financials[[#This Row],[productid]],Products!$B$2:$H$10,3)</f>
        <v>15</v>
      </c>
      <c r="G2179" s="8">
        <f>financials[[#This Row],[Units Sold]]*financials[[#This Row],[Sale Price]]</f>
        <v>240</v>
      </c>
      <c r="H2179" s="8">
        <f>IF(financials[[#This Row],[Discount Band]]="low",0.1,IF(financials[[#This Row],[Discount Band]]="medium",0.15,0.3))</f>
        <v>0.3</v>
      </c>
      <c r="I2179" s="8">
        <f>financials[[#This Row],[Gross Sales]]-financials[[#This Row],[Gross Sales]]*financials[[#This Row],[Discounts]]</f>
        <v>168</v>
      </c>
      <c r="J2179" s="8">
        <f>VLOOKUP(financials[[#This Row],[productid]],Products!$B$2:$H$10,4)</f>
        <v>5.5</v>
      </c>
      <c r="K2179" s="8">
        <f>financials[[#This Row],[Net Sales]]-financials[[#This Row],[COGS]]</f>
        <v>162.5</v>
      </c>
      <c r="L2179" s="15">
        <v>44575</v>
      </c>
      <c r="M2179" t="s">
        <v>691</v>
      </c>
    </row>
    <row r="2180" spans="1:13" x14ac:dyDescent="0.25">
      <c r="A2180" t="s">
        <v>85</v>
      </c>
      <c r="B2180" s="6" t="s">
        <v>84</v>
      </c>
      <c r="C2180" s="13">
        <v>108</v>
      </c>
      <c r="D2180" s="14" t="s">
        <v>83</v>
      </c>
      <c r="E2180">
        <v>11</v>
      </c>
      <c r="F2180" s="8">
        <f>VLOOKUP(financials[[#This Row],[productid]],Products!$B$2:$H$10,3)</f>
        <v>5.5</v>
      </c>
      <c r="G2180" s="8">
        <f>financials[[#This Row],[Units Sold]]*financials[[#This Row],[Sale Price]]</f>
        <v>60.5</v>
      </c>
      <c r="H2180" s="8">
        <f>IF(financials[[#This Row],[Discount Band]]="low",0.1,IF(financials[[#This Row],[Discount Band]]="medium",0.15,0.3))</f>
        <v>0.3</v>
      </c>
      <c r="I2180" s="8">
        <f>financials[[#This Row],[Gross Sales]]-financials[[#This Row],[Gross Sales]]*financials[[#This Row],[Discounts]]</f>
        <v>42.35</v>
      </c>
      <c r="J2180" s="8">
        <f>VLOOKUP(financials[[#This Row],[productid]],Products!$B$2:$H$10,4)</f>
        <v>3.99</v>
      </c>
      <c r="K2180" s="8">
        <f>financials[[#This Row],[Net Sales]]-financials[[#This Row],[COGS]]</f>
        <v>38.36</v>
      </c>
      <c r="L2180" s="15">
        <v>44226</v>
      </c>
      <c r="M2180" t="s">
        <v>690</v>
      </c>
    </row>
    <row r="2181" spans="1:13" x14ac:dyDescent="0.25">
      <c r="A2181" t="s">
        <v>87</v>
      </c>
      <c r="B2181" s="6" t="s">
        <v>266</v>
      </c>
      <c r="C2181" s="11">
        <v>101</v>
      </c>
      <c r="D2181" s="9" t="s">
        <v>83</v>
      </c>
      <c r="E2181">
        <v>15</v>
      </c>
      <c r="F2181" s="8">
        <f>VLOOKUP(financials[[#This Row],[productid]],Products!$B$2:$H$10,3)</f>
        <v>23</v>
      </c>
      <c r="G2181" s="8">
        <f>financials[[#This Row],[Units Sold]]*financials[[#This Row],[Sale Price]]</f>
        <v>345</v>
      </c>
      <c r="H2181" s="8">
        <f>IF(financials[[#This Row],[Discount Band]]="low",0.1,IF(financials[[#This Row],[Discount Band]]="medium",0.15,0.3))</f>
        <v>0.3</v>
      </c>
      <c r="I2181" s="8">
        <f>financials[[#This Row],[Gross Sales]]-financials[[#This Row],[Gross Sales]]*financials[[#This Row],[Discounts]]</f>
        <v>241.5</v>
      </c>
      <c r="J2181" s="8">
        <f>VLOOKUP(financials[[#This Row],[productid]],Products!$B$2:$H$10,4)</f>
        <v>9.9499999999999993</v>
      </c>
      <c r="K2181" s="8">
        <f>financials[[#This Row],[Net Sales]]-financials[[#This Row],[COGS]]</f>
        <v>231.55</v>
      </c>
      <c r="L2181" s="15">
        <v>43846</v>
      </c>
      <c r="M2181" t="s">
        <v>691</v>
      </c>
    </row>
    <row r="2182" spans="1:13" x14ac:dyDescent="0.25">
      <c r="A2182" t="s">
        <v>87</v>
      </c>
      <c r="B2182" s="6" t="s">
        <v>240</v>
      </c>
      <c r="C2182" s="13">
        <v>108</v>
      </c>
      <c r="D2182" s="14" t="s">
        <v>91</v>
      </c>
      <c r="E2182">
        <v>14</v>
      </c>
      <c r="F2182" s="8">
        <f>VLOOKUP(financials[[#This Row],[productid]],Products!$B$2:$H$10,3)</f>
        <v>5.5</v>
      </c>
      <c r="G2182" s="8">
        <f>financials[[#This Row],[Units Sold]]*financials[[#This Row],[Sale Price]]</f>
        <v>77</v>
      </c>
      <c r="H2182" s="8">
        <f>IF(financials[[#This Row],[Discount Band]]="low",0.1,IF(financials[[#This Row],[Discount Band]]="medium",0.15,0.3))</f>
        <v>0.1</v>
      </c>
      <c r="I2182" s="8">
        <f>financials[[#This Row],[Gross Sales]]-financials[[#This Row],[Gross Sales]]*financials[[#This Row],[Discounts]]</f>
        <v>69.3</v>
      </c>
      <c r="J2182" s="8">
        <f>VLOOKUP(financials[[#This Row],[productid]],Products!$B$2:$H$10,4)</f>
        <v>3.99</v>
      </c>
      <c r="K2182" s="8">
        <f>financials[[#This Row],[Net Sales]]-financials[[#This Row],[COGS]]</f>
        <v>65.31</v>
      </c>
      <c r="L2182" s="15">
        <v>45302</v>
      </c>
      <c r="M2182" t="s">
        <v>700</v>
      </c>
    </row>
    <row r="2183" spans="1:13" x14ac:dyDescent="0.25">
      <c r="A2183" t="s">
        <v>85</v>
      </c>
      <c r="B2183" s="6" t="s">
        <v>84</v>
      </c>
      <c r="C2183" s="13">
        <v>105</v>
      </c>
      <c r="D2183" s="14" t="s">
        <v>83</v>
      </c>
      <c r="E2183">
        <v>12</v>
      </c>
      <c r="F2183" s="8">
        <f>VLOOKUP(financials[[#This Row],[productid]],Products!$B$2:$H$10,3)</f>
        <v>15</v>
      </c>
      <c r="G2183" s="8">
        <f>financials[[#This Row],[Units Sold]]*financials[[#This Row],[Sale Price]]</f>
        <v>180</v>
      </c>
      <c r="H2183" s="8">
        <f>IF(financials[[#This Row],[Discount Band]]="low",0.1,IF(financials[[#This Row],[Discount Band]]="medium",0.15,0.3))</f>
        <v>0.3</v>
      </c>
      <c r="I2183" s="8">
        <f>financials[[#This Row],[Gross Sales]]-financials[[#This Row],[Gross Sales]]*financials[[#This Row],[Discounts]]</f>
        <v>126</v>
      </c>
      <c r="J2183" s="8">
        <f>VLOOKUP(financials[[#This Row],[productid]],Products!$B$2:$H$10,4)</f>
        <v>10</v>
      </c>
      <c r="K2183" s="8">
        <f>financials[[#This Row],[Net Sales]]-financials[[#This Row],[COGS]]</f>
        <v>116</v>
      </c>
      <c r="L2183" s="15">
        <v>45199</v>
      </c>
      <c r="M2183" t="s">
        <v>691</v>
      </c>
    </row>
    <row r="2184" spans="1:13" x14ac:dyDescent="0.25">
      <c r="A2184" t="s">
        <v>86</v>
      </c>
      <c r="B2184" s="6" t="s">
        <v>159</v>
      </c>
      <c r="C2184" s="11">
        <v>101</v>
      </c>
      <c r="D2184" s="9" t="s">
        <v>90</v>
      </c>
      <c r="E2184">
        <v>19</v>
      </c>
      <c r="F2184" s="8">
        <f>VLOOKUP(financials[[#This Row],[productid]],Products!$B$2:$H$10,3)</f>
        <v>23</v>
      </c>
      <c r="G2184" s="8">
        <f>financials[[#This Row],[Units Sold]]*financials[[#This Row],[Sale Price]]</f>
        <v>437</v>
      </c>
      <c r="H2184" s="8">
        <f>IF(financials[[#This Row],[Discount Band]]="low",0.1,IF(financials[[#This Row],[Discount Band]]="medium",0.15,0.3))</f>
        <v>0.15</v>
      </c>
      <c r="I2184" s="8">
        <f>financials[[#This Row],[Gross Sales]]-financials[[#This Row],[Gross Sales]]*financials[[#This Row],[Discounts]]</f>
        <v>371.45</v>
      </c>
      <c r="J2184" s="8">
        <f>VLOOKUP(financials[[#This Row],[productid]],Products!$B$2:$H$10,4)</f>
        <v>9.9499999999999993</v>
      </c>
      <c r="K2184" s="8">
        <f>financials[[#This Row],[Net Sales]]-financials[[#This Row],[COGS]]</f>
        <v>361.5</v>
      </c>
      <c r="L2184" s="15">
        <v>44798</v>
      </c>
      <c r="M2184" t="s">
        <v>696</v>
      </c>
    </row>
    <row r="2185" spans="1:13" x14ac:dyDescent="0.25">
      <c r="A2185" t="s">
        <v>85</v>
      </c>
      <c r="B2185" s="6" t="s">
        <v>84</v>
      </c>
      <c r="C2185" s="13">
        <v>105</v>
      </c>
      <c r="D2185" s="14" t="s">
        <v>83</v>
      </c>
      <c r="E2185">
        <v>18</v>
      </c>
      <c r="F2185" s="8">
        <f>VLOOKUP(financials[[#This Row],[productid]],Products!$B$2:$H$10,3)</f>
        <v>15</v>
      </c>
      <c r="G2185" s="8">
        <f>financials[[#This Row],[Units Sold]]*financials[[#This Row],[Sale Price]]</f>
        <v>270</v>
      </c>
      <c r="H2185" s="8">
        <f>IF(financials[[#This Row],[Discount Band]]="low",0.1,IF(financials[[#This Row],[Discount Band]]="medium",0.15,0.3))</f>
        <v>0.3</v>
      </c>
      <c r="I2185" s="8">
        <f>financials[[#This Row],[Gross Sales]]-financials[[#This Row],[Gross Sales]]*financials[[#This Row],[Discounts]]</f>
        <v>189</v>
      </c>
      <c r="J2185" s="8">
        <f>VLOOKUP(financials[[#This Row],[productid]],Products!$B$2:$H$10,4)</f>
        <v>10</v>
      </c>
      <c r="K2185" s="8">
        <f>financials[[#This Row],[Net Sales]]-financials[[#This Row],[COGS]]</f>
        <v>179</v>
      </c>
      <c r="L2185" s="15">
        <v>45614</v>
      </c>
      <c r="M2185" t="s">
        <v>690</v>
      </c>
    </row>
    <row r="2186" spans="1:13" x14ac:dyDescent="0.25">
      <c r="A2186" t="s">
        <v>85</v>
      </c>
      <c r="B2186" s="6" t="s">
        <v>84</v>
      </c>
      <c r="C2186" s="13">
        <v>103</v>
      </c>
      <c r="D2186" s="14" t="s">
        <v>83</v>
      </c>
      <c r="E2186">
        <v>10</v>
      </c>
      <c r="F2186" s="8">
        <f>VLOOKUP(financials[[#This Row],[productid]],Products!$B$2:$H$10,3)</f>
        <v>28</v>
      </c>
      <c r="G2186" s="8">
        <f>financials[[#This Row],[Units Sold]]*financials[[#This Row],[Sale Price]]</f>
        <v>280</v>
      </c>
      <c r="H2186" s="8">
        <f>IF(financials[[#This Row],[Discount Band]]="low",0.1,IF(financials[[#This Row],[Discount Band]]="medium",0.15,0.3))</f>
        <v>0.3</v>
      </c>
      <c r="I2186" s="8">
        <f>financials[[#This Row],[Gross Sales]]-financials[[#This Row],[Gross Sales]]*financials[[#This Row],[Discounts]]</f>
        <v>196</v>
      </c>
      <c r="J2186" s="8">
        <f>VLOOKUP(financials[[#This Row],[productid]],Products!$B$2:$H$10,4)</f>
        <v>15</v>
      </c>
      <c r="K2186" s="8">
        <f>financials[[#This Row],[Net Sales]]-financials[[#This Row],[COGS]]</f>
        <v>181</v>
      </c>
      <c r="L2186" s="15">
        <v>45007</v>
      </c>
      <c r="M2186" t="s">
        <v>690</v>
      </c>
    </row>
    <row r="2187" spans="1:13" x14ac:dyDescent="0.25">
      <c r="A2187" t="s">
        <v>86</v>
      </c>
      <c r="B2187" s="6" t="s">
        <v>124</v>
      </c>
      <c r="C2187" s="11">
        <v>105</v>
      </c>
      <c r="D2187" s="9" t="s">
        <v>83</v>
      </c>
      <c r="E2187">
        <v>15</v>
      </c>
      <c r="F2187" s="8">
        <f>VLOOKUP(financials[[#This Row],[productid]],Products!$B$2:$H$10,3)</f>
        <v>15</v>
      </c>
      <c r="G2187" s="8">
        <f>financials[[#This Row],[Units Sold]]*financials[[#This Row],[Sale Price]]</f>
        <v>225</v>
      </c>
      <c r="H2187" s="8">
        <f>IF(financials[[#This Row],[Discount Band]]="low",0.1,IF(financials[[#This Row],[Discount Band]]="medium",0.15,0.3))</f>
        <v>0.3</v>
      </c>
      <c r="I2187" s="8">
        <f>financials[[#This Row],[Gross Sales]]-financials[[#This Row],[Gross Sales]]*financials[[#This Row],[Discounts]]</f>
        <v>157.5</v>
      </c>
      <c r="J2187" s="8">
        <f>VLOOKUP(financials[[#This Row],[productid]],Products!$B$2:$H$10,4)</f>
        <v>10</v>
      </c>
      <c r="K2187" s="8">
        <f>financials[[#This Row],[Net Sales]]-financials[[#This Row],[COGS]]</f>
        <v>147.5</v>
      </c>
      <c r="L2187" s="15">
        <v>45646</v>
      </c>
      <c r="M2187" t="s">
        <v>697</v>
      </c>
    </row>
    <row r="2188" spans="1:13" x14ac:dyDescent="0.25">
      <c r="A2188" t="s">
        <v>86</v>
      </c>
      <c r="B2188" s="6" t="s">
        <v>124</v>
      </c>
      <c r="C2188" s="13">
        <v>101</v>
      </c>
      <c r="D2188" s="14" t="s">
        <v>91</v>
      </c>
      <c r="E2188">
        <v>17</v>
      </c>
      <c r="F2188" s="8">
        <f>VLOOKUP(financials[[#This Row],[productid]],Products!$B$2:$H$10,3)</f>
        <v>23</v>
      </c>
      <c r="G2188" s="8">
        <f>financials[[#This Row],[Units Sold]]*financials[[#This Row],[Sale Price]]</f>
        <v>391</v>
      </c>
      <c r="H2188" s="8">
        <f>IF(financials[[#This Row],[Discount Band]]="low",0.1,IF(financials[[#This Row],[Discount Band]]="medium",0.15,0.3))</f>
        <v>0.1</v>
      </c>
      <c r="I2188" s="8">
        <f>financials[[#This Row],[Gross Sales]]-financials[[#This Row],[Gross Sales]]*financials[[#This Row],[Discounts]]</f>
        <v>351.9</v>
      </c>
      <c r="J2188" s="8">
        <f>VLOOKUP(financials[[#This Row],[productid]],Products!$B$2:$H$10,4)</f>
        <v>9.9499999999999993</v>
      </c>
      <c r="K2188" s="8">
        <f>financials[[#This Row],[Net Sales]]-financials[[#This Row],[COGS]]</f>
        <v>341.95</v>
      </c>
      <c r="L2188" s="15">
        <v>45095</v>
      </c>
      <c r="M2188" t="s">
        <v>690</v>
      </c>
    </row>
    <row r="2189" spans="1:13" x14ac:dyDescent="0.25">
      <c r="A2189" t="s">
        <v>87</v>
      </c>
      <c r="B2189" s="6" t="s">
        <v>148</v>
      </c>
      <c r="C2189" s="13">
        <v>103</v>
      </c>
      <c r="D2189" s="14" t="s">
        <v>91</v>
      </c>
      <c r="E2189">
        <v>20</v>
      </c>
      <c r="F2189" s="8">
        <f>VLOOKUP(financials[[#This Row],[productid]],Products!$B$2:$H$10,3)</f>
        <v>28</v>
      </c>
      <c r="G2189" s="8">
        <f>financials[[#This Row],[Units Sold]]*financials[[#This Row],[Sale Price]]</f>
        <v>560</v>
      </c>
      <c r="H2189" s="8">
        <f>IF(financials[[#This Row],[Discount Band]]="low",0.1,IF(financials[[#This Row],[Discount Band]]="medium",0.15,0.3))</f>
        <v>0.1</v>
      </c>
      <c r="I2189" s="8">
        <f>financials[[#This Row],[Gross Sales]]-financials[[#This Row],[Gross Sales]]*financials[[#This Row],[Discounts]]</f>
        <v>504</v>
      </c>
      <c r="J2189" s="8">
        <f>VLOOKUP(financials[[#This Row],[productid]],Products!$B$2:$H$10,4)</f>
        <v>15</v>
      </c>
      <c r="K2189" s="8">
        <f>financials[[#This Row],[Net Sales]]-financials[[#This Row],[COGS]]</f>
        <v>489</v>
      </c>
      <c r="L2189" s="15">
        <v>44334</v>
      </c>
      <c r="M2189" t="s">
        <v>700</v>
      </c>
    </row>
    <row r="2190" spans="1:13" x14ac:dyDescent="0.25">
      <c r="A2190" t="s">
        <v>87</v>
      </c>
      <c r="B2190" s="6" t="s">
        <v>274</v>
      </c>
      <c r="C2190" s="13">
        <v>105</v>
      </c>
      <c r="D2190" s="14" t="s">
        <v>91</v>
      </c>
      <c r="E2190">
        <v>7</v>
      </c>
      <c r="F2190" s="8">
        <f>VLOOKUP(financials[[#This Row],[productid]],Products!$B$2:$H$10,3)</f>
        <v>15</v>
      </c>
      <c r="G2190" s="8">
        <f>financials[[#This Row],[Units Sold]]*financials[[#This Row],[Sale Price]]</f>
        <v>105</v>
      </c>
      <c r="H2190" s="8">
        <f>IF(financials[[#This Row],[Discount Band]]="low",0.1,IF(financials[[#This Row],[Discount Band]]="medium",0.15,0.3))</f>
        <v>0.1</v>
      </c>
      <c r="I2190" s="8">
        <f>financials[[#This Row],[Gross Sales]]-financials[[#This Row],[Gross Sales]]*financials[[#This Row],[Discounts]]</f>
        <v>94.5</v>
      </c>
      <c r="J2190" s="8">
        <f>VLOOKUP(financials[[#This Row],[productid]],Products!$B$2:$H$10,4)</f>
        <v>10</v>
      </c>
      <c r="K2190" s="8">
        <f>financials[[#This Row],[Net Sales]]-financials[[#This Row],[COGS]]</f>
        <v>84.5</v>
      </c>
      <c r="L2190" s="15">
        <v>45341</v>
      </c>
      <c r="M2190" t="s">
        <v>697</v>
      </c>
    </row>
    <row r="2191" spans="1:13" x14ac:dyDescent="0.25">
      <c r="A2191" t="s">
        <v>87</v>
      </c>
      <c r="B2191" s="6" t="s">
        <v>96</v>
      </c>
      <c r="C2191" s="13">
        <v>105</v>
      </c>
      <c r="D2191" s="14" t="s">
        <v>91</v>
      </c>
      <c r="E2191">
        <v>5</v>
      </c>
      <c r="F2191" s="8">
        <f>VLOOKUP(financials[[#This Row],[productid]],Products!$B$2:$H$10,3)</f>
        <v>15</v>
      </c>
      <c r="G2191" s="8">
        <f>financials[[#This Row],[Units Sold]]*financials[[#This Row],[Sale Price]]</f>
        <v>75</v>
      </c>
      <c r="H2191" s="8">
        <f>IF(financials[[#This Row],[Discount Band]]="low",0.1,IF(financials[[#This Row],[Discount Band]]="medium",0.15,0.3))</f>
        <v>0.1</v>
      </c>
      <c r="I2191" s="8">
        <f>financials[[#This Row],[Gross Sales]]-financials[[#This Row],[Gross Sales]]*financials[[#This Row],[Discounts]]</f>
        <v>67.5</v>
      </c>
      <c r="J2191" s="8">
        <f>VLOOKUP(financials[[#This Row],[productid]],Products!$B$2:$H$10,4)</f>
        <v>10</v>
      </c>
      <c r="K2191" s="8">
        <f>financials[[#This Row],[Net Sales]]-financials[[#This Row],[COGS]]</f>
        <v>57.5</v>
      </c>
      <c r="L2191" s="15">
        <v>44037</v>
      </c>
      <c r="M2191" t="s">
        <v>696</v>
      </c>
    </row>
    <row r="2192" spans="1:13" x14ac:dyDescent="0.25">
      <c r="A2192" t="s">
        <v>86</v>
      </c>
      <c r="B2192" s="6" t="s">
        <v>124</v>
      </c>
      <c r="C2192" s="13">
        <v>104</v>
      </c>
      <c r="D2192" s="14" t="s">
        <v>90</v>
      </c>
      <c r="E2192">
        <v>19</v>
      </c>
      <c r="F2192" s="8">
        <f>VLOOKUP(financials[[#This Row],[productid]],Products!$B$2:$H$10,3)</f>
        <v>5.9</v>
      </c>
      <c r="G2192" s="8">
        <f>financials[[#This Row],[Units Sold]]*financials[[#This Row],[Sale Price]]</f>
        <v>112.10000000000001</v>
      </c>
      <c r="H2192" s="8">
        <f>IF(financials[[#This Row],[Discount Band]]="low",0.1,IF(financials[[#This Row],[Discount Band]]="medium",0.15,0.3))</f>
        <v>0.15</v>
      </c>
      <c r="I2192" s="8">
        <f>financials[[#This Row],[Gross Sales]]-financials[[#This Row],[Gross Sales]]*financials[[#This Row],[Discounts]]</f>
        <v>95.285000000000011</v>
      </c>
      <c r="J2192" s="8">
        <f>VLOOKUP(financials[[#This Row],[productid]],Products!$B$2:$H$10,4)</f>
        <v>2.9</v>
      </c>
      <c r="K2192" s="8">
        <f>financials[[#This Row],[Net Sales]]-financials[[#This Row],[COGS]]</f>
        <v>92.385000000000005</v>
      </c>
      <c r="L2192" s="15">
        <v>43917</v>
      </c>
      <c r="M2192" t="s">
        <v>690</v>
      </c>
    </row>
    <row r="2193" spans="1:13" x14ac:dyDescent="0.25">
      <c r="A2193" t="s">
        <v>86</v>
      </c>
      <c r="B2193" s="6" t="s">
        <v>159</v>
      </c>
      <c r="C2193" s="13">
        <v>103</v>
      </c>
      <c r="D2193" s="14" t="s">
        <v>83</v>
      </c>
      <c r="E2193">
        <v>15</v>
      </c>
      <c r="F2193" s="8">
        <f>VLOOKUP(financials[[#This Row],[productid]],Products!$B$2:$H$10,3)</f>
        <v>28</v>
      </c>
      <c r="G2193" s="8">
        <f>financials[[#This Row],[Units Sold]]*financials[[#This Row],[Sale Price]]</f>
        <v>420</v>
      </c>
      <c r="H2193" s="8">
        <f>IF(financials[[#This Row],[Discount Band]]="low",0.1,IF(financials[[#This Row],[Discount Band]]="medium",0.15,0.3))</f>
        <v>0.3</v>
      </c>
      <c r="I2193" s="8">
        <f>financials[[#This Row],[Gross Sales]]-financials[[#This Row],[Gross Sales]]*financials[[#This Row],[Discounts]]</f>
        <v>294</v>
      </c>
      <c r="J2193" s="8">
        <f>VLOOKUP(financials[[#This Row],[productid]],Products!$B$2:$H$10,4)</f>
        <v>15</v>
      </c>
      <c r="K2193" s="8">
        <f>financials[[#This Row],[Net Sales]]-financials[[#This Row],[COGS]]</f>
        <v>279</v>
      </c>
      <c r="L2193" s="15">
        <v>44033</v>
      </c>
      <c r="M2193" t="s">
        <v>691</v>
      </c>
    </row>
    <row r="2194" spans="1:13" x14ac:dyDescent="0.25">
      <c r="A2194" t="s">
        <v>89</v>
      </c>
      <c r="B2194" s="6" t="s">
        <v>84</v>
      </c>
      <c r="C2194" s="13">
        <v>108</v>
      </c>
      <c r="D2194" s="14" t="s">
        <v>91</v>
      </c>
      <c r="E2194">
        <v>6</v>
      </c>
      <c r="F2194" s="8">
        <f>VLOOKUP(financials[[#This Row],[productid]],Products!$B$2:$H$10,3)</f>
        <v>5.5</v>
      </c>
      <c r="G2194" s="8">
        <f>financials[[#This Row],[Units Sold]]*financials[[#This Row],[Sale Price]]</f>
        <v>33</v>
      </c>
      <c r="H2194" s="8">
        <f>IF(financials[[#This Row],[Discount Band]]="low",0.1,IF(financials[[#This Row],[Discount Band]]="medium",0.15,0.3))</f>
        <v>0.1</v>
      </c>
      <c r="I2194" s="8">
        <f>financials[[#This Row],[Gross Sales]]-financials[[#This Row],[Gross Sales]]*financials[[#This Row],[Discounts]]</f>
        <v>29.7</v>
      </c>
      <c r="J2194" s="8">
        <f>VLOOKUP(financials[[#This Row],[productid]],Products!$B$2:$H$10,4)</f>
        <v>3.99</v>
      </c>
      <c r="K2194" s="8">
        <f>financials[[#This Row],[Net Sales]]-financials[[#This Row],[COGS]]</f>
        <v>25.71</v>
      </c>
      <c r="L2194" s="15">
        <v>44213</v>
      </c>
      <c r="M2194" t="s">
        <v>696</v>
      </c>
    </row>
    <row r="2195" spans="1:13" x14ac:dyDescent="0.25">
      <c r="A2195" t="s">
        <v>89</v>
      </c>
      <c r="B2195" s="6" t="s">
        <v>159</v>
      </c>
      <c r="C2195" s="11">
        <v>102</v>
      </c>
      <c r="D2195" s="9" t="s">
        <v>92</v>
      </c>
      <c r="E2195">
        <v>11</v>
      </c>
      <c r="F2195" s="8">
        <f>VLOOKUP(financials[[#This Row],[productid]],Products!$B$2:$H$10,3)</f>
        <v>15</v>
      </c>
      <c r="G2195" s="8">
        <f>financials[[#This Row],[Units Sold]]*financials[[#This Row],[Sale Price]]</f>
        <v>165</v>
      </c>
      <c r="H2195" s="8">
        <f>IF(financials[[#This Row],[Discount Band]]="low",0.1,IF(financials[[#This Row],[Discount Band]]="medium",0.15,0.3))</f>
        <v>0.3</v>
      </c>
      <c r="I2195" s="8">
        <f>financials[[#This Row],[Gross Sales]]-financials[[#This Row],[Gross Sales]]*financials[[#This Row],[Discounts]]</f>
        <v>115.5</v>
      </c>
      <c r="J2195" s="8">
        <f>VLOOKUP(financials[[#This Row],[productid]],Products!$B$2:$H$10,4)</f>
        <v>13.95</v>
      </c>
      <c r="K2195" s="8">
        <f>financials[[#This Row],[Net Sales]]-financials[[#This Row],[COGS]]</f>
        <v>101.55</v>
      </c>
      <c r="L2195" s="15">
        <v>44135</v>
      </c>
      <c r="M2195" t="s">
        <v>690</v>
      </c>
    </row>
    <row r="2196" spans="1:13" x14ac:dyDescent="0.25">
      <c r="A2196" t="s">
        <v>85</v>
      </c>
      <c r="B2196" s="6" t="s">
        <v>124</v>
      </c>
      <c r="C2196" s="13">
        <v>103</v>
      </c>
      <c r="D2196" s="14" t="s">
        <v>90</v>
      </c>
      <c r="E2196">
        <v>15</v>
      </c>
      <c r="F2196" s="8">
        <f>VLOOKUP(financials[[#This Row],[productid]],Products!$B$2:$H$10,3)</f>
        <v>28</v>
      </c>
      <c r="G2196" s="8">
        <f>financials[[#This Row],[Units Sold]]*financials[[#This Row],[Sale Price]]</f>
        <v>420</v>
      </c>
      <c r="H2196" s="8">
        <f>IF(financials[[#This Row],[Discount Band]]="low",0.1,IF(financials[[#This Row],[Discount Band]]="medium",0.15,0.3))</f>
        <v>0.15</v>
      </c>
      <c r="I2196" s="8">
        <f>financials[[#This Row],[Gross Sales]]-financials[[#This Row],[Gross Sales]]*financials[[#This Row],[Discounts]]</f>
        <v>357</v>
      </c>
      <c r="J2196" s="8">
        <f>VLOOKUP(financials[[#This Row],[productid]],Products!$B$2:$H$10,4)</f>
        <v>15</v>
      </c>
      <c r="K2196" s="8">
        <f>financials[[#This Row],[Net Sales]]-financials[[#This Row],[COGS]]</f>
        <v>342</v>
      </c>
      <c r="L2196" s="15">
        <v>44095</v>
      </c>
      <c r="M2196" t="s">
        <v>696</v>
      </c>
    </row>
    <row r="2197" spans="1:13" x14ac:dyDescent="0.25">
      <c r="A2197" t="s">
        <v>87</v>
      </c>
      <c r="B2197" s="6" t="s">
        <v>645</v>
      </c>
      <c r="C2197" s="11">
        <v>107</v>
      </c>
      <c r="D2197" s="9" t="s">
        <v>83</v>
      </c>
      <c r="E2197">
        <v>11</v>
      </c>
      <c r="F2197" s="8">
        <f>VLOOKUP(financials[[#This Row],[productid]],Products!$B$2:$H$10,3)</f>
        <v>15</v>
      </c>
      <c r="G2197" s="8">
        <f>financials[[#This Row],[Units Sold]]*financials[[#This Row],[Sale Price]]</f>
        <v>165</v>
      </c>
      <c r="H2197" s="8">
        <f>IF(financials[[#This Row],[Discount Band]]="low",0.1,IF(financials[[#This Row],[Discount Band]]="medium",0.15,0.3))</f>
        <v>0.3</v>
      </c>
      <c r="I2197" s="8">
        <f>financials[[#This Row],[Gross Sales]]-financials[[#This Row],[Gross Sales]]*financials[[#This Row],[Discounts]]</f>
        <v>115.5</v>
      </c>
      <c r="J2197" s="8">
        <f>VLOOKUP(financials[[#This Row],[productid]],Products!$B$2:$H$10,4)</f>
        <v>5.5</v>
      </c>
      <c r="K2197" s="8">
        <f>financials[[#This Row],[Net Sales]]-financials[[#This Row],[COGS]]</f>
        <v>110</v>
      </c>
      <c r="L2197" s="15">
        <v>44670</v>
      </c>
      <c r="M2197" t="s">
        <v>690</v>
      </c>
    </row>
    <row r="2198" spans="1:13" x14ac:dyDescent="0.25">
      <c r="A2198" t="s">
        <v>87</v>
      </c>
      <c r="B2198" s="6" t="s">
        <v>240</v>
      </c>
      <c r="C2198" s="13">
        <v>106</v>
      </c>
      <c r="D2198" s="14" t="s">
        <v>91</v>
      </c>
      <c r="E2198">
        <v>7</v>
      </c>
      <c r="F2198" s="8">
        <f>VLOOKUP(financials[[#This Row],[productid]],Products!$B$2:$H$10,3)</f>
        <v>25</v>
      </c>
      <c r="G2198" s="8">
        <f>financials[[#This Row],[Units Sold]]*financials[[#This Row],[Sale Price]]</f>
        <v>175</v>
      </c>
      <c r="H2198" s="8">
        <f>IF(financials[[#This Row],[Discount Band]]="low",0.1,IF(financials[[#This Row],[Discount Band]]="medium",0.15,0.3))</f>
        <v>0.1</v>
      </c>
      <c r="I2198" s="8">
        <f>financials[[#This Row],[Gross Sales]]-financials[[#This Row],[Gross Sales]]*financials[[#This Row],[Discounts]]</f>
        <v>157.5</v>
      </c>
      <c r="J2198" s="8">
        <f>VLOOKUP(financials[[#This Row],[productid]],Products!$B$2:$H$10,4)</f>
        <v>9.1</v>
      </c>
      <c r="K2198" s="8">
        <f>financials[[#This Row],[Net Sales]]-financials[[#This Row],[COGS]]</f>
        <v>148.4</v>
      </c>
      <c r="L2198" s="15">
        <v>45388</v>
      </c>
      <c r="M2198" t="s">
        <v>696</v>
      </c>
    </row>
    <row r="2199" spans="1:13" x14ac:dyDescent="0.25">
      <c r="A2199" t="s">
        <v>87</v>
      </c>
      <c r="B2199" s="6" t="s">
        <v>266</v>
      </c>
      <c r="C2199" s="13">
        <v>103</v>
      </c>
      <c r="D2199" s="14" t="s">
        <v>91</v>
      </c>
      <c r="E2199">
        <v>6</v>
      </c>
      <c r="F2199" s="8">
        <f>VLOOKUP(financials[[#This Row],[productid]],Products!$B$2:$H$10,3)</f>
        <v>28</v>
      </c>
      <c r="G2199" s="8">
        <f>financials[[#This Row],[Units Sold]]*financials[[#This Row],[Sale Price]]</f>
        <v>168</v>
      </c>
      <c r="H2199" s="8">
        <f>IF(financials[[#This Row],[Discount Band]]="low",0.1,IF(financials[[#This Row],[Discount Band]]="medium",0.15,0.3))</f>
        <v>0.1</v>
      </c>
      <c r="I2199" s="8">
        <f>financials[[#This Row],[Gross Sales]]-financials[[#This Row],[Gross Sales]]*financials[[#This Row],[Discounts]]</f>
        <v>151.19999999999999</v>
      </c>
      <c r="J2199" s="8">
        <f>VLOOKUP(financials[[#This Row],[productid]],Products!$B$2:$H$10,4)</f>
        <v>15</v>
      </c>
      <c r="K2199" s="8">
        <f>financials[[#This Row],[Net Sales]]-financials[[#This Row],[COGS]]</f>
        <v>136.19999999999999</v>
      </c>
      <c r="L2199" s="15">
        <v>44690</v>
      </c>
      <c r="M2199" t="s">
        <v>697</v>
      </c>
    </row>
    <row r="2200" spans="1:13" x14ac:dyDescent="0.25">
      <c r="A2200" t="s">
        <v>85</v>
      </c>
      <c r="B2200" s="6" t="s">
        <v>84</v>
      </c>
      <c r="C2200" s="13">
        <v>102</v>
      </c>
      <c r="D2200" s="14" t="s">
        <v>83</v>
      </c>
      <c r="E2200">
        <v>5</v>
      </c>
      <c r="F2200" s="8">
        <f>VLOOKUP(financials[[#This Row],[productid]],Products!$B$2:$H$10,3)</f>
        <v>15</v>
      </c>
      <c r="G2200" s="8">
        <f>financials[[#This Row],[Units Sold]]*financials[[#This Row],[Sale Price]]</f>
        <v>75</v>
      </c>
      <c r="H2200" s="8">
        <f>IF(financials[[#This Row],[Discount Band]]="low",0.1,IF(financials[[#This Row],[Discount Band]]="medium",0.15,0.3))</f>
        <v>0.3</v>
      </c>
      <c r="I2200" s="8">
        <f>financials[[#This Row],[Gross Sales]]-financials[[#This Row],[Gross Sales]]*financials[[#This Row],[Discounts]]</f>
        <v>52.5</v>
      </c>
      <c r="J2200" s="8">
        <f>VLOOKUP(financials[[#This Row],[productid]],Products!$B$2:$H$10,4)</f>
        <v>13.95</v>
      </c>
      <c r="K2200" s="8">
        <f>financials[[#This Row],[Net Sales]]-financials[[#This Row],[COGS]]</f>
        <v>38.549999999999997</v>
      </c>
      <c r="L2200" s="15">
        <v>45479</v>
      </c>
      <c r="M2200" t="s">
        <v>697</v>
      </c>
    </row>
    <row r="2201" spans="1:13" x14ac:dyDescent="0.25">
      <c r="A2201" t="s">
        <v>85</v>
      </c>
      <c r="B2201" s="6" t="s">
        <v>84</v>
      </c>
      <c r="C2201" s="13">
        <v>102</v>
      </c>
      <c r="D2201" s="14" t="s">
        <v>90</v>
      </c>
      <c r="E2201">
        <v>7</v>
      </c>
      <c r="F2201" s="8">
        <f>VLOOKUP(financials[[#This Row],[productid]],Products!$B$2:$H$10,3)</f>
        <v>15</v>
      </c>
      <c r="G2201" s="8">
        <f>financials[[#This Row],[Units Sold]]*financials[[#This Row],[Sale Price]]</f>
        <v>105</v>
      </c>
      <c r="H2201" s="8">
        <f>IF(financials[[#This Row],[Discount Band]]="low",0.1,IF(financials[[#This Row],[Discount Band]]="medium",0.15,0.3))</f>
        <v>0.15</v>
      </c>
      <c r="I2201" s="8">
        <f>financials[[#This Row],[Gross Sales]]-financials[[#This Row],[Gross Sales]]*financials[[#This Row],[Discounts]]</f>
        <v>89.25</v>
      </c>
      <c r="J2201" s="8">
        <f>VLOOKUP(financials[[#This Row],[productid]],Products!$B$2:$H$10,4)</f>
        <v>13.95</v>
      </c>
      <c r="K2201" s="8">
        <f>financials[[#This Row],[Net Sales]]-financials[[#This Row],[COGS]]</f>
        <v>75.3</v>
      </c>
      <c r="L2201" s="15">
        <v>44535</v>
      </c>
      <c r="M2201" t="s">
        <v>700</v>
      </c>
    </row>
    <row r="2202" spans="1:13" x14ac:dyDescent="0.25">
      <c r="A2202" t="s">
        <v>89</v>
      </c>
      <c r="B2202" s="6" t="s">
        <v>159</v>
      </c>
      <c r="C2202" s="13">
        <v>105</v>
      </c>
      <c r="D2202" s="14" t="s">
        <v>83</v>
      </c>
      <c r="E2202">
        <v>17</v>
      </c>
      <c r="F2202" s="8">
        <f>VLOOKUP(financials[[#This Row],[productid]],Products!$B$2:$H$10,3)</f>
        <v>15</v>
      </c>
      <c r="G2202" s="8">
        <f>financials[[#This Row],[Units Sold]]*financials[[#This Row],[Sale Price]]</f>
        <v>255</v>
      </c>
      <c r="H2202" s="8">
        <f>IF(financials[[#This Row],[Discount Band]]="low",0.1,IF(financials[[#This Row],[Discount Band]]="medium",0.15,0.3))</f>
        <v>0.3</v>
      </c>
      <c r="I2202" s="8">
        <f>financials[[#This Row],[Gross Sales]]-financials[[#This Row],[Gross Sales]]*financials[[#This Row],[Discounts]]</f>
        <v>178.5</v>
      </c>
      <c r="J2202" s="8">
        <f>VLOOKUP(financials[[#This Row],[productid]],Products!$B$2:$H$10,4)</f>
        <v>10</v>
      </c>
      <c r="K2202" s="8">
        <f>financials[[#This Row],[Net Sales]]-financials[[#This Row],[COGS]]</f>
        <v>168.5</v>
      </c>
      <c r="L2202" s="15">
        <v>45055</v>
      </c>
      <c r="M2202" t="s">
        <v>691</v>
      </c>
    </row>
    <row r="2203" spans="1:13" x14ac:dyDescent="0.25">
      <c r="A2203" t="s">
        <v>85</v>
      </c>
      <c r="B2203" s="6" t="s">
        <v>124</v>
      </c>
      <c r="C2203" s="13">
        <v>108</v>
      </c>
      <c r="D2203" s="14" t="s">
        <v>91</v>
      </c>
      <c r="E2203">
        <v>20</v>
      </c>
      <c r="F2203" s="8">
        <f>VLOOKUP(financials[[#This Row],[productid]],Products!$B$2:$H$10,3)</f>
        <v>5.5</v>
      </c>
      <c r="G2203" s="8">
        <f>financials[[#This Row],[Units Sold]]*financials[[#This Row],[Sale Price]]</f>
        <v>110</v>
      </c>
      <c r="H2203" s="8">
        <f>IF(financials[[#This Row],[Discount Band]]="low",0.1,IF(financials[[#This Row],[Discount Band]]="medium",0.15,0.3))</f>
        <v>0.1</v>
      </c>
      <c r="I2203" s="8">
        <f>financials[[#This Row],[Gross Sales]]-financials[[#This Row],[Gross Sales]]*financials[[#This Row],[Discounts]]</f>
        <v>99</v>
      </c>
      <c r="J2203" s="8">
        <f>VLOOKUP(financials[[#This Row],[productid]],Products!$B$2:$H$10,4)</f>
        <v>3.99</v>
      </c>
      <c r="K2203" s="8">
        <f>financials[[#This Row],[Net Sales]]-financials[[#This Row],[COGS]]</f>
        <v>95.01</v>
      </c>
      <c r="L2203" s="15">
        <v>45349</v>
      </c>
      <c r="M2203" t="s">
        <v>697</v>
      </c>
    </row>
    <row r="2204" spans="1:13" x14ac:dyDescent="0.25">
      <c r="A2204" t="s">
        <v>87</v>
      </c>
      <c r="B2204" s="6" t="s">
        <v>125</v>
      </c>
      <c r="C2204" s="11">
        <v>105</v>
      </c>
      <c r="D2204" s="9" t="s">
        <v>91</v>
      </c>
      <c r="E2204">
        <v>6</v>
      </c>
      <c r="F2204" s="8">
        <f>VLOOKUP(financials[[#This Row],[productid]],Products!$B$2:$H$10,3)</f>
        <v>15</v>
      </c>
      <c r="G2204" s="8">
        <f>financials[[#This Row],[Units Sold]]*financials[[#This Row],[Sale Price]]</f>
        <v>90</v>
      </c>
      <c r="H2204" s="8">
        <f>IF(financials[[#This Row],[Discount Band]]="low",0.1,IF(financials[[#This Row],[Discount Band]]="medium",0.15,0.3))</f>
        <v>0.1</v>
      </c>
      <c r="I2204" s="8">
        <f>financials[[#This Row],[Gross Sales]]-financials[[#This Row],[Gross Sales]]*financials[[#This Row],[Discounts]]</f>
        <v>81</v>
      </c>
      <c r="J2204" s="8">
        <f>VLOOKUP(financials[[#This Row],[productid]],Products!$B$2:$H$10,4)</f>
        <v>10</v>
      </c>
      <c r="K2204" s="8">
        <f>financials[[#This Row],[Net Sales]]-financials[[#This Row],[COGS]]</f>
        <v>71</v>
      </c>
      <c r="L2204" s="15">
        <v>43954</v>
      </c>
      <c r="M2204" t="s">
        <v>690</v>
      </c>
    </row>
    <row r="2205" spans="1:13" x14ac:dyDescent="0.25">
      <c r="A2205" t="s">
        <v>87</v>
      </c>
      <c r="B2205" s="6" t="s">
        <v>148</v>
      </c>
      <c r="C2205" s="11">
        <v>105</v>
      </c>
      <c r="D2205" s="9" t="s">
        <v>83</v>
      </c>
      <c r="E2205">
        <v>15</v>
      </c>
      <c r="F2205" s="8">
        <f>VLOOKUP(financials[[#This Row],[productid]],Products!$B$2:$H$10,3)</f>
        <v>15</v>
      </c>
      <c r="G2205" s="8">
        <f>financials[[#This Row],[Units Sold]]*financials[[#This Row],[Sale Price]]</f>
        <v>225</v>
      </c>
      <c r="H2205" s="8">
        <f>IF(financials[[#This Row],[Discount Band]]="low",0.1,IF(financials[[#This Row],[Discount Band]]="medium",0.15,0.3))</f>
        <v>0.3</v>
      </c>
      <c r="I2205" s="8">
        <f>financials[[#This Row],[Gross Sales]]-financials[[#This Row],[Gross Sales]]*financials[[#This Row],[Discounts]]</f>
        <v>157.5</v>
      </c>
      <c r="J2205" s="8">
        <f>VLOOKUP(financials[[#This Row],[productid]],Products!$B$2:$H$10,4)</f>
        <v>10</v>
      </c>
      <c r="K2205" s="8">
        <f>financials[[#This Row],[Net Sales]]-financials[[#This Row],[COGS]]</f>
        <v>147.5</v>
      </c>
      <c r="L2205" s="15">
        <v>45488</v>
      </c>
      <c r="M2205" t="s">
        <v>697</v>
      </c>
    </row>
    <row r="2206" spans="1:13" x14ac:dyDescent="0.25">
      <c r="A2206" t="s">
        <v>87</v>
      </c>
      <c r="B2206" s="6" t="s">
        <v>545</v>
      </c>
      <c r="C2206" s="11">
        <v>108</v>
      </c>
      <c r="D2206" s="9" t="s">
        <v>90</v>
      </c>
      <c r="E2206">
        <v>10</v>
      </c>
      <c r="F2206" s="8">
        <f>VLOOKUP(financials[[#This Row],[productid]],Products!$B$2:$H$10,3)</f>
        <v>5.5</v>
      </c>
      <c r="G2206" s="8">
        <f>financials[[#This Row],[Units Sold]]*financials[[#This Row],[Sale Price]]</f>
        <v>55</v>
      </c>
      <c r="H2206" s="8">
        <f>IF(financials[[#This Row],[Discount Band]]="low",0.1,IF(financials[[#This Row],[Discount Band]]="medium",0.15,0.3))</f>
        <v>0.15</v>
      </c>
      <c r="I2206" s="8">
        <f>financials[[#This Row],[Gross Sales]]-financials[[#This Row],[Gross Sales]]*financials[[#This Row],[Discounts]]</f>
        <v>46.75</v>
      </c>
      <c r="J2206" s="8">
        <f>VLOOKUP(financials[[#This Row],[productid]],Products!$B$2:$H$10,4)</f>
        <v>3.99</v>
      </c>
      <c r="K2206" s="8">
        <f>financials[[#This Row],[Net Sales]]-financials[[#This Row],[COGS]]</f>
        <v>42.76</v>
      </c>
      <c r="L2206" s="15">
        <v>44173</v>
      </c>
      <c r="M2206" t="s">
        <v>697</v>
      </c>
    </row>
    <row r="2207" spans="1:13" x14ac:dyDescent="0.25">
      <c r="A2207" t="s">
        <v>87</v>
      </c>
      <c r="B2207" s="6" t="s">
        <v>287</v>
      </c>
      <c r="C2207" s="13">
        <v>104</v>
      </c>
      <c r="D2207" s="14" t="s">
        <v>91</v>
      </c>
      <c r="E2207">
        <v>14</v>
      </c>
      <c r="F2207" s="8">
        <f>VLOOKUP(financials[[#This Row],[productid]],Products!$B$2:$H$10,3)</f>
        <v>5.9</v>
      </c>
      <c r="G2207" s="8">
        <f>financials[[#This Row],[Units Sold]]*financials[[#This Row],[Sale Price]]</f>
        <v>82.600000000000009</v>
      </c>
      <c r="H2207" s="8">
        <f>IF(financials[[#This Row],[Discount Band]]="low",0.1,IF(financials[[#This Row],[Discount Band]]="medium",0.15,0.3))</f>
        <v>0.1</v>
      </c>
      <c r="I2207" s="8">
        <f>financials[[#This Row],[Gross Sales]]-financials[[#This Row],[Gross Sales]]*financials[[#This Row],[Discounts]]</f>
        <v>74.34</v>
      </c>
      <c r="J2207" s="8">
        <f>VLOOKUP(financials[[#This Row],[productid]],Products!$B$2:$H$10,4)</f>
        <v>2.9</v>
      </c>
      <c r="K2207" s="8">
        <f>financials[[#This Row],[Net Sales]]-financials[[#This Row],[COGS]]</f>
        <v>71.44</v>
      </c>
      <c r="L2207" s="15">
        <v>44763</v>
      </c>
      <c r="M2207" t="s">
        <v>691</v>
      </c>
    </row>
    <row r="2208" spans="1:13" x14ac:dyDescent="0.25">
      <c r="A2208" t="s">
        <v>87</v>
      </c>
      <c r="B2208" s="6" t="s">
        <v>287</v>
      </c>
      <c r="C2208" s="13">
        <v>108</v>
      </c>
      <c r="D2208" s="14" t="s">
        <v>91</v>
      </c>
      <c r="E2208">
        <v>8</v>
      </c>
      <c r="F2208" s="8">
        <f>VLOOKUP(financials[[#This Row],[productid]],Products!$B$2:$H$10,3)</f>
        <v>5.5</v>
      </c>
      <c r="G2208" s="8">
        <f>financials[[#This Row],[Units Sold]]*financials[[#This Row],[Sale Price]]</f>
        <v>44</v>
      </c>
      <c r="H2208" s="8">
        <f>IF(financials[[#This Row],[Discount Band]]="low",0.1,IF(financials[[#This Row],[Discount Band]]="medium",0.15,0.3))</f>
        <v>0.1</v>
      </c>
      <c r="I2208" s="8">
        <f>financials[[#This Row],[Gross Sales]]-financials[[#This Row],[Gross Sales]]*financials[[#This Row],[Discounts]]</f>
        <v>39.6</v>
      </c>
      <c r="J2208" s="8">
        <f>VLOOKUP(financials[[#This Row],[productid]],Products!$B$2:$H$10,4)</f>
        <v>3.99</v>
      </c>
      <c r="K2208" s="8">
        <f>financials[[#This Row],[Net Sales]]-financials[[#This Row],[COGS]]</f>
        <v>35.61</v>
      </c>
      <c r="L2208" s="15">
        <v>45485</v>
      </c>
      <c r="M2208" t="s">
        <v>696</v>
      </c>
    </row>
    <row r="2209" spans="1:13" x14ac:dyDescent="0.25">
      <c r="A2209" t="s">
        <v>89</v>
      </c>
      <c r="B2209" s="6" t="s">
        <v>84</v>
      </c>
      <c r="C2209" s="13">
        <v>109</v>
      </c>
      <c r="D2209" s="14" t="s">
        <v>83</v>
      </c>
      <c r="E2209">
        <v>18</v>
      </c>
      <c r="F2209" s="8">
        <f>VLOOKUP(financials[[#This Row],[productid]],Products!$B$2:$H$10,3)</f>
        <v>36</v>
      </c>
      <c r="G2209" s="8">
        <f>financials[[#This Row],[Units Sold]]*financials[[#This Row],[Sale Price]]</f>
        <v>648</v>
      </c>
      <c r="H2209" s="8">
        <f>IF(financials[[#This Row],[Discount Band]]="low",0.1,IF(financials[[#This Row],[Discount Band]]="medium",0.15,0.3))</f>
        <v>0.3</v>
      </c>
      <c r="I2209" s="8">
        <f>financials[[#This Row],[Gross Sales]]-financials[[#This Row],[Gross Sales]]*financials[[#This Row],[Discounts]]</f>
        <v>453.6</v>
      </c>
      <c r="J2209" s="8">
        <f>VLOOKUP(financials[[#This Row],[productid]],Products!$B$2:$H$10,4)</f>
        <v>16.8</v>
      </c>
      <c r="K2209" s="8">
        <f>financials[[#This Row],[Net Sales]]-financials[[#This Row],[COGS]]</f>
        <v>436.8</v>
      </c>
      <c r="L2209" s="15">
        <v>43869</v>
      </c>
      <c r="M2209" t="s">
        <v>700</v>
      </c>
    </row>
    <row r="2210" spans="1:13" x14ac:dyDescent="0.25">
      <c r="A2210" t="s">
        <v>85</v>
      </c>
      <c r="B2210" s="6" t="s">
        <v>84</v>
      </c>
      <c r="C2210" s="11">
        <v>109</v>
      </c>
      <c r="D2210" s="9" t="s">
        <v>83</v>
      </c>
      <c r="E2210">
        <v>17</v>
      </c>
      <c r="F2210" s="8">
        <f>VLOOKUP(financials[[#This Row],[productid]],Products!$B$2:$H$10,3)</f>
        <v>36</v>
      </c>
      <c r="G2210" s="8">
        <f>financials[[#This Row],[Units Sold]]*financials[[#This Row],[Sale Price]]</f>
        <v>612</v>
      </c>
      <c r="H2210" s="8">
        <f>IF(financials[[#This Row],[Discount Band]]="low",0.1,IF(financials[[#This Row],[Discount Band]]="medium",0.15,0.3))</f>
        <v>0.3</v>
      </c>
      <c r="I2210" s="8">
        <f>financials[[#This Row],[Gross Sales]]-financials[[#This Row],[Gross Sales]]*financials[[#This Row],[Discounts]]</f>
        <v>428.4</v>
      </c>
      <c r="J2210" s="8">
        <f>VLOOKUP(financials[[#This Row],[productid]],Products!$B$2:$H$10,4)</f>
        <v>16.8</v>
      </c>
      <c r="K2210" s="8">
        <f>financials[[#This Row],[Net Sales]]-financials[[#This Row],[COGS]]</f>
        <v>411.59999999999997</v>
      </c>
      <c r="L2210" s="15">
        <v>44394</v>
      </c>
      <c r="M2210" t="s">
        <v>691</v>
      </c>
    </row>
    <row r="2211" spans="1:13" x14ac:dyDescent="0.25">
      <c r="A2211" t="s">
        <v>86</v>
      </c>
      <c r="B2211" s="6" t="s">
        <v>159</v>
      </c>
      <c r="C2211" s="13">
        <v>103</v>
      </c>
      <c r="D2211" s="14" t="s">
        <v>91</v>
      </c>
      <c r="E2211">
        <v>7</v>
      </c>
      <c r="F2211" s="8">
        <f>VLOOKUP(financials[[#This Row],[productid]],Products!$B$2:$H$10,3)</f>
        <v>28</v>
      </c>
      <c r="G2211" s="8">
        <f>financials[[#This Row],[Units Sold]]*financials[[#This Row],[Sale Price]]</f>
        <v>196</v>
      </c>
      <c r="H2211" s="8">
        <f>IF(financials[[#This Row],[Discount Band]]="low",0.1,IF(financials[[#This Row],[Discount Band]]="medium",0.15,0.3))</f>
        <v>0.1</v>
      </c>
      <c r="I2211" s="8">
        <f>financials[[#This Row],[Gross Sales]]-financials[[#This Row],[Gross Sales]]*financials[[#This Row],[Discounts]]</f>
        <v>176.4</v>
      </c>
      <c r="J2211" s="8">
        <f>VLOOKUP(financials[[#This Row],[productid]],Products!$B$2:$H$10,4)</f>
        <v>15</v>
      </c>
      <c r="K2211" s="8">
        <f>financials[[#This Row],[Net Sales]]-financials[[#This Row],[COGS]]</f>
        <v>161.4</v>
      </c>
      <c r="L2211" s="15">
        <v>44373</v>
      </c>
      <c r="M2211" t="s">
        <v>690</v>
      </c>
    </row>
    <row r="2212" spans="1:13" x14ac:dyDescent="0.25">
      <c r="A2212" t="s">
        <v>87</v>
      </c>
      <c r="B2212" s="6" t="s">
        <v>240</v>
      </c>
      <c r="C2212" s="13">
        <v>103</v>
      </c>
      <c r="D2212" s="14" t="s">
        <v>90</v>
      </c>
      <c r="E2212">
        <v>16</v>
      </c>
      <c r="F2212" s="8">
        <f>VLOOKUP(financials[[#This Row],[productid]],Products!$B$2:$H$10,3)</f>
        <v>28</v>
      </c>
      <c r="G2212" s="8">
        <f>financials[[#This Row],[Units Sold]]*financials[[#This Row],[Sale Price]]</f>
        <v>448</v>
      </c>
      <c r="H2212" s="8">
        <f>IF(financials[[#This Row],[Discount Band]]="low",0.1,IF(financials[[#This Row],[Discount Band]]="medium",0.15,0.3))</f>
        <v>0.15</v>
      </c>
      <c r="I2212" s="8">
        <f>financials[[#This Row],[Gross Sales]]-financials[[#This Row],[Gross Sales]]*financials[[#This Row],[Discounts]]</f>
        <v>380.8</v>
      </c>
      <c r="J2212" s="8">
        <f>VLOOKUP(financials[[#This Row],[productid]],Products!$B$2:$H$10,4)</f>
        <v>15</v>
      </c>
      <c r="K2212" s="8">
        <f>financials[[#This Row],[Net Sales]]-financials[[#This Row],[COGS]]</f>
        <v>365.8</v>
      </c>
      <c r="L2212" s="15">
        <v>44189</v>
      </c>
      <c r="M2212" t="s">
        <v>691</v>
      </c>
    </row>
    <row r="2213" spans="1:13" x14ac:dyDescent="0.25">
      <c r="A2213" t="s">
        <v>89</v>
      </c>
      <c r="B2213" s="6" t="s">
        <v>159</v>
      </c>
      <c r="C2213" s="13">
        <v>102</v>
      </c>
      <c r="D2213" s="14" t="s">
        <v>83</v>
      </c>
      <c r="E2213">
        <v>6</v>
      </c>
      <c r="F2213" s="8">
        <f>VLOOKUP(financials[[#This Row],[productid]],Products!$B$2:$H$10,3)</f>
        <v>15</v>
      </c>
      <c r="G2213" s="8">
        <f>financials[[#This Row],[Units Sold]]*financials[[#This Row],[Sale Price]]</f>
        <v>90</v>
      </c>
      <c r="H2213" s="8">
        <f>IF(financials[[#This Row],[Discount Band]]="low",0.1,IF(financials[[#This Row],[Discount Band]]="medium",0.15,0.3))</f>
        <v>0.3</v>
      </c>
      <c r="I2213" s="8">
        <f>financials[[#This Row],[Gross Sales]]-financials[[#This Row],[Gross Sales]]*financials[[#This Row],[Discounts]]</f>
        <v>63</v>
      </c>
      <c r="J2213" s="8">
        <f>VLOOKUP(financials[[#This Row],[productid]],Products!$B$2:$H$10,4)</f>
        <v>13.95</v>
      </c>
      <c r="K2213" s="8">
        <f>financials[[#This Row],[Net Sales]]-financials[[#This Row],[COGS]]</f>
        <v>49.05</v>
      </c>
      <c r="L2213" s="15">
        <v>45159</v>
      </c>
      <c r="M2213" t="s">
        <v>690</v>
      </c>
    </row>
    <row r="2214" spans="1:13" x14ac:dyDescent="0.25">
      <c r="A2214" t="s">
        <v>85</v>
      </c>
      <c r="B2214" s="6" t="s">
        <v>159</v>
      </c>
      <c r="C2214" s="13">
        <v>107</v>
      </c>
      <c r="D2214" s="14" t="s">
        <v>91</v>
      </c>
      <c r="E2214">
        <v>17</v>
      </c>
      <c r="F2214" s="8">
        <f>VLOOKUP(financials[[#This Row],[productid]],Products!$B$2:$H$10,3)</f>
        <v>15</v>
      </c>
      <c r="G2214" s="8">
        <f>financials[[#This Row],[Units Sold]]*financials[[#This Row],[Sale Price]]</f>
        <v>255</v>
      </c>
      <c r="H2214" s="8">
        <f>IF(financials[[#This Row],[Discount Band]]="low",0.1,IF(financials[[#This Row],[Discount Band]]="medium",0.15,0.3))</f>
        <v>0.1</v>
      </c>
      <c r="I2214" s="8">
        <f>financials[[#This Row],[Gross Sales]]-financials[[#This Row],[Gross Sales]]*financials[[#This Row],[Discounts]]</f>
        <v>229.5</v>
      </c>
      <c r="J2214" s="8">
        <f>VLOOKUP(financials[[#This Row],[productid]],Products!$B$2:$H$10,4)</f>
        <v>5.5</v>
      </c>
      <c r="K2214" s="8">
        <f>financials[[#This Row],[Net Sales]]-financials[[#This Row],[COGS]]</f>
        <v>224</v>
      </c>
      <c r="L2214" s="15">
        <v>44871</v>
      </c>
      <c r="M2214" t="s">
        <v>696</v>
      </c>
    </row>
    <row r="2215" spans="1:13" x14ac:dyDescent="0.25">
      <c r="A2215" t="s">
        <v>86</v>
      </c>
      <c r="B2215" s="6" t="s">
        <v>124</v>
      </c>
      <c r="C2215" s="11">
        <v>101</v>
      </c>
      <c r="D2215" s="9" t="s">
        <v>83</v>
      </c>
      <c r="E2215">
        <v>7</v>
      </c>
      <c r="F2215" s="8">
        <f>VLOOKUP(financials[[#This Row],[productid]],Products!$B$2:$H$10,3)</f>
        <v>23</v>
      </c>
      <c r="G2215" s="8">
        <f>financials[[#This Row],[Units Sold]]*financials[[#This Row],[Sale Price]]</f>
        <v>161</v>
      </c>
      <c r="H2215" s="8">
        <f>IF(financials[[#This Row],[Discount Band]]="low",0.1,IF(financials[[#This Row],[Discount Band]]="medium",0.15,0.3))</f>
        <v>0.3</v>
      </c>
      <c r="I2215" s="8">
        <f>financials[[#This Row],[Gross Sales]]-financials[[#This Row],[Gross Sales]]*financials[[#This Row],[Discounts]]</f>
        <v>112.7</v>
      </c>
      <c r="J2215" s="8">
        <f>VLOOKUP(financials[[#This Row],[productid]],Products!$B$2:$H$10,4)</f>
        <v>9.9499999999999993</v>
      </c>
      <c r="K2215" s="8">
        <f>financials[[#This Row],[Net Sales]]-financials[[#This Row],[COGS]]</f>
        <v>102.75</v>
      </c>
      <c r="L2215" s="15">
        <v>44817</v>
      </c>
      <c r="M2215" t="s">
        <v>697</v>
      </c>
    </row>
    <row r="2216" spans="1:13" x14ac:dyDescent="0.25">
      <c r="A2216" t="s">
        <v>86</v>
      </c>
      <c r="B2216" s="6" t="s">
        <v>159</v>
      </c>
      <c r="C2216" s="13">
        <v>104</v>
      </c>
      <c r="D2216" s="14" t="s">
        <v>83</v>
      </c>
      <c r="E2216">
        <v>12</v>
      </c>
      <c r="F2216" s="8">
        <f>VLOOKUP(financials[[#This Row],[productid]],Products!$B$2:$H$10,3)</f>
        <v>5.9</v>
      </c>
      <c r="G2216" s="8">
        <f>financials[[#This Row],[Units Sold]]*financials[[#This Row],[Sale Price]]</f>
        <v>70.800000000000011</v>
      </c>
      <c r="H2216" s="8">
        <f>IF(financials[[#This Row],[Discount Band]]="low",0.1,IF(financials[[#This Row],[Discount Band]]="medium",0.15,0.3))</f>
        <v>0.3</v>
      </c>
      <c r="I2216" s="8">
        <f>financials[[#This Row],[Gross Sales]]-financials[[#This Row],[Gross Sales]]*financials[[#This Row],[Discounts]]</f>
        <v>49.560000000000009</v>
      </c>
      <c r="J2216" s="8">
        <f>VLOOKUP(financials[[#This Row],[productid]],Products!$B$2:$H$10,4)</f>
        <v>2.9</v>
      </c>
      <c r="K2216" s="8">
        <f>financials[[#This Row],[Net Sales]]-financials[[#This Row],[COGS]]</f>
        <v>46.660000000000011</v>
      </c>
      <c r="L2216" s="15">
        <v>44486</v>
      </c>
      <c r="M2216" t="s">
        <v>691</v>
      </c>
    </row>
    <row r="2217" spans="1:13" x14ac:dyDescent="0.25">
      <c r="A2217" t="s">
        <v>86</v>
      </c>
      <c r="B2217" s="6" t="s">
        <v>84</v>
      </c>
      <c r="C2217" s="13">
        <v>103</v>
      </c>
      <c r="D2217" s="14" t="s">
        <v>92</v>
      </c>
      <c r="E2217">
        <v>13</v>
      </c>
      <c r="F2217" s="8">
        <f>VLOOKUP(financials[[#This Row],[productid]],Products!$B$2:$H$10,3)</f>
        <v>28</v>
      </c>
      <c r="G2217" s="8">
        <f>financials[[#This Row],[Units Sold]]*financials[[#This Row],[Sale Price]]</f>
        <v>364</v>
      </c>
      <c r="H2217" s="8">
        <f>IF(financials[[#This Row],[Discount Band]]="low",0.1,IF(financials[[#This Row],[Discount Band]]="medium",0.15,0.3))</f>
        <v>0.3</v>
      </c>
      <c r="I2217" s="8">
        <f>financials[[#This Row],[Gross Sales]]-financials[[#This Row],[Gross Sales]]*financials[[#This Row],[Discounts]]</f>
        <v>254.8</v>
      </c>
      <c r="J2217" s="8">
        <f>VLOOKUP(financials[[#This Row],[productid]],Products!$B$2:$H$10,4)</f>
        <v>15</v>
      </c>
      <c r="K2217" s="8">
        <f>financials[[#This Row],[Net Sales]]-financials[[#This Row],[COGS]]</f>
        <v>239.8</v>
      </c>
      <c r="L2217" s="15">
        <v>44041</v>
      </c>
      <c r="M2217" t="s">
        <v>697</v>
      </c>
    </row>
    <row r="2218" spans="1:13" x14ac:dyDescent="0.25">
      <c r="A2218" t="s">
        <v>87</v>
      </c>
      <c r="B2218" s="6" t="s">
        <v>266</v>
      </c>
      <c r="C2218" s="13">
        <v>108</v>
      </c>
      <c r="D2218" s="14" t="s">
        <v>83</v>
      </c>
      <c r="E2218">
        <v>19</v>
      </c>
      <c r="F2218" s="8">
        <f>VLOOKUP(financials[[#This Row],[productid]],Products!$B$2:$H$10,3)</f>
        <v>5.5</v>
      </c>
      <c r="G2218" s="8">
        <f>financials[[#This Row],[Units Sold]]*financials[[#This Row],[Sale Price]]</f>
        <v>104.5</v>
      </c>
      <c r="H2218" s="8">
        <f>IF(financials[[#This Row],[Discount Band]]="low",0.1,IF(financials[[#This Row],[Discount Band]]="medium",0.15,0.3))</f>
        <v>0.3</v>
      </c>
      <c r="I2218" s="8">
        <f>financials[[#This Row],[Gross Sales]]-financials[[#This Row],[Gross Sales]]*financials[[#This Row],[Discounts]]</f>
        <v>73.150000000000006</v>
      </c>
      <c r="J2218" s="8">
        <f>VLOOKUP(financials[[#This Row],[productid]],Products!$B$2:$H$10,4)</f>
        <v>3.99</v>
      </c>
      <c r="K2218" s="8">
        <f>financials[[#This Row],[Net Sales]]-financials[[#This Row],[COGS]]</f>
        <v>69.160000000000011</v>
      </c>
      <c r="L2218" s="15">
        <v>45023</v>
      </c>
      <c r="M2218" t="s">
        <v>700</v>
      </c>
    </row>
    <row r="2219" spans="1:13" x14ac:dyDescent="0.25">
      <c r="A2219" t="s">
        <v>86</v>
      </c>
      <c r="B2219" s="6" t="s">
        <v>159</v>
      </c>
      <c r="C2219" s="13">
        <v>106</v>
      </c>
      <c r="D2219" s="14" t="s">
        <v>83</v>
      </c>
      <c r="E2219">
        <v>13</v>
      </c>
      <c r="F2219" s="8">
        <f>VLOOKUP(financials[[#This Row],[productid]],Products!$B$2:$H$10,3)</f>
        <v>25</v>
      </c>
      <c r="G2219" s="8">
        <f>financials[[#This Row],[Units Sold]]*financials[[#This Row],[Sale Price]]</f>
        <v>325</v>
      </c>
      <c r="H2219" s="8">
        <f>IF(financials[[#This Row],[Discount Band]]="low",0.1,IF(financials[[#This Row],[Discount Band]]="medium",0.15,0.3))</f>
        <v>0.3</v>
      </c>
      <c r="I2219" s="8">
        <f>financials[[#This Row],[Gross Sales]]-financials[[#This Row],[Gross Sales]]*financials[[#This Row],[Discounts]]</f>
        <v>227.5</v>
      </c>
      <c r="J2219" s="8">
        <f>VLOOKUP(financials[[#This Row],[productid]],Products!$B$2:$H$10,4)</f>
        <v>9.1</v>
      </c>
      <c r="K2219" s="8">
        <f>financials[[#This Row],[Net Sales]]-financials[[#This Row],[COGS]]</f>
        <v>218.4</v>
      </c>
      <c r="L2219" s="15">
        <v>44667</v>
      </c>
      <c r="M2219" t="s">
        <v>700</v>
      </c>
    </row>
    <row r="2220" spans="1:13" x14ac:dyDescent="0.25">
      <c r="A2220" t="s">
        <v>85</v>
      </c>
      <c r="B2220" s="6" t="s">
        <v>84</v>
      </c>
      <c r="C2220" s="13">
        <v>108</v>
      </c>
      <c r="D2220" s="14" t="s">
        <v>90</v>
      </c>
      <c r="E2220">
        <v>16</v>
      </c>
      <c r="F2220" s="8">
        <f>VLOOKUP(financials[[#This Row],[productid]],Products!$B$2:$H$10,3)</f>
        <v>5.5</v>
      </c>
      <c r="G2220" s="8">
        <f>financials[[#This Row],[Units Sold]]*financials[[#This Row],[Sale Price]]</f>
        <v>88</v>
      </c>
      <c r="H2220" s="8">
        <f>IF(financials[[#This Row],[Discount Band]]="low",0.1,IF(financials[[#This Row],[Discount Band]]="medium",0.15,0.3))</f>
        <v>0.15</v>
      </c>
      <c r="I2220" s="8">
        <f>financials[[#This Row],[Gross Sales]]-financials[[#This Row],[Gross Sales]]*financials[[#This Row],[Discounts]]</f>
        <v>74.8</v>
      </c>
      <c r="J2220" s="8">
        <f>VLOOKUP(financials[[#This Row],[productid]],Products!$B$2:$H$10,4)</f>
        <v>3.99</v>
      </c>
      <c r="K2220" s="8">
        <f>financials[[#This Row],[Net Sales]]-financials[[#This Row],[COGS]]</f>
        <v>70.81</v>
      </c>
      <c r="L2220" s="15">
        <v>45025</v>
      </c>
      <c r="M2220" t="s">
        <v>691</v>
      </c>
    </row>
    <row r="2221" spans="1:13" x14ac:dyDescent="0.25">
      <c r="A2221" t="s">
        <v>85</v>
      </c>
      <c r="B2221" s="6" t="s">
        <v>84</v>
      </c>
      <c r="C2221" s="13">
        <v>109</v>
      </c>
      <c r="D2221" s="14" t="s">
        <v>91</v>
      </c>
      <c r="E2221">
        <v>5</v>
      </c>
      <c r="F2221" s="8">
        <f>VLOOKUP(financials[[#This Row],[productid]],Products!$B$2:$H$10,3)</f>
        <v>36</v>
      </c>
      <c r="G2221" s="8">
        <f>financials[[#This Row],[Units Sold]]*financials[[#This Row],[Sale Price]]</f>
        <v>180</v>
      </c>
      <c r="H2221" s="8">
        <f>IF(financials[[#This Row],[Discount Band]]="low",0.1,IF(financials[[#This Row],[Discount Band]]="medium",0.15,0.3))</f>
        <v>0.1</v>
      </c>
      <c r="I2221" s="8">
        <f>financials[[#This Row],[Gross Sales]]-financials[[#This Row],[Gross Sales]]*financials[[#This Row],[Discounts]]</f>
        <v>162</v>
      </c>
      <c r="J2221" s="8">
        <f>VLOOKUP(financials[[#This Row],[productid]],Products!$B$2:$H$10,4)</f>
        <v>16.8</v>
      </c>
      <c r="K2221" s="8">
        <f>financials[[#This Row],[Net Sales]]-financials[[#This Row],[COGS]]</f>
        <v>145.19999999999999</v>
      </c>
      <c r="L2221" s="15">
        <v>45536</v>
      </c>
      <c r="M2221" t="s">
        <v>700</v>
      </c>
    </row>
    <row r="2222" spans="1:13" x14ac:dyDescent="0.25">
      <c r="A2222" t="s">
        <v>89</v>
      </c>
      <c r="B2222" s="6" t="s">
        <v>159</v>
      </c>
      <c r="C2222" s="13">
        <v>108</v>
      </c>
      <c r="D2222" s="14" t="s">
        <v>83</v>
      </c>
      <c r="E2222">
        <v>14</v>
      </c>
      <c r="F2222" s="8">
        <f>VLOOKUP(financials[[#This Row],[productid]],Products!$B$2:$H$10,3)</f>
        <v>5.5</v>
      </c>
      <c r="G2222" s="8">
        <f>financials[[#This Row],[Units Sold]]*financials[[#This Row],[Sale Price]]</f>
        <v>77</v>
      </c>
      <c r="H2222" s="8">
        <f>IF(financials[[#This Row],[Discount Band]]="low",0.1,IF(financials[[#This Row],[Discount Band]]="medium",0.15,0.3))</f>
        <v>0.3</v>
      </c>
      <c r="I2222" s="8">
        <f>financials[[#This Row],[Gross Sales]]-financials[[#This Row],[Gross Sales]]*financials[[#This Row],[Discounts]]</f>
        <v>53.900000000000006</v>
      </c>
      <c r="J2222" s="8">
        <f>VLOOKUP(financials[[#This Row],[productid]],Products!$B$2:$H$10,4)</f>
        <v>3.99</v>
      </c>
      <c r="K2222" s="8">
        <f>financials[[#This Row],[Net Sales]]-financials[[#This Row],[COGS]]</f>
        <v>49.910000000000004</v>
      </c>
      <c r="L2222" s="15">
        <v>44433</v>
      </c>
      <c r="M2222" t="s">
        <v>700</v>
      </c>
    </row>
    <row r="2223" spans="1:13" x14ac:dyDescent="0.25">
      <c r="A2223" t="s">
        <v>86</v>
      </c>
      <c r="B2223" s="6" t="s">
        <v>84</v>
      </c>
      <c r="C2223" s="13">
        <v>104</v>
      </c>
      <c r="D2223" s="14" t="s">
        <v>83</v>
      </c>
      <c r="E2223">
        <v>12</v>
      </c>
      <c r="F2223" s="8">
        <f>VLOOKUP(financials[[#This Row],[productid]],Products!$B$2:$H$10,3)</f>
        <v>5.9</v>
      </c>
      <c r="G2223" s="8">
        <f>financials[[#This Row],[Units Sold]]*financials[[#This Row],[Sale Price]]</f>
        <v>70.800000000000011</v>
      </c>
      <c r="H2223" s="8">
        <f>IF(financials[[#This Row],[Discount Band]]="low",0.1,IF(financials[[#This Row],[Discount Band]]="medium",0.15,0.3))</f>
        <v>0.3</v>
      </c>
      <c r="I2223" s="8">
        <f>financials[[#This Row],[Gross Sales]]-financials[[#This Row],[Gross Sales]]*financials[[#This Row],[Discounts]]</f>
        <v>49.560000000000009</v>
      </c>
      <c r="J2223" s="8">
        <f>VLOOKUP(financials[[#This Row],[productid]],Products!$B$2:$H$10,4)</f>
        <v>2.9</v>
      </c>
      <c r="K2223" s="8">
        <f>financials[[#This Row],[Net Sales]]-financials[[#This Row],[COGS]]</f>
        <v>46.660000000000011</v>
      </c>
      <c r="L2223" s="15">
        <v>44974</v>
      </c>
      <c r="M2223" t="s">
        <v>697</v>
      </c>
    </row>
    <row r="2224" spans="1:13" x14ac:dyDescent="0.25">
      <c r="A2224" t="s">
        <v>87</v>
      </c>
      <c r="B2224" s="6" t="s">
        <v>240</v>
      </c>
      <c r="C2224" s="13">
        <v>107</v>
      </c>
      <c r="D2224" s="14" t="s">
        <v>90</v>
      </c>
      <c r="E2224">
        <v>8</v>
      </c>
      <c r="F2224" s="8">
        <f>VLOOKUP(financials[[#This Row],[productid]],Products!$B$2:$H$10,3)</f>
        <v>15</v>
      </c>
      <c r="G2224" s="8">
        <f>financials[[#This Row],[Units Sold]]*financials[[#This Row],[Sale Price]]</f>
        <v>120</v>
      </c>
      <c r="H2224" s="8">
        <f>IF(financials[[#This Row],[Discount Band]]="low",0.1,IF(financials[[#This Row],[Discount Band]]="medium",0.15,0.3))</f>
        <v>0.15</v>
      </c>
      <c r="I2224" s="8">
        <f>financials[[#This Row],[Gross Sales]]-financials[[#This Row],[Gross Sales]]*financials[[#This Row],[Discounts]]</f>
        <v>102</v>
      </c>
      <c r="J2224" s="8">
        <f>VLOOKUP(financials[[#This Row],[productid]],Products!$B$2:$H$10,4)</f>
        <v>5.5</v>
      </c>
      <c r="K2224" s="8">
        <f>financials[[#This Row],[Net Sales]]-financials[[#This Row],[COGS]]</f>
        <v>96.5</v>
      </c>
      <c r="L2224" s="15">
        <v>45311</v>
      </c>
      <c r="M2224" t="s">
        <v>690</v>
      </c>
    </row>
    <row r="2225" spans="1:13" x14ac:dyDescent="0.25">
      <c r="A2225" t="s">
        <v>87</v>
      </c>
      <c r="B2225" s="6" t="s">
        <v>96</v>
      </c>
      <c r="C2225" s="13">
        <v>108</v>
      </c>
      <c r="D2225" s="14" t="s">
        <v>90</v>
      </c>
      <c r="E2225">
        <v>10</v>
      </c>
      <c r="F2225" s="8">
        <f>VLOOKUP(financials[[#This Row],[productid]],Products!$B$2:$H$10,3)</f>
        <v>5.5</v>
      </c>
      <c r="G2225" s="8">
        <f>financials[[#This Row],[Units Sold]]*financials[[#This Row],[Sale Price]]</f>
        <v>55</v>
      </c>
      <c r="H2225" s="8">
        <f>IF(financials[[#This Row],[Discount Band]]="low",0.1,IF(financials[[#This Row],[Discount Band]]="medium",0.15,0.3))</f>
        <v>0.15</v>
      </c>
      <c r="I2225" s="8">
        <f>financials[[#This Row],[Gross Sales]]-financials[[#This Row],[Gross Sales]]*financials[[#This Row],[Discounts]]</f>
        <v>46.75</v>
      </c>
      <c r="J2225" s="8">
        <f>VLOOKUP(financials[[#This Row],[productid]],Products!$B$2:$H$10,4)</f>
        <v>3.99</v>
      </c>
      <c r="K2225" s="8">
        <f>financials[[#This Row],[Net Sales]]-financials[[#This Row],[COGS]]</f>
        <v>42.76</v>
      </c>
      <c r="L2225" s="15">
        <v>44565</v>
      </c>
      <c r="M2225" t="s">
        <v>690</v>
      </c>
    </row>
    <row r="2226" spans="1:13" x14ac:dyDescent="0.25">
      <c r="A2226" t="s">
        <v>86</v>
      </c>
      <c r="B2226" s="6" t="s">
        <v>124</v>
      </c>
      <c r="C2226" s="13">
        <v>102</v>
      </c>
      <c r="D2226" s="14" t="s">
        <v>90</v>
      </c>
      <c r="E2226">
        <v>18</v>
      </c>
      <c r="F2226" s="8">
        <f>VLOOKUP(financials[[#This Row],[productid]],Products!$B$2:$H$10,3)</f>
        <v>15</v>
      </c>
      <c r="G2226" s="8">
        <f>financials[[#This Row],[Units Sold]]*financials[[#This Row],[Sale Price]]</f>
        <v>270</v>
      </c>
      <c r="H2226" s="8">
        <f>IF(financials[[#This Row],[Discount Band]]="low",0.1,IF(financials[[#This Row],[Discount Band]]="medium",0.15,0.3))</f>
        <v>0.15</v>
      </c>
      <c r="I2226" s="8">
        <f>financials[[#This Row],[Gross Sales]]-financials[[#This Row],[Gross Sales]]*financials[[#This Row],[Discounts]]</f>
        <v>229.5</v>
      </c>
      <c r="J2226" s="8">
        <f>VLOOKUP(financials[[#This Row],[productid]],Products!$B$2:$H$10,4)</f>
        <v>13.95</v>
      </c>
      <c r="K2226" s="8">
        <f>financials[[#This Row],[Net Sales]]-financials[[#This Row],[COGS]]</f>
        <v>215.55</v>
      </c>
      <c r="L2226" s="15">
        <v>45179</v>
      </c>
      <c r="M2226" t="s">
        <v>697</v>
      </c>
    </row>
    <row r="2227" spans="1:13" x14ac:dyDescent="0.25">
      <c r="A2227" t="s">
        <v>85</v>
      </c>
      <c r="B2227" s="6" t="s">
        <v>84</v>
      </c>
      <c r="C2227" s="13">
        <v>106</v>
      </c>
      <c r="D2227" s="14" t="s">
        <v>90</v>
      </c>
      <c r="E2227">
        <v>12</v>
      </c>
      <c r="F2227" s="8">
        <f>VLOOKUP(financials[[#This Row],[productid]],Products!$B$2:$H$10,3)</f>
        <v>25</v>
      </c>
      <c r="G2227" s="8">
        <f>financials[[#This Row],[Units Sold]]*financials[[#This Row],[Sale Price]]</f>
        <v>300</v>
      </c>
      <c r="H2227" s="8">
        <f>IF(financials[[#This Row],[Discount Band]]="low",0.1,IF(financials[[#This Row],[Discount Band]]="medium",0.15,0.3))</f>
        <v>0.15</v>
      </c>
      <c r="I2227" s="8">
        <f>financials[[#This Row],[Gross Sales]]-financials[[#This Row],[Gross Sales]]*financials[[#This Row],[Discounts]]</f>
        <v>255</v>
      </c>
      <c r="J2227" s="8">
        <f>VLOOKUP(financials[[#This Row],[productid]],Products!$B$2:$H$10,4)</f>
        <v>9.1</v>
      </c>
      <c r="K2227" s="8">
        <f>financials[[#This Row],[Net Sales]]-financials[[#This Row],[COGS]]</f>
        <v>245.9</v>
      </c>
      <c r="L2227" s="15">
        <v>44285</v>
      </c>
      <c r="M2227" t="s">
        <v>691</v>
      </c>
    </row>
    <row r="2228" spans="1:13" x14ac:dyDescent="0.25">
      <c r="A2228" t="s">
        <v>86</v>
      </c>
      <c r="B2228" s="6" t="s">
        <v>124</v>
      </c>
      <c r="C2228" s="13">
        <v>102</v>
      </c>
      <c r="D2228" s="14" t="s">
        <v>90</v>
      </c>
      <c r="E2228">
        <v>11</v>
      </c>
      <c r="F2228" s="8">
        <f>VLOOKUP(financials[[#This Row],[productid]],Products!$B$2:$H$10,3)</f>
        <v>15</v>
      </c>
      <c r="G2228" s="8">
        <f>financials[[#This Row],[Units Sold]]*financials[[#This Row],[Sale Price]]</f>
        <v>165</v>
      </c>
      <c r="H2228" s="8">
        <f>IF(financials[[#This Row],[Discount Band]]="low",0.1,IF(financials[[#This Row],[Discount Band]]="medium",0.15,0.3))</f>
        <v>0.15</v>
      </c>
      <c r="I2228" s="8">
        <f>financials[[#This Row],[Gross Sales]]-financials[[#This Row],[Gross Sales]]*financials[[#This Row],[Discounts]]</f>
        <v>140.25</v>
      </c>
      <c r="J2228" s="8">
        <f>VLOOKUP(financials[[#This Row],[productid]],Products!$B$2:$H$10,4)</f>
        <v>13.95</v>
      </c>
      <c r="K2228" s="8">
        <f>financials[[#This Row],[Net Sales]]-financials[[#This Row],[COGS]]</f>
        <v>126.3</v>
      </c>
      <c r="L2228" s="15">
        <v>44745</v>
      </c>
      <c r="M2228" t="s">
        <v>691</v>
      </c>
    </row>
    <row r="2229" spans="1:13" x14ac:dyDescent="0.25">
      <c r="A2229" t="s">
        <v>86</v>
      </c>
      <c r="B2229" s="6" t="s">
        <v>159</v>
      </c>
      <c r="C2229" s="13">
        <v>102</v>
      </c>
      <c r="D2229" s="14" t="s">
        <v>91</v>
      </c>
      <c r="E2229">
        <v>8</v>
      </c>
      <c r="F2229" s="8">
        <f>VLOOKUP(financials[[#This Row],[productid]],Products!$B$2:$H$10,3)</f>
        <v>15</v>
      </c>
      <c r="G2229" s="8">
        <f>financials[[#This Row],[Units Sold]]*financials[[#This Row],[Sale Price]]</f>
        <v>120</v>
      </c>
      <c r="H2229" s="8">
        <f>IF(financials[[#This Row],[Discount Band]]="low",0.1,IF(financials[[#This Row],[Discount Band]]="medium",0.15,0.3))</f>
        <v>0.1</v>
      </c>
      <c r="I2229" s="8">
        <f>financials[[#This Row],[Gross Sales]]-financials[[#This Row],[Gross Sales]]*financials[[#This Row],[Discounts]]</f>
        <v>108</v>
      </c>
      <c r="J2229" s="8">
        <f>VLOOKUP(financials[[#This Row],[productid]],Products!$B$2:$H$10,4)</f>
        <v>13.95</v>
      </c>
      <c r="K2229" s="8">
        <f>financials[[#This Row],[Net Sales]]-financials[[#This Row],[COGS]]</f>
        <v>94.05</v>
      </c>
      <c r="L2229" s="15">
        <v>45457</v>
      </c>
      <c r="M2229" t="s">
        <v>691</v>
      </c>
    </row>
    <row r="2230" spans="1:13" x14ac:dyDescent="0.25">
      <c r="A2230" t="s">
        <v>87</v>
      </c>
      <c r="B2230" s="6" t="s">
        <v>125</v>
      </c>
      <c r="C2230" s="13">
        <v>107</v>
      </c>
      <c r="D2230" s="14" t="s">
        <v>90</v>
      </c>
      <c r="E2230">
        <v>6</v>
      </c>
      <c r="F2230" s="8">
        <f>VLOOKUP(financials[[#This Row],[productid]],Products!$B$2:$H$10,3)</f>
        <v>15</v>
      </c>
      <c r="G2230" s="8">
        <f>financials[[#This Row],[Units Sold]]*financials[[#This Row],[Sale Price]]</f>
        <v>90</v>
      </c>
      <c r="H2230" s="8">
        <f>IF(financials[[#This Row],[Discount Band]]="low",0.1,IF(financials[[#This Row],[Discount Band]]="medium",0.15,0.3))</f>
        <v>0.15</v>
      </c>
      <c r="I2230" s="8">
        <f>financials[[#This Row],[Gross Sales]]-financials[[#This Row],[Gross Sales]]*financials[[#This Row],[Discounts]]</f>
        <v>76.5</v>
      </c>
      <c r="J2230" s="8">
        <f>VLOOKUP(financials[[#This Row],[productid]],Products!$B$2:$H$10,4)</f>
        <v>5.5</v>
      </c>
      <c r="K2230" s="8">
        <f>financials[[#This Row],[Net Sales]]-financials[[#This Row],[COGS]]</f>
        <v>71</v>
      </c>
      <c r="L2230" s="15">
        <v>44812</v>
      </c>
      <c r="M2230" t="s">
        <v>697</v>
      </c>
    </row>
    <row r="2231" spans="1:13" x14ac:dyDescent="0.25">
      <c r="A2231" t="s">
        <v>86</v>
      </c>
      <c r="B2231" s="6" t="s">
        <v>84</v>
      </c>
      <c r="C2231" s="13">
        <v>102</v>
      </c>
      <c r="D2231" s="14" t="s">
        <v>90</v>
      </c>
      <c r="E2231">
        <v>7</v>
      </c>
      <c r="F2231" s="8">
        <f>VLOOKUP(financials[[#This Row],[productid]],Products!$B$2:$H$10,3)</f>
        <v>15</v>
      </c>
      <c r="G2231" s="8">
        <f>financials[[#This Row],[Units Sold]]*financials[[#This Row],[Sale Price]]</f>
        <v>105</v>
      </c>
      <c r="H2231" s="8">
        <f>IF(financials[[#This Row],[Discount Band]]="low",0.1,IF(financials[[#This Row],[Discount Band]]="medium",0.15,0.3))</f>
        <v>0.15</v>
      </c>
      <c r="I2231" s="8">
        <f>financials[[#This Row],[Gross Sales]]-financials[[#This Row],[Gross Sales]]*financials[[#This Row],[Discounts]]</f>
        <v>89.25</v>
      </c>
      <c r="J2231" s="8">
        <f>VLOOKUP(financials[[#This Row],[productid]],Products!$B$2:$H$10,4)</f>
        <v>13.95</v>
      </c>
      <c r="K2231" s="8">
        <f>financials[[#This Row],[Net Sales]]-financials[[#This Row],[COGS]]</f>
        <v>75.3</v>
      </c>
      <c r="L2231" s="15">
        <v>44469</v>
      </c>
      <c r="M2231" t="s">
        <v>697</v>
      </c>
    </row>
    <row r="2232" spans="1:13" x14ac:dyDescent="0.25">
      <c r="A2232" t="s">
        <v>89</v>
      </c>
      <c r="B2232" s="6" t="s">
        <v>84</v>
      </c>
      <c r="C2232" s="13">
        <v>102</v>
      </c>
      <c r="D2232" s="14" t="s">
        <v>90</v>
      </c>
      <c r="E2232">
        <v>11</v>
      </c>
      <c r="F2232" s="8">
        <f>VLOOKUP(financials[[#This Row],[productid]],Products!$B$2:$H$10,3)</f>
        <v>15</v>
      </c>
      <c r="G2232" s="8">
        <f>financials[[#This Row],[Units Sold]]*financials[[#This Row],[Sale Price]]</f>
        <v>165</v>
      </c>
      <c r="H2232" s="8">
        <f>IF(financials[[#This Row],[Discount Band]]="low",0.1,IF(financials[[#This Row],[Discount Band]]="medium",0.15,0.3))</f>
        <v>0.15</v>
      </c>
      <c r="I2232" s="8">
        <f>financials[[#This Row],[Gross Sales]]-financials[[#This Row],[Gross Sales]]*financials[[#This Row],[Discounts]]</f>
        <v>140.25</v>
      </c>
      <c r="J2232" s="8">
        <f>VLOOKUP(financials[[#This Row],[productid]],Products!$B$2:$H$10,4)</f>
        <v>13.95</v>
      </c>
      <c r="K2232" s="8">
        <f>financials[[#This Row],[Net Sales]]-financials[[#This Row],[COGS]]</f>
        <v>126.3</v>
      </c>
      <c r="L2232" s="15">
        <v>45155</v>
      </c>
      <c r="M2232" t="s">
        <v>697</v>
      </c>
    </row>
    <row r="2233" spans="1:13" x14ac:dyDescent="0.25">
      <c r="A2233" t="s">
        <v>87</v>
      </c>
      <c r="B2233" s="6" t="s">
        <v>266</v>
      </c>
      <c r="C2233" s="13">
        <v>103</v>
      </c>
      <c r="D2233" s="14" t="s">
        <v>83</v>
      </c>
      <c r="E2233">
        <v>19</v>
      </c>
      <c r="F2233" s="8">
        <f>VLOOKUP(financials[[#This Row],[productid]],Products!$B$2:$H$10,3)</f>
        <v>28</v>
      </c>
      <c r="G2233" s="8">
        <f>financials[[#This Row],[Units Sold]]*financials[[#This Row],[Sale Price]]</f>
        <v>532</v>
      </c>
      <c r="H2233" s="8">
        <f>IF(financials[[#This Row],[Discount Band]]="low",0.1,IF(financials[[#This Row],[Discount Band]]="medium",0.15,0.3))</f>
        <v>0.3</v>
      </c>
      <c r="I2233" s="8">
        <f>financials[[#This Row],[Gross Sales]]-financials[[#This Row],[Gross Sales]]*financials[[#This Row],[Discounts]]</f>
        <v>372.4</v>
      </c>
      <c r="J2233" s="8">
        <f>VLOOKUP(financials[[#This Row],[productid]],Products!$B$2:$H$10,4)</f>
        <v>15</v>
      </c>
      <c r="K2233" s="8">
        <f>financials[[#This Row],[Net Sales]]-financials[[#This Row],[COGS]]</f>
        <v>357.4</v>
      </c>
      <c r="L2233" s="15">
        <v>45299</v>
      </c>
      <c r="M2233" t="s">
        <v>696</v>
      </c>
    </row>
    <row r="2234" spans="1:13" x14ac:dyDescent="0.25">
      <c r="A2234" t="s">
        <v>86</v>
      </c>
      <c r="B2234" s="6" t="s">
        <v>159</v>
      </c>
      <c r="C2234" s="13">
        <v>103</v>
      </c>
      <c r="D2234" s="14" t="s">
        <v>92</v>
      </c>
      <c r="E2234">
        <v>13</v>
      </c>
      <c r="F2234" s="8">
        <f>VLOOKUP(financials[[#This Row],[productid]],Products!$B$2:$H$10,3)</f>
        <v>28</v>
      </c>
      <c r="G2234" s="8">
        <f>financials[[#This Row],[Units Sold]]*financials[[#This Row],[Sale Price]]</f>
        <v>364</v>
      </c>
      <c r="H2234" s="8">
        <f>IF(financials[[#This Row],[Discount Band]]="low",0.1,IF(financials[[#This Row],[Discount Band]]="medium",0.15,0.3))</f>
        <v>0.3</v>
      </c>
      <c r="I2234" s="8">
        <f>financials[[#This Row],[Gross Sales]]-financials[[#This Row],[Gross Sales]]*financials[[#This Row],[Discounts]]</f>
        <v>254.8</v>
      </c>
      <c r="J2234" s="8">
        <f>VLOOKUP(financials[[#This Row],[productid]],Products!$B$2:$H$10,4)</f>
        <v>15</v>
      </c>
      <c r="K2234" s="8">
        <f>financials[[#This Row],[Net Sales]]-financials[[#This Row],[COGS]]</f>
        <v>239.8</v>
      </c>
      <c r="L2234" s="15">
        <v>45412</v>
      </c>
      <c r="M2234" t="s">
        <v>691</v>
      </c>
    </row>
    <row r="2235" spans="1:13" x14ac:dyDescent="0.25">
      <c r="A2235" t="s">
        <v>87</v>
      </c>
      <c r="B2235" s="6" t="s">
        <v>240</v>
      </c>
      <c r="C2235" s="13">
        <v>102</v>
      </c>
      <c r="D2235" s="14" t="s">
        <v>91</v>
      </c>
      <c r="E2235">
        <v>12</v>
      </c>
      <c r="F2235" s="8">
        <f>VLOOKUP(financials[[#This Row],[productid]],Products!$B$2:$H$10,3)</f>
        <v>15</v>
      </c>
      <c r="G2235" s="8">
        <f>financials[[#This Row],[Units Sold]]*financials[[#This Row],[Sale Price]]</f>
        <v>180</v>
      </c>
      <c r="H2235" s="8">
        <f>IF(financials[[#This Row],[Discount Band]]="low",0.1,IF(financials[[#This Row],[Discount Band]]="medium",0.15,0.3))</f>
        <v>0.1</v>
      </c>
      <c r="I2235" s="8">
        <f>financials[[#This Row],[Gross Sales]]-financials[[#This Row],[Gross Sales]]*financials[[#This Row],[Discounts]]</f>
        <v>162</v>
      </c>
      <c r="J2235" s="8">
        <f>VLOOKUP(financials[[#This Row],[productid]],Products!$B$2:$H$10,4)</f>
        <v>13.95</v>
      </c>
      <c r="K2235" s="8">
        <f>financials[[#This Row],[Net Sales]]-financials[[#This Row],[COGS]]</f>
        <v>148.05000000000001</v>
      </c>
      <c r="L2235" s="15">
        <v>44392</v>
      </c>
      <c r="M2235" t="s">
        <v>690</v>
      </c>
    </row>
    <row r="2236" spans="1:13" x14ac:dyDescent="0.25">
      <c r="A2236" t="s">
        <v>87</v>
      </c>
      <c r="B2236" s="6" t="s">
        <v>274</v>
      </c>
      <c r="C2236" s="13">
        <v>109</v>
      </c>
      <c r="D2236" s="14" t="s">
        <v>91</v>
      </c>
      <c r="E2236">
        <v>16</v>
      </c>
      <c r="F2236" s="8">
        <f>VLOOKUP(financials[[#This Row],[productid]],Products!$B$2:$H$10,3)</f>
        <v>36</v>
      </c>
      <c r="G2236" s="8">
        <f>financials[[#This Row],[Units Sold]]*financials[[#This Row],[Sale Price]]</f>
        <v>576</v>
      </c>
      <c r="H2236" s="8">
        <f>IF(financials[[#This Row],[Discount Band]]="low",0.1,IF(financials[[#This Row],[Discount Band]]="medium",0.15,0.3))</f>
        <v>0.1</v>
      </c>
      <c r="I2236" s="8">
        <f>financials[[#This Row],[Gross Sales]]-financials[[#This Row],[Gross Sales]]*financials[[#This Row],[Discounts]]</f>
        <v>518.4</v>
      </c>
      <c r="J2236" s="8">
        <f>VLOOKUP(financials[[#This Row],[productid]],Products!$B$2:$H$10,4)</f>
        <v>16.8</v>
      </c>
      <c r="K2236" s="8">
        <f>financials[[#This Row],[Net Sales]]-financials[[#This Row],[COGS]]</f>
        <v>501.59999999999997</v>
      </c>
      <c r="L2236" s="15">
        <v>43921</v>
      </c>
      <c r="M2236" t="s">
        <v>700</v>
      </c>
    </row>
    <row r="2237" spans="1:13" x14ac:dyDescent="0.25">
      <c r="A2237" t="s">
        <v>85</v>
      </c>
      <c r="B2237" s="6" t="s">
        <v>84</v>
      </c>
      <c r="C2237" s="11">
        <v>108</v>
      </c>
      <c r="D2237" s="9" t="s">
        <v>83</v>
      </c>
      <c r="E2237">
        <v>10</v>
      </c>
      <c r="F2237" s="8">
        <f>VLOOKUP(financials[[#This Row],[productid]],Products!$B$2:$H$10,3)</f>
        <v>5.5</v>
      </c>
      <c r="G2237" s="8">
        <f>financials[[#This Row],[Units Sold]]*financials[[#This Row],[Sale Price]]</f>
        <v>55</v>
      </c>
      <c r="H2237" s="8">
        <f>IF(financials[[#This Row],[Discount Band]]="low",0.1,IF(financials[[#This Row],[Discount Band]]="medium",0.15,0.3))</f>
        <v>0.3</v>
      </c>
      <c r="I2237" s="8">
        <f>financials[[#This Row],[Gross Sales]]-financials[[#This Row],[Gross Sales]]*financials[[#This Row],[Discounts]]</f>
        <v>38.5</v>
      </c>
      <c r="J2237" s="8">
        <f>VLOOKUP(financials[[#This Row],[productid]],Products!$B$2:$H$10,4)</f>
        <v>3.99</v>
      </c>
      <c r="K2237" s="8">
        <f>financials[[#This Row],[Net Sales]]-financials[[#This Row],[COGS]]</f>
        <v>34.51</v>
      </c>
      <c r="L2237" s="15">
        <v>45081</v>
      </c>
      <c r="M2237" t="s">
        <v>697</v>
      </c>
    </row>
    <row r="2238" spans="1:13" x14ac:dyDescent="0.25">
      <c r="A2238" t="s">
        <v>85</v>
      </c>
      <c r="B2238" s="6" t="s">
        <v>124</v>
      </c>
      <c r="C2238" s="13">
        <v>103</v>
      </c>
      <c r="D2238" s="14" t="s">
        <v>90</v>
      </c>
      <c r="E2238">
        <v>9</v>
      </c>
      <c r="F2238" s="8">
        <f>VLOOKUP(financials[[#This Row],[productid]],Products!$B$2:$H$10,3)</f>
        <v>28</v>
      </c>
      <c r="G2238" s="8">
        <f>financials[[#This Row],[Units Sold]]*financials[[#This Row],[Sale Price]]</f>
        <v>252</v>
      </c>
      <c r="H2238" s="8">
        <f>IF(financials[[#This Row],[Discount Band]]="low",0.1,IF(financials[[#This Row],[Discount Band]]="medium",0.15,0.3))</f>
        <v>0.15</v>
      </c>
      <c r="I2238" s="8">
        <f>financials[[#This Row],[Gross Sales]]-financials[[#This Row],[Gross Sales]]*financials[[#This Row],[Discounts]]</f>
        <v>214.2</v>
      </c>
      <c r="J2238" s="8">
        <f>VLOOKUP(financials[[#This Row],[productid]],Products!$B$2:$H$10,4)</f>
        <v>15</v>
      </c>
      <c r="K2238" s="8">
        <f>financials[[#This Row],[Net Sales]]-financials[[#This Row],[COGS]]</f>
        <v>199.2</v>
      </c>
      <c r="L2238" s="15">
        <v>44722</v>
      </c>
      <c r="M2238" t="s">
        <v>697</v>
      </c>
    </row>
    <row r="2239" spans="1:13" x14ac:dyDescent="0.25">
      <c r="A2239" t="s">
        <v>87</v>
      </c>
      <c r="B2239" s="6" t="s">
        <v>148</v>
      </c>
      <c r="C2239" s="13">
        <v>104</v>
      </c>
      <c r="D2239" s="14" t="s">
        <v>83</v>
      </c>
      <c r="E2239">
        <v>15</v>
      </c>
      <c r="F2239" s="8">
        <f>VLOOKUP(financials[[#This Row],[productid]],Products!$B$2:$H$10,3)</f>
        <v>5.9</v>
      </c>
      <c r="G2239" s="8">
        <f>financials[[#This Row],[Units Sold]]*financials[[#This Row],[Sale Price]]</f>
        <v>88.5</v>
      </c>
      <c r="H2239" s="8">
        <f>IF(financials[[#This Row],[Discount Band]]="low",0.1,IF(financials[[#This Row],[Discount Band]]="medium",0.15,0.3))</f>
        <v>0.3</v>
      </c>
      <c r="I2239" s="8">
        <f>financials[[#This Row],[Gross Sales]]-financials[[#This Row],[Gross Sales]]*financials[[#This Row],[Discounts]]</f>
        <v>61.95</v>
      </c>
      <c r="J2239" s="8">
        <f>VLOOKUP(financials[[#This Row],[productid]],Products!$B$2:$H$10,4)</f>
        <v>2.9</v>
      </c>
      <c r="K2239" s="8">
        <f>financials[[#This Row],[Net Sales]]-financials[[#This Row],[COGS]]</f>
        <v>59.050000000000004</v>
      </c>
      <c r="L2239" s="15">
        <v>43914</v>
      </c>
      <c r="M2239" t="s">
        <v>697</v>
      </c>
    </row>
    <row r="2240" spans="1:13" x14ac:dyDescent="0.25">
      <c r="A2240" t="s">
        <v>87</v>
      </c>
      <c r="B2240" s="6" t="s">
        <v>645</v>
      </c>
      <c r="C2240" s="13">
        <v>106</v>
      </c>
      <c r="D2240" s="14" t="s">
        <v>91</v>
      </c>
      <c r="E2240">
        <v>8</v>
      </c>
      <c r="F2240" s="8">
        <f>VLOOKUP(financials[[#This Row],[productid]],Products!$B$2:$H$10,3)</f>
        <v>25</v>
      </c>
      <c r="G2240" s="8">
        <f>financials[[#This Row],[Units Sold]]*financials[[#This Row],[Sale Price]]</f>
        <v>200</v>
      </c>
      <c r="H2240" s="8">
        <f>IF(financials[[#This Row],[Discount Band]]="low",0.1,IF(financials[[#This Row],[Discount Band]]="medium",0.15,0.3))</f>
        <v>0.1</v>
      </c>
      <c r="I2240" s="8">
        <f>financials[[#This Row],[Gross Sales]]-financials[[#This Row],[Gross Sales]]*financials[[#This Row],[Discounts]]</f>
        <v>180</v>
      </c>
      <c r="J2240" s="8">
        <f>VLOOKUP(financials[[#This Row],[productid]],Products!$B$2:$H$10,4)</f>
        <v>9.1</v>
      </c>
      <c r="K2240" s="8">
        <f>financials[[#This Row],[Net Sales]]-financials[[#This Row],[COGS]]</f>
        <v>170.9</v>
      </c>
      <c r="L2240" s="15">
        <v>45027</v>
      </c>
      <c r="M2240" t="s">
        <v>697</v>
      </c>
    </row>
    <row r="2241" spans="1:13" x14ac:dyDescent="0.25">
      <c r="A2241" t="s">
        <v>87</v>
      </c>
      <c r="B2241" s="6" t="s">
        <v>125</v>
      </c>
      <c r="C2241" s="13">
        <v>102</v>
      </c>
      <c r="D2241" s="14" t="s">
        <v>83</v>
      </c>
      <c r="E2241">
        <v>6</v>
      </c>
      <c r="F2241" s="8">
        <f>VLOOKUP(financials[[#This Row],[productid]],Products!$B$2:$H$10,3)</f>
        <v>15</v>
      </c>
      <c r="G2241" s="8">
        <f>financials[[#This Row],[Units Sold]]*financials[[#This Row],[Sale Price]]</f>
        <v>90</v>
      </c>
      <c r="H2241" s="8">
        <f>IF(financials[[#This Row],[Discount Band]]="low",0.1,IF(financials[[#This Row],[Discount Band]]="medium",0.15,0.3))</f>
        <v>0.3</v>
      </c>
      <c r="I2241" s="8">
        <f>financials[[#This Row],[Gross Sales]]-financials[[#This Row],[Gross Sales]]*financials[[#This Row],[Discounts]]</f>
        <v>63</v>
      </c>
      <c r="J2241" s="8">
        <f>VLOOKUP(financials[[#This Row],[productid]],Products!$B$2:$H$10,4)</f>
        <v>13.95</v>
      </c>
      <c r="K2241" s="8">
        <f>financials[[#This Row],[Net Sales]]-financials[[#This Row],[COGS]]</f>
        <v>49.05</v>
      </c>
      <c r="L2241" s="15">
        <v>43844</v>
      </c>
      <c r="M2241" t="s">
        <v>700</v>
      </c>
    </row>
    <row r="2242" spans="1:13" x14ac:dyDescent="0.25">
      <c r="A2242" t="s">
        <v>85</v>
      </c>
      <c r="B2242" s="6" t="s">
        <v>84</v>
      </c>
      <c r="C2242" s="13">
        <v>105</v>
      </c>
      <c r="D2242" s="14" t="s">
        <v>91</v>
      </c>
      <c r="E2242">
        <v>15</v>
      </c>
      <c r="F2242" s="8">
        <f>VLOOKUP(financials[[#This Row],[productid]],Products!$B$2:$H$10,3)</f>
        <v>15</v>
      </c>
      <c r="G2242" s="8">
        <f>financials[[#This Row],[Units Sold]]*financials[[#This Row],[Sale Price]]</f>
        <v>225</v>
      </c>
      <c r="H2242" s="8">
        <f>IF(financials[[#This Row],[Discount Band]]="low",0.1,IF(financials[[#This Row],[Discount Band]]="medium",0.15,0.3))</f>
        <v>0.1</v>
      </c>
      <c r="I2242" s="8">
        <f>financials[[#This Row],[Gross Sales]]-financials[[#This Row],[Gross Sales]]*financials[[#This Row],[Discounts]]</f>
        <v>202.5</v>
      </c>
      <c r="J2242" s="8">
        <f>VLOOKUP(financials[[#This Row],[productid]],Products!$B$2:$H$10,4)</f>
        <v>10</v>
      </c>
      <c r="K2242" s="8">
        <f>financials[[#This Row],[Net Sales]]-financials[[#This Row],[COGS]]</f>
        <v>192.5</v>
      </c>
      <c r="L2242" s="15">
        <v>45457</v>
      </c>
      <c r="M2242" t="s">
        <v>691</v>
      </c>
    </row>
    <row r="2243" spans="1:13" x14ac:dyDescent="0.25">
      <c r="A2243" t="s">
        <v>85</v>
      </c>
      <c r="B2243" s="6" t="s">
        <v>84</v>
      </c>
      <c r="C2243" s="13">
        <v>105</v>
      </c>
      <c r="D2243" s="14" t="s">
        <v>91</v>
      </c>
      <c r="E2243">
        <v>15</v>
      </c>
      <c r="F2243" s="8">
        <f>VLOOKUP(financials[[#This Row],[productid]],Products!$B$2:$H$10,3)</f>
        <v>15</v>
      </c>
      <c r="G2243" s="8">
        <f>financials[[#This Row],[Units Sold]]*financials[[#This Row],[Sale Price]]</f>
        <v>225</v>
      </c>
      <c r="H2243" s="8">
        <f>IF(financials[[#This Row],[Discount Band]]="low",0.1,IF(financials[[#This Row],[Discount Band]]="medium",0.15,0.3))</f>
        <v>0.1</v>
      </c>
      <c r="I2243" s="8">
        <f>financials[[#This Row],[Gross Sales]]-financials[[#This Row],[Gross Sales]]*financials[[#This Row],[Discounts]]</f>
        <v>202.5</v>
      </c>
      <c r="J2243" s="8">
        <f>VLOOKUP(financials[[#This Row],[productid]],Products!$B$2:$H$10,4)</f>
        <v>10</v>
      </c>
      <c r="K2243" s="8">
        <f>financials[[#This Row],[Net Sales]]-financials[[#This Row],[COGS]]</f>
        <v>192.5</v>
      </c>
      <c r="L2243" s="15">
        <v>44866</v>
      </c>
      <c r="M2243" t="s">
        <v>697</v>
      </c>
    </row>
    <row r="2244" spans="1:13" x14ac:dyDescent="0.25">
      <c r="A2244" t="s">
        <v>89</v>
      </c>
      <c r="B2244" s="6" t="s">
        <v>84</v>
      </c>
      <c r="C2244" s="13">
        <v>101</v>
      </c>
      <c r="D2244" s="14" t="s">
        <v>90</v>
      </c>
      <c r="E2244">
        <v>14</v>
      </c>
      <c r="F2244" s="8">
        <f>VLOOKUP(financials[[#This Row],[productid]],Products!$B$2:$H$10,3)</f>
        <v>23</v>
      </c>
      <c r="G2244" s="8">
        <f>financials[[#This Row],[Units Sold]]*financials[[#This Row],[Sale Price]]</f>
        <v>322</v>
      </c>
      <c r="H2244" s="8">
        <f>IF(financials[[#This Row],[Discount Band]]="low",0.1,IF(financials[[#This Row],[Discount Band]]="medium",0.15,0.3))</f>
        <v>0.15</v>
      </c>
      <c r="I2244" s="8">
        <f>financials[[#This Row],[Gross Sales]]-financials[[#This Row],[Gross Sales]]*financials[[#This Row],[Discounts]]</f>
        <v>273.7</v>
      </c>
      <c r="J2244" s="8">
        <f>VLOOKUP(financials[[#This Row],[productid]],Products!$B$2:$H$10,4)</f>
        <v>9.9499999999999993</v>
      </c>
      <c r="K2244" s="8">
        <f>financials[[#This Row],[Net Sales]]-financials[[#This Row],[COGS]]</f>
        <v>263.75</v>
      </c>
      <c r="L2244" s="15">
        <v>45136</v>
      </c>
      <c r="M2244" t="s">
        <v>697</v>
      </c>
    </row>
    <row r="2245" spans="1:13" x14ac:dyDescent="0.25">
      <c r="A2245" t="s">
        <v>85</v>
      </c>
      <c r="B2245" s="6" t="s">
        <v>124</v>
      </c>
      <c r="C2245" s="13">
        <v>104</v>
      </c>
      <c r="D2245" s="14" t="s">
        <v>91</v>
      </c>
      <c r="E2245">
        <v>15</v>
      </c>
      <c r="F2245" s="8">
        <f>VLOOKUP(financials[[#This Row],[productid]],Products!$B$2:$H$10,3)</f>
        <v>5.9</v>
      </c>
      <c r="G2245" s="8">
        <f>financials[[#This Row],[Units Sold]]*financials[[#This Row],[Sale Price]]</f>
        <v>88.5</v>
      </c>
      <c r="H2245" s="8">
        <f>IF(financials[[#This Row],[Discount Band]]="low",0.1,IF(financials[[#This Row],[Discount Band]]="medium",0.15,0.3))</f>
        <v>0.1</v>
      </c>
      <c r="I2245" s="8">
        <f>financials[[#This Row],[Gross Sales]]-financials[[#This Row],[Gross Sales]]*financials[[#This Row],[Discounts]]</f>
        <v>79.650000000000006</v>
      </c>
      <c r="J2245" s="8">
        <f>VLOOKUP(financials[[#This Row],[productid]],Products!$B$2:$H$10,4)</f>
        <v>2.9</v>
      </c>
      <c r="K2245" s="8">
        <f>financials[[#This Row],[Net Sales]]-financials[[#This Row],[COGS]]</f>
        <v>76.75</v>
      </c>
      <c r="L2245" s="15">
        <v>44878</v>
      </c>
      <c r="M2245" t="s">
        <v>690</v>
      </c>
    </row>
    <row r="2246" spans="1:13" x14ac:dyDescent="0.25">
      <c r="A2246" t="s">
        <v>85</v>
      </c>
      <c r="B2246" s="6" t="s">
        <v>84</v>
      </c>
      <c r="C2246" s="13">
        <v>105</v>
      </c>
      <c r="D2246" s="14" t="s">
        <v>90</v>
      </c>
      <c r="E2246">
        <v>15</v>
      </c>
      <c r="F2246" s="8">
        <f>VLOOKUP(financials[[#This Row],[productid]],Products!$B$2:$H$10,3)</f>
        <v>15</v>
      </c>
      <c r="G2246" s="8">
        <f>financials[[#This Row],[Units Sold]]*financials[[#This Row],[Sale Price]]</f>
        <v>225</v>
      </c>
      <c r="H2246" s="8">
        <f>IF(financials[[#This Row],[Discount Band]]="low",0.1,IF(financials[[#This Row],[Discount Band]]="medium",0.15,0.3))</f>
        <v>0.15</v>
      </c>
      <c r="I2246" s="8">
        <f>financials[[#This Row],[Gross Sales]]-financials[[#This Row],[Gross Sales]]*financials[[#This Row],[Discounts]]</f>
        <v>191.25</v>
      </c>
      <c r="J2246" s="8">
        <f>VLOOKUP(financials[[#This Row],[productid]],Products!$B$2:$H$10,4)</f>
        <v>10</v>
      </c>
      <c r="K2246" s="8">
        <f>financials[[#This Row],[Net Sales]]-financials[[#This Row],[COGS]]</f>
        <v>181.25</v>
      </c>
      <c r="L2246" s="15">
        <v>45012</v>
      </c>
      <c r="M2246" t="s">
        <v>697</v>
      </c>
    </row>
    <row r="2247" spans="1:13" x14ac:dyDescent="0.25">
      <c r="A2247" t="s">
        <v>86</v>
      </c>
      <c r="B2247" s="6" t="s">
        <v>84</v>
      </c>
      <c r="C2247" s="13">
        <v>107</v>
      </c>
      <c r="D2247" s="14" t="s">
        <v>90</v>
      </c>
      <c r="E2247">
        <v>12</v>
      </c>
      <c r="F2247" s="8">
        <f>VLOOKUP(financials[[#This Row],[productid]],Products!$B$2:$H$10,3)</f>
        <v>15</v>
      </c>
      <c r="G2247" s="8">
        <f>financials[[#This Row],[Units Sold]]*financials[[#This Row],[Sale Price]]</f>
        <v>180</v>
      </c>
      <c r="H2247" s="8">
        <f>IF(financials[[#This Row],[Discount Band]]="low",0.1,IF(financials[[#This Row],[Discount Band]]="medium",0.15,0.3))</f>
        <v>0.15</v>
      </c>
      <c r="I2247" s="8">
        <f>financials[[#This Row],[Gross Sales]]-financials[[#This Row],[Gross Sales]]*financials[[#This Row],[Discounts]]</f>
        <v>153</v>
      </c>
      <c r="J2247" s="8">
        <f>VLOOKUP(financials[[#This Row],[productid]],Products!$B$2:$H$10,4)</f>
        <v>5.5</v>
      </c>
      <c r="K2247" s="8">
        <f>financials[[#This Row],[Net Sales]]-financials[[#This Row],[COGS]]</f>
        <v>147.5</v>
      </c>
      <c r="L2247" s="15">
        <v>44986</v>
      </c>
      <c r="M2247" t="s">
        <v>697</v>
      </c>
    </row>
    <row r="2248" spans="1:13" x14ac:dyDescent="0.25">
      <c r="A2248" t="s">
        <v>85</v>
      </c>
      <c r="B2248" s="6" t="s">
        <v>124</v>
      </c>
      <c r="C2248" s="13">
        <v>104</v>
      </c>
      <c r="D2248" s="14" t="s">
        <v>90</v>
      </c>
      <c r="E2248">
        <v>15</v>
      </c>
      <c r="F2248" s="8">
        <f>VLOOKUP(financials[[#This Row],[productid]],Products!$B$2:$H$10,3)</f>
        <v>5.9</v>
      </c>
      <c r="G2248" s="8">
        <f>financials[[#This Row],[Units Sold]]*financials[[#This Row],[Sale Price]]</f>
        <v>88.5</v>
      </c>
      <c r="H2248" s="8">
        <f>IF(financials[[#This Row],[Discount Band]]="low",0.1,IF(financials[[#This Row],[Discount Band]]="medium",0.15,0.3))</f>
        <v>0.15</v>
      </c>
      <c r="I2248" s="8">
        <f>financials[[#This Row],[Gross Sales]]-financials[[#This Row],[Gross Sales]]*financials[[#This Row],[Discounts]]</f>
        <v>75.224999999999994</v>
      </c>
      <c r="J2248" s="8">
        <f>VLOOKUP(financials[[#This Row],[productid]],Products!$B$2:$H$10,4)</f>
        <v>2.9</v>
      </c>
      <c r="K2248" s="8">
        <f>financials[[#This Row],[Net Sales]]-financials[[#This Row],[COGS]]</f>
        <v>72.324999999999989</v>
      </c>
      <c r="L2248" s="15">
        <v>45283</v>
      </c>
      <c r="M2248" t="s">
        <v>691</v>
      </c>
    </row>
    <row r="2249" spans="1:13" x14ac:dyDescent="0.25">
      <c r="A2249" t="s">
        <v>85</v>
      </c>
      <c r="B2249" s="6" t="s">
        <v>84</v>
      </c>
      <c r="C2249" s="13">
        <v>103</v>
      </c>
      <c r="D2249" s="14" t="s">
        <v>90</v>
      </c>
      <c r="E2249">
        <v>15</v>
      </c>
      <c r="F2249" s="8">
        <f>VLOOKUP(financials[[#This Row],[productid]],Products!$B$2:$H$10,3)</f>
        <v>28</v>
      </c>
      <c r="G2249" s="8">
        <f>financials[[#This Row],[Units Sold]]*financials[[#This Row],[Sale Price]]</f>
        <v>420</v>
      </c>
      <c r="H2249" s="8">
        <f>IF(financials[[#This Row],[Discount Band]]="low",0.1,IF(financials[[#This Row],[Discount Band]]="medium",0.15,0.3))</f>
        <v>0.15</v>
      </c>
      <c r="I2249" s="8">
        <f>financials[[#This Row],[Gross Sales]]-financials[[#This Row],[Gross Sales]]*financials[[#This Row],[Discounts]]</f>
        <v>357</v>
      </c>
      <c r="J2249" s="8">
        <f>VLOOKUP(financials[[#This Row],[productid]],Products!$B$2:$H$10,4)</f>
        <v>15</v>
      </c>
      <c r="K2249" s="8">
        <f>financials[[#This Row],[Net Sales]]-financials[[#This Row],[COGS]]</f>
        <v>342</v>
      </c>
      <c r="L2249" s="15">
        <v>45324</v>
      </c>
      <c r="M2249" t="s">
        <v>697</v>
      </c>
    </row>
    <row r="2250" spans="1:13" x14ac:dyDescent="0.25">
      <c r="A2250" t="s">
        <v>86</v>
      </c>
      <c r="B2250" s="6" t="s">
        <v>124</v>
      </c>
      <c r="C2250" s="13">
        <v>101</v>
      </c>
      <c r="D2250" s="14" t="s">
        <v>90</v>
      </c>
      <c r="E2250">
        <v>19</v>
      </c>
      <c r="F2250" s="8">
        <f>VLOOKUP(financials[[#This Row],[productid]],Products!$B$2:$H$10,3)</f>
        <v>23</v>
      </c>
      <c r="G2250" s="8">
        <f>financials[[#This Row],[Units Sold]]*financials[[#This Row],[Sale Price]]</f>
        <v>437</v>
      </c>
      <c r="H2250" s="8">
        <f>IF(financials[[#This Row],[Discount Band]]="low",0.1,IF(financials[[#This Row],[Discount Band]]="medium",0.15,0.3))</f>
        <v>0.15</v>
      </c>
      <c r="I2250" s="8">
        <f>financials[[#This Row],[Gross Sales]]-financials[[#This Row],[Gross Sales]]*financials[[#This Row],[Discounts]]</f>
        <v>371.45</v>
      </c>
      <c r="J2250" s="8">
        <f>VLOOKUP(financials[[#This Row],[productid]],Products!$B$2:$H$10,4)</f>
        <v>9.9499999999999993</v>
      </c>
      <c r="K2250" s="8">
        <f>financials[[#This Row],[Net Sales]]-financials[[#This Row],[COGS]]</f>
        <v>361.5</v>
      </c>
      <c r="L2250" s="15">
        <v>44216</v>
      </c>
      <c r="M2250" t="s">
        <v>690</v>
      </c>
    </row>
    <row r="2251" spans="1:13" x14ac:dyDescent="0.25">
      <c r="A2251" t="s">
        <v>89</v>
      </c>
      <c r="B2251" s="6" t="s">
        <v>84</v>
      </c>
      <c r="C2251" s="13">
        <v>102</v>
      </c>
      <c r="D2251" s="14" t="s">
        <v>92</v>
      </c>
      <c r="E2251">
        <v>6</v>
      </c>
      <c r="F2251" s="8">
        <f>VLOOKUP(financials[[#This Row],[productid]],Products!$B$2:$H$10,3)</f>
        <v>15</v>
      </c>
      <c r="G2251" s="8">
        <f>financials[[#This Row],[Units Sold]]*financials[[#This Row],[Sale Price]]</f>
        <v>90</v>
      </c>
      <c r="H2251" s="8">
        <f>IF(financials[[#This Row],[Discount Band]]="low",0.1,IF(financials[[#This Row],[Discount Band]]="medium",0.15,0.3))</f>
        <v>0.3</v>
      </c>
      <c r="I2251" s="8">
        <f>financials[[#This Row],[Gross Sales]]-financials[[#This Row],[Gross Sales]]*financials[[#This Row],[Discounts]]</f>
        <v>63</v>
      </c>
      <c r="J2251" s="8">
        <f>VLOOKUP(financials[[#This Row],[productid]],Products!$B$2:$H$10,4)</f>
        <v>13.95</v>
      </c>
      <c r="K2251" s="8">
        <f>financials[[#This Row],[Net Sales]]-financials[[#This Row],[COGS]]</f>
        <v>49.05</v>
      </c>
      <c r="L2251" s="15">
        <v>44447</v>
      </c>
      <c r="M2251" t="s">
        <v>697</v>
      </c>
    </row>
    <row r="2252" spans="1:13" x14ac:dyDescent="0.25">
      <c r="A2252" t="s">
        <v>86</v>
      </c>
      <c r="B2252" s="6" t="s">
        <v>84</v>
      </c>
      <c r="C2252" s="13">
        <v>108</v>
      </c>
      <c r="D2252" s="14" t="s">
        <v>90</v>
      </c>
      <c r="E2252">
        <v>16</v>
      </c>
      <c r="F2252" s="8">
        <f>VLOOKUP(financials[[#This Row],[productid]],Products!$B$2:$H$10,3)</f>
        <v>5.5</v>
      </c>
      <c r="G2252" s="8">
        <f>financials[[#This Row],[Units Sold]]*financials[[#This Row],[Sale Price]]</f>
        <v>88</v>
      </c>
      <c r="H2252" s="8">
        <f>IF(financials[[#This Row],[Discount Band]]="low",0.1,IF(financials[[#This Row],[Discount Band]]="medium",0.15,0.3))</f>
        <v>0.15</v>
      </c>
      <c r="I2252" s="8">
        <f>financials[[#This Row],[Gross Sales]]-financials[[#This Row],[Gross Sales]]*financials[[#This Row],[Discounts]]</f>
        <v>74.8</v>
      </c>
      <c r="J2252" s="8">
        <f>VLOOKUP(financials[[#This Row],[productid]],Products!$B$2:$H$10,4)</f>
        <v>3.99</v>
      </c>
      <c r="K2252" s="8">
        <f>financials[[#This Row],[Net Sales]]-financials[[#This Row],[COGS]]</f>
        <v>70.81</v>
      </c>
      <c r="L2252" s="15">
        <v>44716</v>
      </c>
      <c r="M2252" t="s">
        <v>690</v>
      </c>
    </row>
    <row r="2253" spans="1:13" x14ac:dyDescent="0.25">
      <c r="A2253" t="s">
        <v>86</v>
      </c>
      <c r="B2253" s="6" t="s">
        <v>84</v>
      </c>
      <c r="C2253" s="13">
        <v>101</v>
      </c>
      <c r="D2253" s="14" t="s">
        <v>83</v>
      </c>
      <c r="E2253">
        <v>11</v>
      </c>
      <c r="F2253" s="8">
        <f>VLOOKUP(financials[[#This Row],[productid]],Products!$B$2:$H$10,3)</f>
        <v>23</v>
      </c>
      <c r="G2253" s="8">
        <f>financials[[#This Row],[Units Sold]]*financials[[#This Row],[Sale Price]]</f>
        <v>253</v>
      </c>
      <c r="H2253" s="8">
        <f>IF(financials[[#This Row],[Discount Band]]="low",0.1,IF(financials[[#This Row],[Discount Band]]="medium",0.15,0.3))</f>
        <v>0.3</v>
      </c>
      <c r="I2253" s="8">
        <f>financials[[#This Row],[Gross Sales]]-financials[[#This Row],[Gross Sales]]*financials[[#This Row],[Discounts]]</f>
        <v>177.10000000000002</v>
      </c>
      <c r="J2253" s="8">
        <f>VLOOKUP(financials[[#This Row],[productid]],Products!$B$2:$H$10,4)</f>
        <v>9.9499999999999993</v>
      </c>
      <c r="K2253" s="8">
        <f>financials[[#This Row],[Net Sales]]-financials[[#This Row],[COGS]]</f>
        <v>167.15000000000003</v>
      </c>
      <c r="L2253" s="15">
        <v>45590</v>
      </c>
      <c r="M2253" t="s">
        <v>690</v>
      </c>
    </row>
    <row r="2254" spans="1:13" x14ac:dyDescent="0.25">
      <c r="A2254" t="s">
        <v>87</v>
      </c>
      <c r="B2254" s="6" t="s">
        <v>158</v>
      </c>
      <c r="C2254" s="11">
        <v>103</v>
      </c>
      <c r="D2254" s="9" t="s">
        <v>83</v>
      </c>
      <c r="E2254">
        <v>13</v>
      </c>
      <c r="F2254" s="8">
        <f>VLOOKUP(financials[[#This Row],[productid]],Products!$B$2:$H$10,3)</f>
        <v>28</v>
      </c>
      <c r="G2254" s="8">
        <f>financials[[#This Row],[Units Sold]]*financials[[#This Row],[Sale Price]]</f>
        <v>364</v>
      </c>
      <c r="H2254" s="8">
        <f>IF(financials[[#This Row],[Discount Band]]="low",0.1,IF(financials[[#This Row],[Discount Band]]="medium",0.15,0.3))</f>
        <v>0.3</v>
      </c>
      <c r="I2254" s="8">
        <f>financials[[#This Row],[Gross Sales]]-financials[[#This Row],[Gross Sales]]*financials[[#This Row],[Discounts]]</f>
        <v>254.8</v>
      </c>
      <c r="J2254" s="8">
        <f>VLOOKUP(financials[[#This Row],[productid]],Products!$B$2:$H$10,4)</f>
        <v>15</v>
      </c>
      <c r="K2254" s="8">
        <f>financials[[#This Row],[Net Sales]]-financials[[#This Row],[COGS]]</f>
        <v>239.8</v>
      </c>
      <c r="L2254" s="15">
        <v>45115</v>
      </c>
      <c r="M2254" t="s">
        <v>691</v>
      </c>
    </row>
    <row r="2255" spans="1:13" x14ac:dyDescent="0.25">
      <c r="A2255" t="s">
        <v>87</v>
      </c>
      <c r="B2255" s="6" t="s">
        <v>240</v>
      </c>
      <c r="C2255" s="13">
        <v>105</v>
      </c>
      <c r="D2255" s="14" t="s">
        <v>91</v>
      </c>
      <c r="E2255">
        <v>14</v>
      </c>
      <c r="F2255" s="8">
        <f>VLOOKUP(financials[[#This Row],[productid]],Products!$B$2:$H$10,3)</f>
        <v>15</v>
      </c>
      <c r="G2255" s="8">
        <f>financials[[#This Row],[Units Sold]]*financials[[#This Row],[Sale Price]]</f>
        <v>210</v>
      </c>
      <c r="H2255" s="8">
        <f>IF(financials[[#This Row],[Discount Band]]="low",0.1,IF(financials[[#This Row],[Discount Band]]="medium",0.15,0.3))</f>
        <v>0.1</v>
      </c>
      <c r="I2255" s="8">
        <f>financials[[#This Row],[Gross Sales]]-financials[[#This Row],[Gross Sales]]*financials[[#This Row],[Discounts]]</f>
        <v>189</v>
      </c>
      <c r="J2255" s="8">
        <f>VLOOKUP(financials[[#This Row],[productid]],Products!$B$2:$H$10,4)</f>
        <v>10</v>
      </c>
      <c r="K2255" s="8">
        <f>financials[[#This Row],[Net Sales]]-financials[[#This Row],[COGS]]</f>
        <v>179</v>
      </c>
      <c r="L2255" s="15">
        <v>44746</v>
      </c>
      <c r="M2255" t="s">
        <v>696</v>
      </c>
    </row>
    <row r="2256" spans="1:13" x14ac:dyDescent="0.25">
      <c r="A2256" t="s">
        <v>89</v>
      </c>
      <c r="B2256" s="6" t="s">
        <v>84</v>
      </c>
      <c r="C2256" s="13">
        <v>102</v>
      </c>
      <c r="D2256" s="14" t="s">
        <v>90</v>
      </c>
      <c r="E2256">
        <v>16</v>
      </c>
      <c r="F2256" s="8">
        <f>VLOOKUP(financials[[#This Row],[productid]],Products!$B$2:$H$10,3)</f>
        <v>15</v>
      </c>
      <c r="G2256" s="8">
        <f>financials[[#This Row],[Units Sold]]*financials[[#This Row],[Sale Price]]</f>
        <v>240</v>
      </c>
      <c r="H2256" s="8">
        <f>IF(financials[[#This Row],[Discount Band]]="low",0.1,IF(financials[[#This Row],[Discount Band]]="medium",0.15,0.3))</f>
        <v>0.15</v>
      </c>
      <c r="I2256" s="8">
        <f>financials[[#This Row],[Gross Sales]]-financials[[#This Row],[Gross Sales]]*financials[[#This Row],[Discounts]]</f>
        <v>204</v>
      </c>
      <c r="J2256" s="8">
        <f>VLOOKUP(financials[[#This Row],[productid]],Products!$B$2:$H$10,4)</f>
        <v>13.95</v>
      </c>
      <c r="K2256" s="8">
        <f>financials[[#This Row],[Net Sales]]-financials[[#This Row],[COGS]]</f>
        <v>190.05</v>
      </c>
      <c r="L2256" s="15">
        <v>44619</v>
      </c>
      <c r="M2256" t="s">
        <v>700</v>
      </c>
    </row>
    <row r="2257" spans="1:13" x14ac:dyDescent="0.25">
      <c r="A2257" t="s">
        <v>89</v>
      </c>
      <c r="B2257" s="6" t="s">
        <v>159</v>
      </c>
      <c r="C2257" s="11">
        <v>101</v>
      </c>
      <c r="D2257" s="9" t="s">
        <v>92</v>
      </c>
      <c r="E2257">
        <v>10</v>
      </c>
      <c r="F2257" s="8">
        <f>VLOOKUP(financials[[#This Row],[productid]],Products!$B$2:$H$10,3)</f>
        <v>23</v>
      </c>
      <c r="G2257" s="8">
        <f>financials[[#This Row],[Units Sold]]*financials[[#This Row],[Sale Price]]</f>
        <v>230</v>
      </c>
      <c r="H2257" s="8">
        <f>IF(financials[[#This Row],[Discount Band]]="low",0.1,IF(financials[[#This Row],[Discount Band]]="medium",0.15,0.3))</f>
        <v>0.3</v>
      </c>
      <c r="I2257" s="8">
        <f>financials[[#This Row],[Gross Sales]]-financials[[#This Row],[Gross Sales]]*financials[[#This Row],[Discounts]]</f>
        <v>161</v>
      </c>
      <c r="J2257" s="8">
        <f>VLOOKUP(financials[[#This Row],[productid]],Products!$B$2:$H$10,4)</f>
        <v>9.9499999999999993</v>
      </c>
      <c r="K2257" s="8">
        <f>financials[[#This Row],[Net Sales]]-financials[[#This Row],[COGS]]</f>
        <v>151.05000000000001</v>
      </c>
      <c r="L2257" s="15">
        <v>44904</v>
      </c>
      <c r="M2257" t="s">
        <v>697</v>
      </c>
    </row>
    <row r="2258" spans="1:13" x14ac:dyDescent="0.25">
      <c r="A2258" t="s">
        <v>85</v>
      </c>
      <c r="B2258" s="6" t="s">
        <v>84</v>
      </c>
      <c r="C2258" s="13">
        <v>102</v>
      </c>
      <c r="D2258" s="14" t="s">
        <v>91</v>
      </c>
      <c r="E2258">
        <v>10</v>
      </c>
      <c r="F2258" s="8">
        <f>VLOOKUP(financials[[#This Row],[productid]],Products!$B$2:$H$10,3)</f>
        <v>15</v>
      </c>
      <c r="G2258" s="8">
        <f>financials[[#This Row],[Units Sold]]*financials[[#This Row],[Sale Price]]</f>
        <v>150</v>
      </c>
      <c r="H2258" s="8">
        <f>IF(financials[[#This Row],[Discount Band]]="low",0.1,IF(financials[[#This Row],[Discount Band]]="medium",0.15,0.3))</f>
        <v>0.1</v>
      </c>
      <c r="I2258" s="8">
        <f>financials[[#This Row],[Gross Sales]]-financials[[#This Row],[Gross Sales]]*financials[[#This Row],[Discounts]]</f>
        <v>135</v>
      </c>
      <c r="J2258" s="8">
        <f>VLOOKUP(financials[[#This Row],[productid]],Products!$B$2:$H$10,4)</f>
        <v>13.95</v>
      </c>
      <c r="K2258" s="8">
        <f>financials[[#This Row],[Net Sales]]-financials[[#This Row],[COGS]]</f>
        <v>121.05</v>
      </c>
      <c r="L2258" s="15">
        <v>44835</v>
      </c>
      <c r="M2258" t="s">
        <v>700</v>
      </c>
    </row>
    <row r="2259" spans="1:13" x14ac:dyDescent="0.25">
      <c r="A2259" t="s">
        <v>86</v>
      </c>
      <c r="B2259" s="6" t="s">
        <v>84</v>
      </c>
      <c r="C2259" s="13">
        <v>109</v>
      </c>
      <c r="D2259" s="14" t="s">
        <v>90</v>
      </c>
      <c r="E2259">
        <v>18</v>
      </c>
      <c r="F2259" s="8">
        <f>VLOOKUP(financials[[#This Row],[productid]],Products!$B$2:$H$10,3)</f>
        <v>36</v>
      </c>
      <c r="G2259" s="8">
        <f>financials[[#This Row],[Units Sold]]*financials[[#This Row],[Sale Price]]</f>
        <v>648</v>
      </c>
      <c r="H2259" s="8">
        <f>IF(financials[[#This Row],[Discount Band]]="low",0.1,IF(financials[[#This Row],[Discount Band]]="medium",0.15,0.3))</f>
        <v>0.15</v>
      </c>
      <c r="I2259" s="8">
        <f>financials[[#This Row],[Gross Sales]]-financials[[#This Row],[Gross Sales]]*financials[[#This Row],[Discounts]]</f>
        <v>550.79999999999995</v>
      </c>
      <c r="J2259" s="8">
        <f>VLOOKUP(financials[[#This Row],[productid]],Products!$B$2:$H$10,4)</f>
        <v>16.8</v>
      </c>
      <c r="K2259" s="8">
        <f>financials[[#This Row],[Net Sales]]-financials[[#This Row],[COGS]]</f>
        <v>534</v>
      </c>
      <c r="L2259" s="15">
        <v>45629</v>
      </c>
      <c r="M2259" t="s">
        <v>700</v>
      </c>
    </row>
    <row r="2260" spans="1:13" x14ac:dyDescent="0.25">
      <c r="A2260" t="s">
        <v>86</v>
      </c>
      <c r="B2260" s="6" t="s">
        <v>124</v>
      </c>
      <c r="C2260" s="13">
        <v>102</v>
      </c>
      <c r="D2260" s="14" t="s">
        <v>90</v>
      </c>
      <c r="E2260">
        <v>14</v>
      </c>
      <c r="F2260" s="8">
        <f>VLOOKUP(financials[[#This Row],[productid]],Products!$B$2:$H$10,3)</f>
        <v>15</v>
      </c>
      <c r="G2260" s="8">
        <f>financials[[#This Row],[Units Sold]]*financials[[#This Row],[Sale Price]]</f>
        <v>210</v>
      </c>
      <c r="H2260" s="8">
        <f>IF(financials[[#This Row],[Discount Band]]="low",0.1,IF(financials[[#This Row],[Discount Band]]="medium",0.15,0.3))</f>
        <v>0.15</v>
      </c>
      <c r="I2260" s="8">
        <f>financials[[#This Row],[Gross Sales]]-financials[[#This Row],[Gross Sales]]*financials[[#This Row],[Discounts]]</f>
        <v>178.5</v>
      </c>
      <c r="J2260" s="8">
        <f>VLOOKUP(financials[[#This Row],[productid]],Products!$B$2:$H$10,4)</f>
        <v>13.95</v>
      </c>
      <c r="K2260" s="8">
        <f>financials[[#This Row],[Net Sales]]-financials[[#This Row],[COGS]]</f>
        <v>164.55</v>
      </c>
      <c r="L2260" s="15">
        <v>45358</v>
      </c>
      <c r="M2260" t="s">
        <v>697</v>
      </c>
    </row>
    <row r="2261" spans="1:13" x14ac:dyDescent="0.25">
      <c r="A2261" t="s">
        <v>87</v>
      </c>
      <c r="B2261" s="6" t="s">
        <v>645</v>
      </c>
      <c r="C2261" s="13">
        <v>107</v>
      </c>
      <c r="D2261" s="14" t="s">
        <v>91</v>
      </c>
      <c r="E2261">
        <v>10</v>
      </c>
      <c r="F2261" s="8">
        <f>VLOOKUP(financials[[#This Row],[productid]],Products!$B$2:$H$10,3)</f>
        <v>15</v>
      </c>
      <c r="G2261" s="8">
        <f>financials[[#This Row],[Units Sold]]*financials[[#This Row],[Sale Price]]</f>
        <v>150</v>
      </c>
      <c r="H2261" s="8">
        <f>IF(financials[[#This Row],[Discount Band]]="low",0.1,IF(financials[[#This Row],[Discount Band]]="medium",0.15,0.3))</f>
        <v>0.1</v>
      </c>
      <c r="I2261" s="8">
        <f>financials[[#This Row],[Gross Sales]]-financials[[#This Row],[Gross Sales]]*financials[[#This Row],[Discounts]]</f>
        <v>135</v>
      </c>
      <c r="J2261" s="8">
        <f>VLOOKUP(financials[[#This Row],[productid]],Products!$B$2:$H$10,4)</f>
        <v>5.5</v>
      </c>
      <c r="K2261" s="8">
        <f>financials[[#This Row],[Net Sales]]-financials[[#This Row],[COGS]]</f>
        <v>129.5</v>
      </c>
      <c r="L2261" s="15">
        <v>44428</v>
      </c>
      <c r="M2261" t="s">
        <v>700</v>
      </c>
    </row>
    <row r="2262" spans="1:13" x14ac:dyDescent="0.25">
      <c r="A2262" t="s">
        <v>87</v>
      </c>
      <c r="B2262" s="6" t="s">
        <v>240</v>
      </c>
      <c r="C2262" s="13">
        <v>102</v>
      </c>
      <c r="D2262" s="14" t="s">
        <v>91</v>
      </c>
      <c r="E2262">
        <v>11</v>
      </c>
      <c r="F2262" s="8">
        <f>VLOOKUP(financials[[#This Row],[productid]],Products!$B$2:$H$10,3)</f>
        <v>15</v>
      </c>
      <c r="G2262" s="8">
        <f>financials[[#This Row],[Units Sold]]*financials[[#This Row],[Sale Price]]</f>
        <v>165</v>
      </c>
      <c r="H2262" s="8">
        <f>IF(financials[[#This Row],[Discount Band]]="low",0.1,IF(financials[[#This Row],[Discount Band]]="medium",0.15,0.3))</f>
        <v>0.1</v>
      </c>
      <c r="I2262" s="8">
        <f>financials[[#This Row],[Gross Sales]]-financials[[#This Row],[Gross Sales]]*financials[[#This Row],[Discounts]]</f>
        <v>148.5</v>
      </c>
      <c r="J2262" s="8">
        <f>VLOOKUP(financials[[#This Row],[productid]],Products!$B$2:$H$10,4)</f>
        <v>13.95</v>
      </c>
      <c r="K2262" s="8">
        <f>financials[[#This Row],[Net Sales]]-financials[[#This Row],[COGS]]</f>
        <v>134.55000000000001</v>
      </c>
      <c r="L2262" s="15">
        <v>44970</v>
      </c>
      <c r="M2262" t="s">
        <v>700</v>
      </c>
    </row>
    <row r="2263" spans="1:13" x14ac:dyDescent="0.25">
      <c r="A2263" t="s">
        <v>85</v>
      </c>
      <c r="B2263" s="6" t="s">
        <v>84</v>
      </c>
      <c r="C2263" s="11">
        <v>102</v>
      </c>
      <c r="D2263" s="9" t="s">
        <v>83</v>
      </c>
      <c r="E2263">
        <v>16</v>
      </c>
      <c r="F2263" s="8">
        <f>VLOOKUP(financials[[#This Row],[productid]],Products!$B$2:$H$10,3)</f>
        <v>15</v>
      </c>
      <c r="G2263" s="8">
        <f>financials[[#This Row],[Units Sold]]*financials[[#This Row],[Sale Price]]</f>
        <v>240</v>
      </c>
      <c r="H2263" s="8">
        <f>IF(financials[[#This Row],[Discount Band]]="low",0.1,IF(financials[[#This Row],[Discount Band]]="medium",0.15,0.3))</f>
        <v>0.3</v>
      </c>
      <c r="I2263" s="8">
        <f>financials[[#This Row],[Gross Sales]]-financials[[#This Row],[Gross Sales]]*financials[[#This Row],[Discounts]]</f>
        <v>168</v>
      </c>
      <c r="J2263" s="8">
        <f>VLOOKUP(financials[[#This Row],[productid]],Products!$B$2:$H$10,4)</f>
        <v>13.95</v>
      </c>
      <c r="K2263" s="8">
        <f>financials[[#This Row],[Net Sales]]-financials[[#This Row],[COGS]]</f>
        <v>154.05000000000001</v>
      </c>
      <c r="L2263" s="15">
        <v>45001</v>
      </c>
      <c r="M2263" t="s">
        <v>700</v>
      </c>
    </row>
    <row r="2264" spans="1:13" x14ac:dyDescent="0.25">
      <c r="A2264" t="s">
        <v>89</v>
      </c>
      <c r="B2264" s="6" t="s">
        <v>84</v>
      </c>
      <c r="C2264" s="13">
        <v>109</v>
      </c>
      <c r="D2264" s="14" t="s">
        <v>90</v>
      </c>
      <c r="E2264">
        <v>7</v>
      </c>
      <c r="F2264" s="8">
        <f>VLOOKUP(financials[[#This Row],[productid]],Products!$B$2:$H$10,3)</f>
        <v>36</v>
      </c>
      <c r="G2264" s="8">
        <f>financials[[#This Row],[Units Sold]]*financials[[#This Row],[Sale Price]]</f>
        <v>252</v>
      </c>
      <c r="H2264" s="8">
        <f>IF(financials[[#This Row],[Discount Band]]="low",0.1,IF(financials[[#This Row],[Discount Band]]="medium",0.15,0.3))</f>
        <v>0.15</v>
      </c>
      <c r="I2264" s="8">
        <f>financials[[#This Row],[Gross Sales]]-financials[[#This Row],[Gross Sales]]*financials[[#This Row],[Discounts]]</f>
        <v>214.2</v>
      </c>
      <c r="J2264" s="8">
        <f>VLOOKUP(financials[[#This Row],[productid]],Products!$B$2:$H$10,4)</f>
        <v>16.8</v>
      </c>
      <c r="K2264" s="8">
        <f>financials[[#This Row],[Net Sales]]-financials[[#This Row],[COGS]]</f>
        <v>197.39999999999998</v>
      </c>
      <c r="L2264" s="15">
        <v>44406</v>
      </c>
      <c r="M2264" t="s">
        <v>697</v>
      </c>
    </row>
    <row r="2265" spans="1:13" x14ac:dyDescent="0.25">
      <c r="A2265" t="s">
        <v>85</v>
      </c>
      <c r="B2265" s="6" t="s">
        <v>84</v>
      </c>
      <c r="C2265" s="13">
        <v>108</v>
      </c>
      <c r="D2265" s="14" t="s">
        <v>83</v>
      </c>
      <c r="E2265">
        <v>11</v>
      </c>
      <c r="F2265" s="8">
        <f>VLOOKUP(financials[[#This Row],[productid]],Products!$B$2:$H$10,3)</f>
        <v>5.5</v>
      </c>
      <c r="G2265" s="8">
        <f>financials[[#This Row],[Units Sold]]*financials[[#This Row],[Sale Price]]</f>
        <v>60.5</v>
      </c>
      <c r="H2265" s="8">
        <f>IF(financials[[#This Row],[Discount Band]]="low",0.1,IF(financials[[#This Row],[Discount Band]]="medium",0.15,0.3))</f>
        <v>0.3</v>
      </c>
      <c r="I2265" s="8">
        <f>financials[[#This Row],[Gross Sales]]-financials[[#This Row],[Gross Sales]]*financials[[#This Row],[Discounts]]</f>
        <v>42.35</v>
      </c>
      <c r="J2265" s="8">
        <f>VLOOKUP(financials[[#This Row],[productid]],Products!$B$2:$H$10,4)</f>
        <v>3.99</v>
      </c>
      <c r="K2265" s="8">
        <f>financials[[#This Row],[Net Sales]]-financials[[#This Row],[COGS]]</f>
        <v>38.36</v>
      </c>
      <c r="L2265" s="15">
        <v>45356</v>
      </c>
      <c r="M2265" t="s">
        <v>691</v>
      </c>
    </row>
    <row r="2266" spans="1:13" x14ac:dyDescent="0.25">
      <c r="A2266" t="s">
        <v>87</v>
      </c>
      <c r="B2266" s="6" t="s">
        <v>158</v>
      </c>
      <c r="C2266" s="13">
        <v>107</v>
      </c>
      <c r="D2266" s="14" t="s">
        <v>92</v>
      </c>
      <c r="E2266">
        <v>20</v>
      </c>
      <c r="F2266" s="8">
        <f>VLOOKUP(financials[[#This Row],[productid]],Products!$B$2:$H$10,3)</f>
        <v>15</v>
      </c>
      <c r="G2266" s="8">
        <f>financials[[#This Row],[Units Sold]]*financials[[#This Row],[Sale Price]]</f>
        <v>300</v>
      </c>
      <c r="H2266" s="8">
        <f>IF(financials[[#This Row],[Discount Band]]="low",0.1,IF(financials[[#This Row],[Discount Band]]="medium",0.15,0.3))</f>
        <v>0.3</v>
      </c>
      <c r="I2266" s="8">
        <f>financials[[#This Row],[Gross Sales]]-financials[[#This Row],[Gross Sales]]*financials[[#This Row],[Discounts]]</f>
        <v>210</v>
      </c>
      <c r="J2266" s="8">
        <f>VLOOKUP(financials[[#This Row],[productid]],Products!$B$2:$H$10,4)</f>
        <v>5.5</v>
      </c>
      <c r="K2266" s="8">
        <f>financials[[#This Row],[Net Sales]]-financials[[#This Row],[COGS]]</f>
        <v>204.5</v>
      </c>
      <c r="L2266" s="15">
        <v>45302</v>
      </c>
      <c r="M2266" t="s">
        <v>697</v>
      </c>
    </row>
    <row r="2267" spans="1:13" x14ac:dyDescent="0.25">
      <c r="A2267" t="s">
        <v>86</v>
      </c>
      <c r="B2267" s="6" t="s">
        <v>159</v>
      </c>
      <c r="C2267" s="13">
        <v>101</v>
      </c>
      <c r="D2267" s="14" t="s">
        <v>90</v>
      </c>
      <c r="E2267">
        <v>6</v>
      </c>
      <c r="F2267" s="8">
        <f>VLOOKUP(financials[[#This Row],[productid]],Products!$B$2:$H$10,3)</f>
        <v>23</v>
      </c>
      <c r="G2267" s="8">
        <f>financials[[#This Row],[Units Sold]]*financials[[#This Row],[Sale Price]]</f>
        <v>138</v>
      </c>
      <c r="H2267" s="8">
        <f>IF(financials[[#This Row],[Discount Band]]="low",0.1,IF(financials[[#This Row],[Discount Band]]="medium",0.15,0.3))</f>
        <v>0.15</v>
      </c>
      <c r="I2267" s="8">
        <f>financials[[#This Row],[Gross Sales]]-financials[[#This Row],[Gross Sales]]*financials[[#This Row],[Discounts]]</f>
        <v>117.3</v>
      </c>
      <c r="J2267" s="8">
        <f>VLOOKUP(financials[[#This Row],[productid]],Products!$B$2:$H$10,4)</f>
        <v>9.9499999999999993</v>
      </c>
      <c r="K2267" s="8">
        <f>financials[[#This Row],[Net Sales]]-financials[[#This Row],[COGS]]</f>
        <v>107.35</v>
      </c>
      <c r="L2267" s="15">
        <v>44856</v>
      </c>
      <c r="M2267" t="s">
        <v>700</v>
      </c>
    </row>
    <row r="2268" spans="1:13" x14ac:dyDescent="0.25">
      <c r="A2268" t="s">
        <v>85</v>
      </c>
      <c r="B2268" s="6" t="s">
        <v>84</v>
      </c>
      <c r="C2268" s="13">
        <v>108</v>
      </c>
      <c r="D2268" s="14" t="s">
        <v>83</v>
      </c>
      <c r="E2268">
        <v>6</v>
      </c>
      <c r="F2268" s="8">
        <f>VLOOKUP(financials[[#This Row],[productid]],Products!$B$2:$H$10,3)</f>
        <v>5.5</v>
      </c>
      <c r="G2268" s="8">
        <f>financials[[#This Row],[Units Sold]]*financials[[#This Row],[Sale Price]]</f>
        <v>33</v>
      </c>
      <c r="H2268" s="8">
        <f>IF(financials[[#This Row],[Discount Band]]="low",0.1,IF(financials[[#This Row],[Discount Band]]="medium",0.15,0.3))</f>
        <v>0.3</v>
      </c>
      <c r="I2268" s="8">
        <f>financials[[#This Row],[Gross Sales]]-financials[[#This Row],[Gross Sales]]*financials[[#This Row],[Discounts]]</f>
        <v>23.1</v>
      </c>
      <c r="J2268" s="8">
        <f>VLOOKUP(financials[[#This Row],[productid]],Products!$B$2:$H$10,4)</f>
        <v>3.99</v>
      </c>
      <c r="K2268" s="8">
        <f>financials[[#This Row],[Net Sales]]-financials[[#This Row],[COGS]]</f>
        <v>19.11</v>
      </c>
      <c r="L2268" s="15">
        <v>44256</v>
      </c>
      <c r="M2268" t="s">
        <v>696</v>
      </c>
    </row>
    <row r="2269" spans="1:13" x14ac:dyDescent="0.25">
      <c r="A2269" t="s">
        <v>87</v>
      </c>
      <c r="B2269" s="6" t="s">
        <v>240</v>
      </c>
      <c r="C2269" s="13">
        <v>107</v>
      </c>
      <c r="D2269" s="14" t="s">
        <v>83</v>
      </c>
      <c r="E2269">
        <v>14</v>
      </c>
      <c r="F2269" s="8">
        <f>VLOOKUP(financials[[#This Row],[productid]],Products!$B$2:$H$10,3)</f>
        <v>15</v>
      </c>
      <c r="G2269" s="8">
        <f>financials[[#This Row],[Units Sold]]*financials[[#This Row],[Sale Price]]</f>
        <v>210</v>
      </c>
      <c r="H2269" s="8">
        <f>IF(financials[[#This Row],[Discount Band]]="low",0.1,IF(financials[[#This Row],[Discount Band]]="medium",0.15,0.3))</f>
        <v>0.3</v>
      </c>
      <c r="I2269" s="8">
        <f>financials[[#This Row],[Gross Sales]]-financials[[#This Row],[Gross Sales]]*financials[[#This Row],[Discounts]]</f>
        <v>147</v>
      </c>
      <c r="J2269" s="8">
        <f>VLOOKUP(financials[[#This Row],[productid]],Products!$B$2:$H$10,4)</f>
        <v>5.5</v>
      </c>
      <c r="K2269" s="8">
        <f>financials[[#This Row],[Net Sales]]-financials[[#This Row],[COGS]]</f>
        <v>141.5</v>
      </c>
      <c r="L2269" s="15">
        <v>44123</v>
      </c>
      <c r="M2269" t="s">
        <v>691</v>
      </c>
    </row>
    <row r="2270" spans="1:13" x14ac:dyDescent="0.25">
      <c r="A2270" t="s">
        <v>87</v>
      </c>
      <c r="B2270" s="6" t="s">
        <v>617</v>
      </c>
      <c r="C2270" s="13">
        <v>106</v>
      </c>
      <c r="D2270" s="14" t="s">
        <v>83</v>
      </c>
      <c r="E2270">
        <v>14</v>
      </c>
      <c r="F2270" s="8">
        <f>VLOOKUP(financials[[#This Row],[productid]],Products!$B$2:$H$10,3)</f>
        <v>25</v>
      </c>
      <c r="G2270" s="8">
        <f>financials[[#This Row],[Units Sold]]*financials[[#This Row],[Sale Price]]</f>
        <v>350</v>
      </c>
      <c r="H2270" s="8">
        <f>IF(financials[[#This Row],[Discount Band]]="low",0.1,IF(financials[[#This Row],[Discount Band]]="medium",0.15,0.3))</f>
        <v>0.3</v>
      </c>
      <c r="I2270" s="8">
        <f>financials[[#This Row],[Gross Sales]]-financials[[#This Row],[Gross Sales]]*financials[[#This Row],[Discounts]]</f>
        <v>245</v>
      </c>
      <c r="J2270" s="8">
        <f>VLOOKUP(financials[[#This Row],[productid]],Products!$B$2:$H$10,4)</f>
        <v>9.1</v>
      </c>
      <c r="K2270" s="8">
        <f>financials[[#This Row],[Net Sales]]-financials[[#This Row],[COGS]]</f>
        <v>235.9</v>
      </c>
      <c r="L2270" s="15">
        <v>45102</v>
      </c>
      <c r="M2270" t="s">
        <v>697</v>
      </c>
    </row>
    <row r="2271" spans="1:13" x14ac:dyDescent="0.25">
      <c r="A2271" t="s">
        <v>87</v>
      </c>
      <c r="B2271" s="6" t="s">
        <v>96</v>
      </c>
      <c r="C2271" s="13">
        <v>102</v>
      </c>
      <c r="D2271" s="14" t="s">
        <v>91</v>
      </c>
      <c r="E2271">
        <v>13</v>
      </c>
      <c r="F2271" s="8">
        <f>VLOOKUP(financials[[#This Row],[productid]],Products!$B$2:$H$10,3)</f>
        <v>15</v>
      </c>
      <c r="G2271" s="8">
        <f>financials[[#This Row],[Units Sold]]*financials[[#This Row],[Sale Price]]</f>
        <v>195</v>
      </c>
      <c r="H2271" s="8">
        <f>IF(financials[[#This Row],[Discount Band]]="low",0.1,IF(financials[[#This Row],[Discount Band]]="medium",0.15,0.3))</f>
        <v>0.1</v>
      </c>
      <c r="I2271" s="8">
        <f>financials[[#This Row],[Gross Sales]]-financials[[#This Row],[Gross Sales]]*financials[[#This Row],[Discounts]]</f>
        <v>175.5</v>
      </c>
      <c r="J2271" s="8">
        <f>VLOOKUP(financials[[#This Row],[productid]],Products!$B$2:$H$10,4)</f>
        <v>13.95</v>
      </c>
      <c r="K2271" s="8">
        <f>financials[[#This Row],[Net Sales]]-financials[[#This Row],[COGS]]</f>
        <v>161.55000000000001</v>
      </c>
      <c r="L2271" s="15">
        <v>44921</v>
      </c>
      <c r="M2271" t="s">
        <v>696</v>
      </c>
    </row>
    <row r="2272" spans="1:13" x14ac:dyDescent="0.25">
      <c r="A2272" t="s">
        <v>86</v>
      </c>
      <c r="B2272" s="6" t="s">
        <v>84</v>
      </c>
      <c r="C2272" s="13">
        <v>103</v>
      </c>
      <c r="D2272" s="14" t="s">
        <v>83</v>
      </c>
      <c r="E2272">
        <v>7</v>
      </c>
      <c r="F2272" s="8">
        <f>VLOOKUP(financials[[#This Row],[productid]],Products!$B$2:$H$10,3)</f>
        <v>28</v>
      </c>
      <c r="G2272" s="8">
        <f>financials[[#This Row],[Units Sold]]*financials[[#This Row],[Sale Price]]</f>
        <v>196</v>
      </c>
      <c r="H2272" s="8">
        <f>IF(financials[[#This Row],[Discount Band]]="low",0.1,IF(financials[[#This Row],[Discount Band]]="medium",0.15,0.3))</f>
        <v>0.3</v>
      </c>
      <c r="I2272" s="8">
        <f>financials[[#This Row],[Gross Sales]]-financials[[#This Row],[Gross Sales]]*financials[[#This Row],[Discounts]]</f>
        <v>137.19999999999999</v>
      </c>
      <c r="J2272" s="8">
        <f>VLOOKUP(financials[[#This Row],[productid]],Products!$B$2:$H$10,4)</f>
        <v>15</v>
      </c>
      <c r="K2272" s="8">
        <f>financials[[#This Row],[Net Sales]]-financials[[#This Row],[COGS]]</f>
        <v>122.19999999999999</v>
      </c>
      <c r="L2272" s="15">
        <v>45183</v>
      </c>
      <c r="M2272" t="s">
        <v>697</v>
      </c>
    </row>
    <row r="2273" spans="1:13" x14ac:dyDescent="0.25">
      <c r="A2273" t="s">
        <v>86</v>
      </c>
      <c r="B2273" s="6" t="s">
        <v>124</v>
      </c>
      <c r="C2273" s="13">
        <v>107</v>
      </c>
      <c r="D2273" s="14" t="s">
        <v>83</v>
      </c>
      <c r="E2273">
        <v>20</v>
      </c>
      <c r="F2273" s="8">
        <f>VLOOKUP(financials[[#This Row],[productid]],Products!$B$2:$H$10,3)</f>
        <v>15</v>
      </c>
      <c r="G2273" s="8">
        <f>financials[[#This Row],[Units Sold]]*financials[[#This Row],[Sale Price]]</f>
        <v>300</v>
      </c>
      <c r="H2273" s="8">
        <f>IF(financials[[#This Row],[Discount Band]]="low",0.1,IF(financials[[#This Row],[Discount Band]]="medium",0.15,0.3))</f>
        <v>0.3</v>
      </c>
      <c r="I2273" s="8">
        <f>financials[[#This Row],[Gross Sales]]-financials[[#This Row],[Gross Sales]]*financials[[#This Row],[Discounts]]</f>
        <v>210</v>
      </c>
      <c r="J2273" s="8">
        <f>VLOOKUP(financials[[#This Row],[productid]],Products!$B$2:$H$10,4)</f>
        <v>5.5</v>
      </c>
      <c r="K2273" s="8">
        <f>financials[[#This Row],[Net Sales]]-financials[[#This Row],[COGS]]</f>
        <v>204.5</v>
      </c>
      <c r="L2273" s="15">
        <v>45636</v>
      </c>
      <c r="M2273" t="s">
        <v>691</v>
      </c>
    </row>
    <row r="2274" spans="1:13" x14ac:dyDescent="0.25">
      <c r="A2274" t="s">
        <v>86</v>
      </c>
      <c r="B2274" s="6" t="s">
        <v>124</v>
      </c>
      <c r="C2274" s="13">
        <v>102</v>
      </c>
      <c r="D2274" s="14" t="s">
        <v>90</v>
      </c>
      <c r="E2274">
        <v>15</v>
      </c>
      <c r="F2274" s="8">
        <f>VLOOKUP(financials[[#This Row],[productid]],Products!$B$2:$H$10,3)</f>
        <v>15</v>
      </c>
      <c r="G2274" s="8">
        <f>financials[[#This Row],[Units Sold]]*financials[[#This Row],[Sale Price]]</f>
        <v>225</v>
      </c>
      <c r="H2274" s="8">
        <f>IF(financials[[#This Row],[Discount Band]]="low",0.1,IF(financials[[#This Row],[Discount Band]]="medium",0.15,0.3))</f>
        <v>0.15</v>
      </c>
      <c r="I2274" s="8">
        <f>financials[[#This Row],[Gross Sales]]-financials[[#This Row],[Gross Sales]]*financials[[#This Row],[Discounts]]</f>
        <v>191.25</v>
      </c>
      <c r="J2274" s="8">
        <f>VLOOKUP(financials[[#This Row],[productid]],Products!$B$2:$H$10,4)</f>
        <v>13.95</v>
      </c>
      <c r="K2274" s="8">
        <f>financials[[#This Row],[Net Sales]]-financials[[#This Row],[COGS]]</f>
        <v>177.3</v>
      </c>
      <c r="L2274" s="15">
        <v>44410</v>
      </c>
      <c r="M2274" t="s">
        <v>700</v>
      </c>
    </row>
    <row r="2275" spans="1:13" x14ac:dyDescent="0.25">
      <c r="A2275" t="s">
        <v>85</v>
      </c>
      <c r="B2275" s="6" t="s">
        <v>159</v>
      </c>
      <c r="C2275" s="13">
        <v>101</v>
      </c>
      <c r="D2275" s="14" t="s">
        <v>90</v>
      </c>
      <c r="E2275">
        <v>5</v>
      </c>
      <c r="F2275" s="8">
        <f>VLOOKUP(financials[[#This Row],[productid]],Products!$B$2:$H$10,3)</f>
        <v>23</v>
      </c>
      <c r="G2275" s="8">
        <f>financials[[#This Row],[Units Sold]]*financials[[#This Row],[Sale Price]]</f>
        <v>115</v>
      </c>
      <c r="H2275" s="8">
        <f>IF(financials[[#This Row],[Discount Band]]="low",0.1,IF(financials[[#This Row],[Discount Band]]="medium",0.15,0.3))</f>
        <v>0.15</v>
      </c>
      <c r="I2275" s="8">
        <f>financials[[#This Row],[Gross Sales]]-financials[[#This Row],[Gross Sales]]*financials[[#This Row],[Discounts]]</f>
        <v>97.75</v>
      </c>
      <c r="J2275" s="8">
        <f>VLOOKUP(financials[[#This Row],[productid]],Products!$B$2:$H$10,4)</f>
        <v>9.9499999999999993</v>
      </c>
      <c r="K2275" s="8">
        <f>financials[[#This Row],[Net Sales]]-financials[[#This Row],[COGS]]</f>
        <v>87.8</v>
      </c>
      <c r="L2275" s="15">
        <v>44108</v>
      </c>
      <c r="M2275" t="s">
        <v>690</v>
      </c>
    </row>
    <row r="2276" spans="1:13" x14ac:dyDescent="0.25">
      <c r="A2276" t="s">
        <v>86</v>
      </c>
      <c r="B2276" s="6" t="s">
        <v>159</v>
      </c>
      <c r="C2276" s="13">
        <v>109</v>
      </c>
      <c r="D2276" s="14" t="s">
        <v>92</v>
      </c>
      <c r="E2276">
        <v>17</v>
      </c>
      <c r="F2276" s="8">
        <f>VLOOKUP(financials[[#This Row],[productid]],Products!$B$2:$H$10,3)</f>
        <v>36</v>
      </c>
      <c r="G2276" s="8">
        <f>financials[[#This Row],[Units Sold]]*financials[[#This Row],[Sale Price]]</f>
        <v>612</v>
      </c>
      <c r="H2276" s="8">
        <f>IF(financials[[#This Row],[Discount Band]]="low",0.1,IF(financials[[#This Row],[Discount Band]]="medium",0.15,0.3))</f>
        <v>0.3</v>
      </c>
      <c r="I2276" s="8">
        <f>financials[[#This Row],[Gross Sales]]-financials[[#This Row],[Gross Sales]]*financials[[#This Row],[Discounts]]</f>
        <v>428.4</v>
      </c>
      <c r="J2276" s="8">
        <f>VLOOKUP(financials[[#This Row],[productid]],Products!$B$2:$H$10,4)</f>
        <v>16.8</v>
      </c>
      <c r="K2276" s="8">
        <f>financials[[#This Row],[Net Sales]]-financials[[#This Row],[COGS]]</f>
        <v>411.59999999999997</v>
      </c>
      <c r="L2276" s="15">
        <v>44150</v>
      </c>
      <c r="M2276" t="s">
        <v>691</v>
      </c>
    </row>
    <row r="2277" spans="1:13" x14ac:dyDescent="0.25">
      <c r="A2277" t="s">
        <v>89</v>
      </c>
      <c r="B2277" s="6" t="s">
        <v>84</v>
      </c>
      <c r="C2277" s="13">
        <v>103</v>
      </c>
      <c r="D2277" s="14" t="s">
        <v>91</v>
      </c>
      <c r="E2277">
        <v>9</v>
      </c>
      <c r="F2277" s="8">
        <f>VLOOKUP(financials[[#This Row],[productid]],Products!$B$2:$H$10,3)</f>
        <v>28</v>
      </c>
      <c r="G2277" s="8">
        <f>financials[[#This Row],[Units Sold]]*financials[[#This Row],[Sale Price]]</f>
        <v>252</v>
      </c>
      <c r="H2277" s="8">
        <f>IF(financials[[#This Row],[Discount Band]]="low",0.1,IF(financials[[#This Row],[Discount Band]]="medium",0.15,0.3))</f>
        <v>0.1</v>
      </c>
      <c r="I2277" s="8">
        <f>financials[[#This Row],[Gross Sales]]-financials[[#This Row],[Gross Sales]]*financials[[#This Row],[Discounts]]</f>
        <v>226.8</v>
      </c>
      <c r="J2277" s="8">
        <f>VLOOKUP(financials[[#This Row],[productid]],Products!$B$2:$H$10,4)</f>
        <v>15</v>
      </c>
      <c r="K2277" s="8">
        <f>financials[[#This Row],[Net Sales]]-financials[[#This Row],[COGS]]</f>
        <v>211.8</v>
      </c>
      <c r="L2277" s="15">
        <v>44872</v>
      </c>
      <c r="M2277" t="s">
        <v>697</v>
      </c>
    </row>
    <row r="2278" spans="1:13" x14ac:dyDescent="0.25">
      <c r="A2278" t="s">
        <v>88</v>
      </c>
      <c r="B2278" s="6" t="s">
        <v>266</v>
      </c>
      <c r="C2278" s="11">
        <v>108</v>
      </c>
      <c r="D2278" s="9" t="s">
        <v>83</v>
      </c>
      <c r="E2278">
        <v>11</v>
      </c>
      <c r="F2278" s="8">
        <f>VLOOKUP(financials[[#This Row],[productid]],Products!$B$2:$H$10,3)</f>
        <v>5.5</v>
      </c>
      <c r="G2278" s="8">
        <f>financials[[#This Row],[Units Sold]]*financials[[#This Row],[Sale Price]]</f>
        <v>60.5</v>
      </c>
      <c r="H2278" s="8">
        <f>IF(financials[[#This Row],[Discount Band]]="low",0.1,IF(financials[[#This Row],[Discount Band]]="medium",0.15,0.3))</f>
        <v>0.3</v>
      </c>
      <c r="I2278" s="8">
        <f>financials[[#This Row],[Gross Sales]]-financials[[#This Row],[Gross Sales]]*financials[[#This Row],[Discounts]]</f>
        <v>42.35</v>
      </c>
      <c r="J2278" s="8">
        <f>VLOOKUP(financials[[#This Row],[productid]],Products!$B$2:$H$10,4)</f>
        <v>3.99</v>
      </c>
      <c r="K2278" s="8">
        <f>financials[[#This Row],[Net Sales]]-financials[[#This Row],[COGS]]</f>
        <v>38.36</v>
      </c>
      <c r="L2278" s="15">
        <v>45389</v>
      </c>
      <c r="M2278" t="s">
        <v>690</v>
      </c>
    </row>
    <row r="2279" spans="1:13" x14ac:dyDescent="0.25">
      <c r="A2279" t="s">
        <v>89</v>
      </c>
      <c r="B2279" s="6" t="s">
        <v>84</v>
      </c>
      <c r="C2279" s="13">
        <v>104</v>
      </c>
      <c r="D2279" s="14" t="s">
        <v>83</v>
      </c>
      <c r="E2279">
        <v>19</v>
      </c>
      <c r="F2279" s="8">
        <f>VLOOKUP(financials[[#This Row],[productid]],Products!$B$2:$H$10,3)</f>
        <v>5.9</v>
      </c>
      <c r="G2279" s="8">
        <f>financials[[#This Row],[Units Sold]]*financials[[#This Row],[Sale Price]]</f>
        <v>112.10000000000001</v>
      </c>
      <c r="H2279" s="8">
        <f>IF(financials[[#This Row],[Discount Band]]="low",0.1,IF(financials[[#This Row],[Discount Band]]="medium",0.15,0.3))</f>
        <v>0.3</v>
      </c>
      <c r="I2279" s="8">
        <f>financials[[#This Row],[Gross Sales]]-financials[[#This Row],[Gross Sales]]*financials[[#This Row],[Discounts]]</f>
        <v>78.47</v>
      </c>
      <c r="J2279" s="8">
        <f>VLOOKUP(financials[[#This Row],[productid]],Products!$B$2:$H$10,4)</f>
        <v>2.9</v>
      </c>
      <c r="K2279" s="8">
        <f>financials[[#This Row],[Net Sales]]-financials[[#This Row],[COGS]]</f>
        <v>75.569999999999993</v>
      </c>
      <c r="L2279" s="15">
        <v>44424</v>
      </c>
      <c r="M2279" t="s">
        <v>697</v>
      </c>
    </row>
    <row r="2280" spans="1:13" x14ac:dyDescent="0.25">
      <c r="A2280" t="s">
        <v>88</v>
      </c>
      <c r="B2280" s="6" t="s">
        <v>545</v>
      </c>
      <c r="C2280" s="13">
        <v>103</v>
      </c>
      <c r="D2280" s="14" t="s">
        <v>91</v>
      </c>
      <c r="E2280">
        <v>11</v>
      </c>
      <c r="F2280" s="8">
        <f>VLOOKUP(financials[[#This Row],[productid]],Products!$B$2:$H$10,3)</f>
        <v>28</v>
      </c>
      <c r="G2280" s="8">
        <f>financials[[#This Row],[Units Sold]]*financials[[#This Row],[Sale Price]]</f>
        <v>308</v>
      </c>
      <c r="H2280" s="8">
        <f>IF(financials[[#This Row],[Discount Band]]="low",0.1,IF(financials[[#This Row],[Discount Band]]="medium",0.15,0.3))</f>
        <v>0.1</v>
      </c>
      <c r="I2280" s="8">
        <f>financials[[#This Row],[Gross Sales]]-financials[[#This Row],[Gross Sales]]*financials[[#This Row],[Discounts]]</f>
        <v>277.2</v>
      </c>
      <c r="J2280" s="8">
        <f>VLOOKUP(financials[[#This Row],[productid]],Products!$B$2:$H$10,4)</f>
        <v>15</v>
      </c>
      <c r="K2280" s="8">
        <f>financials[[#This Row],[Net Sales]]-financials[[#This Row],[COGS]]</f>
        <v>262.2</v>
      </c>
      <c r="L2280" s="15">
        <v>44298</v>
      </c>
      <c r="M2280" t="s">
        <v>697</v>
      </c>
    </row>
    <row r="2281" spans="1:13" x14ac:dyDescent="0.25">
      <c r="A2281" t="s">
        <v>89</v>
      </c>
      <c r="B2281" s="6" t="s">
        <v>159</v>
      </c>
      <c r="C2281" s="13">
        <v>101</v>
      </c>
      <c r="D2281" s="14" t="s">
        <v>83</v>
      </c>
      <c r="E2281">
        <v>13</v>
      </c>
      <c r="F2281" s="8">
        <f>VLOOKUP(financials[[#This Row],[productid]],Products!$B$2:$H$10,3)</f>
        <v>23</v>
      </c>
      <c r="G2281" s="8">
        <f>financials[[#This Row],[Units Sold]]*financials[[#This Row],[Sale Price]]</f>
        <v>299</v>
      </c>
      <c r="H2281" s="8">
        <f>IF(financials[[#This Row],[Discount Band]]="low",0.1,IF(financials[[#This Row],[Discount Band]]="medium",0.15,0.3))</f>
        <v>0.3</v>
      </c>
      <c r="I2281" s="8">
        <f>financials[[#This Row],[Gross Sales]]-financials[[#This Row],[Gross Sales]]*financials[[#This Row],[Discounts]]</f>
        <v>209.3</v>
      </c>
      <c r="J2281" s="8">
        <f>VLOOKUP(financials[[#This Row],[productid]],Products!$B$2:$H$10,4)</f>
        <v>9.9499999999999993</v>
      </c>
      <c r="K2281" s="8">
        <f>financials[[#This Row],[Net Sales]]-financials[[#This Row],[COGS]]</f>
        <v>199.35000000000002</v>
      </c>
      <c r="L2281" s="15">
        <v>45625</v>
      </c>
      <c r="M2281" t="s">
        <v>696</v>
      </c>
    </row>
    <row r="2282" spans="1:13" x14ac:dyDescent="0.25">
      <c r="A2282" t="s">
        <v>85</v>
      </c>
      <c r="B2282" s="6" t="s">
        <v>84</v>
      </c>
      <c r="C2282" s="13">
        <v>104</v>
      </c>
      <c r="D2282" s="14" t="s">
        <v>91</v>
      </c>
      <c r="E2282">
        <v>17</v>
      </c>
      <c r="F2282" s="8">
        <f>VLOOKUP(financials[[#This Row],[productid]],Products!$B$2:$H$10,3)</f>
        <v>5.9</v>
      </c>
      <c r="G2282" s="8">
        <f>financials[[#This Row],[Units Sold]]*financials[[#This Row],[Sale Price]]</f>
        <v>100.30000000000001</v>
      </c>
      <c r="H2282" s="8">
        <f>IF(financials[[#This Row],[Discount Band]]="low",0.1,IF(financials[[#This Row],[Discount Band]]="medium",0.15,0.3))</f>
        <v>0.1</v>
      </c>
      <c r="I2282" s="8">
        <f>financials[[#This Row],[Gross Sales]]-financials[[#This Row],[Gross Sales]]*financials[[#This Row],[Discounts]]</f>
        <v>90.27000000000001</v>
      </c>
      <c r="J2282" s="8">
        <f>VLOOKUP(financials[[#This Row],[productid]],Products!$B$2:$H$10,4)</f>
        <v>2.9</v>
      </c>
      <c r="K2282" s="8">
        <f>financials[[#This Row],[Net Sales]]-financials[[#This Row],[COGS]]</f>
        <v>87.37</v>
      </c>
      <c r="L2282" s="15">
        <v>44859</v>
      </c>
      <c r="M2282" t="s">
        <v>697</v>
      </c>
    </row>
    <row r="2283" spans="1:13" x14ac:dyDescent="0.25">
      <c r="A2283" t="s">
        <v>87</v>
      </c>
      <c r="B2283" s="6" t="s">
        <v>93</v>
      </c>
      <c r="C2283" s="13">
        <v>104</v>
      </c>
      <c r="D2283" s="14" t="s">
        <v>83</v>
      </c>
      <c r="E2283">
        <v>6</v>
      </c>
      <c r="F2283" s="8">
        <f>VLOOKUP(financials[[#This Row],[productid]],Products!$B$2:$H$10,3)</f>
        <v>5.9</v>
      </c>
      <c r="G2283" s="8">
        <f>financials[[#This Row],[Units Sold]]*financials[[#This Row],[Sale Price]]</f>
        <v>35.400000000000006</v>
      </c>
      <c r="H2283" s="8">
        <f>IF(financials[[#This Row],[Discount Band]]="low",0.1,IF(financials[[#This Row],[Discount Band]]="medium",0.15,0.3))</f>
        <v>0.3</v>
      </c>
      <c r="I2283" s="8">
        <f>financials[[#This Row],[Gross Sales]]-financials[[#This Row],[Gross Sales]]*financials[[#This Row],[Discounts]]</f>
        <v>24.780000000000005</v>
      </c>
      <c r="J2283" s="8">
        <f>VLOOKUP(financials[[#This Row],[productid]],Products!$B$2:$H$10,4)</f>
        <v>2.9</v>
      </c>
      <c r="K2283" s="8">
        <f>financials[[#This Row],[Net Sales]]-financials[[#This Row],[COGS]]</f>
        <v>21.880000000000006</v>
      </c>
      <c r="L2283" s="15">
        <v>44527</v>
      </c>
      <c r="M2283" t="s">
        <v>691</v>
      </c>
    </row>
    <row r="2284" spans="1:13" x14ac:dyDescent="0.25">
      <c r="A2284" t="s">
        <v>87</v>
      </c>
      <c r="B2284" s="6" t="s">
        <v>274</v>
      </c>
      <c r="C2284" s="13">
        <v>104</v>
      </c>
      <c r="D2284" s="14" t="s">
        <v>90</v>
      </c>
      <c r="E2284">
        <v>15</v>
      </c>
      <c r="F2284" s="8">
        <f>VLOOKUP(financials[[#This Row],[productid]],Products!$B$2:$H$10,3)</f>
        <v>5.9</v>
      </c>
      <c r="G2284" s="8">
        <f>financials[[#This Row],[Units Sold]]*financials[[#This Row],[Sale Price]]</f>
        <v>88.5</v>
      </c>
      <c r="H2284" s="8">
        <f>IF(financials[[#This Row],[Discount Band]]="low",0.1,IF(financials[[#This Row],[Discount Band]]="medium",0.15,0.3))</f>
        <v>0.15</v>
      </c>
      <c r="I2284" s="8">
        <f>financials[[#This Row],[Gross Sales]]-financials[[#This Row],[Gross Sales]]*financials[[#This Row],[Discounts]]</f>
        <v>75.224999999999994</v>
      </c>
      <c r="J2284" s="8">
        <f>VLOOKUP(financials[[#This Row],[productid]],Products!$B$2:$H$10,4)</f>
        <v>2.9</v>
      </c>
      <c r="K2284" s="8">
        <f>financials[[#This Row],[Net Sales]]-financials[[#This Row],[COGS]]</f>
        <v>72.324999999999989</v>
      </c>
      <c r="L2284" s="15">
        <v>44598</v>
      </c>
      <c r="M2284" t="s">
        <v>700</v>
      </c>
    </row>
    <row r="2285" spans="1:13" x14ac:dyDescent="0.25">
      <c r="A2285" t="s">
        <v>87</v>
      </c>
      <c r="B2285" s="6" t="s">
        <v>93</v>
      </c>
      <c r="C2285" s="13">
        <v>103</v>
      </c>
      <c r="D2285" s="14" t="s">
        <v>90</v>
      </c>
      <c r="E2285">
        <v>16</v>
      </c>
      <c r="F2285" s="8">
        <f>VLOOKUP(financials[[#This Row],[productid]],Products!$B$2:$H$10,3)</f>
        <v>28</v>
      </c>
      <c r="G2285" s="8">
        <f>financials[[#This Row],[Units Sold]]*financials[[#This Row],[Sale Price]]</f>
        <v>448</v>
      </c>
      <c r="H2285" s="8">
        <f>IF(financials[[#This Row],[Discount Band]]="low",0.1,IF(financials[[#This Row],[Discount Band]]="medium",0.15,0.3))</f>
        <v>0.15</v>
      </c>
      <c r="I2285" s="8">
        <f>financials[[#This Row],[Gross Sales]]-financials[[#This Row],[Gross Sales]]*financials[[#This Row],[Discounts]]</f>
        <v>380.8</v>
      </c>
      <c r="J2285" s="8">
        <f>VLOOKUP(financials[[#This Row],[productid]],Products!$B$2:$H$10,4)</f>
        <v>15</v>
      </c>
      <c r="K2285" s="8">
        <f>financials[[#This Row],[Net Sales]]-financials[[#This Row],[COGS]]</f>
        <v>365.8</v>
      </c>
      <c r="L2285" s="15">
        <v>44708</v>
      </c>
      <c r="M2285" t="s">
        <v>696</v>
      </c>
    </row>
    <row r="2286" spans="1:13" x14ac:dyDescent="0.25">
      <c r="A2286" t="s">
        <v>85</v>
      </c>
      <c r="B2286" s="6" t="s">
        <v>84</v>
      </c>
      <c r="C2286" s="13">
        <v>108</v>
      </c>
      <c r="D2286" s="14" t="s">
        <v>91</v>
      </c>
      <c r="E2286">
        <v>20</v>
      </c>
      <c r="F2286" s="8">
        <f>VLOOKUP(financials[[#This Row],[productid]],Products!$B$2:$H$10,3)</f>
        <v>5.5</v>
      </c>
      <c r="G2286" s="8">
        <f>financials[[#This Row],[Units Sold]]*financials[[#This Row],[Sale Price]]</f>
        <v>110</v>
      </c>
      <c r="H2286" s="8">
        <f>IF(financials[[#This Row],[Discount Band]]="low",0.1,IF(financials[[#This Row],[Discount Band]]="medium",0.15,0.3))</f>
        <v>0.1</v>
      </c>
      <c r="I2286" s="8">
        <f>financials[[#This Row],[Gross Sales]]-financials[[#This Row],[Gross Sales]]*financials[[#This Row],[Discounts]]</f>
        <v>99</v>
      </c>
      <c r="J2286" s="8">
        <f>VLOOKUP(financials[[#This Row],[productid]],Products!$B$2:$H$10,4)</f>
        <v>3.99</v>
      </c>
      <c r="K2286" s="8">
        <f>financials[[#This Row],[Net Sales]]-financials[[#This Row],[COGS]]</f>
        <v>95.01</v>
      </c>
      <c r="L2286" s="15">
        <v>45173</v>
      </c>
      <c r="M2286" t="s">
        <v>696</v>
      </c>
    </row>
    <row r="2287" spans="1:13" x14ac:dyDescent="0.25">
      <c r="A2287" t="s">
        <v>86</v>
      </c>
      <c r="B2287" s="6" t="s">
        <v>159</v>
      </c>
      <c r="C2287" s="13">
        <v>107</v>
      </c>
      <c r="D2287" s="14" t="s">
        <v>92</v>
      </c>
      <c r="E2287">
        <v>17</v>
      </c>
      <c r="F2287" s="8">
        <f>VLOOKUP(financials[[#This Row],[productid]],Products!$B$2:$H$10,3)</f>
        <v>15</v>
      </c>
      <c r="G2287" s="8">
        <f>financials[[#This Row],[Units Sold]]*financials[[#This Row],[Sale Price]]</f>
        <v>255</v>
      </c>
      <c r="H2287" s="8">
        <f>IF(financials[[#This Row],[Discount Band]]="low",0.1,IF(financials[[#This Row],[Discount Band]]="medium",0.15,0.3))</f>
        <v>0.3</v>
      </c>
      <c r="I2287" s="8">
        <f>financials[[#This Row],[Gross Sales]]-financials[[#This Row],[Gross Sales]]*financials[[#This Row],[Discounts]]</f>
        <v>178.5</v>
      </c>
      <c r="J2287" s="8">
        <f>VLOOKUP(financials[[#This Row],[productid]],Products!$B$2:$H$10,4)</f>
        <v>5.5</v>
      </c>
      <c r="K2287" s="8">
        <f>financials[[#This Row],[Net Sales]]-financials[[#This Row],[COGS]]</f>
        <v>173</v>
      </c>
      <c r="L2287" s="15">
        <v>44298</v>
      </c>
      <c r="M2287" t="s">
        <v>690</v>
      </c>
    </row>
    <row r="2288" spans="1:13" x14ac:dyDescent="0.25">
      <c r="A2288" t="s">
        <v>86</v>
      </c>
      <c r="B2288" s="6" t="s">
        <v>159</v>
      </c>
      <c r="C2288" s="13">
        <v>104</v>
      </c>
      <c r="D2288" s="14" t="s">
        <v>90</v>
      </c>
      <c r="E2288">
        <v>9</v>
      </c>
      <c r="F2288" s="8">
        <f>VLOOKUP(financials[[#This Row],[productid]],Products!$B$2:$H$10,3)</f>
        <v>5.9</v>
      </c>
      <c r="G2288" s="8">
        <f>financials[[#This Row],[Units Sold]]*financials[[#This Row],[Sale Price]]</f>
        <v>53.1</v>
      </c>
      <c r="H2288" s="8">
        <f>IF(financials[[#This Row],[Discount Band]]="low",0.1,IF(financials[[#This Row],[Discount Band]]="medium",0.15,0.3))</f>
        <v>0.15</v>
      </c>
      <c r="I2288" s="8">
        <f>financials[[#This Row],[Gross Sales]]-financials[[#This Row],[Gross Sales]]*financials[[#This Row],[Discounts]]</f>
        <v>45.135000000000005</v>
      </c>
      <c r="J2288" s="8">
        <f>VLOOKUP(financials[[#This Row],[productid]],Products!$B$2:$H$10,4)</f>
        <v>2.9</v>
      </c>
      <c r="K2288" s="8">
        <f>financials[[#This Row],[Net Sales]]-financials[[#This Row],[COGS]]</f>
        <v>42.235000000000007</v>
      </c>
      <c r="L2288" s="15">
        <v>45575</v>
      </c>
      <c r="M2288" t="s">
        <v>690</v>
      </c>
    </row>
    <row r="2289" spans="1:13" x14ac:dyDescent="0.25">
      <c r="A2289" t="s">
        <v>87</v>
      </c>
      <c r="B2289" s="6" t="s">
        <v>240</v>
      </c>
      <c r="C2289" s="11">
        <v>102</v>
      </c>
      <c r="D2289" s="9" t="s">
        <v>90</v>
      </c>
      <c r="E2289">
        <v>14</v>
      </c>
      <c r="F2289" s="8">
        <f>VLOOKUP(financials[[#This Row],[productid]],Products!$B$2:$H$10,3)</f>
        <v>15</v>
      </c>
      <c r="G2289" s="8">
        <f>financials[[#This Row],[Units Sold]]*financials[[#This Row],[Sale Price]]</f>
        <v>210</v>
      </c>
      <c r="H2289" s="8">
        <f>IF(financials[[#This Row],[Discount Band]]="low",0.1,IF(financials[[#This Row],[Discount Band]]="medium",0.15,0.3))</f>
        <v>0.15</v>
      </c>
      <c r="I2289" s="8">
        <f>financials[[#This Row],[Gross Sales]]-financials[[#This Row],[Gross Sales]]*financials[[#This Row],[Discounts]]</f>
        <v>178.5</v>
      </c>
      <c r="J2289" s="8">
        <f>VLOOKUP(financials[[#This Row],[productid]],Products!$B$2:$H$10,4)</f>
        <v>13.95</v>
      </c>
      <c r="K2289" s="8">
        <f>financials[[#This Row],[Net Sales]]-financials[[#This Row],[COGS]]</f>
        <v>164.55</v>
      </c>
      <c r="L2289" s="15">
        <v>44468</v>
      </c>
      <c r="M2289" t="s">
        <v>696</v>
      </c>
    </row>
    <row r="2290" spans="1:13" x14ac:dyDescent="0.25">
      <c r="A2290" t="s">
        <v>87</v>
      </c>
      <c r="B2290" s="6" t="s">
        <v>545</v>
      </c>
      <c r="C2290" s="11">
        <v>104</v>
      </c>
      <c r="D2290" s="9" t="s">
        <v>83</v>
      </c>
      <c r="E2290">
        <v>6</v>
      </c>
      <c r="F2290" s="8">
        <f>VLOOKUP(financials[[#This Row],[productid]],Products!$B$2:$H$10,3)</f>
        <v>5.9</v>
      </c>
      <c r="G2290" s="8">
        <f>financials[[#This Row],[Units Sold]]*financials[[#This Row],[Sale Price]]</f>
        <v>35.400000000000006</v>
      </c>
      <c r="H2290" s="8">
        <f>IF(financials[[#This Row],[Discount Band]]="low",0.1,IF(financials[[#This Row],[Discount Band]]="medium",0.15,0.3))</f>
        <v>0.3</v>
      </c>
      <c r="I2290" s="8">
        <f>financials[[#This Row],[Gross Sales]]-financials[[#This Row],[Gross Sales]]*financials[[#This Row],[Discounts]]</f>
        <v>24.780000000000005</v>
      </c>
      <c r="J2290" s="8">
        <f>VLOOKUP(financials[[#This Row],[productid]],Products!$B$2:$H$10,4)</f>
        <v>2.9</v>
      </c>
      <c r="K2290" s="8">
        <f>financials[[#This Row],[Net Sales]]-financials[[#This Row],[COGS]]</f>
        <v>21.880000000000006</v>
      </c>
      <c r="L2290" s="15">
        <v>43989</v>
      </c>
      <c r="M2290" t="s">
        <v>696</v>
      </c>
    </row>
    <row r="2291" spans="1:13" x14ac:dyDescent="0.25">
      <c r="A2291" t="s">
        <v>87</v>
      </c>
      <c r="B2291" s="6" t="s">
        <v>240</v>
      </c>
      <c r="C2291" s="13">
        <v>106</v>
      </c>
      <c r="D2291" s="14" t="s">
        <v>91</v>
      </c>
      <c r="E2291">
        <v>15</v>
      </c>
      <c r="F2291" s="8">
        <f>VLOOKUP(financials[[#This Row],[productid]],Products!$B$2:$H$10,3)</f>
        <v>25</v>
      </c>
      <c r="G2291" s="8">
        <f>financials[[#This Row],[Units Sold]]*financials[[#This Row],[Sale Price]]</f>
        <v>375</v>
      </c>
      <c r="H2291" s="8">
        <f>IF(financials[[#This Row],[Discount Band]]="low",0.1,IF(financials[[#This Row],[Discount Band]]="medium",0.15,0.3))</f>
        <v>0.1</v>
      </c>
      <c r="I2291" s="8">
        <f>financials[[#This Row],[Gross Sales]]-financials[[#This Row],[Gross Sales]]*financials[[#This Row],[Discounts]]</f>
        <v>337.5</v>
      </c>
      <c r="J2291" s="8">
        <f>VLOOKUP(financials[[#This Row],[productid]],Products!$B$2:$H$10,4)</f>
        <v>9.1</v>
      </c>
      <c r="K2291" s="8">
        <f>financials[[#This Row],[Net Sales]]-financials[[#This Row],[COGS]]</f>
        <v>328.4</v>
      </c>
      <c r="L2291" s="15">
        <v>44759</v>
      </c>
      <c r="M2291" t="s">
        <v>696</v>
      </c>
    </row>
    <row r="2292" spans="1:13" x14ac:dyDescent="0.25">
      <c r="A2292" t="s">
        <v>87</v>
      </c>
      <c r="B2292" s="6" t="s">
        <v>96</v>
      </c>
      <c r="C2292" s="13">
        <v>101</v>
      </c>
      <c r="D2292" s="14" t="s">
        <v>91</v>
      </c>
      <c r="E2292">
        <v>8</v>
      </c>
      <c r="F2292" s="8">
        <f>VLOOKUP(financials[[#This Row],[productid]],Products!$B$2:$H$10,3)</f>
        <v>23</v>
      </c>
      <c r="G2292" s="8">
        <f>financials[[#This Row],[Units Sold]]*financials[[#This Row],[Sale Price]]</f>
        <v>184</v>
      </c>
      <c r="H2292" s="8">
        <f>IF(financials[[#This Row],[Discount Band]]="low",0.1,IF(financials[[#This Row],[Discount Band]]="medium",0.15,0.3))</f>
        <v>0.1</v>
      </c>
      <c r="I2292" s="8">
        <f>financials[[#This Row],[Gross Sales]]-financials[[#This Row],[Gross Sales]]*financials[[#This Row],[Discounts]]</f>
        <v>165.6</v>
      </c>
      <c r="J2292" s="8">
        <f>VLOOKUP(financials[[#This Row],[productid]],Products!$B$2:$H$10,4)</f>
        <v>9.9499999999999993</v>
      </c>
      <c r="K2292" s="8">
        <f>financials[[#This Row],[Net Sales]]-financials[[#This Row],[COGS]]</f>
        <v>155.65</v>
      </c>
      <c r="L2292" s="15">
        <v>44533</v>
      </c>
      <c r="M2292" t="s">
        <v>690</v>
      </c>
    </row>
    <row r="2293" spans="1:13" x14ac:dyDescent="0.25">
      <c r="A2293" t="s">
        <v>87</v>
      </c>
      <c r="B2293" s="6" t="s">
        <v>96</v>
      </c>
      <c r="C2293" s="13">
        <v>101</v>
      </c>
      <c r="D2293" s="14" t="s">
        <v>91</v>
      </c>
      <c r="E2293">
        <v>8</v>
      </c>
      <c r="F2293" s="8">
        <f>VLOOKUP(financials[[#This Row],[productid]],Products!$B$2:$H$10,3)</f>
        <v>23</v>
      </c>
      <c r="G2293" s="8">
        <f>financials[[#This Row],[Units Sold]]*financials[[#This Row],[Sale Price]]</f>
        <v>184</v>
      </c>
      <c r="H2293" s="8">
        <f>IF(financials[[#This Row],[Discount Band]]="low",0.1,IF(financials[[#This Row],[Discount Band]]="medium",0.15,0.3))</f>
        <v>0.1</v>
      </c>
      <c r="I2293" s="8">
        <f>financials[[#This Row],[Gross Sales]]-financials[[#This Row],[Gross Sales]]*financials[[#This Row],[Discounts]]</f>
        <v>165.6</v>
      </c>
      <c r="J2293" s="8">
        <f>VLOOKUP(financials[[#This Row],[productid]],Products!$B$2:$H$10,4)</f>
        <v>9.9499999999999993</v>
      </c>
      <c r="K2293" s="8">
        <f>financials[[#This Row],[Net Sales]]-financials[[#This Row],[COGS]]</f>
        <v>155.65</v>
      </c>
      <c r="L2293" s="15">
        <v>45652</v>
      </c>
      <c r="M2293" t="s">
        <v>697</v>
      </c>
    </row>
    <row r="2294" spans="1:13" x14ac:dyDescent="0.25">
      <c r="A2294" t="s">
        <v>87</v>
      </c>
      <c r="B2294" s="6" t="s">
        <v>125</v>
      </c>
      <c r="C2294" s="13">
        <v>105</v>
      </c>
      <c r="D2294" s="14" t="s">
        <v>91</v>
      </c>
      <c r="E2294">
        <v>20</v>
      </c>
      <c r="F2294" s="8">
        <f>VLOOKUP(financials[[#This Row],[productid]],Products!$B$2:$H$10,3)</f>
        <v>15</v>
      </c>
      <c r="G2294" s="8">
        <f>financials[[#This Row],[Units Sold]]*financials[[#This Row],[Sale Price]]</f>
        <v>300</v>
      </c>
      <c r="H2294" s="8">
        <f>IF(financials[[#This Row],[Discount Band]]="low",0.1,IF(financials[[#This Row],[Discount Band]]="medium",0.15,0.3))</f>
        <v>0.1</v>
      </c>
      <c r="I2294" s="8">
        <f>financials[[#This Row],[Gross Sales]]-financials[[#This Row],[Gross Sales]]*financials[[#This Row],[Discounts]]</f>
        <v>270</v>
      </c>
      <c r="J2294" s="8">
        <f>VLOOKUP(financials[[#This Row],[productid]],Products!$B$2:$H$10,4)</f>
        <v>10</v>
      </c>
      <c r="K2294" s="8">
        <f>financials[[#This Row],[Net Sales]]-financials[[#This Row],[COGS]]</f>
        <v>260</v>
      </c>
      <c r="L2294" s="15">
        <v>45616</v>
      </c>
      <c r="M2294" t="s">
        <v>697</v>
      </c>
    </row>
    <row r="2295" spans="1:13" x14ac:dyDescent="0.25">
      <c r="A2295" t="s">
        <v>87</v>
      </c>
      <c r="B2295" s="6" t="s">
        <v>125</v>
      </c>
      <c r="C2295" s="13">
        <v>107</v>
      </c>
      <c r="D2295" s="14" t="s">
        <v>90</v>
      </c>
      <c r="E2295">
        <v>6</v>
      </c>
      <c r="F2295" s="8">
        <f>VLOOKUP(financials[[#This Row],[productid]],Products!$B$2:$H$10,3)</f>
        <v>15</v>
      </c>
      <c r="G2295" s="8">
        <f>financials[[#This Row],[Units Sold]]*financials[[#This Row],[Sale Price]]</f>
        <v>90</v>
      </c>
      <c r="H2295" s="8">
        <f>IF(financials[[#This Row],[Discount Band]]="low",0.1,IF(financials[[#This Row],[Discount Band]]="medium",0.15,0.3))</f>
        <v>0.15</v>
      </c>
      <c r="I2295" s="8">
        <f>financials[[#This Row],[Gross Sales]]-financials[[#This Row],[Gross Sales]]*financials[[#This Row],[Discounts]]</f>
        <v>76.5</v>
      </c>
      <c r="J2295" s="8">
        <f>VLOOKUP(financials[[#This Row],[productid]],Products!$B$2:$H$10,4)</f>
        <v>5.5</v>
      </c>
      <c r="K2295" s="8">
        <f>financials[[#This Row],[Net Sales]]-financials[[#This Row],[COGS]]</f>
        <v>71</v>
      </c>
      <c r="L2295" s="15">
        <v>43931</v>
      </c>
      <c r="M2295" t="s">
        <v>700</v>
      </c>
    </row>
    <row r="2296" spans="1:13" x14ac:dyDescent="0.25">
      <c r="A2296" t="s">
        <v>85</v>
      </c>
      <c r="B2296" s="6" t="s">
        <v>84</v>
      </c>
      <c r="C2296" s="13">
        <v>108</v>
      </c>
      <c r="D2296" s="14" t="s">
        <v>83</v>
      </c>
      <c r="E2296">
        <v>8</v>
      </c>
      <c r="F2296" s="8">
        <f>VLOOKUP(financials[[#This Row],[productid]],Products!$B$2:$H$10,3)</f>
        <v>5.5</v>
      </c>
      <c r="G2296" s="8">
        <f>financials[[#This Row],[Units Sold]]*financials[[#This Row],[Sale Price]]</f>
        <v>44</v>
      </c>
      <c r="H2296" s="8">
        <f>IF(financials[[#This Row],[Discount Band]]="low",0.1,IF(financials[[#This Row],[Discount Band]]="medium",0.15,0.3))</f>
        <v>0.3</v>
      </c>
      <c r="I2296" s="8">
        <f>financials[[#This Row],[Gross Sales]]-financials[[#This Row],[Gross Sales]]*financials[[#This Row],[Discounts]]</f>
        <v>30.8</v>
      </c>
      <c r="J2296" s="8">
        <f>VLOOKUP(financials[[#This Row],[productid]],Products!$B$2:$H$10,4)</f>
        <v>3.99</v>
      </c>
      <c r="K2296" s="8">
        <f>financials[[#This Row],[Net Sales]]-financials[[#This Row],[COGS]]</f>
        <v>26.810000000000002</v>
      </c>
      <c r="L2296" s="15">
        <v>44377</v>
      </c>
      <c r="M2296" t="s">
        <v>691</v>
      </c>
    </row>
    <row r="2297" spans="1:13" x14ac:dyDescent="0.25">
      <c r="A2297" t="s">
        <v>86</v>
      </c>
      <c r="B2297" s="6" t="s">
        <v>84</v>
      </c>
      <c r="C2297" s="13">
        <v>101</v>
      </c>
      <c r="D2297" s="14" t="s">
        <v>90</v>
      </c>
      <c r="E2297">
        <v>9</v>
      </c>
      <c r="F2297" s="8">
        <f>VLOOKUP(financials[[#This Row],[productid]],Products!$B$2:$H$10,3)</f>
        <v>23</v>
      </c>
      <c r="G2297" s="8">
        <f>financials[[#This Row],[Units Sold]]*financials[[#This Row],[Sale Price]]</f>
        <v>207</v>
      </c>
      <c r="H2297" s="8">
        <f>IF(financials[[#This Row],[Discount Band]]="low",0.1,IF(financials[[#This Row],[Discount Band]]="medium",0.15,0.3))</f>
        <v>0.15</v>
      </c>
      <c r="I2297" s="8">
        <f>financials[[#This Row],[Gross Sales]]-financials[[#This Row],[Gross Sales]]*financials[[#This Row],[Discounts]]</f>
        <v>175.95</v>
      </c>
      <c r="J2297" s="8">
        <f>VLOOKUP(financials[[#This Row],[productid]],Products!$B$2:$H$10,4)</f>
        <v>9.9499999999999993</v>
      </c>
      <c r="K2297" s="8">
        <f>financials[[#This Row],[Net Sales]]-financials[[#This Row],[COGS]]</f>
        <v>166</v>
      </c>
      <c r="L2297" s="15">
        <v>44930</v>
      </c>
      <c r="M2297" t="s">
        <v>700</v>
      </c>
    </row>
    <row r="2298" spans="1:13" x14ac:dyDescent="0.25">
      <c r="A2298" t="s">
        <v>86</v>
      </c>
      <c r="B2298" s="6" t="s">
        <v>84</v>
      </c>
      <c r="C2298" s="13">
        <v>108</v>
      </c>
      <c r="D2298" s="14" t="s">
        <v>92</v>
      </c>
      <c r="E2298">
        <v>19</v>
      </c>
      <c r="F2298" s="8">
        <f>VLOOKUP(financials[[#This Row],[productid]],Products!$B$2:$H$10,3)</f>
        <v>5.5</v>
      </c>
      <c r="G2298" s="8">
        <f>financials[[#This Row],[Units Sold]]*financials[[#This Row],[Sale Price]]</f>
        <v>104.5</v>
      </c>
      <c r="H2298" s="8">
        <f>IF(financials[[#This Row],[Discount Band]]="low",0.1,IF(financials[[#This Row],[Discount Band]]="medium",0.15,0.3))</f>
        <v>0.3</v>
      </c>
      <c r="I2298" s="8">
        <f>financials[[#This Row],[Gross Sales]]-financials[[#This Row],[Gross Sales]]*financials[[#This Row],[Discounts]]</f>
        <v>73.150000000000006</v>
      </c>
      <c r="J2298" s="8">
        <f>VLOOKUP(financials[[#This Row],[productid]],Products!$B$2:$H$10,4)</f>
        <v>3.99</v>
      </c>
      <c r="K2298" s="8">
        <f>financials[[#This Row],[Net Sales]]-financials[[#This Row],[COGS]]</f>
        <v>69.160000000000011</v>
      </c>
      <c r="L2298" s="15">
        <v>45315</v>
      </c>
      <c r="M2298" t="s">
        <v>690</v>
      </c>
    </row>
    <row r="2299" spans="1:13" x14ac:dyDescent="0.25">
      <c r="A2299" t="s">
        <v>86</v>
      </c>
      <c r="B2299" s="6" t="s">
        <v>159</v>
      </c>
      <c r="C2299" s="13">
        <v>106</v>
      </c>
      <c r="D2299" s="14" t="s">
        <v>91</v>
      </c>
      <c r="E2299">
        <v>5</v>
      </c>
      <c r="F2299" s="8">
        <f>VLOOKUP(financials[[#This Row],[productid]],Products!$B$2:$H$10,3)</f>
        <v>25</v>
      </c>
      <c r="G2299" s="8">
        <f>financials[[#This Row],[Units Sold]]*financials[[#This Row],[Sale Price]]</f>
        <v>125</v>
      </c>
      <c r="H2299" s="8">
        <f>IF(financials[[#This Row],[Discount Band]]="low",0.1,IF(financials[[#This Row],[Discount Band]]="medium",0.15,0.3))</f>
        <v>0.1</v>
      </c>
      <c r="I2299" s="8">
        <f>financials[[#This Row],[Gross Sales]]-financials[[#This Row],[Gross Sales]]*financials[[#This Row],[Discounts]]</f>
        <v>112.5</v>
      </c>
      <c r="J2299" s="8">
        <f>VLOOKUP(financials[[#This Row],[productid]],Products!$B$2:$H$10,4)</f>
        <v>9.1</v>
      </c>
      <c r="K2299" s="8">
        <f>financials[[#This Row],[Net Sales]]-financials[[#This Row],[COGS]]</f>
        <v>103.4</v>
      </c>
      <c r="L2299" s="15">
        <v>44737</v>
      </c>
      <c r="M2299" t="s">
        <v>697</v>
      </c>
    </row>
    <row r="2300" spans="1:13" x14ac:dyDescent="0.25">
      <c r="A2300" t="s">
        <v>87</v>
      </c>
      <c r="B2300" s="6" t="s">
        <v>545</v>
      </c>
      <c r="C2300" s="13">
        <v>109</v>
      </c>
      <c r="D2300" s="14" t="s">
        <v>90</v>
      </c>
      <c r="E2300">
        <v>14</v>
      </c>
      <c r="F2300" s="8">
        <f>VLOOKUP(financials[[#This Row],[productid]],Products!$B$2:$H$10,3)</f>
        <v>36</v>
      </c>
      <c r="G2300" s="8">
        <f>financials[[#This Row],[Units Sold]]*financials[[#This Row],[Sale Price]]</f>
        <v>504</v>
      </c>
      <c r="H2300" s="8">
        <f>IF(financials[[#This Row],[Discount Band]]="low",0.1,IF(financials[[#This Row],[Discount Band]]="medium",0.15,0.3))</f>
        <v>0.15</v>
      </c>
      <c r="I2300" s="8">
        <f>financials[[#This Row],[Gross Sales]]-financials[[#This Row],[Gross Sales]]*financials[[#This Row],[Discounts]]</f>
        <v>428.4</v>
      </c>
      <c r="J2300" s="8">
        <f>VLOOKUP(financials[[#This Row],[productid]],Products!$B$2:$H$10,4)</f>
        <v>16.8</v>
      </c>
      <c r="K2300" s="8">
        <f>financials[[#This Row],[Net Sales]]-financials[[#This Row],[COGS]]</f>
        <v>411.59999999999997</v>
      </c>
      <c r="L2300" s="15">
        <v>43860</v>
      </c>
      <c r="M2300" t="s">
        <v>691</v>
      </c>
    </row>
    <row r="2301" spans="1:13" x14ac:dyDescent="0.25">
      <c r="A2301" t="s">
        <v>87</v>
      </c>
      <c r="B2301" s="6" t="s">
        <v>125</v>
      </c>
      <c r="C2301" s="13">
        <v>105</v>
      </c>
      <c r="D2301" s="14" t="s">
        <v>90</v>
      </c>
      <c r="E2301">
        <v>18</v>
      </c>
      <c r="F2301" s="8">
        <f>VLOOKUP(financials[[#This Row],[productid]],Products!$B$2:$H$10,3)</f>
        <v>15</v>
      </c>
      <c r="G2301" s="8">
        <f>financials[[#This Row],[Units Sold]]*financials[[#This Row],[Sale Price]]</f>
        <v>270</v>
      </c>
      <c r="H2301" s="8">
        <f>IF(financials[[#This Row],[Discount Band]]="low",0.1,IF(financials[[#This Row],[Discount Band]]="medium",0.15,0.3))</f>
        <v>0.15</v>
      </c>
      <c r="I2301" s="8">
        <f>financials[[#This Row],[Gross Sales]]-financials[[#This Row],[Gross Sales]]*financials[[#This Row],[Discounts]]</f>
        <v>229.5</v>
      </c>
      <c r="J2301" s="8">
        <f>VLOOKUP(financials[[#This Row],[productid]],Products!$B$2:$H$10,4)</f>
        <v>10</v>
      </c>
      <c r="K2301" s="8">
        <f>financials[[#This Row],[Net Sales]]-financials[[#This Row],[COGS]]</f>
        <v>219.5</v>
      </c>
      <c r="L2301" s="15">
        <v>45643</v>
      </c>
      <c r="M2301" t="s">
        <v>691</v>
      </c>
    </row>
    <row r="2302" spans="1:13" x14ac:dyDescent="0.25">
      <c r="A2302" t="s">
        <v>89</v>
      </c>
      <c r="B2302" s="6" t="s">
        <v>84</v>
      </c>
      <c r="C2302" s="13">
        <v>101</v>
      </c>
      <c r="D2302" s="14" t="s">
        <v>83</v>
      </c>
      <c r="E2302">
        <v>12</v>
      </c>
      <c r="F2302" s="8">
        <f>VLOOKUP(financials[[#This Row],[productid]],Products!$B$2:$H$10,3)</f>
        <v>23</v>
      </c>
      <c r="G2302" s="8">
        <f>financials[[#This Row],[Units Sold]]*financials[[#This Row],[Sale Price]]</f>
        <v>276</v>
      </c>
      <c r="H2302" s="8">
        <f>IF(financials[[#This Row],[Discount Band]]="low",0.1,IF(financials[[#This Row],[Discount Band]]="medium",0.15,0.3))</f>
        <v>0.3</v>
      </c>
      <c r="I2302" s="8">
        <f>financials[[#This Row],[Gross Sales]]-financials[[#This Row],[Gross Sales]]*financials[[#This Row],[Discounts]]</f>
        <v>193.2</v>
      </c>
      <c r="J2302" s="8">
        <f>VLOOKUP(financials[[#This Row],[productid]],Products!$B$2:$H$10,4)</f>
        <v>9.9499999999999993</v>
      </c>
      <c r="K2302" s="8">
        <f>financials[[#This Row],[Net Sales]]-financials[[#This Row],[COGS]]</f>
        <v>183.25</v>
      </c>
      <c r="L2302" s="15">
        <v>44039</v>
      </c>
      <c r="M2302" t="s">
        <v>691</v>
      </c>
    </row>
    <row r="2303" spans="1:13" x14ac:dyDescent="0.25">
      <c r="A2303" t="s">
        <v>89</v>
      </c>
      <c r="B2303" s="6" t="s">
        <v>84</v>
      </c>
      <c r="C2303" s="13">
        <v>105</v>
      </c>
      <c r="D2303" s="14" t="s">
        <v>91</v>
      </c>
      <c r="E2303">
        <v>12</v>
      </c>
      <c r="F2303" s="8">
        <f>VLOOKUP(financials[[#This Row],[productid]],Products!$B$2:$H$10,3)</f>
        <v>15</v>
      </c>
      <c r="G2303" s="8">
        <f>financials[[#This Row],[Units Sold]]*financials[[#This Row],[Sale Price]]</f>
        <v>180</v>
      </c>
      <c r="H2303" s="8">
        <f>IF(financials[[#This Row],[Discount Band]]="low",0.1,IF(financials[[#This Row],[Discount Band]]="medium",0.15,0.3))</f>
        <v>0.1</v>
      </c>
      <c r="I2303" s="8">
        <f>financials[[#This Row],[Gross Sales]]-financials[[#This Row],[Gross Sales]]*financials[[#This Row],[Discounts]]</f>
        <v>162</v>
      </c>
      <c r="J2303" s="8">
        <f>VLOOKUP(financials[[#This Row],[productid]],Products!$B$2:$H$10,4)</f>
        <v>10</v>
      </c>
      <c r="K2303" s="8">
        <f>financials[[#This Row],[Net Sales]]-financials[[#This Row],[COGS]]</f>
        <v>152</v>
      </c>
      <c r="L2303" s="15">
        <v>44065</v>
      </c>
      <c r="M2303" t="s">
        <v>691</v>
      </c>
    </row>
    <row r="2304" spans="1:13" x14ac:dyDescent="0.25">
      <c r="A2304" t="s">
        <v>89</v>
      </c>
      <c r="B2304" s="6" t="s">
        <v>84</v>
      </c>
      <c r="C2304" s="13">
        <v>108</v>
      </c>
      <c r="D2304" s="14" t="s">
        <v>83</v>
      </c>
      <c r="E2304">
        <v>18</v>
      </c>
      <c r="F2304" s="8">
        <f>VLOOKUP(financials[[#This Row],[productid]],Products!$B$2:$H$10,3)</f>
        <v>5.5</v>
      </c>
      <c r="G2304" s="8">
        <f>financials[[#This Row],[Units Sold]]*financials[[#This Row],[Sale Price]]</f>
        <v>99</v>
      </c>
      <c r="H2304" s="8">
        <f>IF(financials[[#This Row],[Discount Band]]="low",0.1,IF(financials[[#This Row],[Discount Band]]="medium",0.15,0.3))</f>
        <v>0.3</v>
      </c>
      <c r="I2304" s="8">
        <f>financials[[#This Row],[Gross Sales]]-financials[[#This Row],[Gross Sales]]*financials[[#This Row],[Discounts]]</f>
        <v>69.3</v>
      </c>
      <c r="J2304" s="8">
        <f>VLOOKUP(financials[[#This Row],[productid]],Products!$B$2:$H$10,4)</f>
        <v>3.99</v>
      </c>
      <c r="K2304" s="8">
        <f>financials[[#This Row],[Net Sales]]-financials[[#This Row],[COGS]]</f>
        <v>65.31</v>
      </c>
      <c r="L2304" s="15">
        <v>44721</v>
      </c>
      <c r="M2304" t="s">
        <v>690</v>
      </c>
    </row>
    <row r="2305" spans="1:13" x14ac:dyDescent="0.25">
      <c r="A2305" t="s">
        <v>89</v>
      </c>
      <c r="B2305" s="6" t="s">
        <v>124</v>
      </c>
      <c r="C2305" s="13">
        <v>107</v>
      </c>
      <c r="D2305" s="14" t="s">
        <v>83</v>
      </c>
      <c r="E2305">
        <v>18</v>
      </c>
      <c r="F2305" s="8">
        <f>VLOOKUP(financials[[#This Row],[productid]],Products!$B$2:$H$10,3)</f>
        <v>15</v>
      </c>
      <c r="G2305" s="8">
        <f>financials[[#This Row],[Units Sold]]*financials[[#This Row],[Sale Price]]</f>
        <v>270</v>
      </c>
      <c r="H2305" s="8">
        <f>IF(financials[[#This Row],[Discount Band]]="low",0.1,IF(financials[[#This Row],[Discount Band]]="medium",0.15,0.3))</f>
        <v>0.3</v>
      </c>
      <c r="I2305" s="8">
        <f>financials[[#This Row],[Gross Sales]]-financials[[#This Row],[Gross Sales]]*financials[[#This Row],[Discounts]]</f>
        <v>189</v>
      </c>
      <c r="J2305" s="8">
        <f>VLOOKUP(financials[[#This Row],[productid]],Products!$B$2:$H$10,4)</f>
        <v>5.5</v>
      </c>
      <c r="K2305" s="8">
        <f>financials[[#This Row],[Net Sales]]-financials[[#This Row],[COGS]]</f>
        <v>183.5</v>
      </c>
      <c r="L2305" s="15">
        <v>45155</v>
      </c>
      <c r="M2305" t="s">
        <v>690</v>
      </c>
    </row>
    <row r="2306" spans="1:13" x14ac:dyDescent="0.25">
      <c r="A2306" t="s">
        <v>89</v>
      </c>
      <c r="B2306" s="6" t="s">
        <v>84</v>
      </c>
      <c r="C2306" s="13">
        <v>109</v>
      </c>
      <c r="D2306" s="14" t="s">
        <v>83</v>
      </c>
      <c r="E2306">
        <v>14</v>
      </c>
      <c r="F2306" s="8">
        <f>VLOOKUP(financials[[#This Row],[productid]],Products!$B$2:$H$10,3)</f>
        <v>36</v>
      </c>
      <c r="G2306" s="8">
        <f>financials[[#This Row],[Units Sold]]*financials[[#This Row],[Sale Price]]</f>
        <v>504</v>
      </c>
      <c r="H2306" s="8">
        <f>IF(financials[[#This Row],[Discount Band]]="low",0.1,IF(financials[[#This Row],[Discount Band]]="medium",0.15,0.3))</f>
        <v>0.3</v>
      </c>
      <c r="I2306" s="8">
        <f>financials[[#This Row],[Gross Sales]]-financials[[#This Row],[Gross Sales]]*financials[[#This Row],[Discounts]]</f>
        <v>352.8</v>
      </c>
      <c r="J2306" s="8">
        <f>VLOOKUP(financials[[#This Row],[productid]],Products!$B$2:$H$10,4)</f>
        <v>16.8</v>
      </c>
      <c r="K2306" s="8">
        <f>financials[[#This Row],[Net Sales]]-financials[[#This Row],[COGS]]</f>
        <v>336</v>
      </c>
      <c r="L2306" s="15">
        <v>45219</v>
      </c>
      <c r="M2306" t="s">
        <v>697</v>
      </c>
    </row>
    <row r="2307" spans="1:13" x14ac:dyDescent="0.25">
      <c r="A2307" t="s">
        <v>85</v>
      </c>
      <c r="B2307" s="6" t="s">
        <v>124</v>
      </c>
      <c r="C2307" s="13">
        <v>103</v>
      </c>
      <c r="D2307" s="14" t="s">
        <v>83</v>
      </c>
      <c r="E2307">
        <v>16</v>
      </c>
      <c r="F2307" s="8">
        <f>VLOOKUP(financials[[#This Row],[productid]],Products!$B$2:$H$10,3)</f>
        <v>28</v>
      </c>
      <c r="G2307" s="8">
        <f>financials[[#This Row],[Units Sold]]*financials[[#This Row],[Sale Price]]</f>
        <v>448</v>
      </c>
      <c r="H2307" s="8">
        <f>IF(financials[[#This Row],[Discount Band]]="low",0.1,IF(financials[[#This Row],[Discount Band]]="medium",0.15,0.3))</f>
        <v>0.3</v>
      </c>
      <c r="I2307" s="8">
        <f>financials[[#This Row],[Gross Sales]]-financials[[#This Row],[Gross Sales]]*financials[[#This Row],[Discounts]]</f>
        <v>313.60000000000002</v>
      </c>
      <c r="J2307" s="8">
        <f>VLOOKUP(financials[[#This Row],[productid]],Products!$B$2:$H$10,4)</f>
        <v>15</v>
      </c>
      <c r="K2307" s="8">
        <f>financials[[#This Row],[Net Sales]]-financials[[#This Row],[COGS]]</f>
        <v>298.60000000000002</v>
      </c>
      <c r="L2307" s="15">
        <v>44721</v>
      </c>
      <c r="M2307" t="s">
        <v>700</v>
      </c>
    </row>
    <row r="2308" spans="1:13" x14ac:dyDescent="0.25">
      <c r="A2308" t="s">
        <v>86</v>
      </c>
      <c r="B2308" s="6" t="s">
        <v>159</v>
      </c>
      <c r="C2308" s="13">
        <v>109</v>
      </c>
      <c r="D2308" s="14" t="s">
        <v>90</v>
      </c>
      <c r="E2308">
        <v>6</v>
      </c>
      <c r="F2308" s="8">
        <f>VLOOKUP(financials[[#This Row],[productid]],Products!$B$2:$H$10,3)</f>
        <v>36</v>
      </c>
      <c r="G2308" s="8">
        <f>financials[[#This Row],[Units Sold]]*financials[[#This Row],[Sale Price]]</f>
        <v>216</v>
      </c>
      <c r="H2308" s="8">
        <f>IF(financials[[#This Row],[Discount Band]]="low",0.1,IF(financials[[#This Row],[Discount Band]]="medium",0.15,0.3))</f>
        <v>0.15</v>
      </c>
      <c r="I2308" s="8">
        <f>financials[[#This Row],[Gross Sales]]-financials[[#This Row],[Gross Sales]]*financials[[#This Row],[Discounts]]</f>
        <v>183.6</v>
      </c>
      <c r="J2308" s="8">
        <f>VLOOKUP(financials[[#This Row],[productid]],Products!$B$2:$H$10,4)</f>
        <v>16.8</v>
      </c>
      <c r="K2308" s="8">
        <f>financials[[#This Row],[Net Sales]]-financials[[#This Row],[COGS]]</f>
        <v>166.79999999999998</v>
      </c>
      <c r="L2308" s="15">
        <v>44870</v>
      </c>
      <c r="M2308" t="s">
        <v>696</v>
      </c>
    </row>
    <row r="2309" spans="1:13" x14ac:dyDescent="0.25">
      <c r="A2309" t="s">
        <v>85</v>
      </c>
      <c r="B2309" s="6" t="s">
        <v>84</v>
      </c>
      <c r="C2309" s="13">
        <v>109</v>
      </c>
      <c r="D2309" s="14" t="s">
        <v>83</v>
      </c>
      <c r="E2309">
        <v>15</v>
      </c>
      <c r="F2309" s="8">
        <f>VLOOKUP(financials[[#This Row],[productid]],Products!$B$2:$H$10,3)</f>
        <v>36</v>
      </c>
      <c r="G2309" s="8">
        <f>financials[[#This Row],[Units Sold]]*financials[[#This Row],[Sale Price]]</f>
        <v>540</v>
      </c>
      <c r="H2309" s="8">
        <f>IF(financials[[#This Row],[Discount Band]]="low",0.1,IF(financials[[#This Row],[Discount Band]]="medium",0.15,0.3))</f>
        <v>0.3</v>
      </c>
      <c r="I2309" s="8">
        <f>financials[[#This Row],[Gross Sales]]-financials[[#This Row],[Gross Sales]]*financials[[#This Row],[Discounts]]</f>
        <v>378</v>
      </c>
      <c r="J2309" s="8">
        <f>VLOOKUP(financials[[#This Row],[productid]],Products!$B$2:$H$10,4)</f>
        <v>16.8</v>
      </c>
      <c r="K2309" s="8">
        <f>financials[[#This Row],[Net Sales]]-financials[[#This Row],[COGS]]</f>
        <v>361.2</v>
      </c>
      <c r="L2309" s="15">
        <v>44744</v>
      </c>
      <c r="M2309" t="s">
        <v>691</v>
      </c>
    </row>
    <row r="2310" spans="1:13" x14ac:dyDescent="0.25">
      <c r="A2310" t="s">
        <v>87</v>
      </c>
      <c r="B2310" s="6" t="s">
        <v>240</v>
      </c>
      <c r="C2310" s="13">
        <v>101</v>
      </c>
      <c r="D2310" s="14" t="s">
        <v>92</v>
      </c>
      <c r="E2310">
        <v>10</v>
      </c>
      <c r="F2310" s="8">
        <f>VLOOKUP(financials[[#This Row],[productid]],Products!$B$2:$H$10,3)</f>
        <v>23</v>
      </c>
      <c r="G2310" s="8">
        <f>financials[[#This Row],[Units Sold]]*financials[[#This Row],[Sale Price]]</f>
        <v>230</v>
      </c>
      <c r="H2310" s="8">
        <f>IF(financials[[#This Row],[Discount Band]]="low",0.1,IF(financials[[#This Row],[Discount Band]]="medium",0.15,0.3))</f>
        <v>0.3</v>
      </c>
      <c r="I2310" s="8">
        <f>financials[[#This Row],[Gross Sales]]-financials[[#This Row],[Gross Sales]]*financials[[#This Row],[Discounts]]</f>
        <v>161</v>
      </c>
      <c r="J2310" s="8">
        <f>VLOOKUP(financials[[#This Row],[productid]],Products!$B$2:$H$10,4)</f>
        <v>9.9499999999999993</v>
      </c>
      <c r="K2310" s="8">
        <f>financials[[#This Row],[Net Sales]]-financials[[#This Row],[COGS]]</f>
        <v>151.05000000000001</v>
      </c>
      <c r="L2310" s="15">
        <v>44641</v>
      </c>
      <c r="M2310" t="s">
        <v>691</v>
      </c>
    </row>
    <row r="2311" spans="1:13" x14ac:dyDescent="0.25">
      <c r="A2311" t="s">
        <v>87</v>
      </c>
      <c r="B2311" s="6" t="s">
        <v>266</v>
      </c>
      <c r="C2311" s="13">
        <v>101</v>
      </c>
      <c r="D2311" s="14" t="s">
        <v>90</v>
      </c>
      <c r="E2311">
        <v>15</v>
      </c>
      <c r="F2311" s="8">
        <f>VLOOKUP(financials[[#This Row],[productid]],Products!$B$2:$H$10,3)</f>
        <v>23</v>
      </c>
      <c r="G2311" s="8">
        <f>financials[[#This Row],[Units Sold]]*financials[[#This Row],[Sale Price]]</f>
        <v>345</v>
      </c>
      <c r="H2311" s="8">
        <f>IF(financials[[#This Row],[Discount Band]]="low",0.1,IF(financials[[#This Row],[Discount Band]]="medium",0.15,0.3))</f>
        <v>0.15</v>
      </c>
      <c r="I2311" s="8">
        <f>financials[[#This Row],[Gross Sales]]-financials[[#This Row],[Gross Sales]]*financials[[#This Row],[Discounts]]</f>
        <v>293.25</v>
      </c>
      <c r="J2311" s="8">
        <f>VLOOKUP(financials[[#This Row],[productid]],Products!$B$2:$H$10,4)</f>
        <v>9.9499999999999993</v>
      </c>
      <c r="K2311" s="8">
        <f>financials[[#This Row],[Net Sales]]-financials[[#This Row],[COGS]]</f>
        <v>283.3</v>
      </c>
      <c r="L2311" s="15">
        <v>45493</v>
      </c>
      <c r="M2311" t="s">
        <v>690</v>
      </c>
    </row>
    <row r="2312" spans="1:13" x14ac:dyDescent="0.25">
      <c r="A2312" t="s">
        <v>85</v>
      </c>
      <c r="B2312" s="6" t="s">
        <v>159</v>
      </c>
      <c r="C2312" s="11">
        <v>103</v>
      </c>
      <c r="D2312" s="9" t="s">
        <v>90</v>
      </c>
      <c r="E2312">
        <v>16</v>
      </c>
      <c r="F2312" s="8">
        <f>VLOOKUP(financials[[#This Row],[productid]],Products!$B$2:$H$10,3)</f>
        <v>28</v>
      </c>
      <c r="G2312" s="8">
        <f>financials[[#This Row],[Units Sold]]*financials[[#This Row],[Sale Price]]</f>
        <v>448</v>
      </c>
      <c r="H2312" s="8">
        <f>IF(financials[[#This Row],[Discount Band]]="low",0.1,IF(financials[[#This Row],[Discount Band]]="medium",0.15,0.3))</f>
        <v>0.15</v>
      </c>
      <c r="I2312" s="8">
        <f>financials[[#This Row],[Gross Sales]]-financials[[#This Row],[Gross Sales]]*financials[[#This Row],[Discounts]]</f>
        <v>380.8</v>
      </c>
      <c r="J2312" s="8">
        <f>VLOOKUP(financials[[#This Row],[productid]],Products!$B$2:$H$10,4)</f>
        <v>15</v>
      </c>
      <c r="K2312" s="8">
        <f>financials[[#This Row],[Net Sales]]-financials[[#This Row],[COGS]]</f>
        <v>365.8</v>
      </c>
      <c r="L2312" s="15">
        <v>45484</v>
      </c>
      <c r="M2312" t="s">
        <v>696</v>
      </c>
    </row>
    <row r="2313" spans="1:13" x14ac:dyDescent="0.25">
      <c r="A2313" t="s">
        <v>86</v>
      </c>
      <c r="B2313" s="6" t="s">
        <v>159</v>
      </c>
      <c r="C2313" s="11">
        <v>104</v>
      </c>
      <c r="D2313" s="9" t="s">
        <v>83</v>
      </c>
      <c r="E2313">
        <v>8</v>
      </c>
      <c r="F2313" s="8">
        <f>VLOOKUP(financials[[#This Row],[productid]],Products!$B$2:$H$10,3)</f>
        <v>5.9</v>
      </c>
      <c r="G2313" s="8">
        <f>financials[[#This Row],[Units Sold]]*financials[[#This Row],[Sale Price]]</f>
        <v>47.2</v>
      </c>
      <c r="H2313" s="8">
        <f>IF(financials[[#This Row],[Discount Band]]="low",0.1,IF(financials[[#This Row],[Discount Band]]="medium",0.15,0.3))</f>
        <v>0.3</v>
      </c>
      <c r="I2313" s="8">
        <f>financials[[#This Row],[Gross Sales]]-financials[[#This Row],[Gross Sales]]*financials[[#This Row],[Discounts]]</f>
        <v>33.040000000000006</v>
      </c>
      <c r="J2313" s="8">
        <f>VLOOKUP(financials[[#This Row],[productid]],Products!$B$2:$H$10,4)</f>
        <v>2.9</v>
      </c>
      <c r="K2313" s="8">
        <f>financials[[#This Row],[Net Sales]]-financials[[#This Row],[COGS]]</f>
        <v>30.140000000000008</v>
      </c>
      <c r="L2313" s="15">
        <v>45338</v>
      </c>
      <c r="M2313" t="s">
        <v>696</v>
      </c>
    </row>
    <row r="2314" spans="1:13" x14ac:dyDescent="0.25">
      <c r="A2314" t="s">
        <v>86</v>
      </c>
      <c r="B2314" s="6" t="s">
        <v>124</v>
      </c>
      <c r="C2314" s="13">
        <v>102</v>
      </c>
      <c r="D2314" s="14" t="s">
        <v>90</v>
      </c>
      <c r="E2314">
        <v>8</v>
      </c>
      <c r="F2314" s="8">
        <f>VLOOKUP(financials[[#This Row],[productid]],Products!$B$2:$H$10,3)</f>
        <v>15</v>
      </c>
      <c r="G2314" s="8">
        <f>financials[[#This Row],[Units Sold]]*financials[[#This Row],[Sale Price]]</f>
        <v>120</v>
      </c>
      <c r="H2314" s="8">
        <f>IF(financials[[#This Row],[Discount Band]]="low",0.1,IF(financials[[#This Row],[Discount Band]]="medium",0.15,0.3))</f>
        <v>0.15</v>
      </c>
      <c r="I2314" s="8">
        <f>financials[[#This Row],[Gross Sales]]-financials[[#This Row],[Gross Sales]]*financials[[#This Row],[Discounts]]</f>
        <v>102</v>
      </c>
      <c r="J2314" s="8">
        <f>VLOOKUP(financials[[#This Row],[productid]],Products!$B$2:$H$10,4)</f>
        <v>13.95</v>
      </c>
      <c r="K2314" s="8">
        <f>financials[[#This Row],[Net Sales]]-financials[[#This Row],[COGS]]</f>
        <v>88.05</v>
      </c>
      <c r="L2314" s="15">
        <v>45342</v>
      </c>
      <c r="M2314" t="s">
        <v>696</v>
      </c>
    </row>
    <row r="2315" spans="1:13" x14ac:dyDescent="0.25">
      <c r="A2315" t="s">
        <v>85</v>
      </c>
      <c r="B2315" s="6" t="s">
        <v>84</v>
      </c>
      <c r="C2315" s="13">
        <v>107</v>
      </c>
      <c r="D2315" s="14" t="s">
        <v>83</v>
      </c>
      <c r="E2315">
        <v>17</v>
      </c>
      <c r="F2315" s="8">
        <f>VLOOKUP(financials[[#This Row],[productid]],Products!$B$2:$H$10,3)</f>
        <v>15</v>
      </c>
      <c r="G2315" s="8">
        <f>financials[[#This Row],[Units Sold]]*financials[[#This Row],[Sale Price]]</f>
        <v>255</v>
      </c>
      <c r="H2315" s="8">
        <f>IF(financials[[#This Row],[Discount Band]]="low",0.1,IF(financials[[#This Row],[Discount Band]]="medium",0.15,0.3))</f>
        <v>0.3</v>
      </c>
      <c r="I2315" s="8">
        <f>financials[[#This Row],[Gross Sales]]-financials[[#This Row],[Gross Sales]]*financials[[#This Row],[Discounts]]</f>
        <v>178.5</v>
      </c>
      <c r="J2315" s="8">
        <f>VLOOKUP(financials[[#This Row],[productid]],Products!$B$2:$H$10,4)</f>
        <v>5.5</v>
      </c>
      <c r="K2315" s="8">
        <f>financials[[#This Row],[Net Sales]]-financials[[#This Row],[COGS]]</f>
        <v>173</v>
      </c>
      <c r="L2315" s="15">
        <v>44383</v>
      </c>
      <c r="M2315" t="s">
        <v>700</v>
      </c>
    </row>
    <row r="2316" spans="1:13" x14ac:dyDescent="0.25">
      <c r="A2316" t="s">
        <v>89</v>
      </c>
      <c r="B2316" s="6" t="s">
        <v>84</v>
      </c>
      <c r="C2316" s="11">
        <v>103</v>
      </c>
      <c r="D2316" s="9" t="s">
        <v>91</v>
      </c>
      <c r="E2316">
        <v>19</v>
      </c>
      <c r="F2316" s="8">
        <f>VLOOKUP(financials[[#This Row],[productid]],Products!$B$2:$H$10,3)</f>
        <v>28</v>
      </c>
      <c r="G2316" s="8">
        <f>financials[[#This Row],[Units Sold]]*financials[[#This Row],[Sale Price]]</f>
        <v>532</v>
      </c>
      <c r="H2316" s="8">
        <f>IF(financials[[#This Row],[Discount Band]]="low",0.1,IF(financials[[#This Row],[Discount Band]]="medium",0.15,0.3))</f>
        <v>0.1</v>
      </c>
      <c r="I2316" s="8">
        <f>financials[[#This Row],[Gross Sales]]-financials[[#This Row],[Gross Sales]]*financials[[#This Row],[Discounts]]</f>
        <v>478.8</v>
      </c>
      <c r="J2316" s="8">
        <f>VLOOKUP(financials[[#This Row],[productid]],Products!$B$2:$H$10,4)</f>
        <v>15</v>
      </c>
      <c r="K2316" s="8">
        <f>financials[[#This Row],[Net Sales]]-financials[[#This Row],[COGS]]</f>
        <v>463.8</v>
      </c>
      <c r="L2316" s="15">
        <v>44912</v>
      </c>
      <c r="M2316" t="s">
        <v>696</v>
      </c>
    </row>
    <row r="2317" spans="1:13" x14ac:dyDescent="0.25">
      <c r="A2317" t="s">
        <v>87</v>
      </c>
      <c r="B2317" s="6" t="s">
        <v>93</v>
      </c>
      <c r="C2317" s="13">
        <v>107</v>
      </c>
      <c r="D2317" s="14" t="s">
        <v>91</v>
      </c>
      <c r="E2317">
        <v>5</v>
      </c>
      <c r="F2317" s="8">
        <f>VLOOKUP(financials[[#This Row],[productid]],Products!$B$2:$H$10,3)</f>
        <v>15</v>
      </c>
      <c r="G2317" s="8">
        <f>financials[[#This Row],[Units Sold]]*financials[[#This Row],[Sale Price]]</f>
        <v>75</v>
      </c>
      <c r="H2317" s="8">
        <f>IF(financials[[#This Row],[Discount Band]]="low",0.1,IF(financials[[#This Row],[Discount Band]]="medium",0.15,0.3))</f>
        <v>0.1</v>
      </c>
      <c r="I2317" s="8">
        <f>financials[[#This Row],[Gross Sales]]-financials[[#This Row],[Gross Sales]]*financials[[#This Row],[Discounts]]</f>
        <v>67.5</v>
      </c>
      <c r="J2317" s="8">
        <f>VLOOKUP(financials[[#This Row],[productid]],Products!$B$2:$H$10,4)</f>
        <v>5.5</v>
      </c>
      <c r="K2317" s="8">
        <f>financials[[#This Row],[Net Sales]]-financials[[#This Row],[COGS]]</f>
        <v>62</v>
      </c>
      <c r="L2317" s="15">
        <v>44505</v>
      </c>
      <c r="M2317" t="s">
        <v>691</v>
      </c>
    </row>
    <row r="2318" spans="1:13" x14ac:dyDescent="0.25">
      <c r="A2318" t="s">
        <v>89</v>
      </c>
      <c r="B2318" s="6" t="s">
        <v>124</v>
      </c>
      <c r="C2318" s="13">
        <v>104</v>
      </c>
      <c r="D2318" s="14" t="s">
        <v>91</v>
      </c>
      <c r="E2318">
        <v>10</v>
      </c>
      <c r="F2318" s="8">
        <f>VLOOKUP(financials[[#This Row],[productid]],Products!$B$2:$H$10,3)</f>
        <v>5.9</v>
      </c>
      <c r="G2318" s="8">
        <f>financials[[#This Row],[Units Sold]]*financials[[#This Row],[Sale Price]]</f>
        <v>59</v>
      </c>
      <c r="H2318" s="8">
        <f>IF(financials[[#This Row],[Discount Band]]="low",0.1,IF(financials[[#This Row],[Discount Band]]="medium",0.15,0.3))</f>
        <v>0.1</v>
      </c>
      <c r="I2318" s="8">
        <f>financials[[#This Row],[Gross Sales]]-financials[[#This Row],[Gross Sales]]*financials[[#This Row],[Discounts]]</f>
        <v>53.1</v>
      </c>
      <c r="J2318" s="8">
        <f>VLOOKUP(financials[[#This Row],[productid]],Products!$B$2:$H$10,4)</f>
        <v>2.9</v>
      </c>
      <c r="K2318" s="8">
        <f>financials[[#This Row],[Net Sales]]-financials[[#This Row],[COGS]]</f>
        <v>50.2</v>
      </c>
      <c r="L2318" s="15">
        <v>45445</v>
      </c>
      <c r="M2318" t="s">
        <v>696</v>
      </c>
    </row>
    <row r="2319" spans="1:13" x14ac:dyDescent="0.25">
      <c r="A2319" t="s">
        <v>85</v>
      </c>
      <c r="B2319" s="6" t="s">
        <v>124</v>
      </c>
      <c r="C2319" s="11">
        <v>105</v>
      </c>
      <c r="D2319" s="9" t="s">
        <v>83</v>
      </c>
      <c r="E2319">
        <v>20</v>
      </c>
      <c r="F2319" s="8">
        <f>VLOOKUP(financials[[#This Row],[productid]],Products!$B$2:$H$10,3)</f>
        <v>15</v>
      </c>
      <c r="G2319" s="8">
        <f>financials[[#This Row],[Units Sold]]*financials[[#This Row],[Sale Price]]</f>
        <v>300</v>
      </c>
      <c r="H2319" s="8">
        <f>IF(financials[[#This Row],[Discount Band]]="low",0.1,IF(financials[[#This Row],[Discount Band]]="medium",0.15,0.3))</f>
        <v>0.3</v>
      </c>
      <c r="I2319" s="8">
        <f>financials[[#This Row],[Gross Sales]]-financials[[#This Row],[Gross Sales]]*financials[[#This Row],[Discounts]]</f>
        <v>210</v>
      </c>
      <c r="J2319" s="8">
        <f>VLOOKUP(financials[[#This Row],[productid]],Products!$B$2:$H$10,4)</f>
        <v>10</v>
      </c>
      <c r="K2319" s="8">
        <f>financials[[#This Row],[Net Sales]]-financials[[#This Row],[COGS]]</f>
        <v>200</v>
      </c>
      <c r="L2319" s="15">
        <v>44023</v>
      </c>
      <c r="M2319" t="s">
        <v>700</v>
      </c>
    </row>
    <row r="2320" spans="1:13" x14ac:dyDescent="0.25">
      <c r="A2320" t="s">
        <v>89</v>
      </c>
      <c r="B2320" s="6" t="s">
        <v>84</v>
      </c>
      <c r="C2320" s="11">
        <v>104</v>
      </c>
      <c r="D2320" s="9" t="s">
        <v>92</v>
      </c>
      <c r="E2320">
        <v>7</v>
      </c>
      <c r="F2320" s="8">
        <f>VLOOKUP(financials[[#This Row],[productid]],Products!$B$2:$H$10,3)</f>
        <v>5.9</v>
      </c>
      <c r="G2320" s="8">
        <f>financials[[#This Row],[Units Sold]]*financials[[#This Row],[Sale Price]]</f>
        <v>41.300000000000004</v>
      </c>
      <c r="H2320" s="8">
        <f>IF(financials[[#This Row],[Discount Band]]="low",0.1,IF(financials[[#This Row],[Discount Band]]="medium",0.15,0.3))</f>
        <v>0.3</v>
      </c>
      <c r="I2320" s="8">
        <f>financials[[#This Row],[Gross Sales]]-financials[[#This Row],[Gross Sales]]*financials[[#This Row],[Discounts]]</f>
        <v>28.910000000000004</v>
      </c>
      <c r="J2320" s="8">
        <f>VLOOKUP(financials[[#This Row],[productid]],Products!$B$2:$H$10,4)</f>
        <v>2.9</v>
      </c>
      <c r="K2320" s="8">
        <f>financials[[#This Row],[Net Sales]]-financials[[#This Row],[COGS]]</f>
        <v>26.010000000000005</v>
      </c>
      <c r="L2320" s="15">
        <v>45005</v>
      </c>
      <c r="M2320" t="s">
        <v>691</v>
      </c>
    </row>
    <row r="2321" spans="1:13" x14ac:dyDescent="0.25">
      <c r="A2321" t="s">
        <v>87</v>
      </c>
      <c r="B2321" s="6" t="s">
        <v>617</v>
      </c>
      <c r="C2321" s="13">
        <v>106</v>
      </c>
      <c r="D2321" s="14" t="s">
        <v>83</v>
      </c>
      <c r="E2321">
        <v>14</v>
      </c>
      <c r="F2321" s="8">
        <f>VLOOKUP(financials[[#This Row],[productid]],Products!$B$2:$H$10,3)</f>
        <v>25</v>
      </c>
      <c r="G2321" s="8">
        <f>financials[[#This Row],[Units Sold]]*financials[[#This Row],[Sale Price]]</f>
        <v>350</v>
      </c>
      <c r="H2321" s="8">
        <f>IF(financials[[#This Row],[Discount Band]]="low",0.1,IF(financials[[#This Row],[Discount Band]]="medium",0.15,0.3))</f>
        <v>0.3</v>
      </c>
      <c r="I2321" s="8">
        <f>financials[[#This Row],[Gross Sales]]-financials[[#This Row],[Gross Sales]]*financials[[#This Row],[Discounts]]</f>
        <v>245</v>
      </c>
      <c r="J2321" s="8">
        <f>VLOOKUP(financials[[#This Row],[productid]],Products!$B$2:$H$10,4)</f>
        <v>9.1</v>
      </c>
      <c r="K2321" s="8">
        <f>financials[[#This Row],[Net Sales]]-financials[[#This Row],[COGS]]</f>
        <v>235.9</v>
      </c>
      <c r="L2321" s="15">
        <v>45573</v>
      </c>
      <c r="M2321" t="s">
        <v>696</v>
      </c>
    </row>
    <row r="2322" spans="1:13" x14ac:dyDescent="0.25">
      <c r="A2322" t="s">
        <v>87</v>
      </c>
      <c r="B2322" s="6" t="s">
        <v>240</v>
      </c>
      <c r="C2322" s="13">
        <v>101</v>
      </c>
      <c r="D2322" s="14" t="s">
        <v>83</v>
      </c>
      <c r="E2322">
        <v>15</v>
      </c>
      <c r="F2322" s="8">
        <f>VLOOKUP(financials[[#This Row],[productid]],Products!$B$2:$H$10,3)</f>
        <v>23</v>
      </c>
      <c r="G2322" s="8">
        <f>financials[[#This Row],[Units Sold]]*financials[[#This Row],[Sale Price]]</f>
        <v>345</v>
      </c>
      <c r="H2322" s="8">
        <f>IF(financials[[#This Row],[Discount Band]]="low",0.1,IF(financials[[#This Row],[Discount Band]]="medium",0.15,0.3))</f>
        <v>0.3</v>
      </c>
      <c r="I2322" s="8">
        <f>financials[[#This Row],[Gross Sales]]-financials[[#This Row],[Gross Sales]]*financials[[#This Row],[Discounts]]</f>
        <v>241.5</v>
      </c>
      <c r="J2322" s="8">
        <f>VLOOKUP(financials[[#This Row],[productid]],Products!$B$2:$H$10,4)</f>
        <v>9.9499999999999993</v>
      </c>
      <c r="K2322" s="8">
        <f>financials[[#This Row],[Net Sales]]-financials[[#This Row],[COGS]]</f>
        <v>231.55</v>
      </c>
      <c r="L2322" s="15">
        <v>44480</v>
      </c>
      <c r="M2322" t="s">
        <v>700</v>
      </c>
    </row>
    <row r="2323" spans="1:13" x14ac:dyDescent="0.25">
      <c r="A2323" t="s">
        <v>86</v>
      </c>
      <c r="B2323" s="6" t="s">
        <v>124</v>
      </c>
      <c r="C2323" s="13">
        <v>103</v>
      </c>
      <c r="D2323" s="14" t="s">
        <v>90</v>
      </c>
      <c r="E2323">
        <v>13</v>
      </c>
      <c r="F2323" s="8">
        <f>VLOOKUP(financials[[#This Row],[productid]],Products!$B$2:$H$10,3)</f>
        <v>28</v>
      </c>
      <c r="G2323" s="8">
        <f>financials[[#This Row],[Units Sold]]*financials[[#This Row],[Sale Price]]</f>
        <v>364</v>
      </c>
      <c r="H2323" s="8">
        <f>IF(financials[[#This Row],[Discount Band]]="low",0.1,IF(financials[[#This Row],[Discount Band]]="medium",0.15,0.3))</f>
        <v>0.15</v>
      </c>
      <c r="I2323" s="8">
        <f>financials[[#This Row],[Gross Sales]]-financials[[#This Row],[Gross Sales]]*financials[[#This Row],[Discounts]]</f>
        <v>309.39999999999998</v>
      </c>
      <c r="J2323" s="8">
        <f>VLOOKUP(financials[[#This Row],[productid]],Products!$B$2:$H$10,4)</f>
        <v>15</v>
      </c>
      <c r="K2323" s="8">
        <f>financials[[#This Row],[Net Sales]]-financials[[#This Row],[COGS]]</f>
        <v>294.39999999999998</v>
      </c>
      <c r="L2323" s="15">
        <v>44600</v>
      </c>
      <c r="M2323" t="s">
        <v>696</v>
      </c>
    </row>
    <row r="2324" spans="1:13" x14ac:dyDescent="0.25">
      <c r="A2324" t="s">
        <v>86</v>
      </c>
      <c r="B2324" s="6" t="s">
        <v>159</v>
      </c>
      <c r="C2324" s="13">
        <v>101</v>
      </c>
      <c r="D2324" s="14" t="s">
        <v>90</v>
      </c>
      <c r="E2324">
        <v>5</v>
      </c>
      <c r="F2324" s="8">
        <f>VLOOKUP(financials[[#This Row],[productid]],Products!$B$2:$H$10,3)</f>
        <v>23</v>
      </c>
      <c r="G2324" s="8">
        <f>financials[[#This Row],[Units Sold]]*financials[[#This Row],[Sale Price]]</f>
        <v>115</v>
      </c>
      <c r="H2324" s="8">
        <f>IF(financials[[#This Row],[Discount Band]]="low",0.1,IF(financials[[#This Row],[Discount Band]]="medium",0.15,0.3))</f>
        <v>0.15</v>
      </c>
      <c r="I2324" s="8">
        <f>financials[[#This Row],[Gross Sales]]-financials[[#This Row],[Gross Sales]]*financials[[#This Row],[Discounts]]</f>
        <v>97.75</v>
      </c>
      <c r="J2324" s="8">
        <f>VLOOKUP(financials[[#This Row],[productid]],Products!$B$2:$H$10,4)</f>
        <v>9.9499999999999993</v>
      </c>
      <c r="K2324" s="8">
        <f>financials[[#This Row],[Net Sales]]-financials[[#This Row],[COGS]]</f>
        <v>87.8</v>
      </c>
      <c r="L2324" s="15">
        <v>44724</v>
      </c>
      <c r="M2324" t="s">
        <v>696</v>
      </c>
    </row>
    <row r="2325" spans="1:13" x14ac:dyDescent="0.25">
      <c r="A2325" t="s">
        <v>85</v>
      </c>
      <c r="B2325" s="6" t="s">
        <v>159</v>
      </c>
      <c r="C2325" s="13">
        <v>105</v>
      </c>
      <c r="D2325" s="14" t="s">
        <v>90</v>
      </c>
      <c r="E2325">
        <v>8</v>
      </c>
      <c r="F2325" s="8">
        <f>VLOOKUP(financials[[#This Row],[productid]],Products!$B$2:$H$10,3)</f>
        <v>15</v>
      </c>
      <c r="G2325" s="8">
        <f>financials[[#This Row],[Units Sold]]*financials[[#This Row],[Sale Price]]</f>
        <v>120</v>
      </c>
      <c r="H2325" s="8">
        <f>IF(financials[[#This Row],[Discount Band]]="low",0.1,IF(financials[[#This Row],[Discount Band]]="medium",0.15,0.3))</f>
        <v>0.15</v>
      </c>
      <c r="I2325" s="8">
        <f>financials[[#This Row],[Gross Sales]]-financials[[#This Row],[Gross Sales]]*financials[[#This Row],[Discounts]]</f>
        <v>102</v>
      </c>
      <c r="J2325" s="8">
        <f>VLOOKUP(financials[[#This Row],[productid]],Products!$B$2:$H$10,4)</f>
        <v>10</v>
      </c>
      <c r="K2325" s="8">
        <f>financials[[#This Row],[Net Sales]]-financials[[#This Row],[COGS]]</f>
        <v>92</v>
      </c>
      <c r="L2325" s="15">
        <v>44757</v>
      </c>
      <c r="M2325" t="s">
        <v>691</v>
      </c>
    </row>
    <row r="2326" spans="1:13" x14ac:dyDescent="0.25">
      <c r="A2326" t="s">
        <v>89</v>
      </c>
      <c r="B2326" s="6" t="s">
        <v>84</v>
      </c>
      <c r="C2326" s="13">
        <v>107</v>
      </c>
      <c r="D2326" s="14" t="s">
        <v>90</v>
      </c>
      <c r="E2326">
        <v>12</v>
      </c>
      <c r="F2326" s="8">
        <f>VLOOKUP(financials[[#This Row],[productid]],Products!$B$2:$H$10,3)</f>
        <v>15</v>
      </c>
      <c r="G2326" s="8">
        <f>financials[[#This Row],[Units Sold]]*financials[[#This Row],[Sale Price]]</f>
        <v>180</v>
      </c>
      <c r="H2326" s="8">
        <f>IF(financials[[#This Row],[Discount Band]]="low",0.1,IF(financials[[#This Row],[Discount Band]]="medium",0.15,0.3))</f>
        <v>0.15</v>
      </c>
      <c r="I2326" s="8">
        <f>financials[[#This Row],[Gross Sales]]-financials[[#This Row],[Gross Sales]]*financials[[#This Row],[Discounts]]</f>
        <v>153</v>
      </c>
      <c r="J2326" s="8">
        <f>VLOOKUP(financials[[#This Row],[productid]],Products!$B$2:$H$10,4)</f>
        <v>5.5</v>
      </c>
      <c r="K2326" s="8">
        <f>financials[[#This Row],[Net Sales]]-financials[[#This Row],[COGS]]</f>
        <v>147.5</v>
      </c>
      <c r="L2326" s="15">
        <v>44607</v>
      </c>
      <c r="M2326" t="s">
        <v>697</v>
      </c>
    </row>
    <row r="2327" spans="1:13" x14ac:dyDescent="0.25">
      <c r="A2327" t="s">
        <v>86</v>
      </c>
      <c r="B2327" s="6" t="s">
        <v>124</v>
      </c>
      <c r="C2327" s="11">
        <v>107</v>
      </c>
      <c r="D2327" s="9" t="s">
        <v>90</v>
      </c>
      <c r="E2327">
        <v>20</v>
      </c>
      <c r="F2327" s="8">
        <f>VLOOKUP(financials[[#This Row],[productid]],Products!$B$2:$H$10,3)</f>
        <v>15</v>
      </c>
      <c r="G2327" s="8">
        <f>financials[[#This Row],[Units Sold]]*financials[[#This Row],[Sale Price]]</f>
        <v>300</v>
      </c>
      <c r="H2327" s="8">
        <f>IF(financials[[#This Row],[Discount Band]]="low",0.1,IF(financials[[#This Row],[Discount Band]]="medium",0.15,0.3))</f>
        <v>0.15</v>
      </c>
      <c r="I2327" s="8">
        <f>financials[[#This Row],[Gross Sales]]-financials[[#This Row],[Gross Sales]]*financials[[#This Row],[Discounts]]</f>
        <v>255</v>
      </c>
      <c r="J2327" s="8">
        <f>VLOOKUP(financials[[#This Row],[productid]],Products!$B$2:$H$10,4)</f>
        <v>5.5</v>
      </c>
      <c r="K2327" s="8">
        <f>financials[[#This Row],[Net Sales]]-financials[[#This Row],[COGS]]</f>
        <v>249.5</v>
      </c>
      <c r="L2327" s="15">
        <v>44271</v>
      </c>
      <c r="M2327" t="s">
        <v>691</v>
      </c>
    </row>
    <row r="2328" spans="1:13" x14ac:dyDescent="0.25">
      <c r="A2328" t="s">
        <v>85</v>
      </c>
      <c r="B2328" s="6" t="s">
        <v>124</v>
      </c>
      <c r="C2328" s="13">
        <v>106</v>
      </c>
      <c r="D2328" s="14" t="s">
        <v>90</v>
      </c>
      <c r="E2328">
        <v>11</v>
      </c>
      <c r="F2328" s="8">
        <f>VLOOKUP(financials[[#This Row],[productid]],Products!$B$2:$H$10,3)</f>
        <v>25</v>
      </c>
      <c r="G2328" s="8">
        <f>financials[[#This Row],[Units Sold]]*financials[[#This Row],[Sale Price]]</f>
        <v>275</v>
      </c>
      <c r="H2328" s="8">
        <f>IF(financials[[#This Row],[Discount Band]]="low",0.1,IF(financials[[#This Row],[Discount Band]]="medium",0.15,0.3))</f>
        <v>0.15</v>
      </c>
      <c r="I2328" s="8">
        <f>financials[[#This Row],[Gross Sales]]-financials[[#This Row],[Gross Sales]]*financials[[#This Row],[Discounts]]</f>
        <v>233.75</v>
      </c>
      <c r="J2328" s="8">
        <f>VLOOKUP(financials[[#This Row],[productid]],Products!$B$2:$H$10,4)</f>
        <v>9.1</v>
      </c>
      <c r="K2328" s="8">
        <f>financials[[#This Row],[Net Sales]]-financials[[#This Row],[COGS]]</f>
        <v>224.65</v>
      </c>
      <c r="L2328" s="15">
        <v>44043</v>
      </c>
      <c r="M2328" t="s">
        <v>690</v>
      </c>
    </row>
    <row r="2329" spans="1:13" x14ac:dyDescent="0.25">
      <c r="A2329" t="s">
        <v>87</v>
      </c>
      <c r="B2329" s="6" t="s">
        <v>266</v>
      </c>
      <c r="C2329" s="11">
        <v>104</v>
      </c>
      <c r="D2329" s="9" t="s">
        <v>91</v>
      </c>
      <c r="E2329">
        <v>18</v>
      </c>
      <c r="F2329" s="8">
        <f>VLOOKUP(financials[[#This Row],[productid]],Products!$B$2:$H$10,3)</f>
        <v>5.9</v>
      </c>
      <c r="G2329" s="8">
        <f>financials[[#This Row],[Units Sold]]*financials[[#This Row],[Sale Price]]</f>
        <v>106.2</v>
      </c>
      <c r="H2329" s="8">
        <f>IF(financials[[#This Row],[Discount Band]]="low",0.1,IF(financials[[#This Row],[Discount Band]]="medium",0.15,0.3))</f>
        <v>0.1</v>
      </c>
      <c r="I2329" s="8">
        <f>financials[[#This Row],[Gross Sales]]-financials[[#This Row],[Gross Sales]]*financials[[#This Row],[Discounts]]</f>
        <v>95.58</v>
      </c>
      <c r="J2329" s="8">
        <f>VLOOKUP(financials[[#This Row],[productid]],Products!$B$2:$H$10,4)</f>
        <v>2.9</v>
      </c>
      <c r="K2329" s="8">
        <f>financials[[#This Row],[Net Sales]]-financials[[#This Row],[COGS]]</f>
        <v>92.679999999999993</v>
      </c>
      <c r="L2329" s="15">
        <v>44345</v>
      </c>
      <c r="M2329" t="s">
        <v>700</v>
      </c>
    </row>
    <row r="2330" spans="1:13" x14ac:dyDescent="0.25">
      <c r="A2330" t="s">
        <v>87</v>
      </c>
      <c r="B2330" s="6" t="s">
        <v>93</v>
      </c>
      <c r="C2330" s="13">
        <v>106</v>
      </c>
      <c r="D2330" s="14" t="s">
        <v>83</v>
      </c>
      <c r="E2330">
        <v>10</v>
      </c>
      <c r="F2330" s="8">
        <f>VLOOKUP(financials[[#This Row],[productid]],Products!$B$2:$H$10,3)</f>
        <v>25</v>
      </c>
      <c r="G2330" s="8">
        <f>financials[[#This Row],[Units Sold]]*financials[[#This Row],[Sale Price]]</f>
        <v>250</v>
      </c>
      <c r="H2330" s="8">
        <f>IF(financials[[#This Row],[Discount Band]]="low",0.1,IF(financials[[#This Row],[Discount Band]]="medium",0.15,0.3))</f>
        <v>0.3</v>
      </c>
      <c r="I2330" s="8">
        <f>financials[[#This Row],[Gross Sales]]-financials[[#This Row],[Gross Sales]]*financials[[#This Row],[Discounts]]</f>
        <v>175</v>
      </c>
      <c r="J2330" s="8">
        <f>VLOOKUP(financials[[#This Row],[productid]],Products!$B$2:$H$10,4)</f>
        <v>9.1</v>
      </c>
      <c r="K2330" s="8">
        <f>financials[[#This Row],[Net Sales]]-financials[[#This Row],[COGS]]</f>
        <v>165.9</v>
      </c>
      <c r="L2330" s="15">
        <v>44564</v>
      </c>
      <c r="M2330" t="s">
        <v>700</v>
      </c>
    </row>
    <row r="2331" spans="1:13" x14ac:dyDescent="0.25">
      <c r="A2331" t="s">
        <v>86</v>
      </c>
      <c r="B2331" s="6" t="s">
        <v>159</v>
      </c>
      <c r="C2331" s="13">
        <v>101</v>
      </c>
      <c r="D2331" s="14" t="s">
        <v>92</v>
      </c>
      <c r="E2331">
        <v>17</v>
      </c>
      <c r="F2331" s="8">
        <f>VLOOKUP(financials[[#This Row],[productid]],Products!$B$2:$H$10,3)</f>
        <v>23</v>
      </c>
      <c r="G2331" s="8">
        <f>financials[[#This Row],[Units Sold]]*financials[[#This Row],[Sale Price]]</f>
        <v>391</v>
      </c>
      <c r="H2331" s="8">
        <f>IF(financials[[#This Row],[Discount Band]]="low",0.1,IF(financials[[#This Row],[Discount Band]]="medium",0.15,0.3))</f>
        <v>0.3</v>
      </c>
      <c r="I2331" s="8">
        <f>financials[[#This Row],[Gross Sales]]-financials[[#This Row],[Gross Sales]]*financials[[#This Row],[Discounts]]</f>
        <v>273.7</v>
      </c>
      <c r="J2331" s="8">
        <f>VLOOKUP(financials[[#This Row],[productid]],Products!$B$2:$H$10,4)</f>
        <v>9.9499999999999993</v>
      </c>
      <c r="K2331" s="8">
        <f>financials[[#This Row],[Net Sales]]-financials[[#This Row],[COGS]]</f>
        <v>263.75</v>
      </c>
      <c r="L2331" s="15">
        <v>44610</v>
      </c>
      <c r="M2331" t="s">
        <v>696</v>
      </c>
    </row>
    <row r="2332" spans="1:13" x14ac:dyDescent="0.25">
      <c r="A2332" t="s">
        <v>86</v>
      </c>
      <c r="B2332" s="6" t="s">
        <v>84</v>
      </c>
      <c r="C2332" s="13">
        <v>109</v>
      </c>
      <c r="D2332" s="14" t="s">
        <v>90</v>
      </c>
      <c r="E2332">
        <v>6</v>
      </c>
      <c r="F2332" s="8">
        <f>VLOOKUP(financials[[#This Row],[productid]],Products!$B$2:$H$10,3)</f>
        <v>36</v>
      </c>
      <c r="G2332" s="8">
        <f>financials[[#This Row],[Units Sold]]*financials[[#This Row],[Sale Price]]</f>
        <v>216</v>
      </c>
      <c r="H2332" s="8">
        <f>IF(financials[[#This Row],[Discount Band]]="low",0.1,IF(financials[[#This Row],[Discount Band]]="medium",0.15,0.3))</f>
        <v>0.15</v>
      </c>
      <c r="I2332" s="8">
        <f>financials[[#This Row],[Gross Sales]]-financials[[#This Row],[Gross Sales]]*financials[[#This Row],[Discounts]]</f>
        <v>183.6</v>
      </c>
      <c r="J2332" s="8">
        <f>VLOOKUP(financials[[#This Row],[productid]],Products!$B$2:$H$10,4)</f>
        <v>16.8</v>
      </c>
      <c r="K2332" s="8">
        <f>financials[[#This Row],[Net Sales]]-financials[[#This Row],[COGS]]</f>
        <v>166.79999999999998</v>
      </c>
      <c r="L2332" s="15">
        <v>45483</v>
      </c>
      <c r="M2332" t="s">
        <v>696</v>
      </c>
    </row>
    <row r="2333" spans="1:13" x14ac:dyDescent="0.25">
      <c r="A2333" t="s">
        <v>86</v>
      </c>
      <c r="B2333" s="6" t="s">
        <v>124</v>
      </c>
      <c r="C2333" s="11">
        <v>105</v>
      </c>
      <c r="D2333" s="9" t="s">
        <v>91</v>
      </c>
      <c r="E2333">
        <v>16</v>
      </c>
      <c r="F2333" s="8">
        <f>VLOOKUP(financials[[#This Row],[productid]],Products!$B$2:$H$10,3)</f>
        <v>15</v>
      </c>
      <c r="G2333" s="8">
        <f>financials[[#This Row],[Units Sold]]*financials[[#This Row],[Sale Price]]</f>
        <v>240</v>
      </c>
      <c r="H2333" s="8">
        <f>IF(financials[[#This Row],[Discount Band]]="low",0.1,IF(financials[[#This Row],[Discount Band]]="medium",0.15,0.3))</f>
        <v>0.1</v>
      </c>
      <c r="I2333" s="8">
        <f>financials[[#This Row],[Gross Sales]]-financials[[#This Row],[Gross Sales]]*financials[[#This Row],[Discounts]]</f>
        <v>216</v>
      </c>
      <c r="J2333" s="8">
        <f>VLOOKUP(financials[[#This Row],[productid]],Products!$B$2:$H$10,4)</f>
        <v>10</v>
      </c>
      <c r="K2333" s="8">
        <f>financials[[#This Row],[Net Sales]]-financials[[#This Row],[COGS]]</f>
        <v>206</v>
      </c>
      <c r="L2333" s="15">
        <v>44254</v>
      </c>
      <c r="M2333" t="s">
        <v>697</v>
      </c>
    </row>
    <row r="2334" spans="1:13" x14ac:dyDescent="0.25">
      <c r="A2334" t="s">
        <v>87</v>
      </c>
      <c r="B2334" s="6" t="s">
        <v>240</v>
      </c>
      <c r="C2334" s="13">
        <v>107</v>
      </c>
      <c r="D2334" s="14" t="s">
        <v>83</v>
      </c>
      <c r="E2334">
        <v>11</v>
      </c>
      <c r="F2334" s="8">
        <f>VLOOKUP(financials[[#This Row],[productid]],Products!$B$2:$H$10,3)</f>
        <v>15</v>
      </c>
      <c r="G2334" s="8">
        <f>financials[[#This Row],[Units Sold]]*financials[[#This Row],[Sale Price]]</f>
        <v>165</v>
      </c>
      <c r="H2334" s="8">
        <f>IF(financials[[#This Row],[Discount Band]]="low",0.1,IF(financials[[#This Row],[Discount Band]]="medium",0.15,0.3))</f>
        <v>0.3</v>
      </c>
      <c r="I2334" s="8">
        <f>financials[[#This Row],[Gross Sales]]-financials[[#This Row],[Gross Sales]]*financials[[#This Row],[Discounts]]</f>
        <v>115.5</v>
      </c>
      <c r="J2334" s="8">
        <f>VLOOKUP(financials[[#This Row],[productid]],Products!$B$2:$H$10,4)</f>
        <v>5.5</v>
      </c>
      <c r="K2334" s="8">
        <f>financials[[#This Row],[Net Sales]]-financials[[#This Row],[COGS]]</f>
        <v>110</v>
      </c>
      <c r="L2334" s="15">
        <v>44166</v>
      </c>
      <c r="M2334" t="s">
        <v>690</v>
      </c>
    </row>
    <row r="2335" spans="1:13" x14ac:dyDescent="0.25">
      <c r="A2335" t="s">
        <v>85</v>
      </c>
      <c r="B2335" s="6" t="s">
        <v>84</v>
      </c>
      <c r="C2335" s="11">
        <v>107</v>
      </c>
      <c r="D2335" s="9" t="s">
        <v>92</v>
      </c>
      <c r="E2335">
        <v>17</v>
      </c>
      <c r="F2335" s="8">
        <f>VLOOKUP(financials[[#This Row],[productid]],Products!$B$2:$H$10,3)</f>
        <v>15</v>
      </c>
      <c r="G2335" s="8">
        <f>financials[[#This Row],[Units Sold]]*financials[[#This Row],[Sale Price]]</f>
        <v>255</v>
      </c>
      <c r="H2335" s="8">
        <f>IF(financials[[#This Row],[Discount Band]]="low",0.1,IF(financials[[#This Row],[Discount Band]]="medium",0.15,0.3))</f>
        <v>0.3</v>
      </c>
      <c r="I2335" s="8">
        <f>financials[[#This Row],[Gross Sales]]-financials[[#This Row],[Gross Sales]]*financials[[#This Row],[Discounts]]</f>
        <v>178.5</v>
      </c>
      <c r="J2335" s="8">
        <f>VLOOKUP(financials[[#This Row],[productid]],Products!$B$2:$H$10,4)</f>
        <v>5.5</v>
      </c>
      <c r="K2335" s="8">
        <f>financials[[#This Row],[Net Sales]]-financials[[#This Row],[COGS]]</f>
        <v>173</v>
      </c>
      <c r="L2335" s="15">
        <v>44505</v>
      </c>
      <c r="M2335" t="s">
        <v>700</v>
      </c>
    </row>
    <row r="2336" spans="1:13" x14ac:dyDescent="0.25">
      <c r="A2336" t="s">
        <v>89</v>
      </c>
      <c r="B2336" s="6" t="s">
        <v>84</v>
      </c>
      <c r="C2336" s="13">
        <v>107</v>
      </c>
      <c r="D2336" s="14" t="s">
        <v>92</v>
      </c>
      <c r="E2336">
        <v>14</v>
      </c>
      <c r="F2336" s="8">
        <f>VLOOKUP(financials[[#This Row],[productid]],Products!$B$2:$H$10,3)</f>
        <v>15</v>
      </c>
      <c r="G2336" s="8">
        <f>financials[[#This Row],[Units Sold]]*financials[[#This Row],[Sale Price]]</f>
        <v>210</v>
      </c>
      <c r="H2336" s="8">
        <f>IF(financials[[#This Row],[Discount Band]]="low",0.1,IF(financials[[#This Row],[Discount Band]]="medium",0.15,0.3))</f>
        <v>0.3</v>
      </c>
      <c r="I2336" s="8">
        <f>financials[[#This Row],[Gross Sales]]-financials[[#This Row],[Gross Sales]]*financials[[#This Row],[Discounts]]</f>
        <v>147</v>
      </c>
      <c r="J2336" s="8">
        <f>VLOOKUP(financials[[#This Row],[productid]],Products!$B$2:$H$10,4)</f>
        <v>5.5</v>
      </c>
      <c r="K2336" s="8">
        <f>financials[[#This Row],[Net Sales]]-financials[[#This Row],[COGS]]</f>
        <v>141.5</v>
      </c>
      <c r="L2336" s="15">
        <v>44673</v>
      </c>
      <c r="M2336" t="s">
        <v>700</v>
      </c>
    </row>
    <row r="2337" spans="1:13" x14ac:dyDescent="0.25">
      <c r="A2337" t="s">
        <v>86</v>
      </c>
      <c r="B2337" s="6" t="s">
        <v>84</v>
      </c>
      <c r="C2337" s="13">
        <v>104</v>
      </c>
      <c r="D2337" s="14" t="s">
        <v>90</v>
      </c>
      <c r="E2337">
        <v>7</v>
      </c>
      <c r="F2337" s="8">
        <f>VLOOKUP(financials[[#This Row],[productid]],Products!$B$2:$H$10,3)</f>
        <v>5.9</v>
      </c>
      <c r="G2337" s="8">
        <f>financials[[#This Row],[Units Sold]]*financials[[#This Row],[Sale Price]]</f>
        <v>41.300000000000004</v>
      </c>
      <c r="H2337" s="8">
        <f>IF(financials[[#This Row],[Discount Band]]="low",0.1,IF(financials[[#This Row],[Discount Band]]="medium",0.15,0.3))</f>
        <v>0.15</v>
      </c>
      <c r="I2337" s="8">
        <f>financials[[#This Row],[Gross Sales]]-financials[[#This Row],[Gross Sales]]*financials[[#This Row],[Discounts]]</f>
        <v>35.105000000000004</v>
      </c>
      <c r="J2337" s="8">
        <f>VLOOKUP(financials[[#This Row],[productid]],Products!$B$2:$H$10,4)</f>
        <v>2.9</v>
      </c>
      <c r="K2337" s="8">
        <f>financials[[#This Row],[Net Sales]]-financials[[#This Row],[COGS]]</f>
        <v>32.205000000000005</v>
      </c>
      <c r="L2337" s="15">
        <v>44660</v>
      </c>
      <c r="M2337" t="s">
        <v>691</v>
      </c>
    </row>
    <row r="2338" spans="1:13" x14ac:dyDescent="0.25">
      <c r="A2338" t="s">
        <v>85</v>
      </c>
      <c r="B2338" s="6" t="s">
        <v>84</v>
      </c>
      <c r="C2338" s="13">
        <v>105</v>
      </c>
      <c r="D2338" s="14" t="s">
        <v>83</v>
      </c>
      <c r="E2338">
        <v>19</v>
      </c>
      <c r="F2338" s="8">
        <f>VLOOKUP(financials[[#This Row],[productid]],Products!$B$2:$H$10,3)</f>
        <v>15</v>
      </c>
      <c r="G2338" s="8">
        <f>financials[[#This Row],[Units Sold]]*financials[[#This Row],[Sale Price]]</f>
        <v>285</v>
      </c>
      <c r="H2338" s="8">
        <f>IF(financials[[#This Row],[Discount Band]]="low",0.1,IF(financials[[#This Row],[Discount Band]]="medium",0.15,0.3))</f>
        <v>0.3</v>
      </c>
      <c r="I2338" s="8">
        <f>financials[[#This Row],[Gross Sales]]-financials[[#This Row],[Gross Sales]]*financials[[#This Row],[Discounts]]</f>
        <v>199.5</v>
      </c>
      <c r="J2338" s="8">
        <f>VLOOKUP(financials[[#This Row],[productid]],Products!$B$2:$H$10,4)</f>
        <v>10</v>
      </c>
      <c r="K2338" s="8">
        <f>financials[[#This Row],[Net Sales]]-financials[[#This Row],[COGS]]</f>
        <v>189.5</v>
      </c>
      <c r="L2338" s="15">
        <v>45118</v>
      </c>
      <c r="M2338" t="s">
        <v>700</v>
      </c>
    </row>
    <row r="2339" spans="1:13" x14ac:dyDescent="0.25">
      <c r="A2339" t="s">
        <v>86</v>
      </c>
      <c r="B2339" s="6" t="s">
        <v>124</v>
      </c>
      <c r="C2339" s="13">
        <v>108</v>
      </c>
      <c r="D2339" s="14" t="s">
        <v>83</v>
      </c>
      <c r="E2339">
        <v>7</v>
      </c>
      <c r="F2339" s="8">
        <f>VLOOKUP(financials[[#This Row],[productid]],Products!$B$2:$H$10,3)</f>
        <v>5.5</v>
      </c>
      <c r="G2339" s="8">
        <f>financials[[#This Row],[Units Sold]]*financials[[#This Row],[Sale Price]]</f>
        <v>38.5</v>
      </c>
      <c r="H2339" s="8">
        <f>IF(financials[[#This Row],[Discount Band]]="low",0.1,IF(financials[[#This Row],[Discount Band]]="medium",0.15,0.3))</f>
        <v>0.3</v>
      </c>
      <c r="I2339" s="8">
        <f>financials[[#This Row],[Gross Sales]]-financials[[#This Row],[Gross Sales]]*financials[[#This Row],[Discounts]]</f>
        <v>26.950000000000003</v>
      </c>
      <c r="J2339" s="8">
        <f>VLOOKUP(financials[[#This Row],[productid]],Products!$B$2:$H$10,4)</f>
        <v>3.99</v>
      </c>
      <c r="K2339" s="8">
        <f>financials[[#This Row],[Net Sales]]-financials[[#This Row],[COGS]]</f>
        <v>22.96</v>
      </c>
      <c r="L2339" s="15">
        <v>44789</v>
      </c>
      <c r="M2339" t="s">
        <v>700</v>
      </c>
    </row>
    <row r="2340" spans="1:13" x14ac:dyDescent="0.25">
      <c r="A2340" t="s">
        <v>86</v>
      </c>
      <c r="B2340" s="6" t="s">
        <v>84</v>
      </c>
      <c r="C2340" s="13">
        <v>108</v>
      </c>
      <c r="D2340" s="14" t="s">
        <v>90</v>
      </c>
      <c r="E2340">
        <v>15</v>
      </c>
      <c r="F2340" s="8">
        <f>VLOOKUP(financials[[#This Row],[productid]],Products!$B$2:$H$10,3)</f>
        <v>5.5</v>
      </c>
      <c r="G2340" s="8">
        <f>financials[[#This Row],[Units Sold]]*financials[[#This Row],[Sale Price]]</f>
        <v>82.5</v>
      </c>
      <c r="H2340" s="8">
        <f>IF(financials[[#This Row],[Discount Band]]="low",0.1,IF(financials[[#This Row],[Discount Band]]="medium",0.15,0.3))</f>
        <v>0.15</v>
      </c>
      <c r="I2340" s="8">
        <f>financials[[#This Row],[Gross Sales]]-financials[[#This Row],[Gross Sales]]*financials[[#This Row],[Discounts]]</f>
        <v>70.125</v>
      </c>
      <c r="J2340" s="8">
        <f>VLOOKUP(financials[[#This Row],[productid]],Products!$B$2:$H$10,4)</f>
        <v>3.99</v>
      </c>
      <c r="K2340" s="8">
        <f>financials[[#This Row],[Net Sales]]-financials[[#This Row],[COGS]]</f>
        <v>66.135000000000005</v>
      </c>
      <c r="L2340" s="15">
        <v>45016</v>
      </c>
      <c r="M2340" t="s">
        <v>700</v>
      </c>
    </row>
    <row r="2341" spans="1:13" x14ac:dyDescent="0.25">
      <c r="A2341" t="s">
        <v>86</v>
      </c>
      <c r="B2341" s="6" t="s">
        <v>159</v>
      </c>
      <c r="C2341" s="13">
        <v>105</v>
      </c>
      <c r="D2341" s="14" t="s">
        <v>83</v>
      </c>
      <c r="E2341">
        <v>17</v>
      </c>
      <c r="F2341" s="8">
        <f>VLOOKUP(financials[[#This Row],[productid]],Products!$B$2:$H$10,3)</f>
        <v>15</v>
      </c>
      <c r="G2341" s="8">
        <f>financials[[#This Row],[Units Sold]]*financials[[#This Row],[Sale Price]]</f>
        <v>255</v>
      </c>
      <c r="H2341" s="8">
        <f>IF(financials[[#This Row],[Discount Band]]="low",0.1,IF(financials[[#This Row],[Discount Band]]="medium",0.15,0.3))</f>
        <v>0.3</v>
      </c>
      <c r="I2341" s="8">
        <f>financials[[#This Row],[Gross Sales]]-financials[[#This Row],[Gross Sales]]*financials[[#This Row],[Discounts]]</f>
        <v>178.5</v>
      </c>
      <c r="J2341" s="8">
        <f>VLOOKUP(financials[[#This Row],[productid]],Products!$B$2:$H$10,4)</f>
        <v>10</v>
      </c>
      <c r="K2341" s="8">
        <f>financials[[#This Row],[Net Sales]]-financials[[#This Row],[COGS]]</f>
        <v>168.5</v>
      </c>
      <c r="L2341" s="15">
        <v>45049</v>
      </c>
      <c r="M2341" t="s">
        <v>691</v>
      </c>
    </row>
    <row r="2342" spans="1:13" x14ac:dyDescent="0.25">
      <c r="A2342" t="s">
        <v>87</v>
      </c>
      <c r="B2342" s="6" t="s">
        <v>645</v>
      </c>
      <c r="C2342" s="13">
        <v>103</v>
      </c>
      <c r="D2342" s="14" t="s">
        <v>91</v>
      </c>
      <c r="E2342">
        <v>15</v>
      </c>
      <c r="F2342" s="8">
        <f>VLOOKUP(financials[[#This Row],[productid]],Products!$B$2:$H$10,3)</f>
        <v>28</v>
      </c>
      <c r="G2342" s="8">
        <f>financials[[#This Row],[Units Sold]]*financials[[#This Row],[Sale Price]]</f>
        <v>420</v>
      </c>
      <c r="H2342" s="8">
        <f>IF(financials[[#This Row],[Discount Band]]="low",0.1,IF(financials[[#This Row],[Discount Band]]="medium",0.15,0.3))</f>
        <v>0.1</v>
      </c>
      <c r="I2342" s="8">
        <f>financials[[#This Row],[Gross Sales]]-financials[[#This Row],[Gross Sales]]*financials[[#This Row],[Discounts]]</f>
        <v>378</v>
      </c>
      <c r="J2342" s="8">
        <f>VLOOKUP(financials[[#This Row],[productid]],Products!$B$2:$H$10,4)</f>
        <v>15</v>
      </c>
      <c r="K2342" s="8">
        <f>financials[[#This Row],[Net Sales]]-financials[[#This Row],[COGS]]</f>
        <v>363</v>
      </c>
      <c r="L2342" s="15">
        <v>43898</v>
      </c>
      <c r="M2342" t="s">
        <v>696</v>
      </c>
    </row>
    <row r="2343" spans="1:13" x14ac:dyDescent="0.25">
      <c r="A2343" t="s">
        <v>87</v>
      </c>
      <c r="B2343" s="6" t="s">
        <v>93</v>
      </c>
      <c r="C2343" s="13">
        <v>101</v>
      </c>
      <c r="D2343" s="14" t="s">
        <v>83</v>
      </c>
      <c r="E2343">
        <v>20</v>
      </c>
      <c r="F2343" s="8">
        <f>VLOOKUP(financials[[#This Row],[productid]],Products!$B$2:$H$10,3)</f>
        <v>23</v>
      </c>
      <c r="G2343" s="8">
        <f>financials[[#This Row],[Units Sold]]*financials[[#This Row],[Sale Price]]</f>
        <v>460</v>
      </c>
      <c r="H2343" s="8">
        <f>IF(financials[[#This Row],[Discount Band]]="low",0.1,IF(financials[[#This Row],[Discount Band]]="medium",0.15,0.3))</f>
        <v>0.3</v>
      </c>
      <c r="I2343" s="8">
        <f>financials[[#This Row],[Gross Sales]]-financials[[#This Row],[Gross Sales]]*financials[[#This Row],[Discounts]]</f>
        <v>322</v>
      </c>
      <c r="J2343" s="8">
        <f>VLOOKUP(financials[[#This Row],[productid]],Products!$B$2:$H$10,4)</f>
        <v>9.9499999999999993</v>
      </c>
      <c r="K2343" s="8">
        <f>financials[[#This Row],[Net Sales]]-financials[[#This Row],[COGS]]</f>
        <v>312.05</v>
      </c>
      <c r="L2343" s="15">
        <v>44975</v>
      </c>
      <c r="M2343" t="s">
        <v>696</v>
      </c>
    </row>
    <row r="2344" spans="1:13" x14ac:dyDescent="0.25">
      <c r="A2344" t="s">
        <v>87</v>
      </c>
      <c r="B2344" s="6" t="s">
        <v>645</v>
      </c>
      <c r="C2344" s="13">
        <v>108</v>
      </c>
      <c r="D2344" s="14" t="s">
        <v>91</v>
      </c>
      <c r="E2344">
        <v>13</v>
      </c>
      <c r="F2344" s="8">
        <f>VLOOKUP(financials[[#This Row],[productid]],Products!$B$2:$H$10,3)</f>
        <v>5.5</v>
      </c>
      <c r="G2344" s="8">
        <f>financials[[#This Row],[Units Sold]]*financials[[#This Row],[Sale Price]]</f>
        <v>71.5</v>
      </c>
      <c r="H2344" s="8">
        <f>IF(financials[[#This Row],[Discount Band]]="low",0.1,IF(financials[[#This Row],[Discount Band]]="medium",0.15,0.3))</f>
        <v>0.1</v>
      </c>
      <c r="I2344" s="8">
        <f>financials[[#This Row],[Gross Sales]]-financials[[#This Row],[Gross Sales]]*financials[[#This Row],[Discounts]]</f>
        <v>64.349999999999994</v>
      </c>
      <c r="J2344" s="8">
        <f>VLOOKUP(financials[[#This Row],[productid]],Products!$B$2:$H$10,4)</f>
        <v>3.99</v>
      </c>
      <c r="K2344" s="8">
        <f>financials[[#This Row],[Net Sales]]-financials[[#This Row],[COGS]]</f>
        <v>60.359999999999992</v>
      </c>
      <c r="L2344" s="15">
        <v>45620</v>
      </c>
      <c r="M2344" t="s">
        <v>691</v>
      </c>
    </row>
    <row r="2345" spans="1:13" x14ac:dyDescent="0.25">
      <c r="A2345" t="s">
        <v>87</v>
      </c>
      <c r="B2345" s="6" t="s">
        <v>240</v>
      </c>
      <c r="C2345" s="13">
        <v>101</v>
      </c>
      <c r="D2345" s="14" t="s">
        <v>91</v>
      </c>
      <c r="E2345">
        <v>13</v>
      </c>
      <c r="F2345" s="8">
        <f>VLOOKUP(financials[[#This Row],[productid]],Products!$B$2:$H$10,3)</f>
        <v>23</v>
      </c>
      <c r="G2345" s="8">
        <f>financials[[#This Row],[Units Sold]]*financials[[#This Row],[Sale Price]]</f>
        <v>299</v>
      </c>
      <c r="H2345" s="8">
        <f>IF(financials[[#This Row],[Discount Band]]="low",0.1,IF(financials[[#This Row],[Discount Band]]="medium",0.15,0.3))</f>
        <v>0.1</v>
      </c>
      <c r="I2345" s="8">
        <f>financials[[#This Row],[Gross Sales]]-financials[[#This Row],[Gross Sales]]*financials[[#This Row],[Discounts]]</f>
        <v>269.10000000000002</v>
      </c>
      <c r="J2345" s="8">
        <f>VLOOKUP(financials[[#This Row],[productid]],Products!$B$2:$H$10,4)</f>
        <v>9.9499999999999993</v>
      </c>
      <c r="K2345" s="8">
        <f>financials[[#This Row],[Net Sales]]-financials[[#This Row],[COGS]]</f>
        <v>259.15000000000003</v>
      </c>
      <c r="L2345" s="15">
        <v>44743</v>
      </c>
      <c r="M2345" t="s">
        <v>700</v>
      </c>
    </row>
    <row r="2346" spans="1:13" x14ac:dyDescent="0.25">
      <c r="A2346" t="s">
        <v>85</v>
      </c>
      <c r="B2346" s="6" t="s">
        <v>159</v>
      </c>
      <c r="C2346" s="13">
        <v>108</v>
      </c>
      <c r="D2346" s="14" t="s">
        <v>90</v>
      </c>
      <c r="E2346">
        <v>10</v>
      </c>
      <c r="F2346" s="8">
        <f>VLOOKUP(financials[[#This Row],[productid]],Products!$B$2:$H$10,3)</f>
        <v>5.5</v>
      </c>
      <c r="G2346" s="8">
        <f>financials[[#This Row],[Units Sold]]*financials[[#This Row],[Sale Price]]</f>
        <v>55</v>
      </c>
      <c r="H2346" s="8">
        <f>IF(financials[[#This Row],[Discount Band]]="low",0.1,IF(financials[[#This Row],[Discount Band]]="medium",0.15,0.3))</f>
        <v>0.15</v>
      </c>
      <c r="I2346" s="8">
        <f>financials[[#This Row],[Gross Sales]]-financials[[#This Row],[Gross Sales]]*financials[[#This Row],[Discounts]]</f>
        <v>46.75</v>
      </c>
      <c r="J2346" s="8">
        <f>VLOOKUP(financials[[#This Row],[productid]],Products!$B$2:$H$10,4)</f>
        <v>3.99</v>
      </c>
      <c r="K2346" s="8">
        <f>financials[[#This Row],[Net Sales]]-financials[[#This Row],[COGS]]</f>
        <v>42.76</v>
      </c>
      <c r="L2346" s="15">
        <v>45278</v>
      </c>
      <c r="M2346" t="s">
        <v>696</v>
      </c>
    </row>
    <row r="2347" spans="1:13" x14ac:dyDescent="0.25">
      <c r="A2347" t="s">
        <v>86</v>
      </c>
      <c r="B2347" s="6" t="s">
        <v>159</v>
      </c>
      <c r="C2347" s="13">
        <v>108</v>
      </c>
      <c r="D2347" s="14" t="s">
        <v>90</v>
      </c>
      <c r="E2347">
        <v>19</v>
      </c>
      <c r="F2347" s="8">
        <f>VLOOKUP(financials[[#This Row],[productid]],Products!$B$2:$H$10,3)</f>
        <v>5.5</v>
      </c>
      <c r="G2347" s="8">
        <f>financials[[#This Row],[Units Sold]]*financials[[#This Row],[Sale Price]]</f>
        <v>104.5</v>
      </c>
      <c r="H2347" s="8">
        <f>IF(financials[[#This Row],[Discount Band]]="low",0.1,IF(financials[[#This Row],[Discount Band]]="medium",0.15,0.3))</f>
        <v>0.15</v>
      </c>
      <c r="I2347" s="8">
        <f>financials[[#This Row],[Gross Sales]]-financials[[#This Row],[Gross Sales]]*financials[[#This Row],[Discounts]]</f>
        <v>88.825000000000003</v>
      </c>
      <c r="J2347" s="8">
        <f>VLOOKUP(financials[[#This Row],[productid]],Products!$B$2:$H$10,4)</f>
        <v>3.99</v>
      </c>
      <c r="K2347" s="8">
        <f>financials[[#This Row],[Net Sales]]-financials[[#This Row],[COGS]]</f>
        <v>84.835000000000008</v>
      </c>
      <c r="L2347" s="15">
        <v>45313</v>
      </c>
      <c r="M2347" t="s">
        <v>691</v>
      </c>
    </row>
    <row r="2348" spans="1:13" x14ac:dyDescent="0.25">
      <c r="A2348" t="s">
        <v>86</v>
      </c>
      <c r="B2348" s="6" t="s">
        <v>124</v>
      </c>
      <c r="C2348" s="13">
        <v>105</v>
      </c>
      <c r="D2348" s="14" t="s">
        <v>83</v>
      </c>
      <c r="E2348">
        <v>14</v>
      </c>
      <c r="F2348" s="8">
        <f>VLOOKUP(financials[[#This Row],[productid]],Products!$B$2:$H$10,3)</f>
        <v>15</v>
      </c>
      <c r="G2348" s="8">
        <f>financials[[#This Row],[Units Sold]]*financials[[#This Row],[Sale Price]]</f>
        <v>210</v>
      </c>
      <c r="H2348" s="8">
        <f>IF(financials[[#This Row],[Discount Band]]="low",0.1,IF(financials[[#This Row],[Discount Band]]="medium",0.15,0.3))</f>
        <v>0.3</v>
      </c>
      <c r="I2348" s="8">
        <f>financials[[#This Row],[Gross Sales]]-financials[[#This Row],[Gross Sales]]*financials[[#This Row],[Discounts]]</f>
        <v>147</v>
      </c>
      <c r="J2348" s="8">
        <f>VLOOKUP(financials[[#This Row],[productid]],Products!$B$2:$H$10,4)</f>
        <v>10</v>
      </c>
      <c r="K2348" s="8">
        <f>financials[[#This Row],[Net Sales]]-financials[[#This Row],[COGS]]</f>
        <v>137</v>
      </c>
      <c r="L2348" s="15">
        <v>44215</v>
      </c>
      <c r="M2348" t="s">
        <v>696</v>
      </c>
    </row>
    <row r="2349" spans="1:13" x14ac:dyDescent="0.25">
      <c r="A2349" t="s">
        <v>87</v>
      </c>
      <c r="B2349" s="6" t="s">
        <v>645</v>
      </c>
      <c r="C2349" s="13">
        <v>103</v>
      </c>
      <c r="D2349" s="14" t="s">
        <v>92</v>
      </c>
      <c r="E2349">
        <v>6</v>
      </c>
      <c r="F2349" s="8">
        <f>VLOOKUP(financials[[#This Row],[productid]],Products!$B$2:$H$10,3)</f>
        <v>28</v>
      </c>
      <c r="G2349" s="8">
        <f>financials[[#This Row],[Units Sold]]*financials[[#This Row],[Sale Price]]</f>
        <v>168</v>
      </c>
      <c r="H2349" s="8">
        <f>IF(financials[[#This Row],[Discount Band]]="low",0.1,IF(financials[[#This Row],[Discount Band]]="medium",0.15,0.3))</f>
        <v>0.3</v>
      </c>
      <c r="I2349" s="8">
        <f>financials[[#This Row],[Gross Sales]]-financials[[#This Row],[Gross Sales]]*financials[[#This Row],[Discounts]]</f>
        <v>117.6</v>
      </c>
      <c r="J2349" s="8">
        <f>VLOOKUP(financials[[#This Row],[productid]],Products!$B$2:$H$10,4)</f>
        <v>15</v>
      </c>
      <c r="K2349" s="8">
        <f>financials[[#This Row],[Net Sales]]-financials[[#This Row],[COGS]]</f>
        <v>102.6</v>
      </c>
      <c r="L2349" s="15">
        <v>44626</v>
      </c>
      <c r="M2349" t="s">
        <v>690</v>
      </c>
    </row>
    <row r="2350" spans="1:13" x14ac:dyDescent="0.25">
      <c r="A2350" t="s">
        <v>87</v>
      </c>
      <c r="B2350" s="6" t="s">
        <v>197</v>
      </c>
      <c r="C2350" s="13">
        <v>107</v>
      </c>
      <c r="D2350" s="14" t="s">
        <v>83</v>
      </c>
      <c r="E2350">
        <v>10</v>
      </c>
      <c r="F2350" s="8">
        <f>VLOOKUP(financials[[#This Row],[productid]],Products!$B$2:$H$10,3)</f>
        <v>15</v>
      </c>
      <c r="G2350" s="8">
        <f>financials[[#This Row],[Units Sold]]*financials[[#This Row],[Sale Price]]</f>
        <v>150</v>
      </c>
      <c r="H2350" s="8">
        <f>IF(financials[[#This Row],[Discount Band]]="low",0.1,IF(financials[[#This Row],[Discount Band]]="medium",0.15,0.3))</f>
        <v>0.3</v>
      </c>
      <c r="I2350" s="8">
        <f>financials[[#This Row],[Gross Sales]]-financials[[#This Row],[Gross Sales]]*financials[[#This Row],[Discounts]]</f>
        <v>105</v>
      </c>
      <c r="J2350" s="8">
        <f>VLOOKUP(financials[[#This Row],[productid]],Products!$B$2:$H$10,4)</f>
        <v>5.5</v>
      </c>
      <c r="K2350" s="8">
        <f>financials[[#This Row],[Net Sales]]-financials[[#This Row],[COGS]]</f>
        <v>99.5</v>
      </c>
      <c r="L2350" s="15">
        <v>44040</v>
      </c>
      <c r="M2350" t="s">
        <v>691</v>
      </c>
    </row>
    <row r="2351" spans="1:13" x14ac:dyDescent="0.25">
      <c r="A2351" t="s">
        <v>87</v>
      </c>
      <c r="B2351" s="6" t="s">
        <v>125</v>
      </c>
      <c r="C2351" s="13">
        <v>106</v>
      </c>
      <c r="D2351" s="14" t="s">
        <v>91</v>
      </c>
      <c r="E2351">
        <v>18</v>
      </c>
      <c r="F2351" s="8">
        <f>VLOOKUP(financials[[#This Row],[productid]],Products!$B$2:$H$10,3)</f>
        <v>25</v>
      </c>
      <c r="G2351" s="8">
        <f>financials[[#This Row],[Units Sold]]*financials[[#This Row],[Sale Price]]</f>
        <v>450</v>
      </c>
      <c r="H2351" s="8">
        <f>IF(financials[[#This Row],[Discount Band]]="low",0.1,IF(financials[[#This Row],[Discount Band]]="medium",0.15,0.3))</f>
        <v>0.1</v>
      </c>
      <c r="I2351" s="8">
        <f>financials[[#This Row],[Gross Sales]]-financials[[#This Row],[Gross Sales]]*financials[[#This Row],[Discounts]]</f>
        <v>405</v>
      </c>
      <c r="J2351" s="8">
        <f>VLOOKUP(financials[[#This Row],[productid]],Products!$B$2:$H$10,4)</f>
        <v>9.1</v>
      </c>
      <c r="K2351" s="8">
        <f>financials[[#This Row],[Net Sales]]-financials[[#This Row],[COGS]]</f>
        <v>395.9</v>
      </c>
      <c r="L2351" s="15">
        <v>44387</v>
      </c>
      <c r="M2351" t="s">
        <v>690</v>
      </c>
    </row>
    <row r="2352" spans="1:13" x14ac:dyDescent="0.25">
      <c r="A2352" t="s">
        <v>85</v>
      </c>
      <c r="B2352" s="6" t="s">
        <v>84</v>
      </c>
      <c r="C2352" s="11">
        <v>107</v>
      </c>
      <c r="D2352" s="9" t="s">
        <v>91</v>
      </c>
      <c r="E2352">
        <v>9</v>
      </c>
      <c r="F2352" s="8">
        <f>VLOOKUP(financials[[#This Row],[productid]],Products!$B$2:$H$10,3)</f>
        <v>15</v>
      </c>
      <c r="G2352" s="8">
        <f>financials[[#This Row],[Units Sold]]*financials[[#This Row],[Sale Price]]</f>
        <v>135</v>
      </c>
      <c r="H2352" s="8">
        <f>IF(financials[[#This Row],[Discount Band]]="low",0.1,IF(financials[[#This Row],[Discount Band]]="medium",0.15,0.3))</f>
        <v>0.1</v>
      </c>
      <c r="I2352" s="8">
        <f>financials[[#This Row],[Gross Sales]]-financials[[#This Row],[Gross Sales]]*financials[[#This Row],[Discounts]]</f>
        <v>121.5</v>
      </c>
      <c r="J2352" s="8">
        <f>VLOOKUP(financials[[#This Row],[productid]],Products!$B$2:$H$10,4)</f>
        <v>5.5</v>
      </c>
      <c r="K2352" s="8">
        <f>financials[[#This Row],[Net Sales]]-financials[[#This Row],[COGS]]</f>
        <v>116</v>
      </c>
      <c r="L2352" s="15">
        <v>43999</v>
      </c>
      <c r="M2352" t="s">
        <v>700</v>
      </c>
    </row>
    <row r="2353" spans="1:13" x14ac:dyDescent="0.25">
      <c r="A2353" t="s">
        <v>85</v>
      </c>
      <c r="B2353" s="6" t="s">
        <v>84</v>
      </c>
      <c r="C2353" s="13">
        <v>106</v>
      </c>
      <c r="D2353" s="14" t="s">
        <v>91</v>
      </c>
      <c r="E2353">
        <v>20</v>
      </c>
      <c r="F2353" s="8">
        <f>VLOOKUP(financials[[#This Row],[productid]],Products!$B$2:$H$10,3)</f>
        <v>25</v>
      </c>
      <c r="G2353" s="8">
        <f>financials[[#This Row],[Units Sold]]*financials[[#This Row],[Sale Price]]</f>
        <v>500</v>
      </c>
      <c r="H2353" s="8">
        <f>IF(financials[[#This Row],[Discount Band]]="low",0.1,IF(financials[[#This Row],[Discount Band]]="medium",0.15,0.3))</f>
        <v>0.1</v>
      </c>
      <c r="I2353" s="8">
        <f>financials[[#This Row],[Gross Sales]]-financials[[#This Row],[Gross Sales]]*financials[[#This Row],[Discounts]]</f>
        <v>450</v>
      </c>
      <c r="J2353" s="8">
        <f>VLOOKUP(financials[[#This Row],[productid]],Products!$B$2:$H$10,4)</f>
        <v>9.1</v>
      </c>
      <c r="K2353" s="8">
        <f>financials[[#This Row],[Net Sales]]-financials[[#This Row],[COGS]]</f>
        <v>440.9</v>
      </c>
      <c r="L2353" s="15">
        <v>44655</v>
      </c>
      <c r="M2353" t="s">
        <v>690</v>
      </c>
    </row>
    <row r="2354" spans="1:13" x14ac:dyDescent="0.25">
      <c r="A2354" t="s">
        <v>86</v>
      </c>
      <c r="B2354" s="6" t="s">
        <v>124</v>
      </c>
      <c r="C2354" s="13">
        <v>108</v>
      </c>
      <c r="D2354" s="14" t="s">
        <v>90</v>
      </c>
      <c r="E2354">
        <v>15</v>
      </c>
      <c r="F2354" s="8">
        <f>VLOOKUP(financials[[#This Row],[productid]],Products!$B$2:$H$10,3)</f>
        <v>5.5</v>
      </c>
      <c r="G2354" s="8">
        <f>financials[[#This Row],[Units Sold]]*financials[[#This Row],[Sale Price]]</f>
        <v>82.5</v>
      </c>
      <c r="H2354" s="8">
        <f>IF(financials[[#This Row],[Discount Band]]="low",0.1,IF(financials[[#This Row],[Discount Band]]="medium",0.15,0.3))</f>
        <v>0.15</v>
      </c>
      <c r="I2354" s="8">
        <f>financials[[#This Row],[Gross Sales]]-financials[[#This Row],[Gross Sales]]*financials[[#This Row],[Discounts]]</f>
        <v>70.125</v>
      </c>
      <c r="J2354" s="8">
        <f>VLOOKUP(financials[[#This Row],[productid]],Products!$B$2:$H$10,4)</f>
        <v>3.99</v>
      </c>
      <c r="K2354" s="8">
        <f>financials[[#This Row],[Net Sales]]-financials[[#This Row],[COGS]]</f>
        <v>66.135000000000005</v>
      </c>
      <c r="L2354" s="15">
        <v>44575</v>
      </c>
      <c r="M2354" t="s">
        <v>700</v>
      </c>
    </row>
    <row r="2355" spans="1:13" x14ac:dyDescent="0.25">
      <c r="A2355" t="s">
        <v>85</v>
      </c>
      <c r="B2355" s="6" t="s">
        <v>84</v>
      </c>
      <c r="C2355" s="13">
        <v>108</v>
      </c>
      <c r="D2355" s="14" t="s">
        <v>90</v>
      </c>
      <c r="E2355">
        <v>5</v>
      </c>
      <c r="F2355" s="8">
        <f>VLOOKUP(financials[[#This Row],[productid]],Products!$B$2:$H$10,3)</f>
        <v>5.5</v>
      </c>
      <c r="G2355" s="8">
        <f>financials[[#This Row],[Units Sold]]*financials[[#This Row],[Sale Price]]</f>
        <v>27.5</v>
      </c>
      <c r="H2355" s="8">
        <f>IF(financials[[#This Row],[Discount Band]]="low",0.1,IF(financials[[#This Row],[Discount Band]]="medium",0.15,0.3))</f>
        <v>0.15</v>
      </c>
      <c r="I2355" s="8">
        <f>financials[[#This Row],[Gross Sales]]-financials[[#This Row],[Gross Sales]]*financials[[#This Row],[Discounts]]</f>
        <v>23.375</v>
      </c>
      <c r="J2355" s="8">
        <f>VLOOKUP(financials[[#This Row],[productid]],Products!$B$2:$H$10,4)</f>
        <v>3.99</v>
      </c>
      <c r="K2355" s="8">
        <f>financials[[#This Row],[Net Sales]]-financials[[#This Row],[COGS]]</f>
        <v>19.384999999999998</v>
      </c>
      <c r="L2355" s="15">
        <v>43872</v>
      </c>
      <c r="M2355" t="s">
        <v>696</v>
      </c>
    </row>
    <row r="2356" spans="1:13" x14ac:dyDescent="0.25">
      <c r="A2356" t="s">
        <v>89</v>
      </c>
      <c r="B2356" s="6" t="s">
        <v>84</v>
      </c>
      <c r="C2356" s="13">
        <v>102</v>
      </c>
      <c r="D2356" s="14" t="s">
        <v>83</v>
      </c>
      <c r="E2356">
        <v>12</v>
      </c>
      <c r="F2356" s="8">
        <f>VLOOKUP(financials[[#This Row],[productid]],Products!$B$2:$H$10,3)</f>
        <v>15</v>
      </c>
      <c r="G2356" s="8">
        <f>financials[[#This Row],[Units Sold]]*financials[[#This Row],[Sale Price]]</f>
        <v>180</v>
      </c>
      <c r="H2356" s="8">
        <f>IF(financials[[#This Row],[Discount Band]]="low",0.1,IF(financials[[#This Row],[Discount Band]]="medium",0.15,0.3))</f>
        <v>0.3</v>
      </c>
      <c r="I2356" s="8">
        <f>financials[[#This Row],[Gross Sales]]-financials[[#This Row],[Gross Sales]]*financials[[#This Row],[Discounts]]</f>
        <v>126</v>
      </c>
      <c r="J2356" s="8">
        <f>VLOOKUP(financials[[#This Row],[productid]],Products!$B$2:$H$10,4)</f>
        <v>13.95</v>
      </c>
      <c r="K2356" s="8">
        <f>financials[[#This Row],[Net Sales]]-financials[[#This Row],[COGS]]</f>
        <v>112.05</v>
      </c>
      <c r="L2356" s="15">
        <v>44624</v>
      </c>
      <c r="M2356" t="s">
        <v>700</v>
      </c>
    </row>
    <row r="2357" spans="1:13" x14ac:dyDescent="0.25">
      <c r="A2357" t="s">
        <v>86</v>
      </c>
      <c r="B2357" s="6" t="s">
        <v>84</v>
      </c>
      <c r="C2357" s="13">
        <v>109</v>
      </c>
      <c r="D2357" s="14" t="s">
        <v>83</v>
      </c>
      <c r="E2357">
        <v>9</v>
      </c>
      <c r="F2357" s="8">
        <f>VLOOKUP(financials[[#This Row],[productid]],Products!$B$2:$H$10,3)</f>
        <v>36</v>
      </c>
      <c r="G2357" s="8">
        <f>financials[[#This Row],[Units Sold]]*financials[[#This Row],[Sale Price]]</f>
        <v>324</v>
      </c>
      <c r="H2357" s="8">
        <f>IF(financials[[#This Row],[Discount Band]]="low",0.1,IF(financials[[#This Row],[Discount Band]]="medium",0.15,0.3))</f>
        <v>0.3</v>
      </c>
      <c r="I2357" s="8">
        <f>financials[[#This Row],[Gross Sales]]-financials[[#This Row],[Gross Sales]]*financials[[#This Row],[Discounts]]</f>
        <v>226.8</v>
      </c>
      <c r="J2357" s="8">
        <f>VLOOKUP(financials[[#This Row],[productid]],Products!$B$2:$H$10,4)</f>
        <v>16.8</v>
      </c>
      <c r="K2357" s="8">
        <f>financials[[#This Row],[Net Sales]]-financials[[#This Row],[COGS]]</f>
        <v>210</v>
      </c>
      <c r="L2357" s="15">
        <v>45009</v>
      </c>
      <c r="M2357" t="s">
        <v>700</v>
      </c>
    </row>
    <row r="2358" spans="1:13" x14ac:dyDescent="0.25">
      <c r="A2358" t="s">
        <v>85</v>
      </c>
      <c r="B2358" s="6" t="s">
        <v>159</v>
      </c>
      <c r="C2358" s="13">
        <v>104</v>
      </c>
      <c r="D2358" s="14" t="s">
        <v>90</v>
      </c>
      <c r="E2358">
        <v>9</v>
      </c>
      <c r="F2358" s="8">
        <f>VLOOKUP(financials[[#This Row],[productid]],Products!$B$2:$H$10,3)</f>
        <v>5.9</v>
      </c>
      <c r="G2358" s="8">
        <f>financials[[#This Row],[Units Sold]]*financials[[#This Row],[Sale Price]]</f>
        <v>53.1</v>
      </c>
      <c r="H2358" s="8">
        <f>IF(financials[[#This Row],[Discount Band]]="low",0.1,IF(financials[[#This Row],[Discount Band]]="medium",0.15,0.3))</f>
        <v>0.15</v>
      </c>
      <c r="I2358" s="8">
        <f>financials[[#This Row],[Gross Sales]]-financials[[#This Row],[Gross Sales]]*financials[[#This Row],[Discounts]]</f>
        <v>45.135000000000005</v>
      </c>
      <c r="J2358" s="8">
        <f>VLOOKUP(financials[[#This Row],[productid]],Products!$B$2:$H$10,4)</f>
        <v>2.9</v>
      </c>
      <c r="K2358" s="8">
        <f>financials[[#This Row],[Net Sales]]-financials[[#This Row],[COGS]]</f>
        <v>42.235000000000007</v>
      </c>
      <c r="L2358" s="15">
        <v>45455</v>
      </c>
      <c r="M2358" t="s">
        <v>700</v>
      </c>
    </row>
    <row r="2359" spans="1:13" x14ac:dyDescent="0.25">
      <c r="A2359" t="s">
        <v>89</v>
      </c>
      <c r="B2359" s="6" t="s">
        <v>159</v>
      </c>
      <c r="C2359" s="13">
        <v>107</v>
      </c>
      <c r="D2359" s="14" t="s">
        <v>90</v>
      </c>
      <c r="E2359">
        <v>20</v>
      </c>
      <c r="F2359" s="8">
        <f>VLOOKUP(financials[[#This Row],[productid]],Products!$B$2:$H$10,3)</f>
        <v>15</v>
      </c>
      <c r="G2359" s="8">
        <f>financials[[#This Row],[Units Sold]]*financials[[#This Row],[Sale Price]]</f>
        <v>300</v>
      </c>
      <c r="H2359" s="8">
        <f>IF(financials[[#This Row],[Discount Band]]="low",0.1,IF(financials[[#This Row],[Discount Band]]="medium",0.15,0.3))</f>
        <v>0.15</v>
      </c>
      <c r="I2359" s="8">
        <f>financials[[#This Row],[Gross Sales]]-financials[[#This Row],[Gross Sales]]*financials[[#This Row],[Discounts]]</f>
        <v>255</v>
      </c>
      <c r="J2359" s="8">
        <f>VLOOKUP(financials[[#This Row],[productid]],Products!$B$2:$H$10,4)</f>
        <v>5.5</v>
      </c>
      <c r="K2359" s="8">
        <f>financials[[#This Row],[Net Sales]]-financials[[#This Row],[COGS]]</f>
        <v>249.5</v>
      </c>
      <c r="L2359" s="15">
        <v>45132</v>
      </c>
      <c r="M2359" t="s">
        <v>700</v>
      </c>
    </row>
    <row r="2360" spans="1:13" x14ac:dyDescent="0.25">
      <c r="A2360" t="s">
        <v>88</v>
      </c>
      <c r="B2360" s="6" t="s">
        <v>644</v>
      </c>
      <c r="C2360" s="13">
        <v>108</v>
      </c>
      <c r="D2360" s="14" t="s">
        <v>83</v>
      </c>
      <c r="E2360">
        <v>5</v>
      </c>
      <c r="F2360" s="8">
        <f>VLOOKUP(financials[[#This Row],[productid]],Products!$B$2:$H$10,3)</f>
        <v>5.5</v>
      </c>
      <c r="G2360" s="8">
        <f>financials[[#This Row],[Units Sold]]*financials[[#This Row],[Sale Price]]</f>
        <v>27.5</v>
      </c>
      <c r="H2360" s="8">
        <f>IF(financials[[#This Row],[Discount Band]]="low",0.1,IF(financials[[#This Row],[Discount Band]]="medium",0.15,0.3))</f>
        <v>0.3</v>
      </c>
      <c r="I2360" s="8">
        <f>financials[[#This Row],[Gross Sales]]-financials[[#This Row],[Gross Sales]]*financials[[#This Row],[Discounts]]</f>
        <v>19.25</v>
      </c>
      <c r="J2360" s="8">
        <f>VLOOKUP(financials[[#This Row],[productid]],Products!$B$2:$H$10,4)</f>
        <v>3.99</v>
      </c>
      <c r="K2360" s="8">
        <f>financials[[#This Row],[Net Sales]]-financials[[#This Row],[COGS]]</f>
        <v>15.26</v>
      </c>
      <c r="L2360" s="15">
        <v>45111</v>
      </c>
      <c r="M2360" t="s">
        <v>697</v>
      </c>
    </row>
    <row r="2361" spans="1:13" x14ac:dyDescent="0.25">
      <c r="A2361" t="s">
        <v>86</v>
      </c>
      <c r="B2361" s="6" t="s">
        <v>84</v>
      </c>
      <c r="C2361" s="13">
        <v>106</v>
      </c>
      <c r="D2361" s="14" t="s">
        <v>91</v>
      </c>
      <c r="E2361">
        <v>11</v>
      </c>
      <c r="F2361" s="8">
        <f>VLOOKUP(financials[[#This Row],[productid]],Products!$B$2:$H$10,3)</f>
        <v>25</v>
      </c>
      <c r="G2361" s="8">
        <f>financials[[#This Row],[Units Sold]]*financials[[#This Row],[Sale Price]]</f>
        <v>275</v>
      </c>
      <c r="H2361" s="8">
        <f>IF(financials[[#This Row],[Discount Band]]="low",0.1,IF(financials[[#This Row],[Discount Band]]="medium",0.15,0.3))</f>
        <v>0.1</v>
      </c>
      <c r="I2361" s="8">
        <f>financials[[#This Row],[Gross Sales]]-financials[[#This Row],[Gross Sales]]*financials[[#This Row],[Discounts]]</f>
        <v>247.5</v>
      </c>
      <c r="J2361" s="8">
        <f>VLOOKUP(financials[[#This Row],[productid]],Products!$B$2:$H$10,4)</f>
        <v>9.1</v>
      </c>
      <c r="K2361" s="8">
        <f>financials[[#This Row],[Net Sales]]-financials[[#This Row],[COGS]]</f>
        <v>238.4</v>
      </c>
      <c r="L2361" s="15">
        <v>45513</v>
      </c>
      <c r="M2361" t="s">
        <v>700</v>
      </c>
    </row>
    <row r="2362" spans="1:13" x14ac:dyDescent="0.25">
      <c r="A2362" t="s">
        <v>89</v>
      </c>
      <c r="B2362" s="6" t="s">
        <v>84</v>
      </c>
      <c r="C2362" s="13">
        <v>105</v>
      </c>
      <c r="D2362" s="14" t="s">
        <v>90</v>
      </c>
      <c r="E2362">
        <v>11</v>
      </c>
      <c r="F2362" s="8">
        <f>VLOOKUP(financials[[#This Row],[productid]],Products!$B$2:$H$10,3)</f>
        <v>15</v>
      </c>
      <c r="G2362" s="8">
        <f>financials[[#This Row],[Units Sold]]*financials[[#This Row],[Sale Price]]</f>
        <v>165</v>
      </c>
      <c r="H2362" s="8">
        <f>IF(financials[[#This Row],[Discount Band]]="low",0.1,IF(financials[[#This Row],[Discount Band]]="medium",0.15,0.3))</f>
        <v>0.15</v>
      </c>
      <c r="I2362" s="8">
        <f>financials[[#This Row],[Gross Sales]]-financials[[#This Row],[Gross Sales]]*financials[[#This Row],[Discounts]]</f>
        <v>140.25</v>
      </c>
      <c r="J2362" s="8">
        <f>VLOOKUP(financials[[#This Row],[productid]],Products!$B$2:$H$10,4)</f>
        <v>10</v>
      </c>
      <c r="K2362" s="8">
        <f>financials[[#This Row],[Net Sales]]-financials[[#This Row],[COGS]]</f>
        <v>130.25</v>
      </c>
      <c r="L2362" s="15">
        <v>45573</v>
      </c>
      <c r="M2362" t="s">
        <v>697</v>
      </c>
    </row>
    <row r="2363" spans="1:13" x14ac:dyDescent="0.25">
      <c r="A2363" t="s">
        <v>87</v>
      </c>
      <c r="B2363" s="6" t="s">
        <v>287</v>
      </c>
      <c r="C2363" s="11">
        <v>102</v>
      </c>
      <c r="D2363" s="9" t="s">
        <v>91</v>
      </c>
      <c r="E2363">
        <v>5</v>
      </c>
      <c r="F2363" s="8">
        <f>VLOOKUP(financials[[#This Row],[productid]],Products!$B$2:$H$10,3)</f>
        <v>15</v>
      </c>
      <c r="G2363" s="8">
        <f>financials[[#This Row],[Units Sold]]*financials[[#This Row],[Sale Price]]</f>
        <v>75</v>
      </c>
      <c r="H2363" s="8">
        <f>IF(financials[[#This Row],[Discount Band]]="low",0.1,IF(financials[[#This Row],[Discount Band]]="medium",0.15,0.3))</f>
        <v>0.1</v>
      </c>
      <c r="I2363" s="8">
        <f>financials[[#This Row],[Gross Sales]]-financials[[#This Row],[Gross Sales]]*financials[[#This Row],[Discounts]]</f>
        <v>67.5</v>
      </c>
      <c r="J2363" s="8">
        <f>VLOOKUP(financials[[#This Row],[productid]],Products!$B$2:$H$10,4)</f>
        <v>13.95</v>
      </c>
      <c r="K2363" s="8">
        <f>financials[[#This Row],[Net Sales]]-financials[[#This Row],[COGS]]</f>
        <v>53.55</v>
      </c>
      <c r="L2363" s="15">
        <v>45192</v>
      </c>
      <c r="M2363" t="s">
        <v>697</v>
      </c>
    </row>
    <row r="2364" spans="1:13" x14ac:dyDescent="0.25">
      <c r="A2364" t="s">
        <v>87</v>
      </c>
      <c r="B2364" s="6" t="s">
        <v>645</v>
      </c>
      <c r="C2364" s="13">
        <v>101</v>
      </c>
      <c r="D2364" s="14" t="s">
        <v>90</v>
      </c>
      <c r="E2364">
        <v>16</v>
      </c>
      <c r="F2364" s="8">
        <f>VLOOKUP(financials[[#This Row],[productid]],Products!$B$2:$H$10,3)</f>
        <v>23</v>
      </c>
      <c r="G2364" s="8">
        <f>financials[[#This Row],[Units Sold]]*financials[[#This Row],[Sale Price]]</f>
        <v>368</v>
      </c>
      <c r="H2364" s="8">
        <f>IF(financials[[#This Row],[Discount Band]]="low",0.1,IF(financials[[#This Row],[Discount Band]]="medium",0.15,0.3))</f>
        <v>0.15</v>
      </c>
      <c r="I2364" s="8">
        <f>financials[[#This Row],[Gross Sales]]-financials[[#This Row],[Gross Sales]]*financials[[#This Row],[Discounts]]</f>
        <v>312.8</v>
      </c>
      <c r="J2364" s="8">
        <f>VLOOKUP(financials[[#This Row],[productid]],Products!$B$2:$H$10,4)</f>
        <v>9.9499999999999993</v>
      </c>
      <c r="K2364" s="8">
        <f>financials[[#This Row],[Net Sales]]-financials[[#This Row],[COGS]]</f>
        <v>302.85000000000002</v>
      </c>
      <c r="L2364" s="15">
        <v>45187</v>
      </c>
      <c r="M2364" t="s">
        <v>691</v>
      </c>
    </row>
    <row r="2365" spans="1:13" x14ac:dyDescent="0.25">
      <c r="A2365" t="s">
        <v>85</v>
      </c>
      <c r="B2365" s="6" t="s">
        <v>84</v>
      </c>
      <c r="C2365" s="13">
        <v>102</v>
      </c>
      <c r="D2365" s="14" t="s">
        <v>90</v>
      </c>
      <c r="E2365">
        <v>9</v>
      </c>
      <c r="F2365" s="8">
        <f>VLOOKUP(financials[[#This Row],[productid]],Products!$B$2:$H$10,3)</f>
        <v>15</v>
      </c>
      <c r="G2365" s="8">
        <f>financials[[#This Row],[Units Sold]]*financials[[#This Row],[Sale Price]]</f>
        <v>135</v>
      </c>
      <c r="H2365" s="8">
        <f>IF(financials[[#This Row],[Discount Band]]="low",0.1,IF(financials[[#This Row],[Discount Band]]="medium",0.15,0.3))</f>
        <v>0.15</v>
      </c>
      <c r="I2365" s="8">
        <f>financials[[#This Row],[Gross Sales]]-financials[[#This Row],[Gross Sales]]*financials[[#This Row],[Discounts]]</f>
        <v>114.75</v>
      </c>
      <c r="J2365" s="8">
        <f>VLOOKUP(financials[[#This Row],[productid]],Products!$B$2:$H$10,4)</f>
        <v>13.95</v>
      </c>
      <c r="K2365" s="8">
        <f>financials[[#This Row],[Net Sales]]-financials[[#This Row],[COGS]]</f>
        <v>100.8</v>
      </c>
      <c r="L2365" s="15">
        <v>44422</v>
      </c>
      <c r="M2365" t="s">
        <v>700</v>
      </c>
    </row>
    <row r="2366" spans="1:13" x14ac:dyDescent="0.25">
      <c r="A2366" t="s">
        <v>89</v>
      </c>
      <c r="B2366" s="6" t="s">
        <v>84</v>
      </c>
      <c r="C2366" s="13">
        <v>104</v>
      </c>
      <c r="D2366" s="14" t="s">
        <v>83</v>
      </c>
      <c r="E2366">
        <v>5</v>
      </c>
      <c r="F2366" s="8">
        <f>VLOOKUP(financials[[#This Row],[productid]],Products!$B$2:$H$10,3)</f>
        <v>5.9</v>
      </c>
      <c r="G2366" s="8">
        <f>financials[[#This Row],[Units Sold]]*financials[[#This Row],[Sale Price]]</f>
        <v>29.5</v>
      </c>
      <c r="H2366" s="8">
        <f>IF(financials[[#This Row],[Discount Band]]="low",0.1,IF(financials[[#This Row],[Discount Band]]="medium",0.15,0.3))</f>
        <v>0.3</v>
      </c>
      <c r="I2366" s="8">
        <f>financials[[#This Row],[Gross Sales]]-financials[[#This Row],[Gross Sales]]*financials[[#This Row],[Discounts]]</f>
        <v>20.65</v>
      </c>
      <c r="J2366" s="8">
        <f>VLOOKUP(financials[[#This Row],[productid]],Products!$B$2:$H$10,4)</f>
        <v>2.9</v>
      </c>
      <c r="K2366" s="8">
        <f>financials[[#This Row],[Net Sales]]-financials[[#This Row],[COGS]]</f>
        <v>17.75</v>
      </c>
      <c r="L2366" s="15">
        <v>45306</v>
      </c>
      <c r="M2366" t="s">
        <v>700</v>
      </c>
    </row>
    <row r="2367" spans="1:13" x14ac:dyDescent="0.25">
      <c r="A2367" t="s">
        <v>85</v>
      </c>
      <c r="B2367" s="6" t="s">
        <v>159</v>
      </c>
      <c r="C2367" s="13">
        <v>104</v>
      </c>
      <c r="D2367" s="14" t="s">
        <v>92</v>
      </c>
      <c r="E2367">
        <v>18</v>
      </c>
      <c r="F2367" s="8">
        <f>VLOOKUP(financials[[#This Row],[productid]],Products!$B$2:$H$10,3)</f>
        <v>5.9</v>
      </c>
      <c r="G2367" s="8">
        <f>financials[[#This Row],[Units Sold]]*financials[[#This Row],[Sale Price]]</f>
        <v>106.2</v>
      </c>
      <c r="H2367" s="8">
        <f>IF(financials[[#This Row],[Discount Band]]="low",0.1,IF(financials[[#This Row],[Discount Band]]="medium",0.15,0.3))</f>
        <v>0.3</v>
      </c>
      <c r="I2367" s="8">
        <f>financials[[#This Row],[Gross Sales]]-financials[[#This Row],[Gross Sales]]*financials[[#This Row],[Discounts]]</f>
        <v>74.34</v>
      </c>
      <c r="J2367" s="8">
        <f>VLOOKUP(financials[[#This Row],[productid]],Products!$B$2:$H$10,4)</f>
        <v>2.9</v>
      </c>
      <c r="K2367" s="8">
        <f>financials[[#This Row],[Net Sales]]-financials[[#This Row],[COGS]]</f>
        <v>71.44</v>
      </c>
      <c r="L2367" s="15">
        <v>45298</v>
      </c>
      <c r="M2367" t="s">
        <v>696</v>
      </c>
    </row>
    <row r="2368" spans="1:13" x14ac:dyDescent="0.25">
      <c r="A2368" t="s">
        <v>87</v>
      </c>
      <c r="B2368" s="6" t="s">
        <v>125</v>
      </c>
      <c r="C2368" s="11">
        <v>102</v>
      </c>
      <c r="D2368" s="9" t="s">
        <v>83</v>
      </c>
      <c r="E2368">
        <v>16</v>
      </c>
      <c r="F2368" s="8">
        <f>VLOOKUP(financials[[#This Row],[productid]],Products!$B$2:$H$10,3)</f>
        <v>15</v>
      </c>
      <c r="G2368" s="8">
        <f>financials[[#This Row],[Units Sold]]*financials[[#This Row],[Sale Price]]</f>
        <v>240</v>
      </c>
      <c r="H2368" s="8">
        <f>IF(financials[[#This Row],[Discount Band]]="low",0.1,IF(financials[[#This Row],[Discount Band]]="medium",0.15,0.3))</f>
        <v>0.3</v>
      </c>
      <c r="I2368" s="8">
        <f>financials[[#This Row],[Gross Sales]]-financials[[#This Row],[Gross Sales]]*financials[[#This Row],[Discounts]]</f>
        <v>168</v>
      </c>
      <c r="J2368" s="8">
        <f>VLOOKUP(financials[[#This Row],[productid]],Products!$B$2:$H$10,4)</f>
        <v>13.95</v>
      </c>
      <c r="K2368" s="8">
        <f>financials[[#This Row],[Net Sales]]-financials[[#This Row],[COGS]]</f>
        <v>154.05000000000001</v>
      </c>
      <c r="L2368" s="15">
        <v>44669</v>
      </c>
      <c r="M2368" t="s">
        <v>690</v>
      </c>
    </row>
    <row r="2369" spans="1:13" x14ac:dyDescent="0.25">
      <c r="A2369" t="s">
        <v>87</v>
      </c>
      <c r="B2369" s="6" t="s">
        <v>617</v>
      </c>
      <c r="C2369" s="13">
        <v>102</v>
      </c>
      <c r="D2369" s="14" t="s">
        <v>83</v>
      </c>
      <c r="E2369">
        <v>15</v>
      </c>
      <c r="F2369" s="8">
        <f>VLOOKUP(financials[[#This Row],[productid]],Products!$B$2:$H$10,3)</f>
        <v>15</v>
      </c>
      <c r="G2369" s="8">
        <f>financials[[#This Row],[Units Sold]]*financials[[#This Row],[Sale Price]]</f>
        <v>225</v>
      </c>
      <c r="H2369" s="8">
        <f>IF(financials[[#This Row],[Discount Band]]="low",0.1,IF(financials[[#This Row],[Discount Band]]="medium",0.15,0.3))</f>
        <v>0.3</v>
      </c>
      <c r="I2369" s="8">
        <f>financials[[#This Row],[Gross Sales]]-financials[[#This Row],[Gross Sales]]*financials[[#This Row],[Discounts]]</f>
        <v>157.5</v>
      </c>
      <c r="J2369" s="8">
        <f>VLOOKUP(financials[[#This Row],[productid]],Products!$B$2:$H$10,4)</f>
        <v>13.95</v>
      </c>
      <c r="K2369" s="8">
        <f>financials[[#This Row],[Net Sales]]-financials[[#This Row],[COGS]]</f>
        <v>143.55000000000001</v>
      </c>
      <c r="L2369" s="15">
        <v>44683</v>
      </c>
      <c r="M2369" t="s">
        <v>700</v>
      </c>
    </row>
    <row r="2370" spans="1:13" x14ac:dyDescent="0.25">
      <c r="A2370" t="s">
        <v>87</v>
      </c>
      <c r="B2370" s="6" t="s">
        <v>287</v>
      </c>
      <c r="C2370" s="13">
        <v>103</v>
      </c>
      <c r="D2370" s="14" t="s">
        <v>90</v>
      </c>
      <c r="E2370">
        <v>18</v>
      </c>
      <c r="F2370" s="8">
        <f>VLOOKUP(financials[[#This Row],[productid]],Products!$B$2:$H$10,3)</f>
        <v>28</v>
      </c>
      <c r="G2370" s="8">
        <f>financials[[#This Row],[Units Sold]]*financials[[#This Row],[Sale Price]]</f>
        <v>504</v>
      </c>
      <c r="H2370" s="8">
        <f>IF(financials[[#This Row],[Discount Band]]="low",0.1,IF(financials[[#This Row],[Discount Band]]="medium",0.15,0.3))</f>
        <v>0.15</v>
      </c>
      <c r="I2370" s="8">
        <f>financials[[#This Row],[Gross Sales]]-financials[[#This Row],[Gross Sales]]*financials[[#This Row],[Discounts]]</f>
        <v>428.4</v>
      </c>
      <c r="J2370" s="8">
        <f>VLOOKUP(financials[[#This Row],[productid]],Products!$B$2:$H$10,4)</f>
        <v>15</v>
      </c>
      <c r="K2370" s="8">
        <f>financials[[#This Row],[Net Sales]]-financials[[#This Row],[COGS]]</f>
        <v>413.4</v>
      </c>
      <c r="L2370" s="15">
        <v>44527</v>
      </c>
      <c r="M2370" t="s">
        <v>691</v>
      </c>
    </row>
    <row r="2371" spans="1:13" x14ac:dyDescent="0.25">
      <c r="A2371" t="s">
        <v>86</v>
      </c>
      <c r="B2371" s="6" t="s">
        <v>124</v>
      </c>
      <c r="C2371" s="13">
        <v>104</v>
      </c>
      <c r="D2371" s="14" t="s">
        <v>90</v>
      </c>
      <c r="E2371">
        <v>11</v>
      </c>
      <c r="F2371" s="8">
        <f>VLOOKUP(financials[[#This Row],[productid]],Products!$B$2:$H$10,3)</f>
        <v>5.9</v>
      </c>
      <c r="G2371" s="8">
        <f>financials[[#This Row],[Units Sold]]*financials[[#This Row],[Sale Price]]</f>
        <v>64.900000000000006</v>
      </c>
      <c r="H2371" s="8">
        <f>IF(financials[[#This Row],[Discount Band]]="low",0.1,IF(financials[[#This Row],[Discount Band]]="medium",0.15,0.3))</f>
        <v>0.15</v>
      </c>
      <c r="I2371" s="8">
        <f>financials[[#This Row],[Gross Sales]]-financials[[#This Row],[Gross Sales]]*financials[[#This Row],[Discounts]]</f>
        <v>55.165000000000006</v>
      </c>
      <c r="J2371" s="8">
        <f>VLOOKUP(financials[[#This Row],[productid]],Products!$B$2:$H$10,4)</f>
        <v>2.9</v>
      </c>
      <c r="K2371" s="8">
        <f>financials[[#This Row],[Net Sales]]-financials[[#This Row],[COGS]]</f>
        <v>52.265000000000008</v>
      </c>
      <c r="L2371" s="15">
        <v>45411</v>
      </c>
      <c r="M2371" t="s">
        <v>690</v>
      </c>
    </row>
    <row r="2372" spans="1:13" x14ac:dyDescent="0.25">
      <c r="A2372" t="s">
        <v>86</v>
      </c>
      <c r="B2372" s="6" t="s">
        <v>159</v>
      </c>
      <c r="C2372" s="13">
        <v>101</v>
      </c>
      <c r="D2372" s="14" t="s">
        <v>90</v>
      </c>
      <c r="E2372">
        <v>6</v>
      </c>
      <c r="F2372" s="8">
        <f>VLOOKUP(financials[[#This Row],[productid]],Products!$B$2:$H$10,3)</f>
        <v>23</v>
      </c>
      <c r="G2372" s="8">
        <f>financials[[#This Row],[Units Sold]]*financials[[#This Row],[Sale Price]]</f>
        <v>138</v>
      </c>
      <c r="H2372" s="8">
        <f>IF(financials[[#This Row],[Discount Band]]="low",0.1,IF(financials[[#This Row],[Discount Band]]="medium",0.15,0.3))</f>
        <v>0.15</v>
      </c>
      <c r="I2372" s="8">
        <f>financials[[#This Row],[Gross Sales]]-financials[[#This Row],[Gross Sales]]*financials[[#This Row],[Discounts]]</f>
        <v>117.3</v>
      </c>
      <c r="J2372" s="8">
        <f>VLOOKUP(financials[[#This Row],[productid]],Products!$B$2:$H$10,4)</f>
        <v>9.9499999999999993</v>
      </c>
      <c r="K2372" s="8">
        <f>financials[[#This Row],[Net Sales]]-financials[[#This Row],[COGS]]</f>
        <v>107.35</v>
      </c>
      <c r="L2372" s="15">
        <v>45641</v>
      </c>
      <c r="M2372" t="s">
        <v>696</v>
      </c>
    </row>
    <row r="2373" spans="1:13" x14ac:dyDescent="0.25">
      <c r="A2373" t="s">
        <v>86</v>
      </c>
      <c r="B2373" s="6" t="s">
        <v>124</v>
      </c>
      <c r="C2373" s="13">
        <v>109</v>
      </c>
      <c r="D2373" s="14" t="s">
        <v>90</v>
      </c>
      <c r="E2373">
        <v>10</v>
      </c>
      <c r="F2373" s="8">
        <f>VLOOKUP(financials[[#This Row],[productid]],Products!$B$2:$H$10,3)</f>
        <v>36</v>
      </c>
      <c r="G2373" s="8">
        <f>financials[[#This Row],[Units Sold]]*financials[[#This Row],[Sale Price]]</f>
        <v>360</v>
      </c>
      <c r="H2373" s="8">
        <f>IF(financials[[#This Row],[Discount Band]]="low",0.1,IF(financials[[#This Row],[Discount Band]]="medium",0.15,0.3))</f>
        <v>0.15</v>
      </c>
      <c r="I2373" s="8">
        <f>financials[[#This Row],[Gross Sales]]-financials[[#This Row],[Gross Sales]]*financials[[#This Row],[Discounts]]</f>
        <v>306</v>
      </c>
      <c r="J2373" s="8">
        <f>VLOOKUP(financials[[#This Row],[productid]],Products!$B$2:$H$10,4)</f>
        <v>16.8</v>
      </c>
      <c r="K2373" s="8">
        <f>financials[[#This Row],[Net Sales]]-financials[[#This Row],[COGS]]</f>
        <v>289.2</v>
      </c>
      <c r="L2373" s="15">
        <v>44184</v>
      </c>
      <c r="M2373" t="s">
        <v>691</v>
      </c>
    </row>
    <row r="2374" spans="1:13" x14ac:dyDescent="0.25">
      <c r="A2374" t="s">
        <v>87</v>
      </c>
      <c r="B2374" s="6" t="s">
        <v>645</v>
      </c>
      <c r="C2374" s="13">
        <v>103</v>
      </c>
      <c r="D2374" s="14" t="s">
        <v>91</v>
      </c>
      <c r="E2374">
        <v>6</v>
      </c>
      <c r="F2374" s="8">
        <f>VLOOKUP(financials[[#This Row],[productid]],Products!$B$2:$H$10,3)</f>
        <v>28</v>
      </c>
      <c r="G2374" s="8">
        <f>financials[[#This Row],[Units Sold]]*financials[[#This Row],[Sale Price]]</f>
        <v>168</v>
      </c>
      <c r="H2374" s="8">
        <f>IF(financials[[#This Row],[Discount Band]]="low",0.1,IF(financials[[#This Row],[Discount Band]]="medium",0.15,0.3))</f>
        <v>0.1</v>
      </c>
      <c r="I2374" s="8">
        <f>financials[[#This Row],[Gross Sales]]-financials[[#This Row],[Gross Sales]]*financials[[#This Row],[Discounts]]</f>
        <v>151.19999999999999</v>
      </c>
      <c r="J2374" s="8">
        <f>VLOOKUP(financials[[#This Row],[productid]],Products!$B$2:$H$10,4)</f>
        <v>15</v>
      </c>
      <c r="K2374" s="8">
        <f>financials[[#This Row],[Net Sales]]-financials[[#This Row],[COGS]]</f>
        <v>136.19999999999999</v>
      </c>
      <c r="L2374" s="15">
        <v>44415</v>
      </c>
      <c r="M2374" t="s">
        <v>696</v>
      </c>
    </row>
    <row r="2375" spans="1:13" x14ac:dyDescent="0.25">
      <c r="A2375" t="s">
        <v>87</v>
      </c>
      <c r="B2375" s="6" t="s">
        <v>158</v>
      </c>
      <c r="C2375" s="13">
        <v>105</v>
      </c>
      <c r="D2375" s="14" t="s">
        <v>91</v>
      </c>
      <c r="E2375">
        <v>18</v>
      </c>
      <c r="F2375" s="8">
        <f>VLOOKUP(financials[[#This Row],[productid]],Products!$B$2:$H$10,3)</f>
        <v>15</v>
      </c>
      <c r="G2375" s="8">
        <f>financials[[#This Row],[Units Sold]]*financials[[#This Row],[Sale Price]]</f>
        <v>270</v>
      </c>
      <c r="H2375" s="8">
        <f>IF(financials[[#This Row],[Discount Band]]="low",0.1,IF(financials[[#This Row],[Discount Band]]="medium",0.15,0.3))</f>
        <v>0.1</v>
      </c>
      <c r="I2375" s="8">
        <f>financials[[#This Row],[Gross Sales]]-financials[[#This Row],[Gross Sales]]*financials[[#This Row],[Discounts]]</f>
        <v>243</v>
      </c>
      <c r="J2375" s="8">
        <f>VLOOKUP(financials[[#This Row],[productid]],Products!$B$2:$H$10,4)</f>
        <v>10</v>
      </c>
      <c r="K2375" s="8">
        <f>financials[[#This Row],[Net Sales]]-financials[[#This Row],[COGS]]</f>
        <v>233</v>
      </c>
      <c r="L2375" s="15">
        <v>44062</v>
      </c>
      <c r="M2375" t="s">
        <v>696</v>
      </c>
    </row>
    <row r="2376" spans="1:13" x14ac:dyDescent="0.25">
      <c r="A2376" t="s">
        <v>86</v>
      </c>
      <c r="B2376" s="6" t="s">
        <v>266</v>
      </c>
      <c r="C2376" s="13">
        <v>107</v>
      </c>
      <c r="D2376" s="14" t="s">
        <v>83</v>
      </c>
      <c r="E2376">
        <v>14</v>
      </c>
      <c r="F2376" s="8">
        <f>VLOOKUP(financials[[#This Row],[productid]],Products!$B$2:$H$10,3)</f>
        <v>15</v>
      </c>
      <c r="G2376" s="8">
        <f>financials[[#This Row],[Units Sold]]*financials[[#This Row],[Sale Price]]</f>
        <v>210</v>
      </c>
      <c r="H2376" s="8">
        <f>IF(financials[[#This Row],[Discount Band]]="low",0.1,IF(financials[[#This Row],[Discount Band]]="medium",0.15,0.3))</f>
        <v>0.3</v>
      </c>
      <c r="I2376" s="8">
        <f>financials[[#This Row],[Gross Sales]]-financials[[#This Row],[Gross Sales]]*financials[[#This Row],[Discounts]]</f>
        <v>147</v>
      </c>
      <c r="J2376" s="8">
        <f>VLOOKUP(financials[[#This Row],[productid]],Products!$B$2:$H$10,4)</f>
        <v>5.5</v>
      </c>
      <c r="K2376" s="8">
        <f>financials[[#This Row],[Net Sales]]-financials[[#This Row],[COGS]]</f>
        <v>141.5</v>
      </c>
      <c r="L2376" s="15">
        <v>44346</v>
      </c>
      <c r="M2376" t="s">
        <v>697</v>
      </c>
    </row>
    <row r="2377" spans="1:13" x14ac:dyDescent="0.25">
      <c r="A2377" t="s">
        <v>87</v>
      </c>
      <c r="B2377" s="6" t="s">
        <v>125</v>
      </c>
      <c r="C2377" s="11">
        <v>108</v>
      </c>
      <c r="D2377" s="9" t="s">
        <v>91</v>
      </c>
      <c r="E2377">
        <v>5</v>
      </c>
      <c r="F2377" s="8">
        <f>VLOOKUP(financials[[#This Row],[productid]],Products!$B$2:$H$10,3)</f>
        <v>5.5</v>
      </c>
      <c r="G2377" s="8">
        <f>financials[[#This Row],[Units Sold]]*financials[[#This Row],[Sale Price]]</f>
        <v>27.5</v>
      </c>
      <c r="H2377" s="8">
        <f>IF(financials[[#This Row],[Discount Band]]="low",0.1,IF(financials[[#This Row],[Discount Band]]="medium",0.15,0.3))</f>
        <v>0.1</v>
      </c>
      <c r="I2377" s="8">
        <f>financials[[#This Row],[Gross Sales]]-financials[[#This Row],[Gross Sales]]*financials[[#This Row],[Discounts]]</f>
        <v>24.75</v>
      </c>
      <c r="J2377" s="8">
        <f>VLOOKUP(financials[[#This Row],[productid]],Products!$B$2:$H$10,4)</f>
        <v>3.99</v>
      </c>
      <c r="K2377" s="8">
        <f>financials[[#This Row],[Net Sales]]-financials[[#This Row],[COGS]]</f>
        <v>20.759999999999998</v>
      </c>
      <c r="L2377" s="15">
        <v>43957</v>
      </c>
      <c r="M2377" t="s">
        <v>690</v>
      </c>
    </row>
    <row r="2378" spans="1:13" x14ac:dyDescent="0.25">
      <c r="A2378" t="s">
        <v>87</v>
      </c>
      <c r="B2378" s="6" t="s">
        <v>266</v>
      </c>
      <c r="C2378" s="13">
        <v>104</v>
      </c>
      <c r="D2378" s="14" t="s">
        <v>91</v>
      </c>
      <c r="E2378">
        <v>11</v>
      </c>
      <c r="F2378" s="8">
        <f>VLOOKUP(financials[[#This Row],[productid]],Products!$B$2:$H$10,3)</f>
        <v>5.9</v>
      </c>
      <c r="G2378" s="8">
        <f>financials[[#This Row],[Units Sold]]*financials[[#This Row],[Sale Price]]</f>
        <v>64.900000000000006</v>
      </c>
      <c r="H2378" s="8">
        <f>IF(financials[[#This Row],[Discount Band]]="low",0.1,IF(financials[[#This Row],[Discount Band]]="medium",0.15,0.3))</f>
        <v>0.1</v>
      </c>
      <c r="I2378" s="8">
        <f>financials[[#This Row],[Gross Sales]]-financials[[#This Row],[Gross Sales]]*financials[[#This Row],[Discounts]]</f>
        <v>58.410000000000004</v>
      </c>
      <c r="J2378" s="8">
        <f>VLOOKUP(financials[[#This Row],[productid]],Products!$B$2:$H$10,4)</f>
        <v>2.9</v>
      </c>
      <c r="K2378" s="8">
        <f>financials[[#This Row],[Net Sales]]-financials[[#This Row],[COGS]]</f>
        <v>55.510000000000005</v>
      </c>
      <c r="L2378" s="15">
        <v>45086</v>
      </c>
      <c r="M2378" t="s">
        <v>691</v>
      </c>
    </row>
    <row r="2379" spans="1:13" x14ac:dyDescent="0.25">
      <c r="A2379" t="s">
        <v>86</v>
      </c>
      <c r="B2379" s="6" t="s">
        <v>124</v>
      </c>
      <c r="C2379" s="11">
        <v>108</v>
      </c>
      <c r="D2379" s="9" t="s">
        <v>91</v>
      </c>
      <c r="E2379">
        <v>19</v>
      </c>
      <c r="F2379" s="8">
        <f>VLOOKUP(financials[[#This Row],[productid]],Products!$B$2:$H$10,3)</f>
        <v>5.5</v>
      </c>
      <c r="G2379" s="8">
        <f>financials[[#This Row],[Units Sold]]*financials[[#This Row],[Sale Price]]</f>
        <v>104.5</v>
      </c>
      <c r="H2379" s="8">
        <f>IF(financials[[#This Row],[Discount Band]]="low",0.1,IF(financials[[#This Row],[Discount Band]]="medium",0.15,0.3))</f>
        <v>0.1</v>
      </c>
      <c r="I2379" s="8">
        <f>financials[[#This Row],[Gross Sales]]-financials[[#This Row],[Gross Sales]]*financials[[#This Row],[Discounts]]</f>
        <v>94.05</v>
      </c>
      <c r="J2379" s="8">
        <f>VLOOKUP(financials[[#This Row],[productid]],Products!$B$2:$H$10,4)</f>
        <v>3.99</v>
      </c>
      <c r="K2379" s="8">
        <f>financials[[#This Row],[Net Sales]]-financials[[#This Row],[COGS]]</f>
        <v>90.06</v>
      </c>
      <c r="L2379" s="15">
        <v>44991</v>
      </c>
      <c r="M2379" t="s">
        <v>690</v>
      </c>
    </row>
    <row r="2380" spans="1:13" x14ac:dyDescent="0.25">
      <c r="A2380" t="s">
        <v>86</v>
      </c>
      <c r="B2380" s="6" t="s">
        <v>124</v>
      </c>
      <c r="C2380" s="11">
        <v>103</v>
      </c>
      <c r="D2380" s="9" t="s">
        <v>90</v>
      </c>
      <c r="E2380">
        <v>7</v>
      </c>
      <c r="F2380" s="8">
        <f>VLOOKUP(financials[[#This Row],[productid]],Products!$B$2:$H$10,3)</f>
        <v>28</v>
      </c>
      <c r="G2380" s="8">
        <f>financials[[#This Row],[Units Sold]]*financials[[#This Row],[Sale Price]]</f>
        <v>196</v>
      </c>
      <c r="H2380" s="8">
        <f>IF(financials[[#This Row],[Discount Band]]="low",0.1,IF(financials[[#This Row],[Discount Band]]="medium",0.15,0.3))</f>
        <v>0.15</v>
      </c>
      <c r="I2380" s="8">
        <f>financials[[#This Row],[Gross Sales]]-financials[[#This Row],[Gross Sales]]*financials[[#This Row],[Discounts]]</f>
        <v>166.6</v>
      </c>
      <c r="J2380" s="8">
        <f>VLOOKUP(financials[[#This Row],[productid]],Products!$B$2:$H$10,4)</f>
        <v>15</v>
      </c>
      <c r="K2380" s="8">
        <f>financials[[#This Row],[Net Sales]]-financials[[#This Row],[COGS]]</f>
        <v>151.6</v>
      </c>
      <c r="L2380" s="15">
        <v>44897</v>
      </c>
      <c r="M2380" t="s">
        <v>697</v>
      </c>
    </row>
    <row r="2381" spans="1:13" x14ac:dyDescent="0.25">
      <c r="A2381" t="s">
        <v>86</v>
      </c>
      <c r="B2381" s="6" t="s">
        <v>159</v>
      </c>
      <c r="C2381" s="13">
        <v>108</v>
      </c>
      <c r="D2381" s="14" t="s">
        <v>83</v>
      </c>
      <c r="E2381">
        <v>7</v>
      </c>
      <c r="F2381" s="8">
        <f>VLOOKUP(financials[[#This Row],[productid]],Products!$B$2:$H$10,3)</f>
        <v>5.5</v>
      </c>
      <c r="G2381" s="8">
        <f>financials[[#This Row],[Units Sold]]*financials[[#This Row],[Sale Price]]</f>
        <v>38.5</v>
      </c>
      <c r="H2381" s="8">
        <f>IF(financials[[#This Row],[Discount Band]]="low",0.1,IF(financials[[#This Row],[Discount Band]]="medium",0.15,0.3))</f>
        <v>0.3</v>
      </c>
      <c r="I2381" s="8">
        <f>financials[[#This Row],[Gross Sales]]-financials[[#This Row],[Gross Sales]]*financials[[#This Row],[Discounts]]</f>
        <v>26.950000000000003</v>
      </c>
      <c r="J2381" s="8">
        <f>VLOOKUP(financials[[#This Row],[productid]],Products!$B$2:$H$10,4)</f>
        <v>3.99</v>
      </c>
      <c r="K2381" s="8">
        <f>financials[[#This Row],[Net Sales]]-financials[[#This Row],[COGS]]</f>
        <v>22.96</v>
      </c>
      <c r="L2381" s="15">
        <v>44804</v>
      </c>
      <c r="M2381" t="s">
        <v>697</v>
      </c>
    </row>
    <row r="2382" spans="1:13" x14ac:dyDescent="0.25">
      <c r="A2382" t="s">
        <v>86</v>
      </c>
      <c r="B2382" s="6" t="s">
        <v>159</v>
      </c>
      <c r="C2382" s="13">
        <v>104</v>
      </c>
      <c r="D2382" s="14" t="s">
        <v>90</v>
      </c>
      <c r="E2382">
        <v>11</v>
      </c>
      <c r="F2382" s="8">
        <f>VLOOKUP(financials[[#This Row],[productid]],Products!$B$2:$H$10,3)</f>
        <v>5.9</v>
      </c>
      <c r="G2382" s="8">
        <f>financials[[#This Row],[Units Sold]]*financials[[#This Row],[Sale Price]]</f>
        <v>64.900000000000006</v>
      </c>
      <c r="H2382" s="8">
        <f>IF(financials[[#This Row],[Discount Band]]="low",0.1,IF(financials[[#This Row],[Discount Band]]="medium",0.15,0.3))</f>
        <v>0.15</v>
      </c>
      <c r="I2382" s="8">
        <f>financials[[#This Row],[Gross Sales]]-financials[[#This Row],[Gross Sales]]*financials[[#This Row],[Discounts]]</f>
        <v>55.165000000000006</v>
      </c>
      <c r="J2382" s="8">
        <f>VLOOKUP(financials[[#This Row],[productid]],Products!$B$2:$H$10,4)</f>
        <v>2.9</v>
      </c>
      <c r="K2382" s="8">
        <f>financials[[#This Row],[Net Sales]]-financials[[#This Row],[COGS]]</f>
        <v>52.265000000000008</v>
      </c>
      <c r="L2382" s="15">
        <v>44966</v>
      </c>
      <c r="M2382" t="s">
        <v>697</v>
      </c>
    </row>
    <row r="2383" spans="1:13" x14ac:dyDescent="0.25">
      <c r="A2383" t="s">
        <v>87</v>
      </c>
      <c r="B2383" s="6" t="s">
        <v>197</v>
      </c>
      <c r="C2383" s="13">
        <v>101</v>
      </c>
      <c r="D2383" s="14" t="s">
        <v>83</v>
      </c>
      <c r="E2383">
        <v>11</v>
      </c>
      <c r="F2383" s="8">
        <f>VLOOKUP(financials[[#This Row],[productid]],Products!$B$2:$H$10,3)</f>
        <v>23</v>
      </c>
      <c r="G2383" s="8">
        <f>financials[[#This Row],[Units Sold]]*financials[[#This Row],[Sale Price]]</f>
        <v>253</v>
      </c>
      <c r="H2383" s="8">
        <f>IF(financials[[#This Row],[Discount Band]]="low",0.1,IF(financials[[#This Row],[Discount Band]]="medium",0.15,0.3))</f>
        <v>0.3</v>
      </c>
      <c r="I2383" s="8">
        <f>financials[[#This Row],[Gross Sales]]-financials[[#This Row],[Gross Sales]]*financials[[#This Row],[Discounts]]</f>
        <v>177.10000000000002</v>
      </c>
      <c r="J2383" s="8">
        <f>VLOOKUP(financials[[#This Row],[productid]],Products!$B$2:$H$10,4)</f>
        <v>9.9499999999999993</v>
      </c>
      <c r="K2383" s="8">
        <f>financials[[#This Row],[Net Sales]]-financials[[#This Row],[COGS]]</f>
        <v>167.15000000000003</v>
      </c>
      <c r="L2383" s="15">
        <v>44341</v>
      </c>
      <c r="M2383" t="s">
        <v>690</v>
      </c>
    </row>
    <row r="2384" spans="1:13" x14ac:dyDescent="0.25">
      <c r="A2384" t="s">
        <v>87</v>
      </c>
      <c r="B2384" s="6" t="s">
        <v>96</v>
      </c>
      <c r="C2384" s="13">
        <v>101</v>
      </c>
      <c r="D2384" s="14" t="s">
        <v>83</v>
      </c>
      <c r="E2384">
        <v>5</v>
      </c>
      <c r="F2384" s="8">
        <f>VLOOKUP(financials[[#This Row],[productid]],Products!$B$2:$H$10,3)</f>
        <v>23</v>
      </c>
      <c r="G2384" s="8">
        <f>financials[[#This Row],[Units Sold]]*financials[[#This Row],[Sale Price]]</f>
        <v>115</v>
      </c>
      <c r="H2384" s="8">
        <f>IF(financials[[#This Row],[Discount Band]]="low",0.1,IF(financials[[#This Row],[Discount Band]]="medium",0.15,0.3))</f>
        <v>0.3</v>
      </c>
      <c r="I2384" s="8">
        <f>financials[[#This Row],[Gross Sales]]-financials[[#This Row],[Gross Sales]]*financials[[#This Row],[Discounts]]</f>
        <v>80.5</v>
      </c>
      <c r="J2384" s="8">
        <f>VLOOKUP(financials[[#This Row],[productid]],Products!$B$2:$H$10,4)</f>
        <v>9.9499999999999993</v>
      </c>
      <c r="K2384" s="8">
        <f>financials[[#This Row],[Net Sales]]-financials[[#This Row],[COGS]]</f>
        <v>70.55</v>
      </c>
      <c r="L2384" s="15">
        <v>45418</v>
      </c>
      <c r="M2384" t="s">
        <v>700</v>
      </c>
    </row>
    <row r="2385" spans="1:13" x14ac:dyDescent="0.25">
      <c r="A2385" t="s">
        <v>87</v>
      </c>
      <c r="B2385" s="6" t="s">
        <v>266</v>
      </c>
      <c r="C2385" s="13">
        <v>109</v>
      </c>
      <c r="D2385" s="14" t="s">
        <v>91</v>
      </c>
      <c r="E2385">
        <v>11</v>
      </c>
      <c r="F2385" s="8">
        <f>VLOOKUP(financials[[#This Row],[productid]],Products!$B$2:$H$10,3)</f>
        <v>36</v>
      </c>
      <c r="G2385" s="8">
        <f>financials[[#This Row],[Units Sold]]*financials[[#This Row],[Sale Price]]</f>
        <v>396</v>
      </c>
      <c r="H2385" s="8">
        <f>IF(financials[[#This Row],[Discount Band]]="low",0.1,IF(financials[[#This Row],[Discount Band]]="medium",0.15,0.3))</f>
        <v>0.1</v>
      </c>
      <c r="I2385" s="8">
        <f>financials[[#This Row],[Gross Sales]]-financials[[#This Row],[Gross Sales]]*financials[[#This Row],[Discounts]]</f>
        <v>356.4</v>
      </c>
      <c r="J2385" s="8">
        <f>VLOOKUP(financials[[#This Row],[productid]],Products!$B$2:$H$10,4)</f>
        <v>16.8</v>
      </c>
      <c r="K2385" s="8">
        <f>financials[[#This Row],[Net Sales]]-financials[[#This Row],[COGS]]</f>
        <v>339.59999999999997</v>
      </c>
      <c r="L2385" s="15">
        <v>44531</v>
      </c>
      <c r="M2385" t="s">
        <v>691</v>
      </c>
    </row>
    <row r="2386" spans="1:13" x14ac:dyDescent="0.25">
      <c r="A2386" t="s">
        <v>86</v>
      </c>
      <c r="B2386" s="6" t="s">
        <v>159</v>
      </c>
      <c r="C2386" s="13">
        <v>102</v>
      </c>
      <c r="D2386" s="14" t="s">
        <v>90</v>
      </c>
      <c r="E2386">
        <v>18</v>
      </c>
      <c r="F2386" s="8">
        <f>VLOOKUP(financials[[#This Row],[productid]],Products!$B$2:$H$10,3)</f>
        <v>15</v>
      </c>
      <c r="G2386" s="8">
        <f>financials[[#This Row],[Units Sold]]*financials[[#This Row],[Sale Price]]</f>
        <v>270</v>
      </c>
      <c r="H2386" s="8">
        <f>IF(financials[[#This Row],[Discount Band]]="low",0.1,IF(financials[[#This Row],[Discount Band]]="medium",0.15,0.3))</f>
        <v>0.15</v>
      </c>
      <c r="I2386" s="8">
        <f>financials[[#This Row],[Gross Sales]]-financials[[#This Row],[Gross Sales]]*financials[[#This Row],[Discounts]]</f>
        <v>229.5</v>
      </c>
      <c r="J2386" s="8">
        <f>VLOOKUP(financials[[#This Row],[productid]],Products!$B$2:$H$10,4)</f>
        <v>13.95</v>
      </c>
      <c r="K2386" s="8">
        <f>financials[[#This Row],[Net Sales]]-financials[[#This Row],[COGS]]</f>
        <v>215.55</v>
      </c>
      <c r="L2386" s="15">
        <v>45570</v>
      </c>
      <c r="M2386" t="s">
        <v>691</v>
      </c>
    </row>
    <row r="2387" spans="1:13" x14ac:dyDescent="0.25">
      <c r="A2387" t="s">
        <v>86</v>
      </c>
      <c r="B2387" s="6" t="s">
        <v>124</v>
      </c>
      <c r="C2387" s="13">
        <v>107</v>
      </c>
      <c r="D2387" s="14" t="s">
        <v>83</v>
      </c>
      <c r="E2387">
        <v>9</v>
      </c>
      <c r="F2387" s="8">
        <f>VLOOKUP(financials[[#This Row],[productid]],Products!$B$2:$H$10,3)</f>
        <v>15</v>
      </c>
      <c r="G2387" s="8">
        <f>financials[[#This Row],[Units Sold]]*financials[[#This Row],[Sale Price]]</f>
        <v>135</v>
      </c>
      <c r="H2387" s="8">
        <f>IF(financials[[#This Row],[Discount Band]]="low",0.1,IF(financials[[#This Row],[Discount Band]]="medium",0.15,0.3))</f>
        <v>0.3</v>
      </c>
      <c r="I2387" s="8">
        <f>financials[[#This Row],[Gross Sales]]-financials[[#This Row],[Gross Sales]]*financials[[#This Row],[Discounts]]</f>
        <v>94.5</v>
      </c>
      <c r="J2387" s="8">
        <f>VLOOKUP(financials[[#This Row],[productid]],Products!$B$2:$H$10,4)</f>
        <v>5.5</v>
      </c>
      <c r="K2387" s="8">
        <f>financials[[#This Row],[Net Sales]]-financials[[#This Row],[COGS]]</f>
        <v>89</v>
      </c>
      <c r="L2387" s="15">
        <v>44702</v>
      </c>
      <c r="M2387" t="s">
        <v>691</v>
      </c>
    </row>
    <row r="2388" spans="1:13" x14ac:dyDescent="0.25">
      <c r="A2388" t="s">
        <v>86</v>
      </c>
      <c r="B2388" s="6" t="s">
        <v>266</v>
      </c>
      <c r="C2388" s="13">
        <v>107</v>
      </c>
      <c r="D2388" s="14" t="s">
        <v>90</v>
      </c>
      <c r="E2388">
        <v>19</v>
      </c>
      <c r="F2388" s="8">
        <f>VLOOKUP(financials[[#This Row],[productid]],Products!$B$2:$H$10,3)</f>
        <v>15</v>
      </c>
      <c r="G2388" s="8">
        <f>financials[[#This Row],[Units Sold]]*financials[[#This Row],[Sale Price]]</f>
        <v>285</v>
      </c>
      <c r="H2388" s="8">
        <f>IF(financials[[#This Row],[Discount Band]]="low",0.1,IF(financials[[#This Row],[Discount Band]]="medium",0.15,0.3))</f>
        <v>0.15</v>
      </c>
      <c r="I2388" s="8">
        <f>financials[[#This Row],[Gross Sales]]-financials[[#This Row],[Gross Sales]]*financials[[#This Row],[Discounts]]</f>
        <v>242.25</v>
      </c>
      <c r="J2388" s="8">
        <f>VLOOKUP(financials[[#This Row],[productid]],Products!$B$2:$H$10,4)</f>
        <v>5.5</v>
      </c>
      <c r="K2388" s="8">
        <f>financials[[#This Row],[Net Sales]]-financials[[#This Row],[COGS]]</f>
        <v>236.75</v>
      </c>
      <c r="L2388" s="15">
        <v>44024</v>
      </c>
      <c r="M2388" t="s">
        <v>700</v>
      </c>
    </row>
    <row r="2389" spans="1:13" x14ac:dyDescent="0.25">
      <c r="A2389" t="s">
        <v>85</v>
      </c>
      <c r="B2389" s="6" t="s">
        <v>159</v>
      </c>
      <c r="C2389" s="13">
        <v>106</v>
      </c>
      <c r="D2389" s="14" t="s">
        <v>91</v>
      </c>
      <c r="E2389">
        <v>15</v>
      </c>
      <c r="F2389" s="8">
        <f>VLOOKUP(financials[[#This Row],[productid]],Products!$B$2:$H$10,3)</f>
        <v>25</v>
      </c>
      <c r="G2389" s="8">
        <f>financials[[#This Row],[Units Sold]]*financials[[#This Row],[Sale Price]]</f>
        <v>375</v>
      </c>
      <c r="H2389" s="8">
        <f>IF(financials[[#This Row],[Discount Band]]="low",0.1,IF(financials[[#This Row],[Discount Band]]="medium",0.15,0.3))</f>
        <v>0.1</v>
      </c>
      <c r="I2389" s="8">
        <f>financials[[#This Row],[Gross Sales]]-financials[[#This Row],[Gross Sales]]*financials[[#This Row],[Discounts]]</f>
        <v>337.5</v>
      </c>
      <c r="J2389" s="8">
        <f>VLOOKUP(financials[[#This Row],[productid]],Products!$B$2:$H$10,4)</f>
        <v>9.1</v>
      </c>
      <c r="K2389" s="8">
        <f>financials[[#This Row],[Net Sales]]-financials[[#This Row],[COGS]]</f>
        <v>328.4</v>
      </c>
      <c r="L2389" s="15">
        <v>45593</v>
      </c>
      <c r="M2389" t="s">
        <v>690</v>
      </c>
    </row>
    <row r="2390" spans="1:13" x14ac:dyDescent="0.25">
      <c r="A2390" t="s">
        <v>86</v>
      </c>
      <c r="B2390" s="6" t="s">
        <v>84</v>
      </c>
      <c r="C2390" s="13">
        <v>103</v>
      </c>
      <c r="D2390" s="14" t="s">
        <v>83</v>
      </c>
      <c r="E2390">
        <v>20</v>
      </c>
      <c r="F2390" s="8">
        <f>VLOOKUP(financials[[#This Row],[productid]],Products!$B$2:$H$10,3)</f>
        <v>28</v>
      </c>
      <c r="G2390" s="8">
        <f>financials[[#This Row],[Units Sold]]*financials[[#This Row],[Sale Price]]</f>
        <v>560</v>
      </c>
      <c r="H2390" s="8">
        <f>IF(financials[[#This Row],[Discount Band]]="low",0.1,IF(financials[[#This Row],[Discount Band]]="medium",0.15,0.3))</f>
        <v>0.3</v>
      </c>
      <c r="I2390" s="8">
        <f>financials[[#This Row],[Gross Sales]]-financials[[#This Row],[Gross Sales]]*financials[[#This Row],[Discounts]]</f>
        <v>392</v>
      </c>
      <c r="J2390" s="8">
        <f>VLOOKUP(financials[[#This Row],[productid]],Products!$B$2:$H$10,4)</f>
        <v>15</v>
      </c>
      <c r="K2390" s="8">
        <f>financials[[#This Row],[Net Sales]]-financials[[#This Row],[COGS]]</f>
        <v>377</v>
      </c>
      <c r="L2390" s="15">
        <v>44657</v>
      </c>
      <c r="M2390" t="s">
        <v>691</v>
      </c>
    </row>
    <row r="2391" spans="1:13" x14ac:dyDescent="0.25">
      <c r="A2391" t="s">
        <v>86</v>
      </c>
      <c r="B2391" s="6" t="s">
        <v>124</v>
      </c>
      <c r="C2391" s="13">
        <v>107</v>
      </c>
      <c r="D2391" s="14" t="s">
        <v>83</v>
      </c>
      <c r="E2391">
        <v>10</v>
      </c>
      <c r="F2391" s="8">
        <f>VLOOKUP(financials[[#This Row],[productid]],Products!$B$2:$H$10,3)</f>
        <v>15</v>
      </c>
      <c r="G2391" s="8">
        <f>financials[[#This Row],[Units Sold]]*financials[[#This Row],[Sale Price]]</f>
        <v>150</v>
      </c>
      <c r="H2391" s="8">
        <f>IF(financials[[#This Row],[Discount Band]]="low",0.1,IF(financials[[#This Row],[Discount Band]]="medium",0.15,0.3))</f>
        <v>0.3</v>
      </c>
      <c r="I2391" s="8">
        <f>financials[[#This Row],[Gross Sales]]-financials[[#This Row],[Gross Sales]]*financials[[#This Row],[Discounts]]</f>
        <v>105</v>
      </c>
      <c r="J2391" s="8">
        <f>VLOOKUP(financials[[#This Row],[productid]],Products!$B$2:$H$10,4)</f>
        <v>5.5</v>
      </c>
      <c r="K2391" s="8">
        <f>financials[[#This Row],[Net Sales]]-financials[[#This Row],[COGS]]</f>
        <v>99.5</v>
      </c>
      <c r="L2391" s="15">
        <v>45220</v>
      </c>
      <c r="M2391" t="s">
        <v>700</v>
      </c>
    </row>
    <row r="2392" spans="1:13" x14ac:dyDescent="0.25">
      <c r="A2392" t="s">
        <v>86</v>
      </c>
      <c r="B2392" s="6" t="s">
        <v>159</v>
      </c>
      <c r="C2392" s="11">
        <v>101</v>
      </c>
      <c r="D2392" s="9" t="s">
        <v>83</v>
      </c>
      <c r="E2392">
        <v>12</v>
      </c>
      <c r="F2392" s="8">
        <f>VLOOKUP(financials[[#This Row],[productid]],Products!$B$2:$H$10,3)</f>
        <v>23</v>
      </c>
      <c r="G2392" s="8">
        <f>financials[[#This Row],[Units Sold]]*financials[[#This Row],[Sale Price]]</f>
        <v>276</v>
      </c>
      <c r="H2392" s="8">
        <f>IF(financials[[#This Row],[Discount Band]]="low",0.1,IF(financials[[#This Row],[Discount Band]]="medium",0.15,0.3))</f>
        <v>0.3</v>
      </c>
      <c r="I2392" s="8">
        <f>financials[[#This Row],[Gross Sales]]-financials[[#This Row],[Gross Sales]]*financials[[#This Row],[Discounts]]</f>
        <v>193.2</v>
      </c>
      <c r="J2392" s="8">
        <f>VLOOKUP(financials[[#This Row],[productid]],Products!$B$2:$H$10,4)</f>
        <v>9.9499999999999993</v>
      </c>
      <c r="K2392" s="8">
        <f>financials[[#This Row],[Net Sales]]-financials[[#This Row],[COGS]]</f>
        <v>183.25</v>
      </c>
      <c r="L2392" s="15">
        <v>44552</v>
      </c>
      <c r="M2392" t="s">
        <v>697</v>
      </c>
    </row>
    <row r="2393" spans="1:13" x14ac:dyDescent="0.25">
      <c r="A2393" t="s">
        <v>87</v>
      </c>
      <c r="B2393" s="6" t="s">
        <v>125</v>
      </c>
      <c r="C2393" s="13">
        <v>105</v>
      </c>
      <c r="D2393" s="14" t="s">
        <v>91</v>
      </c>
      <c r="E2393">
        <v>17</v>
      </c>
      <c r="F2393" s="8">
        <f>VLOOKUP(financials[[#This Row],[productid]],Products!$B$2:$H$10,3)</f>
        <v>15</v>
      </c>
      <c r="G2393" s="8">
        <f>financials[[#This Row],[Units Sold]]*financials[[#This Row],[Sale Price]]</f>
        <v>255</v>
      </c>
      <c r="H2393" s="8">
        <f>IF(financials[[#This Row],[Discount Band]]="low",0.1,IF(financials[[#This Row],[Discount Band]]="medium",0.15,0.3))</f>
        <v>0.1</v>
      </c>
      <c r="I2393" s="8">
        <f>financials[[#This Row],[Gross Sales]]-financials[[#This Row],[Gross Sales]]*financials[[#This Row],[Discounts]]</f>
        <v>229.5</v>
      </c>
      <c r="J2393" s="8">
        <f>VLOOKUP(financials[[#This Row],[productid]],Products!$B$2:$H$10,4)</f>
        <v>10</v>
      </c>
      <c r="K2393" s="8">
        <f>financials[[#This Row],[Net Sales]]-financials[[#This Row],[COGS]]</f>
        <v>219.5</v>
      </c>
      <c r="L2393" s="15">
        <v>45378</v>
      </c>
      <c r="M2393" t="s">
        <v>697</v>
      </c>
    </row>
    <row r="2394" spans="1:13" x14ac:dyDescent="0.25">
      <c r="A2394" t="s">
        <v>87</v>
      </c>
      <c r="B2394" s="6" t="s">
        <v>274</v>
      </c>
      <c r="C2394" s="13">
        <v>103</v>
      </c>
      <c r="D2394" s="14" t="s">
        <v>91</v>
      </c>
      <c r="E2394">
        <v>7</v>
      </c>
      <c r="F2394" s="8">
        <f>VLOOKUP(financials[[#This Row],[productid]],Products!$B$2:$H$10,3)</f>
        <v>28</v>
      </c>
      <c r="G2394" s="8">
        <f>financials[[#This Row],[Units Sold]]*financials[[#This Row],[Sale Price]]</f>
        <v>196</v>
      </c>
      <c r="H2394" s="8">
        <f>IF(financials[[#This Row],[Discount Band]]="low",0.1,IF(financials[[#This Row],[Discount Band]]="medium",0.15,0.3))</f>
        <v>0.1</v>
      </c>
      <c r="I2394" s="8">
        <f>financials[[#This Row],[Gross Sales]]-financials[[#This Row],[Gross Sales]]*financials[[#This Row],[Discounts]]</f>
        <v>176.4</v>
      </c>
      <c r="J2394" s="8">
        <f>VLOOKUP(financials[[#This Row],[productid]],Products!$B$2:$H$10,4)</f>
        <v>15</v>
      </c>
      <c r="K2394" s="8">
        <f>financials[[#This Row],[Net Sales]]-financials[[#This Row],[COGS]]</f>
        <v>161.4</v>
      </c>
      <c r="L2394" s="15">
        <v>44890</v>
      </c>
      <c r="M2394" t="s">
        <v>697</v>
      </c>
    </row>
    <row r="2395" spans="1:13" x14ac:dyDescent="0.25">
      <c r="A2395" t="s">
        <v>87</v>
      </c>
      <c r="B2395" s="6" t="s">
        <v>617</v>
      </c>
      <c r="C2395" s="13">
        <v>105</v>
      </c>
      <c r="D2395" s="14" t="s">
        <v>91</v>
      </c>
      <c r="E2395">
        <v>12</v>
      </c>
      <c r="F2395" s="8">
        <f>VLOOKUP(financials[[#This Row],[productid]],Products!$B$2:$H$10,3)</f>
        <v>15</v>
      </c>
      <c r="G2395" s="8">
        <f>financials[[#This Row],[Units Sold]]*financials[[#This Row],[Sale Price]]</f>
        <v>180</v>
      </c>
      <c r="H2395" s="8">
        <f>IF(financials[[#This Row],[Discount Band]]="low",0.1,IF(financials[[#This Row],[Discount Band]]="medium",0.15,0.3))</f>
        <v>0.1</v>
      </c>
      <c r="I2395" s="8">
        <f>financials[[#This Row],[Gross Sales]]-financials[[#This Row],[Gross Sales]]*financials[[#This Row],[Discounts]]</f>
        <v>162</v>
      </c>
      <c r="J2395" s="8">
        <f>VLOOKUP(financials[[#This Row],[productid]],Products!$B$2:$H$10,4)</f>
        <v>10</v>
      </c>
      <c r="K2395" s="8">
        <f>financials[[#This Row],[Net Sales]]-financials[[#This Row],[COGS]]</f>
        <v>152</v>
      </c>
      <c r="L2395" s="15">
        <v>45500</v>
      </c>
      <c r="M2395" t="s">
        <v>690</v>
      </c>
    </row>
    <row r="2396" spans="1:13" x14ac:dyDescent="0.25">
      <c r="A2396" t="s">
        <v>86</v>
      </c>
      <c r="B2396" s="6" t="s">
        <v>159</v>
      </c>
      <c r="C2396" s="13">
        <v>104</v>
      </c>
      <c r="D2396" s="14" t="s">
        <v>91</v>
      </c>
      <c r="E2396">
        <v>5</v>
      </c>
      <c r="F2396" s="8">
        <f>VLOOKUP(financials[[#This Row],[productid]],Products!$B$2:$H$10,3)</f>
        <v>5.9</v>
      </c>
      <c r="G2396" s="8">
        <f>financials[[#This Row],[Units Sold]]*financials[[#This Row],[Sale Price]]</f>
        <v>29.5</v>
      </c>
      <c r="H2396" s="8">
        <f>IF(financials[[#This Row],[Discount Band]]="low",0.1,IF(financials[[#This Row],[Discount Band]]="medium",0.15,0.3))</f>
        <v>0.1</v>
      </c>
      <c r="I2396" s="8">
        <f>financials[[#This Row],[Gross Sales]]-financials[[#This Row],[Gross Sales]]*financials[[#This Row],[Discounts]]</f>
        <v>26.55</v>
      </c>
      <c r="J2396" s="8">
        <f>VLOOKUP(financials[[#This Row],[productid]],Products!$B$2:$H$10,4)</f>
        <v>2.9</v>
      </c>
      <c r="K2396" s="8">
        <f>financials[[#This Row],[Net Sales]]-financials[[#This Row],[COGS]]</f>
        <v>23.650000000000002</v>
      </c>
      <c r="L2396" s="15">
        <v>44935</v>
      </c>
      <c r="M2396" t="s">
        <v>697</v>
      </c>
    </row>
    <row r="2397" spans="1:13" x14ac:dyDescent="0.25">
      <c r="A2397" t="s">
        <v>89</v>
      </c>
      <c r="B2397" s="6" t="s">
        <v>159</v>
      </c>
      <c r="C2397" s="13">
        <v>108</v>
      </c>
      <c r="D2397" s="14" t="s">
        <v>83</v>
      </c>
      <c r="E2397">
        <v>12</v>
      </c>
      <c r="F2397" s="8">
        <f>VLOOKUP(financials[[#This Row],[productid]],Products!$B$2:$H$10,3)</f>
        <v>5.5</v>
      </c>
      <c r="G2397" s="8">
        <f>financials[[#This Row],[Units Sold]]*financials[[#This Row],[Sale Price]]</f>
        <v>66</v>
      </c>
      <c r="H2397" s="8">
        <f>IF(financials[[#This Row],[Discount Band]]="low",0.1,IF(financials[[#This Row],[Discount Band]]="medium",0.15,0.3))</f>
        <v>0.3</v>
      </c>
      <c r="I2397" s="8">
        <f>financials[[#This Row],[Gross Sales]]-financials[[#This Row],[Gross Sales]]*financials[[#This Row],[Discounts]]</f>
        <v>46.2</v>
      </c>
      <c r="J2397" s="8">
        <f>VLOOKUP(financials[[#This Row],[productid]],Products!$B$2:$H$10,4)</f>
        <v>3.99</v>
      </c>
      <c r="K2397" s="8">
        <f>financials[[#This Row],[Net Sales]]-financials[[#This Row],[COGS]]</f>
        <v>42.21</v>
      </c>
      <c r="L2397" s="15">
        <v>45320</v>
      </c>
      <c r="M2397" t="s">
        <v>691</v>
      </c>
    </row>
    <row r="2398" spans="1:13" x14ac:dyDescent="0.25">
      <c r="A2398" t="s">
        <v>85</v>
      </c>
      <c r="B2398" s="6" t="s">
        <v>124</v>
      </c>
      <c r="C2398" s="13">
        <v>104</v>
      </c>
      <c r="D2398" s="14" t="s">
        <v>91</v>
      </c>
      <c r="E2398">
        <v>18</v>
      </c>
      <c r="F2398" s="8">
        <f>VLOOKUP(financials[[#This Row],[productid]],Products!$B$2:$H$10,3)</f>
        <v>5.9</v>
      </c>
      <c r="G2398" s="8">
        <f>financials[[#This Row],[Units Sold]]*financials[[#This Row],[Sale Price]]</f>
        <v>106.2</v>
      </c>
      <c r="H2398" s="8">
        <f>IF(financials[[#This Row],[Discount Band]]="low",0.1,IF(financials[[#This Row],[Discount Band]]="medium",0.15,0.3))</f>
        <v>0.1</v>
      </c>
      <c r="I2398" s="8">
        <f>financials[[#This Row],[Gross Sales]]-financials[[#This Row],[Gross Sales]]*financials[[#This Row],[Discounts]]</f>
        <v>95.58</v>
      </c>
      <c r="J2398" s="8">
        <f>VLOOKUP(financials[[#This Row],[productid]],Products!$B$2:$H$10,4)</f>
        <v>2.9</v>
      </c>
      <c r="K2398" s="8">
        <f>financials[[#This Row],[Net Sales]]-financials[[#This Row],[COGS]]</f>
        <v>92.679999999999993</v>
      </c>
      <c r="L2398" s="15">
        <v>44409</v>
      </c>
      <c r="M2398" t="s">
        <v>700</v>
      </c>
    </row>
    <row r="2399" spans="1:13" x14ac:dyDescent="0.25">
      <c r="A2399" t="s">
        <v>89</v>
      </c>
      <c r="B2399" s="6" t="s">
        <v>159</v>
      </c>
      <c r="C2399" s="13">
        <v>108</v>
      </c>
      <c r="D2399" s="14" t="s">
        <v>83</v>
      </c>
      <c r="E2399">
        <v>8</v>
      </c>
      <c r="F2399" s="8">
        <f>VLOOKUP(financials[[#This Row],[productid]],Products!$B$2:$H$10,3)</f>
        <v>5.5</v>
      </c>
      <c r="G2399" s="8">
        <f>financials[[#This Row],[Units Sold]]*financials[[#This Row],[Sale Price]]</f>
        <v>44</v>
      </c>
      <c r="H2399" s="8">
        <f>IF(financials[[#This Row],[Discount Band]]="low",0.1,IF(financials[[#This Row],[Discount Band]]="medium",0.15,0.3))</f>
        <v>0.3</v>
      </c>
      <c r="I2399" s="8">
        <f>financials[[#This Row],[Gross Sales]]-financials[[#This Row],[Gross Sales]]*financials[[#This Row],[Discounts]]</f>
        <v>30.8</v>
      </c>
      <c r="J2399" s="8">
        <f>VLOOKUP(financials[[#This Row],[productid]],Products!$B$2:$H$10,4)</f>
        <v>3.99</v>
      </c>
      <c r="K2399" s="8">
        <f>financials[[#This Row],[Net Sales]]-financials[[#This Row],[COGS]]</f>
        <v>26.810000000000002</v>
      </c>
      <c r="L2399" s="15">
        <v>45484</v>
      </c>
      <c r="M2399" t="s">
        <v>690</v>
      </c>
    </row>
    <row r="2400" spans="1:13" x14ac:dyDescent="0.25">
      <c r="A2400" t="s">
        <v>89</v>
      </c>
      <c r="B2400" s="6" t="s">
        <v>84</v>
      </c>
      <c r="C2400" s="13">
        <v>105</v>
      </c>
      <c r="D2400" s="14" t="s">
        <v>91</v>
      </c>
      <c r="E2400">
        <v>17</v>
      </c>
      <c r="F2400" s="8">
        <f>VLOOKUP(financials[[#This Row],[productid]],Products!$B$2:$H$10,3)</f>
        <v>15</v>
      </c>
      <c r="G2400" s="8">
        <f>financials[[#This Row],[Units Sold]]*financials[[#This Row],[Sale Price]]</f>
        <v>255</v>
      </c>
      <c r="H2400" s="8">
        <f>IF(financials[[#This Row],[Discount Band]]="low",0.1,IF(financials[[#This Row],[Discount Band]]="medium",0.15,0.3))</f>
        <v>0.1</v>
      </c>
      <c r="I2400" s="8">
        <f>financials[[#This Row],[Gross Sales]]-financials[[#This Row],[Gross Sales]]*financials[[#This Row],[Discounts]]</f>
        <v>229.5</v>
      </c>
      <c r="J2400" s="8">
        <f>VLOOKUP(financials[[#This Row],[productid]],Products!$B$2:$H$10,4)</f>
        <v>10</v>
      </c>
      <c r="K2400" s="8">
        <f>financials[[#This Row],[Net Sales]]-financials[[#This Row],[COGS]]</f>
        <v>219.5</v>
      </c>
      <c r="L2400" s="15">
        <v>44466</v>
      </c>
      <c r="M2400" t="s">
        <v>690</v>
      </c>
    </row>
    <row r="2401" spans="1:13" x14ac:dyDescent="0.25">
      <c r="A2401" t="s">
        <v>89</v>
      </c>
      <c r="B2401" s="6" t="s">
        <v>84</v>
      </c>
      <c r="C2401" s="13">
        <v>102</v>
      </c>
      <c r="D2401" s="14" t="s">
        <v>92</v>
      </c>
      <c r="E2401">
        <v>18</v>
      </c>
      <c r="F2401" s="8">
        <f>VLOOKUP(financials[[#This Row],[productid]],Products!$B$2:$H$10,3)</f>
        <v>15</v>
      </c>
      <c r="G2401" s="8">
        <f>financials[[#This Row],[Units Sold]]*financials[[#This Row],[Sale Price]]</f>
        <v>270</v>
      </c>
      <c r="H2401" s="8">
        <f>IF(financials[[#This Row],[Discount Band]]="low",0.1,IF(financials[[#This Row],[Discount Band]]="medium",0.15,0.3))</f>
        <v>0.3</v>
      </c>
      <c r="I2401" s="8">
        <f>financials[[#This Row],[Gross Sales]]-financials[[#This Row],[Gross Sales]]*financials[[#This Row],[Discounts]]</f>
        <v>189</v>
      </c>
      <c r="J2401" s="8">
        <f>VLOOKUP(financials[[#This Row],[productid]],Products!$B$2:$H$10,4)</f>
        <v>13.95</v>
      </c>
      <c r="K2401" s="8">
        <f>financials[[#This Row],[Net Sales]]-financials[[#This Row],[COGS]]</f>
        <v>175.05</v>
      </c>
      <c r="L2401" s="15">
        <v>44132</v>
      </c>
      <c r="M2401" t="s">
        <v>696</v>
      </c>
    </row>
    <row r="2402" spans="1:13" x14ac:dyDescent="0.25">
      <c r="A2402" t="s">
        <v>89</v>
      </c>
      <c r="B2402" s="6" t="s">
        <v>124</v>
      </c>
      <c r="C2402" s="11">
        <v>102</v>
      </c>
      <c r="D2402" s="9" t="s">
        <v>90</v>
      </c>
      <c r="E2402">
        <v>6</v>
      </c>
      <c r="F2402" s="8">
        <f>VLOOKUP(financials[[#This Row],[productid]],Products!$B$2:$H$10,3)</f>
        <v>15</v>
      </c>
      <c r="G2402" s="8">
        <f>financials[[#This Row],[Units Sold]]*financials[[#This Row],[Sale Price]]</f>
        <v>90</v>
      </c>
      <c r="H2402" s="8">
        <f>IF(financials[[#This Row],[Discount Band]]="low",0.1,IF(financials[[#This Row],[Discount Band]]="medium",0.15,0.3))</f>
        <v>0.15</v>
      </c>
      <c r="I2402" s="8">
        <f>financials[[#This Row],[Gross Sales]]-financials[[#This Row],[Gross Sales]]*financials[[#This Row],[Discounts]]</f>
        <v>76.5</v>
      </c>
      <c r="J2402" s="8">
        <f>VLOOKUP(financials[[#This Row],[productid]],Products!$B$2:$H$10,4)</f>
        <v>13.95</v>
      </c>
      <c r="K2402" s="8">
        <f>financials[[#This Row],[Net Sales]]-financials[[#This Row],[COGS]]</f>
        <v>62.55</v>
      </c>
      <c r="L2402" s="15">
        <v>44123</v>
      </c>
      <c r="M2402" t="s">
        <v>690</v>
      </c>
    </row>
    <row r="2403" spans="1:13" x14ac:dyDescent="0.25">
      <c r="A2403" t="s">
        <v>85</v>
      </c>
      <c r="B2403" s="6" t="s">
        <v>159</v>
      </c>
      <c r="C2403" s="13">
        <v>102</v>
      </c>
      <c r="D2403" s="14" t="s">
        <v>83</v>
      </c>
      <c r="E2403">
        <v>12</v>
      </c>
      <c r="F2403" s="8">
        <f>VLOOKUP(financials[[#This Row],[productid]],Products!$B$2:$H$10,3)</f>
        <v>15</v>
      </c>
      <c r="G2403" s="8">
        <f>financials[[#This Row],[Units Sold]]*financials[[#This Row],[Sale Price]]</f>
        <v>180</v>
      </c>
      <c r="H2403" s="8">
        <f>IF(financials[[#This Row],[Discount Band]]="low",0.1,IF(financials[[#This Row],[Discount Band]]="medium",0.15,0.3))</f>
        <v>0.3</v>
      </c>
      <c r="I2403" s="8">
        <f>financials[[#This Row],[Gross Sales]]-financials[[#This Row],[Gross Sales]]*financials[[#This Row],[Discounts]]</f>
        <v>126</v>
      </c>
      <c r="J2403" s="8">
        <f>VLOOKUP(financials[[#This Row],[productid]],Products!$B$2:$H$10,4)</f>
        <v>13.95</v>
      </c>
      <c r="K2403" s="8">
        <f>financials[[#This Row],[Net Sales]]-financials[[#This Row],[COGS]]</f>
        <v>112.05</v>
      </c>
      <c r="L2403" s="15">
        <v>45294</v>
      </c>
      <c r="M2403" t="s">
        <v>691</v>
      </c>
    </row>
    <row r="2404" spans="1:13" x14ac:dyDescent="0.25">
      <c r="A2404" t="s">
        <v>85</v>
      </c>
      <c r="B2404" s="6" t="s">
        <v>159</v>
      </c>
      <c r="C2404" s="13">
        <v>108</v>
      </c>
      <c r="D2404" s="14" t="s">
        <v>90</v>
      </c>
      <c r="E2404">
        <v>16</v>
      </c>
      <c r="F2404" s="8">
        <f>VLOOKUP(financials[[#This Row],[productid]],Products!$B$2:$H$10,3)</f>
        <v>5.5</v>
      </c>
      <c r="G2404" s="8">
        <f>financials[[#This Row],[Units Sold]]*financials[[#This Row],[Sale Price]]</f>
        <v>88</v>
      </c>
      <c r="H2404" s="8">
        <f>IF(financials[[#This Row],[Discount Band]]="low",0.1,IF(financials[[#This Row],[Discount Band]]="medium",0.15,0.3))</f>
        <v>0.15</v>
      </c>
      <c r="I2404" s="8">
        <f>financials[[#This Row],[Gross Sales]]-financials[[#This Row],[Gross Sales]]*financials[[#This Row],[Discounts]]</f>
        <v>74.8</v>
      </c>
      <c r="J2404" s="8">
        <f>VLOOKUP(financials[[#This Row],[productid]],Products!$B$2:$H$10,4)</f>
        <v>3.99</v>
      </c>
      <c r="K2404" s="8">
        <f>financials[[#This Row],[Net Sales]]-financials[[#This Row],[COGS]]</f>
        <v>70.81</v>
      </c>
      <c r="L2404" s="15">
        <v>44767</v>
      </c>
      <c r="M2404" t="s">
        <v>690</v>
      </c>
    </row>
    <row r="2405" spans="1:13" x14ac:dyDescent="0.25">
      <c r="A2405" t="s">
        <v>86</v>
      </c>
      <c r="B2405" s="6" t="s">
        <v>84</v>
      </c>
      <c r="C2405" s="13">
        <v>103</v>
      </c>
      <c r="D2405" s="14" t="s">
        <v>90</v>
      </c>
      <c r="E2405">
        <v>15</v>
      </c>
      <c r="F2405" s="8">
        <f>VLOOKUP(financials[[#This Row],[productid]],Products!$B$2:$H$10,3)</f>
        <v>28</v>
      </c>
      <c r="G2405" s="8">
        <f>financials[[#This Row],[Units Sold]]*financials[[#This Row],[Sale Price]]</f>
        <v>420</v>
      </c>
      <c r="H2405" s="8">
        <f>IF(financials[[#This Row],[Discount Band]]="low",0.1,IF(financials[[#This Row],[Discount Band]]="medium",0.15,0.3))</f>
        <v>0.15</v>
      </c>
      <c r="I2405" s="8">
        <f>financials[[#This Row],[Gross Sales]]-financials[[#This Row],[Gross Sales]]*financials[[#This Row],[Discounts]]</f>
        <v>357</v>
      </c>
      <c r="J2405" s="8">
        <f>VLOOKUP(financials[[#This Row],[productid]],Products!$B$2:$H$10,4)</f>
        <v>15</v>
      </c>
      <c r="K2405" s="8">
        <f>financials[[#This Row],[Net Sales]]-financials[[#This Row],[COGS]]</f>
        <v>342</v>
      </c>
      <c r="L2405" s="15">
        <v>44701</v>
      </c>
      <c r="M2405" t="s">
        <v>697</v>
      </c>
    </row>
    <row r="2406" spans="1:13" x14ac:dyDescent="0.25">
      <c r="A2406" t="s">
        <v>86</v>
      </c>
      <c r="B2406" s="6" t="s">
        <v>159</v>
      </c>
      <c r="C2406" s="13">
        <v>108</v>
      </c>
      <c r="D2406" s="14" t="s">
        <v>83</v>
      </c>
      <c r="E2406">
        <v>6</v>
      </c>
      <c r="F2406" s="8">
        <f>VLOOKUP(financials[[#This Row],[productid]],Products!$B$2:$H$10,3)</f>
        <v>5.5</v>
      </c>
      <c r="G2406" s="8">
        <f>financials[[#This Row],[Units Sold]]*financials[[#This Row],[Sale Price]]</f>
        <v>33</v>
      </c>
      <c r="H2406" s="8">
        <f>IF(financials[[#This Row],[Discount Band]]="low",0.1,IF(financials[[#This Row],[Discount Band]]="medium",0.15,0.3))</f>
        <v>0.3</v>
      </c>
      <c r="I2406" s="8">
        <f>financials[[#This Row],[Gross Sales]]-financials[[#This Row],[Gross Sales]]*financials[[#This Row],[Discounts]]</f>
        <v>23.1</v>
      </c>
      <c r="J2406" s="8">
        <f>VLOOKUP(financials[[#This Row],[productid]],Products!$B$2:$H$10,4)</f>
        <v>3.99</v>
      </c>
      <c r="K2406" s="8">
        <f>financials[[#This Row],[Net Sales]]-financials[[#This Row],[COGS]]</f>
        <v>19.11</v>
      </c>
      <c r="L2406" s="15">
        <v>45284</v>
      </c>
      <c r="M2406" t="s">
        <v>691</v>
      </c>
    </row>
    <row r="2407" spans="1:13" x14ac:dyDescent="0.25">
      <c r="A2407" t="s">
        <v>87</v>
      </c>
      <c r="B2407" s="6" t="s">
        <v>645</v>
      </c>
      <c r="C2407" s="13">
        <v>102</v>
      </c>
      <c r="D2407" s="14" t="s">
        <v>91</v>
      </c>
      <c r="E2407">
        <v>18</v>
      </c>
      <c r="F2407" s="8">
        <f>VLOOKUP(financials[[#This Row],[productid]],Products!$B$2:$H$10,3)</f>
        <v>15</v>
      </c>
      <c r="G2407" s="8">
        <f>financials[[#This Row],[Units Sold]]*financials[[#This Row],[Sale Price]]</f>
        <v>270</v>
      </c>
      <c r="H2407" s="8">
        <f>IF(financials[[#This Row],[Discount Band]]="low",0.1,IF(financials[[#This Row],[Discount Band]]="medium",0.15,0.3))</f>
        <v>0.1</v>
      </c>
      <c r="I2407" s="8">
        <f>financials[[#This Row],[Gross Sales]]-financials[[#This Row],[Gross Sales]]*financials[[#This Row],[Discounts]]</f>
        <v>243</v>
      </c>
      <c r="J2407" s="8">
        <f>VLOOKUP(financials[[#This Row],[productid]],Products!$B$2:$H$10,4)</f>
        <v>13.95</v>
      </c>
      <c r="K2407" s="8">
        <f>financials[[#This Row],[Net Sales]]-financials[[#This Row],[COGS]]</f>
        <v>229.05</v>
      </c>
      <c r="L2407" s="15">
        <v>43876</v>
      </c>
      <c r="M2407" t="s">
        <v>690</v>
      </c>
    </row>
    <row r="2408" spans="1:13" x14ac:dyDescent="0.25">
      <c r="A2408" t="s">
        <v>87</v>
      </c>
      <c r="B2408" s="6" t="s">
        <v>158</v>
      </c>
      <c r="C2408" s="13">
        <v>103</v>
      </c>
      <c r="D2408" s="14" t="s">
        <v>90</v>
      </c>
      <c r="E2408">
        <v>18</v>
      </c>
      <c r="F2408" s="8">
        <f>VLOOKUP(financials[[#This Row],[productid]],Products!$B$2:$H$10,3)</f>
        <v>28</v>
      </c>
      <c r="G2408" s="8">
        <f>financials[[#This Row],[Units Sold]]*financials[[#This Row],[Sale Price]]</f>
        <v>504</v>
      </c>
      <c r="H2408" s="8">
        <f>IF(financials[[#This Row],[Discount Band]]="low",0.1,IF(financials[[#This Row],[Discount Band]]="medium",0.15,0.3))</f>
        <v>0.15</v>
      </c>
      <c r="I2408" s="8">
        <f>financials[[#This Row],[Gross Sales]]-financials[[#This Row],[Gross Sales]]*financials[[#This Row],[Discounts]]</f>
        <v>428.4</v>
      </c>
      <c r="J2408" s="8">
        <f>VLOOKUP(financials[[#This Row],[productid]],Products!$B$2:$H$10,4)</f>
        <v>15</v>
      </c>
      <c r="K2408" s="8">
        <f>financials[[#This Row],[Net Sales]]-financials[[#This Row],[COGS]]</f>
        <v>413.4</v>
      </c>
      <c r="L2408" s="15">
        <v>44878</v>
      </c>
      <c r="M2408" t="s">
        <v>696</v>
      </c>
    </row>
    <row r="2409" spans="1:13" x14ac:dyDescent="0.25">
      <c r="A2409" t="s">
        <v>88</v>
      </c>
      <c r="B2409" s="6" t="s">
        <v>644</v>
      </c>
      <c r="C2409" s="13">
        <v>108</v>
      </c>
      <c r="D2409" s="14" t="s">
        <v>83</v>
      </c>
      <c r="E2409">
        <v>10</v>
      </c>
      <c r="F2409" s="8">
        <f>VLOOKUP(financials[[#This Row],[productid]],Products!$B$2:$H$10,3)</f>
        <v>5.5</v>
      </c>
      <c r="G2409" s="8">
        <f>financials[[#This Row],[Units Sold]]*financials[[#This Row],[Sale Price]]</f>
        <v>55</v>
      </c>
      <c r="H2409" s="8">
        <f>IF(financials[[#This Row],[Discount Band]]="low",0.1,IF(financials[[#This Row],[Discount Band]]="medium",0.15,0.3))</f>
        <v>0.3</v>
      </c>
      <c r="I2409" s="8">
        <f>financials[[#This Row],[Gross Sales]]-financials[[#This Row],[Gross Sales]]*financials[[#This Row],[Discounts]]</f>
        <v>38.5</v>
      </c>
      <c r="J2409" s="8">
        <f>VLOOKUP(financials[[#This Row],[productid]],Products!$B$2:$H$10,4)</f>
        <v>3.99</v>
      </c>
      <c r="K2409" s="8">
        <f>financials[[#This Row],[Net Sales]]-financials[[#This Row],[COGS]]</f>
        <v>34.51</v>
      </c>
      <c r="L2409" s="15">
        <v>44206</v>
      </c>
      <c r="M2409" t="s">
        <v>691</v>
      </c>
    </row>
    <row r="2410" spans="1:13" x14ac:dyDescent="0.25">
      <c r="A2410" t="s">
        <v>89</v>
      </c>
      <c r="B2410" s="6" t="s">
        <v>159</v>
      </c>
      <c r="C2410" s="13">
        <v>109</v>
      </c>
      <c r="D2410" s="14" t="s">
        <v>83</v>
      </c>
      <c r="E2410">
        <v>16</v>
      </c>
      <c r="F2410" s="8">
        <f>VLOOKUP(financials[[#This Row],[productid]],Products!$B$2:$H$10,3)</f>
        <v>36</v>
      </c>
      <c r="G2410" s="8">
        <f>financials[[#This Row],[Units Sold]]*financials[[#This Row],[Sale Price]]</f>
        <v>576</v>
      </c>
      <c r="H2410" s="8">
        <f>IF(financials[[#This Row],[Discount Band]]="low",0.1,IF(financials[[#This Row],[Discount Band]]="medium",0.15,0.3))</f>
        <v>0.3</v>
      </c>
      <c r="I2410" s="8">
        <f>financials[[#This Row],[Gross Sales]]-financials[[#This Row],[Gross Sales]]*financials[[#This Row],[Discounts]]</f>
        <v>403.20000000000005</v>
      </c>
      <c r="J2410" s="8">
        <f>VLOOKUP(financials[[#This Row],[productid]],Products!$B$2:$H$10,4)</f>
        <v>16.8</v>
      </c>
      <c r="K2410" s="8">
        <f>financials[[#This Row],[Net Sales]]-financials[[#This Row],[COGS]]</f>
        <v>386.40000000000003</v>
      </c>
      <c r="L2410" s="15">
        <v>44144</v>
      </c>
      <c r="M2410" t="s">
        <v>690</v>
      </c>
    </row>
    <row r="2411" spans="1:13" x14ac:dyDescent="0.25">
      <c r="A2411" t="s">
        <v>87</v>
      </c>
      <c r="B2411" s="6" t="s">
        <v>94</v>
      </c>
      <c r="C2411" s="13">
        <v>102</v>
      </c>
      <c r="D2411" s="14" t="s">
        <v>83</v>
      </c>
      <c r="E2411">
        <v>20</v>
      </c>
      <c r="F2411" s="8">
        <f>VLOOKUP(financials[[#This Row],[productid]],Products!$B$2:$H$10,3)</f>
        <v>15</v>
      </c>
      <c r="G2411" s="8">
        <f>financials[[#This Row],[Units Sold]]*financials[[#This Row],[Sale Price]]</f>
        <v>300</v>
      </c>
      <c r="H2411" s="8">
        <f>IF(financials[[#This Row],[Discount Band]]="low",0.1,IF(financials[[#This Row],[Discount Band]]="medium",0.15,0.3))</f>
        <v>0.3</v>
      </c>
      <c r="I2411" s="8">
        <f>financials[[#This Row],[Gross Sales]]-financials[[#This Row],[Gross Sales]]*financials[[#This Row],[Discounts]]</f>
        <v>210</v>
      </c>
      <c r="J2411" s="8">
        <f>VLOOKUP(financials[[#This Row],[productid]],Products!$B$2:$H$10,4)</f>
        <v>13.95</v>
      </c>
      <c r="K2411" s="8">
        <f>financials[[#This Row],[Net Sales]]-financials[[#This Row],[COGS]]</f>
        <v>196.05</v>
      </c>
      <c r="L2411" s="15">
        <v>45293</v>
      </c>
      <c r="M2411" t="s">
        <v>690</v>
      </c>
    </row>
    <row r="2412" spans="1:13" x14ac:dyDescent="0.25">
      <c r="A2412" t="s">
        <v>86</v>
      </c>
      <c r="B2412" s="6" t="s">
        <v>159</v>
      </c>
      <c r="C2412" s="13">
        <v>107</v>
      </c>
      <c r="D2412" s="14" t="s">
        <v>90</v>
      </c>
      <c r="E2412">
        <v>12</v>
      </c>
      <c r="F2412" s="8">
        <f>VLOOKUP(financials[[#This Row],[productid]],Products!$B$2:$H$10,3)</f>
        <v>15</v>
      </c>
      <c r="G2412" s="8">
        <f>financials[[#This Row],[Units Sold]]*financials[[#This Row],[Sale Price]]</f>
        <v>180</v>
      </c>
      <c r="H2412" s="8">
        <f>IF(financials[[#This Row],[Discount Band]]="low",0.1,IF(financials[[#This Row],[Discount Band]]="medium",0.15,0.3))</f>
        <v>0.15</v>
      </c>
      <c r="I2412" s="8">
        <f>financials[[#This Row],[Gross Sales]]-financials[[#This Row],[Gross Sales]]*financials[[#This Row],[Discounts]]</f>
        <v>153</v>
      </c>
      <c r="J2412" s="8">
        <f>VLOOKUP(financials[[#This Row],[productid]],Products!$B$2:$H$10,4)</f>
        <v>5.5</v>
      </c>
      <c r="K2412" s="8">
        <f>financials[[#This Row],[Net Sales]]-financials[[#This Row],[COGS]]</f>
        <v>147.5</v>
      </c>
      <c r="L2412" s="15">
        <v>44360</v>
      </c>
      <c r="M2412" t="s">
        <v>697</v>
      </c>
    </row>
    <row r="2413" spans="1:13" x14ac:dyDescent="0.25">
      <c r="A2413" t="s">
        <v>89</v>
      </c>
      <c r="B2413" s="6" t="s">
        <v>159</v>
      </c>
      <c r="C2413" s="11">
        <v>107</v>
      </c>
      <c r="D2413" s="9" t="s">
        <v>91</v>
      </c>
      <c r="E2413">
        <v>6</v>
      </c>
      <c r="F2413" s="8">
        <f>VLOOKUP(financials[[#This Row],[productid]],Products!$B$2:$H$10,3)</f>
        <v>15</v>
      </c>
      <c r="G2413" s="8">
        <f>financials[[#This Row],[Units Sold]]*financials[[#This Row],[Sale Price]]</f>
        <v>90</v>
      </c>
      <c r="H2413" s="8">
        <f>IF(financials[[#This Row],[Discount Band]]="low",0.1,IF(financials[[#This Row],[Discount Band]]="medium",0.15,0.3))</f>
        <v>0.1</v>
      </c>
      <c r="I2413" s="8">
        <f>financials[[#This Row],[Gross Sales]]-financials[[#This Row],[Gross Sales]]*financials[[#This Row],[Discounts]]</f>
        <v>81</v>
      </c>
      <c r="J2413" s="8">
        <f>VLOOKUP(financials[[#This Row],[productid]],Products!$B$2:$H$10,4)</f>
        <v>5.5</v>
      </c>
      <c r="K2413" s="8">
        <f>financials[[#This Row],[Net Sales]]-financials[[#This Row],[COGS]]</f>
        <v>75.5</v>
      </c>
      <c r="L2413" s="15">
        <v>44064</v>
      </c>
      <c r="M2413" t="s">
        <v>696</v>
      </c>
    </row>
    <row r="2414" spans="1:13" x14ac:dyDescent="0.25">
      <c r="A2414" t="s">
        <v>86</v>
      </c>
      <c r="B2414" s="6" t="s">
        <v>124</v>
      </c>
      <c r="C2414" s="13">
        <v>102</v>
      </c>
      <c r="D2414" s="14" t="s">
        <v>90</v>
      </c>
      <c r="E2414">
        <v>7</v>
      </c>
      <c r="F2414" s="8">
        <f>VLOOKUP(financials[[#This Row],[productid]],Products!$B$2:$H$10,3)</f>
        <v>15</v>
      </c>
      <c r="G2414" s="8">
        <f>financials[[#This Row],[Units Sold]]*financials[[#This Row],[Sale Price]]</f>
        <v>105</v>
      </c>
      <c r="H2414" s="8">
        <f>IF(financials[[#This Row],[Discount Band]]="low",0.1,IF(financials[[#This Row],[Discount Band]]="medium",0.15,0.3))</f>
        <v>0.15</v>
      </c>
      <c r="I2414" s="8">
        <f>financials[[#This Row],[Gross Sales]]-financials[[#This Row],[Gross Sales]]*financials[[#This Row],[Discounts]]</f>
        <v>89.25</v>
      </c>
      <c r="J2414" s="8">
        <f>VLOOKUP(financials[[#This Row],[productid]],Products!$B$2:$H$10,4)</f>
        <v>13.95</v>
      </c>
      <c r="K2414" s="8">
        <f>financials[[#This Row],[Net Sales]]-financials[[#This Row],[COGS]]</f>
        <v>75.3</v>
      </c>
      <c r="L2414" s="15">
        <v>43932</v>
      </c>
      <c r="M2414" t="s">
        <v>696</v>
      </c>
    </row>
    <row r="2415" spans="1:13" x14ac:dyDescent="0.25">
      <c r="A2415" t="s">
        <v>89</v>
      </c>
      <c r="B2415" s="6" t="s">
        <v>84</v>
      </c>
      <c r="C2415" s="13">
        <v>105</v>
      </c>
      <c r="D2415" s="14" t="s">
        <v>91</v>
      </c>
      <c r="E2415">
        <v>20</v>
      </c>
      <c r="F2415" s="8">
        <f>VLOOKUP(financials[[#This Row],[productid]],Products!$B$2:$H$10,3)</f>
        <v>15</v>
      </c>
      <c r="G2415" s="8">
        <f>financials[[#This Row],[Units Sold]]*financials[[#This Row],[Sale Price]]</f>
        <v>300</v>
      </c>
      <c r="H2415" s="8">
        <f>IF(financials[[#This Row],[Discount Band]]="low",0.1,IF(financials[[#This Row],[Discount Band]]="medium",0.15,0.3))</f>
        <v>0.1</v>
      </c>
      <c r="I2415" s="8">
        <f>financials[[#This Row],[Gross Sales]]-financials[[#This Row],[Gross Sales]]*financials[[#This Row],[Discounts]]</f>
        <v>270</v>
      </c>
      <c r="J2415" s="8">
        <f>VLOOKUP(financials[[#This Row],[productid]],Products!$B$2:$H$10,4)</f>
        <v>10</v>
      </c>
      <c r="K2415" s="8">
        <f>financials[[#This Row],[Net Sales]]-financials[[#This Row],[COGS]]</f>
        <v>260</v>
      </c>
      <c r="L2415" s="15">
        <v>44422</v>
      </c>
      <c r="M2415" t="s">
        <v>697</v>
      </c>
    </row>
    <row r="2416" spans="1:13" x14ac:dyDescent="0.25">
      <c r="A2416" t="s">
        <v>85</v>
      </c>
      <c r="B2416" s="6" t="s">
        <v>124</v>
      </c>
      <c r="C2416" s="13">
        <v>106</v>
      </c>
      <c r="D2416" s="14" t="s">
        <v>90</v>
      </c>
      <c r="E2416">
        <v>8</v>
      </c>
      <c r="F2416" s="8">
        <f>VLOOKUP(financials[[#This Row],[productid]],Products!$B$2:$H$10,3)</f>
        <v>25</v>
      </c>
      <c r="G2416" s="8">
        <f>financials[[#This Row],[Units Sold]]*financials[[#This Row],[Sale Price]]</f>
        <v>200</v>
      </c>
      <c r="H2416" s="8">
        <f>IF(financials[[#This Row],[Discount Band]]="low",0.1,IF(financials[[#This Row],[Discount Band]]="medium",0.15,0.3))</f>
        <v>0.15</v>
      </c>
      <c r="I2416" s="8">
        <f>financials[[#This Row],[Gross Sales]]-financials[[#This Row],[Gross Sales]]*financials[[#This Row],[Discounts]]</f>
        <v>170</v>
      </c>
      <c r="J2416" s="8">
        <f>VLOOKUP(financials[[#This Row],[productid]],Products!$B$2:$H$10,4)</f>
        <v>9.1</v>
      </c>
      <c r="K2416" s="8">
        <f>financials[[#This Row],[Net Sales]]-financials[[#This Row],[COGS]]</f>
        <v>160.9</v>
      </c>
      <c r="L2416" s="15">
        <v>44983</v>
      </c>
      <c r="M2416" t="s">
        <v>700</v>
      </c>
    </row>
    <row r="2417" spans="1:13" x14ac:dyDescent="0.25">
      <c r="A2417" t="s">
        <v>86</v>
      </c>
      <c r="B2417" s="6" t="s">
        <v>159</v>
      </c>
      <c r="C2417" s="13">
        <v>105</v>
      </c>
      <c r="D2417" s="14" t="s">
        <v>90</v>
      </c>
      <c r="E2417">
        <v>11</v>
      </c>
      <c r="F2417" s="8">
        <f>VLOOKUP(financials[[#This Row],[productid]],Products!$B$2:$H$10,3)</f>
        <v>15</v>
      </c>
      <c r="G2417" s="8">
        <f>financials[[#This Row],[Units Sold]]*financials[[#This Row],[Sale Price]]</f>
        <v>165</v>
      </c>
      <c r="H2417" s="8">
        <f>IF(financials[[#This Row],[Discount Band]]="low",0.1,IF(financials[[#This Row],[Discount Band]]="medium",0.15,0.3))</f>
        <v>0.15</v>
      </c>
      <c r="I2417" s="8">
        <f>financials[[#This Row],[Gross Sales]]-financials[[#This Row],[Gross Sales]]*financials[[#This Row],[Discounts]]</f>
        <v>140.25</v>
      </c>
      <c r="J2417" s="8">
        <f>VLOOKUP(financials[[#This Row],[productid]],Products!$B$2:$H$10,4)</f>
        <v>10</v>
      </c>
      <c r="K2417" s="8">
        <f>financials[[#This Row],[Net Sales]]-financials[[#This Row],[COGS]]</f>
        <v>130.25</v>
      </c>
      <c r="L2417" s="15">
        <v>43943</v>
      </c>
      <c r="M2417" t="s">
        <v>700</v>
      </c>
    </row>
    <row r="2418" spans="1:13" x14ac:dyDescent="0.25">
      <c r="A2418" t="s">
        <v>89</v>
      </c>
      <c r="B2418" s="6" t="s">
        <v>124</v>
      </c>
      <c r="C2418" s="13">
        <v>105</v>
      </c>
      <c r="D2418" s="14" t="s">
        <v>92</v>
      </c>
      <c r="E2418">
        <v>10</v>
      </c>
      <c r="F2418" s="8">
        <f>VLOOKUP(financials[[#This Row],[productid]],Products!$B$2:$H$10,3)</f>
        <v>15</v>
      </c>
      <c r="G2418" s="8">
        <f>financials[[#This Row],[Units Sold]]*financials[[#This Row],[Sale Price]]</f>
        <v>150</v>
      </c>
      <c r="H2418" s="8">
        <f>IF(financials[[#This Row],[Discount Band]]="low",0.1,IF(financials[[#This Row],[Discount Band]]="medium",0.15,0.3))</f>
        <v>0.3</v>
      </c>
      <c r="I2418" s="8">
        <f>financials[[#This Row],[Gross Sales]]-financials[[#This Row],[Gross Sales]]*financials[[#This Row],[Discounts]]</f>
        <v>105</v>
      </c>
      <c r="J2418" s="8">
        <f>VLOOKUP(financials[[#This Row],[productid]],Products!$B$2:$H$10,4)</f>
        <v>10</v>
      </c>
      <c r="K2418" s="8">
        <f>financials[[#This Row],[Net Sales]]-financials[[#This Row],[COGS]]</f>
        <v>95</v>
      </c>
      <c r="L2418" s="15">
        <v>45371</v>
      </c>
      <c r="M2418" t="s">
        <v>690</v>
      </c>
    </row>
    <row r="2419" spans="1:13" x14ac:dyDescent="0.25">
      <c r="A2419" t="s">
        <v>87</v>
      </c>
      <c r="B2419" s="6" t="s">
        <v>617</v>
      </c>
      <c r="C2419" s="13">
        <v>106</v>
      </c>
      <c r="D2419" s="14" t="s">
        <v>83</v>
      </c>
      <c r="E2419">
        <v>12</v>
      </c>
      <c r="F2419" s="8">
        <f>VLOOKUP(financials[[#This Row],[productid]],Products!$B$2:$H$10,3)</f>
        <v>25</v>
      </c>
      <c r="G2419" s="8">
        <f>financials[[#This Row],[Units Sold]]*financials[[#This Row],[Sale Price]]</f>
        <v>300</v>
      </c>
      <c r="H2419" s="8">
        <f>IF(financials[[#This Row],[Discount Band]]="low",0.1,IF(financials[[#This Row],[Discount Band]]="medium",0.15,0.3))</f>
        <v>0.3</v>
      </c>
      <c r="I2419" s="8">
        <f>financials[[#This Row],[Gross Sales]]-financials[[#This Row],[Gross Sales]]*financials[[#This Row],[Discounts]]</f>
        <v>210</v>
      </c>
      <c r="J2419" s="8">
        <f>VLOOKUP(financials[[#This Row],[productid]],Products!$B$2:$H$10,4)</f>
        <v>9.1</v>
      </c>
      <c r="K2419" s="8">
        <f>financials[[#This Row],[Net Sales]]-financials[[#This Row],[COGS]]</f>
        <v>200.9</v>
      </c>
      <c r="L2419" s="15">
        <v>43940</v>
      </c>
      <c r="M2419" t="s">
        <v>690</v>
      </c>
    </row>
    <row r="2420" spans="1:13" x14ac:dyDescent="0.25">
      <c r="A2420" t="s">
        <v>87</v>
      </c>
      <c r="B2420" s="6" t="s">
        <v>268</v>
      </c>
      <c r="C2420" s="13">
        <v>104</v>
      </c>
      <c r="D2420" s="14" t="s">
        <v>91</v>
      </c>
      <c r="E2420">
        <v>20</v>
      </c>
      <c r="F2420" s="8">
        <f>VLOOKUP(financials[[#This Row],[productid]],Products!$B$2:$H$10,3)</f>
        <v>5.9</v>
      </c>
      <c r="G2420" s="8">
        <f>financials[[#This Row],[Units Sold]]*financials[[#This Row],[Sale Price]]</f>
        <v>118</v>
      </c>
      <c r="H2420" s="8">
        <f>IF(financials[[#This Row],[Discount Band]]="low",0.1,IF(financials[[#This Row],[Discount Band]]="medium",0.15,0.3))</f>
        <v>0.1</v>
      </c>
      <c r="I2420" s="8">
        <f>financials[[#This Row],[Gross Sales]]-financials[[#This Row],[Gross Sales]]*financials[[#This Row],[Discounts]]</f>
        <v>106.2</v>
      </c>
      <c r="J2420" s="8">
        <f>VLOOKUP(financials[[#This Row],[productid]],Products!$B$2:$H$10,4)</f>
        <v>2.9</v>
      </c>
      <c r="K2420" s="8">
        <f>financials[[#This Row],[Net Sales]]-financials[[#This Row],[COGS]]</f>
        <v>103.3</v>
      </c>
      <c r="L2420" s="15">
        <v>45019</v>
      </c>
      <c r="M2420" t="s">
        <v>696</v>
      </c>
    </row>
    <row r="2421" spans="1:13" x14ac:dyDescent="0.25">
      <c r="A2421" t="s">
        <v>89</v>
      </c>
      <c r="B2421" s="6" t="s">
        <v>84</v>
      </c>
      <c r="C2421" s="13">
        <v>106</v>
      </c>
      <c r="D2421" s="14" t="s">
        <v>83</v>
      </c>
      <c r="E2421">
        <v>6</v>
      </c>
      <c r="F2421" s="8">
        <f>VLOOKUP(financials[[#This Row],[productid]],Products!$B$2:$H$10,3)</f>
        <v>25</v>
      </c>
      <c r="G2421" s="8">
        <f>financials[[#This Row],[Units Sold]]*financials[[#This Row],[Sale Price]]</f>
        <v>150</v>
      </c>
      <c r="H2421" s="8">
        <f>IF(financials[[#This Row],[Discount Band]]="low",0.1,IF(financials[[#This Row],[Discount Band]]="medium",0.15,0.3))</f>
        <v>0.3</v>
      </c>
      <c r="I2421" s="8">
        <f>financials[[#This Row],[Gross Sales]]-financials[[#This Row],[Gross Sales]]*financials[[#This Row],[Discounts]]</f>
        <v>105</v>
      </c>
      <c r="J2421" s="8">
        <f>VLOOKUP(financials[[#This Row],[productid]],Products!$B$2:$H$10,4)</f>
        <v>9.1</v>
      </c>
      <c r="K2421" s="8">
        <f>financials[[#This Row],[Net Sales]]-financials[[#This Row],[COGS]]</f>
        <v>95.9</v>
      </c>
      <c r="L2421" s="15">
        <v>45412</v>
      </c>
      <c r="M2421" t="s">
        <v>691</v>
      </c>
    </row>
    <row r="2422" spans="1:13" x14ac:dyDescent="0.25">
      <c r="A2422" t="s">
        <v>86</v>
      </c>
      <c r="B2422" s="6" t="s">
        <v>124</v>
      </c>
      <c r="C2422" s="13">
        <v>104</v>
      </c>
      <c r="D2422" s="14" t="s">
        <v>83</v>
      </c>
      <c r="E2422">
        <v>14</v>
      </c>
      <c r="F2422" s="8">
        <f>VLOOKUP(financials[[#This Row],[productid]],Products!$B$2:$H$10,3)</f>
        <v>5.9</v>
      </c>
      <c r="G2422" s="8">
        <f>financials[[#This Row],[Units Sold]]*financials[[#This Row],[Sale Price]]</f>
        <v>82.600000000000009</v>
      </c>
      <c r="H2422" s="8">
        <f>IF(financials[[#This Row],[Discount Band]]="low",0.1,IF(financials[[#This Row],[Discount Band]]="medium",0.15,0.3))</f>
        <v>0.3</v>
      </c>
      <c r="I2422" s="8">
        <f>financials[[#This Row],[Gross Sales]]-financials[[#This Row],[Gross Sales]]*financials[[#This Row],[Discounts]]</f>
        <v>57.820000000000007</v>
      </c>
      <c r="J2422" s="8">
        <f>VLOOKUP(financials[[#This Row],[productid]],Products!$B$2:$H$10,4)</f>
        <v>2.9</v>
      </c>
      <c r="K2422" s="8">
        <f>financials[[#This Row],[Net Sales]]-financials[[#This Row],[COGS]]</f>
        <v>54.920000000000009</v>
      </c>
      <c r="L2422" s="15">
        <v>44186</v>
      </c>
      <c r="M2422" t="s">
        <v>700</v>
      </c>
    </row>
    <row r="2423" spans="1:13" x14ac:dyDescent="0.25">
      <c r="A2423" t="s">
        <v>87</v>
      </c>
      <c r="B2423" s="6" t="s">
        <v>148</v>
      </c>
      <c r="C2423" s="11">
        <v>104</v>
      </c>
      <c r="D2423" s="9" t="s">
        <v>91</v>
      </c>
      <c r="E2423">
        <v>7</v>
      </c>
      <c r="F2423" s="8">
        <f>VLOOKUP(financials[[#This Row],[productid]],Products!$B$2:$H$10,3)</f>
        <v>5.9</v>
      </c>
      <c r="G2423" s="8">
        <f>financials[[#This Row],[Units Sold]]*financials[[#This Row],[Sale Price]]</f>
        <v>41.300000000000004</v>
      </c>
      <c r="H2423" s="8">
        <f>IF(financials[[#This Row],[Discount Band]]="low",0.1,IF(financials[[#This Row],[Discount Band]]="medium",0.15,0.3))</f>
        <v>0.1</v>
      </c>
      <c r="I2423" s="8">
        <f>financials[[#This Row],[Gross Sales]]-financials[[#This Row],[Gross Sales]]*financials[[#This Row],[Discounts]]</f>
        <v>37.17</v>
      </c>
      <c r="J2423" s="8">
        <f>VLOOKUP(financials[[#This Row],[productid]],Products!$B$2:$H$10,4)</f>
        <v>2.9</v>
      </c>
      <c r="K2423" s="8">
        <f>financials[[#This Row],[Net Sales]]-financials[[#This Row],[COGS]]</f>
        <v>34.270000000000003</v>
      </c>
      <c r="L2423" s="15">
        <v>45225</v>
      </c>
      <c r="M2423" t="s">
        <v>690</v>
      </c>
    </row>
    <row r="2424" spans="1:13" x14ac:dyDescent="0.25">
      <c r="A2424" t="s">
        <v>87</v>
      </c>
      <c r="B2424" s="6" t="s">
        <v>228</v>
      </c>
      <c r="C2424" s="13">
        <v>103</v>
      </c>
      <c r="D2424" s="14" t="s">
        <v>91</v>
      </c>
      <c r="E2424">
        <v>16</v>
      </c>
      <c r="F2424" s="8">
        <f>VLOOKUP(financials[[#This Row],[productid]],Products!$B$2:$H$10,3)</f>
        <v>28</v>
      </c>
      <c r="G2424" s="8">
        <f>financials[[#This Row],[Units Sold]]*financials[[#This Row],[Sale Price]]</f>
        <v>448</v>
      </c>
      <c r="H2424" s="8">
        <f>IF(financials[[#This Row],[Discount Band]]="low",0.1,IF(financials[[#This Row],[Discount Band]]="medium",0.15,0.3))</f>
        <v>0.1</v>
      </c>
      <c r="I2424" s="8">
        <f>financials[[#This Row],[Gross Sales]]-financials[[#This Row],[Gross Sales]]*financials[[#This Row],[Discounts]]</f>
        <v>403.2</v>
      </c>
      <c r="J2424" s="8">
        <f>VLOOKUP(financials[[#This Row],[productid]],Products!$B$2:$H$10,4)</f>
        <v>15</v>
      </c>
      <c r="K2424" s="8">
        <f>financials[[#This Row],[Net Sales]]-financials[[#This Row],[COGS]]</f>
        <v>388.2</v>
      </c>
      <c r="L2424" s="15">
        <v>45050</v>
      </c>
      <c r="M2424" t="s">
        <v>700</v>
      </c>
    </row>
    <row r="2425" spans="1:13" x14ac:dyDescent="0.25">
      <c r="A2425" t="s">
        <v>87</v>
      </c>
      <c r="B2425" s="6" t="s">
        <v>148</v>
      </c>
      <c r="C2425" s="13">
        <v>104</v>
      </c>
      <c r="D2425" s="14" t="s">
        <v>91</v>
      </c>
      <c r="E2425">
        <v>17</v>
      </c>
      <c r="F2425" s="8">
        <f>VLOOKUP(financials[[#This Row],[productid]],Products!$B$2:$H$10,3)</f>
        <v>5.9</v>
      </c>
      <c r="G2425" s="8">
        <f>financials[[#This Row],[Units Sold]]*financials[[#This Row],[Sale Price]]</f>
        <v>100.30000000000001</v>
      </c>
      <c r="H2425" s="8">
        <f>IF(financials[[#This Row],[Discount Band]]="low",0.1,IF(financials[[#This Row],[Discount Band]]="medium",0.15,0.3))</f>
        <v>0.1</v>
      </c>
      <c r="I2425" s="8">
        <f>financials[[#This Row],[Gross Sales]]-financials[[#This Row],[Gross Sales]]*financials[[#This Row],[Discounts]]</f>
        <v>90.27000000000001</v>
      </c>
      <c r="J2425" s="8">
        <f>VLOOKUP(financials[[#This Row],[productid]],Products!$B$2:$H$10,4)</f>
        <v>2.9</v>
      </c>
      <c r="K2425" s="8">
        <f>financials[[#This Row],[Net Sales]]-financials[[#This Row],[COGS]]</f>
        <v>87.37</v>
      </c>
      <c r="L2425" s="15">
        <v>44758</v>
      </c>
      <c r="M2425" t="s">
        <v>700</v>
      </c>
    </row>
    <row r="2426" spans="1:13" x14ac:dyDescent="0.25">
      <c r="A2426" t="s">
        <v>86</v>
      </c>
      <c r="B2426" s="6" t="s">
        <v>84</v>
      </c>
      <c r="C2426" s="11">
        <v>102</v>
      </c>
      <c r="D2426" s="9" t="s">
        <v>83</v>
      </c>
      <c r="E2426">
        <v>8</v>
      </c>
      <c r="F2426" s="8">
        <f>VLOOKUP(financials[[#This Row],[productid]],Products!$B$2:$H$10,3)</f>
        <v>15</v>
      </c>
      <c r="G2426" s="8">
        <f>financials[[#This Row],[Units Sold]]*financials[[#This Row],[Sale Price]]</f>
        <v>120</v>
      </c>
      <c r="H2426" s="8">
        <f>IF(financials[[#This Row],[Discount Band]]="low",0.1,IF(financials[[#This Row],[Discount Band]]="medium",0.15,0.3))</f>
        <v>0.3</v>
      </c>
      <c r="I2426" s="8">
        <f>financials[[#This Row],[Gross Sales]]-financials[[#This Row],[Gross Sales]]*financials[[#This Row],[Discounts]]</f>
        <v>84</v>
      </c>
      <c r="J2426" s="8">
        <f>VLOOKUP(financials[[#This Row],[productid]],Products!$B$2:$H$10,4)</f>
        <v>13.95</v>
      </c>
      <c r="K2426" s="8">
        <f>financials[[#This Row],[Net Sales]]-financials[[#This Row],[COGS]]</f>
        <v>70.05</v>
      </c>
      <c r="L2426" s="15">
        <v>44769</v>
      </c>
      <c r="M2426" t="s">
        <v>697</v>
      </c>
    </row>
    <row r="2427" spans="1:13" x14ac:dyDescent="0.25">
      <c r="A2427" t="s">
        <v>87</v>
      </c>
      <c r="B2427" s="6" t="s">
        <v>240</v>
      </c>
      <c r="C2427" s="13">
        <v>103</v>
      </c>
      <c r="D2427" s="14" t="s">
        <v>91</v>
      </c>
      <c r="E2427">
        <v>19</v>
      </c>
      <c r="F2427" s="8">
        <f>VLOOKUP(financials[[#This Row],[productid]],Products!$B$2:$H$10,3)</f>
        <v>28</v>
      </c>
      <c r="G2427" s="8">
        <f>financials[[#This Row],[Units Sold]]*financials[[#This Row],[Sale Price]]</f>
        <v>532</v>
      </c>
      <c r="H2427" s="8">
        <f>IF(financials[[#This Row],[Discount Band]]="low",0.1,IF(financials[[#This Row],[Discount Band]]="medium",0.15,0.3))</f>
        <v>0.1</v>
      </c>
      <c r="I2427" s="8">
        <f>financials[[#This Row],[Gross Sales]]-financials[[#This Row],[Gross Sales]]*financials[[#This Row],[Discounts]]</f>
        <v>478.8</v>
      </c>
      <c r="J2427" s="8">
        <f>VLOOKUP(financials[[#This Row],[productid]],Products!$B$2:$H$10,4)</f>
        <v>15</v>
      </c>
      <c r="K2427" s="8">
        <f>financials[[#This Row],[Net Sales]]-financials[[#This Row],[COGS]]</f>
        <v>463.8</v>
      </c>
      <c r="L2427" s="15">
        <v>44757</v>
      </c>
      <c r="M2427" t="s">
        <v>690</v>
      </c>
    </row>
    <row r="2428" spans="1:13" x14ac:dyDescent="0.25">
      <c r="A2428" t="s">
        <v>87</v>
      </c>
      <c r="B2428" s="6" t="s">
        <v>167</v>
      </c>
      <c r="C2428" s="13">
        <v>104</v>
      </c>
      <c r="D2428" s="14" t="s">
        <v>83</v>
      </c>
      <c r="E2428">
        <v>11</v>
      </c>
      <c r="F2428" s="8">
        <f>VLOOKUP(financials[[#This Row],[productid]],Products!$B$2:$H$10,3)</f>
        <v>5.9</v>
      </c>
      <c r="G2428" s="8">
        <f>financials[[#This Row],[Units Sold]]*financials[[#This Row],[Sale Price]]</f>
        <v>64.900000000000006</v>
      </c>
      <c r="H2428" s="8">
        <f>IF(financials[[#This Row],[Discount Band]]="low",0.1,IF(financials[[#This Row],[Discount Band]]="medium",0.15,0.3))</f>
        <v>0.3</v>
      </c>
      <c r="I2428" s="8">
        <f>financials[[#This Row],[Gross Sales]]-financials[[#This Row],[Gross Sales]]*financials[[#This Row],[Discounts]]</f>
        <v>45.430000000000007</v>
      </c>
      <c r="J2428" s="8">
        <f>VLOOKUP(financials[[#This Row],[productid]],Products!$B$2:$H$10,4)</f>
        <v>2.9</v>
      </c>
      <c r="K2428" s="8">
        <f>financials[[#This Row],[Net Sales]]-financials[[#This Row],[COGS]]</f>
        <v>42.530000000000008</v>
      </c>
      <c r="L2428" s="15">
        <v>44019</v>
      </c>
      <c r="M2428" t="s">
        <v>691</v>
      </c>
    </row>
    <row r="2429" spans="1:13" x14ac:dyDescent="0.25">
      <c r="A2429" t="s">
        <v>87</v>
      </c>
      <c r="B2429" s="6" t="s">
        <v>232</v>
      </c>
      <c r="C2429" s="13">
        <v>104</v>
      </c>
      <c r="D2429" s="14" t="s">
        <v>91</v>
      </c>
      <c r="E2429">
        <v>16</v>
      </c>
      <c r="F2429" s="8">
        <f>VLOOKUP(financials[[#This Row],[productid]],Products!$B$2:$H$10,3)</f>
        <v>5.9</v>
      </c>
      <c r="G2429" s="8">
        <f>financials[[#This Row],[Units Sold]]*financials[[#This Row],[Sale Price]]</f>
        <v>94.4</v>
      </c>
      <c r="H2429" s="8">
        <f>IF(financials[[#This Row],[Discount Band]]="low",0.1,IF(financials[[#This Row],[Discount Band]]="medium",0.15,0.3))</f>
        <v>0.1</v>
      </c>
      <c r="I2429" s="8">
        <f>financials[[#This Row],[Gross Sales]]-financials[[#This Row],[Gross Sales]]*financials[[#This Row],[Discounts]]</f>
        <v>84.960000000000008</v>
      </c>
      <c r="J2429" s="8">
        <f>VLOOKUP(financials[[#This Row],[productid]],Products!$B$2:$H$10,4)</f>
        <v>2.9</v>
      </c>
      <c r="K2429" s="8">
        <f>financials[[#This Row],[Net Sales]]-financials[[#This Row],[COGS]]</f>
        <v>82.06</v>
      </c>
      <c r="L2429" s="15">
        <v>44768</v>
      </c>
      <c r="M2429" t="s">
        <v>700</v>
      </c>
    </row>
    <row r="2430" spans="1:13" x14ac:dyDescent="0.25">
      <c r="A2430" t="s">
        <v>86</v>
      </c>
      <c r="B2430" s="6" t="s">
        <v>84</v>
      </c>
      <c r="C2430" s="13">
        <v>105</v>
      </c>
      <c r="D2430" s="14" t="s">
        <v>83</v>
      </c>
      <c r="E2430">
        <v>9</v>
      </c>
      <c r="F2430" s="8">
        <f>VLOOKUP(financials[[#This Row],[productid]],Products!$B$2:$H$10,3)</f>
        <v>15</v>
      </c>
      <c r="G2430" s="8">
        <f>financials[[#This Row],[Units Sold]]*financials[[#This Row],[Sale Price]]</f>
        <v>135</v>
      </c>
      <c r="H2430" s="8">
        <f>IF(financials[[#This Row],[Discount Band]]="low",0.1,IF(financials[[#This Row],[Discount Band]]="medium",0.15,0.3))</f>
        <v>0.3</v>
      </c>
      <c r="I2430" s="8">
        <f>financials[[#This Row],[Gross Sales]]-financials[[#This Row],[Gross Sales]]*financials[[#This Row],[Discounts]]</f>
        <v>94.5</v>
      </c>
      <c r="J2430" s="8">
        <f>VLOOKUP(financials[[#This Row],[productid]],Products!$B$2:$H$10,4)</f>
        <v>10</v>
      </c>
      <c r="K2430" s="8">
        <f>financials[[#This Row],[Net Sales]]-financials[[#This Row],[COGS]]</f>
        <v>84.5</v>
      </c>
      <c r="L2430" s="15">
        <v>45230</v>
      </c>
      <c r="M2430" t="s">
        <v>690</v>
      </c>
    </row>
    <row r="2431" spans="1:13" x14ac:dyDescent="0.25">
      <c r="A2431" t="s">
        <v>89</v>
      </c>
      <c r="B2431" s="6" t="s">
        <v>159</v>
      </c>
      <c r="C2431" s="13">
        <v>109</v>
      </c>
      <c r="D2431" s="14" t="s">
        <v>83</v>
      </c>
      <c r="E2431">
        <v>12</v>
      </c>
      <c r="F2431" s="8">
        <f>VLOOKUP(financials[[#This Row],[productid]],Products!$B$2:$H$10,3)</f>
        <v>36</v>
      </c>
      <c r="G2431" s="8">
        <f>financials[[#This Row],[Units Sold]]*financials[[#This Row],[Sale Price]]</f>
        <v>432</v>
      </c>
      <c r="H2431" s="8">
        <f>IF(financials[[#This Row],[Discount Band]]="low",0.1,IF(financials[[#This Row],[Discount Band]]="medium",0.15,0.3))</f>
        <v>0.3</v>
      </c>
      <c r="I2431" s="8">
        <f>financials[[#This Row],[Gross Sales]]-financials[[#This Row],[Gross Sales]]*financials[[#This Row],[Discounts]]</f>
        <v>302.39999999999998</v>
      </c>
      <c r="J2431" s="8">
        <f>VLOOKUP(financials[[#This Row],[productid]],Products!$B$2:$H$10,4)</f>
        <v>16.8</v>
      </c>
      <c r="K2431" s="8">
        <f>financials[[#This Row],[Net Sales]]-financials[[#This Row],[COGS]]</f>
        <v>285.59999999999997</v>
      </c>
      <c r="L2431" s="15">
        <v>43990</v>
      </c>
      <c r="M2431" t="s">
        <v>700</v>
      </c>
    </row>
    <row r="2432" spans="1:13" x14ac:dyDescent="0.25">
      <c r="A2432" t="s">
        <v>86</v>
      </c>
      <c r="B2432" s="6" t="s">
        <v>84</v>
      </c>
      <c r="C2432" s="13">
        <v>101</v>
      </c>
      <c r="D2432" s="14" t="s">
        <v>90</v>
      </c>
      <c r="E2432">
        <v>14</v>
      </c>
      <c r="F2432" s="8">
        <f>VLOOKUP(financials[[#This Row],[productid]],Products!$B$2:$H$10,3)</f>
        <v>23</v>
      </c>
      <c r="G2432" s="8">
        <f>financials[[#This Row],[Units Sold]]*financials[[#This Row],[Sale Price]]</f>
        <v>322</v>
      </c>
      <c r="H2432" s="8">
        <f>IF(financials[[#This Row],[Discount Band]]="low",0.1,IF(financials[[#This Row],[Discount Band]]="medium",0.15,0.3))</f>
        <v>0.15</v>
      </c>
      <c r="I2432" s="8">
        <f>financials[[#This Row],[Gross Sales]]-financials[[#This Row],[Gross Sales]]*financials[[#This Row],[Discounts]]</f>
        <v>273.7</v>
      </c>
      <c r="J2432" s="8">
        <f>VLOOKUP(financials[[#This Row],[productid]],Products!$B$2:$H$10,4)</f>
        <v>9.9499999999999993</v>
      </c>
      <c r="K2432" s="8">
        <f>financials[[#This Row],[Net Sales]]-financials[[#This Row],[COGS]]</f>
        <v>263.75</v>
      </c>
      <c r="L2432" s="15">
        <v>43840</v>
      </c>
      <c r="M2432" t="s">
        <v>697</v>
      </c>
    </row>
    <row r="2433" spans="1:13" x14ac:dyDescent="0.25">
      <c r="A2433" t="s">
        <v>87</v>
      </c>
      <c r="B2433" s="6" t="s">
        <v>228</v>
      </c>
      <c r="C2433" s="11">
        <v>101</v>
      </c>
      <c r="D2433" s="9" t="s">
        <v>92</v>
      </c>
      <c r="E2433">
        <v>11</v>
      </c>
      <c r="F2433" s="8">
        <f>VLOOKUP(financials[[#This Row],[productid]],Products!$B$2:$H$10,3)</f>
        <v>23</v>
      </c>
      <c r="G2433" s="8">
        <f>financials[[#This Row],[Units Sold]]*financials[[#This Row],[Sale Price]]</f>
        <v>253</v>
      </c>
      <c r="H2433" s="8">
        <f>IF(financials[[#This Row],[Discount Band]]="low",0.1,IF(financials[[#This Row],[Discount Band]]="medium",0.15,0.3))</f>
        <v>0.3</v>
      </c>
      <c r="I2433" s="8">
        <f>financials[[#This Row],[Gross Sales]]-financials[[#This Row],[Gross Sales]]*financials[[#This Row],[Discounts]]</f>
        <v>177.10000000000002</v>
      </c>
      <c r="J2433" s="8">
        <f>VLOOKUP(financials[[#This Row],[productid]],Products!$B$2:$H$10,4)</f>
        <v>9.9499999999999993</v>
      </c>
      <c r="K2433" s="8">
        <f>financials[[#This Row],[Net Sales]]-financials[[#This Row],[COGS]]</f>
        <v>167.15000000000003</v>
      </c>
      <c r="L2433" s="15">
        <v>44440</v>
      </c>
      <c r="M2433" t="s">
        <v>700</v>
      </c>
    </row>
    <row r="2434" spans="1:13" x14ac:dyDescent="0.25">
      <c r="A2434" t="s">
        <v>87</v>
      </c>
      <c r="B2434" s="6" t="s">
        <v>240</v>
      </c>
      <c r="C2434" s="13">
        <v>107</v>
      </c>
      <c r="D2434" s="14" t="s">
        <v>91</v>
      </c>
      <c r="E2434">
        <v>8</v>
      </c>
      <c r="F2434" s="8">
        <f>VLOOKUP(financials[[#This Row],[productid]],Products!$B$2:$H$10,3)</f>
        <v>15</v>
      </c>
      <c r="G2434" s="8">
        <f>financials[[#This Row],[Units Sold]]*financials[[#This Row],[Sale Price]]</f>
        <v>120</v>
      </c>
      <c r="H2434" s="8">
        <f>IF(financials[[#This Row],[Discount Band]]="low",0.1,IF(financials[[#This Row],[Discount Band]]="medium",0.15,0.3))</f>
        <v>0.1</v>
      </c>
      <c r="I2434" s="8">
        <f>financials[[#This Row],[Gross Sales]]-financials[[#This Row],[Gross Sales]]*financials[[#This Row],[Discounts]]</f>
        <v>108</v>
      </c>
      <c r="J2434" s="8">
        <f>VLOOKUP(financials[[#This Row],[productid]],Products!$B$2:$H$10,4)</f>
        <v>5.5</v>
      </c>
      <c r="K2434" s="8">
        <f>financials[[#This Row],[Net Sales]]-financials[[#This Row],[COGS]]</f>
        <v>102.5</v>
      </c>
      <c r="L2434" s="15">
        <v>45621</v>
      </c>
      <c r="M2434" t="s">
        <v>700</v>
      </c>
    </row>
    <row r="2435" spans="1:13" x14ac:dyDescent="0.25">
      <c r="A2435" t="s">
        <v>85</v>
      </c>
      <c r="B2435" s="6" t="s">
        <v>159</v>
      </c>
      <c r="C2435" s="13">
        <v>101</v>
      </c>
      <c r="D2435" s="14" t="s">
        <v>90</v>
      </c>
      <c r="E2435">
        <v>12</v>
      </c>
      <c r="F2435" s="8">
        <f>VLOOKUP(financials[[#This Row],[productid]],Products!$B$2:$H$10,3)</f>
        <v>23</v>
      </c>
      <c r="G2435" s="8">
        <f>financials[[#This Row],[Units Sold]]*financials[[#This Row],[Sale Price]]</f>
        <v>276</v>
      </c>
      <c r="H2435" s="8">
        <f>IF(financials[[#This Row],[Discount Band]]="low",0.1,IF(financials[[#This Row],[Discount Band]]="medium",0.15,0.3))</f>
        <v>0.15</v>
      </c>
      <c r="I2435" s="8">
        <f>financials[[#This Row],[Gross Sales]]-financials[[#This Row],[Gross Sales]]*financials[[#This Row],[Discounts]]</f>
        <v>234.6</v>
      </c>
      <c r="J2435" s="8">
        <f>VLOOKUP(financials[[#This Row],[productid]],Products!$B$2:$H$10,4)</f>
        <v>9.9499999999999993</v>
      </c>
      <c r="K2435" s="8">
        <f>financials[[#This Row],[Net Sales]]-financials[[#This Row],[COGS]]</f>
        <v>224.65</v>
      </c>
      <c r="L2435" s="15">
        <v>45272</v>
      </c>
      <c r="M2435" t="s">
        <v>697</v>
      </c>
    </row>
    <row r="2436" spans="1:13" x14ac:dyDescent="0.25">
      <c r="A2436" t="s">
        <v>86</v>
      </c>
      <c r="B2436" s="6" t="s">
        <v>84</v>
      </c>
      <c r="C2436" s="13">
        <v>107</v>
      </c>
      <c r="D2436" s="14" t="s">
        <v>83</v>
      </c>
      <c r="E2436">
        <v>18</v>
      </c>
      <c r="F2436" s="8">
        <f>VLOOKUP(financials[[#This Row],[productid]],Products!$B$2:$H$10,3)</f>
        <v>15</v>
      </c>
      <c r="G2436" s="8">
        <f>financials[[#This Row],[Units Sold]]*financials[[#This Row],[Sale Price]]</f>
        <v>270</v>
      </c>
      <c r="H2436" s="8">
        <f>IF(financials[[#This Row],[Discount Band]]="low",0.1,IF(financials[[#This Row],[Discount Band]]="medium",0.15,0.3))</f>
        <v>0.3</v>
      </c>
      <c r="I2436" s="8">
        <f>financials[[#This Row],[Gross Sales]]-financials[[#This Row],[Gross Sales]]*financials[[#This Row],[Discounts]]</f>
        <v>189</v>
      </c>
      <c r="J2436" s="8">
        <f>VLOOKUP(financials[[#This Row],[productid]],Products!$B$2:$H$10,4)</f>
        <v>5.5</v>
      </c>
      <c r="K2436" s="8">
        <f>financials[[#This Row],[Net Sales]]-financials[[#This Row],[COGS]]</f>
        <v>183.5</v>
      </c>
      <c r="L2436" s="15">
        <v>44398</v>
      </c>
      <c r="M2436" t="s">
        <v>691</v>
      </c>
    </row>
    <row r="2437" spans="1:13" x14ac:dyDescent="0.25">
      <c r="A2437" t="s">
        <v>87</v>
      </c>
      <c r="B2437" s="6" t="s">
        <v>94</v>
      </c>
      <c r="C2437" s="11">
        <v>107</v>
      </c>
      <c r="D2437" s="9" t="s">
        <v>92</v>
      </c>
      <c r="E2437">
        <v>5</v>
      </c>
      <c r="F2437" s="8">
        <f>VLOOKUP(financials[[#This Row],[productid]],Products!$B$2:$H$10,3)</f>
        <v>15</v>
      </c>
      <c r="G2437" s="8">
        <f>financials[[#This Row],[Units Sold]]*financials[[#This Row],[Sale Price]]</f>
        <v>75</v>
      </c>
      <c r="H2437" s="8">
        <f>IF(financials[[#This Row],[Discount Band]]="low",0.1,IF(financials[[#This Row],[Discount Band]]="medium",0.15,0.3))</f>
        <v>0.3</v>
      </c>
      <c r="I2437" s="8">
        <f>financials[[#This Row],[Gross Sales]]-financials[[#This Row],[Gross Sales]]*financials[[#This Row],[Discounts]]</f>
        <v>52.5</v>
      </c>
      <c r="J2437" s="8">
        <f>VLOOKUP(financials[[#This Row],[productid]],Products!$B$2:$H$10,4)</f>
        <v>5.5</v>
      </c>
      <c r="K2437" s="8">
        <f>financials[[#This Row],[Net Sales]]-financials[[#This Row],[COGS]]</f>
        <v>47</v>
      </c>
      <c r="L2437" s="15">
        <v>43959</v>
      </c>
      <c r="M2437" t="s">
        <v>697</v>
      </c>
    </row>
    <row r="2438" spans="1:13" x14ac:dyDescent="0.25">
      <c r="A2438" t="s">
        <v>87</v>
      </c>
      <c r="B2438" s="6" t="s">
        <v>240</v>
      </c>
      <c r="C2438" s="13">
        <v>109</v>
      </c>
      <c r="D2438" s="14" t="s">
        <v>90</v>
      </c>
      <c r="E2438">
        <v>8</v>
      </c>
      <c r="F2438" s="8">
        <f>VLOOKUP(financials[[#This Row],[productid]],Products!$B$2:$H$10,3)</f>
        <v>36</v>
      </c>
      <c r="G2438" s="8">
        <f>financials[[#This Row],[Units Sold]]*financials[[#This Row],[Sale Price]]</f>
        <v>288</v>
      </c>
      <c r="H2438" s="8">
        <f>IF(financials[[#This Row],[Discount Band]]="low",0.1,IF(financials[[#This Row],[Discount Band]]="medium",0.15,0.3))</f>
        <v>0.15</v>
      </c>
      <c r="I2438" s="8">
        <f>financials[[#This Row],[Gross Sales]]-financials[[#This Row],[Gross Sales]]*financials[[#This Row],[Discounts]]</f>
        <v>244.8</v>
      </c>
      <c r="J2438" s="8">
        <f>VLOOKUP(financials[[#This Row],[productid]],Products!$B$2:$H$10,4)</f>
        <v>16.8</v>
      </c>
      <c r="K2438" s="8">
        <f>financials[[#This Row],[Net Sales]]-financials[[#This Row],[COGS]]</f>
        <v>228</v>
      </c>
      <c r="L2438" s="15">
        <v>44939</v>
      </c>
      <c r="M2438" t="s">
        <v>700</v>
      </c>
    </row>
    <row r="2439" spans="1:13" x14ac:dyDescent="0.25">
      <c r="A2439" t="s">
        <v>86</v>
      </c>
      <c r="B2439" s="6" t="s">
        <v>159</v>
      </c>
      <c r="C2439" s="13">
        <v>102</v>
      </c>
      <c r="D2439" s="14" t="s">
        <v>90</v>
      </c>
      <c r="E2439">
        <v>12</v>
      </c>
      <c r="F2439" s="8">
        <f>VLOOKUP(financials[[#This Row],[productid]],Products!$B$2:$H$10,3)</f>
        <v>15</v>
      </c>
      <c r="G2439" s="8">
        <f>financials[[#This Row],[Units Sold]]*financials[[#This Row],[Sale Price]]</f>
        <v>180</v>
      </c>
      <c r="H2439" s="8">
        <f>IF(financials[[#This Row],[Discount Band]]="low",0.1,IF(financials[[#This Row],[Discount Band]]="medium",0.15,0.3))</f>
        <v>0.15</v>
      </c>
      <c r="I2439" s="8">
        <f>financials[[#This Row],[Gross Sales]]-financials[[#This Row],[Gross Sales]]*financials[[#This Row],[Discounts]]</f>
        <v>153</v>
      </c>
      <c r="J2439" s="8">
        <f>VLOOKUP(financials[[#This Row],[productid]],Products!$B$2:$H$10,4)</f>
        <v>13.95</v>
      </c>
      <c r="K2439" s="8">
        <f>financials[[#This Row],[Net Sales]]-financials[[#This Row],[COGS]]</f>
        <v>139.05000000000001</v>
      </c>
      <c r="L2439" s="15">
        <v>45358</v>
      </c>
      <c r="M2439" t="s">
        <v>697</v>
      </c>
    </row>
    <row r="2440" spans="1:13" x14ac:dyDescent="0.25">
      <c r="A2440" t="s">
        <v>87</v>
      </c>
      <c r="B2440" s="6" t="s">
        <v>274</v>
      </c>
      <c r="C2440" s="13">
        <v>102</v>
      </c>
      <c r="D2440" s="14" t="s">
        <v>90</v>
      </c>
      <c r="E2440">
        <v>7</v>
      </c>
      <c r="F2440" s="8">
        <f>VLOOKUP(financials[[#This Row],[productid]],Products!$B$2:$H$10,3)</f>
        <v>15</v>
      </c>
      <c r="G2440" s="8">
        <f>financials[[#This Row],[Units Sold]]*financials[[#This Row],[Sale Price]]</f>
        <v>105</v>
      </c>
      <c r="H2440" s="8">
        <f>IF(financials[[#This Row],[Discount Band]]="low",0.1,IF(financials[[#This Row],[Discount Band]]="medium",0.15,0.3))</f>
        <v>0.15</v>
      </c>
      <c r="I2440" s="8">
        <f>financials[[#This Row],[Gross Sales]]-financials[[#This Row],[Gross Sales]]*financials[[#This Row],[Discounts]]</f>
        <v>89.25</v>
      </c>
      <c r="J2440" s="8">
        <f>VLOOKUP(financials[[#This Row],[productid]],Products!$B$2:$H$10,4)</f>
        <v>13.95</v>
      </c>
      <c r="K2440" s="8">
        <f>financials[[#This Row],[Net Sales]]-financials[[#This Row],[COGS]]</f>
        <v>75.3</v>
      </c>
      <c r="L2440" s="15">
        <v>45468</v>
      </c>
      <c r="M2440" t="s">
        <v>690</v>
      </c>
    </row>
    <row r="2441" spans="1:13" x14ac:dyDescent="0.25">
      <c r="A2441" t="s">
        <v>85</v>
      </c>
      <c r="B2441" s="6" t="s">
        <v>159</v>
      </c>
      <c r="C2441" s="11">
        <v>106</v>
      </c>
      <c r="D2441" s="9" t="s">
        <v>92</v>
      </c>
      <c r="E2441">
        <v>8</v>
      </c>
      <c r="F2441" s="8">
        <f>VLOOKUP(financials[[#This Row],[productid]],Products!$B$2:$H$10,3)</f>
        <v>25</v>
      </c>
      <c r="G2441" s="8">
        <f>financials[[#This Row],[Units Sold]]*financials[[#This Row],[Sale Price]]</f>
        <v>200</v>
      </c>
      <c r="H2441" s="8">
        <f>IF(financials[[#This Row],[Discount Band]]="low",0.1,IF(financials[[#This Row],[Discount Band]]="medium",0.15,0.3))</f>
        <v>0.3</v>
      </c>
      <c r="I2441" s="8">
        <f>financials[[#This Row],[Gross Sales]]-financials[[#This Row],[Gross Sales]]*financials[[#This Row],[Discounts]]</f>
        <v>140</v>
      </c>
      <c r="J2441" s="8">
        <f>VLOOKUP(financials[[#This Row],[productid]],Products!$B$2:$H$10,4)</f>
        <v>9.1</v>
      </c>
      <c r="K2441" s="8">
        <f>financials[[#This Row],[Net Sales]]-financials[[#This Row],[COGS]]</f>
        <v>130.9</v>
      </c>
      <c r="L2441" s="15">
        <v>45601</v>
      </c>
      <c r="M2441" t="s">
        <v>691</v>
      </c>
    </row>
    <row r="2442" spans="1:13" x14ac:dyDescent="0.25">
      <c r="A2442" t="s">
        <v>89</v>
      </c>
      <c r="B2442" s="6" t="s">
        <v>84</v>
      </c>
      <c r="C2442" s="11">
        <v>104</v>
      </c>
      <c r="D2442" s="9" t="s">
        <v>90</v>
      </c>
      <c r="E2442">
        <v>15</v>
      </c>
      <c r="F2442" s="8">
        <f>VLOOKUP(financials[[#This Row],[productid]],Products!$B$2:$H$10,3)</f>
        <v>5.9</v>
      </c>
      <c r="G2442" s="8">
        <f>financials[[#This Row],[Units Sold]]*financials[[#This Row],[Sale Price]]</f>
        <v>88.5</v>
      </c>
      <c r="H2442" s="8">
        <f>IF(financials[[#This Row],[Discount Band]]="low",0.1,IF(financials[[#This Row],[Discount Band]]="medium",0.15,0.3))</f>
        <v>0.15</v>
      </c>
      <c r="I2442" s="8">
        <f>financials[[#This Row],[Gross Sales]]-financials[[#This Row],[Gross Sales]]*financials[[#This Row],[Discounts]]</f>
        <v>75.224999999999994</v>
      </c>
      <c r="J2442" s="8">
        <f>VLOOKUP(financials[[#This Row],[productid]],Products!$B$2:$H$10,4)</f>
        <v>2.9</v>
      </c>
      <c r="K2442" s="8">
        <f>financials[[#This Row],[Net Sales]]-financials[[#This Row],[COGS]]</f>
        <v>72.324999999999989</v>
      </c>
      <c r="L2442" s="15">
        <v>44529</v>
      </c>
      <c r="M2442" t="s">
        <v>696</v>
      </c>
    </row>
    <row r="2443" spans="1:13" x14ac:dyDescent="0.25">
      <c r="A2443" t="s">
        <v>88</v>
      </c>
      <c r="B2443" s="6" t="s">
        <v>644</v>
      </c>
      <c r="C2443" s="13">
        <v>106</v>
      </c>
      <c r="D2443" s="14" t="s">
        <v>91</v>
      </c>
      <c r="E2443">
        <v>9</v>
      </c>
      <c r="F2443" s="8">
        <f>VLOOKUP(financials[[#This Row],[productid]],Products!$B$2:$H$10,3)</f>
        <v>25</v>
      </c>
      <c r="G2443" s="8">
        <f>financials[[#This Row],[Units Sold]]*financials[[#This Row],[Sale Price]]</f>
        <v>225</v>
      </c>
      <c r="H2443" s="8">
        <f>IF(financials[[#This Row],[Discount Band]]="low",0.1,IF(financials[[#This Row],[Discount Band]]="medium",0.15,0.3))</f>
        <v>0.1</v>
      </c>
      <c r="I2443" s="8">
        <f>financials[[#This Row],[Gross Sales]]-financials[[#This Row],[Gross Sales]]*financials[[#This Row],[Discounts]]</f>
        <v>202.5</v>
      </c>
      <c r="J2443" s="8">
        <f>VLOOKUP(financials[[#This Row],[productid]],Products!$B$2:$H$10,4)</f>
        <v>9.1</v>
      </c>
      <c r="K2443" s="8">
        <f>financials[[#This Row],[Net Sales]]-financials[[#This Row],[COGS]]</f>
        <v>193.4</v>
      </c>
      <c r="L2443" s="15">
        <v>44658</v>
      </c>
      <c r="M2443" t="s">
        <v>700</v>
      </c>
    </row>
    <row r="2444" spans="1:13" x14ac:dyDescent="0.25">
      <c r="A2444" t="s">
        <v>87</v>
      </c>
      <c r="B2444" s="6" t="s">
        <v>545</v>
      </c>
      <c r="C2444" s="13">
        <v>109</v>
      </c>
      <c r="D2444" s="14" t="s">
        <v>83</v>
      </c>
      <c r="E2444">
        <v>14</v>
      </c>
      <c r="F2444" s="8">
        <f>VLOOKUP(financials[[#This Row],[productid]],Products!$B$2:$H$10,3)</f>
        <v>36</v>
      </c>
      <c r="G2444" s="8">
        <f>financials[[#This Row],[Units Sold]]*financials[[#This Row],[Sale Price]]</f>
        <v>504</v>
      </c>
      <c r="H2444" s="8">
        <f>IF(financials[[#This Row],[Discount Band]]="low",0.1,IF(financials[[#This Row],[Discount Band]]="medium",0.15,0.3))</f>
        <v>0.3</v>
      </c>
      <c r="I2444" s="8">
        <f>financials[[#This Row],[Gross Sales]]-financials[[#This Row],[Gross Sales]]*financials[[#This Row],[Discounts]]</f>
        <v>352.8</v>
      </c>
      <c r="J2444" s="8">
        <f>VLOOKUP(financials[[#This Row],[productid]],Products!$B$2:$H$10,4)</f>
        <v>16.8</v>
      </c>
      <c r="K2444" s="8">
        <f>financials[[#This Row],[Net Sales]]-financials[[#This Row],[COGS]]</f>
        <v>336</v>
      </c>
      <c r="L2444" s="15">
        <v>44141</v>
      </c>
      <c r="M2444" t="s">
        <v>696</v>
      </c>
    </row>
    <row r="2445" spans="1:13" x14ac:dyDescent="0.25">
      <c r="A2445" t="s">
        <v>89</v>
      </c>
      <c r="B2445" s="6" t="s">
        <v>84</v>
      </c>
      <c r="C2445" s="13">
        <v>101</v>
      </c>
      <c r="D2445" s="14" t="s">
        <v>90</v>
      </c>
      <c r="E2445">
        <v>18</v>
      </c>
      <c r="F2445" s="8">
        <f>VLOOKUP(financials[[#This Row],[productid]],Products!$B$2:$H$10,3)</f>
        <v>23</v>
      </c>
      <c r="G2445" s="8">
        <f>financials[[#This Row],[Units Sold]]*financials[[#This Row],[Sale Price]]</f>
        <v>414</v>
      </c>
      <c r="H2445" s="8">
        <f>IF(financials[[#This Row],[Discount Band]]="low",0.1,IF(financials[[#This Row],[Discount Band]]="medium",0.15,0.3))</f>
        <v>0.15</v>
      </c>
      <c r="I2445" s="8">
        <f>financials[[#This Row],[Gross Sales]]-financials[[#This Row],[Gross Sales]]*financials[[#This Row],[Discounts]]</f>
        <v>351.9</v>
      </c>
      <c r="J2445" s="8">
        <f>VLOOKUP(financials[[#This Row],[productid]],Products!$B$2:$H$10,4)</f>
        <v>9.9499999999999993</v>
      </c>
      <c r="K2445" s="8">
        <f>financials[[#This Row],[Net Sales]]-financials[[#This Row],[COGS]]</f>
        <v>341.95</v>
      </c>
      <c r="L2445" s="15">
        <v>45313</v>
      </c>
      <c r="M2445" t="s">
        <v>690</v>
      </c>
    </row>
    <row r="2446" spans="1:13" x14ac:dyDescent="0.25">
      <c r="A2446" t="s">
        <v>89</v>
      </c>
      <c r="B2446" s="6" t="s">
        <v>84</v>
      </c>
      <c r="C2446" s="13">
        <v>109</v>
      </c>
      <c r="D2446" s="14" t="s">
        <v>83</v>
      </c>
      <c r="E2446">
        <v>9</v>
      </c>
      <c r="F2446" s="8">
        <f>VLOOKUP(financials[[#This Row],[productid]],Products!$B$2:$H$10,3)</f>
        <v>36</v>
      </c>
      <c r="G2446" s="8">
        <f>financials[[#This Row],[Units Sold]]*financials[[#This Row],[Sale Price]]</f>
        <v>324</v>
      </c>
      <c r="H2446" s="8">
        <f>IF(financials[[#This Row],[Discount Band]]="low",0.1,IF(financials[[#This Row],[Discount Band]]="medium",0.15,0.3))</f>
        <v>0.3</v>
      </c>
      <c r="I2446" s="8">
        <f>financials[[#This Row],[Gross Sales]]-financials[[#This Row],[Gross Sales]]*financials[[#This Row],[Discounts]]</f>
        <v>226.8</v>
      </c>
      <c r="J2446" s="8">
        <f>VLOOKUP(financials[[#This Row],[productid]],Products!$B$2:$H$10,4)</f>
        <v>16.8</v>
      </c>
      <c r="K2446" s="8">
        <f>financials[[#This Row],[Net Sales]]-financials[[#This Row],[COGS]]</f>
        <v>210</v>
      </c>
      <c r="L2446" s="15">
        <v>44949</v>
      </c>
      <c r="M2446" t="s">
        <v>700</v>
      </c>
    </row>
    <row r="2447" spans="1:13" x14ac:dyDescent="0.25">
      <c r="A2447" t="s">
        <v>86</v>
      </c>
      <c r="B2447" s="6" t="s">
        <v>84</v>
      </c>
      <c r="C2447" s="13">
        <v>104</v>
      </c>
      <c r="D2447" s="14" t="s">
        <v>90</v>
      </c>
      <c r="E2447">
        <v>14</v>
      </c>
      <c r="F2447" s="8">
        <f>VLOOKUP(financials[[#This Row],[productid]],Products!$B$2:$H$10,3)</f>
        <v>5.9</v>
      </c>
      <c r="G2447" s="8">
        <f>financials[[#This Row],[Units Sold]]*financials[[#This Row],[Sale Price]]</f>
        <v>82.600000000000009</v>
      </c>
      <c r="H2447" s="8">
        <f>IF(financials[[#This Row],[Discount Band]]="low",0.1,IF(financials[[#This Row],[Discount Band]]="medium",0.15,0.3))</f>
        <v>0.15</v>
      </c>
      <c r="I2447" s="8">
        <f>financials[[#This Row],[Gross Sales]]-financials[[#This Row],[Gross Sales]]*financials[[#This Row],[Discounts]]</f>
        <v>70.210000000000008</v>
      </c>
      <c r="J2447" s="8">
        <f>VLOOKUP(financials[[#This Row],[productid]],Products!$B$2:$H$10,4)</f>
        <v>2.9</v>
      </c>
      <c r="K2447" s="8">
        <f>financials[[#This Row],[Net Sales]]-financials[[#This Row],[COGS]]</f>
        <v>67.31</v>
      </c>
      <c r="L2447" s="15">
        <v>44274</v>
      </c>
      <c r="M2447" t="s">
        <v>691</v>
      </c>
    </row>
    <row r="2448" spans="1:13" x14ac:dyDescent="0.25">
      <c r="A2448" t="s">
        <v>85</v>
      </c>
      <c r="B2448" s="6" t="s">
        <v>124</v>
      </c>
      <c r="C2448" s="11">
        <v>109</v>
      </c>
      <c r="D2448" s="9" t="s">
        <v>91</v>
      </c>
      <c r="E2448">
        <v>13</v>
      </c>
      <c r="F2448" s="8">
        <f>VLOOKUP(financials[[#This Row],[productid]],Products!$B$2:$H$10,3)</f>
        <v>36</v>
      </c>
      <c r="G2448" s="8">
        <f>financials[[#This Row],[Units Sold]]*financials[[#This Row],[Sale Price]]</f>
        <v>468</v>
      </c>
      <c r="H2448" s="8">
        <f>IF(financials[[#This Row],[Discount Band]]="low",0.1,IF(financials[[#This Row],[Discount Band]]="medium",0.15,0.3))</f>
        <v>0.1</v>
      </c>
      <c r="I2448" s="8">
        <f>financials[[#This Row],[Gross Sales]]-financials[[#This Row],[Gross Sales]]*financials[[#This Row],[Discounts]]</f>
        <v>421.2</v>
      </c>
      <c r="J2448" s="8">
        <f>VLOOKUP(financials[[#This Row],[productid]],Products!$B$2:$H$10,4)</f>
        <v>16.8</v>
      </c>
      <c r="K2448" s="8">
        <f>financials[[#This Row],[Net Sales]]-financials[[#This Row],[COGS]]</f>
        <v>404.4</v>
      </c>
      <c r="L2448" s="15">
        <v>44198</v>
      </c>
      <c r="M2448" t="s">
        <v>700</v>
      </c>
    </row>
    <row r="2449" spans="1:13" x14ac:dyDescent="0.25">
      <c r="A2449" t="s">
        <v>86</v>
      </c>
      <c r="B2449" s="6" t="s">
        <v>124</v>
      </c>
      <c r="C2449" s="13">
        <v>107</v>
      </c>
      <c r="D2449" s="14" t="s">
        <v>90</v>
      </c>
      <c r="E2449">
        <v>11</v>
      </c>
      <c r="F2449" s="8">
        <f>VLOOKUP(financials[[#This Row],[productid]],Products!$B$2:$H$10,3)</f>
        <v>15</v>
      </c>
      <c r="G2449" s="8">
        <f>financials[[#This Row],[Units Sold]]*financials[[#This Row],[Sale Price]]</f>
        <v>165</v>
      </c>
      <c r="H2449" s="8">
        <f>IF(financials[[#This Row],[Discount Band]]="low",0.1,IF(financials[[#This Row],[Discount Band]]="medium",0.15,0.3))</f>
        <v>0.15</v>
      </c>
      <c r="I2449" s="8">
        <f>financials[[#This Row],[Gross Sales]]-financials[[#This Row],[Gross Sales]]*financials[[#This Row],[Discounts]]</f>
        <v>140.25</v>
      </c>
      <c r="J2449" s="8">
        <f>VLOOKUP(financials[[#This Row],[productid]],Products!$B$2:$H$10,4)</f>
        <v>5.5</v>
      </c>
      <c r="K2449" s="8">
        <f>financials[[#This Row],[Net Sales]]-financials[[#This Row],[COGS]]</f>
        <v>134.75</v>
      </c>
      <c r="L2449" s="15">
        <v>45398</v>
      </c>
      <c r="M2449" t="s">
        <v>697</v>
      </c>
    </row>
    <row r="2450" spans="1:13" x14ac:dyDescent="0.25">
      <c r="A2450" t="s">
        <v>87</v>
      </c>
      <c r="B2450" s="6" t="s">
        <v>125</v>
      </c>
      <c r="C2450" s="13">
        <v>108</v>
      </c>
      <c r="D2450" s="14" t="s">
        <v>83</v>
      </c>
      <c r="E2450">
        <v>11</v>
      </c>
      <c r="F2450" s="8">
        <f>VLOOKUP(financials[[#This Row],[productid]],Products!$B$2:$H$10,3)</f>
        <v>5.5</v>
      </c>
      <c r="G2450" s="8">
        <f>financials[[#This Row],[Units Sold]]*financials[[#This Row],[Sale Price]]</f>
        <v>60.5</v>
      </c>
      <c r="H2450" s="8">
        <f>IF(financials[[#This Row],[Discount Band]]="low",0.1,IF(financials[[#This Row],[Discount Band]]="medium",0.15,0.3))</f>
        <v>0.3</v>
      </c>
      <c r="I2450" s="8">
        <f>financials[[#This Row],[Gross Sales]]-financials[[#This Row],[Gross Sales]]*financials[[#This Row],[Discounts]]</f>
        <v>42.35</v>
      </c>
      <c r="J2450" s="8">
        <f>VLOOKUP(financials[[#This Row],[productid]],Products!$B$2:$H$10,4)</f>
        <v>3.99</v>
      </c>
      <c r="K2450" s="8">
        <f>financials[[#This Row],[Net Sales]]-financials[[#This Row],[COGS]]</f>
        <v>38.36</v>
      </c>
      <c r="L2450" s="15">
        <v>44219</v>
      </c>
      <c r="M2450" t="s">
        <v>700</v>
      </c>
    </row>
    <row r="2451" spans="1:13" x14ac:dyDescent="0.25">
      <c r="A2451" t="s">
        <v>87</v>
      </c>
      <c r="B2451" s="6" t="s">
        <v>148</v>
      </c>
      <c r="C2451" s="13">
        <v>104</v>
      </c>
      <c r="D2451" s="14" t="s">
        <v>83</v>
      </c>
      <c r="E2451">
        <v>20</v>
      </c>
      <c r="F2451" s="8">
        <f>VLOOKUP(financials[[#This Row],[productid]],Products!$B$2:$H$10,3)</f>
        <v>5.9</v>
      </c>
      <c r="G2451" s="8">
        <f>financials[[#This Row],[Units Sold]]*financials[[#This Row],[Sale Price]]</f>
        <v>118</v>
      </c>
      <c r="H2451" s="8">
        <f>IF(financials[[#This Row],[Discount Band]]="low",0.1,IF(financials[[#This Row],[Discount Band]]="medium",0.15,0.3))</f>
        <v>0.3</v>
      </c>
      <c r="I2451" s="8">
        <f>financials[[#This Row],[Gross Sales]]-financials[[#This Row],[Gross Sales]]*financials[[#This Row],[Discounts]]</f>
        <v>82.6</v>
      </c>
      <c r="J2451" s="8">
        <f>VLOOKUP(financials[[#This Row],[productid]],Products!$B$2:$H$10,4)</f>
        <v>2.9</v>
      </c>
      <c r="K2451" s="8">
        <f>financials[[#This Row],[Net Sales]]-financials[[#This Row],[COGS]]</f>
        <v>79.699999999999989</v>
      </c>
      <c r="L2451" s="15">
        <v>44318</v>
      </c>
      <c r="M2451" t="s">
        <v>690</v>
      </c>
    </row>
    <row r="2452" spans="1:13" x14ac:dyDescent="0.25">
      <c r="A2452" t="s">
        <v>86</v>
      </c>
      <c r="B2452" s="6" t="s">
        <v>266</v>
      </c>
      <c r="C2452" s="13">
        <v>101</v>
      </c>
      <c r="D2452" s="14" t="s">
        <v>90</v>
      </c>
      <c r="E2452">
        <v>7</v>
      </c>
      <c r="F2452" s="8">
        <f>VLOOKUP(financials[[#This Row],[productid]],Products!$B$2:$H$10,3)</f>
        <v>23</v>
      </c>
      <c r="G2452" s="8">
        <f>financials[[#This Row],[Units Sold]]*financials[[#This Row],[Sale Price]]</f>
        <v>161</v>
      </c>
      <c r="H2452" s="8">
        <f>IF(financials[[#This Row],[Discount Band]]="low",0.1,IF(financials[[#This Row],[Discount Band]]="medium",0.15,0.3))</f>
        <v>0.15</v>
      </c>
      <c r="I2452" s="8">
        <f>financials[[#This Row],[Gross Sales]]-financials[[#This Row],[Gross Sales]]*financials[[#This Row],[Discounts]]</f>
        <v>136.85</v>
      </c>
      <c r="J2452" s="8">
        <f>VLOOKUP(financials[[#This Row],[productid]],Products!$B$2:$H$10,4)</f>
        <v>9.9499999999999993</v>
      </c>
      <c r="K2452" s="8">
        <f>financials[[#This Row],[Net Sales]]-financials[[#This Row],[COGS]]</f>
        <v>126.89999999999999</v>
      </c>
      <c r="L2452" s="15">
        <v>44985</v>
      </c>
      <c r="M2452" t="s">
        <v>691</v>
      </c>
    </row>
    <row r="2453" spans="1:13" x14ac:dyDescent="0.25">
      <c r="A2453" t="s">
        <v>89</v>
      </c>
      <c r="B2453" s="6" t="s">
        <v>84</v>
      </c>
      <c r="C2453" s="13">
        <v>102</v>
      </c>
      <c r="D2453" s="14" t="s">
        <v>90</v>
      </c>
      <c r="E2453">
        <v>11</v>
      </c>
      <c r="F2453" s="8">
        <f>VLOOKUP(financials[[#This Row],[productid]],Products!$B$2:$H$10,3)</f>
        <v>15</v>
      </c>
      <c r="G2453" s="8">
        <f>financials[[#This Row],[Units Sold]]*financials[[#This Row],[Sale Price]]</f>
        <v>165</v>
      </c>
      <c r="H2453" s="8">
        <f>IF(financials[[#This Row],[Discount Band]]="low",0.1,IF(financials[[#This Row],[Discount Band]]="medium",0.15,0.3))</f>
        <v>0.15</v>
      </c>
      <c r="I2453" s="8">
        <f>financials[[#This Row],[Gross Sales]]-financials[[#This Row],[Gross Sales]]*financials[[#This Row],[Discounts]]</f>
        <v>140.25</v>
      </c>
      <c r="J2453" s="8">
        <f>VLOOKUP(financials[[#This Row],[productid]],Products!$B$2:$H$10,4)</f>
        <v>13.95</v>
      </c>
      <c r="K2453" s="8">
        <f>financials[[#This Row],[Net Sales]]-financials[[#This Row],[COGS]]</f>
        <v>126.3</v>
      </c>
      <c r="L2453" s="15">
        <v>44870</v>
      </c>
      <c r="M2453" t="s">
        <v>697</v>
      </c>
    </row>
    <row r="2454" spans="1:13" x14ac:dyDescent="0.25">
      <c r="A2454" t="s">
        <v>85</v>
      </c>
      <c r="B2454" s="6" t="s">
        <v>159</v>
      </c>
      <c r="C2454" s="13">
        <v>105</v>
      </c>
      <c r="D2454" s="14" t="s">
        <v>91</v>
      </c>
      <c r="E2454">
        <v>16</v>
      </c>
      <c r="F2454" s="8">
        <f>VLOOKUP(financials[[#This Row],[productid]],Products!$B$2:$H$10,3)</f>
        <v>15</v>
      </c>
      <c r="G2454" s="8">
        <f>financials[[#This Row],[Units Sold]]*financials[[#This Row],[Sale Price]]</f>
        <v>240</v>
      </c>
      <c r="H2454" s="8">
        <f>IF(financials[[#This Row],[Discount Band]]="low",0.1,IF(financials[[#This Row],[Discount Band]]="medium",0.15,0.3))</f>
        <v>0.1</v>
      </c>
      <c r="I2454" s="8">
        <f>financials[[#This Row],[Gross Sales]]-financials[[#This Row],[Gross Sales]]*financials[[#This Row],[Discounts]]</f>
        <v>216</v>
      </c>
      <c r="J2454" s="8">
        <f>VLOOKUP(financials[[#This Row],[productid]],Products!$B$2:$H$10,4)</f>
        <v>10</v>
      </c>
      <c r="K2454" s="8">
        <f>financials[[#This Row],[Net Sales]]-financials[[#This Row],[COGS]]</f>
        <v>206</v>
      </c>
      <c r="L2454" s="15">
        <v>44835</v>
      </c>
      <c r="M2454" t="s">
        <v>690</v>
      </c>
    </row>
    <row r="2455" spans="1:13" x14ac:dyDescent="0.25">
      <c r="A2455" t="s">
        <v>89</v>
      </c>
      <c r="B2455" s="6" t="s">
        <v>84</v>
      </c>
      <c r="C2455" s="13">
        <v>102</v>
      </c>
      <c r="D2455" s="14" t="s">
        <v>83</v>
      </c>
      <c r="E2455">
        <v>5</v>
      </c>
      <c r="F2455" s="8">
        <f>VLOOKUP(financials[[#This Row],[productid]],Products!$B$2:$H$10,3)</f>
        <v>15</v>
      </c>
      <c r="G2455" s="8">
        <f>financials[[#This Row],[Units Sold]]*financials[[#This Row],[Sale Price]]</f>
        <v>75</v>
      </c>
      <c r="H2455" s="8">
        <f>IF(financials[[#This Row],[Discount Band]]="low",0.1,IF(financials[[#This Row],[Discount Band]]="medium",0.15,0.3))</f>
        <v>0.3</v>
      </c>
      <c r="I2455" s="8">
        <f>financials[[#This Row],[Gross Sales]]-financials[[#This Row],[Gross Sales]]*financials[[#This Row],[Discounts]]</f>
        <v>52.5</v>
      </c>
      <c r="J2455" s="8">
        <f>VLOOKUP(financials[[#This Row],[productid]],Products!$B$2:$H$10,4)</f>
        <v>13.95</v>
      </c>
      <c r="K2455" s="8">
        <f>financials[[#This Row],[Net Sales]]-financials[[#This Row],[COGS]]</f>
        <v>38.549999999999997</v>
      </c>
      <c r="L2455" s="15">
        <v>43900</v>
      </c>
      <c r="M2455" t="s">
        <v>691</v>
      </c>
    </row>
    <row r="2456" spans="1:13" x14ac:dyDescent="0.25">
      <c r="A2456" t="s">
        <v>85</v>
      </c>
      <c r="B2456" s="6" t="s">
        <v>159</v>
      </c>
      <c r="C2456" s="13">
        <v>107</v>
      </c>
      <c r="D2456" s="14" t="s">
        <v>91</v>
      </c>
      <c r="E2456">
        <v>15</v>
      </c>
      <c r="F2456" s="8">
        <f>VLOOKUP(financials[[#This Row],[productid]],Products!$B$2:$H$10,3)</f>
        <v>15</v>
      </c>
      <c r="G2456" s="8">
        <f>financials[[#This Row],[Units Sold]]*financials[[#This Row],[Sale Price]]</f>
        <v>225</v>
      </c>
      <c r="H2456" s="8">
        <f>IF(financials[[#This Row],[Discount Band]]="low",0.1,IF(financials[[#This Row],[Discount Band]]="medium",0.15,0.3))</f>
        <v>0.1</v>
      </c>
      <c r="I2456" s="8">
        <f>financials[[#This Row],[Gross Sales]]-financials[[#This Row],[Gross Sales]]*financials[[#This Row],[Discounts]]</f>
        <v>202.5</v>
      </c>
      <c r="J2456" s="8">
        <f>VLOOKUP(financials[[#This Row],[productid]],Products!$B$2:$H$10,4)</f>
        <v>5.5</v>
      </c>
      <c r="K2456" s="8">
        <f>financials[[#This Row],[Net Sales]]-financials[[#This Row],[COGS]]</f>
        <v>197</v>
      </c>
      <c r="L2456" s="15">
        <v>44963</v>
      </c>
      <c r="M2456" t="s">
        <v>690</v>
      </c>
    </row>
    <row r="2457" spans="1:13" x14ac:dyDescent="0.25">
      <c r="A2457" t="s">
        <v>85</v>
      </c>
      <c r="B2457" s="6" t="s">
        <v>124</v>
      </c>
      <c r="C2457" s="13">
        <v>102</v>
      </c>
      <c r="D2457" s="14" t="s">
        <v>91</v>
      </c>
      <c r="E2457">
        <v>6</v>
      </c>
      <c r="F2457" s="8">
        <f>VLOOKUP(financials[[#This Row],[productid]],Products!$B$2:$H$10,3)</f>
        <v>15</v>
      </c>
      <c r="G2457" s="8">
        <f>financials[[#This Row],[Units Sold]]*financials[[#This Row],[Sale Price]]</f>
        <v>90</v>
      </c>
      <c r="H2457" s="8">
        <f>IF(financials[[#This Row],[Discount Band]]="low",0.1,IF(financials[[#This Row],[Discount Band]]="medium",0.15,0.3))</f>
        <v>0.1</v>
      </c>
      <c r="I2457" s="8">
        <f>financials[[#This Row],[Gross Sales]]-financials[[#This Row],[Gross Sales]]*financials[[#This Row],[Discounts]]</f>
        <v>81</v>
      </c>
      <c r="J2457" s="8">
        <f>VLOOKUP(financials[[#This Row],[productid]],Products!$B$2:$H$10,4)</f>
        <v>13.95</v>
      </c>
      <c r="K2457" s="8">
        <f>financials[[#This Row],[Net Sales]]-financials[[#This Row],[COGS]]</f>
        <v>67.05</v>
      </c>
      <c r="L2457" s="15">
        <v>44626</v>
      </c>
      <c r="M2457" t="s">
        <v>691</v>
      </c>
    </row>
    <row r="2458" spans="1:13" x14ac:dyDescent="0.25">
      <c r="A2458" t="s">
        <v>86</v>
      </c>
      <c r="B2458" s="6" t="s">
        <v>159</v>
      </c>
      <c r="C2458" s="11">
        <v>109</v>
      </c>
      <c r="D2458" s="9" t="s">
        <v>90</v>
      </c>
      <c r="E2458">
        <v>5</v>
      </c>
      <c r="F2458" s="8">
        <f>VLOOKUP(financials[[#This Row],[productid]],Products!$B$2:$H$10,3)</f>
        <v>36</v>
      </c>
      <c r="G2458" s="8">
        <f>financials[[#This Row],[Units Sold]]*financials[[#This Row],[Sale Price]]</f>
        <v>180</v>
      </c>
      <c r="H2458" s="8">
        <f>IF(financials[[#This Row],[Discount Band]]="low",0.1,IF(financials[[#This Row],[Discount Band]]="medium",0.15,0.3))</f>
        <v>0.15</v>
      </c>
      <c r="I2458" s="8">
        <f>financials[[#This Row],[Gross Sales]]-financials[[#This Row],[Gross Sales]]*financials[[#This Row],[Discounts]]</f>
        <v>153</v>
      </c>
      <c r="J2458" s="8">
        <f>VLOOKUP(financials[[#This Row],[productid]],Products!$B$2:$H$10,4)</f>
        <v>16.8</v>
      </c>
      <c r="K2458" s="8">
        <f>financials[[#This Row],[Net Sales]]-financials[[#This Row],[COGS]]</f>
        <v>136.19999999999999</v>
      </c>
      <c r="L2458" s="15">
        <v>44373</v>
      </c>
      <c r="M2458" t="s">
        <v>690</v>
      </c>
    </row>
    <row r="2459" spans="1:13" x14ac:dyDescent="0.25">
      <c r="A2459" t="s">
        <v>87</v>
      </c>
      <c r="B2459" s="6" t="s">
        <v>148</v>
      </c>
      <c r="C2459" s="11">
        <v>107</v>
      </c>
      <c r="D2459" s="9" t="s">
        <v>83</v>
      </c>
      <c r="E2459">
        <v>13</v>
      </c>
      <c r="F2459" s="8">
        <f>VLOOKUP(financials[[#This Row],[productid]],Products!$B$2:$H$10,3)</f>
        <v>15</v>
      </c>
      <c r="G2459" s="8">
        <f>financials[[#This Row],[Units Sold]]*financials[[#This Row],[Sale Price]]</f>
        <v>195</v>
      </c>
      <c r="H2459" s="8">
        <f>IF(financials[[#This Row],[Discount Band]]="low",0.1,IF(financials[[#This Row],[Discount Band]]="medium",0.15,0.3))</f>
        <v>0.3</v>
      </c>
      <c r="I2459" s="8">
        <f>financials[[#This Row],[Gross Sales]]-financials[[#This Row],[Gross Sales]]*financials[[#This Row],[Discounts]]</f>
        <v>136.5</v>
      </c>
      <c r="J2459" s="8">
        <f>VLOOKUP(financials[[#This Row],[productid]],Products!$B$2:$H$10,4)</f>
        <v>5.5</v>
      </c>
      <c r="K2459" s="8">
        <f>financials[[#This Row],[Net Sales]]-financials[[#This Row],[COGS]]</f>
        <v>131</v>
      </c>
      <c r="L2459" s="15">
        <v>43948</v>
      </c>
      <c r="M2459" t="s">
        <v>691</v>
      </c>
    </row>
    <row r="2460" spans="1:13" x14ac:dyDescent="0.25">
      <c r="A2460" t="s">
        <v>87</v>
      </c>
      <c r="B2460" s="6" t="s">
        <v>125</v>
      </c>
      <c r="C2460" s="13">
        <v>105</v>
      </c>
      <c r="D2460" s="14" t="s">
        <v>83</v>
      </c>
      <c r="E2460">
        <v>8</v>
      </c>
      <c r="F2460" s="8">
        <f>VLOOKUP(financials[[#This Row],[productid]],Products!$B$2:$H$10,3)</f>
        <v>15</v>
      </c>
      <c r="G2460" s="8">
        <f>financials[[#This Row],[Units Sold]]*financials[[#This Row],[Sale Price]]</f>
        <v>120</v>
      </c>
      <c r="H2460" s="8">
        <f>IF(financials[[#This Row],[Discount Band]]="low",0.1,IF(financials[[#This Row],[Discount Band]]="medium",0.15,0.3))</f>
        <v>0.3</v>
      </c>
      <c r="I2460" s="8">
        <f>financials[[#This Row],[Gross Sales]]-financials[[#This Row],[Gross Sales]]*financials[[#This Row],[Discounts]]</f>
        <v>84</v>
      </c>
      <c r="J2460" s="8">
        <f>VLOOKUP(financials[[#This Row],[productid]],Products!$B$2:$H$10,4)</f>
        <v>10</v>
      </c>
      <c r="K2460" s="8">
        <f>financials[[#This Row],[Net Sales]]-financials[[#This Row],[COGS]]</f>
        <v>74</v>
      </c>
      <c r="L2460" s="15">
        <v>45635</v>
      </c>
      <c r="M2460" t="s">
        <v>697</v>
      </c>
    </row>
    <row r="2461" spans="1:13" x14ac:dyDescent="0.25">
      <c r="A2461" t="s">
        <v>87</v>
      </c>
      <c r="B2461" s="6" t="s">
        <v>197</v>
      </c>
      <c r="C2461" s="13">
        <v>101</v>
      </c>
      <c r="D2461" s="14" t="s">
        <v>83</v>
      </c>
      <c r="E2461">
        <v>8</v>
      </c>
      <c r="F2461" s="8">
        <f>VLOOKUP(financials[[#This Row],[productid]],Products!$B$2:$H$10,3)</f>
        <v>23</v>
      </c>
      <c r="G2461" s="8">
        <f>financials[[#This Row],[Units Sold]]*financials[[#This Row],[Sale Price]]</f>
        <v>184</v>
      </c>
      <c r="H2461" s="8">
        <f>IF(financials[[#This Row],[Discount Band]]="low",0.1,IF(financials[[#This Row],[Discount Band]]="medium",0.15,0.3))</f>
        <v>0.3</v>
      </c>
      <c r="I2461" s="8">
        <f>financials[[#This Row],[Gross Sales]]-financials[[#This Row],[Gross Sales]]*financials[[#This Row],[Discounts]]</f>
        <v>128.80000000000001</v>
      </c>
      <c r="J2461" s="8">
        <f>VLOOKUP(financials[[#This Row],[productid]],Products!$B$2:$H$10,4)</f>
        <v>9.9499999999999993</v>
      </c>
      <c r="K2461" s="8">
        <f>financials[[#This Row],[Net Sales]]-financials[[#This Row],[COGS]]</f>
        <v>118.85000000000001</v>
      </c>
      <c r="L2461" s="15">
        <v>44215</v>
      </c>
      <c r="M2461" t="s">
        <v>697</v>
      </c>
    </row>
    <row r="2462" spans="1:13" x14ac:dyDescent="0.25">
      <c r="A2462" t="s">
        <v>87</v>
      </c>
      <c r="B2462" s="6" t="s">
        <v>93</v>
      </c>
      <c r="C2462" s="13">
        <v>101</v>
      </c>
      <c r="D2462" s="14" t="s">
        <v>83</v>
      </c>
      <c r="E2462">
        <v>16</v>
      </c>
      <c r="F2462" s="8">
        <f>VLOOKUP(financials[[#This Row],[productid]],Products!$B$2:$H$10,3)</f>
        <v>23</v>
      </c>
      <c r="G2462" s="8">
        <f>financials[[#This Row],[Units Sold]]*financials[[#This Row],[Sale Price]]</f>
        <v>368</v>
      </c>
      <c r="H2462" s="8">
        <f>IF(financials[[#This Row],[Discount Band]]="low",0.1,IF(financials[[#This Row],[Discount Band]]="medium",0.15,0.3))</f>
        <v>0.3</v>
      </c>
      <c r="I2462" s="8">
        <f>financials[[#This Row],[Gross Sales]]-financials[[#This Row],[Gross Sales]]*financials[[#This Row],[Discounts]]</f>
        <v>257.60000000000002</v>
      </c>
      <c r="J2462" s="8">
        <f>VLOOKUP(financials[[#This Row],[productid]],Products!$B$2:$H$10,4)</f>
        <v>9.9499999999999993</v>
      </c>
      <c r="K2462" s="8">
        <f>financials[[#This Row],[Net Sales]]-financials[[#This Row],[COGS]]</f>
        <v>247.65000000000003</v>
      </c>
      <c r="L2462" s="15">
        <v>44001</v>
      </c>
      <c r="M2462" t="s">
        <v>690</v>
      </c>
    </row>
    <row r="2463" spans="1:13" x14ac:dyDescent="0.25">
      <c r="A2463" t="s">
        <v>87</v>
      </c>
      <c r="B2463" s="6" t="s">
        <v>232</v>
      </c>
      <c r="C2463" s="13">
        <v>109</v>
      </c>
      <c r="D2463" s="14" t="s">
        <v>91</v>
      </c>
      <c r="E2463">
        <v>19</v>
      </c>
      <c r="F2463" s="8">
        <f>VLOOKUP(financials[[#This Row],[productid]],Products!$B$2:$H$10,3)</f>
        <v>36</v>
      </c>
      <c r="G2463" s="8">
        <f>financials[[#This Row],[Units Sold]]*financials[[#This Row],[Sale Price]]</f>
        <v>684</v>
      </c>
      <c r="H2463" s="8">
        <f>IF(financials[[#This Row],[Discount Band]]="low",0.1,IF(financials[[#This Row],[Discount Band]]="medium",0.15,0.3))</f>
        <v>0.1</v>
      </c>
      <c r="I2463" s="8">
        <f>financials[[#This Row],[Gross Sales]]-financials[[#This Row],[Gross Sales]]*financials[[#This Row],[Discounts]]</f>
        <v>615.6</v>
      </c>
      <c r="J2463" s="8">
        <f>VLOOKUP(financials[[#This Row],[productid]],Products!$B$2:$H$10,4)</f>
        <v>16.8</v>
      </c>
      <c r="K2463" s="8">
        <f>financials[[#This Row],[Net Sales]]-financials[[#This Row],[COGS]]</f>
        <v>598.80000000000007</v>
      </c>
      <c r="L2463" s="15">
        <v>44887</v>
      </c>
      <c r="M2463" t="s">
        <v>691</v>
      </c>
    </row>
    <row r="2464" spans="1:13" x14ac:dyDescent="0.25">
      <c r="A2464" t="s">
        <v>88</v>
      </c>
      <c r="B2464" s="6" t="s">
        <v>644</v>
      </c>
      <c r="C2464" s="11">
        <v>104</v>
      </c>
      <c r="D2464" s="9" t="s">
        <v>90</v>
      </c>
      <c r="E2464">
        <v>12</v>
      </c>
      <c r="F2464" s="8">
        <f>VLOOKUP(financials[[#This Row],[productid]],Products!$B$2:$H$10,3)</f>
        <v>5.9</v>
      </c>
      <c r="G2464" s="8">
        <f>financials[[#This Row],[Units Sold]]*financials[[#This Row],[Sale Price]]</f>
        <v>70.800000000000011</v>
      </c>
      <c r="H2464" s="8">
        <f>IF(financials[[#This Row],[Discount Band]]="low",0.1,IF(financials[[#This Row],[Discount Band]]="medium",0.15,0.3))</f>
        <v>0.15</v>
      </c>
      <c r="I2464" s="8">
        <f>financials[[#This Row],[Gross Sales]]-financials[[#This Row],[Gross Sales]]*financials[[#This Row],[Discounts]]</f>
        <v>60.180000000000007</v>
      </c>
      <c r="J2464" s="8">
        <f>VLOOKUP(financials[[#This Row],[productid]],Products!$B$2:$H$10,4)</f>
        <v>2.9</v>
      </c>
      <c r="K2464" s="8">
        <f>financials[[#This Row],[Net Sales]]-financials[[#This Row],[COGS]]</f>
        <v>57.280000000000008</v>
      </c>
      <c r="L2464" s="15">
        <v>45200</v>
      </c>
      <c r="M2464" t="s">
        <v>697</v>
      </c>
    </row>
    <row r="2465" spans="1:13" x14ac:dyDescent="0.25">
      <c r="A2465" t="s">
        <v>89</v>
      </c>
      <c r="B2465" s="6" t="s">
        <v>84</v>
      </c>
      <c r="C2465" s="11">
        <v>104</v>
      </c>
      <c r="D2465" s="9" t="s">
        <v>83</v>
      </c>
      <c r="E2465">
        <v>18</v>
      </c>
      <c r="F2465" s="8">
        <f>VLOOKUP(financials[[#This Row],[productid]],Products!$B$2:$H$10,3)</f>
        <v>5.9</v>
      </c>
      <c r="G2465" s="8">
        <f>financials[[#This Row],[Units Sold]]*financials[[#This Row],[Sale Price]]</f>
        <v>106.2</v>
      </c>
      <c r="H2465" s="8">
        <f>IF(financials[[#This Row],[Discount Band]]="low",0.1,IF(financials[[#This Row],[Discount Band]]="medium",0.15,0.3))</f>
        <v>0.3</v>
      </c>
      <c r="I2465" s="8">
        <f>financials[[#This Row],[Gross Sales]]-financials[[#This Row],[Gross Sales]]*financials[[#This Row],[Discounts]]</f>
        <v>74.34</v>
      </c>
      <c r="J2465" s="8">
        <f>VLOOKUP(financials[[#This Row],[productid]],Products!$B$2:$H$10,4)</f>
        <v>2.9</v>
      </c>
      <c r="K2465" s="8">
        <f>financials[[#This Row],[Net Sales]]-financials[[#This Row],[COGS]]</f>
        <v>71.44</v>
      </c>
      <c r="L2465" s="15">
        <v>44939</v>
      </c>
      <c r="M2465" t="s">
        <v>700</v>
      </c>
    </row>
    <row r="2466" spans="1:13" x14ac:dyDescent="0.25">
      <c r="A2466" t="s">
        <v>87</v>
      </c>
      <c r="B2466" s="6" t="s">
        <v>240</v>
      </c>
      <c r="C2466" s="13">
        <v>107</v>
      </c>
      <c r="D2466" s="14" t="s">
        <v>91</v>
      </c>
      <c r="E2466">
        <v>10</v>
      </c>
      <c r="F2466" s="8">
        <f>VLOOKUP(financials[[#This Row],[productid]],Products!$B$2:$H$10,3)</f>
        <v>15</v>
      </c>
      <c r="G2466" s="8">
        <f>financials[[#This Row],[Units Sold]]*financials[[#This Row],[Sale Price]]</f>
        <v>150</v>
      </c>
      <c r="H2466" s="8">
        <f>IF(financials[[#This Row],[Discount Band]]="low",0.1,IF(financials[[#This Row],[Discount Band]]="medium",0.15,0.3))</f>
        <v>0.1</v>
      </c>
      <c r="I2466" s="8">
        <f>financials[[#This Row],[Gross Sales]]-financials[[#This Row],[Gross Sales]]*financials[[#This Row],[Discounts]]</f>
        <v>135</v>
      </c>
      <c r="J2466" s="8">
        <f>VLOOKUP(financials[[#This Row],[productid]],Products!$B$2:$H$10,4)</f>
        <v>5.5</v>
      </c>
      <c r="K2466" s="8">
        <f>financials[[#This Row],[Net Sales]]-financials[[#This Row],[COGS]]</f>
        <v>129.5</v>
      </c>
      <c r="L2466" s="15">
        <v>44747</v>
      </c>
      <c r="M2466" t="s">
        <v>697</v>
      </c>
    </row>
    <row r="2467" spans="1:13" x14ac:dyDescent="0.25">
      <c r="A2467" t="s">
        <v>86</v>
      </c>
      <c r="B2467" s="6" t="s">
        <v>159</v>
      </c>
      <c r="C2467" s="13">
        <v>107</v>
      </c>
      <c r="D2467" s="14" t="s">
        <v>83</v>
      </c>
      <c r="E2467">
        <v>7</v>
      </c>
      <c r="F2467" s="8">
        <f>VLOOKUP(financials[[#This Row],[productid]],Products!$B$2:$H$10,3)</f>
        <v>15</v>
      </c>
      <c r="G2467" s="8">
        <f>financials[[#This Row],[Units Sold]]*financials[[#This Row],[Sale Price]]</f>
        <v>105</v>
      </c>
      <c r="H2467" s="8">
        <f>IF(financials[[#This Row],[Discount Band]]="low",0.1,IF(financials[[#This Row],[Discount Band]]="medium",0.15,0.3))</f>
        <v>0.3</v>
      </c>
      <c r="I2467" s="8">
        <f>financials[[#This Row],[Gross Sales]]-financials[[#This Row],[Gross Sales]]*financials[[#This Row],[Discounts]]</f>
        <v>73.5</v>
      </c>
      <c r="J2467" s="8">
        <f>VLOOKUP(financials[[#This Row],[productid]],Products!$B$2:$H$10,4)</f>
        <v>5.5</v>
      </c>
      <c r="K2467" s="8">
        <f>financials[[#This Row],[Net Sales]]-financials[[#This Row],[COGS]]</f>
        <v>68</v>
      </c>
      <c r="L2467" s="15">
        <v>44624</v>
      </c>
      <c r="M2467" t="s">
        <v>691</v>
      </c>
    </row>
    <row r="2468" spans="1:13" x14ac:dyDescent="0.25">
      <c r="A2468" t="s">
        <v>89</v>
      </c>
      <c r="B2468" s="6" t="s">
        <v>84</v>
      </c>
      <c r="C2468" s="11">
        <v>109</v>
      </c>
      <c r="D2468" s="9" t="s">
        <v>91</v>
      </c>
      <c r="E2468">
        <v>7</v>
      </c>
      <c r="F2468" s="8">
        <f>VLOOKUP(financials[[#This Row],[productid]],Products!$B$2:$H$10,3)</f>
        <v>36</v>
      </c>
      <c r="G2468" s="8">
        <f>financials[[#This Row],[Units Sold]]*financials[[#This Row],[Sale Price]]</f>
        <v>252</v>
      </c>
      <c r="H2468" s="8">
        <f>IF(financials[[#This Row],[Discount Band]]="low",0.1,IF(financials[[#This Row],[Discount Band]]="medium",0.15,0.3))</f>
        <v>0.1</v>
      </c>
      <c r="I2468" s="8">
        <f>financials[[#This Row],[Gross Sales]]-financials[[#This Row],[Gross Sales]]*financials[[#This Row],[Discounts]]</f>
        <v>226.8</v>
      </c>
      <c r="J2468" s="8">
        <f>VLOOKUP(financials[[#This Row],[productid]],Products!$B$2:$H$10,4)</f>
        <v>16.8</v>
      </c>
      <c r="K2468" s="8">
        <f>financials[[#This Row],[Net Sales]]-financials[[#This Row],[COGS]]</f>
        <v>210</v>
      </c>
      <c r="L2468" s="15">
        <v>45349</v>
      </c>
      <c r="M2468" t="s">
        <v>696</v>
      </c>
    </row>
    <row r="2469" spans="1:13" x14ac:dyDescent="0.25">
      <c r="A2469" t="s">
        <v>87</v>
      </c>
      <c r="B2469" s="6" t="s">
        <v>197</v>
      </c>
      <c r="C2469" s="13">
        <v>109</v>
      </c>
      <c r="D2469" s="14" t="s">
        <v>83</v>
      </c>
      <c r="E2469">
        <v>10</v>
      </c>
      <c r="F2469" s="8">
        <f>VLOOKUP(financials[[#This Row],[productid]],Products!$B$2:$H$10,3)</f>
        <v>36</v>
      </c>
      <c r="G2469" s="8">
        <f>financials[[#This Row],[Units Sold]]*financials[[#This Row],[Sale Price]]</f>
        <v>360</v>
      </c>
      <c r="H2469" s="8">
        <f>IF(financials[[#This Row],[Discount Band]]="low",0.1,IF(financials[[#This Row],[Discount Band]]="medium",0.15,0.3))</f>
        <v>0.3</v>
      </c>
      <c r="I2469" s="8">
        <f>financials[[#This Row],[Gross Sales]]-financials[[#This Row],[Gross Sales]]*financials[[#This Row],[Discounts]]</f>
        <v>252</v>
      </c>
      <c r="J2469" s="8">
        <f>VLOOKUP(financials[[#This Row],[productid]],Products!$B$2:$H$10,4)</f>
        <v>16.8</v>
      </c>
      <c r="K2469" s="8">
        <f>financials[[#This Row],[Net Sales]]-financials[[#This Row],[COGS]]</f>
        <v>235.2</v>
      </c>
      <c r="L2469" s="15">
        <v>44273</v>
      </c>
      <c r="M2469" t="s">
        <v>691</v>
      </c>
    </row>
    <row r="2470" spans="1:13" x14ac:dyDescent="0.25">
      <c r="A2470" t="s">
        <v>89</v>
      </c>
      <c r="B2470" s="6" t="s">
        <v>84</v>
      </c>
      <c r="C2470" s="13">
        <v>102</v>
      </c>
      <c r="D2470" s="14" t="s">
        <v>90</v>
      </c>
      <c r="E2470">
        <v>17</v>
      </c>
      <c r="F2470" s="8">
        <f>VLOOKUP(financials[[#This Row],[productid]],Products!$B$2:$H$10,3)</f>
        <v>15</v>
      </c>
      <c r="G2470" s="8">
        <f>financials[[#This Row],[Units Sold]]*financials[[#This Row],[Sale Price]]</f>
        <v>255</v>
      </c>
      <c r="H2470" s="8">
        <f>IF(financials[[#This Row],[Discount Band]]="low",0.1,IF(financials[[#This Row],[Discount Band]]="medium",0.15,0.3))</f>
        <v>0.15</v>
      </c>
      <c r="I2470" s="8">
        <f>financials[[#This Row],[Gross Sales]]-financials[[#This Row],[Gross Sales]]*financials[[#This Row],[Discounts]]</f>
        <v>216.75</v>
      </c>
      <c r="J2470" s="8">
        <f>VLOOKUP(financials[[#This Row],[productid]],Products!$B$2:$H$10,4)</f>
        <v>13.95</v>
      </c>
      <c r="K2470" s="8">
        <f>financials[[#This Row],[Net Sales]]-financials[[#This Row],[COGS]]</f>
        <v>202.8</v>
      </c>
      <c r="L2470" s="15">
        <v>45476</v>
      </c>
      <c r="M2470" t="s">
        <v>690</v>
      </c>
    </row>
    <row r="2471" spans="1:13" x14ac:dyDescent="0.25">
      <c r="A2471" t="s">
        <v>89</v>
      </c>
      <c r="B2471" s="6" t="s">
        <v>84</v>
      </c>
      <c r="C2471" s="13">
        <v>101</v>
      </c>
      <c r="D2471" s="14" t="s">
        <v>83</v>
      </c>
      <c r="E2471">
        <v>15</v>
      </c>
      <c r="F2471" s="8">
        <f>VLOOKUP(financials[[#This Row],[productid]],Products!$B$2:$H$10,3)</f>
        <v>23</v>
      </c>
      <c r="G2471" s="8">
        <f>financials[[#This Row],[Units Sold]]*financials[[#This Row],[Sale Price]]</f>
        <v>345</v>
      </c>
      <c r="H2471" s="8">
        <f>IF(financials[[#This Row],[Discount Band]]="low",0.1,IF(financials[[#This Row],[Discount Band]]="medium",0.15,0.3))</f>
        <v>0.3</v>
      </c>
      <c r="I2471" s="8">
        <f>financials[[#This Row],[Gross Sales]]-financials[[#This Row],[Gross Sales]]*financials[[#This Row],[Discounts]]</f>
        <v>241.5</v>
      </c>
      <c r="J2471" s="8">
        <f>VLOOKUP(financials[[#This Row],[productid]],Products!$B$2:$H$10,4)</f>
        <v>9.9499999999999993</v>
      </c>
      <c r="K2471" s="8">
        <f>financials[[#This Row],[Net Sales]]-financials[[#This Row],[COGS]]</f>
        <v>231.55</v>
      </c>
      <c r="L2471" s="15">
        <v>44809</v>
      </c>
      <c r="M2471" t="s">
        <v>696</v>
      </c>
    </row>
    <row r="2472" spans="1:13" x14ac:dyDescent="0.25">
      <c r="A2472" t="s">
        <v>89</v>
      </c>
      <c r="B2472" s="6" t="s">
        <v>124</v>
      </c>
      <c r="C2472" s="11">
        <v>105</v>
      </c>
      <c r="D2472" s="9" t="s">
        <v>83</v>
      </c>
      <c r="E2472">
        <v>18</v>
      </c>
      <c r="F2472" s="8">
        <f>VLOOKUP(financials[[#This Row],[productid]],Products!$B$2:$H$10,3)</f>
        <v>15</v>
      </c>
      <c r="G2472" s="8">
        <f>financials[[#This Row],[Units Sold]]*financials[[#This Row],[Sale Price]]</f>
        <v>270</v>
      </c>
      <c r="H2472" s="8">
        <f>IF(financials[[#This Row],[Discount Band]]="low",0.1,IF(financials[[#This Row],[Discount Band]]="medium",0.15,0.3))</f>
        <v>0.3</v>
      </c>
      <c r="I2472" s="8">
        <f>financials[[#This Row],[Gross Sales]]-financials[[#This Row],[Gross Sales]]*financials[[#This Row],[Discounts]]</f>
        <v>189</v>
      </c>
      <c r="J2472" s="8">
        <f>VLOOKUP(financials[[#This Row],[productid]],Products!$B$2:$H$10,4)</f>
        <v>10</v>
      </c>
      <c r="K2472" s="8">
        <f>financials[[#This Row],[Net Sales]]-financials[[#This Row],[COGS]]</f>
        <v>179</v>
      </c>
      <c r="L2472" s="15">
        <v>43962</v>
      </c>
      <c r="M2472" t="s">
        <v>691</v>
      </c>
    </row>
    <row r="2473" spans="1:13" x14ac:dyDescent="0.25">
      <c r="A2473" t="s">
        <v>85</v>
      </c>
      <c r="B2473" s="6" t="s">
        <v>159</v>
      </c>
      <c r="C2473" s="13">
        <v>102</v>
      </c>
      <c r="D2473" s="14" t="s">
        <v>90</v>
      </c>
      <c r="E2473">
        <v>7</v>
      </c>
      <c r="F2473" s="8">
        <f>VLOOKUP(financials[[#This Row],[productid]],Products!$B$2:$H$10,3)</f>
        <v>15</v>
      </c>
      <c r="G2473" s="8">
        <f>financials[[#This Row],[Units Sold]]*financials[[#This Row],[Sale Price]]</f>
        <v>105</v>
      </c>
      <c r="H2473" s="8">
        <f>IF(financials[[#This Row],[Discount Band]]="low",0.1,IF(financials[[#This Row],[Discount Band]]="medium",0.15,0.3))</f>
        <v>0.15</v>
      </c>
      <c r="I2473" s="8">
        <f>financials[[#This Row],[Gross Sales]]-financials[[#This Row],[Gross Sales]]*financials[[#This Row],[Discounts]]</f>
        <v>89.25</v>
      </c>
      <c r="J2473" s="8">
        <f>VLOOKUP(financials[[#This Row],[productid]],Products!$B$2:$H$10,4)</f>
        <v>13.95</v>
      </c>
      <c r="K2473" s="8">
        <f>financials[[#This Row],[Net Sales]]-financials[[#This Row],[COGS]]</f>
        <v>75.3</v>
      </c>
      <c r="L2473" s="15">
        <v>45420</v>
      </c>
      <c r="M2473" t="s">
        <v>697</v>
      </c>
    </row>
    <row r="2474" spans="1:13" x14ac:dyDescent="0.25">
      <c r="A2474" t="s">
        <v>85</v>
      </c>
      <c r="B2474" s="6" t="s">
        <v>159</v>
      </c>
      <c r="C2474" s="13">
        <v>104</v>
      </c>
      <c r="D2474" s="14" t="s">
        <v>83</v>
      </c>
      <c r="E2474">
        <v>8</v>
      </c>
      <c r="F2474" s="8">
        <f>VLOOKUP(financials[[#This Row],[productid]],Products!$B$2:$H$10,3)</f>
        <v>5.9</v>
      </c>
      <c r="G2474" s="8">
        <f>financials[[#This Row],[Units Sold]]*financials[[#This Row],[Sale Price]]</f>
        <v>47.2</v>
      </c>
      <c r="H2474" s="8">
        <f>IF(financials[[#This Row],[Discount Band]]="low",0.1,IF(financials[[#This Row],[Discount Band]]="medium",0.15,0.3))</f>
        <v>0.3</v>
      </c>
      <c r="I2474" s="8">
        <f>financials[[#This Row],[Gross Sales]]-financials[[#This Row],[Gross Sales]]*financials[[#This Row],[Discounts]]</f>
        <v>33.040000000000006</v>
      </c>
      <c r="J2474" s="8">
        <f>VLOOKUP(financials[[#This Row],[productid]],Products!$B$2:$H$10,4)</f>
        <v>2.9</v>
      </c>
      <c r="K2474" s="8">
        <f>financials[[#This Row],[Net Sales]]-financials[[#This Row],[COGS]]</f>
        <v>30.140000000000008</v>
      </c>
      <c r="L2474" s="15">
        <v>44068</v>
      </c>
      <c r="M2474" t="s">
        <v>700</v>
      </c>
    </row>
    <row r="2475" spans="1:13" x14ac:dyDescent="0.25">
      <c r="A2475" t="s">
        <v>85</v>
      </c>
      <c r="B2475" s="6" t="s">
        <v>159</v>
      </c>
      <c r="C2475" s="13">
        <v>101</v>
      </c>
      <c r="D2475" s="14" t="s">
        <v>91</v>
      </c>
      <c r="E2475">
        <v>13</v>
      </c>
      <c r="F2475" s="8">
        <f>VLOOKUP(financials[[#This Row],[productid]],Products!$B$2:$H$10,3)</f>
        <v>23</v>
      </c>
      <c r="G2475" s="8">
        <f>financials[[#This Row],[Units Sold]]*financials[[#This Row],[Sale Price]]</f>
        <v>299</v>
      </c>
      <c r="H2475" s="8">
        <f>IF(financials[[#This Row],[Discount Band]]="low",0.1,IF(financials[[#This Row],[Discount Band]]="medium",0.15,0.3))</f>
        <v>0.1</v>
      </c>
      <c r="I2475" s="8">
        <f>financials[[#This Row],[Gross Sales]]-financials[[#This Row],[Gross Sales]]*financials[[#This Row],[Discounts]]</f>
        <v>269.10000000000002</v>
      </c>
      <c r="J2475" s="8">
        <f>VLOOKUP(financials[[#This Row],[productid]],Products!$B$2:$H$10,4)</f>
        <v>9.9499999999999993</v>
      </c>
      <c r="K2475" s="8">
        <f>financials[[#This Row],[Net Sales]]-financials[[#This Row],[COGS]]</f>
        <v>259.15000000000003</v>
      </c>
      <c r="L2475" s="15">
        <v>45356</v>
      </c>
      <c r="M2475" t="s">
        <v>691</v>
      </c>
    </row>
    <row r="2476" spans="1:13" x14ac:dyDescent="0.25">
      <c r="A2476" t="s">
        <v>86</v>
      </c>
      <c r="B2476" s="6" t="s">
        <v>124</v>
      </c>
      <c r="C2476" s="13">
        <v>107</v>
      </c>
      <c r="D2476" s="14" t="s">
        <v>83</v>
      </c>
      <c r="E2476">
        <v>7</v>
      </c>
      <c r="F2476" s="8">
        <f>VLOOKUP(financials[[#This Row],[productid]],Products!$B$2:$H$10,3)</f>
        <v>15</v>
      </c>
      <c r="G2476" s="8">
        <f>financials[[#This Row],[Units Sold]]*financials[[#This Row],[Sale Price]]</f>
        <v>105</v>
      </c>
      <c r="H2476" s="8">
        <f>IF(financials[[#This Row],[Discount Band]]="low",0.1,IF(financials[[#This Row],[Discount Band]]="medium",0.15,0.3))</f>
        <v>0.3</v>
      </c>
      <c r="I2476" s="8">
        <f>financials[[#This Row],[Gross Sales]]-financials[[#This Row],[Gross Sales]]*financials[[#This Row],[Discounts]]</f>
        <v>73.5</v>
      </c>
      <c r="J2476" s="8">
        <f>VLOOKUP(financials[[#This Row],[productid]],Products!$B$2:$H$10,4)</f>
        <v>5.5</v>
      </c>
      <c r="K2476" s="8">
        <f>financials[[#This Row],[Net Sales]]-financials[[#This Row],[COGS]]</f>
        <v>68</v>
      </c>
      <c r="L2476" s="15">
        <v>45590</v>
      </c>
      <c r="M2476" t="s">
        <v>696</v>
      </c>
    </row>
    <row r="2477" spans="1:13" x14ac:dyDescent="0.25">
      <c r="A2477" t="s">
        <v>87</v>
      </c>
      <c r="B2477" s="6" t="s">
        <v>268</v>
      </c>
      <c r="C2477" s="13">
        <v>106</v>
      </c>
      <c r="D2477" s="14" t="s">
        <v>83</v>
      </c>
      <c r="E2477">
        <v>5</v>
      </c>
      <c r="F2477" s="8">
        <f>VLOOKUP(financials[[#This Row],[productid]],Products!$B$2:$H$10,3)</f>
        <v>25</v>
      </c>
      <c r="G2477" s="8">
        <f>financials[[#This Row],[Units Sold]]*financials[[#This Row],[Sale Price]]</f>
        <v>125</v>
      </c>
      <c r="H2477" s="8">
        <f>IF(financials[[#This Row],[Discount Band]]="low",0.1,IF(financials[[#This Row],[Discount Band]]="medium",0.15,0.3))</f>
        <v>0.3</v>
      </c>
      <c r="I2477" s="8">
        <f>financials[[#This Row],[Gross Sales]]-financials[[#This Row],[Gross Sales]]*financials[[#This Row],[Discounts]]</f>
        <v>87.5</v>
      </c>
      <c r="J2477" s="8">
        <f>VLOOKUP(financials[[#This Row],[productid]],Products!$B$2:$H$10,4)</f>
        <v>9.1</v>
      </c>
      <c r="K2477" s="8">
        <f>financials[[#This Row],[Net Sales]]-financials[[#This Row],[COGS]]</f>
        <v>78.400000000000006</v>
      </c>
      <c r="L2477" s="15">
        <v>45079</v>
      </c>
      <c r="M2477" t="s">
        <v>700</v>
      </c>
    </row>
    <row r="2478" spans="1:13" x14ac:dyDescent="0.25">
      <c r="A2478" t="s">
        <v>87</v>
      </c>
      <c r="B2478" s="6" t="s">
        <v>617</v>
      </c>
      <c r="C2478" s="13">
        <v>102</v>
      </c>
      <c r="D2478" s="14" t="s">
        <v>92</v>
      </c>
      <c r="E2478">
        <v>8</v>
      </c>
      <c r="F2478" s="8">
        <f>VLOOKUP(financials[[#This Row],[productid]],Products!$B$2:$H$10,3)</f>
        <v>15</v>
      </c>
      <c r="G2478" s="8">
        <f>financials[[#This Row],[Units Sold]]*financials[[#This Row],[Sale Price]]</f>
        <v>120</v>
      </c>
      <c r="H2478" s="8">
        <f>IF(financials[[#This Row],[Discount Band]]="low",0.1,IF(financials[[#This Row],[Discount Band]]="medium",0.15,0.3))</f>
        <v>0.3</v>
      </c>
      <c r="I2478" s="8">
        <f>financials[[#This Row],[Gross Sales]]-financials[[#This Row],[Gross Sales]]*financials[[#This Row],[Discounts]]</f>
        <v>84</v>
      </c>
      <c r="J2478" s="8">
        <f>VLOOKUP(financials[[#This Row],[productid]],Products!$B$2:$H$10,4)</f>
        <v>13.95</v>
      </c>
      <c r="K2478" s="8">
        <f>financials[[#This Row],[Net Sales]]-financials[[#This Row],[COGS]]</f>
        <v>70.05</v>
      </c>
      <c r="L2478" s="15">
        <v>45110</v>
      </c>
      <c r="M2478" t="s">
        <v>691</v>
      </c>
    </row>
    <row r="2479" spans="1:13" x14ac:dyDescent="0.25">
      <c r="A2479" t="s">
        <v>87</v>
      </c>
      <c r="B2479" s="6" t="s">
        <v>158</v>
      </c>
      <c r="C2479" s="13">
        <v>103</v>
      </c>
      <c r="D2479" s="14" t="s">
        <v>90</v>
      </c>
      <c r="E2479">
        <v>15</v>
      </c>
      <c r="F2479" s="8">
        <f>VLOOKUP(financials[[#This Row],[productid]],Products!$B$2:$H$10,3)</f>
        <v>28</v>
      </c>
      <c r="G2479" s="8">
        <f>financials[[#This Row],[Units Sold]]*financials[[#This Row],[Sale Price]]</f>
        <v>420</v>
      </c>
      <c r="H2479" s="8">
        <f>IF(financials[[#This Row],[Discount Band]]="low",0.1,IF(financials[[#This Row],[Discount Band]]="medium",0.15,0.3))</f>
        <v>0.15</v>
      </c>
      <c r="I2479" s="8">
        <f>financials[[#This Row],[Gross Sales]]-financials[[#This Row],[Gross Sales]]*financials[[#This Row],[Discounts]]</f>
        <v>357</v>
      </c>
      <c r="J2479" s="8">
        <f>VLOOKUP(financials[[#This Row],[productid]],Products!$B$2:$H$10,4)</f>
        <v>15</v>
      </c>
      <c r="K2479" s="8">
        <f>financials[[#This Row],[Net Sales]]-financials[[#This Row],[COGS]]</f>
        <v>342</v>
      </c>
      <c r="L2479" s="15">
        <v>44626</v>
      </c>
      <c r="M2479" t="s">
        <v>690</v>
      </c>
    </row>
    <row r="2480" spans="1:13" x14ac:dyDescent="0.25">
      <c r="A2480" t="s">
        <v>87</v>
      </c>
      <c r="B2480" s="6" t="s">
        <v>228</v>
      </c>
      <c r="C2480" s="13">
        <v>108</v>
      </c>
      <c r="D2480" s="14" t="s">
        <v>83</v>
      </c>
      <c r="E2480">
        <v>17</v>
      </c>
      <c r="F2480" s="8">
        <f>VLOOKUP(financials[[#This Row],[productid]],Products!$B$2:$H$10,3)</f>
        <v>5.5</v>
      </c>
      <c r="G2480" s="8">
        <f>financials[[#This Row],[Units Sold]]*financials[[#This Row],[Sale Price]]</f>
        <v>93.5</v>
      </c>
      <c r="H2480" s="8">
        <f>IF(financials[[#This Row],[Discount Band]]="low",0.1,IF(financials[[#This Row],[Discount Band]]="medium",0.15,0.3))</f>
        <v>0.3</v>
      </c>
      <c r="I2480" s="8">
        <f>financials[[#This Row],[Gross Sales]]-financials[[#This Row],[Gross Sales]]*financials[[#This Row],[Discounts]]</f>
        <v>65.45</v>
      </c>
      <c r="J2480" s="8">
        <f>VLOOKUP(financials[[#This Row],[productid]],Products!$B$2:$H$10,4)</f>
        <v>3.99</v>
      </c>
      <c r="K2480" s="8">
        <f>financials[[#This Row],[Net Sales]]-financials[[#This Row],[COGS]]</f>
        <v>61.46</v>
      </c>
      <c r="L2480" s="15">
        <v>44268</v>
      </c>
      <c r="M2480" t="s">
        <v>690</v>
      </c>
    </row>
    <row r="2481" spans="1:13" x14ac:dyDescent="0.25">
      <c r="A2481" t="s">
        <v>86</v>
      </c>
      <c r="B2481" s="6" t="s">
        <v>159</v>
      </c>
      <c r="C2481" s="13">
        <v>102</v>
      </c>
      <c r="D2481" s="14" t="s">
        <v>90</v>
      </c>
      <c r="E2481">
        <v>7</v>
      </c>
      <c r="F2481" s="8">
        <f>VLOOKUP(financials[[#This Row],[productid]],Products!$B$2:$H$10,3)</f>
        <v>15</v>
      </c>
      <c r="G2481" s="8">
        <f>financials[[#This Row],[Units Sold]]*financials[[#This Row],[Sale Price]]</f>
        <v>105</v>
      </c>
      <c r="H2481" s="8">
        <f>IF(financials[[#This Row],[Discount Band]]="low",0.1,IF(financials[[#This Row],[Discount Band]]="medium",0.15,0.3))</f>
        <v>0.15</v>
      </c>
      <c r="I2481" s="8">
        <f>financials[[#This Row],[Gross Sales]]-financials[[#This Row],[Gross Sales]]*financials[[#This Row],[Discounts]]</f>
        <v>89.25</v>
      </c>
      <c r="J2481" s="8">
        <f>VLOOKUP(financials[[#This Row],[productid]],Products!$B$2:$H$10,4)</f>
        <v>13.95</v>
      </c>
      <c r="K2481" s="8">
        <f>financials[[#This Row],[Net Sales]]-financials[[#This Row],[COGS]]</f>
        <v>75.3</v>
      </c>
      <c r="L2481" s="15">
        <v>44593</v>
      </c>
      <c r="M2481" t="s">
        <v>696</v>
      </c>
    </row>
    <row r="2482" spans="1:13" x14ac:dyDescent="0.25">
      <c r="A2482" t="s">
        <v>86</v>
      </c>
      <c r="B2482" s="6" t="s">
        <v>84</v>
      </c>
      <c r="C2482" s="13">
        <v>109</v>
      </c>
      <c r="D2482" s="14" t="s">
        <v>83</v>
      </c>
      <c r="E2482">
        <v>15</v>
      </c>
      <c r="F2482" s="8">
        <f>VLOOKUP(financials[[#This Row],[productid]],Products!$B$2:$H$10,3)</f>
        <v>36</v>
      </c>
      <c r="G2482" s="8">
        <f>financials[[#This Row],[Units Sold]]*financials[[#This Row],[Sale Price]]</f>
        <v>540</v>
      </c>
      <c r="H2482" s="8">
        <f>IF(financials[[#This Row],[Discount Band]]="low",0.1,IF(financials[[#This Row],[Discount Band]]="medium",0.15,0.3))</f>
        <v>0.3</v>
      </c>
      <c r="I2482" s="8">
        <f>financials[[#This Row],[Gross Sales]]-financials[[#This Row],[Gross Sales]]*financials[[#This Row],[Discounts]]</f>
        <v>378</v>
      </c>
      <c r="J2482" s="8">
        <f>VLOOKUP(financials[[#This Row],[productid]],Products!$B$2:$H$10,4)</f>
        <v>16.8</v>
      </c>
      <c r="K2482" s="8">
        <f>financials[[#This Row],[Net Sales]]-financials[[#This Row],[COGS]]</f>
        <v>361.2</v>
      </c>
      <c r="L2482" s="15">
        <v>45570</v>
      </c>
      <c r="M2482" t="s">
        <v>696</v>
      </c>
    </row>
    <row r="2483" spans="1:13" x14ac:dyDescent="0.25">
      <c r="A2483" t="s">
        <v>86</v>
      </c>
      <c r="B2483" s="6" t="s">
        <v>159</v>
      </c>
      <c r="C2483" s="13">
        <v>104</v>
      </c>
      <c r="D2483" s="14" t="s">
        <v>90</v>
      </c>
      <c r="E2483">
        <v>5</v>
      </c>
      <c r="F2483" s="8">
        <f>VLOOKUP(financials[[#This Row],[productid]],Products!$B$2:$H$10,3)</f>
        <v>5.9</v>
      </c>
      <c r="G2483" s="8">
        <f>financials[[#This Row],[Units Sold]]*financials[[#This Row],[Sale Price]]</f>
        <v>29.5</v>
      </c>
      <c r="H2483" s="8">
        <f>IF(financials[[#This Row],[Discount Band]]="low",0.1,IF(financials[[#This Row],[Discount Band]]="medium",0.15,0.3))</f>
        <v>0.15</v>
      </c>
      <c r="I2483" s="8">
        <f>financials[[#This Row],[Gross Sales]]-financials[[#This Row],[Gross Sales]]*financials[[#This Row],[Discounts]]</f>
        <v>25.074999999999999</v>
      </c>
      <c r="J2483" s="8">
        <f>VLOOKUP(financials[[#This Row],[productid]],Products!$B$2:$H$10,4)</f>
        <v>2.9</v>
      </c>
      <c r="K2483" s="8">
        <f>financials[[#This Row],[Net Sales]]-financials[[#This Row],[COGS]]</f>
        <v>22.175000000000001</v>
      </c>
      <c r="L2483" s="15">
        <v>44196</v>
      </c>
      <c r="M2483" t="s">
        <v>690</v>
      </c>
    </row>
    <row r="2484" spans="1:13" x14ac:dyDescent="0.25">
      <c r="A2484" t="s">
        <v>86</v>
      </c>
      <c r="B2484" s="6" t="s">
        <v>84</v>
      </c>
      <c r="C2484" s="11">
        <v>102</v>
      </c>
      <c r="D2484" s="9" t="s">
        <v>90</v>
      </c>
      <c r="E2484">
        <v>12</v>
      </c>
      <c r="F2484" s="8">
        <f>VLOOKUP(financials[[#This Row],[productid]],Products!$B$2:$H$10,3)</f>
        <v>15</v>
      </c>
      <c r="G2484" s="8">
        <f>financials[[#This Row],[Units Sold]]*financials[[#This Row],[Sale Price]]</f>
        <v>180</v>
      </c>
      <c r="H2484" s="8">
        <f>IF(financials[[#This Row],[Discount Band]]="low",0.1,IF(financials[[#This Row],[Discount Band]]="medium",0.15,0.3))</f>
        <v>0.15</v>
      </c>
      <c r="I2484" s="8">
        <f>financials[[#This Row],[Gross Sales]]-financials[[#This Row],[Gross Sales]]*financials[[#This Row],[Discounts]]</f>
        <v>153</v>
      </c>
      <c r="J2484" s="8">
        <f>VLOOKUP(financials[[#This Row],[productid]],Products!$B$2:$H$10,4)</f>
        <v>13.95</v>
      </c>
      <c r="K2484" s="8">
        <f>financials[[#This Row],[Net Sales]]-financials[[#This Row],[COGS]]</f>
        <v>139.05000000000001</v>
      </c>
      <c r="L2484" s="15">
        <v>43848</v>
      </c>
      <c r="M2484" t="s">
        <v>690</v>
      </c>
    </row>
    <row r="2485" spans="1:13" x14ac:dyDescent="0.25">
      <c r="A2485" t="s">
        <v>87</v>
      </c>
      <c r="B2485" s="6" t="s">
        <v>232</v>
      </c>
      <c r="C2485" s="11">
        <v>109</v>
      </c>
      <c r="D2485" s="9" t="s">
        <v>83</v>
      </c>
      <c r="E2485">
        <v>14</v>
      </c>
      <c r="F2485" s="8">
        <f>VLOOKUP(financials[[#This Row],[productid]],Products!$B$2:$H$10,3)</f>
        <v>36</v>
      </c>
      <c r="G2485" s="8">
        <f>financials[[#This Row],[Units Sold]]*financials[[#This Row],[Sale Price]]</f>
        <v>504</v>
      </c>
      <c r="H2485" s="8">
        <f>IF(financials[[#This Row],[Discount Band]]="low",0.1,IF(financials[[#This Row],[Discount Band]]="medium",0.15,0.3))</f>
        <v>0.3</v>
      </c>
      <c r="I2485" s="8">
        <f>financials[[#This Row],[Gross Sales]]-financials[[#This Row],[Gross Sales]]*financials[[#This Row],[Discounts]]</f>
        <v>352.8</v>
      </c>
      <c r="J2485" s="8">
        <f>VLOOKUP(financials[[#This Row],[productid]],Products!$B$2:$H$10,4)</f>
        <v>16.8</v>
      </c>
      <c r="K2485" s="8">
        <f>financials[[#This Row],[Net Sales]]-financials[[#This Row],[COGS]]</f>
        <v>336</v>
      </c>
      <c r="L2485" s="15">
        <v>44125</v>
      </c>
      <c r="M2485" t="s">
        <v>697</v>
      </c>
    </row>
    <row r="2486" spans="1:13" x14ac:dyDescent="0.25">
      <c r="A2486" t="s">
        <v>86</v>
      </c>
      <c r="B2486" s="6" t="s">
        <v>159</v>
      </c>
      <c r="C2486" s="13">
        <v>109</v>
      </c>
      <c r="D2486" s="14" t="s">
        <v>90</v>
      </c>
      <c r="E2486">
        <v>20</v>
      </c>
      <c r="F2486" s="8">
        <f>VLOOKUP(financials[[#This Row],[productid]],Products!$B$2:$H$10,3)</f>
        <v>36</v>
      </c>
      <c r="G2486" s="8">
        <f>financials[[#This Row],[Units Sold]]*financials[[#This Row],[Sale Price]]</f>
        <v>720</v>
      </c>
      <c r="H2486" s="8">
        <f>IF(financials[[#This Row],[Discount Band]]="low",0.1,IF(financials[[#This Row],[Discount Band]]="medium",0.15,0.3))</f>
        <v>0.15</v>
      </c>
      <c r="I2486" s="8">
        <f>financials[[#This Row],[Gross Sales]]-financials[[#This Row],[Gross Sales]]*financials[[#This Row],[Discounts]]</f>
        <v>612</v>
      </c>
      <c r="J2486" s="8">
        <f>VLOOKUP(financials[[#This Row],[productid]],Products!$B$2:$H$10,4)</f>
        <v>16.8</v>
      </c>
      <c r="K2486" s="8">
        <f>financials[[#This Row],[Net Sales]]-financials[[#This Row],[COGS]]</f>
        <v>595.20000000000005</v>
      </c>
      <c r="L2486" s="15">
        <v>44650</v>
      </c>
      <c r="M2486" t="s">
        <v>697</v>
      </c>
    </row>
    <row r="2487" spans="1:13" x14ac:dyDescent="0.25">
      <c r="A2487" t="s">
        <v>86</v>
      </c>
      <c r="B2487" s="6" t="s">
        <v>84</v>
      </c>
      <c r="C2487" s="13">
        <v>107</v>
      </c>
      <c r="D2487" s="14" t="s">
        <v>90</v>
      </c>
      <c r="E2487">
        <v>8</v>
      </c>
      <c r="F2487" s="8">
        <f>VLOOKUP(financials[[#This Row],[productid]],Products!$B$2:$H$10,3)</f>
        <v>15</v>
      </c>
      <c r="G2487" s="8">
        <f>financials[[#This Row],[Units Sold]]*financials[[#This Row],[Sale Price]]</f>
        <v>120</v>
      </c>
      <c r="H2487" s="8">
        <f>IF(financials[[#This Row],[Discount Band]]="low",0.1,IF(financials[[#This Row],[Discount Band]]="medium",0.15,0.3))</f>
        <v>0.15</v>
      </c>
      <c r="I2487" s="8">
        <f>financials[[#This Row],[Gross Sales]]-financials[[#This Row],[Gross Sales]]*financials[[#This Row],[Discounts]]</f>
        <v>102</v>
      </c>
      <c r="J2487" s="8">
        <f>VLOOKUP(financials[[#This Row],[productid]],Products!$B$2:$H$10,4)</f>
        <v>5.5</v>
      </c>
      <c r="K2487" s="8">
        <f>financials[[#This Row],[Net Sales]]-financials[[#This Row],[COGS]]</f>
        <v>96.5</v>
      </c>
      <c r="L2487" s="15">
        <v>44513</v>
      </c>
      <c r="M2487" t="s">
        <v>697</v>
      </c>
    </row>
    <row r="2488" spans="1:13" x14ac:dyDescent="0.25">
      <c r="A2488" t="s">
        <v>86</v>
      </c>
      <c r="B2488" s="6" t="s">
        <v>84</v>
      </c>
      <c r="C2488" s="13">
        <v>102</v>
      </c>
      <c r="D2488" s="14" t="s">
        <v>83</v>
      </c>
      <c r="E2488">
        <v>8</v>
      </c>
      <c r="F2488" s="8">
        <f>VLOOKUP(financials[[#This Row],[productid]],Products!$B$2:$H$10,3)</f>
        <v>15</v>
      </c>
      <c r="G2488" s="8">
        <f>financials[[#This Row],[Units Sold]]*financials[[#This Row],[Sale Price]]</f>
        <v>120</v>
      </c>
      <c r="H2488" s="8">
        <f>IF(financials[[#This Row],[Discount Band]]="low",0.1,IF(financials[[#This Row],[Discount Band]]="medium",0.15,0.3))</f>
        <v>0.3</v>
      </c>
      <c r="I2488" s="8">
        <f>financials[[#This Row],[Gross Sales]]-financials[[#This Row],[Gross Sales]]*financials[[#This Row],[Discounts]]</f>
        <v>84</v>
      </c>
      <c r="J2488" s="8">
        <f>VLOOKUP(financials[[#This Row],[productid]],Products!$B$2:$H$10,4)</f>
        <v>13.95</v>
      </c>
      <c r="K2488" s="8">
        <f>financials[[#This Row],[Net Sales]]-financials[[#This Row],[COGS]]</f>
        <v>70.05</v>
      </c>
      <c r="L2488" s="15">
        <v>45508</v>
      </c>
      <c r="M2488" t="s">
        <v>700</v>
      </c>
    </row>
    <row r="2489" spans="1:13" x14ac:dyDescent="0.25">
      <c r="A2489" t="s">
        <v>86</v>
      </c>
      <c r="B2489" s="6" t="s">
        <v>84</v>
      </c>
      <c r="C2489" s="13">
        <v>102</v>
      </c>
      <c r="D2489" s="14" t="s">
        <v>83</v>
      </c>
      <c r="E2489">
        <v>16</v>
      </c>
      <c r="F2489" s="8">
        <f>VLOOKUP(financials[[#This Row],[productid]],Products!$B$2:$H$10,3)</f>
        <v>15</v>
      </c>
      <c r="G2489" s="8">
        <f>financials[[#This Row],[Units Sold]]*financials[[#This Row],[Sale Price]]</f>
        <v>240</v>
      </c>
      <c r="H2489" s="8">
        <f>IF(financials[[#This Row],[Discount Band]]="low",0.1,IF(financials[[#This Row],[Discount Band]]="medium",0.15,0.3))</f>
        <v>0.3</v>
      </c>
      <c r="I2489" s="8">
        <f>financials[[#This Row],[Gross Sales]]-financials[[#This Row],[Gross Sales]]*financials[[#This Row],[Discounts]]</f>
        <v>168</v>
      </c>
      <c r="J2489" s="8">
        <f>VLOOKUP(financials[[#This Row],[productid]],Products!$B$2:$H$10,4)</f>
        <v>13.95</v>
      </c>
      <c r="K2489" s="8">
        <f>financials[[#This Row],[Net Sales]]-financials[[#This Row],[COGS]]</f>
        <v>154.05000000000001</v>
      </c>
      <c r="L2489" s="15">
        <v>44384</v>
      </c>
      <c r="M2489" t="s">
        <v>697</v>
      </c>
    </row>
    <row r="2490" spans="1:13" x14ac:dyDescent="0.25">
      <c r="A2490" t="s">
        <v>86</v>
      </c>
      <c r="B2490" s="6" t="s">
        <v>159</v>
      </c>
      <c r="C2490" s="13">
        <v>105</v>
      </c>
      <c r="D2490" s="14" t="s">
        <v>90</v>
      </c>
      <c r="E2490">
        <v>13</v>
      </c>
      <c r="F2490" s="8">
        <f>VLOOKUP(financials[[#This Row],[productid]],Products!$B$2:$H$10,3)</f>
        <v>15</v>
      </c>
      <c r="G2490" s="8">
        <f>financials[[#This Row],[Units Sold]]*financials[[#This Row],[Sale Price]]</f>
        <v>195</v>
      </c>
      <c r="H2490" s="8">
        <f>IF(financials[[#This Row],[Discount Band]]="low",0.1,IF(financials[[#This Row],[Discount Band]]="medium",0.15,0.3))</f>
        <v>0.15</v>
      </c>
      <c r="I2490" s="8">
        <f>financials[[#This Row],[Gross Sales]]-financials[[#This Row],[Gross Sales]]*financials[[#This Row],[Discounts]]</f>
        <v>165.75</v>
      </c>
      <c r="J2490" s="8">
        <f>VLOOKUP(financials[[#This Row],[productid]],Products!$B$2:$H$10,4)</f>
        <v>10</v>
      </c>
      <c r="K2490" s="8">
        <f>financials[[#This Row],[Net Sales]]-financials[[#This Row],[COGS]]</f>
        <v>155.75</v>
      </c>
      <c r="L2490" s="15">
        <v>44724</v>
      </c>
      <c r="M2490" t="s">
        <v>700</v>
      </c>
    </row>
    <row r="2491" spans="1:13" x14ac:dyDescent="0.25">
      <c r="A2491" t="s">
        <v>86</v>
      </c>
      <c r="B2491" s="6" t="s">
        <v>159</v>
      </c>
      <c r="C2491" s="13">
        <v>105</v>
      </c>
      <c r="D2491" s="14" t="s">
        <v>83</v>
      </c>
      <c r="E2491">
        <v>18</v>
      </c>
      <c r="F2491" s="8">
        <f>VLOOKUP(financials[[#This Row],[productid]],Products!$B$2:$H$10,3)</f>
        <v>15</v>
      </c>
      <c r="G2491" s="8">
        <f>financials[[#This Row],[Units Sold]]*financials[[#This Row],[Sale Price]]</f>
        <v>270</v>
      </c>
      <c r="H2491" s="8">
        <f>IF(financials[[#This Row],[Discount Band]]="low",0.1,IF(financials[[#This Row],[Discount Band]]="medium",0.15,0.3))</f>
        <v>0.3</v>
      </c>
      <c r="I2491" s="8">
        <f>financials[[#This Row],[Gross Sales]]-financials[[#This Row],[Gross Sales]]*financials[[#This Row],[Discounts]]</f>
        <v>189</v>
      </c>
      <c r="J2491" s="8">
        <f>VLOOKUP(financials[[#This Row],[productid]],Products!$B$2:$H$10,4)</f>
        <v>10</v>
      </c>
      <c r="K2491" s="8">
        <f>financials[[#This Row],[Net Sales]]-financials[[#This Row],[COGS]]</f>
        <v>179</v>
      </c>
      <c r="L2491" s="15">
        <v>44139</v>
      </c>
      <c r="M2491" t="s">
        <v>690</v>
      </c>
    </row>
    <row r="2492" spans="1:13" x14ac:dyDescent="0.25">
      <c r="A2492" t="s">
        <v>89</v>
      </c>
      <c r="B2492" s="6" t="s">
        <v>84</v>
      </c>
      <c r="C2492" s="13">
        <v>109</v>
      </c>
      <c r="D2492" s="14" t="s">
        <v>83</v>
      </c>
      <c r="E2492">
        <v>17</v>
      </c>
      <c r="F2492" s="8">
        <f>VLOOKUP(financials[[#This Row],[productid]],Products!$B$2:$H$10,3)</f>
        <v>36</v>
      </c>
      <c r="G2492" s="8">
        <f>financials[[#This Row],[Units Sold]]*financials[[#This Row],[Sale Price]]</f>
        <v>612</v>
      </c>
      <c r="H2492" s="8">
        <f>IF(financials[[#This Row],[Discount Band]]="low",0.1,IF(financials[[#This Row],[Discount Band]]="medium",0.15,0.3))</f>
        <v>0.3</v>
      </c>
      <c r="I2492" s="8">
        <f>financials[[#This Row],[Gross Sales]]-financials[[#This Row],[Gross Sales]]*financials[[#This Row],[Discounts]]</f>
        <v>428.4</v>
      </c>
      <c r="J2492" s="8">
        <f>VLOOKUP(financials[[#This Row],[productid]],Products!$B$2:$H$10,4)</f>
        <v>16.8</v>
      </c>
      <c r="K2492" s="8">
        <f>financials[[#This Row],[Net Sales]]-financials[[#This Row],[COGS]]</f>
        <v>411.59999999999997</v>
      </c>
      <c r="L2492" s="15">
        <v>45051</v>
      </c>
      <c r="M2492" t="s">
        <v>700</v>
      </c>
    </row>
    <row r="2493" spans="1:13" x14ac:dyDescent="0.25">
      <c r="A2493" t="s">
        <v>89</v>
      </c>
      <c r="B2493" s="6" t="s">
        <v>84</v>
      </c>
      <c r="C2493" s="13">
        <v>108</v>
      </c>
      <c r="D2493" s="14" t="s">
        <v>91</v>
      </c>
      <c r="E2493">
        <v>19</v>
      </c>
      <c r="F2493" s="8">
        <f>VLOOKUP(financials[[#This Row],[productid]],Products!$B$2:$H$10,3)</f>
        <v>5.5</v>
      </c>
      <c r="G2493" s="8">
        <f>financials[[#This Row],[Units Sold]]*financials[[#This Row],[Sale Price]]</f>
        <v>104.5</v>
      </c>
      <c r="H2493" s="8">
        <f>IF(financials[[#This Row],[Discount Band]]="low",0.1,IF(financials[[#This Row],[Discount Band]]="medium",0.15,0.3))</f>
        <v>0.1</v>
      </c>
      <c r="I2493" s="8">
        <f>financials[[#This Row],[Gross Sales]]-financials[[#This Row],[Gross Sales]]*financials[[#This Row],[Discounts]]</f>
        <v>94.05</v>
      </c>
      <c r="J2493" s="8">
        <f>VLOOKUP(financials[[#This Row],[productid]],Products!$B$2:$H$10,4)</f>
        <v>3.99</v>
      </c>
      <c r="K2493" s="8">
        <f>financials[[#This Row],[Net Sales]]-financials[[#This Row],[COGS]]</f>
        <v>90.06</v>
      </c>
      <c r="L2493" s="15">
        <v>44466</v>
      </c>
      <c r="M2493" t="s">
        <v>696</v>
      </c>
    </row>
    <row r="2494" spans="1:13" x14ac:dyDescent="0.25">
      <c r="A2494" t="s">
        <v>86</v>
      </c>
      <c r="B2494" s="6" t="s">
        <v>159</v>
      </c>
      <c r="C2494" s="13">
        <v>105</v>
      </c>
      <c r="D2494" s="14" t="s">
        <v>91</v>
      </c>
      <c r="E2494">
        <v>18</v>
      </c>
      <c r="F2494" s="8">
        <f>VLOOKUP(financials[[#This Row],[productid]],Products!$B$2:$H$10,3)</f>
        <v>15</v>
      </c>
      <c r="G2494" s="8">
        <f>financials[[#This Row],[Units Sold]]*financials[[#This Row],[Sale Price]]</f>
        <v>270</v>
      </c>
      <c r="H2494" s="8">
        <f>IF(financials[[#This Row],[Discount Band]]="low",0.1,IF(financials[[#This Row],[Discount Band]]="medium",0.15,0.3))</f>
        <v>0.1</v>
      </c>
      <c r="I2494" s="8">
        <f>financials[[#This Row],[Gross Sales]]-financials[[#This Row],[Gross Sales]]*financials[[#This Row],[Discounts]]</f>
        <v>243</v>
      </c>
      <c r="J2494" s="8">
        <f>VLOOKUP(financials[[#This Row],[productid]],Products!$B$2:$H$10,4)</f>
        <v>10</v>
      </c>
      <c r="K2494" s="8">
        <f>financials[[#This Row],[Net Sales]]-financials[[#This Row],[COGS]]</f>
        <v>233</v>
      </c>
      <c r="L2494" s="15">
        <v>44283</v>
      </c>
      <c r="M2494" t="s">
        <v>700</v>
      </c>
    </row>
    <row r="2495" spans="1:13" x14ac:dyDescent="0.25">
      <c r="A2495" t="s">
        <v>85</v>
      </c>
      <c r="B2495" s="6" t="s">
        <v>124</v>
      </c>
      <c r="C2495" s="13">
        <v>104</v>
      </c>
      <c r="D2495" s="14" t="s">
        <v>90</v>
      </c>
      <c r="E2495">
        <v>5</v>
      </c>
      <c r="F2495" s="8">
        <f>VLOOKUP(financials[[#This Row],[productid]],Products!$B$2:$H$10,3)</f>
        <v>5.9</v>
      </c>
      <c r="G2495" s="8">
        <f>financials[[#This Row],[Units Sold]]*financials[[#This Row],[Sale Price]]</f>
        <v>29.5</v>
      </c>
      <c r="H2495" s="8">
        <f>IF(financials[[#This Row],[Discount Band]]="low",0.1,IF(financials[[#This Row],[Discount Band]]="medium",0.15,0.3))</f>
        <v>0.15</v>
      </c>
      <c r="I2495" s="8">
        <f>financials[[#This Row],[Gross Sales]]-financials[[#This Row],[Gross Sales]]*financials[[#This Row],[Discounts]]</f>
        <v>25.074999999999999</v>
      </c>
      <c r="J2495" s="8">
        <f>VLOOKUP(financials[[#This Row],[productid]],Products!$B$2:$H$10,4)</f>
        <v>2.9</v>
      </c>
      <c r="K2495" s="8">
        <f>financials[[#This Row],[Net Sales]]-financials[[#This Row],[COGS]]</f>
        <v>22.175000000000001</v>
      </c>
      <c r="L2495" s="15">
        <v>44910</v>
      </c>
      <c r="M2495" t="s">
        <v>696</v>
      </c>
    </row>
    <row r="2496" spans="1:13" x14ac:dyDescent="0.25">
      <c r="A2496" t="s">
        <v>85</v>
      </c>
      <c r="B2496" s="6" t="s">
        <v>159</v>
      </c>
      <c r="C2496" s="13">
        <v>105</v>
      </c>
      <c r="D2496" s="14" t="s">
        <v>90</v>
      </c>
      <c r="E2496">
        <v>15</v>
      </c>
      <c r="F2496" s="8">
        <f>VLOOKUP(financials[[#This Row],[productid]],Products!$B$2:$H$10,3)</f>
        <v>15</v>
      </c>
      <c r="G2496" s="8">
        <f>financials[[#This Row],[Units Sold]]*financials[[#This Row],[Sale Price]]</f>
        <v>225</v>
      </c>
      <c r="H2496" s="8">
        <f>IF(financials[[#This Row],[Discount Band]]="low",0.1,IF(financials[[#This Row],[Discount Band]]="medium",0.15,0.3))</f>
        <v>0.15</v>
      </c>
      <c r="I2496" s="8">
        <f>financials[[#This Row],[Gross Sales]]-financials[[#This Row],[Gross Sales]]*financials[[#This Row],[Discounts]]</f>
        <v>191.25</v>
      </c>
      <c r="J2496" s="8">
        <f>VLOOKUP(financials[[#This Row],[productid]],Products!$B$2:$H$10,4)</f>
        <v>10</v>
      </c>
      <c r="K2496" s="8">
        <f>financials[[#This Row],[Net Sales]]-financials[[#This Row],[COGS]]</f>
        <v>181.25</v>
      </c>
      <c r="L2496" s="15">
        <v>45162</v>
      </c>
      <c r="M2496" t="s">
        <v>697</v>
      </c>
    </row>
    <row r="2497" spans="1:13" x14ac:dyDescent="0.25">
      <c r="A2497" t="s">
        <v>87</v>
      </c>
      <c r="B2497" s="6" t="s">
        <v>240</v>
      </c>
      <c r="C2497" s="13">
        <v>105</v>
      </c>
      <c r="D2497" s="14" t="s">
        <v>90</v>
      </c>
      <c r="E2497">
        <v>14</v>
      </c>
      <c r="F2497" s="8">
        <f>VLOOKUP(financials[[#This Row],[productid]],Products!$B$2:$H$10,3)</f>
        <v>15</v>
      </c>
      <c r="G2497" s="8">
        <f>financials[[#This Row],[Units Sold]]*financials[[#This Row],[Sale Price]]</f>
        <v>210</v>
      </c>
      <c r="H2497" s="8">
        <f>IF(financials[[#This Row],[Discount Band]]="low",0.1,IF(financials[[#This Row],[Discount Band]]="medium",0.15,0.3))</f>
        <v>0.15</v>
      </c>
      <c r="I2497" s="8">
        <f>financials[[#This Row],[Gross Sales]]-financials[[#This Row],[Gross Sales]]*financials[[#This Row],[Discounts]]</f>
        <v>178.5</v>
      </c>
      <c r="J2497" s="8">
        <f>VLOOKUP(financials[[#This Row],[productid]],Products!$B$2:$H$10,4)</f>
        <v>10</v>
      </c>
      <c r="K2497" s="8">
        <f>financials[[#This Row],[Net Sales]]-financials[[#This Row],[COGS]]</f>
        <v>168.5</v>
      </c>
      <c r="L2497" s="15">
        <v>44564</v>
      </c>
      <c r="M2497" t="s">
        <v>697</v>
      </c>
    </row>
    <row r="2498" spans="1:13" x14ac:dyDescent="0.25">
      <c r="A2498" t="s">
        <v>89</v>
      </c>
      <c r="B2498" s="6" t="s">
        <v>159</v>
      </c>
      <c r="C2498" s="13">
        <v>105</v>
      </c>
      <c r="D2498" s="14" t="s">
        <v>83</v>
      </c>
      <c r="E2498">
        <v>14</v>
      </c>
      <c r="F2498" s="8">
        <f>VLOOKUP(financials[[#This Row],[productid]],Products!$B$2:$H$10,3)</f>
        <v>15</v>
      </c>
      <c r="G2498" s="8">
        <f>financials[[#This Row],[Units Sold]]*financials[[#This Row],[Sale Price]]</f>
        <v>210</v>
      </c>
      <c r="H2498" s="8">
        <f>IF(financials[[#This Row],[Discount Band]]="low",0.1,IF(financials[[#This Row],[Discount Band]]="medium",0.15,0.3))</f>
        <v>0.3</v>
      </c>
      <c r="I2498" s="8">
        <f>financials[[#This Row],[Gross Sales]]-financials[[#This Row],[Gross Sales]]*financials[[#This Row],[Discounts]]</f>
        <v>147</v>
      </c>
      <c r="J2498" s="8">
        <f>VLOOKUP(financials[[#This Row],[productid]],Products!$B$2:$H$10,4)</f>
        <v>10</v>
      </c>
      <c r="K2498" s="8">
        <f>financials[[#This Row],[Net Sales]]-financials[[#This Row],[COGS]]</f>
        <v>137</v>
      </c>
      <c r="L2498" s="15">
        <v>44984</v>
      </c>
      <c r="M2498" t="s">
        <v>696</v>
      </c>
    </row>
    <row r="2499" spans="1:13" x14ac:dyDescent="0.25">
      <c r="A2499" t="s">
        <v>86</v>
      </c>
      <c r="B2499" s="6" t="s">
        <v>124</v>
      </c>
      <c r="C2499" s="13">
        <v>106</v>
      </c>
      <c r="D2499" s="14" t="s">
        <v>90</v>
      </c>
      <c r="E2499">
        <v>6</v>
      </c>
      <c r="F2499" s="8">
        <f>VLOOKUP(financials[[#This Row],[productid]],Products!$B$2:$H$10,3)</f>
        <v>25</v>
      </c>
      <c r="G2499" s="8">
        <f>financials[[#This Row],[Units Sold]]*financials[[#This Row],[Sale Price]]</f>
        <v>150</v>
      </c>
      <c r="H2499" s="8">
        <f>IF(financials[[#This Row],[Discount Band]]="low",0.1,IF(financials[[#This Row],[Discount Band]]="medium",0.15,0.3))</f>
        <v>0.15</v>
      </c>
      <c r="I2499" s="8">
        <f>financials[[#This Row],[Gross Sales]]-financials[[#This Row],[Gross Sales]]*financials[[#This Row],[Discounts]]</f>
        <v>127.5</v>
      </c>
      <c r="J2499" s="8">
        <f>VLOOKUP(financials[[#This Row],[productid]],Products!$B$2:$H$10,4)</f>
        <v>9.1</v>
      </c>
      <c r="K2499" s="8">
        <f>financials[[#This Row],[Net Sales]]-financials[[#This Row],[COGS]]</f>
        <v>118.4</v>
      </c>
      <c r="L2499" s="15">
        <v>44513</v>
      </c>
      <c r="M2499" t="s">
        <v>697</v>
      </c>
    </row>
    <row r="2500" spans="1:13" x14ac:dyDescent="0.25">
      <c r="A2500" t="s">
        <v>87</v>
      </c>
      <c r="B2500" s="6" t="s">
        <v>96</v>
      </c>
      <c r="C2500" s="13">
        <v>102</v>
      </c>
      <c r="D2500" s="14" t="s">
        <v>91</v>
      </c>
      <c r="E2500">
        <v>20</v>
      </c>
      <c r="F2500" s="8">
        <f>VLOOKUP(financials[[#This Row],[productid]],Products!$B$2:$H$10,3)</f>
        <v>15</v>
      </c>
      <c r="G2500" s="8">
        <f>financials[[#This Row],[Units Sold]]*financials[[#This Row],[Sale Price]]</f>
        <v>300</v>
      </c>
      <c r="H2500" s="8">
        <f>IF(financials[[#This Row],[Discount Band]]="low",0.1,IF(financials[[#This Row],[Discount Band]]="medium",0.15,0.3))</f>
        <v>0.1</v>
      </c>
      <c r="I2500" s="8">
        <f>financials[[#This Row],[Gross Sales]]-financials[[#This Row],[Gross Sales]]*financials[[#This Row],[Discounts]]</f>
        <v>270</v>
      </c>
      <c r="J2500" s="8">
        <f>VLOOKUP(financials[[#This Row],[productid]],Products!$B$2:$H$10,4)</f>
        <v>13.95</v>
      </c>
      <c r="K2500" s="8">
        <f>financials[[#This Row],[Net Sales]]-financials[[#This Row],[COGS]]</f>
        <v>256.05</v>
      </c>
      <c r="L2500" s="15">
        <v>45441</v>
      </c>
      <c r="M2500" t="s">
        <v>700</v>
      </c>
    </row>
    <row r="2501" spans="1:13" x14ac:dyDescent="0.25">
      <c r="A2501" t="s">
        <v>85</v>
      </c>
      <c r="B2501" s="6" t="s">
        <v>159</v>
      </c>
      <c r="C2501" s="13">
        <v>109</v>
      </c>
      <c r="D2501" s="14" t="s">
        <v>83</v>
      </c>
      <c r="E2501">
        <v>9</v>
      </c>
      <c r="F2501" s="8">
        <f>VLOOKUP(financials[[#This Row],[productid]],Products!$B$2:$H$10,3)</f>
        <v>36</v>
      </c>
      <c r="G2501" s="8">
        <f>financials[[#This Row],[Units Sold]]*financials[[#This Row],[Sale Price]]</f>
        <v>324</v>
      </c>
      <c r="H2501" s="8">
        <f>IF(financials[[#This Row],[Discount Band]]="low",0.1,IF(financials[[#This Row],[Discount Band]]="medium",0.15,0.3))</f>
        <v>0.3</v>
      </c>
      <c r="I2501" s="8">
        <f>financials[[#This Row],[Gross Sales]]-financials[[#This Row],[Gross Sales]]*financials[[#This Row],[Discounts]]</f>
        <v>226.8</v>
      </c>
      <c r="J2501" s="8">
        <f>VLOOKUP(financials[[#This Row],[productid]],Products!$B$2:$H$10,4)</f>
        <v>16.8</v>
      </c>
      <c r="K2501" s="8">
        <f>financials[[#This Row],[Net Sales]]-financials[[#This Row],[COGS]]</f>
        <v>210</v>
      </c>
      <c r="L2501" s="15">
        <v>45421</v>
      </c>
      <c r="M2501" t="s">
        <v>700</v>
      </c>
    </row>
    <row r="2502" spans="1:13" x14ac:dyDescent="0.25">
      <c r="A2502" t="s">
        <v>89</v>
      </c>
      <c r="B2502" s="6" t="s">
        <v>159</v>
      </c>
      <c r="C2502" s="13">
        <v>108</v>
      </c>
      <c r="D2502" s="14" t="s">
        <v>83</v>
      </c>
      <c r="E2502">
        <v>12</v>
      </c>
      <c r="F2502" s="8">
        <f>VLOOKUP(financials[[#This Row],[productid]],Products!$B$2:$H$10,3)</f>
        <v>5.5</v>
      </c>
      <c r="G2502" s="8">
        <f>financials[[#This Row],[Units Sold]]*financials[[#This Row],[Sale Price]]</f>
        <v>66</v>
      </c>
      <c r="H2502" s="8">
        <f>IF(financials[[#This Row],[Discount Band]]="low",0.1,IF(financials[[#This Row],[Discount Band]]="medium",0.15,0.3))</f>
        <v>0.3</v>
      </c>
      <c r="I2502" s="8">
        <f>financials[[#This Row],[Gross Sales]]-financials[[#This Row],[Gross Sales]]*financials[[#This Row],[Discounts]]</f>
        <v>46.2</v>
      </c>
      <c r="J2502" s="8">
        <f>VLOOKUP(financials[[#This Row],[productid]],Products!$B$2:$H$10,4)</f>
        <v>3.99</v>
      </c>
      <c r="K2502" s="8">
        <f>financials[[#This Row],[Net Sales]]-financials[[#This Row],[COGS]]</f>
        <v>42.21</v>
      </c>
      <c r="L2502" s="15">
        <v>45654</v>
      </c>
      <c r="M2502" t="s">
        <v>690</v>
      </c>
    </row>
    <row r="2503" spans="1:13" x14ac:dyDescent="0.25">
      <c r="A2503" t="s">
        <v>87</v>
      </c>
      <c r="B2503" s="6" t="s">
        <v>228</v>
      </c>
      <c r="C2503" s="11">
        <v>101</v>
      </c>
      <c r="D2503" s="9" t="s">
        <v>90</v>
      </c>
      <c r="E2503">
        <v>7</v>
      </c>
      <c r="F2503" s="8">
        <f>VLOOKUP(financials[[#This Row],[productid]],Products!$B$2:$H$10,3)</f>
        <v>23</v>
      </c>
      <c r="G2503" s="8">
        <f>financials[[#This Row],[Units Sold]]*financials[[#This Row],[Sale Price]]</f>
        <v>161</v>
      </c>
      <c r="H2503" s="8">
        <f>IF(financials[[#This Row],[Discount Band]]="low",0.1,IF(financials[[#This Row],[Discount Band]]="medium",0.15,0.3))</f>
        <v>0.15</v>
      </c>
      <c r="I2503" s="8">
        <f>financials[[#This Row],[Gross Sales]]-financials[[#This Row],[Gross Sales]]*financials[[#This Row],[Discounts]]</f>
        <v>136.85</v>
      </c>
      <c r="J2503" s="8">
        <f>VLOOKUP(financials[[#This Row],[productid]],Products!$B$2:$H$10,4)</f>
        <v>9.9499999999999993</v>
      </c>
      <c r="K2503" s="8">
        <f>financials[[#This Row],[Net Sales]]-financials[[#This Row],[COGS]]</f>
        <v>126.89999999999999</v>
      </c>
      <c r="L2503" s="15">
        <v>45025</v>
      </c>
      <c r="M2503" t="s">
        <v>697</v>
      </c>
    </row>
    <row r="2504" spans="1:13" x14ac:dyDescent="0.25">
      <c r="A2504" t="s">
        <v>87</v>
      </c>
      <c r="B2504" s="6" t="s">
        <v>197</v>
      </c>
      <c r="C2504" s="13">
        <v>106</v>
      </c>
      <c r="D2504" s="14" t="s">
        <v>90</v>
      </c>
      <c r="E2504">
        <v>8</v>
      </c>
      <c r="F2504" s="8">
        <f>VLOOKUP(financials[[#This Row],[productid]],Products!$B$2:$H$10,3)</f>
        <v>25</v>
      </c>
      <c r="G2504" s="8">
        <f>financials[[#This Row],[Units Sold]]*financials[[#This Row],[Sale Price]]</f>
        <v>200</v>
      </c>
      <c r="H2504" s="8">
        <f>IF(financials[[#This Row],[Discount Band]]="low",0.1,IF(financials[[#This Row],[Discount Band]]="medium",0.15,0.3))</f>
        <v>0.15</v>
      </c>
      <c r="I2504" s="8">
        <f>financials[[#This Row],[Gross Sales]]-financials[[#This Row],[Gross Sales]]*financials[[#This Row],[Discounts]]</f>
        <v>170</v>
      </c>
      <c r="J2504" s="8">
        <f>VLOOKUP(financials[[#This Row],[productid]],Products!$B$2:$H$10,4)</f>
        <v>9.1</v>
      </c>
      <c r="K2504" s="8">
        <f>financials[[#This Row],[Net Sales]]-financials[[#This Row],[COGS]]</f>
        <v>160.9</v>
      </c>
      <c r="L2504" s="15">
        <v>44084</v>
      </c>
      <c r="M2504" t="s">
        <v>696</v>
      </c>
    </row>
    <row r="2505" spans="1:13" x14ac:dyDescent="0.25">
      <c r="A2505" t="s">
        <v>87</v>
      </c>
      <c r="B2505" s="6" t="s">
        <v>125</v>
      </c>
      <c r="C2505" s="13">
        <v>104</v>
      </c>
      <c r="D2505" s="14" t="s">
        <v>83</v>
      </c>
      <c r="E2505">
        <v>7</v>
      </c>
      <c r="F2505" s="8">
        <f>VLOOKUP(financials[[#This Row],[productid]],Products!$B$2:$H$10,3)</f>
        <v>5.9</v>
      </c>
      <c r="G2505" s="8">
        <f>financials[[#This Row],[Units Sold]]*financials[[#This Row],[Sale Price]]</f>
        <v>41.300000000000004</v>
      </c>
      <c r="H2505" s="8">
        <f>IF(financials[[#This Row],[Discount Band]]="low",0.1,IF(financials[[#This Row],[Discount Band]]="medium",0.15,0.3))</f>
        <v>0.3</v>
      </c>
      <c r="I2505" s="8">
        <f>financials[[#This Row],[Gross Sales]]-financials[[#This Row],[Gross Sales]]*financials[[#This Row],[Discounts]]</f>
        <v>28.910000000000004</v>
      </c>
      <c r="J2505" s="8">
        <f>VLOOKUP(financials[[#This Row],[productid]],Products!$B$2:$H$10,4)</f>
        <v>2.9</v>
      </c>
      <c r="K2505" s="8">
        <f>financials[[#This Row],[Net Sales]]-financials[[#This Row],[COGS]]</f>
        <v>26.010000000000005</v>
      </c>
      <c r="L2505" s="15">
        <v>45608</v>
      </c>
      <c r="M2505" t="s">
        <v>700</v>
      </c>
    </row>
    <row r="2506" spans="1:13" x14ac:dyDescent="0.25">
      <c r="A2506" t="s">
        <v>86</v>
      </c>
      <c r="B2506" s="6" t="s">
        <v>159</v>
      </c>
      <c r="C2506" s="13">
        <v>107</v>
      </c>
      <c r="D2506" s="14" t="s">
        <v>83</v>
      </c>
      <c r="E2506">
        <v>15</v>
      </c>
      <c r="F2506" s="8">
        <f>VLOOKUP(financials[[#This Row],[productid]],Products!$B$2:$H$10,3)</f>
        <v>15</v>
      </c>
      <c r="G2506" s="8">
        <f>financials[[#This Row],[Units Sold]]*financials[[#This Row],[Sale Price]]</f>
        <v>225</v>
      </c>
      <c r="H2506" s="8">
        <f>IF(financials[[#This Row],[Discount Band]]="low",0.1,IF(financials[[#This Row],[Discount Band]]="medium",0.15,0.3))</f>
        <v>0.3</v>
      </c>
      <c r="I2506" s="8">
        <f>financials[[#This Row],[Gross Sales]]-financials[[#This Row],[Gross Sales]]*financials[[#This Row],[Discounts]]</f>
        <v>157.5</v>
      </c>
      <c r="J2506" s="8">
        <f>VLOOKUP(financials[[#This Row],[productid]],Products!$B$2:$H$10,4)</f>
        <v>5.5</v>
      </c>
      <c r="K2506" s="8">
        <f>financials[[#This Row],[Net Sales]]-financials[[#This Row],[COGS]]</f>
        <v>152</v>
      </c>
      <c r="L2506" s="15">
        <v>44727</v>
      </c>
      <c r="M2506" t="s">
        <v>690</v>
      </c>
    </row>
    <row r="2507" spans="1:13" x14ac:dyDescent="0.25">
      <c r="A2507" t="s">
        <v>86</v>
      </c>
      <c r="B2507" s="6" t="s">
        <v>124</v>
      </c>
      <c r="C2507" s="13">
        <v>109</v>
      </c>
      <c r="D2507" s="14" t="s">
        <v>90</v>
      </c>
      <c r="E2507">
        <v>19</v>
      </c>
      <c r="F2507" s="8">
        <f>VLOOKUP(financials[[#This Row],[productid]],Products!$B$2:$H$10,3)</f>
        <v>36</v>
      </c>
      <c r="G2507" s="8">
        <f>financials[[#This Row],[Units Sold]]*financials[[#This Row],[Sale Price]]</f>
        <v>684</v>
      </c>
      <c r="H2507" s="8">
        <f>IF(financials[[#This Row],[Discount Band]]="low",0.1,IF(financials[[#This Row],[Discount Band]]="medium",0.15,0.3))</f>
        <v>0.15</v>
      </c>
      <c r="I2507" s="8">
        <f>financials[[#This Row],[Gross Sales]]-financials[[#This Row],[Gross Sales]]*financials[[#This Row],[Discounts]]</f>
        <v>581.4</v>
      </c>
      <c r="J2507" s="8">
        <f>VLOOKUP(financials[[#This Row],[productid]],Products!$B$2:$H$10,4)</f>
        <v>16.8</v>
      </c>
      <c r="K2507" s="8">
        <f>financials[[#This Row],[Net Sales]]-financials[[#This Row],[COGS]]</f>
        <v>564.6</v>
      </c>
      <c r="L2507" s="15">
        <v>44456</v>
      </c>
      <c r="M2507" t="s">
        <v>690</v>
      </c>
    </row>
    <row r="2508" spans="1:13" x14ac:dyDescent="0.25">
      <c r="A2508" t="s">
        <v>87</v>
      </c>
      <c r="B2508" s="6" t="s">
        <v>158</v>
      </c>
      <c r="C2508" s="13">
        <v>108</v>
      </c>
      <c r="D2508" s="14" t="s">
        <v>83</v>
      </c>
      <c r="E2508">
        <v>14</v>
      </c>
      <c r="F2508" s="8">
        <f>VLOOKUP(financials[[#This Row],[productid]],Products!$B$2:$H$10,3)</f>
        <v>5.5</v>
      </c>
      <c r="G2508" s="8">
        <f>financials[[#This Row],[Units Sold]]*financials[[#This Row],[Sale Price]]</f>
        <v>77</v>
      </c>
      <c r="H2508" s="8">
        <f>IF(financials[[#This Row],[Discount Band]]="low",0.1,IF(financials[[#This Row],[Discount Band]]="medium",0.15,0.3))</f>
        <v>0.3</v>
      </c>
      <c r="I2508" s="8">
        <f>financials[[#This Row],[Gross Sales]]-financials[[#This Row],[Gross Sales]]*financials[[#This Row],[Discounts]]</f>
        <v>53.900000000000006</v>
      </c>
      <c r="J2508" s="8">
        <f>VLOOKUP(financials[[#This Row],[productid]],Products!$B$2:$H$10,4)</f>
        <v>3.99</v>
      </c>
      <c r="K2508" s="8">
        <f>financials[[#This Row],[Net Sales]]-financials[[#This Row],[COGS]]</f>
        <v>49.910000000000004</v>
      </c>
      <c r="L2508" s="15">
        <v>44198</v>
      </c>
      <c r="M2508" t="s">
        <v>690</v>
      </c>
    </row>
    <row r="2509" spans="1:13" x14ac:dyDescent="0.25">
      <c r="A2509" t="s">
        <v>87</v>
      </c>
      <c r="B2509" s="6" t="s">
        <v>93</v>
      </c>
      <c r="C2509" s="13">
        <v>108</v>
      </c>
      <c r="D2509" s="14" t="s">
        <v>83</v>
      </c>
      <c r="E2509">
        <v>16</v>
      </c>
      <c r="F2509" s="8">
        <f>VLOOKUP(financials[[#This Row],[productid]],Products!$B$2:$H$10,3)</f>
        <v>5.5</v>
      </c>
      <c r="G2509" s="8">
        <f>financials[[#This Row],[Units Sold]]*financials[[#This Row],[Sale Price]]</f>
        <v>88</v>
      </c>
      <c r="H2509" s="8">
        <f>IF(financials[[#This Row],[Discount Band]]="low",0.1,IF(financials[[#This Row],[Discount Band]]="medium",0.15,0.3))</f>
        <v>0.3</v>
      </c>
      <c r="I2509" s="8">
        <f>financials[[#This Row],[Gross Sales]]-financials[[#This Row],[Gross Sales]]*financials[[#This Row],[Discounts]]</f>
        <v>61.6</v>
      </c>
      <c r="J2509" s="8">
        <f>VLOOKUP(financials[[#This Row],[productid]],Products!$B$2:$H$10,4)</f>
        <v>3.99</v>
      </c>
      <c r="K2509" s="8">
        <f>financials[[#This Row],[Net Sales]]-financials[[#This Row],[COGS]]</f>
        <v>57.61</v>
      </c>
      <c r="L2509" s="15">
        <v>45104</v>
      </c>
      <c r="M2509" t="s">
        <v>696</v>
      </c>
    </row>
    <row r="2510" spans="1:13" x14ac:dyDescent="0.25">
      <c r="A2510" t="s">
        <v>87</v>
      </c>
      <c r="B2510" s="6" t="s">
        <v>240</v>
      </c>
      <c r="C2510" s="13">
        <v>106</v>
      </c>
      <c r="D2510" s="14" t="s">
        <v>91</v>
      </c>
      <c r="E2510">
        <v>15</v>
      </c>
      <c r="F2510" s="8">
        <f>VLOOKUP(financials[[#This Row],[productid]],Products!$B$2:$H$10,3)</f>
        <v>25</v>
      </c>
      <c r="G2510" s="8">
        <f>financials[[#This Row],[Units Sold]]*financials[[#This Row],[Sale Price]]</f>
        <v>375</v>
      </c>
      <c r="H2510" s="8">
        <f>IF(financials[[#This Row],[Discount Band]]="low",0.1,IF(financials[[#This Row],[Discount Band]]="medium",0.15,0.3))</f>
        <v>0.1</v>
      </c>
      <c r="I2510" s="8">
        <f>financials[[#This Row],[Gross Sales]]-financials[[#This Row],[Gross Sales]]*financials[[#This Row],[Discounts]]</f>
        <v>337.5</v>
      </c>
      <c r="J2510" s="8">
        <f>VLOOKUP(financials[[#This Row],[productid]],Products!$B$2:$H$10,4)</f>
        <v>9.1</v>
      </c>
      <c r="K2510" s="8">
        <f>financials[[#This Row],[Net Sales]]-financials[[#This Row],[COGS]]</f>
        <v>328.4</v>
      </c>
      <c r="L2510" s="15">
        <v>45484</v>
      </c>
      <c r="M2510" t="s">
        <v>696</v>
      </c>
    </row>
    <row r="2511" spans="1:13" x14ac:dyDescent="0.25">
      <c r="A2511" t="s">
        <v>89</v>
      </c>
      <c r="B2511" s="6" t="s">
        <v>84</v>
      </c>
      <c r="C2511" s="13">
        <v>109</v>
      </c>
      <c r="D2511" s="14" t="s">
        <v>83</v>
      </c>
      <c r="E2511">
        <v>12</v>
      </c>
      <c r="F2511" s="8">
        <f>VLOOKUP(financials[[#This Row],[productid]],Products!$B$2:$H$10,3)</f>
        <v>36</v>
      </c>
      <c r="G2511" s="8">
        <f>financials[[#This Row],[Units Sold]]*financials[[#This Row],[Sale Price]]</f>
        <v>432</v>
      </c>
      <c r="H2511" s="8">
        <f>IF(financials[[#This Row],[Discount Band]]="low",0.1,IF(financials[[#This Row],[Discount Band]]="medium",0.15,0.3))</f>
        <v>0.3</v>
      </c>
      <c r="I2511" s="8">
        <f>financials[[#This Row],[Gross Sales]]-financials[[#This Row],[Gross Sales]]*financials[[#This Row],[Discounts]]</f>
        <v>302.39999999999998</v>
      </c>
      <c r="J2511" s="8">
        <f>VLOOKUP(financials[[#This Row],[productid]],Products!$B$2:$H$10,4)</f>
        <v>16.8</v>
      </c>
      <c r="K2511" s="8">
        <f>financials[[#This Row],[Net Sales]]-financials[[#This Row],[COGS]]</f>
        <v>285.59999999999997</v>
      </c>
      <c r="L2511" s="15">
        <v>45162</v>
      </c>
      <c r="M2511" t="s">
        <v>700</v>
      </c>
    </row>
    <row r="2512" spans="1:13" x14ac:dyDescent="0.25">
      <c r="A2512" t="s">
        <v>89</v>
      </c>
      <c r="B2512" s="6" t="s">
        <v>159</v>
      </c>
      <c r="C2512" s="11">
        <v>103</v>
      </c>
      <c r="D2512" s="9" t="s">
        <v>83</v>
      </c>
      <c r="E2512">
        <v>12</v>
      </c>
      <c r="F2512" s="8">
        <f>VLOOKUP(financials[[#This Row],[productid]],Products!$B$2:$H$10,3)</f>
        <v>28</v>
      </c>
      <c r="G2512" s="8">
        <f>financials[[#This Row],[Units Sold]]*financials[[#This Row],[Sale Price]]</f>
        <v>336</v>
      </c>
      <c r="H2512" s="8">
        <f>IF(financials[[#This Row],[Discount Band]]="low",0.1,IF(financials[[#This Row],[Discount Band]]="medium",0.15,0.3))</f>
        <v>0.3</v>
      </c>
      <c r="I2512" s="8">
        <f>financials[[#This Row],[Gross Sales]]-financials[[#This Row],[Gross Sales]]*financials[[#This Row],[Discounts]]</f>
        <v>235.2</v>
      </c>
      <c r="J2512" s="8">
        <f>VLOOKUP(financials[[#This Row],[productid]],Products!$B$2:$H$10,4)</f>
        <v>15</v>
      </c>
      <c r="K2512" s="8">
        <f>financials[[#This Row],[Net Sales]]-financials[[#This Row],[COGS]]</f>
        <v>220.2</v>
      </c>
      <c r="L2512" s="15">
        <v>43912</v>
      </c>
      <c r="M2512" t="s">
        <v>696</v>
      </c>
    </row>
    <row r="2513" spans="1:13" x14ac:dyDescent="0.25">
      <c r="A2513" t="s">
        <v>86</v>
      </c>
      <c r="B2513" s="6" t="s">
        <v>84</v>
      </c>
      <c r="C2513" s="13">
        <v>103</v>
      </c>
      <c r="D2513" s="14" t="s">
        <v>83</v>
      </c>
      <c r="E2513">
        <v>20</v>
      </c>
      <c r="F2513" s="8">
        <f>VLOOKUP(financials[[#This Row],[productid]],Products!$B$2:$H$10,3)</f>
        <v>28</v>
      </c>
      <c r="G2513" s="8">
        <f>financials[[#This Row],[Units Sold]]*financials[[#This Row],[Sale Price]]</f>
        <v>560</v>
      </c>
      <c r="H2513" s="8">
        <f>IF(financials[[#This Row],[Discount Band]]="low",0.1,IF(financials[[#This Row],[Discount Band]]="medium",0.15,0.3))</f>
        <v>0.3</v>
      </c>
      <c r="I2513" s="8">
        <f>financials[[#This Row],[Gross Sales]]-financials[[#This Row],[Gross Sales]]*financials[[#This Row],[Discounts]]</f>
        <v>392</v>
      </c>
      <c r="J2513" s="8">
        <f>VLOOKUP(financials[[#This Row],[productid]],Products!$B$2:$H$10,4)</f>
        <v>15</v>
      </c>
      <c r="K2513" s="8">
        <f>financials[[#This Row],[Net Sales]]-financials[[#This Row],[COGS]]</f>
        <v>377</v>
      </c>
      <c r="L2513" s="15">
        <v>45556</v>
      </c>
      <c r="M2513" t="s">
        <v>696</v>
      </c>
    </row>
    <row r="2514" spans="1:13" x14ac:dyDescent="0.25">
      <c r="A2514" t="s">
        <v>86</v>
      </c>
      <c r="B2514" s="6" t="s">
        <v>84</v>
      </c>
      <c r="C2514" s="13">
        <v>105</v>
      </c>
      <c r="D2514" s="14" t="s">
        <v>83</v>
      </c>
      <c r="E2514">
        <v>13</v>
      </c>
      <c r="F2514" s="8">
        <f>VLOOKUP(financials[[#This Row],[productid]],Products!$B$2:$H$10,3)</f>
        <v>15</v>
      </c>
      <c r="G2514" s="8">
        <f>financials[[#This Row],[Units Sold]]*financials[[#This Row],[Sale Price]]</f>
        <v>195</v>
      </c>
      <c r="H2514" s="8">
        <f>IF(financials[[#This Row],[Discount Band]]="low",0.1,IF(financials[[#This Row],[Discount Band]]="medium",0.15,0.3))</f>
        <v>0.3</v>
      </c>
      <c r="I2514" s="8">
        <f>financials[[#This Row],[Gross Sales]]-financials[[#This Row],[Gross Sales]]*financials[[#This Row],[Discounts]]</f>
        <v>136.5</v>
      </c>
      <c r="J2514" s="8">
        <f>VLOOKUP(financials[[#This Row],[productid]],Products!$B$2:$H$10,4)</f>
        <v>10</v>
      </c>
      <c r="K2514" s="8">
        <f>financials[[#This Row],[Net Sales]]-financials[[#This Row],[COGS]]</f>
        <v>126.5</v>
      </c>
      <c r="L2514" s="15">
        <v>45206</v>
      </c>
      <c r="M2514" t="s">
        <v>691</v>
      </c>
    </row>
    <row r="2515" spans="1:13" x14ac:dyDescent="0.25">
      <c r="A2515" t="s">
        <v>89</v>
      </c>
      <c r="B2515" s="6" t="s">
        <v>84</v>
      </c>
      <c r="C2515" s="11">
        <v>102</v>
      </c>
      <c r="D2515" s="9" t="s">
        <v>83</v>
      </c>
      <c r="E2515">
        <v>6</v>
      </c>
      <c r="F2515" s="8">
        <f>VLOOKUP(financials[[#This Row],[productid]],Products!$B$2:$H$10,3)</f>
        <v>15</v>
      </c>
      <c r="G2515" s="8">
        <f>financials[[#This Row],[Units Sold]]*financials[[#This Row],[Sale Price]]</f>
        <v>90</v>
      </c>
      <c r="H2515" s="8">
        <f>IF(financials[[#This Row],[Discount Band]]="low",0.1,IF(financials[[#This Row],[Discount Band]]="medium",0.15,0.3))</f>
        <v>0.3</v>
      </c>
      <c r="I2515" s="8">
        <f>financials[[#This Row],[Gross Sales]]-financials[[#This Row],[Gross Sales]]*financials[[#This Row],[Discounts]]</f>
        <v>63</v>
      </c>
      <c r="J2515" s="8">
        <f>VLOOKUP(financials[[#This Row],[productid]],Products!$B$2:$H$10,4)</f>
        <v>13.95</v>
      </c>
      <c r="K2515" s="8">
        <f>financials[[#This Row],[Net Sales]]-financials[[#This Row],[COGS]]</f>
        <v>49.05</v>
      </c>
      <c r="L2515" s="15">
        <v>45525</v>
      </c>
      <c r="M2515" t="s">
        <v>690</v>
      </c>
    </row>
    <row r="2516" spans="1:13" x14ac:dyDescent="0.25">
      <c r="A2516" t="s">
        <v>87</v>
      </c>
      <c r="B2516" s="6" t="s">
        <v>268</v>
      </c>
      <c r="C2516" s="13">
        <v>106</v>
      </c>
      <c r="D2516" s="14" t="s">
        <v>83</v>
      </c>
      <c r="E2516">
        <v>9</v>
      </c>
      <c r="F2516" s="8">
        <f>VLOOKUP(financials[[#This Row],[productid]],Products!$B$2:$H$10,3)</f>
        <v>25</v>
      </c>
      <c r="G2516" s="8">
        <f>financials[[#This Row],[Units Sold]]*financials[[#This Row],[Sale Price]]</f>
        <v>225</v>
      </c>
      <c r="H2516" s="8">
        <f>IF(financials[[#This Row],[Discount Band]]="low",0.1,IF(financials[[#This Row],[Discount Band]]="medium",0.15,0.3))</f>
        <v>0.3</v>
      </c>
      <c r="I2516" s="8">
        <f>financials[[#This Row],[Gross Sales]]-financials[[#This Row],[Gross Sales]]*financials[[#This Row],[Discounts]]</f>
        <v>157.5</v>
      </c>
      <c r="J2516" s="8">
        <f>VLOOKUP(financials[[#This Row],[productid]],Products!$B$2:$H$10,4)</f>
        <v>9.1</v>
      </c>
      <c r="K2516" s="8">
        <f>financials[[#This Row],[Net Sales]]-financials[[#This Row],[COGS]]</f>
        <v>148.4</v>
      </c>
      <c r="L2516" s="15">
        <v>44841</v>
      </c>
      <c r="M2516" t="s">
        <v>690</v>
      </c>
    </row>
    <row r="2517" spans="1:13" x14ac:dyDescent="0.25">
      <c r="A2517" t="s">
        <v>87</v>
      </c>
      <c r="B2517" s="6" t="s">
        <v>93</v>
      </c>
      <c r="C2517" s="13">
        <v>105</v>
      </c>
      <c r="D2517" s="14" t="s">
        <v>91</v>
      </c>
      <c r="E2517">
        <v>17</v>
      </c>
      <c r="F2517" s="8">
        <f>VLOOKUP(financials[[#This Row],[productid]],Products!$B$2:$H$10,3)</f>
        <v>15</v>
      </c>
      <c r="G2517" s="8">
        <f>financials[[#This Row],[Units Sold]]*financials[[#This Row],[Sale Price]]</f>
        <v>255</v>
      </c>
      <c r="H2517" s="8">
        <f>IF(financials[[#This Row],[Discount Band]]="low",0.1,IF(financials[[#This Row],[Discount Band]]="medium",0.15,0.3))</f>
        <v>0.1</v>
      </c>
      <c r="I2517" s="8">
        <f>financials[[#This Row],[Gross Sales]]-financials[[#This Row],[Gross Sales]]*financials[[#This Row],[Discounts]]</f>
        <v>229.5</v>
      </c>
      <c r="J2517" s="8">
        <f>VLOOKUP(financials[[#This Row],[productid]],Products!$B$2:$H$10,4)</f>
        <v>10</v>
      </c>
      <c r="K2517" s="8">
        <f>financials[[#This Row],[Net Sales]]-financials[[#This Row],[COGS]]</f>
        <v>219.5</v>
      </c>
      <c r="L2517" s="15">
        <v>44271</v>
      </c>
      <c r="M2517" t="s">
        <v>691</v>
      </c>
    </row>
    <row r="2518" spans="1:13" x14ac:dyDescent="0.25">
      <c r="A2518" t="s">
        <v>89</v>
      </c>
      <c r="B2518" s="6" t="s">
        <v>84</v>
      </c>
      <c r="C2518" s="13">
        <v>106</v>
      </c>
      <c r="D2518" s="14" t="s">
        <v>91</v>
      </c>
      <c r="E2518">
        <v>5</v>
      </c>
      <c r="F2518" s="8">
        <f>VLOOKUP(financials[[#This Row],[productid]],Products!$B$2:$H$10,3)</f>
        <v>25</v>
      </c>
      <c r="G2518" s="8">
        <f>financials[[#This Row],[Units Sold]]*financials[[#This Row],[Sale Price]]</f>
        <v>125</v>
      </c>
      <c r="H2518" s="8">
        <f>IF(financials[[#This Row],[Discount Band]]="low",0.1,IF(financials[[#This Row],[Discount Band]]="medium",0.15,0.3))</f>
        <v>0.1</v>
      </c>
      <c r="I2518" s="8">
        <f>financials[[#This Row],[Gross Sales]]-financials[[#This Row],[Gross Sales]]*financials[[#This Row],[Discounts]]</f>
        <v>112.5</v>
      </c>
      <c r="J2518" s="8">
        <f>VLOOKUP(financials[[#This Row],[productid]],Products!$B$2:$H$10,4)</f>
        <v>9.1</v>
      </c>
      <c r="K2518" s="8">
        <f>financials[[#This Row],[Net Sales]]-financials[[#This Row],[COGS]]</f>
        <v>103.4</v>
      </c>
      <c r="L2518" s="15">
        <v>45222</v>
      </c>
      <c r="M2518" t="s">
        <v>700</v>
      </c>
    </row>
    <row r="2519" spans="1:13" x14ac:dyDescent="0.25">
      <c r="A2519" t="s">
        <v>87</v>
      </c>
      <c r="B2519" s="6" t="s">
        <v>232</v>
      </c>
      <c r="C2519" s="11">
        <v>103</v>
      </c>
      <c r="D2519" s="9" t="s">
        <v>90</v>
      </c>
      <c r="E2519">
        <v>7</v>
      </c>
      <c r="F2519" s="8">
        <f>VLOOKUP(financials[[#This Row],[productid]],Products!$B$2:$H$10,3)</f>
        <v>28</v>
      </c>
      <c r="G2519" s="8">
        <f>financials[[#This Row],[Units Sold]]*financials[[#This Row],[Sale Price]]</f>
        <v>196</v>
      </c>
      <c r="H2519" s="8">
        <f>IF(financials[[#This Row],[Discount Band]]="low",0.1,IF(financials[[#This Row],[Discount Band]]="medium",0.15,0.3))</f>
        <v>0.15</v>
      </c>
      <c r="I2519" s="8">
        <f>financials[[#This Row],[Gross Sales]]-financials[[#This Row],[Gross Sales]]*financials[[#This Row],[Discounts]]</f>
        <v>166.6</v>
      </c>
      <c r="J2519" s="8">
        <f>VLOOKUP(financials[[#This Row],[productid]],Products!$B$2:$H$10,4)</f>
        <v>15</v>
      </c>
      <c r="K2519" s="8">
        <f>financials[[#This Row],[Net Sales]]-financials[[#This Row],[COGS]]</f>
        <v>151.6</v>
      </c>
      <c r="L2519" s="15">
        <v>44943</v>
      </c>
      <c r="M2519" t="s">
        <v>691</v>
      </c>
    </row>
    <row r="2520" spans="1:13" x14ac:dyDescent="0.25">
      <c r="A2520" t="s">
        <v>87</v>
      </c>
      <c r="B2520" s="6" t="s">
        <v>545</v>
      </c>
      <c r="C2520" s="13">
        <v>107</v>
      </c>
      <c r="D2520" s="14" t="s">
        <v>91</v>
      </c>
      <c r="E2520">
        <v>7</v>
      </c>
      <c r="F2520" s="8">
        <f>VLOOKUP(financials[[#This Row],[productid]],Products!$B$2:$H$10,3)</f>
        <v>15</v>
      </c>
      <c r="G2520" s="8">
        <f>financials[[#This Row],[Units Sold]]*financials[[#This Row],[Sale Price]]</f>
        <v>105</v>
      </c>
      <c r="H2520" s="8">
        <f>IF(financials[[#This Row],[Discount Band]]="low",0.1,IF(financials[[#This Row],[Discount Band]]="medium",0.15,0.3))</f>
        <v>0.1</v>
      </c>
      <c r="I2520" s="8">
        <f>financials[[#This Row],[Gross Sales]]-financials[[#This Row],[Gross Sales]]*financials[[#This Row],[Discounts]]</f>
        <v>94.5</v>
      </c>
      <c r="J2520" s="8">
        <f>VLOOKUP(financials[[#This Row],[productid]],Products!$B$2:$H$10,4)</f>
        <v>5.5</v>
      </c>
      <c r="K2520" s="8">
        <f>financials[[#This Row],[Net Sales]]-financials[[#This Row],[COGS]]</f>
        <v>89</v>
      </c>
      <c r="L2520" s="15">
        <v>44941</v>
      </c>
      <c r="M2520" t="s">
        <v>697</v>
      </c>
    </row>
    <row r="2521" spans="1:13" x14ac:dyDescent="0.25">
      <c r="A2521" t="s">
        <v>89</v>
      </c>
      <c r="B2521" s="6" t="s">
        <v>84</v>
      </c>
      <c r="C2521" s="13">
        <v>105</v>
      </c>
      <c r="D2521" s="14" t="s">
        <v>83</v>
      </c>
      <c r="E2521">
        <v>19</v>
      </c>
      <c r="F2521" s="8">
        <f>VLOOKUP(financials[[#This Row],[productid]],Products!$B$2:$H$10,3)</f>
        <v>15</v>
      </c>
      <c r="G2521" s="8">
        <f>financials[[#This Row],[Units Sold]]*financials[[#This Row],[Sale Price]]</f>
        <v>285</v>
      </c>
      <c r="H2521" s="8">
        <f>IF(financials[[#This Row],[Discount Band]]="low",0.1,IF(financials[[#This Row],[Discount Band]]="medium",0.15,0.3))</f>
        <v>0.3</v>
      </c>
      <c r="I2521" s="8">
        <f>financials[[#This Row],[Gross Sales]]-financials[[#This Row],[Gross Sales]]*financials[[#This Row],[Discounts]]</f>
        <v>199.5</v>
      </c>
      <c r="J2521" s="8">
        <f>VLOOKUP(financials[[#This Row],[productid]],Products!$B$2:$H$10,4)</f>
        <v>10</v>
      </c>
      <c r="K2521" s="8">
        <f>financials[[#This Row],[Net Sales]]-financials[[#This Row],[COGS]]</f>
        <v>189.5</v>
      </c>
      <c r="L2521" s="15">
        <v>44528</v>
      </c>
      <c r="M2521" t="s">
        <v>690</v>
      </c>
    </row>
    <row r="2522" spans="1:13" x14ac:dyDescent="0.25">
      <c r="A2522" t="s">
        <v>87</v>
      </c>
      <c r="B2522" s="6" t="s">
        <v>274</v>
      </c>
      <c r="C2522" s="13">
        <v>103</v>
      </c>
      <c r="D2522" s="14" t="s">
        <v>91</v>
      </c>
      <c r="E2522">
        <v>9</v>
      </c>
      <c r="F2522" s="8">
        <f>VLOOKUP(financials[[#This Row],[productid]],Products!$B$2:$H$10,3)</f>
        <v>28</v>
      </c>
      <c r="G2522" s="8">
        <f>financials[[#This Row],[Units Sold]]*financials[[#This Row],[Sale Price]]</f>
        <v>252</v>
      </c>
      <c r="H2522" s="8">
        <f>IF(financials[[#This Row],[Discount Band]]="low",0.1,IF(financials[[#This Row],[Discount Band]]="medium",0.15,0.3))</f>
        <v>0.1</v>
      </c>
      <c r="I2522" s="8">
        <f>financials[[#This Row],[Gross Sales]]-financials[[#This Row],[Gross Sales]]*financials[[#This Row],[Discounts]]</f>
        <v>226.8</v>
      </c>
      <c r="J2522" s="8">
        <f>VLOOKUP(financials[[#This Row],[productid]],Products!$B$2:$H$10,4)</f>
        <v>15</v>
      </c>
      <c r="K2522" s="8">
        <f>financials[[#This Row],[Net Sales]]-financials[[#This Row],[COGS]]</f>
        <v>211.8</v>
      </c>
      <c r="L2522" s="15">
        <v>45215</v>
      </c>
      <c r="M2522" t="s">
        <v>690</v>
      </c>
    </row>
    <row r="2523" spans="1:13" x14ac:dyDescent="0.25">
      <c r="A2523" t="s">
        <v>87</v>
      </c>
      <c r="B2523" s="6" t="s">
        <v>96</v>
      </c>
      <c r="C2523" s="13">
        <v>105</v>
      </c>
      <c r="D2523" s="14" t="s">
        <v>83</v>
      </c>
      <c r="E2523">
        <v>15</v>
      </c>
      <c r="F2523" s="8">
        <f>VLOOKUP(financials[[#This Row],[productid]],Products!$B$2:$H$10,3)</f>
        <v>15</v>
      </c>
      <c r="G2523" s="8">
        <f>financials[[#This Row],[Units Sold]]*financials[[#This Row],[Sale Price]]</f>
        <v>225</v>
      </c>
      <c r="H2523" s="8">
        <f>IF(financials[[#This Row],[Discount Band]]="low",0.1,IF(financials[[#This Row],[Discount Band]]="medium",0.15,0.3))</f>
        <v>0.3</v>
      </c>
      <c r="I2523" s="8">
        <f>financials[[#This Row],[Gross Sales]]-financials[[#This Row],[Gross Sales]]*financials[[#This Row],[Discounts]]</f>
        <v>157.5</v>
      </c>
      <c r="J2523" s="8">
        <f>VLOOKUP(financials[[#This Row],[productid]],Products!$B$2:$H$10,4)</f>
        <v>10</v>
      </c>
      <c r="K2523" s="8">
        <f>financials[[#This Row],[Net Sales]]-financials[[#This Row],[COGS]]</f>
        <v>147.5</v>
      </c>
      <c r="L2523" s="15">
        <v>45045</v>
      </c>
      <c r="M2523" t="s">
        <v>690</v>
      </c>
    </row>
    <row r="2524" spans="1:13" x14ac:dyDescent="0.25">
      <c r="A2524" t="s">
        <v>87</v>
      </c>
      <c r="B2524" s="6" t="s">
        <v>158</v>
      </c>
      <c r="C2524" s="13">
        <v>104</v>
      </c>
      <c r="D2524" s="14" t="s">
        <v>90</v>
      </c>
      <c r="E2524">
        <v>19</v>
      </c>
      <c r="F2524" s="8">
        <f>VLOOKUP(financials[[#This Row],[productid]],Products!$B$2:$H$10,3)</f>
        <v>5.9</v>
      </c>
      <c r="G2524" s="8">
        <f>financials[[#This Row],[Units Sold]]*financials[[#This Row],[Sale Price]]</f>
        <v>112.10000000000001</v>
      </c>
      <c r="H2524" s="8">
        <f>IF(financials[[#This Row],[Discount Band]]="low",0.1,IF(financials[[#This Row],[Discount Band]]="medium",0.15,0.3))</f>
        <v>0.15</v>
      </c>
      <c r="I2524" s="8">
        <f>financials[[#This Row],[Gross Sales]]-financials[[#This Row],[Gross Sales]]*financials[[#This Row],[Discounts]]</f>
        <v>95.285000000000011</v>
      </c>
      <c r="J2524" s="8">
        <f>VLOOKUP(financials[[#This Row],[productid]],Products!$B$2:$H$10,4)</f>
        <v>2.9</v>
      </c>
      <c r="K2524" s="8">
        <f>financials[[#This Row],[Net Sales]]-financials[[#This Row],[COGS]]</f>
        <v>92.385000000000005</v>
      </c>
      <c r="L2524" s="15">
        <v>44726</v>
      </c>
      <c r="M2524" t="s">
        <v>696</v>
      </c>
    </row>
    <row r="2525" spans="1:13" x14ac:dyDescent="0.25">
      <c r="A2525" t="s">
        <v>89</v>
      </c>
      <c r="B2525" s="6" t="s">
        <v>84</v>
      </c>
      <c r="C2525" s="13">
        <v>105</v>
      </c>
      <c r="D2525" s="14" t="s">
        <v>83</v>
      </c>
      <c r="E2525">
        <v>12</v>
      </c>
      <c r="F2525" s="8">
        <f>VLOOKUP(financials[[#This Row],[productid]],Products!$B$2:$H$10,3)</f>
        <v>15</v>
      </c>
      <c r="G2525" s="8">
        <f>financials[[#This Row],[Units Sold]]*financials[[#This Row],[Sale Price]]</f>
        <v>180</v>
      </c>
      <c r="H2525" s="8">
        <f>IF(financials[[#This Row],[Discount Band]]="low",0.1,IF(financials[[#This Row],[Discount Band]]="medium",0.15,0.3))</f>
        <v>0.3</v>
      </c>
      <c r="I2525" s="8">
        <f>financials[[#This Row],[Gross Sales]]-financials[[#This Row],[Gross Sales]]*financials[[#This Row],[Discounts]]</f>
        <v>126</v>
      </c>
      <c r="J2525" s="8">
        <f>VLOOKUP(financials[[#This Row],[productid]],Products!$B$2:$H$10,4)</f>
        <v>10</v>
      </c>
      <c r="K2525" s="8">
        <f>financials[[#This Row],[Net Sales]]-financials[[#This Row],[COGS]]</f>
        <v>116</v>
      </c>
      <c r="L2525" s="15">
        <v>44587</v>
      </c>
      <c r="M2525" t="s">
        <v>691</v>
      </c>
    </row>
    <row r="2526" spans="1:13" x14ac:dyDescent="0.25">
      <c r="A2526" t="s">
        <v>88</v>
      </c>
      <c r="B2526" s="6" t="s">
        <v>644</v>
      </c>
      <c r="C2526" s="13">
        <v>103</v>
      </c>
      <c r="D2526" s="14" t="s">
        <v>91</v>
      </c>
      <c r="E2526">
        <v>7</v>
      </c>
      <c r="F2526" s="8">
        <f>VLOOKUP(financials[[#This Row],[productid]],Products!$B$2:$H$10,3)</f>
        <v>28</v>
      </c>
      <c r="G2526" s="8">
        <f>financials[[#This Row],[Units Sold]]*financials[[#This Row],[Sale Price]]</f>
        <v>196</v>
      </c>
      <c r="H2526" s="8">
        <f>IF(financials[[#This Row],[Discount Band]]="low",0.1,IF(financials[[#This Row],[Discount Band]]="medium",0.15,0.3))</f>
        <v>0.1</v>
      </c>
      <c r="I2526" s="8">
        <f>financials[[#This Row],[Gross Sales]]-financials[[#This Row],[Gross Sales]]*financials[[#This Row],[Discounts]]</f>
        <v>176.4</v>
      </c>
      <c r="J2526" s="8">
        <f>VLOOKUP(financials[[#This Row],[productid]],Products!$B$2:$H$10,4)</f>
        <v>15</v>
      </c>
      <c r="K2526" s="8">
        <f>financials[[#This Row],[Net Sales]]-financials[[#This Row],[COGS]]</f>
        <v>161.4</v>
      </c>
      <c r="L2526" s="15">
        <v>44780</v>
      </c>
      <c r="M2526" t="s">
        <v>690</v>
      </c>
    </row>
    <row r="2527" spans="1:13" x14ac:dyDescent="0.25">
      <c r="A2527" t="s">
        <v>87</v>
      </c>
      <c r="B2527" s="6" t="s">
        <v>232</v>
      </c>
      <c r="C2527" s="11">
        <v>107</v>
      </c>
      <c r="D2527" s="9" t="s">
        <v>83</v>
      </c>
      <c r="E2527">
        <v>11</v>
      </c>
      <c r="F2527" s="8">
        <f>VLOOKUP(financials[[#This Row],[productid]],Products!$B$2:$H$10,3)</f>
        <v>15</v>
      </c>
      <c r="G2527" s="8">
        <f>financials[[#This Row],[Units Sold]]*financials[[#This Row],[Sale Price]]</f>
        <v>165</v>
      </c>
      <c r="H2527" s="8">
        <f>IF(financials[[#This Row],[Discount Band]]="low",0.1,IF(financials[[#This Row],[Discount Band]]="medium",0.15,0.3))</f>
        <v>0.3</v>
      </c>
      <c r="I2527" s="8">
        <f>financials[[#This Row],[Gross Sales]]-financials[[#This Row],[Gross Sales]]*financials[[#This Row],[Discounts]]</f>
        <v>115.5</v>
      </c>
      <c r="J2527" s="8">
        <f>VLOOKUP(financials[[#This Row],[productid]],Products!$B$2:$H$10,4)</f>
        <v>5.5</v>
      </c>
      <c r="K2527" s="8">
        <f>financials[[#This Row],[Net Sales]]-financials[[#This Row],[COGS]]</f>
        <v>110</v>
      </c>
      <c r="L2527" s="15">
        <v>45643</v>
      </c>
      <c r="M2527" t="s">
        <v>700</v>
      </c>
    </row>
    <row r="2528" spans="1:13" x14ac:dyDescent="0.25">
      <c r="A2528" t="s">
        <v>87</v>
      </c>
      <c r="B2528" s="6" t="s">
        <v>274</v>
      </c>
      <c r="C2528" s="13">
        <v>101</v>
      </c>
      <c r="D2528" s="14" t="s">
        <v>90</v>
      </c>
      <c r="E2528">
        <v>13</v>
      </c>
      <c r="F2528" s="8">
        <f>VLOOKUP(financials[[#This Row],[productid]],Products!$B$2:$H$10,3)</f>
        <v>23</v>
      </c>
      <c r="G2528" s="8">
        <f>financials[[#This Row],[Units Sold]]*financials[[#This Row],[Sale Price]]</f>
        <v>299</v>
      </c>
      <c r="H2528" s="8">
        <f>IF(financials[[#This Row],[Discount Band]]="low",0.1,IF(financials[[#This Row],[Discount Band]]="medium",0.15,0.3))</f>
        <v>0.15</v>
      </c>
      <c r="I2528" s="8">
        <f>financials[[#This Row],[Gross Sales]]-financials[[#This Row],[Gross Sales]]*financials[[#This Row],[Discounts]]</f>
        <v>254.15</v>
      </c>
      <c r="J2528" s="8">
        <f>VLOOKUP(financials[[#This Row],[productid]],Products!$B$2:$H$10,4)</f>
        <v>9.9499999999999993</v>
      </c>
      <c r="K2528" s="8">
        <f>financials[[#This Row],[Net Sales]]-financials[[#This Row],[COGS]]</f>
        <v>244.20000000000002</v>
      </c>
      <c r="L2528" s="15">
        <v>43892</v>
      </c>
      <c r="M2528" t="s">
        <v>700</v>
      </c>
    </row>
    <row r="2529" spans="1:13" x14ac:dyDescent="0.25">
      <c r="A2529" t="s">
        <v>86</v>
      </c>
      <c r="B2529" s="6" t="s">
        <v>84</v>
      </c>
      <c r="C2529" s="13">
        <v>109</v>
      </c>
      <c r="D2529" s="14" t="s">
        <v>92</v>
      </c>
      <c r="E2529">
        <v>9</v>
      </c>
      <c r="F2529" s="8">
        <f>VLOOKUP(financials[[#This Row],[productid]],Products!$B$2:$H$10,3)</f>
        <v>36</v>
      </c>
      <c r="G2529" s="8">
        <f>financials[[#This Row],[Units Sold]]*financials[[#This Row],[Sale Price]]</f>
        <v>324</v>
      </c>
      <c r="H2529" s="8">
        <f>IF(financials[[#This Row],[Discount Band]]="low",0.1,IF(financials[[#This Row],[Discount Band]]="medium",0.15,0.3))</f>
        <v>0.3</v>
      </c>
      <c r="I2529" s="8">
        <f>financials[[#This Row],[Gross Sales]]-financials[[#This Row],[Gross Sales]]*financials[[#This Row],[Discounts]]</f>
        <v>226.8</v>
      </c>
      <c r="J2529" s="8">
        <f>VLOOKUP(financials[[#This Row],[productid]],Products!$B$2:$H$10,4)</f>
        <v>16.8</v>
      </c>
      <c r="K2529" s="8">
        <f>financials[[#This Row],[Net Sales]]-financials[[#This Row],[COGS]]</f>
        <v>210</v>
      </c>
      <c r="L2529" s="15">
        <v>45314</v>
      </c>
      <c r="M2529" t="s">
        <v>697</v>
      </c>
    </row>
    <row r="2530" spans="1:13" x14ac:dyDescent="0.25">
      <c r="A2530" t="s">
        <v>89</v>
      </c>
      <c r="B2530" s="6" t="s">
        <v>84</v>
      </c>
      <c r="C2530" s="13">
        <v>108</v>
      </c>
      <c r="D2530" s="14" t="s">
        <v>92</v>
      </c>
      <c r="E2530">
        <v>9</v>
      </c>
      <c r="F2530" s="8">
        <f>VLOOKUP(financials[[#This Row],[productid]],Products!$B$2:$H$10,3)</f>
        <v>5.5</v>
      </c>
      <c r="G2530" s="8">
        <f>financials[[#This Row],[Units Sold]]*financials[[#This Row],[Sale Price]]</f>
        <v>49.5</v>
      </c>
      <c r="H2530" s="8">
        <f>IF(financials[[#This Row],[Discount Band]]="low",0.1,IF(financials[[#This Row],[Discount Band]]="medium",0.15,0.3))</f>
        <v>0.3</v>
      </c>
      <c r="I2530" s="8">
        <f>financials[[#This Row],[Gross Sales]]-financials[[#This Row],[Gross Sales]]*financials[[#This Row],[Discounts]]</f>
        <v>34.65</v>
      </c>
      <c r="J2530" s="8">
        <f>VLOOKUP(financials[[#This Row],[productid]],Products!$B$2:$H$10,4)</f>
        <v>3.99</v>
      </c>
      <c r="K2530" s="8">
        <f>financials[[#This Row],[Net Sales]]-financials[[#This Row],[COGS]]</f>
        <v>30.659999999999997</v>
      </c>
      <c r="L2530" s="15">
        <v>44468</v>
      </c>
      <c r="M2530" t="s">
        <v>700</v>
      </c>
    </row>
    <row r="2531" spans="1:13" x14ac:dyDescent="0.25">
      <c r="A2531" t="s">
        <v>89</v>
      </c>
      <c r="B2531" s="6" t="s">
        <v>84</v>
      </c>
      <c r="C2531" s="13">
        <v>107</v>
      </c>
      <c r="D2531" s="14" t="s">
        <v>83</v>
      </c>
      <c r="E2531">
        <v>14</v>
      </c>
      <c r="F2531" s="8">
        <f>VLOOKUP(financials[[#This Row],[productid]],Products!$B$2:$H$10,3)</f>
        <v>15</v>
      </c>
      <c r="G2531" s="8">
        <f>financials[[#This Row],[Units Sold]]*financials[[#This Row],[Sale Price]]</f>
        <v>210</v>
      </c>
      <c r="H2531" s="8">
        <f>IF(financials[[#This Row],[Discount Band]]="low",0.1,IF(financials[[#This Row],[Discount Band]]="medium",0.15,0.3))</f>
        <v>0.3</v>
      </c>
      <c r="I2531" s="8">
        <f>financials[[#This Row],[Gross Sales]]-financials[[#This Row],[Gross Sales]]*financials[[#This Row],[Discounts]]</f>
        <v>147</v>
      </c>
      <c r="J2531" s="8">
        <f>VLOOKUP(financials[[#This Row],[productid]],Products!$B$2:$H$10,4)</f>
        <v>5.5</v>
      </c>
      <c r="K2531" s="8">
        <f>financials[[#This Row],[Net Sales]]-financials[[#This Row],[COGS]]</f>
        <v>141.5</v>
      </c>
      <c r="L2531" s="15">
        <v>44805</v>
      </c>
      <c r="M2531" t="s">
        <v>700</v>
      </c>
    </row>
    <row r="2532" spans="1:13" x14ac:dyDescent="0.25">
      <c r="A2532" t="s">
        <v>87</v>
      </c>
      <c r="B2532" s="6" t="s">
        <v>228</v>
      </c>
      <c r="C2532" s="13">
        <v>109</v>
      </c>
      <c r="D2532" s="14" t="s">
        <v>91</v>
      </c>
      <c r="E2532">
        <v>17</v>
      </c>
      <c r="F2532" s="8">
        <f>VLOOKUP(financials[[#This Row],[productid]],Products!$B$2:$H$10,3)</f>
        <v>36</v>
      </c>
      <c r="G2532" s="8">
        <f>financials[[#This Row],[Units Sold]]*financials[[#This Row],[Sale Price]]</f>
        <v>612</v>
      </c>
      <c r="H2532" s="8">
        <f>IF(financials[[#This Row],[Discount Band]]="low",0.1,IF(financials[[#This Row],[Discount Band]]="medium",0.15,0.3))</f>
        <v>0.1</v>
      </c>
      <c r="I2532" s="8">
        <f>financials[[#This Row],[Gross Sales]]-financials[[#This Row],[Gross Sales]]*financials[[#This Row],[Discounts]]</f>
        <v>550.79999999999995</v>
      </c>
      <c r="J2532" s="8">
        <f>VLOOKUP(financials[[#This Row],[productid]],Products!$B$2:$H$10,4)</f>
        <v>16.8</v>
      </c>
      <c r="K2532" s="8">
        <f>financials[[#This Row],[Net Sales]]-financials[[#This Row],[COGS]]</f>
        <v>534</v>
      </c>
      <c r="L2532" s="15">
        <v>44338</v>
      </c>
      <c r="M2532" t="s">
        <v>691</v>
      </c>
    </row>
    <row r="2533" spans="1:13" x14ac:dyDescent="0.25">
      <c r="A2533" t="s">
        <v>87</v>
      </c>
      <c r="B2533" s="6" t="s">
        <v>232</v>
      </c>
      <c r="C2533" s="13">
        <v>108</v>
      </c>
      <c r="D2533" s="14" t="s">
        <v>83</v>
      </c>
      <c r="E2533">
        <v>17</v>
      </c>
      <c r="F2533" s="8">
        <f>VLOOKUP(financials[[#This Row],[productid]],Products!$B$2:$H$10,3)</f>
        <v>5.5</v>
      </c>
      <c r="G2533" s="8">
        <f>financials[[#This Row],[Units Sold]]*financials[[#This Row],[Sale Price]]</f>
        <v>93.5</v>
      </c>
      <c r="H2533" s="8">
        <f>IF(financials[[#This Row],[Discount Band]]="low",0.1,IF(financials[[#This Row],[Discount Band]]="medium",0.15,0.3))</f>
        <v>0.3</v>
      </c>
      <c r="I2533" s="8">
        <f>financials[[#This Row],[Gross Sales]]-financials[[#This Row],[Gross Sales]]*financials[[#This Row],[Discounts]]</f>
        <v>65.45</v>
      </c>
      <c r="J2533" s="8">
        <f>VLOOKUP(financials[[#This Row],[productid]],Products!$B$2:$H$10,4)</f>
        <v>3.99</v>
      </c>
      <c r="K2533" s="8">
        <f>financials[[#This Row],[Net Sales]]-financials[[#This Row],[COGS]]</f>
        <v>61.46</v>
      </c>
      <c r="L2533" s="15">
        <v>44042</v>
      </c>
      <c r="M2533" t="s">
        <v>696</v>
      </c>
    </row>
    <row r="2534" spans="1:13" x14ac:dyDescent="0.25">
      <c r="A2534" t="s">
        <v>87</v>
      </c>
      <c r="B2534" s="6" t="s">
        <v>645</v>
      </c>
      <c r="C2534" s="13">
        <v>109</v>
      </c>
      <c r="D2534" s="14" t="s">
        <v>91</v>
      </c>
      <c r="E2534">
        <v>8</v>
      </c>
      <c r="F2534" s="8">
        <f>VLOOKUP(financials[[#This Row],[productid]],Products!$B$2:$H$10,3)</f>
        <v>36</v>
      </c>
      <c r="G2534" s="8">
        <f>financials[[#This Row],[Units Sold]]*financials[[#This Row],[Sale Price]]</f>
        <v>288</v>
      </c>
      <c r="H2534" s="8">
        <f>IF(financials[[#This Row],[Discount Band]]="low",0.1,IF(financials[[#This Row],[Discount Band]]="medium",0.15,0.3))</f>
        <v>0.1</v>
      </c>
      <c r="I2534" s="8">
        <f>financials[[#This Row],[Gross Sales]]-financials[[#This Row],[Gross Sales]]*financials[[#This Row],[Discounts]]</f>
        <v>259.2</v>
      </c>
      <c r="J2534" s="8">
        <f>VLOOKUP(financials[[#This Row],[productid]],Products!$B$2:$H$10,4)</f>
        <v>16.8</v>
      </c>
      <c r="K2534" s="8">
        <f>financials[[#This Row],[Net Sales]]-financials[[#This Row],[COGS]]</f>
        <v>242.39999999999998</v>
      </c>
      <c r="L2534" s="15">
        <v>44216</v>
      </c>
      <c r="M2534" t="s">
        <v>691</v>
      </c>
    </row>
    <row r="2535" spans="1:13" x14ac:dyDescent="0.25">
      <c r="A2535" t="s">
        <v>87</v>
      </c>
      <c r="B2535" s="6" t="s">
        <v>240</v>
      </c>
      <c r="C2535" s="13">
        <v>106</v>
      </c>
      <c r="D2535" s="14" t="s">
        <v>90</v>
      </c>
      <c r="E2535">
        <v>9</v>
      </c>
      <c r="F2535" s="8">
        <f>VLOOKUP(financials[[#This Row],[productid]],Products!$B$2:$H$10,3)</f>
        <v>25</v>
      </c>
      <c r="G2535" s="8">
        <f>financials[[#This Row],[Units Sold]]*financials[[#This Row],[Sale Price]]</f>
        <v>225</v>
      </c>
      <c r="H2535" s="8">
        <f>IF(financials[[#This Row],[Discount Band]]="low",0.1,IF(financials[[#This Row],[Discount Band]]="medium",0.15,0.3))</f>
        <v>0.15</v>
      </c>
      <c r="I2535" s="8">
        <f>financials[[#This Row],[Gross Sales]]-financials[[#This Row],[Gross Sales]]*financials[[#This Row],[Discounts]]</f>
        <v>191.25</v>
      </c>
      <c r="J2535" s="8">
        <f>VLOOKUP(financials[[#This Row],[productid]],Products!$B$2:$H$10,4)</f>
        <v>9.1</v>
      </c>
      <c r="K2535" s="8">
        <f>financials[[#This Row],[Net Sales]]-financials[[#This Row],[COGS]]</f>
        <v>182.15</v>
      </c>
      <c r="L2535" s="15">
        <v>44652</v>
      </c>
      <c r="M2535" t="s">
        <v>697</v>
      </c>
    </row>
    <row r="2536" spans="1:13" x14ac:dyDescent="0.25">
      <c r="A2536" t="s">
        <v>87</v>
      </c>
      <c r="B2536" s="6" t="s">
        <v>148</v>
      </c>
      <c r="C2536" s="13">
        <v>101</v>
      </c>
      <c r="D2536" s="14" t="s">
        <v>90</v>
      </c>
      <c r="E2536">
        <v>7</v>
      </c>
      <c r="F2536" s="8">
        <f>VLOOKUP(financials[[#This Row],[productid]],Products!$B$2:$H$10,3)</f>
        <v>23</v>
      </c>
      <c r="G2536" s="8">
        <f>financials[[#This Row],[Units Sold]]*financials[[#This Row],[Sale Price]]</f>
        <v>161</v>
      </c>
      <c r="H2536" s="8">
        <f>IF(financials[[#This Row],[Discount Band]]="low",0.1,IF(financials[[#This Row],[Discount Band]]="medium",0.15,0.3))</f>
        <v>0.15</v>
      </c>
      <c r="I2536" s="8">
        <f>financials[[#This Row],[Gross Sales]]-financials[[#This Row],[Gross Sales]]*financials[[#This Row],[Discounts]]</f>
        <v>136.85</v>
      </c>
      <c r="J2536" s="8">
        <f>VLOOKUP(financials[[#This Row],[productid]],Products!$B$2:$H$10,4)</f>
        <v>9.9499999999999993</v>
      </c>
      <c r="K2536" s="8">
        <f>financials[[#This Row],[Net Sales]]-financials[[#This Row],[COGS]]</f>
        <v>126.89999999999999</v>
      </c>
      <c r="L2536" s="15">
        <v>44351</v>
      </c>
      <c r="M2536" t="s">
        <v>697</v>
      </c>
    </row>
    <row r="2537" spans="1:13" x14ac:dyDescent="0.25">
      <c r="A2537" t="s">
        <v>86</v>
      </c>
      <c r="B2537" s="6" t="s">
        <v>84</v>
      </c>
      <c r="C2537" s="13">
        <v>104</v>
      </c>
      <c r="D2537" s="14" t="s">
        <v>90</v>
      </c>
      <c r="E2537">
        <v>16</v>
      </c>
      <c r="F2537" s="8">
        <f>VLOOKUP(financials[[#This Row],[productid]],Products!$B$2:$H$10,3)</f>
        <v>5.9</v>
      </c>
      <c r="G2537" s="8">
        <f>financials[[#This Row],[Units Sold]]*financials[[#This Row],[Sale Price]]</f>
        <v>94.4</v>
      </c>
      <c r="H2537" s="8">
        <f>IF(financials[[#This Row],[Discount Band]]="low",0.1,IF(financials[[#This Row],[Discount Band]]="medium",0.15,0.3))</f>
        <v>0.15</v>
      </c>
      <c r="I2537" s="8">
        <f>financials[[#This Row],[Gross Sales]]-financials[[#This Row],[Gross Sales]]*financials[[#This Row],[Discounts]]</f>
        <v>80.240000000000009</v>
      </c>
      <c r="J2537" s="8">
        <f>VLOOKUP(financials[[#This Row],[productid]],Products!$B$2:$H$10,4)</f>
        <v>2.9</v>
      </c>
      <c r="K2537" s="8">
        <f>financials[[#This Row],[Net Sales]]-financials[[#This Row],[COGS]]</f>
        <v>77.34</v>
      </c>
      <c r="L2537" s="15">
        <v>45036</v>
      </c>
      <c r="M2537" t="s">
        <v>700</v>
      </c>
    </row>
    <row r="2538" spans="1:13" x14ac:dyDescent="0.25">
      <c r="A2538" t="s">
        <v>85</v>
      </c>
      <c r="B2538" s="6" t="s">
        <v>159</v>
      </c>
      <c r="C2538" s="13">
        <v>104</v>
      </c>
      <c r="D2538" s="14" t="s">
        <v>91</v>
      </c>
      <c r="E2538">
        <v>12</v>
      </c>
      <c r="F2538" s="8">
        <f>VLOOKUP(financials[[#This Row],[productid]],Products!$B$2:$H$10,3)</f>
        <v>5.9</v>
      </c>
      <c r="G2538" s="8">
        <f>financials[[#This Row],[Units Sold]]*financials[[#This Row],[Sale Price]]</f>
        <v>70.800000000000011</v>
      </c>
      <c r="H2538" s="8">
        <f>IF(financials[[#This Row],[Discount Band]]="low",0.1,IF(financials[[#This Row],[Discount Band]]="medium",0.15,0.3))</f>
        <v>0.1</v>
      </c>
      <c r="I2538" s="8">
        <f>financials[[#This Row],[Gross Sales]]-financials[[#This Row],[Gross Sales]]*financials[[#This Row],[Discounts]]</f>
        <v>63.720000000000013</v>
      </c>
      <c r="J2538" s="8">
        <f>VLOOKUP(financials[[#This Row],[productid]],Products!$B$2:$H$10,4)</f>
        <v>2.9</v>
      </c>
      <c r="K2538" s="8">
        <f>financials[[#This Row],[Net Sales]]-financials[[#This Row],[COGS]]</f>
        <v>60.820000000000014</v>
      </c>
      <c r="L2538" s="15">
        <v>45473</v>
      </c>
      <c r="M2538" t="s">
        <v>700</v>
      </c>
    </row>
    <row r="2539" spans="1:13" x14ac:dyDescent="0.25">
      <c r="A2539" t="s">
        <v>89</v>
      </c>
      <c r="B2539" s="6" t="s">
        <v>84</v>
      </c>
      <c r="C2539" s="13">
        <v>108</v>
      </c>
      <c r="D2539" s="14" t="s">
        <v>91</v>
      </c>
      <c r="E2539">
        <v>12</v>
      </c>
      <c r="F2539" s="8">
        <f>VLOOKUP(financials[[#This Row],[productid]],Products!$B$2:$H$10,3)</f>
        <v>5.5</v>
      </c>
      <c r="G2539" s="8">
        <f>financials[[#This Row],[Units Sold]]*financials[[#This Row],[Sale Price]]</f>
        <v>66</v>
      </c>
      <c r="H2539" s="8">
        <f>IF(financials[[#This Row],[Discount Band]]="low",0.1,IF(financials[[#This Row],[Discount Band]]="medium",0.15,0.3))</f>
        <v>0.1</v>
      </c>
      <c r="I2539" s="8">
        <f>financials[[#This Row],[Gross Sales]]-financials[[#This Row],[Gross Sales]]*financials[[#This Row],[Discounts]]</f>
        <v>59.4</v>
      </c>
      <c r="J2539" s="8">
        <f>VLOOKUP(financials[[#This Row],[productid]],Products!$B$2:$H$10,4)</f>
        <v>3.99</v>
      </c>
      <c r="K2539" s="8">
        <f>financials[[#This Row],[Net Sales]]-financials[[#This Row],[COGS]]</f>
        <v>55.41</v>
      </c>
      <c r="L2539" s="15">
        <v>44439</v>
      </c>
      <c r="M2539" t="s">
        <v>690</v>
      </c>
    </row>
    <row r="2540" spans="1:13" x14ac:dyDescent="0.25">
      <c r="A2540" t="s">
        <v>86</v>
      </c>
      <c r="B2540" s="6" t="s">
        <v>84</v>
      </c>
      <c r="C2540" s="13">
        <v>107</v>
      </c>
      <c r="D2540" s="14" t="s">
        <v>90</v>
      </c>
      <c r="E2540">
        <v>14</v>
      </c>
      <c r="F2540" s="8">
        <f>VLOOKUP(financials[[#This Row],[productid]],Products!$B$2:$H$10,3)</f>
        <v>15</v>
      </c>
      <c r="G2540" s="8">
        <f>financials[[#This Row],[Units Sold]]*financials[[#This Row],[Sale Price]]</f>
        <v>210</v>
      </c>
      <c r="H2540" s="8">
        <f>IF(financials[[#This Row],[Discount Band]]="low",0.1,IF(financials[[#This Row],[Discount Band]]="medium",0.15,0.3))</f>
        <v>0.15</v>
      </c>
      <c r="I2540" s="8">
        <f>financials[[#This Row],[Gross Sales]]-financials[[#This Row],[Gross Sales]]*financials[[#This Row],[Discounts]]</f>
        <v>178.5</v>
      </c>
      <c r="J2540" s="8">
        <f>VLOOKUP(financials[[#This Row],[productid]],Products!$B$2:$H$10,4)</f>
        <v>5.5</v>
      </c>
      <c r="K2540" s="8">
        <f>financials[[#This Row],[Net Sales]]-financials[[#This Row],[COGS]]</f>
        <v>173</v>
      </c>
      <c r="L2540" s="15">
        <v>44129</v>
      </c>
      <c r="M2540" t="s">
        <v>697</v>
      </c>
    </row>
    <row r="2541" spans="1:13" x14ac:dyDescent="0.25">
      <c r="A2541" t="s">
        <v>87</v>
      </c>
      <c r="B2541" s="6" t="s">
        <v>228</v>
      </c>
      <c r="C2541" s="13">
        <v>105</v>
      </c>
      <c r="D2541" s="14" t="s">
        <v>91</v>
      </c>
      <c r="E2541">
        <v>11</v>
      </c>
      <c r="F2541" s="8">
        <f>VLOOKUP(financials[[#This Row],[productid]],Products!$B$2:$H$10,3)</f>
        <v>15</v>
      </c>
      <c r="G2541" s="8">
        <f>financials[[#This Row],[Units Sold]]*financials[[#This Row],[Sale Price]]</f>
        <v>165</v>
      </c>
      <c r="H2541" s="8">
        <f>IF(financials[[#This Row],[Discount Band]]="low",0.1,IF(financials[[#This Row],[Discount Band]]="medium",0.15,0.3))</f>
        <v>0.1</v>
      </c>
      <c r="I2541" s="8">
        <f>financials[[#This Row],[Gross Sales]]-financials[[#This Row],[Gross Sales]]*financials[[#This Row],[Discounts]]</f>
        <v>148.5</v>
      </c>
      <c r="J2541" s="8">
        <f>VLOOKUP(financials[[#This Row],[productid]],Products!$B$2:$H$10,4)</f>
        <v>10</v>
      </c>
      <c r="K2541" s="8">
        <f>financials[[#This Row],[Net Sales]]-financials[[#This Row],[COGS]]</f>
        <v>138.5</v>
      </c>
      <c r="L2541" s="15">
        <v>44343</v>
      </c>
      <c r="M2541" t="s">
        <v>696</v>
      </c>
    </row>
    <row r="2542" spans="1:13" x14ac:dyDescent="0.25">
      <c r="A2542" t="s">
        <v>87</v>
      </c>
      <c r="B2542" s="6" t="s">
        <v>125</v>
      </c>
      <c r="C2542" s="13">
        <v>105</v>
      </c>
      <c r="D2542" s="14" t="s">
        <v>90</v>
      </c>
      <c r="E2542">
        <v>11</v>
      </c>
      <c r="F2542" s="8">
        <f>VLOOKUP(financials[[#This Row],[productid]],Products!$B$2:$H$10,3)</f>
        <v>15</v>
      </c>
      <c r="G2542" s="8">
        <f>financials[[#This Row],[Units Sold]]*financials[[#This Row],[Sale Price]]</f>
        <v>165</v>
      </c>
      <c r="H2542" s="8">
        <f>IF(financials[[#This Row],[Discount Band]]="low",0.1,IF(financials[[#This Row],[Discount Band]]="medium",0.15,0.3))</f>
        <v>0.15</v>
      </c>
      <c r="I2542" s="8">
        <f>financials[[#This Row],[Gross Sales]]-financials[[#This Row],[Gross Sales]]*financials[[#This Row],[Discounts]]</f>
        <v>140.25</v>
      </c>
      <c r="J2542" s="8">
        <f>VLOOKUP(financials[[#This Row],[productid]],Products!$B$2:$H$10,4)</f>
        <v>10</v>
      </c>
      <c r="K2542" s="8">
        <f>financials[[#This Row],[Net Sales]]-financials[[#This Row],[COGS]]</f>
        <v>130.25</v>
      </c>
      <c r="L2542" s="15">
        <v>45457</v>
      </c>
      <c r="M2542" t="s">
        <v>700</v>
      </c>
    </row>
    <row r="2543" spans="1:13" x14ac:dyDescent="0.25">
      <c r="A2543" t="s">
        <v>87</v>
      </c>
      <c r="B2543" s="6" t="s">
        <v>240</v>
      </c>
      <c r="C2543" s="13">
        <v>103</v>
      </c>
      <c r="D2543" s="14" t="s">
        <v>83</v>
      </c>
      <c r="E2543">
        <v>14</v>
      </c>
      <c r="F2543" s="8">
        <f>VLOOKUP(financials[[#This Row],[productid]],Products!$B$2:$H$10,3)</f>
        <v>28</v>
      </c>
      <c r="G2543" s="8">
        <f>financials[[#This Row],[Units Sold]]*financials[[#This Row],[Sale Price]]</f>
        <v>392</v>
      </c>
      <c r="H2543" s="8">
        <f>IF(financials[[#This Row],[Discount Band]]="low",0.1,IF(financials[[#This Row],[Discount Band]]="medium",0.15,0.3))</f>
        <v>0.3</v>
      </c>
      <c r="I2543" s="8">
        <f>financials[[#This Row],[Gross Sales]]-financials[[#This Row],[Gross Sales]]*financials[[#This Row],[Discounts]]</f>
        <v>274.39999999999998</v>
      </c>
      <c r="J2543" s="8">
        <f>VLOOKUP(financials[[#This Row],[productid]],Products!$B$2:$H$10,4)</f>
        <v>15</v>
      </c>
      <c r="K2543" s="8">
        <f>financials[[#This Row],[Net Sales]]-financials[[#This Row],[COGS]]</f>
        <v>259.39999999999998</v>
      </c>
      <c r="L2543" s="15">
        <v>43883</v>
      </c>
      <c r="M2543" t="s">
        <v>691</v>
      </c>
    </row>
    <row r="2544" spans="1:13" x14ac:dyDescent="0.25">
      <c r="A2544" t="s">
        <v>89</v>
      </c>
      <c r="B2544" s="6" t="s">
        <v>84</v>
      </c>
      <c r="C2544" s="13">
        <v>108</v>
      </c>
      <c r="D2544" s="14" t="s">
        <v>83</v>
      </c>
      <c r="E2544">
        <v>5</v>
      </c>
      <c r="F2544" s="8">
        <f>VLOOKUP(financials[[#This Row],[productid]],Products!$B$2:$H$10,3)</f>
        <v>5.5</v>
      </c>
      <c r="G2544" s="8">
        <f>financials[[#This Row],[Units Sold]]*financials[[#This Row],[Sale Price]]</f>
        <v>27.5</v>
      </c>
      <c r="H2544" s="8">
        <f>IF(financials[[#This Row],[Discount Band]]="low",0.1,IF(financials[[#This Row],[Discount Band]]="medium",0.15,0.3))</f>
        <v>0.3</v>
      </c>
      <c r="I2544" s="8">
        <f>financials[[#This Row],[Gross Sales]]-financials[[#This Row],[Gross Sales]]*financials[[#This Row],[Discounts]]</f>
        <v>19.25</v>
      </c>
      <c r="J2544" s="8">
        <f>VLOOKUP(financials[[#This Row],[productid]],Products!$B$2:$H$10,4)</f>
        <v>3.99</v>
      </c>
      <c r="K2544" s="8">
        <f>financials[[#This Row],[Net Sales]]-financials[[#This Row],[COGS]]</f>
        <v>15.26</v>
      </c>
      <c r="L2544" s="15">
        <v>44778</v>
      </c>
      <c r="M2544" t="s">
        <v>697</v>
      </c>
    </row>
    <row r="2545" spans="1:13" x14ac:dyDescent="0.25">
      <c r="A2545" t="s">
        <v>86</v>
      </c>
      <c r="B2545" s="6" t="s">
        <v>124</v>
      </c>
      <c r="C2545" s="13">
        <v>102</v>
      </c>
      <c r="D2545" s="14" t="s">
        <v>91</v>
      </c>
      <c r="E2545">
        <v>15</v>
      </c>
      <c r="F2545" s="8">
        <f>VLOOKUP(financials[[#This Row],[productid]],Products!$B$2:$H$10,3)</f>
        <v>15</v>
      </c>
      <c r="G2545" s="8">
        <f>financials[[#This Row],[Units Sold]]*financials[[#This Row],[Sale Price]]</f>
        <v>225</v>
      </c>
      <c r="H2545" s="8">
        <f>IF(financials[[#This Row],[Discount Band]]="low",0.1,IF(financials[[#This Row],[Discount Band]]="medium",0.15,0.3))</f>
        <v>0.1</v>
      </c>
      <c r="I2545" s="8">
        <f>financials[[#This Row],[Gross Sales]]-financials[[#This Row],[Gross Sales]]*financials[[#This Row],[Discounts]]</f>
        <v>202.5</v>
      </c>
      <c r="J2545" s="8">
        <f>VLOOKUP(financials[[#This Row],[productid]],Products!$B$2:$H$10,4)</f>
        <v>13.95</v>
      </c>
      <c r="K2545" s="8">
        <f>financials[[#This Row],[Net Sales]]-financials[[#This Row],[COGS]]</f>
        <v>188.55</v>
      </c>
      <c r="L2545" s="15">
        <v>43902</v>
      </c>
      <c r="M2545" t="s">
        <v>700</v>
      </c>
    </row>
    <row r="2546" spans="1:13" x14ac:dyDescent="0.25">
      <c r="A2546" t="s">
        <v>87</v>
      </c>
      <c r="B2546" s="6" t="s">
        <v>645</v>
      </c>
      <c r="C2546" s="11">
        <v>105</v>
      </c>
      <c r="D2546" s="9" t="s">
        <v>90</v>
      </c>
      <c r="E2546">
        <v>18</v>
      </c>
      <c r="F2546" s="8">
        <f>VLOOKUP(financials[[#This Row],[productid]],Products!$B$2:$H$10,3)</f>
        <v>15</v>
      </c>
      <c r="G2546" s="8">
        <f>financials[[#This Row],[Units Sold]]*financials[[#This Row],[Sale Price]]</f>
        <v>270</v>
      </c>
      <c r="H2546" s="8">
        <f>IF(financials[[#This Row],[Discount Band]]="low",0.1,IF(financials[[#This Row],[Discount Band]]="medium",0.15,0.3))</f>
        <v>0.15</v>
      </c>
      <c r="I2546" s="8">
        <f>financials[[#This Row],[Gross Sales]]-financials[[#This Row],[Gross Sales]]*financials[[#This Row],[Discounts]]</f>
        <v>229.5</v>
      </c>
      <c r="J2546" s="8">
        <f>VLOOKUP(financials[[#This Row],[productid]],Products!$B$2:$H$10,4)</f>
        <v>10</v>
      </c>
      <c r="K2546" s="8">
        <f>financials[[#This Row],[Net Sales]]-financials[[#This Row],[COGS]]</f>
        <v>219.5</v>
      </c>
      <c r="L2546" s="15">
        <v>44997</v>
      </c>
      <c r="M2546" t="s">
        <v>700</v>
      </c>
    </row>
    <row r="2547" spans="1:13" x14ac:dyDescent="0.25">
      <c r="A2547" t="s">
        <v>87</v>
      </c>
      <c r="B2547" s="6" t="s">
        <v>240</v>
      </c>
      <c r="C2547" s="13">
        <v>106</v>
      </c>
      <c r="D2547" s="14" t="s">
        <v>91</v>
      </c>
      <c r="E2547">
        <v>8</v>
      </c>
      <c r="F2547" s="8">
        <f>VLOOKUP(financials[[#This Row],[productid]],Products!$B$2:$H$10,3)</f>
        <v>25</v>
      </c>
      <c r="G2547" s="8">
        <f>financials[[#This Row],[Units Sold]]*financials[[#This Row],[Sale Price]]</f>
        <v>200</v>
      </c>
      <c r="H2547" s="8">
        <f>IF(financials[[#This Row],[Discount Band]]="low",0.1,IF(financials[[#This Row],[Discount Band]]="medium",0.15,0.3))</f>
        <v>0.1</v>
      </c>
      <c r="I2547" s="8">
        <f>financials[[#This Row],[Gross Sales]]-financials[[#This Row],[Gross Sales]]*financials[[#This Row],[Discounts]]</f>
        <v>180</v>
      </c>
      <c r="J2547" s="8">
        <f>VLOOKUP(financials[[#This Row],[productid]],Products!$B$2:$H$10,4)</f>
        <v>9.1</v>
      </c>
      <c r="K2547" s="8">
        <f>financials[[#This Row],[Net Sales]]-financials[[#This Row],[COGS]]</f>
        <v>170.9</v>
      </c>
      <c r="L2547" s="15">
        <v>44540</v>
      </c>
      <c r="M2547" t="s">
        <v>700</v>
      </c>
    </row>
    <row r="2548" spans="1:13" x14ac:dyDescent="0.25">
      <c r="A2548" t="s">
        <v>85</v>
      </c>
      <c r="B2548" s="6" t="s">
        <v>124</v>
      </c>
      <c r="C2548" s="13">
        <v>101</v>
      </c>
      <c r="D2548" s="14" t="s">
        <v>90</v>
      </c>
      <c r="E2548">
        <v>14</v>
      </c>
      <c r="F2548" s="8">
        <f>VLOOKUP(financials[[#This Row],[productid]],Products!$B$2:$H$10,3)</f>
        <v>23</v>
      </c>
      <c r="G2548" s="8">
        <f>financials[[#This Row],[Units Sold]]*financials[[#This Row],[Sale Price]]</f>
        <v>322</v>
      </c>
      <c r="H2548" s="8">
        <f>IF(financials[[#This Row],[Discount Band]]="low",0.1,IF(financials[[#This Row],[Discount Band]]="medium",0.15,0.3))</f>
        <v>0.15</v>
      </c>
      <c r="I2548" s="8">
        <f>financials[[#This Row],[Gross Sales]]-financials[[#This Row],[Gross Sales]]*financials[[#This Row],[Discounts]]</f>
        <v>273.7</v>
      </c>
      <c r="J2548" s="8">
        <f>VLOOKUP(financials[[#This Row],[productid]],Products!$B$2:$H$10,4)</f>
        <v>9.9499999999999993</v>
      </c>
      <c r="K2548" s="8">
        <f>financials[[#This Row],[Net Sales]]-financials[[#This Row],[COGS]]</f>
        <v>263.75</v>
      </c>
      <c r="L2548" s="15">
        <v>44677</v>
      </c>
      <c r="M2548" t="s">
        <v>697</v>
      </c>
    </row>
    <row r="2549" spans="1:13" x14ac:dyDescent="0.25">
      <c r="A2549" t="s">
        <v>86</v>
      </c>
      <c r="B2549" s="6" t="s">
        <v>84</v>
      </c>
      <c r="C2549" s="11">
        <v>102</v>
      </c>
      <c r="D2549" s="9" t="s">
        <v>83</v>
      </c>
      <c r="E2549">
        <v>16</v>
      </c>
      <c r="F2549" s="8">
        <f>VLOOKUP(financials[[#This Row],[productid]],Products!$B$2:$H$10,3)</f>
        <v>15</v>
      </c>
      <c r="G2549" s="8">
        <f>financials[[#This Row],[Units Sold]]*financials[[#This Row],[Sale Price]]</f>
        <v>240</v>
      </c>
      <c r="H2549" s="8">
        <f>IF(financials[[#This Row],[Discount Band]]="low",0.1,IF(financials[[#This Row],[Discount Band]]="medium",0.15,0.3))</f>
        <v>0.3</v>
      </c>
      <c r="I2549" s="8">
        <f>financials[[#This Row],[Gross Sales]]-financials[[#This Row],[Gross Sales]]*financials[[#This Row],[Discounts]]</f>
        <v>168</v>
      </c>
      <c r="J2549" s="8">
        <f>VLOOKUP(financials[[#This Row],[productid]],Products!$B$2:$H$10,4)</f>
        <v>13.95</v>
      </c>
      <c r="K2549" s="8">
        <f>financials[[#This Row],[Net Sales]]-financials[[#This Row],[COGS]]</f>
        <v>154.05000000000001</v>
      </c>
      <c r="L2549" s="15">
        <v>44054</v>
      </c>
      <c r="M2549" t="s">
        <v>700</v>
      </c>
    </row>
    <row r="2550" spans="1:13" x14ac:dyDescent="0.25">
      <c r="A2550" t="s">
        <v>87</v>
      </c>
      <c r="B2550" s="6" t="s">
        <v>232</v>
      </c>
      <c r="C2550" s="13">
        <v>106</v>
      </c>
      <c r="D2550" s="14" t="s">
        <v>91</v>
      </c>
      <c r="E2550">
        <v>6</v>
      </c>
      <c r="F2550" s="8">
        <f>VLOOKUP(financials[[#This Row],[productid]],Products!$B$2:$H$10,3)</f>
        <v>25</v>
      </c>
      <c r="G2550" s="8">
        <f>financials[[#This Row],[Units Sold]]*financials[[#This Row],[Sale Price]]</f>
        <v>150</v>
      </c>
      <c r="H2550" s="8">
        <f>IF(financials[[#This Row],[Discount Band]]="low",0.1,IF(financials[[#This Row],[Discount Band]]="medium",0.15,0.3))</f>
        <v>0.1</v>
      </c>
      <c r="I2550" s="8">
        <f>financials[[#This Row],[Gross Sales]]-financials[[#This Row],[Gross Sales]]*financials[[#This Row],[Discounts]]</f>
        <v>135</v>
      </c>
      <c r="J2550" s="8">
        <f>VLOOKUP(financials[[#This Row],[productid]],Products!$B$2:$H$10,4)</f>
        <v>9.1</v>
      </c>
      <c r="K2550" s="8">
        <f>financials[[#This Row],[Net Sales]]-financials[[#This Row],[COGS]]</f>
        <v>125.9</v>
      </c>
      <c r="L2550" s="15">
        <v>44906</v>
      </c>
      <c r="M2550" t="s">
        <v>697</v>
      </c>
    </row>
    <row r="2551" spans="1:13" x14ac:dyDescent="0.25">
      <c r="A2551" t="s">
        <v>87</v>
      </c>
      <c r="B2551" s="6" t="s">
        <v>645</v>
      </c>
      <c r="C2551" s="13">
        <v>105</v>
      </c>
      <c r="D2551" s="14" t="s">
        <v>91</v>
      </c>
      <c r="E2551">
        <v>13</v>
      </c>
      <c r="F2551" s="8">
        <f>VLOOKUP(financials[[#This Row],[productid]],Products!$B$2:$H$10,3)</f>
        <v>15</v>
      </c>
      <c r="G2551" s="8">
        <f>financials[[#This Row],[Units Sold]]*financials[[#This Row],[Sale Price]]</f>
        <v>195</v>
      </c>
      <c r="H2551" s="8">
        <f>IF(financials[[#This Row],[Discount Band]]="low",0.1,IF(financials[[#This Row],[Discount Band]]="medium",0.15,0.3))</f>
        <v>0.1</v>
      </c>
      <c r="I2551" s="8">
        <f>financials[[#This Row],[Gross Sales]]-financials[[#This Row],[Gross Sales]]*financials[[#This Row],[Discounts]]</f>
        <v>175.5</v>
      </c>
      <c r="J2551" s="8">
        <f>VLOOKUP(financials[[#This Row],[productid]],Products!$B$2:$H$10,4)</f>
        <v>10</v>
      </c>
      <c r="K2551" s="8">
        <f>financials[[#This Row],[Net Sales]]-financials[[#This Row],[COGS]]</f>
        <v>165.5</v>
      </c>
      <c r="L2551" s="15">
        <v>45484</v>
      </c>
      <c r="M2551" t="s">
        <v>691</v>
      </c>
    </row>
    <row r="2552" spans="1:13" x14ac:dyDescent="0.25">
      <c r="A2552" t="s">
        <v>86</v>
      </c>
      <c r="B2552" s="6" t="s">
        <v>84</v>
      </c>
      <c r="C2552" s="13">
        <v>105</v>
      </c>
      <c r="D2552" s="14" t="s">
        <v>90</v>
      </c>
      <c r="E2552">
        <v>14</v>
      </c>
      <c r="F2552" s="8">
        <f>VLOOKUP(financials[[#This Row],[productid]],Products!$B$2:$H$10,3)</f>
        <v>15</v>
      </c>
      <c r="G2552" s="8">
        <f>financials[[#This Row],[Units Sold]]*financials[[#This Row],[Sale Price]]</f>
        <v>210</v>
      </c>
      <c r="H2552" s="8">
        <f>IF(financials[[#This Row],[Discount Band]]="low",0.1,IF(financials[[#This Row],[Discount Band]]="medium",0.15,0.3))</f>
        <v>0.15</v>
      </c>
      <c r="I2552" s="8">
        <f>financials[[#This Row],[Gross Sales]]-financials[[#This Row],[Gross Sales]]*financials[[#This Row],[Discounts]]</f>
        <v>178.5</v>
      </c>
      <c r="J2552" s="8">
        <f>VLOOKUP(financials[[#This Row],[productid]],Products!$B$2:$H$10,4)</f>
        <v>10</v>
      </c>
      <c r="K2552" s="8">
        <f>financials[[#This Row],[Net Sales]]-financials[[#This Row],[COGS]]</f>
        <v>168.5</v>
      </c>
      <c r="L2552" s="15">
        <v>45620</v>
      </c>
      <c r="M2552" t="s">
        <v>700</v>
      </c>
    </row>
    <row r="2553" spans="1:13" x14ac:dyDescent="0.25">
      <c r="A2553" t="s">
        <v>85</v>
      </c>
      <c r="B2553" s="6" t="s">
        <v>124</v>
      </c>
      <c r="C2553" s="13">
        <v>105</v>
      </c>
      <c r="D2553" s="14" t="s">
        <v>83</v>
      </c>
      <c r="E2553">
        <v>5</v>
      </c>
      <c r="F2553" s="8">
        <f>VLOOKUP(financials[[#This Row],[productid]],Products!$B$2:$H$10,3)</f>
        <v>15</v>
      </c>
      <c r="G2553" s="8">
        <f>financials[[#This Row],[Units Sold]]*financials[[#This Row],[Sale Price]]</f>
        <v>75</v>
      </c>
      <c r="H2553" s="8">
        <f>IF(financials[[#This Row],[Discount Band]]="low",0.1,IF(financials[[#This Row],[Discount Band]]="medium",0.15,0.3))</f>
        <v>0.3</v>
      </c>
      <c r="I2553" s="8">
        <f>financials[[#This Row],[Gross Sales]]-financials[[#This Row],[Gross Sales]]*financials[[#This Row],[Discounts]]</f>
        <v>52.5</v>
      </c>
      <c r="J2553" s="8">
        <f>VLOOKUP(financials[[#This Row],[productid]],Products!$B$2:$H$10,4)</f>
        <v>10</v>
      </c>
      <c r="K2553" s="8">
        <f>financials[[#This Row],[Net Sales]]-financials[[#This Row],[COGS]]</f>
        <v>42.5</v>
      </c>
      <c r="L2553" s="15">
        <v>45404</v>
      </c>
      <c r="M2553" t="s">
        <v>700</v>
      </c>
    </row>
    <row r="2554" spans="1:13" x14ac:dyDescent="0.25">
      <c r="A2554" t="s">
        <v>85</v>
      </c>
      <c r="B2554" s="6" t="s">
        <v>124</v>
      </c>
      <c r="C2554" s="13">
        <v>105</v>
      </c>
      <c r="D2554" s="14" t="s">
        <v>90</v>
      </c>
      <c r="E2554">
        <v>14</v>
      </c>
      <c r="F2554" s="8">
        <f>VLOOKUP(financials[[#This Row],[productid]],Products!$B$2:$H$10,3)</f>
        <v>15</v>
      </c>
      <c r="G2554" s="8">
        <f>financials[[#This Row],[Units Sold]]*financials[[#This Row],[Sale Price]]</f>
        <v>210</v>
      </c>
      <c r="H2554" s="8">
        <f>IF(financials[[#This Row],[Discount Band]]="low",0.1,IF(financials[[#This Row],[Discount Band]]="medium",0.15,0.3))</f>
        <v>0.15</v>
      </c>
      <c r="I2554" s="8">
        <f>financials[[#This Row],[Gross Sales]]-financials[[#This Row],[Gross Sales]]*financials[[#This Row],[Discounts]]</f>
        <v>178.5</v>
      </c>
      <c r="J2554" s="8">
        <f>VLOOKUP(financials[[#This Row],[productid]],Products!$B$2:$H$10,4)</f>
        <v>10</v>
      </c>
      <c r="K2554" s="8">
        <f>financials[[#This Row],[Net Sales]]-financials[[#This Row],[COGS]]</f>
        <v>168.5</v>
      </c>
      <c r="L2554" s="15">
        <v>44964</v>
      </c>
      <c r="M2554" t="s">
        <v>697</v>
      </c>
    </row>
    <row r="2555" spans="1:13" x14ac:dyDescent="0.25">
      <c r="A2555" t="s">
        <v>89</v>
      </c>
      <c r="B2555" s="6" t="s">
        <v>84</v>
      </c>
      <c r="C2555" s="13">
        <v>108</v>
      </c>
      <c r="D2555" s="14" t="s">
        <v>83</v>
      </c>
      <c r="E2555">
        <v>13</v>
      </c>
      <c r="F2555" s="8">
        <f>VLOOKUP(financials[[#This Row],[productid]],Products!$B$2:$H$10,3)</f>
        <v>5.5</v>
      </c>
      <c r="G2555" s="8">
        <f>financials[[#This Row],[Units Sold]]*financials[[#This Row],[Sale Price]]</f>
        <v>71.5</v>
      </c>
      <c r="H2555" s="8">
        <f>IF(financials[[#This Row],[Discount Band]]="low",0.1,IF(financials[[#This Row],[Discount Band]]="medium",0.15,0.3))</f>
        <v>0.3</v>
      </c>
      <c r="I2555" s="8">
        <f>financials[[#This Row],[Gross Sales]]-financials[[#This Row],[Gross Sales]]*financials[[#This Row],[Discounts]]</f>
        <v>50.05</v>
      </c>
      <c r="J2555" s="8">
        <f>VLOOKUP(financials[[#This Row],[productid]],Products!$B$2:$H$10,4)</f>
        <v>3.99</v>
      </c>
      <c r="K2555" s="8">
        <f>financials[[#This Row],[Net Sales]]-financials[[#This Row],[COGS]]</f>
        <v>46.059999999999995</v>
      </c>
      <c r="L2555" s="15">
        <v>43941</v>
      </c>
      <c r="M2555" t="s">
        <v>696</v>
      </c>
    </row>
    <row r="2556" spans="1:13" x14ac:dyDescent="0.25">
      <c r="A2556" t="s">
        <v>85</v>
      </c>
      <c r="B2556" s="6" t="s">
        <v>124</v>
      </c>
      <c r="C2556" s="13">
        <v>103</v>
      </c>
      <c r="D2556" s="14" t="s">
        <v>83</v>
      </c>
      <c r="E2556">
        <v>7</v>
      </c>
      <c r="F2556" s="8">
        <f>VLOOKUP(financials[[#This Row],[productid]],Products!$B$2:$H$10,3)</f>
        <v>28</v>
      </c>
      <c r="G2556" s="8">
        <f>financials[[#This Row],[Units Sold]]*financials[[#This Row],[Sale Price]]</f>
        <v>196</v>
      </c>
      <c r="H2556" s="8">
        <f>IF(financials[[#This Row],[Discount Band]]="low",0.1,IF(financials[[#This Row],[Discount Band]]="medium",0.15,0.3))</f>
        <v>0.3</v>
      </c>
      <c r="I2556" s="8">
        <f>financials[[#This Row],[Gross Sales]]-financials[[#This Row],[Gross Sales]]*financials[[#This Row],[Discounts]]</f>
        <v>137.19999999999999</v>
      </c>
      <c r="J2556" s="8">
        <f>VLOOKUP(financials[[#This Row],[productid]],Products!$B$2:$H$10,4)</f>
        <v>15</v>
      </c>
      <c r="K2556" s="8">
        <f>financials[[#This Row],[Net Sales]]-financials[[#This Row],[COGS]]</f>
        <v>122.19999999999999</v>
      </c>
      <c r="L2556" s="15">
        <v>45000</v>
      </c>
      <c r="M2556" t="s">
        <v>696</v>
      </c>
    </row>
    <row r="2557" spans="1:13" x14ac:dyDescent="0.25">
      <c r="A2557" t="s">
        <v>89</v>
      </c>
      <c r="B2557" s="6" t="s">
        <v>159</v>
      </c>
      <c r="C2557" s="13">
        <v>104</v>
      </c>
      <c r="D2557" s="14" t="s">
        <v>91</v>
      </c>
      <c r="E2557">
        <v>15</v>
      </c>
      <c r="F2557" s="8">
        <f>VLOOKUP(financials[[#This Row],[productid]],Products!$B$2:$H$10,3)</f>
        <v>5.9</v>
      </c>
      <c r="G2557" s="8">
        <f>financials[[#This Row],[Units Sold]]*financials[[#This Row],[Sale Price]]</f>
        <v>88.5</v>
      </c>
      <c r="H2557" s="8">
        <f>IF(financials[[#This Row],[Discount Band]]="low",0.1,IF(financials[[#This Row],[Discount Band]]="medium",0.15,0.3))</f>
        <v>0.1</v>
      </c>
      <c r="I2557" s="8">
        <f>financials[[#This Row],[Gross Sales]]-financials[[#This Row],[Gross Sales]]*financials[[#This Row],[Discounts]]</f>
        <v>79.650000000000006</v>
      </c>
      <c r="J2557" s="8">
        <f>VLOOKUP(financials[[#This Row],[productid]],Products!$B$2:$H$10,4)</f>
        <v>2.9</v>
      </c>
      <c r="K2557" s="8">
        <f>financials[[#This Row],[Net Sales]]-financials[[#This Row],[COGS]]</f>
        <v>76.75</v>
      </c>
      <c r="L2557" s="15">
        <v>45357</v>
      </c>
      <c r="M2557" t="s">
        <v>691</v>
      </c>
    </row>
    <row r="2558" spans="1:13" x14ac:dyDescent="0.25">
      <c r="A2558" t="s">
        <v>86</v>
      </c>
      <c r="B2558" s="6" t="s">
        <v>159</v>
      </c>
      <c r="C2558" s="13">
        <v>106</v>
      </c>
      <c r="D2558" s="14" t="s">
        <v>83</v>
      </c>
      <c r="E2558">
        <v>7</v>
      </c>
      <c r="F2558" s="8">
        <f>VLOOKUP(financials[[#This Row],[productid]],Products!$B$2:$H$10,3)</f>
        <v>25</v>
      </c>
      <c r="G2558" s="8">
        <f>financials[[#This Row],[Units Sold]]*financials[[#This Row],[Sale Price]]</f>
        <v>175</v>
      </c>
      <c r="H2558" s="8">
        <f>IF(financials[[#This Row],[Discount Band]]="low",0.1,IF(financials[[#This Row],[Discount Band]]="medium",0.15,0.3))</f>
        <v>0.3</v>
      </c>
      <c r="I2558" s="8">
        <f>financials[[#This Row],[Gross Sales]]-financials[[#This Row],[Gross Sales]]*financials[[#This Row],[Discounts]]</f>
        <v>122.5</v>
      </c>
      <c r="J2558" s="8">
        <f>VLOOKUP(financials[[#This Row],[productid]],Products!$B$2:$H$10,4)</f>
        <v>9.1</v>
      </c>
      <c r="K2558" s="8">
        <f>financials[[#This Row],[Net Sales]]-financials[[#This Row],[COGS]]</f>
        <v>113.4</v>
      </c>
      <c r="L2558" s="15">
        <v>45295</v>
      </c>
      <c r="M2558" t="s">
        <v>700</v>
      </c>
    </row>
    <row r="2559" spans="1:13" x14ac:dyDescent="0.25">
      <c r="A2559" t="s">
        <v>87</v>
      </c>
      <c r="B2559" s="6" t="s">
        <v>232</v>
      </c>
      <c r="C2559" s="11">
        <v>102</v>
      </c>
      <c r="D2559" s="9" t="s">
        <v>90</v>
      </c>
      <c r="E2559">
        <v>16</v>
      </c>
      <c r="F2559" s="8">
        <f>VLOOKUP(financials[[#This Row],[productid]],Products!$B$2:$H$10,3)</f>
        <v>15</v>
      </c>
      <c r="G2559" s="8">
        <f>financials[[#This Row],[Units Sold]]*financials[[#This Row],[Sale Price]]</f>
        <v>240</v>
      </c>
      <c r="H2559" s="8">
        <f>IF(financials[[#This Row],[Discount Band]]="low",0.1,IF(financials[[#This Row],[Discount Band]]="medium",0.15,0.3))</f>
        <v>0.15</v>
      </c>
      <c r="I2559" s="8">
        <f>financials[[#This Row],[Gross Sales]]-financials[[#This Row],[Gross Sales]]*financials[[#This Row],[Discounts]]</f>
        <v>204</v>
      </c>
      <c r="J2559" s="8">
        <f>VLOOKUP(financials[[#This Row],[productid]],Products!$B$2:$H$10,4)</f>
        <v>13.95</v>
      </c>
      <c r="K2559" s="8">
        <f>financials[[#This Row],[Net Sales]]-financials[[#This Row],[COGS]]</f>
        <v>190.05</v>
      </c>
      <c r="L2559" s="15">
        <v>45465</v>
      </c>
      <c r="M2559" t="s">
        <v>700</v>
      </c>
    </row>
    <row r="2560" spans="1:13" x14ac:dyDescent="0.25">
      <c r="A2560" t="s">
        <v>86</v>
      </c>
      <c r="B2560" s="6" t="s">
        <v>159</v>
      </c>
      <c r="C2560" s="13">
        <v>101</v>
      </c>
      <c r="D2560" s="14" t="s">
        <v>90</v>
      </c>
      <c r="E2560">
        <v>9</v>
      </c>
      <c r="F2560" s="8">
        <f>VLOOKUP(financials[[#This Row],[productid]],Products!$B$2:$H$10,3)</f>
        <v>23</v>
      </c>
      <c r="G2560" s="8">
        <f>financials[[#This Row],[Units Sold]]*financials[[#This Row],[Sale Price]]</f>
        <v>207</v>
      </c>
      <c r="H2560" s="8">
        <f>IF(financials[[#This Row],[Discount Band]]="low",0.1,IF(financials[[#This Row],[Discount Band]]="medium",0.15,0.3))</f>
        <v>0.15</v>
      </c>
      <c r="I2560" s="8">
        <f>financials[[#This Row],[Gross Sales]]-financials[[#This Row],[Gross Sales]]*financials[[#This Row],[Discounts]]</f>
        <v>175.95</v>
      </c>
      <c r="J2560" s="8">
        <f>VLOOKUP(financials[[#This Row],[productid]],Products!$B$2:$H$10,4)</f>
        <v>9.9499999999999993</v>
      </c>
      <c r="K2560" s="8">
        <f>financials[[#This Row],[Net Sales]]-financials[[#This Row],[COGS]]</f>
        <v>166</v>
      </c>
      <c r="L2560" s="15">
        <v>45163</v>
      </c>
      <c r="M2560" t="s">
        <v>700</v>
      </c>
    </row>
    <row r="2561" spans="1:13" x14ac:dyDescent="0.25">
      <c r="A2561" t="s">
        <v>89</v>
      </c>
      <c r="B2561" s="6" t="s">
        <v>84</v>
      </c>
      <c r="C2561" s="11">
        <v>101</v>
      </c>
      <c r="D2561" s="9" t="s">
        <v>90</v>
      </c>
      <c r="E2561">
        <v>14</v>
      </c>
      <c r="F2561" s="8">
        <f>VLOOKUP(financials[[#This Row],[productid]],Products!$B$2:$H$10,3)</f>
        <v>23</v>
      </c>
      <c r="G2561" s="8">
        <f>financials[[#This Row],[Units Sold]]*financials[[#This Row],[Sale Price]]</f>
        <v>322</v>
      </c>
      <c r="H2561" s="8">
        <f>IF(financials[[#This Row],[Discount Band]]="low",0.1,IF(financials[[#This Row],[Discount Band]]="medium",0.15,0.3))</f>
        <v>0.15</v>
      </c>
      <c r="I2561" s="8">
        <f>financials[[#This Row],[Gross Sales]]-financials[[#This Row],[Gross Sales]]*financials[[#This Row],[Discounts]]</f>
        <v>273.7</v>
      </c>
      <c r="J2561" s="8">
        <f>VLOOKUP(financials[[#This Row],[productid]],Products!$B$2:$H$10,4)</f>
        <v>9.9499999999999993</v>
      </c>
      <c r="K2561" s="8">
        <f>financials[[#This Row],[Net Sales]]-financials[[#This Row],[COGS]]</f>
        <v>263.75</v>
      </c>
      <c r="L2561" s="15">
        <v>44339</v>
      </c>
      <c r="M2561" t="s">
        <v>697</v>
      </c>
    </row>
    <row r="2562" spans="1:13" x14ac:dyDescent="0.25">
      <c r="A2562" t="s">
        <v>86</v>
      </c>
      <c r="B2562" s="6" t="s">
        <v>84</v>
      </c>
      <c r="C2562" s="13">
        <v>103</v>
      </c>
      <c r="D2562" s="14" t="s">
        <v>90</v>
      </c>
      <c r="E2562">
        <v>8</v>
      </c>
      <c r="F2562" s="8">
        <f>VLOOKUP(financials[[#This Row],[productid]],Products!$B$2:$H$10,3)</f>
        <v>28</v>
      </c>
      <c r="G2562" s="8">
        <f>financials[[#This Row],[Units Sold]]*financials[[#This Row],[Sale Price]]</f>
        <v>224</v>
      </c>
      <c r="H2562" s="8">
        <f>IF(financials[[#This Row],[Discount Band]]="low",0.1,IF(financials[[#This Row],[Discount Band]]="medium",0.15,0.3))</f>
        <v>0.15</v>
      </c>
      <c r="I2562" s="8">
        <f>financials[[#This Row],[Gross Sales]]-financials[[#This Row],[Gross Sales]]*financials[[#This Row],[Discounts]]</f>
        <v>190.4</v>
      </c>
      <c r="J2562" s="8">
        <f>VLOOKUP(financials[[#This Row],[productid]],Products!$B$2:$H$10,4)</f>
        <v>15</v>
      </c>
      <c r="K2562" s="8">
        <f>financials[[#This Row],[Net Sales]]-financials[[#This Row],[COGS]]</f>
        <v>175.4</v>
      </c>
      <c r="L2562" s="15">
        <v>45167</v>
      </c>
      <c r="M2562" t="s">
        <v>697</v>
      </c>
    </row>
    <row r="2563" spans="1:13" x14ac:dyDescent="0.25">
      <c r="A2563" t="s">
        <v>89</v>
      </c>
      <c r="B2563" s="6" t="s">
        <v>159</v>
      </c>
      <c r="C2563" s="13">
        <v>101</v>
      </c>
      <c r="D2563" s="14" t="s">
        <v>83</v>
      </c>
      <c r="E2563">
        <v>8</v>
      </c>
      <c r="F2563" s="8">
        <f>VLOOKUP(financials[[#This Row],[productid]],Products!$B$2:$H$10,3)</f>
        <v>23</v>
      </c>
      <c r="G2563" s="8">
        <f>financials[[#This Row],[Units Sold]]*financials[[#This Row],[Sale Price]]</f>
        <v>184</v>
      </c>
      <c r="H2563" s="8">
        <f>IF(financials[[#This Row],[Discount Band]]="low",0.1,IF(financials[[#This Row],[Discount Band]]="medium",0.15,0.3))</f>
        <v>0.3</v>
      </c>
      <c r="I2563" s="8">
        <f>financials[[#This Row],[Gross Sales]]-financials[[#This Row],[Gross Sales]]*financials[[#This Row],[Discounts]]</f>
        <v>128.80000000000001</v>
      </c>
      <c r="J2563" s="8">
        <f>VLOOKUP(financials[[#This Row],[productid]],Products!$B$2:$H$10,4)</f>
        <v>9.9499999999999993</v>
      </c>
      <c r="K2563" s="8">
        <f>financials[[#This Row],[Net Sales]]-financials[[#This Row],[COGS]]</f>
        <v>118.85000000000001</v>
      </c>
      <c r="L2563" s="15">
        <v>44458</v>
      </c>
      <c r="M2563" t="s">
        <v>700</v>
      </c>
    </row>
    <row r="2564" spans="1:13" x14ac:dyDescent="0.25">
      <c r="A2564" t="s">
        <v>89</v>
      </c>
      <c r="B2564" s="6" t="s">
        <v>84</v>
      </c>
      <c r="C2564" s="13">
        <v>109</v>
      </c>
      <c r="D2564" s="14" t="s">
        <v>92</v>
      </c>
      <c r="E2564">
        <v>17</v>
      </c>
      <c r="F2564" s="8">
        <f>VLOOKUP(financials[[#This Row],[productid]],Products!$B$2:$H$10,3)</f>
        <v>36</v>
      </c>
      <c r="G2564" s="8">
        <f>financials[[#This Row],[Units Sold]]*financials[[#This Row],[Sale Price]]</f>
        <v>612</v>
      </c>
      <c r="H2564" s="8">
        <f>IF(financials[[#This Row],[Discount Band]]="low",0.1,IF(financials[[#This Row],[Discount Band]]="medium",0.15,0.3))</f>
        <v>0.3</v>
      </c>
      <c r="I2564" s="8">
        <f>financials[[#This Row],[Gross Sales]]-financials[[#This Row],[Gross Sales]]*financials[[#This Row],[Discounts]]</f>
        <v>428.4</v>
      </c>
      <c r="J2564" s="8">
        <f>VLOOKUP(financials[[#This Row],[productid]],Products!$B$2:$H$10,4)</f>
        <v>16.8</v>
      </c>
      <c r="K2564" s="8">
        <f>financials[[#This Row],[Net Sales]]-financials[[#This Row],[COGS]]</f>
        <v>411.59999999999997</v>
      </c>
      <c r="L2564" s="15">
        <v>45557</v>
      </c>
      <c r="M2564" t="s">
        <v>697</v>
      </c>
    </row>
    <row r="2565" spans="1:13" x14ac:dyDescent="0.25">
      <c r="A2565" t="s">
        <v>87</v>
      </c>
      <c r="B2565" s="6" t="s">
        <v>96</v>
      </c>
      <c r="C2565" s="13">
        <v>105</v>
      </c>
      <c r="D2565" s="14" t="s">
        <v>91</v>
      </c>
      <c r="E2565">
        <v>20</v>
      </c>
      <c r="F2565" s="8">
        <f>VLOOKUP(financials[[#This Row],[productid]],Products!$B$2:$H$10,3)</f>
        <v>15</v>
      </c>
      <c r="G2565" s="8">
        <f>financials[[#This Row],[Units Sold]]*financials[[#This Row],[Sale Price]]</f>
        <v>300</v>
      </c>
      <c r="H2565" s="8">
        <f>IF(financials[[#This Row],[Discount Band]]="low",0.1,IF(financials[[#This Row],[Discount Band]]="medium",0.15,0.3))</f>
        <v>0.1</v>
      </c>
      <c r="I2565" s="8">
        <f>financials[[#This Row],[Gross Sales]]-financials[[#This Row],[Gross Sales]]*financials[[#This Row],[Discounts]]</f>
        <v>270</v>
      </c>
      <c r="J2565" s="8">
        <f>VLOOKUP(financials[[#This Row],[productid]],Products!$B$2:$H$10,4)</f>
        <v>10</v>
      </c>
      <c r="K2565" s="8">
        <f>financials[[#This Row],[Net Sales]]-financials[[#This Row],[COGS]]</f>
        <v>260</v>
      </c>
      <c r="L2565" s="15">
        <v>44724</v>
      </c>
      <c r="M2565" t="s">
        <v>700</v>
      </c>
    </row>
    <row r="2566" spans="1:13" x14ac:dyDescent="0.25">
      <c r="A2566" t="s">
        <v>89</v>
      </c>
      <c r="B2566" s="6" t="s">
        <v>84</v>
      </c>
      <c r="C2566" s="11">
        <v>109</v>
      </c>
      <c r="D2566" s="9" t="s">
        <v>83</v>
      </c>
      <c r="E2566">
        <v>8</v>
      </c>
      <c r="F2566" s="8">
        <f>VLOOKUP(financials[[#This Row],[productid]],Products!$B$2:$H$10,3)</f>
        <v>36</v>
      </c>
      <c r="G2566" s="8">
        <f>financials[[#This Row],[Units Sold]]*financials[[#This Row],[Sale Price]]</f>
        <v>288</v>
      </c>
      <c r="H2566" s="8">
        <f>IF(financials[[#This Row],[Discount Band]]="low",0.1,IF(financials[[#This Row],[Discount Band]]="medium",0.15,0.3))</f>
        <v>0.3</v>
      </c>
      <c r="I2566" s="8">
        <f>financials[[#This Row],[Gross Sales]]-financials[[#This Row],[Gross Sales]]*financials[[#This Row],[Discounts]]</f>
        <v>201.60000000000002</v>
      </c>
      <c r="J2566" s="8">
        <f>VLOOKUP(financials[[#This Row],[productid]],Products!$B$2:$H$10,4)</f>
        <v>16.8</v>
      </c>
      <c r="K2566" s="8">
        <f>financials[[#This Row],[Net Sales]]-financials[[#This Row],[COGS]]</f>
        <v>184.8</v>
      </c>
      <c r="L2566" s="15">
        <v>45007</v>
      </c>
      <c r="M2566" t="s">
        <v>697</v>
      </c>
    </row>
    <row r="2567" spans="1:13" x14ac:dyDescent="0.25">
      <c r="A2567" t="s">
        <v>89</v>
      </c>
      <c r="B2567" s="6" t="s">
        <v>84</v>
      </c>
      <c r="C2567" s="13">
        <v>103</v>
      </c>
      <c r="D2567" s="14" t="s">
        <v>83</v>
      </c>
      <c r="E2567">
        <v>16</v>
      </c>
      <c r="F2567" s="8">
        <f>VLOOKUP(financials[[#This Row],[productid]],Products!$B$2:$H$10,3)</f>
        <v>28</v>
      </c>
      <c r="G2567" s="8">
        <f>financials[[#This Row],[Units Sold]]*financials[[#This Row],[Sale Price]]</f>
        <v>448</v>
      </c>
      <c r="H2567" s="8">
        <f>IF(financials[[#This Row],[Discount Band]]="low",0.1,IF(financials[[#This Row],[Discount Band]]="medium",0.15,0.3))</f>
        <v>0.3</v>
      </c>
      <c r="I2567" s="8">
        <f>financials[[#This Row],[Gross Sales]]-financials[[#This Row],[Gross Sales]]*financials[[#This Row],[Discounts]]</f>
        <v>313.60000000000002</v>
      </c>
      <c r="J2567" s="8">
        <f>VLOOKUP(financials[[#This Row],[productid]],Products!$B$2:$H$10,4)</f>
        <v>15</v>
      </c>
      <c r="K2567" s="8">
        <f>financials[[#This Row],[Net Sales]]-financials[[#This Row],[COGS]]</f>
        <v>298.60000000000002</v>
      </c>
      <c r="L2567" s="15">
        <v>44601</v>
      </c>
      <c r="M2567" t="s">
        <v>690</v>
      </c>
    </row>
    <row r="2568" spans="1:13" x14ac:dyDescent="0.25">
      <c r="A2568" t="s">
        <v>86</v>
      </c>
      <c r="B2568" s="6" t="s">
        <v>159</v>
      </c>
      <c r="C2568" s="11">
        <v>105</v>
      </c>
      <c r="D2568" s="9" t="s">
        <v>83</v>
      </c>
      <c r="E2568">
        <v>9</v>
      </c>
      <c r="F2568" s="8">
        <f>VLOOKUP(financials[[#This Row],[productid]],Products!$B$2:$H$10,3)</f>
        <v>15</v>
      </c>
      <c r="G2568" s="8">
        <f>financials[[#This Row],[Units Sold]]*financials[[#This Row],[Sale Price]]</f>
        <v>135</v>
      </c>
      <c r="H2568" s="8">
        <f>IF(financials[[#This Row],[Discount Band]]="low",0.1,IF(financials[[#This Row],[Discount Band]]="medium",0.15,0.3))</f>
        <v>0.3</v>
      </c>
      <c r="I2568" s="8">
        <f>financials[[#This Row],[Gross Sales]]-financials[[#This Row],[Gross Sales]]*financials[[#This Row],[Discounts]]</f>
        <v>94.5</v>
      </c>
      <c r="J2568" s="8">
        <f>VLOOKUP(financials[[#This Row],[productid]],Products!$B$2:$H$10,4)</f>
        <v>10</v>
      </c>
      <c r="K2568" s="8">
        <f>financials[[#This Row],[Net Sales]]-financials[[#This Row],[COGS]]</f>
        <v>84.5</v>
      </c>
      <c r="L2568" s="15">
        <v>45578</v>
      </c>
      <c r="M2568" t="s">
        <v>690</v>
      </c>
    </row>
    <row r="2569" spans="1:13" x14ac:dyDescent="0.25">
      <c r="A2569" t="s">
        <v>88</v>
      </c>
      <c r="B2569" s="6" t="s">
        <v>644</v>
      </c>
      <c r="C2569" s="13">
        <v>105</v>
      </c>
      <c r="D2569" s="14" t="s">
        <v>90</v>
      </c>
      <c r="E2569">
        <v>9</v>
      </c>
      <c r="F2569" s="8">
        <f>VLOOKUP(financials[[#This Row],[productid]],Products!$B$2:$H$10,3)</f>
        <v>15</v>
      </c>
      <c r="G2569" s="8">
        <f>financials[[#This Row],[Units Sold]]*financials[[#This Row],[Sale Price]]</f>
        <v>135</v>
      </c>
      <c r="H2569" s="8">
        <f>IF(financials[[#This Row],[Discount Band]]="low",0.1,IF(financials[[#This Row],[Discount Band]]="medium",0.15,0.3))</f>
        <v>0.15</v>
      </c>
      <c r="I2569" s="8">
        <f>financials[[#This Row],[Gross Sales]]-financials[[#This Row],[Gross Sales]]*financials[[#This Row],[Discounts]]</f>
        <v>114.75</v>
      </c>
      <c r="J2569" s="8">
        <f>VLOOKUP(financials[[#This Row],[productid]],Products!$B$2:$H$10,4)</f>
        <v>10</v>
      </c>
      <c r="K2569" s="8">
        <f>financials[[#This Row],[Net Sales]]-financials[[#This Row],[COGS]]</f>
        <v>104.75</v>
      </c>
      <c r="L2569" s="15">
        <v>44339</v>
      </c>
      <c r="M2569" t="s">
        <v>691</v>
      </c>
    </row>
    <row r="2570" spans="1:13" x14ac:dyDescent="0.25">
      <c r="A2570" t="s">
        <v>88</v>
      </c>
      <c r="B2570" s="6" t="s">
        <v>545</v>
      </c>
      <c r="C2570" s="13">
        <v>102</v>
      </c>
      <c r="D2570" s="14" t="s">
        <v>91</v>
      </c>
      <c r="E2570">
        <v>8</v>
      </c>
      <c r="F2570" s="8">
        <f>VLOOKUP(financials[[#This Row],[productid]],Products!$B$2:$H$10,3)</f>
        <v>15</v>
      </c>
      <c r="G2570" s="8">
        <f>financials[[#This Row],[Units Sold]]*financials[[#This Row],[Sale Price]]</f>
        <v>120</v>
      </c>
      <c r="H2570" s="8">
        <f>IF(financials[[#This Row],[Discount Band]]="low",0.1,IF(financials[[#This Row],[Discount Band]]="medium",0.15,0.3))</f>
        <v>0.1</v>
      </c>
      <c r="I2570" s="8">
        <f>financials[[#This Row],[Gross Sales]]-financials[[#This Row],[Gross Sales]]*financials[[#This Row],[Discounts]]</f>
        <v>108</v>
      </c>
      <c r="J2570" s="8">
        <f>VLOOKUP(financials[[#This Row],[productid]],Products!$B$2:$H$10,4)</f>
        <v>13.95</v>
      </c>
      <c r="K2570" s="8">
        <f>financials[[#This Row],[Net Sales]]-financials[[#This Row],[COGS]]</f>
        <v>94.05</v>
      </c>
      <c r="L2570" s="15">
        <v>45105</v>
      </c>
      <c r="M2570" t="s">
        <v>691</v>
      </c>
    </row>
    <row r="2571" spans="1:13" x14ac:dyDescent="0.25">
      <c r="A2571" t="s">
        <v>85</v>
      </c>
      <c r="B2571" s="6" t="s">
        <v>124</v>
      </c>
      <c r="C2571" s="13">
        <v>109</v>
      </c>
      <c r="D2571" s="14" t="s">
        <v>90</v>
      </c>
      <c r="E2571">
        <v>16</v>
      </c>
      <c r="F2571" s="8">
        <f>VLOOKUP(financials[[#This Row],[productid]],Products!$B$2:$H$10,3)</f>
        <v>36</v>
      </c>
      <c r="G2571" s="8">
        <f>financials[[#This Row],[Units Sold]]*financials[[#This Row],[Sale Price]]</f>
        <v>576</v>
      </c>
      <c r="H2571" s="8">
        <f>IF(financials[[#This Row],[Discount Band]]="low",0.1,IF(financials[[#This Row],[Discount Band]]="medium",0.15,0.3))</f>
        <v>0.15</v>
      </c>
      <c r="I2571" s="8">
        <f>financials[[#This Row],[Gross Sales]]-financials[[#This Row],[Gross Sales]]*financials[[#This Row],[Discounts]]</f>
        <v>489.6</v>
      </c>
      <c r="J2571" s="8">
        <f>VLOOKUP(financials[[#This Row],[productid]],Products!$B$2:$H$10,4)</f>
        <v>16.8</v>
      </c>
      <c r="K2571" s="8">
        <f>financials[[#This Row],[Net Sales]]-financials[[#This Row],[COGS]]</f>
        <v>472.8</v>
      </c>
      <c r="L2571" s="15">
        <v>45135</v>
      </c>
      <c r="M2571" t="s">
        <v>691</v>
      </c>
    </row>
    <row r="2572" spans="1:13" x14ac:dyDescent="0.25">
      <c r="A2572" t="s">
        <v>89</v>
      </c>
      <c r="B2572" s="6" t="s">
        <v>84</v>
      </c>
      <c r="C2572" s="13">
        <v>103</v>
      </c>
      <c r="D2572" s="14" t="s">
        <v>92</v>
      </c>
      <c r="E2572">
        <v>20</v>
      </c>
      <c r="F2572" s="8">
        <f>VLOOKUP(financials[[#This Row],[productid]],Products!$B$2:$H$10,3)</f>
        <v>28</v>
      </c>
      <c r="G2572" s="8">
        <f>financials[[#This Row],[Units Sold]]*financials[[#This Row],[Sale Price]]</f>
        <v>560</v>
      </c>
      <c r="H2572" s="8">
        <f>IF(financials[[#This Row],[Discount Band]]="low",0.1,IF(financials[[#This Row],[Discount Band]]="medium",0.15,0.3))</f>
        <v>0.3</v>
      </c>
      <c r="I2572" s="8">
        <f>financials[[#This Row],[Gross Sales]]-financials[[#This Row],[Gross Sales]]*financials[[#This Row],[Discounts]]</f>
        <v>392</v>
      </c>
      <c r="J2572" s="8">
        <f>VLOOKUP(financials[[#This Row],[productid]],Products!$B$2:$H$10,4)</f>
        <v>15</v>
      </c>
      <c r="K2572" s="8">
        <f>financials[[#This Row],[Net Sales]]-financials[[#This Row],[COGS]]</f>
        <v>377</v>
      </c>
      <c r="L2572" s="15">
        <v>45320</v>
      </c>
      <c r="M2572" t="s">
        <v>700</v>
      </c>
    </row>
    <row r="2573" spans="1:13" x14ac:dyDescent="0.25">
      <c r="A2573" t="s">
        <v>87</v>
      </c>
      <c r="B2573" s="6" t="s">
        <v>158</v>
      </c>
      <c r="C2573" s="13">
        <v>105</v>
      </c>
      <c r="D2573" s="14" t="s">
        <v>83</v>
      </c>
      <c r="E2573">
        <v>11</v>
      </c>
      <c r="F2573" s="8">
        <f>VLOOKUP(financials[[#This Row],[productid]],Products!$B$2:$H$10,3)</f>
        <v>15</v>
      </c>
      <c r="G2573" s="8">
        <f>financials[[#This Row],[Units Sold]]*financials[[#This Row],[Sale Price]]</f>
        <v>165</v>
      </c>
      <c r="H2573" s="8">
        <f>IF(financials[[#This Row],[Discount Band]]="low",0.1,IF(financials[[#This Row],[Discount Band]]="medium",0.15,0.3))</f>
        <v>0.3</v>
      </c>
      <c r="I2573" s="8">
        <f>financials[[#This Row],[Gross Sales]]-financials[[#This Row],[Gross Sales]]*financials[[#This Row],[Discounts]]</f>
        <v>115.5</v>
      </c>
      <c r="J2573" s="8">
        <f>VLOOKUP(financials[[#This Row],[productid]],Products!$B$2:$H$10,4)</f>
        <v>10</v>
      </c>
      <c r="K2573" s="8">
        <f>financials[[#This Row],[Net Sales]]-financials[[#This Row],[COGS]]</f>
        <v>105.5</v>
      </c>
      <c r="L2573" s="15">
        <v>44705</v>
      </c>
      <c r="M2573" t="s">
        <v>696</v>
      </c>
    </row>
    <row r="2574" spans="1:13" x14ac:dyDescent="0.25">
      <c r="A2574" t="s">
        <v>86</v>
      </c>
      <c r="B2574" s="6" t="s">
        <v>84</v>
      </c>
      <c r="C2574" s="13">
        <v>103</v>
      </c>
      <c r="D2574" s="14" t="s">
        <v>83</v>
      </c>
      <c r="E2574">
        <v>14</v>
      </c>
      <c r="F2574" s="8">
        <f>VLOOKUP(financials[[#This Row],[productid]],Products!$B$2:$H$10,3)</f>
        <v>28</v>
      </c>
      <c r="G2574" s="8">
        <f>financials[[#This Row],[Units Sold]]*financials[[#This Row],[Sale Price]]</f>
        <v>392</v>
      </c>
      <c r="H2574" s="8">
        <f>IF(financials[[#This Row],[Discount Band]]="low",0.1,IF(financials[[#This Row],[Discount Band]]="medium",0.15,0.3))</f>
        <v>0.3</v>
      </c>
      <c r="I2574" s="8">
        <f>financials[[#This Row],[Gross Sales]]-financials[[#This Row],[Gross Sales]]*financials[[#This Row],[Discounts]]</f>
        <v>274.39999999999998</v>
      </c>
      <c r="J2574" s="8">
        <f>VLOOKUP(financials[[#This Row],[productid]],Products!$B$2:$H$10,4)</f>
        <v>15</v>
      </c>
      <c r="K2574" s="8">
        <f>financials[[#This Row],[Net Sales]]-financials[[#This Row],[COGS]]</f>
        <v>259.39999999999998</v>
      </c>
      <c r="L2574" s="15">
        <v>44256</v>
      </c>
      <c r="M2574" t="s">
        <v>700</v>
      </c>
    </row>
    <row r="2575" spans="1:13" x14ac:dyDescent="0.25">
      <c r="A2575" t="s">
        <v>87</v>
      </c>
      <c r="B2575" s="6" t="s">
        <v>93</v>
      </c>
      <c r="C2575" s="11">
        <v>109</v>
      </c>
      <c r="D2575" s="9" t="s">
        <v>91</v>
      </c>
      <c r="E2575">
        <v>8</v>
      </c>
      <c r="F2575" s="8">
        <f>VLOOKUP(financials[[#This Row],[productid]],Products!$B$2:$H$10,3)</f>
        <v>36</v>
      </c>
      <c r="G2575" s="8">
        <f>financials[[#This Row],[Units Sold]]*financials[[#This Row],[Sale Price]]</f>
        <v>288</v>
      </c>
      <c r="H2575" s="8">
        <f>IF(financials[[#This Row],[Discount Band]]="low",0.1,IF(financials[[#This Row],[Discount Band]]="medium",0.15,0.3))</f>
        <v>0.1</v>
      </c>
      <c r="I2575" s="8">
        <f>financials[[#This Row],[Gross Sales]]-financials[[#This Row],[Gross Sales]]*financials[[#This Row],[Discounts]]</f>
        <v>259.2</v>
      </c>
      <c r="J2575" s="8">
        <f>VLOOKUP(financials[[#This Row],[productid]],Products!$B$2:$H$10,4)</f>
        <v>16.8</v>
      </c>
      <c r="K2575" s="8">
        <f>financials[[#This Row],[Net Sales]]-financials[[#This Row],[COGS]]</f>
        <v>242.39999999999998</v>
      </c>
      <c r="L2575" s="15">
        <v>44341</v>
      </c>
      <c r="M2575" t="s">
        <v>690</v>
      </c>
    </row>
    <row r="2576" spans="1:13" x14ac:dyDescent="0.25">
      <c r="A2576" t="s">
        <v>87</v>
      </c>
      <c r="B2576" s="6" t="s">
        <v>167</v>
      </c>
      <c r="C2576" s="13">
        <v>102</v>
      </c>
      <c r="D2576" s="14" t="s">
        <v>90</v>
      </c>
      <c r="E2576">
        <v>5</v>
      </c>
      <c r="F2576" s="8">
        <f>VLOOKUP(financials[[#This Row],[productid]],Products!$B$2:$H$10,3)</f>
        <v>15</v>
      </c>
      <c r="G2576" s="8">
        <f>financials[[#This Row],[Units Sold]]*financials[[#This Row],[Sale Price]]</f>
        <v>75</v>
      </c>
      <c r="H2576" s="8">
        <f>IF(financials[[#This Row],[Discount Band]]="low",0.1,IF(financials[[#This Row],[Discount Band]]="medium",0.15,0.3))</f>
        <v>0.15</v>
      </c>
      <c r="I2576" s="8">
        <f>financials[[#This Row],[Gross Sales]]-financials[[#This Row],[Gross Sales]]*financials[[#This Row],[Discounts]]</f>
        <v>63.75</v>
      </c>
      <c r="J2576" s="8">
        <f>VLOOKUP(financials[[#This Row],[productid]],Products!$B$2:$H$10,4)</f>
        <v>13.95</v>
      </c>
      <c r="K2576" s="8">
        <f>financials[[#This Row],[Net Sales]]-financials[[#This Row],[COGS]]</f>
        <v>49.8</v>
      </c>
      <c r="L2576" s="15">
        <v>45116</v>
      </c>
      <c r="M2576" t="s">
        <v>697</v>
      </c>
    </row>
    <row r="2577" spans="1:13" x14ac:dyDescent="0.25">
      <c r="A2577" t="s">
        <v>89</v>
      </c>
      <c r="B2577" s="6" t="s">
        <v>84</v>
      </c>
      <c r="C2577" s="13">
        <v>102</v>
      </c>
      <c r="D2577" s="14" t="s">
        <v>91</v>
      </c>
      <c r="E2577">
        <v>18</v>
      </c>
      <c r="F2577" s="8">
        <f>VLOOKUP(financials[[#This Row],[productid]],Products!$B$2:$H$10,3)</f>
        <v>15</v>
      </c>
      <c r="G2577" s="8">
        <f>financials[[#This Row],[Units Sold]]*financials[[#This Row],[Sale Price]]</f>
        <v>270</v>
      </c>
      <c r="H2577" s="8">
        <f>IF(financials[[#This Row],[Discount Band]]="low",0.1,IF(financials[[#This Row],[Discount Band]]="medium",0.15,0.3))</f>
        <v>0.1</v>
      </c>
      <c r="I2577" s="8">
        <f>financials[[#This Row],[Gross Sales]]-financials[[#This Row],[Gross Sales]]*financials[[#This Row],[Discounts]]</f>
        <v>243</v>
      </c>
      <c r="J2577" s="8">
        <f>VLOOKUP(financials[[#This Row],[productid]],Products!$B$2:$H$10,4)</f>
        <v>13.95</v>
      </c>
      <c r="K2577" s="8">
        <f>financials[[#This Row],[Net Sales]]-financials[[#This Row],[COGS]]</f>
        <v>229.05</v>
      </c>
      <c r="L2577" s="15">
        <v>44801</v>
      </c>
      <c r="M2577" t="s">
        <v>700</v>
      </c>
    </row>
    <row r="2578" spans="1:13" x14ac:dyDescent="0.25">
      <c r="A2578" t="s">
        <v>85</v>
      </c>
      <c r="B2578" s="6" t="s">
        <v>159</v>
      </c>
      <c r="C2578" s="13">
        <v>104</v>
      </c>
      <c r="D2578" s="14" t="s">
        <v>91</v>
      </c>
      <c r="E2578">
        <v>16</v>
      </c>
      <c r="F2578" s="8">
        <f>VLOOKUP(financials[[#This Row],[productid]],Products!$B$2:$H$10,3)</f>
        <v>5.9</v>
      </c>
      <c r="G2578" s="8">
        <f>financials[[#This Row],[Units Sold]]*financials[[#This Row],[Sale Price]]</f>
        <v>94.4</v>
      </c>
      <c r="H2578" s="8">
        <f>IF(financials[[#This Row],[Discount Band]]="low",0.1,IF(financials[[#This Row],[Discount Band]]="medium",0.15,0.3))</f>
        <v>0.1</v>
      </c>
      <c r="I2578" s="8">
        <f>financials[[#This Row],[Gross Sales]]-financials[[#This Row],[Gross Sales]]*financials[[#This Row],[Discounts]]</f>
        <v>84.960000000000008</v>
      </c>
      <c r="J2578" s="8">
        <f>VLOOKUP(financials[[#This Row],[productid]],Products!$B$2:$H$10,4)</f>
        <v>2.9</v>
      </c>
      <c r="K2578" s="8">
        <f>financials[[#This Row],[Net Sales]]-financials[[#This Row],[COGS]]</f>
        <v>82.06</v>
      </c>
      <c r="L2578" s="15">
        <v>44058</v>
      </c>
      <c r="M2578" t="s">
        <v>690</v>
      </c>
    </row>
    <row r="2579" spans="1:13" x14ac:dyDescent="0.25">
      <c r="A2579" t="s">
        <v>89</v>
      </c>
      <c r="B2579" s="6" t="s">
        <v>84</v>
      </c>
      <c r="C2579" s="11">
        <v>108</v>
      </c>
      <c r="D2579" s="9" t="s">
        <v>83</v>
      </c>
      <c r="E2579">
        <v>5</v>
      </c>
      <c r="F2579" s="8">
        <f>VLOOKUP(financials[[#This Row],[productid]],Products!$B$2:$H$10,3)</f>
        <v>5.5</v>
      </c>
      <c r="G2579" s="8">
        <f>financials[[#This Row],[Units Sold]]*financials[[#This Row],[Sale Price]]</f>
        <v>27.5</v>
      </c>
      <c r="H2579" s="8">
        <f>IF(financials[[#This Row],[Discount Band]]="low",0.1,IF(financials[[#This Row],[Discount Band]]="medium",0.15,0.3))</f>
        <v>0.3</v>
      </c>
      <c r="I2579" s="8">
        <f>financials[[#This Row],[Gross Sales]]-financials[[#This Row],[Gross Sales]]*financials[[#This Row],[Discounts]]</f>
        <v>19.25</v>
      </c>
      <c r="J2579" s="8">
        <f>VLOOKUP(financials[[#This Row],[productid]],Products!$B$2:$H$10,4)</f>
        <v>3.99</v>
      </c>
      <c r="K2579" s="8">
        <f>financials[[#This Row],[Net Sales]]-financials[[#This Row],[COGS]]</f>
        <v>15.26</v>
      </c>
      <c r="L2579" s="15">
        <v>43967</v>
      </c>
      <c r="M2579" t="s">
        <v>696</v>
      </c>
    </row>
    <row r="2580" spans="1:13" x14ac:dyDescent="0.25">
      <c r="A2580" t="s">
        <v>86</v>
      </c>
      <c r="B2580" s="6" t="s">
        <v>84</v>
      </c>
      <c r="C2580" s="13">
        <v>104</v>
      </c>
      <c r="D2580" s="14" t="s">
        <v>83</v>
      </c>
      <c r="E2580">
        <v>5</v>
      </c>
      <c r="F2580" s="8">
        <f>VLOOKUP(financials[[#This Row],[productid]],Products!$B$2:$H$10,3)</f>
        <v>5.9</v>
      </c>
      <c r="G2580" s="8">
        <f>financials[[#This Row],[Units Sold]]*financials[[#This Row],[Sale Price]]</f>
        <v>29.5</v>
      </c>
      <c r="H2580" s="8">
        <f>IF(financials[[#This Row],[Discount Band]]="low",0.1,IF(financials[[#This Row],[Discount Band]]="medium",0.15,0.3))</f>
        <v>0.3</v>
      </c>
      <c r="I2580" s="8">
        <f>financials[[#This Row],[Gross Sales]]-financials[[#This Row],[Gross Sales]]*financials[[#This Row],[Discounts]]</f>
        <v>20.65</v>
      </c>
      <c r="J2580" s="8">
        <f>VLOOKUP(financials[[#This Row],[productid]],Products!$B$2:$H$10,4)</f>
        <v>2.9</v>
      </c>
      <c r="K2580" s="8">
        <f>financials[[#This Row],[Net Sales]]-financials[[#This Row],[COGS]]</f>
        <v>17.75</v>
      </c>
      <c r="L2580" s="15">
        <v>45328</v>
      </c>
      <c r="M2580" t="s">
        <v>696</v>
      </c>
    </row>
    <row r="2581" spans="1:13" x14ac:dyDescent="0.25">
      <c r="A2581" t="s">
        <v>89</v>
      </c>
      <c r="B2581" s="6" t="s">
        <v>84</v>
      </c>
      <c r="C2581" s="11">
        <v>109</v>
      </c>
      <c r="D2581" s="9" t="s">
        <v>83</v>
      </c>
      <c r="E2581">
        <v>9</v>
      </c>
      <c r="F2581" s="8">
        <f>VLOOKUP(financials[[#This Row],[productid]],Products!$B$2:$H$10,3)</f>
        <v>36</v>
      </c>
      <c r="G2581" s="8">
        <f>financials[[#This Row],[Units Sold]]*financials[[#This Row],[Sale Price]]</f>
        <v>324</v>
      </c>
      <c r="H2581" s="8">
        <f>IF(financials[[#This Row],[Discount Band]]="low",0.1,IF(financials[[#This Row],[Discount Band]]="medium",0.15,0.3))</f>
        <v>0.3</v>
      </c>
      <c r="I2581" s="8">
        <f>financials[[#This Row],[Gross Sales]]-financials[[#This Row],[Gross Sales]]*financials[[#This Row],[Discounts]]</f>
        <v>226.8</v>
      </c>
      <c r="J2581" s="8">
        <f>VLOOKUP(financials[[#This Row],[productid]],Products!$B$2:$H$10,4)</f>
        <v>16.8</v>
      </c>
      <c r="K2581" s="8">
        <f>financials[[#This Row],[Net Sales]]-financials[[#This Row],[COGS]]</f>
        <v>210</v>
      </c>
      <c r="L2581" s="15">
        <v>45520</v>
      </c>
      <c r="M2581" t="s">
        <v>690</v>
      </c>
    </row>
    <row r="2582" spans="1:13" x14ac:dyDescent="0.25">
      <c r="A2582" t="s">
        <v>86</v>
      </c>
      <c r="B2582" s="6" t="s">
        <v>159</v>
      </c>
      <c r="C2582" s="11">
        <v>104</v>
      </c>
      <c r="D2582" s="9" t="s">
        <v>83</v>
      </c>
      <c r="E2582">
        <v>18</v>
      </c>
      <c r="F2582" s="8">
        <f>VLOOKUP(financials[[#This Row],[productid]],Products!$B$2:$H$10,3)</f>
        <v>5.9</v>
      </c>
      <c r="G2582" s="8">
        <f>financials[[#This Row],[Units Sold]]*financials[[#This Row],[Sale Price]]</f>
        <v>106.2</v>
      </c>
      <c r="H2582" s="8">
        <f>IF(financials[[#This Row],[Discount Band]]="low",0.1,IF(financials[[#This Row],[Discount Band]]="medium",0.15,0.3))</f>
        <v>0.3</v>
      </c>
      <c r="I2582" s="8">
        <f>financials[[#This Row],[Gross Sales]]-financials[[#This Row],[Gross Sales]]*financials[[#This Row],[Discounts]]</f>
        <v>74.34</v>
      </c>
      <c r="J2582" s="8">
        <f>VLOOKUP(financials[[#This Row],[productid]],Products!$B$2:$H$10,4)</f>
        <v>2.9</v>
      </c>
      <c r="K2582" s="8">
        <f>financials[[#This Row],[Net Sales]]-financials[[#This Row],[COGS]]</f>
        <v>71.44</v>
      </c>
      <c r="L2582" s="15">
        <v>44526</v>
      </c>
      <c r="M2582" t="s">
        <v>696</v>
      </c>
    </row>
    <row r="2583" spans="1:13" x14ac:dyDescent="0.25">
      <c r="A2583" t="s">
        <v>87</v>
      </c>
      <c r="B2583" s="6" t="s">
        <v>240</v>
      </c>
      <c r="C2583" s="13">
        <v>103</v>
      </c>
      <c r="D2583" s="14" t="s">
        <v>91</v>
      </c>
      <c r="E2583">
        <v>18</v>
      </c>
      <c r="F2583" s="8">
        <f>VLOOKUP(financials[[#This Row],[productid]],Products!$B$2:$H$10,3)</f>
        <v>28</v>
      </c>
      <c r="G2583" s="8">
        <f>financials[[#This Row],[Units Sold]]*financials[[#This Row],[Sale Price]]</f>
        <v>504</v>
      </c>
      <c r="H2583" s="8">
        <f>IF(financials[[#This Row],[Discount Band]]="low",0.1,IF(financials[[#This Row],[Discount Band]]="medium",0.15,0.3))</f>
        <v>0.1</v>
      </c>
      <c r="I2583" s="8">
        <f>financials[[#This Row],[Gross Sales]]-financials[[#This Row],[Gross Sales]]*financials[[#This Row],[Discounts]]</f>
        <v>453.6</v>
      </c>
      <c r="J2583" s="8">
        <f>VLOOKUP(financials[[#This Row],[productid]],Products!$B$2:$H$10,4)</f>
        <v>15</v>
      </c>
      <c r="K2583" s="8">
        <f>financials[[#This Row],[Net Sales]]-financials[[#This Row],[COGS]]</f>
        <v>438.6</v>
      </c>
      <c r="L2583" s="15">
        <v>44970</v>
      </c>
      <c r="M2583" t="s">
        <v>700</v>
      </c>
    </row>
    <row r="2584" spans="1:13" x14ac:dyDescent="0.25">
      <c r="A2584" t="s">
        <v>86</v>
      </c>
      <c r="B2584" s="6" t="s">
        <v>644</v>
      </c>
      <c r="C2584" s="13">
        <v>106</v>
      </c>
      <c r="D2584" s="14" t="s">
        <v>92</v>
      </c>
      <c r="E2584">
        <v>20</v>
      </c>
      <c r="F2584" s="8">
        <f>VLOOKUP(financials[[#This Row],[productid]],Products!$B$2:$H$10,3)</f>
        <v>25</v>
      </c>
      <c r="G2584" s="8">
        <f>financials[[#This Row],[Units Sold]]*financials[[#This Row],[Sale Price]]</f>
        <v>500</v>
      </c>
      <c r="H2584" s="8">
        <f>IF(financials[[#This Row],[Discount Band]]="low",0.1,IF(financials[[#This Row],[Discount Band]]="medium",0.15,0.3))</f>
        <v>0.3</v>
      </c>
      <c r="I2584" s="8">
        <f>financials[[#This Row],[Gross Sales]]-financials[[#This Row],[Gross Sales]]*financials[[#This Row],[Discounts]]</f>
        <v>350</v>
      </c>
      <c r="J2584" s="8">
        <f>VLOOKUP(financials[[#This Row],[productid]],Products!$B$2:$H$10,4)</f>
        <v>9.1</v>
      </c>
      <c r="K2584" s="8">
        <f>financials[[#This Row],[Net Sales]]-financials[[#This Row],[COGS]]</f>
        <v>340.9</v>
      </c>
      <c r="L2584" s="15">
        <v>45159</v>
      </c>
      <c r="M2584" t="s">
        <v>691</v>
      </c>
    </row>
    <row r="2585" spans="1:13" x14ac:dyDescent="0.25">
      <c r="A2585" t="s">
        <v>85</v>
      </c>
      <c r="B2585" s="6" t="s">
        <v>159</v>
      </c>
      <c r="C2585" s="11">
        <v>101</v>
      </c>
      <c r="D2585" s="9" t="s">
        <v>90</v>
      </c>
      <c r="E2585">
        <v>8</v>
      </c>
      <c r="F2585" s="8">
        <f>VLOOKUP(financials[[#This Row],[productid]],Products!$B$2:$H$10,3)</f>
        <v>23</v>
      </c>
      <c r="G2585" s="8">
        <f>financials[[#This Row],[Units Sold]]*financials[[#This Row],[Sale Price]]</f>
        <v>184</v>
      </c>
      <c r="H2585" s="8">
        <f>IF(financials[[#This Row],[Discount Band]]="low",0.1,IF(financials[[#This Row],[Discount Band]]="medium",0.15,0.3))</f>
        <v>0.15</v>
      </c>
      <c r="I2585" s="8">
        <f>financials[[#This Row],[Gross Sales]]-financials[[#This Row],[Gross Sales]]*financials[[#This Row],[Discounts]]</f>
        <v>156.4</v>
      </c>
      <c r="J2585" s="8">
        <f>VLOOKUP(financials[[#This Row],[productid]],Products!$B$2:$H$10,4)</f>
        <v>9.9499999999999993</v>
      </c>
      <c r="K2585" s="8">
        <f>financials[[#This Row],[Net Sales]]-financials[[#This Row],[COGS]]</f>
        <v>146.45000000000002</v>
      </c>
      <c r="L2585" s="15">
        <v>44035</v>
      </c>
      <c r="M2585" t="s">
        <v>691</v>
      </c>
    </row>
    <row r="2586" spans="1:13" x14ac:dyDescent="0.25">
      <c r="A2586" t="s">
        <v>87</v>
      </c>
      <c r="B2586" s="6" t="s">
        <v>232</v>
      </c>
      <c r="C2586" s="11">
        <v>105</v>
      </c>
      <c r="D2586" s="9" t="s">
        <v>83</v>
      </c>
      <c r="E2586">
        <v>14</v>
      </c>
      <c r="F2586" s="8">
        <f>VLOOKUP(financials[[#This Row],[productid]],Products!$B$2:$H$10,3)</f>
        <v>15</v>
      </c>
      <c r="G2586" s="8">
        <f>financials[[#This Row],[Units Sold]]*financials[[#This Row],[Sale Price]]</f>
        <v>210</v>
      </c>
      <c r="H2586" s="8">
        <f>IF(financials[[#This Row],[Discount Band]]="low",0.1,IF(financials[[#This Row],[Discount Band]]="medium",0.15,0.3))</f>
        <v>0.3</v>
      </c>
      <c r="I2586" s="8">
        <f>financials[[#This Row],[Gross Sales]]-financials[[#This Row],[Gross Sales]]*financials[[#This Row],[Discounts]]</f>
        <v>147</v>
      </c>
      <c r="J2586" s="8">
        <f>VLOOKUP(financials[[#This Row],[productid]],Products!$B$2:$H$10,4)</f>
        <v>10</v>
      </c>
      <c r="K2586" s="8">
        <f>financials[[#This Row],[Net Sales]]-financials[[#This Row],[COGS]]</f>
        <v>137</v>
      </c>
      <c r="L2586" s="15">
        <v>45368</v>
      </c>
      <c r="M2586" t="s">
        <v>690</v>
      </c>
    </row>
    <row r="2587" spans="1:13" x14ac:dyDescent="0.25">
      <c r="A2587" t="s">
        <v>89</v>
      </c>
      <c r="B2587" s="6" t="s">
        <v>84</v>
      </c>
      <c r="C2587" s="13">
        <v>102</v>
      </c>
      <c r="D2587" s="14" t="s">
        <v>83</v>
      </c>
      <c r="E2587">
        <v>6</v>
      </c>
      <c r="F2587" s="8">
        <f>VLOOKUP(financials[[#This Row],[productid]],Products!$B$2:$H$10,3)</f>
        <v>15</v>
      </c>
      <c r="G2587" s="8">
        <f>financials[[#This Row],[Units Sold]]*financials[[#This Row],[Sale Price]]</f>
        <v>90</v>
      </c>
      <c r="H2587" s="8">
        <f>IF(financials[[#This Row],[Discount Band]]="low",0.1,IF(financials[[#This Row],[Discount Band]]="medium",0.15,0.3))</f>
        <v>0.3</v>
      </c>
      <c r="I2587" s="8">
        <f>financials[[#This Row],[Gross Sales]]-financials[[#This Row],[Gross Sales]]*financials[[#This Row],[Discounts]]</f>
        <v>63</v>
      </c>
      <c r="J2587" s="8">
        <f>VLOOKUP(financials[[#This Row],[productid]],Products!$B$2:$H$10,4)</f>
        <v>13.95</v>
      </c>
      <c r="K2587" s="8">
        <f>financials[[#This Row],[Net Sales]]-financials[[#This Row],[COGS]]</f>
        <v>49.05</v>
      </c>
      <c r="L2587" s="15">
        <v>44385</v>
      </c>
      <c r="M2587" t="s">
        <v>700</v>
      </c>
    </row>
    <row r="2588" spans="1:13" x14ac:dyDescent="0.25">
      <c r="A2588" t="s">
        <v>86</v>
      </c>
      <c r="B2588" s="6" t="s">
        <v>159</v>
      </c>
      <c r="C2588" s="13">
        <v>101</v>
      </c>
      <c r="D2588" s="14" t="s">
        <v>90</v>
      </c>
      <c r="E2588">
        <v>9</v>
      </c>
      <c r="F2588" s="8">
        <f>VLOOKUP(financials[[#This Row],[productid]],Products!$B$2:$H$10,3)</f>
        <v>23</v>
      </c>
      <c r="G2588" s="8">
        <f>financials[[#This Row],[Units Sold]]*financials[[#This Row],[Sale Price]]</f>
        <v>207</v>
      </c>
      <c r="H2588" s="8">
        <f>IF(financials[[#This Row],[Discount Band]]="low",0.1,IF(financials[[#This Row],[Discount Band]]="medium",0.15,0.3))</f>
        <v>0.15</v>
      </c>
      <c r="I2588" s="8">
        <f>financials[[#This Row],[Gross Sales]]-financials[[#This Row],[Gross Sales]]*financials[[#This Row],[Discounts]]</f>
        <v>175.95</v>
      </c>
      <c r="J2588" s="8">
        <f>VLOOKUP(financials[[#This Row],[productid]],Products!$B$2:$H$10,4)</f>
        <v>9.9499999999999993</v>
      </c>
      <c r="K2588" s="8">
        <f>financials[[#This Row],[Net Sales]]-financials[[#This Row],[COGS]]</f>
        <v>166</v>
      </c>
      <c r="L2588" s="15">
        <v>45074</v>
      </c>
      <c r="M2588" t="s">
        <v>700</v>
      </c>
    </row>
    <row r="2589" spans="1:13" x14ac:dyDescent="0.25">
      <c r="A2589" t="s">
        <v>86</v>
      </c>
      <c r="B2589" s="6" t="s">
        <v>84</v>
      </c>
      <c r="C2589" s="13">
        <v>105</v>
      </c>
      <c r="D2589" s="14" t="s">
        <v>90</v>
      </c>
      <c r="E2589">
        <v>11</v>
      </c>
      <c r="F2589" s="8">
        <f>VLOOKUP(financials[[#This Row],[productid]],Products!$B$2:$H$10,3)</f>
        <v>15</v>
      </c>
      <c r="G2589" s="8">
        <f>financials[[#This Row],[Units Sold]]*financials[[#This Row],[Sale Price]]</f>
        <v>165</v>
      </c>
      <c r="H2589" s="8">
        <f>IF(financials[[#This Row],[Discount Band]]="low",0.1,IF(financials[[#This Row],[Discount Band]]="medium",0.15,0.3))</f>
        <v>0.15</v>
      </c>
      <c r="I2589" s="8">
        <f>financials[[#This Row],[Gross Sales]]-financials[[#This Row],[Gross Sales]]*financials[[#This Row],[Discounts]]</f>
        <v>140.25</v>
      </c>
      <c r="J2589" s="8">
        <f>VLOOKUP(financials[[#This Row],[productid]],Products!$B$2:$H$10,4)</f>
        <v>10</v>
      </c>
      <c r="K2589" s="8">
        <f>financials[[#This Row],[Net Sales]]-financials[[#This Row],[COGS]]</f>
        <v>130.25</v>
      </c>
      <c r="L2589" s="15">
        <v>44169</v>
      </c>
      <c r="M2589" t="s">
        <v>690</v>
      </c>
    </row>
    <row r="2590" spans="1:13" x14ac:dyDescent="0.25">
      <c r="A2590" t="s">
        <v>87</v>
      </c>
      <c r="B2590" s="6" t="s">
        <v>274</v>
      </c>
      <c r="C2590" s="13">
        <v>103</v>
      </c>
      <c r="D2590" s="14" t="s">
        <v>91</v>
      </c>
      <c r="E2590">
        <v>11</v>
      </c>
      <c r="F2590" s="8">
        <f>VLOOKUP(financials[[#This Row],[productid]],Products!$B$2:$H$10,3)</f>
        <v>28</v>
      </c>
      <c r="G2590" s="8">
        <f>financials[[#This Row],[Units Sold]]*financials[[#This Row],[Sale Price]]</f>
        <v>308</v>
      </c>
      <c r="H2590" s="8">
        <f>IF(financials[[#This Row],[Discount Band]]="low",0.1,IF(financials[[#This Row],[Discount Band]]="medium",0.15,0.3))</f>
        <v>0.1</v>
      </c>
      <c r="I2590" s="8">
        <f>financials[[#This Row],[Gross Sales]]-financials[[#This Row],[Gross Sales]]*financials[[#This Row],[Discounts]]</f>
        <v>277.2</v>
      </c>
      <c r="J2590" s="8">
        <f>VLOOKUP(financials[[#This Row],[productid]],Products!$B$2:$H$10,4)</f>
        <v>15</v>
      </c>
      <c r="K2590" s="8">
        <f>financials[[#This Row],[Net Sales]]-financials[[#This Row],[COGS]]</f>
        <v>262.2</v>
      </c>
      <c r="L2590" s="15">
        <v>45331</v>
      </c>
      <c r="M2590" t="s">
        <v>696</v>
      </c>
    </row>
    <row r="2591" spans="1:13" x14ac:dyDescent="0.25">
      <c r="A2591" t="s">
        <v>87</v>
      </c>
      <c r="B2591" s="6" t="s">
        <v>240</v>
      </c>
      <c r="C2591" s="13">
        <v>106</v>
      </c>
      <c r="D2591" s="14" t="s">
        <v>83</v>
      </c>
      <c r="E2591">
        <v>19</v>
      </c>
      <c r="F2591" s="8">
        <f>VLOOKUP(financials[[#This Row],[productid]],Products!$B$2:$H$10,3)</f>
        <v>25</v>
      </c>
      <c r="G2591" s="8">
        <f>financials[[#This Row],[Units Sold]]*financials[[#This Row],[Sale Price]]</f>
        <v>475</v>
      </c>
      <c r="H2591" s="8">
        <f>IF(financials[[#This Row],[Discount Band]]="low",0.1,IF(financials[[#This Row],[Discount Band]]="medium",0.15,0.3))</f>
        <v>0.3</v>
      </c>
      <c r="I2591" s="8">
        <f>financials[[#This Row],[Gross Sales]]-financials[[#This Row],[Gross Sales]]*financials[[#This Row],[Discounts]]</f>
        <v>332.5</v>
      </c>
      <c r="J2591" s="8">
        <f>VLOOKUP(financials[[#This Row],[productid]],Products!$B$2:$H$10,4)</f>
        <v>9.1</v>
      </c>
      <c r="K2591" s="8">
        <f>financials[[#This Row],[Net Sales]]-financials[[#This Row],[COGS]]</f>
        <v>323.39999999999998</v>
      </c>
      <c r="L2591" s="15">
        <v>44114</v>
      </c>
      <c r="M2591" t="s">
        <v>696</v>
      </c>
    </row>
    <row r="2592" spans="1:13" x14ac:dyDescent="0.25">
      <c r="A2592" t="s">
        <v>85</v>
      </c>
      <c r="B2592" s="6" t="s">
        <v>124</v>
      </c>
      <c r="C2592" s="13">
        <v>103</v>
      </c>
      <c r="D2592" s="14" t="s">
        <v>83</v>
      </c>
      <c r="E2592">
        <v>10</v>
      </c>
      <c r="F2592" s="8">
        <f>VLOOKUP(financials[[#This Row],[productid]],Products!$B$2:$H$10,3)</f>
        <v>28</v>
      </c>
      <c r="G2592" s="8">
        <f>financials[[#This Row],[Units Sold]]*financials[[#This Row],[Sale Price]]</f>
        <v>280</v>
      </c>
      <c r="H2592" s="8">
        <f>IF(financials[[#This Row],[Discount Band]]="low",0.1,IF(financials[[#This Row],[Discount Band]]="medium",0.15,0.3))</f>
        <v>0.3</v>
      </c>
      <c r="I2592" s="8">
        <f>financials[[#This Row],[Gross Sales]]-financials[[#This Row],[Gross Sales]]*financials[[#This Row],[Discounts]]</f>
        <v>196</v>
      </c>
      <c r="J2592" s="8">
        <f>VLOOKUP(financials[[#This Row],[productid]],Products!$B$2:$H$10,4)</f>
        <v>15</v>
      </c>
      <c r="K2592" s="8">
        <f>financials[[#This Row],[Net Sales]]-financials[[#This Row],[COGS]]</f>
        <v>181</v>
      </c>
      <c r="L2592" s="15">
        <v>43912</v>
      </c>
      <c r="M2592" t="s">
        <v>700</v>
      </c>
    </row>
    <row r="2593" spans="1:13" x14ac:dyDescent="0.25">
      <c r="A2593" t="s">
        <v>86</v>
      </c>
      <c r="B2593" s="6" t="s">
        <v>84</v>
      </c>
      <c r="C2593" s="13">
        <v>105</v>
      </c>
      <c r="D2593" s="14" t="s">
        <v>90</v>
      </c>
      <c r="E2593">
        <v>12</v>
      </c>
      <c r="F2593" s="8">
        <f>VLOOKUP(financials[[#This Row],[productid]],Products!$B$2:$H$10,3)</f>
        <v>15</v>
      </c>
      <c r="G2593" s="8">
        <f>financials[[#This Row],[Units Sold]]*financials[[#This Row],[Sale Price]]</f>
        <v>180</v>
      </c>
      <c r="H2593" s="8">
        <f>IF(financials[[#This Row],[Discount Band]]="low",0.1,IF(financials[[#This Row],[Discount Band]]="medium",0.15,0.3))</f>
        <v>0.15</v>
      </c>
      <c r="I2593" s="8">
        <f>financials[[#This Row],[Gross Sales]]-financials[[#This Row],[Gross Sales]]*financials[[#This Row],[Discounts]]</f>
        <v>153</v>
      </c>
      <c r="J2593" s="8">
        <f>VLOOKUP(financials[[#This Row],[productid]],Products!$B$2:$H$10,4)</f>
        <v>10</v>
      </c>
      <c r="K2593" s="8">
        <f>financials[[#This Row],[Net Sales]]-financials[[#This Row],[COGS]]</f>
        <v>143</v>
      </c>
      <c r="L2593" s="15">
        <v>44916</v>
      </c>
      <c r="M2593" t="s">
        <v>690</v>
      </c>
    </row>
    <row r="2594" spans="1:13" x14ac:dyDescent="0.25">
      <c r="A2594" t="s">
        <v>89</v>
      </c>
      <c r="B2594" s="6" t="s">
        <v>84</v>
      </c>
      <c r="C2594" s="13">
        <v>102</v>
      </c>
      <c r="D2594" s="14" t="s">
        <v>83</v>
      </c>
      <c r="E2594">
        <v>14</v>
      </c>
      <c r="F2594" s="8">
        <f>VLOOKUP(financials[[#This Row],[productid]],Products!$B$2:$H$10,3)</f>
        <v>15</v>
      </c>
      <c r="G2594" s="8">
        <f>financials[[#This Row],[Units Sold]]*financials[[#This Row],[Sale Price]]</f>
        <v>210</v>
      </c>
      <c r="H2594" s="8">
        <f>IF(financials[[#This Row],[Discount Band]]="low",0.1,IF(financials[[#This Row],[Discount Band]]="medium",0.15,0.3))</f>
        <v>0.3</v>
      </c>
      <c r="I2594" s="8">
        <f>financials[[#This Row],[Gross Sales]]-financials[[#This Row],[Gross Sales]]*financials[[#This Row],[Discounts]]</f>
        <v>147</v>
      </c>
      <c r="J2594" s="8">
        <f>VLOOKUP(financials[[#This Row],[productid]],Products!$B$2:$H$10,4)</f>
        <v>13.95</v>
      </c>
      <c r="K2594" s="8">
        <f>financials[[#This Row],[Net Sales]]-financials[[#This Row],[COGS]]</f>
        <v>133.05000000000001</v>
      </c>
      <c r="L2594" s="15">
        <v>45437</v>
      </c>
      <c r="M2594" t="s">
        <v>690</v>
      </c>
    </row>
    <row r="2595" spans="1:13" x14ac:dyDescent="0.25">
      <c r="A2595" t="s">
        <v>85</v>
      </c>
      <c r="B2595" s="6" t="s">
        <v>159</v>
      </c>
      <c r="C2595" s="13">
        <v>102</v>
      </c>
      <c r="D2595" s="14" t="s">
        <v>91</v>
      </c>
      <c r="E2595">
        <v>18</v>
      </c>
      <c r="F2595" s="8">
        <f>VLOOKUP(financials[[#This Row],[productid]],Products!$B$2:$H$10,3)</f>
        <v>15</v>
      </c>
      <c r="G2595" s="8">
        <f>financials[[#This Row],[Units Sold]]*financials[[#This Row],[Sale Price]]</f>
        <v>270</v>
      </c>
      <c r="H2595" s="8">
        <f>IF(financials[[#This Row],[Discount Band]]="low",0.1,IF(financials[[#This Row],[Discount Band]]="medium",0.15,0.3))</f>
        <v>0.1</v>
      </c>
      <c r="I2595" s="8">
        <f>financials[[#This Row],[Gross Sales]]-financials[[#This Row],[Gross Sales]]*financials[[#This Row],[Discounts]]</f>
        <v>243</v>
      </c>
      <c r="J2595" s="8">
        <f>VLOOKUP(financials[[#This Row],[productid]],Products!$B$2:$H$10,4)</f>
        <v>13.95</v>
      </c>
      <c r="K2595" s="8">
        <f>financials[[#This Row],[Net Sales]]-financials[[#This Row],[COGS]]</f>
        <v>229.05</v>
      </c>
      <c r="L2595" s="15">
        <v>44554</v>
      </c>
      <c r="M2595" t="s">
        <v>691</v>
      </c>
    </row>
    <row r="2596" spans="1:13" x14ac:dyDescent="0.25">
      <c r="A2596" t="s">
        <v>89</v>
      </c>
      <c r="B2596" s="6" t="s">
        <v>84</v>
      </c>
      <c r="C2596" s="13">
        <v>106</v>
      </c>
      <c r="D2596" s="14" t="s">
        <v>90</v>
      </c>
      <c r="E2596">
        <v>6</v>
      </c>
      <c r="F2596" s="8">
        <f>VLOOKUP(financials[[#This Row],[productid]],Products!$B$2:$H$10,3)</f>
        <v>25</v>
      </c>
      <c r="G2596" s="8">
        <f>financials[[#This Row],[Units Sold]]*financials[[#This Row],[Sale Price]]</f>
        <v>150</v>
      </c>
      <c r="H2596" s="8">
        <f>IF(financials[[#This Row],[Discount Band]]="low",0.1,IF(financials[[#This Row],[Discount Band]]="medium",0.15,0.3))</f>
        <v>0.15</v>
      </c>
      <c r="I2596" s="8">
        <f>financials[[#This Row],[Gross Sales]]-financials[[#This Row],[Gross Sales]]*financials[[#This Row],[Discounts]]</f>
        <v>127.5</v>
      </c>
      <c r="J2596" s="8">
        <f>VLOOKUP(financials[[#This Row],[productid]],Products!$B$2:$H$10,4)</f>
        <v>9.1</v>
      </c>
      <c r="K2596" s="8">
        <f>financials[[#This Row],[Net Sales]]-financials[[#This Row],[COGS]]</f>
        <v>118.4</v>
      </c>
      <c r="L2596" s="15">
        <v>45300</v>
      </c>
      <c r="M2596" t="s">
        <v>696</v>
      </c>
    </row>
    <row r="2597" spans="1:13" x14ac:dyDescent="0.25">
      <c r="A2597" t="s">
        <v>87</v>
      </c>
      <c r="B2597" s="6" t="s">
        <v>268</v>
      </c>
      <c r="C2597" s="13">
        <v>107</v>
      </c>
      <c r="D2597" s="14" t="s">
        <v>91</v>
      </c>
      <c r="E2597">
        <v>6</v>
      </c>
      <c r="F2597" s="8">
        <f>VLOOKUP(financials[[#This Row],[productid]],Products!$B$2:$H$10,3)</f>
        <v>15</v>
      </c>
      <c r="G2597" s="8">
        <f>financials[[#This Row],[Units Sold]]*financials[[#This Row],[Sale Price]]</f>
        <v>90</v>
      </c>
      <c r="H2597" s="8">
        <f>IF(financials[[#This Row],[Discount Band]]="low",0.1,IF(financials[[#This Row],[Discount Band]]="medium",0.15,0.3))</f>
        <v>0.1</v>
      </c>
      <c r="I2597" s="8">
        <f>financials[[#This Row],[Gross Sales]]-financials[[#This Row],[Gross Sales]]*financials[[#This Row],[Discounts]]</f>
        <v>81</v>
      </c>
      <c r="J2597" s="8">
        <f>VLOOKUP(financials[[#This Row],[productid]],Products!$B$2:$H$10,4)</f>
        <v>5.5</v>
      </c>
      <c r="K2597" s="8">
        <f>financials[[#This Row],[Net Sales]]-financials[[#This Row],[COGS]]</f>
        <v>75.5</v>
      </c>
      <c r="L2597" s="15">
        <v>44501</v>
      </c>
      <c r="M2597" t="s">
        <v>696</v>
      </c>
    </row>
    <row r="2598" spans="1:13" x14ac:dyDescent="0.25">
      <c r="A2598" t="s">
        <v>85</v>
      </c>
      <c r="B2598" s="6" t="s">
        <v>159</v>
      </c>
      <c r="C2598" s="11">
        <v>104</v>
      </c>
      <c r="D2598" s="9" t="s">
        <v>91</v>
      </c>
      <c r="E2598">
        <v>20</v>
      </c>
      <c r="F2598" s="8">
        <f>VLOOKUP(financials[[#This Row],[productid]],Products!$B$2:$H$10,3)</f>
        <v>5.9</v>
      </c>
      <c r="G2598" s="8">
        <f>financials[[#This Row],[Units Sold]]*financials[[#This Row],[Sale Price]]</f>
        <v>118</v>
      </c>
      <c r="H2598" s="8">
        <f>IF(financials[[#This Row],[Discount Band]]="low",0.1,IF(financials[[#This Row],[Discount Band]]="medium",0.15,0.3))</f>
        <v>0.1</v>
      </c>
      <c r="I2598" s="8">
        <f>financials[[#This Row],[Gross Sales]]-financials[[#This Row],[Gross Sales]]*financials[[#This Row],[Discounts]]</f>
        <v>106.2</v>
      </c>
      <c r="J2598" s="8">
        <f>VLOOKUP(financials[[#This Row],[productid]],Products!$B$2:$H$10,4)</f>
        <v>2.9</v>
      </c>
      <c r="K2598" s="8">
        <f>financials[[#This Row],[Net Sales]]-financials[[#This Row],[COGS]]</f>
        <v>103.3</v>
      </c>
      <c r="L2598" s="15">
        <v>44994</v>
      </c>
      <c r="M2598" t="s">
        <v>690</v>
      </c>
    </row>
    <row r="2599" spans="1:13" x14ac:dyDescent="0.25">
      <c r="A2599" t="s">
        <v>86</v>
      </c>
      <c r="B2599" s="6" t="s">
        <v>124</v>
      </c>
      <c r="C2599" s="13">
        <v>105</v>
      </c>
      <c r="D2599" s="14" t="s">
        <v>90</v>
      </c>
      <c r="E2599">
        <v>12</v>
      </c>
      <c r="F2599" s="8">
        <f>VLOOKUP(financials[[#This Row],[productid]],Products!$B$2:$H$10,3)</f>
        <v>15</v>
      </c>
      <c r="G2599" s="8">
        <f>financials[[#This Row],[Units Sold]]*financials[[#This Row],[Sale Price]]</f>
        <v>180</v>
      </c>
      <c r="H2599" s="8">
        <f>IF(financials[[#This Row],[Discount Band]]="low",0.1,IF(financials[[#This Row],[Discount Band]]="medium",0.15,0.3))</f>
        <v>0.15</v>
      </c>
      <c r="I2599" s="8">
        <f>financials[[#This Row],[Gross Sales]]-financials[[#This Row],[Gross Sales]]*financials[[#This Row],[Discounts]]</f>
        <v>153</v>
      </c>
      <c r="J2599" s="8">
        <f>VLOOKUP(financials[[#This Row],[productid]],Products!$B$2:$H$10,4)</f>
        <v>10</v>
      </c>
      <c r="K2599" s="8">
        <f>financials[[#This Row],[Net Sales]]-financials[[#This Row],[COGS]]</f>
        <v>143</v>
      </c>
      <c r="L2599" s="15">
        <v>44566</v>
      </c>
      <c r="M2599" t="s">
        <v>697</v>
      </c>
    </row>
    <row r="2600" spans="1:13" x14ac:dyDescent="0.25">
      <c r="A2600" t="s">
        <v>89</v>
      </c>
      <c r="B2600" s="6" t="s">
        <v>124</v>
      </c>
      <c r="C2600" s="13">
        <v>104</v>
      </c>
      <c r="D2600" s="14" t="s">
        <v>91</v>
      </c>
      <c r="E2600">
        <v>6</v>
      </c>
      <c r="F2600" s="8">
        <f>VLOOKUP(financials[[#This Row],[productid]],Products!$B$2:$H$10,3)</f>
        <v>5.9</v>
      </c>
      <c r="G2600" s="8">
        <f>financials[[#This Row],[Units Sold]]*financials[[#This Row],[Sale Price]]</f>
        <v>35.400000000000006</v>
      </c>
      <c r="H2600" s="8">
        <f>IF(financials[[#This Row],[Discount Band]]="low",0.1,IF(financials[[#This Row],[Discount Band]]="medium",0.15,0.3))</f>
        <v>0.1</v>
      </c>
      <c r="I2600" s="8">
        <f>financials[[#This Row],[Gross Sales]]-financials[[#This Row],[Gross Sales]]*financials[[#This Row],[Discounts]]</f>
        <v>31.860000000000007</v>
      </c>
      <c r="J2600" s="8">
        <f>VLOOKUP(financials[[#This Row],[productid]],Products!$B$2:$H$10,4)</f>
        <v>2.9</v>
      </c>
      <c r="K2600" s="8">
        <f>financials[[#This Row],[Net Sales]]-financials[[#This Row],[COGS]]</f>
        <v>28.960000000000008</v>
      </c>
      <c r="L2600" s="15">
        <v>45069</v>
      </c>
      <c r="M2600" t="s">
        <v>696</v>
      </c>
    </row>
    <row r="2601" spans="1:13" x14ac:dyDescent="0.25">
      <c r="A2601" t="s">
        <v>89</v>
      </c>
      <c r="B2601" s="6" t="s">
        <v>84</v>
      </c>
      <c r="C2601" s="13">
        <v>109</v>
      </c>
      <c r="D2601" s="14" t="s">
        <v>90</v>
      </c>
      <c r="E2601">
        <v>15</v>
      </c>
      <c r="F2601" s="8">
        <f>VLOOKUP(financials[[#This Row],[productid]],Products!$B$2:$H$10,3)</f>
        <v>36</v>
      </c>
      <c r="G2601" s="8">
        <f>financials[[#This Row],[Units Sold]]*financials[[#This Row],[Sale Price]]</f>
        <v>540</v>
      </c>
      <c r="H2601" s="8">
        <f>IF(financials[[#This Row],[Discount Band]]="low",0.1,IF(financials[[#This Row],[Discount Band]]="medium",0.15,0.3))</f>
        <v>0.15</v>
      </c>
      <c r="I2601" s="8">
        <f>financials[[#This Row],[Gross Sales]]-financials[[#This Row],[Gross Sales]]*financials[[#This Row],[Discounts]]</f>
        <v>459</v>
      </c>
      <c r="J2601" s="8">
        <f>VLOOKUP(financials[[#This Row],[productid]],Products!$B$2:$H$10,4)</f>
        <v>16.8</v>
      </c>
      <c r="K2601" s="8">
        <f>financials[[#This Row],[Net Sales]]-financials[[#This Row],[COGS]]</f>
        <v>442.2</v>
      </c>
      <c r="L2601" s="15">
        <v>44997</v>
      </c>
      <c r="M2601" t="s">
        <v>690</v>
      </c>
    </row>
    <row r="2602" spans="1:13" x14ac:dyDescent="0.25">
      <c r="A2602" t="s">
        <v>87</v>
      </c>
      <c r="B2602" s="6" t="s">
        <v>274</v>
      </c>
      <c r="C2602" s="13">
        <v>109</v>
      </c>
      <c r="D2602" s="14" t="s">
        <v>90</v>
      </c>
      <c r="E2602">
        <v>13</v>
      </c>
      <c r="F2602" s="8">
        <f>VLOOKUP(financials[[#This Row],[productid]],Products!$B$2:$H$10,3)</f>
        <v>36</v>
      </c>
      <c r="G2602" s="8">
        <f>financials[[#This Row],[Units Sold]]*financials[[#This Row],[Sale Price]]</f>
        <v>468</v>
      </c>
      <c r="H2602" s="8">
        <f>IF(financials[[#This Row],[Discount Band]]="low",0.1,IF(financials[[#This Row],[Discount Band]]="medium",0.15,0.3))</f>
        <v>0.15</v>
      </c>
      <c r="I2602" s="8">
        <f>financials[[#This Row],[Gross Sales]]-financials[[#This Row],[Gross Sales]]*financials[[#This Row],[Discounts]]</f>
        <v>397.8</v>
      </c>
      <c r="J2602" s="8">
        <f>VLOOKUP(financials[[#This Row],[productid]],Products!$B$2:$H$10,4)</f>
        <v>16.8</v>
      </c>
      <c r="K2602" s="8">
        <f>financials[[#This Row],[Net Sales]]-financials[[#This Row],[COGS]]</f>
        <v>381</v>
      </c>
      <c r="L2602" s="15">
        <v>44525</v>
      </c>
      <c r="M2602" t="s">
        <v>691</v>
      </c>
    </row>
    <row r="2603" spans="1:13" x14ac:dyDescent="0.25">
      <c r="A2603" t="s">
        <v>87</v>
      </c>
      <c r="B2603" s="6" t="s">
        <v>268</v>
      </c>
      <c r="C2603" s="13">
        <v>105</v>
      </c>
      <c r="D2603" s="14" t="s">
        <v>83</v>
      </c>
      <c r="E2603">
        <v>11</v>
      </c>
      <c r="F2603" s="8">
        <f>VLOOKUP(financials[[#This Row],[productid]],Products!$B$2:$H$10,3)</f>
        <v>15</v>
      </c>
      <c r="G2603" s="8">
        <f>financials[[#This Row],[Units Sold]]*financials[[#This Row],[Sale Price]]</f>
        <v>165</v>
      </c>
      <c r="H2603" s="8">
        <f>IF(financials[[#This Row],[Discount Band]]="low",0.1,IF(financials[[#This Row],[Discount Band]]="medium",0.15,0.3))</f>
        <v>0.3</v>
      </c>
      <c r="I2603" s="8">
        <f>financials[[#This Row],[Gross Sales]]-financials[[#This Row],[Gross Sales]]*financials[[#This Row],[Discounts]]</f>
        <v>115.5</v>
      </c>
      <c r="J2603" s="8">
        <f>VLOOKUP(financials[[#This Row],[productid]],Products!$B$2:$H$10,4)</f>
        <v>10</v>
      </c>
      <c r="K2603" s="8">
        <f>financials[[#This Row],[Net Sales]]-financials[[#This Row],[COGS]]</f>
        <v>105.5</v>
      </c>
      <c r="L2603" s="15">
        <v>45621</v>
      </c>
      <c r="M2603" t="s">
        <v>691</v>
      </c>
    </row>
    <row r="2604" spans="1:13" x14ac:dyDescent="0.25">
      <c r="A2604" t="s">
        <v>87</v>
      </c>
      <c r="B2604" s="6" t="s">
        <v>645</v>
      </c>
      <c r="C2604" s="13">
        <v>109</v>
      </c>
      <c r="D2604" s="14" t="s">
        <v>91</v>
      </c>
      <c r="E2604">
        <v>12</v>
      </c>
      <c r="F2604" s="8">
        <f>VLOOKUP(financials[[#This Row],[productid]],Products!$B$2:$H$10,3)</f>
        <v>36</v>
      </c>
      <c r="G2604" s="8">
        <f>financials[[#This Row],[Units Sold]]*financials[[#This Row],[Sale Price]]</f>
        <v>432</v>
      </c>
      <c r="H2604" s="8">
        <f>IF(financials[[#This Row],[Discount Band]]="low",0.1,IF(financials[[#This Row],[Discount Band]]="medium",0.15,0.3))</f>
        <v>0.1</v>
      </c>
      <c r="I2604" s="8">
        <f>financials[[#This Row],[Gross Sales]]-financials[[#This Row],[Gross Sales]]*financials[[#This Row],[Discounts]]</f>
        <v>388.8</v>
      </c>
      <c r="J2604" s="8">
        <f>VLOOKUP(financials[[#This Row],[productid]],Products!$B$2:$H$10,4)</f>
        <v>16.8</v>
      </c>
      <c r="K2604" s="8">
        <f>financials[[#This Row],[Net Sales]]-financials[[#This Row],[COGS]]</f>
        <v>372</v>
      </c>
      <c r="L2604" s="15">
        <v>44826</v>
      </c>
      <c r="M2604" t="s">
        <v>696</v>
      </c>
    </row>
    <row r="2605" spans="1:13" x14ac:dyDescent="0.25">
      <c r="A2605" t="s">
        <v>89</v>
      </c>
      <c r="B2605" s="6" t="s">
        <v>84</v>
      </c>
      <c r="C2605" s="13">
        <v>101</v>
      </c>
      <c r="D2605" s="14" t="s">
        <v>90</v>
      </c>
      <c r="E2605">
        <v>11</v>
      </c>
      <c r="F2605" s="8">
        <f>VLOOKUP(financials[[#This Row],[productid]],Products!$B$2:$H$10,3)</f>
        <v>23</v>
      </c>
      <c r="G2605" s="8">
        <f>financials[[#This Row],[Units Sold]]*financials[[#This Row],[Sale Price]]</f>
        <v>253</v>
      </c>
      <c r="H2605" s="8">
        <f>IF(financials[[#This Row],[Discount Band]]="low",0.1,IF(financials[[#This Row],[Discount Band]]="medium",0.15,0.3))</f>
        <v>0.15</v>
      </c>
      <c r="I2605" s="8">
        <f>financials[[#This Row],[Gross Sales]]-financials[[#This Row],[Gross Sales]]*financials[[#This Row],[Discounts]]</f>
        <v>215.05</v>
      </c>
      <c r="J2605" s="8">
        <f>VLOOKUP(financials[[#This Row],[productid]],Products!$B$2:$H$10,4)</f>
        <v>9.9499999999999993</v>
      </c>
      <c r="K2605" s="8">
        <f>financials[[#This Row],[Net Sales]]-financials[[#This Row],[COGS]]</f>
        <v>205.10000000000002</v>
      </c>
      <c r="L2605" s="15">
        <v>43832</v>
      </c>
      <c r="M2605" t="s">
        <v>691</v>
      </c>
    </row>
    <row r="2606" spans="1:13" x14ac:dyDescent="0.25">
      <c r="A2606" t="s">
        <v>89</v>
      </c>
      <c r="B2606" s="6" t="s">
        <v>84</v>
      </c>
      <c r="C2606" s="13">
        <v>106</v>
      </c>
      <c r="D2606" s="14" t="s">
        <v>91</v>
      </c>
      <c r="E2606">
        <v>14</v>
      </c>
      <c r="F2606" s="8">
        <f>VLOOKUP(financials[[#This Row],[productid]],Products!$B$2:$H$10,3)</f>
        <v>25</v>
      </c>
      <c r="G2606" s="8">
        <f>financials[[#This Row],[Units Sold]]*financials[[#This Row],[Sale Price]]</f>
        <v>350</v>
      </c>
      <c r="H2606" s="8">
        <f>IF(financials[[#This Row],[Discount Band]]="low",0.1,IF(financials[[#This Row],[Discount Band]]="medium",0.15,0.3))</f>
        <v>0.1</v>
      </c>
      <c r="I2606" s="8">
        <f>financials[[#This Row],[Gross Sales]]-financials[[#This Row],[Gross Sales]]*financials[[#This Row],[Discounts]]</f>
        <v>315</v>
      </c>
      <c r="J2606" s="8">
        <f>VLOOKUP(financials[[#This Row],[productid]],Products!$B$2:$H$10,4)</f>
        <v>9.1</v>
      </c>
      <c r="K2606" s="8">
        <f>financials[[#This Row],[Net Sales]]-financials[[#This Row],[COGS]]</f>
        <v>305.89999999999998</v>
      </c>
      <c r="L2606" s="15">
        <v>44248</v>
      </c>
      <c r="M2606" t="s">
        <v>691</v>
      </c>
    </row>
    <row r="2607" spans="1:13" x14ac:dyDescent="0.25">
      <c r="A2607" t="s">
        <v>87</v>
      </c>
      <c r="B2607" s="6" t="s">
        <v>268</v>
      </c>
      <c r="C2607" s="13">
        <v>105</v>
      </c>
      <c r="D2607" s="14" t="s">
        <v>83</v>
      </c>
      <c r="E2607">
        <v>15</v>
      </c>
      <c r="F2607" s="8">
        <f>VLOOKUP(financials[[#This Row],[productid]],Products!$B$2:$H$10,3)</f>
        <v>15</v>
      </c>
      <c r="G2607" s="8">
        <f>financials[[#This Row],[Units Sold]]*financials[[#This Row],[Sale Price]]</f>
        <v>225</v>
      </c>
      <c r="H2607" s="8">
        <f>IF(financials[[#This Row],[Discount Band]]="low",0.1,IF(financials[[#This Row],[Discount Band]]="medium",0.15,0.3))</f>
        <v>0.3</v>
      </c>
      <c r="I2607" s="8">
        <f>financials[[#This Row],[Gross Sales]]-financials[[#This Row],[Gross Sales]]*financials[[#This Row],[Discounts]]</f>
        <v>157.5</v>
      </c>
      <c r="J2607" s="8">
        <f>VLOOKUP(financials[[#This Row],[productid]],Products!$B$2:$H$10,4)</f>
        <v>10</v>
      </c>
      <c r="K2607" s="8">
        <f>financials[[#This Row],[Net Sales]]-financials[[#This Row],[COGS]]</f>
        <v>147.5</v>
      </c>
      <c r="L2607" s="15">
        <v>45568</v>
      </c>
      <c r="M2607" t="s">
        <v>691</v>
      </c>
    </row>
    <row r="2608" spans="1:13" x14ac:dyDescent="0.25">
      <c r="A2608" t="s">
        <v>89</v>
      </c>
      <c r="B2608" s="6" t="s">
        <v>124</v>
      </c>
      <c r="C2608" s="13">
        <v>103</v>
      </c>
      <c r="D2608" s="14" t="s">
        <v>83</v>
      </c>
      <c r="E2608">
        <v>11</v>
      </c>
      <c r="F2608" s="8">
        <f>VLOOKUP(financials[[#This Row],[productid]],Products!$B$2:$H$10,3)</f>
        <v>28</v>
      </c>
      <c r="G2608" s="8">
        <f>financials[[#This Row],[Units Sold]]*financials[[#This Row],[Sale Price]]</f>
        <v>308</v>
      </c>
      <c r="H2608" s="8">
        <f>IF(financials[[#This Row],[Discount Band]]="low",0.1,IF(financials[[#This Row],[Discount Band]]="medium",0.15,0.3))</f>
        <v>0.3</v>
      </c>
      <c r="I2608" s="8">
        <f>financials[[#This Row],[Gross Sales]]-financials[[#This Row],[Gross Sales]]*financials[[#This Row],[Discounts]]</f>
        <v>215.60000000000002</v>
      </c>
      <c r="J2608" s="8">
        <f>VLOOKUP(financials[[#This Row],[productid]],Products!$B$2:$H$10,4)</f>
        <v>15</v>
      </c>
      <c r="K2608" s="8">
        <f>financials[[#This Row],[Net Sales]]-financials[[#This Row],[COGS]]</f>
        <v>200.60000000000002</v>
      </c>
      <c r="L2608" s="15">
        <v>44532</v>
      </c>
      <c r="M2608" t="s">
        <v>696</v>
      </c>
    </row>
    <row r="2609" spans="1:13" x14ac:dyDescent="0.25">
      <c r="A2609" t="s">
        <v>87</v>
      </c>
      <c r="B2609" s="6" t="s">
        <v>96</v>
      </c>
      <c r="C2609" s="13">
        <v>102</v>
      </c>
      <c r="D2609" s="14" t="s">
        <v>83</v>
      </c>
      <c r="E2609">
        <v>13</v>
      </c>
      <c r="F2609" s="8">
        <f>VLOOKUP(financials[[#This Row],[productid]],Products!$B$2:$H$10,3)</f>
        <v>15</v>
      </c>
      <c r="G2609" s="8">
        <f>financials[[#This Row],[Units Sold]]*financials[[#This Row],[Sale Price]]</f>
        <v>195</v>
      </c>
      <c r="H2609" s="8">
        <f>IF(financials[[#This Row],[Discount Band]]="low",0.1,IF(financials[[#This Row],[Discount Band]]="medium",0.15,0.3))</f>
        <v>0.3</v>
      </c>
      <c r="I2609" s="8">
        <f>financials[[#This Row],[Gross Sales]]-financials[[#This Row],[Gross Sales]]*financials[[#This Row],[Discounts]]</f>
        <v>136.5</v>
      </c>
      <c r="J2609" s="8">
        <f>VLOOKUP(financials[[#This Row],[productid]],Products!$B$2:$H$10,4)</f>
        <v>13.95</v>
      </c>
      <c r="K2609" s="8">
        <f>financials[[#This Row],[Net Sales]]-financials[[#This Row],[COGS]]</f>
        <v>122.55</v>
      </c>
      <c r="L2609" s="15">
        <v>45368</v>
      </c>
      <c r="M2609" t="s">
        <v>690</v>
      </c>
    </row>
    <row r="2610" spans="1:13" x14ac:dyDescent="0.25">
      <c r="A2610" t="s">
        <v>87</v>
      </c>
      <c r="B2610" s="6" t="s">
        <v>96</v>
      </c>
      <c r="C2610" s="13">
        <v>109</v>
      </c>
      <c r="D2610" s="14" t="s">
        <v>83</v>
      </c>
      <c r="E2610">
        <v>13</v>
      </c>
      <c r="F2610" s="8">
        <f>VLOOKUP(financials[[#This Row],[productid]],Products!$B$2:$H$10,3)</f>
        <v>36</v>
      </c>
      <c r="G2610" s="8">
        <f>financials[[#This Row],[Units Sold]]*financials[[#This Row],[Sale Price]]</f>
        <v>468</v>
      </c>
      <c r="H2610" s="8">
        <f>IF(financials[[#This Row],[Discount Band]]="low",0.1,IF(financials[[#This Row],[Discount Band]]="medium",0.15,0.3))</f>
        <v>0.3</v>
      </c>
      <c r="I2610" s="8">
        <f>financials[[#This Row],[Gross Sales]]-financials[[#This Row],[Gross Sales]]*financials[[#This Row],[Discounts]]</f>
        <v>327.60000000000002</v>
      </c>
      <c r="J2610" s="8">
        <f>VLOOKUP(financials[[#This Row],[productid]],Products!$B$2:$H$10,4)</f>
        <v>16.8</v>
      </c>
      <c r="K2610" s="8">
        <f>financials[[#This Row],[Net Sales]]-financials[[#This Row],[COGS]]</f>
        <v>310.8</v>
      </c>
      <c r="L2610" s="15">
        <v>45238</v>
      </c>
      <c r="M2610" t="s">
        <v>696</v>
      </c>
    </row>
    <row r="2611" spans="1:13" x14ac:dyDescent="0.25">
      <c r="A2611" t="s">
        <v>87</v>
      </c>
      <c r="B2611" s="6" t="s">
        <v>125</v>
      </c>
      <c r="C2611" s="13">
        <v>109</v>
      </c>
      <c r="D2611" s="14" t="s">
        <v>83</v>
      </c>
      <c r="E2611">
        <v>10</v>
      </c>
      <c r="F2611" s="8">
        <f>VLOOKUP(financials[[#This Row],[productid]],Products!$B$2:$H$10,3)</f>
        <v>36</v>
      </c>
      <c r="G2611" s="8">
        <f>financials[[#This Row],[Units Sold]]*financials[[#This Row],[Sale Price]]</f>
        <v>360</v>
      </c>
      <c r="H2611" s="8">
        <f>IF(financials[[#This Row],[Discount Band]]="low",0.1,IF(financials[[#This Row],[Discount Band]]="medium",0.15,0.3))</f>
        <v>0.3</v>
      </c>
      <c r="I2611" s="8">
        <f>financials[[#This Row],[Gross Sales]]-financials[[#This Row],[Gross Sales]]*financials[[#This Row],[Discounts]]</f>
        <v>252</v>
      </c>
      <c r="J2611" s="8">
        <f>VLOOKUP(financials[[#This Row],[productid]],Products!$B$2:$H$10,4)</f>
        <v>16.8</v>
      </c>
      <c r="K2611" s="8">
        <f>financials[[#This Row],[Net Sales]]-financials[[#This Row],[COGS]]</f>
        <v>235.2</v>
      </c>
      <c r="L2611" s="15">
        <v>44835</v>
      </c>
      <c r="M2611" t="s">
        <v>696</v>
      </c>
    </row>
    <row r="2612" spans="1:13" x14ac:dyDescent="0.25">
      <c r="A2612" t="s">
        <v>85</v>
      </c>
      <c r="B2612" s="6" t="s">
        <v>124</v>
      </c>
      <c r="C2612" s="13">
        <v>104</v>
      </c>
      <c r="D2612" s="14" t="s">
        <v>83</v>
      </c>
      <c r="E2612">
        <v>11</v>
      </c>
      <c r="F2612" s="8">
        <f>VLOOKUP(financials[[#This Row],[productid]],Products!$B$2:$H$10,3)</f>
        <v>5.9</v>
      </c>
      <c r="G2612" s="8">
        <f>financials[[#This Row],[Units Sold]]*financials[[#This Row],[Sale Price]]</f>
        <v>64.900000000000006</v>
      </c>
      <c r="H2612" s="8">
        <f>IF(financials[[#This Row],[Discount Band]]="low",0.1,IF(financials[[#This Row],[Discount Band]]="medium",0.15,0.3))</f>
        <v>0.3</v>
      </c>
      <c r="I2612" s="8">
        <f>financials[[#This Row],[Gross Sales]]-financials[[#This Row],[Gross Sales]]*financials[[#This Row],[Discounts]]</f>
        <v>45.430000000000007</v>
      </c>
      <c r="J2612" s="8">
        <f>VLOOKUP(financials[[#This Row],[productid]],Products!$B$2:$H$10,4)</f>
        <v>2.9</v>
      </c>
      <c r="K2612" s="8">
        <f>financials[[#This Row],[Net Sales]]-financials[[#This Row],[COGS]]</f>
        <v>42.530000000000008</v>
      </c>
      <c r="L2612" s="15">
        <v>45092</v>
      </c>
      <c r="M2612" t="s">
        <v>697</v>
      </c>
    </row>
    <row r="2613" spans="1:13" x14ac:dyDescent="0.25">
      <c r="A2613" t="s">
        <v>88</v>
      </c>
      <c r="B2613" s="6" t="s">
        <v>266</v>
      </c>
      <c r="C2613" s="13">
        <v>108</v>
      </c>
      <c r="D2613" s="14" t="s">
        <v>90</v>
      </c>
      <c r="E2613">
        <v>15</v>
      </c>
      <c r="F2613" s="8">
        <f>VLOOKUP(financials[[#This Row],[productid]],Products!$B$2:$H$10,3)</f>
        <v>5.5</v>
      </c>
      <c r="G2613" s="8">
        <f>financials[[#This Row],[Units Sold]]*financials[[#This Row],[Sale Price]]</f>
        <v>82.5</v>
      </c>
      <c r="H2613" s="8">
        <f>IF(financials[[#This Row],[Discount Band]]="low",0.1,IF(financials[[#This Row],[Discount Band]]="medium",0.15,0.3))</f>
        <v>0.15</v>
      </c>
      <c r="I2613" s="8">
        <f>financials[[#This Row],[Gross Sales]]-financials[[#This Row],[Gross Sales]]*financials[[#This Row],[Discounts]]</f>
        <v>70.125</v>
      </c>
      <c r="J2613" s="8">
        <f>VLOOKUP(financials[[#This Row],[productid]],Products!$B$2:$H$10,4)</f>
        <v>3.99</v>
      </c>
      <c r="K2613" s="8">
        <f>financials[[#This Row],[Net Sales]]-financials[[#This Row],[COGS]]</f>
        <v>66.135000000000005</v>
      </c>
      <c r="L2613" s="15">
        <v>44775</v>
      </c>
      <c r="M2613" t="s">
        <v>696</v>
      </c>
    </row>
    <row r="2614" spans="1:13" x14ac:dyDescent="0.25">
      <c r="A2614" t="s">
        <v>85</v>
      </c>
      <c r="B2614" s="6" t="s">
        <v>124</v>
      </c>
      <c r="C2614" s="13">
        <v>109</v>
      </c>
      <c r="D2614" s="14" t="s">
        <v>90</v>
      </c>
      <c r="E2614">
        <v>7</v>
      </c>
      <c r="F2614" s="8">
        <f>VLOOKUP(financials[[#This Row],[productid]],Products!$B$2:$H$10,3)</f>
        <v>36</v>
      </c>
      <c r="G2614" s="8">
        <f>financials[[#This Row],[Units Sold]]*financials[[#This Row],[Sale Price]]</f>
        <v>252</v>
      </c>
      <c r="H2614" s="8">
        <f>IF(financials[[#This Row],[Discount Band]]="low",0.1,IF(financials[[#This Row],[Discount Band]]="medium",0.15,0.3))</f>
        <v>0.15</v>
      </c>
      <c r="I2614" s="8">
        <f>financials[[#This Row],[Gross Sales]]-financials[[#This Row],[Gross Sales]]*financials[[#This Row],[Discounts]]</f>
        <v>214.2</v>
      </c>
      <c r="J2614" s="8">
        <f>VLOOKUP(financials[[#This Row],[productid]],Products!$B$2:$H$10,4)</f>
        <v>16.8</v>
      </c>
      <c r="K2614" s="8">
        <f>financials[[#This Row],[Net Sales]]-financials[[#This Row],[COGS]]</f>
        <v>197.39999999999998</v>
      </c>
      <c r="L2614" s="15">
        <v>44517</v>
      </c>
      <c r="M2614" t="s">
        <v>696</v>
      </c>
    </row>
    <row r="2615" spans="1:13" x14ac:dyDescent="0.25">
      <c r="A2615" t="s">
        <v>87</v>
      </c>
      <c r="B2615" s="6" t="s">
        <v>148</v>
      </c>
      <c r="C2615" s="11">
        <v>104</v>
      </c>
      <c r="D2615" s="9" t="s">
        <v>90</v>
      </c>
      <c r="E2615">
        <v>17</v>
      </c>
      <c r="F2615" s="8">
        <f>VLOOKUP(financials[[#This Row],[productid]],Products!$B$2:$H$10,3)</f>
        <v>5.9</v>
      </c>
      <c r="G2615" s="8">
        <f>financials[[#This Row],[Units Sold]]*financials[[#This Row],[Sale Price]]</f>
        <v>100.30000000000001</v>
      </c>
      <c r="H2615" s="8">
        <f>IF(financials[[#This Row],[Discount Band]]="low",0.1,IF(financials[[#This Row],[Discount Band]]="medium",0.15,0.3))</f>
        <v>0.15</v>
      </c>
      <c r="I2615" s="8">
        <f>financials[[#This Row],[Gross Sales]]-financials[[#This Row],[Gross Sales]]*financials[[#This Row],[Discounts]]</f>
        <v>85.25500000000001</v>
      </c>
      <c r="J2615" s="8">
        <f>VLOOKUP(financials[[#This Row],[productid]],Products!$B$2:$H$10,4)</f>
        <v>2.9</v>
      </c>
      <c r="K2615" s="8">
        <f>financials[[#This Row],[Net Sales]]-financials[[#This Row],[COGS]]</f>
        <v>82.355000000000004</v>
      </c>
      <c r="L2615" s="15">
        <v>45631</v>
      </c>
      <c r="M2615" t="s">
        <v>691</v>
      </c>
    </row>
    <row r="2616" spans="1:13" x14ac:dyDescent="0.25">
      <c r="A2616" t="s">
        <v>87</v>
      </c>
      <c r="B2616" s="6" t="s">
        <v>287</v>
      </c>
      <c r="C2616" s="13">
        <v>103</v>
      </c>
      <c r="D2616" s="14" t="s">
        <v>83</v>
      </c>
      <c r="E2616">
        <v>9</v>
      </c>
      <c r="F2616" s="8">
        <f>VLOOKUP(financials[[#This Row],[productid]],Products!$B$2:$H$10,3)</f>
        <v>28</v>
      </c>
      <c r="G2616" s="8">
        <f>financials[[#This Row],[Units Sold]]*financials[[#This Row],[Sale Price]]</f>
        <v>252</v>
      </c>
      <c r="H2616" s="8">
        <f>IF(financials[[#This Row],[Discount Band]]="low",0.1,IF(financials[[#This Row],[Discount Band]]="medium",0.15,0.3))</f>
        <v>0.3</v>
      </c>
      <c r="I2616" s="8">
        <f>financials[[#This Row],[Gross Sales]]-financials[[#This Row],[Gross Sales]]*financials[[#This Row],[Discounts]]</f>
        <v>176.4</v>
      </c>
      <c r="J2616" s="8">
        <f>VLOOKUP(financials[[#This Row],[productid]],Products!$B$2:$H$10,4)</f>
        <v>15</v>
      </c>
      <c r="K2616" s="8">
        <f>financials[[#This Row],[Net Sales]]-financials[[#This Row],[COGS]]</f>
        <v>161.4</v>
      </c>
      <c r="L2616" s="15">
        <v>45455</v>
      </c>
      <c r="M2616" t="s">
        <v>690</v>
      </c>
    </row>
    <row r="2617" spans="1:13" x14ac:dyDescent="0.25">
      <c r="A2617" t="s">
        <v>87</v>
      </c>
      <c r="B2617" s="6" t="s">
        <v>287</v>
      </c>
      <c r="C2617" s="13">
        <v>102</v>
      </c>
      <c r="D2617" s="14" t="s">
        <v>83</v>
      </c>
      <c r="E2617">
        <v>11</v>
      </c>
      <c r="F2617" s="8">
        <f>VLOOKUP(financials[[#This Row],[productid]],Products!$B$2:$H$10,3)</f>
        <v>15</v>
      </c>
      <c r="G2617" s="8">
        <f>financials[[#This Row],[Units Sold]]*financials[[#This Row],[Sale Price]]</f>
        <v>165</v>
      </c>
      <c r="H2617" s="8">
        <f>IF(financials[[#This Row],[Discount Band]]="low",0.1,IF(financials[[#This Row],[Discount Band]]="medium",0.15,0.3))</f>
        <v>0.3</v>
      </c>
      <c r="I2617" s="8">
        <f>financials[[#This Row],[Gross Sales]]-financials[[#This Row],[Gross Sales]]*financials[[#This Row],[Discounts]]</f>
        <v>115.5</v>
      </c>
      <c r="J2617" s="8">
        <f>VLOOKUP(financials[[#This Row],[productid]],Products!$B$2:$H$10,4)</f>
        <v>13.95</v>
      </c>
      <c r="K2617" s="8">
        <f>financials[[#This Row],[Net Sales]]-financials[[#This Row],[COGS]]</f>
        <v>101.55</v>
      </c>
      <c r="L2617" s="15">
        <v>44212</v>
      </c>
      <c r="M2617" t="s">
        <v>691</v>
      </c>
    </row>
    <row r="2618" spans="1:13" x14ac:dyDescent="0.25">
      <c r="A2618" t="s">
        <v>85</v>
      </c>
      <c r="B2618" s="6" t="s">
        <v>159</v>
      </c>
      <c r="C2618" s="11">
        <v>107</v>
      </c>
      <c r="D2618" s="9" t="s">
        <v>83</v>
      </c>
      <c r="E2618">
        <v>19</v>
      </c>
      <c r="F2618" s="8">
        <f>VLOOKUP(financials[[#This Row],[productid]],Products!$B$2:$H$10,3)</f>
        <v>15</v>
      </c>
      <c r="G2618" s="8">
        <f>financials[[#This Row],[Units Sold]]*financials[[#This Row],[Sale Price]]</f>
        <v>285</v>
      </c>
      <c r="H2618" s="8">
        <f>IF(financials[[#This Row],[Discount Band]]="low",0.1,IF(financials[[#This Row],[Discount Band]]="medium",0.15,0.3))</f>
        <v>0.3</v>
      </c>
      <c r="I2618" s="8">
        <f>financials[[#This Row],[Gross Sales]]-financials[[#This Row],[Gross Sales]]*financials[[#This Row],[Discounts]]</f>
        <v>199.5</v>
      </c>
      <c r="J2618" s="8">
        <f>VLOOKUP(financials[[#This Row],[productid]],Products!$B$2:$H$10,4)</f>
        <v>5.5</v>
      </c>
      <c r="K2618" s="8">
        <f>financials[[#This Row],[Net Sales]]-financials[[#This Row],[COGS]]</f>
        <v>194</v>
      </c>
      <c r="L2618" s="15">
        <v>45142</v>
      </c>
      <c r="M2618" t="s">
        <v>700</v>
      </c>
    </row>
    <row r="2619" spans="1:13" x14ac:dyDescent="0.25">
      <c r="A2619" t="s">
        <v>86</v>
      </c>
      <c r="B2619" s="6" t="s">
        <v>124</v>
      </c>
      <c r="C2619" s="13">
        <v>109</v>
      </c>
      <c r="D2619" s="14" t="s">
        <v>90</v>
      </c>
      <c r="E2619">
        <v>12</v>
      </c>
      <c r="F2619" s="8">
        <f>VLOOKUP(financials[[#This Row],[productid]],Products!$B$2:$H$10,3)</f>
        <v>36</v>
      </c>
      <c r="G2619" s="8">
        <f>financials[[#This Row],[Units Sold]]*financials[[#This Row],[Sale Price]]</f>
        <v>432</v>
      </c>
      <c r="H2619" s="8">
        <f>IF(financials[[#This Row],[Discount Band]]="low",0.1,IF(financials[[#This Row],[Discount Band]]="medium",0.15,0.3))</f>
        <v>0.15</v>
      </c>
      <c r="I2619" s="8">
        <f>financials[[#This Row],[Gross Sales]]-financials[[#This Row],[Gross Sales]]*financials[[#This Row],[Discounts]]</f>
        <v>367.2</v>
      </c>
      <c r="J2619" s="8">
        <f>VLOOKUP(financials[[#This Row],[productid]],Products!$B$2:$H$10,4)</f>
        <v>16.8</v>
      </c>
      <c r="K2619" s="8">
        <f>financials[[#This Row],[Net Sales]]-financials[[#This Row],[COGS]]</f>
        <v>350.4</v>
      </c>
      <c r="L2619" s="15">
        <v>44329</v>
      </c>
      <c r="M2619" t="s">
        <v>690</v>
      </c>
    </row>
    <row r="2620" spans="1:13" x14ac:dyDescent="0.25">
      <c r="A2620" t="s">
        <v>89</v>
      </c>
      <c r="B2620" s="6" t="s">
        <v>159</v>
      </c>
      <c r="C2620" s="13">
        <v>101</v>
      </c>
      <c r="D2620" s="14" t="s">
        <v>90</v>
      </c>
      <c r="E2620">
        <v>18</v>
      </c>
      <c r="F2620" s="8">
        <f>VLOOKUP(financials[[#This Row],[productid]],Products!$B$2:$H$10,3)</f>
        <v>23</v>
      </c>
      <c r="G2620" s="8">
        <f>financials[[#This Row],[Units Sold]]*financials[[#This Row],[Sale Price]]</f>
        <v>414</v>
      </c>
      <c r="H2620" s="8">
        <f>IF(financials[[#This Row],[Discount Band]]="low",0.1,IF(financials[[#This Row],[Discount Band]]="medium",0.15,0.3))</f>
        <v>0.15</v>
      </c>
      <c r="I2620" s="8">
        <f>financials[[#This Row],[Gross Sales]]-financials[[#This Row],[Gross Sales]]*financials[[#This Row],[Discounts]]</f>
        <v>351.9</v>
      </c>
      <c r="J2620" s="8">
        <f>VLOOKUP(financials[[#This Row],[productid]],Products!$B$2:$H$10,4)</f>
        <v>9.9499999999999993</v>
      </c>
      <c r="K2620" s="8">
        <f>financials[[#This Row],[Net Sales]]-financials[[#This Row],[COGS]]</f>
        <v>341.95</v>
      </c>
      <c r="L2620" s="15">
        <v>44882</v>
      </c>
      <c r="M2620" t="s">
        <v>690</v>
      </c>
    </row>
    <row r="2621" spans="1:13" x14ac:dyDescent="0.25">
      <c r="A2621" t="s">
        <v>87</v>
      </c>
      <c r="B2621" s="6" t="s">
        <v>96</v>
      </c>
      <c r="C2621" s="13">
        <v>104</v>
      </c>
      <c r="D2621" s="14" t="s">
        <v>83</v>
      </c>
      <c r="E2621">
        <v>7</v>
      </c>
      <c r="F2621" s="8">
        <f>VLOOKUP(financials[[#This Row],[productid]],Products!$B$2:$H$10,3)</f>
        <v>5.9</v>
      </c>
      <c r="G2621" s="8">
        <f>financials[[#This Row],[Units Sold]]*financials[[#This Row],[Sale Price]]</f>
        <v>41.300000000000004</v>
      </c>
      <c r="H2621" s="8">
        <f>IF(financials[[#This Row],[Discount Band]]="low",0.1,IF(financials[[#This Row],[Discount Band]]="medium",0.15,0.3))</f>
        <v>0.3</v>
      </c>
      <c r="I2621" s="8">
        <f>financials[[#This Row],[Gross Sales]]-financials[[#This Row],[Gross Sales]]*financials[[#This Row],[Discounts]]</f>
        <v>28.910000000000004</v>
      </c>
      <c r="J2621" s="8">
        <f>VLOOKUP(financials[[#This Row],[productid]],Products!$B$2:$H$10,4)</f>
        <v>2.9</v>
      </c>
      <c r="K2621" s="8">
        <f>financials[[#This Row],[Net Sales]]-financials[[#This Row],[COGS]]</f>
        <v>26.010000000000005</v>
      </c>
      <c r="L2621" s="15">
        <v>44719</v>
      </c>
      <c r="M2621" t="s">
        <v>690</v>
      </c>
    </row>
    <row r="2622" spans="1:13" x14ac:dyDescent="0.25">
      <c r="A2622" t="s">
        <v>87</v>
      </c>
      <c r="B2622" s="6" t="s">
        <v>148</v>
      </c>
      <c r="C2622" s="11">
        <v>106</v>
      </c>
      <c r="D2622" s="9" t="s">
        <v>90</v>
      </c>
      <c r="E2622">
        <v>13</v>
      </c>
      <c r="F2622" s="8">
        <f>VLOOKUP(financials[[#This Row],[productid]],Products!$B$2:$H$10,3)</f>
        <v>25</v>
      </c>
      <c r="G2622" s="8">
        <f>financials[[#This Row],[Units Sold]]*financials[[#This Row],[Sale Price]]</f>
        <v>325</v>
      </c>
      <c r="H2622" s="8">
        <f>IF(financials[[#This Row],[Discount Band]]="low",0.1,IF(financials[[#This Row],[Discount Band]]="medium",0.15,0.3))</f>
        <v>0.15</v>
      </c>
      <c r="I2622" s="8">
        <f>financials[[#This Row],[Gross Sales]]-financials[[#This Row],[Gross Sales]]*financials[[#This Row],[Discounts]]</f>
        <v>276.25</v>
      </c>
      <c r="J2622" s="8">
        <f>VLOOKUP(financials[[#This Row],[productid]],Products!$B$2:$H$10,4)</f>
        <v>9.1</v>
      </c>
      <c r="K2622" s="8">
        <f>financials[[#This Row],[Net Sales]]-financials[[#This Row],[COGS]]</f>
        <v>267.14999999999998</v>
      </c>
      <c r="L2622" s="15">
        <v>44420</v>
      </c>
      <c r="M2622" t="s">
        <v>697</v>
      </c>
    </row>
    <row r="2623" spans="1:13" x14ac:dyDescent="0.25">
      <c r="A2623" t="s">
        <v>86</v>
      </c>
      <c r="B2623" s="6" t="s">
        <v>124</v>
      </c>
      <c r="C2623" s="13">
        <v>103</v>
      </c>
      <c r="D2623" s="14" t="s">
        <v>90</v>
      </c>
      <c r="E2623">
        <v>7</v>
      </c>
      <c r="F2623" s="8">
        <f>VLOOKUP(financials[[#This Row],[productid]],Products!$B$2:$H$10,3)</f>
        <v>28</v>
      </c>
      <c r="G2623" s="8">
        <f>financials[[#This Row],[Units Sold]]*financials[[#This Row],[Sale Price]]</f>
        <v>196</v>
      </c>
      <c r="H2623" s="8">
        <f>IF(financials[[#This Row],[Discount Band]]="low",0.1,IF(financials[[#This Row],[Discount Band]]="medium",0.15,0.3))</f>
        <v>0.15</v>
      </c>
      <c r="I2623" s="8">
        <f>financials[[#This Row],[Gross Sales]]-financials[[#This Row],[Gross Sales]]*financials[[#This Row],[Discounts]]</f>
        <v>166.6</v>
      </c>
      <c r="J2623" s="8">
        <f>VLOOKUP(financials[[#This Row],[productid]],Products!$B$2:$H$10,4)</f>
        <v>15</v>
      </c>
      <c r="K2623" s="8">
        <f>financials[[#This Row],[Net Sales]]-financials[[#This Row],[COGS]]</f>
        <v>151.6</v>
      </c>
      <c r="L2623" s="15">
        <v>44057</v>
      </c>
      <c r="M2623" t="s">
        <v>691</v>
      </c>
    </row>
    <row r="2624" spans="1:13" x14ac:dyDescent="0.25">
      <c r="A2624" t="s">
        <v>85</v>
      </c>
      <c r="B2624" s="6" t="s">
        <v>124</v>
      </c>
      <c r="C2624" s="11">
        <v>108</v>
      </c>
      <c r="D2624" s="9" t="s">
        <v>83</v>
      </c>
      <c r="E2624">
        <v>8</v>
      </c>
      <c r="F2624" s="8">
        <f>VLOOKUP(financials[[#This Row],[productid]],Products!$B$2:$H$10,3)</f>
        <v>5.5</v>
      </c>
      <c r="G2624" s="8">
        <f>financials[[#This Row],[Units Sold]]*financials[[#This Row],[Sale Price]]</f>
        <v>44</v>
      </c>
      <c r="H2624" s="8">
        <f>IF(financials[[#This Row],[Discount Band]]="low",0.1,IF(financials[[#This Row],[Discount Band]]="medium",0.15,0.3))</f>
        <v>0.3</v>
      </c>
      <c r="I2624" s="8">
        <f>financials[[#This Row],[Gross Sales]]-financials[[#This Row],[Gross Sales]]*financials[[#This Row],[Discounts]]</f>
        <v>30.8</v>
      </c>
      <c r="J2624" s="8">
        <f>VLOOKUP(financials[[#This Row],[productid]],Products!$B$2:$H$10,4)</f>
        <v>3.99</v>
      </c>
      <c r="K2624" s="8">
        <f>financials[[#This Row],[Net Sales]]-financials[[#This Row],[COGS]]</f>
        <v>26.810000000000002</v>
      </c>
      <c r="L2624" s="15">
        <v>45221</v>
      </c>
      <c r="M2624" t="s">
        <v>700</v>
      </c>
    </row>
    <row r="2625" spans="1:13" x14ac:dyDescent="0.25">
      <c r="A2625" t="s">
        <v>87</v>
      </c>
      <c r="B2625" s="6" t="s">
        <v>167</v>
      </c>
      <c r="C2625" s="13">
        <v>108</v>
      </c>
      <c r="D2625" s="14" t="s">
        <v>92</v>
      </c>
      <c r="E2625">
        <v>13</v>
      </c>
      <c r="F2625" s="8">
        <f>VLOOKUP(financials[[#This Row],[productid]],Products!$B$2:$H$10,3)</f>
        <v>5.5</v>
      </c>
      <c r="G2625" s="8">
        <f>financials[[#This Row],[Units Sold]]*financials[[#This Row],[Sale Price]]</f>
        <v>71.5</v>
      </c>
      <c r="H2625" s="8">
        <f>IF(financials[[#This Row],[Discount Band]]="low",0.1,IF(financials[[#This Row],[Discount Band]]="medium",0.15,0.3))</f>
        <v>0.3</v>
      </c>
      <c r="I2625" s="8">
        <f>financials[[#This Row],[Gross Sales]]-financials[[#This Row],[Gross Sales]]*financials[[#This Row],[Discounts]]</f>
        <v>50.05</v>
      </c>
      <c r="J2625" s="8">
        <f>VLOOKUP(financials[[#This Row],[productid]],Products!$B$2:$H$10,4)</f>
        <v>3.99</v>
      </c>
      <c r="K2625" s="8">
        <f>financials[[#This Row],[Net Sales]]-financials[[#This Row],[COGS]]</f>
        <v>46.059999999999995</v>
      </c>
      <c r="L2625" s="15">
        <v>44015</v>
      </c>
      <c r="M2625" t="s">
        <v>696</v>
      </c>
    </row>
    <row r="2626" spans="1:13" x14ac:dyDescent="0.25">
      <c r="A2626" t="s">
        <v>87</v>
      </c>
      <c r="B2626" s="6" t="s">
        <v>93</v>
      </c>
      <c r="C2626" s="13">
        <v>109</v>
      </c>
      <c r="D2626" s="14" t="s">
        <v>92</v>
      </c>
      <c r="E2626">
        <v>14</v>
      </c>
      <c r="F2626" s="8">
        <f>VLOOKUP(financials[[#This Row],[productid]],Products!$B$2:$H$10,3)</f>
        <v>36</v>
      </c>
      <c r="G2626" s="8">
        <f>financials[[#This Row],[Units Sold]]*financials[[#This Row],[Sale Price]]</f>
        <v>504</v>
      </c>
      <c r="H2626" s="8">
        <f>IF(financials[[#This Row],[Discount Band]]="low",0.1,IF(financials[[#This Row],[Discount Band]]="medium",0.15,0.3))</f>
        <v>0.3</v>
      </c>
      <c r="I2626" s="8">
        <f>financials[[#This Row],[Gross Sales]]-financials[[#This Row],[Gross Sales]]*financials[[#This Row],[Discounts]]</f>
        <v>352.8</v>
      </c>
      <c r="J2626" s="8">
        <f>VLOOKUP(financials[[#This Row],[productid]],Products!$B$2:$H$10,4)</f>
        <v>16.8</v>
      </c>
      <c r="K2626" s="8">
        <f>financials[[#This Row],[Net Sales]]-financials[[#This Row],[COGS]]</f>
        <v>336</v>
      </c>
      <c r="L2626" s="15">
        <v>45632</v>
      </c>
      <c r="M2626" t="s">
        <v>690</v>
      </c>
    </row>
    <row r="2627" spans="1:13" x14ac:dyDescent="0.25">
      <c r="A2627" t="s">
        <v>86</v>
      </c>
      <c r="B2627" s="6" t="s">
        <v>159</v>
      </c>
      <c r="C2627" s="13">
        <v>108</v>
      </c>
      <c r="D2627" s="14" t="s">
        <v>83</v>
      </c>
      <c r="E2627">
        <v>20</v>
      </c>
      <c r="F2627" s="8">
        <f>VLOOKUP(financials[[#This Row],[productid]],Products!$B$2:$H$10,3)</f>
        <v>5.5</v>
      </c>
      <c r="G2627" s="8">
        <f>financials[[#This Row],[Units Sold]]*financials[[#This Row],[Sale Price]]</f>
        <v>110</v>
      </c>
      <c r="H2627" s="8">
        <f>IF(financials[[#This Row],[Discount Band]]="low",0.1,IF(financials[[#This Row],[Discount Band]]="medium",0.15,0.3))</f>
        <v>0.3</v>
      </c>
      <c r="I2627" s="8">
        <f>financials[[#This Row],[Gross Sales]]-financials[[#This Row],[Gross Sales]]*financials[[#This Row],[Discounts]]</f>
        <v>77</v>
      </c>
      <c r="J2627" s="8">
        <f>VLOOKUP(financials[[#This Row],[productid]],Products!$B$2:$H$10,4)</f>
        <v>3.99</v>
      </c>
      <c r="K2627" s="8">
        <f>financials[[#This Row],[Net Sales]]-financials[[#This Row],[COGS]]</f>
        <v>73.010000000000005</v>
      </c>
      <c r="L2627" s="15">
        <v>44916</v>
      </c>
      <c r="M2627" t="s">
        <v>696</v>
      </c>
    </row>
    <row r="2628" spans="1:13" x14ac:dyDescent="0.25">
      <c r="A2628" t="s">
        <v>86</v>
      </c>
      <c r="B2628" s="6" t="s">
        <v>159</v>
      </c>
      <c r="C2628" s="13">
        <v>104</v>
      </c>
      <c r="D2628" s="14" t="s">
        <v>83</v>
      </c>
      <c r="E2628">
        <v>13</v>
      </c>
      <c r="F2628" s="8">
        <f>VLOOKUP(financials[[#This Row],[productid]],Products!$B$2:$H$10,3)</f>
        <v>5.9</v>
      </c>
      <c r="G2628" s="8">
        <f>financials[[#This Row],[Units Sold]]*financials[[#This Row],[Sale Price]]</f>
        <v>76.7</v>
      </c>
      <c r="H2628" s="8">
        <f>IF(financials[[#This Row],[Discount Band]]="low",0.1,IF(financials[[#This Row],[Discount Band]]="medium",0.15,0.3))</f>
        <v>0.3</v>
      </c>
      <c r="I2628" s="8">
        <f>financials[[#This Row],[Gross Sales]]-financials[[#This Row],[Gross Sales]]*financials[[#This Row],[Discounts]]</f>
        <v>53.69</v>
      </c>
      <c r="J2628" s="8">
        <f>VLOOKUP(financials[[#This Row],[productid]],Products!$B$2:$H$10,4)</f>
        <v>2.9</v>
      </c>
      <c r="K2628" s="8">
        <f>financials[[#This Row],[Net Sales]]-financials[[#This Row],[COGS]]</f>
        <v>50.79</v>
      </c>
      <c r="L2628" s="15">
        <v>45162</v>
      </c>
      <c r="M2628" t="s">
        <v>690</v>
      </c>
    </row>
    <row r="2629" spans="1:13" x14ac:dyDescent="0.25">
      <c r="A2629" t="s">
        <v>86</v>
      </c>
      <c r="B2629" s="6" t="s">
        <v>266</v>
      </c>
      <c r="C2629" s="13">
        <v>102</v>
      </c>
      <c r="D2629" s="14" t="s">
        <v>90</v>
      </c>
      <c r="E2629">
        <v>6</v>
      </c>
      <c r="F2629" s="8">
        <f>VLOOKUP(financials[[#This Row],[productid]],Products!$B$2:$H$10,3)</f>
        <v>15</v>
      </c>
      <c r="G2629" s="8">
        <f>financials[[#This Row],[Units Sold]]*financials[[#This Row],[Sale Price]]</f>
        <v>90</v>
      </c>
      <c r="H2629" s="8">
        <f>IF(financials[[#This Row],[Discount Band]]="low",0.1,IF(financials[[#This Row],[Discount Band]]="medium",0.15,0.3))</f>
        <v>0.15</v>
      </c>
      <c r="I2629" s="8">
        <f>financials[[#This Row],[Gross Sales]]-financials[[#This Row],[Gross Sales]]*financials[[#This Row],[Discounts]]</f>
        <v>76.5</v>
      </c>
      <c r="J2629" s="8">
        <f>VLOOKUP(financials[[#This Row],[productid]],Products!$B$2:$H$10,4)</f>
        <v>13.95</v>
      </c>
      <c r="K2629" s="8">
        <f>financials[[#This Row],[Net Sales]]-financials[[#This Row],[COGS]]</f>
        <v>62.55</v>
      </c>
      <c r="L2629" s="15">
        <v>44536</v>
      </c>
      <c r="M2629" t="s">
        <v>691</v>
      </c>
    </row>
    <row r="2630" spans="1:13" x14ac:dyDescent="0.25">
      <c r="A2630" t="s">
        <v>86</v>
      </c>
      <c r="B2630" s="6" t="s">
        <v>84</v>
      </c>
      <c r="C2630" s="13">
        <v>101</v>
      </c>
      <c r="D2630" s="14" t="s">
        <v>83</v>
      </c>
      <c r="E2630">
        <v>10</v>
      </c>
      <c r="F2630" s="8">
        <f>VLOOKUP(financials[[#This Row],[productid]],Products!$B$2:$H$10,3)</f>
        <v>23</v>
      </c>
      <c r="G2630" s="8">
        <f>financials[[#This Row],[Units Sold]]*financials[[#This Row],[Sale Price]]</f>
        <v>230</v>
      </c>
      <c r="H2630" s="8">
        <f>IF(financials[[#This Row],[Discount Band]]="low",0.1,IF(financials[[#This Row],[Discount Band]]="medium",0.15,0.3))</f>
        <v>0.3</v>
      </c>
      <c r="I2630" s="8">
        <f>financials[[#This Row],[Gross Sales]]-financials[[#This Row],[Gross Sales]]*financials[[#This Row],[Discounts]]</f>
        <v>161</v>
      </c>
      <c r="J2630" s="8">
        <f>VLOOKUP(financials[[#This Row],[productid]],Products!$B$2:$H$10,4)</f>
        <v>9.9499999999999993</v>
      </c>
      <c r="K2630" s="8">
        <f>financials[[#This Row],[Net Sales]]-financials[[#This Row],[COGS]]</f>
        <v>151.05000000000001</v>
      </c>
      <c r="L2630" s="15">
        <v>45472</v>
      </c>
      <c r="M2630" t="s">
        <v>691</v>
      </c>
    </row>
    <row r="2631" spans="1:13" x14ac:dyDescent="0.25">
      <c r="A2631" t="s">
        <v>85</v>
      </c>
      <c r="B2631" s="6" t="s">
        <v>159</v>
      </c>
      <c r="C2631" s="13">
        <v>105</v>
      </c>
      <c r="D2631" s="14" t="s">
        <v>91</v>
      </c>
      <c r="E2631">
        <v>18</v>
      </c>
      <c r="F2631" s="8">
        <f>VLOOKUP(financials[[#This Row],[productid]],Products!$B$2:$H$10,3)</f>
        <v>15</v>
      </c>
      <c r="G2631" s="8">
        <f>financials[[#This Row],[Units Sold]]*financials[[#This Row],[Sale Price]]</f>
        <v>270</v>
      </c>
      <c r="H2631" s="8">
        <f>IF(financials[[#This Row],[Discount Band]]="low",0.1,IF(financials[[#This Row],[Discount Band]]="medium",0.15,0.3))</f>
        <v>0.1</v>
      </c>
      <c r="I2631" s="8">
        <f>financials[[#This Row],[Gross Sales]]-financials[[#This Row],[Gross Sales]]*financials[[#This Row],[Discounts]]</f>
        <v>243</v>
      </c>
      <c r="J2631" s="8">
        <f>VLOOKUP(financials[[#This Row],[productid]],Products!$B$2:$H$10,4)</f>
        <v>10</v>
      </c>
      <c r="K2631" s="8">
        <f>financials[[#This Row],[Net Sales]]-financials[[#This Row],[COGS]]</f>
        <v>233</v>
      </c>
      <c r="L2631" s="15">
        <v>44472</v>
      </c>
      <c r="M2631" t="s">
        <v>690</v>
      </c>
    </row>
    <row r="2632" spans="1:13" x14ac:dyDescent="0.25">
      <c r="A2632" t="s">
        <v>85</v>
      </c>
      <c r="B2632" s="6" t="s">
        <v>159</v>
      </c>
      <c r="C2632" s="13">
        <v>101</v>
      </c>
      <c r="D2632" s="14" t="s">
        <v>83</v>
      </c>
      <c r="E2632">
        <v>6</v>
      </c>
      <c r="F2632" s="8">
        <f>VLOOKUP(financials[[#This Row],[productid]],Products!$B$2:$H$10,3)</f>
        <v>23</v>
      </c>
      <c r="G2632" s="8">
        <f>financials[[#This Row],[Units Sold]]*financials[[#This Row],[Sale Price]]</f>
        <v>138</v>
      </c>
      <c r="H2632" s="8">
        <f>IF(financials[[#This Row],[Discount Band]]="low",0.1,IF(financials[[#This Row],[Discount Band]]="medium",0.15,0.3))</f>
        <v>0.3</v>
      </c>
      <c r="I2632" s="8">
        <f>financials[[#This Row],[Gross Sales]]-financials[[#This Row],[Gross Sales]]*financials[[#This Row],[Discounts]]</f>
        <v>96.6</v>
      </c>
      <c r="J2632" s="8">
        <f>VLOOKUP(financials[[#This Row],[productid]],Products!$B$2:$H$10,4)</f>
        <v>9.9499999999999993</v>
      </c>
      <c r="K2632" s="8">
        <f>financials[[#This Row],[Net Sales]]-financials[[#This Row],[COGS]]</f>
        <v>86.649999999999991</v>
      </c>
      <c r="L2632" s="15">
        <v>44283</v>
      </c>
      <c r="M2632" t="s">
        <v>691</v>
      </c>
    </row>
    <row r="2633" spans="1:13" x14ac:dyDescent="0.25">
      <c r="A2633" t="s">
        <v>85</v>
      </c>
      <c r="B2633" s="6" t="s">
        <v>159</v>
      </c>
      <c r="C2633" s="11">
        <v>101</v>
      </c>
      <c r="D2633" s="9" t="s">
        <v>83</v>
      </c>
      <c r="E2633">
        <v>9</v>
      </c>
      <c r="F2633" s="8">
        <f>VLOOKUP(financials[[#This Row],[productid]],Products!$B$2:$H$10,3)</f>
        <v>23</v>
      </c>
      <c r="G2633" s="8">
        <f>financials[[#This Row],[Units Sold]]*financials[[#This Row],[Sale Price]]</f>
        <v>207</v>
      </c>
      <c r="H2633" s="8">
        <f>IF(financials[[#This Row],[Discount Band]]="low",0.1,IF(financials[[#This Row],[Discount Band]]="medium",0.15,0.3))</f>
        <v>0.3</v>
      </c>
      <c r="I2633" s="8">
        <f>financials[[#This Row],[Gross Sales]]-financials[[#This Row],[Gross Sales]]*financials[[#This Row],[Discounts]]</f>
        <v>144.9</v>
      </c>
      <c r="J2633" s="8">
        <f>VLOOKUP(financials[[#This Row],[productid]],Products!$B$2:$H$10,4)</f>
        <v>9.9499999999999993</v>
      </c>
      <c r="K2633" s="8">
        <f>financials[[#This Row],[Net Sales]]-financials[[#This Row],[COGS]]</f>
        <v>134.95000000000002</v>
      </c>
      <c r="L2633" s="15">
        <v>44078</v>
      </c>
      <c r="M2633" t="s">
        <v>690</v>
      </c>
    </row>
    <row r="2634" spans="1:13" x14ac:dyDescent="0.25">
      <c r="A2634" t="s">
        <v>86</v>
      </c>
      <c r="B2634" s="6" t="s">
        <v>124</v>
      </c>
      <c r="C2634" s="13">
        <v>103</v>
      </c>
      <c r="D2634" s="14" t="s">
        <v>92</v>
      </c>
      <c r="E2634">
        <v>5</v>
      </c>
      <c r="F2634" s="8">
        <f>VLOOKUP(financials[[#This Row],[productid]],Products!$B$2:$H$10,3)</f>
        <v>28</v>
      </c>
      <c r="G2634" s="8">
        <f>financials[[#This Row],[Units Sold]]*financials[[#This Row],[Sale Price]]</f>
        <v>140</v>
      </c>
      <c r="H2634" s="8">
        <f>IF(financials[[#This Row],[Discount Band]]="low",0.1,IF(financials[[#This Row],[Discount Band]]="medium",0.15,0.3))</f>
        <v>0.3</v>
      </c>
      <c r="I2634" s="8">
        <f>financials[[#This Row],[Gross Sales]]-financials[[#This Row],[Gross Sales]]*financials[[#This Row],[Discounts]]</f>
        <v>98</v>
      </c>
      <c r="J2634" s="8">
        <f>VLOOKUP(financials[[#This Row],[productid]],Products!$B$2:$H$10,4)</f>
        <v>15</v>
      </c>
      <c r="K2634" s="8">
        <f>financials[[#This Row],[Net Sales]]-financials[[#This Row],[COGS]]</f>
        <v>83</v>
      </c>
      <c r="L2634" s="15">
        <v>44384</v>
      </c>
      <c r="M2634" t="s">
        <v>691</v>
      </c>
    </row>
    <row r="2635" spans="1:13" x14ac:dyDescent="0.25">
      <c r="A2635" t="s">
        <v>87</v>
      </c>
      <c r="B2635" s="6" t="s">
        <v>93</v>
      </c>
      <c r="C2635" s="11">
        <v>102</v>
      </c>
      <c r="D2635" s="9" t="s">
        <v>90</v>
      </c>
      <c r="E2635">
        <v>12</v>
      </c>
      <c r="F2635" s="8">
        <f>VLOOKUP(financials[[#This Row],[productid]],Products!$B$2:$H$10,3)</f>
        <v>15</v>
      </c>
      <c r="G2635" s="8">
        <f>financials[[#This Row],[Units Sold]]*financials[[#This Row],[Sale Price]]</f>
        <v>180</v>
      </c>
      <c r="H2635" s="8">
        <f>IF(financials[[#This Row],[Discount Band]]="low",0.1,IF(financials[[#This Row],[Discount Band]]="medium",0.15,0.3))</f>
        <v>0.15</v>
      </c>
      <c r="I2635" s="8">
        <f>financials[[#This Row],[Gross Sales]]-financials[[#This Row],[Gross Sales]]*financials[[#This Row],[Discounts]]</f>
        <v>153</v>
      </c>
      <c r="J2635" s="8">
        <f>VLOOKUP(financials[[#This Row],[productid]],Products!$B$2:$H$10,4)</f>
        <v>13.95</v>
      </c>
      <c r="K2635" s="8">
        <f>financials[[#This Row],[Net Sales]]-financials[[#This Row],[COGS]]</f>
        <v>139.05000000000001</v>
      </c>
      <c r="L2635" s="15">
        <v>45585</v>
      </c>
      <c r="M2635" t="s">
        <v>691</v>
      </c>
    </row>
    <row r="2636" spans="1:13" x14ac:dyDescent="0.25">
      <c r="A2636" t="s">
        <v>86</v>
      </c>
      <c r="B2636" s="6" t="s">
        <v>124</v>
      </c>
      <c r="C2636" s="13">
        <v>102</v>
      </c>
      <c r="D2636" s="14" t="s">
        <v>90</v>
      </c>
      <c r="E2636">
        <v>19</v>
      </c>
      <c r="F2636" s="8">
        <f>VLOOKUP(financials[[#This Row],[productid]],Products!$B$2:$H$10,3)</f>
        <v>15</v>
      </c>
      <c r="G2636" s="8">
        <f>financials[[#This Row],[Units Sold]]*financials[[#This Row],[Sale Price]]</f>
        <v>285</v>
      </c>
      <c r="H2636" s="8">
        <f>IF(financials[[#This Row],[Discount Band]]="low",0.1,IF(financials[[#This Row],[Discount Band]]="medium",0.15,0.3))</f>
        <v>0.15</v>
      </c>
      <c r="I2636" s="8">
        <f>financials[[#This Row],[Gross Sales]]-financials[[#This Row],[Gross Sales]]*financials[[#This Row],[Discounts]]</f>
        <v>242.25</v>
      </c>
      <c r="J2636" s="8">
        <f>VLOOKUP(financials[[#This Row],[productid]],Products!$B$2:$H$10,4)</f>
        <v>13.95</v>
      </c>
      <c r="K2636" s="8">
        <f>financials[[#This Row],[Net Sales]]-financials[[#This Row],[COGS]]</f>
        <v>228.3</v>
      </c>
      <c r="L2636" s="15">
        <v>44885</v>
      </c>
      <c r="M2636" t="s">
        <v>690</v>
      </c>
    </row>
    <row r="2637" spans="1:13" x14ac:dyDescent="0.25">
      <c r="A2637" t="s">
        <v>88</v>
      </c>
      <c r="B2637" s="6" t="s">
        <v>266</v>
      </c>
      <c r="C2637" s="13">
        <v>102</v>
      </c>
      <c r="D2637" s="14" t="s">
        <v>90</v>
      </c>
      <c r="E2637">
        <v>17</v>
      </c>
      <c r="F2637" s="8">
        <f>VLOOKUP(financials[[#This Row],[productid]],Products!$B$2:$H$10,3)</f>
        <v>15</v>
      </c>
      <c r="G2637" s="8">
        <f>financials[[#This Row],[Units Sold]]*financials[[#This Row],[Sale Price]]</f>
        <v>255</v>
      </c>
      <c r="H2637" s="8">
        <f>IF(financials[[#This Row],[Discount Band]]="low",0.1,IF(financials[[#This Row],[Discount Band]]="medium",0.15,0.3))</f>
        <v>0.15</v>
      </c>
      <c r="I2637" s="8">
        <f>financials[[#This Row],[Gross Sales]]-financials[[#This Row],[Gross Sales]]*financials[[#This Row],[Discounts]]</f>
        <v>216.75</v>
      </c>
      <c r="J2637" s="8">
        <f>VLOOKUP(financials[[#This Row],[productid]],Products!$B$2:$H$10,4)</f>
        <v>13.95</v>
      </c>
      <c r="K2637" s="8">
        <f>financials[[#This Row],[Net Sales]]-financials[[#This Row],[COGS]]</f>
        <v>202.8</v>
      </c>
      <c r="L2637" s="15">
        <v>45320</v>
      </c>
      <c r="M2637" t="s">
        <v>690</v>
      </c>
    </row>
    <row r="2638" spans="1:13" x14ac:dyDescent="0.25">
      <c r="A2638" t="s">
        <v>85</v>
      </c>
      <c r="B2638" s="6" t="s">
        <v>124</v>
      </c>
      <c r="C2638" s="11">
        <v>109</v>
      </c>
      <c r="D2638" s="9" t="s">
        <v>83</v>
      </c>
      <c r="E2638">
        <v>9</v>
      </c>
      <c r="F2638" s="8">
        <f>VLOOKUP(financials[[#This Row],[productid]],Products!$B$2:$H$10,3)</f>
        <v>36</v>
      </c>
      <c r="G2638" s="8">
        <f>financials[[#This Row],[Units Sold]]*financials[[#This Row],[Sale Price]]</f>
        <v>324</v>
      </c>
      <c r="H2638" s="8">
        <f>IF(financials[[#This Row],[Discount Band]]="low",0.1,IF(financials[[#This Row],[Discount Band]]="medium",0.15,0.3))</f>
        <v>0.3</v>
      </c>
      <c r="I2638" s="8">
        <f>financials[[#This Row],[Gross Sales]]-financials[[#This Row],[Gross Sales]]*financials[[#This Row],[Discounts]]</f>
        <v>226.8</v>
      </c>
      <c r="J2638" s="8">
        <f>VLOOKUP(financials[[#This Row],[productid]],Products!$B$2:$H$10,4)</f>
        <v>16.8</v>
      </c>
      <c r="K2638" s="8">
        <f>financials[[#This Row],[Net Sales]]-financials[[#This Row],[COGS]]</f>
        <v>210</v>
      </c>
      <c r="L2638" s="15">
        <v>45354</v>
      </c>
      <c r="M2638" t="s">
        <v>696</v>
      </c>
    </row>
    <row r="2639" spans="1:13" x14ac:dyDescent="0.25">
      <c r="A2639" t="s">
        <v>89</v>
      </c>
      <c r="B2639" s="6" t="s">
        <v>159</v>
      </c>
      <c r="C2639" s="13">
        <v>101</v>
      </c>
      <c r="D2639" s="14" t="s">
        <v>92</v>
      </c>
      <c r="E2639">
        <v>18</v>
      </c>
      <c r="F2639" s="8">
        <f>VLOOKUP(financials[[#This Row],[productid]],Products!$B$2:$H$10,3)</f>
        <v>23</v>
      </c>
      <c r="G2639" s="8">
        <f>financials[[#This Row],[Units Sold]]*financials[[#This Row],[Sale Price]]</f>
        <v>414</v>
      </c>
      <c r="H2639" s="8">
        <f>IF(financials[[#This Row],[Discount Band]]="low",0.1,IF(financials[[#This Row],[Discount Band]]="medium",0.15,0.3))</f>
        <v>0.3</v>
      </c>
      <c r="I2639" s="8">
        <f>financials[[#This Row],[Gross Sales]]-financials[[#This Row],[Gross Sales]]*financials[[#This Row],[Discounts]]</f>
        <v>289.8</v>
      </c>
      <c r="J2639" s="8">
        <f>VLOOKUP(financials[[#This Row],[productid]],Products!$B$2:$H$10,4)</f>
        <v>9.9499999999999993</v>
      </c>
      <c r="K2639" s="8">
        <f>financials[[#This Row],[Net Sales]]-financials[[#This Row],[COGS]]</f>
        <v>279.85000000000002</v>
      </c>
      <c r="L2639" s="15">
        <v>44515</v>
      </c>
      <c r="M2639" t="s">
        <v>690</v>
      </c>
    </row>
    <row r="2640" spans="1:13" x14ac:dyDescent="0.25">
      <c r="A2640" t="s">
        <v>85</v>
      </c>
      <c r="B2640" s="6" t="s">
        <v>159</v>
      </c>
      <c r="C2640" s="13">
        <v>106</v>
      </c>
      <c r="D2640" s="14" t="s">
        <v>90</v>
      </c>
      <c r="E2640">
        <v>9</v>
      </c>
      <c r="F2640" s="8">
        <f>VLOOKUP(financials[[#This Row],[productid]],Products!$B$2:$H$10,3)</f>
        <v>25</v>
      </c>
      <c r="G2640" s="8">
        <f>financials[[#This Row],[Units Sold]]*financials[[#This Row],[Sale Price]]</f>
        <v>225</v>
      </c>
      <c r="H2640" s="8">
        <f>IF(financials[[#This Row],[Discount Band]]="low",0.1,IF(financials[[#This Row],[Discount Band]]="medium",0.15,0.3))</f>
        <v>0.15</v>
      </c>
      <c r="I2640" s="8">
        <f>financials[[#This Row],[Gross Sales]]-financials[[#This Row],[Gross Sales]]*financials[[#This Row],[Discounts]]</f>
        <v>191.25</v>
      </c>
      <c r="J2640" s="8">
        <f>VLOOKUP(financials[[#This Row],[productid]],Products!$B$2:$H$10,4)</f>
        <v>9.1</v>
      </c>
      <c r="K2640" s="8">
        <f>financials[[#This Row],[Net Sales]]-financials[[#This Row],[COGS]]</f>
        <v>182.15</v>
      </c>
      <c r="L2640" s="15">
        <v>45478</v>
      </c>
      <c r="M2640" t="s">
        <v>690</v>
      </c>
    </row>
    <row r="2641" spans="1:13" x14ac:dyDescent="0.25">
      <c r="A2641" t="s">
        <v>87</v>
      </c>
      <c r="B2641" s="6" t="s">
        <v>197</v>
      </c>
      <c r="C2641" s="13">
        <v>106</v>
      </c>
      <c r="D2641" s="14" t="s">
        <v>90</v>
      </c>
      <c r="E2641">
        <v>7</v>
      </c>
      <c r="F2641" s="8">
        <f>VLOOKUP(financials[[#This Row],[productid]],Products!$B$2:$H$10,3)</f>
        <v>25</v>
      </c>
      <c r="G2641" s="8">
        <f>financials[[#This Row],[Units Sold]]*financials[[#This Row],[Sale Price]]</f>
        <v>175</v>
      </c>
      <c r="H2641" s="8">
        <f>IF(financials[[#This Row],[Discount Band]]="low",0.1,IF(financials[[#This Row],[Discount Band]]="medium",0.15,0.3))</f>
        <v>0.15</v>
      </c>
      <c r="I2641" s="8">
        <f>financials[[#This Row],[Gross Sales]]-financials[[#This Row],[Gross Sales]]*financials[[#This Row],[Discounts]]</f>
        <v>148.75</v>
      </c>
      <c r="J2641" s="8">
        <f>VLOOKUP(financials[[#This Row],[productid]],Products!$B$2:$H$10,4)</f>
        <v>9.1</v>
      </c>
      <c r="K2641" s="8">
        <f>financials[[#This Row],[Net Sales]]-financials[[#This Row],[COGS]]</f>
        <v>139.65</v>
      </c>
      <c r="L2641" s="15">
        <v>43839</v>
      </c>
      <c r="M2641" t="s">
        <v>696</v>
      </c>
    </row>
    <row r="2642" spans="1:13" x14ac:dyDescent="0.25">
      <c r="A2642" t="s">
        <v>87</v>
      </c>
      <c r="B2642" s="6" t="s">
        <v>93</v>
      </c>
      <c r="C2642" s="13">
        <v>101</v>
      </c>
      <c r="D2642" s="14" t="s">
        <v>91</v>
      </c>
      <c r="E2642">
        <v>7</v>
      </c>
      <c r="F2642" s="8">
        <f>VLOOKUP(financials[[#This Row],[productid]],Products!$B$2:$H$10,3)</f>
        <v>23</v>
      </c>
      <c r="G2642" s="8">
        <f>financials[[#This Row],[Units Sold]]*financials[[#This Row],[Sale Price]]</f>
        <v>161</v>
      </c>
      <c r="H2642" s="8">
        <f>IF(financials[[#This Row],[Discount Band]]="low",0.1,IF(financials[[#This Row],[Discount Band]]="medium",0.15,0.3))</f>
        <v>0.1</v>
      </c>
      <c r="I2642" s="8">
        <f>financials[[#This Row],[Gross Sales]]-financials[[#This Row],[Gross Sales]]*financials[[#This Row],[Discounts]]</f>
        <v>144.9</v>
      </c>
      <c r="J2642" s="8">
        <f>VLOOKUP(financials[[#This Row],[productid]],Products!$B$2:$H$10,4)</f>
        <v>9.9499999999999993</v>
      </c>
      <c r="K2642" s="8">
        <f>financials[[#This Row],[Net Sales]]-financials[[#This Row],[COGS]]</f>
        <v>134.95000000000002</v>
      </c>
      <c r="L2642" s="15">
        <v>44285</v>
      </c>
      <c r="M2642" t="s">
        <v>700</v>
      </c>
    </row>
    <row r="2643" spans="1:13" x14ac:dyDescent="0.25">
      <c r="A2643" t="s">
        <v>86</v>
      </c>
      <c r="B2643" s="6" t="s">
        <v>84</v>
      </c>
      <c r="C2643" s="13">
        <v>106</v>
      </c>
      <c r="D2643" s="14" t="s">
        <v>83</v>
      </c>
      <c r="E2643">
        <v>15</v>
      </c>
      <c r="F2643" s="8">
        <f>VLOOKUP(financials[[#This Row],[productid]],Products!$B$2:$H$10,3)</f>
        <v>25</v>
      </c>
      <c r="G2643" s="8">
        <f>financials[[#This Row],[Units Sold]]*financials[[#This Row],[Sale Price]]</f>
        <v>375</v>
      </c>
      <c r="H2643" s="8">
        <f>IF(financials[[#This Row],[Discount Band]]="low",0.1,IF(financials[[#This Row],[Discount Band]]="medium",0.15,0.3))</f>
        <v>0.3</v>
      </c>
      <c r="I2643" s="8">
        <f>financials[[#This Row],[Gross Sales]]-financials[[#This Row],[Gross Sales]]*financials[[#This Row],[Discounts]]</f>
        <v>262.5</v>
      </c>
      <c r="J2643" s="8">
        <f>VLOOKUP(financials[[#This Row],[productid]],Products!$B$2:$H$10,4)</f>
        <v>9.1</v>
      </c>
      <c r="K2643" s="8">
        <f>financials[[#This Row],[Net Sales]]-financials[[#This Row],[COGS]]</f>
        <v>253.4</v>
      </c>
      <c r="L2643" s="15">
        <v>43879</v>
      </c>
      <c r="M2643" t="s">
        <v>700</v>
      </c>
    </row>
    <row r="2644" spans="1:13" x14ac:dyDescent="0.25">
      <c r="A2644" t="s">
        <v>87</v>
      </c>
      <c r="B2644" s="6" t="s">
        <v>228</v>
      </c>
      <c r="C2644" s="13">
        <v>104</v>
      </c>
      <c r="D2644" s="14" t="s">
        <v>91</v>
      </c>
      <c r="E2644">
        <v>7</v>
      </c>
      <c r="F2644" s="8">
        <f>VLOOKUP(financials[[#This Row],[productid]],Products!$B$2:$H$10,3)</f>
        <v>5.9</v>
      </c>
      <c r="G2644" s="8">
        <f>financials[[#This Row],[Units Sold]]*financials[[#This Row],[Sale Price]]</f>
        <v>41.300000000000004</v>
      </c>
      <c r="H2644" s="8">
        <f>IF(financials[[#This Row],[Discount Band]]="low",0.1,IF(financials[[#This Row],[Discount Band]]="medium",0.15,0.3))</f>
        <v>0.1</v>
      </c>
      <c r="I2644" s="8">
        <f>financials[[#This Row],[Gross Sales]]-financials[[#This Row],[Gross Sales]]*financials[[#This Row],[Discounts]]</f>
        <v>37.17</v>
      </c>
      <c r="J2644" s="8">
        <f>VLOOKUP(financials[[#This Row],[productid]],Products!$B$2:$H$10,4)</f>
        <v>2.9</v>
      </c>
      <c r="K2644" s="8">
        <f>financials[[#This Row],[Net Sales]]-financials[[#This Row],[COGS]]</f>
        <v>34.270000000000003</v>
      </c>
      <c r="L2644" s="15">
        <v>43939</v>
      </c>
      <c r="M2644" t="s">
        <v>697</v>
      </c>
    </row>
    <row r="2645" spans="1:13" x14ac:dyDescent="0.25">
      <c r="A2645" t="s">
        <v>86</v>
      </c>
      <c r="B2645" s="6" t="s">
        <v>124</v>
      </c>
      <c r="C2645" s="13">
        <v>102</v>
      </c>
      <c r="D2645" s="14" t="s">
        <v>83</v>
      </c>
      <c r="E2645">
        <v>14</v>
      </c>
      <c r="F2645" s="8">
        <f>VLOOKUP(financials[[#This Row],[productid]],Products!$B$2:$H$10,3)</f>
        <v>15</v>
      </c>
      <c r="G2645" s="8">
        <f>financials[[#This Row],[Units Sold]]*financials[[#This Row],[Sale Price]]</f>
        <v>210</v>
      </c>
      <c r="H2645" s="8">
        <f>IF(financials[[#This Row],[Discount Band]]="low",0.1,IF(financials[[#This Row],[Discount Band]]="medium",0.15,0.3))</f>
        <v>0.3</v>
      </c>
      <c r="I2645" s="8">
        <f>financials[[#This Row],[Gross Sales]]-financials[[#This Row],[Gross Sales]]*financials[[#This Row],[Discounts]]</f>
        <v>147</v>
      </c>
      <c r="J2645" s="8">
        <f>VLOOKUP(financials[[#This Row],[productid]],Products!$B$2:$H$10,4)</f>
        <v>13.95</v>
      </c>
      <c r="K2645" s="8">
        <f>financials[[#This Row],[Net Sales]]-financials[[#This Row],[COGS]]</f>
        <v>133.05000000000001</v>
      </c>
      <c r="L2645" s="15">
        <v>45331</v>
      </c>
      <c r="M2645" t="s">
        <v>691</v>
      </c>
    </row>
    <row r="2646" spans="1:13" x14ac:dyDescent="0.25">
      <c r="A2646" t="s">
        <v>85</v>
      </c>
      <c r="B2646" s="6" t="s">
        <v>159</v>
      </c>
      <c r="C2646" s="11">
        <v>103</v>
      </c>
      <c r="D2646" s="9" t="s">
        <v>83</v>
      </c>
      <c r="E2646">
        <v>16</v>
      </c>
      <c r="F2646" s="8">
        <f>VLOOKUP(financials[[#This Row],[productid]],Products!$B$2:$H$10,3)</f>
        <v>28</v>
      </c>
      <c r="G2646" s="8">
        <f>financials[[#This Row],[Units Sold]]*financials[[#This Row],[Sale Price]]</f>
        <v>448</v>
      </c>
      <c r="H2646" s="8">
        <f>IF(financials[[#This Row],[Discount Band]]="low",0.1,IF(financials[[#This Row],[Discount Band]]="medium",0.15,0.3))</f>
        <v>0.3</v>
      </c>
      <c r="I2646" s="8">
        <f>financials[[#This Row],[Gross Sales]]-financials[[#This Row],[Gross Sales]]*financials[[#This Row],[Discounts]]</f>
        <v>313.60000000000002</v>
      </c>
      <c r="J2646" s="8">
        <f>VLOOKUP(financials[[#This Row],[productid]],Products!$B$2:$H$10,4)</f>
        <v>15</v>
      </c>
      <c r="K2646" s="8">
        <f>financials[[#This Row],[Net Sales]]-financials[[#This Row],[COGS]]</f>
        <v>298.60000000000002</v>
      </c>
      <c r="L2646" s="15">
        <v>44085</v>
      </c>
      <c r="M2646" t="s">
        <v>696</v>
      </c>
    </row>
    <row r="2647" spans="1:13" x14ac:dyDescent="0.25">
      <c r="A2647" t="s">
        <v>86</v>
      </c>
      <c r="B2647" s="6" t="s">
        <v>124</v>
      </c>
      <c r="C2647" s="13">
        <v>108</v>
      </c>
      <c r="D2647" s="14" t="s">
        <v>83</v>
      </c>
      <c r="E2647">
        <v>16</v>
      </c>
      <c r="F2647" s="8">
        <f>VLOOKUP(financials[[#This Row],[productid]],Products!$B$2:$H$10,3)</f>
        <v>5.5</v>
      </c>
      <c r="G2647" s="8">
        <f>financials[[#This Row],[Units Sold]]*financials[[#This Row],[Sale Price]]</f>
        <v>88</v>
      </c>
      <c r="H2647" s="8">
        <f>IF(financials[[#This Row],[Discount Band]]="low",0.1,IF(financials[[#This Row],[Discount Band]]="medium",0.15,0.3))</f>
        <v>0.3</v>
      </c>
      <c r="I2647" s="8">
        <f>financials[[#This Row],[Gross Sales]]-financials[[#This Row],[Gross Sales]]*financials[[#This Row],[Discounts]]</f>
        <v>61.6</v>
      </c>
      <c r="J2647" s="8">
        <f>VLOOKUP(financials[[#This Row],[productid]],Products!$B$2:$H$10,4)</f>
        <v>3.99</v>
      </c>
      <c r="K2647" s="8">
        <f>financials[[#This Row],[Net Sales]]-financials[[#This Row],[COGS]]</f>
        <v>57.61</v>
      </c>
      <c r="L2647" s="15">
        <v>44214</v>
      </c>
      <c r="M2647" t="s">
        <v>691</v>
      </c>
    </row>
    <row r="2648" spans="1:13" x14ac:dyDescent="0.25">
      <c r="A2648" t="s">
        <v>87</v>
      </c>
      <c r="B2648" s="6" t="s">
        <v>125</v>
      </c>
      <c r="C2648" s="11">
        <v>107</v>
      </c>
      <c r="D2648" s="9" t="s">
        <v>91</v>
      </c>
      <c r="E2648">
        <v>7</v>
      </c>
      <c r="F2648" s="8">
        <f>VLOOKUP(financials[[#This Row],[productid]],Products!$B$2:$H$10,3)</f>
        <v>15</v>
      </c>
      <c r="G2648" s="8">
        <f>financials[[#This Row],[Units Sold]]*financials[[#This Row],[Sale Price]]</f>
        <v>105</v>
      </c>
      <c r="H2648" s="8">
        <f>IF(financials[[#This Row],[Discount Band]]="low",0.1,IF(financials[[#This Row],[Discount Band]]="medium",0.15,0.3))</f>
        <v>0.1</v>
      </c>
      <c r="I2648" s="8">
        <f>financials[[#This Row],[Gross Sales]]-financials[[#This Row],[Gross Sales]]*financials[[#This Row],[Discounts]]</f>
        <v>94.5</v>
      </c>
      <c r="J2648" s="8">
        <f>VLOOKUP(financials[[#This Row],[productid]],Products!$B$2:$H$10,4)</f>
        <v>5.5</v>
      </c>
      <c r="K2648" s="8">
        <f>financials[[#This Row],[Net Sales]]-financials[[#This Row],[COGS]]</f>
        <v>89</v>
      </c>
      <c r="L2648" s="15">
        <v>44596</v>
      </c>
      <c r="M2648" t="s">
        <v>697</v>
      </c>
    </row>
    <row r="2649" spans="1:13" x14ac:dyDescent="0.25">
      <c r="A2649" t="s">
        <v>87</v>
      </c>
      <c r="B2649" s="6" t="s">
        <v>273</v>
      </c>
      <c r="C2649" s="13">
        <v>102</v>
      </c>
      <c r="D2649" s="14" t="s">
        <v>90</v>
      </c>
      <c r="E2649">
        <v>6</v>
      </c>
      <c r="F2649" s="8">
        <f>VLOOKUP(financials[[#This Row],[productid]],Products!$B$2:$H$10,3)</f>
        <v>15</v>
      </c>
      <c r="G2649" s="8">
        <f>financials[[#This Row],[Units Sold]]*financials[[#This Row],[Sale Price]]</f>
        <v>90</v>
      </c>
      <c r="H2649" s="8">
        <f>IF(financials[[#This Row],[Discount Band]]="low",0.1,IF(financials[[#This Row],[Discount Band]]="medium",0.15,0.3))</f>
        <v>0.15</v>
      </c>
      <c r="I2649" s="8">
        <f>financials[[#This Row],[Gross Sales]]-financials[[#This Row],[Gross Sales]]*financials[[#This Row],[Discounts]]</f>
        <v>76.5</v>
      </c>
      <c r="J2649" s="8">
        <f>VLOOKUP(financials[[#This Row],[productid]],Products!$B$2:$H$10,4)</f>
        <v>13.95</v>
      </c>
      <c r="K2649" s="8">
        <f>financials[[#This Row],[Net Sales]]-financials[[#This Row],[COGS]]</f>
        <v>62.55</v>
      </c>
      <c r="L2649" s="15">
        <v>45098</v>
      </c>
      <c r="M2649" t="s">
        <v>697</v>
      </c>
    </row>
    <row r="2650" spans="1:13" x14ac:dyDescent="0.25">
      <c r="A2650" t="s">
        <v>87</v>
      </c>
      <c r="B2650" s="6" t="s">
        <v>274</v>
      </c>
      <c r="C2650" s="13">
        <v>103</v>
      </c>
      <c r="D2650" s="14" t="s">
        <v>91</v>
      </c>
      <c r="E2650">
        <v>7</v>
      </c>
      <c r="F2650" s="8">
        <f>VLOOKUP(financials[[#This Row],[productid]],Products!$B$2:$H$10,3)</f>
        <v>28</v>
      </c>
      <c r="G2650" s="8">
        <f>financials[[#This Row],[Units Sold]]*financials[[#This Row],[Sale Price]]</f>
        <v>196</v>
      </c>
      <c r="H2650" s="8">
        <f>IF(financials[[#This Row],[Discount Band]]="low",0.1,IF(financials[[#This Row],[Discount Band]]="medium",0.15,0.3))</f>
        <v>0.1</v>
      </c>
      <c r="I2650" s="8">
        <f>financials[[#This Row],[Gross Sales]]-financials[[#This Row],[Gross Sales]]*financials[[#This Row],[Discounts]]</f>
        <v>176.4</v>
      </c>
      <c r="J2650" s="8">
        <f>VLOOKUP(financials[[#This Row],[productid]],Products!$B$2:$H$10,4)</f>
        <v>15</v>
      </c>
      <c r="K2650" s="8">
        <f>financials[[#This Row],[Net Sales]]-financials[[#This Row],[COGS]]</f>
        <v>161.4</v>
      </c>
      <c r="L2650" s="15">
        <v>43835</v>
      </c>
      <c r="M2650" t="s">
        <v>697</v>
      </c>
    </row>
    <row r="2651" spans="1:13" x14ac:dyDescent="0.25">
      <c r="A2651" t="s">
        <v>87</v>
      </c>
      <c r="B2651" s="6" t="s">
        <v>148</v>
      </c>
      <c r="C2651" s="13">
        <v>104</v>
      </c>
      <c r="D2651" s="14" t="s">
        <v>83</v>
      </c>
      <c r="E2651">
        <v>6</v>
      </c>
      <c r="F2651" s="8">
        <f>VLOOKUP(financials[[#This Row],[productid]],Products!$B$2:$H$10,3)</f>
        <v>5.9</v>
      </c>
      <c r="G2651" s="8">
        <f>financials[[#This Row],[Units Sold]]*financials[[#This Row],[Sale Price]]</f>
        <v>35.400000000000006</v>
      </c>
      <c r="H2651" s="8">
        <f>IF(financials[[#This Row],[Discount Band]]="low",0.1,IF(financials[[#This Row],[Discount Band]]="medium",0.15,0.3))</f>
        <v>0.3</v>
      </c>
      <c r="I2651" s="8">
        <f>financials[[#This Row],[Gross Sales]]-financials[[#This Row],[Gross Sales]]*financials[[#This Row],[Discounts]]</f>
        <v>24.780000000000005</v>
      </c>
      <c r="J2651" s="8">
        <f>VLOOKUP(financials[[#This Row],[productid]],Products!$B$2:$H$10,4)</f>
        <v>2.9</v>
      </c>
      <c r="K2651" s="8">
        <f>financials[[#This Row],[Net Sales]]-financials[[#This Row],[COGS]]</f>
        <v>21.880000000000006</v>
      </c>
      <c r="L2651" s="15">
        <v>45545</v>
      </c>
      <c r="M2651" t="s">
        <v>696</v>
      </c>
    </row>
    <row r="2652" spans="1:13" x14ac:dyDescent="0.25">
      <c r="A2652" t="s">
        <v>86</v>
      </c>
      <c r="B2652" s="6" t="s">
        <v>124</v>
      </c>
      <c r="C2652" s="13">
        <v>101</v>
      </c>
      <c r="D2652" s="14" t="s">
        <v>90</v>
      </c>
      <c r="E2652">
        <v>16</v>
      </c>
      <c r="F2652" s="8">
        <f>VLOOKUP(financials[[#This Row],[productid]],Products!$B$2:$H$10,3)</f>
        <v>23</v>
      </c>
      <c r="G2652" s="8">
        <f>financials[[#This Row],[Units Sold]]*financials[[#This Row],[Sale Price]]</f>
        <v>368</v>
      </c>
      <c r="H2652" s="8">
        <f>IF(financials[[#This Row],[Discount Band]]="low",0.1,IF(financials[[#This Row],[Discount Band]]="medium",0.15,0.3))</f>
        <v>0.15</v>
      </c>
      <c r="I2652" s="8">
        <f>financials[[#This Row],[Gross Sales]]-financials[[#This Row],[Gross Sales]]*financials[[#This Row],[Discounts]]</f>
        <v>312.8</v>
      </c>
      <c r="J2652" s="8">
        <f>VLOOKUP(financials[[#This Row],[productid]],Products!$B$2:$H$10,4)</f>
        <v>9.9499999999999993</v>
      </c>
      <c r="K2652" s="8">
        <f>financials[[#This Row],[Net Sales]]-financials[[#This Row],[COGS]]</f>
        <v>302.85000000000002</v>
      </c>
      <c r="L2652" s="15">
        <v>45517</v>
      </c>
      <c r="M2652" t="s">
        <v>697</v>
      </c>
    </row>
    <row r="2653" spans="1:13" x14ac:dyDescent="0.25">
      <c r="A2653" t="s">
        <v>87</v>
      </c>
      <c r="B2653" s="6" t="s">
        <v>232</v>
      </c>
      <c r="C2653" s="13">
        <v>101</v>
      </c>
      <c r="D2653" s="14" t="s">
        <v>83</v>
      </c>
      <c r="E2653">
        <v>7</v>
      </c>
      <c r="F2653" s="8">
        <f>VLOOKUP(financials[[#This Row],[productid]],Products!$B$2:$H$10,3)</f>
        <v>23</v>
      </c>
      <c r="G2653" s="8">
        <f>financials[[#This Row],[Units Sold]]*financials[[#This Row],[Sale Price]]</f>
        <v>161</v>
      </c>
      <c r="H2653" s="8">
        <f>IF(financials[[#This Row],[Discount Band]]="low",0.1,IF(financials[[#This Row],[Discount Band]]="medium",0.15,0.3))</f>
        <v>0.3</v>
      </c>
      <c r="I2653" s="8">
        <f>financials[[#This Row],[Gross Sales]]-financials[[#This Row],[Gross Sales]]*financials[[#This Row],[Discounts]]</f>
        <v>112.7</v>
      </c>
      <c r="J2653" s="8">
        <f>VLOOKUP(financials[[#This Row],[productid]],Products!$B$2:$H$10,4)</f>
        <v>9.9499999999999993</v>
      </c>
      <c r="K2653" s="8">
        <f>financials[[#This Row],[Net Sales]]-financials[[#This Row],[COGS]]</f>
        <v>102.75</v>
      </c>
      <c r="L2653" s="15">
        <v>44966</v>
      </c>
      <c r="M2653" t="s">
        <v>700</v>
      </c>
    </row>
    <row r="2654" spans="1:13" x14ac:dyDescent="0.25">
      <c r="A2654" t="s">
        <v>87</v>
      </c>
      <c r="B2654" s="6" t="s">
        <v>158</v>
      </c>
      <c r="C2654" s="13">
        <v>105</v>
      </c>
      <c r="D2654" s="14" t="s">
        <v>83</v>
      </c>
      <c r="E2654">
        <v>12</v>
      </c>
      <c r="F2654" s="8">
        <f>VLOOKUP(financials[[#This Row],[productid]],Products!$B$2:$H$10,3)</f>
        <v>15</v>
      </c>
      <c r="G2654" s="8">
        <f>financials[[#This Row],[Units Sold]]*financials[[#This Row],[Sale Price]]</f>
        <v>180</v>
      </c>
      <c r="H2654" s="8">
        <f>IF(financials[[#This Row],[Discount Band]]="low",0.1,IF(financials[[#This Row],[Discount Band]]="medium",0.15,0.3))</f>
        <v>0.3</v>
      </c>
      <c r="I2654" s="8">
        <f>financials[[#This Row],[Gross Sales]]-financials[[#This Row],[Gross Sales]]*financials[[#This Row],[Discounts]]</f>
        <v>126</v>
      </c>
      <c r="J2654" s="8">
        <f>VLOOKUP(financials[[#This Row],[productid]],Products!$B$2:$H$10,4)</f>
        <v>10</v>
      </c>
      <c r="K2654" s="8">
        <f>financials[[#This Row],[Net Sales]]-financials[[#This Row],[COGS]]</f>
        <v>116</v>
      </c>
      <c r="L2654" s="15">
        <v>45301</v>
      </c>
      <c r="M2654" t="s">
        <v>690</v>
      </c>
    </row>
    <row r="2655" spans="1:13" x14ac:dyDescent="0.25">
      <c r="A2655" t="s">
        <v>87</v>
      </c>
      <c r="B2655" s="6" t="s">
        <v>93</v>
      </c>
      <c r="C2655" s="13">
        <v>109</v>
      </c>
      <c r="D2655" s="14" t="s">
        <v>91</v>
      </c>
      <c r="E2655">
        <v>11</v>
      </c>
      <c r="F2655" s="8">
        <f>VLOOKUP(financials[[#This Row],[productid]],Products!$B$2:$H$10,3)</f>
        <v>36</v>
      </c>
      <c r="G2655" s="8">
        <f>financials[[#This Row],[Units Sold]]*financials[[#This Row],[Sale Price]]</f>
        <v>396</v>
      </c>
      <c r="H2655" s="8">
        <f>IF(financials[[#This Row],[Discount Band]]="low",0.1,IF(financials[[#This Row],[Discount Band]]="medium",0.15,0.3))</f>
        <v>0.1</v>
      </c>
      <c r="I2655" s="8">
        <f>financials[[#This Row],[Gross Sales]]-financials[[#This Row],[Gross Sales]]*financials[[#This Row],[Discounts]]</f>
        <v>356.4</v>
      </c>
      <c r="J2655" s="8">
        <f>VLOOKUP(financials[[#This Row],[productid]],Products!$B$2:$H$10,4)</f>
        <v>16.8</v>
      </c>
      <c r="K2655" s="8">
        <f>financials[[#This Row],[Net Sales]]-financials[[#This Row],[COGS]]</f>
        <v>339.59999999999997</v>
      </c>
      <c r="L2655" s="15">
        <v>44912</v>
      </c>
      <c r="M2655" t="s">
        <v>700</v>
      </c>
    </row>
    <row r="2656" spans="1:13" x14ac:dyDescent="0.25">
      <c r="A2656" t="s">
        <v>87</v>
      </c>
      <c r="B2656" s="6" t="s">
        <v>645</v>
      </c>
      <c r="C2656" s="13">
        <v>107</v>
      </c>
      <c r="D2656" s="14" t="s">
        <v>83</v>
      </c>
      <c r="E2656">
        <v>18</v>
      </c>
      <c r="F2656" s="8">
        <f>VLOOKUP(financials[[#This Row],[productid]],Products!$B$2:$H$10,3)</f>
        <v>15</v>
      </c>
      <c r="G2656" s="8">
        <f>financials[[#This Row],[Units Sold]]*financials[[#This Row],[Sale Price]]</f>
        <v>270</v>
      </c>
      <c r="H2656" s="8">
        <f>IF(financials[[#This Row],[Discount Band]]="low",0.1,IF(financials[[#This Row],[Discount Band]]="medium",0.15,0.3))</f>
        <v>0.3</v>
      </c>
      <c r="I2656" s="8">
        <f>financials[[#This Row],[Gross Sales]]-financials[[#This Row],[Gross Sales]]*financials[[#This Row],[Discounts]]</f>
        <v>189</v>
      </c>
      <c r="J2656" s="8">
        <f>VLOOKUP(financials[[#This Row],[productid]],Products!$B$2:$H$10,4)</f>
        <v>5.5</v>
      </c>
      <c r="K2656" s="8">
        <f>financials[[#This Row],[Net Sales]]-financials[[#This Row],[COGS]]</f>
        <v>183.5</v>
      </c>
      <c r="L2656" s="15">
        <v>44302</v>
      </c>
      <c r="M2656" t="s">
        <v>690</v>
      </c>
    </row>
    <row r="2657" spans="1:13" x14ac:dyDescent="0.25">
      <c r="A2657" t="s">
        <v>86</v>
      </c>
      <c r="B2657" s="6" t="s">
        <v>159</v>
      </c>
      <c r="C2657" s="13">
        <v>107</v>
      </c>
      <c r="D2657" s="14" t="s">
        <v>83</v>
      </c>
      <c r="E2657">
        <v>5</v>
      </c>
      <c r="F2657" s="8">
        <f>VLOOKUP(financials[[#This Row],[productid]],Products!$B$2:$H$10,3)</f>
        <v>15</v>
      </c>
      <c r="G2657" s="8">
        <f>financials[[#This Row],[Units Sold]]*financials[[#This Row],[Sale Price]]</f>
        <v>75</v>
      </c>
      <c r="H2657" s="8">
        <f>IF(financials[[#This Row],[Discount Band]]="low",0.1,IF(financials[[#This Row],[Discount Band]]="medium",0.15,0.3))</f>
        <v>0.3</v>
      </c>
      <c r="I2657" s="8">
        <f>financials[[#This Row],[Gross Sales]]-financials[[#This Row],[Gross Sales]]*financials[[#This Row],[Discounts]]</f>
        <v>52.5</v>
      </c>
      <c r="J2657" s="8">
        <f>VLOOKUP(financials[[#This Row],[productid]],Products!$B$2:$H$10,4)</f>
        <v>5.5</v>
      </c>
      <c r="K2657" s="8">
        <f>financials[[#This Row],[Net Sales]]-financials[[#This Row],[COGS]]</f>
        <v>47</v>
      </c>
      <c r="L2657" s="15">
        <v>44915</v>
      </c>
      <c r="M2657" t="s">
        <v>691</v>
      </c>
    </row>
    <row r="2658" spans="1:13" x14ac:dyDescent="0.25">
      <c r="A2658" t="s">
        <v>87</v>
      </c>
      <c r="B2658" s="6" t="s">
        <v>645</v>
      </c>
      <c r="C2658" s="13">
        <v>101</v>
      </c>
      <c r="D2658" s="14" t="s">
        <v>83</v>
      </c>
      <c r="E2658">
        <v>8</v>
      </c>
      <c r="F2658" s="8">
        <f>VLOOKUP(financials[[#This Row],[productid]],Products!$B$2:$H$10,3)</f>
        <v>23</v>
      </c>
      <c r="G2658" s="8">
        <f>financials[[#This Row],[Units Sold]]*financials[[#This Row],[Sale Price]]</f>
        <v>184</v>
      </c>
      <c r="H2658" s="8">
        <f>IF(financials[[#This Row],[Discount Band]]="low",0.1,IF(financials[[#This Row],[Discount Band]]="medium",0.15,0.3))</f>
        <v>0.3</v>
      </c>
      <c r="I2658" s="8">
        <f>financials[[#This Row],[Gross Sales]]-financials[[#This Row],[Gross Sales]]*financials[[#This Row],[Discounts]]</f>
        <v>128.80000000000001</v>
      </c>
      <c r="J2658" s="8">
        <f>VLOOKUP(financials[[#This Row],[productid]],Products!$B$2:$H$10,4)</f>
        <v>9.9499999999999993</v>
      </c>
      <c r="K2658" s="8">
        <f>financials[[#This Row],[Net Sales]]-financials[[#This Row],[COGS]]</f>
        <v>118.85000000000001</v>
      </c>
      <c r="L2658" s="15">
        <v>44319</v>
      </c>
      <c r="M2658" t="s">
        <v>696</v>
      </c>
    </row>
    <row r="2659" spans="1:13" x14ac:dyDescent="0.25">
      <c r="A2659" t="s">
        <v>87</v>
      </c>
      <c r="B2659" s="6" t="s">
        <v>125</v>
      </c>
      <c r="C2659" s="13">
        <v>109</v>
      </c>
      <c r="D2659" s="14" t="s">
        <v>83</v>
      </c>
      <c r="E2659">
        <v>12</v>
      </c>
      <c r="F2659" s="8">
        <f>VLOOKUP(financials[[#This Row],[productid]],Products!$B$2:$H$10,3)</f>
        <v>36</v>
      </c>
      <c r="G2659" s="8">
        <f>financials[[#This Row],[Units Sold]]*financials[[#This Row],[Sale Price]]</f>
        <v>432</v>
      </c>
      <c r="H2659" s="8">
        <f>IF(financials[[#This Row],[Discount Band]]="low",0.1,IF(financials[[#This Row],[Discount Band]]="medium",0.15,0.3))</f>
        <v>0.3</v>
      </c>
      <c r="I2659" s="8">
        <f>financials[[#This Row],[Gross Sales]]-financials[[#This Row],[Gross Sales]]*financials[[#This Row],[Discounts]]</f>
        <v>302.39999999999998</v>
      </c>
      <c r="J2659" s="8">
        <f>VLOOKUP(financials[[#This Row],[productid]],Products!$B$2:$H$10,4)</f>
        <v>16.8</v>
      </c>
      <c r="K2659" s="8">
        <f>financials[[#This Row],[Net Sales]]-financials[[#This Row],[COGS]]</f>
        <v>285.59999999999997</v>
      </c>
      <c r="L2659" s="15">
        <v>45612</v>
      </c>
      <c r="M2659" t="s">
        <v>700</v>
      </c>
    </row>
    <row r="2660" spans="1:13" x14ac:dyDescent="0.25">
      <c r="A2660" t="s">
        <v>85</v>
      </c>
      <c r="B2660" s="6" t="s">
        <v>124</v>
      </c>
      <c r="C2660" s="13">
        <v>103</v>
      </c>
      <c r="D2660" s="14" t="s">
        <v>83</v>
      </c>
      <c r="E2660">
        <v>5</v>
      </c>
      <c r="F2660" s="8">
        <f>VLOOKUP(financials[[#This Row],[productid]],Products!$B$2:$H$10,3)</f>
        <v>28</v>
      </c>
      <c r="G2660" s="8">
        <f>financials[[#This Row],[Units Sold]]*financials[[#This Row],[Sale Price]]</f>
        <v>140</v>
      </c>
      <c r="H2660" s="8">
        <f>IF(financials[[#This Row],[Discount Band]]="low",0.1,IF(financials[[#This Row],[Discount Band]]="medium",0.15,0.3))</f>
        <v>0.3</v>
      </c>
      <c r="I2660" s="8">
        <f>financials[[#This Row],[Gross Sales]]-financials[[#This Row],[Gross Sales]]*financials[[#This Row],[Discounts]]</f>
        <v>98</v>
      </c>
      <c r="J2660" s="8">
        <f>VLOOKUP(financials[[#This Row],[productid]],Products!$B$2:$H$10,4)</f>
        <v>15</v>
      </c>
      <c r="K2660" s="8">
        <f>financials[[#This Row],[Net Sales]]-financials[[#This Row],[COGS]]</f>
        <v>83</v>
      </c>
      <c r="L2660" s="15">
        <v>44207</v>
      </c>
      <c r="M2660" t="s">
        <v>696</v>
      </c>
    </row>
    <row r="2661" spans="1:13" x14ac:dyDescent="0.25">
      <c r="A2661" t="s">
        <v>86</v>
      </c>
      <c r="B2661" s="6" t="s">
        <v>124</v>
      </c>
      <c r="C2661" s="13">
        <v>101</v>
      </c>
      <c r="D2661" s="14" t="s">
        <v>83</v>
      </c>
      <c r="E2661">
        <v>7</v>
      </c>
      <c r="F2661" s="8">
        <f>VLOOKUP(financials[[#This Row],[productid]],Products!$B$2:$H$10,3)</f>
        <v>23</v>
      </c>
      <c r="G2661" s="8">
        <f>financials[[#This Row],[Units Sold]]*financials[[#This Row],[Sale Price]]</f>
        <v>161</v>
      </c>
      <c r="H2661" s="8">
        <f>IF(financials[[#This Row],[Discount Band]]="low",0.1,IF(financials[[#This Row],[Discount Band]]="medium",0.15,0.3))</f>
        <v>0.3</v>
      </c>
      <c r="I2661" s="8">
        <f>financials[[#This Row],[Gross Sales]]-financials[[#This Row],[Gross Sales]]*financials[[#This Row],[Discounts]]</f>
        <v>112.7</v>
      </c>
      <c r="J2661" s="8">
        <f>VLOOKUP(financials[[#This Row],[productid]],Products!$B$2:$H$10,4)</f>
        <v>9.9499999999999993</v>
      </c>
      <c r="K2661" s="8">
        <f>financials[[#This Row],[Net Sales]]-financials[[#This Row],[COGS]]</f>
        <v>102.75</v>
      </c>
      <c r="L2661" s="15">
        <v>44675</v>
      </c>
      <c r="M2661" t="s">
        <v>690</v>
      </c>
    </row>
    <row r="2662" spans="1:13" x14ac:dyDescent="0.25">
      <c r="A2662" t="s">
        <v>87</v>
      </c>
      <c r="B2662" s="6" t="s">
        <v>94</v>
      </c>
      <c r="C2662" s="13">
        <v>109</v>
      </c>
      <c r="D2662" s="14" t="s">
        <v>90</v>
      </c>
      <c r="E2662">
        <v>10</v>
      </c>
      <c r="F2662" s="8">
        <f>VLOOKUP(financials[[#This Row],[productid]],Products!$B$2:$H$10,3)</f>
        <v>36</v>
      </c>
      <c r="G2662" s="8">
        <f>financials[[#This Row],[Units Sold]]*financials[[#This Row],[Sale Price]]</f>
        <v>360</v>
      </c>
      <c r="H2662" s="8">
        <f>IF(financials[[#This Row],[Discount Band]]="low",0.1,IF(financials[[#This Row],[Discount Band]]="medium",0.15,0.3))</f>
        <v>0.15</v>
      </c>
      <c r="I2662" s="8">
        <f>financials[[#This Row],[Gross Sales]]-financials[[#This Row],[Gross Sales]]*financials[[#This Row],[Discounts]]</f>
        <v>306</v>
      </c>
      <c r="J2662" s="8">
        <f>VLOOKUP(financials[[#This Row],[productid]],Products!$B$2:$H$10,4)</f>
        <v>16.8</v>
      </c>
      <c r="K2662" s="8">
        <f>financials[[#This Row],[Net Sales]]-financials[[#This Row],[COGS]]</f>
        <v>289.2</v>
      </c>
      <c r="L2662" s="15">
        <v>44967</v>
      </c>
      <c r="M2662" t="s">
        <v>697</v>
      </c>
    </row>
    <row r="2663" spans="1:13" x14ac:dyDescent="0.25">
      <c r="A2663" t="s">
        <v>87</v>
      </c>
      <c r="B2663" s="6" t="s">
        <v>617</v>
      </c>
      <c r="C2663" s="13">
        <v>108</v>
      </c>
      <c r="D2663" s="14" t="s">
        <v>91</v>
      </c>
      <c r="E2663">
        <v>10</v>
      </c>
      <c r="F2663" s="8">
        <f>VLOOKUP(financials[[#This Row],[productid]],Products!$B$2:$H$10,3)</f>
        <v>5.5</v>
      </c>
      <c r="G2663" s="8">
        <f>financials[[#This Row],[Units Sold]]*financials[[#This Row],[Sale Price]]</f>
        <v>55</v>
      </c>
      <c r="H2663" s="8">
        <f>IF(financials[[#This Row],[Discount Band]]="low",0.1,IF(financials[[#This Row],[Discount Band]]="medium",0.15,0.3))</f>
        <v>0.1</v>
      </c>
      <c r="I2663" s="8">
        <f>financials[[#This Row],[Gross Sales]]-financials[[#This Row],[Gross Sales]]*financials[[#This Row],[Discounts]]</f>
        <v>49.5</v>
      </c>
      <c r="J2663" s="8">
        <f>VLOOKUP(financials[[#This Row],[productid]],Products!$B$2:$H$10,4)</f>
        <v>3.99</v>
      </c>
      <c r="K2663" s="8">
        <f>financials[[#This Row],[Net Sales]]-financials[[#This Row],[COGS]]</f>
        <v>45.51</v>
      </c>
      <c r="L2663" s="15">
        <v>44715</v>
      </c>
      <c r="M2663" t="s">
        <v>690</v>
      </c>
    </row>
    <row r="2664" spans="1:13" x14ac:dyDescent="0.25">
      <c r="A2664" t="s">
        <v>87</v>
      </c>
      <c r="B2664" s="6" t="s">
        <v>228</v>
      </c>
      <c r="C2664" s="13">
        <v>109</v>
      </c>
      <c r="D2664" s="14" t="s">
        <v>83</v>
      </c>
      <c r="E2664">
        <v>19</v>
      </c>
      <c r="F2664" s="8">
        <f>VLOOKUP(financials[[#This Row],[productid]],Products!$B$2:$H$10,3)</f>
        <v>36</v>
      </c>
      <c r="G2664" s="8">
        <f>financials[[#This Row],[Units Sold]]*financials[[#This Row],[Sale Price]]</f>
        <v>684</v>
      </c>
      <c r="H2664" s="8">
        <f>IF(financials[[#This Row],[Discount Band]]="low",0.1,IF(financials[[#This Row],[Discount Band]]="medium",0.15,0.3))</f>
        <v>0.3</v>
      </c>
      <c r="I2664" s="8">
        <f>financials[[#This Row],[Gross Sales]]-financials[[#This Row],[Gross Sales]]*financials[[#This Row],[Discounts]]</f>
        <v>478.8</v>
      </c>
      <c r="J2664" s="8">
        <f>VLOOKUP(financials[[#This Row],[productid]],Products!$B$2:$H$10,4)</f>
        <v>16.8</v>
      </c>
      <c r="K2664" s="8">
        <f>financials[[#This Row],[Net Sales]]-financials[[#This Row],[COGS]]</f>
        <v>462</v>
      </c>
      <c r="L2664" s="15">
        <v>44592</v>
      </c>
      <c r="M2664" t="s">
        <v>691</v>
      </c>
    </row>
    <row r="2665" spans="1:13" x14ac:dyDescent="0.25">
      <c r="A2665" t="s">
        <v>86</v>
      </c>
      <c r="B2665" s="6" t="s">
        <v>124</v>
      </c>
      <c r="C2665" s="11">
        <v>108</v>
      </c>
      <c r="D2665" s="9" t="s">
        <v>90</v>
      </c>
      <c r="E2665">
        <v>7</v>
      </c>
      <c r="F2665" s="8">
        <f>VLOOKUP(financials[[#This Row],[productid]],Products!$B$2:$H$10,3)</f>
        <v>5.5</v>
      </c>
      <c r="G2665" s="8">
        <f>financials[[#This Row],[Units Sold]]*financials[[#This Row],[Sale Price]]</f>
        <v>38.5</v>
      </c>
      <c r="H2665" s="8">
        <f>IF(financials[[#This Row],[Discount Band]]="low",0.1,IF(financials[[#This Row],[Discount Band]]="medium",0.15,0.3))</f>
        <v>0.15</v>
      </c>
      <c r="I2665" s="8">
        <f>financials[[#This Row],[Gross Sales]]-financials[[#This Row],[Gross Sales]]*financials[[#This Row],[Discounts]]</f>
        <v>32.725000000000001</v>
      </c>
      <c r="J2665" s="8">
        <f>VLOOKUP(financials[[#This Row],[productid]],Products!$B$2:$H$10,4)</f>
        <v>3.99</v>
      </c>
      <c r="K2665" s="8">
        <f>financials[[#This Row],[Net Sales]]-financials[[#This Row],[COGS]]</f>
        <v>28.734999999999999</v>
      </c>
      <c r="L2665" s="15">
        <v>43987</v>
      </c>
      <c r="M2665" t="s">
        <v>696</v>
      </c>
    </row>
    <row r="2666" spans="1:13" x14ac:dyDescent="0.25">
      <c r="A2666" t="s">
        <v>88</v>
      </c>
      <c r="B2666" s="6" t="s">
        <v>93</v>
      </c>
      <c r="C2666" s="13">
        <v>101</v>
      </c>
      <c r="D2666" s="14" t="s">
        <v>83</v>
      </c>
      <c r="E2666">
        <v>13</v>
      </c>
      <c r="F2666" s="8">
        <f>VLOOKUP(financials[[#This Row],[productid]],Products!$B$2:$H$10,3)</f>
        <v>23</v>
      </c>
      <c r="G2666" s="8">
        <f>financials[[#This Row],[Units Sold]]*financials[[#This Row],[Sale Price]]</f>
        <v>299</v>
      </c>
      <c r="H2666" s="8">
        <f>IF(financials[[#This Row],[Discount Band]]="low",0.1,IF(financials[[#This Row],[Discount Band]]="medium",0.15,0.3))</f>
        <v>0.3</v>
      </c>
      <c r="I2666" s="8">
        <f>financials[[#This Row],[Gross Sales]]-financials[[#This Row],[Gross Sales]]*financials[[#This Row],[Discounts]]</f>
        <v>209.3</v>
      </c>
      <c r="J2666" s="8">
        <f>VLOOKUP(financials[[#This Row],[productid]],Products!$B$2:$H$10,4)</f>
        <v>9.9499999999999993</v>
      </c>
      <c r="K2666" s="8">
        <f>financials[[#This Row],[Net Sales]]-financials[[#This Row],[COGS]]</f>
        <v>199.35000000000002</v>
      </c>
      <c r="L2666" s="15">
        <v>44644</v>
      </c>
      <c r="M2666" t="s">
        <v>697</v>
      </c>
    </row>
    <row r="2667" spans="1:13" x14ac:dyDescent="0.25">
      <c r="A2667" t="s">
        <v>86</v>
      </c>
      <c r="B2667" s="6" t="s">
        <v>84</v>
      </c>
      <c r="C2667" s="13">
        <v>105</v>
      </c>
      <c r="D2667" s="14" t="s">
        <v>91</v>
      </c>
      <c r="E2667">
        <v>7</v>
      </c>
      <c r="F2667" s="8">
        <f>VLOOKUP(financials[[#This Row],[productid]],Products!$B$2:$H$10,3)</f>
        <v>15</v>
      </c>
      <c r="G2667" s="8">
        <f>financials[[#This Row],[Units Sold]]*financials[[#This Row],[Sale Price]]</f>
        <v>105</v>
      </c>
      <c r="H2667" s="8">
        <f>IF(financials[[#This Row],[Discount Band]]="low",0.1,IF(financials[[#This Row],[Discount Band]]="medium",0.15,0.3))</f>
        <v>0.1</v>
      </c>
      <c r="I2667" s="8">
        <f>financials[[#This Row],[Gross Sales]]-financials[[#This Row],[Gross Sales]]*financials[[#This Row],[Discounts]]</f>
        <v>94.5</v>
      </c>
      <c r="J2667" s="8">
        <f>VLOOKUP(financials[[#This Row],[productid]],Products!$B$2:$H$10,4)</f>
        <v>10</v>
      </c>
      <c r="K2667" s="8">
        <f>financials[[#This Row],[Net Sales]]-financials[[#This Row],[COGS]]</f>
        <v>84.5</v>
      </c>
      <c r="L2667" s="15">
        <v>44137</v>
      </c>
      <c r="M2667" t="s">
        <v>691</v>
      </c>
    </row>
    <row r="2668" spans="1:13" x14ac:dyDescent="0.25">
      <c r="A2668" t="s">
        <v>87</v>
      </c>
      <c r="B2668" s="6" t="s">
        <v>274</v>
      </c>
      <c r="C2668" s="13">
        <v>105</v>
      </c>
      <c r="D2668" s="14" t="s">
        <v>90</v>
      </c>
      <c r="E2668">
        <v>11</v>
      </c>
      <c r="F2668" s="8">
        <f>VLOOKUP(financials[[#This Row],[productid]],Products!$B$2:$H$10,3)</f>
        <v>15</v>
      </c>
      <c r="G2668" s="8">
        <f>financials[[#This Row],[Units Sold]]*financials[[#This Row],[Sale Price]]</f>
        <v>165</v>
      </c>
      <c r="H2668" s="8">
        <f>IF(financials[[#This Row],[Discount Band]]="low",0.1,IF(financials[[#This Row],[Discount Band]]="medium",0.15,0.3))</f>
        <v>0.15</v>
      </c>
      <c r="I2668" s="8">
        <f>financials[[#This Row],[Gross Sales]]-financials[[#This Row],[Gross Sales]]*financials[[#This Row],[Discounts]]</f>
        <v>140.25</v>
      </c>
      <c r="J2668" s="8">
        <f>VLOOKUP(financials[[#This Row],[productid]],Products!$B$2:$H$10,4)</f>
        <v>10</v>
      </c>
      <c r="K2668" s="8">
        <f>financials[[#This Row],[Net Sales]]-financials[[#This Row],[COGS]]</f>
        <v>130.25</v>
      </c>
      <c r="L2668" s="15">
        <v>44209</v>
      </c>
      <c r="M2668" t="s">
        <v>700</v>
      </c>
    </row>
    <row r="2669" spans="1:13" x14ac:dyDescent="0.25">
      <c r="A2669" t="s">
        <v>87</v>
      </c>
      <c r="B2669" s="6" t="s">
        <v>205</v>
      </c>
      <c r="C2669" s="13">
        <v>103</v>
      </c>
      <c r="D2669" s="14" t="s">
        <v>90</v>
      </c>
      <c r="E2669">
        <v>10</v>
      </c>
      <c r="F2669" s="8">
        <f>VLOOKUP(financials[[#This Row],[productid]],Products!$B$2:$H$10,3)</f>
        <v>28</v>
      </c>
      <c r="G2669" s="8">
        <f>financials[[#This Row],[Units Sold]]*financials[[#This Row],[Sale Price]]</f>
        <v>280</v>
      </c>
      <c r="H2669" s="8">
        <f>IF(financials[[#This Row],[Discount Band]]="low",0.1,IF(financials[[#This Row],[Discount Band]]="medium",0.15,0.3))</f>
        <v>0.15</v>
      </c>
      <c r="I2669" s="8">
        <f>financials[[#This Row],[Gross Sales]]-financials[[#This Row],[Gross Sales]]*financials[[#This Row],[Discounts]]</f>
        <v>238</v>
      </c>
      <c r="J2669" s="8">
        <f>VLOOKUP(financials[[#This Row],[productid]],Products!$B$2:$H$10,4)</f>
        <v>15</v>
      </c>
      <c r="K2669" s="8">
        <f>financials[[#This Row],[Net Sales]]-financials[[#This Row],[COGS]]</f>
        <v>223</v>
      </c>
      <c r="L2669" s="15">
        <v>43906</v>
      </c>
      <c r="M2669" t="s">
        <v>690</v>
      </c>
    </row>
    <row r="2670" spans="1:13" x14ac:dyDescent="0.25">
      <c r="A2670" t="s">
        <v>87</v>
      </c>
      <c r="B2670" s="6" t="s">
        <v>205</v>
      </c>
      <c r="C2670" s="13">
        <v>105</v>
      </c>
      <c r="D2670" s="14" t="s">
        <v>90</v>
      </c>
      <c r="E2670">
        <v>14</v>
      </c>
      <c r="F2670" s="8">
        <f>VLOOKUP(financials[[#This Row],[productid]],Products!$B$2:$H$10,3)</f>
        <v>15</v>
      </c>
      <c r="G2670" s="8">
        <f>financials[[#This Row],[Units Sold]]*financials[[#This Row],[Sale Price]]</f>
        <v>210</v>
      </c>
      <c r="H2670" s="8">
        <f>IF(financials[[#This Row],[Discount Band]]="low",0.1,IF(financials[[#This Row],[Discount Band]]="medium",0.15,0.3))</f>
        <v>0.15</v>
      </c>
      <c r="I2670" s="8">
        <f>financials[[#This Row],[Gross Sales]]-financials[[#This Row],[Gross Sales]]*financials[[#This Row],[Discounts]]</f>
        <v>178.5</v>
      </c>
      <c r="J2670" s="8">
        <f>VLOOKUP(financials[[#This Row],[productid]],Products!$B$2:$H$10,4)</f>
        <v>10</v>
      </c>
      <c r="K2670" s="8">
        <f>financials[[#This Row],[Net Sales]]-financials[[#This Row],[COGS]]</f>
        <v>168.5</v>
      </c>
      <c r="L2670" s="15">
        <v>44298</v>
      </c>
      <c r="M2670" t="s">
        <v>690</v>
      </c>
    </row>
    <row r="2671" spans="1:13" x14ac:dyDescent="0.25">
      <c r="A2671" t="s">
        <v>87</v>
      </c>
      <c r="B2671" s="6" t="s">
        <v>228</v>
      </c>
      <c r="C2671" s="13">
        <v>106</v>
      </c>
      <c r="D2671" s="14" t="s">
        <v>91</v>
      </c>
      <c r="E2671">
        <v>13</v>
      </c>
      <c r="F2671" s="8">
        <f>VLOOKUP(financials[[#This Row],[productid]],Products!$B$2:$H$10,3)</f>
        <v>25</v>
      </c>
      <c r="G2671" s="8">
        <f>financials[[#This Row],[Units Sold]]*financials[[#This Row],[Sale Price]]</f>
        <v>325</v>
      </c>
      <c r="H2671" s="8">
        <f>IF(financials[[#This Row],[Discount Band]]="low",0.1,IF(financials[[#This Row],[Discount Band]]="medium",0.15,0.3))</f>
        <v>0.1</v>
      </c>
      <c r="I2671" s="8">
        <f>financials[[#This Row],[Gross Sales]]-financials[[#This Row],[Gross Sales]]*financials[[#This Row],[Discounts]]</f>
        <v>292.5</v>
      </c>
      <c r="J2671" s="8">
        <f>VLOOKUP(financials[[#This Row],[productid]],Products!$B$2:$H$10,4)</f>
        <v>9.1</v>
      </c>
      <c r="K2671" s="8">
        <f>financials[[#This Row],[Net Sales]]-financials[[#This Row],[COGS]]</f>
        <v>283.39999999999998</v>
      </c>
      <c r="L2671" s="15">
        <v>45243</v>
      </c>
      <c r="M2671" t="s">
        <v>697</v>
      </c>
    </row>
    <row r="2672" spans="1:13" x14ac:dyDescent="0.25">
      <c r="A2672" t="s">
        <v>87</v>
      </c>
      <c r="B2672" s="6" t="s">
        <v>232</v>
      </c>
      <c r="C2672" s="13">
        <v>101</v>
      </c>
      <c r="D2672" s="14" t="s">
        <v>91</v>
      </c>
      <c r="E2672">
        <v>11</v>
      </c>
      <c r="F2672" s="8">
        <f>VLOOKUP(financials[[#This Row],[productid]],Products!$B$2:$H$10,3)</f>
        <v>23</v>
      </c>
      <c r="G2672" s="8">
        <f>financials[[#This Row],[Units Sold]]*financials[[#This Row],[Sale Price]]</f>
        <v>253</v>
      </c>
      <c r="H2672" s="8">
        <f>IF(financials[[#This Row],[Discount Band]]="low",0.1,IF(financials[[#This Row],[Discount Band]]="medium",0.15,0.3))</f>
        <v>0.1</v>
      </c>
      <c r="I2672" s="8">
        <f>financials[[#This Row],[Gross Sales]]-financials[[#This Row],[Gross Sales]]*financials[[#This Row],[Discounts]]</f>
        <v>227.7</v>
      </c>
      <c r="J2672" s="8">
        <f>VLOOKUP(financials[[#This Row],[productid]],Products!$B$2:$H$10,4)</f>
        <v>9.9499999999999993</v>
      </c>
      <c r="K2672" s="8">
        <f>financials[[#This Row],[Net Sales]]-financials[[#This Row],[COGS]]</f>
        <v>217.75</v>
      </c>
      <c r="L2672" s="15">
        <v>43877</v>
      </c>
      <c r="M2672" t="s">
        <v>691</v>
      </c>
    </row>
    <row r="2673" spans="1:13" x14ac:dyDescent="0.25">
      <c r="A2673" t="s">
        <v>87</v>
      </c>
      <c r="B2673" s="6" t="s">
        <v>232</v>
      </c>
      <c r="C2673" s="13">
        <v>103</v>
      </c>
      <c r="D2673" s="14" t="s">
        <v>91</v>
      </c>
      <c r="E2673">
        <v>19</v>
      </c>
      <c r="F2673" s="8">
        <f>VLOOKUP(financials[[#This Row],[productid]],Products!$B$2:$H$10,3)</f>
        <v>28</v>
      </c>
      <c r="G2673" s="8">
        <f>financials[[#This Row],[Units Sold]]*financials[[#This Row],[Sale Price]]</f>
        <v>532</v>
      </c>
      <c r="H2673" s="8">
        <f>IF(financials[[#This Row],[Discount Band]]="low",0.1,IF(financials[[#This Row],[Discount Band]]="medium",0.15,0.3))</f>
        <v>0.1</v>
      </c>
      <c r="I2673" s="8">
        <f>financials[[#This Row],[Gross Sales]]-financials[[#This Row],[Gross Sales]]*financials[[#This Row],[Discounts]]</f>
        <v>478.8</v>
      </c>
      <c r="J2673" s="8">
        <f>VLOOKUP(financials[[#This Row],[productid]],Products!$B$2:$H$10,4)</f>
        <v>15</v>
      </c>
      <c r="K2673" s="8">
        <f>financials[[#This Row],[Net Sales]]-financials[[#This Row],[COGS]]</f>
        <v>463.8</v>
      </c>
      <c r="L2673" s="15">
        <v>44187</v>
      </c>
      <c r="M2673" t="s">
        <v>697</v>
      </c>
    </row>
    <row r="2674" spans="1:13" x14ac:dyDescent="0.25">
      <c r="A2674" t="s">
        <v>87</v>
      </c>
      <c r="B2674" s="6" t="s">
        <v>617</v>
      </c>
      <c r="C2674" s="13">
        <v>108</v>
      </c>
      <c r="D2674" s="14" t="s">
        <v>83</v>
      </c>
      <c r="E2674">
        <v>17</v>
      </c>
      <c r="F2674" s="8">
        <f>VLOOKUP(financials[[#This Row],[productid]],Products!$B$2:$H$10,3)</f>
        <v>5.5</v>
      </c>
      <c r="G2674" s="8">
        <f>financials[[#This Row],[Units Sold]]*financials[[#This Row],[Sale Price]]</f>
        <v>93.5</v>
      </c>
      <c r="H2674" s="8">
        <f>IF(financials[[#This Row],[Discount Band]]="low",0.1,IF(financials[[#This Row],[Discount Band]]="medium",0.15,0.3))</f>
        <v>0.3</v>
      </c>
      <c r="I2674" s="8">
        <f>financials[[#This Row],[Gross Sales]]-financials[[#This Row],[Gross Sales]]*financials[[#This Row],[Discounts]]</f>
        <v>65.45</v>
      </c>
      <c r="J2674" s="8">
        <f>VLOOKUP(financials[[#This Row],[productid]],Products!$B$2:$H$10,4)</f>
        <v>3.99</v>
      </c>
      <c r="K2674" s="8">
        <f>financials[[#This Row],[Net Sales]]-financials[[#This Row],[COGS]]</f>
        <v>61.46</v>
      </c>
      <c r="L2674" s="15">
        <v>44788</v>
      </c>
      <c r="M2674" t="s">
        <v>697</v>
      </c>
    </row>
    <row r="2675" spans="1:13" x14ac:dyDescent="0.25">
      <c r="A2675" t="s">
        <v>85</v>
      </c>
      <c r="B2675" s="6" t="s">
        <v>159</v>
      </c>
      <c r="C2675" s="13">
        <v>109</v>
      </c>
      <c r="D2675" s="14" t="s">
        <v>90</v>
      </c>
      <c r="E2675">
        <v>13</v>
      </c>
      <c r="F2675" s="8">
        <f>VLOOKUP(financials[[#This Row],[productid]],Products!$B$2:$H$10,3)</f>
        <v>36</v>
      </c>
      <c r="G2675" s="8">
        <f>financials[[#This Row],[Units Sold]]*financials[[#This Row],[Sale Price]]</f>
        <v>468</v>
      </c>
      <c r="H2675" s="8">
        <f>IF(financials[[#This Row],[Discount Band]]="low",0.1,IF(financials[[#This Row],[Discount Band]]="medium",0.15,0.3))</f>
        <v>0.15</v>
      </c>
      <c r="I2675" s="8">
        <f>financials[[#This Row],[Gross Sales]]-financials[[#This Row],[Gross Sales]]*financials[[#This Row],[Discounts]]</f>
        <v>397.8</v>
      </c>
      <c r="J2675" s="8">
        <f>VLOOKUP(financials[[#This Row],[productid]],Products!$B$2:$H$10,4)</f>
        <v>16.8</v>
      </c>
      <c r="K2675" s="8">
        <f>financials[[#This Row],[Net Sales]]-financials[[#This Row],[COGS]]</f>
        <v>381</v>
      </c>
      <c r="L2675" s="15">
        <v>44733</v>
      </c>
      <c r="M2675" t="s">
        <v>700</v>
      </c>
    </row>
    <row r="2676" spans="1:13" x14ac:dyDescent="0.25">
      <c r="A2676" t="s">
        <v>86</v>
      </c>
      <c r="B2676" s="6" t="s">
        <v>124</v>
      </c>
      <c r="C2676" s="13">
        <v>102</v>
      </c>
      <c r="D2676" s="14" t="s">
        <v>91</v>
      </c>
      <c r="E2676">
        <v>7</v>
      </c>
      <c r="F2676" s="8">
        <f>VLOOKUP(financials[[#This Row],[productid]],Products!$B$2:$H$10,3)</f>
        <v>15</v>
      </c>
      <c r="G2676" s="8">
        <f>financials[[#This Row],[Units Sold]]*financials[[#This Row],[Sale Price]]</f>
        <v>105</v>
      </c>
      <c r="H2676" s="8">
        <f>IF(financials[[#This Row],[Discount Band]]="low",0.1,IF(financials[[#This Row],[Discount Band]]="medium",0.15,0.3))</f>
        <v>0.1</v>
      </c>
      <c r="I2676" s="8">
        <f>financials[[#This Row],[Gross Sales]]-financials[[#This Row],[Gross Sales]]*financials[[#This Row],[Discounts]]</f>
        <v>94.5</v>
      </c>
      <c r="J2676" s="8">
        <f>VLOOKUP(financials[[#This Row],[productid]],Products!$B$2:$H$10,4)</f>
        <v>13.95</v>
      </c>
      <c r="K2676" s="8">
        <f>financials[[#This Row],[Net Sales]]-financials[[#This Row],[COGS]]</f>
        <v>80.55</v>
      </c>
      <c r="L2676" s="15">
        <v>45331</v>
      </c>
      <c r="M2676" t="s">
        <v>690</v>
      </c>
    </row>
    <row r="2677" spans="1:13" x14ac:dyDescent="0.25">
      <c r="A2677" t="s">
        <v>89</v>
      </c>
      <c r="B2677" s="6" t="s">
        <v>124</v>
      </c>
      <c r="C2677" s="13">
        <v>109</v>
      </c>
      <c r="D2677" s="14" t="s">
        <v>83</v>
      </c>
      <c r="E2677">
        <v>8</v>
      </c>
      <c r="F2677" s="8">
        <f>VLOOKUP(financials[[#This Row],[productid]],Products!$B$2:$H$10,3)</f>
        <v>36</v>
      </c>
      <c r="G2677" s="8">
        <f>financials[[#This Row],[Units Sold]]*financials[[#This Row],[Sale Price]]</f>
        <v>288</v>
      </c>
      <c r="H2677" s="8">
        <f>IF(financials[[#This Row],[Discount Band]]="low",0.1,IF(financials[[#This Row],[Discount Band]]="medium",0.15,0.3))</f>
        <v>0.3</v>
      </c>
      <c r="I2677" s="8">
        <f>financials[[#This Row],[Gross Sales]]-financials[[#This Row],[Gross Sales]]*financials[[#This Row],[Discounts]]</f>
        <v>201.60000000000002</v>
      </c>
      <c r="J2677" s="8">
        <f>VLOOKUP(financials[[#This Row],[productid]],Products!$B$2:$H$10,4)</f>
        <v>16.8</v>
      </c>
      <c r="K2677" s="8">
        <f>financials[[#This Row],[Net Sales]]-financials[[#This Row],[COGS]]</f>
        <v>184.8</v>
      </c>
      <c r="L2677" s="15">
        <v>43959</v>
      </c>
      <c r="M2677" t="s">
        <v>691</v>
      </c>
    </row>
    <row r="2678" spans="1:13" x14ac:dyDescent="0.25">
      <c r="A2678" t="s">
        <v>85</v>
      </c>
      <c r="B2678" s="6" t="s">
        <v>124</v>
      </c>
      <c r="C2678" s="13">
        <v>106</v>
      </c>
      <c r="D2678" s="14" t="s">
        <v>83</v>
      </c>
      <c r="E2678">
        <v>15</v>
      </c>
      <c r="F2678" s="8">
        <f>VLOOKUP(financials[[#This Row],[productid]],Products!$B$2:$H$10,3)</f>
        <v>25</v>
      </c>
      <c r="G2678" s="8">
        <f>financials[[#This Row],[Units Sold]]*financials[[#This Row],[Sale Price]]</f>
        <v>375</v>
      </c>
      <c r="H2678" s="8">
        <f>IF(financials[[#This Row],[Discount Band]]="low",0.1,IF(financials[[#This Row],[Discount Band]]="medium",0.15,0.3))</f>
        <v>0.3</v>
      </c>
      <c r="I2678" s="8">
        <f>financials[[#This Row],[Gross Sales]]-financials[[#This Row],[Gross Sales]]*financials[[#This Row],[Discounts]]</f>
        <v>262.5</v>
      </c>
      <c r="J2678" s="8">
        <f>VLOOKUP(financials[[#This Row],[productid]],Products!$B$2:$H$10,4)</f>
        <v>9.1</v>
      </c>
      <c r="K2678" s="8">
        <f>financials[[#This Row],[Net Sales]]-financials[[#This Row],[COGS]]</f>
        <v>253.4</v>
      </c>
      <c r="L2678" s="15">
        <v>45190</v>
      </c>
      <c r="M2678" t="s">
        <v>690</v>
      </c>
    </row>
    <row r="2679" spans="1:13" x14ac:dyDescent="0.25">
      <c r="A2679" t="s">
        <v>89</v>
      </c>
      <c r="B2679" s="6" t="s">
        <v>159</v>
      </c>
      <c r="C2679" s="13">
        <v>105</v>
      </c>
      <c r="D2679" s="14" t="s">
        <v>83</v>
      </c>
      <c r="E2679">
        <v>9</v>
      </c>
      <c r="F2679" s="8">
        <f>VLOOKUP(financials[[#This Row],[productid]],Products!$B$2:$H$10,3)</f>
        <v>15</v>
      </c>
      <c r="G2679" s="8">
        <f>financials[[#This Row],[Units Sold]]*financials[[#This Row],[Sale Price]]</f>
        <v>135</v>
      </c>
      <c r="H2679" s="8">
        <f>IF(financials[[#This Row],[Discount Band]]="low",0.1,IF(financials[[#This Row],[Discount Band]]="medium",0.15,0.3))</f>
        <v>0.3</v>
      </c>
      <c r="I2679" s="8">
        <f>financials[[#This Row],[Gross Sales]]-financials[[#This Row],[Gross Sales]]*financials[[#This Row],[Discounts]]</f>
        <v>94.5</v>
      </c>
      <c r="J2679" s="8">
        <f>VLOOKUP(financials[[#This Row],[productid]],Products!$B$2:$H$10,4)</f>
        <v>10</v>
      </c>
      <c r="K2679" s="8">
        <f>financials[[#This Row],[Net Sales]]-financials[[#This Row],[COGS]]</f>
        <v>84.5</v>
      </c>
      <c r="L2679" s="15">
        <v>44822</v>
      </c>
      <c r="M2679" t="s">
        <v>700</v>
      </c>
    </row>
    <row r="2680" spans="1:13" x14ac:dyDescent="0.25">
      <c r="A2680" t="s">
        <v>87</v>
      </c>
      <c r="B2680" s="6" t="s">
        <v>274</v>
      </c>
      <c r="C2680" s="13">
        <v>101</v>
      </c>
      <c r="D2680" s="14" t="s">
        <v>91</v>
      </c>
      <c r="E2680">
        <v>13</v>
      </c>
      <c r="F2680" s="8">
        <f>VLOOKUP(financials[[#This Row],[productid]],Products!$B$2:$H$10,3)</f>
        <v>23</v>
      </c>
      <c r="G2680" s="8">
        <f>financials[[#This Row],[Units Sold]]*financials[[#This Row],[Sale Price]]</f>
        <v>299</v>
      </c>
      <c r="H2680" s="8">
        <f>IF(financials[[#This Row],[Discount Band]]="low",0.1,IF(financials[[#This Row],[Discount Band]]="medium",0.15,0.3))</f>
        <v>0.1</v>
      </c>
      <c r="I2680" s="8">
        <f>financials[[#This Row],[Gross Sales]]-financials[[#This Row],[Gross Sales]]*financials[[#This Row],[Discounts]]</f>
        <v>269.10000000000002</v>
      </c>
      <c r="J2680" s="8">
        <f>VLOOKUP(financials[[#This Row],[productid]],Products!$B$2:$H$10,4)</f>
        <v>9.9499999999999993</v>
      </c>
      <c r="K2680" s="8">
        <f>financials[[#This Row],[Net Sales]]-financials[[#This Row],[COGS]]</f>
        <v>259.15000000000003</v>
      </c>
      <c r="L2680" s="15">
        <v>44716</v>
      </c>
      <c r="M2680" t="s">
        <v>691</v>
      </c>
    </row>
    <row r="2681" spans="1:13" x14ac:dyDescent="0.25">
      <c r="A2681" t="s">
        <v>86</v>
      </c>
      <c r="B2681" s="6" t="s">
        <v>644</v>
      </c>
      <c r="C2681" s="13">
        <v>105</v>
      </c>
      <c r="D2681" s="14" t="s">
        <v>91</v>
      </c>
      <c r="E2681">
        <v>6</v>
      </c>
      <c r="F2681" s="8">
        <f>VLOOKUP(financials[[#This Row],[productid]],Products!$B$2:$H$10,3)</f>
        <v>15</v>
      </c>
      <c r="G2681" s="8">
        <f>financials[[#This Row],[Units Sold]]*financials[[#This Row],[Sale Price]]</f>
        <v>90</v>
      </c>
      <c r="H2681" s="8">
        <f>IF(financials[[#This Row],[Discount Band]]="low",0.1,IF(financials[[#This Row],[Discount Band]]="medium",0.15,0.3))</f>
        <v>0.1</v>
      </c>
      <c r="I2681" s="8">
        <f>financials[[#This Row],[Gross Sales]]-financials[[#This Row],[Gross Sales]]*financials[[#This Row],[Discounts]]</f>
        <v>81</v>
      </c>
      <c r="J2681" s="8">
        <f>VLOOKUP(financials[[#This Row],[productid]],Products!$B$2:$H$10,4)</f>
        <v>10</v>
      </c>
      <c r="K2681" s="8">
        <f>financials[[#This Row],[Net Sales]]-financials[[#This Row],[COGS]]</f>
        <v>71</v>
      </c>
      <c r="L2681" s="15">
        <v>44256</v>
      </c>
      <c r="M2681" t="s">
        <v>697</v>
      </c>
    </row>
    <row r="2682" spans="1:13" x14ac:dyDescent="0.25">
      <c r="A2682" t="s">
        <v>86</v>
      </c>
      <c r="B2682" s="6" t="s">
        <v>124</v>
      </c>
      <c r="C2682" s="13">
        <v>107</v>
      </c>
      <c r="D2682" s="14" t="s">
        <v>83</v>
      </c>
      <c r="E2682">
        <v>8</v>
      </c>
      <c r="F2682" s="8">
        <f>VLOOKUP(financials[[#This Row],[productid]],Products!$B$2:$H$10,3)</f>
        <v>15</v>
      </c>
      <c r="G2682" s="8">
        <f>financials[[#This Row],[Units Sold]]*financials[[#This Row],[Sale Price]]</f>
        <v>120</v>
      </c>
      <c r="H2682" s="8">
        <f>IF(financials[[#This Row],[Discount Band]]="low",0.1,IF(financials[[#This Row],[Discount Band]]="medium",0.15,0.3))</f>
        <v>0.3</v>
      </c>
      <c r="I2682" s="8">
        <f>financials[[#This Row],[Gross Sales]]-financials[[#This Row],[Gross Sales]]*financials[[#This Row],[Discounts]]</f>
        <v>84</v>
      </c>
      <c r="J2682" s="8">
        <f>VLOOKUP(financials[[#This Row],[productid]],Products!$B$2:$H$10,4)</f>
        <v>5.5</v>
      </c>
      <c r="K2682" s="8">
        <f>financials[[#This Row],[Net Sales]]-financials[[#This Row],[COGS]]</f>
        <v>78.5</v>
      </c>
      <c r="L2682" s="15">
        <v>44235</v>
      </c>
      <c r="M2682" t="s">
        <v>690</v>
      </c>
    </row>
    <row r="2683" spans="1:13" x14ac:dyDescent="0.25">
      <c r="A2683" t="s">
        <v>87</v>
      </c>
      <c r="B2683" s="6" t="s">
        <v>158</v>
      </c>
      <c r="C2683" s="13">
        <v>104</v>
      </c>
      <c r="D2683" s="14" t="s">
        <v>83</v>
      </c>
      <c r="E2683">
        <v>15</v>
      </c>
      <c r="F2683" s="8">
        <f>VLOOKUP(financials[[#This Row],[productid]],Products!$B$2:$H$10,3)</f>
        <v>5.9</v>
      </c>
      <c r="G2683" s="8">
        <f>financials[[#This Row],[Units Sold]]*financials[[#This Row],[Sale Price]]</f>
        <v>88.5</v>
      </c>
      <c r="H2683" s="8">
        <f>IF(financials[[#This Row],[Discount Band]]="low",0.1,IF(financials[[#This Row],[Discount Band]]="medium",0.15,0.3))</f>
        <v>0.3</v>
      </c>
      <c r="I2683" s="8">
        <f>financials[[#This Row],[Gross Sales]]-financials[[#This Row],[Gross Sales]]*financials[[#This Row],[Discounts]]</f>
        <v>61.95</v>
      </c>
      <c r="J2683" s="8">
        <f>VLOOKUP(financials[[#This Row],[productid]],Products!$B$2:$H$10,4)</f>
        <v>2.9</v>
      </c>
      <c r="K2683" s="8">
        <f>financials[[#This Row],[Net Sales]]-financials[[#This Row],[COGS]]</f>
        <v>59.050000000000004</v>
      </c>
      <c r="L2683" s="15">
        <v>43946</v>
      </c>
      <c r="M2683" t="s">
        <v>690</v>
      </c>
    </row>
    <row r="2684" spans="1:13" x14ac:dyDescent="0.25">
      <c r="A2684" t="s">
        <v>88</v>
      </c>
      <c r="B2684" s="6" t="s">
        <v>644</v>
      </c>
      <c r="C2684" s="13">
        <v>108</v>
      </c>
      <c r="D2684" s="14" t="s">
        <v>90</v>
      </c>
      <c r="E2684">
        <v>15</v>
      </c>
      <c r="F2684" s="8">
        <f>VLOOKUP(financials[[#This Row],[productid]],Products!$B$2:$H$10,3)</f>
        <v>5.5</v>
      </c>
      <c r="G2684" s="8">
        <f>financials[[#This Row],[Units Sold]]*financials[[#This Row],[Sale Price]]</f>
        <v>82.5</v>
      </c>
      <c r="H2684" s="8">
        <f>IF(financials[[#This Row],[Discount Band]]="low",0.1,IF(financials[[#This Row],[Discount Band]]="medium",0.15,0.3))</f>
        <v>0.15</v>
      </c>
      <c r="I2684" s="8">
        <f>financials[[#This Row],[Gross Sales]]-financials[[#This Row],[Gross Sales]]*financials[[#This Row],[Discounts]]</f>
        <v>70.125</v>
      </c>
      <c r="J2684" s="8">
        <f>VLOOKUP(financials[[#This Row],[productid]],Products!$B$2:$H$10,4)</f>
        <v>3.99</v>
      </c>
      <c r="K2684" s="8">
        <f>financials[[#This Row],[Net Sales]]-financials[[#This Row],[COGS]]</f>
        <v>66.135000000000005</v>
      </c>
      <c r="L2684" s="15">
        <v>43852</v>
      </c>
      <c r="M2684" t="s">
        <v>696</v>
      </c>
    </row>
    <row r="2685" spans="1:13" x14ac:dyDescent="0.25">
      <c r="A2685" t="s">
        <v>86</v>
      </c>
      <c r="B2685" s="6" t="s">
        <v>159</v>
      </c>
      <c r="C2685" s="13">
        <v>109</v>
      </c>
      <c r="D2685" s="14" t="s">
        <v>90</v>
      </c>
      <c r="E2685">
        <v>15</v>
      </c>
      <c r="F2685" s="8">
        <f>VLOOKUP(financials[[#This Row],[productid]],Products!$B$2:$H$10,3)</f>
        <v>36</v>
      </c>
      <c r="G2685" s="8">
        <f>financials[[#This Row],[Units Sold]]*financials[[#This Row],[Sale Price]]</f>
        <v>540</v>
      </c>
      <c r="H2685" s="8">
        <f>IF(financials[[#This Row],[Discount Band]]="low",0.1,IF(financials[[#This Row],[Discount Band]]="medium",0.15,0.3))</f>
        <v>0.15</v>
      </c>
      <c r="I2685" s="8">
        <f>financials[[#This Row],[Gross Sales]]-financials[[#This Row],[Gross Sales]]*financials[[#This Row],[Discounts]]</f>
        <v>459</v>
      </c>
      <c r="J2685" s="8">
        <f>VLOOKUP(financials[[#This Row],[productid]],Products!$B$2:$H$10,4)</f>
        <v>16.8</v>
      </c>
      <c r="K2685" s="8">
        <f>financials[[#This Row],[Net Sales]]-financials[[#This Row],[COGS]]</f>
        <v>442.2</v>
      </c>
      <c r="L2685" s="15">
        <v>44623</v>
      </c>
      <c r="M2685" t="s">
        <v>697</v>
      </c>
    </row>
    <row r="2686" spans="1:13" x14ac:dyDescent="0.25">
      <c r="A2686" t="s">
        <v>86</v>
      </c>
      <c r="B2686" s="6" t="s">
        <v>84</v>
      </c>
      <c r="C2686" s="13">
        <v>106</v>
      </c>
      <c r="D2686" s="14" t="s">
        <v>83</v>
      </c>
      <c r="E2686">
        <v>17</v>
      </c>
      <c r="F2686" s="8">
        <f>VLOOKUP(financials[[#This Row],[productid]],Products!$B$2:$H$10,3)</f>
        <v>25</v>
      </c>
      <c r="G2686" s="8">
        <f>financials[[#This Row],[Units Sold]]*financials[[#This Row],[Sale Price]]</f>
        <v>425</v>
      </c>
      <c r="H2686" s="8">
        <f>IF(financials[[#This Row],[Discount Band]]="low",0.1,IF(financials[[#This Row],[Discount Band]]="medium",0.15,0.3))</f>
        <v>0.3</v>
      </c>
      <c r="I2686" s="8">
        <f>financials[[#This Row],[Gross Sales]]-financials[[#This Row],[Gross Sales]]*financials[[#This Row],[Discounts]]</f>
        <v>297.5</v>
      </c>
      <c r="J2686" s="8">
        <f>VLOOKUP(financials[[#This Row],[productid]],Products!$B$2:$H$10,4)</f>
        <v>9.1</v>
      </c>
      <c r="K2686" s="8">
        <f>financials[[#This Row],[Net Sales]]-financials[[#This Row],[COGS]]</f>
        <v>288.39999999999998</v>
      </c>
      <c r="L2686" s="15">
        <v>44043</v>
      </c>
      <c r="M2686" t="s">
        <v>691</v>
      </c>
    </row>
    <row r="2687" spans="1:13" x14ac:dyDescent="0.25">
      <c r="A2687" t="s">
        <v>86</v>
      </c>
      <c r="B2687" s="6" t="s">
        <v>124</v>
      </c>
      <c r="C2687" s="11">
        <v>106</v>
      </c>
      <c r="D2687" s="9" t="s">
        <v>83</v>
      </c>
      <c r="E2687">
        <v>14</v>
      </c>
      <c r="F2687" s="8">
        <f>VLOOKUP(financials[[#This Row],[productid]],Products!$B$2:$H$10,3)</f>
        <v>25</v>
      </c>
      <c r="G2687" s="8">
        <f>financials[[#This Row],[Units Sold]]*financials[[#This Row],[Sale Price]]</f>
        <v>350</v>
      </c>
      <c r="H2687" s="8">
        <f>IF(financials[[#This Row],[Discount Band]]="low",0.1,IF(financials[[#This Row],[Discount Band]]="medium",0.15,0.3))</f>
        <v>0.3</v>
      </c>
      <c r="I2687" s="8">
        <f>financials[[#This Row],[Gross Sales]]-financials[[#This Row],[Gross Sales]]*financials[[#This Row],[Discounts]]</f>
        <v>245</v>
      </c>
      <c r="J2687" s="8">
        <f>VLOOKUP(financials[[#This Row],[productid]],Products!$B$2:$H$10,4)</f>
        <v>9.1</v>
      </c>
      <c r="K2687" s="8">
        <f>financials[[#This Row],[Net Sales]]-financials[[#This Row],[COGS]]</f>
        <v>235.9</v>
      </c>
      <c r="L2687" s="15">
        <v>45084</v>
      </c>
      <c r="M2687" t="s">
        <v>697</v>
      </c>
    </row>
    <row r="2688" spans="1:13" x14ac:dyDescent="0.25">
      <c r="A2688" t="s">
        <v>86</v>
      </c>
      <c r="B2688" s="6" t="s">
        <v>124</v>
      </c>
      <c r="C2688" s="13">
        <v>106</v>
      </c>
      <c r="D2688" s="14" t="s">
        <v>90</v>
      </c>
      <c r="E2688">
        <v>6</v>
      </c>
      <c r="F2688" s="8">
        <f>VLOOKUP(financials[[#This Row],[productid]],Products!$B$2:$H$10,3)</f>
        <v>25</v>
      </c>
      <c r="G2688" s="8">
        <f>financials[[#This Row],[Units Sold]]*financials[[#This Row],[Sale Price]]</f>
        <v>150</v>
      </c>
      <c r="H2688" s="8">
        <f>IF(financials[[#This Row],[Discount Band]]="low",0.1,IF(financials[[#This Row],[Discount Band]]="medium",0.15,0.3))</f>
        <v>0.15</v>
      </c>
      <c r="I2688" s="8">
        <f>financials[[#This Row],[Gross Sales]]-financials[[#This Row],[Gross Sales]]*financials[[#This Row],[Discounts]]</f>
        <v>127.5</v>
      </c>
      <c r="J2688" s="8">
        <f>VLOOKUP(financials[[#This Row],[productid]],Products!$B$2:$H$10,4)</f>
        <v>9.1</v>
      </c>
      <c r="K2688" s="8">
        <f>financials[[#This Row],[Net Sales]]-financials[[#This Row],[COGS]]</f>
        <v>118.4</v>
      </c>
      <c r="L2688" s="15">
        <v>44002</v>
      </c>
      <c r="M2688" t="s">
        <v>697</v>
      </c>
    </row>
    <row r="2689" spans="1:13" x14ac:dyDescent="0.25">
      <c r="A2689" t="s">
        <v>87</v>
      </c>
      <c r="B2689" s="6" t="s">
        <v>645</v>
      </c>
      <c r="C2689" s="13">
        <v>101</v>
      </c>
      <c r="D2689" s="14" t="s">
        <v>83</v>
      </c>
      <c r="E2689">
        <v>13</v>
      </c>
      <c r="F2689" s="8">
        <f>VLOOKUP(financials[[#This Row],[productid]],Products!$B$2:$H$10,3)</f>
        <v>23</v>
      </c>
      <c r="G2689" s="8">
        <f>financials[[#This Row],[Units Sold]]*financials[[#This Row],[Sale Price]]</f>
        <v>299</v>
      </c>
      <c r="H2689" s="8">
        <f>IF(financials[[#This Row],[Discount Band]]="low",0.1,IF(financials[[#This Row],[Discount Band]]="medium",0.15,0.3))</f>
        <v>0.3</v>
      </c>
      <c r="I2689" s="8">
        <f>financials[[#This Row],[Gross Sales]]-financials[[#This Row],[Gross Sales]]*financials[[#This Row],[Discounts]]</f>
        <v>209.3</v>
      </c>
      <c r="J2689" s="8">
        <f>VLOOKUP(financials[[#This Row],[productid]],Products!$B$2:$H$10,4)</f>
        <v>9.9499999999999993</v>
      </c>
      <c r="K2689" s="8">
        <f>financials[[#This Row],[Net Sales]]-financials[[#This Row],[COGS]]</f>
        <v>199.35000000000002</v>
      </c>
      <c r="L2689" s="15">
        <v>45183</v>
      </c>
      <c r="M2689" t="s">
        <v>691</v>
      </c>
    </row>
    <row r="2690" spans="1:13" x14ac:dyDescent="0.25">
      <c r="A2690" t="s">
        <v>87</v>
      </c>
      <c r="B2690" s="6" t="s">
        <v>125</v>
      </c>
      <c r="C2690" s="13">
        <v>105</v>
      </c>
      <c r="D2690" s="14" t="s">
        <v>90</v>
      </c>
      <c r="E2690">
        <v>14</v>
      </c>
      <c r="F2690" s="8">
        <f>VLOOKUP(financials[[#This Row],[productid]],Products!$B$2:$H$10,3)</f>
        <v>15</v>
      </c>
      <c r="G2690" s="8">
        <f>financials[[#This Row],[Units Sold]]*financials[[#This Row],[Sale Price]]</f>
        <v>210</v>
      </c>
      <c r="H2690" s="8">
        <f>IF(financials[[#This Row],[Discount Band]]="low",0.1,IF(financials[[#This Row],[Discount Band]]="medium",0.15,0.3))</f>
        <v>0.15</v>
      </c>
      <c r="I2690" s="8">
        <f>financials[[#This Row],[Gross Sales]]-financials[[#This Row],[Gross Sales]]*financials[[#This Row],[Discounts]]</f>
        <v>178.5</v>
      </c>
      <c r="J2690" s="8">
        <f>VLOOKUP(financials[[#This Row],[productid]],Products!$B$2:$H$10,4)</f>
        <v>10</v>
      </c>
      <c r="K2690" s="8">
        <f>financials[[#This Row],[Net Sales]]-financials[[#This Row],[COGS]]</f>
        <v>168.5</v>
      </c>
      <c r="L2690" s="15">
        <v>44611</v>
      </c>
      <c r="M2690" t="s">
        <v>691</v>
      </c>
    </row>
    <row r="2691" spans="1:13" x14ac:dyDescent="0.25">
      <c r="A2691" t="s">
        <v>87</v>
      </c>
      <c r="B2691" s="6" t="s">
        <v>287</v>
      </c>
      <c r="C2691" s="11">
        <v>104</v>
      </c>
      <c r="D2691" s="9" t="s">
        <v>91</v>
      </c>
      <c r="E2691">
        <v>7</v>
      </c>
      <c r="F2691" s="8">
        <f>VLOOKUP(financials[[#This Row],[productid]],Products!$B$2:$H$10,3)</f>
        <v>5.9</v>
      </c>
      <c r="G2691" s="8">
        <f>financials[[#This Row],[Units Sold]]*financials[[#This Row],[Sale Price]]</f>
        <v>41.300000000000004</v>
      </c>
      <c r="H2691" s="8">
        <f>IF(financials[[#This Row],[Discount Band]]="low",0.1,IF(financials[[#This Row],[Discount Band]]="medium",0.15,0.3))</f>
        <v>0.1</v>
      </c>
      <c r="I2691" s="8">
        <f>financials[[#This Row],[Gross Sales]]-financials[[#This Row],[Gross Sales]]*financials[[#This Row],[Discounts]]</f>
        <v>37.17</v>
      </c>
      <c r="J2691" s="8">
        <f>VLOOKUP(financials[[#This Row],[productid]],Products!$B$2:$H$10,4)</f>
        <v>2.9</v>
      </c>
      <c r="K2691" s="8">
        <f>financials[[#This Row],[Net Sales]]-financials[[#This Row],[COGS]]</f>
        <v>34.270000000000003</v>
      </c>
      <c r="L2691" s="15">
        <v>45029</v>
      </c>
      <c r="M2691" t="s">
        <v>696</v>
      </c>
    </row>
    <row r="2692" spans="1:13" x14ac:dyDescent="0.25">
      <c r="A2692" t="s">
        <v>87</v>
      </c>
      <c r="B2692" s="6" t="s">
        <v>95</v>
      </c>
      <c r="C2692" s="13">
        <v>104</v>
      </c>
      <c r="D2692" s="14" t="s">
        <v>83</v>
      </c>
      <c r="E2692">
        <v>17</v>
      </c>
      <c r="F2692" s="8">
        <f>VLOOKUP(financials[[#This Row],[productid]],Products!$B$2:$H$10,3)</f>
        <v>5.9</v>
      </c>
      <c r="G2692" s="8">
        <f>financials[[#This Row],[Units Sold]]*financials[[#This Row],[Sale Price]]</f>
        <v>100.30000000000001</v>
      </c>
      <c r="H2692" s="8">
        <f>IF(financials[[#This Row],[Discount Band]]="low",0.1,IF(financials[[#This Row],[Discount Band]]="medium",0.15,0.3))</f>
        <v>0.3</v>
      </c>
      <c r="I2692" s="8">
        <f>financials[[#This Row],[Gross Sales]]-financials[[#This Row],[Gross Sales]]*financials[[#This Row],[Discounts]]</f>
        <v>70.210000000000008</v>
      </c>
      <c r="J2692" s="8">
        <f>VLOOKUP(financials[[#This Row],[productid]],Products!$B$2:$H$10,4)</f>
        <v>2.9</v>
      </c>
      <c r="K2692" s="8">
        <f>financials[[#This Row],[Net Sales]]-financials[[#This Row],[COGS]]</f>
        <v>67.31</v>
      </c>
      <c r="L2692" s="15">
        <v>44984</v>
      </c>
      <c r="M2692" t="s">
        <v>691</v>
      </c>
    </row>
    <row r="2693" spans="1:13" x14ac:dyDescent="0.25">
      <c r="A2693" t="s">
        <v>87</v>
      </c>
      <c r="B2693" s="6" t="s">
        <v>197</v>
      </c>
      <c r="C2693" s="13">
        <v>101</v>
      </c>
      <c r="D2693" s="14" t="s">
        <v>83</v>
      </c>
      <c r="E2693">
        <v>19</v>
      </c>
      <c r="F2693" s="8">
        <f>VLOOKUP(financials[[#This Row],[productid]],Products!$B$2:$H$10,3)</f>
        <v>23</v>
      </c>
      <c r="G2693" s="8">
        <f>financials[[#This Row],[Units Sold]]*financials[[#This Row],[Sale Price]]</f>
        <v>437</v>
      </c>
      <c r="H2693" s="8">
        <f>IF(financials[[#This Row],[Discount Band]]="low",0.1,IF(financials[[#This Row],[Discount Band]]="medium",0.15,0.3))</f>
        <v>0.3</v>
      </c>
      <c r="I2693" s="8">
        <f>financials[[#This Row],[Gross Sales]]-financials[[#This Row],[Gross Sales]]*financials[[#This Row],[Discounts]]</f>
        <v>305.89999999999998</v>
      </c>
      <c r="J2693" s="8">
        <f>VLOOKUP(financials[[#This Row],[productid]],Products!$B$2:$H$10,4)</f>
        <v>9.9499999999999993</v>
      </c>
      <c r="K2693" s="8">
        <f>financials[[#This Row],[Net Sales]]-financials[[#This Row],[COGS]]</f>
        <v>295.95</v>
      </c>
      <c r="L2693" s="15">
        <v>44389</v>
      </c>
      <c r="M2693" t="s">
        <v>700</v>
      </c>
    </row>
    <row r="2694" spans="1:13" x14ac:dyDescent="0.25">
      <c r="A2694" t="s">
        <v>87</v>
      </c>
      <c r="B2694" s="6" t="s">
        <v>158</v>
      </c>
      <c r="C2694" s="13">
        <v>102</v>
      </c>
      <c r="D2694" s="14" t="s">
        <v>83</v>
      </c>
      <c r="E2694">
        <v>13</v>
      </c>
      <c r="F2694" s="8">
        <f>VLOOKUP(financials[[#This Row],[productid]],Products!$B$2:$H$10,3)</f>
        <v>15</v>
      </c>
      <c r="G2694" s="8">
        <f>financials[[#This Row],[Units Sold]]*financials[[#This Row],[Sale Price]]</f>
        <v>195</v>
      </c>
      <c r="H2694" s="8">
        <f>IF(financials[[#This Row],[Discount Band]]="low",0.1,IF(financials[[#This Row],[Discount Band]]="medium",0.15,0.3))</f>
        <v>0.3</v>
      </c>
      <c r="I2694" s="8">
        <f>financials[[#This Row],[Gross Sales]]-financials[[#This Row],[Gross Sales]]*financials[[#This Row],[Discounts]]</f>
        <v>136.5</v>
      </c>
      <c r="J2694" s="8">
        <f>VLOOKUP(financials[[#This Row],[productid]],Products!$B$2:$H$10,4)</f>
        <v>13.95</v>
      </c>
      <c r="K2694" s="8">
        <f>financials[[#This Row],[Net Sales]]-financials[[#This Row],[COGS]]</f>
        <v>122.55</v>
      </c>
      <c r="L2694" s="15">
        <v>45060</v>
      </c>
      <c r="M2694" t="s">
        <v>697</v>
      </c>
    </row>
    <row r="2695" spans="1:13" x14ac:dyDescent="0.25">
      <c r="A2695" t="s">
        <v>85</v>
      </c>
      <c r="B2695" s="6" t="s">
        <v>159</v>
      </c>
      <c r="C2695" s="13">
        <v>107</v>
      </c>
      <c r="D2695" s="14" t="s">
        <v>83</v>
      </c>
      <c r="E2695">
        <v>10</v>
      </c>
      <c r="F2695" s="8">
        <f>VLOOKUP(financials[[#This Row],[productid]],Products!$B$2:$H$10,3)</f>
        <v>15</v>
      </c>
      <c r="G2695" s="8">
        <f>financials[[#This Row],[Units Sold]]*financials[[#This Row],[Sale Price]]</f>
        <v>150</v>
      </c>
      <c r="H2695" s="8">
        <f>IF(financials[[#This Row],[Discount Band]]="low",0.1,IF(financials[[#This Row],[Discount Band]]="medium",0.15,0.3))</f>
        <v>0.3</v>
      </c>
      <c r="I2695" s="8">
        <f>financials[[#This Row],[Gross Sales]]-financials[[#This Row],[Gross Sales]]*financials[[#This Row],[Discounts]]</f>
        <v>105</v>
      </c>
      <c r="J2695" s="8">
        <f>VLOOKUP(financials[[#This Row],[productid]],Products!$B$2:$H$10,4)</f>
        <v>5.5</v>
      </c>
      <c r="K2695" s="8">
        <f>financials[[#This Row],[Net Sales]]-financials[[#This Row],[COGS]]</f>
        <v>99.5</v>
      </c>
      <c r="L2695" s="15">
        <v>45185</v>
      </c>
      <c r="M2695" t="s">
        <v>700</v>
      </c>
    </row>
    <row r="2696" spans="1:13" x14ac:dyDescent="0.25">
      <c r="A2696" t="s">
        <v>86</v>
      </c>
      <c r="B2696" s="6" t="s">
        <v>124</v>
      </c>
      <c r="C2696" s="13">
        <v>108</v>
      </c>
      <c r="D2696" s="14" t="s">
        <v>92</v>
      </c>
      <c r="E2696">
        <v>8</v>
      </c>
      <c r="F2696" s="8">
        <f>VLOOKUP(financials[[#This Row],[productid]],Products!$B$2:$H$10,3)</f>
        <v>5.5</v>
      </c>
      <c r="G2696" s="8">
        <f>financials[[#This Row],[Units Sold]]*financials[[#This Row],[Sale Price]]</f>
        <v>44</v>
      </c>
      <c r="H2696" s="8">
        <f>IF(financials[[#This Row],[Discount Band]]="low",0.1,IF(financials[[#This Row],[Discount Band]]="medium",0.15,0.3))</f>
        <v>0.3</v>
      </c>
      <c r="I2696" s="8">
        <f>financials[[#This Row],[Gross Sales]]-financials[[#This Row],[Gross Sales]]*financials[[#This Row],[Discounts]]</f>
        <v>30.8</v>
      </c>
      <c r="J2696" s="8">
        <f>VLOOKUP(financials[[#This Row],[productid]],Products!$B$2:$H$10,4)</f>
        <v>3.99</v>
      </c>
      <c r="K2696" s="8">
        <f>financials[[#This Row],[Net Sales]]-financials[[#This Row],[COGS]]</f>
        <v>26.810000000000002</v>
      </c>
      <c r="L2696" s="15">
        <v>44146</v>
      </c>
      <c r="M2696" t="s">
        <v>691</v>
      </c>
    </row>
    <row r="2697" spans="1:13" x14ac:dyDescent="0.25">
      <c r="A2697" t="s">
        <v>86</v>
      </c>
      <c r="B2697" s="6" t="s">
        <v>84</v>
      </c>
      <c r="C2697" s="13">
        <v>109</v>
      </c>
      <c r="D2697" s="14" t="s">
        <v>83</v>
      </c>
      <c r="E2697">
        <v>8</v>
      </c>
      <c r="F2697" s="8">
        <f>VLOOKUP(financials[[#This Row],[productid]],Products!$B$2:$H$10,3)</f>
        <v>36</v>
      </c>
      <c r="G2697" s="8">
        <f>financials[[#This Row],[Units Sold]]*financials[[#This Row],[Sale Price]]</f>
        <v>288</v>
      </c>
      <c r="H2697" s="8">
        <f>IF(financials[[#This Row],[Discount Band]]="low",0.1,IF(financials[[#This Row],[Discount Band]]="medium",0.15,0.3))</f>
        <v>0.3</v>
      </c>
      <c r="I2697" s="8">
        <f>financials[[#This Row],[Gross Sales]]-financials[[#This Row],[Gross Sales]]*financials[[#This Row],[Discounts]]</f>
        <v>201.60000000000002</v>
      </c>
      <c r="J2697" s="8">
        <f>VLOOKUP(financials[[#This Row],[productid]],Products!$B$2:$H$10,4)</f>
        <v>16.8</v>
      </c>
      <c r="K2697" s="8">
        <f>financials[[#This Row],[Net Sales]]-financials[[#This Row],[COGS]]</f>
        <v>184.8</v>
      </c>
      <c r="L2697" s="15">
        <v>44879</v>
      </c>
      <c r="M2697" t="s">
        <v>690</v>
      </c>
    </row>
    <row r="2698" spans="1:13" x14ac:dyDescent="0.25">
      <c r="A2698" t="s">
        <v>85</v>
      </c>
      <c r="B2698" s="6" t="s">
        <v>124</v>
      </c>
      <c r="C2698" s="13">
        <v>104</v>
      </c>
      <c r="D2698" s="14" t="s">
        <v>83</v>
      </c>
      <c r="E2698">
        <v>17</v>
      </c>
      <c r="F2698" s="8">
        <f>VLOOKUP(financials[[#This Row],[productid]],Products!$B$2:$H$10,3)</f>
        <v>5.9</v>
      </c>
      <c r="G2698" s="8">
        <f>financials[[#This Row],[Units Sold]]*financials[[#This Row],[Sale Price]]</f>
        <v>100.30000000000001</v>
      </c>
      <c r="H2698" s="8">
        <f>IF(financials[[#This Row],[Discount Band]]="low",0.1,IF(financials[[#This Row],[Discount Band]]="medium",0.15,0.3))</f>
        <v>0.3</v>
      </c>
      <c r="I2698" s="8">
        <f>financials[[#This Row],[Gross Sales]]-financials[[#This Row],[Gross Sales]]*financials[[#This Row],[Discounts]]</f>
        <v>70.210000000000008</v>
      </c>
      <c r="J2698" s="8">
        <f>VLOOKUP(financials[[#This Row],[productid]],Products!$B$2:$H$10,4)</f>
        <v>2.9</v>
      </c>
      <c r="K2698" s="8">
        <f>financials[[#This Row],[Net Sales]]-financials[[#This Row],[COGS]]</f>
        <v>67.31</v>
      </c>
      <c r="L2698" s="15">
        <v>45199</v>
      </c>
      <c r="M2698" t="s">
        <v>690</v>
      </c>
    </row>
    <row r="2699" spans="1:13" x14ac:dyDescent="0.25">
      <c r="A2699" t="s">
        <v>85</v>
      </c>
      <c r="B2699" s="6" t="s">
        <v>159</v>
      </c>
      <c r="C2699" s="13">
        <v>109</v>
      </c>
      <c r="D2699" s="14" t="s">
        <v>90</v>
      </c>
      <c r="E2699">
        <v>14</v>
      </c>
      <c r="F2699" s="8">
        <f>VLOOKUP(financials[[#This Row],[productid]],Products!$B$2:$H$10,3)</f>
        <v>36</v>
      </c>
      <c r="G2699" s="8">
        <f>financials[[#This Row],[Units Sold]]*financials[[#This Row],[Sale Price]]</f>
        <v>504</v>
      </c>
      <c r="H2699" s="8">
        <f>IF(financials[[#This Row],[Discount Band]]="low",0.1,IF(financials[[#This Row],[Discount Band]]="medium",0.15,0.3))</f>
        <v>0.15</v>
      </c>
      <c r="I2699" s="8">
        <f>financials[[#This Row],[Gross Sales]]-financials[[#This Row],[Gross Sales]]*financials[[#This Row],[Discounts]]</f>
        <v>428.4</v>
      </c>
      <c r="J2699" s="8">
        <f>VLOOKUP(financials[[#This Row],[productid]],Products!$B$2:$H$10,4)</f>
        <v>16.8</v>
      </c>
      <c r="K2699" s="8">
        <f>financials[[#This Row],[Net Sales]]-financials[[#This Row],[COGS]]</f>
        <v>411.59999999999997</v>
      </c>
      <c r="L2699" s="15">
        <v>45568</v>
      </c>
      <c r="M2699" t="s">
        <v>696</v>
      </c>
    </row>
    <row r="2700" spans="1:13" x14ac:dyDescent="0.25">
      <c r="A2700" t="s">
        <v>89</v>
      </c>
      <c r="B2700" s="6" t="s">
        <v>124</v>
      </c>
      <c r="C2700" s="13">
        <v>103</v>
      </c>
      <c r="D2700" s="14" t="s">
        <v>91</v>
      </c>
      <c r="E2700">
        <v>13</v>
      </c>
      <c r="F2700" s="8">
        <f>VLOOKUP(financials[[#This Row],[productid]],Products!$B$2:$H$10,3)</f>
        <v>28</v>
      </c>
      <c r="G2700" s="8">
        <f>financials[[#This Row],[Units Sold]]*financials[[#This Row],[Sale Price]]</f>
        <v>364</v>
      </c>
      <c r="H2700" s="8">
        <f>IF(financials[[#This Row],[Discount Band]]="low",0.1,IF(financials[[#This Row],[Discount Band]]="medium",0.15,0.3))</f>
        <v>0.1</v>
      </c>
      <c r="I2700" s="8">
        <f>financials[[#This Row],[Gross Sales]]-financials[[#This Row],[Gross Sales]]*financials[[#This Row],[Discounts]]</f>
        <v>327.60000000000002</v>
      </c>
      <c r="J2700" s="8">
        <f>VLOOKUP(financials[[#This Row],[productid]],Products!$B$2:$H$10,4)</f>
        <v>15</v>
      </c>
      <c r="K2700" s="8">
        <f>financials[[#This Row],[Net Sales]]-financials[[#This Row],[COGS]]</f>
        <v>312.60000000000002</v>
      </c>
      <c r="L2700" s="15">
        <v>44665</v>
      </c>
      <c r="M2700" t="s">
        <v>700</v>
      </c>
    </row>
    <row r="2701" spans="1:13" x14ac:dyDescent="0.25">
      <c r="A2701" t="s">
        <v>85</v>
      </c>
      <c r="B2701" s="6" t="s">
        <v>159</v>
      </c>
      <c r="C2701" s="13">
        <v>105</v>
      </c>
      <c r="D2701" s="14" t="s">
        <v>91</v>
      </c>
      <c r="E2701">
        <v>18</v>
      </c>
      <c r="F2701" s="8">
        <f>VLOOKUP(financials[[#This Row],[productid]],Products!$B$2:$H$10,3)</f>
        <v>15</v>
      </c>
      <c r="G2701" s="8">
        <f>financials[[#This Row],[Units Sold]]*financials[[#This Row],[Sale Price]]</f>
        <v>270</v>
      </c>
      <c r="H2701" s="8">
        <f>IF(financials[[#This Row],[Discount Band]]="low",0.1,IF(financials[[#This Row],[Discount Band]]="medium",0.15,0.3))</f>
        <v>0.1</v>
      </c>
      <c r="I2701" s="8">
        <f>financials[[#This Row],[Gross Sales]]-financials[[#This Row],[Gross Sales]]*financials[[#This Row],[Discounts]]</f>
        <v>243</v>
      </c>
      <c r="J2701" s="8">
        <f>VLOOKUP(financials[[#This Row],[productid]],Products!$B$2:$H$10,4)</f>
        <v>10</v>
      </c>
      <c r="K2701" s="8">
        <f>financials[[#This Row],[Net Sales]]-financials[[#This Row],[COGS]]</f>
        <v>233</v>
      </c>
      <c r="L2701" s="15">
        <v>43838</v>
      </c>
      <c r="M2701" t="s">
        <v>696</v>
      </c>
    </row>
    <row r="2702" spans="1:13" x14ac:dyDescent="0.25">
      <c r="A2702" t="s">
        <v>89</v>
      </c>
      <c r="B2702" s="6" t="s">
        <v>124</v>
      </c>
      <c r="C2702" s="13">
        <v>109</v>
      </c>
      <c r="D2702" s="14" t="s">
        <v>83</v>
      </c>
      <c r="E2702">
        <v>20</v>
      </c>
      <c r="F2702" s="8">
        <f>VLOOKUP(financials[[#This Row],[productid]],Products!$B$2:$H$10,3)</f>
        <v>36</v>
      </c>
      <c r="G2702" s="8">
        <f>financials[[#This Row],[Units Sold]]*financials[[#This Row],[Sale Price]]</f>
        <v>720</v>
      </c>
      <c r="H2702" s="8">
        <f>IF(financials[[#This Row],[Discount Band]]="low",0.1,IF(financials[[#This Row],[Discount Band]]="medium",0.15,0.3))</f>
        <v>0.3</v>
      </c>
      <c r="I2702" s="8">
        <f>financials[[#This Row],[Gross Sales]]-financials[[#This Row],[Gross Sales]]*financials[[#This Row],[Discounts]]</f>
        <v>504</v>
      </c>
      <c r="J2702" s="8">
        <f>VLOOKUP(financials[[#This Row],[productid]],Products!$B$2:$H$10,4)</f>
        <v>16.8</v>
      </c>
      <c r="K2702" s="8">
        <f>financials[[#This Row],[Net Sales]]-financials[[#This Row],[COGS]]</f>
        <v>487.2</v>
      </c>
      <c r="L2702" s="15">
        <v>44978</v>
      </c>
      <c r="M2702" t="s">
        <v>696</v>
      </c>
    </row>
    <row r="2703" spans="1:13" x14ac:dyDescent="0.25">
      <c r="A2703" t="s">
        <v>87</v>
      </c>
      <c r="B2703" s="6" t="s">
        <v>287</v>
      </c>
      <c r="C2703" s="13">
        <v>103</v>
      </c>
      <c r="D2703" s="14" t="s">
        <v>92</v>
      </c>
      <c r="E2703">
        <v>20</v>
      </c>
      <c r="F2703" s="8">
        <f>VLOOKUP(financials[[#This Row],[productid]],Products!$B$2:$H$10,3)</f>
        <v>28</v>
      </c>
      <c r="G2703" s="8">
        <f>financials[[#This Row],[Units Sold]]*financials[[#This Row],[Sale Price]]</f>
        <v>560</v>
      </c>
      <c r="H2703" s="8">
        <f>IF(financials[[#This Row],[Discount Band]]="low",0.1,IF(financials[[#This Row],[Discount Band]]="medium",0.15,0.3))</f>
        <v>0.3</v>
      </c>
      <c r="I2703" s="8">
        <f>financials[[#This Row],[Gross Sales]]-financials[[#This Row],[Gross Sales]]*financials[[#This Row],[Discounts]]</f>
        <v>392</v>
      </c>
      <c r="J2703" s="8">
        <f>VLOOKUP(financials[[#This Row],[productid]],Products!$B$2:$H$10,4)</f>
        <v>15</v>
      </c>
      <c r="K2703" s="8">
        <f>financials[[#This Row],[Net Sales]]-financials[[#This Row],[COGS]]</f>
        <v>377</v>
      </c>
      <c r="L2703" s="15">
        <v>44267</v>
      </c>
      <c r="M2703" t="s">
        <v>691</v>
      </c>
    </row>
    <row r="2704" spans="1:13" x14ac:dyDescent="0.25">
      <c r="A2704" t="s">
        <v>87</v>
      </c>
      <c r="B2704" s="6" t="s">
        <v>96</v>
      </c>
      <c r="C2704" s="13">
        <v>107</v>
      </c>
      <c r="D2704" s="14" t="s">
        <v>91</v>
      </c>
      <c r="E2704">
        <v>17</v>
      </c>
      <c r="F2704" s="8">
        <f>VLOOKUP(financials[[#This Row],[productid]],Products!$B$2:$H$10,3)</f>
        <v>15</v>
      </c>
      <c r="G2704" s="8">
        <f>financials[[#This Row],[Units Sold]]*financials[[#This Row],[Sale Price]]</f>
        <v>255</v>
      </c>
      <c r="H2704" s="8">
        <f>IF(financials[[#This Row],[Discount Band]]="low",0.1,IF(financials[[#This Row],[Discount Band]]="medium",0.15,0.3))</f>
        <v>0.1</v>
      </c>
      <c r="I2704" s="8">
        <f>financials[[#This Row],[Gross Sales]]-financials[[#This Row],[Gross Sales]]*financials[[#This Row],[Discounts]]</f>
        <v>229.5</v>
      </c>
      <c r="J2704" s="8">
        <f>VLOOKUP(financials[[#This Row],[productid]],Products!$B$2:$H$10,4)</f>
        <v>5.5</v>
      </c>
      <c r="K2704" s="8">
        <f>financials[[#This Row],[Net Sales]]-financials[[#This Row],[COGS]]</f>
        <v>224</v>
      </c>
      <c r="L2704" s="15">
        <v>44717</v>
      </c>
      <c r="M2704" t="s">
        <v>700</v>
      </c>
    </row>
    <row r="2705" spans="1:13" x14ac:dyDescent="0.25">
      <c r="A2705" t="s">
        <v>87</v>
      </c>
      <c r="B2705" s="6" t="s">
        <v>232</v>
      </c>
      <c r="C2705" s="13">
        <v>101</v>
      </c>
      <c r="D2705" s="14" t="s">
        <v>83</v>
      </c>
      <c r="E2705">
        <v>20</v>
      </c>
      <c r="F2705" s="8">
        <f>VLOOKUP(financials[[#This Row],[productid]],Products!$B$2:$H$10,3)</f>
        <v>23</v>
      </c>
      <c r="G2705" s="8">
        <f>financials[[#This Row],[Units Sold]]*financials[[#This Row],[Sale Price]]</f>
        <v>460</v>
      </c>
      <c r="H2705" s="8">
        <f>IF(financials[[#This Row],[Discount Band]]="low",0.1,IF(financials[[#This Row],[Discount Band]]="medium",0.15,0.3))</f>
        <v>0.3</v>
      </c>
      <c r="I2705" s="8">
        <f>financials[[#This Row],[Gross Sales]]-financials[[#This Row],[Gross Sales]]*financials[[#This Row],[Discounts]]</f>
        <v>322</v>
      </c>
      <c r="J2705" s="8">
        <f>VLOOKUP(financials[[#This Row],[productid]],Products!$B$2:$H$10,4)</f>
        <v>9.9499999999999993</v>
      </c>
      <c r="K2705" s="8">
        <f>financials[[#This Row],[Net Sales]]-financials[[#This Row],[COGS]]</f>
        <v>312.05</v>
      </c>
      <c r="L2705" s="15">
        <v>44467</v>
      </c>
      <c r="M2705" t="s">
        <v>690</v>
      </c>
    </row>
    <row r="2706" spans="1:13" x14ac:dyDescent="0.25">
      <c r="A2706" t="s">
        <v>87</v>
      </c>
      <c r="B2706" s="6" t="s">
        <v>93</v>
      </c>
      <c r="C2706" s="13">
        <v>106</v>
      </c>
      <c r="D2706" s="14" t="s">
        <v>83</v>
      </c>
      <c r="E2706">
        <v>19</v>
      </c>
      <c r="F2706" s="8">
        <f>VLOOKUP(financials[[#This Row],[productid]],Products!$B$2:$H$10,3)</f>
        <v>25</v>
      </c>
      <c r="G2706" s="8">
        <f>financials[[#This Row],[Units Sold]]*financials[[#This Row],[Sale Price]]</f>
        <v>475</v>
      </c>
      <c r="H2706" s="8">
        <f>IF(financials[[#This Row],[Discount Band]]="low",0.1,IF(financials[[#This Row],[Discount Band]]="medium",0.15,0.3))</f>
        <v>0.3</v>
      </c>
      <c r="I2706" s="8">
        <f>financials[[#This Row],[Gross Sales]]-financials[[#This Row],[Gross Sales]]*financials[[#This Row],[Discounts]]</f>
        <v>332.5</v>
      </c>
      <c r="J2706" s="8">
        <f>VLOOKUP(financials[[#This Row],[productid]],Products!$B$2:$H$10,4)</f>
        <v>9.1</v>
      </c>
      <c r="K2706" s="8">
        <f>financials[[#This Row],[Net Sales]]-financials[[#This Row],[COGS]]</f>
        <v>323.39999999999998</v>
      </c>
      <c r="L2706" s="15">
        <v>43909</v>
      </c>
      <c r="M2706" t="s">
        <v>690</v>
      </c>
    </row>
    <row r="2707" spans="1:13" x14ac:dyDescent="0.25">
      <c r="A2707" t="s">
        <v>87</v>
      </c>
      <c r="B2707" s="6" t="s">
        <v>148</v>
      </c>
      <c r="C2707" s="13">
        <v>105</v>
      </c>
      <c r="D2707" s="14" t="s">
        <v>91</v>
      </c>
      <c r="E2707">
        <v>10</v>
      </c>
      <c r="F2707" s="8">
        <f>VLOOKUP(financials[[#This Row],[productid]],Products!$B$2:$H$10,3)</f>
        <v>15</v>
      </c>
      <c r="G2707" s="8">
        <f>financials[[#This Row],[Units Sold]]*financials[[#This Row],[Sale Price]]</f>
        <v>150</v>
      </c>
      <c r="H2707" s="8">
        <f>IF(financials[[#This Row],[Discount Band]]="low",0.1,IF(financials[[#This Row],[Discount Band]]="medium",0.15,0.3))</f>
        <v>0.1</v>
      </c>
      <c r="I2707" s="8">
        <f>financials[[#This Row],[Gross Sales]]-financials[[#This Row],[Gross Sales]]*financials[[#This Row],[Discounts]]</f>
        <v>135</v>
      </c>
      <c r="J2707" s="8">
        <f>VLOOKUP(financials[[#This Row],[productid]],Products!$B$2:$H$10,4)</f>
        <v>10</v>
      </c>
      <c r="K2707" s="8">
        <f>financials[[#This Row],[Net Sales]]-financials[[#This Row],[COGS]]</f>
        <v>125</v>
      </c>
      <c r="L2707" s="15">
        <v>45158</v>
      </c>
      <c r="M2707" t="s">
        <v>700</v>
      </c>
    </row>
    <row r="2708" spans="1:13" x14ac:dyDescent="0.25">
      <c r="A2708" t="s">
        <v>86</v>
      </c>
      <c r="B2708" s="6" t="s">
        <v>84</v>
      </c>
      <c r="C2708" s="13">
        <v>102</v>
      </c>
      <c r="D2708" s="14" t="s">
        <v>90</v>
      </c>
      <c r="E2708">
        <v>12</v>
      </c>
      <c r="F2708" s="8">
        <f>VLOOKUP(financials[[#This Row],[productid]],Products!$B$2:$H$10,3)</f>
        <v>15</v>
      </c>
      <c r="G2708" s="8">
        <f>financials[[#This Row],[Units Sold]]*financials[[#This Row],[Sale Price]]</f>
        <v>180</v>
      </c>
      <c r="H2708" s="8">
        <f>IF(financials[[#This Row],[Discount Band]]="low",0.1,IF(financials[[#This Row],[Discount Band]]="medium",0.15,0.3))</f>
        <v>0.15</v>
      </c>
      <c r="I2708" s="8">
        <f>financials[[#This Row],[Gross Sales]]-financials[[#This Row],[Gross Sales]]*financials[[#This Row],[Discounts]]</f>
        <v>153</v>
      </c>
      <c r="J2708" s="8">
        <f>VLOOKUP(financials[[#This Row],[productid]],Products!$B$2:$H$10,4)</f>
        <v>13.95</v>
      </c>
      <c r="K2708" s="8">
        <f>financials[[#This Row],[Net Sales]]-financials[[#This Row],[COGS]]</f>
        <v>139.05000000000001</v>
      </c>
      <c r="L2708" s="15">
        <v>45562</v>
      </c>
      <c r="M2708" t="s">
        <v>700</v>
      </c>
    </row>
    <row r="2709" spans="1:13" x14ac:dyDescent="0.25">
      <c r="A2709" t="s">
        <v>86</v>
      </c>
      <c r="B2709" s="6" t="s">
        <v>84</v>
      </c>
      <c r="C2709" s="13">
        <v>109</v>
      </c>
      <c r="D2709" s="14" t="s">
        <v>83</v>
      </c>
      <c r="E2709">
        <v>17</v>
      </c>
      <c r="F2709" s="8">
        <f>VLOOKUP(financials[[#This Row],[productid]],Products!$B$2:$H$10,3)</f>
        <v>36</v>
      </c>
      <c r="G2709" s="8">
        <f>financials[[#This Row],[Units Sold]]*financials[[#This Row],[Sale Price]]</f>
        <v>612</v>
      </c>
      <c r="H2709" s="8">
        <f>IF(financials[[#This Row],[Discount Band]]="low",0.1,IF(financials[[#This Row],[Discount Band]]="medium",0.15,0.3))</f>
        <v>0.3</v>
      </c>
      <c r="I2709" s="8">
        <f>financials[[#This Row],[Gross Sales]]-financials[[#This Row],[Gross Sales]]*financials[[#This Row],[Discounts]]</f>
        <v>428.4</v>
      </c>
      <c r="J2709" s="8">
        <f>VLOOKUP(financials[[#This Row],[productid]],Products!$B$2:$H$10,4)</f>
        <v>16.8</v>
      </c>
      <c r="K2709" s="8">
        <f>financials[[#This Row],[Net Sales]]-financials[[#This Row],[COGS]]</f>
        <v>411.59999999999997</v>
      </c>
      <c r="L2709" s="15">
        <v>43982</v>
      </c>
      <c r="M2709" t="s">
        <v>697</v>
      </c>
    </row>
    <row r="2710" spans="1:13" x14ac:dyDescent="0.25">
      <c r="A2710" t="s">
        <v>85</v>
      </c>
      <c r="B2710" s="6" t="s">
        <v>124</v>
      </c>
      <c r="C2710" s="13">
        <v>102</v>
      </c>
      <c r="D2710" s="14" t="s">
        <v>92</v>
      </c>
      <c r="E2710">
        <v>7</v>
      </c>
      <c r="F2710" s="8">
        <f>VLOOKUP(financials[[#This Row],[productid]],Products!$B$2:$H$10,3)</f>
        <v>15</v>
      </c>
      <c r="G2710" s="8">
        <f>financials[[#This Row],[Units Sold]]*financials[[#This Row],[Sale Price]]</f>
        <v>105</v>
      </c>
      <c r="H2710" s="8">
        <f>IF(financials[[#This Row],[Discount Band]]="low",0.1,IF(financials[[#This Row],[Discount Band]]="medium",0.15,0.3))</f>
        <v>0.3</v>
      </c>
      <c r="I2710" s="8">
        <f>financials[[#This Row],[Gross Sales]]-financials[[#This Row],[Gross Sales]]*financials[[#This Row],[Discounts]]</f>
        <v>73.5</v>
      </c>
      <c r="J2710" s="8">
        <f>VLOOKUP(financials[[#This Row],[productid]],Products!$B$2:$H$10,4)</f>
        <v>13.95</v>
      </c>
      <c r="K2710" s="8">
        <f>financials[[#This Row],[Net Sales]]-financials[[#This Row],[COGS]]</f>
        <v>59.55</v>
      </c>
      <c r="L2710" s="15">
        <v>44832</v>
      </c>
      <c r="M2710" t="s">
        <v>690</v>
      </c>
    </row>
    <row r="2711" spans="1:13" x14ac:dyDescent="0.25">
      <c r="A2711" t="s">
        <v>89</v>
      </c>
      <c r="B2711" s="6" t="s">
        <v>159</v>
      </c>
      <c r="C2711" s="13">
        <v>107</v>
      </c>
      <c r="D2711" s="14" t="s">
        <v>92</v>
      </c>
      <c r="E2711">
        <v>7</v>
      </c>
      <c r="F2711" s="8">
        <f>VLOOKUP(financials[[#This Row],[productid]],Products!$B$2:$H$10,3)</f>
        <v>15</v>
      </c>
      <c r="G2711" s="8">
        <f>financials[[#This Row],[Units Sold]]*financials[[#This Row],[Sale Price]]</f>
        <v>105</v>
      </c>
      <c r="H2711" s="8">
        <f>IF(financials[[#This Row],[Discount Band]]="low",0.1,IF(financials[[#This Row],[Discount Band]]="medium",0.15,0.3))</f>
        <v>0.3</v>
      </c>
      <c r="I2711" s="8">
        <f>financials[[#This Row],[Gross Sales]]-financials[[#This Row],[Gross Sales]]*financials[[#This Row],[Discounts]]</f>
        <v>73.5</v>
      </c>
      <c r="J2711" s="8">
        <f>VLOOKUP(financials[[#This Row],[productid]],Products!$B$2:$H$10,4)</f>
        <v>5.5</v>
      </c>
      <c r="K2711" s="8">
        <f>financials[[#This Row],[Net Sales]]-financials[[#This Row],[COGS]]</f>
        <v>68</v>
      </c>
      <c r="L2711" s="15">
        <v>45259</v>
      </c>
      <c r="M2711" t="s">
        <v>696</v>
      </c>
    </row>
    <row r="2712" spans="1:13" x14ac:dyDescent="0.25">
      <c r="A2712" t="s">
        <v>87</v>
      </c>
      <c r="B2712" s="6" t="s">
        <v>95</v>
      </c>
      <c r="C2712" s="11">
        <v>104</v>
      </c>
      <c r="D2712" s="9" t="s">
        <v>91</v>
      </c>
      <c r="E2712">
        <v>15</v>
      </c>
      <c r="F2712" s="8">
        <f>VLOOKUP(financials[[#This Row],[productid]],Products!$B$2:$H$10,3)</f>
        <v>5.9</v>
      </c>
      <c r="G2712" s="8">
        <f>financials[[#This Row],[Units Sold]]*financials[[#This Row],[Sale Price]]</f>
        <v>88.5</v>
      </c>
      <c r="H2712" s="8">
        <f>IF(financials[[#This Row],[Discount Band]]="low",0.1,IF(financials[[#This Row],[Discount Band]]="medium",0.15,0.3))</f>
        <v>0.1</v>
      </c>
      <c r="I2712" s="8">
        <f>financials[[#This Row],[Gross Sales]]-financials[[#This Row],[Gross Sales]]*financials[[#This Row],[Discounts]]</f>
        <v>79.650000000000006</v>
      </c>
      <c r="J2712" s="8">
        <f>VLOOKUP(financials[[#This Row],[productid]],Products!$B$2:$H$10,4)</f>
        <v>2.9</v>
      </c>
      <c r="K2712" s="8">
        <f>financials[[#This Row],[Net Sales]]-financials[[#This Row],[COGS]]</f>
        <v>76.75</v>
      </c>
      <c r="L2712" s="15">
        <v>44244</v>
      </c>
      <c r="M2712" t="s">
        <v>696</v>
      </c>
    </row>
    <row r="2713" spans="1:13" x14ac:dyDescent="0.25">
      <c r="A2713" t="s">
        <v>87</v>
      </c>
      <c r="B2713" s="6" t="s">
        <v>232</v>
      </c>
      <c r="C2713" s="13">
        <v>108</v>
      </c>
      <c r="D2713" s="14" t="s">
        <v>91</v>
      </c>
      <c r="E2713">
        <v>7</v>
      </c>
      <c r="F2713" s="8">
        <f>VLOOKUP(financials[[#This Row],[productid]],Products!$B$2:$H$10,3)</f>
        <v>5.5</v>
      </c>
      <c r="G2713" s="8">
        <f>financials[[#This Row],[Units Sold]]*financials[[#This Row],[Sale Price]]</f>
        <v>38.5</v>
      </c>
      <c r="H2713" s="8">
        <f>IF(financials[[#This Row],[Discount Band]]="low",0.1,IF(financials[[#This Row],[Discount Band]]="medium",0.15,0.3))</f>
        <v>0.1</v>
      </c>
      <c r="I2713" s="8">
        <f>financials[[#This Row],[Gross Sales]]-financials[[#This Row],[Gross Sales]]*financials[[#This Row],[Discounts]]</f>
        <v>34.65</v>
      </c>
      <c r="J2713" s="8">
        <f>VLOOKUP(financials[[#This Row],[productid]],Products!$B$2:$H$10,4)</f>
        <v>3.99</v>
      </c>
      <c r="K2713" s="8">
        <f>financials[[#This Row],[Net Sales]]-financials[[#This Row],[COGS]]</f>
        <v>30.659999999999997</v>
      </c>
      <c r="L2713" s="15">
        <v>45558</v>
      </c>
      <c r="M2713" t="s">
        <v>697</v>
      </c>
    </row>
    <row r="2714" spans="1:13" x14ac:dyDescent="0.25">
      <c r="A2714" t="s">
        <v>87</v>
      </c>
      <c r="B2714" s="6" t="s">
        <v>96</v>
      </c>
      <c r="C2714" s="13">
        <v>107</v>
      </c>
      <c r="D2714" s="14" t="s">
        <v>90</v>
      </c>
      <c r="E2714">
        <v>20</v>
      </c>
      <c r="F2714" s="8">
        <f>VLOOKUP(financials[[#This Row],[productid]],Products!$B$2:$H$10,3)</f>
        <v>15</v>
      </c>
      <c r="G2714" s="8">
        <f>financials[[#This Row],[Units Sold]]*financials[[#This Row],[Sale Price]]</f>
        <v>300</v>
      </c>
      <c r="H2714" s="8">
        <f>IF(financials[[#This Row],[Discount Band]]="low",0.1,IF(financials[[#This Row],[Discount Band]]="medium",0.15,0.3))</f>
        <v>0.15</v>
      </c>
      <c r="I2714" s="8">
        <f>financials[[#This Row],[Gross Sales]]-financials[[#This Row],[Gross Sales]]*financials[[#This Row],[Discounts]]</f>
        <v>255</v>
      </c>
      <c r="J2714" s="8">
        <f>VLOOKUP(financials[[#This Row],[productid]],Products!$B$2:$H$10,4)</f>
        <v>5.5</v>
      </c>
      <c r="K2714" s="8">
        <f>financials[[#This Row],[Net Sales]]-financials[[#This Row],[COGS]]</f>
        <v>249.5</v>
      </c>
      <c r="L2714" s="15">
        <v>44037</v>
      </c>
      <c r="M2714" t="s">
        <v>696</v>
      </c>
    </row>
    <row r="2715" spans="1:13" x14ac:dyDescent="0.25">
      <c r="A2715" t="s">
        <v>86</v>
      </c>
      <c r="B2715" s="6" t="s">
        <v>84</v>
      </c>
      <c r="C2715" s="13">
        <v>104</v>
      </c>
      <c r="D2715" s="14" t="s">
        <v>83</v>
      </c>
      <c r="E2715">
        <v>18</v>
      </c>
      <c r="F2715" s="8">
        <f>VLOOKUP(financials[[#This Row],[productid]],Products!$B$2:$H$10,3)</f>
        <v>5.9</v>
      </c>
      <c r="G2715" s="8">
        <f>financials[[#This Row],[Units Sold]]*financials[[#This Row],[Sale Price]]</f>
        <v>106.2</v>
      </c>
      <c r="H2715" s="8">
        <f>IF(financials[[#This Row],[Discount Band]]="low",0.1,IF(financials[[#This Row],[Discount Band]]="medium",0.15,0.3))</f>
        <v>0.3</v>
      </c>
      <c r="I2715" s="8">
        <f>financials[[#This Row],[Gross Sales]]-financials[[#This Row],[Gross Sales]]*financials[[#This Row],[Discounts]]</f>
        <v>74.34</v>
      </c>
      <c r="J2715" s="8">
        <f>VLOOKUP(financials[[#This Row],[productid]],Products!$B$2:$H$10,4)</f>
        <v>2.9</v>
      </c>
      <c r="K2715" s="8">
        <f>financials[[#This Row],[Net Sales]]-financials[[#This Row],[COGS]]</f>
        <v>71.44</v>
      </c>
      <c r="L2715" s="15">
        <v>44169</v>
      </c>
      <c r="M2715" t="s">
        <v>691</v>
      </c>
    </row>
    <row r="2716" spans="1:13" x14ac:dyDescent="0.25">
      <c r="A2716" t="s">
        <v>86</v>
      </c>
      <c r="B2716" s="6" t="s">
        <v>84</v>
      </c>
      <c r="C2716" s="13">
        <v>107</v>
      </c>
      <c r="D2716" s="14" t="s">
        <v>90</v>
      </c>
      <c r="E2716">
        <v>18</v>
      </c>
      <c r="F2716" s="8">
        <f>VLOOKUP(financials[[#This Row],[productid]],Products!$B$2:$H$10,3)</f>
        <v>15</v>
      </c>
      <c r="G2716" s="8">
        <f>financials[[#This Row],[Units Sold]]*financials[[#This Row],[Sale Price]]</f>
        <v>270</v>
      </c>
      <c r="H2716" s="8">
        <f>IF(financials[[#This Row],[Discount Band]]="low",0.1,IF(financials[[#This Row],[Discount Band]]="medium",0.15,0.3))</f>
        <v>0.15</v>
      </c>
      <c r="I2716" s="8">
        <f>financials[[#This Row],[Gross Sales]]-financials[[#This Row],[Gross Sales]]*financials[[#This Row],[Discounts]]</f>
        <v>229.5</v>
      </c>
      <c r="J2716" s="8">
        <f>VLOOKUP(financials[[#This Row],[productid]],Products!$B$2:$H$10,4)</f>
        <v>5.5</v>
      </c>
      <c r="K2716" s="8">
        <f>financials[[#This Row],[Net Sales]]-financials[[#This Row],[COGS]]</f>
        <v>224</v>
      </c>
      <c r="L2716" s="15">
        <v>44267</v>
      </c>
      <c r="M2716" t="s">
        <v>690</v>
      </c>
    </row>
    <row r="2717" spans="1:13" x14ac:dyDescent="0.25">
      <c r="A2717" t="s">
        <v>86</v>
      </c>
      <c r="B2717" s="6" t="s">
        <v>84</v>
      </c>
      <c r="C2717" s="13">
        <v>107</v>
      </c>
      <c r="D2717" s="14" t="s">
        <v>91</v>
      </c>
      <c r="E2717">
        <v>17</v>
      </c>
      <c r="F2717" s="8">
        <f>VLOOKUP(financials[[#This Row],[productid]],Products!$B$2:$H$10,3)</f>
        <v>15</v>
      </c>
      <c r="G2717" s="8">
        <f>financials[[#This Row],[Units Sold]]*financials[[#This Row],[Sale Price]]</f>
        <v>255</v>
      </c>
      <c r="H2717" s="8">
        <f>IF(financials[[#This Row],[Discount Band]]="low",0.1,IF(financials[[#This Row],[Discount Band]]="medium",0.15,0.3))</f>
        <v>0.1</v>
      </c>
      <c r="I2717" s="8">
        <f>financials[[#This Row],[Gross Sales]]-financials[[#This Row],[Gross Sales]]*financials[[#This Row],[Discounts]]</f>
        <v>229.5</v>
      </c>
      <c r="J2717" s="8">
        <f>VLOOKUP(financials[[#This Row],[productid]],Products!$B$2:$H$10,4)</f>
        <v>5.5</v>
      </c>
      <c r="K2717" s="8">
        <f>financials[[#This Row],[Net Sales]]-financials[[#This Row],[COGS]]</f>
        <v>224</v>
      </c>
      <c r="L2717" s="15">
        <v>44352</v>
      </c>
      <c r="M2717" t="s">
        <v>690</v>
      </c>
    </row>
    <row r="2718" spans="1:13" x14ac:dyDescent="0.25">
      <c r="A2718" t="s">
        <v>86</v>
      </c>
      <c r="B2718" s="6" t="s">
        <v>124</v>
      </c>
      <c r="C2718" s="13">
        <v>106</v>
      </c>
      <c r="D2718" s="14" t="s">
        <v>90</v>
      </c>
      <c r="E2718">
        <v>19</v>
      </c>
      <c r="F2718" s="8">
        <f>VLOOKUP(financials[[#This Row],[productid]],Products!$B$2:$H$10,3)</f>
        <v>25</v>
      </c>
      <c r="G2718" s="8">
        <f>financials[[#This Row],[Units Sold]]*financials[[#This Row],[Sale Price]]</f>
        <v>475</v>
      </c>
      <c r="H2718" s="8">
        <f>IF(financials[[#This Row],[Discount Band]]="low",0.1,IF(financials[[#This Row],[Discount Band]]="medium",0.15,0.3))</f>
        <v>0.15</v>
      </c>
      <c r="I2718" s="8">
        <f>financials[[#This Row],[Gross Sales]]-financials[[#This Row],[Gross Sales]]*financials[[#This Row],[Discounts]]</f>
        <v>403.75</v>
      </c>
      <c r="J2718" s="8">
        <f>VLOOKUP(financials[[#This Row],[productid]],Products!$B$2:$H$10,4)</f>
        <v>9.1</v>
      </c>
      <c r="K2718" s="8">
        <f>financials[[#This Row],[Net Sales]]-financials[[#This Row],[COGS]]</f>
        <v>394.65</v>
      </c>
      <c r="L2718" s="15">
        <v>45300</v>
      </c>
      <c r="M2718" t="s">
        <v>697</v>
      </c>
    </row>
    <row r="2719" spans="1:13" x14ac:dyDescent="0.25">
      <c r="A2719" t="s">
        <v>85</v>
      </c>
      <c r="B2719" s="6" t="s">
        <v>124</v>
      </c>
      <c r="C2719" s="13">
        <v>105</v>
      </c>
      <c r="D2719" s="14" t="s">
        <v>90</v>
      </c>
      <c r="E2719">
        <v>18</v>
      </c>
      <c r="F2719" s="8">
        <f>VLOOKUP(financials[[#This Row],[productid]],Products!$B$2:$H$10,3)</f>
        <v>15</v>
      </c>
      <c r="G2719" s="8">
        <f>financials[[#This Row],[Units Sold]]*financials[[#This Row],[Sale Price]]</f>
        <v>270</v>
      </c>
      <c r="H2719" s="8">
        <f>IF(financials[[#This Row],[Discount Band]]="low",0.1,IF(financials[[#This Row],[Discount Band]]="medium",0.15,0.3))</f>
        <v>0.15</v>
      </c>
      <c r="I2719" s="8">
        <f>financials[[#This Row],[Gross Sales]]-financials[[#This Row],[Gross Sales]]*financials[[#This Row],[Discounts]]</f>
        <v>229.5</v>
      </c>
      <c r="J2719" s="8">
        <f>VLOOKUP(financials[[#This Row],[productid]],Products!$B$2:$H$10,4)</f>
        <v>10</v>
      </c>
      <c r="K2719" s="8">
        <f>financials[[#This Row],[Net Sales]]-financials[[#This Row],[COGS]]</f>
        <v>219.5</v>
      </c>
      <c r="L2719" s="15">
        <v>45135</v>
      </c>
      <c r="M2719" t="s">
        <v>700</v>
      </c>
    </row>
    <row r="2720" spans="1:13" x14ac:dyDescent="0.25">
      <c r="A2720" t="s">
        <v>87</v>
      </c>
      <c r="B2720" s="6" t="s">
        <v>617</v>
      </c>
      <c r="C2720" s="13">
        <v>102</v>
      </c>
      <c r="D2720" s="14" t="s">
        <v>90</v>
      </c>
      <c r="E2720">
        <v>7</v>
      </c>
      <c r="F2720" s="8">
        <f>VLOOKUP(financials[[#This Row],[productid]],Products!$B$2:$H$10,3)</f>
        <v>15</v>
      </c>
      <c r="G2720" s="8">
        <f>financials[[#This Row],[Units Sold]]*financials[[#This Row],[Sale Price]]</f>
        <v>105</v>
      </c>
      <c r="H2720" s="8">
        <f>IF(financials[[#This Row],[Discount Band]]="low",0.1,IF(financials[[#This Row],[Discount Band]]="medium",0.15,0.3))</f>
        <v>0.15</v>
      </c>
      <c r="I2720" s="8">
        <f>financials[[#This Row],[Gross Sales]]-financials[[#This Row],[Gross Sales]]*financials[[#This Row],[Discounts]]</f>
        <v>89.25</v>
      </c>
      <c r="J2720" s="8">
        <f>VLOOKUP(financials[[#This Row],[productid]],Products!$B$2:$H$10,4)</f>
        <v>13.95</v>
      </c>
      <c r="K2720" s="8">
        <f>financials[[#This Row],[Net Sales]]-financials[[#This Row],[COGS]]</f>
        <v>75.3</v>
      </c>
      <c r="L2720" s="15">
        <v>45043</v>
      </c>
      <c r="M2720" t="s">
        <v>697</v>
      </c>
    </row>
    <row r="2721" spans="1:13" x14ac:dyDescent="0.25">
      <c r="A2721" t="s">
        <v>87</v>
      </c>
      <c r="B2721" s="6" t="s">
        <v>197</v>
      </c>
      <c r="C2721" s="13">
        <v>101</v>
      </c>
      <c r="D2721" s="14" t="s">
        <v>83</v>
      </c>
      <c r="E2721">
        <v>11</v>
      </c>
      <c r="F2721" s="8">
        <f>VLOOKUP(financials[[#This Row],[productid]],Products!$B$2:$H$10,3)</f>
        <v>23</v>
      </c>
      <c r="G2721" s="8">
        <f>financials[[#This Row],[Units Sold]]*financials[[#This Row],[Sale Price]]</f>
        <v>253</v>
      </c>
      <c r="H2721" s="8">
        <f>IF(financials[[#This Row],[Discount Band]]="low",0.1,IF(financials[[#This Row],[Discount Band]]="medium",0.15,0.3))</f>
        <v>0.3</v>
      </c>
      <c r="I2721" s="8">
        <f>financials[[#This Row],[Gross Sales]]-financials[[#This Row],[Gross Sales]]*financials[[#This Row],[Discounts]]</f>
        <v>177.10000000000002</v>
      </c>
      <c r="J2721" s="8">
        <f>VLOOKUP(financials[[#This Row],[productid]],Products!$B$2:$H$10,4)</f>
        <v>9.9499999999999993</v>
      </c>
      <c r="K2721" s="8">
        <f>financials[[#This Row],[Net Sales]]-financials[[#This Row],[COGS]]</f>
        <v>167.15000000000003</v>
      </c>
      <c r="L2721" s="15">
        <v>44920</v>
      </c>
      <c r="M2721" t="s">
        <v>700</v>
      </c>
    </row>
    <row r="2722" spans="1:13" x14ac:dyDescent="0.25">
      <c r="A2722" t="s">
        <v>86</v>
      </c>
      <c r="B2722" s="6" t="s">
        <v>84</v>
      </c>
      <c r="C2722" s="11">
        <v>102</v>
      </c>
      <c r="D2722" s="9" t="s">
        <v>90</v>
      </c>
      <c r="E2722">
        <v>7</v>
      </c>
      <c r="F2722" s="8">
        <f>VLOOKUP(financials[[#This Row],[productid]],Products!$B$2:$H$10,3)</f>
        <v>15</v>
      </c>
      <c r="G2722" s="8">
        <f>financials[[#This Row],[Units Sold]]*financials[[#This Row],[Sale Price]]</f>
        <v>105</v>
      </c>
      <c r="H2722" s="8">
        <f>IF(financials[[#This Row],[Discount Band]]="low",0.1,IF(financials[[#This Row],[Discount Band]]="medium",0.15,0.3))</f>
        <v>0.15</v>
      </c>
      <c r="I2722" s="8">
        <f>financials[[#This Row],[Gross Sales]]-financials[[#This Row],[Gross Sales]]*financials[[#This Row],[Discounts]]</f>
        <v>89.25</v>
      </c>
      <c r="J2722" s="8">
        <f>VLOOKUP(financials[[#This Row],[productid]],Products!$B$2:$H$10,4)</f>
        <v>13.95</v>
      </c>
      <c r="K2722" s="8">
        <f>financials[[#This Row],[Net Sales]]-financials[[#This Row],[COGS]]</f>
        <v>75.3</v>
      </c>
      <c r="L2722" s="15">
        <v>45492</v>
      </c>
      <c r="M2722" t="s">
        <v>696</v>
      </c>
    </row>
    <row r="2723" spans="1:13" x14ac:dyDescent="0.25">
      <c r="A2723" t="s">
        <v>86</v>
      </c>
      <c r="B2723" s="6" t="s">
        <v>84</v>
      </c>
      <c r="C2723" s="11">
        <v>103</v>
      </c>
      <c r="D2723" s="9" t="s">
        <v>90</v>
      </c>
      <c r="E2723">
        <v>10</v>
      </c>
      <c r="F2723" s="8">
        <f>VLOOKUP(financials[[#This Row],[productid]],Products!$B$2:$H$10,3)</f>
        <v>28</v>
      </c>
      <c r="G2723" s="8">
        <f>financials[[#This Row],[Units Sold]]*financials[[#This Row],[Sale Price]]</f>
        <v>280</v>
      </c>
      <c r="H2723" s="8">
        <f>IF(financials[[#This Row],[Discount Band]]="low",0.1,IF(financials[[#This Row],[Discount Band]]="medium",0.15,0.3))</f>
        <v>0.15</v>
      </c>
      <c r="I2723" s="8">
        <f>financials[[#This Row],[Gross Sales]]-financials[[#This Row],[Gross Sales]]*financials[[#This Row],[Discounts]]</f>
        <v>238</v>
      </c>
      <c r="J2723" s="8">
        <f>VLOOKUP(financials[[#This Row],[productid]],Products!$B$2:$H$10,4)</f>
        <v>15</v>
      </c>
      <c r="K2723" s="8">
        <f>financials[[#This Row],[Net Sales]]-financials[[#This Row],[COGS]]</f>
        <v>223</v>
      </c>
      <c r="L2723" s="15">
        <v>44123</v>
      </c>
      <c r="M2723" t="s">
        <v>696</v>
      </c>
    </row>
    <row r="2724" spans="1:13" x14ac:dyDescent="0.25">
      <c r="A2724" t="s">
        <v>86</v>
      </c>
      <c r="B2724" s="6" t="s">
        <v>84</v>
      </c>
      <c r="C2724" s="13">
        <v>106</v>
      </c>
      <c r="D2724" s="14" t="s">
        <v>83</v>
      </c>
      <c r="E2724">
        <v>14</v>
      </c>
      <c r="F2724" s="8">
        <f>VLOOKUP(financials[[#This Row],[productid]],Products!$B$2:$H$10,3)</f>
        <v>25</v>
      </c>
      <c r="G2724" s="8">
        <f>financials[[#This Row],[Units Sold]]*financials[[#This Row],[Sale Price]]</f>
        <v>350</v>
      </c>
      <c r="H2724" s="8">
        <f>IF(financials[[#This Row],[Discount Band]]="low",0.1,IF(financials[[#This Row],[Discount Band]]="medium",0.15,0.3))</f>
        <v>0.3</v>
      </c>
      <c r="I2724" s="8">
        <f>financials[[#This Row],[Gross Sales]]-financials[[#This Row],[Gross Sales]]*financials[[#This Row],[Discounts]]</f>
        <v>245</v>
      </c>
      <c r="J2724" s="8">
        <f>VLOOKUP(financials[[#This Row],[productid]],Products!$B$2:$H$10,4)</f>
        <v>9.1</v>
      </c>
      <c r="K2724" s="8">
        <f>financials[[#This Row],[Net Sales]]-financials[[#This Row],[COGS]]</f>
        <v>235.9</v>
      </c>
      <c r="L2724" s="15">
        <v>45043</v>
      </c>
      <c r="M2724" t="s">
        <v>691</v>
      </c>
    </row>
    <row r="2725" spans="1:13" x14ac:dyDescent="0.25">
      <c r="A2725" t="s">
        <v>86</v>
      </c>
      <c r="B2725" s="6" t="s">
        <v>84</v>
      </c>
      <c r="C2725" s="13">
        <v>105</v>
      </c>
      <c r="D2725" s="14" t="s">
        <v>90</v>
      </c>
      <c r="E2725">
        <v>6</v>
      </c>
      <c r="F2725" s="8">
        <f>VLOOKUP(financials[[#This Row],[productid]],Products!$B$2:$H$10,3)</f>
        <v>15</v>
      </c>
      <c r="G2725" s="8">
        <f>financials[[#This Row],[Units Sold]]*financials[[#This Row],[Sale Price]]</f>
        <v>90</v>
      </c>
      <c r="H2725" s="8">
        <f>IF(financials[[#This Row],[Discount Band]]="low",0.1,IF(financials[[#This Row],[Discount Band]]="medium",0.15,0.3))</f>
        <v>0.15</v>
      </c>
      <c r="I2725" s="8">
        <f>financials[[#This Row],[Gross Sales]]-financials[[#This Row],[Gross Sales]]*financials[[#This Row],[Discounts]]</f>
        <v>76.5</v>
      </c>
      <c r="J2725" s="8">
        <f>VLOOKUP(financials[[#This Row],[productid]],Products!$B$2:$H$10,4)</f>
        <v>10</v>
      </c>
      <c r="K2725" s="8">
        <f>financials[[#This Row],[Net Sales]]-financials[[#This Row],[COGS]]</f>
        <v>66.5</v>
      </c>
      <c r="L2725" s="15">
        <v>44343</v>
      </c>
      <c r="M2725" t="s">
        <v>697</v>
      </c>
    </row>
    <row r="2726" spans="1:13" x14ac:dyDescent="0.25">
      <c r="A2726" t="s">
        <v>87</v>
      </c>
      <c r="B2726" s="6" t="s">
        <v>645</v>
      </c>
      <c r="C2726" s="11">
        <v>101</v>
      </c>
      <c r="D2726" s="9" t="s">
        <v>90</v>
      </c>
      <c r="E2726">
        <v>8</v>
      </c>
      <c r="F2726" s="8">
        <f>VLOOKUP(financials[[#This Row],[productid]],Products!$B$2:$H$10,3)</f>
        <v>23</v>
      </c>
      <c r="G2726" s="8">
        <f>financials[[#This Row],[Units Sold]]*financials[[#This Row],[Sale Price]]</f>
        <v>184</v>
      </c>
      <c r="H2726" s="8">
        <f>IF(financials[[#This Row],[Discount Band]]="low",0.1,IF(financials[[#This Row],[Discount Band]]="medium",0.15,0.3))</f>
        <v>0.15</v>
      </c>
      <c r="I2726" s="8">
        <f>financials[[#This Row],[Gross Sales]]-financials[[#This Row],[Gross Sales]]*financials[[#This Row],[Discounts]]</f>
        <v>156.4</v>
      </c>
      <c r="J2726" s="8">
        <f>VLOOKUP(financials[[#This Row],[productid]],Products!$B$2:$H$10,4)</f>
        <v>9.9499999999999993</v>
      </c>
      <c r="K2726" s="8">
        <f>financials[[#This Row],[Net Sales]]-financials[[#This Row],[COGS]]</f>
        <v>146.45000000000002</v>
      </c>
      <c r="L2726" s="15">
        <v>45408</v>
      </c>
      <c r="M2726" t="s">
        <v>696</v>
      </c>
    </row>
    <row r="2727" spans="1:13" x14ac:dyDescent="0.25">
      <c r="A2727" t="s">
        <v>87</v>
      </c>
      <c r="B2727" s="6" t="s">
        <v>96</v>
      </c>
      <c r="C2727" s="13">
        <v>108</v>
      </c>
      <c r="D2727" s="14" t="s">
        <v>91</v>
      </c>
      <c r="E2727">
        <v>5</v>
      </c>
      <c r="F2727" s="8">
        <f>VLOOKUP(financials[[#This Row],[productid]],Products!$B$2:$H$10,3)</f>
        <v>5.5</v>
      </c>
      <c r="G2727" s="8">
        <f>financials[[#This Row],[Units Sold]]*financials[[#This Row],[Sale Price]]</f>
        <v>27.5</v>
      </c>
      <c r="H2727" s="8">
        <f>IF(financials[[#This Row],[Discount Band]]="low",0.1,IF(financials[[#This Row],[Discount Band]]="medium",0.15,0.3))</f>
        <v>0.1</v>
      </c>
      <c r="I2727" s="8">
        <f>financials[[#This Row],[Gross Sales]]-financials[[#This Row],[Gross Sales]]*financials[[#This Row],[Discounts]]</f>
        <v>24.75</v>
      </c>
      <c r="J2727" s="8">
        <f>VLOOKUP(financials[[#This Row],[productid]],Products!$B$2:$H$10,4)</f>
        <v>3.99</v>
      </c>
      <c r="K2727" s="8">
        <f>financials[[#This Row],[Net Sales]]-financials[[#This Row],[COGS]]</f>
        <v>20.759999999999998</v>
      </c>
      <c r="L2727" s="15">
        <v>43980</v>
      </c>
      <c r="M2727" t="s">
        <v>700</v>
      </c>
    </row>
    <row r="2728" spans="1:13" x14ac:dyDescent="0.25">
      <c r="A2728" t="s">
        <v>86</v>
      </c>
      <c r="B2728" s="6" t="s">
        <v>124</v>
      </c>
      <c r="C2728" s="13">
        <v>108</v>
      </c>
      <c r="D2728" s="14" t="s">
        <v>90</v>
      </c>
      <c r="E2728">
        <v>5</v>
      </c>
      <c r="F2728" s="8">
        <f>VLOOKUP(financials[[#This Row],[productid]],Products!$B$2:$H$10,3)</f>
        <v>5.5</v>
      </c>
      <c r="G2728" s="8">
        <f>financials[[#This Row],[Units Sold]]*financials[[#This Row],[Sale Price]]</f>
        <v>27.5</v>
      </c>
      <c r="H2728" s="8">
        <f>IF(financials[[#This Row],[Discount Band]]="low",0.1,IF(financials[[#This Row],[Discount Band]]="medium",0.15,0.3))</f>
        <v>0.15</v>
      </c>
      <c r="I2728" s="8">
        <f>financials[[#This Row],[Gross Sales]]-financials[[#This Row],[Gross Sales]]*financials[[#This Row],[Discounts]]</f>
        <v>23.375</v>
      </c>
      <c r="J2728" s="8">
        <f>VLOOKUP(financials[[#This Row],[productid]],Products!$B$2:$H$10,4)</f>
        <v>3.99</v>
      </c>
      <c r="K2728" s="8">
        <f>financials[[#This Row],[Net Sales]]-financials[[#This Row],[COGS]]</f>
        <v>19.384999999999998</v>
      </c>
      <c r="L2728" s="15">
        <v>44344</v>
      </c>
      <c r="M2728" t="s">
        <v>696</v>
      </c>
    </row>
    <row r="2729" spans="1:13" x14ac:dyDescent="0.25">
      <c r="A2729" t="s">
        <v>86</v>
      </c>
      <c r="B2729" s="6" t="s">
        <v>84</v>
      </c>
      <c r="C2729" s="13">
        <v>109</v>
      </c>
      <c r="D2729" s="14" t="s">
        <v>90</v>
      </c>
      <c r="E2729">
        <v>5</v>
      </c>
      <c r="F2729" s="8">
        <f>VLOOKUP(financials[[#This Row],[productid]],Products!$B$2:$H$10,3)</f>
        <v>36</v>
      </c>
      <c r="G2729" s="8">
        <f>financials[[#This Row],[Units Sold]]*financials[[#This Row],[Sale Price]]</f>
        <v>180</v>
      </c>
      <c r="H2729" s="8">
        <f>IF(financials[[#This Row],[Discount Band]]="low",0.1,IF(financials[[#This Row],[Discount Band]]="medium",0.15,0.3))</f>
        <v>0.15</v>
      </c>
      <c r="I2729" s="8">
        <f>financials[[#This Row],[Gross Sales]]-financials[[#This Row],[Gross Sales]]*financials[[#This Row],[Discounts]]</f>
        <v>153</v>
      </c>
      <c r="J2729" s="8">
        <f>VLOOKUP(financials[[#This Row],[productid]],Products!$B$2:$H$10,4)</f>
        <v>16.8</v>
      </c>
      <c r="K2729" s="8">
        <f>financials[[#This Row],[Net Sales]]-financials[[#This Row],[COGS]]</f>
        <v>136.19999999999999</v>
      </c>
      <c r="L2729" s="15">
        <v>44519</v>
      </c>
      <c r="M2729" t="s">
        <v>696</v>
      </c>
    </row>
    <row r="2730" spans="1:13" x14ac:dyDescent="0.25">
      <c r="A2730" t="s">
        <v>87</v>
      </c>
      <c r="B2730" s="6" t="s">
        <v>274</v>
      </c>
      <c r="C2730" s="11">
        <v>107</v>
      </c>
      <c r="D2730" s="9" t="s">
        <v>91</v>
      </c>
      <c r="E2730">
        <v>15</v>
      </c>
      <c r="F2730" s="8">
        <f>VLOOKUP(financials[[#This Row],[productid]],Products!$B$2:$H$10,3)</f>
        <v>15</v>
      </c>
      <c r="G2730" s="8">
        <f>financials[[#This Row],[Units Sold]]*financials[[#This Row],[Sale Price]]</f>
        <v>225</v>
      </c>
      <c r="H2730" s="8">
        <f>IF(financials[[#This Row],[Discount Band]]="low",0.1,IF(financials[[#This Row],[Discount Band]]="medium",0.15,0.3))</f>
        <v>0.1</v>
      </c>
      <c r="I2730" s="8">
        <f>financials[[#This Row],[Gross Sales]]-financials[[#This Row],[Gross Sales]]*financials[[#This Row],[Discounts]]</f>
        <v>202.5</v>
      </c>
      <c r="J2730" s="8">
        <f>VLOOKUP(financials[[#This Row],[productid]],Products!$B$2:$H$10,4)</f>
        <v>5.5</v>
      </c>
      <c r="K2730" s="8">
        <f>financials[[#This Row],[Net Sales]]-financials[[#This Row],[COGS]]</f>
        <v>197</v>
      </c>
      <c r="L2730" s="15">
        <v>45363</v>
      </c>
      <c r="M2730" t="s">
        <v>690</v>
      </c>
    </row>
    <row r="2731" spans="1:13" x14ac:dyDescent="0.25">
      <c r="A2731" t="s">
        <v>87</v>
      </c>
      <c r="B2731" s="6" t="s">
        <v>232</v>
      </c>
      <c r="C2731" s="13">
        <v>107</v>
      </c>
      <c r="D2731" s="14" t="s">
        <v>83</v>
      </c>
      <c r="E2731">
        <v>5</v>
      </c>
      <c r="F2731" s="8">
        <f>VLOOKUP(financials[[#This Row],[productid]],Products!$B$2:$H$10,3)</f>
        <v>15</v>
      </c>
      <c r="G2731" s="8">
        <f>financials[[#This Row],[Units Sold]]*financials[[#This Row],[Sale Price]]</f>
        <v>75</v>
      </c>
      <c r="H2731" s="8">
        <f>IF(financials[[#This Row],[Discount Band]]="low",0.1,IF(financials[[#This Row],[Discount Band]]="medium",0.15,0.3))</f>
        <v>0.3</v>
      </c>
      <c r="I2731" s="8">
        <f>financials[[#This Row],[Gross Sales]]-financials[[#This Row],[Gross Sales]]*financials[[#This Row],[Discounts]]</f>
        <v>52.5</v>
      </c>
      <c r="J2731" s="8">
        <f>VLOOKUP(financials[[#This Row],[productid]],Products!$B$2:$H$10,4)</f>
        <v>5.5</v>
      </c>
      <c r="K2731" s="8">
        <f>financials[[#This Row],[Net Sales]]-financials[[#This Row],[COGS]]</f>
        <v>47</v>
      </c>
      <c r="L2731" s="15">
        <v>43867</v>
      </c>
      <c r="M2731" t="s">
        <v>696</v>
      </c>
    </row>
    <row r="2732" spans="1:13" x14ac:dyDescent="0.25">
      <c r="A2732" t="s">
        <v>87</v>
      </c>
      <c r="B2732" s="6" t="s">
        <v>167</v>
      </c>
      <c r="C2732" s="13">
        <v>105</v>
      </c>
      <c r="D2732" s="14" t="s">
        <v>83</v>
      </c>
      <c r="E2732">
        <v>16</v>
      </c>
      <c r="F2732" s="8">
        <f>VLOOKUP(financials[[#This Row],[productid]],Products!$B$2:$H$10,3)</f>
        <v>15</v>
      </c>
      <c r="G2732" s="8">
        <f>financials[[#This Row],[Units Sold]]*financials[[#This Row],[Sale Price]]</f>
        <v>240</v>
      </c>
      <c r="H2732" s="8">
        <f>IF(financials[[#This Row],[Discount Band]]="low",0.1,IF(financials[[#This Row],[Discount Band]]="medium",0.15,0.3))</f>
        <v>0.3</v>
      </c>
      <c r="I2732" s="8">
        <f>financials[[#This Row],[Gross Sales]]-financials[[#This Row],[Gross Sales]]*financials[[#This Row],[Discounts]]</f>
        <v>168</v>
      </c>
      <c r="J2732" s="8">
        <f>VLOOKUP(financials[[#This Row],[productid]],Products!$B$2:$H$10,4)</f>
        <v>10</v>
      </c>
      <c r="K2732" s="8">
        <f>financials[[#This Row],[Net Sales]]-financials[[#This Row],[COGS]]</f>
        <v>158</v>
      </c>
      <c r="L2732" s="15">
        <v>45122</v>
      </c>
      <c r="M2732" t="s">
        <v>697</v>
      </c>
    </row>
    <row r="2733" spans="1:13" x14ac:dyDescent="0.25">
      <c r="A2733" t="s">
        <v>87</v>
      </c>
      <c r="B2733" s="6" t="s">
        <v>125</v>
      </c>
      <c r="C2733" s="13">
        <v>105</v>
      </c>
      <c r="D2733" s="14" t="s">
        <v>91</v>
      </c>
      <c r="E2733">
        <v>15</v>
      </c>
      <c r="F2733" s="8">
        <f>VLOOKUP(financials[[#This Row],[productid]],Products!$B$2:$H$10,3)</f>
        <v>15</v>
      </c>
      <c r="G2733" s="8">
        <f>financials[[#This Row],[Units Sold]]*financials[[#This Row],[Sale Price]]</f>
        <v>225</v>
      </c>
      <c r="H2733" s="8">
        <f>IF(financials[[#This Row],[Discount Band]]="low",0.1,IF(financials[[#This Row],[Discount Band]]="medium",0.15,0.3))</f>
        <v>0.1</v>
      </c>
      <c r="I2733" s="8">
        <f>financials[[#This Row],[Gross Sales]]-financials[[#This Row],[Gross Sales]]*financials[[#This Row],[Discounts]]</f>
        <v>202.5</v>
      </c>
      <c r="J2733" s="8">
        <f>VLOOKUP(financials[[#This Row],[productid]],Products!$B$2:$H$10,4)</f>
        <v>10</v>
      </c>
      <c r="K2733" s="8">
        <f>financials[[#This Row],[Net Sales]]-financials[[#This Row],[COGS]]</f>
        <v>192.5</v>
      </c>
      <c r="L2733" s="15">
        <v>44689</v>
      </c>
      <c r="M2733" t="s">
        <v>696</v>
      </c>
    </row>
    <row r="2734" spans="1:13" x14ac:dyDescent="0.25">
      <c r="A2734" t="s">
        <v>88</v>
      </c>
      <c r="B2734" s="6" t="s">
        <v>93</v>
      </c>
      <c r="C2734" s="13">
        <v>101</v>
      </c>
      <c r="D2734" s="14" t="s">
        <v>90</v>
      </c>
      <c r="E2734">
        <v>17</v>
      </c>
      <c r="F2734" s="8">
        <f>VLOOKUP(financials[[#This Row],[productid]],Products!$B$2:$H$10,3)</f>
        <v>23</v>
      </c>
      <c r="G2734" s="8">
        <f>financials[[#This Row],[Units Sold]]*financials[[#This Row],[Sale Price]]</f>
        <v>391</v>
      </c>
      <c r="H2734" s="8">
        <f>IF(financials[[#This Row],[Discount Band]]="low",0.1,IF(financials[[#This Row],[Discount Band]]="medium",0.15,0.3))</f>
        <v>0.15</v>
      </c>
      <c r="I2734" s="8">
        <f>financials[[#This Row],[Gross Sales]]-financials[[#This Row],[Gross Sales]]*financials[[#This Row],[Discounts]]</f>
        <v>332.35</v>
      </c>
      <c r="J2734" s="8">
        <f>VLOOKUP(financials[[#This Row],[productid]],Products!$B$2:$H$10,4)</f>
        <v>9.9499999999999993</v>
      </c>
      <c r="K2734" s="8">
        <f>financials[[#This Row],[Net Sales]]-financials[[#This Row],[COGS]]</f>
        <v>322.40000000000003</v>
      </c>
      <c r="L2734" s="15">
        <v>43969</v>
      </c>
      <c r="M2734" t="s">
        <v>690</v>
      </c>
    </row>
    <row r="2735" spans="1:13" x14ac:dyDescent="0.25">
      <c r="A2735" t="s">
        <v>86</v>
      </c>
      <c r="B2735" s="6" t="s">
        <v>124</v>
      </c>
      <c r="C2735" s="11">
        <v>106</v>
      </c>
      <c r="D2735" s="9" t="s">
        <v>90</v>
      </c>
      <c r="E2735">
        <v>20</v>
      </c>
      <c r="F2735" s="8">
        <f>VLOOKUP(financials[[#This Row],[productid]],Products!$B$2:$H$10,3)</f>
        <v>25</v>
      </c>
      <c r="G2735" s="8">
        <f>financials[[#This Row],[Units Sold]]*financials[[#This Row],[Sale Price]]</f>
        <v>500</v>
      </c>
      <c r="H2735" s="8">
        <f>IF(financials[[#This Row],[Discount Band]]="low",0.1,IF(financials[[#This Row],[Discount Band]]="medium",0.15,0.3))</f>
        <v>0.15</v>
      </c>
      <c r="I2735" s="8">
        <f>financials[[#This Row],[Gross Sales]]-financials[[#This Row],[Gross Sales]]*financials[[#This Row],[Discounts]]</f>
        <v>425</v>
      </c>
      <c r="J2735" s="8">
        <f>VLOOKUP(financials[[#This Row],[productid]],Products!$B$2:$H$10,4)</f>
        <v>9.1</v>
      </c>
      <c r="K2735" s="8">
        <f>financials[[#This Row],[Net Sales]]-financials[[#This Row],[COGS]]</f>
        <v>415.9</v>
      </c>
      <c r="L2735" s="15">
        <v>45140</v>
      </c>
      <c r="M2735" t="s">
        <v>690</v>
      </c>
    </row>
    <row r="2736" spans="1:13" x14ac:dyDescent="0.25">
      <c r="A2736" t="s">
        <v>86</v>
      </c>
      <c r="B2736" s="6" t="s">
        <v>84</v>
      </c>
      <c r="C2736" s="11">
        <v>108</v>
      </c>
      <c r="D2736" s="9" t="s">
        <v>83</v>
      </c>
      <c r="E2736">
        <v>8</v>
      </c>
      <c r="F2736" s="8">
        <f>VLOOKUP(financials[[#This Row],[productid]],Products!$B$2:$H$10,3)</f>
        <v>5.5</v>
      </c>
      <c r="G2736" s="8">
        <f>financials[[#This Row],[Units Sold]]*financials[[#This Row],[Sale Price]]</f>
        <v>44</v>
      </c>
      <c r="H2736" s="8">
        <f>IF(financials[[#This Row],[Discount Band]]="low",0.1,IF(financials[[#This Row],[Discount Band]]="medium",0.15,0.3))</f>
        <v>0.3</v>
      </c>
      <c r="I2736" s="8">
        <f>financials[[#This Row],[Gross Sales]]-financials[[#This Row],[Gross Sales]]*financials[[#This Row],[Discounts]]</f>
        <v>30.8</v>
      </c>
      <c r="J2736" s="8">
        <f>VLOOKUP(financials[[#This Row],[productid]],Products!$B$2:$H$10,4)</f>
        <v>3.99</v>
      </c>
      <c r="K2736" s="8">
        <f>financials[[#This Row],[Net Sales]]-financials[[#This Row],[COGS]]</f>
        <v>26.810000000000002</v>
      </c>
      <c r="L2736" s="15">
        <v>45175</v>
      </c>
      <c r="M2736" t="s">
        <v>697</v>
      </c>
    </row>
    <row r="2737" spans="1:13" x14ac:dyDescent="0.25">
      <c r="A2737" t="s">
        <v>86</v>
      </c>
      <c r="B2737" s="6" t="s">
        <v>124</v>
      </c>
      <c r="C2737" s="13">
        <v>109</v>
      </c>
      <c r="D2737" s="14" t="s">
        <v>90</v>
      </c>
      <c r="E2737">
        <v>10</v>
      </c>
      <c r="F2737" s="8">
        <f>VLOOKUP(financials[[#This Row],[productid]],Products!$B$2:$H$10,3)</f>
        <v>36</v>
      </c>
      <c r="G2737" s="8">
        <f>financials[[#This Row],[Units Sold]]*financials[[#This Row],[Sale Price]]</f>
        <v>360</v>
      </c>
      <c r="H2737" s="8">
        <f>IF(financials[[#This Row],[Discount Band]]="low",0.1,IF(financials[[#This Row],[Discount Band]]="medium",0.15,0.3))</f>
        <v>0.15</v>
      </c>
      <c r="I2737" s="8">
        <f>financials[[#This Row],[Gross Sales]]-financials[[#This Row],[Gross Sales]]*financials[[#This Row],[Discounts]]</f>
        <v>306</v>
      </c>
      <c r="J2737" s="8">
        <f>VLOOKUP(financials[[#This Row],[productid]],Products!$B$2:$H$10,4)</f>
        <v>16.8</v>
      </c>
      <c r="K2737" s="8">
        <f>financials[[#This Row],[Net Sales]]-financials[[#This Row],[COGS]]</f>
        <v>289.2</v>
      </c>
      <c r="L2737" s="15">
        <v>44629</v>
      </c>
      <c r="M2737" t="s">
        <v>700</v>
      </c>
    </row>
    <row r="2738" spans="1:13" x14ac:dyDescent="0.25">
      <c r="A2738" t="s">
        <v>89</v>
      </c>
      <c r="B2738" s="6" t="s">
        <v>124</v>
      </c>
      <c r="C2738" s="13">
        <v>104</v>
      </c>
      <c r="D2738" s="14" t="s">
        <v>90</v>
      </c>
      <c r="E2738">
        <v>20</v>
      </c>
      <c r="F2738" s="8">
        <f>VLOOKUP(financials[[#This Row],[productid]],Products!$B$2:$H$10,3)</f>
        <v>5.9</v>
      </c>
      <c r="G2738" s="8">
        <f>financials[[#This Row],[Units Sold]]*financials[[#This Row],[Sale Price]]</f>
        <v>118</v>
      </c>
      <c r="H2738" s="8">
        <f>IF(financials[[#This Row],[Discount Band]]="low",0.1,IF(financials[[#This Row],[Discount Band]]="medium",0.15,0.3))</f>
        <v>0.15</v>
      </c>
      <c r="I2738" s="8">
        <f>financials[[#This Row],[Gross Sales]]-financials[[#This Row],[Gross Sales]]*financials[[#This Row],[Discounts]]</f>
        <v>100.3</v>
      </c>
      <c r="J2738" s="8">
        <f>VLOOKUP(financials[[#This Row],[productid]],Products!$B$2:$H$10,4)</f>
        <v>2.9</v>
      </c>
      <c r="K2738" s="8">
        <f>financials[[#This Row],[Net Sales]]-financials[[#This Row],[COGS]]</f>
        <v>97.399999999999991</v>
      </c>
      <c r="L2738" s="15">
        <v>44333</v>
      </c>
      <c r="M2738" t="s">
        <v>696</v>
      </c>
    </row>
    <row r="2739" spans="1:13" x14ac:dyDescent="0.25">
      <c r="A2739" t="s">
        <v>86</v>
      </c>
      <c r="B2739" s="6" t="s">
        <v>84</v>
      </c>
      <c r="C2739" s="13">
        <v>103</v>
      </c>
      <c r="D2739" s="14" t="s">
        <v>90</v>
      </c>
      <c r="E2739">
        <v>13</v>
      </c>
      <c r="F2739" s="8">
        <f>VLOOKUP(financials[[#This Row],[productid]],Products!$B$2:$H$10,3)</f>
        <v>28</v>
      </c>
      <c r="G2739" s="8">
        <f>financials[[#This Row],[Units Sold]]*financials[[#This Row],[Sale Price]]</f>
        <v>364</v>
      </c>
      <c r="H2739" s="8">
        <f>IF(financials[[#This Row],[Discount Band]]="low",0.1,IF(financials[[#This Row],[Discount Band]]="medium",0.15,0.3))</f>
        <v>0.15</v>
      </c>
      <c r="I2739" s="8">
        <f>financials[[#This Row],[Gross Sales]]-financials[[#This Row],[Gross Sales]]*financials[[#This Row],[Discounts]]</f>
        <v>309.39999999999998</v>
      </c>
      <c r="J2739" s="8">
        <f>VLOOKUP(financials[[#This Row],[productid]],Products!$B$2:$H$10,4)</f>
        <v>15</v>
      </c>
      <c r="K2739" s="8">
        <f>financials[[#This Row],[Net Sales]]-financials[[#This Row],[COGS]]</f>
        <v>294.39999999999998</v>
      </c>
      <c r="L2739" s="15">
        <v>44452</v>
      </c>
      <c r="M2739" t="s">
        <v>690</v>
      </c>
    </row>
    <row r="2740" spans="1:13" x14ac:dyDescent="0.25">
      <c r="A2740" t="s">
        <v>89</v>
      </c>
      <c r="B2740" s="6" t="s">
        <v>159</v>
      </c>
      <c r="C2740" s="13">
        <v>103</v>
      </c>
      <c r="D2740" s="14" t="s">
        <v>90</v>
      </c>
      <c r="E2740">
        <v>19</v>
      </c>
      <c r="F2740" s="8">
        <f>VLOOKUP(financials[[#This Row],[productid]],Products!$B$2:$H$10,3)</f>
        <v>28</v>
      </c>
      <c r="G2740" s="8">
        <f>financials[[#This Row],[Units Sold]]*financials[[#This Row],[Sale Price]]</f>
        <v>532</v>
      </c>
      <c r="H2740" s="8">
        <f>IF(financials[[#This Row],[Discount Band]]="low",0.1,IF(financials[[#This Row],[Discount Band]]="medium",0.15,0.3))</f>
        <v>0.15</v>
      </c>
      <c r="I2740" s="8">
        <f>financials[[#This Row],[Gross Sales]]-financials[[#This Row],[Gross Sales]]*financials[[#This Row],[Discounts]]</f>
        <v>452.2</v>
      </c>
      <c r="J2740" s="8">
        <f>VLOOKUP(financials[[#This Row],[productid]],Products!$B$2:$H$10,4)</f>
        <v>15</v>
      </c>
      <c r="K2740" s="8">
        <f>financials[[#This Row],[Net Sales]]-financials[[#This Row],[COGS]]</f>
        <v>437.2</v>
      </c>
      <c r="L2740" s="15">
        <v>45152</v>
      </c>
      <c r="M2740" t="s">
        <v>700</v>
      </c>
    </row>
    <row r="2741" spans="1:13" x14ac:dyDescent="0.25">
      <c r="A2741" t="s">
        <v>85</v>
      </c>
      <c r="B2741" s="6" t="s">
        <v>159</v>
      </c>
      <c r="C2741" s="13">
        <v>107</v>
      </c>
      <c r="D2741" s="14" t="s">
        <v>91</v>
      </c>
      <c r="E2741">
        <v>12</v>
      </c>
      <c r="F2741" s="8">
        <f>VLOOKUP(financials[[#This Row],[productid]],Products!$B$2:$H$10,3)</f>
        <v>15</v>
      </c>
      <c r="G2741" s="8">
        <f>financials[[#This Row],[Units Sold]]*financials[[#This Row],[Sale Price]]</f>
        <v>180</v>
      </c>
      <c r="H2741" s="8">
        <f>IF(financials[[#This Row],[Discount Band]]="low",0.1,IF(financials[[#This Row],[Discount Band]]="medium",0.15,0.3))</f>
        <v>0.1</v>
      </c>
      <c r="I2741" s="8">
        <f>financials[[#This Row],[Gross Sales]]-financials[[#This Row],[Gross Sales]]*financials[[#This Row],[Discounts]]</f>
        <v>162</v>
      </c>
      <c r="J2741" s="8">
        <f>VLOOKUP(financials[[#This Row],[productid]],Products!$B$2:$H$10,4)</f>
        <v>5.5</v>
      </c>
      <c r="K2741" s="8">
        <f>financials[[#This Row],[Net Sales]]-financials[[#This Row],[COGS]]</f>
        <v>156.5</v>
      </c>
      <c r="L2741" s="15">
        <v>45650</v>
      </c>
      <c r="M2741" t="s">
        <v>700</v>
      </c>
    </row>
    <row r="2742" spans="1:13" x14ac:dyDescent="0.25">
      <c r="A2742" t="s">
        <v>86</v>
      </c>
      <c r="B2742" s="6" t="s">
        <v>84</v>
      </c>
      <c r="C2742" s="11">
        <v>104</v>
      </c>
      <c r="D2742" s="9" t="s">
        <v>91</v>
      </c>
      <c r="E2742">
        <v>8</v>
      </c>
      <c r="F2742" s="8">
        <f>VLOOKUP(financials[[#This Row],[productid]],Products!$B$2:$H$10,3)</f>
        <v>5.9</v>
      </c>
      <c r="G2742" s="8">
        <f>financials[[#This Row],[Units Sold]]*financials[[#This Row],[Sale Price]]</f>
        <v>47.2</v>
      </c>
      <c r="H2742" s="8">
        <f>IF(financials[[#This Row],[Discount Band]]="low",0.1,IF(financials[[#This Row],[Discount Band]]="medium",0.15,0.3))</f>
        <v>0.1</v>
      </c>
      <c r="I2742" s="8">
        <f>financials[[#This Row],[Gross Sales]]-financials[[#This Row],[Gross Sales]]*financials[[#This Row],[Discounts]]</f>
        <v>42.480000000000004</v>
      </c>
      <c r="J2742" s="8">
        <f>VLOOKUP(financials[[#This Row],[productid]],Products!$B$2:$H$10,4)</f>
        <v>2.9</v>
      </c>
      <c r="K2742" s="8">
        <f>financials[[#This Row],[Net Sales]]-financials[[#This Row],[COGS]]</f>
        <v>39.580000000000005</v>
      </c>
      <c r="L2742" s="15">
        <v>45248</v>
      </c>
      <c r="M2742" t="s">
        <v>690</v>
      </c>
    </row>
    <row r="2743" spans="1:13" x14ac:dyDescent="0.25">
      <c r="A2743" t="s">
        <v>87</v>
      </c>
      <c r="B2743" s="6" t="s">
        <v>158</v>
      </c>
      <c r="C2743" s="13">
        <v>109</v>
      </c>
      <c r="D2743" s="14" t="s">
        <v>92</v>
      </c>
      <c r="E2743">
        <v>11</v>
      </c>
      <c r="F2743" s="8">
        <f>VLOOKUP(financials[[#This Row],[productid]],Products!$B$2:$H$10,3)</f>
        <v>36</v>
      </c>
      <c r="G2743" s="8">
        <f>financials[[#This Row],[Units Sold]]*financials[[#This Row],[Sale Price]]</f>
        <v>396</v>
      </c>
      <c r="H2743" s="8">
        <f>IF(financials[[#This Row],[Discount Band]]="low",0.1,IF(financials[[#This Row],[Discount Band]]="medium",0.15,0.3))</f>
        <v>0.3</v>
      </c>
      <c r="I2743" s="8">
        <f>financials[[#This Row],[Gross Sales]]-financials[[#This Row],[Gross Sales]]*financials[[#This Row],[Discounts]]</f>
        <v>277.2</v>
      </c>
      <c r="J2743" s="8">
        <f>VLOOKUP(financials[[#This Row],[productid]],Products!$B$2:$H$10,4)</f>
        <v>16.8</v>
      </c>
      <c r="K2743" s="8">
        <f>financials[[#This Row],[Net Sales]]-financials[[#This Row],[COGS]]</f>
        <v>260.39999999999998</v>
      </c>
      <c r="L2743" s="15">
        <v>45258</v>
      </c>
      <c r="M2743" t="s">
        <v>697</v>
      </c>
    </row>
    <row r="2744" spans="1:13" x14ac:dyDescent="0.25">
      <c r="A2744" t="s">
        <v>86</v>
      </c>
      <c r="B2744" s="6" t="s">
        <v>84</v>
      </c>
      <c r="C2744" s="13">
        <v>106</v>
      </c>
      <c r="D2744" s="14" t="s">
        <v>83</v>
      </c>
      <c r="E2744">
        <v>7</v>
      </c>
      <c r="F2744" s="8">
        <f>VLOOKUP(financials[[#This Row],[productid]],Products!$B$2:$H$10,3)</f>
        <v>25</v>
      </c>
      <c r="G2744" s="8">
        <f>financials[[#This Row],[Units Sold]]*financials[[#This Row],[Sale Price]]</f>
        <v>175</v>
      </c>
      <c r="H2744" s="8">
        <f>IF(financials[[#This Row],[Discount Band]]="low",0.1,IF(financials[[#This Row],[Discount Band]]="medium",0.15,0.3))</f>
        <v>0.3</v>
      </c>
      <c r="I2744" s="8">
        <f>financials[[#This Row],[Gross Sales]]-financials[[#This Row],[Gross Sales]]*financials[[#This Row],[Discounts]]</f>
        <v>122.5</v>
      </c>
      <c r="J2744" s="8">
        <f>VLOOKUP(financials[[#This Row],[productid]],Products!$B$2:$H$10,4)</f>
        <v>9.1</v>
      </c>
      <c r="K2744" s="8">
        <f>financials[[#This Row],[Net Sales]]-financials[[#This Row],[COGS]]</f>
        <v>113.4</v>
      </c>
      <c r="L2744" s="15">
        <v>45612</v>
      </c>
      <c r="M2744" t="s">
        <v>700</v>
      </c>
    </row>
    <row r="2745" spans="1:13" x14ac:dyDescent="0.25">
      <c r="A2745" t="s">
        <v>86</v>
      </c>
      <c r="B2745" s="6" t="s">
        <v>159</v>
      </c>
      <c r="C2745" s="13">
        <v>105</v>
      </c>
      <c r="D2745" s="14" t="s">
        <v>83</v>
      </c>
      <c r="E2745">
        <v>11</v>
      </c>
      <c r="F2745" s="8">
        <f>VLOOKUP(financials[[#This Row],[productid]],Products!$B$2:$H$10,3)</f>
        <v>15</v>
      </c>
      <c r="G2745" s="8">
        <f>financials[[#This Row],[Units Sold]]*financials[[#This Row],[Sale Price]]</f>
        <v>165</v>
      </c>
      <c r="H2745" s="8">
        <f>IF(financials[[#This Row],[Discount Band]]="low",0.1,IF(financials[[#This Row],[Discount Band]]="medium",0.15,0.3))</f>
        <v>0.3</v>
      </c>
      <c r="I2745" s="8">
        <f>financials[[#This Row],[Gross Sales]]-financials[[#This Row],[Gross Sales]]*financials[[#This Row],[Discounts]]</f>
        <v>115.5</v>
      </c>
      <c r="J2745" s="8">
        <f>VLOOKUP(financials[[#This Row],[productid]],Products!$B$2:$H$10,4)</f>
        <v>10</v>
      </c>
      <c r="K2745" s="8">
        <f>financials[[#This Row],[Net Sales]]-financials[[#This Row],[COGS]]</f>
        <v>105.5</v>
      </c>
      <c r="L2745" s="15">
        <v>44527</v>
      </c>
      <c r="M2745" t="s">
        <v>700</v>
      </c>
    </row>
    <row r="2746" spans="1:13" x14ac:dyDescent="0.25">
      <c r="A2746" t="s">
        <v>86</v>
      </c>
      <c r="B2746" s="6" t="s">
        <v>266</v>
      </c>
      <c r="C2746" s="13">
        <v>106</v>
      </c>
      <c r="D2746" s="14" t="s">
        <v>83</v>
      </c>
      <c r="E2746">
        <v>9</v>
      </c>
      <c r="F2746" s="8">
        <f>VLOOKUP(financials[[#This Row],[productid]],Products!$B$2:$H$10,3)</f>
        <v>25</v>
      </c>
      <c r="G2746" s="8">
        <f>financials[[#This Row],[Units Sold]]*financials[[#This Row],[Sale Price]]</f>
        <v>225</v>
      </c>
      <c r="H2746" s="8">
        <f>IF(financials[[#This Row],[Discount Band]]="low",0.1,IF(financials[[#This Row],[Discount Band]]="medium",0.15,0.3))</f>
        <v>0.3</v>
      </c>
      <c r="I2746" s="8">
        <f>financials[[#This Row],[Gross Sales]]-financials[[#This Row],[Gross Sales]]*financials[[#This Row],[Discounts]]</f>
        <v>157.5</v>
      </c>
      <c r="J2746" s="8">
        <f>VLOOKUP(financials[[#This Row],[productid]],Products!$B$2:$H$10,4)</f>
        <v>9.1</v>
      </c>
      <c r="K2746" s="8">
        <f>financials[[#This Row],[Net Sales]]-financials[[#This Row],[COGS]]</f>
        <v>148.4</v>
      </c>
      <c r="L2746" s="15">
        <v>45276</v>
      </c>
      <c r="M2746" t="s">
        <v>690</v>
      </c>
    </row>
    <row r="2747" spans="1:13" x14ac:dyDescent="0.25">
      <c r="A2747" t="s">
        <v>86</v>
      </c>
      <c r="B2747" s="6" t="s">
        <v>84</v>
      </c>
      <c r="C2747" s="11">
        <v>107</v>
      </c>
      <c r="D2747" s="9" t="s">
        <v>83</v>
      </c>
      <c r="E2747">
        <v>16</v>
      </c>
      <c r="F2747" s="8">
        <f>VLOOKUP(financials[[#This Row],[productid]],Products!$B$2:$H$10,3)</f>
        <v>15</v>
      </c>
      <c r="G2747" s="8">
        <f>financials[[#This Row],[Units Sold]]*financials[[#This Row],[Sale Price]]</f>
        <v>240</v>
      </c>
      <c r="H2747" s="8">
        <f>IF(financials[[#This Row],[Discount Band]]="low",0.1,IF(financials[[#This Row],[Discount Band]]="medium",0.15,0.3))</f>
        <v>0.3</v>
      </c>
      <c r="I2747" s="8">
        <f>financials[[#This Row],[Gross Sales]]-financials[[#This Row],[Gross Sales]]*financials[[#This Row],[Discounts]]</f>
        <v>168</v>
      </c>
      <c r="J2747" s="8">
        <f>VLOOKUP(financials[[#This Row],[productid]],Products!$B$2:$H$10,4)</f>
        <v>5.5</v>
      </c>
      <c r="K2747" s="8">
        <f>financials[[#This Row],[Net Sales]]-financials[[#This Row],[COGS]]</f>
        <v>162.5</v>
      </c>
      <c r="L2747" s="15">
        <v>45489</v>
      </c>
      <c r="M2747" t="s">
        <v>697</v>
      </c>
    </row>
    <row r="2748" spans="1:13" x14ac:dyDescent="0.25">
      <c r="A2748" t="s">
        <v>86</v>
      </c>
      <c r="B2748" s="6" t="s">
        <v>84</v>
      </c>
      <c r="C2748" s="13">
        <v>101</v>
      </c>
      <c r="D2748" s="14" t="s">
        <v>90</v>
      </c>
      <c r="E2748">
        <v>17</v>
      </c>
      <c r="F2748" s="8">
        <f>VLOOKUP(financials[[#This Row],[productid]],Products!$B$2:$H$10,3)</f>
        <v>23</v>
      </c>
      <c r="G2748" s="8">
        <f>financials[[#This Row],[Units Sold]]*financials[[#This Row],[Sale Price]]</f>
        <v>391</v>
      </c>
      <c r="H2748" s="8">
        <f>IF(financials[[#This Row],[Discount Band]]="low",0.1,IF(financials[[#This Row],[Discount Band]]="medium",0.15,0.3))</f>
        <v>0.15</v>
      </c>
      <c r="I2748" s="8">
        <f>financials[[#This Row],[Gross Sales]]-financials[[#This Row],[Gross Sales]]*financials[[#This Row],[Discounts]]</f>
        <v>332.35</v>
      </c>
      <c r="J2748" s="8">
        <f>VLOOKUP(financials[[#This Row],[productid]],Products!$B$2:$H$10,4)</f>
        <v>9.9499999999999993</v>
      </c>
      <c r="K2748" s="8">
        <f>financials[[#This Row],[Net Sales]]-financials[[#This Row],[COGS]]</f>
        <v>322.40000000000003</v>
      </c>
      <c r="L2748" s="15">
        <v>44388</v>
      </c>
      <c r="M2748" t="s">
        <v>697</v>
      </c>
    </row>
    <row r="2749" spans="1:13" x14ac:dyDescent="0.25">
      <c r="A2749" t="s">
        <v>87</v>
      </c>
      <c r="B2749" s="6" t="s">
        <v>93</v>
      </c>
      <c r="C2749" s="13">
        <v>105</v>
      </c>
      <c r="D2749" s="14" t="s">
        <v>90</v>
      </c>
      <c r="E2749">
        <v>17</v>
      </c>
      <c r="F2749" s="8">
        <f>VLOOKUP(financials[[#This Row],[productid]],Products!$B$2:$H$10,3)</f>
        <v>15</v>
      </c>
      <c r="G2749" s="8">
        <f>financials[[#This Row],[Units Sold]]*financials[[#This Row],[Sale Price]]</f>
        <v>255</v>
      </c>
      <c r="H2749" s="8">
        <f>IF(financials[[#This Row],[Discount Band]]="low",0.1,IF(financials[[#This Row],[Discount Band]]="medium",0.15,0.3))</f>
        <v>0.15</v>
      </c>
      <c r="I2749" s="8">
        <f>financials[[#This Row],[Gross Sales]]-financials[[#This Row],[Gross Sales]]*financials[[#This Row],[Discounts]]</f>
        <v>216.75</v>
      </c>
      <c r="J2749" s="8">
        <f>VLOOKUP(financials[[#This Row],[productid]],Products!$B$2:$H$10,4)</f>
        <v>10</v>
      </c>
      <c r="K2749" s="8">
        <f>financials[[#This Row],[Net Sales]]-financials[[#This Row],[COGS]]</f>
        <v>206.75</v>
      </c>
      <c r="L2749" s="15">
        <v>45309</v>
      </c>
      <c r="M2749" t="s">
        <v>690</v>
      </c>
    </row>
    <row r="2750" spans="1:13" x14ac:dyDescent="0.25">
      <c r="A2750" t="s">
        <v>86</v>
      </c>
      <c r="B2750" s="6" t="s">
        <v>84</v>
      </c>
      <c r="C2750" s="13">
        <v>104</v>
      </c>
      <c r="D2750" s="14" t="s">
        <v>83</v>
      </c>
      <c r="E2750">
        <v>14</v>
      </c>
      <c r="F2750" s="8">
        <f>VLOOKUP(financials[[#This Row],[productid]],Products!$B$2:$H$10,3)</f>
        <v>5.9</v>
      </c>
      <c r="G2750" s="8">
        <f>financials[[#This Row],[Units Sold]]*financials[[#This Row],[Sale Price]]</f>
        <v>82.600000000000009</v>
      </c>
      <c r="H2750" s="8">
        <f>IF(financials[[#This Row],[Discount Band]]="low",0.1,IF(financials[[#This Row],[Discount Band]]="medium",0.15,0.3))</f>
        <v>0.3</v>
      </c>
      <c r="I2750" s="8">
        <f>financials[[#This Row],[Gross Sales]]-financials[[#This Row],[Gross Sales]]*financials[[#This Row],[Discounts]]</f>
        <v>57.820000000000007</v>
      </c>
      <c r="J2750" s="8">
        <f>VLOOKUP(financials[[#This Row],[productid]],Products!$B$2:$H$10,4)</f>
        <v>2.9</v>
      </c>
      <c r="K2750" s="8">
        <f>financials[[#This Row],[Net Sales]]-financials[[#This Row],[COGS]]</f>
        <v>54.920000000000009</v>
      </c>
      <c r="L2750" s="15">
        <v>44208</v>
      </c>
      <c r="M2750" t="s">
        <v>700</v>
      </c>
    </row>
    <row r="2751" spans="1:13" x14ac:dyDescent="0.25">
      <c r="A2751" t="s">
        <v>86</v>
      </c>
      <c r="B2751" s="6" t="s">
        <v>124</v>
      </c>
      <c r="C2751" s="13">
        <v>108</v>
      </c>
      <c r="D2751" s="14" t="s">
        <v>90</v>
      </c>
      <c r="E2751">
        <v>12</v>
      </c>
      <c r="F2751" s="8">
        <f>VLOOKUP(financials[[#This Row],[productid]],Products!$B$2:$H$10,3)</f>
        <v>5.5</v>
      </c>
      <c r="G2751" s="8">
        <f>financials[[#This Row],[Units Sold]]*financials[[#This Row],[Sale Price]]</f>
        <v>66</v>
      </c>
      <c r="H2751" s="8">
        <f>IF(financials[[#This Row],[Discount Band]]="low",0.1,IF(financials[[#This Row],[Discount Band]]="medium",0.15,0.3))</f>
        <v>0.15</v>
      </c>
      <c r="I2751" s="8">
        <f>financials[[#This Row],[Gross Sales]]-financials[[#This Row],[Gross Sales]]*financials[[#This Row],[Discounts]]</f>
        <v>56.1</v>
      </c>
      <c r="J2751" s="8">
        <f>VLOOKUP(financials[[#This Row],[productid]],Products!$B$2:$H$10,4)</f>
        <v>3.99</v>
      </c>
      <c r="K2751" s="8">
        <f>financials[[#This Row],[Net Sales]]-financials[[#This Row],[COGS]]</f>
        <v>52.11</v>
      </c>
      <c r="L2751" s="15">
        <v>45649</v>
      </c>
      <c r="M2751" t="s">
        <v>700</v>
      </c>
    </row>
    <row r="2752" spans="1:13" x14ac:dyDescent="0.25">
      <c r="A2752" t="s">
        <v>87</v>
      </c>
      <c r="B2752" s="6" t="s">
        <v>158</v>
      </c>
      <c r="C2752" s="13">
        <v>101</v>
      </c>
      <c r="D2752" s="14" t="s">
        <v>92</v>
      </c>
      <c r="E2752">
        <v>6</v>
      </c>
      <c r="F2752" s="8">
        <f>VLOOKUP(financials[[#This Row],[productid]],Products!$B$2:$H$10,3)</f>
        <v>23</v>
      </c>
      <c r="G2752" s="8">
        <f>financials[[#This Row],[Units Sold]]*financials[[#This Row],[Sale Price]]</f>
        <v>138</v>
      </c>
      <c r="H2752" s="8">
        <f>IF(financials[[#This Row],[Discount Band]]="low",0.1,IF(financials[[#This Row],[Discount Band]]="medium",0.15,0.3))</f>
        <v>0.3</v>
      </c>
      <c r="I2752" s="8">
        <f>financials[[#This Row],[Gross Sales]]-financials[[#This Row],[Gross Sales]]*financials[[#This Row],[Discounts]]</f>
        <v>96.6</v>
      </c>
      <c r="J2752" s="8">
        <f>VLOOKUP(financials[[#This Row],[productid]],Products!$B$2:$H$10,4)</f>
        <v>9.9499999999999993</v>
      </c>
      <c r="K2752" s="8">
        <f>financials[[#This Row],[Net Sales]]-financials[[#This Row],[COGS]]</f>
        <v>86.649999999999991</v>
      </c>
      <c r="L2752" s="15">
        <v>44551</v>
      </c>
      <c r="M2752" t="s">
        <v>700</v>
      </c>
    </row>
    <row r="2753" spans="1:13" x14ac:dyDescent="0.25">
      <c r="A2753" t="s">
        <v>87</v>
      </c>
      <c r="B2753" s="6" t="s">
        <v>287</v>
      </c>
      <c r="C2753" s="13">
        <v>107</v>
      </c>
      <c r="D2753" s="14" t="s">
        <v>91</v>
      </c>
      <c r="E2753">
        <v>12</v>
      </c>
      <c r="F2753" s="8">
        <f>VLOOKUP(financials[[#This Row],[productid]],Products!$B$2:$H$10,3)</f>
        <v>15</v>
      </c>
      <c r="G2753" s="8">
        <f>financials[[#This Row],[Units Sold]]*financials[[#This Row],[Sale Price]]</f>
        <v>180</v>
      </c>
      <c r="H2753" s="8">
        <f>IF(financials[[#This Row],[Discount Band]]="low",0.1,IF(financials[[#This Row],[Discount Band]]="medium",0.15,0.3))</f>
        <v>0.1</v>
      </c>
      <c r="I2753" s="8">
        <f>financials[[#This Row],[Gross Sales]]-financials[[#This Row],[Gross Sales]]*financials[[#This Row],[Discounts]]</f>
        <v>162</v>
      </c>
      <c r="J2753" s="8">
        <f>VLOOKUP(financials[[#This Row],[productid]],Products!$B$2:$H$10,4)</f>
        <v>5.5</v>
      </c>
      <c r="K2753" s="8">
        <f>financials[[#This Row],[Net Sales]]-financials[[#This Row],[COGS]]</f>
        <v>156.5</v>
      </c>
      <c r="L2753" s="15">
        <v>44317</v>
      </c>
      <c r="M2753" t="s">
        <v>700</v>
      </c>
    </row>
    <row r="2754" spans="1:13" x14ac:dyDescent="0.25">
      <c r="A2754" t="s">
        <v>87</v>
      </c>
      <c r="B2754" s="6" t="s">
        <v>125</v>
      </c>
      <c r="C2754" s="13">
        <v>105</v>
      </c>
      <c r="D2754" s="14" t="s">
        <v>91</v>
      </c>
      <c r="E2754">
        <v>5</v>
      </c>
      <c r="F2754" s="8">
        <f>VLOOKUP(financials[[#This Row],[productid]],Products!$B$2:$H$10,3)</f>
        <v>15</v>
      </c>
      <c r="G2754" s="8">
        <f>financials[[#This Row],[Units Sold]]*financials[[#This Row],[Sale Price]]</f>
        <v>75</v>
      </c>
      <c r="H2754" s="8">
        <f>IF(financials[[#This Row],[Discount Band]]="low",0.1,IF(financials[[#This Row],[Discount Band]]="medium",0.15,0.3))</f>
        <v>0.1</v>
      </c>
      <c r="I2754" s="8">
        <f>financials[[#This Row],[Gross Sales]]-financials[[#This Row],[Gross Sales]]*financials[[#This Row],[Discounts]]</f>
        <v>67.5</v>
      </c>
      <c r="J2754" s="8">
        <f>VLOOKUP(financials[[#This Row],[productid]],Products!$B$2:$H$10,4)</f>
        <v>10</v>
      </c>
      <c r="K2754" s="8">
        <f>financials[[#This Row],[Net Sales]]-financials[[#This Row],[COGS]]</f>
        <v>57.5</v>
      </c>
      <c r="L2754" s="15">
        <v>44630</v>
      </c>
      <c r="M2754" t="s">
        <v>690</v>
      </c>
    </row>
    <row r="2755" spans="1:13" x14ac:dyDescent="0.25">
      <c r="A2755" t="s">
        <v>87</v>
      </c>
      <c r="B2755" s="6" t="s">
        <v>96</v>
      </c>
      <c r="C2755" s="13">
        <v>103</v>
      </c>
      <c r="D2755" s="14" t="s">
        <v>83</v>
      </c>
      <c r="E2755">
        <v>8</v>
      </c>
      <c r="F2755" s="8">
        <f>VLOOKUP(financials[[#This Row],[productid]],Products!$B$2:$H$10,3)</f>
        <v>28</v>
      </c>
      <c r="G2755" s="8">
        <f>financials[[#This Row],[Units Sold]]*financials[[#This Row],[Sale Price]]</f>
        <v>224</v>
      </c>
      <c r="H2755" s="8">
        <f>IF(financials[[#This Row],[Discount Band]]="low",0.1,IF(financials[[#This Row],[Discount Band]]="medium",0.15,0.3))</f>
        <v>0.3</v>
      </c>
      <c r="I2755" s="8">
        <f>financials[[#This Row],[Gross Sales]]-financials[[#This Row],[Gross Sales]]*financials[[#This Row],[Discounts]]</f>
        <v>156.80000000000001</v>
      </c>
      <c r="J2755" s="8">
        <f>VLOOKUP(financials[[#This Row],[productid]],Products!$B$2:$H$10,4)</f>
        <v>15</v>
      </c>
      <c r="K2755" s="8">
        <f>financials[[#This Row],[Net Sales]]-financials[[#This Row],[COGS]]</f>
        <v>141.80000000000001</v>
      </c>
      <c r="L2755" s="15">
        <v>43968</v>
      </c>
      <c r="M2755" t="s">
        <v>696</v>
      </c>
    </row>
    <row r="2756" spans="1:13" x14ac:dyDescent="0.25">
      <c r="A2756" t="s">
        <v>86</v>
      </c>
      <c r="B2756" s="6" t="s">
        <v>124</v>
      </c>
      <c r="C2756" s="13">
        <v>103</v>
      </c>
      <c r="D2756" s="14" t="s">
        <v>90</v>
      </c>
      <c r="E2756">
        <v>5</v>
      </c>
      <c r="F2756" s="8">
        <f>VLOOKUP(financials[[#This Row],[productid]],Products!$B$2:$H$10,3)</f>
        <v>28</v>
      </c>
      <c r="G2756" s="8">
        <f>financials[[#This Row],[Units Sold]]*financials[[#This Row],[Sale Price]]</f>
        <v>140</v>
      </c>
      <c r="H2756" s="8">
        <f>IF(financials[[#This Row],[Discount Band]]="low",0.1,IF(financials[[#This Row],[Discount Band]]="medium",0.15,0.3))</f>
        <v>0.15</v>
      </c>
      <c r="I2756" s="8">
        <f>financials[[#This Row],[Gross Sales]]-financials[[#This Row],[Gross Sales]]*financials[[#This Row],[Discounts]]</f>
        <v>119</v>
      </c>
      <c r="J2756" s="8">
        <f>VLOOKUP(financials[[#This Row],[productid]],Products!$B$2:$H$10,4)</f>
        <v>15</v>
      </c>
      <c r="K2756" s="8">
        <f>financials[[#This Row],[Net Sales]]-financials[[#This Row],[COGS]]</f>
        <v>104</v>
      </c>
      <c r="L2756" s="15">
        <v>43967</v>
      </c>
      <c r="M2756" t="s">
        <v>697</v>
      </c>
    </row>
    <row r="2757" spans="1:13" x14ac:dyDescent="0.25">
      <c r="A2757" t="s">
        <v>85</v>
      </c>
      <c r="B2757" s="6" t="s">
        <v>159</v>
      </c>
      <c r="C2757" s="11">
        <v>105</v>
      </c>
      <c r="D2757" s="9" t="s">
        <v>90</v>
      </c>
      <c r="E2757">
        <v>19</v>
      </c>
      <c r="F2757" s="8">
        <f>VLOOKUP(financials[[#This Row],[productid]],Products!$B$2:$H$10,3)</f>
        <v>15</v>
      </c>
      <c r="G2757" s="8">
        <f>financials[[#This Row],[Units Sold]]*financials[[#This Row],[Sale Price]]</f>
        <v>285</v>
      </c>
      <c r="H2757" s="8">
        <f>IF(financials[[#This Row],[Discount Band]]="low",0.1,IF(financials[[#This Row],[Discount Band]]="medium",0.15,0.3))</f>
        <v>0.15</v>
      </c>
      <c r="I2757" s="8">
        <f>financials[[#This Row],[Gross Sales]]-financials[[#This Row],[Gross Sales]]*financials[[#This Row],[Discounts]]</f>
        <v>242.25</v>
      </c>
      <c r="J2757" s="8">
        <f>VLOOKUP(financials[[#This Row],[productid]],Products!$B$2:$H$10,4)</f>
        <v>10</v>
      </c>
      <c r="K2757" s="8">
        <f>financials[[#This Row],[Net Sales]]-financials[[#This Row],[COGS]]</f>
        <v>232.25</v>
      </c>
      <c r="L2757" s="15">
        <v>43838</v>
      </c>
      <c r="M2757" t="s">
        <v>691</v>
      </c>
    </row>
    <row r="2758" spans="1:13" x14ac:dyDescent="0.25">
      <c r="A2758" t="s">
        <v>86</v>
      </c>
      <c r="B2758" s="6" t="s">
        <v>124</v>
      </c>
      <c r="C2758" s="13">
        <v>101</v>
      </c>
      <c r="D2758" s="14" t="s">
        <v>92</v>
      </c>
      <c r="E2758">
        <v>13</v>
      </c>
      <c r="F2758" s="8">
        <f>VLOOKUP(financials[[#This Row],[productid]],Products!$B$2:$H$10,3)</f>
        <v>23</v>
      </c>
      <c r="G2758" s="8">
        <f>financials[[#This Row],[Units Sold]]*financials[[#This Row],[Sale Price]]</f>
        <v>299</v>
      </c>
      <c r="H2758" s="8">
        <f>IF(financials[[#This Row],[Discount Band]]="low",0.1,IF(financials[[#This Row],[Discount Band]]="medium",0.15,0.3))</f>
        <v>0.3</v>
      </c>
      <c r="I2758" s="8">
        <f>financials[[#This Row],[Gross Sales]]-financials[[#This Row],[Gross Sales]]*financials[[#This Row],[Discounts]]</f>
        <v>209.3</v>
      </c>
      <c r="J2758" s="8">
        <f>VLOOKUP(financials[[#This Row],[productid]],Products!$B$2:$H$10,4)</f>
        <v>9.9499999999999993</v>
      </c>
      <c r="K2758" s="8">
        <f>financials[[#This Row],[Net Sales]]-financials[[#This Row],[COGS]]</f>
        <v>199.35000000000002</v>
      </c>
      <c r="L2758" s="15">
        <v>44185</v>
      </c>
      <c r="M2758" t="s">
        <v>697</v>
      </c>
    </row>
    <row r="2759" spans="1:13" x14ac:dyDescent="0.25">
      <c r="A2759" t="s">
        <v>87</v>
      </c>
      <c r="B2759" s="6" t="s">
        <v>287</v>
      </c>
      <c r="C2759" s="13">
        <v>104</v>
      </c>
      <c r="D2759" s="14" t="s">
        <v>91</v>
      </c>
      <c r="E2759">
        <v>13</v>
      </c>
      <c r="F2759" s="8">
        <f>VLOOKUP(financials[[#This Row],[productid]],Products!$B$2:$H$10,3)</f>
        <v>5.9</v>
      </c>
      <c r="G2759" s="8">
        <f>financials[[#This Row],[Units Sold]]*financials[[#This Row],[Sale Price]]</f>
        <v>76.7</v>
      </c>
      <c r="H2759" s="8">
        <f>IF(financials[[#This Row],[Discount Band]]="low",0.1,IF(financials[[#This Row],[Discount Band]]="medium",0.15,0.3))</f>
        <v>0.1</v>
      </c>
      <c r="I2759" s="8">
        <f>financials[[#This Row],[Gross Sales]]-financials[[#This Row],[Gross Sales]]*financials[[#This Row],[Discounts]]</f>
        <v>69.03</v>
      </c>
      <c r="J2759" s="8">
        <f>VLOOKUP(financials[[#This Row],[productid]],Products!$B$2:$H$10,4)</f>
        <v>2.9</v>
      </c>
      <c r="K2759" s="8">
        <f>financials[[#This Row],[Net Sales]]-financials[[#This Row],[COGS]]</f>
        <v>66.13</v>
      </c>
      <c r="L2759" s="15">
        <v>44049</v>
      </c>
      <c r="M2759" t="s">
        <v>690</v>
      </c>
    </row>
    <row r="2760" spans="1:13" x14ac:dyDescent="0.25">
      <c r="A2760" t="s">
        <v>87</v>
      </c>
      <c r="B2760" s="6" t="s">
        <v>158</v>
      </c>
      <c r="C2760" s="13">
        <v>104</v>
      </c>
      <c r="D2760" s="14" t="s">
        <v>91</v>
      </c>
      <c r="E2760">
        <v>14</v>
      </c>
      <c r="F2760" s="8">
        <f>VLOOKUP(financials[[#This Row],[productid]],Products!$B$2:$H$10,3)</f>
        <v>5.9</v>
      </c>
      <c r="G2760" s="8">
        <f>financials[[#This Row],[Units Sold]]*financials[[#This Row],[Sale Price]]</f>
        <v>82.600000000000009</v>
      </c>
      <c r="H2760" s="8">
        <f>IF(financials[[#This Row],[Discount Band]]="low",0.1,IF(financials[[#This Row],[Discount Band]]="medium",0.15,0.3))</f>
        <v>0.1</v>
      </c>
      <c r="I2760" s="8">
        <f>financials[[#This Row],[Gross Sales]]-financials[[#This Row],[Gross Sales]]*financials[[#This Row],[Discounts]]</f>
        <v>74.34</v>
      </c>
      <c r="J2760" s="8">
        <f>VLOOKUP(financials[[#This Row],[productid]],Products!$B$2:$H$10,4)</f>
        <v>2.9</v>
      </c>
      <c r="K2760" s="8">
        <f>financials[[#This Row],[Net Sales]]-financials[[#This Row],[COGS]]</f>
        <v>71.44</v>
      </c>
      <c r="L2760" s="15">
        <v>45536</v>
      </c>
      <c r="M2760" t="s">
        <v>696</v>
      </c>
    </row>
    <row r="2761" spans="1:13" x14ac:dyDescent="0.25">
      <c r="A2761" t="s">
        <v>89</v>
      </c>
      <c r="B2761" s="6" t="s">
        <v>159</v>
      </c>
      <c r="C2761" s="13">
        <v>108</v>
      </c>
      <c r="D2761" s="14" t="s">
        <v>83</v>
      </c>
      <c r="E2761">
        <v>20</v>
      </c>
      <c r="F2761" s="8">
        <f>VLOOKUP(financials[[#This Row],[productid]],Products!$B$2:$H$10,3)</f>
        <v>5.5</v>
      </c>
      <c r="G2761" s="8">
        <f>financials[[#This Row],[Units Sold]]*financials[[#This Row],[Sale Price]]</f>
        <v>110</v>
      </c>
      <c r="H2761" s="8">
        <f>IF(financials[[#This Row],[Discount Band]]="low",0.1,IF(financials[[#This Row],[Discount Band]]="medium",0.15,0.3))</f>
        <v>0.3</v>
      </c>
      <c r="I2761" s="8">
        <f>financials[[#This Row],[Gross Sales]]-financials[[#This Row],[Gross Sales]]*financials[[#This Row],[Discounts]]</f>
        <v>77</v>
      </c>
      <c r="J2761" s="8">
        <f>VLOOKUP(financials[[#This Row],[productid]],Products!$B$2:$H$10,4)</f>
        <v>3.99</v>
      </c>
      <c r="K2761" s="8">
        <f>financials[[#This Row],[Net Sales]]-financials[[#This Row],[COGS]]</f>
        <v>73.010000000000005</v>
      </c>
      <c r="L2761" s="15">
        <v>44170</v>
      </c>
      <c r="M2761" t="s">
        <v>691</v>
      </c>
    </row>
    <row r="2762" spans="1:13" x14ac:dyDescent="0.25">
      <c r="A2762" t="s">
        <v>86</v>
      </c>
      <c r="B2762" s="6" t="s">
        <v>644</v>
      </c>
      <c r="C2762" s="13">
        <v>105</v>
      </c>
      <c r="D2762" s="14" t="s">
        <v>90</v>
      </c>
      <c r="E2762">
        <v>11</v>
      </c>
      <c r="F2762" s="8">
        <f>VLOOKUP(financials[[#This Row],[productid]],Products!$B$2:$H$10,3)</f>
        <v>15</v>
      </c>
      <c r="G2762" s="8">
        <f>financials[[#This Row],[Units Sold]]*financials[[#This Row],[Sale Price]]</f>
        <v>165</v>
      </c>
      <c r="H2762" s="8">
        <f>IF(financials[[#This Row],[Discount Band]]="low",0.1,IF(financials[[#This Row],[Discount Band]]="medium",0.15,0.3))</f>
        <v>0.15</v>
      </c>
      <c r="I2762" s="8">
        <f>financials[[#This Row],[Gross Sales]]-financials[[#This Row],[Gross Sales]]*financials[[#This Row],[Discounts]]</f>
        <v>140.25</v>
      </c>
      <c r="J2762" s="8">
        <f>VLOOKUP(financials[[#This Row],[productid]],Products!$B$2:$H$10,4)</f>
        <v>10</v>
      </c>
      <c r="K2762" s="8">
        <f>financials[[#This Row],[Net Sales]]-financials[[#This Row],[COGS]]</f>
        <v>130.25</v>
      </c>
      <c r="L2762" s="15">
        <v>44133</v>
      </c>
      <c r="M2762" t="s">
        <v>691</v>
      </c>
    </row>
    <row r="2763" spans="1:13" x14ac:dyDescent="0.25">
      <c r="A2763" t="s">
        <v>86</v>
      </c>
      <c r="B2763" s="6" t="s">
        <v>124</v>
      </c>
      <c r="C2763" s="13">
        <v>103</v>
      </c>
      <c r="D2763" s="14" t="s">
        <v>90</v>
      </c>
      <c r="E2763">
        <v>11</v>
      </c>
      <c r="F2763" s="8">
        <f>VLOOKUP(financials[[#This Row],[productid]],Products!$B$2:$H$10,3)</f>
        <v>28</v>
      </c>
      <c r="G2763" s="8">
        <f>financials[[#This Row],[Units Sold]]*financials[[#This Row],[Sale Price]]</f>
        <v>308</v>
      </c>
      <c r="H2763" s="8">
        <f>IF(financials[[#This Row],[Discount Band]]="low",0.1,IF(financials[[#This Row],[Discount Band]]="medium",0.15,0.3))</f>
        <v>0.15</v>
      </c>
      <c r="I2763" s="8">
        <f>financials[[#This Row],[Gross Sales]]-financials[[#This Row],[Gross Sales]]*financials[[#This Row],[Discounts]]</f>
        <v>261.8</v>
      </c>
      <c r="J2763" s="8">
        <f>VLOOKUP(financials[[#This Row],[productid]],Products!$B$2:$H$10,4)</f>
        <v>15</v>
      </c>
      <c r="K2763" s="8">
        <f>financials[[#This Row],[Net Sales]]-financials[[#This Row],[COGS]]</f>
        <v>246.8</v>
      </c>
      <c r="L2763" s="15">
        <v>44731</v>
      </c>
      <c r="M2763" t="s">
        <v>696</v>
      </c>
    </row>
    <row r="2764" spans="1:13" x14ac:dyDescent="0.25">
      <c r="A2764" t="s">
        <v>87</v>
      </c>
      <c r="B2764" s="6" t="s">
        <v>167</v>
      </c>
      <c r="C2764" s="13">
        <v>101</v>
      </c>
      <c r="D2764" s="14" t="s">
        <v>90</v>
      </c>
      <c r="E2764">
        <v>6</v>
      </c>
      <c r="F2764" s="8">
        <f>VLOOKUP(financials[[#This Row],[productid]],Products!$B$2:$H$10,3)</f>
        <v>23</v>
      </c>
      <c r="G2764" s="8">
        <f>financials[[#This Row],[Units Sold]]*financials[[#This Row],[Sale Price]]</f>
        <v>138</v>
      </c>
      <c r="H2764" s="8">
        <f>IF(financials[[#This Row],[Discount Band]]="low",0.1,IF(financials[[#This Row],[Discount Band]]="medium",0.15,0.3))</f>
        <v>0.15</v>
      </c>
      <c r="I2764" s="8">
        <f>financials[[#This Row],[Gross Sales]]-financials[[#This Row],[Gross Sales]]*financials[[#This Row],[Discounts]]</f>
        <v>117.3</v>
      </c>
      <c r="J2764" s="8">
        <f>VLOOKUP(financials[[#This Row],[productid]],Products!$B$2:$H$10,4)</f>
        <v>9.9499999999999993</v>
      </c>
      <c r="K2764" s="8">
        <f>financials[[#This Row],[Net Sales]]-financials[[#This Row],[COGS]]</f>
        <v>107.35</v>
      </c>
      <c r="L2764" s="15">
        <v>45071</v>
      </c>
      <c r="M2764" t="s">
        <v>690</v>
      </c>
    </row>
    <row r="2765" spans="1:13" x14ac:dyDescent="0.25">
      <c r="A2765" t="s">
        <v>87</v>
      </c>
      <c r="B2765" s="6" t="s">
        <v>197</v>
      </c>
      <c r="C2765" s="13">
        <v>109</v>
      </c>
      <c r="D2765" s="14" t="s">
        <v>91</v>
      </c>
      <c r="E2765">
        <v>17</v>
      </c>
      <c r="F2765" s="8">
        <f>VLOOKUP(financials[[#This Row],[productid]],Products!$B$2:$H$10,3)</f>
        <v>36</v>
      </c>
      <c r="G2765" s="8">
        <f>financials[[#This Row],[Units Sold]]*financials[[#This Row],[Sale Price]]</f>
        <v>612</v>
      </c>
      <c r="H2765" s="8">
        <f>IF(financials[[#This Row],[Discount Band]]="low",0.1,IF(financials[[#This Row],[Discount Band]]="medium",0.15,0.3))</f>
        <v>0.1</v>
      </c>
      <c r="I2765" s="8">
        <f>financials[[#This Row],[Gross Sales]]-financials[[#This Row],[Gross Sales]]*financials[[#This Row],[Discounts]]</f>
        <v>550.79999999999995</v>
      </c>
      <c r="J2765" s="8">
        <f>VLOOKUP(financials[[#This Row],[productid]],Products!$B$2:$H$10,4)</f>
        <v>16.8</v>
      </c>
      <c r="K2765" s="8">
        <f>financials[[#This Row],[Net Sales]]-financials[[#This Row],[COGS]]</f>
        <v>534</v>
      </c>
      <c r="L2765" s="15">
        <v>44256</v>
      </c>
      <c r="M2765" t="s">
        <v>697</v>
      </c>
    </row>
    <row r="2766" spans="1:13" x14ac:dyDescent="0.25">
      <c r="A2766" t="s">
        <v>87</v>
      </c>
      <c r="B2766" s="6" t="s">
        <v>287</v>
      </c>
      <c r="C2766" s="13">
        <v>106</v>
      </c>
      <c r="D2766" s="14" t="s">
        <v>91</v>
      </c>
      <c r="E2766">
        <v>15</v>
      </c>
      <c r="F2766" s="8">
        <f>VLOOKUP(financials[[#This Row],[productid]],Products!$B$2:$H$10,3)</f>
        <v>25</v>
      </c>
      <c r="G2766" s="8">
        <f>financials[[#This Row],[Units Sold]]*financials[[#This Row],[Sale Price]]</f>
        <v>375</v>
      </c>
      <c r="H2766" s="8">
        <f>IF(financials[[#This Row],[Discount Band]]="low",0.1,IF(financials[[#This Row],[Discount Band]]="medium",0.15,0.3))</f>
        <v>0.1</v>
      </c>
      <c r="I2766" s="8">
        <f>financials[[#This Row],[Gross Sales]]-financials[[#This Row],[Gross Sales]]*financials[[#This Row],[Discounts]]</f>
        <v>337.5</v>
      </c>
      <c r="J2766" s="8">
        <f>VLOOKUP(financials[[#This Row],[productid]],Products!$B$2:$H$10,4)</f>
        <v>9.1</v>
      </c>
      <c r="K2766" s="8">
        <f>financials[[#This Row],[Net Sales]]-financials[[#This Row],[COGS]]</f>
        <v>328.4</v>
      </c>
      <c r="L2766" s="15">
        <v>44518</v>
      </c>
      <c r="M2766" t="s">
        <v>691</v>
      </c>
    </row>
    <row r="2767" spans="1:13" x14ac:dyDescent="0.25">
      <c r="A2767" t="s">
        <v>85</v>
      </c>
      <c r="B2767" s="6" t="s">
        <v>124</v>
      </c>
      <c r="C2767" s="13">
        <v>103</v>
      </c>
      <c r="D2767" s="14" t="s">
        <v>90</v>
      </c>
      <c r="E2767">
        <v>19</v>
      </c>
      <c r="F2767" s="8">
        <f>VLOOKUP(financials[[#This Row],[productid]],Products!$B$2:$H$10,3)</f>
        <v>28</v>
      </c>
      <c r="G2767" s="8">
        <f>financials[[#This Row],[Units Sold]]*financials[[#This Row],[Sale Price]]</f>
        <v>532</v>
      </c>
      <c r="H2767" s="8">
        <f>IF(financials[[#This Row],[Discount Band]]="low",0.1,IF(financials[[#This Row],[Discount Band]]="medium",0.15,0.3))</f>
        <v>0.15</v>
      </c>
      <c r="I2767" s="8">
        <f>financials[[#This Row],[Gross Sales]]-financials[[#This Row],[Gross Sales]]*financials[[#This Row],[Discounts]]</f>
        <v>452.2</v>
      </c>
      <c r="J2767" s="8">
        <f>VLOOKUP(financials[[#This Row],[productid]],Products!$B$2:$H$10,4)</f>
        <v>15</v>
      </c>
      <c r="K2767" s="8">
        <f>financials[[#This Row],[Net Sales]]-financials[[#This Row],[COGS]]</f>
        <v>437.2</v>
      </c>
      <c r="L2767" s="15">
        <v>45207</v>
      </c>
      <c r="M2767" t="s">
        <v>700</v>
      </c>
    </row>
    <row r="2768" spans="1:13" x14ac:dyDescent="0.25">
      <c r="A2768" t="s">
        <v>85</v>
      </c>
      <c r="B2768" s="6" t="s">
        <v>124</v>
      </c>
      <c r="C2768" s="13">
        <v>102</v>
      </c>
      <c r="D2768" s="14" t="s">
        <v>90</v>
      </c>
      <c r="E2768">
        <v>14</v>
      </c>
      <c r="F2768" s="8">
        <f>VLOOKUP(financials[[#This Row],[productid]],Products!$B$2:$H$10,3)</f>
        <v>15</v>
      </c>
      <c r="G2768" s="8">
        <f>financials[[#This Row],[Units Sold]]*financials[[#This Row],[Sale Price]]</f>
        <v>210</v>
      </c>
      <c r="H2768" s="8">
        <f>IF(financials[[#This Row],[Discount Band]]="low",0.1,IF(financials[[#This Row],[Discount Band]]="medium",0.15,0.3))</f>
        <v>0.15</v>
      </c>
      <c r="I2768" s="8">
        <f>financials[[#This Row],[Gross Sales]]-financials[[#This Row],[Gross Sales]]*financials[[#This Row],[Discounts]]</f>
        <v>178.5</v>
      </c>
      <c r="J2768" s="8">
        <f>VLOOKUP(financials[[#This Row],[productid]],Products!$B$2:$H$10,4)</f>
        <v>13.95</v>
      </c>
      <c r="K2768" s="8">
        <f>financials[[#This Row],[Net Sales]]-financials[[#This Row],[COGS]]</f>
        <v>164.55</v>
      </c>
      <c r="L2768" s="15">
        <v>44167</v>
      </c>
      <c r="M2768" t="s">
        <v>700</v>
      </c>
    </row>
    <row r="2769" spans="1:13" x14ac:dyDescent="0.25">
      <c r="A2769" t="s">
        <v>89</v>
      </c>
      <c r="B2769" s="6" t="s">
        <v>124</v>
      </c>
      <c r="C2769" s="13">
        <v>107</v>
      </c>
      <c r="D2769" s="14" t="s">
        <v>91</v>
      </c>
      <c r="E2769">
        <v>10</v>
      </c>
      <c r="F2769" s="8">
        <f>VLOOKUP(financials[[#This Row],[productid]],Products!$B$2:$H$10,3)</f>
        <v>15</v>
      </c>
      <c r="G2769" s="8">
        <f>financials[[#This Row],[Units Sold]]*financials[[#This Row],[Sale Price]]</f>
        <v>150</v>
      </c>
      <c r="H2769" s="8">
        <f>IF(financials[[#This Row],[Discount Band]]="low",0.1,IF(financials[[#This Row],[Discount Band]]="medium",0.15,0.3))</f>
        <v>0.1</v>
      </c>
      <c r="I2769" s="8">
        <f>financials[[#This Row],[Gross Sales]]-financials[[#This Row],[Gross Sales]]*financials[[#This Row],[Discounts]]</f>
        <v>135</v>
      </c>
      <c r="J2769" s="8">
        <f>VLOOKUP(financials[[#This Row],[productid]],Products!$B$2:$H$10,4)</f>
        <v>5.5</v>
      </c>
      <c r="K2769" s="8">
        <f>financials[[#This Row],[Net Sales]]-financials[[#This Row],[COGS]]</f>
        <v>129.5</v>
      </c>
      <c r="L2769" s="15">
        <v>44335</v>
      </c>
      <c r="M2769" t="s">
        <v>697</v>
      </c>
    </row>
    <row r="2770" spans="1:13" x14ac:dyDescent="0.25">
      <c r="A2770" t="s">
        <v>85</v>
      </c>
      <c r="B2770" s="6" t="s">
        <v>124</v>
      </c>
      <c r="C2770" s="13">
        <v>105</v>
      </c>
      <c r="D2770" s="14" t="s">
        <v>91</v>
      </c>
      <c r="E2770">
        <v>10</v>
      </c>
      <c r="F2770" s="8">
        <f>VLOOKUP(financials[[#This Row],[productid]],Products!$B$2:$H$10,3)</f>
        <v>15</v>
      </c>
      <c r="G2770" s="8">
        <f>financials[[#This Row],[Units Sold]]*financials[[#This Row],[Sale Price]]</f>
        <v>150</v>
      </c>
      <c r="H2770" s="8">
        <f>IF(financials[[#This Row],[Discount Band]]="low",0.1,IF(financials[[#This Row],[Discount Band]]="medium",0.15,0.3))</f>
        <v>0.1</v>
      </c>
      <c r="I2770" s="8">
        <f>financials[[#This Row],[Gross Sales]]-financials[[#This Row],[Gross Sales]]*financials[[#This Row],[Discounts]]</f>
        <v>135</v>
      </c>
      <c r="J2770" s="8">
        <f>VLOOKUP(financials[[#This Row],[productid]],Products!$B$2:$H$10,4)</f>
        <v>10</v>
      </c>
      <c r="K2770" s="8">
        <f>financials[[#This Row],[Net Sales]]-financials[[#This Row],[COGS]]</f>
        <v>125</v>
      </c>
      <c r="L2770" s="15">
        <v>44986</v>
      </c>
      <c r="M2770" t="s">
        <v>690</v>
      </c>
    </row>
    <row r="2771" spans="1:13" x14ac:dyDescent="0.25">
      <c r="A2771" t="s">
        <v>87</v>
      </c>
      <c r="B2771" s="6" t="s">
        <v>287</v>
      </c>
      <c r="C2771" s="13">
        <v>101</v>
      </c>
      <c r="D2771" s="14" t="s">
        <v>92</v>
      </c>
      <c r="E2771">
        <v>5</v>
      </c>
      <c r="F2771" s="8">
        <f>VLOOKUP(financials[[#This Row],[productid]],Products!$B$2:$H$10,3)</f>
        <v>23</v>
      </c>
      <c r="G2771" s="8">
        <f>financials[[#This Row],[Units Sold]]*financials[[#This Row],[Sale Price]]</f>
        <v>115</v>
      </c>
      <c r="H2771" s="8">
        <f>IF(financials[[#This Row],[Discount Band]]="low",0.1,IF(financials[[#This Row],[Discount Band]]="medium",0.15,0.3))</f>
        <v>0.3</v>
      </c>
      <c r="I2771" s="8">
        <f>financials[[#This Row],[Gross Sales]]-financials[[#This Row],[Gross Sales]]*financials[[#This Row],[Discounts]]</f>
        <v>80.5</v>
      </c>
      <c r="J2771" s="8">
        <f>VLOOKUP(financials[[#This Row],[productid]],Products!$B$2:$H$10,4)</f>
        <v>9.9499999999999993</v>
      </c>
      <c r="K2771" s="8">
        <f>financials[[#This Row],[Net Sales]]-financials[[#This Row],[COGS]]</f>
        <v>70.55</v>
      </c>
      <c r="L2771" s="15">
        <v>44776</v>
      </c>
      <c r="M2771" t="s">
        <v>691</v>
      </c>
    </row>
    <row r="2772" spans="1:13" x14ac:dyDescent="0.25">
      <c r="A2772" t="s">
        <v>87</v>
      </c>
      <c r="B2772" s="6" t="s">
        <v>96</v>
      </c>
      <c r="C2772" s="13">
        <v>103</v>
      </c>
      <c r="D2772" s="14" t="s">
        <v>91</v>
      </c>
      <c r="E2772">
        <v>12</v>
      </c>
      <c r="F2772" s="8">
        <f>VLOOKUP(financials[[#This Row],[productid]],Products!$B$2:$H$10,3)</f>
        <v>28</v>
      </c>
      <c r="G2772" s="8">
        <f>financials[[#This Row],[Units Sold]]*financials[[#This Row],[Sale Price]]</f>
        <v>336</v>
      </c>
      <c r="H2772" s="8">
        <f>IF(financials[[#This Row],[Discount Band]]="low",0.1,IF(financials[[#This Row],[Discount Band]]="medium",0.15,0.3))</f>
        <v>0.1</v>
      </c>
      <c r="I2772" s="8">
        <f>financials[[#This Row],[Gross Sales]]-financials[[#This Row],[Gross Sales]]*financials[[#This Row],[Discounts]]</f>
        <v>302.39999999999998</v>
      </c>
      <c r="J2772" s="8">
        <f>VLOOKUP(financials[[#This Row],[productid]],Products!$B$2:$H$10,4)</f>
        <v>15</v>
      </c>
      <c r="K2772" s="8">
        <f>financials[[#This Row],[Net Sales]]-financials[[#This Row],[COGS]]</f>
        <v>287.39999999999998</v>
      </c>
      <c r="L2772" s="15">
        <v>45379</v>
      </c>
      <c r="M2772" t="s">
        <v>697</v>
      </c>
    </row>
    <row r="2773" spans="1:13" x14ac:dyDescent="0.25">
      <c r="A2773" t="s">
        <v>85</v>
      </c>
      <c r="B2773" s="6" t="s">
        <v>159</v>
      </c>
      <c r="C2773" s="13">
        <v>104</v>
      </c>
      <c r="D2773" s="14" t="s">
        <v>83</v>
      </c>
      <c r="E2773">
        <v>18</v>
      </c>
      <c r="F2773" s="8">
        <f>VLOOKUP(financials[[#This Row],[productid]],Products!$B$2:$H$10,3)</f>
        <v>5.9</v>
      </c>
      <c r="G2773" s="8">
        <f>financials[[#This Row],[Units Sold]]*financials[[#This Row],[Sale Price]]</f>
        <v>106.2</v>
      </c>
      <c r="H2773" s="8">
        <f>IF(financials[[#This Row],[Discount Band]]="low",0.1,IF(financials[[#This Row],[Discount Band]]="medium",0.15,0.3))</f>
        <v>0.3</v>
      </c>
      <c r="I2773" s="8">
        <f>financials[[#This Row],[Gross Sales]]-financials[[#This Row],[Gross Sales]]*financials[[#This Row],[Discounts]]</f>
        <v>74.34</v>
      </c>
      <c r="J2773" s="8">
        <f>VLOOKUP(financials[[#This Row],[productid]],Products!$B$2:$H$10,4)</f>
        <v>2.9</v>
      </c>
      <c r="K2773" s="8">
        <f>financials[[#This Row],[Net Sales]]-financials[[#This Row],[COGS]]</f>
        <v>71.44</v>
      </c>
      <c r="L2773" s="15">
        <v>44763</v>
      </c>
      <c r="M2773" t="s">
        <v>691</v>
      </c>
    </row>
    <row r="2774" spans="1:13" x14ac:dyDescent="0.25">
      <c r="A2774" t="s">
        <v>87</v>
      </c>
      <c r="B2774" s="6" t="s">
        <v>273</v>
      </c>
      <c r="C2774" s="13">
        <v>101</v>
      </c>
      <c r="D2774" s="14" t="s">
        <v>91</v>
      </c>
      <c r="E2774">
        <v>19</v>
      </c>
      <c r="F2774" s="8">
        <f>VLOOKUP(financials[[#This Row],[productid]],Products!$B$2:$H$10,3)</f>
        <v>23</v>
      </c>
      <c r="G2774" s="8">
        <f>financials[[#This Row],[Units Sold]]*financials[[#This Row],[Sale Price]]</f>
        <v>437</v>
      </c>
      <c r="H2774" s="8">
        <f>IF(financials[[#This Row],[Discount Band]]="low",0.1,IF(financials[[#This Row],[Discount Band]]="medium",0.15,0.3))</f>
        <v>0.1</v>
      </c>
      <c r="I2774" s="8">
        <f>financials[[#This Row],[Gross Sales]]-financials[[#This Row],[Gross Sales]]*financials[[#This Row],[Discounts]]</f>
        <v>393.3</v>
      </c>
      <c r="J2774" s="8">
        <f>VLOOKUP(financials[[#This Row],[productid]],Products!$B$2:$H$10,4)</f>
        <v>9.9499999999999993</v>
      </c>
      <c r="K2774" s="8">
        <f>financials[[#This Row],[Net Sales]]-financials[[#This Row],[COGS]]</f>
        <v>383.35</v>
      </c>
      <c r="L2774" s="15">
        <v>44201</v>
      </c>
      <c r="M2774" t="s">
        <v>696</v>
      </c>
    </row>
    <row r="2775" spans="1:13" x14ac:dyDescent="0.25">
      <c r="A2775" t="s">
        <v>88</v>
      </c>
      <c r="B2775" s="6" t="s">
        <v>93</v>
      </c>
      <c r="C2775" s="13">
        <v>108</v>
      </c>
      <c r="D2775" s="14" t="s">
        <v>90</v>
      </c>
      <c r="E2775">
        <v>6</v>
      </c>
      <c r="F2775" s="8">
        <f>VLOOKUP(financials[[#This Row],[productid]],Products!$B$2:$H$10,3)</f>
        <v>5.5</v>
      </c>
      <c r="G2775" s="8">
        <f>financials[[#This Row],[Units Sold]]*financials[[#This Row],[Sale Price]]</f>
        <v>33</v>
      </c>
      <c r="H2775" s="8">
        <f>IF(financials[[#This Row],[Discount Band]]="low",0.1,IF(financials[[#This Row],[Discount Band]]="medium",0.15,0.3))</f>
        <v>0.15</v>
      </c>
      <c r="I2775" s="8">
        <f>financials[[#This Row],[Gross Sales]]-financials[[#This Row],[Gross Sales]]*financials[[#This Row],[Discounts]]</f>
        <v>28.05</v>
      </c>
      <c r="J2775" s="8">
        <f>VLOOKUP(financials[[#This Row],[productid]],Products!$B$2:$H$10,4)</f>
        <v>3.99</v>
      </c>
      <c r="K2775" s="8">
        <f>financials[[#This Row],[Net Sales]]-financials[[#This Row],[COGS]]</f>
        <v>24.060000000000002</v>
      </c>
      <c r="L2775" s="15">
        <v>44555</v>
      </c>
      <c r="M2775" t="s">
        <v>691</v>
      </c>
    </row>
    <row r="2776" spans="1:13" x14ac:dyDescent="0.25">
      <c r="A2776" t="s">
        <v>87</v>
      </c>
      <c r="B2776" s="6" t="s">
        <v>148</v>
      </c>
      <c r="C2776" s="11">
        <v>103</v>
      </c>
      <c r="D2776" s="9" t="s">
        <v>91</v>
      </c>
      <c r="E2776">
        <v>18</v>
      </c>
      <c r="F2776" s="8">
        <f>VLOOKUP(financials[[#This Row],[productid]],Products!$B$2:$H$10,3)</f>
        <v>28</v>
      </c>
      <c r="G2776" s="8">
        <f>financials[[#This Row],[Units Sold]]*financials[[#This Row],[Sale Price]]</f>
        <v>504</v>
      </c>
      <c r="H2776" s="8">
        <f>IF(financials[[#This Row],[Discount Band]]="low",0.1,IF(financials[[#This Row],[Discount Band]]="medium",0.15,0.3))</f>
        <v>0.1</v>
      </c>
      <c r="I2776" s="8">
        <f>financials[[#This Row],[Gross Sales]]-financials[[#This Row],[Gross Sales]]*financials[[#This Row],[Discounts]]</f>
        <v>453.6</v>
      </c>
      <c r="J2776" s="8">
        <f>VLOOKUP(financials[[#This Row],[productid]],Products!$B$2:$H$10,4)</f>
        <v>15</v>
      </c>
      <c r="K2776" s="8">
        <f>financials[[#This Row],[Net Sales]]-financials[[#This Row],[COGS]]</f>
        <v>438.6</v>
      </c>
      <c r="L2776" s="15">
        <v>44979</v>
      </c>
      <c r="M2776" t="s">
        <v>697</v>
      </c>
    </row>
    <row r="2777" spans="1:13" x14ac:dyDescent="0.25">
      <c r="A2777" t="s">
        <v>87</v>
      </c>
      <c r="B2777" s="6" t="s">
        <v>197</v>
      </c>
      <c r="C2777" s="13">
        <v>104</v>
      </c>
      <c r="D2777" s="14" t="s">
        <v>83</v>
      </c>
      <c r="E2777">
        <v>12</v>
      </c>
      <c r="F2777" s="8">
        <f>VLOOKUP(financials[[#This Row],[productid]],Products!$B$2:$H$10,3)</f>
        <v>5.9</v>
      </c>
      <c r="G2777" s="8">
        <f>financials[[#This Row],[Units Sold]]*financials[[#This Row],[Sale Price]]</f>
        <v>70.800000000000011</v>
      </c>
      <c r="H2777" s="8">
        <f>IF(financials[[#This Row],[Discount Band]]="low",0.1,IF(financials[[#This Row],[Discount Band]]="medium",0.15,0.3))</f>
        <v>0.3</v>
      </c>
      <c r="I2777" s="8">
        <f>financials[[#This Row],[Gross Sales]]-financials[[#This Row],[Gross Sales]]*financials[[#This Row],[Discounts]]</f>
        <v>49.560000000000009</v>
      </c>
      <c r="J2777" s="8">
        <f>VLOOKUP(financials[[#This Row],[productid]],Products!$B$2:$H$10,4)</f>
        <v>2.9</v>
      </c>
      <c r="K2777" s="8">
        <f>financials[[#This Row],[Net Sales]]-financials[[#This Row],[COGS]]</f>
        <v>46.660000000000011</v>
      </c>
      <c r="L2777" s="15">
        <v>45094</v>
      </c>
      <c r="M2777" t="s">
        <v>691</v>
      </c>
    </row>
    <row r="2778" spans="1:13" x14ac:dyDescent="0.25">
      <c r="A2778" t="s">
        <v>87</v>
      </c>
      <c r="B2778" s="6" t="s">
        <v>96</v>
      </c>
      <c r="C2778" s="13">
        <v>105</v>
      </c>
      <c r="D2778" s="14" t="s">
        <v>90</v>
      </c>
      <c r="E2778">
        <v>9</v>
      </c>
      <c r="F2778" s="8">
        <f>VLOOKUP(financials[[#This Row],[productid]],Products!$B$2:$H$10,3)</f>
        <v>15</v>
      </c>
      <c r="G2778" s="8">
        <f>financials[[#This Row],[Units Sold]]*financials[[#This Row],[Sale Price]]</f>
        <v>135</v>
      </c>
      <c r="H2778" s="8">
        <f>IF(financials[[#This Row],[Discount Band]]="low",0.1,IF(financials[[#This Row],[Discount Band]]="medium",0.15,0.3))</f>
        <v>0.15</v>
      </c>
      <c r="I2778" s="8">
        <f>financials[[#This Row],[Gross Sales]]-financials[[#This Row],[Gross Sales]]*financials[[#This Row],[Discounts]]</f>
        <v>114.75</v>
      </c>
      <c r="J2778" s="8">
        <f>VLOOKUP(financials[[#This Row],[productid]],Products!$B$2:$H$10,4)</f>
        <v>10</v>
      </c>
      <c r="K2778" s="8">
        <f>financials[[#This Row],[Net Sales]]-financials[[#This Row],[COGS]]</f>
        <v>104.75</v>
      </c>
      <c r="L2778" s="15">
        <v>44794</v>
      </c>
      <c r="M2778" t="s">
        <v>691</v>
      </c>
    </row>
    <row r="2779" spans="1:13" x14ac:dyDescent="0.25">
      <c r="A2779" t="s">
        <v>86</v>
      </c>
      <c r="B2779" s="6" t="s">
        <v>84</v>
      </c>
      <c r="C2779" s="13">
        <v>102</v>
      </c>
      <c r="D2779" s="14" t="s">
        <v>91</v>
      </c>
      <c r="E2779">
        <v>10</v>
      </c>
      <c r="F2779" s="8">
        <f>VLOOKUP(financials[[#This Row],[productid]],Products!$B$2:$H$10,3)</f>
        <v>15</v>
      </c>
      <c r="G2779" s="8">
        <f>financials[[#This Row],[Units Sold]]*financials[[#This Row],[Sale Price]]</f>
        <v>150</v>
      </c>
      <c r="H2779" s="8">
        <f>IF(financials[[#This Row],[Discount Band]]="low",0.1,IF(financials[[#This Row],[Discount Band]]="medium",0.15,0.3))</f>
        <v>0.1</v>
      </c>
      <c r="I2779" s="8">
        <f>financials[[#This Row],[Gross Sales]]-financials[[#This Row],[Gross Sales]]*financials[[#This Row],[Discounts]]</f>
        <v>135</v>
      </c>
      <c r="J2779" s="8">
        <f>VLOOKUP(financials[[#This Row],[productid]],Products!$B$2:$H$10,4)</f>
        <v>13.95</v>
      </c>
      <c r="K2779" s="8">
        <f>financials[[#This Row],[Net Sales]]-financials[[#This Row],[COGS]]</f>
        <v>121.05</v>
      </c>
      <c r="L2779" s="15">
        <v>43917</v>
      </c>
      <c r="M2779" t="s">
        <v>690</v>
      </c>
    </row>
    <row r="2780" spans="1:13" x14ac:dyDescent="0.25">
      <c r="A2780" t="s">
        <v>87</v>
      </c>
      <c r="B2780" s="6" t="s">
        <v>158</v>
      </c>
      <c r="C2780" s="11">
        <v>108</v>
      </c>
      <c r="D2780" s="9" t="s">
        <v>91</v>
      </c>
      <c r="E2780">
        <v>12</v>
      </c>
      <c r="F2780" s="8">
        <f>VLOOKUP(financials[[#This Row],[productid]],Products!$B$2:$H$10,3)</f>
        <v>5.5</v>
      </c>
      <c r="G2780" s="8">
        <f>financials[[#This Row],[Units Sold]]*financials[[#This Row],[Sale Price]]</f>
        <v>66</v>
      </c>
      <c r="H2780" s="8">
        <f>IF(financials[[#This Row],[Discount Band]]="low",0.1,IF(financials[[#This Row],[Discount Band]]="medium",0.15,0.3))</f>
        <v>0.1</v>
      </c>
      <c r="I2780" s="8">
        <f>financials[[#This Row],[Gross Sales]]-financials[[#This Row],[Gross Sales]]*financials[[#This Row],[Discounts]]</f>
        <v>59.4</v>
      </c>
      <c r="J2780" s="8">
        <f>VLOOKUP(financials[[#This Row],[productid]],Products!$B$2:$H$10,4)</f>
        <v>3.99</v>
      </c>
      <c r="K2780" s="8">
        <f>financials[[#This Row],[Net Sales]]-financials[[#This Row],[COGS]]</f>
        <v>55.41</v>
      </c>
      <c r="L2780" s="15">
        <v>44502</v>
      </c>
      <c r="M2780" t="s">
        <v>700</v>
      </c>
    </row>
    <row r="2781" spans="1:13" x14ac:dyDescent="0.25">
      <c r="A2781" t="s">
        <v>87</v>
      </c>
      <c r="B2781" s="6" t="s">
        <v>93</v>
      </c>
      <c r="C2781" s="13">
        <v>106</v>
      </c>
      <c r="D2781" s="14" t="s">
        <v>83</v>
      </c>
      <c r="E2781">
        <v>16</v>
      </c>
      <c r="F2781" s="8">
        <f>VLOOKUP(financials[[#This Row],[productid]],Products!$B$2:$H$10,3)</f>
        <v>25</v>
      </c>
      <c r="G2781" s="8">
        <f>financials[[#This Row],[Units Sold]]*financials[[#This Row],[Sale Price]]</f>
        <v>400</v>
      </c>
      <c r="H2781" s="8">
        <f>IF(financials[[#This Row],[Discount Band]]="low",0.1,IF(financials[[#This Row],[Discount Band]]="medium",0.15,0.3))</f>
        <v>0.3</v>
      </c>
      <c r="I2781" s="8">
        <f>financials[[#This Row],[Gross Sales]]-financials[[#This Row],[Gross Sales]]*financials[[#This Row],[Discounts]]</f>
        <v>280</v>
      </c>
      <c r="J2781" s="8">
        <f>VLOOKUP(financials[[#This Row],[productid]],Products!$B$2:$H$10,4)</f>
        <v>9.1</v>
      </c>
      <c r="K2781" s="8">
        <f>financials[[#This Row],[Net Sales]]-financials[[#This Row],[COGS]]</f>
        <v>270.89999999999998</v>
      </c>
      <c r="L2781" s="15">
        <v>43936</v>
      </c>
      <c r="M2781" t="s">
        <v>690</v>
      </c>
    </row>
    <row r="2782" spans="1:13" x14ac:dyDescent="0.25">
      <c r="A2782" t="s">
        <v>86</v>
      </c>
      <c r="B2782" s="6" t="s">
        <v>159</v>
      </c>
      <c r="C2782" s="13">
        <v>105</v>
      </c>
      <c r="D2782" s="14" t="s">
        <v>91</v>
      </c>
      <c r="E2782">
        <v>16</v>
      </c>
      <c r="F2782" s="8">
        <f>VLOOKUP(financials[[#This Row],[productid]],Products!$B$2:$H$10,3)</f>
        <v>15</v>
      </c>
      <c r="G2782" s="8">
        <f>financials[[#This Row],[Units Sold]]*financials[[#This Row],[Sale Price]]</f>
        <v>240</v>
      </c>
      <c r="H2782" s="8">
        <f>IF(financials[[#This Row],[Discount Band]]="low",0.1,IF(financials[[#This Row],[Discount Band]]="medium",0.15,0.3))</f>
        <v>0.1</v>
      </c>
      <c r="I2782" s="8">
        <f>financials[[#This Row],[Gross Sales]]-financials[[#This Row],[Gross Sales]]*financials[[#This Row],[Discounts]]</f>
        <v>216</v>
      </c>
      <c r="J2782" s="8">
        <f>VLOOKUP(financials[[#This Row],[productid]],Products!$B$2:$H$10,4)</f>
        <v>10</v>
      </c>
      <c r="K2782" s="8">
        <f>financials[[#This Row],[Net Sales]]-financials[[#This Row],[COGS]]</f>
        <v>206</v>
      </c>
      <c r="L2782" s="15">
        <v>43874</v>
      </c>
      <c r="M2782" t="s">
        <v>691</v>
      </c>
    </row>
    <row r="2783" spans="1:13" x14ac:dyDescent="0.25">
      <c r="A2783" t="s">
        <v>87</v>
      </c>
      <c r="B2783" s="6" t="s">
        <v>645</v>
      </c>
      <c r="C2783" s="11">
        <v>102</v>
      </c>
      <c r="D2783" s="9" t="s">
        <v>92</v>
      </c>
      <c r="E2783">
        <v>17</v>
      </c>
      <c r="F2783" s="8">
        <f>VLOOKUP(financials[[#This Row],[productid]],Products!$B$2:$H$10,3)</f>
        <v>15</v>
      </c>
      <c r="G2783" s="8">
        <f>financials[[#This Row],[Units Sold]]*financials[[#This Row],[Sale Price]]</f>
        <v>255</v>
      </c>
      <c r="H2783" s="8">
        <f>IF(financials[[#This Row],[Discount Band]]="low",0.1,IF(financials[[#This Row],[Discount Band]]="medium",0.15,0.3))</f>
        <v>0.3</v>
      </c>
      <c r="I2783" s="8">
        <f>financials[[#This Row],[Gross Sales]]-financials[[#This Row],[Gross Sales]]*financials[[#This Row],[Discounts]]</f>
        <v>178.5</v>
      </c>
      <c r="J2783" s="8">
        <f>VLOOKUP(financials[[#This Row],[productid]],Products!$B$2:$H$10,4)</f>
        <v>13.95</v>
      </c>
      <c r="K2783" s="8">
        <f>financials[[#This Row],[Net Sales]]-financials[[#This Row],[COGS]]</f>
        <v>164.55</v>
      </c>
      <c r="L2783" s="15">
        <v>44945</v>
      </c>
      <c r="M2783" t="s">
        <v>696</v>
      </c>
    </row>
    <row r="2784" spans="1:13" x14ac:dyDescent="0.25">
      <c r="A2784" t="s">
        <v>86</v>
      </c>
      <c r="B2784" s="6" t="s">
        <v>159</v>
      </c>
      <c r="C2784" s="13">
        <v>102</v>
      </c>
      <c r="D2784" s="14" t="s">
        <v>90</v>
      </c>
      <c r="E2784">
        <v>14</v>
      </c>
      <c r="F2784" s="8">
        <f>VLOOKUP(financials[[#This Row],[productid]],Products!$B$2:$H$10,3)</f>
        <v>15</v>
      </c>
      <c r="G2784" s="8">
        <f>financials[[#This Row],[Units Sold]]*financials[[#This Row],[Sale Price]]</f>
        <v>210</v>
      </c>
      <c r="H2784" s="8">
        <f>IF(financials[[#This Row],[Discount Band]]="low",0.1,IF(financials[[#This Row],[Discount Band]]="medium",0.15,0.3))</f>
        <v>0.15</v>
      </c>
      <c r="I2784" s="8">
        <f>financials[[#This Row],[Gross Sales]]-financials[[#This Row],[Gross Sales]]*financials[[#This Row],[Discounts]]</f>
        <v>178.5</v>
      </c>
      <c r="J2784" s="8">
        <f>VLOOKUP(financials[[#This Row],[productid]],Products!$B$2:$H$10,4)</f>
        <v>13.95</v>
      </c>
      <c r="K2784" s="8">
        <f>financials[[#This Row],[Net Sales]]-financials[[#This Row],[COGS]]</f>
        <v>164.55</v>
      </c>
      <c r="L2784" s="15">
        <v>44278</v>
      </c>
      <c r="M2784" t="s">
        <v>691</v>
      </c>
    </row>
    <row r="2785" spans="1:13" x14ac:dyDescent="0.25">
      <c r="A2785" t="s">
        <v>87</v>
      </c>
      <c r="B2785" s="6" t="s">
        <v>545</v>
      </c>
      <c r="C2785" s="13">
        <v>102</v>
      </c>
      <c r="D2785" s="14" t="s">
        <v>91</v>
      </c>
      <c r="E2785">
        <v>19</v>
      </c>
      <c r="F2785" s="8">
        <f>VLOOKUP(financials[[#This Row],[productid]],Products!$B$2:$H$10,3)</f>
        <v>15</v>
      </c>
      <c r="G2785" s="8">
        <f>financials[[#This Row],[Units Sold]]*financials[[#This Row],[Sale Price]]</f>
        <v>285</v>
      </c>
      <c r="H2785" s="8">
        <f>IF(financials[[#This Row],[Discount Band]]="low",0.1,IF(financials[[#This Row],[Discount Band]]="medium",0.15,0.3))</f>
        <v>0.1</v>
      </c>
      <c r="I2785" s="8">
        <f>financials[[#This Row],[Gross Sales]]-financials[[#This Row],[Gross Sales]]*financials[[#This Row],[Discounts]]</f>
        <v>256.5</v>
      </c>
      <c r="J2785" s="8">
        <f>VLOOKUP(financials[[#This Row],[productid]],Products!$B$2:$H$10,4)</f>
        <v>13.95</v>
      </c>
      <c r="K2785" s="8">
        <f>financials[[#This Row],[Net Sales]]-financials[[#This Row],[COGS]]</f>
        <v>242.55</v>
      </c>
      <c r="L2785" s="15">
        <v>45466</v>
      </c>
      <c r="M2785" t="s">
        <v>696</v>
      </c>
    </row>
    <row r="2786" spans="1:13" x14ac:dyDescent="0.25">
      <c r="A2786" t="s">
        <v>85</v>
      </c>
      <c r="B2786" s="6" t="s">
        <v>124</v>
      </c>
      <c r="C2786" s="13">
        <v>101</v>
      </c>
      <c r="D2786" s="14" t="s">
        <v>90</v>
      </c>
      <c r="E2786">
        <v>12</v>
      </c>
      <c r="F2786" s="8">
        <f>VLOOKUP(financials[[#This Row],[productid]],Products!$B$2:$H$10,3)</f>
        <v>23</v>
      </c>
      <c r="G2786" s="8">
        <f>financials[[#This Row],[Units Sold]]*financials[[#This Row],[Sale Price]]</f>
        <v>276</v>
      </c>
      <c r="H2786" s="8">
        <f>IF(financials[[#This Row],[Discount Band]]="low",0.1,IF(financials[[#This Row],[Discount Band]]="medium",0.15,0.3))</f>
        <v>0.15</v>
      </c>
      <c r="I2786" s="8">
        <f>financials[[#This Row],[Gross Sales]]-financials[[#This Row],[Gross Sales]]*financials[[#This Row],[Discounts]]</f>
        <v>234.6</v>
      </c>
      <c r="J2786" s="8">
        <f>VLOOKUP(financials[[#This Row],[productid]],Products!$B$2:$H$10,4)</f>
        <v>9.9499999999999993</v>
      </c>
      <c r="K2786" s="8">
        <f>financials[[#This Row],[Net Sales]]-financials[[#This Row],[COGS]]</f>
        <v>224.65</v>
      </c>
      <c r="L2786" s="15">
        <v>43952</v>
      </c>
      <c r="M2786" t="s">
        <v>690</v>
      </c>
    </row>
    <row r="2787" spans="1:13" x14ac:dyDescent="0.25">
      <c r="A2787" t="s">
        <v>89</v>
      </c>
      <c r="B2787" s="6" t="s">
        <v>159</v>
      </c>
      <c r="C2787" s="13">
        <v>105</v>
      </c>
      <c r="D2787" s="14" t="s">
        <v>91</v>
      </c>
      <c r="E2787">
        <v>5</v>
      </c>
      <c r="F2787" s="8">
        <f>VLOOKUP(financials[[#This Row],[productid]],Products!$B$2:$H$10,3)</f>
        <v>15</v>
      </c>
      <c r="G2787" s="8">
        <f>financials[[#This Row],[Units Sold]]*financials[[#This Row],[Sale Price]]</f>
        <v>75</v>
      </c>
      <c r="H2787" s="8">
        <f>IF(financials[[#This Row],[Discount Band]]="low",0.1,IF(financials[[#This Row],[Discount Band]]="medium",0.15,0.3))</f>
        <v>0.1</v>
      </c>
      <c r="I2787" s="8">
        <f>financials[[#This Row],[Gross Sales]]-financials[[#This Row],[Gross Sales]]*financials[[#This Row],[Discounts]]</f>
        <v>67.5</v>
      </c>
      <c r="J2787" s="8">
        <f>VLOOKUP(financials[[#This Row],[productid]],Products!$B$2:$H$10,4)</f>
        <v>10</v>
      </c>
      <c r="K2787" s="8">
        <f>financials[[#This Row],[Net Sales]]-financials[[#This Row],[COGS]]</f>
        <v>57.5</v>
      </c>
      <c r="L2787" s="15">
        <v>45062</v>
      </c>
      <c r="M2787" t="s">
        <v>696</v>
      </c>
    </row>
    <row r="2788" spans="1:13" x14ac:dyDescent="0.25">
      <c r="A2788" t="s">
        <v>86</v>
      </c>
      <c r="B2788" s="6" t="s">
        <v>84</v>
      </c>
      <c r="C2788" s="13">
        <v>106</v>
      </c>
      <c r="D2788" s="14" t="s">
        <v>90</v>
      </c>
      <c r="E2788">
        <v>15</v>
      </c>
      <c r="F2788" s="8">
        <f>VLOOKUP(financials[[#This Row],[productid]],Products!$B$2:$H$10,3)</f>
        <v>25</v>
      </c>
      <c r="G2788" s="8">
        <f>financials[[#This Row],[Units Sold]]*financials[[#This Row],[Sale Price]]</f>
        <v>375</v>
      </c>
      <c r="H2788" s="8">
        <f>IF(financials[[#This Row],[Discount Band]]="low",0.1,IF(financials[[#This Row],[Discount Band]]="medium",0.15,0.3))</f>
        <v>0.15</v>
      </c>
      <c r="I2788" s="8">
        <f>financials[[#This Row],[Gross Sales]]-financials[[#This Row],[Gross Sales]]*financials[[#This Row],[Discounts]]</f>
        <v>318.75</v>
      </c>
      <c r="J2788" s="8">
        <f>VLOOKUP(financials[[#This Row],[productid]],Products!$B$2:$H$10,4)</f>
        <v>9.1</v>
      </c>
      <c r="K2788" s="8">
        <f>financials[[#This Row],[Net Sales]]-financials[[#This Row],[COGS]]</f>
        <v>309.64999999999998</v>
      </c>
      <c r="L2788" s="15">
        <v>44902</v>
      </c>
      <c r="M2788" t="s">
        <v>696</v>
      </c>
    </row>
    <row r="2789" spans="1:13" x14ac:dyDescent="0.25">
      <c r="A2789" t="s">
        <v>87</v>
      </c>
      <c r="B2789" s="6" t="s">
        <v>232</v>
      </c>
      <c r="C2789" s="13">
        <v>105</v>
      </c>
      <c r="D2789" s="14" t="s">
        <v>91</v>
      </c>
      <c r="E2789">
        <v>8</v>
      </c>
      <c r="F2789" s="8">
        <f>VLOOKUP(financials[[#This Row],[productid]],Products!$B$2:$H$10,3)</f>
        <v>15</v>
      </c>
      <c r="G2789" s="8">
        <f>financials[[#This Row],[Units Sold]]*financials[[#This Row],[Sale Price]]</f>
        <v>120</v>
      </c>
      <c r="H2789" s="8">
        <f>IF(financials[[#This Row],[Discount Band]]="low",0.1,IF(financials[[#This Row],[Discount Band]]="medium",0.15,0.3))</f>
        <v>0.1</v>
      </c>
      <c r="I2789" s="8">
        <f>financials[[#This Row],[Gross Sales]]-financials[[#This Row],[Gross Sales]]*financials[[#This Row],[Discounts]]</f>
        <v>108</v>
      </c>
      <c r="J2789" s="8">
        <f>VLOOKUP(financials[[#This Row],[productid]],Products!$B$2:$H$10,4)</f>
        <v>10</v>
      </c>
      <c r="K2789" s="8">
        <f>financials[[#This Row],[Net Sales]]-financials[[#This Row],[COGS]]</f>
        <v>98</v>
      </c>
      <c r="L2789" s="15">
        <v>44000</v>
      </c>
      <c r="M2789" t="s">
        <v>700</v>
      </c>
    </row>
    <row r="2790" spans="1:13" x14ac:dyDescent="0.25">
      <c r="A2790" t="s">
        <v>86</v>
      </c>
      <c r="B2790" s="6" t="s">
        <v>93</v>
      </c>
      <c r="C2790" s="13">
        <v>108</v>
      </c>
      <c r="D2790" s="14" t="s">
        <v>83</v>
      </c>
      <c r="E2790">
        <v>16</v>
      </c>
      <c r="F2790" s="8">
        <f>VLOOKUP(financials[[#This Row],[productid]],Products!$B$2:$H$10,3)</f>
        <v>5.5</v>
      </c>
      <c r="G2790" s="8">
        <f>financials[[#This Row],[Units Sold]]*financials[[#This Row],[Sale Price]]</f>
        <v>88</v>
      </c>
      <c r="H2790" s="8">
        <f>IF(financials[[#This Row],[Discount Band]]="low",0.1,IF(financials[[#This Row],[Discount Band]]="medium",0.15,0.3))</f>
        <v>0.3</v>
      </c>
      <c r="I2790" s="8">
        <f>financials[[#This Row],[Gross Sales]]-financials[[#This Row],[Gross Sales]]*financials[[#This Row],[Discounts]]</f>
        <v>61.6</v>
      </c>
      <c r="J2790" s="8">
        <f>VLOOKUP(financials[[#This Row],[productid]],Products!$B$2:$H$10,4)</f>
        <v>3.99</v>
      </c>
      <c r="K2790" s="8">
        <f>financials[[#This Row],[Net Sales]]-financials[[#This Row],[COGS]]</f>
        <v>57.61</v>
      </c>
      <c r="L2790" s="15">
        <v>45226</v>
      </c>
      <c r="M2790" t="s">
        <v>697</v>
      </c>
    </row>
    <row r="2791" spans="1:13" x14ac:dyDescent="0.25">
      <c r="A2791" t="s">
        <v>86</v>
      </c>
      <c r="B2791" s="6" t="s">
        <v>124</v>
      </c>
      <c r="C2791" s="13">
        <v>104</v>
      </c>
      <c r="D2791" s="14" t="s">
        <v>92</v>
      </c>
      <c r="E2791">
        <v>6</v>
      </c>
      <c r="F2791" s="8">
        <f>VLOOKUP(financials[[#This Row],[productid]],Products!$B$2:$H$10,3)</f>
        <v>5.9</v>
      </c>
      <c r="G2791" s="8">
        <f>financials[[#This Row],[Units Sold]]*financials[[#This Row],[Sale Price]]</f>
        <v>35.400000000000006</v>
      </c>
      <c r="H2791" s="8">
        <f>IF(financials[[#This Row],[Discount Band]]="low",0.1,IF(financials[[#This Row],[Discount Band]]="medium",0.15,0.3))</f>
        <v>0.3</v>
      </c>
      <c r="I2791" s="8">
        <f>financials[[#This Row],[Gross Sales]]-financials[[#This Row],[Gross Sales]]*financials[[#This Row],[Discounts]]</f>
        <v>24.780000000000005</v>
      </c>
      <c r="J2791" s="8">
        <f>VLOOKUP(financials[[#This Row],[productid]],Products!$B$2:$H$10,4)</f>
        <v>2.9</v>
      </c>
      <c r="K2791" s="8">
        <f>financials[[#This Row],[Net Sales]]-financials[[#This Row],[COGS]]</f>
        <v>21.880000000000006</v>
      </c>
      <c r="L2791" s="15">
        <v>45540</v>
      </c>
      <c r="M2791" t="s">
        <v>697</v>
      </c>
    </row>
    <row r="2792" spans="1:13" x14ac:dyDescent="0.25">
      <c r="A2792" t="s">
        <v>87</v>
      </c>
      <c r="B2792" s="6" t="s">
        <v>232</v>
      </c>
      <c r="C2792" s="13">
        <v>107</v>
      </c>
      <c r="D2792" s="14" t="s">
        <v>83</v>
      </c>
      <c r="E2792">
        <v>5</v>
      </c>
      <c r="F2792" s="8">
        <f>VLOOKUP(financials[[#This Row],[productid]],Products!$B$2:$H$10,3)</f>
        <v>15</v>
      </c>
      <c r="G2792" s="8">
        <f>financials[[#This Row],[Units Sold]]*financials[[#This Row],[Sale Price]]</f>
        <v>75</v>
      </c>
      <c r="H2792" s="8">
        <f>IF(financials[[#This Row],[Discount Band]]="low",0.1,IF(financials[[#This Row],[Discount Band]]="medium",0.15,0.3))</f>
        <v>0.3</v>
      </c>
      <c r="I2792" s="8">
        <f>financials[[#This Row],[Gross Sales]]-financials[[#This Row],[Gross Sales]]*financials[[#This Row],[Discounts]]</f>
        <v>52.5</v>
      </c>
      <c r="J2792" s="8">
        <f>VLOOKUP(financials[[#This Row],[productid]],Products!$B$2:$H$10,4)</f>
        <v>5.5</v>
      </c>
      <c r="K2792" s="8">
        <f>financials[[#This Row],[Net Sales]]-financials[[#This Row],[COGS]]</f>
        <v>47</v>
      </c>
      <c r="L2792" s="15">
        <v>44552</v>
      </c>
      <c r="M2792" t="s">
        <v>690</v>
      </c>
    </row>
    <row r="2793" spans="1:13" x14ac:dyDescent="0.25">
      <c r="A2793" t="s">
        <v>87</v>
      </c>
      <c r="B2793" s="6" t="s">
        <v>205</v>
      </c>
      <c r="C2793" s="13">
        <v>109</v>
      </c>
      <c r="D2793" s="14" t="s">
        <v>91</v>
      </c>
      <c r="E2793">
        <v>5</v>
      </c>
      <c r="F2793" s="8">
        <f>VLOOKUP(financials[[#This Row],[productid]],Products!$B$2:$H$10,3)</f>
        <v>36</v>
      </c>
      <c r="G2793" s="8">
        <f>financials[[#This Row],[Units Sold]]*financials[[#This Row],[Sale Price]]</f>
        <v>180</v>
      </c>
      <c r="H2793" s="8">
        <f>IF(financials[[#This Row],[Discount Band]]="low",0.1,IF(financials[[#This Row],[Discount Band]]="medium",0.15,0.3))</f>
        <v>0.1</v>
      </c>
      <c r="I2793" s="8">
        <f>financials[[#This Row],[Gross Sales]]-financials[[#This Row],[Gross Sales]]*financials[[#This Row],[Discounts]]</f>
        <v>162</v>
      </c>
      <c r="J2793" s="8">
        <f>VLOOKUP(financials[[#This Row],[productid]],Products!$B$2:$H$10,4)</f>
        <v>16.8</v>
      </c>
      <c r="K2793" s="8">
        <f>financials[[#This Row],[Net Sales]]-financials[[#This Row],[COGS]]</f>
        <v>145.19999999999999</v>
      </c>
      <c r="L2793" s="15">
        <v>45128</v>
      </c>
      <c r="M2793" t="s">
        <v>696</v>
      </c>
    </row>
    <row r="2794" spans="1:13" x14ac:dyDescent="0.25">
      <c r="A2794" t="s">
        <v>87</v>
      </c>
      <c r="B2794" s="6" t="s">
        <v>268</v>
      </c>
      <c r="C2794" s="13">
        <v>107</v>
      </c>
      <c r="D2794" s="14" t="s">
        <v>90</v>
      </c>
      <c r="E2794">
        <v>5</v>
      </c>
      <c r="F2794" s="8">
        <f>VLOOKUP(financials[[#This Row],[productid]],Products!$B$2:$H$10,3)</f>
        <v>15</v>
      </c>
      <c r="G2794" s="8">
        <f>financials[[#This Row],[Units Sold]]*financials[[#This Row],[Sale Price]]</f>
        <v>75</v>
      </c>
      <c r="H2794" s="8">
        <f>IF(financials[[#This Row],[Discount Band]]="low",0.1,IF(financials[[#This Row],[Discount Band]]="medium",0.15,0.3))</f>
        <v>0.15</v>
      </c>
      <c r="I2794" s="8">
        <f>financials[[#This Row],[Gross Sales]]-financials[[#This Row],[Gross Sales]]*financials[[#This Row],[Discounts]]</f>
        <v>63.75</v>
      </c>
      <c r="J2794" s="8">
        <f>VLOOKUP(financials[[#This Row],[productid]],Products!$B$2:$H$10,4)</f>
        <v>5.5</v>
      </c>
      <c r="K2794" s="8">
        <f>financials[[#This Row],[Net Sales]]-financials[[#This Row],[COGS]]</f>
        <v>58.25</v>
      </c>
      <c r="L2794" s="15">
        <v>44054</v>
      </c>
      <c r="M2794" t="s">
        <v>700</v>
      </c>
    </row>
    <row r="2795" spans="1:13" x14ac:dyDescent="0.25">
      <c r="A2795" t="s">
        <v>89</v>
      </c>
      <c r="B2795" s="6" t="s">
        <v>159</v>
      </c>
      <c r="C2795" s="13">
        <v>104</v>
      </c>
      <c r="D2795" s="14" t="s">
        <v>91</v>
      </c>
      <c r="E2795">
        <v>9</v>
      </c>
      <c r="F2795" s="8">
        <f>VLOOKUP(financials[[#This Row],[productid]],Products!$B$2:$H$10,3)</f>
        <v>5.9</v>
      </c>
      <c r="G2795" s="8">
        <f>financials[[#This Row],[Units Sold]]*financials[[#This Row],[Sale Price]]</f>
        <v>53.1</v>
      </c>
      <c r="H2795" s="8">
        <f>IF(financials[[#This Row],[Discount Band]]="low",0.1,IF(financials[[#This Row],[Discount Band]]="medium",0.15,0.3))</f>
        <v>0.1</v>
      </c>
      <c r="I2795" s="8">
        <f>financials[[#This Row],[Gross Sales]]-financials[[#This Row],[Gross Sales]]*financials[[#This Row],[Discounts]]</f>
        <v>47.79</v>
      </c>
      <c r="J2795" s="8">
        <f>VLOOKUP(financials[[#This Row],[productid]],Products!$B$2:$H$10,4)</f>
        <v>2.9</v>
      </c>
      <c r="K2795" s="8">
        <f>financials[[#This Row],[Net Sales]]-financials[[#This Row],[COGS]]</f>
        <v>44.89</v>
      </c>
      <c r="L2795" s="15">
        <v>44833</v>
      </c>
      <c r="M2795" t="s">
        <v>700</v>
      </c>
    </row>
    <row r="2796" spans="1:13" x14ac:dyDescent="0.25">
      <c r="A2796" t="s">
        <v>85</v>
      </c>
      <c r="B2796" s="6" t="s">
        <v>124</v>
      </c>
      <c r="C2796" s="13">
        <v>105</v>
      </c>
      <c r="D2796" s="14" t="s">
        <v>83</v>
      </c>
      <c r="E2796">
        <v>10</v>
      </c>
      <c r="F2796" s="8">
        <f>VLOOKUP(financials[[#This Row],[productid]],Products!$B$2:$H$10,3)</f>
        <v>15</v>
      </c>
      <c r="G2796" s="8">
        <f>financials[[#This Row],[Units Sold]]*financials[[#This Row],[Sale Price]]</f>
        <v>150</v>
      </c>
      <c r="H2796" s="8">
        <f>IF(financials[[#This Row],[Discount Band]]="low",0.1,IF(financials[[#This Row],[Discount Band]]="medium",0.15,0.3))</f>
        <v>0.3</v>
      </c>
      <c r="I2796" s="8">
        <f>financials[[#This Row],[Gross Sales]]-financials[[#This Row],[Gross Sales]]*financials[[#This Row],[Discounts]]</f>
        <v>105</v>
      </c>
      <c r="J2796" s="8">
        <f>VLOOKUP(financials[[#This Row],[productid]],Products!$B$2:$H$10,4)</f>
        <v>10</v>
      </c>
      <c r="K2796" s="8">
        <f>financials[[#This Row],[Net Sales]]-financials[[#This Row],[COGS]]</f>
        <v>95</v>
      </c>
      <c r="L2796" s="15">
        <v>44581</v>
      </c>
      <c r="M2796" t="s">
        <v>697</v>
      </c>
    </row>
    <row r="2797" spans="1:13" x14ac:dyDescent="0.25">
      <c r="A2797" t="s">
        <v>86</v>
      </c>
      <c r="B2797" s="6" t="s">
        <v>124</v>
      </c>
      <c r="C2797" s="11">
        <v>108</v>
      </c>
      <c r="D2797" s="9" t="s">
        <v>83</v>
      </c>
      <c r="E2797">
        <v>5</v>
      </c>
      <c r="F2797" s="8">
        <f>VLOOKUP(financials[[#This Row],[productid]],Products!$B$2:$H$10,3)</f>
        <v>5.5</v>
      </c>
      <c r="G2797" s="8">
        <f>financials[[#This Row],[Units Sold]]*financials[[#This Row],[Sale Price]]</f>
        <v>27.5</v>
      </c>
      <c r="H2797" s="8">
        <f>IF(financials[[#This Row],[Discount Band]]="low",0.1,IF(financials[[#This Row],[Discount Band]]="medium",0.15,0.3))</f>
        <v>0.3</v>
      </c>
      <c r="I2797" s="8">
        <f>financials[[#This Row],[Gross Sales]]-financials[[#This Row],[Gross Sales]]*financials[[#This Row],[Discounts]]</f>
        <v>19.25</v>
      </c>
      <c r="J2797" s="8">
        <f>VLOOKUP(financials[[#This Row],[productid]],Products!$B$2:$H$10,4)</f>
        <v>3.99</v>
      </c>
      <c r="K2797" s="8">
        <f>financials[[#This Row],[Net Sales]]-financials[[#This Row],[COGS]]</f>
        <v>15.26</v>
      </c>
      <c r="L2797" s="15">
        <v>44128</v>
      </c>
      <c r="M2797" t="s">
        <v>690</v>
      </c>
    </row>
    <row r="2798" spans="1:13" x14ac:dyDescent="0.25">
      <c r="A2798" t="s">
        <v>87</v>
      </c>
      <c r="B2798" s="6" t="s">
        <v>93</v>
      </c>
      <c r="C2798" s="13">
        <v>107</v>
      </c>
      <c r="D2798" s="14" t="s">
        <v>90</v>
      </c>
      <c r="E2798">
        <v>19</v>
      </c>
      <c r="F2798" s="8">
        <f>VLOOKUP(financials[[#This Row],[productid]],Products!$B$2:$H$10,3)</f>
        <v>15</v>
      </c>
      <c r="G2798" s="8">
        <f>financials[[#This Row],[Units Sold]]*financials[[#This Row],[Sale Price]]</f>
        <v>285</v>
      </c>
      <c r="H2798" s="8">
        <f>IF(financials[[#This Row],[Discount Band]]="low",0.1,IF(financials[[#This Row],[Discount Band]]="medium",0.15,0.3))</f>
        <v>0.15</v>
      </c>
      <c r="I2798" s="8">
        <f>financials[[#This Row],[Gross Sales]]-financials[[#This Row],[Gross Sales]]*financials[[#This Row],[Discounts]]</f>
        <v>242.25</v>
      </c>
      <c r="J2798" s="8">
        <f>VLOOKUP(financials[[#This Row],[productid]],Products!$B$2:$H$10,4)</f>
        <v>5.5</v>
      </c>
      <c r="K2798" s="8">
        <f>financials[[#This Row],[Net Sales]]-financials[[#This Row],[COGS]]</f>
        <v>236.75</v>
      </c>
      <c r="L2798" s="15">
        <v>44438</v>
      </c>
      <c r="M2798" t="s">
        <v>696</v>
      </c>
    </row>
    <row r="2799" spans="1:13" x14ac:dyDescent="0.25">
      <c r="A2799" t="s">
        <v>89</v>
      </c>
      <c r="B2799" s="6" t="s">
        <v>159</v>
      </c>
      <c r="C2799" s="13">
        <v>108</v>
      </c>
      <c r="D2799" s="14" t="s">
        <v>90</v>
      </c>
      <c r="E2799">
        <v>7</v>
      </c>
      <c r="F2799" s="8">
        <f>VLOOKUP(financials[[#This Row],[productid]],Products!$B$2:$H$10,3)</f>
        <v>5.5</v>
      </c>
      <c r="G2799" s="8">
        <f>financials[[#This Row],[Units Sold]]*financials[[#This Row],[Sale Price]]</f>
        <v>38.5</v>
      </c>
      <c r="H2799" s="8">
        <f>IF(financials[[#This Row],[Discount Band]]="low",0.1,IF(financials[[#This Row],[Discount Band]]="medium",0.15,0.3))</f>
        <v>0.15</v>
      </c>
      <c r="I2799" s="8">
        <f>financials[[#This Row],[Gross Sales]]-financials[[#This Row],[Gross Sales]]*financials[[#This Row],[Discounts]]</f>
        <v>32.725000000000001</v>
      </c>
      <c r="J2799" s="8">
        <f>VLOOKUP(financials[[#This Row],[productid]],Products!$B$2:$H$10,4)</f>
        <v>3.99</v>
      </c>
      <c r="K2799" s="8">
        <f>financials[[#This Row],[Net Sales]]-financials[[#This Row],[COGS]]</f>
        <v>28.734999999999999</v>
      </c>
      <c r="L2799" s="15">
        <v>44378</v>
      </c>
      <c r="M2799" t="s">
        <v>690</v>
      </c>
    </row>
    <row r="2800" spans="1:13" x14ac:dyDescent="0.25">
      <c r="A2800" t="s">
        <v>89</v>
      </c>
      <c r="B2800" s="6" t="s">
        <v>124</v>
      </c>
      <c r="C2800" s="13">
        <v>105</v>
      </c>
      <c r="D2800" s="14" t="s">
        <v>83</v>
      </c>
      <c r="E2800">
        <v>18</v>
      </c>
      <c r="F2800" s="8">
        <f>VLOOKUP(financials[[#This Row],[productid]],Products!$B$2:$H$10,3)</f>
        <v>15</v>
      </c>
      <c r="G2800" s="8">
        <f>financials[[#This Row],[Units Sold]]*financials[[#This Row],[Sale Price]]</f>
        <v>270</v>
      </c>
      <c r="H2800" s="8">
        <f>IF(financials[[#This Row],[Discount Band]]="low",0.1,IF(financials[[#This Row],[Discount Band]]="medium",0.15,0.3))</f>
        <v>0.3</v>
      </c>
      <c r="I2800" s="8">
        <f>financials[[#This Row],[Gross Sales]]-financials[[#This Row],[Gross Sales]]*financials[[#This Row],[Discounts]]</f>
        <v>189</v>
      </c>
      <c r="J2800" s="8">
        <f>VLOOKUP(financials[[#This Row],[productid]],Products!$B$2:$H$10,4)</f>
        <v>10</v>
      </c>
      <c r="K2800" s="8">
        <f>financials[[#This Row],[Net Sales]]-financials[[#This Row],[COGS]]</f>
        <v>179</v>
      </c>
      <c r="L2800" s="15">
        <v>45614</v>
      </c>
      <c r="M2800" t="s">
        <v>700</v>
      </c>
    </row>
    <row r="2801" spans="1:13" x14ac:dyDescent="0.25">
      <c r="A2801" t="s">
        <v>87</v>
      </c>
      <c r="B2801" s="6" t="s">
        <v>268</v>
      </c>
      <c r="C2801" s="11">
        <v>109</v>
      </c>
      <c r="D2801" s="9" t="s">
        <v>83</v>
      </c>
      <c r="E2801">
        <v>7</v>
      </c>
      <c r="F2801" s="8">
        <f>VLOOKUP(financials[[#This Row],[productid]],Products!$B$2:$H$10,3)</f>
        <v>36</v>
      </c>
      <c r="G2801" s="8">
        <f>financials[[#This Row],[Units Sold]]*financials[[#This Row],[Sale Price]]</f>
        <v>252</v>
      </c>
      <c r="H2801" s="8">
        <f>IF(financials[[#This Row],[Discount Band]]="low",0.1,IF(financials[[#This Row],[Discount Band]]="medium",0.15,0.3))</f>
        <v>0.3</v>
      </c>
      <c r="I2801" s="8">
        <f>financials[[#This Row],[Gross Sales]]-financials[[#This Row],[Gross Sales]]*financials[[#This Row],[Discounts]]</f>
        <v>176.4</v>
      </c>
      <c r="J2801" s="8">
        <f>VLOOKUP(financials[[#This Row],[productid]],Products!$B$2:$H$10,4)</f>
        <v>16.8</v>
      </c>
      <c r="K2801" s="8">
        <f>financials[[#This Row],[Net Sales]]-financials[[#This Row],[COGS]]</f>
        <v>159.6</v>
      </c>
      <c r="L2801" s="15">
        <v>44859</v>
      </c>
      <c r="M2801" t="s">
        <v>697</v>
      </c>
    </row>
    <row r="2802" spans="1:13" x14ac:dyDescent="0.25">
      <c r="A2802" t="s">
        <v>87</v>
      </c>
      <c r="B2802" s="6" t="s">
        <v>95</v>
      </c>
      <c r="C2802" s="11">
        <v>103</v>
      </c>
      <c r="D2802" s="9" t="s">
        <v>90</v>
      </c>
      <c r="E2802">
        <v>11</v>
      </c>
      <c r="F2802" s="8">
        <f>VLOOKUP(financials[[#This Row],[productid]],Products!$B$2:$H$10,3)</f>
        <v>28</v>
      </c>
      <c r="G2802" s="8">
        <f>financials[[#This Row],[Units Sold]]*financials[[#This Row],[Sale Price]]</f>
        <v>308</v>
      </c>
      <c r="H2802" s="8">
        <f>IF(financials[[#This Row],[Discount Band]]="low",0.1,IF(financials[[#This Row],[Discount Band]]="medium",0.15,0.3))</f>
        <v>0.15</v>
      </c>
      <c r="I2802" s="8">
        <f>financials[[#This Row],[Gross Sales]]-financials[[#This Row],[Gross Sales]]*financials[[#This Row],[Discounts]]</f>
        <v>261.8</v>
      </c>
      <c r="J2802" s="8">
        <f>VLOOKUP(financials[[#This Row],[productid]],Products!$B$2:$H$10,4)</f>
        <v>15</v>
      </c>
      <c r="K2802" s="8">
        <f>financials[[#This Row],[Net Sales]]-financials[[#This Row],[COGS]]</f>
        <v>246.8</v>
      </c>
      <c r="L2802" s="15">
        <v>44526</v>
      </c>
      <c r="M2802" t="s">
        <v>697</v>
      </c>
    </row>
    <row r="2803" spans="1:13" x14ac:dyDescent="0.25">
      <c r="A2803" t="s">
        <v>87</v>
      </c>
      <c r="B2803" s="6" t="s">
        <v>617</v>
      </c>
      <c r="C2803" s="13">
        <v>105</v>
      </c>
      <c r="D2803" s="14" t="s">
        <v>90</v>
      </c>
      <c r="E2803">
        <v>15</v>
      </c>
      <c r="F2803" s="8">
        <f>VLOOKUP(financials[[#This Row],[productid]],Products!$B$2:$H$10,3)</f>
        <v>15</v>
      </c>
      <c r="G2803" s="8">
        <f>financials[[#This Row],[Units Sold]]*financials[[#This Row],[Sale Price]]</f>
        <v>225</v>
      </c>
      <c r="H2803" s="8">
        <f>IF(financials[[#This Row],[Discount Band]]="low",0.1,IF(financials[[#This Row],[Discount Band]]="medium",0.15,0.3))</f>
        <v>0.15</v>
      </c>
      <c r="I2803" s="8">
        <f>financials[[#This Row],[Gross Sales]]-financials[[#This Row],[Gross Sales]]*financials[[#This Row],[Discounts]]</f>
        <v>191.25</v>
      </c>
      <c r="J2803" s="8">
        <f>VLOOKUP(financials[[#This Row],[productid]],Products!$B$2:$H$10,4)</f>
        <v>10</v>
      </c>
      <c r="K2803" s="8">
        <f>financials[[#This Row],[Net Sales]]-financials[[#This Row],[COGS]]</f>
        <v>181.25</v>
      </c>
      <c r="L2803" s="15">
        <v>44504</v>
      </c>
      <c r="M2803" t="s">
        <v>690</v>
      </c>
    </row>
    <row r="2804" spans="1:13" x14ac:dyDescent="0.25">
      <c r="A2804" t="s">
        <v>86</v>
      </c>
      <c r="B2804" s="6" t="s">
        <v>124</v>
      </c>
      <c r="C2804" s="13">
        <v>108</v>
      </c>
      <c r="D2804" s="14" t="s">
        <v>91</v>
      </c>
      <c r="E2804">
        <v>5</v>
      </c>
      <c r="F2804" s="8">
        <f>VLOOKUP(financials[[#This Row],[productid]],Products!$B$2:$H$10,3)</f>
        <v>5.5</v>
      </c>
      <c r="G2804" s="8">
        <f>financials[[#This Row],[Units Sold]]*financials[[#This Row],[Sale Price]]</f>
        <v>27.5</v>
      </c>
      <c r="H2804" s="8">
        <f>IF(financials[[#This Row],[Discount Band]]="low",0.1,IF(financials[[#This Row],[Discount Band]]="medium",0.15,0.3))</f>
        <v>0.1</v>
      </c>
      <c r="I2804" s="8">
        <f>financials[[#This Row],[Gross Sales]]-financials[[#This Row],[Gross Sales]]*financials[[#This Row],[Discounts]]</f>
        <v>24.75</v>
      </c>
      <c r="J2804" s="8">
        <f>VLOOKUP(financials[[#This Row],[productid]],Products!$B$2:$H$10,4)</f>
        <v>3.99</v>
      </c>
      <c r="K2804" s="8">
        <f>financials[[#This Row],[Net Sales]]-financials[[#This Row],[COGS]]</f>
        <v>20.759999999999998</v>
      </c>
      <c r="L2804" s="15">
        <v>44459</v>
      </c>
      <c r="M2804" t="s">
        <v>696</v>
      </c>
    </row>
    <row r="2805" spans="1:13" x14ac:dyDescent="0.25">
      <c r="A2805" t="s">
        <v>86</v>
      </c>
      <c r="B2805" s="6" t="s">
        <v>84</v>
      </c>
      <c r="C2805" s="13">
        <v>101</v>
      </c>
      <c r="D2805" s="14" t="s">
        <v>91</v>
      </c>
      <c r="E2805">
        <v>6</v>
      </c>
      <c r="F2805" s="8">
        <f>VLOOKUP(financials[[#This Row],[productid]],Products!$B$2:$H$10,3)</f>
        <v>23</v>
      </c>
      <c r="G2805" s="8">
        <f>financials[[#This Row],[Units Sold]]*financials[[#This Row],[Sale Price]]</f>
        <v>138</v>
      </c>
      <c r="H2805" s="8">
        <f>IF(financials[[#This Row],[Discount Band]]="low",0.1,IF(financials[[#This Row],[Discount Band]]="medium",0.15,0.3))</f>
        <v>0.1</v>
      </c>
      <c r="I2805" s="8">
        <f>financials[[#This Row],[Gross Sales]]-financials[[#This Row],[Gross Sales]]*financials[[#This Row],[Discounts]]</f>
        <v>124.2</v>
      </c>
      <c r="J2805" s="8">
        <f>VLOOKUP(financials[[#This Row],[productid]],Products!$B$2:$H$10,4)</f>
        <v>9.9499999999999993</v>
      </c>
      <c r="K2805" s="8">
        <f>financials[[#This Row],[Net Sales]]-financials[[#This Row],[COGS]]</f>
        <v>114.25</v>
      </c>
      <c r="L2805" s="15">
        <v>44243</v>
      </c>
      <c r="M2805" t="s">
        <v>696</v>
      </c>
    </row>
    <row r="2806" spans="1:13" x14ac:dyDescent="0.25">
      <c r="A2806" t="s">
        <v>87</v>
      </c>
      <c r="B2806" s="6" t="s">
        <v>95</v>
      </c>
      <c r="C2806" s="13">
        <v>109</v>
      </c>
      <c r="D2806" s="14" t="s">
        <v>83</v>
      </c>
      <c r="E2806">
        <v>14</v>
      </c>
      <c r="F2806" s="8">
        <f>VLOOKUP(financials[[#This Row],[productid]],Products!$B$2:$H$10,3)</f>
        <v>36</v>
      </c>
      <c r="G2806" s="8">
        <f>financials[[#This Row],[Units Sold]]*financials[[#This Row],[Sale Price]]</f>
        <v>504</v>
      </c>
      <c r="H2806" s="8">
        <f>IF(financials[[#This Row],[Discount Band]]="low",0.1,IF(financials[[#This Row],[Discount Band]]="medium",0.15,0.3))</f>
        <v>0.3</v>
      </c>
      <c r="I2806" s="8">
        <f>financials[[#This Row],[Gross Sales]]-financials[[#This Row],[Gross Sales]]*financials[[#This Row],[Discounts]]</f>
        <v>352.8</v>
      </c>
      <c r="J2806" s="8">
        <f>VLOOKUP(financials[[#This Row],[productid]],Products!$B$2:$H$10,4)</f>
        <v>16.8</v>
      </c>
      <c r="K2806" s="8">
        <f>financials[[#This Row],[Net Sales]]-financials[[#This Row],[COGS]]</f>
        <v>336</v>
      </c>
      <c r="L2806" s="15">
        <v>45474</v>
      </c>
      <c r="M2806" t="s">
        <v>697</v>
      </c>
    </row>
    <row r="2807" spans="1:13" x14ac:dyDescent="0.25">
      <c r="A2807" t="s">
        <v>87</v>
      </c>
      <c r="B2807" s="6" t="s">
        <v>228</v>
      </c>
      <c r="C2807" s="13">
        <v>106</v>
      </c>
      <c r="D2807" s="14" t="s">
        <v>91</v>
      </c>
      <c r="E2807">
        <v>13</v>
      </c>
      <c r="F2807" s="8">
        <f>VLOOKUP(financials[[#This Row],[productid]],Products!$B$2:$H$10,3)</f>
        <v>25</v>
      </c>
      <c r="G2807" s="8">
        <f>financials[[#This Row],[Units Sold]]*financials[[#This Row],[Sale Price]]</f>
        <v>325</v>
      </c>
      <c r="H2807" s="8">
        <f>IF(financials[[#This Row],[Discount Band]]="low",0.1,IF(financials[[#This Row],[Discount Band]]="medium",0.15,0.3))</f>
        <v>0.1</v>
      </c>
      <c r="I2807" s="8">
        <f>financials[[#This Row],[Gross Sales]]-financials[[#This Row],[Gross Sales]]*financials[[#This Row],[Discounts]]</f>
        <v>292.5</v>
      </c>
      <c r="J2807" s="8">
        <f>VLOOKUP(financials[[#This Row],[productid]],Products!$B$2:$H$10,4)</f>
        <v>9.1</v>
      </c>
      <c r="K2807" s="8">
        <f>financials[[#This Row],[Net Sales]]-financials[[#This Row],[COGS]]</f>
        <v>283.39999999999998</v>
      </c>
      <c r="L2807" s="15">
        <v>43931</v>
      </c>
      <c r="M2807" t="s">
        <v>700</v>
      </c>
    </row>
    <row r="2808" spans="1:13" x14ac:dyDescent="0.25">
      <c r="A2808" t="s">
        <v>85</v>
      </c>
      <c r="B2808" s="6" t="s">
        <v>159</v>
      </c>
      <c r="C2808" s="13">
        <v>107</v>
      </c>
      <c r="D2808" s="14" t="s">
        <v>91</v>
      </c>
      <c r="E2808">
        <v>14</v>
      </c>
      <c r="F2808" s="8">
        <f>VLOOKUP(financials[[#This Row],[productid]],Products!$B$2:$H$10,3)</f>
        <v>15</v>
      </c>
      <c r="G2808" s="8">
        <f>financials[[#This Row],[Units Sold]]*financials[[#This Row],[Sale Price]]</f>
        <v>210</v>
      </c>
      <c r="H2808" s="8">
        <f>IF(financials[[#This Row],[Discount Band]]="low",0.1,IF(financials[[#This Row],[Discount Band]]="medium",0.15,0.3))</f>
        <v>0.1</v>
      </c>
      <c r="I2808" s="8">
        <f>financials[[#This Row],[Gross Sales]]-financials[[#This Row],[Gross Sales]]*financials[[#This Row],[Discounts]]</f>
        <v>189</v>
      </c>
      <c r="J2808" s="8">
        <f>VLOOKUP(financials[[#This Row],[productid]],Products!$B$2:$H$10,4)</f>
        <v>5.5</v>
      </c>
      <c r="K2808" s="8">
        <f>financials[[#This Row],[Net Sales]]-financials[[#This Row],[COGS]]</f>
        <v>183.5</v>
      </c>
      <c r="L2808" s="15">
        <v>45281</v>
      </c>
      <c r="M2808" t="s">
        <v>690</v>
      </c>
    </row>
    <row r="2809" spans="1:13" x14ac:dyDescent="0.25">
      <c r="A2809" t="s">
        <v>85</v>
      </c>
      <c r="B2809" s="6" t="s">
        <v>124</v>
      </c>
      <c r="C2809" s="13">
        <v>105</v>
      </c>
      <c r="D2809" s="14" t="s">
        <v>90</v>
      </c>
      <c r="E2809">
        <v>13</v>
      </c>
      <c r="F2809" s="8">
        <f>VLOOKUP(financials[[#This Row],[productid]],Products!$B$2:$H$10,3)</f>
        <v>15</v>
      </c>
      <c r="G2809" s="8">
        <f>financials[[#This Row],[Units Sold]]*financials[[#This Row],[Sale Price]]</f>
        <v>195</v>
      </c>
      <c r="H2809" s="8">
        <f>IF(financials[[#This Row],[Discount Band]]="low",0.1,IF(financials[[#This Row],[Discount Band]]="medium",0.15,0.3))</f>
        <v>0.15</v>
      </c>
      <c r="I2809" s="8">
        <f>financials[[#This Row],[Gross Sales]]-financials[[#This Row],[Gross Sales]]*financials[[#This Row],[Discounts]]</f>
        <v>165.75</v>
      </c>
      <c r="J2809" s="8">
        <f>VLOOKUP(financials[[#This Row],[productid]],Products!$B$2:$H$10,4)</f>
        <v>10</v>
      </c>
      <c r="K2809" s="8">
        <f>financials[[#This Row],[Net Sales]]-financials[[#This Row],[COGS]]</f>
        <v>155.75</v>
      </c>
      <c r="L2809" s="15">
        <v>44734</v>
      </c>
      <c r="M2809" t="s">
        <v>696</v>
      </c>
    </row>
    <row r="2810" spans="1:13" x14ac:dyDescent="0.25">
      <c r="A2810" t="s">
        <v>87</v>
      </c>
      <c r="B2810" s="6" t="s">
        <v>228</v>
      </c>
      <c r="C2810" s="11">
        <v>105</v>
      </c>
      <c r="D2810" s="9" t="s">
        <v>91</v>
      </c>
      <c r="E2810">
        <v>11</v>
      </c>
      <c r="F2810" s="8">
        <f>VLOOKUP(financials[[#This Row],[productid]],Products!$B$2:$H$10,3)</f>
        <v>15</v>
      </c>
      <c r="G2810" s="8">
        <f>financials[[#This Row],[Units Sold]]*financials[[#This Row],[Sale Price]]</f>
        <v>165</v>
      </c>
      <c r="H2810" s="8">
        <f>IF(financials[[#This Row],[Discount Band]]="low",0.1,IF(financials[[#This Row],[Discount Band]]="medium",0.15,0.3))</f>
        <v>0.1</v>
      </c>
      <c r="I2810" s="8">
        <f>financials[[#This Row],[Gross Sales]]-financials[[#This Row],[Gross Sales]]*financials[[#This Row],[Discounts]]</f>
        <v>148.5</v>
      </c>
      <c r="J2810" s="8">
        <f>VLOOKUP(financials[[#This Row],[productid]],Products!$B$2:$H$10,4)</f>
        <v>10</v>
      </c>
      <c r="K2810" s="8">
        <f>financials[[#This Row],[Net Sales]]-financials[[#This Row],[COGS]]</f>
        <v>138.5</v>
      </c>
      <c r="L2810" s="15">
        <v>44884</v>
      </c>
      <c r="M2810" t="s">
        <v>691</v>
      </c>
    </row>
    <row r="2811" spans="1:13" x14ac:dyDescent="0.25">
      <c r="A2811" t="s">
        <v>87</v>
      </c>
      <c r="B2811" s="6" t="s">
        <v>232</v>
      </c>
      <c r="C2811" s="13">
        <v>108</v>
      </c>
      <c r="D2811" s="14" t="s">
        <v>92</v>
      </c>
      <c r="E2811">
        <v>12</v>
      </c>
      <c r="F2811" s="8">
        <f>VLOOKUP(financials[[#This Row],[productid]],Products!$B$2:$H$10,3)</f>
        <v>5.5</v>
      </c>
      <c r="G2811" s="8">
        <f>financials[[#This Row],[Units Sold]]*financials[[#This Row],[Sale Price]]</f>
        <v>66</v>
      </c>
      <c r="H2811" s="8">
        <f>IF(financials[[#This Row],[Discount Band]]="low",0.1,IF(financials[[#This Row],[Discount Band]]="medium",0.15,0.3))</f>
        <v>0.3</v>
      </c>
      <c r="I2811" s="8">
        <f>financials[[#This Row],[Gross Sales]]-financials[[#This Row],[Gross Sales]]*financials[[#This Row],[Discounts]]</f>
        <v>46.2</v>
      </c>
      <c r="J2811" s="8">
        <f>VLOOKUP(financials[[#This Row],[productid]],Products!$B$2:$H$10,4)</f>
        <v>3.99</v>
      </c>
      <c r="K2811" s="8">
        <f>financials[[#This Row],[Net Sales]]-financials[[#This Row],[COGS]]</f>
        <v>42.21</v>
      </c>
      <c r="L2811" s="15">
        <v>45415</v>
      </c>
      <c r="M2811" t="s">
        <v>690</v>
      </c>
    </row>
    <row r="2812" spans="1:13" x14ac:dyDescent="0.25">
      <c r="A2812" t="s">
        <v>88</v>
      </c>
      <c r="B2812" s="6" t="s">
        <v>266</v>
      </c>
      <c r="C2812" s="13">
        <v>102</v>
      </c>
      <c r="D2812" s="14" t="s">
        <v>91</v>
      </c>
      <c r="E2812">
        <v>17</v>
      </c>
      <c r="F2812" s="8">
        <f>VLOOKUP(financials[[#This Row],[productid]],Products!$B$2:$H$10,3)</f>
        <v>15</v>
      </c>
      <c r="G2812" s="8">
        <f>financials[[#This Row],[Units Sold]]*financials[[#This Row],[Sale Price]]</f>
        <v>255</v>
      </c>
      <c r="H2812" s="8">
        <f>IF(financials[[#This Row],[Discount Band]]="low",0.1,IF(financials[[#This Row],[Discount Band]]="medium",0.15,0.3))</f>
        <v>0.1</v>
      </c>
      <c r="I2812" s="8">
        <f>financials[[#This Row],[Gross Sales]]-financials[[#This Row],[Gross Sales]]*financials[[#This Row],[Discounts]]</f>
        <v>229.5</v>
      </c>
      <c r="J2812" s="8">
        <f>VLOOKUP(financials[[#This Row],[productid]],Products!$B$2:$H$10,4)</f>
        <v>13.95</v>
      </c>
      <c r="K2812" s="8">
        <f>financials[[#This Row],[Net Sales]]-financials[[#This Row],[COGS]]</f>
        <v>215.55</v>
      </c>
      <c r="L2812" s="15">
        <v>45583</v>
      </c>
      <c r="M2812" t="s">
        <v>690</v>
      </c>
    </row>
    <row r="2813" spans="1:13" x14ac:dyDescent="0.25">
      <c r="A2813" t="s">
        <v>88</v>
      </c>
      <c r="B2813" s="6" t="s">
        <v>93</v>
      </c>
      <c r="C2813" s="13">
        <v>109</v>
      </c>
      <c r="D2813" s="14" t="s">
        <v>83</v>
      </c>
      <c r="E2813">
        <v>16</v>
      </c>
      <c r="F2813" s="8">
        <f>VLOOKUP(financials[[#This Row],[productid]],Products!$B$2:$H$10,3)</f>
        <v>36</v>
      </c>
      <c r="G2813" s="8">
        <f>financials[[#This Row],[Units Sold]]*financials[[#This Row],[Sale Price]]</f>
        <v>576</v>
      </c>
      <c r="H2813" s="8">
        <f>IF(financials[[#This Row],[Discount Band]]="low",0.1,IF(financials[[#This Row],[Discount Band]]="medium",0.15,0.3))</f>
        <v>0.3</v>
      </c>
      <c r="I2813" s="8">
        <f>financials[[#This Row],[Gross Sales]]-financials[[#This Row],[Gross Sales]]*financials[[#This Row],[Discounts]]</f>
        <v>403.20000000000005</v>
      </c>
      <c r="J2813" s="8">
        <f>VLOOKUP(financials[[#This Row],[productid]],Products!$B$2:$H$10,4)</f>
        <v>16.8</v>
      </c>
      <c r="K2813" s="8">
        <f>financials[[#This Row],[Net Sales]]-financials[[#This Row],[COGS]]</f>
        <v>386.40000000000003</v>
      </c>
      <c r="L2813" s="15">
        <v>45094</v>
      </c>
      <c r="M2813" t="s">
        <v>691</v>
      </c>
    </row>
    <row r="2814" spans="1:13" x14ac:dyDescent="0.25">
      <c r="A2814" t="s">
        <v>87</v>
      </c>
      <c r="B2814" s="6" t="s">
        <v>645</v>
      </c>
      <c r="C2814" s="13">
        <v>101</v>
      </c>
      <c r="D2814" s="14" t="s">
        <v>83</v>
      </c>
      <c r="E2814">
        <v>16</v>
      </c>
      <c r="F2814" s="8">
        <f>VLOOKUP(financials[[#This Row],[productid]],Products!$B$2:$H$10,3)</f>
        <v>23</v>
      </c>
      <c r="G2814" s="8">
        <f>financials[[#This Row],[Units Sold]]*financials[[#This Row],[Sale Price]]</f>
        <v>368</v>
      </c>
      <c r="H2814" s="8">
        <f>IF(financials[[#This Row],[Discount Band]]="low",0.1,IF(financials[[#This Row],[Discount Band]]="medium",0.15,0.3))</f>
        <v>0.3</v>
      </c>
      <c r="I2814" s="8">
        <f>financials[[#This Row],[Gross Sales]]-financials[[#This Row],[Gross Sales]]*financials[[#This Row],[Discounts]]</f>
        <v>257.60000000000002</v>
      </c>
      <c r="J2814" s="8">
        <f>VLOOKUP(financials[[#This Row],[productid]],Products!$B$2:$H$10,4)</f>
        <v>9.9499999999999993</v>
      </c>
      <c r="K2814" s="8">
        <f>financials[[#This Row],[Net Sales]]-financials[[#This Row],[COGS]]</f>
        <v>247.65000000000003</v>
      </c>
      <c r="L2814" s="15">
        <v>45103</v>
      </c>
      <c r="M2814" t="s">
        <v>697</v>
      </c>
    </row>
    <row r="2815" spans="1:13" x14ac:dyDescent="0.25">
      <c r="A2815" t="s">
        <v>86</v>
      </c>
      <c r="B2815" s="6" t="s">
        <v>644</v>
      </c>
      <c r="C2815" s="13">
        <v>106</v>
      </c>
      <c r="D2815" s="14" t="s">
        <v>91</v>
      </c>
      <c r="E2815">
        <v>6</v>
      </c>
      <c r="F2815" s="8">
        <f>VLOOKUP(financials[[#This Row],[productid]],Products!$B$2:$H$10,3)</f>
        <v>25</v>
      </c>
      <c r="G2815" s="8">
        <f>financials[[#This Row],[Units Sold]]*financials[[#This Row],[Sale Price]]</f>
        <v>150</v>
      </c>
      <c r="H2815" s="8">
        <f>IF(financials[[#This Row],[Discount Band]]="low",0.1,IF(financials[[#This Row],[Discount Band]]="medium",0.15,0.3))</f>
        <v>0.1</v>
      </c>
      <c r="I2815" s="8">
        <f>financials[[#This Row],[Gross Sales]]-financials[[#This Row],[Gross Sales]]*financials[[#This Row],[Discounts]]</f>
        <v>135</v>
      </c>
      <c r="J2815" s="8">
        <f>VLOOKUP(financials[[#This Row],[productid]],Products!$B$2:$H$10,4)</f>
        <v>9.1</v>
      </c>
      <c r="K2815" s="8">
        <f>financials[[#This Row],[Net Sales]]-financials[[#This Row],[COGS]]</f>
        <v>125.9</v>
      </c>
      <c r="L2815" s="15">
        <v>45278</v>
      </c>
      <c r="M2815" t="s">
        <v>700</v>
      </c>
    </row>
    <row r="2816" spans="1:13" x14ac:dyDescent="0.25">
      <c r="A2816" t="s">
        <v>86</v>
      </c>
      <c r="B2816" s="6" t="s">
        <v>266</v>
      </c>
      <c r="C2816" s="13">
        <v>101</v>
      </c>
      <c r="D2816" s="14" t="s">
        <v>90</v>
      </c>
      <c r="E2816">
        <v>7</v>
      </c>
      <c r="F2816" s="8">
        <f>VLOOKUP(financials[[#This Row],[productid]],Products!$B$2:$H$10,3)</f>
        <v>23</v>
      </c>
      <c r="G2816" s="8">
        <f>financials[[#This Row],[Units Sold]]*financials[[#This Row],[Sale Price]]</f>
        <v>161</v>
      </c>
      <c r="H2816" s="8">
        <f>IF(financials[[#This Row],[Discount Band]]="low",0.1,IF(financials[[#This Row],[Discount Band]]="medium",0.15,0.3))</f>
        <v>0.15</v>
      </c>
      <c r="I2816" s="8">
        <f>financials[[#This Row],[Gross Sales]]-financials[[#This Row],[Gross Sales]]*financials[[#This Row],[Discounts]]</f>
        <v>136.85</v>
      </c>
      <c r="J2816" s="8">
        <f>VLOOKUP(financials[[#This Row],[productid]],Products!$B$2:$H$10,4)</f>
        <v>9.9499999999999993</v>
      </c>
      <c r="K2816" s="8">
        <f>financials[[#This Row],[Net Sales]]-financials[[#This Row],[COGS]]</f>
        <v>126.89999999999999</v>
      </c>
      <c r="L2816" s="15">
        <v>44493</v>
      </c>
      <c r="M2816" t="s">
        <v>697</v>
      </c>
    </row>
    <row r="2817" spans="1:13" x14ac:dyDescent="0.25">
      <c r="A2817" t="s">
        <v>85</v>
      </c>
      <c r="B2817" s="6" t="s">
        <v>124</v>
      </c>
      <c r="C2817" s="13">
        <v>102</v>
      </c>
      <c r="D2817" s="14" t="s">
        <v>83</v>
      </c>
      <c r="E2817">
        <v>9</v>
      </c>
      <c r="F2817" s="8">
        <f>VLOOKUP(financials[[#This Row],[productid]],Products!$B$2:$H$10,3)</f>
        <v>15</v>
      </c>
      <c r="G2817" s="8">
        <f>financials[[#This Row],[Units Sold]]*financials[[#This Row],[Sale Price]]</f>
        <v>135</v>
      </c>
      <c r="H2817" s="8">
        <f>IF(financials[[#This Row],[Discount Band]]="low",0.1,IF(financials[[#This Row],[Discount Band]]="medium",0.15,0.3))</f>
        <v>0.3</v>
      </c>
      <c r="I2817" s="8">
        <f>financials[[#This Row],[Gross Sales]]-financials[[#This Row],[Gross Sales]]*financials[[#This Row],[Discounts]]</f>
        <v>94.5</v>
      </c>
      <c r="J2817" s="8">
        <f>VLOOKUP(financials[[#This Row],[productid]],Products!$B$2:$H$10,4)</f>
        <v>13.95</v>
      </c>
      <c r="K2817" s="8">
        <f>financials[[#This Row],[Net Sales]]-financials[[#This Row],[COGS]]</f>
        <v>80.55</v>
      </c>
      <c r="L2817" s="15">
        <v>44857</v>
      </c>
      <c r="M2817" t="s">
        <v>691</v>
      </c>
    </row>
    <row r="2818" spans="1:13" x14ac:dyDescent="0.25">
      <c r="A2818" t="s">
        <v>87</v>
      </c>
      <c r="B2818" s="6" t="s">
        <v>274</v>
      </c>
      <c r="C2818" s="13">
        <v>107</v>
      </c>
      <c r="D2818" s="14" t="s">
        <v>91</v>
      </c>
      <c r="E2818">
        <v>13</v>
      </c>
      <c r="F2818" s="8">
        <f>VLOOKUP(financials[[#This Row],[productid]],Products!$B$2:$H$10,3)</f>
        <v>15</v>
      </c>
      <c r="G2818" s="8">
        <f>financials[[#This Row],[Units Sold]]*financials[[#This Row],[Sale Price]]</f>
        <v>195</v>
      </c>
      <c r="H2818" s="8">
        <f>IF(financials[[#This Row],[Discount Band]]="low",0.1,IF(financials[[#This Row],[Discount Band]]="medium",0.15,0.3))</f>
        <v>0.1</v>
      </c>
      <c r="I2818" s="8">
        <f>financials[[#This Row],[Gross Sales]]-financials[[#This Row],[Gross Sales]]*financials[[#This Row],[Discounts]]</f>
        <v>175.5</v>
      </c>
      <c r="J2818" s="8">
        <f>VLOOKUP(financials[[#This Row],[productid]],Products!$B$2:$H$10,4)</f>
        <v>5.5</v>
      </c>
      <c r="K2818" s="8">
        <f>financials[[#This Row],[Net Sales]]-financials[[#This Row],[COGS]]</f>
        <v>170</v>
      </c>
      <c r="L2818" s="15">
        <v>44542</v>
      </c>
      <c r="M2818" t="s">
        <v>696</v>
      </c>
    </row>
    <row r="2819" spans="1:13" x14ac:dyDescent="0.25">
      <c r="A2819" t="s">
        <v>86</v>
      </c>
      <c r="B2819" s="6" t="s">
        <v>159</v>
      </c>
      <c r="C2819" s="13">
        <v>107</v>
      </c>
      <c r="D2819" s="14" t="s">
        <v>90</v>
      </c>
      <c r="E2819">
        <v>20</v>
      </c>
      <c r="F2819" s="8">
        <f>VLOOKUP(financials[[#This Row],[productid]],Products!$B$2:$H$10,3)</f>
        <v>15</v>
      </c>
      <c r="G2819" s="8">
        <f>financials[[#This Row],[Units Sold]]*financials[[#This Row],[Sale Price]]</f>
        <v>300</v>
      </c>
      <c r="H2819" s="8">
        <f>IF(financials[[#This Row],[Discount Band]]="low",0.1,IF(financials[[#This Row],[Discount Band]]="medium",0.15,0.3))</f>
        <v>0.15</v>
      </c>
      <c r="I2819" s="8">
        <f>financials[[#This Row],[Gross Sales]]-financials[[#This Row],[Gross Sales]]*financials[[#This Row],[Discounts]]</f>
        <v>255</v>
      </c>
      <c r="J2819" s="8">
        <f>VLOOKUP(financials[[#This Row],[productid]],Products!$B$2:$H$10,4)</f>
        <v>5.5</v>
      </c>
      <c r="K2819" s="8">
        <f>financials[[#This Row],[Net Sales]]-financials[[#This Row],[COGS]]</f>
        <v>249.5</v>
      </c>
      <c r="L2819" s="15">
        <v>44945</v>
      </c>
      <c r="M2819" t="s">
        <v>700</v>
      </c>
    </row>
    <row r="2820" spans="1:13" x14ac:dyDescent="0.25">
      <c r="A2820" t="s">
        <v>86</v>
      </c>
      <c r="B2820" s="6" t="s">
        <v>84</v>
      </c>
      <c r="C2820" s="13">
        <v>107</v>
      </c>
      <c r="D2820" s="14" t="s">
        <v>90</v>
      </c>
      <c r="E2820">
        <v>6</v>
      </c>
      <c r="F2820" s="8">
        <f>VLOOKUP(financials[[#This Row],[productid]],Products!$B$2:$H$10,3)</f>
        <v>15</v>
      </c>
      <c r="G2820" s="8">
        <f>financials[[#This Row],[Units Sold]]*financials[[#This Row],[Sale Price]]</f>
        <v>90</v>
      </c>
      <c r="H2820" s="8">
        <f>IF(financials[[#This Row],[Discount Band]]="low",0.1,IF(financials[[#This Row],[Discount Band]]="medium",0.15,0.3))</f>
        <v>0.15</v>
      </c>
      <c r="I2820" s="8">
        <f>financials[[#This Row],[Gross Sales]]-financials[[#This Row],[Gross Sales]]*financials[[#This Row],[Discounts]]</f>
        <v>76.5</v>
      </c>
      <c r="J2820" s="8">
        <f>VLOOKUP(financials[[#This Row],[productid]],Products!$B$2:$H$10,4)</f>
        <v>5.5</v>
      </c>
      <c r="K2820" s="8">
        <f>financials[[#This Row],[Net Sales]]-financials[[#This Row],[COGS]]</f>
        <v>71</v>
      </c>
      <c r="L2820" s="15">
        <v>43931</v>
      </c>
      <c r="M2820" t="s">
        <v>696</v>
      </c>
    </row>
    <row r="2821" spans="1:13" x14ac:dyDescent="0.25">
      <c r="A2821" t="s">
        <v>87</v>
      </c>
      <c r="B2821" s="6" t="s">
        <v>94</v>
      </c>
      <c r="C2821" s="13">
        <v>108</v>
      </c>
      <c r="D2821" s="14" t="s">
        <v>91</v>
      </c>
      <c r="E2821">
        <v>10</v>
      </c>
      <c r="F2821" s="8">
        <f>VLOOKUP(financials[[#This Row],[productid]],Products!$B$2:$H$10,3)</f>
        <v>5.5</v>
      </c>
      <c r="G2821" s="8">
        <f>financials[[#This Row],[Units Sold]]*financials[[#This Row],[Sale Price]]</f>
        <v>55</v>
      </c>
      <c r="H2821" s="8">
        <f>IF(financials[[#This Row],[Discount Band]]="low",0.1,IF(financials[[#This Row],[Discount Band]]="medium",0.15,0.3))</f>
        <v>0.1</v>
      </c>
      <c r="I2821" s="8">
        <f>financials[[#This Row],[Gross Sales]]-financials[[#This Row],[Gross Sales]]*financials[[#This Row],[Discounts]]</f>
        <v>49.5</v>
      </c>
      <c r="J2821" s="8">
        <f>VLOOKUP(financials[[#This Row],[productid]],Products!$B$2:$H$10,4)</f>
        <v>3.99</v>
      </c>
      <c r="K2821" s="8">
        <f>financials[[#This Row],[Net Sales]]-financials[[#This Row],[COGS]]</f>
        <v>45.51</v>
      </c>
      <c r="L2821" s="15">
        <v>45632</v>
      </c>
      <c r="M2821" t="s">
        <v>700</v>
      </c>
    </row>
    <row r="2822" spans="1:13" x14ac:dyDescent="0.25">
      <c r="A2822" t="s">
        <v>85</v>
      </c>
      <c r="B2822" s="6" t="s">
        <v>159</v>
      </c>
      <c r="C2822" s="13">
        <v>107</v>
      </c>
      <c r="D2822" s="14" t="s">
        <v>90</v>
      </c>
      <c r="E2822">
        <v>18</v>
      </c>
      <c r="F2822" s="8">
        <f>VLOOKUP(financials[[#This Row],[productid]],Products!$B$2:$H$10,3)</f>
        <v>15</v>
      </c>
      <c r="G2822" s="8">
        <f>financials[[#This Row],[Units Sold]]*financials[[#This Row],[Sale Price]]</f>
        <v>270</v>
      </c>
      <c r="H2822" s="8">
        <f>IF(financials[[#This Row],[Discount Band]]="low",0.1,IF(financials[[#This Row],[Discount Band]]="medium",0.15,0.3))</f>
        <v>0.15</v>
      </c>
      <c r="I2822" s="8">
        <f>financials[[#This Row],[Gross Sales]]-financials[[#This Row],[Gross Sales]]*financials[[#This Row],[Discounts]]</f>
        <v>229.5</v>
      </c>
      <c r="J2822" s="8">
        <f>VLOOKUP(financials[[#This Row],[productid]],Products!$B$2:$H$10,4)</f>
        <v>5.5</v>
      </c>
      <c r="K2822" s="8">
        <f>financials[[#This Row],[Net Sales]]-financials[[#This Row],[COGS]]</f>
        <v>224</v>
      </c>
      <c r="L2822" s="15">
        <v>43868</v>
      </c>
      <c r="M2822" t="s">
        <v>691</v>
      </c>
    </row>
    <row r="2823" spans="1:13" x14ac:dyDescent="0.25">
      <c r="A2823" t="s">
        <v>87</v>
      </c>
      <c r="B2823" s="6" t="s">
        <v>228</v>
      </c>
      <c r="C2823" s="13">
        <v>103</v>
      </c>
      <c r="D2823" s="14" t="s">
        <v>91</v>
      </c>
      <c r="E2823">
        <v>13</v>
      </c>
      <c r="F2823" s="8">
        <f>VLOOKUP(financials[[#This Row],[productid]],Products!$B$2:$H$10,3)</f>
        <v>28</v>
      </c>
      <c r="G2823" s="8">
        <f>financials[[#This Row],[Units Sold]]*financials[[#This Row],[Sale Price]]</f>
        <v>364</v>
      </c>
      <c r="H2823" s="8">
        <f>IF(financials[[#This Row],[Discount Band]]="low",0.1,IF(financials[[#This Row],[Discount Band]]="medium",0.15,0.3))</f>
        <v>0.1</v>
      </c>
      <c r="I2823" s="8">
        <f>financials[[#This Row],[Gross Sales]]-financials[[#This Row],[Gross Sales]]*financials[[#This Row],[Discounts]]</f>
        <v>327.60000000000002</v>
      </c>
      <c r="J2823" s="8">
        <f>VLOOKUP(financials[[#This Row],[productid]],Products!$B$2:$H$10,4)</f>
        <v>15</v>
      </c>
      <c r="K2823" s="8">
        <f>financials[[#This Row],[Net Sales]]-financials[[#This Row],[COGS]]</f>
        <v>312.60000000000002</v>
      </c>
      <c r="L2823" s="15">
        <v>44834</v>
      </c>
      <c r="M2823" t="s">
        <v>690</v>
      </c>
    </row>
    <row r="2824" spans="1:13" x14ac:dyDescent="0.25">
      <c r="A2824" t="s">
        <v>87</v>
      </c>
      <c r="B2824" s="6" t="s">
        <v>228</v>
      </c>
      <c r="C2824" s="13">
        <v>102</v>
      </c>
      <c r="D2824" s="14" t="s">
        <v>83</v>
      </c>
      <c r="E2824">
        <v>5</v>
      </c>
      <c r="F2824" s="8">
        <f>VLOOKUP(financials[[#This Row],[productid]],Products!$B$2:$H$10,3)</f>
        <v>15</v>
      </c>
      <c r="G2824" s="8">
        <f>financials[[#This Row],[Units Sold]]*financials[[#This Row],[Sale Price]]</f>
        <v>75</v>
      </c>
      <c r="H2824" s="8">
        <f>IF(financials[[#This Row],[Discount Band]]="low",0.1,IF(financials[[#This Row],[Discount Band]]="medium",0.15,0.3))</f>
        <v>0.3</v>
      </c>
      <c r="I2824" s="8">
        <f>financials[[#This Row],[Gross Sales]]-financials[[#This Row],[Gross Sales]]*financials[[#This Row],[Discounts]]</f>
        <v>52.5</v>
      </c>
      <c r="J2824" s="8">
        <f>VLOOKUP(financials[[#This Row],[productid]],Products!$B$2:$H$10,4)</f>
        <v>13.95</v>
      </c>
      <c r="K2824" s="8">
        <f>financials[[#This Row],[Net Sales]]-financials[[#This Row],[COGS]]</f>
        <v>38.549999999999997</v>
      </c>
      <c r="L2824" s="15">
        <v>44876</v>
      </c>
      <c r="M2824" t="s">
        <v>690</v>
      </c>
    </row>
    <row r="2825" spans="1:13" x14ac:dyDescent="0.25">
      <c r="A2825" t="s">
        <v>85</v>
      </c>
      <c r="B2825" s="6" t="s">
        <v>124</v>
      </c>
      <c r="C2825" s="13">
        <v>103</v>
      </c>
      <c r="D2825" s="14" t="s">
        <v>92</v>
      </c>
      <c r="E2825">
        <v>13</v>
      </c>
      <c r="F2825" s="8">
        <f>VLOOKUP(financials[[#This Row],[productid]],Products!$B$2:$H$10,3)</f>
        <v>28</v>
      </c>
      <c r="G2825" s="8">
        <f>financials[[#This Row],[Units Sold]]*financials[[#This Row],[Sale Price]]</f>
        <v>364</v>
      </c>
      <c r="H2825" s="8">
        <f>IF(financials[[#This Row],[Discount Band]]="low",0.1,IF(financials[[#This Row],[Discount Band]]="medium",0.15,0.3))</f>
        <v>0.3</v>
      </c>
      <c r="I2825" s="8">
        <f>financials[[#This Row],[Gross Sales]]-financials[[#This Row],[Gross Sales]]*financials[[#This Row],[Discounts]]</f>
        <v>254.8</v>
      </c>
      <c r="J2825" s="8">
        <f>VLOOKUP(financials[[#This Row],[productid]],Products!$B$2:$H$10,4)</f>
        <v>15</v>
      </c>
      <c r="K2825" s="8">
        <f>financials[[#This Row],[Net Sales]]-financials[[#This Row],[COGS]]</f>
        <v>239.8</v>
      </c>
      <c r="L2825" s="15">
        <v>44748</v>
      </c>
      <c r="M2825" t="s">
        <v>690</v>
      </c>
    </row>
    <row r="2826" spans="1:13" x14ac:dyDescent="0.25">
      <c r="A2826" t="s">
        <v>86</v>
      </c>
      <c r="B2826" s="6" t="s">
        <v>84</v>
      </c>
      <c r="C2826" s="13">
        <v>101</v>
      </c>
      <c r="D2826" s="14" t="s">
        <v>92</v>
      </c>
      <c r="E2826">
        <v>6</v>
      </c>
      <c r="F2826" s="8">
        <f>VLOOKUP(financials[[#This Row],[productid]],Products!$B$2:$H$10,3)</f>
        <v>23</v>
      </c>
      <c r="G2826" s="8">
        <f>financials[[#This Row],[Units Sold]]*financials[[#This Row],[Sale Price]]</f>
        <v>138</v>
      </c>
      <c r="H2826" s="8">
        <f>IF(financials[[#This Row],[Discount Band]]="low",0.1,IF(financials[[#This Row],[Discount Band]]="medium",0.15,0.3))</f>
        <v>0.3</v>
      </c>
      <c r="I2826" s="8">
        <f>financials[[#This Row],[Gross Sales]]-financials[[#This Row],[Gross Sales]]*financials[[#This Row],[Discounts]]</f>
        <v>96.6</v>
      </c>
      <c r="J2826" s="8">
        <f>VLOOKUP(financials[[#This Row],[productid]],Products!$B$2:$H$10,4)</f>
        <v>9.9499999999999993</v>
      </c>
      <c r="K2826" s="8">
        <f>financials[[#This Row],[Net Sales]]-financials[[#This Row],[COGS]]</f>
        <v>86.649999999999991</v>
      </c>
      <c r="L2826" s="15">
        <v>44467</v>
      </c>
      <c r="M2826" t="s">
        <v>697</v>
      </c>
    </row>
    <row r="2827" spans="1:13" x14ac:dyDescent="0.25">
      <c r="A2827" t="s">
        <v>89</v>
      </c>
      <c r="B2827" s="6" t="s">
        <v>124</v>
      </c>
      <c r="C2827" s="13">
        <v>108</v>
      </c>
      <c r="D2827" s="14" t="s">
        <v>92</v>
      </c>
      <c r="E2827">
        <v>11</v>
      </c>
      <c r="F2827" s="8">
        <f>VLOOKUP(financials[[#This Row],[productid]],Products!$B$2:$H$10,3)</f>
        <v>5.5</v>
      </c>
      <c r="G2827" s="8">
        <f>financials[[#This Row],[Units Sold]]*financials[[#This Row],[Sale Price]]</f>
        <v>60.5</v>
      </c>
      <c r="H2827" s="8">
        <f>IF(financials[[#This Row],[Discount Band]]="low",0.1,IF(financials[[#This Row],[Discount Band]]="medium",0.15,0.3))</f>
        <v>0.3</v>
      </c>
      <c r="I2827" s="8">
        <f>financials[[#This Row],[Gross Sales]]-financials[[#This Row],[Gross Sales]]*financials[[#This Row],[Discounts]]</f>
        <v>42.35</v>
      </c>
      <c r="J2827" s="8">
        <f>VLOOKUP(financials[[#This Row],[productid]],Products!$B$2:$H$10,4)</f>
        <v>3.99</v>
      </c>
      <c r="K2827" s="8">
        <f>financials[[#This Row],[Net Sales]]-financials[[#This Row],[COGS]]</f>
        <v>38.36</v>
      </c>
      <c r="L2827" s="15">
        <v>44436</v>
      </c>
      <c r="M2827" t="s">
        <v>700</v>
      </c>
    </row>
    <row r="2828" spans="1:13" x14ac:dyDescent="0.25">
      <c r="A2828" t="s">
        <v>86</v>
      </c>
      <c r="B2828" s="6" t="s">
        <v>84</v>
      </c>
      <c r="C2828" s="13">
        <v>109</v>
      </c>
      <c r="D2828" s="14" t="s">
        <v>83</v>
      </c>
      <c r="E2828">
        <v>10</v>
      </c>
      <c r="F2828" s="8">
        <f>VLOOKUP(financials[[#This Row],[productid]],Products!$B$2:$H$10,3)</f>
        <v>36</v>
      </c>
      <c r="G2828" s="8">
        <f>financials[[#This Row],[Units Sold]]*financials[[#This Row],[Sale Price]]</f>
        <v>360</v>
      </c>
      <c r="H2828" s="8">
        <f>IF(financials[[#This Row],[Discount Band]]="low",0.1,IF(financials[[#This Row],[Discount Band]]="medium",0.15,0.3))</f>
        <v>0.3</v>
      </c>
      <c r="I2828" s="8">
        <f>financials[[#This Row],[Gross Sales]]-financials[[#This Row],[Gross Sales]]*financials[[#This Row],[Discounts]]</f>
        <v>252</v>
      </c>
      <c r="J2828" s="8">
        <f>VLOOKUP(financials[[#This Row],[productid]],Products!$B$2:$H$10,4)</f>
        <v>16.8</v>
      </c>
      <c r="K2828" s="8">
        <f>financials[[#This Row],[Net Sales]]-financials[[#This Row],[COGS]]</f>
        <v>235.2</v>
      </c>
      <c r="L2828" s="15">
        <v>44266</v>
      </c>
      <c r="M2828" t="s">
        <v>700</v>
      </c>
    </row>
    <row r="2829" spans="1:13" x14ac:dyDescent="0.25">
      <c r="A2829" t="s">
        <v>87</v>
      </c>
      <c r="B2829" s="6" t="s">
        <v>148</v>
      </c>
      <c r="C2829" s="11">
        <v>102</v>
      </c>
      <c r="D2829" s="9" t="s">
        <v>83</v>
      </c>
      <c r="E2829">
        <v>20</v>
      </c>
      <c r="F2829" s="8">
        <f>VLOOKUP(financials[[#This Row],[productid]],Products!$B$2:$H$10,3)</f>
        <v>15</v>
      </c>
      <c r="G2829" s="8">
        <f>financials[[#This Row],[Units Sold]]*financials[[#This Row],[Sale Price]]</f>
        <v>300</v>
      </c>
      <c r="H2829" s="8">
        <f>IF(financials[[#This Row],[Discount Band]]="low",0.1,IF(financials[[#This Row],[Discount Band]]="medium",0.15,0.3))</f>
        <v>0.3</v>
      </c>
      <c r="I2829" s="8">
        <f>financials[[#This Row],[Gross Sales]]-financials[[#This Row],[Gross Sales]]*financials[[#This Row],[Discounts]]</f>
        <v>210</v>
      </c>
      <c r="J2829" s="8">
        <f>VLOOKUP(financials[[#This Row],[productid]],Products!$B$2:$H$10,4)</f>
        <v>13.95</v>
      </c>
      <c r="K2829" s="8">
        <f>financials[[#This Row],[Net Sales]]-financials[[#This Row],[COGS]]</f>
        <v>196.05</v>
      </c>
      <c r="L2829" s="15">
        <v>44773</v>
      </c>
      <c r="M2829" t="s">
        <v>697</v>
      </c>
    </row>
    <row r="2830" spans="1:13" x14ac:dyDescent="0.25">
      <c r="A2830" t="s">
        <v>87</v>
      </c>
      <c r="B2830" s="6" t="s">
        <v>545</v>
      </c>
      <c r="C2830" s="13">
        <v>109</v>
      </c>
      <c r="D2830" s="14" t="s">
        <v>91</v>
      </c>
      <c r="E2830">
        <v>15</v>
      </c>
      <c r="F2830" s="8">
        <f>VLOOKUP(financials[[#This Row],[productid]],Products!$B$2:$H$10,3)</f>
        <v>36</v>
      </c>
      <c r="G2830" s="8">
        <f>financials[[#This Row],[Units Sold]]*financials[[#This Row],[Sale Price]]</f>
        <v>540</v>
      </c>
      <c r="H2830" s="8">
        <f>IF(financials[[#This Row],[Discount Band]]="low",0.1,IF(financials[[#This Row],[Discount Band]]="medium",0.15,0.3))</f>
        <v>0.1</v>
      </c>
      <c r="I2830" s="8">
        <f>financials[[#This Row],[Gross Sales]]-financials[[#This Row],[Gross Sales]]*financials[[#This Row],[Discounts]]</f>
        <v>486</v>
      </c>
      <c r="J2830" s="8">
        <f>VLOOKUP(financials[[#This Row],[productid]],Products!$B$2:$H$10,4)</f>
        <v>16.8</v>
      </c>
      <c r="K2830" s="8">
        <f>financials[[#This Row],[Net Sales]]-financials[[#This Row],[COGS]]</f>
        <v>469.2</v>
      </c>
      <c r="L2830" s="15">
        <v>44203</v>
      </c>
      <c r="M2830" t="s">
        <v>690</v>
      </c>
    </row>
    <row r="2831" spans="1:13" x14ac:dyDescent="0.25">
      <c r="A2831" t="s">
        <v>87</v>
      </c>
      <c r="B2831" s="6" t="s">
        <v>232</v>
      </c>
      <c r="C2831" s="13">
        <v>101</v>
      </c>
      <c r="D2831" s="14" t="s">
        <v>91</v>
      </c>
      <c r="E2831">
        <v>20</v>
      </c>
      <c r="F2831" s="8">
        <f>VLOOKUP(financials[[#This Row],[productid]],Products!$B$2:$H$10,3)</f>
        <v>23</v>
      </c>
      <c r="G2831" s="8">
        <f>financials[[#This Row],[Units Sold]]*financials[[#This Row],[Sale Price]]</f>
        <v>460</v>
      </c>
      <c r="H2831" s="8">
        <f>IF(financials[[#This Row],[Discount Band]]="low",0.1,IF(financials[[#This Row],[Discount Band]]="medium",0.15,0.3))</f>
        <v>0.1</v>
      </c>
      <c r="I2831" s="8">
        <f>financials[[#This Row],[Gross Sales]]-financials[[#This Row],[Gross Sales]]*financials[[#This Row],[Discounts]]</f>
        <v>414</v>
      </c>
      <c r="J2831" s="8">
        <f>VLOOKUP(financials[[#This Row],[productid]],Products!$B$2:$H$10,4)</f>
        <v>9.9499999999999993</v>
      </c>
      <c r="K2831" s="8">
        <f>financials[[#This Row],[Net Sales]]-financials[[#This Row],[COGS]]</f>
        <v>404.05</v>
      </c>
      <c r="L2831" s="15">
        <v>44283</v>
      </c>
      <c r="M2831" t="s">
        <v>691</v>
      </c>
    </row>
    <row r="2832" spans="1:13" x14ac:dyDescent="0.25">
      <c r="A2832" t="s">
        <v>87</v>
      </c>
      <c r="B2832" s="6" t="s">
        <v>167</v>
      </c>
      <c r="C2832" s="13">
        <v>109</v>
      </c>
      <c r="D2832" s="14" t="s">
        <v>90</v>
      </c>
      <c r="E2832">
        <v>8</v>
      </c>
      <c r="F2832" s="8">
        <f>VLOOKUP(financials[[#This Row],[productid]],Products!$B$2:$H$10,3)</f>
        <v>36</v>
      </c>
      <c r="G2832" s="8">
        <f>financials[[#This Row],[Units Sold]]*financials[[#This Row],[Sale Price]]</f>
        <v>288</v>
      </c>
      <c r="H2832" s="8">
        <f>IF(financials[[#This Row],[Discount Band]]="low",0.1,IF(financials[[#This Row],[Discount Band]]="medium",0.15,0.3))</f>
        <v>0.15</v>
      </c>
      <c r="I2832" s="8">
        <f>financials[[#This Row],[Gross Sales]]-financials[[#This Row],[Gross Sales]]*financials[[#This Row],[Discounts]]</f>
        <v>244.8</v>
      </c>
      <c r="J2832" s="8">
        <f>VLOOKUP(financials[[#This Row],[productid]],Products!$B$2:$H$10,4)</f>
        <v>16.8</v>
      </c>
      <c r="K2832" s="8">
        <f>financials[[#This Row],[Net Sales]]-financials[[#This Row],[COGS]]</f>
        <v>228</v>
      </c>
      <c r="L2832" s="15">
        <v>45121</v>
      </c>
      <c r="M2832" t="s">
        <v>696</v>
      </c>
    </row>
    <row r="2833" spans="1:13" x14ac:dyDescent="0.25">
      <c r="A2833" t="s">
        <v>86</v>
      </c>
      <c r="B2833" s="6" t="s">
        <v>159</v>
      </c>
      <c r="C2833" s="13">
        <v>109</v>
      </c>
      <c r="D2833" s="14" t="s">
        <v>91</v>
      </c>
      <c r="E2833">
        <v>7</v>
      </c>
      <c r="F2833" s="8">
        <f>VLOOKUP(financials[[#This Row],[productid]],Products!$B$2:$H$10,3)</f>
        <v>36</v>
      </c>
      <c r="G2833" s="8">
        <f>financials[[#This Row],[Units Sold]]*financials[[#This Row],[Sale Price]]</f>
        <v>252</v>
      </c>
      <c r="H2833" s="8">
        <f>IF(financials[[#This Row],[Discount Band]]="low",0.1,IF(financials[[#This Row],[Discount Band]]="medium",0.15,0.3))</f>
        <v>0.1</v>
      </c>
      <c r="I2833" s="8">
        <f>financials[[#This Row],[Gross Sales]]-financials[[#This Row],[Gross Sales]]*financials[[#This Row],[Discounts]]</f>
        <v>226.8</v>
      </c>
      <c r="J2833" s="8">
        <f>VLOOKUP(financials[[#This Row],[productid]],Products!$B$2:$H$10,4)</f>
        <v>16.8</v>
      </c>
      <c r="K2833" s="8">
        <f>financials[[#This Row],[Net Sales]]-financials[[#This Row],[COGS]]</f>
        <v>210</v>
      </c>
      <c r="L2833" s="15">
        <v>43870</v>
      </c>
      <c r="M2833" t="s">
        <v>700</v>
      </c>
    </row>
    <row r="2834" spans="1:13" x14ac:dyDescent="0.25">
      <c r="A2834" t="s">
        <v>86</v>
      </c>
      <c r="B2834" s="6" t="s">
        <v>159</v>
      </c>
      <c r="C2834" s="13">
        <v>102</v>
      </c>
      <c r="D2834" s="14" t="s">
        <v>91</v>
      </c>
      <c r="E2834">
        <v>15</v>
      </c>
      <c r="F2834" s="8">
        <f>VLOOKUP(financials[[#This Row],[productid]],Products!$B$2:$H$10,3)</f>
        <v>15</v>
      </c>
      <c r="G2834" s="8">
        <f>financials[[#This Row],[Units Sold]]*financials[[#This Row],[Sale Price]]</f>
        <v>225</v>
      </c>
      <c r="H2834" s="8">
        <f>IF(financials[[#This Row],[Discount Band]]="low",0.1,IF(financials[[#This Row],[Discount Band]]="medium",0.15,0.3))</f>
        <v>0.1</v>
      </c>
      <c r="I2834" s="8">
        <f>financials[[#This Row],[Gross Sales]]-financials[[#This Row],[Gross Sales]]*financials[[#This Row],[Discounts]]</f>
        <v>202.5</v>
      </c>
      <c r="J2834" s="8">
        <f>VLOOKUP(financials[[#This Row],[productid]],Products!$B$2:$H$10,4)</f>
        <v>13.95</v>
      </c>
      <c r="K2834" s="8">
        <f>financials[[#This Row],[Net Sales]]-financials[[#This Row],[COGS]]</f>
        <v>188.55</v>
      </c>
      <c r="L2834" s="15">
        <v>45354</v>
      </c>
      <c r="M2834" t="s">
        <v>697</v>
      </c>
    </row>
    <row r="2835" spans="1:13" x14ac:dyDescent="0.25">
      <c r="A2835" t="s">
        <v>86</v>
      </c>
      <c r="B2835" s="6" t="s">
        <v>266</v>
      </c>
      <c r="C2835" s="13">
        <v>106</v>
      </c>
      <c r="D2835" s="14" t="s">
        <v>83</v>
      </c>
      <c r="E2835">
        <v>18</v>
      </c>
      <c r="F2835" s="8">
        <f>VLOOKUP(financials[[#This Row],[productid]],Products!$B$2:$H$10,3)</f>
        <v>25</v>
      </c>
      <c r="G2835" s="8">
        <f>financials[[#This Row],[Units Sold]]*financials[[#This Row],[Sale Price]]</f>
        <v>450</v>
      </c>
      <c r="H2835" s="8">
        <f>IF(financials[[#This Row],[Discount Band]]="low",0.1,IF(financials[[#This Row],[Discount Band]]="medium",0.15,0.3))</f>
        <v>0.3</v>
      </c>
      <c r="I2835" s="8">
        <f>financials[[#This Row],[Gross Sales]]-financials[[#This Row],[Gross Sales]]*financials[[#This Row],[Discounts]]</f>
        <v>315</v>
      </c>
      <c r="J2835" s="8">
        <f>VLOOKUP(financials[[#This Row],[productid]],Products!$B$2:$H$10,4)</f>
        <v>9.1</v>
      </c>
      <c r="K2835" s="8">
        <f>financials[[#This Row],[Net Sales]]-financials[[#This Row],[COGS]]</f>
        <v>305.89999999999998</v>
      </c>
      <c r="L2835" s="15">
        <v>45491</v>
      </c>
      <c r="M2835" t="s">
        <v>700</v>
      </c>
    </row>
    <row r="2836" spans="1:13" x14ac:dyDescent="0.25">
      <c r="A2836" t="s">
        <v>87</v>
      </c>
      <c r="B2836" s="6" t="s">
        <v>268</v>
      </c>
      <c r="C2836" s="11">
        <v>102</v>
      </c>
      <c r="D2836" s="9" t="s">
        <v>90</v>
      </c>
      <c r="E2836">
        <v>5</v>
      </c>
      <c r="F2836" s="8">
        <f>VLOOKUP(financials[[#This Row],[productid]],Products!$B$2:$H$10,3)</f>
        <v>15</v>
      </c>
      <c r="G2836" s="8">
        <f>financials[[#This Row],[Units Sold]]*financials[[#This Row],[Sale Price]]</f>
        <v>75</v>
      </c>
      <c r="H2836" s="8">
        <f>IF(financials[[#This Row],[Discount Band]]="low",0.1,IF(financials[[#This Row],[Discount Band]]="medium",0.15,0.3))</f>
        <v>0.15</v>
      </c>
      <c r="I2836" s="8">
        <f>financials[[#This Row],[Gross Sales]]-financials[[#This Row],[Gross Sales]]*financials[[#This Row],[Discounts]]</f>
        <v>63.75</v>
      </c>
      <c r="J2836" s="8">
        <f>VLOOKUP(financials[[#This Row],[productid]],Products!$B$2:$H$10,4)</f>
        <v>13.95</v>
      </c>
      <c r="K2836" s="8">
        <f>financials[[#This Row],[Net Sales]]-financials[[#This Row],[COGS]]</f>
        <v>49.8</v>
      </c>
      <c r="L2836" s="15">
        <v>44929</v>
      </c>
      <c r="M2836" t="s">
        <v>697</v>
      </c>
    </row>
    <row r="2837" spans="1:13" x14ac:dyDescent="0.25">
      <c r="A2837" t="s">
        <v>87</v>
      </c>
      <c r="B2837" s="6" t="s">
        <v>158</v>
      </c>
      <c r="C2837" s="13">
        <v>102</v>
      </c>
      <c r="D2837" s="14" t="s">
        <v>91</v>
      </c>
      <c r="E2837">
        <v>20</v>
      </c>
      <c r="F2837" s="8">
        <f>VLOOKUP(financials[[#This Row],[productid]],Products!$B$2:$H$10,3)</f>
        <v>15</v>
      </c>
      <c r="G2837" s="8">
        <f>financials[[#This Row],[Units Sold]]*financials[[#This Row],[Sale Price]]</f>
        <v>300</v>
      </c>
      <c r="H2837" s="8">
        <f>IF(financials[[#This Row],[Discount Band]]="low",0.1,IF(financials[[#This Row],[Discount Band]]="medium",0.15,0.3))</f>
        <v>0.1</v>
      </c>
      <c r="I2837" s="8">
        <f>financials[[#This Row],[Gross Sales]]-financials[[#This Row],[Gross Sales]]*financials[[#This Row],[Discounts]]</f>
        <v>270</v>
      </c>
      <c r="J2837" s="8">
        <f>VLOOKUP(financials[[#This Row],[productid]],Products!$B$2:$H$10,4)</f>
        <v>13.95</v>
      </c>
      <c r="K2837" s="8">
        <f>financials[[#This Row],[Net Sales]]-financials[[#This Row],[COGS]]</f>
        <v>256.05</v>
      </c>
      <c r="L2837" s="15">
        <v>44572</v>
      </c>
      <c r="M2837" t="s">
        <v>696</v>
      </c>
    </row>
    <row r="2838" spans="1:13" x14ac:dyDescent="0.25">
      <c r="A2838" t="s">
        <v>89</v>
      </c>
      <c r="B2838" s="6" t="s">
        <v>124</v>
      </c>
      <c r="C2838" s="11">
        <v>107</v>
      </c>
      <c r="D2838" s="9" t="s">
        <v>83</v>
      </c>
      <c r="E2838">
        <v>18</v>
      </c>
      <c r="F2838" s="8">
        <f>VLOOKUP(financials[[#This Row],[productid]],Products!$B$2:$H$10,3)</f>
        <v>15</v>
      </c>
      <c r="G2838" s="8">
        <f>financials[[#This Row],[Units Sold]]*financials[[#This Row],[Sale Price]]</f>
        <v>270</v>
      </c>
      <c r="H2838" s="8">
        <f>IF(financials[[#This Row],[Discount Band]]="low",0.1,IF(financials[[#This Row],[Discount Band]]="medium",0.15,0.3))</f>
        <v>0.3</v>
      </c>
      <c r="I2838" s="8">
        <f>financials[[#This Row],[Gross Sales]]-financials[[#This Row],[Gross Sales]]*financials[[#This Row],[Discounts]]</f>
        <v>189</v>
      </c>
      <c r="J2838" s="8">
        <f>VLOOKUP(financials[[#This Row],[productid]],Products!$B$2:$H$10,4)</f>
        <v>5.5</v>
      </c>
      <c r="K2838" s="8">
        <f>financials[[#This Row],[Net Sales]]-financials[[#This Row],[COGS]]</f>
        <v>183.5</v>
      </c>
      <c r="L2838" s="15">
        <v>45348</v>
      </c>
      <c r="M2838" t="s">
        <v>697</v>
      </c>
    </row>
    <row r="2839" spans="1:13" x14ac:dyDescent="0.25">
      <c r="A2839" t="s">
        <v>86</v>
      </c>
      <c r="B2839" s="6" t="s">
        <v>124</v>
      </c>
      <c r="C2839" s="13">
        <v>105</v>
      </c>
      <c r="D2839" s="14" t="s">
        <v>83</v>
      </c>
      <c r="E2839">
        <v>5</v>
      </c>
      <c r="F2839" s="8">
        <f>VLOOKUP(financials[[#This Row],[productid]],Products!$B$2:$H$10,3)</f>
        <v>15</v>
      </c>
      <c r="G2839" s="8">
        <f>financials[[#This Row],[Units Sold]]*financials[[#This Row],[Sale Price]]</f>
        <v>75</v>
      </c>
      <c r="H2839" s="8">
        <f>IF(financials[[#This Row],[Discount Band]]="low",0.1,IF(financials[[#This Row],[Discount Band]]="medium",0.15,0.3))</f>
        <v>0.3</v>
      </c>
      <c r="I2839" s="8">
        <f>financials[[#This Row],[Gross Sales]]-financials[[#This Row],[Gross Sales]]*financials[[#This Row],[Discounts]]</f>
        <v>52.5</v>
      </c>
      <c r="J2839" s="8">
        <f>VLOOKUP(financials[[#This Row],[productid]],Products!$B$2:$H$10,4)</f>
        <v>10</v>
      </c>
      <c r="K2839" s="8">
        <f>financials[[#This Row],[Net Sales]]-financials[[#This Row],[COGS]]</f>
        <v>42.5</v>
      </c>
      <c r="L2839" s="15">
        <v>44660</v>
      </c>
      <c r="M2839" t="s">
        <v>690</v>
      </c>
    </row>
    <row r="2840" spans="1:13" x14ac:dyDescent="0.25">
      <c r="A2840" t="s">
        <v>86</v>
      </c>
      <c r="B2840" s="6" t="s">
        <v>84</v>
      </c>
      <c r="C2840" s="13">
        <v>105</v>
      </c>
      <c r="D2840" s="14" t="s">
        <v>91</v>
      </c>
      <c r="E2840">
        <v>17</v>
      </c>
      <c r="F2840" s="8">
        <f>VLOOKUP(financials[[#This Row],[productid]],Products!$B$2:$H$10,3)</f>
        <v>15</v>
      </c>
      <c r="G2840" s="8">
        <f>financials[[#This Row],[Units Sold]]*financials[[#This Row],[Sale Price]]</f>
        <v>255</v>
      </c>
      <c r="H2840" s="8">
        <f>IF(financials[[#This Row],[Discount Band]]="low",0.1,IF(financials[[#This Row],[Discount Band]]="medium",0.15,0.3))</f>
        <v>0.1</v>
      </c>
      <c r="I2840" s="8">
        <f>financials[[#This Row],[Gross Sales]]-financials[[#This Row],[Gross Sales]]*financials[[#This Row],[Discounts]]</f>
        <v>229.5</v>
      </c>
      <c r="J2840" s="8">
        <f>VLOOKUP(financials[[#This Row],[productid]],Products!$B$2:$H$10,4)</f>
        <v>10</v>
      </c>
      <c r="K2840" s="8">
        <f>financials[[#This Row],[Net Sales]]-financials[[#This Row],[COGS]]</f>
        <v>219.5</v>
      </c>
      <c r="L2840" s="15">
        <v>43924</v>
      </c>
      <c r="M2840" t="s">
        <v>697</v>
      </c>
    </row>
    <row r="2841" spans="1:13" x14ac:dyDescent="0.25">
      <c r="A2841" t="s">
        <v>87</v>
      </c>
      <c r="B2841" s="6" t="s">
        <v>167</v>
      </c>
      <c r="C2841" s="13">
        <v>101</v>
      </c>
      <c r="D2841" s="14" t="s">
        <v>92</v>
      </c>
      <c r="E2841">
        <v>20</v>
      </c>
      <c r="F2841" s="8">
        <f>VLOOKUP(financials[[#This Row],[productid]],Products!$B$2:$H$10,3)</f>
        <v>23</v>
      </c>
      <c r="G2841" s="8">
        <f>financials[[#This Row],[Units Sold]]*financials[[#This Row],[Sale Price]]</f>
        <v>460</v>
      </c>
      <c r="H2841" s="8">
        <f>IF(financials[[#This Row],[Discount Band]]="low",0.1,IF(financials[[#This Row],[Discount Band]]="medium",0.15,0.3))</f>
        <v>0.3</v>
      </c>
      <c r="I2841" s="8">
        <f>financials[[#This Row],[Gross Sales]]-financials[[#This Row],[Gross Sales]]*financials[[#This Row],[Discounts]]</f>
        <v>322</v>
      </c>
      <c r="J2841" s="8">
        <f>VLOOKUP(financials[[#This Row],[productid]],Products!$B$2:$H$10,4)</f>
        <v>9.9499999999999993</v>
      </c>
      <c r="K2841" s="8">
        <f>financials[[#This Row],[Net Sales]]-financials[[#This Row],[COGS]]</f>
        <v>312.05</v>
      </c>
      <c r="L2841" s="15">
        <v>44563</v>
      </c>
      <c r="M2841" t="s">
        <v>700</v>
      </c>
    </row>
    <row r="2842" spans="1:13" x14ac:dyDescent="0.25">
      <c r="A2842" t="s">
        <v>87</v>
      </c>
      <c r="B2842" s="6" t="s">
        <v>125</v>
      </c>
      <c r="C2842" s="13">
        <v>103</v>
      </c>
      <c r="D2842" s="14" t="s">
        <v>91</v>
      </c>
      <c r="E2842">
        <v>11</v>
      </c>
      <c r="F2842" s="8">
        <f>VLOOKUP(financials[[#This Row],[productid]],Products!$B$2:$H$10,3)</f>
        <v>28</v>
      </c>
      <c r="G2842" s="8">
        <f>financials[[#This Row],[Units Sold]]*financials[[#This Row],[Sale Price]]</f>
        <v>308</v>
      </c>
      <c r="H2842" s="8">
        <f>IF(financials[[#This Row],[Discount Band]]="low",0.1,IF(financials[[#This Row],[Discount Band]]="medium",0.15,0.3))</f>
        <v>0.1</v>
      </c>
      <c r="I2842" s="8">
        <f>financials[[#This Row],[Gross Sales]]-financials[[#This Row],[Gross Sales]]*financials[[#This Row],[Discounts]]</f>
        <v>277.2</v>
      </c>
      <c r="J2842" s="8">
        <f>VLOOKUP(financials[[#This Row],[productid]],Products!$B$2:$H$10,4)</f>
        <v>15</v>
      </c>
      <c r="K2842" s="8">
        <f>financials[[#This Row],[Net Sales]]-financials[[#This Row],[COGS]]</f>
        <v>262.2</v>
      </c>
      <c r="L2842" s="15">
        <v>45050</v>
      </c>
      <c r="M2842" t="s">
        <v>691</v>
      </c>
    </row>
    <row r="2843" spans="1:13" x14ac:dyDescent="0.25">
      <c r="A2843" t="s">
        <v>86</v>
      </c>
      <c r="B2843" s="6" t="s">
        <v>84</v>
      </c>
      <c r="C2843" s="13">
        <v>101</v>
      </c>
      <c r="D2843" s="14" t="s">
        <v>90</v>
      </c>
      <c r="E2843">
        <v>13</v>
      </c>
      <c r="F2843" s="8">
        <f>VLOOKUP(financials[[#This Row],[productid]],Products!$B$2:$H$10,3)</f>
        <v>23</v>
      </c>
      <c r="G2843" s="8">
        <f>financials[[#This Row],[Units Sold]]*financials[[#This Row],[Sale Price]]</f>
        <v>299</v>
      </c>
      <c r="H2843" s="8">
        <f>IF(financials[[#This Row],[Discount Band]]="low",0.1,IF(financials[[#This Row],[Discount Band]]="medium",0.15,0.3))</f>
        <v>0.15</v>
      </c>
      <c r="I2843" s="8">
        <f>financials[[#This Row],[Gross Sales]]-financials[[#This Row],[Gross Sales]]*financials[[#This Row],[Discounts]]</f>
        <v>254.15</v>
      </c>
      <c r="J2843" s="8">
        <f>VLOOKUP(financials[[#This Row],[productid]],Products!$B$2:$H$10,4)</f>
        <v>9.9499999999999993</v>
      </c>
      <c r="K2843" s="8">
        <f>financials[[#This Row],[Net Sales]]-financials[[#This Row],[COGS]]</f>
        <v>244.20000000000002</v>
      </c>
      <c r="L2843" s="15">
        <v>44793</v>
      </c>
      <c r="M2843" t="s">
        <v>690</v>
      </c>
    </row>
    <row r="2844" spans="1:13" x14ac:dyDescent="0.25">
      <c r="A2844" t="s">
        <v>85</v>
      </c>
      <c r="B2844" s="6" t="s">
        <v>159</v>
      </c>
      <c r="C2844" s="13">
        <v>106</v>
      </c>
      <c r="D2844" s="14" t="s">
        <v>83</v>
      </c>
      <c r="E2844">
        <v>11</v>
      </c>
      <c r="F2844" s="8">
        <f>VLOOKUP(financials[[#This Row],[productid]],Products!$B$2:$H$10,3)</f>
        <v>25</v>
      </c>
      <c r="G2844" s="8">
        <f>financials[[#This Row],[Units Sold]]*financials[[#This Row],[Sale Price]]</f>
        <v>275</v>
      </c>
      <c r="H2844" s="8">
        <f>IF(financials[[#This Row],[Discount Band]]="low",0.1,IF(financials[[#This Row],[Discount Band]]="medium",0.15,0.3))</f>
        <v>0.3</v>
      </c>
      <c r="I2844" s="8">
        <f>financials[[#This Row],[Gross Sales]]-financials[[#This Row],[Gross Sales]]*financials[[#This Row],[Discounts]]</f>
        <v>192.5</v>
      </c>
      <c r="J2844" s="8">
        <f>VLOOKUP(financials[[#This Row],[productid]],Products!$B$2:$H$10,4)</f>
        <v>9.1</v>
      </c>
      <c r="K2844" s="8">
        <f>financials[[#This Row],[Net Sales]]-financials[[#This Row],[COGS]]</f>
        <v>183.4</v>
      </c>
      <c r="L2844" s="15">
        <v>44031</v>
      </c>
      <c r="M2844" t="s">
        <v>697</v>
      </c>
    </row>
    <row r="2845" spans="1:13" x14ac:dyDescent="0.25">
      <c r="A2845" t="s">
        <v>86</v>
      </c>
      <c r="B2845" s="6" t="s">
        <v>84</v>
      </c>
      <c r="C2845" s="13">
        <v>108</v>
      </c>
      <c r="D2845" s="14" t="s">
        <v>83</v>
      </c>
      <c r="E2845">
        <v>19</v>
      </c>
      <c r="F2845" s="8">
        <f>VLOOKUP(financials[[#This Row],[productid]],Products!$B$2:$H$10,3)</f>
        <v>5.5</v>
      </c>
      <c r="G2845" s="8">
        <f>financials[[#This Row],[Units Sold]]*financials[[#This Row],[Sale Price]]</f>
        <v>104.5</v>
      </c>
      <c r="H2845" s="8">
        <f>IF(financials[[#This Row],[Discount Band]]="low",0.1,IF(financials[[#This Row],[Discount Band]]="medium",0.15,0.3))</f>
        <v>0.3</v>
      </c>
      <c r="I2845" s="8">
        <f>financials[[#This Row],[Gross Sales]]-financials[[#This Row],[Gross Sales]]*financials[[#This Row],[Discounts]]</f>
        <v>73.150000000000006</v>
      </c>
      <c r="J2845" s="8">
        <f>VLOOKUP(financials[[#This Row],[productid]],Products!$B$2:$H$10,4)</f>
        <v>3.99</v>
      </c>
      <c r="K2845" s="8">
        <f>financials[[#This Row],[Net Sales]]-financials[[#This Row],[COGS]]</f>
        <v>69.160000000000011</v>
      </c>
      <c r="L2845" s="15">
        <v>45006</v>
      </c>
      <c r="M2845" t="s">
        <v>696</v>
      </c>
    </row>
    <row r="2846" spans="1:13" x14ac:dyDescent="0.25">
      <c r="A2846" t="s">
        <v>85</v>
      </c>
      <c r="B2846" s="6" t="s">
        <v>124</v>
      </c>
      <c r="C2846" s="13">
        <v>103</v>
      </c>
      <c r="D2846" s="14" t="s">
        <v>92</v>
      </c>
      <c r="E2846">
        <v>13</v>
      </c>
      <c r="F2846" s="8">
        <f>VLOOKUP(financials[[#This Row],[productid]],Products!$B$2:$H$10,3)</f>
        <v>28</v>
      </c>
      <c r="G2846" s="8">
        <f>financials[[#This Row],[Units Sold]]*financials[[#This Row],[Sale Price]]</f>
        <v>364</v>
      </c>
      <c r="H2846" s="8">
        <f>IF(financials[[#This Row],[Discount Band]]="low",0.1,IF(financials[[#This Row],[Discount Band]]="medium",0.15,0.3))</f>
        <v>0.3</v>
      </c>
      <c r="I2846" s="8">
        <f>financials[[#This Row],[Gross Sales]]-financials[[#This Row],[Gross Sales]]*financials[[#This Row],[Discounts]]</f>
        <v>254.8</v>
      </c>
      <c r="J2846" s="8">
        <f>VLOOKUP(financials[[#This Row],[productid]],Products!$B$2:$H$10,4)</f>
        <v>15</v>
      </c>
      <c r="K2846" s="8">
        <f>financials[[#This Row],[Net Sales]]-financials[[#This Row],[COGS]]</f>
        <v>239.8</v>
      </c>
      <c r="L2846" s="15">
        <v>44012</v>
      </c>
      <c r="M2846" t="s">
        <v>697</v>
      </c>
    </row>
    <row r="2847" spans="1:13" x14ac:dyDescent="0.25">
      <c r="A2847" t="s">
        <v>85</v>
      </c>
      <c r="B2847" s="6" t="s">
        <v>159</v>
      </c>
      <c r="C2847" s="13">
        <v>104</v>
      </c>
      <c r="D2847" s="14" t="s">
        <v>90</v>
      </c>
      <c r="E2847">
        <v>14</v>
      </c>
      <c r="F2847" s="8">
        <f>VLOOKUP(financials[[#This Row],[productid]],Products!$B$2:$H$10,3)</f>
        <v>5.9</v>
      </c>
      <c r="G2847" s="8">
        <f>financials[[#This Row],[Units Sold]]*financials[[#This Row],[Sale Price]]</f>
        <v>82.600000000000009</v>
      </c>
      <c r="H2847" s="8">
        <f>IF(financials[[#This Row],[Discount Band]]="low",0.1,IF(financials[[#This Row],[Discount Band]]="medium",0.15,0.3))</f>
        <v>0.15</v>
      </c>
      <c r="I2847" s="8">
        <f>financials[[#This Row],[Gross Sales]]-financials[[#This Row],[Gross Sales]]*financials[[#This Row],[Discounts]]</f>
        <v>70.210000000000008</v>
      </c>
      <c r="J2847" s="8">
        <f>VLOOKUP(financials[[#This Row],[productid]],Products!$B$2:$H$10,4)</f>
        <v>2.9</v>
      </c>
      <c r="K2847" s="8">
        <f>financials[[#This Row],[Net Sales]]-financials[[#This Row],[COGS]]</f>
        <v>67.31</v>
      </c>
      <c r="L2847" s="15">
        <v>43960</v>
      </c>
      <c r="M2847" t="s">
        <v>690</v>
      </c>
    </row>
    <row r="2848" spans="1:13" x14ac:dyDescent="0.25">
      <c r="A2848" t="s">
        <v>87</v>
      </c>
      <c r="B2848" s="6" t="s">
        <v>96</v>
      </c>
      <c r="C2848" s="13">
        <v>103</v>
      </c>
      <c r="D2848" s="14" t="s">
        <v>90</v>
      </c>
      <c r="E2848">
        <v>7</v>
      </c>
      <c r="F2848" s="8">
        <f>VLOOKUP(financials[[#This Row],[productid]],Products!$B$2:$H$10,3)</f>
        <v>28</v>
      </c>
      <c r="G2848" s="8">
        <f>financials[[#This Row],[Units Sold]]*financials[[#This Row],[Sale Price]]</f>
        <v>196</v>
      </c>
      <c r="H2848" s="8">
        <f>IF(financials[[#This Row],[Discount Band]]="low",0.1,IF(financials[[#This Row],[Discount Band]]="medium",0.15,0.3))</f>
        <v>0.15</v>
      </c>
      <c r="I2848" s="8">
        <f>financials[[#This Row],[Gross Sales]]-financials[[#This Row],[Gross Sales]]*financials[[#This Row],[Discounts]]</f>
        <v>166.6</v>
      </c>
      <c r="J2848" s="8">
        <f>VLOOKUP(financials[[#This Row],[productid]],Products!$B$2:$H$10,4)</f>
        <v>15</v>
      </c>
      <c r="K2848" s="8">
        <f>financials[[#This Row],[Net Sales]]-financials[[#This Row],[COGS]]</f>
        <v>151.6</v>
      </c>
      <c r="L2848" s="15">
        <v>45565</v>
      </c>
      <c r="M2848" t="s">
        <v>691</v>
      </c>
    </row>
    <row r="2849" spans="1:13" x14ac:dyDescent="0.25">
      <c r="A2849" t="s">
        <v>87</v>
      </c>
      <c r="B2849" s="6" t="s">
        <v>158</v>
      </c>
      <c r="C2849" s="13">
        <v>106</v>
      </c>
      <c r="D2849" s="14" t="s">
        <v>83</v>
      </c>
      <c r="E2849">
        <v>10</v>
      </c>
      <c r="F2849" s="8">
        <f>VLOOKUP(financials[[#This Row],[productid]],Products!$B$2:$H$10,3)</f>
        <v>25</v>
      </c>
      <c r="G2849" s="8">
        <f>financials[[#This Row],[Units Sold]]*financials[[#This Row],[Sale Price]]</f>
        <v>250</v>
      </c>
      <c r="H2849" s="8">
        <f>IF(financials[[#This Row],[Discount Band]]="low",0.1,IF(financials[[#This Row],[Discount Band]]="medium",0.15,0.3))</f>
        <v>0.3</v>
      </c>
      <c r="I2849" s="8">
        <f>financials[[#This Row],[Gross Sales]]-financials[[#This Row],[Gross Sales]]*financials[[#This Row],[Discounts]]</f>
        <v>175</v>
      </c>
      <c r="J2849" s="8">
        <f>VLOOKUP(financials[[#This Row],[productid]],Products!$B$2:$H$10,4)</f>
        <v>9.1</v>
      </c>
      <c r="K2849" s="8">
        <f>financials[[#This Row],[Net Sales]]-financials[[#This Row],[COGS]]</f>
        <v>165.9</v>
      </c>
      <c r="L2849" s="15">
        <v>44889</v>
      </c>
      <c r="M2849" t="s">
        <v>691</v>
      </c>
    </row>
    <row r="2850" spans="1:13" x14ac:dyDescent="0.25">
      <c r="A2850" t="s">
        <v>87</v>
      </c>
      <c r="B2850" s="6" t="s">
        <v>197</v>
      </c>
      <c r="C2850" s="13">
        <v>104</v>
      </c>
      <c r="D2850" s="14" t="s">
        <v>92</v>
      </c>
      <c r="E2850">
        <v>15</v>
      </c>
      <c r="F2850" s="8">
        <f>VLOOKUP(financials[[#This Row],[productid]],Products!$B$2:$H$10,3)</f>
        <v>5.9</v>
      </c>
      <c r="G2850" s="8">
        <f>financials[[#This Row],[Units Sold]]*financials[[#This Row],[Sale Price]]</f>
        <v>88.5</v>
      </c>
      <c r="H2850" s="8">
        <f>IF(financials[[#This Row],[Discount Band]]="low",0.1,IF(financials[[#This Row],[Discount Band]]="medium",0.15,0.3))</f>
        <v>0.3</v>
      </c>
      <c r="I2850" s="8">
        <f>financials[[#This Row],[Gross Sales]]-financials[[#This Row],[Gross Sales]]*financials[[#This Row],[Discounts]]</f>
        <v>61.95</v>
      </c>
      <c r="J2850" s="8">
        <f>VLOOKUP(financials[[#This Row],[productid]],Products!$B$2:$H$10,4)</f>
        <v>2.9</v>
      </c>
      <c r="K2850" s="8">
        <f>financials[[#This Row],[Net Sales]]-financials[[#This Row],[COGS]]</f>
        <v>59.050000000000004</v>
      </c>
      <c r="L2850" s="15">
        <v>45433</v>
      </c>
      <c r="M2850" t="s">
        <v>697</v>
      </c>
    </row>
    <row r="2851" spans="1:13" x14ac:dyDescent="0.25">
      <c r="A2851" t="s">
        <v>87</v>
      </c>
      <c r="B2851" s="6" t="s">
        <v>268</v>
      </c>
      <c r="C2851" s="13">
        <v>105</v>
      </c>
      <c r="D2851" s="14" t="s">
        <v>83</v>
      </c>
      <c r="E2851">
        <v>11</v>
      </c>
      <c r="F2851" s="8">
        <f>VLOOKUP(financials[[#This Row],[productid]],Products!$B$2:$H$10,3)</f>
        <v>15</v>
      </c>
      <c r="G2851" s="8">
        <f>financials[[#This Row],[Units Sold]]*financials[[#This Row],[Sale Price]]</f>
        <v>165</v>
      </c>
      <c r="H2851" s="8">
        <f>IF(financials[[#This Row],[Discount Band]]="low",0.1,IF(financials[[#This Row],[Discount Band]]="medium",0.15,0.3))</f>
        <v>0.3</v>
      </c>
      <c r="I2851" s="8">
        <f>financials[[#This Row],[Gross Sales]]-financials[[#This Row],[Gross Sales]]*financials[[#This Row],[Discounts]]</f>
        <v>115.5</v>
      </c>
      <c r="J2851" s="8">
        <f>VLOOKUP(financials[[#This Row],[productid]],Products!$B$2:$H$10,4)</f>
        <v>10</v>
      </c>
      <c r="K2851" s="8">
        <f>financials[[#This Row],[Net Sales]]-financials[[#This Row],[COGS]]</f>
        <v>105.5</v>
      </c>
      <c r="L2851" s="15">
        <v>44303</v>
      </c>
      <c r="M2851" t="s">
        <v>697</v>
      </c>
    </row>
    <row r="2852" spans="1:13" x14ac:dyDescent="0.25">
      <c r="A2852" t="s">
        <v>88</v>
      </c>
      <c r="B2852" s="6" t="s">
        <v>93</v>
      </c>
      <c r="C2852" s="13">
        <v>101</v>
      </c>
      <c r="D2852" s="14" t="s">
        <v>90</v>
      </c>
      <c r="E2852">
        <v>13</v>
      </c>
      <c r="F2852" s="8">
        <f>VLOOKUP(financials[[#This Row],[productid]],Products!$B$2:$H$10,3)</f>
        <v>23</v>
      </c>
      <c r="G2852" s="8">
        <f>financials[[#This Row],[Units Sold]]*financials[[#This Row],[Sale Price]]</f>
        <v>299</v>
      </c>
      <c r="H2852" s="8">
        <f>IF(financials[[#This Row],[Discount Band]]="low",0.1,IF(financials[[#This Row],[Discount Band]]="medium",0.15,0.3))</f>
        <v>0.15</v>
      </c>
      <c r="I2852" s="8">
        <f>financials[[#This Row],[Gross Sales]]-financials[[#This Row],[Gross Sales]]*financials[[#This Row],[Discounts]]</f>
        <v>254.15</v>
      </c>
      <c r="J2852" s="8">
        <f>VLOOKUP(financials[[#This Row],[productid]],Products!$B$2:$H$10,4)</f>
        <v>9.9499999999999993</v>
      </c>
      <c r="K2852" s="8">
        <f>financials[[#This Row],[Net Sales]]-financials[[#This Row],[COGS]]</f>
        <v>244.20000000000002</v>
      </c>
      <c r="L2852" s="15">
        <v>44254</v>
      </c>
      <c r="M2852" t="s">
        <v>690</v>
      </c>
    </row>
    <row r="2853" spans="1:13" x14ac:dyDescent="0.25">
      <c r="A2853" t="s">
        <v>87</v>
      </c>
      <c r="B2853" s="6" t="s">
        <v>95</v>
      </c>
      <c r="C2853" s="13">
        <v>103</v>
      </c>
      <c r="D2853" s="14" t="s">
        <v>92</v>
      </c>
      <c r="E2853">
        <v>10</v>
      </c>
      <c r="F2853" s="8">
        <f>VLOOKUP(financials[[#This Row],[productid]],Products!$B$2:$H$10,3)</f>
        <v>28</v>
      </c>
      <c r="G2853" s="8">
        <f>financials[[#This Row],[Units Sold]]*financials[[#This Row],[Sale Price]]</f>
        <v>280</v>
      </c>
      <c r="H2853" s="8">
        <f>IF(financials[[#This Row],[Discount Band]]="low",0.1,IF(financials[[#This Row],[Discount Band]]="medium",0.15,0.3))</f>
        <v>0.3</v>
      </c>
      <c r="I2853" s="8">
        <f>financials[[#This Row],[Gross Sales]]-financials[[#This Row],[Gross Sales]]*financials[[#This Row],[Discounts]]</f>
        <v>196</v>
      </c>
      <c r="J2853" s="8">
        <f>VLOOKUP(financials[[#This Row],[productid]],Products!$B$2:$H$10,4)</f>
        <v>15</v>
      </c>
      <c r="K2853" s="8">
        <f>financials[[#This Row],[Net Sales]]-financials[[#This Row],[COGS]]</f>
        <v>181</v>
      </c>
      <c r="L2853" s="15">
        <v>45513</v>
      </c>
      <c r="M2853" t="s">
        <v>697</v>
      </c>
    </row>
    <row r="2854" spans="1:13" x14ac:dyDescent="0.25">
      <c r="A2854" t="s">
        <v>86</v>
      </c>
      <c r="B2854" s="6" t="s">
        <v>84</v>
      </c>
      <c r="C2854" s="13">
        <v>106</v>
      </c>
      <c r="D2854" s="14" t="s">
        <v>90</v>
      </c>
      <c r="E2854">
        <v>11</v>
      </c>
      <c r="F2854" s="8">
        <f>VLOOKUP(financials[[#This Row],[productid]],Products!$B$2:$H$10,3)</f>
        <v>25</v>
      </c>
      <c r="G2854" s="8">
        <f>financials[[#This Row],[Units Sold]]*financials[[#This Row],[Sale Price]]</f>
        <v>275</v>
      </c>
      <c r="H2854" s="8">
        <f>IF(financials[[#This Row],[Discount Band]]="low",0.1,IF(financials[[#This Row],[Discount Band]]="medium",0.15,0.3))</f>
        <v>0.15</v>
      </c>
      <c r="I2854" s="8">
        <f>financials[[#This Row],[Gross Sales]]-financials[[#This Row],[Gross Sales]]*financials[[#This Row],[Discounts]]</f>
        <v>233.75</v>
      </c>
      <c r="J2854" s="8">
        <f>VLOOKUP(financials[[#This Row],[productid]],Products!$B$2:$H$10,4)</f>
        <v>9.1</v>
      </c>
      <c r="K2854" s="8">
        <f>financials[[#This Row],[Net Sales]]-financials[[#This Row],[COGS]]</f>
        <v>224.65</v>
      </c>
      <c r="L2854" s="15">
        <v>45403</v>
      </c>
      <c r="M2854" t="s">
        <v>690</v>
      </c>
    </row>
    <row r="2855" spans="1:13" x14ac:dyDescent="0.25">
      <c r="A2855" t="s">
        <v>86</v>
      </c>
      <c r="B2855" s="6" t="s">
        <v>644</v>
      </c>
      <c r="C2855" s="11">
        <v>104</v>
      </c>
      <c r="D2855" s="9" t="s">
        <v>83</v>
      </c>
      <c r="E2855">
        <v>8</v>
      </c>
      <c r="F2855" s="8">
        <f>VLOOKUP(financials[[#This Row],[productid]],Products!$B$2:$H$10,3)</f>
        <v>5.9</v>
      </c>
      <c r="G2855" s="8">
        <f>financials[[#This Row],[Units Sold]]*financials[[#This Row],[Sale Price]]</f>
        <v>47.2</v>
      </c>
      <c r="H2855" s="8">
        <f>IF(financials[[#This Row],[Discount Band]]="low",0.1,IF(financials[[#This Row],[Discount Band]]="medium",0.15,0.3))</f>
        <v>0.3</v>
      </c>
      <c r="I2855" s="8">
        <f>financials[[#This Row],[Gross Sales]]-financials[[#This Row],[Gross Sales]]*financials[[#This Row],[Discounts]]</f>
        <v>33.040000000000006</v>
      </c>
      <c r="J2855" s="8">
        <f>VLOOKUP(financials[[#This Row],[productid]],Products!$B$2:$H$10,4)</f>
        <v>2.9</v>
      </c>
      <c r="K2855" s="8">
        <f>financials[[#This Row],[Net Sales]]-financials[[#This Row],[COGS]]</f>
        <v>30.140000000000008</v>
      </c>
      <c r="L2855" s="15">
        <v>44603</v>
      </c>
      <c r="M2855" t="s">
        <v>700</v>
      </c>
    </row>
    <row r="2856" spans="1:13" x14ac:dyDescent="0.25">
      <c r="A2856" t="s">
        <v>88</v>
      </c>
      <c r="B2856" s="6" t="s">
        <v>93</v>
      </c>
      <c r="C2856" s="13">
        <v>101</v>
      </c>
      <c r="D2856" s="14" t="s">
        <v>90</v>
      </c>
      <c r="E2856">
        <v>15</v>
      </c>
      <c r="F2856" s="8">
        <f>VLOOKUP(financials[[#This Row],[productid]],Products!$B$2:$H$10,3)</f>
        <v>23</v>
      </c>
      <c r="G2856" s="8">
        <f>financials[[#This Row],[Units Sold]]*financials[[#This Row],[Sale Price]]</f>
        <v>345</v>
      </c>
      <c r="H2856" s="8">
        <f>IF(financials[[#This Row],[Discount Band]]="low",0.1,IF(financials[[#This Row],[Discount Band]]="medium",0.15,0.3))</f>
        <v>0.15</v>
      </c>
      <c r="I2856" s="8">
        <f>financials[[#This Row],[Gross Sales]]-financials[[#This Row],[Gross Sales]]*financials[[#This Row],[Discounts]]</f>
        <v>293.25</v>
      </c>
      <c r="J2856" s="8">
        <f>VLOOKUP(financials[[#This Row],[productid]],Products!$B$2:$H$10,4)</f>
        <v>9.9499999999999993</v>
      </c>
      <c r="K2856" s="8">
        <f>financials[[#This Row],[Net Sales]]-financials[[#This Row],[COGS]]</f>
        <v>283.3</v>
      </c>
      <c r="L2856" s="15">
        <v>44884</v>
      </c>
      <c r="M2856" t="s">
        <v>700</v>
      </c>
    </row>
    <row r="2857" spans="1:13" x14ac:dyDescent="0.25">
      <c r="A2857" t="s">
        <v>86</v>
      </c>
      <c r="B2857" s="6" t="s">
        <v>124</v>
      </c>
      <c r="C2857" s="13">
        <v>105</v>
      </c>
      <c r="D2857" s="14" t="s">
        <v>83</v>
      </c>
      <c r="E2857">
        <v>5</v>
      </c>
      <c r="F2857" s="8">
        <f>VLOOKUP(financials[[#This Row],[productid]],Products!$B$2:$H$10,3)</f>
        <v>15</v>
      </c>
      <c r="G2857" s="8">
        <f>financials[[#This Row],[Units Sold]]*financials[[#This Row],[Sale Price]]</f>
        <v>75</v>
      </c>
      <c r="H2857" s="8">
        <f>IF(financials[[#This Row],[Discount Band]]="low",0.1,IF(financials[[#This Row],[Discount Band]]="medium",0.15,0.3))</f>
        <v>0.3</v>
      </c>
      <c r="I2857" s="8">
        <f>financials[[#This Row],[Gross Sales]]-financials[[#This Row],[Gross Sales]]*financials[[#This Row],[Discounts]]</f>
        <v>52.5</v>
      </c>
      <c r="J2857" s="8">
        <f>VLOOKUP(financials[[#This Row],[productid]],Products!$B$2:$H$10,4)</f>
        <v>10</v>
      </c>
      <c r="K2857" s="8">
        <f>financials[[#This Row],[Net Sales]]-financials[[#This Row],[COGS]]</f>
        <v>42.5</v>
      </c>
      <c r="L2857" s="15">
        <v>44288</v>
      </c>
      <c r="M2857" t="s">
        <v>690</v>
      </c>
    </row>
    <row r="2858" spans="1:13" x14ac:dyDescent="0.25">
      <c r="A2858" t="s">
        <v>89</v>
      </c>
      <c r="B2858" s="6" t="s">
        <v>124</v>
      </c>
      <c r="C2858" s="13">
        <v>109</v>
      </c>
      <c r="D2858" s="14" t="s">
        <v>83</v>
      </c>
      <c r="E2858">
        <v>13</v>
      </c>
      <c r="F2858" s="8">
        <f>VLOOKUP(financials[[#This Row],[productid]],Products!$B$2:$H$10,3)</f>
        <v>36</v>
      </c>
      <c r="G2858" s="8">
        <f>financials[[#This Row],[Units Sold]]*financials[[#This Row],[Sale Price]]</f>
        <v>468</v>
      </c>
      <c r="H2858" s="8">
        <f>IF(financials[[#This Row],[Discount Band]]="low",0.1,IF(financials[[#This Row],[Discount Band]]="medium",0.15,0.3))</f>
        <v>0.3</v>
      </c>
      <c r="I2858" s="8">
        <f>financials[[#This Row],[Gross Sales]]-financials[[#This Row],[Gross Sales]]*financials[[#This Row],[Discounts]]</f>
        <v>327.60000000000002</v>
      </c>
      <c r="J2858" s="8">
        <f>VLOOKUP(financials[[#This Row],[productid]],Products!$B$2:$H$10,4)</f>
        <v>16.8</v>
      </c>
      <c r="K2858" s="8">
        <f>financials[[#This Row],[Net Sales]]-financials[[#This Row],[COGS]]</f>
        <v>310.8</v>
      </c>
      <c r="L2858" s="15">
        <v>44056</v>
      </c>
      <c r="M2858" t="s">
        <v>696</v>
      </c>
    </row>
    <row r="2859" spans="1:13" x14ac:dyDescent="0.25">
      <c r="A2859" t="s">
        <v>89</v>
      </c>
      <c r="B2859" s="6" t="s">
        <v>159</v>
      </c>
      <c r="C2859" s="11">
        <v>102</v>
      </c>
      <c r="D2859" s="9" t="s">
        <v>91</v>
      </c>
      <c r="E2859">
        <v>6</v>
      </c>
      <c r="F2859" s="8">
        <f>VLOOKUP(financials[[#This Row],[productid]],Products!$B$2:$H$10,3)</f>
        <v>15</v>
      </c>
      <c r="G2859" s="8">
        <f>financials[[#This Row],[Units Sold]]*financials[[#This Row],[Sale Price]]</f>
        <v>90</v>
      </c>
      <c r="H2859" s="8">
        <f>IF(financials[[#This Row],[Discount Band]]="low",0.1,IF(financials[[#This Row],[Discount Band]]="medium",0.15,0.3))</f>
        <v>0.1</v>
      </c>
      <c r="I2859" s="8">
        <f>financials[[#This Row],[Gross Sales]]-financials[[#This Row],[Gross Sales]]*financials[[#This Row],[Discounts]]</f>
        <v>81</v>
      </c>
      <c r="J2859" s="8">
        <f>VLOOKUP(financials[[#This Row],[productid]],Products!$B$2:$H$10,4)</f>
        <v>13.95</v>
      </c>
      <c r="K2859" s="8">
        <f>financials[[#This Row],[Net Sales]]-financials[[#This Row],[COGS]]</f>
        <v>67.05</v>
      </c>
      <c r="L2859" s="15">
        <v>44477</v>
      </c>
      <c r="M2859" t="s">
        <v>700</v>
      </c>
    </row>
    <row r="2860" spans="1:13" x14ac:dyDescent="0.25">
      <c r="A2860" t="s">
        <v>86</v>
      </c>
      <c r="B2860" s="6" t="s">
        <v>84</v>
      </c>
      <c r="C2860" s="13">
        <v>107</v>
      </c>
      <c r="D2860" s="14" t="s">
        <v>83</v>
      </c>
      <c r="E2860">
        <v>15</v>
      </c>
      <c r="F2860" s="8">
        <f>VLOOKUP(financials[[#This Row],[productid]],Products!$B$2:$H$10,3)</f>
        <v>15</v>
      </c>
      <c r="G2860" s="8">
        <f>financials[[#This Row],[Units Sold]]*financials[[#This Row],[Sale Price]]</f>
        <v>225</v>
      </c>
      <c r="H2860" s="8">
        <f>IF(financials[[#This Row],[Discount Band]]="low",0.1,IF(financials[[#This Row],[Discount Band]]="medium",0.15,0.3))</f>
        <v>0.3</v>
      </c>
      <c r="I2860" s="8">
        <f>financials[[#This Row],[Gross Sales]]-financials[[#This Row],[Gross Sales]]*financials[[#This Row],[Discounts]]</f>
        <v>157.5</v>
      </c>
      <c r="J2860" s="8">
        <f>VLOOKUP(financials[[#This Row],[productid]],Products!$B$2:$H$10,4)</f>
        <v>5.5</v>
      </c>
      <c r="K2860" s="8">
        <f>financials[[#This Row],[Net Sales]]-financials[[#This Row],[COGS]]</f>
        <v>152</v>
      </c>
      <c r="L2860" s="15">
        <v>44682</v>
      </c>
      <c r="M2860" t="s">
        <v>696</v>
      </c>
    </row>
    <row r="2861" spans="1:13" x14ac:dyDescent="0.25">
      <c r="A2861" t="s">
        <v>85</v>
      </c>
      <c r="B2861" s="6" t="s">
        <v>124</v>
      </c>
      <c r="C2861" s="13">
        <v>105</v>
      </c>
      <c r="D2861" s="14" t="s">
        <v>92</v>
      </c>
      <c r="E2861">
        <v>5</v>
      </c>
      <c r="F2861" s="8">
        <f>VLOOKUP(financials[[#This Row],[productid]],Products!$B$2:$H$10,3)</f>
        <v>15</v>
      </c>
      <c r="G2861" s="8">
        <f>financials[[#This Row],[Units Sold]]*financials[[#This Row],[Sale Price]]</f>
        <v>75</v>
      </c>
      <c r="H2861" s="8">
        <f>IF(financials[[#This Row],[Discount Band]]="low",0.1,IF(financials[[#This Row],[Discount Band]]="medium",0.15,0.3))</f>
        <v>0.3</v>
      </c>
      <c r="I2861" s="8">
        <f>financials[[#This Row],[Gross Sales]]-financials[[#This Row],[Gross Sales]]*financials[[#This Row],[Discounts]]</f>
        <v>52.5</v>
      </c>
      <c r="J2861" s="8">
        <f>VLOOKUP(financials[[#This Row],[productid]],Products!$B$2:$H$10,4)</f>
        <v>10</v>
      </c>
      <c r="K2861" s="8">
        <f>financials[[#This Row],[Net Sales]]-financials[[#This Row],[COGS]]</f>
        <v>42.5</v>
      </c>
      <c r="L2861" s="15">
        <v>45564</v>
      </c>
      <c r="M2861" t="s">
        <v>691</v>
      </c>
    </row>
    <row r="2862" spans="1:13" x14ac:dyDescent="0.25">
      <c r="A2862" t="s">
        <v>85</v>
      </c>
      <c r="B2862" s="6" t="s">
        <v>159</v>
      </c>
      <c r="C2862" s="13">
        <v>109</v>
      </c>
      <c r="D2862" s="14" t="s">
        <v>83</v>
      </c>
      <c r="E2862">
        <v>10</v>
      </c>
      <c r="F2862" s="8">
        <f>VLOOKUP(financials[[#This Row],[productid]],Products!$B$2:$H$10,3)</f>
        <v>36</v>
      </c>
      <c r="G2862" s="8">
        <f>financials[[#This Row],[Units Sold]]*financials[[#This Row],[Sale Price]]</f>
        <v>360</v>
      </c>
      <c r="H2862" s="8">
        <f>IF(financials[[#This Row],[Discount Band]]="low",0.1,IF(financials[[#This Row],[Discount Band]]="medium",0.15,0.3))</f>
        <v>0.3</v>
      </c>
      <c r="I2862" s="8">
        <f>financials[[#This Row],[Gross Sales]]-financials[[#This Row],[Gross Sales]]*financials[[#This Row],[Discounts]]</f>
        <v>252</v>
      </c>
      <c r="J2862" s="8">
        <f>VLOOKUP(financials[[#This Row],[productid]],Products!$B$2:$H$10,4)</f>
        <v>16.8</v>
      </c>
      <c r="K2862" s="8">
        <f>financials[[#This Row],[Net Sales]]-financials[[#This Row],[COGS]]</f>
        <v>235.2</v>
      </c>
      <c r="L2862" s="15">
        <v>44791</v>
      </c>
      <c r="M2862" t="s">
        <v>696</v>
      </c>
    </row>
    <row r="2863" spans="1:13" x14ac:dyDescent="0.25">
      <c r="A2863" t="s">
        <v>89</v>
      </c>
      <c r="B2863" s="6" t="s">
        <v>124</v>
      </c>
      <c r="C2863" s="13">
        <v>101</v>
      </c>
      <c r="D2863" s="14" t="s">
        <v>90</v>
      </c>
      <c r="E2863">
        <v>13</v>
      </c>
      <c r="F2863" s="8">
        <f>VLOOKUP(financials[[#This Row],[productid]],Products!$B$2:$H$10,3)</f>
        <v>23</v>
      </c>
      <c r="G2863" s="8">
        <f>financials[[#This Row],[Units Sold]]*financials[[#This Row],[Sale Price]]</f>
        <v>299</v>
      </c>
      <c r="H2863" s="8">
        <f>IF(financials[[#This Row],[Discount Band]]="low",0.1,IF(financials[[#This Row],[Discount Band]]="medium",0.15,0.3))</f>
        <v>0.15</v>
      </c>
      <c r="I2863" s="8">
        <f>financials[[#This Row],[Gross Sales]]-financials[[#This Row],[Gross Sales]]*financials[[#This Row],[Discounts]]</f>
        <v>254.15</v>
      </c>
      <c r="J2863" s="8">
        <f>VLOOKUP(financials[[#This Row],[productid]],Products!$B$2:$H$10,4)</f>
        <v>9.9499999999999993</v>
      </c>
      <c r="K2863" s="8">
        <f>financials[[#This Row],[Net Sales]]-financials[[#This Row],[COGS]]</f>
        <v>244.20000000000002</v>
      </c>
      <c r="L2863" s="15">
        <v>44133</v>
      </c>
      <c r="M2863" t="s">
        <v>697</v>
      </c>
    </row>
    <row r="2864" spans="1:13" x14ac:dyDescent="0.25">
      <c r="A2864" t="s">
        <v>86</v>
      </c>
      <c r="B2864" s="6" t="s">
        <v>93</v>
      </c>
      <c r="C2864" s="13">
        <v>109</v>
      </c>
      <c r="D2864" s="14" t="s">
        <v>91</v>
      </c>
      <c r="E2864">
        <v>6</v>
      </c>
      <c r="F2864" s="8">
        <f>VLOOKUP(financials[[#This Row],[productid]],Products!$B$2:$H$10,3)</f>
        <v>36</v>
      </c>
      <c r="G2864" s="8">
        <f>financials[[#This Row],[Units Sold]]*financials[[#This Row],[Sale Price]]</f>
        <v>216</v>
      </c>
      <c r="H2864" s="8">
        <f>IF(financials[[#This Row],[Discount Band]]="low",0.1,IF(financials[[#This Row],[Discount Band]]="medium",0.15,0.3))</f>
        <v>0.1</v>
      </c>
      <c r="I2864" s="8">
        <f>financials[[#This Row],[Gross Sales]]-financials[[#This Row],[Gross Sales]]*financials[[#This Row],[Discounts]]</f>
        <v>194.4</v>
      </c>
      <c r="J2864" s="8">
        <f>VLOOKUP(financials[[#This Row],[productid]],Products!$B$2:$H$10,4)</f>
        <v>16.8</v>
      </c>
      <c r="K2864" s="8">
        <f>financials[[#This Row],[Net Sales]]-financials[[#This Row],[COGS]]</f>
        <v>177.6</v>
      </c>
      <c r="L2864" s="15">
        <v>44005</v>
      </c>
      <c r="M2864" t="s">
        <v>697</v>
      </c>
    </row>
    <row r="2865" spans="1:13" x14ac:dyDescent="0.25">
      <c r="A2865" t="s">
        <v>86</v>
      </c>
      <c r="B2865" s="6" t="s">
        <v>93</v>
      </c>
      <c r="C2865" s="13">
        <v>106</v>
      </c>
      <c r="D2865" s="14" t="s">
        <v>91</v>
      </c>
      <c r="E2865">
        <v>6</v>
      </c>
      <c r="F2865" s="8">
        <f>VLOOKUP(financials[[#This Row],[productid]],Products!$B$2:$H$10,3)</f>
        <v>25</v>
      </c>
      <c r="G2865" s="8">
        <f>financials[[#This Row],[Units Sold]]*financials[[#This Row],[Sale Price]]</f>
        <v>150</v>
      </c>
      <c r="H2865" s="8">
        <f>IF(financials[[#This Row],[Discount Band]]="low",0.1,IF(financials[[#This Row],[Discount Band]]="medium",0.15,0.3))</f>
        <v>0.1</v>
      </c>
      <c r="I2865" s="8">
        <f>financials[[#This Row],[Gross Sales]]-financials[[#This Row],[Gross Sales]]*financials[[#This Row],[Discounts]]</f>
        <v>135</v>
      </c>
      <c r="J2865" s="8">
        <f>VLOOKUP(financials[[#This Row],[productid]],Products!$B$2:$H$10,4)</f>
        <v>9.1</v>
      </c>
      <c r="K2865" s="8">
        <f>financials[[#This Row],[Net Sales]]-financials[[#This Row],[COGS]]</f>
        <v>125.9</v>
      </c>
      <c r="L2865" s="15">
        <v>45395</v>
      </c>
      <c r="M2865" t="s">
        <v>691</v>
      </c>
    </row>
    <row r="2866" spans="1:13" x14ac:dyDescent="0.25">
      <c r="A2866" t="s">
        <v>85</v>
      </c>
      <c r="B2866" s="6" t="s">
        <v>159</v>
      </c>
      <c r="C2866" s="13">
        <v>105</v>
      </c>
      <c r="D2866" s="14" t="s">
        <v>90</v>
      </c>
      <c r="E2866">
        <v>11</v>
      </c>
      <c r="F2866" s="8">
        <f>VLOOKUP(financials[[#This Row],[productid]],Products!$B$2:$H$10,3)</f>
        <v>15</v>
      </c>
      <c r="G2866" s="8">
        <f>financials[[#This Row],[Units Sold]]*financials[[#This Row],[Sale Price]]</f>
        <v>165</v>
      </c>
      <c r="H2866" s="8">
        <f>IF(financials[[#This Row],[Discount Band]]="low",0.1,IF(financials[[#This Row],[Discount Band]]="medium",0.15,0.3))</f>
        <v>0.15</v>
      </c>
      <c r="I2866" s="8">
        <f>financials[[#This Row],[Gross Sales]]-financials[[#This Row],[Gross Sales]]*financials[[#This Row],[Discounts]]</f>
        <v>140.25</v>
      </c>
      <c r="J2866" s="8">
        <f>VLOOKUP(financials[[#This Row],[productid]],Products!$B$2:$H$10,4)</f>
        <v>10</v>
      </c>
      <c r="K2866" s="8">
        <f>financials[[#This Row],[Net Sales]]-financials[[#This Row],[COGS]]</f>
        <v>130.25</v>
      </c>
      <c r="L2866" s="15">
        <v>44212</v>
      </c>
      <c r="M2866" t="s">
        <v>697</v>
      </c>
    </row>
    <row r="2867" spans="1:13" x14ac:dyDescent="0.25">
      <c r="A2867" t="s">
        <v>89</v>
      </c>
      <c r="B2867" s="6" t="s">
        <v>159</v>
      </c>
      <c r="C2867" s="13">
        <v>104</v>
      </c>
      <c r="D2867" s="14" t="s">
        <v>91</v>
      </c>
      <c r="E2867">
        <v>13</v>
      </c>
      <c r="F2867" s="8">
        <f>VLOOKUP(financials[[#This Row],[productid]],Products!$B$2:$H$10,3)</f>
        <v>5.9</v>
      </c>
      <c r="G2867" s="8">
        <f>financials[[#This Row],[Units Sold]]*financials[[#This Row],[Sale Price]]</f>
        <v>76.7</v>
      </c>
      <c r="H2867" s="8">
        <f>IF(financials[[#This Row],[Discount Band]]="low",0.1,IF(financials[[#This Row],[Discount Band]]="medium",0.15,0.3))</f>
        <v>0.1</v>
      </c>
      <c r="I2867" s="8">
        <f>financials[[#This Row],[Gross Sales]]-financials[[#This Row],[Gross Sales]]*financials[[#This Row],[Discounts]]</f>
        <v>69.03</v>
      </c>
      <c r="J2867" s="8">
        <f>VLOOKUP(financials[[#This Row],[productid]],Products!$B$2:$H$10,4)</f>
        <v>2.9</v>
      </c>
      <c r="K2867" s="8">
        <f>financials[[#This Row],[Net Sales]]-financials[[#This Row],[COGS]]</f>
        <v>66.13</v>
      </c>
      <c r="L2867" s="15">
        <v>45564</v>
      </c>
      <c r="M2867" t="s">
        <v>697</v>
      </c>
    </row>
    <row r="2868" spans="1:13" x14ac:dyDescent="0.25">
      <c r="A2868" t="s">
        <v>87</v>
      </c>
      <c r="B2868" s="6" t="s">
        <v>205</v>
      </c>
      <c r="C2868" s="13">
        <v>101</v>
      </c>
      <c r="D2868" s="14" t="s">
        <v>83</v>
      </c>
      <c r="E2868">
        <v>17</v>
      </c>
      <c r="F2868" s="8">
        <f>VLOOKUP(financials[[#This Row],[productid]],Products!$B$2:$H$10,3)</f>
        <v>23</v>
      </c>
      <c r="G2868" s="8">
        <f>financials[[#This Row],[Units Sold]]*financials[[#This Row],[Sale Price]]</f>
        <v>391</v>
      </c>
      <c r="H2868" s="8">
        <f>IF(financials[[#This Row],[Discount Band]]="low",0.1,IF(financials[[#This Row],[Discount Band]]="medium",0.15,0.3))</f>
        <v>0.3</v>
      </c>
      <c r="I2868" s="8">
        <f>financials[[#This Row],[Gross Sales]]-financials[[#This Row],[Gross Sales]]*financials[[#This Row],[Discounts]]</f>
        <v>273.7</v>
      </c>
      <c r="J2868" s="8">
        <f>VLOOKUP(financials[[#This Row],[productid]],Products!$B$2:$H$10,4)</f>
        <v>9.9499999999999993</v>
      </c>
      <c r="K2868" s="8">
        <f>financials[[#This Row],[Net Sales]]-financials[[#This Row],[COGS]]</f>
        <v>263.75</v>
      </c>
      <c r="L2868" s="15">
        <v>45291</v>
      </c>
      <c r="M2868" t="s">
        <v>700</v>
      </c>
    </row>
    <row r="2869" spans="1:13" x14ac:dyDescent="0.25">
      <c r="A2869" t="s">
        <v>88</v>
      </c>
      <c r="B2869" s="6" t="s">
        <v>545</v>
      </c>
      <c r="C2869" s="13">
        <v>106</v>
      </c>
      <c r="D2869" s="14" t="s">
        <v>90</v>
      </c>
      <c r="E2869">
        <v>12</v>
      </c>
      <c r="F2869" s="8">
        <f>VLOOKUP(financials[[#This Row],[productid]],Products!$B$2:$H$10,3)</f>
        <v>25</v>
      </c>
      <c r="G2869" s="8">
        <f>financials[[#This Row],[Units Sold]]*financials[[#This Row],[Sale Price]]</f>
        <v>300</v>
      </c>
      <c r="H2869" s="8">
        <f>IF(financials[[#This Row],[Discount Band]]="low",0.1,IF(financials[[#This Row],[Discount Band]]="medium",0.15,0.3))</f>
        <v>0.15</v>
      </c>
      <c r="I2869" s="8">
        <f>financials[[#This Row],[Gross Sales]]-financials[[#This Row],[Gross Sales]]*financials[[#This Row],[Discounts]]</f>
        <v>255</v>
      </c>
      <c r="J2869" s="8">
        <f>VLOOKUP(financials[[#This Row],[productid]],Products!$B$2:$H$10,4)</f>
        <v>9.1</v>
      </c>
      <c r="K2869" s="8">
        <f>financials[[#This Row],[Net Sales]]-financials[[#This Row],[COGS]]</f>
        <v>245.9</v>
      </c>
      <c r="L2869" s="15">
        <v>45176</v>
      </c>
      <c r="M2869" t="s">
        <v>690</v>
      </c>
    </row>
    <row r="2870" spans="1:13" x14ac:dyDescent="0.25">
      <c r="A2870" t="s">
        <v>88</v>
      </c>
      <c r="B2870" s="6" t="s">
        <v>266</v>
      </c>
      <c r="C2870" s="13">
        <v>109</v>
      </c>
      <c r="D2870" s="14" t="s">
        <v>90</v>
      </c>
      <c r="E2870">
        <v>7</v>
      </c>
      <c r="F2870" s="8">
        <f>VLOOKUP(financials[[#This Row],[productid]],Products!$B$2:$H$10,3)</f>
        <v>36</v>
      </c>
      <c r="G2870" s="8">
        <f>financials[[#This Row],[Units Sold]]*financials[[#This Row],[Sale Price]]</f>
        <v>252</v>
      </c>
      <c r="H2870" s="8">
        <f>IF(financials[[#This Row],[Discount Band]]="low",0.1,IF(financials[[#This Row],[Discount Band]]="medium",0.15,0.3))</f>
        <v>0.15</v>
      </c>
      <c r="I2870" s="8">
        <f>financials[[#This Row],[Gross Sales]]-financials[[#This Row],[Gross Sales]]*financials[[#This Row],[Discounts]]</f>
        <v>214.2</v>
      </c>
      <c r="J2870" s="8">
        <f>VLOOKUP(financials[[#This Row],[productid]],Products!$B$2:$H$10,4)</f>
        <v>16.8</v>
      </c>
      <c r="K2870" s="8">
        <f>financials[[#This Row],[Net Sales]]-financials[[#This Row],[COGS]]</f>
        <v>197.39999999999998</v>
      </c>
      <c r="L2870" s="15">
        <v>44823</v>
      </c>
      <c r="M2870" t="s">
        <v>690</v>
      </c>
    </row>
    <row r="2871" spans="1:13" x14ac:dyDescent="0.25">
      <c r="A2871" t="s">
        <v>88</v>
      </c>
      <c r="B2871" s="6" t="s">
        <v>93</v>
      </c>
      <c r="C2871" s="13">
        <v>106</v>
      </c>
      <c r="D2871" s="14" t="s">
        <v>83</v>
      </c>
      <c r="E2871">
        <v>16</v>
      </c>
      <c r="F2871" s="8">
        <f>VLOOKUP(financials[[#This Row],[productid]],Products!$B$2:$H$10,3)</f>
        <v>25</v>
      </c>
      <c r="G2871" s="8">
        <f>financials[[#This Row],[Units Sold]]*financials[[#This Row],[Sale Price]]</f>
        <v>400</v>
      </c>
      <c r="H2871" s="8">
        <f>IF(financials[[#This Row],[Discount Band]]="low",0.1,IF(financials[[#This Row],[Discount Band]]="medium",0.15,0.3))</f>
        <v>0.3</v>
      </c>
      <c r="I2871" s="8">
        <f>financials[[#This Row],[Gross Sales]]-financials[[#This Row],[Gross Sales]]*financials[[#This Row],[Discounts]]</f>
        <v>280</v>
      </c>
      <c r="J2871" s="8">
        <f>VLOOKUP(financials[[#This Row],[productid]],Products!$B$2:$H$10,4)</f>
        <v>9.1</v>
      </c>
      <c r="K2871" s="8">
        <f>financials[[#This Row],[Net Sales]]-financials[[#This Row],[COGS]]</f>
        <v>270.89999999999998</v>
      </c>
      <c r="L2871" s="15">
        <v>45380</v>
      </c>
      <c r="M2871" t="s">
        <v>690</v>
      </c>
    </row>
    <row r="2872" spans="1:13" x14ac:dyDescent="0.25">
      <c r="A2872" t="s">
        <v>85</v>
      </c>
      <c r="B2872" s="6" t="s">
        <v>159</v>
      </c>
      <c r="C2872" s="13">
        <v>105</v>
      </c>
      <c r="D2872" s="14" t="s">
        <v>83</v>
      </c>
      <c r="E2872">
        <v>18</v>
      </c>
      <c r="F2872" s="8">
        <f>VLOOKUP(financials[[#This Row],[productid]],Products!$B$2:$H$10,3)</f>
        <v>15</v>
      </c>
      <c r="G2872" s="8">
        <f>financials[[#This Row],[Units Sold]]*financials[[#This Row],[Sale Price]]</f>
        <v>270</v>
      </c>
      <c r="H2872" s="8">
        <f>IF(financials[[#This Row],[Discount Band]]="low",0.1,IF(financials[[#This Row],[Discount Band]]="medium",0.15,0.3))</f>
        <v>0.3</v>
      </c>
      <c r="I2872" s="8">
        <f>financials[[#This Row],[Gross Sales]]-financials[[#This Row],[Gross Sales]]*financials[[#This Row],[Discounts]]</f>
        <v>189</v>
      </c>
      <c r="J2872" s="8">
        <f>VLOOKUP(financials[[#This Row],[productid]],Products!$B$2:$H$10,4)</f>
        <v>10</v>
      </c>
      <c r="K2872" s="8">
        <f>financials[[#This Row],[Net Sales]]-financials[[#This Row],[COGS]]</f>
        <v>179</v>
      </c>
      <c r="L2872" s="15">
        <v>43971</v>
      </c>
      <c r="M2872" t="s">
        <v>691</v>
      </c>
    </row>
    <row r="2873" spans="1:13" x14ac:dyDescent="0.25">
      <c r="A2873" t="s">
        <v>89</v>
      </c>
      <c r="B2873" s="6" t="s">
        <v>159</v>
      </c>
      <c r="C2873" s="13">
        <v>108</v>
      </c>
      <c r="D2873" s="14" t="s">
        <v>92</v>
      </c>
      <c r="E2873">
        <v>18</v>
      </c>
      <c r="F2873" s="8">
        <f>VLOOKUP(financials[[#This Row],[productid]],Products!$B$2:$H$10,3)</f>
        <v>5.5</v>
      </c>
      <c r="G2873" s="8">
        <f>financials[[#This Row],[Units Sold]]*financials[[#This Row],[Sale Price]]</f>
        <v>99</v>
      </c>
      <c r="H2873" s="8">
        <f>IF(financials[[#This Row],[Discount Band]]="low",0.1,IF(financials[[#This Row],[Discount Band]]="medium",0.15,0.3))</f>
        <v>0.3</v>
      </c>
      <c r="I2873" s="8">
        <f>financials[[#This Row],[Gross Sales]]-financials[[#This Row],[Gross Sales]]*financials[[#This Row],[Discounts]]</f>
        <v>69.3</v>
      </c>
      <c r="J2873" s="8">
        <f>VLOOKUP(financials[[#This Row],[productid]],Products!$B$2:$H$10,4)</f>
        <v>3.99</v>
      </c>
      <c r="K2873" s="8">
        <f>financials[[#This Row],[Net Sales]]-financials[[#This Row],[COGS]]</f>
        <v>65.31</v>
      </c>
      <c r="L2873" s="15">
        <v>44300</v>
      </c>
      <c r="M2873" t="s">
        <v>691</v>
      </c>
    </row>
    <row r="2874" spans="1:13" x14ac:dyDescent="0.25">
      <c r="A2874" t="s">
        <v>85</v>
      </c>
      <c r="B2874" s="6" t="s">
        <v>159</v>
      </c>
      <c r="C2874" s="13">
        <v>108</v>
      </c>
      <c r="D2874" s="14" t="s">
        <v>92</v>
      </c>
      <c r="E2874">
        <v>17</v>
      </c>
      <c r="F2874" s="8">
        <f>VLOOKUP(financials[[#This Row],[productid]],Products!$B$2:$H$10,3)</f>
        <v>5.5</v>
      </c>
      <c r="G2874" s="8">
        <f>financials[[#This Row],[Units Sold]]*financials[[#This Row],[Sale Price]]</f>
        <v>93.5</v>
      </c>
      <c r="H2874" s="8">
        <f>IF(financials[[#This Row],[Discount Band]]="low",0.1,IF(financials[[#This Row],[Discount Band]]="medium",0.15,0.3))</f>
        <v>0.3</v>
      </c>
      <c r="I2874" s="8">
        <f>financials[[#This Row],[Gross Sales]]-financials[[#This Row],[Gross Sales]]*financials[[#This Row],[Discounts]]</f>
        <v>65.45</v>
      </c>
      <c r="J2874" s="8">
        <f>VLOOKUP(financials[[#This Row],[productid]],Products!$B$2:$H$10,4)</f>
        <v>3.99</v>
      </c>
      <c r="K2874" s="8">
        <f>financials[[#This Row],[Net Sales]]-financials[[#This Row],[COGS]]</f>
        <v>61.46</v>
      </c>
      <c r="L2874" s="15">
        <v>45143</v>
      </c>
      <c r="M2874" t="s">
        <v>697</v>
      </c>
    </row>
    <row r="2875" spans="1:13" x14ac:dyDescent="0.25">
      <c r="A2875" t="s">
        <v>86</v>
      </c>
      <c r="B2875" s="6" t="s">
        <v>266</v>
      </c>
      <c r="C2875" s="13">
        <v>104</v>
      </c>
      <c r="D2875" s="14" t="s">
        <v>91</v>
      </c>
      <c r="E2875">
        <v>16</v>
      </c>
      <c r="F2875" s="8">
        <f>VLOOKUP(financials[[#This Row],[productid]],Products!$B$2:$H$10,3)</f>
        <v>5.9</v>
      </c>
      <c r="G2875" s="8">
        <f>financials[[#This Row],[Units Sold]]*financials[[#This Row],[Sale Price]]</f>
        <v>94.4</v>
      </c>
      <c r="H2875" s="8">
        <f>IF(financials[[#This Row],[Discount Band]]="low",0.1,IF(financials[[#This Row],[Discount Band]]="medium",0.15,0.3))</f>
        <v>0.1</v>
      </c>
      <c r="I2875" s="8">
        <f>financials[[#This Row],[Gross Sales]]-financials[[#This Row],[Gross Sales]]*financials[[#This Row],[Discounts]]</f>
        <v>84.960000000000008</v>
      </c>
      <c r="J2875" s="8">
        <f>VLOOKUP(financials[[#This Row],[productid]],Products!$B$2:$H$10,4)</f>
        <v>2.9</v>
      </c>
      <c r="K2875" s="8">
        <f>financials[[#This Row],[Net Sales]]-financials[[#This Row],[COGS]]</f>
        <v>82.06</v>
      </c>
      <c r="L2875" s="15">
        <v>44047</v>
      </c>
      <c r="M2875" t="s">
        <v>696</v>
      </c>
    </row>
    <row r="2876" spans="1:13" x14ac:dyDescent="0.25">
      <c r="A2876" t="s">
        <v>86</v>
      </c>
      <c r="B2876" s="6" t="s">
        <v>84</v>
      </c>
      <c r="C2876" s="13">
        <v>108</v>
      </c>
      <c r="D2876" s="14" t="s">
        <v>92</v>
      </c>
      <c r="E2876">
        <v>18</v>
      </c>
      <c r="F2876" s="8">
        <f>VLOOKUP(financials[[#This Row],[productid]],Products!$B$2:$H$10,3)</f>
        <v>5.5</v>
      </c>
      <c r="G2876" s="8">
        <f>financials[[#This Row],[Units Sold]]*financials[[#This Row],[Sale Price]]</f>
        <v>99</v>
      </c>
      <c r="H2876" s="8">
        <f>IF(financials[[#This Row],[Discount Band]]="low",0.1,IF(financials[[#This Row],[Discount Band]]="medium",0.15,0.3))</f>
        <v>0.3</v>
      </c>
      <c r="I2876" s="8">
        <f>financials[[#This Row],[Gross Sales]]-financials[[#This Row],[Gross Sales]]*financials[[#This Row],[Discounts]]</f>
        <v>69.3</v>
      </c>
      <c r="J2876" s="8">
        <f>VLOOKUP(financials[[#This Row],[productid]],Products!$B$2:$H$10,4)</f>
        <v>3.99</v>
      </c>
      <c r="K2876" s="8">
        <f>financials[[#This Row],[Net Sales]]-financials[[#This Row],[COGS]]</f>
        <v>65.31</v>
      </c>
      <c r="L2876" s="15">
        <v>45598</v>
      </c>
      <c r="M2876" t="s">
        <v>697</v>
      </c>
    </row>
    <row r="2877" spans="1:13" x14ac:dyDescent="0.25">
      <c r="A2877" t="s">
        <v>87</v>
      </c>
      <c r="B2877" s="6" t="s">
        <v>545</v>
      </c>
      <c r="C2877" s="13">
        <v>106</v>
      </c>
      <c r="D2877" s="14" t="s">
        <v>92</v>
      </c>
      <c r="E2877">
        <v>18</v>
      </c>
      <c r="F2877" s="8">
        <f>VLOOKUP(financials[[#This Row],[productid]],Products!$B$2:$H$10,3)</f>
        <v>25</v>
      </c>
      <c r="G2877" s="8">
        <f>financials[[#This Row],[Units Sold]]*financials[[#This Row],[Sale Price]]</f>
        <v>450</v>
      </c>
      <c r="H2877" s="8">
        <f>IF(financials[[#This Row],[Discount Band]]="low",0.1,IF(financials[[#This Row],[Discount Band]]="medium",0.15,0.3))</f>
        <v>0.3</v>
      </c>
      <c r="I2877" s="8">
        <f>financials[[#This Row],[Gross Sales]]-financials[[#This Row],[Gross Sales]]*financials[[#This Row],[Discounts]]</f>
        <v>315</v>
      </c>
      <c r="J2877" s="8">
        <f>VLOOKUP(financials[[#This Row],[productid]],Products!$B$2:$H$10,4)</f>
        <v>9.1</v>
      </c>
      <c r="K2877" s="8">
        <f>financials[[#This Row],[Net Sales]]-financials[[#This Row],[COGS]]</f>
        <v>305.89999999999998</v>
      </c>
      <c r="L2877" s="15">
        <v>45456</v>
      </c>
      <c r="M2877" t="s">
        <v>700</v>
      </c>
    </row>
    <row r="2878" spans="1:13" x14ac:dyDescent="0.25">
      <c r="A2878" t="s">
        <v>86</v>
      </c>
      <c r="B2878" s="6" t="s">
        <v>159</v>
      </c>
      <c r="C2878" s="13">
        <v>102</v>
      </c>
      <c r="D2878" s="14" t="s">
        <v>90</v>
      </c>
      <c r="E2878">
        <v>18</v>
      </c>
      <c r="F2878" s="8">
        <f>VLOOKUP(financials[[#This Row],[productid]],Products!$B$2:$H$10,3)</f>
        <v>15</v>
      </c>
      <c r="G2878" s="8">
        <f>financials[[#This Row],[Units Sold]]*financials[[#This Row],[Sale Price]]</f>
        <v>270</v>
      </c>
      <c r="H2878" s="8">
        <f>IF(financials[[#This Row],[Discount Band]]="low",0.1,IF(financials[[#This Row],[Discount Band]]="medium",0.15,0.3))</f>
        <v>0.15</v>
      </c>
      <c r="I2878" s="8">
        <f>financials[[#This Row],[Gross Sales]]-financials[[#This Row],[Gross Sales]]*financials[[#This Row],[Discounts]]</f>
        <v>229.5</v>
      </c>
      <c r="J2878" s="8">
        <f>VLOOKUP(financials[[#This Row],[productid]],Products!$B$2:$H$10,4)</f>
        <v>13.95</v>
      </c>
      <c r="K2878" s="8">
        <f>financials[[#This Row],[Net Sales]]-financials[[#This Row],[COGS]]</f>
        <v>215.55</v>
      </c>
      <c r="L2878" s="15">
        <v>44788</v>
      </c>
      <c r="M2878" t="s">
        <v>691</v>
      </c>
    </row>
    <row r="2879" spans="1:13" x14ac:dyDescent="0.25">
      <c r="A2879" t="s">
        <v>85</v>
      </c>
      <c r="B2879" s="6" t="s">
        <v>124</v>
      </c>
      <c r="C2879" s="13">
        <v>106</v>
      </c>
      <c r="D2879" s="14" t="s">
        <v>91</v>
      </c>
      <c r="E2879">
        <v>15</v>
      </c>
      <c r="F2879" s="8">
        <f>VLOOKUP(financials[[#This Row],[productid]],Products!$B$2:$H$10,3)</f>
        <v>25</v>
      </c>
      <c r="G2879" s="8">
        <f>financials[[#This Row],[Units Sold]]*financials[[#This Row],[Sale Price]]</f>
        <v>375</v>
      </c>
      <c r="H2879" s="8">
        <f>IF(financials[[#This Row],[Discount Band]]="low",0.1,IF(financials[[#This Row],[Discount Band]]="medium",0.15,0.3))</f>
        <v>0.1</v>
      </c>
      <c r="I2879" s="8">
        <f>financials[[#This Row],[Gross Sales]]-financials[[#This Row],[Gross Sales]]*financials[[#This Row],[Discounts]]</f>
        <v>337.5</v>
      </c>
      <c r="J2879" s="8">
        <f>VLOOKUP(financials[[#This Row],[productid]],Products!$B$2:$H$10,4)</f>
        <v>9.1</v>
      </c>
      <c r="K2879" s="8">
        <f>financials[[#This Row],[Net Sales]]-financials[[#This Row],[COGS]]</f>
        <v>328.4</v>
      </c>
      <c r="L2879" s="15">
        <v>45577</v>
      </c>
      <c r="M2879" t="s">
        <v>700</v>
      </c>
    </row>
    <row r="2880" spans="1:13" x14ac:dyDescent="0.25">
      <c r="A2880" t="s">
        <v>86</v>
      </c>
      <c r="B2880" s="6" t="s">
        <v>159</v>
      </c>
      <c r="C2880" s="13">
        <v>108</v>
      </c>
      <c r="D2880" s="14" t="s">
        <v>90</v>
      </c>
      <c r="E2880">
        <v>5</v>
      </c>
      <c r="F2880" s="8">
        <f>VLOOKUP(financials[[#This Row],[productid]],Products!$B$2:$H$10,3)</f>
        <v>5.5</v>
      </c>
      <c r="G2880" s="8">
        <f>financials[[#This Row],[Units Sold]]*financials[[#This Row],[Sale Price]]</f>
        <v>27.5</v>
      </c>
      <c r="H2880" s="8">
        <f>IF(financials[[#This Row],[Discount Band]]="low",0.1,IF(financials[[#This Row],[Discount Band]]="medium",0.15,0.3))</f>
        <v>0.15</v>
      </c>
      <c r="I2880" s="8">
        <f>financials[[#This Row],[Gross Sales]]-financials[[#This Row],[Gross Sales]]*financials[[#This Row],[Discounts]]</f>
        <v>23.375</v>
      </c>
      <c r="J2880" s="8">
        <f>VLOOKUP(financials[[#This Row],[productid]],Products!$B$2:$H$10,4)</f>
        <v>3.99</v>
      </c>
      <c r="K2880" s="8">
        <f>financials[[#This Row],[Net Sales]]-financials[[#This Row],[COGS]]</f>
        <v>19.384999999999998</v>
      </c>
      <c r="L2880" s="15">
        <v>45153</v>
      </c>
      <c r="M2880" t="s">
        <v>691</v>
      </c>
    </row>
    <row r="2881" spans="1:13" x14ac:dyDescent="0.25">
      <c r="A2881" t="s">
        <v>85</v>
      </c>
      <c r="B2881" s="6" t="s">
        <v>159</v>
      </c>
      <c r="C2881" s="13">
        <v>106</v>
      </c>
      <c r="D2881" s="14" t="s">
        <v>83</v>
      </c>
      <c r="E2881">
        <v>5</v>
      </c>
      <c r="F2881" s="8">
        <f>VLOOKUP(financials[[#This Row],[productid]],Products!$B$2:$H$10,3)</f>
        <v>25</v>
      </c>
      <c r="G2881" s="8">
        <f>financials[[#This Row],[Units Sold]]*financials[[#This Row],[Sale Price]]</f>
        <v>125</v>
      </c>
      <c r="H2881" s="8">
        <f>IF(financials[[#This Row],[Discount Band]]="low",0.1,IF(financials[[#This Row],[Discount Band]]="medium",0.15,0.3))</f>
        <v>0.3</v>
      </c>
      <c r="I2881" s="8">
        <f>financials[[#This Row],[Gross Sales]]-financials[[#This Row],[Gross Sales]]*financials[[#This Row],[Discounts]]</f>
        <v>87.5</v>
      </c>
      <c r="J2881" s="8">
        <f>VLOOKUP(financials[[#This Row],[productid]],Products!$B$2:$H$10,4)</f>
        <v>9.1</v>
      </c>
      <c r="K2881" s="8">
        <f>financials[[#This Row],[Net Sales]]-financials[[#This Row],[COGS]]</f>
        <v>78.400000000000006</v>
      </c>
      <c r="L2881" s="15">
        <v>44148</v>
      </c>
      <c r="M2881" t="s">
        <v>700</v>
      </c>
    </row>
    <row r="2882" spans="1:13" x14ac:dyDescent="0.25">
      <c r="A2882" t="s">
        <v>85</v>
      </c>
      <c r="B2882" s="6" t="s">
        <v>124</v>
      </c>
      <c r="C2882" s="13">
        <v>102</v>
      </c>
      <c r="D2882" s="14" t="s">
        <v>90</v>
      </c>
      <c r="E2882">
        <v>20</v>
      </c>
      <c r="F2882" s="8">
        <f>VLOOKUP(financials[[#This Row],[productid]],Products!$B$2:$H$10,3)</f>
        <v>15</v>
      </c>
      <c r="G2882" s="8">
        <f>financials[[#This Row],[Units Sold]]*financials[[#This Row],[Sale Price]]</f>
        <v>300</v>
      </c>
      <c r="H2882" s="8">
        <f>IF(financials[[#This Row],[Discount Band]]="low",0.1,IF(financials[[#This Row],[Discount Band]]="medium",0.15,0.3))</f>
        <v>0.15</v>
      </c>
      <c r="I2882" s="8">
        <f>financials[[#This Row],[Gross Sales]]-financials[[#This Row],[Gross Sales]]*financials[[#This Row],[Discounts]]</f>
        <v>255</v>
      </c>
      <c r="J2882" s="8">
        <f>VLOOKUP(financials[[#This Row],[productid]],Products!$B$2:$H$10,4)</f>
        <v>13.95</v>
      </c>
      <c r="K2882" s="8">
        <f>financials[[#This Row],[Net Sales]]-financials[[#This Row],[COGS]]</f>
        <v>241.05</v>
      </c>
      <c r="L2882" s="15">
        <v>44325</v>
      </c>
      <c r="M2882" t="s">
        <v>691</v>
      </c>
    </row>
    <row r="2883" spans="1:13" x14ac:dyDescent="0.25">
      <c r="A2883" t="s">
        <v>87</v>
      </c>
      <c r="B2883" s="6" t="s">
        <v>273</v>
      </c>
      <c r="C2883" s="13">
        <v>109</v>
      </c>
      <c r="D2883" s="14" t="s">
        <v>91</v>
      </c>
      <c r="E2883">
        <v>19</v>
      </c>
      <c r="F2883" s="8">
        <f>VLOOKUP(financials[[#This Row],[productid]],Products!$B$2:$H$10,3)</f>
        <v>36</v>
      </c>
      <c r="G2883" s="8">
        <f>financials[[#This Row],[Units Sold]]*financials[[#This Row],[Sale Price]]</f>
        <v>684</v>
      </c>
      <c r="H2883" s="8">
        <f>IF(financials[[#This Row],[Discount Band]]="low",0.1,IF(financials[[#This Row],[Discount Band]]="medium",0.15,0.3))</f>
        <v>0.1</v>
      </c>
      <c r="I2883" s="8">
        <f>financials[[#This Row],[Gross Sales]]-financials[[#This Row],[Gross Sales]]*financials[[#This Row],[Discounts]]</f>
        <v>615.6</v>
      </c>
      <c r="J2883" s="8">
        <f>VLOOKUP(financials[[#This Row],[productid]],Products!$B$2:$H$10,4)</f>
        <v>16.8</v>
      </c>
      <c r="K2883" s="8">
        <f>financials[[#This Row],[Net Sales]]-financials[[#This Row],[COGS]]</f>
        <v>598.80000000000007</v>
      </c>
      <c r="L2883" s="15">
        <v>44785</v>
      </c>
      <c r="M2883" t="s">
        <v>690</v>
      </c>
    </row>
    <row r="2884" spans="1:13" x14ac:dyDescent="0.25">
      <c r="A2884" t="s">
        <v>86</v>
      </c>
      <c r="B2884" s="6" t="s">
        <v>84</v>
      </c>
      <c r="C2884" s="13">
        <v>109</v>
      </c>
      <c r="D2884" s="14" t="s">
        <v>90</v>
      </c>
      <c r="E2884">
        <v>11</v>
      </c>
      <c r="F2884" s="8">
        <f>VLOOKUP(financials[[#This Row],[productid]],Products!$B$2:$H$10,3)</f>
        <v>36</v>
      </c>
      <c r="G2884" s="8">
        <f>financials[[#This Row],[Units Sold]]*financials[[#This Row],[Sale Price]]</f>
        <v>396</v>
      </c>
      <c r="H2884" s="8">
        <f>IF(financials[[#This Row],[Discount Band]]="low",0.1,IF(financials[[#This Row],[Discount Band]]="medium",0.15,0.3))</f>
        <v>0.15</v>
      </c>
      <c r="I2884" s="8">
        <f>financials[[#This Row],[Gross Sales]]-financials[[#This Row],[Gross Sales]]*financials[[#This Row],[Discounts]]</f>
        <v>336.6</v>
      </c>
      <c r="J2884" s="8">
        <f>VLOOKUP(financials[[#This Row],[productid]],Products!$B$2:$H$10,4)</f>
        <v>16.8</v>
      </c>
      <c r="K2884" s="8">
        <f>financials[[#This Row],[Net Sales]]-financials[[#This Row],[COGS]]</f>
        <v>319.8</v>
      </c>
      <c r="L2884" s="15">
        <v>44529</v>
      </c>
      <c r="M2884" t="s">
        <v>700</v>
      </c>
    </row>
    <row r="2885" spans="1:13" x14ac:dyDescent="0.25">
      <c r="A2885" t="s">
        <v>86</v>
      </c>
      <c r="B2885" s="6" t="s">
        <v>159</v>
      </c>
      <c r="C2885" s="13">
        <v>103</v>
      </c>
      <c r="D2885" s="14" t="s">
        <v>83</v>
      </c>
      <c r="E2885">
        <v>5</v>
      </c>
      <c r="F2885" s="8">
        <f>VLOOKUP(financials[[#This Row],[productid]],Products!$B$2:$H$10,3)</f>
        <v>28</v>
      </c>
      <c r="G2885" s="8">
        <f>financials[[#This Row],[Units Sold]]*financials[[#This Row],[Sale Price]]</f>
        <v>140</v>
      </c>
      <c r="H2885" s="8">
        <f>IF(financials[[#This Row],[Discount Band]]="low",0.1,IF(financials[[#This Row],[Discount Band]]="medium",0.15,0.3))</f>
        <v>0.3</v>
      </c>
      <c r="I2885" s="8">
        <f>financials[[#This Row],[Gross Sales]]-financials[[#This Row],[Gross Sales]]*financials[[#This Row],[Discounts]]</f>
        <v>98</v>
      </c>
      <c r="J2885" s="8">
        <f>VLOOKUP(financials[[#This Row],[productid]],Products!$B$2:$H$10,4)</f>
        <v>15</v>
      </c>
      <c r="K2885" s="8">
        <f>financials[[#This Row],[Net Sales]]-financials[[#This Row],[COGS]]</f>
        <v>83</v>
      </c>
      <c r="L2885" s="15">
        <v>45087</v>
      </c>
      <c r="M2885" t="s">
        <v>690</v>
      </c>
    </row>
    <row r="2886" spans="1:13" x14ac:dyDescent="0.25">
      <c r="A2886" t="s">
        <v>88</v>
      </c>
      <c r="B2886" s="6" t="s">
        <v>93</v>
      </c>
      <c r="C2886" s="13">
        <v>108</v>
      </c>
      <c r="D2886" s="14" t="s">
        <v>90</v>
      </c>
      <c r="E2886">
        <v>14</v>
      </c>
      <c r="F2886" s="8">
        <f>VLOOKUP(financials[[#This Row],[productid]],Products!$B$2:$H$10,3)</f>
        <v>5.5</v>
      </c>
      <c r="G2886" s="8">
        <f>financials[[#This Row],[Units Sold]]*financials[[#This Row],[Sale Price]]</f>
        <v>77</v>
      </c>
      <c r="H2886" s="8">
        <f>IF(financials[[#This Row],[Discount Band]]="low",0.1,IF(financials[[#This Row],[Discount Band]]="medium",0.15,0.3))</f>
        <v>0.15</v>
      </c>
      <c r="I2886" s="8">
        <f>financials[[#This Row],[Gross Sales]]-financials[[#This Row],[Gross Sales]]*financials[[#This Row],[Discounts]]</f>
        <v>65.45</v>
      </c>
      <c r="J2886" s="8">
        <f>VLOOKUP(financials[[#This Row],[productid]],Products!$B$2:$H$10,4)</f>
        <v>3.99</v>
      </c>
      <c r="K2886" s="8">
        <f>financials[[#This Row],[Net Sales]]-financials[[#This Row],[COGS]]</f>
        <v>61.46</v>
      </c>
      <c r="L2886" s="15">
        <v>44230</v>
      </c>
      <c r="M2886" t="s">
        <v>697</v>
      </c>
    </row>
    <row r="2887" spans="1:13" x14ac:dyDescent="0.25">
      <c r="A2887" t="s">
        <v>85</v>
      </c>
      <c r="B2887" s="6" t="s">
        <v>159</v>
      </c>
      <c r="C2887" s="11">
        <v>104</v>
      </c>
      <c r="D2887" s="9" t="s">
        <v>83</v>
      </c>
      <c r="E2887">
        <v>6</v>
      </c>
      <c r="F2887" s="8">
        <f>VLOOKUP(financials[[#This Row],[productid]],Products!$B$2:$H$10,3)</f>
        <v>5.9</v>
      </c>
      <c r="G2887" s="8">
        <f>financials[[#This Row],[Units Sold]]*financials[[#This Row],[Sale Price]]</f>
        <v>35.400000000000006</v>
      </c>
      <c r="H2887" s="8">
        <f>IF(financials[[#This Row],[Discount Band]]="low",0.1,IF(financials[[#This Row],[Discount Band]]="medium",0.15,0.3))</f>
        <v>0.3</v>
      </c>
      <c r="I2887" s="8">
        <f>financials[[#This Row],[Gross Sales]]-financials[[#This Row],[Gross Sales]]*financials[[#This Row],[Discounts]]</f>
        <v>24.780000000000005</v>
      </c>
      <c r="J2887" s="8">
        <f>VLOOKUP(financials[[#This Row],[productid]],Products!$B$2:$H$10,4)</f>
        <v>2.9</v>
      </c>
      <c r="K2887" s="8">
        <f>financials[[#This Row],[Net Sales]]-financials[[#This Row],[COGS]]</f>
        <v>21.880000000000006</v>
      </c>
      <c r="L2887" s="15">
        <v>44375</v>
      </c>
      <c r="M2887" t="s">
        <v>697</v>
      </c>
    </row>
    <row r="2888" spans="1:13" x14ac:dyDescent="0.25">
      <c r="A2888" t="s">
        <v>86</v>
      </c>
      <c r="B2888" s="6" t="s">
        <v>159</v>
      </c>
      <c r="C2888" s="13">
        <v>104</v>
      </c>
      <c r="D2888" s="14" t="s">
        <v>90</v>
      </c>
      <c r="E2888">
        <v>20</v>
      </c>
      <c r="F2888" s="8">
        <f>VLOOKUP(financials[[#This Row],[productid]],Products!$B$2:$H$10,3)</f>
        <v>5.9</v>
      </c>
      <c r="G2888" s="8">
        <f>financials[[#This Row],[Units Sold]]*financials[[#This Row],[Sale Price]]</f>
        <v>118</v>
      </c>
      <c r="H2888" s="8">
        <f>IF(financials[[#This Row],[Discount Band]]="low",0.1,IF(financials[[#This Row],[Discount Band]]="medium",0.15,0.3))</f>
        <v>0.15</v>
      </c>
      <c r="I2888" s="8">
        <f>financials[[#This Row],[Gross Sales]]-financials[[#This Row],[Gross Sales]]*financials[[#This Row],[Discounts]]</f>
        <v>100.3</v>
      </c>
      <c r="J2888" s="8">
        <f>VLOOKUP(financials[[#This Row],[productid]],Products!$B$2:$H$10,4)</f>
        <v>2.9</v>
      </c>
      <c r="K2888" s="8">
        <f>financials[[#This Row],[Net Sales]]-financials[[#This Row],[COGS]]</f>
        <v>97.399999999999991</v>
      </c>
      <c r="L2888" s="15">
        <v>45078</v>
      </c>
      <c r="M2888" t="s">
        <v>696</v>
      </c>
    </row>
    <row r="2889" spans="1:13" x14ac:dyDescent="0.25">
      <c r="A2889" t="s">
        <v>87</v>
      </c>
      <c r="B2889" s="6" t="s">
        <v>94</v>
      </c>
      <c r="C2889" s="13">
        <v>101</v>
      </c>
      <c r="D2889" s="14" t="s">
        <v>83</v>
      </c>
      <c r="E2889">
        <v>17</v>
      </c>
      <c r="F2889" s="8">
        <f>VLOOKUP(financials[[#This Row],[productid]],Products!$B$2:$H$10,3)</f>
        <v>23</v>
      </c>
      <c r="G2889" s="8">
        <f>financials[[#This Row],[Units Sold]]*financials[[#This Row],[Sale Price]]</f>
        <v>391</v>
      </c>
      <c r="H2889" s="8">
        <f>IF(financials[[#This Row],[Discount Band]]="low",0.1,IF(financials[[#This Row],[Discount Band]]="medium",0.15,0.3))</f>
        <v>0.3</v>
      </c>
      <c r="I2889" s="8">
        <f>financials[[#This Row],[Gross Sales]]-financials[[#This Row],[Gross Sales]]*financials[[#This Row],[Discounts]]</f>
        <v>273.7</v>
      </c>
      <c r="J2889" s="8">
        <f>VLOOKUP(financials[[#This Row],[productid]],Products!$B$2:$H$10,4)</f>
        <v>9.9499999999999993</v>
      </c>
      <c r="K2889" s="8">
        <f>financials[[#This Row],[Net Sales]]-financials[[#This Row],[COGS]]</f>
        <v>263.75</v>
      </c>
      <c r="L2889" s="15">
        <v>44769</v>
      </c>
      <c r="M2889" t="s">
        <v>697</v>
      </c>
    </row>
    <row r="2890" spans="1:13" x14ac:dyDescent="0.25">
      <c r="A2890" t="s">
        <v>85</v>
      </c>
      <c r="B2890" s="6" t="s">
        <v>159</v>
      </c>
      <c r="C2890" s="13">
        <v>107</v>
      </c>
      <c r="D2890" s="14" t="s">
        <v>91</v>
      </c>
      <c r="E2890">
        <v>15</v>
      </c>
      <c r="F2890" s="8">
        <f>VLOOKUP(financials[[#This Row],[productid]],Products!$B$2:$H$10,3)</f>
        <v>15</v>
      </c>
      <c r="G2890" s="8">
        <f>financials[[#This Row],[Units Sold]]*financials[[#This Row],[Sale Price]]</f>
        <v>225</v>
      </c>
      <c r="H2890" s="8">
        <f>IF(financials[[#This Row],[Discount Band]]="low",0.1,IF(financials[[#This Row],[Discount Band]]="medium",0.15,0.3))</f>
        <v>0.1</v>
      </c>
      <c r="I2890" s="8">
        <f>financials[[#This Row],[Gross Sales]]-financials[[#This Row],[Gross Sales]]*financials[[#This Row],[Discounts]]</f>
        <v>202.5</v>
      </c>
      <c r="J2890" s="8">
        <f>VLOOKUP(financials[[#This Row],[productid]],Products!$B$2:$H$10,4)</f>
        <v>5.5</v>
      </c>
      <c r="K2890" s="8">
        <f>financials[[#This Row],[Net Sales]]-financials[[#This Row],[COGS]]</f>
        <v>197</v>
      </c>
      <c r="L2890" s="15">
        <v>45154</v>
      </c>
      <c r="M2890" t="s">
        <v>697</v>
      </c>
    </row>
    <row r="2891" spans="1:13" x14ac:dyDescent="0.25">
      <c r="A2891" t="s">
        <v>86</v>
      </c>
      <c r="B2891" s="6" t="s">
        <v>266</v>
      </c>
      <c r="C2891" s="13">
        <v>109</v>
      </c>
      <c r="D2891" s="14" t="s">
        <v>83</v>
      </c>
      <c r="E2891">
        <v>19</v>
      </c>
      <c r="F2891" s="8">
        <f>VLOOKUP(financials[[#This Row],[productid]],Products!$B$2:$H$10,3)</f>
        <v>36</v>
      </c>
      <c r="G2891" s="8">
        <f>financials[[#This Row],[Units Sold]]*financials[[#This Row],[Sale Price]]</f>
        <v>684</v>
      </c>
      <c r="H2891" s="8">
        <f>IF(financials[[#This Row],[Discount Band]]="low",0.1,IF(financials[[#This Row],[Discount Band]]="medium",0.15,0.3))</f>
        <v>0.3</v>
      </c>
      <c r="I2891" s="8">
        <f>financials[[#This Row],[Gross Sales]]-financials[[#This Row],[Gross Sales]]*financials[[#This Row],[Discounts]]</f>
        <v>478.8</v>
      </c>
      <c r="J2891" s="8">
        <f>VLOOKUP(financials[[#This Row],[productid]],Products!$B$2:$H$10,4)</f>
        <v>16.8</v>
      </c>
      <c r="K2891" s="8">
        <f>financials[[#This Row],[Net Sales]]-financials[[#This Row],[COGS]]</f>
        <v>462</v>
      </c>
      <c r="L2891" s="15">
        <v>44133</v>
      </c>
      <c r="M2891" t="s">
        <v>697</v>
      </c>
    </row>
    <row r="2892" spans="1:13" x14ac:dyDescent="0.25">
      <c r="A2892" t="s">
        <v>87</v>
      </c>
      <c r="B2892" s="6" t="s">
        <v>95</v>
      </c>
      <c r="C2892" s="13">
        <v>109</v>
      </c>
      <c r="D2892" s="14" t="s">
        <v>91</v>
      </c>
      <c r="E2892">
        <v>14</v>
      </c>
      <c r="F2892" s="8">
        <f>VLOOKUP(financials[[#This Row],[productid]],Products!$B$2:$H$10,3)</f>
        <v>36</v>
      </c>
      <c r="G2892" s="8">
        <f>financials[[#This Row],[Units Sold]]*financials[[#This Row],[Sale Price]]</f>
        <v>504</v>
      </c>
      <c r="H2892" s="8">
        <f>IF(financials[[#This Row],[Discount Band]]="low",0.1,IF(financials[[#This Row],[Discount Band]]="medium",0.15,0.3))</f>
        <v>0.1</v>
      </c>
      <c r="I2892" s="8">
        <f>financials[[#This Row],[Gross Sales]]-financials[[#This Row],[Gross Sales]]*financials[[#This Row],[Discounts]]</f>
        <v>453.6</v>
      </c>
      <c r="J2892" s="8">
        <f>VLOOKUP(financials[[#This Row],[productid]],Products!$B$2:$H$10,4)</f>
        <v>16.8</v>
      </c>
      <c r="K2892" s="8">
        <f>financials[[#This Row],[Net Sales]]-financials[[#This Row],[COGS]]</f>
        <v>436.8</v>
      </c>
      <c r="L2892" s="15">
        <v>45132</v>
      </c>
      <c r="M2892" t="s">
        <v>697</v>
      </c>
    </row>
    <row r="2893" spans="1:13" x14ac:dyDescent="0.25">
      <c r="A2893" t="s">
        <v>85</v>
      </c>
      <c r="B2893" s="6" t="s">
        <v>124</v>
      </c>
      <c r="C2893" s="11">
        <v>107</v>
      </c>
      <c r="D2893" s="9" t="s">
        <v>90</v>
      </c>
      <c r="E2893">
        <v>17</v>
      </c>
      <c r="F2893" s="8">
        <f>VLOOKUP(financials[[#This Row],[productid]],Products!$B$2:$H$10,3)</f>
        <v>15</v>
      </c>
      <c r="G2893" s="8">
        <f>financials[[#This Row],[Units Sold]]*financials[[#This Row],[Sale Price]]</f>
        <v>255</v>
      </c>
      <c r="H2893" s="8">
        <f>IF(financials[[#This Row],[Discount Band]]="low",0.1,IF(financials[[#This Row],[Discount Band]]="medium",0.15,0.3))</f>
        <v>0.15</v>
      </c>
      <c r="I2893" s="8">
        <f>financials[[#This Row],[Gross Sales]]-financials[[#This Row],[Gross Sales]]*financials[[#This Row],[Discounts]]</f>
        <v>216.75</v>
      </c>
      <c r="J2893" s="8">
        <f>VLOOKUP(financials[[#This Row],[productid]],Products!$B$2:$H$10,4)</f>
        <v>5.5</v>
      </c>
      <c r="K2893" s="8">
        <f>financials[[#This Row],[Net Sales]]-financials[[#This Row],[COGS]]</f>
        <v>211.25</v>
      </c>
      <c r="L2893" s="15">
        <v>45283</v>
      </c>
      <c r="M2893" t="s">
        <v>690</v>
      </c>
    </row>
    <row r="2894" spans="1:13" x14ac:dyDescent="0.25">
      <c r="A2894" t="s">
        <v>86</v>
      </c>
      <c r="B2894" s="6" t="s">
        <v>84</v>
      </c>
      <c r="C2894" s="13">
        <v>109</v>
      </c>
      <c r="D2894" s="14" t="s">
        <v>90</v>
      </c>
      <c r="E2894">
        <v>8</v>
      </c>
      <c r="F2894" s="8">
        <f>VLOOKUP(financials[[#This Row],[productid]],Products!$B$2:$H$10,3)</f>
        <v>36</v>
      </c>
      <c r="G2894" s="8">
        <f>financials[[#This Row],[Units Sold]]*financials[[#This Row],[Sale Price]]</f>
        <v>288</v>
      </c>
      <c r="H2894" s="8">
        <f>IF(financials[[#This Row],[Discount Band]]="low",0.1,IF(financials[[#This Row],[Discount Band]]="medium",0.15,0.3))</f>
        <v>0.15</v>
      </c>
      <c r="I2894" s="8">
        <f>financials[[#This Row],[Gross Sales]]-financials[[#This Row],[Gross Sales]]*financials[[#This Row],[Discounts]]</f>
        <v>244.8</v>
      </c>
      <c r="J2894" s="8">
        <f>VLOOKUP(financials[[#This Row],[productid]],Products!$B$2:$H$10,4)</f>
        <v>16.8</v>
      </c>
      <c r="K2894" s="8">
        <f>financials[[#This Row],[Net Sales]]-financials[[#This Row],[COGS]]</f>
        <v>228</v>
      </c>
      <c r="L2894" s="15">
        <v>44656</v>
      </c>
      <c r="M2894" t="s">
        <v>696</v>
      </c>
    </row>
    <row r="2895" spans="1:13" x14ac:dyDescent="0.25">
      <c r="A2895" t="s">
        <v>89</v>
      </c>
      <c r="B2895" s="6" t="s">
        <v>159</v>
      </c>
      <c r="C2895" s="13">
        <v>104</v>
      </c>
      <c r="D2895" s="14" t="s">
        <v>83</v>
      </c>
      <c r="E2895">
        <v>19</v>
      </c>
      <c r="F2895" s="8">
        <f>VLOOKUP(financials[[#This Row],[productid]],Products!$B$2:$H$10,3)</f>
        <v>5.9</v>
      </c>
      <c r="G2895" s="8">
        <f>financials[[#This Row],[Units Sold]]*financials[[#This Row],[Sale Price]]</f>
        <v>112.10000000000001</v>
      </c>
      <c r="H2895" s="8">
        <f>IF(financials[[#This Row],[Discount Band]]="low",0.1,IF(financials[[#This Row],[Discount Band]]="medium",0.15,0.3))</f>
        <v>0.3</v>
      </c>
      <c r="I2895" s="8">
        <f>financials[[#This Row],[Gross Sales]]-financials[[#This Row],[Gross Sales]]*financials[[#This Row],[Discounts]]</f>
        <v>78.47</v>
      </c>
      <c r="J2895" s="8">
        <f>VLOOKUP(financials[[#This Row],[productid]],Products!$B$2:$H$10,4)</f>
        <v>2.9</v>
      </c>
      <c r="K2895" s="8">
        <f>financials[[#This Row],[Net Sales]]-financials[[#This Row],[COGS]]</f>
        <v>75.569999999999993</v>
      </c>
      <c r="L2895" s="15">
        <v>44202</v>
      </c>
      <c r="M2895" t="s">
        <v>690</v>
      </c>
    </row>
    <row r="2896" spans="1:13" x14ac:dyDescent="0.25">
      <c r="A2896" t="s">
        <v>88</v>
      </c>
      <c r="B2896" s="6" t="s">
        <v>93</v>
      </c>
      <c r="C2896" s="11">
        <v>108</v>
      </c>
      <c r="D2896" s="9" t="s">
        <v>83</v>
      </c>
      <c r="E2896">
        <v>5</v>
      </c>
      <c r="F2896" s="8">
        <f>VLOOKUP(financials[[#This Row],[productid]],Products!$B$2:$H$10,3)</f>
        <v>5.5</v>
      </c>
      <c r="G2896" s="8">
        <f>financials[[#This Row],[Units Sold]]*financials[[#This Row],[Sale Price]]</f>
        <v>27.5</v>
      </c>
      <c r="H2896" s="8">
        <f>IF(financials[[#This Row],[Discount Band]]="low",0.1,IF(financials[[#This Row],[Discount Band]]="medium",0.15,0.3))</f>
        <v>0.3</v>
      </c>
      <c r="I2896" s="8">
        <f>financials[[#This Row],[Gross Sales]]-financials[[#This Row],[Gross Sales]]*financials[[#This Row],[Discounts]]</f>
        <v>19.25</v>
      </c>
      <c r="J2896" s="8">
        <f>VLOOKUP(financials[[#This Row],[productid]],Products!$B$2:$H$10,4)</f>
        <v>3.99</v>
      </c>
      <c r="K2896" s="8">
        <f>financials[[#This Row],[Net Sales]]-financials[[#This Row],[COGS]]</f>
        <v>15.26</v>
      </c>
      <c r="L2896" s="15">
        <v>45568</v>
      </c>
      <c r="M2896" t="s">
        <v>691</v>
      </c>
    </row>
    <row r="2897" spans="1:13" x14ac:dyDescent="0.25">
      <c r="A2897" t="s">
        <v>86</v>
      </c>
      <c r="B2897" s="6" t="s">
        <v>84</v>
      </c>
      <c r="C2897" s="13">
        <v>102</v>
      </c>
      <c r="D2897" s="14" t="s">
        <v>90</v>
      </c>
      <c r="E2897">
        <v>13</v>
      </c>
      <c r="F2897" s="8">
        <f>VLOOKUP(financials[[#This Row],[productid]],Products!$B$2:$H$10,3)</f>
        <v>15</v>
      </c>
      <c r="G2897" s="8">
        <f>financials[[#This Row],[Units Sold]]*financials[[#This Row],[Sale Price]]</f>
        <v>195</v>
      </c>
      <c r="H2897" s="8">
        <f>IF(financials[[#This Row],[Discount Band]]="low",0.1,IF(financials[[#This Row],[Discount Band]]="medium",0.15,0.3))</f>
        <v>0.15</v>
      </c>
      <c r="I2897" s="8">
        <f>financials[[#This Row],[Gross Sales]]-financials[[#This Row],[Gross Sales]]*financials[[#This Row],[Discounts]]</f>
        <v>165.75</v>
      </c>
      <c r="J2897" s="8">
        <f>VLOOKUP(financials[[#This Row],[productid]],Products!$B$2:$H$10,4)</f>
        <v>13.95</v>
      </c>
      <c r="K2897" s="8">
        <f>financials[[#This Row],[Net Sales]]-financials[[#This Row],[COGS]]</f>
        <v>151.80000000000001</v>
      </c>
      <c r="L2897" s="15">
        <v>45269</v>
      </c>
      <c r="M2897" t="s">
        <v>696</v>
      </c>
    </row>
    <row r="2898" spans="1:13" x14ac:dyDescent="0.25">
      <c r="A2898" t="s">
        <v>86</v>
      </c>
      <c r="B2898" s="6" t="s">
        <v>159</v>
      </c>
      <c r="C2898" s="13">
        <v>102</v>
      </c>
      <c r="D2898" s="14" t="s">
        <v>83</v>
      </c>
      <c r="E2898">
        <v>6</v>
      </c>
      <c r="F2898" s="8">
        <f>VLOOKUP(financials[[#This Row],[productid]],Products!$B$2:$H$10,3)</f>
        <v>15</v>
      </c>
      <c r="G2898" s="8">
        <f>financials[[#This Row],[Units Sold]]*financials[[#This Row],[Sale Price]]</f>
        <v>90</v>
      </c>
      <c r="H2898" s="8">
        <f>IF(financials[[#This Row],[Discount Band]]="low",0.1,IF(financials[[#This Row],[Discount Band]]="medium",0.15,0.3))</f>
        <v>0.3</v>
      </c>
      <c r="I2898" s="8">
        <f>financials[[#This Row],[Gross Sales]]-financials[[#This Row],[Gross Sales]]*financials[[#This Row],[Discounts]]</f>
        <v>63</v>
      </c>
      <c r="J2898" s="8">
        <f>VLOOKUP(financials[[#This Row],[productid]],Products!$B$2:$H$10,4)</f>
        <v>13.95</v>
      </c>
      <c r="K2898" s="8">
        <f>financials[[#This Row],[Net Sales]]-financials[[#This Row],[COGS]]</f>
        <v>49.05</v>
      </c>
      <c r="L2898" s="15">
        <v>44190</v>
      </c>
      <c r="M2898" t="s">
        <v>690</v>
      </c>
    </row>
    <row r="2899" spans="1:13" x14ac:dyDescent="0.25">
      <c r="A2899" t="s">
        <v>86</v>
      </c>
      <c r="B2899" s="6" t="s">
        <v>84</v>
      </c>
      <c r="C2899" s="13">
        <v>101</v>
      </c>
      <c r="D2899" s="14" t="s">
        <v>90</v>
      </c>
      <c r="E2899">
        <v>19</v>
      </c>
      <c r="F2899" s="8">
        <f>VLOOKUP(financials[[#This Row],[productid]],Products!$B$2:$H$10,3)</f>
        <v>23</v>
      </c>
      <c r="G2899" s="8">
        <f>financials[[#This Row],[Units Sold]]*financials[[#This Row],[Sale Price]]</f>
        <v>437</v>
      </c>
      <c r="H2899" s="8">
        <f>IF(financials[[#This Row],[Discount Band]]="low",0.1,IF(financials[[#This Row],[Discount Band]]="medium",0.15,0.3))</f>
        <v>0.15</v>
      </c>
      <c r="I2899" s="8">
        <f>financials[[#This Row],[Gross Sales]]-financials[[#This Row],[Gross Sales]]*financials[[#This Row],[Discounts]]</f>
        <v>371.45</v>
      </c>
      <c r="J2899" s="8">
        <f>VLOOKUP(financials[[#This Row],[productid]],Products!$B$2:$H$10,4)</f>
        <v>9.9499999999999993</v>
      </c>
      <c r="K2899" s="8">
        <f>financials[[#This Row],[Net Sales]]-financials[[#This Row],[COGS]]</f>
        <v>361.5</v>
      </c>
      <c r="L2899" s="15">
        <v>45532</v>
      </c>
      <c r="M2899" t="s">
        <v>696</v>
      </c>
    </row>
    <row r="2900" spans="1:13" x14ac:dyDescent="0.25">
      <c r="A2900" t="s">
        <v>85</v>
      </c>
      <c r="B2900" s="6" t="s">
        <v>124</v>
      </c>
      <c r="C2900" s="13">
        <v>103</v>
      </c>
      <c r="D2900" s="14" t="s">
        <v>83</v>
      </c>
      <c r="E2900">
        <v>17</v>
      </c>
      <c r="F2900" s="8">
        <f>VLOOKUP(financials[[#This Row],[productid]],Products!$B$2:$H$10,3)</f>
        <v>28</v>
      </c>
      <c r="G2900" s="8">
        <f>financials[[#This Row],[Units Sold]]*financials[[#This Row],[Sale Price]]</f>
        <v>476</v>
      </c>
      <c r="H2900" s="8">
        <f>IF(financials[[#This Row],[Discount Band]]="low",0.1,IF(financials[[#This Row],[Discount Band]]="medium",0.15,0.3))</f>
        <v>0.3</v>
      </c>
      <c r="I2900" s="8">
        <f>financials[[#This Row],[Gross Sales]]-financials[[#This Row],[Gross Sales]]*financials[[#This Row],[Discounts]]</f>
        <v>333.20000000000005</v>
      </c>
      <c r="J2900" s="8">
        <f>VLOOKUP(financials[[#This Row],[productid]],Products!$B$2:$H$10,4)</f>
        <v>15</v>
      </c>
      <c r="K2900" s="8">
        <f>financials[[#This Row],[Net Sales]]-financials[[#This Row],[COGS]]</f>
        <v>318.20000000000005</v>
      </c>
      <c r="L2900" s="15">
        <v>43975</v>
      </c>
      <c r="M2900" t="s">
        <v>691</v>
      </c>
    </row>
    <row r="2901" spans="1:13" x14ac:dyDescent="0.25">
      <c r="A2901" t="s">
        <v>86</v>
      </c>
      <c r="B2901" s="6" t="s">
        <v>84</v>
      </c>
      <c r="C2901" s="11">
        <v>103</v>
      </c>
      <c r="D2901" s="9" t="s">
        <v>90</v>
      </c>
      <c r="E2901">
        <v>13</v>
      </c>
      <c r="F2901" s="8">
        <f>VLOOKUP(financials[[#This Row],[productid]],Products!$B$2:$H$10,3)</f>
        <v>28</v>
      </c>
      <c r="G2901" s="8">
        <f>financials[[#This Row],[Units Sold]]*financials[[#This Row],[Sale Price]]</f>
        <v>364</v>
      </c>
      <c r="H2901" s="8">
        <f>IF(financials[[#This Row],[Discount Band]]="low",0.1,IF(financials[[#This Row],[Discount Band]]="medium",0.15,0.3))</f>
        <v>0.15</v>
      </c>
      <c r="I2901" s="8">
        <f>financials[[#This Row],[Gross Sales]]-financials[[#This Row],[Gross Sales]]*financials[[#This Row],[Discounts]]</f>
        <v>309.39999999999998</v>
      </c>
      <c r="J2901" s="8">
        <f>VLOOKUP(financials[[#This Row],[productid]],Products!$B$2:$H$10,4)</f>
        <v>15</v>
      </c>
      <c r="K2901" s="8">
        <f>financials[[#This Row],[Net Sales]]-financials[[#This Row],[COGS]]</f>
        <v>294.39999999999998</v>
      </c>
      <c r="L2901" s="15">
        <v>44771</v>
      </c>
      <c r="M2901" t="s">
        <v>691</v>
      </c>
    </row>
    <row r="2902" spans="1:13" x14ac:dyDescent="0.25">
      <c r="A2902" t="s">
        <v>86</v>
      </c>
      <c r="B2902" s="6" t="s">
        <v>124</v>
      </c>
      <c r="C2902" s="13">
        <v>101</v>
      </c>
      <c r="D2902" s="14" t="s">
        <v>91</v>
      </c>
      <c r="E2902">
        <v>8</v>
      </c>
      <c r="F2902" s="8">
        <f>VLOOKUP(financials[[#This Row],[productid]],Products!$B$2:$H$10,3)</f>
        <v>23</v>
      </c>
      <c r="G2902" s="8">
        <f>financials[[#This Row],[Units Sold]]*financials[[#This Row],[Sale Price]]</f>
        <v>184</v>
      </c>
      <c r="H2902" s="8">
        <f>IF(financials[[#This Row],[Discount Band]]="low",0.1,IF(financials[[#This Row],[Discount Band]]="medium",0.15,0.3))</f>
        <v>0.1</v>
      </c>
      <c r="I2902" s="8">
        <f>financials[[#This Row],[Gross Sales]]-financials[[#This Row],[Gross Sales]]*financials[[#This Row],[Discounts]]</f>
        <v>165.6</v>
      </c>
      <c r="J2902" s="8">
        <f>VLOOKUP(financials[[#This Row],[productid]],Products!$B$2:$H$10,4)</f>
        <v>9.9499999999999993</v>
      </c>
      <c r="K2902" s="8">
        <f>financials[[#This Row],[Net Sales]]-financials[[#This Row],[COGS]]</f>
        <v>155.65</v>
      </c>
      <c r="L2902" s="15">
        <v>44643</v>
      </c>
      <c r="M2902" t="s">
        <v>691</v>
      </c>
    </row>
    <row r="2903" spans="1:13" x14ac:dyDescent="0.25">
      <c r="A2903" t="s">
        <v>86</v>
      </c>
      <c r="B2903" s="6" t="s">
        <v>93</v>
      </c>
      <c r="C2903" s="13">
        <v>104</v>
      </c>
      <c r="D2903" s="14" t="s">
        <v>83</v>
      </c>
      <c r="E2903">
        <v>6</v>
      </c>
      <c r="F2903" s="8">
        <f>VLOOKUP(financials[[#This Row],[productid]],Products!$B$2:$H$10,3)</f>
        <v>5.9</v>
      </c>
      <c r="G2903" s="8">
        <f>financials[[#This Row],[Units Sold]]*financials[[#This Row],[Sale Price]]</f>
        <v>35.400000000000006</v>
      </c>
      <c r="H2903" s="8">
        <f>IF(financials[[#This Row],[Discount Band]]="low",0.1,IF(financials[[#This Row],[Discount Band]]="medium",0.15,0.3))</f>
        <v>0.3</v>
      </c>
      <c r="I2903" s="8">
        <f>financials[[#This Row],[Gross Sales]]-financials[[#This Row],[Gross Sales]]*financials[[#This Row],[Discounts]]</f>
        <v>24.780000000000005</v>
      </c>
      <c r="J2903" s="8">
        <f>VLOOKUP(financials[[#This Row],[productid]],Products!$B$2:$H$10,4)</f>
        <v>2.9</v>
      </c>
      <c r="K2903" s="8">
        <f>financials[[#This Row],[Net Sales]]-financials[[#This Row],[COGS]]</f>
        <v>21.880000000000006</v>
      </c>
      <c r="L2903" s="15">
        <v>44030</v>
      </c>
      <c r="M2903" t="s">
        <v>700</v>
      </c>
    </row>
    <row r="2904" spans="1:13" x14ac:dyDescent="0.25">
      <c r="A2904" t="s">
        <v>89</v>
      </c>
      <c r="B2904" s="6" t="s">
        <v>124</v>
      </c>
      <c r="C2904" s="13">
        <v>107</v>
      </c>
      <c r="D2904" s="14" t="s">
        <v>83</v>
      </c>
      <c r="E2904">
        <v>6</v>
      </c>
      <c r="F2904" s="8">
        <f>VLOOKUP(financials[[#This Row],[productid]],Products!$B$2:$H$10,3)</f>
        <v>15</v>
      </c>
      <c r="G2904" s="8">
        <f>financials[[#This Row],[Units Sold]]*financials[[#This Row],[Sale Price]]</f>
        <v>90</v>
      </c>
      <c r="H2904" s="8">
        <f>IF(financials[[#This Row],[Discount Band]]="low",0.1,IF(financials[[#This Row],[Discount Band]]="medium",0.15,0.3))</f>
        <v>0.3</v>
      </c>
      <c r="I2904" s="8">
        <f>financials[[#This Row],[Gross Sales]]-financials[[#This Row],[Gross Sales]]*financials[[#This Row],[Discounts]]</f>
        <v>63</v>
      </c>
      <c r="J2904" s="8">
        <f>VLOOKUP(financials[[#This Row],[productid]],Products!$B$2:$H$10,4)</f>
        <v>5.5</v>
      </c>
      <c r="K2904" s="8">
        <f>financials[[#This Row],[Net Sales]]-financials[[#This Row],[COGS]]</f>
        <v>57.5</v>
      </c>
      <c r="L2904" s="15">
        <v>45497</v>
      </c>
      <c r="M2904" t="s">
        <v>697</v>
      </c>
    </row>
    <row r="2905" spans="1:13" x14ac:dyDescent="0.25">
      <c r="A2905" t="s">
        <v>86</v>
      </c>
      <c r="B2905" s="6" t="s">
        <v>124</v>
      </c>
      <c r="C2905" s="13">
        <v>108</v>
      </c>
      <c r="D2905" s="14" t="s">
        <v>90</v>
      </c>
      <c r="E2905">
        <v>20</v>
      </c>
      <c r="F2905" s="8">
        <f>VLOOKUP(financials[[#This Row],[productid]],Products!$B$2:$H$10,3)</f>
        <v>5.5</v>
      </c>
      <c r="G2905" s="8">
        <f>financials[[#This Row],[Units Sold]]*financials[[#This Row],[Sale Price]]</f>
        <v>110</v>
      </c>
      <c r="H2905" s="8">
        <f>IF(financials[[#This Row],[Discount Band]]="low",0.1,IF(financials[[#This Row],[Discount Band]]="medium",0.15,0.3))</f>
        <v>0.15</v>
      </c>
      <c r="I2905" s="8">
        <f>financials[[#This Row],[Gross Sales]]-financials[[#This Row],[Gross Sales]]*financials[[#This Row],[Discounts]]</f>
        <v>93.5</v>
      </c>
      <c r="J2905" s="8">
        <f>VLOOKUP(financials[[#This Row],[productid]],Products!$B$2:$H$10,4)</f>
        <v>3.99</v>
      </c>
      <c r="K2905" s="8">
        <f>financials[[#This Row],[Net Sales]]-financials[[#This Row],[COGS]]</f>
        <v>89.51</v>
      </c>
      <c r="L2905" s="15">
        <v>45608</v>
      </c>
      <c r="M2905" t="s">
        <v>696</v>
      </c>
    </row>
    <row r="2906" spans="1:13" x14ac:dyDescent="0.25">
      <c r="A2906" t="s">
        <v>89</v>
      </c>
      <c r="B2906" s="6" t="s">
        <v>159</v>
      </c>
      <c r="C2906" s="13">
        <v>104</v>
      </c>
      <c r="D2906" s="14" t="s">
        <v>83</v>
      </c>
      <c r="E2906">
        <v>6</v>
      </c>
      <c r="F2906" s="8">
        <f>VLOOKUP(financials[[#This Row],[productid]],Products!$B$2:$H$10,3)</f>
        <v>5.9</v>
      </c>
      <c r="G2906" s="8">
        <f>financials[[#This Row],[Units Sold]]*financials[[#This Row],[Sale Price]]</f>
        <v>35.400000000000006</v>
      </c>
      <c r="H2906" s="8">
        <f>IF(financials[[#This Row],[Discount Band]]="low",0.1,IF(financials[[#This Row],[Discount Band]]="medium",0.15,0.3))</f>
        <v>0.3</v>
      </c>
      <c r="I2906" s="8">
        <f>financials[[#This Row],[Gross Sales]]-financials[[#This Row],[Gross Sales]]*financials[[#This Row],[Discounts]]</f>
        <v>24.780000000000005</v>
      </c>
      <c r="J2906" s="8">
        <f>VLOOKUP(financials[[#This Row],[productid]],Products!$B$2:$H$10,4)</f>
        <v>2.9</v>
      </c>
      <c r="K2906" s="8">
        <f>financials[[#This Row],[Net Sales]]-financials[[#This Row],[COGS]]</f>
        <v>21.880000000000006</v>
      </c>
      <c r="L2906" s="15">
        <v>45528</v>
      </c>
      <c r="M2906" t="s">
        <v>691</v>
      </c>
    </row>
    <row r="2907" spans="1:13" x14ac:dyDescent="0.25">
      <c r="A2907" t="s">
        <v>85</v>
      </c>
      <c r="B2907" s="6" t="s">
        <v>124</v>
      </c>
      <c r="C2907" s="13">
        <v>108</v>
      </c>
      <c r="D2907" s="14" t="s">
        <v>83</v>
      </c>
      <c r="E2907">
        <v>10</v>
      </c>
      <c r="F2907" s="8">
        <f>VLOOKUP(financials[[#This Row],[productid]],Products!$B$2:$H$10,3)</f>
        <v>5.5</v>
      </c>
      <c r="G2907" s="8">
        <f>financials[[#This Row],[Units Sold]]*financials[[#This Row],[Sale Price]]</f>
        <v>55</v>
      </c>
      <c r="H2907" s="8">
        <f>IF(financials[[#This Row],[Discount Band]]="low",0.1,IF(financials[[#This Row],[Discount Band]]="medium",0.15,0.3))</f>
        <v>0.3</v>
      </c>
      <c r="I2907" s="8">
        <f>financials[[#This Row],[Gross Sales]]-financials[[#This Row],[Gross Sales]]*financials[[#This Row],[Discounts]]</f>
        <v>38.5</v>
      </c>
      <c r="J2907" s="8">
        <f>VLOOKUP(financials[[#This Row],[productid]],Products!$B$2:$H$10,4)</f>
        <v>3.99</v>
      </c>
      <c r="K2907" s="8">
        <f>financials[[#This Row],[Net Sales]]-financials[[#This Row],[COGS]]</f>
        <v>34.51</v>
      </c>
      <c r="L2907" s="15">
        <v>44211</v>
      </c>
      <c r="M2907" t="s">
        <v>691</v>
      </c>
    </row>
    <row r="2908" spans="1:13" x14ac:dyDescent="0.25">
      <c r="A2908" t="s">
        <v>89</v>
      </c>
      <c r="B2908" s="6" t="s">
        <v>159</v>
      </c>
      <c r="C2908" s="13">
        <v>107</v>
      </c>
      <c r="D2908" s="14" t="s">
        <v>83</v>
      </c>
      <c r="E2908">
        <v>9</v>
      </c>
      <c r="F2908" s="8">
        <f>VLOOKUP(financials[[#This Row],[productid]],Products!$B$2:$H$10,3)</f>
        <v>15</v>
      </c>
      <c r="G2908" s="8">
        <f>financials[[#This Row],[Units Sold]]*financials[[#This Row],[Sale Price]]</f>
        <v>135</v>
      </c>
      <c r="H2908" s="8">
        <f>IF(financials[[#This Row],[Discount Band]]="low",0.1,IF(financials[[#This Row],[Discount Band]]="medium",0.15,0.3))</f>
        <v>0.3</v>
      </c>
      <c r="I2908" s="8">
        <f>financials[[#This Row],[Gross Sales]]-financials[[#This Row],[Gross Sales]]*financials[[#This Row],[Discounts]]</f>
        <v>94.5</v>
      </c>
      <c r="J2908" s="8">
        <f>VLOOKUP(financials[[#This Row],[productid]],Products!$B$2:$H$10,4)</f>
        <v>5.5</v>
      </c>
      <c r="K2908" s="8">
        <f>financials[[#This Row],[Net Sales]]-financials[[#This Row],[COGS]]</f>
        <v>89</v>
      </c>
      <c r="L2908" s="15">
        <v>44598</v>
      </c>
      <c r="M2908" t="s">
        <v>700</v>
      </c>
    </row>
    <row r="2909" spans="1:13" x14ac:dyDescent="0.25">
      <c r="A2909" t="s">
        <v>85</v>
      </c>
      <c r="B2909" s="6" t="s">
        <v>159</v>
      </c>
      <c r="C2909" s="13">
        <v>103</v>
      </c>
      <c r="D2909" s="14" t="s">
        <v>90</v>
      </c>
      <c r="E2909">
        <v>11</v>
      </c>
      <c r="F2909" s="8">
        <f>VLOOKUP(financials[[#This Row],[productid]],Products!$B$2:$H$10,3)</f>
        <v>28</v>
      </c>
      <c r="G2909" s="8">
        <f>financials[[#This Row],[Units Sold]]*financials[[#This Row],[Sale Price]]</f>
        <v>308</v>
      </c>
      <c r="H2909" s="8">
        <f>IF(financials[[#This Row],[Discount Band]]="low",0.1,IF(financials[[#This Row],[Discount Band]]="medium",0.15,0.3))</f>
        <v>0.15</v>
      </c>
      <c r="I2909" s="8">
        <f>financials[[#This Row],[Gross Sales]]-financials[[#This Row],[Gross Sales]]*financials[[#This Row],[Discounts]]</f>
        <v>261.8</v>
      </c>
      <c r="J2909" s="8">
        <f>VLOOKUP(financials[[#This Row],[productid]],Products!$B$2:$H$10,4)</f>
        <v>15</v>
      </c>
      <c r="K2909" s="8">
        <f>financials[[#This Row],[Net Sales]]-financials[[#This Row],[COGS]]</f>
        <v>246.8</v>
      </c>
      <c r="L2909" s="15">
        <v>43869</v>
      </c>
      <c r="M2909" t="s">
        <v>697</v>
      </c>
    </row>
    <row r="2910" spans="1:13" x14ac:dyDescent="0.25">
      <c r="A2910" t="s">
        <v>85</v>
      </c>
      <c r="B2910" s="6" t="s">
        <v>124</v>
      </c>
      <c r="C2910" s="13">
        <v>103</v>
      </c>
      <c r="D2910" s="14" t="s">
        <v>90</v>
      </c>
      <c r="E2910">
        <v>13</v>
      </c>
      <c r="F2910" s="8">
        <f>VLOOKUP(financials[[#This Row],[productid]],Products!$B$2:$H$10,3)</f>
        <v>28</v>
      </c>
      <c r="G2910" s="8">
        <f>financials[[#This Row],[Units Sold]]*financials[[#This Row],[Sale Price]]</f>
        <v>364</v>
      </c>
      <c r="H2910" s="8">
        <f>IF(financials[[#This Row],[Discount Band]]="low",0.1,IF(financials[[#This Row],[Discount Band]]="medium",0.15,0.3))</f>
        <v>0.15</v>
      </c>
      <c r="I2910" s="8">
        <f>financials[[#This Row],[Gross Sales]]-financials[[#This Row],[Gross Sales]]*financials[[#This Row],[Discounts]]</f>
        <v>309.39999999999998</v>
      </c>
      <c r="J2910" s="8">
        <f>VLOOKUP(financials[[#This Row],[productid]],Products!$B$2:$H$10,4)</f>
        <v>15</v>
      </c>
      <c r="K2910" s="8">
        <f>financials[[#This Row],[Net Sales]]-financials[[#This Row],[COGS]]</f>
        <v>294.39999999999998</v>
      </c>
      <c r="L2910" s="15">
        <v>45317</v>
      </c>
      <c r="M2910" t="s">
        <v>696</v>
      </c>
    </row>
    <row r="2911" spans="1:13" x14ac:dyDescent="0.25">
      <c r="A2911" t="s">
        <v>85</v>
      </c>
      <c r="B2911" s="6" t="s">
        <v>124</v>
      </c>
      <c r="C2911" s="13">
        <v>105</v>
      </c>
      <c r="D2911" s="14" t="s">
        <v>90</v>
      </c>
      <c r="E2911">
        <v>16</v>
      </c>
      <c r="F2911" s="8">
        <f>VLOOKUP(financials[[#This Row],[productid]],Products!$B$2:$H$10,3)</f>
        <v>15</v>
      </c>
      <c r="G2911" s="8">
        <f>financials[[#This Row],[Units Sold]]*financials[[#This Row],[Sale Price]]</f>
        <v>240</v>
      </c>
      <c r="H2911" s="8">
        <f>IF(financials[[#This Row],[Discount Band]]="low",0.1,IF(financials[[#This Row],[Discount Band]]="medium",0.15,0.3))</f>
        <v>0.15</v>
      </c>
      <c r="I2911" s="8">
        <f>financials[[#This Row],[Gross Sales]]-financials[[#This Row],[Gross Sales]]*financials[[#This Row],[Discounts]]</f>
        <v>204</v>
      </c>
      <c r="J2911" s="8">
        <f>VLOOKUP(financials[[#This Row],[productid]],Products!$B$2:$H$10,4)</f>
        <v>10</v>
      </c>
      <c r="K2911" s="8">
        <f>financials[[#This Row],[Net Sales]]-financials[[#This Row],[COGS]]</f>
        <v>194</v>
      </c>
      <c r="L2911" s="15">
        <v>43901</v>
      </c>
      <c r="M2911" t="s">
        <v>697</v>
      </c>
    </row>
    <row r="2912" spans="1:13" x14ac:dyDescent="0.25">
      <c r="A2912" t="s">
        <v>89</v>
      </c>
      <c r="B2912" s="6" t="s">
        <v>159</v>
      </c>
      <c r="C2912" s="11">
        <v>102</v>
      </c>
      <c r="D2912" s="9" t="s">
        <v>90</v>
      </c>
      <c r="E2912">
        <v>20</v>
      </c>
      <c r="F2912" s="8">
        <f>VLOOKUP(financials[[#This Row],[productid]],Products!$B$2:$H$10,3)</f>
        <v>15</v>
      </c>
      <c r="G2912" s="8">
        <f>financials[[#This Row],[Units Sold]]*financials[[#This Row],[Sale Price]]</f>
        <v>300</v>
      </c>
      <c r="H2912" s="8">
        <f>IF(financials[[#This Row],[Discount Band]]="low",0.1,IF(financials[[#This Row],[Discount Band]]="medium",0.15,0.3))</f>
        <v>0.15</v>
      </c>
      <c r="I2912" s="8">
        <f>financials[[#This Row],[Gross Sales]]-financials[[#This Row],[Gross Sales]]*financials[[#This Row],[Discounts]]</f>
        <v>255</v>
      </c>
      <c r="J2912" s="8">
        <f>VLOOKUP(financials[[#This Row],[productid]],Products!$B$2:$H$10,4)</f>
        <v>13.95</v>
      </c>
      <c r="K2912" s="8">
        <f>financials[[#This Row],[Net Sales]]-financials[[#This Row],[COGS]]</f>
        <v>241.05</v>
      </c>
      <c r="L2912" s="15">
        <v>45243</v>
      </c>
      <c r="M2912" t="s">
        <v>700</v>
      </c>
    </row>
    <row r="2913" spans="1:13" x14ac:dyDescent="0.25">
      <c r="A2913" t="s">
        <v>87</v>
      </c>
      <c r="B2913" s="6" t="s">
        <v>95</v>
      </c>
      <c r="C2913" s="13">
        <v>107</v>
      </c>
      <c r="D2913" s="14" t="s">
        <v>91</v>
      </c>
      <c r="E2913">
        <v>10</v>
      </c>
      <c r="F2913" s="8">
        <f>VLOOKUP(financials[[#This Row],[productid]],Products!$B$2:$H$10,3)</f>
        <v>15</v>
      </c>
      <c r="G2913" s="8">
        <f>financials[[#This Row],[Units Sold]]*financials[[#This Row],[Sale Price]]</f>
        <v>150</v>
      </c>
      <c r="H2913" s="8">
        <f>IF(financials[[#This Row],[Discount Band]]="low",0.1,IF(financials[[#This Row],[Discount Band]]="medium",0.15,0.3))</f>
        <v>0.1</v>
      </c>
      <c r="I2913" s="8">
        <f>financials[[#This Row],[Gross Sales]]-financials[[#This Row],[Gross Sales]]*financials[[#This Row],[Discounts]]</f>
        <v>135</v>
      </c>
      <c r="J2913" s="8">
        <f>VLOOKUP(financials[[#This Row],[productid]],Products!$B$2:$H$10,4)</f>
        <v>5.5</v>
      </c>
      <c r="K2913" s="8">
        <f>financials[[#This Row],[Net Sales]]-financials[[#This Row],[COGS]]</f>
        <v>129.5</v>
      </c>
      <c r="L2913" s="15">
        <v>44195</v>
      </c>
      <c r="M2913" t="s">
        <v>690</v>
      </c>
    </row>
    <row r="2914" spans="1:13" x14ac:dyDescent="0.25">
      <c r="A2914" t="s">
        <v>88</v>
      </c>
      <c r="B2914" s="6" t="s">
        <v>545</v>
      </c>
      <c r="C2914" s="13">
        <v>104</v>
      </c>
      <c r="D2914" s="14" t="s">
        <v>91</v>
      </c>
      <c r="E2914">
        <v>7</v>
      </c>
      <c r="F2914" s="8">
        <f>VLOOKUP(financials[[#This Row],[productid]],Products!$B$2:$H$10,3)</f>
        <v>5.9</v>
      </c>
      <c r="G2914" s="8">
        <f>financials[[#This Row],[Units Sold]]*financials[[#This Row],[Sale Price]]</f>
        <v>41.300000000000004</v>
      </c>
      <c r="H2914" s="8">
        <f>IF(financials[[#This Row],[Discount Band]]="low",0.1,IF(financials[[#This Row],[Discount Band]]="medium",0.15,0.3))</f>
        <v>0.1</v>
      </c>
      <c r="I2914" s="8">
        <f>financials[[#This Row],[Gross Sales]]-financials[[#This Row],[Gross Sales]]*financials[[#This Row],[Discounts]]</f>
        <v>37.17</v>
      </c>
      <c r="J2914" s="8">
        <f>VLOOKUP(financials[[#This Row],[productid]],Products!$B$2:$H$10,4)</f>
        <v>2.9</v>
      </c>
      <c r="K2914" s="8">
        <f>financials[[#This Row],[Net Sales]]-financials[[#This Row],[COGS]]</f>
        <v>34.270000000000003</v>
      </c>
      <c r="L2914" s="15">
        <v>44138</v>
      </c>
      <c r="M2914" t="s">
        <v>696</v>
      </c>
    </row>
    <row r="2915" spans="1:13" x14ac:dyDescent="0.25">
      <c r="A2915" t="s">
        <v>86</v>
      </c>
      <c r="B2915" s="6" t="s">
        <v>124</v>
      </c>
      <c r="C2915" s="13">
        <v>109</v>
      </c>
      <c r="D2915" s="14" t="s">
        <v>83</v>
      </c>
      <c r="E2915">
        <v>10</v>
      </c>
      <c r="F2915" s="8">
        <f>VLOOKUP(financials[[#This Row],[productid]],Products!$B$2:$H$10,3)</f>
        <v>36</v>
      </c>
      <c r="G2915" s="8">
        <f>financials[[#This Row],[Units Sold]]*financials[[#This Row],[Sale Price]]</f>
        <v>360</v>
      </c>
      <c r="H2915" s="8">
        <f>IF(financials[[#This Row],[Discount Band]]="low",0.1,IF(financials[[#This Row],[Discount Band]]="medium",0.15,0.3))</f>
        <v>0.3</v>
      </c>
      <c r="I2915" s="8">
        <f>financials[[#This Row],[Gross Sales]]-financials[[#This Row],[Gross Sales]]*financials[[#This Row],[Discounts]]</f>
        <v>252</v>
      </c>
      <c r="J2915" s="8">
        <f>VLOOKUP(financials[[#This Row],[productid]],Products!$B$2:$H$10,4)</f>
        <v>16.8</v>
      </c>
      <c r="K2915" s="8">
        <f>financials[[#This Row],[Net Sales]]-financials[[#This Row],[COGS]]</f>
        <v>235.2</v>
      </c>
      <c r="L2915" s="15">
        <v>44438</v>
      </c>
      <c r="M2915" t="s">
        <v>697</v>
      </c>
    </row>
    <row r="2916" spans="1:13" x14ac:dyDescent="0.25">
      <c r="A2916" t="s">
        <v>86</v>
      </c>
      <c r="B2916" s="6" t="s">
        <v>266</v>
      </c>
      <c r="C2916" s="11">
        <v>106</v>
      </c>
      <c r="D2916" s="9" t="s">
        <v>83</v>
      </c>
      <c r="E2916">
        <v>13</v>
      </c>
      <c r="F2916" s="8">
        <f>VLOOKUP(financials[[#This Row],[productid]],Products!$B$2:$H$10,3)</f>
        <v>25</v>
      </c>
      <c r="G2916" s="8">
        <f>financials[[#This Row],[Units Sold]]*financials[[#This Row],[Sale Price]]</f>
        <v>325</v>
      </c>
      <c r="H2916" s="8">
        <f>IF(financials[[#This Row],[Discount Band]]="low",0.1,IF(financials[[#This Row],[Discount Band]]="medium",0.15,0.3))</f>
        <v>0.3</v>
      </c>
      <c r="I2916" s="8">
        <f>financials[[#This Row],[Gross Sales]]-financials[[#This Row],[Gross Sales]]*financials[[#This Row],[Discounts]]</f>
        <v>227.5</v>
      </c>
      <c r="J2916" s="8">
        <f>VLOOKUP(financials[[#This Row],[productid]],Products!$B$2:$H$10,4)</f>
        <v>9.1</v>
      </c>
      <c r="K2916" s="8">
        <f>financials[[#This Row],[Net Sales]]-financials[[#This Row],[COGS]]</f>
        <v>218.4</v>
      </c>
      <c r="L2916" s="15">
        <v>44720</v>
      </c>
      <c r="M2916" t="s">
        <v>691</v>
      </c>
    </row>
    <row r="2917" spans="1:13" x14ac:dyDescent="0.25">
      <c r="A2917" t="s">
        <v>87</v>
      </c>
      <c r="B2917" s="6" t="s">
        <v>273</v>
      </c>
      <c r="C2917" s="13">
        <v>105</v>
      </c>
      <c r="D2917" s="14" t="s">
        <v>83</v>
      </c>
      <c r="E2917">
        <v>6</v>
      </c>
      <c r="F2917" s="8">
        <f>VLOOKUP(financials[[#This Row],[productid]],Products!$B$2:$H$10,3)</f>
        <v>15</v>
      </c>
      <c r="G2917" s="8">
        <f>financials[[#This Row],[Units Sold]]*financials[[#This Row],[Sale Price]]</f>
        <v>90</v>
      </c>
      <c r="H2917" s="8">
        <f>IF(financials[[#This Row],[Discount Band]]="low",0.1,IF(financials[[#This Row],[Discount Band]]="medium",0.15,0.3))</f>
        <v>0.3</v>
      </c>
      <c r="I2917" s="8">
        <f>financials[[#This Row],[Gross Sales]]-financials[[#This Row],[Gross Sales]]*financials[[#This Row],[Discounts]]</f>
        <v>63</v>
      </c>
      <c r="J2917" s="8">
        <f>VLOOKUP(financials[[#This Row],[productid]],Products!$B$2:$H$10,4)</f>
        <v>10</v>
      </c>
      <c r="K2917" s="8">
        <f>financials[[#This Row],[Net Sales]]-financials[[#This Row],[COGS]]</f>
        <v>53</v>
      </c>
      <c r="L2917" s="15">
        <v>44548</v>
      </c>
      <c r="M2917" t="s">
        <v>691</v>
      </c>
    </row>
    <row r="2918" spans="1:13" x14ac:dyDescent="0.25">
      <c r="A2918" t="s">
        <v>86</v>
      </c>
      <c r="B2918" s="6" t="s">
        <v>93</v>
      </c>
      <c r="C2918" s="13">
        <v>103</v>
      </c>
      <c r="D2918" s="14" t="s">
        <v>83</v>
      </c>
      <c r="E2918">
        <v>10</v>
      </c>
      <c r="F2918" s="8">
        <f>VLOOKUP(financials[[#This Row],[productid]],Products!$B$2:$H$10,3)</f>
        <v>28</v>
      </c>
      <c r="G2918" s="8">
        <f>financials[[#This Row],[Units Sold]]*financials[[#This Row],[Sale Price]]</f>
        <v>280</v>
      </c>
      <c r="H2918" s="8">
        <f>IF(financials[[#This Row],[Discount Band]]="low",0.1,IF(financials[[#This Row],[Discount Band]]="medium",0.15,0.3))</f>
        <v>0.3</v>
      </c>
      <c r="I2918" s="8">
        <f>financials[[#This Row],[Gross Sales]]-financials[[#This Row],[Gross Sales]]*financials[[#This Row],[Discounts]]</f>
        <v>196</v>
      </c>
      <c r="J2918" s="8">
        <f>VLOOKUP(financials[[#This Row],[productid]],Products!$B$2:$H$10,4)</f>
        <v>15</v>
      </c>
      <c r="K2918" s="8">
        <f>financials[[#This Row],[Net Sales]]-financials[[#This Row],[COGS]]</f>
        <v>181</v>
      </c>
      <c r="L2918" s="15">
        <v>44058</v>
      </c>
      <c r="M2918" t="s">
        <v>691</v>
      </c>
    </row>
    <row r="2919" spans="1:13" x14ac:dyDescent="0.25">
      <c r="A2919" t="s">
        <v>86</v>
      </c>
      <c r="B2919" s="6" t="s">
        <v>124</v>
      </c>
      <c r="C2919" s="13">
        <v>101</v>
      </c>
      <c r="D2919" s="14" t="s">
        <v>90</v>
      </c>
      <c r="E2919">
        <v>18</v>
      </c>
      <c r="F2919" s="8">
        <f>VLOOKUP(financials[[#This Row],[productid]],Products!$B$2:$H$10,3)</f>
        <v>23</v>
      </c>
      <c r="G2919" s="8">
        <f>financials[[#This Row],[Units Sold]]*financials[[#This Row],[Sale Price]]</f>
        <v>414</v>
      </c>
      <c r="H2919" s="8">
        <f>IF(financials[[#This Row],[Discount Band]]="low",0.1,IF(financials[[#This Row],[Discount Band]]="medium",0.15,0.3))</f>
        <v>0.15</v>
      </c>
      <c r="I2919" s="8">
        <f>financials[[#This Row],[Gross Sales]]-financials[[#This Row],[Gross Sales]]*financials[[#This Row],[Discounts]]</f>
        <v>351.9</v>
      </c>
      <c r="J2919" s="8">
        <f>VLOOKUP(financials[[#This Row],[productid]],Products!$B$2:$H$10,4)</f>
        <v>9.9499999999999993</v>
      </c>
      <c r="K2919" s="8">
        <f>financials[[#This Row],[Net Sales]]-financials[[#This Row],[COGS]]</f>
        <v>341.95</v>
      </c>
      <c r="L2919" s="15">
        <v>44317</v>
      </c>
      <c r="M2919" t="s">
        <v>700</v>
      </c>
    </row>
    <row r="2920" spans="1:13" x14ac:dyDescent="0.25">
      <c r="A2920" t="s">
        <v>87</v>
      </c>
      <c r="B2920" s="6" t="s">
        <v>276</v>
      </c>
      <c r="C2920" s="11">
        <v>103</v>
      </c>
      <c r="D2920" s="9" t="s">
        <v>92</v>
      </c>
      <c r="E2920">
        <v>7</v>
      </c>
      <c r="F2920" s="8">
        <f>VLOOKUP(financials[[#This Row],[productid]],Products!$B$2:$H$10,3)</f>
        <v>28</v>
      </c>
      <c r="G2920" s="8">
        <f>financials[[#This Row],[Units Sold]]*financials[[#This Row],[Sale Price]]</f>
        <v>196</v>
      </c>
      <c r="H2920" s="8">
        <f>IF(financials[[#This Row],[Discount Band]]="low",0.1,IF(financials[[#This Row],[Discount Band]]="medium",0.15,0.3))</f>
        <v>0.3</v>
      </c>
      <c r="I2920" s="8">
        <f>financials[[#This Row],[Gross Sales]]-financials[[#This Row],[Gross Sales]]*financials[[#This Row],[Discounts]]</f>
        <v>137.19999999999999</v>
      </c>
      <c r="J2920" s="8">
        <f>VLOOKUP(financials[[#This Row],[productid]],Products!$B$2:$H$10,4)</f>
        <v>15</v>
      </c>
      <c r="K2920" s="8">
        <f>financials[[#This Row],[Net Sales]]-financials[[#This Row],[COGS]]</f>
        <v>122.19999999999999</v>
      </c>
      <c r="L2920" s="15">
        <v>44695</v>
      </c>
      <c r="M2920" t="s">
        <v>700</v>
      </c>
    </row>
    <row r="2921" spans="1:13" x14ac:dyDescent="0.25">
      <c r="A2921" t="s">
        <v>87</v>
      </c>
      <c r="B2921" s="6" t="s">
        <v>94</v>
      </c>
      <c r="C2921" s="13">
        <v>103</v>
      </c>
      <c r="D2921" s="14" t="s">
        <v>83</v>
      </c>
      <c r="E2921">
        <v>10</v>
      </c>
      <c r="F2921" s="8">
        <f>VLOOKUP(financials[[#This Row],[productid]],Products!$B$2:$H$10,3)</f>
        <v>28</v>
      </c>
      <c r="G2921" s="8">
        <f>financials[[#This Row],[Units Sold]]*financials[[#This Row],[Sale Price]]</f>
        <v>280</v>
      </c>
      <c r="H2921" s="8">
        <f>IF(financials[[#This Row],[Discount Band]]="low",0.1,IF(financials[[#This Row],[Discount Band]]="medium",0.15,0.3))</f>
        <v>0.3</v>
      </c>
      <c r="I2921" s="8">
        <f>financials[[#This Row],[Gross Sales]]-financials[[#This Row],[Gross Sales]]*financials[[#This Row],[Discounts]]</f>
        <v>196</v>
      </c>
      <c r="J2921" s="8">
        <f>VLOOKUP(financials[[#This Row],[productid]],Products!$B$2:$H$10,4)</f>
        <v>15</v>
      </c>
      <c r="K2921" s="8">
        <f>financials[[#This Row],[Net Sales]]-financials[[#This Row],[COGS]]</f>
        <v>181</v>
      </c>
      <c r="L2921" s="15">
        <v>44742</v>
      </c>
      <c r="M2921" t="s">
        <v>691</v>
      </c>
    </row>
    <row r="2922" spans="1:13" x14ac:dyDescent="0.25">
      <c r="A2922" t="s">
        <v>88</v>
      </c>
      <c r="B2922" s="6" t="s">
        <v>266</v>
      </c>
      <c r="C2922" s="13">
        <v>106</v>
      </c>
      <c r="D2922" s="14" t="s">
        <v>90</v>
      </c>
      <c r="E2922">
        <v>18</v>
      </c>
      <c r="F2922" s="8">
        <f>VLOOKUP(financials[[#This Row],[productid]],Products!$B$2:$H$10,3)</f>
        <v>25</v>
      </c>
      <c r="G2922" s="8">
        <f>financials[[#This Row],[Units Sold]]*financials[[#This Row],[Sale Price]]</f>
        <v>450</v>
      </c>
      <c r="H2922" s="8">
        <f>IF(financials[[#This Row],[Discount Band]]="low",0.1,IF(financials[[#This Row],[Discount Band]]="medium",0.15,0.3))</f>
        <v>0.15</v>
      </c>
      <c r="I2922" s="8">
        <f>financials[[#This Row],[Gross Sales]]-financials[[#This Row],[Gross Sales]]*financials[[#This Row],[Discounts]]</f>
        <v>382.5</v>
      </c>
      <c r="J2922" s="8">
        <f>VLOOKUP(financials[[#This Row],[productid]],Products!$B$2:$H$10,4)</f>
        <v>9.1</v>
      </c>
      <c r="K2922" s="8">
        <f>financials[[#This Row],[Net Sales]]-financials[[#This Row],[COGS]]</f>
        <v>373.4</v>
      </c>
      <c r="L2922" s="15">
        <v>44806</v>
      </c>
      <c r="M2922" t="s">
        <v>700</v>
      </c>
    </row>
    <row r="2923" spans="1:13" x14ac:dyDescent="0.25">
      <c r="A2923" t="s">
        <v>86</v>
      </c>
      <c r="B2923" s="6" t="s">
        <v>266</v>
      </c>
      <c r="C2923" s="13">
        <v>105</v>
      </c>
      <c r="D2923" s="14" t="s">
        <v>91</v>
      </c>
      <c r="E2923">
        <v>16</v>
      </c>
      <c r="F2923" s="8">
        <f>VLOOKUP(financials[[#This Row],[productid]],Products!$B$2:$H$10,3)</f>
        <v>15</v>
      </c>
      <c r="G2923" s="8">
        <f>financials[[#This Row],[Units Sold]]*financials[[#This Row],[Sale Price]]</f>
        <v>240</v>
      </c>
      <c r="H2923" s="8">
        <f>IF(financials[[#This Row],[Discount Band]]="low",0.1,IF(financials[[#This Row],[Discount Band]]="medium",0.15,0.3))</f>
        <v>0.1</v>
      </c>
      <c r="I2923" s="8">
        <f>financials[[#This Row],[Gross Sales]]-financials[[#This Row],[Gross Sales]]*financials[[#This Row],[Discounts]]</f>
        <v>216</v>
      </c>
      <c r="J2923" s="8">
        <f>VLOOKUP(financials[[#This Row],[productid]],Products!$B$2:$H$10,4)</f>
        <v>10</v>
      </c>
      <c r="K2923" s="8">
        <f>financials[[#This Row],[Net Sales]]-financials[[#This Row],[COGS]]</f>
        <v>206</v>
      </c>
      <c r="L2923" s="15">
        <v>45167</v>
      </c>
      <c r="M2923" t="s">
        <v>697</v>
      </c>
    </row>
    <row r="2924" spans="1:13" x14ac:dyDescent="0.25">
      <c r="A2924" t="s">
        <v>85</v>
      </c>
      <c r="B2924" s="6" t="s">
        <v>159</v>
      </c>
      <c r="C2924" s="13">
        <v>103</v>
      </c>
      <c r="D2924" s="14" t="s">
        <v>92</v>
      </c>
      <c r="E2924">
        <v>15</v>
      </c>
      <c r="F2924" s="8">
        <f>VLOOKUP(financials[[#This Row],[productid]],Products!$B$2:$H$10,3)</f>
        <v>28</v>
      </c>
      <c r="G2924" s="8">
        <f>financials[[#This Row],[Units Sold]]*financials[[#This Row],[Sale Price]]</f>
        <v>420</v>
      </c>
      <c r="H2924" s="8">
        <f>IF(financials[[#This Row],[Discount Band]]="low",0.1,IF(financials[[#This Row],[Discount Band]]="medium",0.15,0.3))</f>
        <v>0.3</v>
      </c>
      <c r="I2924" s="8">
        <f>financials[[#This Row],[Gross Sales]]-financials[[#This Row],[Gross Sales]]*financials[[#This Row],[Discounts]]</f>
        <v>294</v>
      </c>
      <c r="J2924" s="8">
        <f>VLOOKUP(financials[[#This Row],[productid]],Products!$B$2:$H$10,4)</f>
        <v>15</v>
      </c>
      <c r="K2924" s="8">
        <f>financials[[#This Row],[Net Sales]]-financials[[#This Row],[COGS]]</f>
        <v>279</v>
      </c>
      <c r="L2924" s="15">
        <v>45178</v>
      </c>
      <c r="M2924" t="s">
        <v>690</v>
      </c>
    </row>
    <row r="2925" spans="1:13" x14ac:dyDescent="0.25">
      <c r="A2925" t="s">
        <v>86</v>
      </c>
      <c r="B2925" s="6" t="s">
        <v>159</v>
      </c>
      <c r="C2925" s="13">
        <v>101</v>
      </c>
      <c r="D2925" s="14" t="s">
        <v>83</v>
      </c>
      <c r="E2925">
        <v>11</v>
      </c>
      <c r="F2925" s="8">
        <f>VLOOKUP(financials[[#This Row],[productid]],Products!$B$2:$H$10,3)</f>
        <v>23</v>
      </c>
      <c r="G2925" s="8">
        <f>financials[[#This Row],[Units Sold]]*financials[[#This Row],[Sale Price]]</f>
        <v>253</v>
      </c>
      <c r="H2925" s="8">
        <f>IF(financials[[#This Row],[Discount Band]]="low",0.1,IF(financials[[#This Row],[Discount Band]]="medium",0.15,0.3))</f>
        <v>0.3</v>
      </c>
      <c r="I2925" s="8">
        <f>financials[[#This Row],[Gross Sales]]-financials[[#This Row],[Gross Sales]]*financials[[#This Row],[Discounts]]</f>
        <v>177.10000000000002</v>
      </c>
      <c r="J2925" s="8">
        <f>VLOOKUP(financials[[#This Row],[productid]],Products!$B$2:$H$10,4)</f>
        <v>9.9499999999999993</v>
      </c>
      <c r="K2925" s="8">
        <f>financials[[#This Row],[Net Sales]]-financials[[#This Row],[COGS]]</f>
        <v>167.15000000000003</v>
      </c>
      <c r="L2925" s="15">
        <v>45412</v>
      </c>
      <c r="M2925" t="s">
        <v>690</v>
      </c>
    </row>
    <row r="2926" spans="1:13" x14ac:dyDescent="0.25">
      <c r="A2926" t="s">
        <v>85</v>
      </c>
      <c r="B2926" s="6" t="s">
        <v>159</v>
      </c>
      <c r="C2926" s="13">
        <v>102</v>
      </c>
      <c r="D2926" s="14" t="s">
        <v>91</v>
      </c>
      <c r="E2926">
        <v>9</v>
      </c>
      <c r="F2926" s="8">
        <f>VLOOKUP(financials[[#This Row],[productid]],Products!$B$2:$H$10,3)</f>
        <v>15</v>
      </c>
      <c r="G2926" s="8">
        <f>financials[[#This Row],[Units Sold]]*financials[[#This Row],[Sale Price]]</f>
        <v>135</v>
      </c>
      <c r="H2926" s="8">
        <f>IF(financials[[#This Row],[Discount Band]]="low",0.1,IF(financials[[#This Row],[Discount Band]]="medium",0.15,0.3))</f>
        <v>0.1</v>
      </c>
      <c r="I2926" s="8">
        <f>financials[[#This Row],[Gross Sales]]-financials[[#This Row],[Gross Sales]]*financials[[#This Row],[Discounts]]</f>
        <v>121.5</v>
      </c>
      <c r="J2926" s="8">
        <f>VLOOKUP(financials[[#This Row],[productid]],Products!$B$2:$H$10,4)</f>
        <v>13.95</v>
      </c>
      <c r="K2926" s="8">
        <f>financials[[#This Row],[Net Sales]]-financials[[#This Row],[COGS]]</f>
        <v>107.55</v>
      </c>
      <c r="L2926" s="15">
        <v>43831</v>
      </c>
      <c r="M2926" t="s">
        <v>690</v>
      </c>
    </row>
    <row r="2927" spans="1:13" x14ac:dyDescent="0.25">
      <c r="A2927" t="s">
        <v>87</v>
      </c>
      <c r="B2927" s="6" t="s">
        <v>268</v>
      </c>
      <c r="C2927" s="11">
        <v>108</v>
      </c>
      <c r="D2927" s="9" t="s">
        <v>92</v>
      </c>
      <c r="E2927">
        <v>17</v>
      </c>
      <c r="F2927" s="8">
        <f>VLOOKUP(financials[[#This Row],[productid]],Products!$B$2:$H$10,3)</f>
        <v>5.5</v>
      </c>
      <c r="G2927" s="8">
        <f>financials[[#This Row],[Units Sold]]*financials[[#This Row],[Sale Price]]</f>
        <v>93.5</v>
      </c>
      <c r="H2927" s="8">
        <f>IF(financials[[#This Row],[Discount Band]]="low",0.1,IF(financials[[#This Row],[Discount Band]]="medium",0.15,0.3))</f>
        <v>0.3</v>
      </c>
      <c r="I2927" s="8">
        <f>financials[[#This Row],[Gross Sales]]-financials[[#This Row],[Gross Sales]]*financials[[#This Row],[Discounts]]</f>
        <v>65.45</v>
      </c>
      <c r="J2927" s="8">
        <f>VLOOKUP(financials[[#This Row],[productid]],Products!$B$2:$H$10,4)</f>
        <v>3.99</v>
      </c>
      <c r="K2927" s="8">
        <f>financials[[#This Row],[Net Sales]]-financials[[#This Row],[COGS]]</f>
        <v>61.46</v>
      </c>
      <c r="L2927" s="15">
        <v>44915</v>
      </c>
      <c r="M2927" t="s">
        <v>696</v>
      </c>
    </row>
    <row r="2928" spans="1:13" x14ac:dyDescent="0.25">
      <c r="A2928" t="s">
        <v>87</v>
      </c>
      <c r="B2928" s="6" t="s">
        <v>545</v>
      </c>
      <c r="C2928" s="13">
        <v>109</v>
      </c>
      <c r="D2928" s="14" t="s">
        <v>83</v>
      </c>
      <c r="E2928">
        <v>13</v>
      </c>
      <c r="F2928" s="8">
        <f>VLOOKUP(financials[[#This Row],[productid]],Products!$B$2:$H$10,3)</f>
        <v>36</v>
      </c>
      <c r="G2928" s="8">
        <f>financials[[#This Row],[Units Sold]]*financials[[#This Row],[Sale Price]]</f>
        <v>468</v>
      </c>
      <c r="H2928" s="8">
        <f>IF(financials[[#This Row],[Discount Band]]="low",0.1,IF(financials[[#This Row],[Discount Band]]="medium",0.15,0.3))</f>
        <v>0.3</v>
      </c>
      <c r="I2928" s="8">
        <f>financials[[#This Row],[Gross Sales]]-financials[[#This Row],[Gross Sales]]*financials[[#This Row],[Discounts]]</f>
        <v>327.60000000000002</v>
      </c>
      <c r="J2928" s="8">
        <f>VLOOKUP(financials[[#This Row],[productid]],Products!$B$2:$H$10,4)</f>
        <v>16.8</v>
      </c>
      <c r="K2928" s="8">
        <f>financials[[#This Row],[Net Sales]]-financials[[#This Row],[COGS]]</f>
        <v>310.8</v>
      </c>
      <c r="L2928" s="15">
        <v>45590</v>
      </c>
      <c r="M2928" t="s">
        <v>700</v>
      </c>
    </row>
    <row r="2929" spans="1:13" x14ac:dyDescent="0.25">
      <c r="A2929" t="s">
        <v>89</v>
      </c>
      <c r="B2929" s="6" t="s">
        <v>159</v>
      </c>
      <c r="C2929" s="13">
        <v>102</v>
      </c>
      <c r="D2929" s="14" t="s">
        <v>92</v>
      </c>
      <c r="E2929">
        <v>12</v>
      </c>
      <c r="F2929" s="8">
        <f>VLOOKUP(financials[[#This Row],[productid]],Products!$B$2:$H$10,3)</f>
        <v>15</v>
      </c>
      <c r="G2929" s="8">
        <f>financials[[#This Row],[Units Sold]]*financials[[#This Row],[Sale Price]]</f>
        <v>180</v>
      </c>
      <c r="H2929" s="8">
        <f>IF(financials[[#This Row],[Discount Band]]="low",0.1,IF(financials[[#This Row],[Discount Band]]="medium",0.15,0.3))</f>
        <v>0.3</v>
      </c>
      <c r="I2929" s="8">
        <f>financials[[#This Row],[Gross Sales]]-financials[[#This Row],[Gross Sales]]*financials[[#This Row],[Discounts]]</f>
        <v>126</v>
      </c>
      <c r="J2929" s="8">
        <f>VLOOKUP(financials[[#This Row],[productid]],Products!$B$2:$H$10,4)</f>
        <v>13.95</v>
      </c>
      <c r="K2929" s="8">
        <f>financials[[#This Row],[Net Sales]]-financials[[#This Row],[COGS]]</f>
        <v>112.05</v>
      </c>
      <c r="L2929" s="15">
        <v>45331</v>
      </c>
      <c r="M2929" t="s">
        <v>696</v>
      </c>
    </row>
    <row r="2930" spans="1:13" x14ac:dyDescent="0.25">
      <c r="A2930" t="s">
        <v>89</v>
      </c>
      <c r="B2930" s="6" t="s">
        <v>159</v>
      </c>
      <c r="C2930" s="13">
        <v>105</v>
      </c>
      <c r="D2930" s="14" t="s">
        <v>91</v>
      </c>
      <c r="E2930">
        <v>18</v>
      </c>
      <c r="F2930" s="8">
        <f>VLOOKUP(financials[[#This Row],[productid]],Products!$B$2:$H$10,3)</f>
        <v>15</v>
      </c>
      <c r="G2930" s="8">
        <f>financials[[#This Row],[Units Sold]]*financials[[#This Row],[Sale Price]]</f>
        <v>270</v>
      </c>
      <c r="H2930" s="8">
        <f>IF(financials[[#This Row],[Discount Band]]="low",0.1,IF(financials[[#This Row],[Discount Band]]="medium",0.15,0.3))</f>
        <v>0.1</v>
      </c>
      <c r="I2930" s="8">
        <f>financials[[#This Row],[Gross Sales]]-financials[[#This Row],[Gross Sales]]*financials[[#This Row],[Discounts]]</f>
        <v>243</v>
      </c>
      <c r="J2930" s="8">
        <f>VLOOKUP(financials[[#This Row],[productid]],Products!$B$2:$H$10,4)</f>
        <v>10</v>
      </c>
      <c r="K2930" s="8">
        <f>financials[[#This Row],[Net Sales]]-financials[[#This Row],[COGS]]</f>
        <v>233</v>
      </c>
      <c r="L2930" s="15">
        <v>45298</v>
      </c>
      <c r="M2930" t="s">
        <v>697</v>
      </c>
    </row>
    <row r="2931" spans="1:13" x14ac:dyDescent="0.25">
      <c r="A2931" t="s">
        <v>85</v>
      </c>
      <c r="B2931" s="6" t="s">
        <v>124</v>
      </c>
      <c r="C2931" s="13">
        <v>101</v>
      </c>
      <c r="D2931" s="14" t="s">
        <v>91</v>
      </c>
      <c r="E2931">
        <v>18</v>
      </c>
      <c r="F2931" s="8">
        <f>VLOOKUP(financials[[#This Row],[productid]],Products!$B$2:$H$10,3)</f>
        <v>23</v>
      </c>
      <c r="G2931" s="8">
        <f>financials[[#This Row],[Units Sold]]*financials[[#This Row],[Sale Price]]</f>
        <v>414</v>
      </c>
      <c r="H2931" s="8">
        <f>IF(financials[[#This Row],[Discount Band]]="low",0.1,IF(financials[[#This Row],[Discount Band]]="medium",0.15,0.3))</f>
        <v>0.1</v>
      </c>
      <c r="I2931" s="8">
        <f>financials[[#This Row],[Gross Sales]]-financials[[#This Row],[Gross Sales]]*financials[[#This Row],[Discounts]]</f>
        <v>372.6</v>
      </c>
      <c r="J2931" s="8">
        <f>VLOOKUP(financials[[#This Row],[productid]],Products!$B$2:$H$10,4)</f>
        <v>9.9499999999999993</v>
      </c>
      <c r="K2931" s="8">
        <f>financials[[#This Row],[Net Sales]]-financials[[#This Row],[COGS]]</f>
        <v>362.65000000000003</v>
      </c>
      <c r="L2931" s="15">
        <v>45117</v>
      </c>
      <c r="M2931" t="s">
        <v>691</v>
      </c>
    </row>
    <row r="2932" spans="1:13" x14ac:dyDescent="0.25">
      <c r="A2932" t="s">
        <v>87</v>
      </c>
      <c r="B2932" s="6" t="s">
        <v>268</v>
      </c>
      <c r="C2932" s="13">
        <v>107</v>
      </c>
      <c r="D2932" s="14" t="s">
        <v>91</v>
      </c>
      <c r="E2932">
        <v>14</v>
      </c>
      <c r="F2932" s="8">
        <f>VLOOKUP(financials[[#This Row],[productid]],Products!$B$2:$H$10,3)</f>
        <v>15</v>
      </c>
      <c r="G2932" s="8">
        <f>financials[[#This Row],[Units Sold]]*financials[[#This Row],[Sale Price]]</f>
        <v>210</v>
      </c>
      <c r="H2932" s="8">
        <f>IF(financials[[#This Row],[Discount Band]]="low",0.1,IF(financials[[#This Row],[Discount Band]]="medium",0.15,0.3))</f>
        <v>0.1</v>
      </c>
      <c r="I2932" s="8">
        <f>financials[[#This Row],[Gross Sales]]-financials[[#This Row],[Gross Sales]]*financials[[#This Row],[Discounts]]</f>
        <v>189</v>
      </c>
      <c r="J2932" s="8">
        <f>VLOOKUP(financials[[#This Row],[productid]],Products!$B$2:$H$10,4)</f>
        <v>5.5</v>
      </c>
      <c r="K2932" s="8">
        <f>financials[[#This Row],[Net Sales]]-financials[[#This Row],[COGS]]</f>
        <v>183.5</v>
      </c>
      <c r="L2932" s="15">
        <v>44868</v>
      </c>
      <c r="M2932" t="s">
        <v>690</v>
      </c>
    </row>
    <row r="2933" spans="1:13" x14ac:dyDescent="0.25">
      <c r="A2933" t="s">
        <v>87</v>
      </c>
      <c r="B2933" s="6" t="s">
        <v>276</v>
      </c>
      <c r="C2933" s="13">
        <v>103</v>
      </c>
      <c r="D2933" s="14" t="s">
        <v>90</v>
      </c>
      <c r="E2933">
        <v>11</v>
      </c>
      <c r="F2933" s="8">
        <f>VLOOKUP(financials[[#This Row],[productid]],Products!$B$2:$H$10,3)</f>
        <v>28</v>
      </c>
      <c r="G2933" s="8">
        <f>financials[[#This Row],[Units Sold]]*financials[[#This Row],[Sale Price]]</f>
        <v>308</v>
      </c>
      <c r="H2933" s="8">
        <f>IF(financials[[#This Row],[Discount Band]]="low",0.1,IF(financials[[#This Row],[Discount Band]]="medium",0.15,0.3))</f>
        <v>0.15</v>
      </c>
      <c r="I2933" s="8">
        <f>financials[[#This Row],[Gross Sales]]-financials[[#This Row],[Gross Sales]]*financials[[#This Row],[Discounts]]</f>
        <v>261.8</v>
      </c>
      <c r="J2933" s="8">
        <f>VLOOKUP(financials[[#This Row],[productid]],Products!$B$2:$H$10,4)</f>
        <v>15</v>
      </c>
      <c r="K2933" s="8">
        <f>financials[[#This Row],[Net Sales]]-financials[[#This Row],[COGS]]</f>
        <v>246.8</v>
      </c>
      <c r="L2933" s="15">
        <v>44321</v>
      </c>
      <c r="M2933" t="s">
        <v>697</v>
      </c>
    </row>
    <row r="2934" spans="1:13" x14ac:dyDescent="0.25">
      <c r="A2934" t="s">
        <v>89</v>
      </c>
      <c r="B2934" s="6" t="s">
        <v>124</v>
      </c>
      <c r="C2934" s="13">
        <v>103</v>
      </c>
      <c r="D2934" s="14" t="s">
        <v>91</v>
      </c>
      <c r="E2934">
        <v>10</v>
      </c>
      <c r="F2934" s="8">
        <f>VLOOKUP(financials[[#This Row],[productid]],Products!$B$2:$H$10,3)</f>
        <v>28</v>
      </c>
      <c r="G2934" s="8">
        <f>financials[[#This Row],[Units Sold]]*financials[[#This Row],[Sale Price]]</f>
        <v>280</v>
      </c>
      <c r="H2934" s="8">
        <f>IF(financials[[#This Row],[Discount Band]]="low",0.1,IF(financials[[#This Row],[Discount Band]]="medium",0.15,0.3))</f>
        <v>0.1</v>
      </c>
      <c r="I2934" s="8">
        <f>financials[[#This Row],[Gross Sales]]-financials[[#This Row],[Gross Sales]]*financials[[#This Row],[Discounts]]</f>
        <v>252</v>
      </c>
      <c r="J2934" s="8">
        <f>VLOOKUP(financials[[#This Row],[productid]],Products!$B$2:$H$10,4)</f>
        <v>15</v>
      </c>
      <c r="K2934" s="8">
        <f>financials[[#This Row],[Net Sales]]-financials[[#This Row],[COGS]]</f>
        <v>237</v>
      </c>
      <c r="L2934" s="15">
        <v>45210</v>
      </c>
      <c r="M2934" t="s">
        <v>691</v>
      </c>
    </row>
    <row r="2935" spans="1:13" x14ac:dyDescent="0.25">
      <c r="A2935" t="s">
        <v>86</v>
      </c>
      <c r="B2935" s="6" t="s">
        <v>159</v>
      </c>
      <c r="C2935" s="13">
        <v>101</v>
      </c>
      <c r="D2935" s="14" t="s">
        <v>90</v>
      </c>
      <c r="E2935">
        <v>13</v>
      </c>
      <c r="F2935" s="8">
        <f>VLOOKUP(financials[[#This Row],[productid]],Products!$B$2:$H$10,3)</f>
        <v>23</v>
      </c>
      <c r="G2935" s="8">
        <f>financials[[#This Row],[Units Sold]]*financials[[#This Row],[Sale Price]]</f>
        <v>299</v>
      </c>
      <c r="H2935" s="8">
        <f>IF(financials[[#This Row],[Discount Band]]="low",0.1,IF(financials[[#This Row],[Discount Band]]="medium",0.15,0.3))</f>
        <v>0.15</v>
      </c>
      <c r="I2935" s="8">
        <f>financials[[#This Row],[Gross Sales]]-financials[[#This Row],[Gross Sales]]*financials[[#This Row],[Discounts]]</f>
        <v>254.15</v>
      </c>
      <c r="J2935" s="8">
        <f>VLOOKUP(financials[[#This Row],[productid]],Products!$B$2:$H$10,4)</f>
        <v>9.9499999999999993</v>
      </c>
      <c r="K2935" s="8">
        <f>financials[[#This Row],[Net Sales]]-financials[[#This Row],[COGS]]</f>
        <v>244.20000000000002</v>
      </c>
      <c r="L2935" s="15">
        <v>44888</v>
      </c>
      <c r="M2935" t="s">
        <v>700</v>
      </c>
    </row>
    <row r="2936" spans="1:13" x14ac:dyDescent="0.25">
      <c r="A2936" t="s">
        <v>85</v>
      </c>
      <c r="B2936" s="6" t="s">
        <v>159</v>
      </c>
      <c r="C2936" s="13">
        <v>102</v>
      </c>
      <c r="D2936" s="14" t="s">
        <v>83</v>
      </c>
      <c r="E2936">
        <v>7</v>
      </c>
      <c r="F2936" s="8">
        <f>VLOOKUP(financials[[#This Row],[productid]],Products!$B$2:$H$10,3)</f>
        <v>15</v>
      </c>
      <c r="G2936" s="8">
        <f>financials[[#This Row],[Units Sold]]*financials[[#This Row],[Sale Price]]</f>
        <v>105</v>
      </c>
      <c r="H2936" s="8">
        <f>IF(financials[[#This Row],[Discount Band]]="low",0.1,IF(financials[[#This Row],[Discount Band]]="medium",0.15,0.3))</f>
        <v>0.3</v>
      </c>
      <c r="I2936" s="8">
        <f>financials[[#This Row],[Gross Sales]]-financials[[#This Row],[Gross Sales]]*financials[[#This Row],[Discounts]]</f>
        <v>73.5</v>
      </c>
      <c r="J2936" s="8">
        <f>VLOOKUP(financials[[#This Row],[productid]],Products!$B$2:$H$10,4)</f>
        <v>13.95</v>
      </c>
      <c r="K2936" s="8">
        <f>financials[[#This Row],[Net Sales]]-financials[[#This Row],[COGS]]</f>
        <v>59.55</v>
      </c>
      <c r="L2936" s="15">
        <v>44259</v>
      </c>
      <c r="M2936" t="s">
        <v>697</v>
      </c>
    </row>
    <row r="2937" spans="1:13" x14ac:dyDescent="0.25">
      <c r="A2937" t="s">
        <v>85</v>
      </c>
      <c r="B2937" s="6" t="s">
        <v>124</v>
      </c>
      <c r="C2937" s="13">
        <v>104</v>
      </c>
      <c r="D2937" s="14" t="s">
        <v>83</v>
      </c>
      <c r="E2937">
        <v>17</v>
      </c>
      <c r="F2937" s="8">
        <f>VLOOKUP(financials[[#This Row],[productid]],Products!$B$2:$H$10,3)</f>
        <v>5.9</v>
      </c>
      <c r="G2937" s="8">
        <f>financials[[#This Row],[Units Sold]]*financials[[#This Row],[Sale Price]]</f>
        <v>100.30000000000001</v>
      </c>
      <c r="H2937" s="8">
        <f>IF(financials[[#This Row],[Discount Band]]="low",0.1,IF(financials[[#This Row],[Discount Band]]="medium",0.15,0.3))</f>
        <v>0.3</v>
      </c>
      <c r="I2937" s="8">
        <f>financials[[#This Row],[Gross Sales]]-financials[[#This Row],[Gross Sales]]*financials[[#This Row],[Discounts]]</f>
        <v>70.210000000000008</v>
      </c>
      <c r="J2937" s="8">
        <f>VLOOKUP(financials[[#This Row],[productid]],Products!$B$2:$H$10,4)</f>
        <v>2.9</v>
      </c>
      <c r="K2937" s="8">
        <f>financials[[#This Row],[Net Sales]]-financials[[#This Row],[COGS]]</f>
        <v>67.31</v>
      </c>
      <c r="L2937" s="15">
        <v>44633</v>
      </c>
      <c r="M2937" t="s">
        <v>691</v>
      </c>
    </row>
    <row r="2938" spans="1:13" x14ac:dyDescent="0.25">
      <c r="A2938" t="s">
        <v>85</v>
      </c>
      <c r="B2938" s="6" t="s">
        <v>159</v>
      </c>
      <c r="C2938" s="13">
        <v>103</v>
      </c>
      <c r="D2938" s="14" t="s">
        <v>90</v>
      </c>
      <c r="E2938">
        <v>5</v>
      </c>
      <c r="F2938" s="8">
        <f>VLOOKUP(financials[[#This Row],[productid]],Products!$B$2:$H$10,3)</f>
        <v>28</v>
      </c>
      <c r="G2938" s="8">
        <f>financials[[#This Row],[Units Sold]]*financials[[#This Row],[Sale Price]]</f>
        <v>140</v>
      </c>
      <c r="H2938" s="8">
        <f>IF(financials[[#This Row],[Discount Band]]="low",0.1,IF(financials[[#This Row],[Discount Band]]="medium",0.15,0.3))</f>
        <v>0.15</v>
      </c>
      <c r="I2938" s="8">
        <f>financials[[#This Row],[Gross Sales]]-financials[[#This Row],[Gross Sales]]*financials[[#This Row],[Discounts]]</f>
        <v>119</v>
      </c>
      <c r="J2938" s="8">
        <f>VLOOKUP(financials[[#This Row],[productid]],Products!$B$2:$H$10,4)</f>
        <v>15</v>
      </c>
      <c r="K2938" s="8">
        <f>financials[[#This Row],[Net Sales]]-financials[[#This Row],[COGS]]</f>
        <v>104</v>
      </c>
      <c r="L2938" s="15">
        <v>45205</v>
      </c>
      <c r="M2938" t="s">
        <v>700</v>
      </c>
    </row>
    <row r="2939" spans="1:13" x14ac:dyDescent="0.25">
      <c r="A2939" t="s">
        <v>89</v>
      </c>
      <c r="B2939" s="6" t="s">
        <v>159</v>
      </c>
      <c r="C2939" s="13">
        <v>106</v>
      </c>
      <c r="D2939" s="14" t="s">
        <v>83</v>
      </c>
      <c r="E2939">
        <v>15</v>
      </c>
      <c r="F2939" s="8">
        <f>VLOOKUP(financials[[#This Row],[productid]],Products!$B$2:$H$10,3)</f>
        <v>25</v>
      </c>
      <c r="G2939" s="8">
        <f>financials[[#This Row],[Units Sold]]*financials[[#This Row],[Sale Price]]</f>
        <v>375</v>
      </c>
      <c r="H2939" s="8">
        <f>IF(financials[[#This Row],[Discount Band]]="low",0.1,IF(financials[[#This Row],[Discount Band]]="medium",0.15,0.3))</f>
        <v>0.3</v>
      </c>
      <c r="I2939" s="8">
        <f>financials[[#This Row],[Gross Sales]]-financials[[#This Row],[Gross Sales]]*financials[[#This Row],[Discounts]]</f>
        <v>262.5</v>
      </c>
      <c r="J2939" s="8">
        <f>VLOOKUP(financials[[#This Row],[productid]],Products!$B$2:$H$10,4)</f>
        <v>9.1</v>
      </c>
      <c r="K2939" s="8">
        <f>financials[[#This Row],[Net Sales]]-financials[[#This Row],[COGS]]</f>
        <v>253.4</v>
      </c>
      <c r="L2939" s="15">
        <v>45038</v>
      </c>
      <c r="M2939" t="s">
        <v>690</v>
      </c>
    </row>
    <row r="2940" spans="1:13" x14ac:dyDescent="0.25">
      <c r="A2940" t="s">
        <v>87</v>
      </c>
      <c r="B2940" s="6" t="s">
        <v>198</v>
      </c>
      <c r="C2940" s="13">
        <v>108</v>
      </c>
      <c r="D2940" s="14" t="s">
        <v>83</v>
      </c>
      <c r="E2940">
        <v>6</v>
      </c>
      <c r="F2940" s="8">
        <f>VLOOKUP(financials[[#This Row],[productid]],Products!$B$2:$H$10,3)</f>
        <v>5.5</v>
      </c>
      <c r="G2940" s="8">
        <f>financials[[#This Row],[Units Sold]]*financials[[#This Row],[Sale Price]]</f>
        <v>33</v>
      </c>
      <c r="H2940" s="8">
        <f>IF(financials[[#This Row],[Discount Band]]="low",0.1,IF(financials[[#This Row],[Discount Band]]="medium",0.15,0.3))</f>
        <v>0.3</v>
      </c>
      <c r="I2940" s="8">
        <f>financials[[#This Row],[Gross Sales]]-financials[[#This Row],[Gross Sales]]*financials[[#This Row],[Discounts]]</f>
        <v>23.1</v>
      </c>
      <c r="J2940" s="8">
        <f>VLOOKUP(financials[[#This Row],[productid]],Products!$B$2:$H$10,4)</f>
        <v>3.99</v>
      </c>
      <c r="K2940" s="8">
        <f>financials[[#This Row],[Net Sales]]-financials[[#This Row],[COGS]]</f>
        <v>19.11</v>
      </c>
      <c r="L2940" s="15">
        <v>44868</v>
      </c>
      <c r="M2940" t="s">
        <v>690</v>
      </c>
    </row>
    <row r="2941" spans="1:13" x14ac:dyDescent="0.25">
      <c r="A2941" t="s">
        <v>87</v>
      </c>
      <c r="B2941" s="6" t="s">
        <v>198</v>
      </c>
      <c r="C2941" s="13">
        <v>101</v>
      </c>
      <c r="D2941" s="14" t="s">
        <v>91</v>
      </c>
      <c r="E2941">
        <v>17</v>
      </c>
      <c r="F2941" s="8">
        <f>VLOOKUP(financials[[#This Row],[productid]],Products!$B$2:$H$10,3)</f>
        <v>23</v>
      </c>
      <c r="G2941" s="8">
        <f>financials[[#This Row],[Units Sold]]*financials[[#This Row],[Sale Price]]</f>
        <v>391</v>
      </c>
      <c r="H2941" s="8">
        <f>IF(financials[[#This Row],[Discount Band]]="low",0.1,IF(financials[[#This Row],[Discount Band]]="medium",0.15,0.3))</f>
        <v>0.1</v>
      </c>
      <c r="I2941" s="8">
        <f>financials[[#This Row],[Gross Sales]]-financials[[#This Row],[Gross Sales]]*financials[[#This Row],[Discounts]]</f>
        <v>351.9</v>
      </c>
      <c r="J2941" s="8">
        <f>VLOOKUP(financials[[#This Row],[productid]],Products!$B$2:$H$10,4)</f>
        <v>9.9499999999999993</v>
      </c>
      <c r="K2941" s="8">
        <f>financials[[#This Row],[Net Sales]]-financials[[#This Row],[COGS]]</f>
        <v>341.95</v>
      </c>
      <c r="L2941" s="15">
        <v>44100</v>
      </c>
      <c r="M2941" t="s">
        <v>691</v>
      </c>
    </row>
    <row r="2942" spans="1:13" x14ac:dyDescent="0.25">
      <c r="A2942" t="s">
        <v>87</v>
      </c>
      <c r="B2942" s="6" t="s">
        <v>198</v>
      </c>
      <c r="C2942" s="13">
        <v>101</v>
      </c>
      <c r="D2942" s="14" t="s">
        <v>91</v>
      </c>
      <c r="E2942">
        <v>17</v>
      </c>
      <c r="F2942" s="8">
        <f>VLOOKUP(financials[[#This Row],[productid]],Products!$B$2:$H$10,3)</f>
        <v>23</v>
      </c>
      <c r="G2942" s="8">
        <f>financials[[#This Row],[Units Sold]]*financials[[#This Row],[Sale Price]]</f>
        <v>391</v>
      </c>
      <c r="H2942" s="8">
        <f>IF(financials[[#This Row],[Discount Band]]="low",0.1,IF(financials[[#This Row],[Discount Band]]="medium",0.15,0.3))</f>
        <v>0.1</v>
      </c>
      <c r="I2942" s="8">
        <f>financials[[#This Row],[Gross Sales]]-financials[[#This Row],[Gross Sales]]*financials[[#This Row],[Discounts]]</f>
        <v>351.9</v>
      </c>
      <c r="J2942" s="8">
        <f>VLOOKUP(financials[[#This Row],[productid]],Products!$B$2:$H$10,4)</f>
        <v>9.9499999999999993</v>
      </c>
      <c r="K2942" s="8">
        <f>financials[[#This Row],[Net Sales]]-financials[[#This Row],[COGS]]</f>
        <v>341.95</v>
      </c>
      <c r="L2942" s="15">
        <v>44718</v>
      </c>
      <c r="M2942" t="s">
        <v>700</v>
      </c>
    </row>
    <row r="2943" spans="1:13" x14ac:dyDescent="0.25">
      <c r="A2943" t="s">
        <v>87</v>
      </c>
      <c r="B2943" s="6" t="s">
        <v>276</v>
      </c>
      <c r="C2943" s="13">
        <v>107</v>
      </c>
      <c r="D2943" s="14" t="s">
        <v>90</v>
      </c>
      <c r="E2943">
        <v>20</v>
      </c>
      <c r="F2943" s="8">
        <f>VLOOKUP(financials[[#This Row],[productid]],Products!$B$2:$H$10,3)</f>
        <v>15</v>
      </c>
      <c r="G2943" s="8">
        <f>financials[[#This Row],[Units Sold]]*financials[[#This Row],[Sale Price]]</f>
        <v>300</v>
      </c>
      <c r="H2943" s="8">
        <f>IF(financials[[#This Row],[Discount Band]]="low",0.1,IF(financials[[#This Row],[Discount Band]]="medium",0.15,0.3))</f>
        <v>0.15</v>
      </c>
      <c r="I2943" s="8">
        <f>financials[[#This Row],[Gross Sales]]-financials[[#This Row],[Gross Sales]]*financials[[#This Row],[Discounts]]</f>
        <v>255</v>
      </c>
      <c r="J2943" s="8">
        <f>VLOOKUP(financials[[#This Row],[productid]],Products!$B$2:$H$10,4)</f>
        <v>5.5</v>
      </c>
      <c r="K2943" s="8">
        <f>financials[[#This Row],[Net Sales]]-financials[[#This Row],[COGS]]</f>
        <v>249.5</v>
      </c>
      <c r="L2943" s="15">
        <v>45653</v>
      </c>
      <c r="M2943" t="s">
        <v>697</v>
      </c>
    </row>
    <row r="2944" spans="1:13" x14ac:dyDescent="0.25">
      <c r="A2944" t="s">
        <v>85</v>
      </c>
      <c r="B2944" s="6" t="s">
        <v>159</v>
      </c>
      <c r="C2944" s="11">
        <v>105</v>
      </c>
      <c r="D2944" s="9" t="s">
        <v>90</v>
      </c>
      <c r="E2944">
        <v>15</v>
      </c>
      <c r="F2944" s="8">
        <f>VLOOKUP(financials[[#This Row],[productid]],Products!$B$2:$H$10,3)</f>
        <v>15</v>
      </c>
      <c r="G2944" s="8">
        <f>financials[[#This Row],[Units Sold]]*financials[[#This Row],[Sale Price]]</f>
        <v>225</v>
      </c>
      <c r="H2944" s="8">
        <f>IF(financials[[#This Row],[Discount Band]]="low",0.1,IF(financials[[#This Row],[Discount Band]]="medium",0.15,0.3))</f>
        <v>0.15</v>
      </c>
      <c r="I2944" s="8">
        <f>financials[[#This Row],[Gross Sales]]-financials[[#This Row],[Gross Sales]]*financials[[#This Row],[Discounts]]</f>
        <v>191.25</v>
      </c>
      <c r="J2944" s="8">
        <f>VLOOKUP(financials[[#This Row],[productid]],Products!$B$2:$H$10,4)</f>
        <v>10</v>
      </c>
      <c r="K2944" s="8">
        <f>financials[[#This Row],[Net Sales]]-financials[[#This Row],[COGS]]</f>
        <v>181.25</v>
      </c>
      <c r="L2944" s="15">
        <v>44521</v>
      </c>
      <c r="M2944" t="s">
        <v>696</v>
      </c>
    </row>
    <row r="2945" spans="1:13" x14ac:dyDescent="0.25">
      <c r="A2945" t="s">
        <v>89</v>
      </c>
      <c r="B2945" s="6" t="s">
        <v>159</v>
      </c>
      <c r="C2945" s="13">
        <v>109</v>
      </c>
      <c r="D2945" s="14" t="s">
        <v>83</v>
      </c>
      <c r="E2945">
        <v>20</v>
      </c>
      <c r="F2945" s="8">
        <f>VLOOKUP(financials[[#This Row],[productid]],Products!$B$2:$H$10,3)</f>
        <v>36</v>
      </c>
      <c r="G2945" s="8">
        <f>financials[[#This Row],[Units Sold]]*financials[[#This Row],[Sale Price]]</f>
        <v>720</v>
      </c>
      <c r="H2945" s="8">
        <f>IF(financials[[#This Row],[Discount Band]]="low",0.1,IF(financials[[#This Row],[Discount Band]]="medium",0.15,0.3))</f>
        <v>0.3</v>
      </c>
      <c r="I2945" s="8">
        <f>financials[[#This Row],[Gross Sales]]-financials[[#This Row],[Gross Sales]]*financials[[#This Row],[Discounts]]</f>
        <v>504</v>
      </c>
      <c r="J2945" s="8">
        <f>VLOOKUP(financials[[#This Row],[productid]],Products!$B$2:$H$10,4)</f>
        <v>16.8</v>
      </c>
      <c r="K2945" s="8">
        <f>financials[[#This Row],[Net Sales]]-financials[[#This Row],[COGS]]</f>
        <v>487.2</v>
      </c>
      <c r="L2945" s="15">
        <v>44233</v>
      </c>
      <c r="M2945" t="s">
        <v>700</v>
      </c>
    </row>
    <row r="2946" spans="1:13" x14ac:dyDescent="0.25">
      <c r="A2946" t="s">
        <v>85</v>
      </c>
      <c r="B2946" s="6" t="s">
        <v>124</v>
      </c>
      <c r="C2946" s="11">
        <v>106</v>
      </c>
      <c r="D2946" s="9" t="s">
        <v>83</v>
      </c>
      <c r="E2946">
        <v>5</v>
      </c>
      <c r="F2946" s="8">
        <f>VLOOKUP(financials[[#This Row],[productid]],Products!$B$2:$H$10,3)</f>
        <v>25</v>
      </c>
      <c r="G2946" s="8">
        <f>financials[[#This Row],[Units Sold]]*financials[[#This Row],[Sale Price]]</f>
        <v>125</v>
      </c>
      <c r="H2946" s="8">
        <f>IF(financials[[#This Row],[Discount Band]]="low",0.1,IF(financials[[#This Row],[Discount Band]]="medium",0.15,0.3))</f>
        <v>0.3</v>
      </c>
      <c r="I2946" s="8">
        <f>financials[[#This Row],[Gross Sales]]-financials[[#This Row],[Gross Sales]]*financials[[#This Row],[Discounts]]</f>
        <v>87.5</v>
      </c>
      <c r="J2946" s="8">
        <f>VLOOKUP(financials[[#This Row],[productid]],Products!$B$2:$H$10,4)</f>
        <v>9.1</v>
      </c>
      <c r="K2946" s="8">
        <f>financials[[#This Row],[Net Sales]]-financials[[#This Row],[COGS]]</f>
        <v>78.400000000000006</v>
      </c>
      <c r="L2946" s="15">
        <v>44811</v>
      </c>
      <c r="M2946" t="s">
        <v>697</v>
      </c>
    </row>
    <row r="2947" spans="1:13" x14ac:dyDescent="0.25">
      <c r="A2947" t="s">
        <v>89</v>
      </c>
      <c r="B2947" s="6" t="s">
        <v>124</v>
      </c>
      <c r="C2947" s="13">
        <v>102</v>
      </c>
      <c r="D2947" s="14" t="s">
        <v>90</v>
      </c>
      <c r="E2947">
        <v>14</v>
      </c>
      <c r="F2947" s="8">
        <f>VLOOKUP(financials[[#This Row],[productid]],Products!$B$2:$H$10,3)</f>
        <v>15</v>
      </c>
      <c r="G2947" s="8">
        <f>financials[[#This Row],[Units Sold]]*financials[[#This Row],[Sale Price]]</f>
        <v>210</v>
      </c>
      <c r="H2947" s="8">
        <f>IF(financials[[#This Row],[Discount Band]]="low",0.1,IF(financials[[#This Row],[Discount Band]]="medium",0.15,0.3))</f>
        <v>0.15</v>
      </c>
      <c r="I2947" s="8">
        <f>financials[[#This Row],[Gross Sales]]-financials[[#This Row],[Gross Sales]]*financials[[#This Row],[Discounts]]</f>
        <v>178.5</v>
      </c>
      <c r="J2947" s="8">
        <f>VLOOKUP(financials[[#This Row],[productid]],Products!$B$2:$H$10,4)</f>
        <v>13.95</v>
      </c>
      <c r="K2947" s="8">
        <f>financials[[#This Row],[Net Sales]]-financials[[#This Row],[COGS]]</f>
        <v>164.55</v>
      </c>
      <c r="L2947" s="15">
        <v>44697</v>
      </c>
      <c r="M2947" t="s">
        <v>697</v>
      </c>
    </row>
    <row r="2948" spans="1:13" x14ac:dyDescent="0.25">
      <c r="A2948" t="s">
        <v>87</v>
      </c>
      <c r="B2948" s="6" t="s">
        <v>198</v>
      </c>
      <c r="C2948" s="13">
        <v>104</v>
      </c>
      <c r="D2948" s="14" t="s">
        <v>91</v>
      </c>
      <c r="E2948">
        <v>12</v>
      </c>
      <c r="F2948" s="8">
        <f>VLOOKUP(financials[[#This Row],[productid]],Products!$B$2:$H$10,3)</f>
        <v>5.9</v>
      </c>
      <c r="G2948" s="8">
        <f>financials[[#This Row],[Units Sold]]*financials[[#This Row],[Sale Price]]</f>
        <v>70.800000000000011</v>
      </c>
      <c r="H2948" s="8">
        <f>IF(financials[[#This Row],[Discount Band]]="low",0.1,IF(financials[[#This Row],[Discount Band]]="medium",0.15,0.3))</f>
        <v>0.1</v>
      </c>
      <c r="I2948" s="8">
        <f>financials[[#This Row],[Gross Sales]]-financials[[#This Row],[Gross Sales]]*financials[[#This Row],[Discounts]]</f>
        <v>63.720000000000013</v>
      </c>
      <c r="J2948" s="8">
        <f>VLOOKUP(financials[[#This Row],[productid]],Products!$B$2:$H$10,4)</f>
        <v>2.9</v>
      </c>
      <c r="K2948" s="8">
        <f>financials[[#This Row],[Net Sales]]-financials[[#This Row],[COGS]]</f>
        <v>60.820000000000014</v>
      </c>
      <c r="L2948" s="15">
        <v>44586</v>
      </c>
      <c r="M2948" t="s">
        <v>697</v>
      </c>
    </row>
    <row r="2949" spans="1:13" x14ac:dyDescent="0.25">
      <c r="A2949" t="s">
        <v>86</v>
      </c>
      <c r="B2949" s="6" t="s">
        <v>124</v>
      </c>
      <c r="C2949" s="13">
        <v>102</v>
      </c>
      <c r="D2949" s="14" t="s">
        <v>90</v>
      </c>
      <c r="E2949">
        <v>13</v>
      </c>
      <c r="F2949" s="8">
        <f>VLOOKUP(financials[[#This Row],[productid]],Products!$B$2:$H$10,3)</f>
        <v>15</v>
      </c>
      <c r="G2949" s="8">
        <f>financials[[#This Row],[Units Sold]]*financials[[#This Row],[Sale Price]]</f>
        <v>195</v>
      </c>
      <c r="H2949" s="8">
        <f>IF(financials[[#This Row],[Discount Band]]="low",0.1,IF(financials[[#This Row],[Discount Band]]="medium",0.15,0.3))</f>
        <v>0.15</v>
      </c>
      <c r="I2949" s="8">
        <f>financials[[#This Row],[Gross Sales]]-financials[[#This Row],[Gross Sales]]*financials[[#This Row],[Discounts]]</f>
        <v>165.75</v>
      </c>
      <c r="J2949" s="8">
        <f>VLOOKUP(financials[[#This Row],[productid]],Products!$B$2:$H$10,4)</f>
        <v>13.95</v>
      </c>
      <c r="K2949" s="8">
        <f>financials[[#This Row],[Net Sales]]-financials[[#This Row],[COGS]]</f>
        <v>151.80000000000001</v>
      </c>
      <c r="L2949" s="15">
        <v>43993</v>
      </c>
      <c r="M2949" t="s">
        <v>697</v>
      </c>
    </row>
    <row r="2950" spans="1:13" x14ac:dyDescent="0.25">
      <c r="A2950" t="s">
        <v>85</v>
      </c>
      <c r="B2950" s="6" t="s">
        <v>124</v>
      </c>
      <c r="C2950" s="13">
        <v>105</v>
      </c>
      <c r="D2950" s="14" t="s">
        <v>83</v>
      </c>
      <c r="E2950">
        <v>14</v>
      </c>
      <c r="F2950" s="8">
        <f>VLOOKUP(financials[[#This Row],[productid]],Products!$B$2:$H$10,3)</f>
        <v>15</v>
      </c>
      <c r="G2950" s="8">
        <f>financials[[#This Row],[Units Sold]]*financials[[#This Row],[Sale Price]]</f>
        <v>210</v>
      </c>
      <c r="H2950" s="8">
        <f>IF(financials[[#This Row],[Discount Band]]="low",0.1,IF(financials[[#This Row],[Discount Band]]="medium",0.15,0.3))</f>
        <v>0.3</v>
      </c>
      <c r="I2950" s="8">
        <f>financials[[#This Row],[Gross Sales]]-financials[[#This Row],[Gross Sales]]*financials[[#This Row],[Discounts]]</f>
        <v>147</v>
      </c>
      <c r="J2950" s="8">
        <f>VLOOKUP(financials[[#This Row],[productid]],Products!$B$2:$H$10,4)</f>
        <v>10</v>
      </c>
      <c r="K2950" s="8">
        <f>financials[[#This Row],[Net Sales]]-financials[[#This Row],[COGS]]</f>
        <v>137</v>
      </c>
      <c r="L2950" s="15">
        <v>44345</v>
      </c>
      <c r="M2950" t="s">
        <v>696</v>
      </c>
    </row>
    <row r="2951" spans="1:13" x14ac:dyDescent="0.25">
      <c r="A2951" t="s">
        <v>87</v>
      </c>
      <c r="B2951" s="6" t="s">
        <v>268</v>
      </c>
      <c r="C2951" s="13">
        <v>107</v>
      </c>
      <c r="D2951" s="14" t="s">
        <v>90</v>
      </c>
      <c r="E2951">
        <v>16</v>
      </c>
      <c r="F2951" s="8">
        <f>VLOOKUP(financials[[#This Row],[productid]],Products!$B$2:$H$10,3)</f>
        <v>15</v>
      </c>
      <c r="G2951" s="8">
        <f>financials[[#This Row],[Units Sold]]*financials[[#This Row],[Sale Price]]</f>
        <v>240</v>
      </c>
      <c r="H2951" s="8">
        <f>IF(financials[[#This Row],[Discount Band]]="low",0.1,IF(financials[[#This Row],[Discount Band]]="medium",0.15,0.3))</f>
        <v>0.15</v>
      </c>
      <c r="I2951" s="8">
        <f>financials[[#This Row],[Gross Sales]]-financials[[#This Row],[Gross Sales]]*financials[[#This Row],[Discounts]]</f>
        <v>204</v>
      </c>
      <c r="J2951" s="8">
        <f>VLOOKUP(financials[[#This Row],[productid]],Products!$B$2:$H$10,4)</f>
        <v>5.5</v>
      </c>
      <c r="K2951" s="8">
        <f>financials[[#This Row],[Net Sales]]-financials[[#This Row],[COGS]]</f>
        <v>198.5</v>
      </c>
      <c r="L2951" s="15">
        <v>45096</v>
      </c>
      <c r="M2951" t="s">
        <v>696</v>
      </c>
    </row>
    <row r="2952" spans="1:13" x14ac:dyDescent="0.25">
      <c r="A2952" t="s">
        <v>87</v>
      </c>
      <c r="B2952" s="6" t="s">
        <v>268</v>
      </c>
      <c r="C2952" s="13">
        <v>108</v>
      </c>
      <c r="D2952" s="14" t="s">
        <v>83</v>
      </c>
      <c r="E2952">
        <v>7</v>
      </c>
      <c r="F2952" s="8">
        <f>VLOOKUP(financials[[#This Row],[productid]],Products!$B$2:$H$10,3)</f>
        <v>5.5</v>
      </c>
      <c r="G2952" s="8">
        <f>financials[[#This Row],[Units Sold]]*financials[[#This Row],[Sale Price]]</f>
        <v>38.5</v>
      </c>
      <c r="H2952" s="8">
        <f>IF(financials[[#This Row],[Discount Band]]="low",0.1,IF(financials[[#This Row],[Discount Band]]="medium",0.15,0.3))</f>
        <v>0.3</v>
      </c>
      <c r="I2952" s="8">
        <f>financials[[#This Row],[Gross Sales]]-financials[[#This Row],[Gross Sales]]*financials[[#This Row],[Discounts]]</f>
        <v>26.950000000000003</v>
      </c>
      <c r="J2952" s="8">
        <f>VLOOKUP(financials[[#This Row],[productid]],Products!$B$2:$H$10,4)</f>
        <v>3.99</v>
      </c>
      <c r="K2952" s="8">
        <f>financials[[#This Row],[Net Sales]]-financials[[#This Row],[COGS]]</f>
        <v>22.96</v>
      </c>
      <c r="L2952" s="15">
        <v>43951</v>
      </c>
      <c r="M2952" t="s">
        <v>697</v>
      </c>
    </row>
    <row r="2953" spans="1:13" x14ac:dyDescent="0.25">
      <c r="A2953" t="s">
        <v>87</v>
      </c>
      <c r="B2953" s="6" t="s">
        <v>198</v>
      </c>
      <c r="C2953" s="13">
        <v>104</v>
      </c>
      <c r="D2953" s="14" t="s">
        <v>90</v>
      </c>
      <c r="E2953">
        <v>18</v>
      </c>
      <c r="F2953" s="8">
        <f>VLOOKUP(financials[[#This Row],[productid]],Products!$B$2:$H$10,3)</f>
        <v>5.9</v>
      </c>
      <c r="G2953" s="8">
        <f>financials[[#This Row],[Units Sold]]*financials[[#This Row],[Sale Price]]</f>
        <v>106.2</v>
      </c>
      <c r="H2953" s="8">
        <f>IF(financials[[#This Row],[Discount Band]]="low",0.1,IF(financials[[#This Row],[Discount Band]]="medium",0.15,0.3))</f>
        <v>0.15</v>
      </c>
      <c r="I2953" s="8">
        <f>financials[[#This Row],[Gross Sales]]-financials[[#This Row],[Gross Sales]]*financials[[#This Row],[Discounts]]</f>
        <v>90.27000000000001</v>
      </c>
      <c r="J2953" s="8">
        <f>VLOOKUP(financials[[#This Row],[productid]],Products!$B$2:$H$10,4)</f>
        <v>2.9</v>
      </c>
      <c r="K2953" s="8">
        <f>financials[[#This Row],[Net Sales]]-financials[[#This Row],[COGS]]</f>
        <v>87.37</v>
      </c>
      <c r="L2953" s="15">
        <v>45163</v>
      </c>
      <c r="M2953" t="s">
        <v>691</v>
      </c>
    </row>
    <row r="2954" spans="1:13" x14ac:dyDescent="0.25">
      <c r="A2954" t="s">
        <v>88</v>
      </c>
      <c r="B2954" s="6" t="s">
        <v>617</v>
      </c>
      <c r="C2954" s="13">
        <v>109</v>
      </c>
      <c r="D2954" s="14" t="s">
        <v>90</v>
      </c>
      <c r="E2954">
        <v>13</v>
      </c>
      <c r="F2954" s="8">
        <f>VLOOKUP(financials[[#This Row],[productid]],Products!$B$2:$H$10,3)</f>
        <v>36</v>
      </c>
      <c r="G2954" s="8">
        <f>financials[[#This Row],[Units Sold]]*financials[[#This Row],[Sale Price]]</f>
        <v>468</v>
      </c>
      <c r="H2954" s="8">
        <f>IF(financials[[#This Row],[Discount Band]]="low",0.1,IF(financials[[#This Row],[Discount Band]]="medium",0.15,0.3))</f>
        <v>0.15</v>
      </c>
      <c r="I2954" s="8">
        <f>financials[[#This Row],[Gross Sales]]-financials[[#This Row],[Gross Sales]]*financials[[#This Row],[Discounts]]</f>
        <v>397.8</v>
      </c>
      <c r="J2954" s="8">
        <f>VLOOKUP(financials[[#This Row],[productid]],Products!$B$2:$H$10,4)</f>
        <v>16.8</v>
      </c>
      <c r="K2954" s="8">
        <f>financials[[#This Row],[Net Sales]]-financials[[#This Row],[COGS]]</f>
        <v>381</v>
      </c>
      <c r="L2954" s="15">
        <v>44633</v>
      </c>
      <c r="M2954" t="s">
        <v>696</v>
      </c>
    </row>
    <row r="2955" spans="1:13" x14ac:dyDescent="0.25">
      <c r="A2955" t="s">
        <v>88</v>
      </c>
      <c r="B2955" s="6" t="s">
        <v>645</v>
      </c>
      <c r="C2955" s="13">
        <v>108</v>
      </c>
      <c r="D2955" s="14" t="s">
        <v>83</v>
      </c>
      <c r="E2955">
        <v>13</v>
      </c>
      <c r="F2955" s="8">
        <f>VLOOKUP(financials[[#This Row],[productid]],Products!$B$2:$H$10,3)</f>
        <v>5.5</v>
      </c>
      <c r="G2955" s="8">
        <f>financials[[#This Row],[Units Sold]]*financials[[#This Row],[Sale Price]]</f>
        <v>71.5</v>
      </c>
      <c r="H2955" s="8">
        <f>IF(financials[[#This Row],[Discount Band]]="low",0.1,IF(financials[[#This Row],[Discount Band]]="medium",0.15,0.3))</f>
        <v>0.3</v>
      </c>
      <c r="I2955" s="8">
        <f>financials[[#This Row],[Gross Sales]]-financials[[#This Row],[Gross Sales]]*financials[[#This Row],[Discounts]]</f>
        <v>50.05</v>
      </c>
      <c r="J2955" s="8">
        <f>VLOOKUP(financials[[#This Row],[productid]],Products!$B$2:$H$10,4)</f>
        <v>3.99</v>
      </c>
      <c r="K2955" s="8">
        <f>financials[[#This Row],[Net Sales]]-financials[[#This Row],[COGS]]</f>
        <v>46.059999999999995</v>
      </c>
      <c r="L2955" s="15">
        <v>45424</v>
      </c>
      <c r="M2955" t="s">
        <v>697</v>
      </c>
    </row>
    <row r="2956" spans="1:13" x14ac:dyDescent="0.25">
      <c r="A2956" t="s">
        <v>88</v>
      </c>
      <c r="B2956" s="6" t="s">
        <v>617</v>
      </c>
      <c r="C2956" s="13">
        <v>103</v>
      </c>
      <c r="D2956" s="14" t="s">
        <v>90</v>
      </c>
      <c r="E2956">
        <v>20</v>
      </c>
      <c r="F2956" s="8">
        <f>VLOOKUP(financials[[#This Row],[productid]],Products!$B$2:$H$10,3)</f>
        <v>28</v>
      </c>
      <c r="G2956" s="8">
        <f>financials[[#This Row],[Units Sold]]*financials[[#This Row],[Sale Price]]</f>
        <v>560</v>
      </c>
      <c r="H2956" s="8">
        <f>IF(financials[[#This Row],[Discount Band]]="low",0.1,IF(financials[[#This Row],[Discount Band]]="medium",0.15,0.3))</f>
        <v>0.15</v>
      </c>
      <c r="I2956" s="8">
        <f>financials[[#This Row],[Gross Sales]]-financials[[#This Row],[Gross Sales]]*financials[[#This Row],[Discounts]]</f>
        <v>476</v>
      </c>
      <c r="J2956" s="8">
        <f>VLOOKUP(financials[[#This Row],[productid]],Products!$B$2:$H$10,4)</f>
        <v>15</v>
      </c>
      <c r="K2956" s="8">
        <f>financials[[#This Row],[Net Sales]]-financials[[#This Row],[COGS]]</f>
        <v>461</v>
      </c>
      <c r="L2956" s="15">
        <v>45201</v>
      </c>
      <c r="M2956" t="s">
        <v>697</v>
      </c>
    </row>
    <row r="2957" spans="1:13" x14ac:dyDescent="0.25">
      <c r="A2957" t="s">
        <v>86</v>
      </c>
      <c r="B2957" s="6" t="s">
        <v>159</v>
      </c>
      <c r="C2957" s="13">
        <v>101</v>
      </c>
      <c r="D2957" s="14" t="s">
        <v>91</v>
      </c>
      <c r="E2957">
        <v>14</v>
      </c>
      <c r="F2957" s="8">
        <f>VLOOKUP(financials[[#This Row],[productid]],Products!$B$2:$H$10,3)</f>
        <v>23</v>
      </c>
      <c r="G2957" s="8">
        <f>financials[[#This Row],[Units Sold]]*financials[[#This Row],[Sale Price]]</f>
        <v>322</v>
      </c>
      <c r="H2957" s="8">
        <f>IF(financials[[#This Row],[Discount Band]]="low",0.1,IF(financials[[#This Row],[Discount Band]]="medium",0.15,0.3))</f>
        <v>0.1</v>
      </c>
      <c r="I2957" s="8">
        <f>financials[[#This Row],[Gross Sales]]-financials[[#This Row],[Gross Sales]]*financials[[#This Row],[Discounts]]</f>
        <v>289.8</v>
      </c>
      <c r="J2957" s="8">
        <f>VLOOKUP(financials[[#This Row],[productid]],Products!$B$2:$H$10,4)</f>
        <v>9.9499999999999993</v>
      </c>
      <c r="K2957" s="8">
        <f>financials[[#This Row],[Net Sales]]-financials[[#This Row],[COGS]]</f>
        <v>279.85000000000002</v>
      </c>
      <c r="L2957" s="15">
        <v>44142</v>
      </c>
      <c r="M2957" t="s">
        <v>690</v>
      </c>
    </row>
    <row r="2958" spans="1:13" x14ac:dyDescent="0.25">
      <c r="A2958" t="s">
        <v>89</v>
      </c>
      <c r="B2958" s="6" t="s">
        <v>124</v>
      </c>
      <c r="C2958" s="13">
        <v>109</v>
      </c>
      <c r="D2958" s="14" t="s">
        <v>83</v>
      </c>
      <c r="E2958">
        <v>20</v>
      </c>
      <c r="F2958" s="8">
        <f>VLOOKUP(financials[[#This Row],[productid]],Products!$B$2:$H$10,3)</f>
        <v>36</v>
      </c>
      <c r="G2958" s="8">
        <f>financials[[#This Row],[Units Sold]]*financials[[#This Row],[Sale Price]]</f>
        <v>720</v>
      </c>
      <c r="H2958" s="8">
        <f>IF(financials[[#This Row],[Discount Band]]="low",0.1,IF(financials[[#This Row],[Discount Band]]="medium",0.15,0.3))</f>
        <v>0.3</v>
      </c>
      <c r="I2958" s="8">
        <f>financials[[#This Row],[Gross Sales]]-financials[[#This Row],[Gross Sales]]*financials[[#This Row],[Discounts]]</f>
        <v>504</v>
      </c>
      <c r="J2958" s="8">
        <f>VLOOKUP(financials[[#This Row],[productid]],Products!$B$2:$H$10,4)</f>
        <v>16.8</v>
      </c>
      <c r="K2958" s="8">
        <f>financials[[#This Row],[Net Sales]]-financials[[#This Row],[COGS]]</f>
        <v>487.2</v>
      </c>
      <c r="L2958" s="15">
        <v>45603</v>
      </c>
      <c r="M2958" t="s">
        <v>691</v>
      </c>
    </row>
    <row r="2959" spans="1:13" x14ac:dyDescent="0.25">
      <c r="A2959" t="s">
        <v>87</v>
      </c>
      <c r="B2959" s="6" t="s">
        <v>167</v>
      </c>
      <c r="C2959" s="13">
        <v>108</v>
      </c>
      <c r="D2959" s="14" t="s">
        <v>90</v>
      </c>
      <c r="E2959">
        <v>7</v>
      </c>
      <c r="F2959" s="8">
        <f>VLOOKUP(financials[[#This Row],[productid]],Products!$B$2:$H$10,3)</f>
        <v>5.5</v>
      </c>
      <c r="G2959" s="8">
        <f>financials[[#This Row],[Units Sold]]*financials[[#This Row],[Sale Price]]</f>
        <v>38.5</v>
      </c>
      <c r="H2959" s="8">
        <f>IF(financials[[#This Row],[Discount Band]]="low",0.1,IF(financials[[#This Row],[Discount Band]]="medium",0.15,0.3))</f>
        <v>0.15</v>
      </c>
      <c r="I2959" s="8">
        <f>financials[[#This Row],[Gross Sales]]-financials[[#This Row],[Gross Sales]]*financials[[#This Row],[Discounts]]</f>
        <v>32.725000000000001</v>
      </c>
      <c r="J2959" s="8">
        <f>VLOOKUP(financials[[#This Row],[productid]],Products!$B$2:$H$10,4)</f>
        <v>3.99</v>
      </c>
      <c r="K2959" s="8">
        <f>financials[[#This Row],[Net Sales]]-financials[[#This Row],[COGS]]</f>
        <v>28.734999999999999</v>
      </c>
      <c r="L2959" s="15">
        <v>44240</v>
      </c>
      <c r="M2959" t="s">
        <v>691</v>
      </c>
    </row>
    <row r="2960" spans="1:13" x14ac:dyDescent="0.25">
      <c r="A2960" t="s">
        <v>85</v>
      </c>
      <c r="B2960" s="6" t="s">
        <v>159</v>
      </c>
      <c r="C2960" s="11">
        <v>108</v>
      </c>
      <c r="D2960" s="9" t="s">
        <v>90</v>
      </c>
      <c r="E2960">
        <v>16</v>
      </c>
      <c r="F2960" s="8">
        <f>VLOOKUP(financials[[#This Row],[productid]],Products!$B$2:$H$10,3)</f>
        <v>5.5</v>
      </c>
      <c r="G2960" s="8">
        <f>financials[[#This Row],[Units Sold]]*financials[[#This Row],[Sale Price]]</f>
        <v>88</v>
      </c>
      <c r="H2960" s="8">
        <f>IF(financials[[#This Row],[Discount Band]]="low",0.1,IF(financials[[#This Row],[Discount Band]]="medium",0.15,0.3))</f>
        <v>0.15</v>
      </c>
      <c r="I2960" s="8">
        <f>financials[[#This Row],[Gross Sales]]-financials[[#This Row],[Gross Sales]]*financials[[#This Row],[Discounts]]</f>
        <v>74.8</v>
      </c>
      <c r="J2960" s="8">
        <f>VLOOKUP(financials[[#This Row],[productid]],Products!$B$2:$H$10,4)</f>
        <v>3.99</v>
      </c>
      <c r="K2960" s="8">
        <f>financials[[#This Row],[Net Sales]]-financials[[#This Row],[COGS]]</f>
        <v>70.81</v>
      </c>
      <c r="L2960" s="15">
        <v>44249</v>
      </c>
      <c r="M2960" t="s">
        <v>696</v>
      </c>
    </row>
    <row r="2961" spans="1:13" x14ac:dyDescent="0.25">
      <c r="A2961" t="s">
        <v>89</v>
      </c>
      <c r="B2961" s="6" t="s">
        <v>124</v>
      </c>
      <c r="C2961" s="13">
        <v>104</v>
      </c>
      <c r="D2961" s="14" t="s">
        <v>92</v>
      </c>
      <c r="E2961">
        <v>6</v>
      </c>
      <c r="F2961" s="8">
        <f>VLOOKUP(financials[[#This Row],[productid]],Products!$B$2:$H$10,3)</f>
        <v>5.9</v>
      </c>
      <c r="G2961" s="8">
        <f>financials[[#This Row],[Units Sold]]*financials[[#This Row],[Sale Price]]</f>
        <v>35.400000000000006</v>
      </c>
      <c r="H2961" s="8">
        <f>IF(financials[[#This Row],[Discount Band]]="low",0.1,IF(financials[[#This Row],[Discount Band]]="medium",0.15,0.3))</f>
        <v>0.3</v>
      </c>
      <c r="I2961" s="8">
        <f>financials[[#This Row],[Gross Sales]]-financials[[#This Row],[Gross Sales]]*financials[[#This Row],[Discounts]]</f>
        <v>24.780000000000005</v>
      </c>
      <c r="J2961" s="8">
        <f>VLOOKUP(financials[[#This Row],[productid]],Products!$B$2:$H$10,4)</f>
        <v>2.9</v>
      </c>
      <c r="K2961" s="8">
        <f>financials[[#This Row],[Net Sales]]-financials[[#This Row],[COGS]]</f>
        <v>21.880000000000006</v>
      </c>
      <c r="L2961" s="15">
        <v>44292</v>
      </c>
      <c r="M2961" t="s">
        <v>690</v>
      </c>
    </row>
    <row r="2962" spans="1:13" x14ac:dyDescent="0.25">
      <c r="A2962" t="s">
        <v>88</v>
      </c>
      <c r="B2962" s="6" t="s">
        <v>125</v>
      </c>
      <c r="C2962" s="11">
        <v>105</v>
      </c>
      <c r="D2962" s="9" t="s">
        <v>91</v>
      </c>
      <c r="E2962">
        <v>16</v>
      </c>
      <c r="F2962" s="8">
        <f>VLOOKUP(financials[[#This Row],[productid]],Products!$B$2:$H$10,3)</f>
        <v>15</v>
      </c>
      <c r="G2962" s="8">
        <f>financials[[#This Row],[Units Sold]]*financials[[#This Row],[Sale Price]]</f>
        <v>240</v>
      </c>
      <c r="H2962" s="8">
        <f>IF(financials[[#This Row],[Discount Band]]="low",0.1,IF(financials[[#This Row],[Discount Band]]="medium",0.15,0.3))</f>
        <v>0.1</v>
      </c>
      <c r="I2962" s="8">
        <f>financials[[#This Row],[Gross Sales]]-financials[[#This Row],[Gross Sales]]*financials[[#This Row],[Discounts]]</f>
        <v>216</v>
      </c>
      <c r="J2962" s="8">
        <f>VLOOKUP(financials[[#This Row],[productid]],Products!$B$2:$H$10,4)</f>
        <v>10</v>
      </c>
      <c r="K2962" s="8">
        <f>financials[[#This Row],[Net Sales]]-financials[[#This Row],[COGS]]</f>
        <v>206</v>
      </c>
      <c r="L2962" s="15">
        <v>45290</v>
      </c>
      <c r="M2962" t="s">
        <v>696</v>
      </c>
    </row>
    <row r="2963" spans="1:13" x14ac:dyDescent="0.25">
      <c r="A2963" t="s">
        <v>87</v>
      </c>
      <c r="B2963" s="6" t="s">
        <v>94</v>
      </c>
      <c r="C2963" s="13">
        <v>107</v>
      </c>
      <c r="D2963" s="14" t="s">
        <v>83</v>
      </c>
      <c r="E2963">
        <v>17</v>
      </c>
      <c r="F2963" s="8">
        <f>VLOOKUP(financials[[#This Row],[productid]],Products!$B$2:$H$10,3)</f>
        <v>15</v>
      </c>
      <c r="G2963" s="8">
        <f>financials[[#This Row],[Units Sold]]*financials[[#This Row],[Sale Price]]</f>
        <v>255</v>
      </c>
      <c r="H2963" s="8">
        <f>IF(financials[[#This Row],[Discount Band]]="low",0.1,IF(financials[[#This Row],[Discount Band]]="medium",0.15,0.3))</f>
        <v>0.3</v>
      </c>
      <c r="I2963" s="8">
        <f>financials[[#This Row],[Gross Sales]]-financials[[#This Row],[Gross Sales]]*financials[[#This Row],[Discounts]]</f>
        <v>178.5</v>
      </c>
      <c r="J2963" s="8">
        <f>VLOOKUP(financials[[#This Row],[productid]],Products!$B$2:$H$10,4)</f>
        <v>5.5</v>
      </c>
      <c r="K2963" s="8">
        <f>financials[[#This Row],[Net Sales]]-financials[[#This Row],[COGS]]</f>
        <v>173</v>
      </c>
      <c r="L2963" s="15">
        <v>45259</v>
      </c>
      <c r="M2963" t="s">
        <v>700</v>
      </c>
    </row>
    <row r="2964" spans="1:13" x14ac:dyDescent="0.25">
      <c r="A2964" t="s">
        <v>87</v>
      </c>
      <c r="B2964" s="6" t="s">
        <v>198</v>
      </c>
      <c r="C2964" s="13">
        <v>102</v>
      </c>
      <c r="D2964" s="14" t="s">
        <v>91</v>
      </c>
      <c r="E2964">
        <v>10</v>
      </c>
      <c r="F2964" s="8">
        <f>VLOOKUP(financials[[#This Row],[productid]],Products!$B$2:$H$10,3)</f>
        <v>15</v>
      </c>
      <c r="G2964" s="8">
        <f>financials[[#This Row],[Units Sold]]*financials[[#This Row],[Sale Price]]</f>
        <v>150</v>
      </c>
      <c r="H2964" s="8">
        <f>IF(financials[[#This Row],[Discount Band]]="low",0.1,IF(financials[[#This Row],[Discount Band]]="medium",0.15,0.3))</f>
        <v>0.1</v>
      </c>
      <c r="I2964" s="8">
        <f>financials[[#This Row],[Gross Sales]]-financials[[#This Row],[Gross Sales]]*financials[[#This Row],[Discounts]]</f>
        <v>135</v>
      </c>
      <c r="J2964" s="8">
        <f>VLOOKUP(financials[[#This Row],[productid]],Products!$B$2:$H$10,4)</f>
        <v>13.95</v>
      </c>
      <c r="K2964" s="8">
        <f>financials[[#This Row],[Net Sales]]-financials[[#This Row],[COGS]]</f>
        <v>121.05</v>
      </c>
      <c r="L2964" s="15">
        <v>44526</v>
      </c>
      <c r="M2964" t="s">
        <v>697</v>
      </c>
    </row>
    <row r="2965" spans="1:13" x14ac:dyDescent="0.25">
      <c r="A2965" t="s">
        <v>86</v>
      </c>
      <c r="B2965" s="6" t="s">
        <v>124</v>
      </c>
      <c r="C2965" s="13">
        <v>109</v>
      </c>
      <c r="D2965" s="14" t="s">
        <v>83</v>
      </c>
      <c r="E2965">
        <v>14</v>
      </c>
      <c r="F2965" s="8">
        <f>VLOOKUP(financials[[#This Row],[productid]],Products!$B$2:$H$10,3)</f>
        <v>36</v>
      </c>
      <c r="G2965" s="8">
        <f>financials[[#This Row],[Units Sold]]*financials[[#This Row],[Sale Price]]</f>
        <v>504</v>
      </c>
      <c r="H2965" s="8">
        <f>IF(financials[[#This Row],[Discount Band]]="low",0.1,IF(financials[[#This Row],[Discount Band]]="medium",0.15,0.3))</f>
        <v>0.3</v>
      </c>
      <c r="I2965" s="8">
        <f>financials[[#This Row],[Gross Sales]]-financials[[#This Row],[Gross Sales]]*financials[[#This Row],[Discounts]]</f>
        <v>352.8</v>
      </c>
      <c r="J2965" s="8">
        <f>VLOOKUP(financials[[#This Row],[productid]],Products!$B$2:$H$10,4)</f>
        <v>16.8</v>
      </c>
      <c r="K2965" s="8">
        <f>financials[[#This Row],[Net Sales]]-financials[[#This Row],[COGS]]</f>
        <v>336</v>
      </c>
      <c r="L2965" s="15">
        <v>45256</v>
      </c>
      <c r="M2965" t="s">
        <v>696</v>
      </c>
    </row>
    <row r="2966" spans="1:13" x14ac:dyDescent="0.25">
      <c r="A2966" t="s">
        <v>88</v>
      </c>
      <c r="B2966" s="6" t="s">
        <v>96</v>
      </c>
      <c r="C2966" s="13">
        <v>108</v>
      </c>
      <c r="D2966" s="14" t="s">
        <v>83</v>
      </c>
      <c r="E2966">
        <v>8</v>
      </c>
      <c r="F2966" s="8">
        <f>VLOOKUP(financials[[#This Row],[productid]],Products!$B$2:$H$10,3)</f>
        <v>5.5</v>
      </c>
      <c r="G2966" s="8">
        <f>financials[[#This Row],[Units Sold]]*financials[[#This Row],[Sale Price]]</f>
        <v>44</v>
      </c>
      <c r="H2966" s="8">
        <f>IF(financials[[#This Row],[Discount Band]]="low",0.1,IF(financials[[#This Row],[Discount Band]]="medium",0.15,0.3))</f>
        <v>0.3</v>
      </c>
      <c r="I2966" s="8">
        <f>financials[[#This Row],[Gross Sales]]-financials[[#This Row],[Gross Sales]]*financials[[#This Row],[Discounts]]</f>
        <v>30.8</v>
      </c>
      <c r="J2966" s="8">
        <f>VLOOKUP(financials[[#This Row],[productid]],Products!$B$2:$H$10,4)</f>
        <v>3.99</v>
      </c>
      <c r="K2966" s="8">
        <f>financials[[#This Row],[Net Sales]]-financials[[#This Row],[COGS]]</f>
        <v>26.810000000000002</v>
      </c>
      <c r="L2966" s="15">
        <v>44243</v>
      </c>
      <c r="M2966" t="s">
        <v>696</v>
      </c>
    </row>
    <row r="2967" spans="1:13" x14ac:dyDescent="0.25">
      <c r="A2967" t="s">
        <v>86</v>
      </c>
      <c r="B2967" s="6" t="s">
        <v>545</v>
      </c>
      <c r="C2967" s="13">
        <v>107</v>
      </c>
      <c r="D2967" s="14" t="s">
        <v>90</v>
      </c>
      <c r="E2967">
        <v>10</v>
      </c>
      <c r="F2967" s="8">
        <f>VLOOKUP(financials[[#This Row],[productid]],Products!$B$2:$H$10,3)</f>
        <v>15</v>
      </c>
      <c r="G2967" s="8">
        <f>financials[[#This Row],[Units Sold]]*financials[[#This Row],[Sale Price]]</f>
        <v>150</v>
      </c>
      <c r="H2967" s="8">
        <f>IF(financials[[#This Row],[Discount Band]]="low",0.1,IF(financials[[#This Row],[Discount Band]]="medium",0.15,0.3))</f>
        <v>0.15</v>
      </c>
      <c r="I2967" s="8">
        <f>financials[[#This Row],[Gross Sales]]-financials[[#This Row],[Gross Sales]]*financials[[#This Row],[Discounts]]</f>
        <v>127.5</v>
      </c>
      <c r="J2967" s="8">
        <f>VLOOKUP(financials[[#This Row],[productid]],Products!$B$2:$H$10,4)</f>
        <v>5.5</v>
      </c>
      <c r="K2967" s="8">
        <f>financials[[#This Row],[Net Sales]]-financials[[#This Row],[COGS]]</f>
        <v>122</v>
      </c>
      <c r="L2967" s="15">
        <v>45142</v>
      </c>
      <c r="M2967" t="s">
        <v>700</v>
      </c>
    </row>
    <row r="2968" spans="1:13" x14ac:dyDescent="0.25">
      <c r="A2968" t="s">
        <v>87</v>
      </c>
      <c r="B2968" s="6" t="s">
        <v>167</v>
      </c>
      <c r="C2968" s="13">
        <v>106</v>
      </c>
      <c r="D2968" s="14" t="s">
        <v>91</v>
      </c>
      <c r="E2968">
        <v>16</v>
      </c>
      <c r="F2968" s="8">
        <f>VLOOKUP(financials[[#This Row],[productid]],Products!$B$2:$H$10,3)</f>
        <v>25</v>
      </c>
      <c r="G2968" s="8">
        <f>financials[[#This Row],[Units Sold]]*financials[[#This Row],[Sale Price]]</f>
        <v>400</v>
      </c>
      <c r="H2968" s="8">
        <f>IF(financials[[#This Row],[Discount Band]]="low",0.1,IF(financials[[#This Row],[Discount Band]]="medium",0.15,0.3))</f>
        <v>0.1</v>
      </c>
      <c r="I2968" s="8">
        <f>financials[[#This Row],[Gross Sales]]-financials[[#This Row],[Gross Sales]]*financials[[#This Row],[Discounts]]</f>
        <v>360</v>
      </c>
      <c r="J2968" s="8">
        <f>VLOOKUP(financials[[#This Row],[productid]],Products!$B$2:$H$10,4)</f>
        <v>9.1</v>
      </c>
      <c r="K2968" s="8">
        <f>financials[[#This Row],[Net Sales]]-financials[[#This Row],[COGS]]</f>
        <v>350.9</v>
      </c>
      <c r="L2968" s="15">
        <v>44729</v>
      </c>
      <c r="M2968" t="s">
        <v>697</v>
      </c>
    </row>
    <row r="2969" spans="1:13" x14ac:dyDescent="0.25">
      <c r="A2969" t="s">
        <v>87</v>
      </c>
      <c r="B2969" s="6" t="s">
        <v>268</v>
      </c>
      <c r="C2969" s="13">
        <v>107</v>
      </c>
      <c r="D2969" s="14" t="s">
        <v>83</v>
      </c>
      <c r="E2969">
        <v>15</v>
      </c>
      <c r="F2969" s="8">
        <f>VLOOKUP(financials[[#This Row],[productid]],Products!$B$2:$H$10,3)</f>
        <v>15</v>
      </c>
      <c r="G2969" s="8">
        <f>financials[[#This Row],[Units Sold]]*financials[[#This Row],[Sale Price]]</f>
        <v>225</v>
      </c>
      <c r="H2969" s="8">
        <f>IF(financials[[#This Row],[Discount Band]]="low",0.1,IF(financials[[#This Row],[Discount Band]]="medium",0.15,0.3))</f>
        <v>0.3</v>
      </c>
      <c r="I2969" s="8">
        <f>financials[[#This Row],[Gross Sales]]-financials[[#This Row],[Gross Sales]]*financials[[#This Row],[Discounts]]</f>
        <v>157.5</v>
      </c>
      <c r="J2969" s="8">
        <f>VLOOKUP(financials[[#This Row],[productid]],Products!$B$2:$H$10,4)</f>
        <v>5.5</v>
      </c>
      <c r="K2969" s="8">
        <f>financials[[#This Row],[Net Sales]]-financials[[#This Row],[COGS]]</f>
        <v>152</v>
      </c>
      <c r="L2969" s="15">
        <v>44564</v>
      </c>
      <c r="M2969" t="s">
        <v>690</v>
      </c>
    </row>
    <row r="2970" spans="1:13" x14ac:dyDescent="0.25">
      <c r="A2970" t="s">
        <v>85</v>
      </c>
      <c r="B2970" s="6" t="s">
        <v>159</v>
      </c>
      <c r="C2970" s="13">
        <v>106</v>
      </c>
      <c r="D2970" s="14" t="s">
        <v>83</v>
      </c>
      <c r="E2970">
        <v>9</v>
      </c>
      <c r="F2970" s="8">
        <f>VLOOKUP(financials[[#This Row],[productid]],Products!$B$2:$H$10,3)</f>
        <v>25</v>
      </c>
      <c r="G2970" s="8">
        <f>financials[[#This Row],[Units Sold]]*financials[[#This Row],[Sale Price]]</f>
        <v>225</v>
      </c>
      <c r="H2970" s="8">
        <f>IF(financials[[#This Row],[Discount Band]]="low",0.1,IF(financials[[#This Row],[Discount Band]]="medium",0.15,0.3))</f>
        <v>0.3</v>
      </c>
      <c r="I2970" s="8">
        <f>financials[[#This Row],[Gross Sales]]-financials[[#This Row],[Gross Sales]]*financials[[#This Row],[Discounts]]</f>
        <v>157.5</v>
      </c>
      <c r="J2970" s="8">
        <f>VLOOKUP(financials[[#This Row],[productid]],Products!$B$2:$H$10,4)</f>
        <v>9.1</v>
      </c>
      <c r="K2970" s="8">
        <f>financials[[#This Row],[Net Sales]]-financials[[#This Row],[COGS]]</f>
        <v>148.4</v>
      </c>
      <c r="L2970" s="15">
        <v>45625</v>
      </c>
      <c r="M2970" t="s">
        <v>690</v>
      </c>
    </row>
    <row r="2971" spans="1:13" x14ac:dyDescent="0.25">
      <c r="A2971" t="s">
        <v>85</v>
      </c>
      <c r="B2971" s="6" t="s">
        <v>159</v>
      </c>
      <c r="C2971" s="13">
        <v>109</v>
      </c>
      <c r="D2971" s="14" t="s">
        <v>90</v>
      </c>
      <c r="E2971">
        <v>12</v>
      </c>
      <c r="F2971" s="8">
        <f>VLOOKUP(financials[[#This Row],[productid]],Products!$B$2:$H$10,3)</f>
        <v>36</v>
      </c>
      <c r="G2971" s="8">
        <f>financials[[#This Row],[Units Sold]]*financials[[#This Row],[Sale Price]]</f>
        <v>432</v>
      </c>
      <c r="H2971" s="8">
        <f>IF(financials[[#This Row],[Discount Band]]="low",0.1,IF(financials[[#This Row],[Discount Band]]="medium",0.15,0.3))</f>
        <v>0.15</v>
      </c>
      <c r="I2971" s="8">
        <f>financials[[#This Row],[Gross Sales]]-financials[[#This Row],[Gross Sales]]*financials[[#This Row],[Discounts]]</f>
        <v>367.2</v>
      </c>
      <c r="J2971" s="8">
        <f>VLOOKUP(financials[[#This Row],[productid]],Products!$B$2:$H$10,4)</f>
        <v>16.8</v>
      </c>
      <c r="K2971" s="8">
        <f>financials[[#This Row],[Net Sales]]-financials[[#This Row],[COGS]]</f>
        <v>350.4</v>
      </c>
      <c r="L2971" s="15">
        <v>44916</v>
      </c>
      <c r="M2971" t="s">
        <v>691</v>
      </c>
    </row>
    <row r="2972" spans="1:13" x14ac:dyDescent="0.25">
      <c r="A2972" t="s">
        <v>89</v>
      </c>
      <c r="B2972" s="6" t="s">
        <v>159</v>
      </c>
      <c r="C2972" s="13">
        <v>102</v>
      </c>
      <c r="D2972" s="14" t="s">
        <v>90</v>
      </c>
      <c r="E2972">
        <v>8</v>
      </c>
      <c r="F2972" s="8">
        <f>VLOOKUP(financials[[#This Row],[productid]],Products!$B$2:$H$10,3)</f>
        <v>15</v>
      </c>
      <c r="G2972" s="8">
        <f>financials[[#This Row],[Units Sold]]*financials[[#This Row],[Sale Price]]</f>
        <v>120</v>
      </c>
      <c r="H2972" s="8">
        <f>IF(financials[[#This Row],[Discount Band]]="low",0.1,IF(financials[[#This Row],[Discount Band]]="medium",0.15,0.3))</f>
        <v>0.15</v>
      </c>
      <c r="I2972" s="8">
        <f>financials[[#This Row],[Gross Sales]]-financials[[#This Row],[Gross Sales]]*financials[[#This Row],[Discounts]]</f>
        <v>102</v>
      </c>
      <c r="J2972" s="8">
        <f>VLOOKUP(financials[[#This Row],[productid]],Products!$B$2:$H$10,4)</f>
        <v>13.95</v>
      </c>
      <c r="K2972" s="8">
        <f>financials[[#This Row],[Net Sales]]-financials[[#This Row],[COGS]]</f>
        <v>88.05</v>
      </c>
      <c r="L2972" s="15">
        <v>45271</v>
      </c>
      <c r="M2972" t="s">
        <v>691</v>
      </c>
    </row>
    <row r="2973" spans="1:13" x14ac:dyDescent="0.25">
      <c r="A2973" t="s">
        <v>86</v>
      </c>
      <c r="B2973" s="6" t="s">
        <v>124</v>
      </c>
      <c r="C2973" s="13">
        <v>108</v>
      </c>
      <c r="D2973" s="14" t="s">
        <v>83</v>
      </c>
      <c r="E2973">
        <v>20</v>
      </c>
      <c r="F2973" s="8">
        <f>VLOOKUP(financials[[#This Row],[productid]],Products!$B$2:$H$10,3)</f>
        <v>5.5</v>
      </c>
      <c r="G2973" s="8">
        <f>financials[[#This Row],[Units Sold]]*financials[[#This Row],[Sale Price]]</f>
        <v>110</v>
      </c>
      <c r="H2973" s="8">
        <f>IF(financials[[#This Row],[Discount Band]]="low",0.1,IF(financials[[#This Row],[Discount Band]]="medium",0.15,0.3))</f>
        <v>0.3</v>
      </c>
      <c r="I2973" s="8">
        <f>financials[[#This Row],[Gross Sales]]-financials[[#This Row],[Gross Sales]]*financials[[#This Row],[Discounts]]</f>
        <v>77</v>
      </c>
      <c r="J2973" s="8">
        <f>VLOOKUP(financials[[#This Row],[productid]],Products!$B$2:$H$10,4)</f>
        <v>3.99</v>
      </c>
      <c r="K2973" s="8">
        <f>financials[[#This Row],[Net Sales]]-financials[[#This Row],[COGS]]</f>
        <v>73.010000000000005</v>
      </c>
      <c r="L2973" s="15">
        <v>45570</v>
      </c>
      <c r="M2973" t="s">
        <v>691</v>
      </c>
    </row>
    <row r="2974" spans="1:13" x14ac:dyDescent="0.25">
      <c r="A2974" t="s">
        <v>85</v>
      </c>
      <c r="B2974" s="6" t="s">
        <v>124</v>
      </c>
      <c r="C2974" s="13">
        <v>102</v>
      </c>
      <c r="D2974" s="14" t="s">
        <v>90</v>
      </c>
      <c r="E2974">
        <v>20</v>
      </c>
      <c r="F2974" s="8">
        <f>VLOOKUP(financials[[#This Row],[productid]],Products!$B$2:$H$10,3)</f>
        <v>15</v>
      </c>
      <c r="G2974" s="8">
        <f>financials[[#This Row],[Units Sold]]*financials[[#This Row],[Sale Price]]</f>
        <v>300</v>
      </c>
      <c r="H2974" s="8">
        <f>IF(financials[[#This Row],[Discount Band]]="low",0.1,IF(financials[[#This Row],[Discount Band]]="medium",0.15,0.3))</f>
        <v>0.15</v>
      </c>
      <c r="I2974" s="8">
        <f>financials[[#This Row],[Gross Sales]]-financials[[#This Row],[Gross Sales]]*financials[[#This Row],[Discounts]]</f>
        <v>255</v>
      </c>
      <c r="J2974" s="8">
        <f>VLOOKUP(financials[[#This Row],[productid]],Products!$B$2:$H$10,4)</f>
        <v>13.95</v>
      </c>
      <c r="K2974" s="8">
        <f>financials[[#This Row],[Net Sales]]-financials[[#This Row],[COGS]]</f>
        <v>241.05</v>
      </c>
      <c r="L2974" s="15">
        <v>44784</v>
      </c>
      <c r="M2974" t="s">
        <v>691</v>
      </c>
    </row>
    <row r="2975" spans="1:13" x14ac:dyDescent="0.25">
      <c r="A2975" t="s">
        <v>88</v>
      </c>
      <c r="B2975" s="6" t="s">
        <v>645</v>
      </c>
      <c r="C2975" s="13">
        <v>109</v>
      </c>
      <c r="D2975" s="14" t="s">
        <v>90</v>
      </c>
      <c r="E2975">
        <v>8</v>
      </c>
      <c r="F2975" s="8">
        <f>VLOOKUP(financials[[#This Row],[productid]],Products!$B$2:$H$10,3)</f>
        <v>36</v>
      </c>
      <c r="G2975" s="8">
        <f>financials[[#This Row],[Units Sold]]*financials[[#This Row],[Sale Price]]</f>
        <v>288</v>
      </c>
      <c r="H2975" s="8">
        <f>IF(financials[[#This Row],[Discount Band]]="low",0.1,IF(financials[[#This Row],[Discount Band]]="medium",0.15,0.3))</f>
        <v>0.15</v>
      </c>
      <c r="I2975" s="8">
        <f>financials[[#This Row],[Gross Sales]]-financials[[#This Row],[Gross Sales]]*financials[[#This Row],[Discounts]]</f>
        <v>244.8</v>
      </c>
      <c r="J2975" s="8">
        <f>VLOOKUP(financials[[#This Row],[productid]],Products!$B$2:$H$10,4)</f>
        <v>16.8</v>
      </c>
      <c r="K2975" s="8">
        <f>financials[[#This Row],[Net Sales]]-financials[[#This Row],[COGS]]</f>
        <v>228</v>
      </c>
      <c r="L2975" s="15">
        <v>44358</v>
      </c>
      <c r="M2975" t="s">
        <v>696</v>
      </c>
    </row>
    <row r="2976" spans="1:13" x14ac:dyDescent="0.25">
      <c r="A2976" t="s">
        <v>88</v>
      </c>
      <c r="B2976" s="6" t="s">
        <v>96</v>
      </c>
      <c r="C2976" s="13">
        <v>106</v>
      </c>
      <c r="D2976" s="14" t="s">
        <v>90</v>
      </c>
      <c r="E2976">
        <v>15</v>
      </c>
      <c r="F2976" s="8">
        <f>VLOOKUP(financials[[#This Row],[productid]],Products!$B$2:$H$10,3)</f>
        <v>25</v>
      </c>
      <c r="G2976" s="8">
        <f>financials[[#This Row],[Units Sold]]*financials[[#This Row],[Sale Price]]</f>
        <v>375</v>
      </c>
      <c r="H2976" s="8">
        <f>IF(financials[[#This Row],[Discount Band]]="low",0.1,IF(financials[[#This Row],[Discount Band]]="medium",0.15,0.3))</f>
        <v>0.15</v>
      </c>
      <c r="I2976" s="8">
        <f>financials[[#This Row],[Gross Sales]]-financials[[#This Row],[Gross Sales]]*financials[[#This Row],[Discounts]]</f>
        <v>318.75</v>
      </c>
      <c r="J2976" s="8">
        <f>VLOOKUP(financials[[#This Row],[productid]],Products!$B$2:$H$10,4)</f>
        <v>9.1</v>
      </c>
      <c r="K2976" s="8">
        <f>financials[[#This Row],[Net Sales]]-financials[[#This Row],[COGS]]</f>
        <v>309.64999999999998</v>
      </c>
      <c r="L2976" s="15">
        <v>44983</v>
      </c>
      <c r="M2976" t="s">
        <v>690</v>
      </c>
    </row>
    <row r="2977" spans="1:13" x14ac:dyDescent="0.25">
      <c r="A2977" t="s">
        <v>85</v>
      </c>
      <c r="B2977" s="6" t="s">
        <v>159</v>
      </c>
      <c r="C2977" s="13">
        <v>107</v>
      </c>
      <c r="D2977" s="14" t="s">
        <v>91</v>
      </c>
      <c r="E2977">
        <v>12</v>
      </c>
      <c r="F2977" s="8">
        <f>VLOOKUP(financials[[#This Row],[productid]],Products!$B$2:$H$10,3)</f>
        <v>15</v>
      </c>
      <c r="G2977" s="8">
        <f>financials[[#This Row],[Units Sold]]*financials[[#This Row],[Sale Price]]</f>
        <v>180</v>
      </c>
      <c r="H2977" s="8">
        <f>IF(financials[[#This Row],[Discount Band]]="low",0.1,IF(financials[[#This Row],[Discount Band]]="medium",0.15,0.3))</f>
        <v>0.1</v>
      </c>
      <c r="I2977" s="8">
        <f>financials[[#This Row],[Gross Sales]]-financials[[#This Row],[Gross Sales]]*financials[[#This Row],[Discounts]]</f>
        <v>162</v>
      </c>
      <c r="J2977" s="8">
        <f>VLOOKUP(financials[[#This Row],[productid]],Products!$B$2:$H$10,4)</f>
        <v>5.5</v>
      </c>
      <c r="K2977" s="8">
        <f>financials[[#This Row],[Net Sales]]-financials[[#This Row],[COGS]]</f>
        <v>156.5</v>
      </c>
      <c r="L2977" s="15">
        <v>44421</v>
      </c>
      <c r="M2977" t="s">
        <v>691</v>
      </c>
    </row>
    <row r="2978" spans="1:13" x14ac:dyDescent="0.25">
      <c r="A2978" t="s">
        <v>89</v>
      </c>
      <c r="B2978" s="6" t="s">
        <v>159</v>
      </c>
      <c r="C2978" s="13">
        <v>107</v>
      </c>
      <c r="D2978" s="14" t="s">
        <v>83</v>
      </c>
      <c r="E2978">
        <v>11</v>
      </c>
      <c r="F2978" s="8">
        <f>VLOOKUP(financials[[#This Row],[productid]],Products!$B$2:$H$10,3)</f>
        <v>15</v>
      </c>
      <c r="G2978" s="8">
        <f>financials[[#This Row],[Units Sold]]*financials[[#This Row],[Sale Price]]</f>
        <v>165</v>
      </c>
      <c r="H2978" s="8">
        <f>IF(financials[[#This Row],[Discount Band]]="low",0.1,IF(financials[[#This Row],[Discount Band]]="medium",0.15,0.3))</f>
        <v>0.3</v>
      </c>
      <c r="I2978" s="8">
        <f>financials[[#This Row],[Gross Sales]]-financials[[#This Row],[Gross Sales]]*financials[[#This Row],[Discounts]]</f>
        <v>115.5</v>
      </c>
      <c r="J2978" s="8">
        <f>VLOOKUP(financials[[#This Row],[productid]],Products!$B$2:$H$10,4)</f>
        <v>5.5</v>
      </c>
      <c r="K2978" s="8">
        <f>financials[[#This Row],[Net Sales]]-financials[[#This Row],[COGS]]</f>
        <v>110</v>
      </c>
      <c r="L2978" s="15">
        <v>44078</v>
      </c>
      <c r="M2978" t="s">
        <v>691</v>
      </c>
    </row>
    <row r="2979" spans="1:13" x14ac:dyDescent="0.25">
      <c r="A2979" t="s">
        <v>89</v>
      </c>
      <c r="B2979" s="6" t="s">
        <v>159</v>
      </c>
      <c r="C2979" s="13">
        <v>107</v>
      </c>
      <c r="D2979" s="14" t="s">
        <v>83</v>
      </c>
      <c r="E2979">
        <v>11</v>
      </c>
      <c r="F2979" s="8">
        <f>VLOOKUP(financials[[#This Row],[productid]],Products!$B$2:$H$10,3)</f>
        <v>15</v>
      </c>
      <c r="G2979" s="8">
        <f>financials[[#This Row],[Units Sold]]*financials[[#This Row],[Sale Price]]</f>
        <v>165</v>
      </c>
      <c r="H2979" s="8">
        <f>IF(financials[[#This Row],[Discount Band]]="low",0.1,IF(financials[[#This Row],[Discount Band]]="medium",0.15,0.3))</f>
        <v>0.3</v>
      </c>
      <c r="I2979" s="8">
        <f>financials[[#This Row],[Gross Sales]]-financials[[#This Row],[Gross Sales]]*financials[[#This Row],[Discounts]]</f>
        <v>115.5</v>
      </c>
      <c r="J2979" s="8">
        <f>VLOOKUP(financials[[#This Row],[productid]],Products!$B$2:$H$10,4)</f>
        <v>5.5</v>
      </c>
      <c r="K2979" s="8">
        <f>financials[[#This Row],[Net Sales]]-financials[[#This Row],[COGS]]</f>
        <v>110</v>
      </c>
      <c r="L2979" s="15">
        <v>44688</v>
      </c>
      <c r="M2979" t="s">
        <v>700</v>
      </c>
    </row>
    <row r="2980" spans="1:13" x14ac:dyDescent="0.25">
      <c r="A2980" t="s">
        <v>87</v>
      </c>
      <c r="B2980" s="6" t="s">
        <v>94</v>
      </c>
      <c r="C2980" s="13">
        <v>105</v>
      </c>
      <c r="D2980" s="14" t="s">
        <v>90</v>
      </c>
      <c r="E2980">
        <v>16</v>
      </c>
      <c r="F2980" s="8">
        <f>VLOOKUP(financials[[#This Row],[productid]],Products!$B$2:$H$10,3)</f>
        <v>15</v>
      </c>
      <c r="G2980" s="8">
        <f>financials[[#This Row],[Units Sold]]*financials[[#This Row],[Sale Price]]</f>
        <v>240</v>
      </c>
      <c r="H2980" s="8">
        <f>IF(financials[[#This Row],[Discount Band]]="low",0.1,IF(financials[[#This Row],[Discount Band]]="medium",0.15,0.3))</f>
        <v>0.15</v>
      </c>
      <c r="I2980" s="8">
        <f>financials[[#This Row],[Gross Sales]]-financials[[#This Row],[Gross Sales]]*financials[[#This Row],[Discounts]]</f>
        <v>204</v>
      </c>
      <c r="J2980" s="8">
        <f>VLOOKUP(financials[[#This Row],[productid]],Products!$B$2:$H$10,4)</f>
        <v>10</v>
      </c>
      <c r="K2980" s="8">
        <f>financials[[#This Row],[Net Sales]]-financials[[#This Row],[COGS]]</f>
        <v>194</v>
      </c>
      <c r="L2980" s="15">
        <v>44855</v>
      </c>
      <c r="M2980" t="s">
        <v>697</v>
      </c>
    </row>
    <row r="2981" spans="1:13" x14ac:dyDescent="0.25">
      <c r="A2981" t="s">
        <v>85</v>
      </c>
      <c r="B2981" s="6" t="s">
        <v>159</v>
      </c>
      <c r="C2981" s="13">
        <v>107</v>
      </c>
      <c r="D2981" s="14" t="s">
        <v>91</v>
      </c>
      <c r="E2981">
        <v>19</v>
      </c>
      <c r="F2981" s="8">
        <f>VLOOKUP(financials[[#This Row],[productid]],Products!$B$2:$H$10,3)</f>
        <v>15</v>
      </c>
      <c r="G2981" s="8">
        <f>financials[[#This Row],[Units Sold]]*financials[[#This Row],[Sale Price]]</f>
        <v>285</v>
      </c>
      <c r="H2981" s="8">
        <f>IF(financials[[#This Row],[Discount Band]]="low",0.1,IF(financials[[#This Row],[Discount Band]]="medium",0.15,0.3))</f>
        <v>0.1</v>
      </c>
      <c r="I2981" s="8">
        <f>financials[[#This Row],[Gross Sales]]-financials[[#This Row],[Gross Sales]]*financials[[#This Row],[Discounts]]</f>
        <v>256.5</v>
      </c>
      <c r="J2981" s="8">
        <f>VLOOKUP(financials[[#This Row],[productid]],Products!$B$2:$H$10,4)</f>
        <v>5.5</v>
      </c>
      <c r="K2981" s="8">
        <f>financials[[#This Row],[Net Sales]]-financials[[#This Row],[COGS]]</f>
        <v>251</v>
      </c>
      <c r="L2981" s="15">
        <v>44865</v>
      </c>
      <c r="M2981" t="s">
        <v>696</v>
      </c>
    </row>
    <row r="2982" spans="1:13" x14ac:dyDescent="0.25">
      <c r="A2982" t="s">
        <v>88</v>
      </c>
      <c r="B2982" s="6" t="s">
        <v>266</v>
      </c>
      <c r="C2982" s="13">
        <v>103</v>
      </c>
      <c r="D2982" s="14" t="s">
        <v>90</v>
      </c>
      <c r="E2982">
        <v>17</v>
      </c>
      <c r="F2982" s="8">
        <f>VLOOKUP(financials[[#This Row],[productid]],Products!$B$2:$H$10,3)</f>
        <v>28</v>
      </c>
      <c r="G2982" s="8">
        <f>financials[[#This Row],[Units Sold]]*financials[[#This Row],[Sale Price]]</f>
        <v>476</v>
      </c>
      <c r="H2982" s="8">
        <f>IF(financials[[#This Row],[Discount Band]]="low",0.1,IF(financials[[#This Row],[Discount Band]]="medium",0.15,0.3))</f>
        <v>0.15</v>
      </c>
      <c r="I2982" s="8">
        <f>financials[[#This Row],[Gross Sales]]-financials[[#This Row],[Gross Sales]]*financials[[#This Row],[Discounts]]</f>
        <v>404.6</v>
      </c>
      <c r="J2982" s="8">
        <f>VLOOKUP(financials[[#This Row],[productid]],Products!$B$2:$H$10,4)</f>
        <v>15</v>
      </c>
      <c r="K2982" s="8">
        <f>financials[[#This Row],[Net Sales]]-financials[[#This Row],[COGS]]</f>
        <v>389.6</v>
      </c>
      <c r="L2982" s="15">
        <v>44710</v>
      </c>
      <c r="M2982" t="s">
        <v>691</v>
      </c>
    </row>
    <row r="2983" spans="1:13" x14ac:dyDescent="0.25">
      <c r="A2983" t="s">
        <v>87</v>
      </c>
      <c r="B2983" s="6" t="s">
        <v>167</v>
      </c>
      <c r="C2983" s="11">
        <v>104</v>
      </c>
      <c r="D2983" s="9" t="s">
        <v>83</v>
      </c>
      <c r="E2983">
        <v>20</v>
      </c>
      <c r="F2983" s="8">
        <f>VLOOKUP(financials[[#This Row],[productid]],Products!$B$2:$H$10,3)</f>
        <v>5.9</v>
      </c>
      <c r="G2983" s="8">
        <f>financials[[#This Row],[Units Sold]]*financials[[#This Row],[Sale Price]]</f>
        <v>118</v>
      </c>
      <c r="H2983" s="8">
        <f>IF(financials[[#This Row],[Discount Band]]="low",0.1,IF(financials[[#This Row],[Discount Band]]="medium",0.15,0.3))</f>
        <v>0.3</v>
      </c>
      <c r="I2983" s="8">
        <f>financials[[#This Row],[Gross Sales]]-financials[[#This Row],[Gross Sales]]*financials[[#This Row],[Discounts]]</f>
        <v>82.6</v>
      </c>
      <c r="J2983" s="8">
        <f>VLOOKUP(financials[[#This Row],[productid]],Products!$B$2:$H$10,4)</f>
        <v>2.9</v>
      </c>
      <c r="K2983" s="8">
        <f>financials[[#This Row],[Net Sales]]-financials[[#This Row],[COGS]]</f>
        <v>79.699999999999989</v>
      </c>
      <c r="L2983" s="15">
        <v>43964</v>
      </c>
      <c r="M2983" t="s">
        <v>691</v>
      </c>
    </row>
    <row r="2984" spans="1:13" x14ac:dyDescent="0.25">
      <c r="A2984" t="s">
        <v>85</v>
      </c>
      <c r="B2984" s="6" t="s">
        <v>159</v>
      </c>
      <c r="C2984" s="13">
        <v>109</v>
      </c>
      <c r="D2984" s="14" t="s">
        <v>90</v>
      </c>
      <c r="E2984">
        <v>14</v>
      </c>
      <c r="F2984" s="8">
        <f>VLOOKUP(financials[[#This Row],[productid]],Products!$B$2:$H$10,3)</f>
        <v>36</v>
      </c>
      <c r="G2984" s="8">
        <f>financials[[#This Row],[Units Sold]]*financials[[#This Row],[Sale Price]]</f>
        <v>504</v>
      </c>
      <c r="H2984" s="8">
        <f>IF(financials[[#This Row],[Discount Band]]="low",0.1,IF(financials[[#This Row],[Discount Band]]="medium",0.15,0.3))</f>
        <v>0.15</v>
      </c>
      <c r="I2984" s="8">
        <f>financials[[#This Row],[Gross Sales]]-financials[[#This Row],[Gross Sales]]*financials[[#This Row],[Discounts]]</f>
        <v>428.4</v>
      </c>
      <c r="J2984" s="8">
        <f>VLOOKUP(financials[[#This Row],[productid]],Products!$B$2:$H$10,4)</f>
        <v>16.8</v>
      </c>
      <c r="K2984" s="8">
        <f>financials[[#This Row],[Net Sales]]-financials[[#This Row],[COGS]]</f>
        <v>411.59999999999997</v>
      </c>
      <c r="L2984" s="15">
        <v>45430</v>
      </c>
      <c r="M2984" t="s">
        <v>697</v>
      </c>
    </row>
    <row r="2985" spans="1:13" x14ac:dyDescent="0.25">
      <c r="A2985" t="s">
        <v>85</v>
      </c>
      <c r="B2985" s="6" t="s">
        <v>124</v>
      </c>
      <c r="C2985" s="13">
        <v>105</v>
      </c>
      <c r="D2985" s="14" t="s">
        <v>92</v>
      </c>
      <c r="E2985">
        <v>8</v>
      </c>
      <c r="F2985" s="8">
        <f>VLOOKUP(financials[[#This Row],[productid]],Products!$B$2:$H$10,3)</f>
        <v>15</v>
      </c>
      <c r="G2985" s="8">
        <f>financials[[#This Row],[Units Sold]]*financials[[#This Row],[Sale Price]]</f>
        <v>120</v>
      </c>
      <c r="H2985" s="8">
        <f>IF(financials[[#This Row],[Discount Band]]="low",0.1,IF(financials[[#This Row],[Discount Band]]="medium",0.15,0.3))</f>
        <v>0.3</v>
      </c>
      <c r="I2985" s="8">
        <f>financials[[#This Row],[Gross Sales]]-financials[[#This Row],[Gross Sales]]*financials[[#This Row],[Discounts]]</f>
        <v>84</v>
      </c>
      <c r="J2985" s="8">
        <f>VLOOKUP(financials[[#This Row],[productid]],Products!$B$2:$H$10,4)</f>
        <v>10</v>
      </c>
      <c r="K2985" s="8">
        <f>financials[[#This Row],[Net Sales]]-financials[[#This Row],[COGS]]</f>
        <v>74</v>
      </c>
      <c r="L2985" s="15">
        <v>44073</v>
      </c>
      <c r="M2985" t="s">
        <v>696</v>
      </c>
    </row>
    <row r="2986" spans="1:13" x14ac:dyDescent="0.25">
      <c r="A2986" t="s">
        <v>89</v>
      </c>
      <c r="B2986" s="6" t="s">
        <v>159</v>
      </c>
      <c r="C2986" s="13">
        <v>105</v>
      </c>
      <c r="D2986" s="14" t="s">
        <v>83</v>
      </c>
      <c r="E2986">
        <v>10</v>
      </c>
      <c r="F2986" s="8">
        <f>VLOOKUP(financials[[#This Row],[productid]],Products!$B$2:$H$10,3)</f>
        <v>15</v>
      </c>
      <c r="G2986" s="8">
        <f>financials[[#This Row],[Units Sold]]*financials[[#This Row],[Sale Price]]</f>
        <v>150</v>
      </c>
      <c r="H2986" s="8">
        <f>IF(financials[[#This Row],[Discount Band]]="low",0.1,IF(financials[[#This Row],[Discount Band]]="medium",0.15,0.3))</f>
        <v>0.3</v>
      </c>
      <c r="I2986" s="8">
        <f>financials[[#This Row],[Gross Sales]]-financials[[#This Row],[Gross Sales]]*financials[[#This Row],[Discounts]]</f>
        <v>105</v>
      </c>
      <c r="J2986" s="8">
        <f>VLOOKUP(financials[[#This Row],[productid]],Products!$B$2:$H$10,4)</f>
        <v>10</v>
      </c>
      <c r="K2986" s="8">
        <f>financials[[#This Row],[Net Sales]]-financials[[#This Row],[COGS]]</f>
        <v>95</v>
      </c>
      <c r="L2986" s="15">
        <v>43843</v>
      </c>
      <c r="M2986" t="s">
        <v>690</v>
      </c>
    </row>
    <row r="2987" spans="1:13" x14ac:dyDescent="0.25">
      <c r="A2987" t="s">
        <v>89</v>
      </c>
      <c r="B2987" s="6" t="s">
        <v>124</v>
      </c>
      <c r="C2987" s="13">
        <v>105</v>
      </c>
      <c r="D2987" s="14" t="s">
        <v>90</v>
      </c>
      <c r="E2987">
        <v>16</v>
      </c>
      <c r="F2987" s="8">
        <f>VLOOKUP(financials[[#This Row],[productid]],Products!$B$2:$H$10,3)</f>
        <v>15</v>
      </c>
      <c r="G2987" s="8">
        <f>financials[[#This Row],[Units Sold]]*financials[[#This Row],[Sale Price]]</f>
        <v>240</v>
      </c>
      <c r="H2987" s="8">
        <f>IF(financials[[#This Row],[Discount Band]]="low",0.1,IF(financials[[#This Row],[Discount Band]]="medium",0.15,0.3))</f>
        <v>0.15</v>
      </c>
      <c r="I2987" s="8">
        <f>financials[[#This Row],[Gross Sales]]-financials[[#This Row],[Gross Sales]]*financials[[#This Row],[Discounts]]</f>
        <v>204</v>
      </c>
      <c r="J2987" s="8">
        <f>VLOOKUP(financials[[#This Row],[productid]],Products!$B$2:$H$10,4)</f>
        <v>10</v>
      </c>
      <c r="K2987" s="8">
        <f>financials[[#This Row],[Net Sales]]-financials[[#This Row],[COGS]]</f>
        <v>194</v>
      </c>
      <c r="L2987" s="15">
        <v>45223</v>
      </c>
      <c r="M2987" t="s">
        <v>691</v>
      </c>
    </row>
    <row r="2988" spans="1:13" x14ac:dyDescent="0.25">
      <c r="A2988" t="s">
        <v>88</v>
      </c>
      <c r="B2988" s="6" t="s">
        <v>96</v>
      </c>
      <c r="C2988" s="13">
        <v>109</v>
      </c>
      <c r="D2988" s="14" t="s">
        <v>90</v>
      </c>
      <c r="E2988">
        <v>19</v>
      </c>
      <c r="F2988" s="8">
        <f>VLOOKUP(financials[[#This Row],[productid]],Products!$B$2:$H$10,3)</f>
        <v>36</v>
      </c>
      <c r="G2988" s="8">
        <f>financials[[#This Row],[Units Sold]]*financials[[#This Row],[Sale Price]]</f>
        <v>684</v>
      </c>
      <c r="H2988" s="8">
        <f>IF(financials[[#This Row],[Discount Band]]="low",0.1,IF(financials[[#This Row],[Discount Band]]="medium",0.15,0.3))</f>
        <v>0.15</v>
      </c>
      <c r="I2988" s="8">
        <f>financials[[#This Row],[Gross Sales]]-financials[[#This Row],[Gross Sales]]*financials[[#This Row],[Discounts]]</f>
        <v>581.4</v>
      </c>
      <c r="J2988" s="8">
        <f>VLOOKUP(financials[[#This Row],[productid]],Products!$B$2:$H$10,4)</f>
        <v>16.8</v>
      </c>
      <c r="K2988" s="8">
        <f>financials[[#This Row],[Net Sales]]-financials[[#This Row],[COGS]]</f>
        <v>564.6</v>
      </c>
      <c r="L2988" s="15">
        <v>43909</v>
      </c>
      <c r="M2988" t="s">
        <v>690</v>
      </c>
    </row>
    <row r="2989" spans="1:13" x14ac:dyDescent="0.25">
      <c r="A2989" t="s">
        <v>88</v>
      </c>
      <c r="B2989" s="6" t="s">
        <v>96</v>
      </c>
      <c r="C2989" s="13">
        <v>102</v>
      </c>
      <c r="D2989" s="14" t="s">
        <v>92</v>
      </c>
      <c r="E2989">
        <v>10</v>
      </c>
      <c r="F2989" s="8">
        <f>VLOOKUP(financials[[#This Row],[productid]],Products!$B$2:$H$10,3)</f>
        <v>15</v>
      </c>
      <c r="G2989" s="8">
        <f>financials[[#This Row],[Units Sold]]*financials[[#This Row],[Sale Price]]</f>
        <v>150</v>
      </c>
      <c r="H2989" s="8">
        <f>IF(financials[[#This Row],[Discount Band]]="low",0.1,IF(financials[[#This Row],[Discount Band]]="medium",0.15,0.3))</f>
        <v>0.3</v>
      </c>
      <c r="I2989" s="8">
        <f>financials[[#This Row],[Gross Sales]]-financials[[#This Row],[Gross Sales]]*financials[[#This Row],[Discounts]]</f>
        <v>105</v>
      </c>
      <c r="J2989" s="8">
        <f>VLOOKUP(financials[[#This Row],[productid]],Products!$B$2:$H$10,4)</f>
        <v>13.95</v>
      </c>
      <c r="K2989" s="8">
        <f>financials[[#This Row],[Net Sales]]-financials[[#This Row],[COGS]]</f>
        <v>91.05</v>
      </c>
      <c r="L2989" s="15">
        <v>44095</v>
      </c>
      <c r="M2989" t="s">
        <v>691</v>
      </c>
    </row>
    <row r="2990" spans="1:13" x14ac:dyDescent="0.25">
      <c r="A2990" t="s">
        <v>86</v>
      </c>
      <c r="B2990" s="6" t="s">
        <v>93</v>
      </c>
      <c r="C2990" s="13">
        <v>102</v>
      </c>
      <c r="D2990" s="14" t="s">
        <v>91</v>
      </c>
      <c r="E2990">
        <v>6</v>
      </c>
      <c r="F2990" s="8">
        <f>VLOOKUP(financials[[#This Row],[productid]],Products!$B$2:$H$10,3)</f>
        <v>15</v>
      </c>
      <c r="G2990" s="8">
        <f>financials[[#This Row],[Units Sold]]*financials[[#This Row],[Sale Price]]</f>
        <v>90</v>
      </c>
      <c r="H2990" s="8">
        <f>IF(financials[[#This Row],[Discount Band]]="low",0.1,IF(financials[[#This Row],[Discount Band]]="medium",0.15,0.3))</f>
        <v>0.1</v>
      </c>
      <c r="I2990" s="8">
        <f>financials[[#This Row],[Gross Sales]]-financials[[#This Row],[Gross Sales]]*financials[[#This Row],[Discounts]]</f>
        <v>81</v>
      </c>
      <c r="J2990" s="8">
        <f>VLOOKUP(financials[[#This Row],[productid]],Products!$B$2:$H$10,4)</f>
        <v>13.95</v>
      </c>
      <c r="K2990" s="8">
        <f>financials[[#This Row],[Net Sales]]-financials[[#This Row],[COGS]]</f>
        <v>67.05</v>
      </c>
      <c r="L2990" s="15">
        <v>43860</v>
      </c>
      <c r="M2990" t="s">
        <v>696</v>
      </c>
    </row>
    <row r="2991" spans="1:13" x14ac:dyDescent="0.25">
      <c r="A2991" t="s">
        <v>88</v>
      </c>
      <c r="B2991" s="6" t="s">
        <v>93</v>
      </c>
      <c r="C2991" s="13">
        <v>103</v>
      </c>
      <c r="D2991" s="14" t="s">
        <v>90</v>
      </c>
      <c r="E2991">
        <v>12</v>
      </c>
      <c r="F2991" s="8">
        <f>VLOOKUP(financials[[#This Row],[productid]],Products!$B$2:$H$10,3)</f>
        <v>28</v>
      </c>
      <c r="G2991" s="8">
        <f>financials[[#This Row],[Units Sold]]*financials[[#This Row],[Sale Price]]</f>
        <v>336</v>
      </c>
      <c r="H2991" s="8">
        <f>IF(financials[[#This Row],[Discount Band]]="low",0.1,IF(financials[[#This Row],[Discount Band]]="medium",0.15,0.3))</f>
        <v>0.15</v>
      </c>
      <c r="I2991" s="8">
        <f>financials[[#This Row],[Gross Sales]]-financials[[#This Row],[Gross Sales]]*financials[[#This Row],[Discounts]]</f>
        <v>285.60000000000002</v>
      </c>
      <c r="J2991" s="8">
        <f>VLOOKUP(financials[[#This Row],[productid]],Products!$B$2:$H$10,4)</f>
        <v>15</v>
      </c>
      <c r="K2991" s="8">
        <f>financials[[#This Row],[Net Sales]]-financials[[#This Row],[COGS]]</f>
        <v>270.60000000000002</v>
      </c>
      <c r="L2991" s="15">
        <v>44545</v>
      </c>
      <c r="M2991" t="s">
        <v>690</v>
      </c>
    </row>
    <row r="2992" spans="1:13" x14ac:dyDescent="0.25">
      <c r="A2992" t="s">
        <v>86</v>
      </c>
      <c r="B2992" s="6" t="s">
        <v>159</v>
      </c>
      <c r="C2992" s="13">
        <v>104</v>
      </c>
      <c r="D2992" s="14" t="s">
        <v>92</v>
      </c>
      <c r="E2992">
        <v>17</v>
      </c>
      <c r="F2992" s="8">
        <f>VLOOKUP(financials[[#This Row],[productid]],Products!$B$2:$H$10,3)</f>
        <v>5.9</v>
      </c>
      <c r="G2992" s="8">
        <f>financials[[#This Row],[Units Sold]]*financials[[#This Row],[Sale Price]]</f>
        <v>100.30000000000001</v>
      </c>
      <c r="H2992" s="8">
        <f>IF(financials[[#This Row],[Discount Band]]="low",0.1,IF(financials[[#This Row],[Discount Band]]="medium",0.15,0.3))</f>
        <v>0.3</v>
      </c>
      <c r="I2992" s="8">
        <f>financials[[#This Row],[Gross Sales]]-financials[[#This Row],[Gross Sales]]*financials[[#This Row],[Discounts]]</f>
        <v>70.210000000000008</v>
      </c>
      <c r="J2992" s="8">
        <f>VLOOKUP(financials[[#This Row],[productid]],Products!$B$2:$H$10,4)</f>
        <v>2.9</v>
      </c>
      <c r="K2992" s="8">
        <f>financials[[#This Row],[Net Sales]]-financials[[#This Row],[COGS]]</f>
        <v>67.31</v>
      </c>
      <c r="L2992" s="15">
        <v>44953</v>
      </c>
      <c r="M2992" t="s">
        <v>700</v>
      </c>
    </row>
    <row r="2993" spans="1:13" x14ac:dyDescent="0.25">
      <c r="A2993" t="s">
        <v>85</v>
      </c>
      <c r="B2993" s="6" t="s">
        <v>124</v>
      </c>
      <c r="C2993" s="13">
        <v>104</v>
      </c>
      <c r="D2993" s="14" t="s">
        <v>91</v>
      </c>
      <c r="E2993">
        <v>9</v>
      </c>
      <c r="F2993" s="8">
        <f>VLOOKUP(financials[[#This Row],[productid]],Products!$B$2:$H$10,3)</f>
        <v>5.9</v>
      </c>
      <c r="G2993" s="8">
        <f>financials[[#This Row],[Units Sold]]*financials[[#This Row],[Sale Price]]</f>
        <v>53.1</v>
      </c>
      <c r="H2993" s="8">
        <f>IF(financials[[#This Row],[Discount Band]]="low",0.1,IF(financials[[#This Row],[Discount Band]]="medium",0.15,0.3))</f>
        <v>0.1</v>
      </c>
      <c r="I2993" s="8">
        <f>financials[[#This Row],[Gross Sales]]-financials[[#This Row],[Gross Sales]]*financials[[#This Row],[Discounts]]</f>
        <v>47.79</v>
      </c>
      <c r="J2993" s="8">
        <f>VLOOKUP(financials[[#This Row],[productid]],Products!$B$2:$H$10,4)</f>
        <v>2.9</v>
      </c>
      <c r="K2993" s="8">
        <f>financials[[#This Row],[Net Sales]]-financials[[#This Row],[COGS]]</f>
        <v>44.89</v>
      </c>
      <c r="L2993" s="15">
        <v>44942</v>
      </c>
      <c r="M2993" t="s">
        <v>691</v>
      </c>
    </row>
    <row r="2994" spans="1:13" x14ac:dyDescent="0.25">
      <c r="A2994" t="s">
        <v>89</v>
      </c>
      <c r="B2994" s="6" t="s">
        <v>124</v>
      </c>
      <c r="C2994" s="13">
        <v>109</v>
      </c>
      <c r="D2994" s="14" t="s">
        <v>91</v>
      </c>
      <c r="E2994">
        <v>12</v>
      </c>
      <c r="F2994" s="8">
        <f>VLOOKUP(financials[[#This Row],[productid]],Products!$B$2:$H$10,3)</f>
        <v>36</v>
      </c>
      <c r="G2994" s="8">
        <f>financials[[#This Row],[Units Sold]]*financials[[#This Row],[Sale Price]]</f>
        <v>432</v>
      </c>
      <c r="H2994" s="8">
        <f>IF(financials[[#This Row],[Discount Band]]="low",0.1,IF(financials[[#This Row],[Discount Band]]="medium",0.15,0.3))</f>
        <v>0.1</v>
      </c>
      <c r="I2994" s="8">
        <f>financials[[#This Row],[Gross Sales]]-financials[[#This Row],[Gross Sales]]*financials[[#This Row],[Discounts]]</f>
        <v>388.8</v>
      </c>
      <c r="J2994" s="8">
        <f>VLOOKUP(financials[[#This Row],[productid]],Products!$B$2:$H$10,4)</f>
        <v>16.8</v>
      </c>
      <c r="K2994" s="8">
        <f>financials[[#This Row],[Net Sales]]-financials[[#This Row],[COGS]]</f>
        <v>372</v>
      </c>
      <c r="L2994" s="15">
        <v>44039</v>
      </c>
      <c r="M2994" t="s">
        <v>691</v>
      </c>
    </row>
    <row r="2995" spans="1:13" x14ac:dyDescent="0.25">
      <c r="A2995" t="s">
        <v>87</v>
      </c>
      <c r="B2995" s="6" t="s">
        <v>167</v>
      </c>
      <c r="C2995" s="13">
        <v>104</v>
      </c>
      <c r="D2995" s="14" t="s">
        <v>90</v>
      </c>
      <c r="E2995">
        <v>8</v>
      </c>
      <c r="F2995" s="8">
        <f>VLOOKUP(financials[[#This Row],[productid]],Products!$B$2:$H$10,3)</f>
        <v>5.9</v>
      </c>
      <c r="G2995" s="8">
        <f>financials[[#This Row],[Units Sold]]*financials[[#This Row],[Sale Price]]</f>
        <v>47.2</v>
      </c>
      <c r="H2995" s="8">
        <f>IF(financials[[#This Row],[Discount Band]]="low",0.1,IF(financials[[#This Row],[Discount Band]]="medium",0.15,0.3))</f>
        <v>0.15</v>
      </c>
      <c r="I2995" s="8">
        <f>financials[[#This Row],[Gross Sales]]-financials[[#This Row],[Gross Sales]]*financials[[#This Row],[Discounts]]</f>
        <v>40.120000000000005</v>
      </c>
      <c r="J2995" s="8">
        <f>VLOOKUP(financials[[#This Row],[productid]],Products!$B$2:$H$10,4)</f>
        <v>2.9</v>
      </c>
      <c r="K2995" s="8">
        <f>financials[[#This Row],[Net Sales]]-financials[[#This Row],[COGS]]</f>
        <v>37.220000000000006</v>
      </c>
      <c r="L2995" s="15">
        <v>44942</v>
      </c>
      <c r="M2995" t="s">
        <v>700</v>
      </c>
    </row>
    <row r="2996" spans="1:13" x14ac:dyDescent="0.25">
      <c r="A2996" t="s">
        <v>89</v>
      </c>
      <c r="B2996" s="6" t="s">
        <v>124</v>
      </c>
      <c r="C2996" s="11">
        <v>108</v>
      </c>
      <c r="D2996" s="9" t="s">
        <v>90</v>
      </c>
      <c r="E2996">
        <v>10</v>
      </c>
      <c r="F2996" s="8">
        <f>VLOOKUP(financials[[#This Row],[productid]],Products!$B$2:$H$10,3)</f>
        <v>5.5</v>
      </c>
      <c r="G2996" s="8">
        <f>financials[[#This Row],[Units Sold]]*financials[[#This Row],[Sale Price]]</f>
        <v>55</v>
      </c>
      <c r="H2996" s="8">
        <f>IF(financials[[#This Row],[Discount Band]]="low",0.1,IF(financials[[#This Row],[Discount Band]]="medium",0.15,0.3))</f>
        <v>0.15</v>
      </c>
      <c r="I2996" s="8">
        <f>financials[[#This Row],[Gross Sales]]-financials[[#This Row],[Gross Sales]]*financials[[#This Row],[Discounts]]</f>
        <v>46.75</v>
      </c>
      <c r="J2996" s="8">
        <f>VLOOKUP(financials[[#This Row],[productid]],Products!$B$2:$H$10,4)</f>
        <v>3.99</v>
      </c>
      <c r="K2996" s="8">
        <f>financials[[#This Row],[Net Sales]]-financials[[#This Row],[COGS]]</f>
        <v>42.76</v>
      </c>
      <c r="L2996" s="15">
        <v>44530</v>
      </c>
      <c r="M2996" t="s">
        <v>691</v>
      </c>
    </row>
    <row r="2997" spans="1:13" x14ac:dyDescent="0.25">
      <c r="A2997" t="s">
        <v>86</v>
      </c>
      <c r="B2997" s="6" t="s">
        <v>159</v>
      </c>
      <c r="C2997" s="13">
        <v>108</v>
      </c>
      <c r="D2997" s="14" t="s">
        <v>90</v>
      </c>
      <c r="E2997">
        <v>14</v>
      </c>
      <c r="F2997" s="8">
        <f>VLOOKUP(financials[[#This Row],[productid]],Products!$B$2:$H$10,3)</f>
        <v>5.5</v>
      </c>
      <c r="G2997" s="8">
        <f>financials[[#This Row],[Units Sold]]*financials[[#This Row],[Sale Price]]</f>
        <v>77</v>
      </c>
      <c r="H2997" s="8">
        <f>IF(financials[[#This Row],[Discount Band]]="low",0.1,IF(financials[[#This Row],[Discount Band]]="medium",0.15,0.3))</f>
        <v>0.15</v>
      </c>
      <c r="I2997" s="8">
        <f>financials[[#This Row],[Gross Sales]]-financials[[#This Row],[Gross Sales]]*financials[[#This Row],[Discounts]]</f>
        <v>65.45</v>
      </c>
      <c r="J2997" s="8">
        <f>VLOOKUP(financials[[#This Row],[productid]],Products!$B$2:$H$10,4)</f>
        <v>3.99</v>
      </c>
      <c r="K2997" s="8">
        <f>financials[[#This Row],[Net Sales]]-financials[[#This Row],[COGS]]</f>
        <v>61.46</v>
      </c>
      <c r="L2997" s="15">
        <v>44578</v>
      </c>
      <c r="M2997" t="s">
        <v>700</v>
      </c>
    </row>
    <row r="2998" spans="1:13" x14ac:dyDescent="0.25">
      <c r="A2998" t="s">
        <v>89</v>
      </c>
      <c r="B2998" s="6" t="s">
        <v>124</v>
      </c>
      <c r="C2998" s="13">
        <v>108</v>
      </c>
      <c r="D2998" s="14" t="s">
        <v>91</v>
      </c>
      <c r="E2998">
        <v>7</v>
      </c>
      <c r="F2998" s="8">
        <f>VLOOKUP(financials[[#This Row],[productid]],Products!$B$2:$H$10,3)</f>
        <v>5.5</v>
      </c>
      <c r="G2998" s="8">
        <f>financials[[#This Row],[Units Sold]]*financials[[#This Row],[Sale Price]]</f>
        <v>38.5</v>
      </c>
      <c r="H2998" s="8">
        <f>IF(financials[[#This Row],[Discount Band]]="low",0.1,IF(financials[[#This Row],[Discount Band]]="medium",0.15,0.3))</f>
        <v>0.1</v>
      </c>
      <c r="I2998" s="8">
        <f>financials[[#This Row],[Gross Sales]]-financials[[#This Row],[Gross Sales]]*financials[[#This Row],[Discounts]]</f>
        <v>34.65</v>
      </c>
      <c r="J2998" s="8">
        <f>VLOOKUP(financials[[#This Row],[productid]],Products!$B$2:$H$10,4)</f>
        <v>3.99</v>
      </c>
      <c r="K2998" s="8">
        <f>financials[[#This Row],[Net Sales]]-financials[[#This Row],[COGS]]</f>
        <v>30.659999999999997</v>
      </c>
      <c r="L2998" s="15">
        <v>45125</v>
      </c>
      <c r="M2998" t="s">
        <v>696</v>
      </c>
    </row>
    <row r="2999" spans="1:13" x14ac:dyDescent="0.25">
      <c r="A2999" t="s">
        <v>86</v>
      </c>
      <c r="B2999" s="6" t="s">
        <v>159</v>
      </c>
      <c r="C2999" s="13">
        <v>104</v>
      </c>
      <c r="D2999" s="14" t="s">
        <v>83</v>
      </c>
      <c r="E2999">
        <v>18</v>
      </c>
      <c r="F2999" s="8">
        <f>VLOOKUP(financials[[#This Row],[productid]],Products!$B$2:$H$10,3)</f>
        <v>5.9</v>
      </c>
      <c r="G2999" s="8">
        <f>financials[[#This Row],[Units Sold]]*financials[[#This Row],[Sale Price]]</f>
        <v>106.2</v>
      </c>
      <c r="H2999" s="8">
        <f>IF(financials[[#This Row],[Discount Band]]="low",0.1,IF(financials[[#This Row],[Discount Band]]="medium",0.15,0.3))</f>
        <v>0.3</v>
      </c>
      <c r="I2999" s="8">
        <f>financials[[#This Row],[Gross Sales]]-financials[[#This Row],[Gross Sales]]*financials[[#This Row],[Discounts]]</f>
        <v>74.34</v>
      </c>
      <c r="J2999" s="8">
        <f>VLOOKUP(financials[[#This Row],[productid]],Products!$B$2:$H$10,4)</f>
        <v>2.9</v>
      </c>
      <c r="K2999" s="8">
        <f>financials[[#This Row],[Net Sales]]-financials[[#This Row],[COGS]]</f>
        <v>71.44</v>
      </c>
      <c r="L2999" s="15">
        <v>44546</v>
      </c>
      <c r="M2999" t="s">
        <v>691</v>
      </c>
    </row>
    <row r="3000" spans="1:13" x14ac:dyDescent="0.25">
      <c r="A3000" t="s">
        <v>89</v>
      </c>
      <c r="B3000" s="6" t="s">
        <v>124</v>
      </c>
      <c r="C3000" s="13">
        <v>103</v>
      </c>
      <c r="D3000" s="14" t="s">
        <v>90</v>
      </c>
      <c r="E3000">
        <v>7</v>
      </c>
      <c r="F3000" s="8">
        <f>VLOOKUP(financials[[#This Row],[productid]],Products!$B$2:$H$10,3)</f>
        <v>28</v>
      </c>
      <c r="G3000" s="8">
        <f>financials[[#This Row],[Units Sold]]*financials[[#This Row],[Sale Price]]</f>
        <v>196</v>
      </c>
      <c r="H3000" s="8">
        <f>IF(financials[[#This Row],[Discount Band]]="low",0.1,IF(financials[[#This Row],[Discount Band]]="medium",0.15,0.3))</f>
        <v>0.15</v>
      </c>
      <c r="I3000" s="8">
        <f>financials[[#This Row],[Gross Sales]]-financials[[#This Row],[Gross Sales]]*financials[[#This Row],[Discounts]]</f>
        <v>166.6</v>
      </c>
      <c r="J3000" s="8">
        <f>VLOOKUP(financials[[#This Row],[productid]],Products!$B$2:$H$10,4)</f>
        <v>15</v>
      </c>
      <c r="K3000" s="8">
        <f>financials[[#This Row],[Net Sales]]-financials[[#This Row],[COGS]]</f>
        <v>151.6</v>
      </c>
      <c r="L3000" s="15">
        <v>44421</v>
      </c>
      <c r="M3000" t="s">
        <v>700</v>
      </c>
    </row>
    <row r="3001" spans="1:13" x14ac:dyDescent="0.25">
      <c r="A3001" t="s">
        <v>85</v>
      </c>
      <c r="B3001" s="6" t="s">
        <v>124</v>
      </c>
      <c r="C3001" s="13">
        <v>108</v>
      </c>
      <c r="D3001" s="14" t="s">
        <v>90</v>
      </c>
      <c r="E3001">
        <v>20</v>
      </c>
      <c r="F3001" s="8">
        <f>VLOOKUP(financials[[#This Row],[productid]],Products!$B$2:$H$10,3)</f>
        <v>5.5</v>
      </c>
      <c r="G3001" s="8">
        <f>financials[[#This Row],[Units Sold]]*financials[[#This Row],[Sale Price]]</f>
        <v>110</v>
      </c>
      <c r="H3001" s="8">
        <f>IF(financials[[#This Row],[Discount Band]]="low",0.1,IF(financials[[#This Row],[Discount Band]]="medium",0.15,0.3))</f>
        <v>0.15</v>
      </c>
      <c r="I3001" s="8">
        <f>financials[[#This Row],[Gross Sales]]-financials[[#This Row],[Gross Sales]]*financials[[#This Row],[Discounts]]</f>
        <v>93.5</v>
      </c>
      <c r="J3001" s="8">
        <f>VLOOKUP(financials[[#This Row],[productid]],Products!$B$2:$H$10,4)</f>
        <v>3.99</v>
      </c>
      <c r="K3001" s="8">
        <f>financials[[#This Row],[Net Sales]]-financials[[#This Row],[COGS]]</f>
        <v>89.51</v>
      </c>
      <c r="L3001" s="15">
        <v>45070</v>
      </c>
      <c r="M3001" t="s">
        <v>691</v>
      </c>
    </row>
    <row r="3002" spans="1:13" x14ac:dyDescent="0.25">
      <c r="A3002" t="s">
        <v>85</v>
      </c>
      <c r="B3002" s="6" t="s">
        <v>159</v>
      </c>
      <c r="C3002" s="13">
        <v>106</v>
      </c>
      <c r="D3002" s="14" t="s">
        <v>90</v>
      </c>
      <c r="E3002">
        <v>5</v>
      </c>
      <c r="F3002" s="8">
        <f>VLOOKUP(financials[[#This Row],[productid]],Products!$B$2:$H$10,3)</f>
        <v>25</v>
      </c>
      <c r="G3002" s="8">
        <f>financials[[#This Row],[Units Sold]]*financials[[#This Row],[Sale Price]]</f>
        <v>125</v>
      </c>
      <c r="H3002" s="8">
        <f>IF(financials[[#This Row],[Discount Band]]="low",0.1,IF(financials[[#This Row],[Discount Band]]="medium",0.15,0.3))</f>
        <v>0.15</v>
      </c>
      <c r="I3002" s="8">
        <f>financials[[#This Row],[Gross Sales]]-financials[[#This Row],[Gross Sales]]*financials[[#This Row],[Discounts]]</f>
        <v>106.25</v>
      </c>
      <c r="J3002" s="8">
        <f>VLOOKUP(financials[[#This Row],[productid]],Products!$B$2:$H$10,4)</f>
        <v>9.1</v>
      </c>
      <c r="K3002" s="8">
        <f>financials[[#This Row],[Net Sales]]-financials[[#This Row],[COGS]]</f>
        <v>97.15</v>
      </c>
      <c r="L3002" s="15">
        <v>44441</v>
      </c>
      <c r="M3002" t="s">
        <v>690</v>
      </c>
    </row>
    <row r="3003" spans="1:13" x14ac:dyDescent="0.25">
      <c r="A3003" t="s">
        <v>86</v>
      </c>
      <c r="B3003" s="6" t="s">
        <v>124</v>
      </c>
      <c r="C3003" s="13">
        <v>103</v>
      </c>
      <c r="D3003" s="14" t="s">
        <v>90</v>
      </c>
      <c r="E3003">
        <v>19</v>
      </c>
      <c r="F3003" s="8">
        <f>VLOOKUP(financials[[#This Row],[productid]],Products!$B$2:$H$10,3)</f>
        <v>28</v>
      </c>
      <c r="G3003" s="8">
        <f>financials[[#This Row],[Units Sold]]*financials[[#This Row],[Sale Price]]</f>
        <v>532</v>
      </c>
      <c r="H3003" s="8">
        <f>IF(financials[[#This Row],[Discount Band]]="low",0.1,IF(financials[[#This Row],[Discount Band]]="medium",0.15,0.3))</f>
        <v>0.15</v>
      </c>
      <c r="I3003" s="8">
        <f>financials[[#This Row],[Gross Sales]]-financials[[#This Row],[Gross Sales]]*financials[[#This Row],[Discounts]]</f>
        <v>452.2</v>
      </c>
      <c r="J3003" s="8">
        <f>VLOOKUP(financials[[#This Row],[productid]],Products!$B$2:$H$10,4)</f>
        <v>15</v>
      </c>
      <c r="K3003" s="8">
        <f>financials[[#This Row],[Net Sales]]-financials[[#This Row],[COGS]]</f>
        <v>437.2</v>
      </c>
      <c r="L3003" s="15">
        <v>44641</v>
      </c>
      <c r="M3003" t="s">
        <v>696</v>
      </c>
    </row>
    <row r="3004" spans="1:13" x14ac:dyDescent="0.25">
      <c r="A3004" t="s">
        <v>89</v>
      </c>
      <c r="B3004" s="6" t="s">
        <v>124</v>
      </c>
      <c r="C3004" s="13">
        <v>107</v>
      </c>
      <c r="D3004" s="14" t="s">
        <v>83</v>
      </c>
      <c r="E3004">
        <v>17</v>
      </c>
      <c r="F3004" s="8">
        <f>VLOOKUP(financials[[#This Row],[productid]],Products!$B$2:$H$10,3)</f>
        <v>15</v>
      </c>
      <c r="G3004" s="8">
        <f>financials[[#This Row],[Units Sold]]*financials[[#This Row],[Sale Price]]</f>
        <v>255</v>
      </c>
      <c r="H3004" s="8">
        <f>IF(financials[[#This Row],[Discount Band]]="low",0.1,IF(financials[[#This Row],[Discount Band]]="medium",0.15,0.3))</f>
        <v>0.3</v>
      </c>
      <c r="I3004" s="8">
        <f>financials[[#This Row],[Gross Sales]]-financials[[#This Row],[Gross Sales]]*financials[[#This Row],[Discounts]]</f>
        <v>178.5</v>
      </c>
      <c r="J3004" s="8">
        <f>VLOOKUP(financials[[#This Row],[productid]],Products!$B$2:$H$10,4)</f>
        <v>5.5</v>
      </c>
      <c r="K3004" s="8">
        <f>financials[[#This Row],[Net Sales]]-financials[[#This Row],[COGS]]</f>
        <v>173</v>
      </c>
      <c r="L3004" s="15">
        <v>44469</v>
      </c>
      <c r="M3004" t="s">
        <v>700</v>
      </c>
    </row>
    <row r="3005" spans="1:13" x14ac:dyDescent="0.25">
      <c r="A3005" t="s">
        <v>89</v>
      </c>
      <c r="B3005" s="6" t="s">
        <v>124</v>
      </c>
      <c r="C3005" s="13">
        <v>102</v>
      </c>
      <c r="D3005" s="14" t="s">
        <v>90</v>
      </c>
      <c r="E3005">
        <v>12</v>
      </c>
      <c r="F3005" s="8">
        <f>VLOOKUP(financials[[#This Row],[productid]],Products!$B$2:$H$10,3)</f>
        <v>15</v>
      </c>
      <c r="G3005" s="8">
        <f>financials[[#This Row],[Units Sold]]*financials[[#This Row],[Sale Price]]</f>
        <v>180</v>
      </c>
      <c r="H3005" s="8">
        <f>IF(financials[[#This Row],[Discount Band]]="low",0.1,IF(financials[[#This Row],[Discount Band]]="medium",0.15,0.3))</f>
        <v>0.15</v>
      </c>
      <c r="I3005" s="8">
        <f>financials[[#This Row],[Gross Sales]]-financials[[#This Row],[Gross Sales]]*financials[[#This Row],[Discounts]]</f>
        <v>153</v>
      </c>
      <c r="J3005" s="8">
        <f>VLOOKUP(financials[[#This Row],[productid]],Products!$B$2:$H$10,4)</f>
        <v>13.95</v>
      </c>
      <c r="K3005" s="8">
        <f>financials[[#This Row],[Net Sales]]-financials[[#This Row],[COGS]]</f>
        <v>139.05000000000001</v>
      </c>
      <c r="L3005" s="15">
        <v>43918</v>
      </c>
      <c r="M3005" t="s">
        <v>696</v>
      </c>
    </row>
    <row r="3006" spans="1:13" x14ac:dyDescent="0.25">
      <c r="A3006" t="s">
        <v>88</v>
      </c>
      <c r="B3006" s="6" t="s">
        <v>287</v>
      </c>
      <c r="C3006" s="11">
        <v>109</v>
      </c>
      <c r="D3006" s="9" t="s">
        <v>91</v>
      </c>
      <c r="E3006">
        <v>20</v>
      </c>
      <c r="F3006" s="8">
        <f>VLOOKUP(financials[[#This Row],[productid]],Products!$B$2:$H$10,3)</f>
        <v>36</v>
      </c>
      <c r="G3006" s="8">
        <f>financials[[#This Row],[Units Sold]]*financials[[#This Row],[Sale Price]]</f>
        <v>720</v>
      </c>
      <c r="H3006" s="8">
        <f>IF(financials[[#This Row],[Discount Band]]="low",0.1,IF(financials[[#This Row],[Discount Band]]="medium",0.15,0.3))</f>
        <v>0.1</v>
      </c>
      <c r="I3006" s="8">
        <f>financials[[#This Row],[Gross Sales]]-financials[[#This Row],[Gross Sales]]*financials[[#This Row],[Discounts]]</f>
        <v>648</v>
      </c>
      <c r="J3006" s="8">
        <f>VLOOKUP(financials[[#This Row],[productid]],Products!$B$2:$H$10,4)</f>
        <v>16.8</v>
      </c>
      <c r="K3006" s="8">
        <f>financials[[#This Row],[Net Sales]]-financials[[#This Row],[COGS]]</f>
        <v>631.20000000000005</v>
      </c>
      <c r="L3006" s="15">
        <v>45004</v>
      </c>
      <c r="M3006" t="s">
        <v>696</v>
      </c>
    </row>
    <row r="3007" spans="1:13" x14ac:dyDescent="0.25">
      <c r="A3007" t="s">
        <v>88</v>
      </c>
      <c r="B3007" s="6" t="s">
        <v>617</v>
      </c>
      <c r="C3007" s="13">
        <v>102</v>
      </c>
      <c r="D3007" s="14" t="s">
        <v>91</v>
      </c>
      <c r="E3007">
        <v>17</v>
      </c>
      <c r="F3007" s="8">
        <f>VLOOKUP(financials[[#This Row],[productid]],Products!$B$2:$H$10,3)</f>
        <v>15</v>
      </c>
      <c r="G3007" s="8">
        <f>financials[[#This Row],[Units Sold]]*financials[[#This Row],[Sale Price]]</f>
        <v>255</v>
      </c>
      <c r="H3007" s="8">
        <f>IF(financials[[#This Row],[Discount Band]]="low",0.1,IF(financials[[#This Row],[Discount Band]]="medium",0.15,0.3))</f>
        <v>0.1</v>
      </c>
      <c r="I3007" s="8">
        <f>financials[[#This Row],[Gross Sales]]-financials[[#This Row],[Gross Sales]]*financials[[#This Row],[Discounts]]</f>
        <v>229.5</v>
      </c>
      <c r="J3007" s="8">
        <f>VLOOKUP(financials[[#This Row],[productid]],Products!$B$2:$H$10,4)</f>
        <v>13.95</v>
      </c>
      <c r="K3007" s="8">
        <f>financials[[#This Row],[Net Sales]]-financials[[#This Row],[COGS]]</f>
        <v>215.55</v>
      </c>
      <c r="L3007" s="15">
        <v>45344</v>
      </c>
      <c r="M3007" t="s">
        <v>697</v>
      </c>
    </row>
    <row r="3008" spans="1:13" x14ac:dyDescent="0.25">
      <c r="A3008" t="s">
        <v>85</v>
      </c>
      <c r="B3008" s="6" t="s">
        <v>159</v>
      </c>
      <c r="C3008" s="13">
        <v>105</v>
      </c>
      <c r="D3008" s="14" t="s">
        <v>83</v>
      </c>
      <c r="E3008">
        <v>8</v>
      </c>
      <c r="F3008" s="8">
        <f>VLOOKUP(financials[[#This Row],[productid]],Products!$B$2:$H$10,3)</f>
        <v>15</v>
      </c>
      <c r="G3008" s="8">
        <f>financials[[#This Row],[Units Sold]]*financials[[#This Row],[Sale Price]]</f>
        <v>120</v>
      </c>
      <c r="H3008" s="8">
        <f>IF(financials[[#This Row],[Discount Band]]="low",0.1,IF(financials[[#This Row],[Discount Band]]="medium",0.15,0.3))</f>
        <v>0.3</v>
      </c>
      <c r="I3008" s="8">
        <f>financials[[#This Row],[Gross Sales]]-financials[[#This Row],[Gross Sales]]*financials[[#This Row],[Discounts]]</f>
        <v>84</v>
      </c>
      <c r="J3008" s="8">
        <f>VLOOKUP(financials[[#This Row],[productid]],Products!$B$2:$H$10,4)</f>
        <v>10</v>
      </c>
      <c r="K3008" s="8">
        <f>financials[[#This Row],[Net Sales]]-financials[[#This Row],[COGS]]</f>
        <v>74</v>
      </c>
      <c r="L3008" s="15">
        <v>44061</v>
      </c>
      <c r="M3008" t="s">
        <v>690</v>
      </c>
    </row>
    <row r="3009" spans="1:13" x14ac:dyDescent="0.25">
      <c r="A3009" t="s">
        <v>87</v>
      </c>
      <c r="B3009" s="6" t="s">
        <v>276</v>
      </c>
      <c r="C3009" s="11">
        <v>105</v>
      </c>
      <c r="D3009" s="9" t="s">
        <v>91</v>
      </c>
      <c r="E3009">
        <v>20</v>
      </c>
      <c r="F3009" s="8">
        <f>VLOOKUP(financials[[#This Row],[productid]],Products!$B$2:$H$10,3)</f>
        <v>15</v>
      </c>
      <c r="G3009" s="8">
        <f>financials[[#This Row],[Units Sold]]*financials[[#This Row],[Sale Price]]</f>
        <v>300</v>
      </c>
      <c r="H3009" s="8">
        <f>IF(financials[[#This Row],[Discount Band]]="low",0.1,IF(financials[[#This Row],[Discount Band]]="medium",0.15,0.3))</f>
        <v>0.1</v>
      </c>
      <c r="I3009" s="8">
        <f>financials[[#This Row],[Gross Sales]]-financials[[#This Row],[Gross Sales]]*financials[[#This Row],[Discounts]]</f>
        <v>270</v>
      </c>
      <c r="J3009" s="8">
        <f>VLOOKUP(financials[[#This Row],[productid]],Products!$B$2:$H$10,4)</f>
        <v>10</v>
      </c>
      <c r="K3009" s="8">
        <f>financials[[#This Row],[Net Sales]]-financials[[#This Row],[COGS]]</f>
        <v>260</v>
      </c>
      <c r="L3009" s="15">
        <v>44928</v>
      </c>
      <c r="M3009" t="s">
        <v>697</v>
      </c>
    </row>
    <row r="3010" spans="1:13" x14ac:dyDescent="0.25">
      <c r="A3010" t="s">
        <v>85</v>
      </c>
      <c r="B3010" s="6" t="s">
        <v>159</v>
      </c>
      <c r="C3010" s="13">
        <v>108</v>
      </c>
      <c r="D3010" s="14" t="s">
        <v>83</v>
      </c>
      <c r="E3010">
        <v>18</v>
      </c>
      <c r="F3010" s="8">
        <f>VLOOKUP(financials[[#This Row],[productid]],Products!$B$2:$H$10,3)</f>
        <v>5.5</v>
      </c>
      <c r="G3010" s="8">
        <f>financials[[#This Row],[Units Sold]]*financials[[#This Row],[Sale Price]]</f>
        <v>99</v>
      </c>
      <c r="H3010" s="8">
        <f>IF(financials[[#This Row],[Discount Band]]="low",0.1,IF(financials[[#This Row],[Discount Band]]="medium",0.15,0.3))</f>
        <v>0.3</v>
      </c>
      <c r="I3010" s="8">
        <f>financials[[#This Row],[Gross Sales]]-financials[[#This Row],[Gross Sales]]*financials[[#This Row],[Discounts]]</f>
        <v>69.3</v>
      </c>
      <c r="J3010" s="8">
        <f>VLOOKUP(financials[[#This Row],[productid]],Products!$B$2:$H$10,4)</f>
        <v>3.99</v>
      </c>
      <c r="K3010" s="8">
        <f>financials[[#This Row],[Net Sales]]-financials[[#This Row],[COGS]]</f>
        <v>65.31</v>
      </c>
      <c r="L3010" s="15">
        <v>45593</v>
      </c>
      <c r="M3010" t="s">
        <v>690</v>
      </c>
    </row>
    <row r="3011" spans="1:13" x14ac:dyDescent="0.25">
      <c r="A3011" t="s">
        <v>87</v>
      </c>
      <c r="B3011" s="6" t="s">
        <v>94</v>
      </c>
      <c r="C3011" s="13">
        <v>101</v>
      </c>
      <c r="D3011" s="14" t="s">
        <v>83</v>
      </c>
      <c r="E3011">
        <v>11</v>
      </c>
      <c r="F3011" s="8">
        <f>VLOOKUP(financials[[#This Row],[productid]],Products!$B$2:$H$10,3)</f>
        <v>23</v>
      </c>
      <c r="G3011" s="8">
        <f>financials[[#This Row],[Units Sold]]*financials[[#This Row],[Sale Price]]</f>
        <v>253</v>
      </c>
      <c r="H3011" s="8">
        <f>IF(financials[[#This Row],[Discount Band]]="low",0.1,IF(financials[[#This Row],[Discount Band]]="medium",0.15,0.3))</f>
        <v>0.3</v>
      </c>
      <c r="I3011" s="8">
        <f>financials[[#This Row],[Gross Sales]]-financials[[#This Row],[Gross Sales]]*financials[[#This Row],[Discounts]]</f>
        <v>177.10000000000002</v>
      </c>
      <c r="J3011" s="8">
        <f>VLOOKUP(financials[[#This Row],[productid]],Products!$B$2:$H$10,4)</f>
        <v>9.9499999999999993</v>
      </c>
      <c r="K3011" s="8">
        <f>financials[[#This Row],[Net Sales]]-financials[[#This Row],[COGS]]</f>
        <v>167.15000000000003</v>
      </c>
      <c r="L3011" s="15">
        <v>43903</v>
      </c>
      <c r="M3011" t="s">
        <v>697</v>
      </c>
    </row>
    <row r="3012" spans="1:13" x14ac:dyDescent="0.25">
      <c r="A3012" t="s">
        <v>85</v>
      </c>
      <c r="B3012" s="6" t="s">
        <v>159</v>
      </c>
      <c r="C3012" s="13">
        <v>104</v>
      </c>
      <c r="D3012" s="14" t="s">
        <v>83</v>
      </c>
      <c r="E3012">
        <v>20</v>
      </c>
      <c r="F3012" s="8">
        <f>VLOOKUP(financials[[#This Row],[productid]],Products!$B$2:$H$10,3)</f>
        <v>5.9</v>
      </c>
      <c r="G3012" s="8">
        <f>financials[[#This Row],[Units Sold]]*financials[[#This Row],[Sale Price]]</f>
        <v>118</v>
      </c>
      <c r="H3012" s="8">
        <f>IF(financials[[#This Row],[Discount Band]]="low",0.1,IF(financials[[#This Row],[Discount Band]]="medium",0.15,0.3))</f>
        <v>0.3</v>
      </c>
      <c r="I3012" s="8">
        <f>financials[[#This Row],[Gross Sales]]-financials[[#This Row],[Gross Sales]]*financials[[#This Row],[Discounts]]</f>
        <v>82.6</v>
      </c>
      <c r="J3012" s="8">
        <f>VLOOKUP(financials[[#This Row],[productid]],Products!$B$2:$H$10,4)</f>
        <v>2.9</v>
      </c>
      <c r="K3012" s="8">
        <f>financials[[#This Row],[Net Sales]]-financials[[#This Row],[COGS]]</f>
        <v>79.699999999999989</v>
      </c>
      <c r="L3012" s="15">
        <v>44088</v>
      </c>
      <c r="M3012" t="s">
        <v>691</v>
      </c>
    </row>
    <row r="3013" spans="1:13" x14ac:dyDescent="0.25">
      <c r="A3013" t="s">
        <v>88</v>
      </c>
      <c r="B3013" s="6" t="s">
        <v>197</v>
      </c>
      <c r="C3013" s="13">
        <v>109</v>
      </c>
      <c r="D3013" s="14" t="s">
        <v>92</v>
      </c>
      <c r="E3013">
        <v>19</v>
      </c>
      <c r="F3013" s="8">
        <f>VLOOKUP(financials[[#This Row],[productid]],Products!$B$2:$H$10,3)</f>
        <v>36</v>
      </c>
      <c r="G3013" s="8">
        <f>financials[[#This Row],[Units Sold]]*financials[[#This Row],[Sale Price]]</f>
        <v>684</v>
      </c>
      <c r="H3013" s="8">
        <f>IF(financials[[#This Row],[Discount Band]]="low",0.1,IF(financials[[#This Row],[Discount Band]]="medium",0.15,0.3))</f>
        <v>0.3</v>
      </c>
      <c r="I3013" s="8">
        <f>financials[[#This Row],[Gross Sales]]-financials[[#This Row],[Gross Sales]]*financials[[#This Row],[Discounts]]</f>
        <v>478.8</v>
      </c>
      <c r="J3013" s="8">
        <f>VLOOKUP(financials[[#This Row],[productid]],Products!$B$2:$H$10,4)</f>
        <v>16.8</v>
      </c>
      <c r="K3013" s="8">
        <f>financials[[#This Row],[Net Sales]]-financials[[#This Row],[COGS]]</f>
        <v>462</v>
      </c>
      <c r="L3013" s="15">
        <v>44917</v>
      </c>
      <c r="M3013" t="s">
        <v>690</v>
      </c>
    </row>
    <row r="3014" spans="1:13" x14ac:dyDescent="0.25">
      <c r="A3014" t="s">
        <v>88</v>
      </c>
      <c r="B3014" s="6" t="s">
        <v>96</v>
      </c>
      <c r="C3014" s="13">
        <v>105</v>
      </c>
      <c r="D3014" s="14" t="s">
        <v>83</v>
      </c>
      <c r="E3014">
        <v>5</v>
      </c>
      <c r="F3014" s="8">
        <f>VLOOKUP(financials[[#This Row],[productid]],Products!$B$2:$H$10,3)</f>
        <v>15</v>
      </c>
      <c r="G3014" s="8">
        <f>financials[[#This Row],[Units Sold]]*financials[[#This Row],[Sale Price]]</f>
        <v>75</v>
      </c>
      <c r="H3014" s="8">
        <f>IF(financials[[#This Row],[Discount Band]]="low",0.1,IF(financials[[#This Row],[Discount Band]]="medium",0.15,0.3))</f>
        <v>0.3</v>
      </c>
      <c r="I3014" s="8">
        <f>financials[[#This Row],[Gross Sales]]-financials[[#This Row],[Gross Sales]]*financials[[#This Row],[Discounts]]</f>
        <v>52.5</v>
      </c>
      <c r="J3014" s="8">
        <f>VLOOKUP(financials[[#This Row],[productid]],Products!$B$2:$H$10,4)</f>
        <v>10</v>
      </c>
      <c r="K3014" s="8">
        <f>financials[[#This Row],[Net Sales]]-financials[[#This Row],[COGS]]</f>
        <v>42.5</v>
      </c>
      <c r="L3014" s="15">
        <v>44962</v>
      </c>
      <c r="M3014" t="s">
        <v>696</v>
      </c>
    </row>
    <row r="3015" spans="1:13" x14ac:dyDescent="0.25">
      <c r="A3015" t="s">
        <v>85</v>
      </c>
      <c r="B3015" s="6" t="s">
        <v>124</v>
      </c>
      <c r="C3015" s="13">
        <v>101</v>
      </c>
      <c r="D3015" s="14" t="s">
        <v>90</v>
      </c>
      <c r="E3015">
        <v>18</v>
      </c>
      <c r="F3015" s="8">
        <f>VLOOKUP(financials[[#This Row],[productid]],Products!$B$2:$H$10,3)</f>
        <v>23</v>
      </c>
      <c r="G3015" s="8">
        <f>financials[[#This Row],[Units Sold]]*financials[[#This Row],[Sale Price]]</f>
        <v>414</v>
      </c>
      <c r="H3015" s="8">
        <f>IF(financials[[#This Row],[Discount Band]]="low",0.1,IF(financials[[#This Row],[Discount Band]]="medium",0.15,0.3))</f>
        <v>0.15</v>
      </c>
      <c r="I3015" s="8">
        <f>financials[[#This Row],[Gross Sales]]-financials[[#This Row],[Gross Sales]]*financials[[#This Row],[Discounts]]</f>
        <v>351.9</v>
      </c>
      <c r="J3015" s="8">
        <f>VLOOKUP(financials[[#This Row],[productid]],Products!$B$2:$H$10,4)</f>
        <v>9.9499999999999993</v>
      </c>
      <c r="K3015" s="8">
        <f>financials[[#This Row],[Net Sales]]-financials[[#This Row],[COGS]]</f>
        <v>341.95</v>
      </c>
      <c r="L3015" s="15">
        <v>45311</v>
      </c>
      <c r="M3015" t="s">
        <v>697</v>
      </c>
    </row>
    <row r="3016" spans="1:13" x14ac:dyDescent="0.25">
      <c r="A3016" t="s">
        <v>87</v>
      </c>
      <c r="B3016" s="6" t="s">
        <v>545</v>
      </c>
      <c r="C3016" s="13">
        <v>102</v>
      </c>
      <c r="D3016" s="14" t="s">
        <v>92</v>
      </c>
      <c r="E3016">
        <v>19</v>
      </c>
      <c r="F3016" s="8">
        <f>VLOOKUP(financials[[#This Row],[productid]],Products!$B$2:$H$10,3)</f>
        <v>15</v>
      </c>
      <c r="G3016" s="8">
        <f>financials[[#This Row],[Units Sold]]*financials[[#This Row],[Sale Price]]</f>
        <v>285</v>
      </c>
      <c r="H3016" s="8">
        <f>IF(financials[[#This Row],[Discount Band]]="low",0.1,IF(financials[[#This Row],[Discount Band]]="medium",0.15,0.3))</f>
        <v>0.3</v>
      </c>
      <c r="I3016" s="8">
        <f>financials[[#This Row],[Gross Sales]]-financials[[#This Row],[Gross Sales]]*financials[[#This Row],[Discounts]]</f>
        <v>199.5</v>
      </c>
      <c r="J3016" s="8">
        <f>VLOOKUP(financials[[#This Row],[productid]],Products!$B$2:$H$10,4)</f>
        <v>13.95</v>
      </c>
      <c r="K3016" s="8">
        <f>financials[[#This Row],[Net Sales]]-financials[[#This Row],[COGS]]</f>
        <v>185.55</v>
      </c>
      <c r="L3016" s="15">
        <v>45123</v>
      </c>
      <c r="M3016" t="s">
        <v>691</v>
      </c>
    </row>
    <row r="3017" spans="1:13" x14ac:dyDescent="0.25">
      <c r="A3017" t="s">
        <v>85</v>
      </c>
      <c r="B3017" s="6" t="s">
        <v>124</v>
      </c>
      <c r="C3017" s="13">
        <v>103</v>
      </c>
      <c r="D3017" s="14" t="s">
        <v>90</v>
      </c>
      <c r="E3017">
        <v>7</v>
      </c>
      <c r="F3017" s="8">
        <f>VLOOKUP(financials[[#This Row],[productid]],Products!$B$2:$H$10,3)</f>
        <v>28</v>
      </c>
      <c r="G3017" s="8">
        <f>financials[[#This Row],[Units Sold]]*financials[[#This Row],[Sale Price]]</f>
        <v>196</v>
      </c>
      <c r="H3017" s="8">
        <f>IF(financials[[#This Row],[Discount Band]]="low",0.1,IF(financials[[#This Row],[Discount Band]]="medium",0.15,0.3))</f>
        <v>0.15</v>
      </c>
      <c r="I3017" s="8">
        <f>financials[[#This Row],[Gross Sales]]-financials[[#This Row],[Gross Sales]]*financials[[#This Row],[Discounts]]</f>
        <v>166.6</v>
      </c>
      <c r="J3017" s="8">
        <f>VLOOKUP(financials[[#This Row],[productid]],Products!$B$2:$H$10,4)</f>
        <v>15</v>
      </c>
      <c r="K3017" s="8">
        <f>financials[[#This Row],[Net Sales]]-financials[[#This Row],[COGS]]</f>
        <v>151.6</v>
      </c>
      <c r="L3017" s="15">
        <v>44159</v>
      </c>
      <c r="M3017" t="s">
        <v>690</v>
      </c>
    </row>
    <row r="3018" spans="1:13" x14ac:dyDescent="0.25">
      <c r="A3018" t="s">
        <v>89</v>
      </c>
      <c r="B3018" s="6" t="s">
        <v>124</v>
      </c>
      <c r="C3018" s="13">
        <v>101</v>
      </c>
      <c r="D3018" s="14" t="s">
        <v>92</v>
      </c>
      <c r="E3018">
        <v>6</v>
      </c>
      <c r="F3018" s="8">
        <f>VLOOKUP(financials[[#This Row],[productid]],Products!$B$2:$H$10,3)</f>
        <v>23</v>
      </c>
      <c r="G3018" s="8">
        <f>financials[[#This Row],[Units Sold]]*financials[[#This Row],[Sale Price]]</f>
        <v>138</v>
      </c>
      <c r="H3018" s="8">
        <f>IF(financials[[#This Row],[Discount Band]]="low",0.1,IF(financials[[#This Row],[Discount Band]]="medium",0.15,0.3))</f>
        <v>0.3</v>
      </c>
      <c r="I3018" s="8">
        <f>financials[[#This Row],[Gross Sales]]-financials[[#This Row],[Gross Sales]]*financials[[#This Row],[Discounts]]</f>
        <v>96.6</v>
      </c>
      <c r="J3018" s="8">
        <f>VLOOKUP(financials[[#This Row],[productid]],Products!$B$2:$H$10,4)</f>
        <v>9.9499999999999993</v>
      </c>
      <c r="K3018" s="8">
        <f>financials[[#This Row],[Net Sales]]-financials[[#This Row],[COGS]]</f>
        <v>86.649999999999991</v>
      </c>
      <c r="L3018" s="15">
        <v>45473</v>
      </c>
      <c r="M3018" t="s">
        <v>697</v>
      </c>
    </row>
    <row r="3019" spans="1:13" x14ac:dyDescent="0.25">
      <c r="A3019" t="s">
        <v>89</v>
      </c>
      <c r="B3019" s="6" t="s">
        <v>124</v>
      </c>
      <c r="C3019" s="13">
        <v>105</v>
      </c>
      <c r="D3019" s="14" t="s">
        <v>83</v>
      </c>
      <c r="E3019">
        <v>15</v>
      </c>
      <c r="F3019" s="8">
        <f>VLOOKUP(financials[[#This Row],[productid]],Products!$B$2:$H$10,3)</f>
        <v>15</v>
      </c>
      <c r="G3019" s="8">
        <f>financials[[#This Row],[Units Sold]]*financials[[#This Row],[Sale Price]]</f>
        <v>225</v>
      </c>
      <c r="H3019" s="8">
        <f>IF(financials[[#This Row],[Discount Band]]="low",0.1,IF(financials[[#This Row],[Discount Band]]="medium",0.15,0.3))</f>
        <v>0.3</v>
      </c>
      <c r="I3019" s="8">
        <f>financials[[#This Row],[Gross Sales]]-financials[[#This Row],[Gross Sales]]*financials[[#This Row],[Discounts]]</f>
        <v>157.5</v>
      </c>
      <c r="J3019" s="8">
        <f>VLOOKUP(financials[[#This Row],[productid]],Products!$B$2:$H$10,4)</f>
        <v>10</v>
      </c>
      <c r="K3019" s="8">
        <f>financials[[#This Row],[Net Sales]]-financials[[#This Row],[COGS]]</f>
        <v>147.5</v>
      </c>
      <c r="L3019" s="15">
        <v>44482</v>
      </c>
      <c r="M3019" t="s">
        <v>696</v>
      </c>
    </row>
    <row r="3020" spans="1:13" x14ac:dyDescent="0.25">
      <c r="A3020" t="s">
        <v>88</v>
      </c>
      <c r="B3020" s="6" t="s">
        <v>125</v>
      </c>
      <c r="C3020" s="13">
        <v>103</v>
      </c>
      <c r="D3020" s="14" t="s">
        <v>90</v>
      </c>
      <c r="E3020">
        <v>11</v>
      </c>
      <c r="F3020" s="8">
        <f>VLOOKUP(financials[[#This Row],[productid]],Products!$B$2:$H$10,3)</f>
        <v>28</v>
      </c>
      <c r="G3020" s="8">
        <f>financials[[#This Row],[Units Sold]]*financials[[#This Row],[Sale Price]]</f>
        <v>308</v>
      </c>
      <c r="H3020" s="8">
        <f>IF(financials[[#This Row],[Discount Band]]="low",0.1,IF(financials[[#This Row],[Discount Band]]="medium",0.15,0.3))</f>
        <v>0.15</v>
      </c>
      <c r="I3020" s="8">
        <f>financials[[#This Row],[Gross Sales]]-financials[[#This Row],[Gross Sales]]*financials[[#This Row],[Discounts]]</f>
        <v>261.8</v>
      </c>
      <c r="J3020" s="8">
        <f>VLOOKUP(financials[[#This Row],[productid]],Products!$B$2:$H$10,4)</f>
        <v>15</v>
      </c>
      <c r="K3020" s="8">
        <f>financials[[#This Row],[Net Sales]]-financials[[#This Row],[COGS]]</f>
        <v>246.8</v>
      </c>
      <c r="L3020" s="15">
        <v>45536</v>
      </c>
      <c r="M3020" t="s">
        <v>691</v>
      </c>
    </row>
    <row r="3021" spans="1:13" x14ac:dyDescent="0.25">
      <c r="A3021" t="s">
        <v>88</v>
      </c>
      <c r="B3021" s="6" t="s">
        <v>274</v>
      </c>
      <c r="C3021" s="13">
        <v>101</v>
      </c>
      <c r="D3021" s="14" t="s">
        <v>90</v>
      </c>
      <c r="E3021">
        <v>15</v>
      </c>
      <c r="F3021" s="8">
        <f>VLOOKUP(financials[[#This Row],[productid]],Products!$B$2:$H$10,3)</f>
        <v>23</v>
      </c>
      <c r="G3021" s="8">
        <f>financials[[#This Row],[Units Sold]]*financials[[#This Row],[Sale Price]]</f>
        <v>345</v>
      </c>
      <c r="H3021" s="8">
        <f>IF(financials[[#This Row],[Discount Band]]="low",0.1,IF(financials[[#This Row],[Discount Band]]="medium",0.15,0.3))</f>
        <v>0.15</v>
      </c>
      <c r="I3021" s="8">
        <f>financials[[#This Row],[Gross Sales]]-financials[[#This Row],[Gross Sales]]*financials[[#This Row],[Discounts]]</f>
        <v>293.25</v>
      </c>
      <c r="J3021" s="8">
        <f>VLOOKUP(financials[[#This Row],[productid]],Products!$B$2:$H$10,4)</f>
        <v>9.9499999999999993</v>
      </c>
      <c r="K3021" s="8">
        <f>financials[[#This Row],[Net Sales]]-financials[[#This Row],[COGS]]</f>
        <v>283.3</v>
      </c>
      <c r="L3021" s="15">
        <v>45511</v>
      </c>
      <c r="M3021" t="s">
        <v>700</v>
      </c>
    </row>
    <row r="3022" spans="1:13" x14ac:dyDescent="0.25">
      <c r="A3022" t="s">
        <v>89</v>
      </c>
      <c r="B3022" s="6" t="s">
        <v>159</v>
      </c>
      <c r="C3022" s="13">
        <v>103</v>
      </c>
      <c r="D3022" s="14" t="s">
        <v>90</v>
      </c>
      <c r="E3022">
        <v>17</v>
      </c>
      <c r="F3022" s="8">
        <f>VLOOKUP(financials[[#This Row],[productid]],Products!$B$2:$H$10,3)</f>
        <v>28</v>
      </c>
      <c r="G3022" s="8">
        <f>financials[[#This Row],[Units Sold]]*financials[[#This Row],[Sale Price]]</f>
        <v>476</v>
      </c>
      <c r="H3022" s="8">
        <f>IF(financials[[#This Row],[Discount Band]]="low",0.1,IF(financials[[#This Row],[Discount Band]]="medium",0.15,0.3))</f>
        <v>0.15</v>
      </c>
      <c r="I3022" s="8">
        <f>financials[[#This Row],[Gross Sales]]-financials[[#This Row],[Gross Sales]]*financials[[#This Row],[Discounts]]</f>
        <v>404.6</v>
      </c>
      <c r="J3022" s="8">
        <f>VLOOKUP(financials[[#This Row],[productid]],Products!$B$2:$H$10,4)</f>
        <v>15</v>
      </c>
      <c r="K3022" s="8">
        <f>financials[[#This Row],[Net Sales]]-financials[[#This Row],[COGS]]</f>
        <v>389.6</v>
      </c>
      <c r="L3022" s="15">
        <v>43997</v>
      </c>
      <c r="M3022" t="s">
        <v>700</v>
      </c>
    </row>
    <row r="3023" spans="1:13" x14ac:dyDescent="0.25">
      <c r="A3023" t="s">
        <v>85</v>
      </c>
      <c r="B3023" s="6" t="s">
        <v>159</v>
      </c>
      <c r="C3023" s="13">
        <v>102</v>
      </c>
      <c r="D3023" s="14" t="s">
        <v>92</v>
      </c>
      <c r="E3023">
        <v>5</v>
      </c>
      <c r="F3023" s="8">
        <f>VLOOKUP(financials[[#This Row],[productid]],Products!$B$2:$H$10,3)</f>
        <v>15</v>
      </c>
      <c r="G3023" s="8">
        <f>financials[[#This Row],[Units Sold]]*financials[[#This Row],[Sale Price]]</f>
        <v>75</v>
      </c>
      <c r="H3023" s="8">
        <f>IF(financials[[#This Row],[Discount Band]]="low",0.1,IF(financials[[#This Row],[Discount Band]]="medium",0.15,0.3))</f>
        <v>0.3</v>
      </c>
      <c r="I3023" s="8">
        <f>financials[[#This Row],[Gross Sales]]-financials[[#This Row],[Gross Sales]]*financials[[#This Row],[Discounts]]</f>
        <v>52.5</v>
      </c>
      <c r="J3023" s="8">
        <f>VLOOKUP(financials[[#This Row],[productid]],Products!$B$2:$H$10,4)</f>
        <v>13.95</v>
      </c>
      <c r="K3023" s="8">
        <f>financials[[#This Row],[Net Sales]]-financials[[#This Row],[COGS]]</f>
        <v>38.549999999999997</v>
      </c>
      <c r="L3023" s="15">
        <v>44575</v>
      </c>
      <c r="M3023" t="s">
        <v>696</v>
      </c>
    </row>
    <row r="3024" spans="1:13" x14ac:dyDescent="0.25">
      <c r="A3024" t="s">
        <v>85</v>
      </c>
      <c r="B3024" s="6" t="s">
        <v>124</v>
      </c>
      <c r="C3024" s="13">
        <v>105</v>
      </c>
      <c r="D3024" s="14" t="s">
        <v>90</v>
      </c>
      <c r="E3024">
        <v>14</v>
      </c>
      <c r="F3024" s="8">
        <f>VLOOKUP(financials[[#This Row],[productid]],Products!$B$2:$H$10,3)</f>
        <v>15</v>
      </c>
      <c r="G3024" s="8">
        <f>financials[[#This Row],[Units Sold]]*financials[[#This Row],[Sale Price]]</f>
        <v>210</v>
      </c>
      <c r="H3024" s="8">
        <f>IF(financials[[#This Row],[Discount Band]]="low",0.1,IF(financials[[#This Row],[Discount Band]]="medium",0.15,0.3))</f>
        <v>0.15</v>
      </c>
      <c r="I3024" s="8">
        <f>financials[[#This Row],[Gross Sales]]-financials[[#This Row],[Gross Sales]]*financials[[#This Row],[Discounts]]</f>
        <v>178.5</v>
      </c>
      <c r="J3024" s="8">
        <f>VLOOKUP(financials[[#This Row],[productid]],Products!$B$2:$H$10,4)</f>
        <v>10</v>
      </c>
      <c r="K3024" s="8">
        <f>financials[[#This Row],[Net Sales]]-financials[[#This Row],[COGS]]</f>
        <v>168.5</v>
      </c>
      <c r="L3024" s="15">
        <v>44180</v>
      </c>
      <c r="M3024" t="s">
        <v>690</v>
      </c>
    </row>
    <row r="3025" spans="1:13" x14ac:dyDescent="0.25">
      <c r="A3025" t="s">
        <v>87</v>
      </c>
      <c r="B3025" s="6" t="s">
        <v>268</v>
      </c>
      <c r="C3025" s="13">
        <v>107</v>
      </c>
      <c r="D3025" s="14" t="s">
        <v>83</v>
      </c>
      <c r="E3025">
        <v>20</v>
      </c>
      <c r="F3025" s="8">
        <f>VLOOKUP(financials[[#This Row],[productid]],Products!$B$2:$H$10,3)</f>
        <v>15</v>
      </c>
      <c r="G3025" s="8">
        <f>financials[[#This Row],[Units Sold]]*financials[[#This Row],[Sale Price]]</f>
        <v>300</v>
      </c>
      <c r="H3025" s="8">
        <f>IF(financials[[#This Row],[Discount Band]]="low",0.1,IF(financials[[#This Row],[Discount Band]]="medium",0.15,0.3))</f>
        <v>0.3</v>
      </c>
      <c r="I3025" s="8">
        <f>financials[[#This Row],[Gross Sales]]-financials[[#This Row],[Gross Sales]]*financials[[#This Row],[Discounts]]</f>
        <v>210</v>
      </c>
      <c r="J3025" s="8">
        <f>VLOOKUP(financials[[#This Row],[productid]],Products!$B$2:$H$10,4)</f>
        <v>5.5</v>
      </c>
      <c r="K3025" s="8">
        <f>financials[[#This Row],[Net Sales]]-financials[[#This Row],[COGS]]</f>
        <v>204.5</v>
      </c>
      <c r="L3025" s="15">
        <v>45149</v>
      </c>
      <c r="M3025" t="s">
        <v>696</v>
      </c>
    </row>
    <row r="3026" spans="1:13" x14ac:dyDescent="0.25">
      <c r="A3026" t="s">
        <v>86</v>
      </c>
      <c r="B3026" s="6" t="s">
        <v>124</v>
      </c>
      <c r="C3026" s="13">
        <v>107</v>
      </c>
      <c r="D3026" s="14" t="s">
        <v>90</v>
      </c>
      <c r="E3026">
        <v>15</v>
      </c>
      <c r="F3026" s="8">
        <f>VLOOKUP(financials[[#This Row],[productid]],Products!$B$2:$H$10,3)</f>
        <v>15</v>
      </c>
      <c r="G3026" s="8">
        <f>financials[[#This Row],[Units Sold]]*financials[[#This Row],[Sale Price]]</f>
        <v>225</v>
      </c>
      <c r="H3026" s="8">
        <f>IF(financials[[#This Row],[Discount Band]]="low",0.1,IF(financials[[#This Row],[Discount Band]]="medium",0.15,0.3))</f>
        <v>0.15</v>
      </c>
      <c r="I3026" s="8">
        <f>financials[[#This Row],[Gross Sales]]-financials[[#This Row],[Gross Sales]]*financials[[#This Row],[Discounts]]</f>
        <v>191.25</v>
      </c>
      <c r="J3026" s="8">
        <f>VLOOKUP(financials[[#This Row],[productid]],Products!$B$2:$H$10,4)</f>
        <v>5.5</v>
      </c>
      <c r="K3026" s="8">
        <f>financials[[#This Row],[Net Sales]]-financials[[#This Row],[COGS]]</f>
        <v>185.75</v>
      </c>
      <c r="L3026" s="15">
        <v>45600</v>
      </c>
      <c r="M3026" t="s">
        <v>691</v>
      </c>
    </row>
    <row r="3027" spans="1:13" x14ac:dyDescent="0.25">
      <c r="A3027" t="s">
        <v>85</v>
      </c>
      <c r="B3027" s="6" t="s">
        <v>159</v>
      </c>
      <c r="C3027" s="13">
        <v>103</v>
      </c>
      <c r="D3027" s="14" t="s">
        <v>91</v>
      </c>
      <c r="E3027">
        <v>8</v>
      </c>
      <c r="F3027" s="8">
        <f>VLOOKUP(financials[[#This Row],[productid]],Products!$B$2:$H$10,3)</f>
        <v>28</v>
      </c>
      <c r="G3027" s="8">
        <f>financials[[#This Row],[Units Sold]]*financials[[#This Row],[Sale Price]]</f>
        <v>224</v>
      </c>
      <c r="H3027" s="8">
        <f>IF(financials[[#This Row],[Discount Band]]="low",0.1,IF(financials[[#This Row],[Discount Band]]="medium",0.15,0.3))</f>
        <v>0.1</v>
      </c>
      <c r="I3027" s="8">
        <f>financials[[#This Row],[Gross Sales]]-financials[[#This Row],[Gross Sales]]*financials[[#This Row],[Discounts]]</f>
        <v>201.6</v>
      </c>
      <c r="J3027" s="8">
        <f>VLOOKUP(financials[[#This Row],[productid]],Products!$B$2:$H$10,4)</f>
        <v>15</v>
      </c>
      <c r="K3027" s="8">
        <f>financials[[#This Row],[Net Sales]]-financials[[#This Row],[COGS]]</f>
        <v>186.6</v>
      </c>
      <c r="L3027" s="15">
        <v>43996</v>
      </c>
      <c r="M3027" t="s">
        <v>690</v>
      </c>
    </row>
    <row r="3028" spans="1:13" x14ac:dyDescent="0.25">
      <c r="A3028" t="s">
        <v>87</v>
      </c>
      <c r="B3028" s="6" t="s">
        <v>268</v>
      </c>
      <c r="C3028" s="13">
        <v>103</v>
      </c>
      <c r="D3028" s="14" t="s">
        <v>92</v>
      </c>
      <c r="E3028">
        <v>19</v>
      </c>
      <c r="F3028" s="8">
        <f>VLOOKUP(financials[[#This Row],[productid]],Products!$B$2:$H$10,3)</f>
        <v>28</v>
      </c>
      <c r="G3028" s="8">
        <f>financials[[#This Row],[Units Sold]]*financials[[#This Row],[Sale Price]]</f>
        <v>532</v>
      </c>
      <c r="H3028" s="8">
        <f>IF(financials[[#This Row],[Discount Band]]="low",0.1,IF(financials[[#This Row],[Discount Band]]="medium",0.15,0.3))</f>
        <v>0.3</v>
      </c>
      <c r="I3028" s="8">
        <f>financials[[#This Row],[Gross Sales]]-financials[[#This Row],[Gross Sales]]*financials[[#This Row],[Discounts]]</f>
        <v>372.4</v>
      </c>
      <c r="J3028" s="8">
        <f>VLOOKUP(financials[[#This Row],[productid]],Products!$B$2:$H$10,4)</f>
        <v>15</v>
      </c>
      <c r="K3028" s="8">
        <f>financials[[#This Row],[Net Sales]]-financials[[#This Row],[COGS]]</f>
        <v>357.4</v>
      </c>
      <c r="L3028" s="15">
        <v>44211</v>
      </c>
      <c r="M3028" t="s">
        <v>690</v>
      </c>
    </row>
    <row r="3029" spans="1:13" x14ac:dyDescent="0.25">
      <c r="A3029" t="s">
        <v>89</v>
      </c>
      <c r="B3029" s="6" t="s">
        <v>159</v>
      </c>
      <c r="C3029" s="13">
        <v>109</v>
      </c>
      <c r="D3029" s="14" t="s">
        <v>83</v>
      </c>
      <c r="E3029">
        <v>10</v>
      </c>
      <c r="F3029" s="8">
        <f>VLOOKUP(financials[[#This Row],[productid]],Products!$B$2:$H$10,3)</f>
        <v>36</v>
      </c>
      <c r="G3029" s="8">
        <f>financials[[#This Row],[Units Sold]]*financials[[#This Row],[Sale Price]]</f>
        <v>360</v>
      </c>
      <c r="H3029" s="8">
        <f>IF(financials[[#This Row],[Discount Band]]="low",0.1,IF(financials[[#This Row],[Discount Band]]="medium",0.15,0.3))</f>
        <v>0.3</v>
      </c>
      <c r="I3029" s="8">
        <f>financials[[#This Row],[Gross Sales]]-financials[[#This Row],[Gross Sales]]*financials[[#This Row],[Discounts]]</f>
        <v>252</v>
      </c>
      <c r="J3029" s="8">
        <f>VLOOKUP(financials[[#This Row],[productid]],Products!$B$2:$H$10,4)</f>
        <v>16.8</v>
      </c>
      <c r="K3029" s="8">
        <f>financials[[#This Row],[Net Sales]]-financials[[#This Row],[COGS]]</f>
        <v>235.2</v>
      </c>
      <c r="L3029" s="15">
        <v>45174</v>
      </c>
      <c r="M3029" t="s">
        <v>700</v>
      </c>
    </row>
    <row r="3030" spans="1:13" x14ac:dyDescent="0.25">
      <c r="A3030" t="s">
        <v>88</v>
      </c>
      <c r="B3030" s="6" t="s">
        <v>274</v>
      </c>
      <c r="C3030" s="13">
        <v>107</v>
      </c>
      <c r="D3030" s="14" t="s">
        <v>92</v>
      </c>
      <c r="E3030">
        <v>7</v>
      </c>
      <c r="F3030" s="8">
        <f>VLOOKUP(financials[[#This Row],[productid]],Products!$B$2:$H$10,3)</f>
        <v>15</v>
      </c>
      <c r="G3030" s="8">
        <f>financials[[#This Row],[Units Sold]]*financials[[#This Row],[Sale Price]]</f>
        <v>105</v>
      </c>
      <c r="H3030" s="8">
        <f>IF(financials[[#This Row],[Discount Band]]="low",0.1,IF(financials[[#This Row],[Discount Band]]="medium",0.15,0.3))</f>
        <v>0.3</v>
      </c>
      <c r="I3030" s="8">
        <f>financials[[#This Row],[Gross Sales]]-financials[[#This Row],[Gross Sales]]*financials[[#This Row],[Discounts]]</f>
        <v>73.5</v>
      </c>
      <c r="J3030" s="8">
        <f>VLOOKUP(financials[[#This Row],[productid]],Products!$B$2:$H$10,4)</f>
        <v>5.5</v>
      </c>
      <c r="K3030" s="8">
        <f>financials[[#This Row],[Net Sales]]-financials[[#This Row],[COGS]]</f>
        <v>68</v>
      </c>
      <c r="L3030" s="15">
        <v>45269</v>
      </c>
      <c r="M3030" t="s">
        <v>696</v>
      </c>
    </row>
    <row r="3031" spans="1:13" x14ac:dyDescent="0.25">
      <c r="A3031" t="s">
        <v>88</v>
      </c>
      <c r="B3031" s="6" t="s">
        <v>287</v>
      </c>
      <c r="C3031" s="13">
        <v>103</v>
      </c>
      <c r="D3031" s="14" t="s">
        <v>90</v>
      </c>
      <c r="E3031">
        <v>17</v>
      </c>
      <c r="F3031" s="8">
        <f>VLOOKUP(financials[[#This Row],[productid]],Products!$B$2:$H$10,3)</f>
        <v>28</v>
      </c>
      <c r="G3031" s="8">
        <f>financials[[#This Row],[Units Sold]]*financials[[#This Row],[Sale Price]]</f>
        <v>476</v>
      </c>
      <c r="H3031" s="8">
        <f>IF(financials[[#This Row],[Discount Band]]="low",0.1,IF(financials[[#This Row],[Discount Band]]="medium",0.15,0.3))</f>
        <v>0.15</v>
      </c>
      <c r="I3031" s="8">
        <f>financials[[#This Row],[Gross Sales]]-financials[[#This Row],[Gross Sales]]*financials[[#This Row],[Discounts]]</f>
        <v>404.6</v>
      </c>
      <c r="J3031" s="8">
        <f>VLOOKUP(financials[[#This Row],[productid]],Products!$B$2:$H$10,4)</f>
        <v>15</v>
      </c>
      <c r="K3031" s="8">
        <f>financials[[#This Row],[Net Sales]]-financials[[#This Row],[COGS]]</f>
        <v>389.6</v>
      </c>
      <c r="L3031" s="15">
        <v>45340</v>
      </c>
      <c r="M3031" t="s">
        <v>690</v>
      </c>
    </row>
    <row r="3032" spans="1:13" x14ac:dyDescent="0.25">
      <c r="A3032" t="s">
        <v>86</v>
      </c>
      <c r="B3032" s="6" t="s">
        <v>266</v>
      </c>
      <c r="C3032" s="13">
        <v>103</v>
      </c>
      <c r="D3032" s="14" t="s">
        <v>90</v>
      </c>
      <c r="E3032">
        <v>19</v>
      </c>
      <c r="F3032" s="8">
        <f>VLOOKUP(financials[[#This Row],[productid]],Products!$B$2:$H$10,3)</f>
        <v>28</v>
      </c>
      <c r="G3032" s="8">
        <f>financials[[#This Row],[Units Sold]]*financials[[#This Row],[Sale Price]]</f>
        <v>532</v>
      </c>
      <c r="H3032" s="8">
        <f>IF(financials[[#This Row],[Discount Band]]="low",0.1,IF(financials[[#This Row],[Discount Band]]="medium",0.15,0.3))</f>
        <v>0.15</v>
      </c>
      <c r="I3032" s="8">
        <f>financials[[#This Row],[Gross Sales]]-financials[[#This Row],[Gross Sales]]*financials[[#This Row],[Discounts]]</f>
        <v>452.2</v>
      </c>
      <c r="J3032" s="8">
        <f>VLOOKUP(financials[[#This Row],[productid]],Products!$B$2:$H$10,4)</f>
        <v>15</v>
      </c>
      <c r="K3032" s="8">
        <f>financials[[#This Row],[Net Sales]]-financials[[#This Row],[COGS]]</f>
        <v>437.2</v>
      </c>
      <c r="L3032" s="15">
        <v>45358</v>
      </c>
      <c r="M3032" t="s">
        <v>696</v>
      </c>
    </row>
    <row r="3033" spans="1:13" x14ac:dyDescent="0.25">
      <c r="A3033" t="s">
        <v>85</v>
      </c>
      <c r="B3033" s="6" t="s">
        <v>124</v>
      </c>
      <c r="C3033" s="13">
        <v>103</v>
      </c>
      <c r="D3033" s="14" t="s">
        <v>90</v>
      </c>
      <c r="E3033">
        <v>8</v>
      </c>
      <c r="F3033" s="8">
        <f>VLOOKUP(financials[[#This Row],[productid]],Products!$B$2:$H$10,3)</f>
        <v>28</v>
      </c>
      <c r="G3033" s="8">
        <f>financials[[#This Row],[Units Sold]]*financials[[#This Row],[Sale Price]]</f>
        <v>224</v>
      </c>
      <c r="H3033" s="8">
        <f>IF(financials[[#This Row],[Discount Band]]="low",0.1,IF(financials[[#This Row],[Discount Band]]="medium",0.15,0.3))</f>
        <v>0.15</v>
      </c>
      <c r="I3033" s="8">
        <f>financials[[#This Row],[Gross Sales]]-financials[[#This Row],[Gross Sales]]*financials[[#This Row],[Discounts]]</f>
        <v>190.4</v>
      </c>
      <c r="J3033" s="8">
        <f>VLOOKUP(financials[[#This Row],[productid]],Products!$B$2:$H$10,4)</f>
        <v>15</v>
      </c>
      <c r="K3033" s="8">
        <f>financials[[#This Row],[Net Sales]]-financials[[#This Row],[COGS]]</f>
        <v>175.4</v>
      </c>
      <c r="L3033" s="15">
        <v>44391</v>
      </c>
      <c r="M3033" t="s">
        <v>696</v>
      </c>
    </row>
    <row r="3034" spans="1:13" x14ac:dyDescent="0.25">
      <c r="A3034" t="s">
        <v>85</v>
      </c>
      <c r="B3034" s="6" t="s">
        <v>124</v>
      </c>
      <c r="C3034" s="13">
        <v>109</v>
      </c>
      <c r="D3034" s="14" t="s">
        <v>91</v>
      </c>
      <c r="E3034">
        <v>6</v>
      </c>
      <c r="F3034" s="8">
        <f>VLOOKUP(financials[[#This Row],[productid]],Products!$B$2:$H$10,3)</f>
        <v>36</v>
      </c>
      <c r="G3034" s="8">
        <f>financials[[#This Row],[Units Sold]]*financials[[#This Row],[Sale Price]]</f>
        <v>216</v>
      </c>
      <c r="H3034" s="8">
        <f>IF(financials[[#This Row],[Discount Band]]="low",0.1,IF(financials[[#This Row],[Discount Band]]="medium",0.15,0.3))</f>
        <v>0.1</v>
      </c>
      <c r="I3034" s="8">
        <f>financials[[#This Row],[Gross Sales]]-financials[[#This Row],[Gross Sales]]*financials[[#This Row],[Discounts]]</f>
        <v>194.4</v>
      </c>
      <c r="J3034" s="8">
        <f>VLOOKUP(financials[[#This Row],[productid]],Products!$B$2:$H$10,4)</f>
        <v>16.8</v>
      </c>
      <c r="K3034" s="8">
        <f>financials[[#This Row],[Net Sales]]-financials[[#This Row],[COGS]]</f>
        <v>177.6</v>
      </c>
      <c r="L3034" s="15">
        <v>45482</v>
      </c>
      <c r="M3034" t="s">
        <v>697</v>
      </c>
    </row>
    <row r="3035" spans="1:13" x14ac:dyDescent="0.25">
      <c r="A3035" t="s">
        <v>85</v>
      </c>
      <c r="B3035" s="6" t="s">
        <v>124</v>
      </c>
      <c r="C3035" s="13">
        <v>106</v>
      </c>
      <c r="D3035" s="14" t="s">
        <v>90</v>
      </c>
      <c r="E3035">
        <v>15</v>
      </c>
      <c r="F3035" s="8">
        <f>VLOOKUP(financials[[#This Row],[productid]],Products!$B$2:$H$10,3)</f>
        <v>25</v>
      </c>
      <c r="G3035" s="8">
        <f>financials[[#This Row],[Units Sold]]*financials[[#This Row],[Sale Price]]</f>
        <v>375</v>
      </c>
      <c r="H3035" s="8">
        <f>IF(financials[[#This Row],[Discount Band]]="low",0.1,IF(financials[[#This Row],[Discount Band]]="medium",0.15,0.3))</f>
        <v>0.15</v>
      </c>
      <c r="I3035" s="8">
        <f>financials[[#This Row],[Gross Sales]]-financials[[#This Row],[Gross Sales]]*financials[[#This Row],[Discounts]]</f>
        <v>318.75</v>
      </c>
      <c r="J3035" s="8">
        <f>VLOOKUP(financials[[#This Row],[productid]],Products!$B$2:$H$10,4)</f>
        <v>9.1</v>
      </c>
      <c r="K3035" s="8">
        <f>financials[[#This Row],[Net Sales]]-financials[[#This Row],[COGS]]</f>
        <v>309.64999999999998</v>
      </c>
      <c r="L3035" s="15">
        <v>44831</v>
      </c>
      <c r="M3035" t="s">
        <v>700</v>
      </c>
    </row>
    <row r="3036" spans="1:13" x14ac:dyDescent="0.25">
      <c r="A3036" t="s">
        <v>85</v>
      </c>
      <c r="B3036" s="6" t="s">
        <v>159</v>
      </c>
      <c r="C3036" s="13">
        <v>105</v>
      </c>
      <c r="D3036" s="14" t="s">
        <v>92</v>
      </c>
      <c r="E3036">
        <v>19</v>
      </c>
      <c r="F3036" s="8">
        <f>VLOOKUP(financials[[#This Row],[productid]],Products!$B$2:$H$10,3)</f>
        <v>15</v>
      </c>
      <c r="G3036" s="8">
        <f>financials[[#This Row],[Units Sold]]*financials[[#This Row],[Sale Price]]</f>
        <v>285</v>
      </c>
      <c r="H3036" s="8">
        <f>IF(financials[[#This Row],[Discount Band]]="low",0.1,IF(financials[[#This Row],[Discount Band]]="medium",0.15,0.3))</f>
        <v>0.3</v>
      </c>
      <c r="I3036" s="8">
        <f>financials[[#This Row],[Gross Sales]]-financials[[#This Row],[Gross Sales]]*financials[[#This Row],[Discounts]]</f>
        <v>199.5</v>
      </c>
      <c r="J3036" s="8">
        <f>VLOOKUP(financials[[#This Row],[productid]],Products!$B$2:$H$10,4)</f>
        <v>10</v>
      </c>
      <c r="K3036" s="8">
        <f>financials[[#This Row],[Net Sales]]-financials[[#This Row],[COGS]]</f>
        <v>189.5</v>
      </c>
      <c r="L3036" s="15">
        <v>45425</v>
      </c>
      <c r="M3036" t="s">
        <v>691</v>
      </c>
    </row>
    <row r="3037" spans="1:13" x14ac:dyDescent="0.25">
      <c r="A3037" t="s">
        <v>89</v>
      </c>
      <c r="B3037" s="6" t="s">
        <v>159</v>
      </c>
      <c r="C3037" s="13">
        <v>101</v>
      </c>
      <c r="D3037" s="14" t="s">
        <v>91</v>
      </c>
      <c r="E3037">
        <v>9</v>
      </c>
      <c r="F3037" s="8">
        <f>VLOOKUP(financials[[#This Row],[productid]],Products!$B$2:$H$10,3)</f>
        <v>23</v>
      </c>
      <c r="G3037" s="8">
        <f>financials[[#This Row],[Units Sold]]*financials[[#This Row],[Sale Price]]</f>
        <v>207</v>
      </c>
      <c r="H3037" s="8">
        <f>IF(financials[[#This Row],[Discount Band]]="low",0.1,IF(financials[[#This Row],[Discount Band]]="medium",0.15,0.3))</f>
        <v>0.1</v>
      </c>
      <c r="I3037" s="8">
        <f>financials[[#This Row],[Gross Sales]]-financials[[#This Row],[Gross Sales]]*financials[[#This Row],[Discounts]]</f>
        <v>186.3</v>
      </c>
      <c r="J3037" s="8">
        <f>VLOOKUP(financials[[#This Row],[productid]],Products!$B$2:$H$10,4)</f>
        <v>9.9499999999999993</v>
      </c>
      <c r="K3037" s="8">
        <f>financials[[#This Row],[Net Sales]]-financials[[#This Row],[COGS]]</f>
        <v>176.35000000000002</v>
      </c>
      <c r="L3037" s="15">
        <v>44997</v>
      </c>
      <c r="M3037" t="s">
        <v>697</v>
      </c>
    </row>
    <row r="3038" spans="1:13" x14ac:dyDescent="0.25">
      <c r="A3038" t="s">
        <v>85</v>
      </c>
      <c r="B3038" s="6" t="s">
        <v>124</v>
      </c>
      <c r="C3038" s="11">
        <v>105</v>
      </c>
      <c r="D3038" s="9" t="s">
        <v>91</v>
      </c>
      <c r="E3038">
        <v>8</v>
      </c>
      <c r="F3038" s="8">
        <f>VLOOKUP(financials[[#This Row],[productid]],Products!$B$2:$H$10,3)</f>
        <v>15</v>
      </c>
      <c r="G3038" s="8">
        <f>financials[[#This Row],[Units Sold]]*financials[[#This Row],[Sale Price]]</f>
        <v>120</v>
      </c>
      <c r="H3038" s="8">
        <f>IF(financials[[#This Row],[Discount Band]]="low",0.1,IF(financials[[#This Row],[Discount Band]]="medium",0.15,0.3))</f>
        <v>0.1</v>
      </c>
      <c r="I3038" s="8">
        <f>financials[[#This Row],[Gross Sales]]-financials[[#This Row],[Gross Sales]]*financials[[#This Row],[Discounts]]</f>
        <v>108</v>
      </c>
      <c r="J3038" s="8">
        <f>VLOOKUP(financials[[#This Row],[productid]],Products!$B$2:$H$10,4)</f>
        <v>10</v>
      </c>
      <c r="K3038" s="8">
        <f>financials[[#This Row],[Net Sales]]-financials[[#This Row],[COGS]]</f>
        <v>98</v>
      </c>
      <c r="L3038" s="15">
        <v>45646</v>
      </c>
      <c r="M3038" t="s">
        <v>697</v>
      </c>
    </row>
    <row r="3039" spans="1:13" x14ac:dyDescent="0.25">
      <c r="A3039" t="s">
        <v>89</v>
      </c>
      <c r="B3039" s="6" t="s">
        <v>159</v>
      </c>
      <c r="C3039" s="13">
        <v>101</v>
      </c>
      <c r="D3039" s="14" t="s">
        <v>83</v>
      </c>
      <c r="E3039">
        <v>11</v>
      </c>
      <c r="F3039" s="8">
        <f>VLOOKUP(financials[[#This Row],[productid]],Products!$B$2:$H$10,3)</f>
        <v>23</v>
      </c>
      <c r="G3039" s="8">
        <f>financials[[#This Row],[Units Sold]]*financials[[#This Row],[Sale Price]]</f>
        <v>253</v>
      </c>
      <c r="H3039" s="8">
        <f>IF(financials[[#This Row],[Discount Band]]="low",0.1,IF(financials[[#This Row],[Discount Band]]="medium",0.15,0.3))</f>
        <v>0.3</v>
      </c>
      <c r="I3039" s="8">
        <f>financials[[#This Row],[Gross Sales]]-financials[[#This Row],[Gross Sales]]*financials[[#This Row],[Discounts]]</f>
        <v>177.10000000000002</v>
      </c>
      <c r="J3039" s="8">
        <f>VLOOKUP(financials[[#This Row],[productid]],Products!$B$2:$H$10,4)</f>
        <v>9.9499999999999993</v>
      </c>
      <c r="K3039" s="8">
        <f>financials[[#This Row],[Net Sales]]-financials[[#This Row],[COGS]]</f>
        <v>167.15000000000003</v>
      </c>
      <c r="L3039" s="15">
        <v>45240</v>
      </c>
      <c r="M3039" t="s">
        <v>697</v>
      </c>
    </row>
    <row r="3040" spans="1:13" x14ac:dyDescent="0.25">
      <c r="A3040" t="s">
        <v>85</v>
      </c>
      <c r="B3040" s="6" t="s">
        <v>159</v>
      </c>
      <c r="C3040" s="13">
        <v>108</v>
      </c>
      <c r="D3040" s="14" t="s">
        <v>92</v>
      </c>
      <c r="E3040">
        <v>17</v>
      </c>
      <c r="F3040" s="8">
        <f>VLOOKUP(financials[[#This Row],[productid]],Products!$B$2:$H$10,3)</f>
        <v>5.5</v>
      </c>
      <c r="G3040" s="8">
        <f>financials[[#This Row],[Units Sold]]*financials[[#This Row],[Sale Price]]</f>
        <v>93.5</v>
      </c>
      <c r="H3040" s="8">
        <f>IF(financials[[#This Row],[Discount Band]]="low",0.1,IF(financials[[#This Row],[Discount Band]]="medium",0.15,0.3))</f>
        <v>0.3</v>
      </c>
      <c r="I3040" s="8">
        <f>financials[[#This Row],[Gross Sales]]-financials[[#This Row],[Gross Sales]]*financials[[#This Row],[Discounts]]</f>
        <v>65.45</v>
      </c>
      <c r="J3040" s="8">
        <f>VLOOKUP(financials[[#This Row],[productid]],Products!$B$2:$H$10,4)</f>
        <v>3.99</v>
      </c>
      <c r="K3040" s="8">
        <f>financials[[#This Row],[Net Sales]]-financials[[#This Row],[COGS]]</f>
        <v>61.46</v>
      </c>
      <c r="L3040" s="15">
        <v>44459</v>
      </c>
      <c r="M3040" t="s">
        <v>691</v>
      </c>
    </row>
    <row r="3041" spans="1:13" x14ac:dyDescent="0.25">
      <c r="A3041" t="s">
        <v>85</v>
      </c>
      <c r="B3041" s="6" t="s">
        <v>124</v>
      </c>
      <c r="C3041" s="13">
        <v>102</v>
      </c>
      <c r="D3041" s="14" t="s">
        <v>90</v>
      </c>
      <c r="E3041">
        <v>10</v>
      </c>
      <c r="F3041" s="8">
        <f>VLOOKUP(financials[[#This Row],[productid]],Products!$B$2:$H$10,3)</f>
        <v>15</v>
      </c>
      <c r="G3041" s="8">
        <f>financials[[#This Row],[Units Sold]]*financials[[#This Row],[Sale Price]]</f>
        <v>150</v>
      </c>
      <c r="H3041" s="8">
        <f>IF(financials[[#This Row],[Discount Band]]="low",0.1,IF(financials[[#This Row],[Discount Band]]="medium",0.15,0.3))</f>
        <v>0.15</v>
      </c>
      <c r="I3041" s="8">
        <f>financials[[#This Row],[Gross Sales]]-financials[[#This Row],[Gross Sales]]*financials[[#This Row],[Discounts]]</f>
        <v>127.5</v>
      </c>
      <c r="J3041" s="8">
        <f>VLOOKUP(financials[[#This Row],[productid]],Products!$B$2:$H$10,4)</f>
        <v>13.95</v>
      </c>
      <c r="K3041" s="8">
        <f>financials[[#This Row],[Net Sales]]-financials[[#This Row],[COGS]]</f>
        <v>113.55</v>
      </c>
      <c r="L3041" s="15">
        <v>43925</v>
      </c>
      <c r="M3041" t="s">
        <v>696</v>
      </c>
    </row>
    <row r="3042" spans="1:13" x14ac:dyDescent="0.25">
      <c r="A3042" t="s">
        <v>89</v>
      </c>
      <c r="B3042" s="6" t="s">
        <v>159</v>
      </c>
      <c r="C3042" s="11">
        <v>104</v>
      </c>
      <c r="D3042" s="9" t="s">
        <v>90</v>
      </c>
      <c r="E3042">
        <v>19</v>
      </c>
      <c r="F3042" s="8">
        <f>VLOOKUP(financials[[#This Row],[productid]],Products!$B$2:$H$10,3)</f>
        <v>5.9</v>
      </c>
      <c r="G3042" s="8">
        <f>financials[[#This Row],[Units Sold]]*financials[[#This Row],[Sale Price]]</f>
        <v>112.10000000000001</v>
      </c>
      <c r="H3042" s="8">
        <f>IF(financials[[#This Row],[Discount Band]]="low",0.1,IF(financials[[#This Row],[Discount Band]]="medium",0.15,0.3))</f>
        <v>0.15</v>
      </c>
      <c r="I3042" s="8">
        <f>financials[[#This Row],[Gross Sales]]-financials[[#This Row],[Gross Sales]]*financials[[#This Row],[Discounts]]</f>
        <v>95.285000000000011</v>
      </c>
      <c r="J3042" s="8">
        <f>VLOOKUP(financials[[#This Row],[productid]],Products!$B$2:$H$10,4)</f>
        <v>2.9</v>
      </c>
      <c r="K3042" s="8">
        <f>financials[[#This Row],[Net Sales]]-financials[[#This Row],[COGS]]</f>
        <v>92.385000000000005</v>
      </c>
      <c r="L3042" s="15">
        <v>44216</v>
      </c>
      <c r="M3042" t="s">
        <v>700</v>
      </c>
    </row>
    <row r="3043" spans="1:13" x14ac:dyDescent="0.25">
      <c r="A3043" t="s">
        <v>85</v>
      </c>
      <c r="B3043" s="6" t="s">
        <v>124</v>
      </c>
      <c r="C3043" s="13">
        <v>103</v>
      </c>
      <c r="D3043" s="14" t="s">
        <v>91</v>
      </c>
      <c r="E3043">
        <v>14</v>
      </c>
      <c r="F3043" s="8">
        <f>VLOOKUP(financials[[#This Row],[productid]],Products!$B$2:$H$10,3)</f>
        <v>28</v>
      </c>
      <c r="G3043" s="8">
        <f>financials[[#This Row],[Units Sold]]*financials[[#This Row],[Sale Price]]</f>
        <v>392</v>
      </c>
      <c r="H3043" s="8">
        <f>IF(financials[[#This Row],[Discount Band]]="low",0.1,IF(financials[[#This Row],[Discount Band]]="medium",0.15,0.3))</f>
        <v>0.1</v>
      </c>
      <c r="I3043" s="8">
        <f>financials[[#This Row],[Gross Sales]]-financials[[#This Row],[Gross Sales]]*financials[[#This Row],[Discounts]]</f>
        <v>352.8</v>
      </c>
      <c r="J3043" s="8">
        <f>VLOOKUP(financials[[#This Row],[productid]],Products!$B$2:$H$10,4)</f>
        <v>15</v>
      </c>
      <c r="K3043" s="8">
        <f>financials[[#This Row],[Net Sales]]-financials[[#This Row],[COGS]]</f>
        <v>337.8</v>
      </c>
      <c r="L3043" s="15">
        <v>45310</v>
      </c>
      <c r="M3043" t="s">
        <v>690</v>
      </c>
    </row>
    <row r="3044" spans="1:13" x14ac:dyDescent="0.25">
      <c r="A3044" t="s">
        <v>88</v>
      </c>
      <c r="B3044" s="6" t="s">
        <v>93</v>
      </c>
      <c r="C3044" s="13">
        <v>101</v>
      </c>
      <c r="D3044" s="14" t="s">
        <v>91</v>
      </c>
      <c r="E3044">
        <v>12</v>
      </c>
      <c r="F3044" s="8">
        <f>VLOOKUP(financials[[#This Row],[productid]],Products!$B$2:$H$10,3)</f>
        <v>23</v>
      </c>
      <c r="G3044" s="8">
        <f>financials[[#This Row],[Units Sold]]*financials[[#This Row],[Sale Price]]</f>
        <v>276</v>
      </c>
      <c r="H3044" s="8">
        <f>IF(financials[[#This Row],[Discount Band]]="low",0.1,IF(financials[[#This Row],[Discount Band]]="medium",0.15,0.3))</f>
        <v>0.1</v>
      </c>
      <c r="I3044" s="8">
        <f>financials[[#This Row],[Gross Sales]]-financials[[#This Row],[Gross Sales]]*financials[[#This Row],[Discounts]]</f>
        <v>248.4</v>
      </c>
      <c r="J3044" s="8">
        <f>VLOOKUP(financials[[#This Row],[productid]],Products!$B$2:$H$10,4)</f>
        <v>9.9499999999999993</v>
      </c>
      <c r="K3044" s="8">
        <f>financials[[#This Row],[Net Sales]]-financials[[#This Row],[COGS]]</f>
        <v>238.45000000000002</v>
      </c>
      <c r="L3044" s="15">
        <v>44127</v>
      </c>
      <c r="M3044" t="s">
        <v>691</v>
      </c>
    </row>
    <row r="3045" spans="1:13" x14ac:dyDescent="0.25">
      <c r="A3045" t="s">
        <v>89</v>
      </c>
      <c r="B3045" s="6" t="s">
        <v>124</v>
      </c>
      <c r="C3045" s="13">
        <v>101</v>
      </c>
      <c r="D3045" s="14" t="s">
        <v>83</v>
      </c>
      <c r="E3045">
        <v>11</v>
      </c>
      <c r="F3045" s="8">
        <f>VLOOKUP(financials[[#This Row],[productid]],Products!$B$2:$H$10,3)</f>
        <v>23</v>
      </c>
      <c r="G3045" s="8">
        <f>financials[[#This Row],[Units Sold]]*financials[[#This Row],[Sale Price]]</f>
        <v>253</v>
      </c>
      <c r="H3045" s="8">
        <f>IF(financials[[#This Row],[Discount Band]]="low",0.1,IF(financials[[#This Row],[Discount Band]]="medium",0.15,0.3))</f>
        <v>0.3</v>
      </c>
      <c r="I3045" s="8">
        <f>financials[[#This Row],[Gross Sales]]-financials[[#This Row],[Gross Sales]]*financials[[#This Row],[Discounts]]</f>
        <v>177.10000000000002</v>
      </c>
      <c r="J3045" s="8">
        <f>VLOOKUP(financials[[#This Row],[productid]],Products!$B$2:$H$10,4)</f>
        <v>9.9499999999999993</v>
      </c>
      <c r="K3045" s="8">
        <f>financials[[#This Row],[Net Sales]]-financials[[#This Row],[COGS]]</f>
        <v>167.15000000000003</v>
      </c>
      <c r="L3045" s="15">
        <v>44776</v>
      </c>
      <c r="M3045" t="s">
        <v>700</v>
      </c>
    </row>
    <row r="3046" spans="1:13" x14ac:dyDescent="0.25">
      <c r="A3046" t="s">
        <v>85</v>
      </c>
      <c r="B3046" s="6" t="s">
        <v>124</v>
      </c>
      <c r="C3046" s="13">
        <v>104</v>
      </c>
      <c r="D3046" s="14" t="s">
        <v>92</v>
      </c>
      <c r="E3046">
        <v>20</v>
      </c>
      <c r="F3046" s="8">
        <f>VLOOKUP(financials[[#This Row],[productid]],Products!$B$2:$H$10,3)</f>
        <v>5.9</v>
      </c>
      <c r="G3046" s="8">
        <f>financials[[#This Row],[Units Sold]]*financials[[#This Row],[Sale Price]]</f>
        <v>118</v>
      </c>
      <c r="H3046" s="8">
        <f>IF(financials[[#This Row],[Discount Band]]="low",0.1,IF(financials[[#This Row],[Discount Band]]="medium",0.15,0.3))</f>
        <v>0.3</v>
      </c>
      <c r="I3046" s="8">
        <f>financials[[#This Row],[Gross Sales]]-financials[[#This Row],[Gross Sales]]*financials[[#This Row],[Discounts]]</f>
        <v>82.6</v>
      </c>
      <c r="J3046" s="8">
        <f>VLOOKUP(financials[[#This Row],[productid]],Products!$B$2:$H$10,4)</f>
        <v>2.9</v>
      </c>
      <c r="K3046" s="8">
        <f>financials[[#This Row],[Net Sales]]-financials[[#This Row],[COGS]]</f>
        <v>79.699999999999989</v>
      </c>
      <c r="L3046" s="15">
        <v>45033</v>
      </c>
      <c r="M3046" t="s">
        <v>691</v>
      </c>
    </row>
    <row r="3047" spans="1:13" x14ac:dyDescent="0.25">
      <c r="A3047" t="s">
        <v>87</v>
      </c>
      <c r="B3047" s="6" t="s">
        <v>167</v>
      </c>
      <c r="C3047" s="11">
        <v>102</v>
      </c>
      <c r="D3047" s="9" t="s">
        <v>91</v>
      </c>
      <c r="E3047">
        <v>16</v>
      </c>
      <c r="F3047" s="8">
        <f>VLOOKUP(financials[[#This Row],[productid]],Products!$B$2:$H$10,3)</f>
        <v>15</v>
      </c>
      <c r="G3047" s="8">
        <f>financials[[#This Row],[Units Sold]]*financials[[#This Row],[Sale Price]]</f>
        <v>240</v>
      </c>
      <c r="H3047" s="8">
        <f>IF(financials[[#This Row],[Discount Band]]="low",0.1,IF(financials[[#This Row],[Discount Band]]="medium",0.15,0.3))</f>
        <v>0.1</v>
      </c>
      <c r="I3047" s="8">
        <f>financials[[#This Row],[Gross Sales]]-financials[[#This Row],[Gross Sales]]*financials[[#This Row],[Discounts]]</f>
        <v>216</v>
      </c>
      <c r="J3047" s="8">
        <f>VLOOKUP(financials[[#This Row],[productid]],Products!$B$2:$H$10,4)</f>
        <v>13.95</v>
      </c>
      <c r="K3047" s="8">
        <f>financials[[#This Row],[Net Sales]]-financials[[#This Row],[COGS]]</f>
        <v>202.05</v>
      </c>
      <c r="L3047" s="15">
        <v>45049</v>
      </c>
      <c r="M3047" t="s">
        <v>700</v>
      </c>
    </row>
    <row r="3048" spans="1:13" x14ac:dyDescent="0.25">
      <c r="A3048" t="s">
        <v>87</v>
      </c>
      <c r="B3048" s="6" t="s">
        <v>268</v>
      </c>
      <c r="C3048" s="13">
        <v>107</v>
      </c>
      <c r="D3048" s="14" t="s">
        <v>83</v>
      </c>
      <c r="E3048">
        <v>20</v>
      </c>
      <c r="F3048" s="8">
        <f>VLOOKUP(financials[[#This Row],[productid]],Products!$B$2:$H$10,3)</f>
        <v>15</v>
      </c>
      <c r="G3048" s="8">
        <f>financials[[#This Row],[Units Sold]]*financials[[#This Row],[Sale Price]]</f>
        <v>300</v>
      </c>
      <c r="H3048" s="8">
        <f>IF(financials[[#This Row],[Discount Band]]="low",0.1,IF(financials[[#This Row],[Discount Band]]="medium",0.15,0.3))</f>
        <v>0.3</v>
      </c>
      <c r="I3048" s="8">
        <f>financials[[#This Row],[Gross Sales]]-financials[[#This Row],[Gross Sales]]*financials[[#This Row],[Discounts]]</f>
        <v>210</v>
      </c>
      <c r="J3048" s="8">
        <f>VLOOKUP(financials[[#This Row],[productid]],Products!$B$2:$H$10,4)</f>
        <v>5.5</v>
      </c>
      <c r="K3048" s="8">
        <f>financials[[#This Row],[Net Sales]]-financials[[#This Row],[COGS]]</f>
        <v>204.5</v>
      </c>
      <c r="L3048" s="15">
        <v>45527</v>
      </c>
      <c r="M3048" t="s">
        <v>700</v>
      </c>
    </row>
    <row r="3049" spans="1:13" x14ac:dyDescent="0.25">
      <c r="A3049" t="s">
        <v>87</v>
      </c>
      <c r="B3049" s="6" t="s">
        <v>273</v>
      </c>
      <c r="C3049" s="13">
        <v>103</v>
      </c>
      <c r="D3049" s="14" t="s">
        <v>83</v>
      </c>
      <c r="E3049">
        <v>9</v>
      </c>
      <c r="F3049" s="8">
        <f>VLOOKUP(financials[[#This Row],[productid]],Products!$B$2:$H$10,3)</f>
        <v>28</v>
      </c>
      <c r="G3049" s="8">
        <f>financials[[#This Row],[Units Sold]]*financials[[#This Row],[Sale Price]]</f>
        <v>252</v>
      </c>
      <c r="H3049" s="8">
        <f>IF(financials[[#This Row],[Discount Band]]="low",0.1,IF(financials[[#This Row],[Discount Band]]="medium",0.15,0.3))</f>
        <v>0.3</v>
      </c>
      <c r="I3049" s="8">
        <f>financials[[#This Row],[Gross Sales]]-financials[[#This Row],[Gross Sales]]*financials[[#This Row],[Discounts]]</f>
        <v>176.4</v>
      </c>
      <c r="J3049" s="8">
        <f>VLOOKUP(financials[[#This Row],[productid]],Products!$B$2:$H$10,4)</f>
        <v>15</v>
      </c>
      <c r="K3049" s="8">
        <f>financials[[#This Row],[Net Sales]]-financials[[#This Row],[COGS]]</f>
        <v>161.4</v>
      </c>
      <c r="L3049" s="15">
        <v>44941</v>
      </c>
      <c r="M3049" t="s">
        <v>690</v>
      </c>
    </row>
    <row r="3050" spans="1:13" x14ac:dyDescent="0.25">
      <c r="A3050" t="s">
        <v>87</v>
      </c>
      <c r="B3050" s="6" t="s">
        <v>94</v>
      </c>
      <c r="C3050" s="13">
        <v>109</v>
      </c>
      <c r="D3050" s="14" t="s">
        <v>83</v>
      </c>
      <c r="E3050">
        <v>18</v>
      </c>
      <c r="F3050" s="8">
        <f>VLOOKUP(financials[[#This Row],[productid]],Products!$B$2:$H$10,3)</f>
        <v>36</v>
      </c>
      <c r="G3050" s="8">
        <f>financials[[#This Row],[Units Sold]]*financials[[#This Row],[Sale Price]]</f>
        <v>648</v>
      </c>
      <c r="H3050" s="8">
        <f>IF(financials[[#This Row],[Discount Band]]="low",0.1,IF(financials[[#This Row],[Discount Band]]="medium",0.15,0.3))</f>
        <v>0.3</v>
      </c>
      <c r="I3050" s="8">
        <f>financials[[#This Row],[Gross Sales]]-financials[[#This Row],[Gross Sales]]*financials[[#This Row],[Discounts]]</f>
        <v>453.6</v>
      </c>
      <c r="J3050" s="8">
        <f>VLOOKUP(financials[[#This Row],[productid]],Products!$B$2:$H$10,4)</f>
        <v>16.8</v>
      </c>
      <c r="K3050" s="8">
        <f>financials[[#This Row],[Net Sales]]-financials[[#This Row],[COGS]]</f>
        <v>436.8</v>
      </c>
      <c r="L3050" s="15">
        <v>45490</v>
      </c>
      <c r="M3050" t="s">
        <v>690</v>
      </c>
    </row>
    <row r="3051" spans="1:13" x14ac:dyDescent="0.25">
      <c r="A3051" t="s">
        <v>87</v>
      </c>
      <c r="B3051" s="6" t="s">
        <v>276</v>
      </c>
      <c r="C3051" s="13">
        <v>101</v>
      </c>
      <c r="D3051" s="14" t="s">
        <v>83</v>
      </c>
      <c r="E3051">
        <v>18</v>
      </c>
      <c r="F3051" s="8">
        <f>VLOOKUP(financials[[#This Row],[productid]],Products!$B$2:$H$10,3)</f>
        <v>23</v>
      </c>
      <c r="G3051" s="8">
        <f>financials[[#This Row],[Units Sold]]*financials[[#This Row],[Sale Price]]</f>
        <v>414</v>
      </c>
      <c r="H3051" s="8">
        <f>IF(financials[[#This Row],[Discount Band]]="low",0.1,IF(financials[[#This Row],[Discount Band]]="medium",0.15,0.3))</f>
        <v>0.3</v>
      </c>
      <c r="I3051" s="8">
        <f>financials[[#This Row],[Gross Sales]]-financials[[#This Row],[Gross Sales]]*financials[[#This Row],[Discounts]]</f>
        <v>289.8</v>
      </c>
      <c r="J3051" s="8">
        <f>VLOOKUP(financials[[#This Row],[productid]],Products!$B$2:$H$10,4)</f>
        <v>9.9499999999999993</v>
      </c>
      <c r="K3051" s="8">
        <f>financials[[#This Row],[Net Sales]]-financials[[#This Row],[COGS]]</f>
        <v>279.85000000000002</v>
      </c>
      <c r="L3051" s="15">
        <v>44838</v>
      </c>
      <c r="M3051" t="s">
        <v>700</v>
      </c>
    </row>
    <row r="3052" spans="1:13" x14ac:dyDescent="0.25">
      <c r="A3052" t="s">
        <v>87</v>
      </c>
      <c r="B3052" s="6" t="s">
        <v>198</v>
      </c>
      <c r="C3052" s="13">
        <v>106</v>
      </c>
      <c r="D3052" s="14" t="s">
        <v>90</v>
      </c>
      <c r="E3052">
        <v>8</v>
      </c>
      <c r="F3052" s="8">
        <f>VLOOKUP(financials[[#This Row],[productid]],Products!$B$2:$H$10,3)</f>
        <v>25</v>
      </c>
      <c r="G3052" s="8">
        <f>financials[[#This Row],[Units Sold]]*financials[[#This Row],[Sale Price]]</f>
        <v>200</v>
      </c>
      <c r="H3052" s="8">
        <f>IF(financials[[#This Row],[Discount Band]]="low",0.1,IF(financials[[#This Row],[Discount Band]]="medium",0.15,0.3))</f>
        <v>0.15</v>
      </c>
      <c r="I3052" s="8">
        <f>financials[[#This Row],[Gross Sales]]-financials[[#This Row],[Gross Sales]]*financials[[#This Row],[Discounts]]</f>
        <v>170</v>
      </c>
      <c r="J3052" s="8">
        <f>VLOOKUP(financials[[#This Row],[productid]],Products!$B$2:$H$10,4)</f>
        <v>9.1</v>
      </c>
      <c r="K3052" s="8">
        <f>financials[[#This Row],[Net Sales]]-financials[[#This Row],[COGS]]</f>
        <v>160.9</v>
      </c>
      <c r="L3052" s="15">
        <v>44760</v>
      </c>
      <c r="M3052" t="s">
        <v>697</v>
      </c>
    </row>
    <row r="3053" spans="1:13" x14ac:dyDescent="0.25">
      <c r="A3053" t="s">
        <v>85</v>
      </c>
      <c r="B3053" s="6" t="s">
        <v>159</v>
      </c>
      <c r="C3053" s="13">
        <v>101</v>
      </c>
      <c r="D3053" s="14" t="s">
        <v>90</v>
      </c>
      <c r="E3053">
        <v>16</v>
      </c>
      <c r="F3053" s="8">
        <f>VLOOKUP(financials[[#This Row],[productid]],Products!$B$2:$H$10,3)</f>
        <v>23</v>
      </c>
      <c r="G3053" s="8">
        <f>financials[[#This Row],[Units Sold]]*financials[[#This Row],[Sale Price]]</f>
        <v>368</v>
      </c>
      <c r="H3053" s="8">
        <f>IF(financials[[#This Row],[Discount Band]]="low",0.1,IF(financials[[#This Row],[Discount Band]]="medium",0.15,0.3))</f>
        <v>0.15</v>
      </c>
      <c r="I3053" s="8">
        <f>financials[[#This Row],[Gross Sales]]-financials[[#This Row],[Gross Sales]]*financials[[#This Row],[Discounts]]</f>
        <v>312.8</v>
      </c>
      <c r="J3053" s="8">
        <f>VLOOKUP(financials[[#This Row],[productid]],Products!$B$2:$H$10,4)</f>
        <v>9.9499999999999993</v>
      </c>
      <c r="K3053" s="8">
        <f>financials[[#This Row],[Net Sales]]-financials[[#This Row],[COGS]]</f>
        <v>302.85000000000002</v>
      </c>
      <c r="L3053" s="15">
        <v>43850</v>
      </c>
      <c r="M3053" t="s">
        <v>691</v>
      </c>
    </row>
    <row r="3054" spans="1:13" x14ac:dyDescent="0.25">
      <c r="A3054" t="s">
        <v>86</v>
      </c>
      <c r="B3054" s="6" t="s">
        <v>124</v>
      </c>
      <c r="C3054" s="11">
        <v>109</v>
      </c>
      <c r="D3054" s="9" t="s">
        <v>83</v>
      </c>
      <c r="E3054">
        <v>7</v>
      </c>
      <c r="F3054" s="8">
        <f>VLOOKUP(financials[[#This Row],[productid]],Products!$B$2:$H$10,3)</f>
        <v>36</v>
      </c>
      <c r="G3054" s="8">
        <f>financials[[#This Row],[Units Sold]]*financials[[#This Row],[Sale Price]]</f>
        <v>252</v>
      </c>
      <c r="H3054" s="8">
        <f>IF(financials[[#This Row],[Discount Band]]="low",0.1,IF(financials[[#This Row],[Discount Band]]="medium",0.15,0.3))</f>
        <v>0.3</v>
      </c>
      <c r="I3054" s="8">
        <f>financials[[#This Row],[Gross Sales]]-financials[[#This Row],[Gross Sales]]*financials[[#This Row],[Discounts]]</f>
        <v>176.4</v>
      </c>
      <c r="J3054" s="8">
        <f>VLOOKUP(financials[[#This Row],[productid]],Products!$B$2:$H$10,4)</f>
        <v>16.8</v>
      </c>
      <c r="K3054" s="8">
        <f>financials[[#This Row],[Net Sales]]-financials[[#This Row],[COGS]]</f>
        <v>159.6</v>
      </c>
      <c r="L3054" s="15">
        <v>45218</v>
      </c>
      <c r="M3054" t="s">
        <v>691</v>
      </c>
    </row>
    <row r="3055" spans="1:13" x14ac:dyDescent="0.25">
      <c r="A3055" t="s">
        <v>86</v>
      </c>
      <c r="B3055" s="6" t="s">
        <v>124</v>
      </c>
      <c r="C3055" s="13">
        <v>105</v>
      </c>
      <c r="D3055" s="14" t="s">
        <v>90</v>
      </c>
      <c r="E3055">
        <v>9</v>
      </c>
      <c r="F3055" s="8">
        <f>VLOOKUP(financials[[#This Row],[productid]],Products!$B$2:$H$10,3)</f>
        <v>15</v>
      </c>
      <c r="G3055" s="8">
        <f>financials[[#This Row],[Units Sold]]*financials[[#This Row],[Sale Price]]</f>
        <v>135</v>
      </c>
      <c r="H3055" s="8">
        <f>IF(financials[[#This Row],[Discount Band]]="low",0.1,IF(financials[[#This Row],[Discount Band]]="medium",0.15,0.3))</f>
        <v>0.15</v>
      </c>
      <c r="I3055" s="8">
        <f>financials[[#This Row],[Gross Sales]]-financials[[#This Row],[Gross Sales]]*financials[[#This Row],[Discounts]]</f>
        <v>114.75</v>
      </c>
      <c r="J3055" s="8">
        <f>VLOOKUP(financials[[#This Row],[productid]],Products!$B$2:$H$10,4)</f>
        <v>10</v>
      </c>
      <c r="K3055" s="8">
        <f>financials[[#This Row],[Net Sales]]-financials[[#This Row],[COGS]]</f>
        <v>104.75</v>
      </c>
      <c r="L3055" s="15">
        <v>44044</v>
      </c>
      <c r="M3055" t="s">
        <v>697</v>
      </c>
    </row>
    <row r="3056" spans="1:13" x14ac:dyDescent="0.25">
      <c r="A3056" t="s">
        <v>88</v>
      </c>
      <c r="B3056" s="6" t="s">
        <v>197</v>
      </c>
      <c r="C3056" s="13">
        <v>104</v>
      </c>
      <c r="D3056" s="14" t="s">
        <v>91</v>
      </c>
      <c r="E3056">
        <v>14</v>
      </c>
      <c r="F3056" s="8">
        <f>VLOOKUP(financials[[#This Row],[productid]],Products!$B$2:$H$10,3)</f>
        <v>5.9</v>
      </c>
      <c r="G3056" s="8">
        <f>financials[[#This Row],[Units Sold]]*financials[[#This Row],[Sale Price]]</f>
        <v>82.600000000000009</v>
      </c>
      <c r="H3056" s="8">
        <f>IF(financials[[#This Row],[Discount Band]]="low",0.1,IF(financials[[#This Row],[Discount Band]]="medium",0.15,0.3))</f>
        <v>0.1</v>
      </c>
      <c r="I3056" s="8">
        <f>financials[[#This Row],[Gross Sales]]-financials[[#This Row],[Gross Sales]]*financials[[#This Row],[Discounts]]</f>
        <v>74.34</v>
      </c>
      <c r="J3056" s="8">
        <f>VLOOKUP(financials[[#This Row],[productid]],Products!$B$2:$H$10,4)</f>
        <v>2.9</v>
      </c>
      <c r="K3056" s="8">
        <f>financials[[#This Row],[Net Sales]]-financials[[#This Row],[COGS]]</f>
        <v>71.44</v>
      </c>
      <c r="L3056" s="15">
        <v>44821</v>
      </c>
      <c r="M3056" t="s">
        <v>700</v>
      </c>
    </row>
    <row r="3057" spans="1:13" x14ac:dyDescent="0.25">
      <c r="A3057" t="s">
        <v>85</v>
      </c>
      <c r="B3057" s="6" t="s">
        <v>124</v>
      </c>
      <c r="C3057" s="13">
        <v>109</v>
      </c>
      <c r="D3057" s="14" t="s">
        <v>90</v>
      </c>
      <c r="E3057">
        <v>9</v>
      </c>
      <c r="F3057" s="8">
        <f>VLOOKUP(financials[[#This Row],[productid]],Products!$B$2:$H$10,3)</f>
        <v>36</v>
      </c>
      <c r="G3057" s="8">
        <f>financials[[#This Row],[Units Sold]]*financials[[#This Row],[Sale Price]]</f>
        <v>324</v>
      </c>
      <c r="H3057" s="8">
        <f>IF(financials[[#This Row],[Discount Band]]="low",0.1,IF(financials[[#This Row],[Discount Band]]="medium",0.15,0.3))</f>
        <v>0.15</v>
      </c>
      <c r="I3057" s="8">
        <f>financials[[#This Row],[Gross Sales]]-financials[[#This Row],[Gross Sales]]*financials[[#This Row],[Discounts]]</f>
        <v>275.39999999999998</v>
      </c>
      <c r="J3057" s="8">
        <f>VLOOKUP(financials[[#This Row],[productid]],Products!$B$2:$H$10,4)</f>
        <v>16.8</v>
      </c>
      <c r="K3057" s="8">
        <f>financials[[#This Row],[Net Sales]]-financials[[#This Row],[COGS]]</f>
        <v>258.59999999999997</v>
      </c>
      <c r="L3057" s="15">
        <v>44173</v>
      </c>
      <c r="M3057" t="s">
        <v>696</v>
      </c>
    </row>
    <row r="3058" spans="1:13" x14ac:dyDescent="0.25">
      <c r="A3058" t="s">
        <v>89</v>
      </c>
      <c r="B3058" s="6" t="s">
        <v>159</v>
      </c>
      <c r="C3058" s="13">
        <v>103</v>
      </c>
      <c r="D3058" s="14" t="s">
        <v>91</v>
      </c>
      <c r="E3058">
        <v>20</v>
      </c>
      <c r="F3058" s="8">
        <f>VLOOKUP(financials[[#This Row],[productid]],Products!$B$2:$H$10,3)</f>
        <v>28</v>
      </c>
      <c r="G3058" s="8">
        <f>financials[[#This Row],[Units Sold]]*financials[[#This Row],[Sale Price]]</f>
        <v>560</v>
      </c>
      <c r="H3058" s="8">
        <f>IF(financials[[#This Row],[Discount Band]]="low",0.1,IF(financials[[#This Row],[Discount Band]]="medium",0.15,0.3))</f>
        <v>0.1</v>
      </c>
      <c r="I3058" s="8">
        <f>financials[[#This Row],[Gross Sales]]-financials[[#This Row],[Gross Sales]]*financials[[#This Row],[Discounts]]</f>
        <v>504</v>
      </c>
      <c r="J3058" s="8">
        <f>VLOOKUP(financials[[#This Row],[productid]],Products!$B$2:$H$10,4)</f>
        <v>15</v>
      </c>
      <c r="K3058" s="8">
        <f>financials[[#This Row],[Net Sales]]-financials[[#This Row],[COGS]]</f>
        <v>489</v>
      </c>
      <c r="L3058" s="15">
        <v>44911</v>
      </c>
      <c r="M3058" t="s">
        <v>691</v>
      </c>
    </row>
    <row r="3059" spans="1:13" x14ac:dyDescent="0.25">
      <c r="A3059" t="s">
        <v>86</v>
      </c>
      <c r="B3059" s="6" t="s">
        <v>159</v>
      </c>
      <c r="C3059" s="13">
        <v>101</v>
      </c>
      <c r="D3059" s="14" t="s">
        <v>91</v>
      </c>
      <c r="E3059">
        <v>5</v>
      </c>
      <c r="F3059" s="8">
        <f>VLOOKUP(financials[[#This Row],[productid]],Products!$B$2:$H$10,3)</f>
        <v>23</v>
      </c>
      <c r="G3059" s="8">
        <f>financials[[#This Row],[Units Sold]]*financials[[#This Row],[Sale Price]]</f>
        <v>115</v>
      </c>
      <c r="H3059" s="8">
        <f>IF(financials[[#This Row],[Discount Band]]="low",0.1,IF(financials[[#This Row],[Discount Band]]="medium",0.15,0.3))</f>
        <v>0.1</v>
      </c>
      <c r="I3059" s="8">
        <f>financials[[#This Row],[Gross Sales]]-financials[[#This Row],[Gross Sales]]*financials[[#This Row],[Discounts]]</f>
        <v>103.5</v>
      </c>
      <c r="J3059" s="8">
        <f>VLOOKUP(financials[[#This Row],[productid]],Products!$B$2:$H$10,4)</f>
        <v>9.9499999999999993</v>
      </c>
      <c r="K3059" s="8">
        <f>financials[[#This Row],[Net Sales]]-financials[[#This Row],[COGS]]</f>
        <v>93.55</v>
      </c>
      <c r="L3059" s="15">
        <v>43994</v>
      </c>
      <c r="M3059" t="s">
        <v>696</v>
      </c>
    </row>
    <row r="3060" spans="1:13" x14ac:dyDescent="0.25">
      <c r="A3060" t="s">
        <v>87</v>
      </c>
      <c r="B3060" s="6" t="s">
        <v>268</v>
      </c>
      <c r="C3060" s="11">
        <v>103</v>
      </c>
      <c r="D3060" s="9" t="s">
        <v>83</v>
      </c>
      <c r="E3060">
        <v>8</v>
      </c>
      <c r="F3060" s="8">
        <f>VLOOKUP(financials[[#This Row],[productid]],Products!$B$2:$H$10,3)</f>
        <v>28</v>
      </c>
      <c r="G3060" s="8">
        <f>financials[[#This Row],[Units Sold]]*financials[[#This Row],[Sale Price]]</f>
        <v>224</v>
      </c>
      <c r="H3060" s="8">
        <f>IF(financials[[#This Row],[Discount Band]]="low",0.1,IF(financials[[#This Row],[Discount Band]]="medium",0.15,0.3))</f>
        <v>0.3</v>
      </c>
      <c r="I3060" s="8">
        <f>financials[[#This Row],[Gross Sales]]-financials[[#This Row],[Gross Sales]]*financials[[#This Row],[Discounts]]</f>
        <v>156.80000000000001</v>
      </c>
      <c r="J3060" s="8">
        <f>VLOOKUP(financials[[#This Row],[productid]],Products!$B$2:$H$10,4)</f>
        <v>15</v>
      </c>
      <c r="K3060" s="8">
        <f>financials[[#This Row],[Net Sales]]-financials[[#This Row],[COGS]]</f>
        <v>141.80000000000001</v>
      </c>
      <c r="L3060" s="15">
        <v>44252</v>
      </c>
      <c r="M3060" t="s">
        <v>696</v>
      </c>
    </row>
    <row r="3061" spans="1:13" x14ac:dyDescent="0.25">
      <c r="A3061" t="s">
        <v>87</v>
      </c>
      <c r="B3061" s="6" t="s">
        <v>205</v>
      </c>
      <c r="C3061" s="13">
        <v>105</v>
      </c>
      <c r="D3061" s="14" t="s">
        <v>91</v>
      </c>
      <c r="E3061">
        <v>6</v>
      </c>
      <c r="F3061" s="8">
        <f>VLOOKUP(financials[[#This Row],[productid]],Products!$B$2:$H$10,3)</f>
        <v>15</v>
      </c>
      <c r="G3061" s="8">
        <f>financials[[#This Row],[Units Sold]]*financials[[#This Row],[Sale Price]]</f>
        <v>90</v>
      </c>
      <c r="H3061" s="8">
        <f>IF(financials[[#This Row],[Discount Band]]="low",0.1,IF(financials[[#This Row],[Discount Band]]="medium",0.15,0.3))</f>
        <v>0.1</v>
      </c>
      <c r="I3061" s="8">
        <f>financials[[#This Row],[Gross Sales]]-financials[[#This Row],[Gross Sales]]*financials[[#This Row],[Discounts]]</f>
        <v>81</v>
      </c>
      <c r="J3061" s="8">
        <f>VLOOKUP(financials[[#This Row],[productid]],Products!$B$2:$H$10,4)</f>
        <v>10</v>
      </c>
      <c r="K3061" s="8">
        <f>financials[[#This Row],[Net Sales]]-financials[[#This Row],[COGS]]</f>
        <v>71</v>
      </c>
      <c r="L3061" s="15">
        <v>44929</v>
      </c>
      <c r="M3061" t="s">
        <v>691</v>
      </c>
    </row>
    <row r="3062" spans="1:13" x14ac:dyDescent="0.25">
      <c r="A3062" t="s">
        <v>87</v>
      </c>
      <c r="B3062" s="6" t="s">
        <v>273</v>
      </c>
      <c r="C3062" s="13">
        <v>104</v>
      </c>
      <c r="D3062" s="14" t="s">
        <v>83</v>
      </c>
      <c r="E3062">
        <v>20</v>
      </c>
      <c r="F3062" s="8">
        <f>VLOOKUP(financials[[#This Row],[productid]],Products!$B$2:$H$10,3)</f>
        <v>5.9</v>
      </c>
      <c r="G3062" s="8">
        <f>financials[[#This Row],[Units Sold]]*financials[[#This Row],[Sale Price]]</f>
        <v>118</v>
      </c>
      <c r="H3062" s="8">
        <f>IF(financials[[#This Row],[Discount Band]]="low",0.1,IF(financials[[#This Row],[Discount Band]]="medium",0.15,0.3))</f>
        <v>0.3</v>
      </c>
      <c r="I3062" s="8">
        <f>financials[[#This Row],[Gross Sales]]-financials[[#This Row],[Gross Sales]]*financials[[#This Row],[Discounts]]</f>
        <v>82.6</v>
      </c>
      <c r="J3062" s="8">
        <f>VLOOKUP(financials[[#This Row],[productid]],Products!$B$2:$H$10,4)</f>
        <v>2.9</v>
      </c>
      <c r="K3062" s="8">
        <f>financials[[#This Row],[Net Sales]]-financials[[#This Row],[COGS]]</f>
        <v>79.699999999999989</v>
      </c>
      <c r="L3062" s="15">
        <v>45160</v>
      </c>
      <c r="M3062" t="s">
        <v>700</v>
      </c>
    </row>
    <row r="3063" spans="1:13" x14ac:dyDescent="0.25">
      <c r="A3063" t="s">
        <v>86</v>
      </c>
      <c r="B3063" s="6" t="s">
        <v>159</v>
      </c>
      <c r="C3063" s="13">
        <v>105</v>
      </c>
      <c r="D3063" s="14" t="s">
        <v>83</v>
      </c>
      <c r="E3063">
        <v>19</v>
      </c>
      <c r="F3063" s="8">
        <f>VLOOKUP(financials[[#This Row],[productid]],Products!$B$2:$H$10,3)</f>
        <v>15</v>
      </c>
      <c r="G3063" s="8">
        <f>financials[[#This Row],[Units Sold]]*financials[[#This Row],[Sale Price]]</f>
        <v>285</v>
      </c>
      <c r="H3063" s="8">
        <f>IF(financials[[#This Row],[Discount Band]]="low",0.1,IF(financials[[#This Row],[Discount Band]]="medium",0.15,0.3))</f>
        <v>0.3</v>
      </c>
      <c r="I3063" s="8">
        <f>financials[[#This Row],[Gross Sales]]-financials[[#This Row],[Gross Sales]]*financials[[#This Row],[Discounts]]</f>
        <v>199.5</v>
      </c>
      <c r="J3063" s="8">
        <f>VLOOKUP(financials[[#This Row],[productid]],Products!$B$2:$H$10,4)</f>
        <v>10</v>
      </c>
      <c r="K3063" s="8">
        <f>financials[[#This Row],[Net Sales]]-financials[[#This Row],[COGS]]</f>
        <v>189.5</v>
      </c>
      <c r="L3063" s="15">
        <v>44754</v>
      </c>
      <c r="M3063" t="s">
        <v>700</v>
      </c>
    </row>
    <row r="3064" spans="1:13" x14ac:dyDescent="0.25">
      <c r="A3064" t="s">
        <v>85</v>
      </c>
      <c r="B3064" s="6" t="s">
        <v>124</v>
      </c>
      <c r="C3064" s="13">
        <v>108</v>
      </c>
      <c r="D3064" s="14" t="s">
        <v>83</v>
      </c>
      <c r="E3064">
        <v>5</v>
      </c>
      <c r="F3064" s="8">
        <f>VLOOKUP(financials[[#This Row],[productid]],Products!$B$2:$H$10,3)</f>
        <v>5.5</v>
      </c>
      <c r="G3064" s="8">
        <f>financials[[#This Row],[Units Sold]]*financials[[#This Row],[Sale Price]]</f>
        <v>27.5</v>
      </c>
      <c r="H3064" s="8">
        <f>IF(financials[[#This Row],[Discount Band]]="low",0.1,IF(financials[[#This Row],[Discount Band]]="medium",0.15,0.3))</f>
        <v>0.3</v>
      </c>
      <c r="I3064" s="8">
        <f>financials[[#This Row],[Gross Sales]]-financials[[#This Row],[Gross Sales]]*financials[[#This Row],[Discounts]]</f>
        <v>19.25</v>
      </c>
      <c r="J3064" s="8">
        <f>VLOOKUP(financials[[#This Row],[productid]],Products!$B$2:$H$10,4)</f>
        <v>3.99</v>
      </c>
      <c r="K3064" s="8">
        <f>financials[[#This Row],[Net Sales]]-financials[[#This Row],[COGS]]</f>
        <v>15.26</v>
      </c>
      <c r="L3064" s="15">
        <v>43875</v>
      </c>
      <c r="M3064" t="s">
        <v>690</v>
      </c>
    </row>
    <row r="3065" spans="1:13" x14ac:dyDescent="0.25">
      <c r="A3065" t="s">
        <v>87</v>
      </c>
      <c r="B3065" s="6" t="s">
        <v>273</v>
      </c>
      <c r="C3065" s="13">
        <v>101</v>
      </c>
      <c r="D3065" s="14" t="s">
        <v>83</v>
      </c>
      <c r="E3065">
        <v>8</v>
      </c>
      <c r="F3065" s="8">
        <f>VLOOKUP(financials[[#This Row],[productid]],Products!$B$2:$H$10,3)</f>
        <v>23</v>
      </c>
      <c r="G3065" s="8">
        <f>financials[[#This Row],[Units Sold]]*financials[[#This Row],[Sale Price]]</f>
        <v>184</v>
      </c>
      <c r="H3065" s="8">
        <f>IF(financials[[#This Row],[Discount Band]]="low",0.1,IF(financials[[#This Row],[Discount Band]]="medium",0.15,0.3))</f>
        <v>0.3</v>
      </c>
      <c r="I3065" s="8">
        <f>financials[[#This Row],[Gross Sales]]-financials[[#This Row],[Gross Sales]]*financials[[#This Row],[Discounts]]</f>
        <v>128.80000000000001</v>
      </c>
      <c r="J3065" s="8">
        <f>VLOOKUP(financials[[#This Row],[productid]],Products!$B$2:$H$10,4)</f>
        <v>9.9499999999999993</v>
      </c>
      <c r="K3065" s="8">
        <f>financials[[#This Row],[Net Sales]]-financials[[#This Row],[COGS]]</f>
        <v>118.85000000000001</v>
      </c>
      <c r="L3065" s="15">
        <v>44610</v>
      </c>
      <c r="M3065" t="s">
        <v>690</v>
      </c>
    </row>
    <row r="3066" spans="1:13" x14ac:dyDescent="0.25">
      <c r="A3066" t="s">
        <v>88</v>
      </c>
      <c r="B3066" s="6" t="s">
        <v>240</v>
      </c>
      <c r="C3066" s="13">
        <v>104</v>
      </c>
      <c r="D3066" s="14" t="s">
        <v>91</v>
      </c>
      <c r="E3066">
        <v>14</v>
      </c>
      <c r="F3066" s="8">
        <f>VLOOKUP(financials[[#This Row],[productid]],Products!$B$2:$H$10,3)</f>
        <v>5.9</v>
      </c>
      <c r="G3066" s="8">
        <f>financials[[#This Row],[Units Sold]]*financials[[#This Row],[Sale Price]]</f>
        <v>82.600000000000009</v>
      </c>
      <c r="H3066" s="8">
        <f>IF(financials[[#This Row],[Discount Band]]="low",0.1,IF(financials[[#This Row],[Discount Band]]="medium",0.15,0.3))</f>
        <v>0.1</v>
      </c>
      <c r="I3066" s="8">
        <f>financials[[#This Row],[Gross Sales]]-financials[[#This Row],[Gross Sales]]*financials[[#This Row],[Discounts]]</f>
        <v>74.34</v>
      </c>
      <c r="J3066" s="8">
        <f>VLOOKUP(financials[[#This Row],[productid]],Products!$B$2:$H$10,4)</f>
        <v>2.9</v>
      </c>
      <c r="K3066" s="8">
        <f>financials[[#This Row],[Net Sales]]-financials[[#This Row],[COGS]]</f>
        <v>71.44</v>
      </c>
      <c r="L3066" s="15">
        <v>44432</v>
      </c>
      <c r="M3066" t="s">
        <v>696</v>
      </c>
    </row>
    <row r="3067" spans="1:13" x14ac:dyDescent="0.25">
      <c r="A3067" t="s">
        <v>87</v>
      </c>
      <c r="B3067" s="6" t="s">
        <v>273</v>
      </c>
      <c r="C3067" s="11">
        <v>107</v>
      </c>
      <c r="D3067" s="9" t="s">
        <v>91</v>
      </c>
      <c r="E3067">
        <v>13</v>
      </c>
      <c r="F3067" s="8">
        <f>VLOOKUP(financials[[#This Row],[productid]],Products!$B$2:$H$10,3)</f>
        <v>15</v>
      </c>
      <c r="G3067" s="8">
        <f>financials[[#This Row],[Units Sold]]*financials[[#This Row],[Sale Price]]</f>
        <v>195</v>
      </c>
      <c r="H3067" s="8">
        <f>IF(financials[[#This Row],[Discount Band]]="low",0.1,IF(financials[[#This Row],[Discount Band]]="medium",0.15,0.3))</f>
        <v>0.1</v>
      </c>
      <c r="I3067" s="8">
        <f>financials[[#This Row],[Gross Sales]]-financials[[#This Row],[Gross Sales]]*financials[[#This Row],[Discounts]]</f>
        <v>175.5</v>
      </c>
      <c r="J3067" s="8">
        <f>VLOOKUP(financials[[#This Row],[productid]],Products!$B$2:$H$10,4)</f>
        <v>5.5</v>
      </c>
      <c r="K3067" s="8">
        <f>financials[[#This Row],[Net Sales]]-financials[[#This Row],[COGS]]</f>
        <v>170</v>
      </c>
      <c r="L3067" s="15">
        <v>44786</v>
      </c>
      <c r="M3067" t="s">
        <v>697</v>
      </c>
    </row>
    <row r="3068" spans="1:13" x14ac:dyDescent="0.25">
      <c r="A3068" t="s">
        <v>87</v>
      </c>
      <c r="B3068" s="6" t="s">
        <v>95</v>
      </c>
      <c r="C3068" s="13">
        <v>107</v>
      </c>
      <c r="D3068" s="14" t="s">
        <v>83</v>
      </c>
      <c r="E3068">
        <v>18</v>
      </c>
      <c r="F3068" s="8">
        <f>VLOOKUP(financials[[#This Row],[productid]],Products!$B$2:$H$10,3)</f>
        <v>15</v>
      </c>
      <c r="G3068" s="8">
        <f>financials[[#This Row],[Units Sold]]*financials[[#This Row],[Sale Price]]</f>
        <v>270</v>
      </c>
      <c r="H3068" s="8">
        <f>IF(financials[[#This Row],[Discount Band]]="low",0.1,IF(financials[[#This Row],[Discount Band]]="medium",0.15,0.3))</f>
        <v>0.3</v>
      </c>
      <c r="I3068" s="8">
        <f>financials[[#This Row],[Gross Sales]]-financials[[#This Row],[Gross Sales]]*financials[[#This Row],[Discounts]]</f>
        <v>189</v>
      </c>
      <c r="J3068" s="8">
        <f>VLOOKUP(financials[[#This Row],[productid]],Products!$B$2:$H$10,4)</f>
        <v>5.5</v>
      </c>
      <c r="K3068" s="8">
        <f>financials[[#This Row],[Net Sales]]-financials[[#This Row],[COGS]]</f>
        <v>183.5</v>
      </c>
      <c r="L3068" s="15">
        <v>44642</v>
      </c>
      <c r="M3068" t="s">
        <v>690</v>
      </c>
    </row>
    <row r="3069" spans="1:13" x14ac:dyDescent="0.25">
      <c r="A3069" t="s">
        <v>85</v>
      </c>
      <c r="B3069" s="6" t="s">
        <v>124</v>
      </c>
      <c r="C3069" s="13">
        <v>104</v>
      </c>
      <c r="D3069" s="14" t="s">
        <v>91</v>
      </c>
      <c r="E3069">
        <v>12</v>
      </c>
      <c r="F3069" s="8">
        <f>VLOOKUP(financials[[#This Row],[productid]],Products!$B$2:$H$10,3)</f>
        <v>5.9</v>
      </c>
      <c r="G3069" s="8">
        <f>financials[[#This Row],[Units Sold]]*financials[[#This Row],[Sale Price]]</f>
        <v>70.800000000000011</v>
      </c>
      <c r="H3069" s="8">
        <f>IF(financials[[#This Row],[Discount Band]]="low",0.1,IF(financials[[#This Row],[Discount Band]]="medium",0.15,0.3))</f>
        <v>0.1</v>
      </c>
      <c r="I3069" s="8">
        <f>financials[[#This Row],[Gross Sales]]-financials[[#This Row],[Gross Sales]]*financials[[#This Row],[Discounts]]</f>
        <v>63.720000000000013</v>
      </c>
      <c r="J3069" s="8">
        <f>VLOOKUP(financials[[#This Row],[productid]],Products!$B$2:$H$10,4)</f>
        <v>2.9</v>
      </c>
      <c r="K3069" s="8">
        <f>financials[[#This Row],[Net Sales]]-financials[[#This Row],[COGS]]</f>
        <v>60.820000000000014</v>
      </c>
      <c r="L3069" s="15">
        <v>44689</v>
      </c>
      <c r="M3069" t="s">
        <v>697</v>
      </c>
    </row>
    <row r="3070" spans="1:13" x14ac:dyDescent="0.25">
      <c r="A3070" t="s">
        <v>85</v>
      </c>
      <c r="B3070" s="6" t="s">
        <v>159</v>
      </c>
      <c r="C3070" s="13">
        <v>107</v>
      </c>
      <c r="D3070" s="14" t="s">
        <v>83</v>
      </c>
      <c r="E3070">
        <v>18</v>
      </c>
      <c r="F3070" s="8">
        <f>VLOOKUP(financials[[#This Row],[productid]],Products!$B$2:$H$10,3)</f>
        <v>15</v>
      </c>
      <c r="G3070" s="8">
        <f>financials[[#This Row],[Units Sold]]*financials[[#This Row],[Sale Price]]</f>
        <v>270</v>
      </c>
      <c r="H3070" s="8">
        <f>IF(financials[[#This Row],[Discount Band]]="low",0.1,IF(financials[[#This Row],[Discount Band]]="medium",0.15,0.3))</f>
        <v>0.3</v>
      </c>
      <c r="I3070" s="8">
        <f>financials[[#This Row],[Gross Sales]]-financials[[#This Row],[Gross Sales]]*financials[[#This Row],[Discounts]]</f>
        <v>189</v>
      </c>
      <c r="J3070" s="8">
        <f>VLOOKUP(financials[[#This Row],[productid]],Products!$B$2:$H$10,4)</f>
        <v>5.5</v>
      </c>
      <c r="K3070" s="8">
        <f>financials[[#This Row],[Net Sales]]-financials[[#This Row],[COGS]]</f>
        <v>183.5</v>
      </c>
      <c r="L3070" s="15">
        <v>44268</v>
      </c>
      <c r="M3070" t="s">
        <v>700</v>
      </c>
    </row>
    <row r="3071" spans="1:13" x14ac:dyDescent="0.25">
      <c r="A3071" t="s">
        <v>89</v>
      </c>
      <c r="B3071" s="6" t="s">
        <v>159</v>
      </c>
      <c r="C3071" s="13">
        <v>104</v>
      </c>
      <c r="D3071" s="14" t="s">
        <v>83</v>
      </c>
      <c r="E3071">
        <v>10</v>
      </c>
      <c r="F3071" s="8">
        <f>VLOOKUP(financials[[#This Row],[productid]],Products!$B$2:$H$10,3)</f>
        <v>5.9</v>
      </c>
      <c r="G3071" s="8">
        <f>financials[[#This Row],[Units Sold]]*financials[[#This Row],[Sale Price]]</f>
        <v>59</v>
      </c>
      <c r="H3071" s="8">
        <f>IF(financials[[#This Row],[Discount Band]]="low",0.1,IF(financials[[#This Row],[Discount Band]]="medium",0.15,0.3))</f>
        <v>0.3</v>
      </c>
      <c r="I3071" s="8">
        <f>financials[[#This Row],[Gross Sales]]-financials[[#This Row],[Gross Sales]]*financials[[#This Row],[Discounts]]</f>
        <v>41.3</v>
      </c>
      <c r="J3071" s="8">
        <f>VLOOKUP(financials[[#This Row],[productid]],Products!$B$2:$H$10,4)</f>
        <v>2.9</v>
      </c>
      <c r="K3071" s="8">
        <f>financials[[#This Row],[Net Sales]]-financials[[#This Row],[COGS]]</f>
        <v>38.4</v>
      </c>
      <c r="L3071" s="15">
        <v>45482</v>
      </c>
      <c r="M3071" t="s">
        <v>690</v>
      </c>
    </row>
    <row r="3072" spans="1:13" x14ac:dyDescent="0.25">
      <c r="A3072" t="s">
        <v>86</v>
      </c>
      <c r="B3072" s="6" t="s">
        <v>124</v>
      </c>
      <c r="C3072" s="11">
        <v>103</v>
      </c>
      <c r="D3072" s="9" t="s">
        <v>90</v>
      </c>
      <c r="E3072">
        <v>13</v>
      </c>
      <c r="F3072" s="8">
        <f>VLOOKUP(financials[[#This Row],[productid]],Products!$B$2:$H$10,3)</f>
        <v>28</v>
      </c>
      <c r="G3072" s="8">
        <f>financials[[#This Row],[Units Sold]]*financials[[#This Row],[Sale Price]]</f>
        <v>364</v>
      </c>
      <c r="H3072" s="8">
        <f>IF(financials[[#This Row],[Discount Band]]="low",0.1,IF(financials[[#This Row],[Discount Band]]="medium",0.15,0.3))</f>
        <v>0.15</v>
      </c>
      <c r="I3072" s="8">
        <f>financials[[#This Row],[Gross Sales]]-financials[[#This Row],[Gross Sales]]*financials[[#This Row],[Discounts]]</f>
        <v>309.39999999999998</v>
      </c>
      <c r="J3072" s="8">
        <f>VLOOKUP(financials[[#This Row],[productid]],Products!$B$2:$H$10,4)</f>
        <v>15</v>
      </c>
      <c r="K3072" s="8">
        <f>financials[[#This Row],[Net Sales]]-financials[[#This Row],[COGS]]</f>
        <v>294.39999999999998</v>
      </c>
      <c r="L3072" s="15">
        <v>43887</v>
      </c>
      <c r="M3072" t="s">
        <v>696</v>
      </c>
    </row>
    <row r="3073" spans="1:13" x14ac:dyDescent="0.25">
      <c r="A3073" t="s">
        <v>87</v>
      </c>
      <c r="B3073" s="6" t="s">
        <v>545</v>
      </c>
      <c r="C3073" s="13">
        <v>105</v>
      </c>
      <c r="D3073" s="14" t="s">
        <v>91</v>
      </c>
      <c r="E3073">
        <v>8</v>
      </c>
      <c r="F3073" s="8">
        <f>VLOOKUP(financials[[#This Row],[productid]],Products!$B$2:$H$10,3)</f>
        <v>15</v>
      </c>
      <c r="G3073" s="8">
        <f>financials[[#This Row],[Units Sold]]*financials[[#This Row],[Sale Price]]</f>
        <v>120</v>
      </c>
      <c r="H3073" s="8">
        <f>IF(financials[[#This Row],[Discount Band]]="low",0.1,IF(financials[[#This Row],[Discount Band]]="medium",0.15,0.3))</f>
        <v>0.1</v>
      </c>
      <c r="I3073" s="8">
        <f>financials[[#This Row],[Gross Sales]]-financials[[#This Row],[Gross Sales]]*financials[[#This Row],[Discounts]]</f>
        <v>108</v>
      </c>
      <c r="J3073" s="8">
        <f>VLOOKUP(financials[[#This Row],[productid]],Products!$B$2:$H$10,4)</f>
        <v>10</v>
      </c>
      <c r="K3073" s="8">
        <f>financials[[#This Row],[Net Sales]]-financials[[#This Row],[COGS]]</f>
        <v>98</v>
      </c>
      <c r="L3073" s="15">
        <v>45199</v>
      </c>
      <c r="M3073" t="s">
        <v>697</v>
      </c>
    </row>
    <row r="3074" spans="1:13" x14ac:dyDescent="0.25">
      <c r="A3074" t="s">
        <v>88</v>
      </c>
      <c r="B3074" s="6" t="s">
        <v>645</v>
      </c>
      <c r="C3074" s="13">
        <v>106</v>
      </c>
      <c r="D3074" s="14" t="s">
        <v>90</v>
      </c>
      <c r="E3074">
        <v>14</v>
      </c>
      <c r="F3074" s="8">
        <f>VLOOKUP(financials[[#This Row],[productid]],Products!$B$2:$H$10,3)</f>
        <v>25</v>
      </c>
      <c r="G3074" s="8">
        <f>financials[[#This Row],[Units Sold]]*financials[[#This Row],[Sale Price]]</f>
        <v>350</v>
      </c>
      <c r="H3074" s="8">
        <f>IF(financials[[#This Row],[Discount Band]]="low",0.1,IF(financials[[#This Row],[Discount Band]]="medium",0.15,0.3))</f>
        <v>0.15</v>
      </c>
      <c r="I3074" s="8">
        <f>financials[[#This Row],[Gross Sales]]-financials[[#This Row],[Gross Sales]]*financials[[#This Row],[Discounts]]</f>
        <v>297.5</v>
      </c>
      <c r="J3074" s="8">
        <f>VLOOKUP(financials[[#This Row],[productid]],Products!$B$2:$H$10,4)</f>
        <v>9.1</v>
      </c>
      <c r="K3074" s="8">
        <f>financials[[#This Row],[Net Sales]]-financials[[#This Row],[COGS]]</f>
        <v>288.39999999999998</v>
      </c>
      <c r="L3074" s="15">
        <v>44551</v>
      </c>
      <c r="M3074" t="s">
        <v>690</v>
      </c>
    </row>
    <row r="3075" spans="1:13" x14ac:dyDescent="0.25">
      <c r="A3075" t="s">
        <v>86</v>
      </c>
      <c r="B3075" s="6" t="s">
        <v>159</v>
      </c>
      <c r="C3075" s="13">
        <v>103</v>
      </c>
      <c r="D3075" s="14" t="s">
        <v>91</v>
      </c>
      <c r="E3075">
        <v>17</v>
      </c>
      <c r="F3075" s="8">
        <f>VLOOKUP(financials[[#This Row],[productid]],Products!$B$2:$H$10,3)</f>
        <v>28</v>
      </c>
      <c r="G3075" s="8">
        <f>financials[[#This Row],[Units Sold]]*financials[[#This Row],[Sale Price]]</f>
        <v>476</v>
      </c>
      <c r="H3075" s="8">
        <f>IF(financials[[#This Row],[Discount Band]]="low",0.1,IF(financials[[#This Row],[Discount Band]]="medium",0.15,0.3))</f>
        <v>0.1</v>
      </c>
      <c r="I3075" s="8">
        <f>financials[[#This Row],[Gross Sales]]-financials[[#This Row],[Gross Sales]]*financials[[#This Row],[Discounts]]</f>
        <v>428.4</v>
      </c>
      <c r="J3075" s="8">
        <f>VLOOKUP(financials[[#This Row],[productid]],Products!$B$2:$H$10,4)</f>
        <v>15</v>
      </c>
      <c r="K3075" s="8">
        <f>financials[[#This Row],[Net Sales]]-financials[[#This Row],[COGS]]</f>
        <v>413.4</v>
      </c>
      <c r="L3075" s="15">
        <v>44054</v>
      </c>
      <c r="M3075" t="s">
        <v>697</v>
      </c>
    </row>
    <row r="3076" spans="1:13" x14ac:dyDescent="0.25">
      <c r="A3076" t="s">
        <v>89</v>
      </c>
      <c r="B3076" s="6" t="s">
        <v>124</v>
      </c>
      <c r="C3076" s="13">
        <v>105</v>
      </c>
      <c r="D3076" s="14" t="s">
        <v>83</v>
      </c>
      <c r="E3076">
        <v>6</v>
      </c>
      <c r="F3076" s="8">
        <f>VLOOKUP(financials[[#This Row],[productid]],Products!$B$2:$H$10,3)</f>
        <v>15</v>
      </c>
      <c r="G3076" s="8">
        <f>financials[[#This Row],[Units Sold]]*financials[[#This Row],[Sale Price]]</f>
        <v>90</v>
      </c>
      <c r="H3076" s="8">
        <f>IF(financials[[#This Row],[Discount Band]]="low",0.1,IF(financials[[#This Row],[Discount Band]]="medium",0.15,0.3))</f>
        <v>0.3</v>
      </c>
      <c r="I3076" s="8">
        <f>financials[[#This Row],[Gross Sales]]-financials[[#This Row],[Gross Sales]]*financials[[#This Row],[Discounts]]</f>
        <v>63</v>
      </c>
      <c r="J3076" s="8">
        <f>VLOOKUP(financials[[#This Row],[productid]],Products!$B$2:$H$10,4)</f>
        <v>10</v>
      </c>
      <c r="K3076" s="8">
        <f>financials[[#This Row],[Net Sales]]-financials[[#This Row],[COGS]]</f>
        <v>53</v>
      </c>
      <c r="L3076" s="15">
        <v>45162</v>
      </c>
      <c r="M3076" t="s">
        <v>696</v>
      </c>
    </row>
    <row r="3077" spans="1:13" x14ac:dyDescent="0.25">
      <c r="A3077" t="s">
        <v>87</v>
      </c>
      <c r="B3077" s="6" t="s">
        <v>94</v>
      </c>
      <c r="C3077" s="11">
        <v>104</v>
      </c>
      <c r="D3077" s="9" t="s">
        <v>83</v>
      </c>
      <c r="E3077">
        <v>10</v>
      </c>
      <c r="F3077" s="8">
        <f>VLOOKUP(financials[[#This Row],[productid]],Products!$B$2:$H$10,3)</f>
        <v>5.9</v>
      </c>
      <c r="G3077" s="8">
        <f>financials[[#This Row],[Units Sold]]*financials[[#This Row],[Sale Price]]</f>
        <v>59</v>
      </c>
      <c r="H3077" s="8">
        <f>IF(financials[[#This Row],[Discount Band]]="low",0.1,IF(financials[[#This Row],[Discount Band]]="medium",0.15,0.3))</f>
        <v>0.3</v>
      </c>
      <c r="I3077" s="8">
        <f>financials[[#This Row],[Gross Sales]]-financials[[#This Row],[Gross Sales]]*financials[[#This Row],[Discounts]]</f>
        <v>41.3</v>
      </c>
      <c r="J3077" s="8">
        <f>VLOOKUP(financials[[#This Row],[productid]],Products!$B$2:$H$10,4)</f>
        <v>2.9</v>
      </c>
      <c r="K3077" s="8">
        <f>financials[[#This Row],[Net Sales]]-financials[[#This Row],[COGS]]</f>
        <v>38.4</v>
      </c>
      <c r="L3077" s="15">
        <v>44206</v>
      </c>
      <c r="M3077" t="s">
        <v>697</v>
      </c>
    </row>
    <row r="3078" spans="1:13" x14ac:dyDescent="0.25">
      <c r="A3078" t="s">
        <v>89</v>
      </c>
      <c r="B3078" s="6" t="s">
        <v>159</v>
      </c>
      <c r="C3078" s="13">
        <v>107</v>
      </c>
      <c r="D3078" s="14" t="s">
        <v>83</v>
      </c>
      <c r="E3078">
        <v>6</v>
      </c>
      <c r="F3078" s="8">
        <f>VLOOKUP(financials[[#This Row],[productid]],Products!$B$2:$H$10,3)</f>
        <v>15</v>
      </c>
      <c r="G3078" s="8">
        <f>financials[[#This Row],[Units Sold]]*financials[[#This Row],[Sale Price]]</f>
        <v>90</v>
      </c>
      <c r="H3078" s="8">
        <f>IF(financials[[#This Row],[Discount Band]]="low",0.1,IF(financials[[#This Row],[Discount Band]]="medium",0.15,0.3))</f>
        <v>0.3</v>
      </c>
      <c r="I3078" s="8">
        <f>financials[[#This Row],[Gross Sales]]-financials[[#This Row],[Gross Sales]]*financials[[#This Row],[Discounts]]</f>
        <v>63</v>
      </c>
      <c r="J3078" s="8">
        <f>VLOOKUP(financials[[#This Row],[productid]],Products!$B$2:$H$10,4)</f>
        <v>5.5</v>
      </c>
      <c r="K3078" s="8">
        <f>financials[[#This Row],[Net Sales]]-financials[[#This Row],[COGS]]</f>
        <v>57.5</v>
      </c>
      <c r="L3078" s="15">
        <v>45269</v>
      </c>
      <c r="M3078" t="s">
        <v>690</v>
      </c>
    </row>
    <row r="3079" spans="1:13" x14ac:dyDescent="0.25">
      <c r="A3079" t="s">
        <v>89</v>
      </c>
      <c r="B3079" s="6" t="s">
        <v>159</v>
      </c>
      <c r="C3079" s="13">
        <v>101</v>
      </c>
      <c r="D3079" s="14" t="s">
        <v>92</v>
      </c>
      <c r="E3079">
        <v>18</v>
      </c>
      <c r="F3079" s="8">
        <f>VLOOKUP(financials[[#This Row],[productid]],Products!$B$2:$H$10,3)</f>
        <v>23</v>
      </c>
      <c r="G3079" s="8">
        <f>financials[[#This Row],[Units Sold]]*financials[[#This Row],[Sale Price]]</f>
        <v>414</v>
      </c>
      <c r="H3079" s="8">
        <f>IF(financials[[#This Row],[Discount Band]]="low",0.1,IF(financials[[#This Row],[Discount Band]]="medium",0.15,0.3))</f>
        <v>0.3</v>
      </c>
      <c r="I3079" s="8">
        <f>financials[[#This Row],[Gross Sales]]-financials[[#This Row],[Gross Sales]]*financials[[#This Row],[Discounts]]</f>
        <v>289.8</v>
      </c>
      <c r="J3079" s="8">
        <f>VLOOKUP(financials[[#This Row],[productid]],Products!$B$2:$H$10,4)</f>
        <v>9.9499999999999993</v>
      </c>
      <c r="K3079" s="8">
        <f>financials[[#This Row],[Net Sales]]-financials[[#This Row],[COGS]]</f>
        <v>279.85000000000002</v>
      </c>
      <c r="L3079" s="15">
        <v>44093</v>
      </c>
      <c r="M3079" t="s">
        <v>691</v>
      </c>
    </row>
    <row r="3080" spans="1:13" x14ac:dyDescent="0.25">
      <c r="A3080" t="s">
        <v>87</v>
      </c>
      <c r="B3080" s="6" t="s">
        <v>205</v>
      </c>
      <c r="C3080" s="13">
        <v>106</v>
      </c>
      <c r="D3080" s="14" t="s">
        <v>83</v>
      </c>
      <c r="E3080">
        <v>18</v>
      </c>
      <c r="F3080" s="8">
        <f>VLOOKUP(financials[[#This Row],[productid]],Products!$B$2:$H$10,3)</f>
        <v>25</v>
      </c>
      <c r="G3080" s="8">
        <f>financials[[#This Row],[Units Sold]]*financials[[#This Row],[Sale Price]]</f>
        <v>450</v>
      </c>
      <c r="H3080" s="8">
        <f>IF(financials[[#This Row],[Discount Band]]="low",0.1,IF(financials[[#This Row],[Discount Band]]="medium",0.15,0.3))</f>
        <v>0.3</v>
      </c>
      <c r="I3080" s="8">
        <f>financials[[#This Row],[Gross Sales]]-financials[[#This Row],[Gross Sales]]*financials[[#This Row],[Discounts]]</f>
        <v>315</v>
      </c>
      <c r="J3080" s="8">
        <f>VLOOKUP(financials[[#This Row],[productid]],Products!$B$2:$H$10,4)</f>
        <v>9.1</v>
      </c>
      <c r="K3080" s="8">
        <f>financials[[#This Row],[Net Sales]]-financials[[#This Row],[COGS]]</f>
        <v>305.89999999999998</v>
      </c>
      <c r="L3080" s="15">
        <v>44941</v>
      </c>
      <c r="M3080" t="s">
        <v>700</v>
      </c>
    </row>
    <row r="3081" spans="1:13" x14ac:dyDescent="0.25">
      <c r="A3081" t="s">
        <v>89</v>
      </c>
      <c r="B3081" s="6" t="s">
        <v>159</v>
      </c>
      <c r="C3081" s="13">
        <v>108</v>
      </c>
      <c r="D3081" s="14" t="s">
        <v>90</v>
      </c>
      <c r="E3081">
        <v>12</v>
      </c>
      <c r="F3081" s="8">
        <f>VLOOKUP(financials[[#This Row],[productid]],Products!$B$2:$H$10,3)</f>
        <v>5.5</v>
      </c>
      <c r="G3081" s="8">
        <f>financials[[#This Row],[Units Sold]]*financials[[#This Row],[Sale Price]]</f>
        <v>66</v>
      </c>
      <c r="H3081" s="8">
        <f>IF(financials[[#This Row],[Discount Band]]="low",0.1,IF(financials[[#This Row],[Discount Band]]="medium",0.15,0.3))</f>
        <v>0.15</v>
      </c>
      <c r="I3081" s="8">
        <f>financials[[#This Row],[Gross Sales]]-financials[[#This Row],[Gross Sales]]*financials[[#This Row],[Discounts]]</f>
        <v>56.1</v>
      </c>
      <c r="J3081" s="8">
        <f>VLOOKUP(financials[[#This Row],[productid]],Products!$B$2:$H$10,4)</f>
        <v>3.99</v>
      </c>
      <c r="K3081" s="8">
        <f>financials[[#This Row],[Net Sales]]-financials[[#This Row],[COGS]]</f>
        <v>52.11</v>
      </c>
      <c r="L3081" s="15">
        <v>45195</v>
      </c>
      <c r="M3081" t="s">
        <v>697</v>
      </c>
    </row>
    <row r="3082" spans="1:13" x14ac:dyDescent="0.25">
      <c r="A3082" t="s">
        <v>87</v>
      </c>
      <c r="B3082" s="6" t="s">
        <v>205</v>
      </c>
      <c r="C3082" s="13">
        <v>101</v>
      </c>
      <c r="D3082" s="14" t="s">
        <v>83</v>
      </c>
      <c r="E3082">
        <v>14</v>
      </c>
      <c r="F3082" s="8">
        <f>VLOOKUP(financials[[#This Row],[productid]],Products!$B$2:$H$10,3)</f>
        <v>23</v>
      </c>
      <c r="G3082" s="8">
        <f>financials[[#This Row],[Units Sold]]*financials[[#This Row],[Sale Price]]</f>
        <v>322</v>
      </c>
      <c r="H3082" s="8">
        <f>IF(financials[[#This Row],[Discount Band]]="low",0.1,IF(financials[[#This Row],[Discount Band]]="medium",0.15,0.3))</f>
        <v>0.3</v>
      </c>
      <c r="I3082" s="8">
        <f>financials[[#This Row],[Gross Sales]]-financials[[#This Row],[Gross Sales]]*financials[[#This Row],[Discounts]]</f>
        <v>225.4</v>
      </c>
      <c r="J3082" s="8">
        <f>VLOOKUP(financials[[#This Row],[productid]],Products!$B$2:$H$10,4)</f>
        <v>9.9499999999999993</v>
      </c>
      <c r="K3082" s="8">
        <f>financials[[#This Row],[Net Sales]]-financials[[#This Row],[COGS]]</f>
        <v>215.45000000000002</v>
      </c>
      <c r="L3082" s="15">
        <v>44680</v>
      </c>
      <c r="M3082" t="s">
        <v>690</v>
      </c>
    </row>
    <row r="3083" spans="1:13" x14ac:dyDescent="0.25">
      <c r="A3083" t="s">
        <v>88</v>
      </c>
      <c r="B3083" s="6" t="s">
        <v>240</v>
      </c>
      <c r="C3083" s="13">
        <v>103</v>
      </c>
      <c r="D3083" s="14" t="s">
        <v>91</v>
      </c>
      <c r="E3083">
        <v>19</v>
      </c>
      <c r="F3083" s="8">
        <f>VLOOKUP(financials[[#This Row],[productid]],Products!$B$2:$H$10,3)</f>
        <v>28</v>
      </c>
      <c r="G3083" s="8">
        <f>financials[[#This Row],[Units Sold]]*financials[[#This Row],[Sale Price]]</f>
        <v>532</v>
      </c>
      <c r="H3083" s="8">
        <f>IF(financials[[#This Row],[Discount Band]]="low",0.1,IF(financials[[#This Row],[Discount Band]]="medium",0.15,0.3))</f>
        <v>0.1</v>
      </c>
      <c r="I3083" s="8">
        <f>financials[[#This Row],[Gross Sales]]-financials[[#This Row],[Gross Sales]]*financials[[#This Row],[Discounts]]</f>
        <v>478.8</v>
      </c>
      <c r="J3083" s="8">
        <f>VLOOKUP(financials[[#This Row],[productid]],Products!$B$2:$H$10,4)</f>
        <v>15</v>
      </c>
      <c r="K3083" s="8">
        <f>financials[[#This Row],[Net Sales]]-financials[[#This Row],[COGS]]</f>
        <v>463.8</v>
      </c>
      <c r="L3083" s="15">
        <v>45655</v>
      </c>
      <c r="M3083" t="s">
        <v>691</v>
      </c>
    </row>
    <row r="3084" spans="1:13" x14ac:dyDescent="0.25">
      <c r="A3084" t="s">
        <v>88</v>
      </c>
      <c r="B3084" s="6" t="s">
        <v>287</v>
      </c>
      <c r="C3084" s="13">
        <v>109</v>
      </c>
      <c r="D3084" s="14" t="s">
        <v>91</v>
      </c>
      <c r="E3084">
        <v>10</v>
      </c>
      <c r="F3084" s="8">
        <f>VLOOKUP(financials[[#This Row],[productid]],Products!$B$2:$H$10,3)</f>
        <v>36</v>
      </c>
      <c r="G3084" s="8">
        <f>financials[[#This Row],[Units Sold]]*financials[[#This Row],[Sale Price]]</f>
        <v>360</v>
      </c>
      <c r="H3084" s="8">
        <f>IF(financials[[#This Row],[Discount Band]]="low",0.1,IF(financials[[#This Row],[Discount Band]]="medium",0.15,0.3))</f>
        <v>0.1</v>
      </c>
      <c r="I3084" s="8">
        <f>financials[[#This Row],[Gross Sales]]-financials[[#This Row],[Gross Sales]]*financials[[#This Row],[Discounts]]</f>
        <v>324</v>
      </c>
      <c r="J3084" s="8">
        <f>VLOOKUP(financials[[#This Row],[productid]],Products!$B$2:$H$10,4)</f>
        <v>16.8</v>
      </c>
      <c r="K3084" s="8">
        <f>financials[[#This Row],[Net Sales]]-financials[[#This Row],[COGS]]</f>
        <v>307.2</v>
      </c>
      <c r="L3084" s="15">
        <v>45496</v>
      </c>
      <c r="M3084" t="s">
        <v>696</v>
      </c>
    </row>
    <row r="3085" spans="1:13" x14ac:dyDescent="0.25">
      <c r="A3085" t="s">
        <v>86</v>
      </c>
      <c r="B3085" s="6" t="s">
        <v>274</v>
      </c>
      <c r="C3085" s="13">
        <v>102</v>
      </c>
      <c r="D3085" s="14" t="s">
        <v>83</v>
      </c>
      <c r="E3085">
        <v>13</v>
      </c>
      <c r="F3085" s="8">
        <f>VLOOKUP(financials[[#This Row],[productid]],Products!$B$2:$H$10,3)</f>
        <v>15</v>
      </c>
      <c r="G3085" s="8">
        <f>financials[[#This Row],[Units Sold]]*financials[[#This Row],[Sale Price]]</f>
        <v>195</v>
      </c>
      <c r="H3085" s="8">
        <f>IF(financials[[#This Row],[Discount Band]]="low",0.1,IF(financials[[#This Row],[Discount Band]]="medium",0.15,0.3))</f>
        <v>0.3</v>
      </c>
      <c r="I3085" s="8">
        <f>financials[[#This Row],[Gross Sales]]-financials[[#This Row],[Gross Sales]]*financials[[#This Row],[Discounts]]</f>
        <v>136.5</v>
      </c>
      <c r="J3085" s="8">
        <f>VLOOKUP(financials[[#This Row],[productid]],Products!$B$2:$H$10,4)</f>
        <v>13.95</v>
      </c>
      <c r="K3085" s="8">
        <f>financials[[#This Row],[Net Sales]]-financials[[#This Row],[COGS]]</f>
        <v>122.55</v>
      </c>
      <c r="L3085" s="15">
        <v>45285</v>
      </c>
      <c r="M3085" t="s">
        <v>691</v>
      </c>
    </row>
    <row r="3086" spans="1:13" x14ac:dyDescent="0.25">
      <c r="A3086" t="s">
        <v>86</v>
      </c>
      <c r="B3086" s="6" t="s">
        <v>158</v>
      </c>
      <c r="C3086" s="13">
        <v>103</v>
      </c>
      <c r="D3086" s="14" t="s">
        <v>91</v>
      </c>
      <c r="E3086">
        <v>17</v>
      </c>
      <c r="F3086" s="8">
        <f>VLOOKUP(financials[[#This Row],[productid]],Products!$B$2:$H$10,3)</f>
        <v>28</v>
      </c>
      <c r="G3086" s="8">
        <f>financials[[#This Row],[Units Sold]]*financials[[#This Row],[Sale Price]]</f>
        <v>476</v>
      </c>
      <c r="H3086" s="8">
        <f>IF(financials[[#This Row],[Discount Band]]="low",0.1,IF(financials[[#This Row],[Discount Band]]="medium",0.15,0.3))</f>
        <v>0.1</v>
      </c>
      <c r="I3086" s="8">
        <f>financials[[#This Row],[Gross Sales]]-financials[[#This Row],[Gross Sales]]*financials[[#This Row],[Discounts]]</f>
        <v>428.4</v>
      </c>
      <c r="J3086" s="8">
        <f>VLOOKUP(financials[[#This Row],[productid]],Products!$B$2:$H$10,4)</f>
        <v>15</v>
      </c>
      <c r="K3086" s="8">
        <f>financials[[#This Row],[Net Sales]]-financials[[#This Row],[COGS]]</f>
        <v>413.4</v>
      </c>
      <c r="L3086" s="15">
        <v>43878</v>
      </c>
      <c r="M3086" t="s">
        <v>700</v>
      </c>
    </row>
    <row r="3087" spans="1:13" x14ac:dyDescent="0.25">
      <c r="A3087" t="s">
        <v>86</v>
      </c>
      <c r="B3087" s="6" t="s">
        <v>125</v>
      </c>
      <c r="C3087" s="13">
        <v>109</v>
      </c>
      <c r="D3087" s="14" t="s">
        <v>91</v>
      </c>
      <c r="E3087">
        <v>20</v>
      </c>
      <c r="F3087" s="8">
        <f>VLOOKUP(financials[[#This Row],[productid]],Products!$B$2:$H$10,3)</f>
        <v>36</v>
      </c>
      <c r="G3087" s="8">
        <f>financials[[#This Row],[Units Sold]]*financials[[#This Row],[Sale Price]]</f>
        <v>720</v>
      </c>
      <c r="H3087" s="8">
        <f>IF(financials[[#This Row],[Discount Band]]="low",0.1,IF(financials[[#This Row],[Discount Band]]="medium",0.15,0.3))</f>
        <v>0.1</v>
      </c>
      <c r="I3087" s="8">
        <f>financials[[#This Row],[Gross Sales]]-financials[[#This Row],[Gross Sales]]*financials[[#This Row],[Discounts]]</f>
        <v>648</v>
      </c>
      <c r="J3087" s="8">
        <f>VLOOKUP(financials[[#This Row],[productid]],Products!$B$2:$H$10,4)</f>
        <v>16.8</v>
      </c>
      <c r="K3087" s="8">
        <f>financials[[#This Row],[Net Sales]]-financials[[#This Row],[COGS]]</f>
        <v>631.20000000000005</v>
      </c>
      <c r="L3087" s="15">
        <v>44545</v>
      </c>
      <c r="M3087" t="s">
        <v>700</v>
      </c>
    </row>
    <row r="3088" spans="1:13" x14ac:dyDescent="0.25">
      <c r="A3088" t="s">
        <v>87</v>
      </c>
      <c r="B3088" s="6" t="s">
        <v>205</v>
      </c>
      <c r="C3088" s="13">
        <v>101</v>
      </c>
      <c r="D3088" s="14" t="s">
        <v>91</v>
      </c>
      <c r="E3088">
        <v>10</v>
      </c>
      <c r="F3088" s="8">
        <f>VLOOKUP(financials[[#This Row],[productid]],Products!$B$2:$H$10,3)</f>
        <v>23</v>
      </c>
      <c r="G3088" s="8">
        <f>financials[[#This Row],[Units Sold]]*financials[[#This Row],[Sale Price]]</f>
        <v>230</v>
      </c>
      <c r="H3088" s="8">
        <f>IF(financials[[#This Row],[Discount Band]]="low",0.1,IF(financials[[#This Row],[Discount Band]]="medium",0.15,0.3))</f>
        <v>0.1</v>
      </c>
      <c r="I3088" s="8">
        <f>financials[[#This Row],[Gross Sales]]-financials[[#This Row],[Gross Sales]]*financials[[#This Row],[Discounts]]</f>
        <v>207</v>
      </c>
      <c r="J3088" s="8">
        <f>VLOOKUP(financials[[#This Row],[productid]],Products!$B$2:$H$10,4)</f>
        <v>9.9499999999999993</v>
      </c>
      <c r="K3088" s="8">
        <f>financials[[#This Row],[Net Sales]]-financials[[#This Row],[COGS]]</f>
        <v>197.05</v>
      </c>
      <c r="L3088" s="15">
        <v>45416</v>
      </c>
      <c r="M3088" t="s">
        <v>690</v>
      </c>
    </row>
    <row r="3089" spans="1:13" x14ac:dyDescent="0.25">
      <c r="A3089" t="s">
        <v>88</v>
      </c>
      <c r="B3089" s="6" t="s">
        <v>96</v>
      </c>
      <c r="C3089" s="13">
        <v>103</v>
      </c>
      <c r="D3089" s="14" t="s">
        <v>91</v>
      </c>
      <c r="E3089">
        <v>17</v>
      </c>
      <c r="F3089" s="8">
        <f>VLOOKUP(financials[[#This Row],[productid]],Products!$B$2:$H$10,3)</f>
        <v>28</v>
      </c>
      <c r="G3089" s="8">
        <f>financials[[#This Row],[Units Sold]]*financials[[#This Row],[Sale Price]]</f>
        <v>476</v>
      </c>
      <c r="H3089" s="8">
        <f>IF(financials[[#This Row],[Discount Band]]="low",0.1,IF(financials[[#This Row],[Discount Band]]="medium",0.15,0.3))</f>
        <v>0.1</v>
      </c>
      <c r="I3089" s="8">
        <f>financials[[#This Row],[Gross Sales]]-financials[[#This Row],[Gross Sales]]*financials[[#This Row],[Discounts]]</f>
        <v>428.4</v>
      </c>
      <c r="J3089" s="8">
        <f>VLOOKUP(financials[[#This Row],[productid]],Products!$B$2:$H$10,4)</f>
        <v>15</v>
      </c>
      <c r="K3089" s="8">
        <f>financials[[#This Row],[Net Sales]]-financials[[#This Row],[COGS]]</f>
        <v>413.4</v>
      </c>
      <c r="L3089" s="15">
        <v>44057</v>
      </c>
      <c r="M3089" t="s">
        <v>690</v>
      </c>
    </row>
    <row r="3090" spans="1:13" x14ac:dyDescent="0.25">
      <c r="A3090" t="s">
        <v>88</v>
      </c>
      <c r="B3090" s="6" t="s">
        <v>266</v>
      </c>
      <c r="C3090" s="13">
        <v>103</v>
      </c>
      <c r="D3090" s="14" t="s">
        <v>83</v>
      </c>
      <c r="E3090">
        <v>20</v>
      </c>
      <c r="F3090" s="8">
        <f>VLOOKUP(financials[[#This Row],[productid]],Products!$B$2:$H$10,3)</f>
        <v>28</v>
      </c>
      <c r="G3090" s="8">
        <f>financials[[#This Row],[Units Sold]]*financials[[#This Row],[Sale Price]]</f>
        <v>560</v>
      </c>
      <c r="H3090" s="8">
        <f>IF(financials[[#This Row],[Discount Band]]="low",0.1,IF(financials[[#This Row],[Discount Band]]="medium",0.15,0.3))</f>
        <v>0.3</v>
      </c>
      <c r="I3090" s="8">
        <f>financials[[#This Row],[Gross Sales]]-financials[[#This Row],[Gross Sales]]*financials[[#This Row],[Discounts]]</f>
        <v>392</v>
      </c>
      <c r="J3090" s="8">
        <f>VLOOKUP(financials[[#This Row],[productid]],Products!$B$2:$H$10,4)</f>
        <v>15</v>
      </c>
      <c r="K3090" s="8">
        <f>financials[[#This Row],[Net Sales]]-financials[[#This Row],[COGS]]</f>
        <v>377</v>
      </c>
      <c r="L3090" s="15">
        <v>45208</v>
      </c>
      <c r="M3090" t="s">
        <v>690</v>
      </c>
    </row>
    <row r="3091" spans="1:13" x14ac:dyDescent="0.25">
      <c r="A3091" t="s">
        <v>88</v>
      </c>
      <c r="B3091" s="6" t="s">
        <v>287</v>
      </c>
      <c r="C3091" s="13">
        <v>103</v>
      </c>
      <c r="D3091" s="14" t="s">
        <v>83</v>
      </c>
      <c r="E3091">
        <v>10</v>
      </c>
      <c r="F3091" s="8">
        <f>VLOOKUP(financials[[#This Row],[productid]],Products!$B$2:$H$10,3)</f>
        <v>28</v>
      </c>
      <c r="G3091" s="8">
        <f>financials[[#This Row],[Units Sold]]*financials[[#This Row],[Sale Price]]</f>
        <v>280</v>
      </c>
      <c r="H3091" s="8">
        <f>IF(financials[[#This Row],[Discount Band]]="low",0.1,IF(financials[[#This Row],[Discount Band]]="medium",0.15,0.3))</f>
        <v>0.3</v>
      </c>
      <c r="I3091" s="8">
        <f>financials[[#This Row],[Gross Sales]]-financials[[#This Row],[Gross Sales]]*financials[[#This Row],[Discounts]]</f>
        <v>196</v>
      </c>
      <c r="J3091" s="8">
        <f>VLOOKUP(financials[[#This Row],[productid]],Products!$B$2:$H$10,4)</f>
        <v>15</v>
      </c>
      <c r="K3091" s="8">
        <f>financials[[#This Row],[Net Sales]]-financials[[#This Row],[COGS]]</f>
        <v>181</v>
      </c>
      <c r="L3091" s="15">
        <v>44982</v>
      </c>
      <c r="M3091" t="s">
        <v>700</v>
      </c>
    </row>
    <row r="3092" spans="1:13" x14ac:dyDescent="0.25">
      <c r="A3092" t="s">
        <v>86</v>
      </c>
      <c r="B3092" s="6" t="s">
        <v>124</v>
      </c>
      <c r="C3092" s="11">
        <v>105</v>
      </c>
      <c r="D3092" s="9" t="s">
        <v>90</v>
      </c>
      <c r="E3092">
        <v>11</v>
      </c>
      <c r="F3092" s="8">
        <f>VLOOKUP(financials[[#This Row],[productid]],Products!$B$2:$H$10,3)</f>
        <v>15</v>
      </c>
      <c r="G3092" s="8">
        <f>financials[[#This Row],[Units Sold]]*financials[[#This Row],[Sale Price]]</f>
        <v>165</v>
      </c>
      <c r="H3092" s="8">
        <f>IF(financials[[#This Row],[Discount Band]]="low",0.1,IF(financials[[#This Row],[Discount Band]]="medium",0.15,0.3))</f>
        <v>0.15</v>
      </c>
      <c r="I3092" s="8">
        <f>financials[[#This Row],[Gross Sales]]-financials[[#This Row],[Gross Sales]]*financials[[#This Row],[Discounts]]</f>
        <v>140.25</v>
      </c>
      <c r="J3092" s="8">
        <f>VLOOKUP(financials[[#This Row],[productid]],Products!$B$2:$H$10,4)</f>
        <v>10</v>
      </c>
      <c r="K3092" s="8">
        <f>financials[[#This Row],[Net Sales]]-financials[[#This Row],[COGS]]</f>
        <v>130.25</v>
      </c>
      <c r="L3092" s="15">
        <v>44143</v>
      </c>
      <c r="M3092" t="s">
        <v>696</v>
      </c>
    </row>
    <row r="3093" spans="1:13" x14ac:dyDescent="0.25">
      <c r="A3093" t="s">
        <v>85</v>
      </c>
      <c r="B3093" s="6" t="s">
        <v>124</v>
      </c>
      <c r="C3093" s="13">
        <v>108</v>
      </c>
      <c r="D3093" s="14" t="s">
        <v>83</v>
      </c>
      <c r="E3093">
        <v>20</v>
      </c>
      <c r="F3093" s="8">
        <f>VLOOKUP(financials[[#This Row],[productid]],Products!$B$2:$H$10,3)</f>
        <v>5.5</v>
      </c>
      <c r="G3093" s="8">
        <f>financials[[#This Row],[Units Sold]]*financials[[#This Row],[Sale Price]]</f>
        <v>110</v>
      </c>
      <c r="H3093" s="8">
        <f>IF(financials[[#This Row],[Discount Band]]="low",0.1,IF(financials[[#This Row],[Discount Band]]="medium",0.15,0.3))</f>
        <v>0.3</v>
      </c>
      <c r="I3093" s="8">
        <f>financials[[#This Row],[Gross Sales]]-financials[[#This Row],[Gross Sales]]*financials[[#This Row],[Discounts]]</f>
        <v>77</v>
      </c>
      <c r="J3093" s="8">
        <f>VLOOKUP(financials[[#This Row],[productid]],Products!$B$2:$H$10,4)</f>
        <v>3.99</v>
      </c>
      <c r="K3093" s="8">
        <f>financials[[#This Row],[Net Sales]]-financials[[#This Row],[COGS]]</f>
        <v>73.010000000000005</v>
      </c>
      <c r="L3093" s="15">
        <v>43967</v>
      </c>
      <c r="M3093" t="s">
        <v>700</v>
      </c>
    </row>
    <row r="3094" spans="1:13" x14ac:dyDescent="0.25">
      <c r="A3094" t="s">
        <v>89</v>
      </c>
      <c r="B3094" s="6" t="s">
        <v>124</v>
      </c>
      <c r="C3094" s="13">
        <v>109</v>
      </c>
      <c r="D3094" s="14" t="s">
        <v>92</v>
      </c>
      <c r="E3094">
        <v>8</v>
      </c>
      <c r="F3094" s="8">
        <f>VLOOKUP(financials[[#This Row],[productid]],Products!$B$2:$H$10,3)</f>
        <v>36</v>
      </c>
      <c r="G3094" s="8">
        <f>financials[[#This Row],[Units Sold]]*financials[[#This Row],[Sale Price]]</f>
        <v>288</v>
      </c>
      <c r="H3094" s="8">
        <f>IF(financials[[#This Row],[Discount Band]]="low",0.1,IF(financials[[#This Row],[Discount Band]]="medium",0.15,0.3))</f>
        <v>0.3</v>
      </c>
      <c r="I3094" s="8">
        <f>financials[[#This Row],[Gross Sales]]-financials[[#This Row],[Gross Sales]]*financials[[#This Row],[Discounts]]</f>
        <v>201.60000000000002</v>
      </c>
      <c r="J3094" s="8">
        <f>VLOOKUP(financials[[#This Row],[productid]],Products!$B$2:$H$10,4)</f>
        <v>16.8</v>
      </c>
      <c r="K3094" s="8">
        <f>financials[[#This Row],[Net Sales]]-financials[[#This Row],[COGS]]</f>
        <v>184.8</v>
      </c>
      <c r="L3094" s="15">
        <v>44819</v>
      </c>
      <c r="M3094" t="s">
        <v>697</v>
      </c>
    </row>
    <row r="3095" spans="1:13" x14ac:dyDescent="0.25">
      <c r="A3095" t="s">
        <v>86</v>
      </c>
      <c r="B3095" s="6" t="s">
        <v>124</v>
      </c>
      <c r="C3095" s="13">
        <v>101</v>
      </c>
      <c r="D3095" s="14" t="s">
        <v>83</v>
      </c>
      <c r="E3095">
        <v>7</v>
      </c>
      <c r="F3095" s="8">
        <f>VLOOKUP(financials[[#This Row],[productid]],Products!$B$2:$H$10,3)</f>
        <v>23</v>
      </c>
      <c r="G3095" s="8">
        <f>financials[[#This Row],[Units Sold]]*financials[[#This Row],[Sale Price]]</f>
        <v>161</v>
      </c>
      <c r="H3095" s="8">
        <f>IF(financials[[#This Row],[Discount Band]]="low",0.1,IF(financials[[#This Row],[Discount Band]]="medium",0.15,0.3))</f>
        <v>0.3</v>
      </c>
      <c r="I3095" s="8">
        <f>financials[[#This Row],[Gross Sales]]-financials[[#This Row],[Gross Sales]]*financials[[#This Row],[Discounts]]</f>
        <v>112.7</v>
      </c>
      <c r="J3095" s="8">
        <f>VLOOKUP(financials[[#This Row],[productid]],Products!$B$2:$H$10,4)</f>
        <v>9.9499999999999993</v>
      </c>
      <c r="K3095" s="8">
        <f>financials[[#This Row],[Net Sales]]-financials[[#This Row],[COGS]]</f>
        <v>102.75</v>
      </c>
      <c r="L3095" s="15">
        <v>45654</v>
      </c>
      <c r="M3095" t="s">
        <v>690</v>
      </c>
    </row>
    <row r="3096" spans="1:13" x14ac:dyDescent="0.25">
      <c r="A3096" t="s">
        <v>86</v>
      </c>
      <c r="B3096" s="6" t="s">
        <v>266</v>
      </c>
      <c r="C3096" s="13">
        <v>109</v>
      </c>
      <c r="D3096" s="14" t="s">
        <v>90</v>
      </c>
      <c r="E3096">
        <v>16</v>
      </c>
      <c r="F3096" s="8">
        <f>VLOOKUP(financials[[#This Row],[productid]],Products!$B$2:$H$10,3)</f>
        <v>36</v>
      </c>
      <c r="G3096" s="8">
        <f>financials[[#This Row],[Units Sold]]*financials[[#This Row],[Sale Price]]</f>
        <v>576</v>
      </c>
      <c r="H3096" s="8">
        <f>IF(financials[[#This Row],[Discount Band]]="low",0.1,IF(financials[[#This Row],[Discount Band]]="medium",0.15,0.3))</f>
        <v>0.15</v>
      </c>
      <c r="I3096" s="8">
        <f>financials[[#This Row],[Gross Sales]]-financials[[#This Row],[Gross Sales]]*financials[[#This Row],[Discounts]]</f>
        <v>489.6</v>
      </c>
      <c r="J3096" s="8">
        <f>VLOOKUP(financials[[#This Row],[productid]],Products!$B$2:$H$10,4)</f>
        <v>16.8</v>
      </c>
      <c r="K3096" s="8">
        <f>financials[[#This Row],[Net Sales]]-financials[[#This Row],[COGS]]</f>
        <v>472.8</v>
      </c>
      <c r="L3096" s="15">
        <v>43878</v>
      </c>
      <c r="M3096" t="s">
        <v>691</v>
      </c>
    </row>
    <row r="3097" spans="1:13" x14ac:dyDescent="0.25">
      <c r="A3097" t="s">
        <v>86</v>
      </c>
      <c r="B3097" s="6" t="s">
        <v>545</v>
      </c>
      <c r="C3097" s="13">
        <v>105</v>
      </c>
      <c r="D3097" s="14" t="s">
        <v>91</v>
      </c>
      <c r="E3097">
        <v>11</v>
      </c>
      <c r="F3097" s="8">
        <f>VLOOKUP(financials[[#This Row],[productid]],Products!$B$2:$H$10,3)</f>
        <v>15</v>
      </c>
      <c r="G3097" s="8">
        <f>financials[[#This Row],[Units Sold]]*financials[[#This Row],[Sale Price]]</f>
        <v>165</v>
      </c>
      <c r="H3097" s="8">
        <f>IF(financials[[#This Row],[Discount Band]]="low",0.1,IF(financials[[#This Row],[Discount Band]]="medium",0.15,0.3))</f>
        <v>0.1</v>
      </c>
      <c r="I3097" s="8">
        <f>financials[[#This Row],[Gross Sales]]-financials[[#This Row],[Gross Sales]]*financials[[#This Row],[Discounts]]</f>
        <v>148.5</v>
      </c>
      <c r="J3097" s="8">
        <f>VLOOKUP(financials[[#This Row],[productid]],Products!$B$2:$H$10,4)</f>
        <v>10</v>
      </c>
      <c r="K3097" s="8">
        <f>financials[[#This Row],[Net Sales]]-financials[[#This Row],[COGS]]</f>
        <v>138.5</v>
      </c>
      <c r="L3097" s="15">
        <v>45384</v>
      </c>
      <c r="M3097" t="s">
        <v>697</v>
      </c>
    </row>
    <row r="3098" spans="1:13" x14ac:dyDescent="0.25">
      <c r="A3098" t="s">
        <v>86</v>
      </c>
      <c r="B3098" s="6" t="s">
        <v>545</v>
      </c>
      <c r="C3098" s="13">
        <v>102</v>
      </c>
      <c r="D3098" s="14" t="s">
        <v>90</v>
      </c>
      <c r="E3098">
        <v>8</v>
      </c>
      <c r="F3098" s="8">
        <f>VLOOKUP(financials[[#This Row],[productid]],Products!$B$2:$H$10,3)</f>
        <v>15</v>
      </c>
      <c r="G3098" s="8">
        <f>financials[[#This Row],[Units Sold]]*financials[[#This Row],[Sale Price]]</f>
        <v>120</v>
      </c>
      <c r="H3098" s="8">
        <f>IF(financials[[#This Row],[Discount Band]]="low",0.1,IF(financials[[#This Row],[Discount Band]]="medium",0.15,0.3))</f>
        <v>0.15</v>
      </c>
      <c r="I3098" s="8">
        <f>financials[[#This Row],[Gross Sales]]-financials[[#This Row],[Gross Sales]]*financials[[#This Row],[Discounts]]</f>
        <v>102</v>
      </c>
      <c r="J3098" s="8">
        <f>VLOOKUP(financials[[#This Row],[productid]],Products!$B$2:$H$10,4)</f>
        <v>13.95</v>
      </c>
      <c r="K3098" s="8">
        <f>financials[[#This Row],[Net Sales]]-financials[[#This Row],[COGS]]</f>
        <v>88.05</v>
      </c>
      <c r="L3098" s="15">
        <v>45285</v>
      </c>
      <c r="M3098" t="s">
        <v>697</v>
      </c>
    </row>
    <row r="3099" spans="1:13" x14ac:dyDescent="0.25">
      <c r="A3099" t="s">
        <v>86</v>
      </c>
      <c r="B3099" s="6" t="s">
        <v>96</v>
      </c>
      <c r="C3099" s="13">
        <v>105</v>
      </c>
      <c r="D3099" s="14" t="s">
        <v>91</v>
      </c>
      <c r="E3099">
        <v>5</v>
      </c>
      <c r="F3099" s="8">
        <f>VLOOKUP(financials[[#This Row],[productid]],Products!$B$2:$H$10,3)</f>
        <v>15</v>
      </c>
      <c r="G3099" s="8">
        <f>financials[[#This Row],[Units Sold]]*financials[[#This Row],[Sale Price]]</f>
        <v>75</v>
      </c>
      <c r="H3099" s="8">
        <f>IF(financials[[#This Row],[Discount Band]]="low",0.1,IF(financials[[#This Row],[Discount Band]]="medium",0.15,0.3))</f>
        <v>0.1</v>
      </c>
      <c r="I3099" s="8">
        <f>financials[[#This Row],[Gross Sales]]-financials[[#This Row],[Gross Sales]]*financials[[#This Row],[Discounts]]</f>
        <v>67.5</v>
      </c>
      <c r="J3099" s="8">
        <f>VLOOKUP(financials[[#This Row],[productid]],Products!$B$2:$H$10,4)</f>
        <v>10</v>
      </c>
      <c r="K3099" s="8">
        <f>financials[[#This Row],[Net Sales]]-financials[[#This Row],[COGS]]</f>
        <v>57.5</v>
      </c>
      <c r="L3099" s="15">
        <v>44390</v>
      </c>
      <c r="M3099" t="s">
        <v>691</v>
      </c>
    </row>
    <row r="3100" spans="1:13" x14ac:dyDescent="0.25">
      <c r="A3100" t="s">
        <v>87</v>
      </c>
      <c r="B3100" s="6" t="s">
        <v>273</v>
      </c>
      <c r="C3100" s="11">
        <v>104</v>
      </c>
      <c r="D3100" s="9" t="s">
        <v>83</v>
      </c>
      <c r="E3100">
        <v>14</v>
      </c>
      <c r="F3100" s="8">
        <f>VLOOKUP(financials[[#This Row],[productid]],Products!$B$2:$H$10,3)</f>
        <v>5.9</v>
      </c>
      <c r="G3100" s="8">
        <f>financials[[#This Row],[Units Sold]]*financials[[#This Row],[Sale Price]]</f>
        <v>82.600000000000009</v>
      </c>
      <c r="H3100" s="8">
        <f>IF(financials[[#This Row],[Discount Band]]="low",0.1,IF(financials[[#This Row],[Discount Band]]="medium",0.15,0.3))</f>
        <v>0.3</v>
      </c>
      <c r="I3100" s="8">
        <f>financials[[#This Row],[Gross Sales]]-financials[[#This Row],[Gross Sales]]*financials[[#This Row],[Discounts]]</f>
        <v>57.820000000000007</v>
      </c>
      <c r="J3100" s="8">
        <f>VLOOKUP(financials[[#This Row],[productid]],Products!$B$2:$H$10,4)</f>
        <v>2.9</v>
      </c>
      <c r="K3100" s="8">
        <f>financials[[#This Row],[Net Sales]]-financials[[#This Row],[COGS]]</f>
        <v>54.920000000000009</v>
      </c>
      <c r="L3100" s="15">
        <v>44824</v>
      </c>
      <c r="M3100" t="s">
        <v>696</v>
      </c>
    </row>
    <row r="3101" spans="1:13" x14ac:dyDescent="0.25">
      <c r="A3101" t="s">
        <v>87</v>
      </c>
      <c r="B3101" s="6" t="s">
        <v>95</v>
      </c>
      <c r="C3101" s="13">
        <v>102</v>
      </c>
      <c r="D3101" s="14" t="s">
        <v>91</v>
      </c>
      <c r="E3101">
        <v>20</v>
      </c>
      <c r="F3101" s="8">
        <f>VLOOKUP(financials[[#This Row],[productid]],Products!$B$2:$H$10,3)</f>
        <v>15</v>
      </c>
      <c r="G3101" s="8">
        <f>financials[[#This Row],[Units Sold]]*financials[[#This Row],[Sale Price]]</f>
        <v>300</v>
      </c>
      <c r="H3101" s="8">
        <f>IF(financials[[#This Row],[Discount Band]]="low",0.1,IF(financials[[#This Row],[Discount Band]]="medium",0.15,0.3))</f>
        <v>0.1</v>
      </c>
      <c r="I3101" s="8">
        <f>financials[[#This Row],[Gross Sales]]-financials[[#This Row],[Gross Sales]]*financials[[#This Row],[Discounts]]</f>
        <v>270</v>
      </c>
      <c r="J3101" s="8">
        <f>VLOOKUP(financials[[#This Row],[productid]],Products!$B$2:$H$10,4)</f>
        <v>13.95</v>
      </c>
      <c r="K3101" s="8">
        <f>financials[[#This Row],[Net Sales]]-financials[[#This Row],[COGS]]</f>
        <v>256.05</v>
      </c>
      <c r="L3101" s="15">
        <v>44140</v>
      </c>
      <c r="M3101" t="s">
        <v>700</v>
      </c>
    </row>
    <row r="3102" spans="1:13" x14ac:dyDescent="0.25">
      <c r="A3102" t="s">
        <v>88</v>
      </c>
      <c r="B3102" s="6" t="s">
        <v>93</v>
      </c>
      <c r="C3102" s="13">
        <v>104</v>
      </c>
      <c r="D3102" s="14" t="s">
        <v>90</v>
      </c>
      <c r="E3102">
        <v>7</v>
      </c>
      <c r="F3102" s="8">
        <f>VLOOKUP(financials[[#This Row],[productid]],Products!$B$2:$H$10,3)</f>
        <v>5.9</v>
      </c>
      <c r="G3102" s="8">
        <f>financials[[#This Row],[Units Sold]]*financials[[#This Row],[Sale Price]]</f>
        <v>41.300000000000004</v>
      </c>
      <c r="H3102" s="8">
        <f>IF(financials[[#This Row],[Discount Band]]="low",0.1,IF(financials[[#This Row],[Discount Band]]="medium",0.15,0.3))</f>
        <v>0.15</v>
      </c>
      <c r="I3102" s="8">
        <f>financials[[#This Row],[Gross Sales]]-financials[[#This Row],[Gross Sales]]*financials[[#This Row],[Discounts]]</f>
        <v>35.105000000000004</v>
      </c>
      <c r="J3102" s="8">
        <f>VLOOKUP(financials[[#This Row],[productid]],Products!$B$2:$H$10,4)</f>
        <v>2.9</v>
      </c>
      <c r="K3102" s="8">
        <f>financials[[#This Row],[Net Sales]]-financials[[#This Row],[COGS]]</f>
        <v>32.205000000000005</v>
      </c>
      <c r="L3102" s="15">
        <v>45201</v>
      </c>
      <c r="M3102" t="s">
        <v>696</v>
      </c>
    </row>
    <row r="3103" spans="1:13" x14ac:dyDescent="0.25">
      <c r="A3103" t="s">
        <v>88</v>
      </c>
      <c r="B3103" s="6" t="s">
        <v>274</v>
      </c>
      <c r="C3103" s="13">
        <v>102</v>
      </c>
      <c r="D3103" s="14" t="s">
        <v>83</v>
      </c>
      <c r="E3103">
        <v>5</v>
      </c>
      <c r="F3103" s="8">
        <f>VLOOKUP(financials[[#This Row],[productid]],Products!$B$2:$H$10,3)</f>
        <v>15</v>
      </c>
      <c r="G3103" s="8">
        <f>financials[[#This Row],[Units Sold]]*financials[[#This Row],[Sale Price]]</f>
        <v>75</v>
      </c>
      <c r="H3103" s="8">
        <f>IF(financials[[#This Row],[Discount Band]]="low",0.1,IF(financials[[#This Row],[Discount Band]]="medium",0.15,0.3))</f>
        <v>0.3</v>
      </c>
      <c r="I3103" s="8">
        <f>financials[[#This Row],[Gross Sales]]-financials[[#This Row],[Gross Sales]]*financials[[#This Row],[Discounts]]</f>
        <v>52.5</v>
      </c>
      <c r="J3103" s="8">
        <f>VLOOKUP(financials[[#This Row],[productid]],Products!$B$2:$H$10,4)</f>
        <v>13.95</v>
      </c>
      <c r="K3103" s="8">
        <f>financials[[#This Row],[Net Sales]]-financials[[#This Row],[COGS]]</f>
        <v>38.549999999999997</v>
      </c>
      <c r="L3103" s="15">
        <v>44558</v>
      </c>
      <c r="M3103" t="s">
        <v>700</v>
      </c>
    </row>
    <row r="3104" spans="1:13" x14ac:dyDescent="0.25">
      <c r="A3104" t="s">
        <v>88</v>
      </c>
      <c r="B3104" s="6" t="s">
        <v>266</v>
      </c>
      <c r="C3104" s="13">
        <v>105</v>
      </c>
      <c r="D3104" s="14" t="s">
        <v>90</v>
      </c>
      <c r="E3104">
        <v>17</v>
      </c>
      <c r="F3104" s="8">
        <f>VLOOKUP(financials[[#This Row],[productid]],Products!$B$2:$H$10,3)</f>
        <v>15</v>
      </c>
      <c r="G3104" s="8">
        <f>financials[[#This Row],[Units Sold]]*financials[[#This Row],[Sale Price]]</f>
        <v>255</v>
      </c>
      <c r="H3104" s="8">
        <f>IF(financials[[#This Row],[Discount Band]]="low",0.1,IF(financials[[#This Row],[Discount Band]]="medium",0.15,0.3))</f>
        <v>0.15</v>
      </c>
      <c r="I3104" s="8">
        <f>financials[[#This Row],[Gross Sales]]-financials[[#This Row],[Gross Sales]]*financials[[#This Row],[Discounts]]</f>
        <v>216.75</v>
      </c>
      <c r="J3104" s="8">
        <f>VLOOKUP(financials[[#This Row],[productid]],Products!$B$2:$H$10,4)</f>
        <v>10</v>
      </c>
      <c r="K3104" s="8">
        <f>financials[[#This Row],[Net Sales]]-financials[[#This Row],[COGS]]</f>
        <v>206.75</v>
      </c>
      <c r="L3104" s="15">
        <v>44879</v>
      </c>
      <c r="M3104" t="s">
        <v>696</v>
      </c>
    </row>
    <row r="3105" spans="1:13" x14ac:dyDescent="0.25">
      <c r="A3105" t="s">
        <v>86</v>
      </c>
      <c r="B3105" s="6" t="s">
        <v>159</v>
      </c>
      <c r="C3105" s="13">
        <v>107</v>
      </c>
      <c r="D3105" s="14" t="s">
        <v>83</v>
      </c>
      <c r="E3105">
        <v>16</v>
      </c>
      <c r="F3105" s="8">
        <f>VLOOKUP(financials[[#This Row],[productid]],Products!$B$2:$H$10,3)</f>
        <v>15</v>
      </c>
      <c r="G3105" s="8">
        <f>financials[[#This Row],[Units Sold]]*financials[[#This Row],[Sale Price]]</f>
        <v>240</v>
      </c>
      <c r="H3105" s="8">
        <f>IF(financials[[#This Row],[Discount Band]]="low",0.1,IF(financials[[#This Row],[Discount Band]]="medium",0.15,0.3))</f>
        <v>0.3</v>
      </c>
      <c r="I3105" s="8">
        <f>financials[[#This Row],[Gross Sales]]-financials[[#This Row],[Gross Sales]]*financials[[#This Row],[Discounts]]</f>
        <v>168</v>
      </c>
      <c r="J3105" s="8">
        <f>VLOOKUP(financials[[#This Row],[productid]],Products!$B$2:$H$10,4)</f>
        <v>5.5</v>
      </c>
      <c r="K3105" s="8">
        <f>financials[[#This Row],[Net Sales]]-financials[[#This Row],[COGS]]</f>
        <v>162.5</v>
      </c>
      <c r="L3105" s="15">
        <v>45469</v>
      </c>
      <c r="M3105" t="s">
        <v>700</v>
      </c>
    </row>
    <row r="3106" spans="1:13" x14ac:dyDescent="0.25">
      <c r="A3106" t="s">
        <v>87</v>
      </c>
      <c r="B3106" s="6" t="s">
        <v>167</v>
      </c>
      <c r="C3106" s="11">
        <v>103</v>
      </c>
      <c r="D3106" s="9" t="s">
        <v>90</v>
      </c>
      <c r="E3106">
        <v>10</v>
      </c>
      <c r="F3106" s="8">
        <f>VLOOKUP(financials[[#This Row],[productid]],Products!$B$2:$H$10,3)</f>
        <v>28</v>
      </c>
      <c r="G3106" s="8">
        <f>financials[[#This Row],[Units Sold]]*financials[[#This Row],[Sale Price]]</f>
        <v>280</v>
      </c>
      <c r="H3106" s="8">
        <f>IF(financials[[#This Row],[Discount Band]]="low",0.1,IF(financials[[#This Row],[Discount Band]]="medium",0.15,0.3))</f>
        <v>0.15</v>
      </c>
      <c r="I3106" s="8">
        <f>financials[[#This Row],[Gross Sales]]-financials[[#This Row],[Gross Sales]]*financials[[#This Row],[Discounts]]</f>
        <v>238</v>
      </c>
      <c r="J3106" s="8">
        <f>VLOOKUP(financials[[#This Row],[productid]],Products!$B$2:$H$10,4)</f>
        <v>15</v>
      </c>
      <c r="K3106" s="8">
        <f>financials[[#This Row],[Net Sales]]-financials[[#This Row],[COGS]]</f>
        <v>223</v>
      </c>
      <c r="L3106" s="15">
        <v>43994</v>
      </c>
      <c r="M3106" t="s">
        <v>696</v>
      </c>
    </row>
    <row r="3107" spans="1:13" x14ac:dyDescent="0.25">
      <c r="A3107" t="s">
        <v>86</v>
      </c>
      <c r="B3107" s="6" t="s">
        <v>148</v>
      </c>
      <c r="C3107" s="13">
        <v>103</v>
      </c>
      <c r="D3107" s="14" t="s">
        <v>83</v>
      </c>
      <c r="E3107">
        <v>8</v>
      </c>
      <c r="F3107" s="8">
        <f>VLOOKUP(financials[[#This Row],[productid]],Products!$B$2:$H$10,3)</f>
        <v>28</v>
      </c>
      <c r="G3107" s="8">
        <f>financials[[#This Row],[Units Sold]]*financials[[#This Row],[Sale Price]]</f>
        <v>224</v>
      </c>
      <c r="H3107" s="8">
        <f>IF(financials[[#This Row],[Discount Band]]="low",0.1,IF(financials[[#This Row],[Discount Band]]="medium",0.15,0.3))</f>
        <v>0.3</v>
      </c>
      <c r="I3107" s="8">
        <f>financials[[#This Row],[Gross Sales]]-financials[[#This Row],[Gross Sales]]*financials[[#This Row],[Discounts]]</f>
        <v>156.80000000000001</v>
      </c>
      <c r="J3107" s="8">
        <f>VLOOKUP(financials[[#This Row],[productid]],Products!$B$2:$H$10,4)</f>
        <v>15</v>
      </c>
      <c r="K3107" s="8">
        <f>financials[[#This Row],[Net Sales]]-financials[[#This Row],[COGS]]</f>
        <v>141.80000000000001</v>
      </c>
      <c r="L3107" s="15">
        <v>44961</v>
      </c>
      <c r="M3107" t="s">
        <v>691</v>
      </c>
    </row>
    <row r="3108" spans="1:13" x14ac:dyDescent="0.25">
      <c r="A3108" t="s">
        <v>86</v>
      </c>
      <c r="B3108" s="6" t="s">
        <v>96</v>
      </c>
      <c r="C3108" s="13">
        <v>109</v>
      </c>
      <c r="D3108" s="14" t="s">
        <v>83</v>
      </c>
      <c r="E3108">
        <v>20</v>
      </c>
      <c r="F3108" s="8">
        <f>VLOOKUP(financials[[#This Row],[productid]],Products!$B$2:$H$10,3)</f>
        <v>36</v>
      </c>
      <c r="G3108" s="8">
        <f>financials[[#This Row],[Units Sold]]*financials[[#This Row],[Sale Price]]</f>
        <v>720</v>
      </c>
      <c r="H3108" s="8">
        <f>IF(financials[[#This Row],[Discount Band]]="low",0.1,IF(financials[[#This Row],[Discount Band]]="medium",0.15,0.3))</f>
        <v>0.3</v>
      </c>
      <c r="I3108" s="8">
        <f>financials[[#This Row],[Gross Sales]]-financials[[#This Row],[Gross Sales]]*financials[[#This Row],[Discounts]]</f>
        <v>504</v>
      </c>
      <c r="J3108" s="8">
        <f>VLOOKUP(financials[[#This Row],[productid]],Products!$B$2:$H$10,4)</f>
        <v>16.8</v>
      </c>
      <c r="K3108" s="8">
        <f>financials[[#This Row],[Net Sales]]-financials[[#This Row],[COGS]]</f>
        <v>487.2</v>
      </c>
      <c r="L3108" s="15">
        <v>44165</v>
      </c>
      <c r="M3108" t="s">
        <v>700</v>
      </c>
    </row>
    <row r="3109" spans="1:13" x14ac:dyDescent="0.25">
      <c r="A3109" t="s">
        <v>86</v>
      </c>
      <c r="B3109" s="6" t="s">
        <v>617</v>
      </c>
      <c r="C3109" s="13">
        <v>107</v>
      </c>
      <c r="D3109" s="14" t="s">
        <v>90</v>
      </c>
      <c r="E3109">
        <v>11</v>
      </c>
      <c r="F3109" s="8">
        <f>VLOOKUP(financials[[#This Row],[productid]],Products!$B$2:$H$10,3)</f>
        <v>15</v>
      </c>
      <c r="G3109" s="8">
        <f>financials[[#This Row],[Units Sold]]*financials[[#This Row],[Sale Price]]</f>
        <v>165</v>
      </c>
      <c r="H3109" s="8">
        <f>IF(financials[[#This Row],[Discount Band]]="low",0.1,IF(financials[[#This Row],[Discount Band]]="medium",0.15,0.3))</f>
        <v>0.15</v>
      </c>
      <c r="I3109" s="8">
        <f>financials[[#This Row],[Gross Sales]]-financials[[#This Row],[Gross Sales]]*financials[[#This Row],[Discounts]]</f>
        <v>140.25</v>
      </c>
      <c r="J3109" s="8">
        <f>VLOOKUP(financials[[#This Row],[productid]],Products!$B$2:$H$10,4)</f>
        <v>5.5</v>
      </c>
      <c r="K3109" s="8">
        <f>financials[[#This Row],[Net Sales]]-financials[[#This Row],[COGS]]</f>
        <v>134.75</v>
      </c>
      <c r="L3109" s="15">
        <v>44067</v>
      </c>
      <c r="M3109" t="s">
        <v>690</v>
      </c>
    </row>
    <row r="3110" spans="1:13" x14ac:dyDescent="0.25">
      <c r="A3110" t="s">
        <v>87</v>
      </c>
      <c r="B3110" s="6" t="s">
        <v>198</v>
      </c>
      <c r="C3110" s="13">
        <v>105</v>
      </c>
      <c r="D3110" s="14" t="s">
        <v>90</v>
      </c>
      <c r="E3110">
        <v>14</v>
      </c>
      <c r="F3110" s="8">
        <f>VLOOKUP(financials[[#This Row],[productid]],Products!$B$2:$H$10,3)</f>
        <v>15</v>
      </c>
      <c r="G3110" s="8">
        <f>financials[[#This Row],[Units Sold]]*financials[[#This Row],[Sale Price]]</f>
        <v>210</v>
      </c>
      <c r="H3110" s="8">
        <f>IF(financials[[#This Row],[Discount Band]]="low",0.1,IF(financials[[#This Row],[Discount Band]]="medium",0.15,0.3))</f>
        <v>0.15</v>
      </c>
      <c r="I3110" s="8">
        <f>financials[[#This Row],[Gross Sales]]-financials[[#This Row],[Gross Sales]]*financials[[#This Row],[Discounts]]</f>
        <v>178.5</v>
      </c>
      <c r="J3110" s="8">
        <f>VLOOKUP(financials[[#This Row],[productid]],Products!$B$2:$H$10,4)</f>
        <v>10</v>
      </c>
      <c r="K3110" s="8">
        <f>financials[[#This Row],[Net Sales]]-financials[[#This Row],[COGS]]</f>
        <v>168.5</v>
      </c>
      <c r="L3110" s="15">
        <v>44484</v>
      </c>
      <c r="M3110" t="s">
        <v>690</v>
      </c>
    </row>
    <row r="3111" spans="1:13" x14ac:dyDescent="0.25">
      <c r="A3111" t="s">
        <v>88</v>
      </c>
      <c r="B3111" s="6" t="s">
        <v>125</v>
      </c>
      <c r="C3111" s="11">
        <v>103</v>
      </c>
      <c r="D3111" s="9" t="s">
        <v>90</v>
      </c>
      <c r="E3111">
        <v>20</v>
      </c>
      <c r="F3111" s="8">
        <f>VLOOKUP(financials[[#This Row],[productid]],Products!$B$2:$H$10,3)</f>
        <v>28</v>
      </c>
      <c r="G3111" s="8">
        <f>financials[[#This Row],[Units Sold]]*financials[[#This Row],[Sale Price]]</f>
        <v>560</v>
      </c>
      <c r="H3111" s="8">
        <f>IF(financials[[#This Row],[Discount Band]]="low",0.1,IF(financials[[#This Row],[Discount Band]]="medium",0.15,0.3))</f>
        <v>0.15</v>
      </c>
      <c r="I3111" s="8">
        <f>financials[[#This Row],[Gross Sales]]-financials[[#This Row],[Gross Sales]]*financials[[#This Row],[Discounts]]</f>
        <v>476</v>
      </c>
      <c r="J3111" s="8">
        <f>VLOOKUP(financials[[#This Row],[productid]],Products!$B$2:$H$10,4)</f>
        <v>15</v>
      </c>
      <c r="K3111" s="8">
        <f>financials[[#This Row],[Net Sales]]-financials[[#This Row],[COGS]]</f>
        <v>461</v>
      </c>
      <c r="L3111" s="15">
        <v>44396</v>
      </c>
      <c r="M3111" t="s">
        <v>691</v>
      </c>
    </row>
    <row r="3112" spans="1:13" x14ac:dyDescent="0.25">
      <c r="A3112" t="s">
        <v>88</v>
      </c>
      <c r="B3112" s="6" t="s">
        <v>148</v>
      </c>
      <c r="C3112" s="13">
        <v>107</v>
      </c>
      <c r="D3112" s="14" t="s">
        <v>91</v>
      </c>
      <c r="E3112">
        <v>10</v>
      </c>
      <c r="F3112" s="8">
        <f>VLOOKUP(financials[[#This Row],[productid]],Products!$B$2:$H$10,3)</f>
        <v>15</v>
      </c>
      <c r="G3112" s="8">
        <f>financials[[#This Row],[Units Sold]]*financials[[#This Row],[Sale Price]]</f>
        <v>150</v>
      </c>
      <c r="H3112" s="8">
        <f>IF(financials[[#This Row],[Discount Band]]="low",0.1,IF(financials[[#This Row],[Discount Band]]="medium",0.15,0.3))</f>
        <v>0.1</v>
      </c>
      <c r="I3112" s="8">
        <f>financials[[#This Row],[Gross Sales]]-financials[[#This Row],[Gross Sales]]*financials[[#This Row],[Discounts]]</f>
        <v>135</v>
      </c>
      <c r="J3112" s="8">
        <f>VLOOKUP(financials[[#This Row],[productid]],Products!$B$2:$H$10,4)</f>
        <v>5.5</v>
      </c>
      <c r="K3112" s="8">
        <f>financials[[#This Row],[Net Sales]]-financials[[#This Row],[COGS]]</f>
        <v>129.5</v>
      </c>
      <c r="L3112" s="15">
        <v>45568</v>
      </c>
      <c r="M3112" t="s">
        <v>691</v>
      </c>
    </row>
    <row r="3113" spans="1:13" x14ac:dyDescent="0.25">
      <c r="A3113" t="s">
        <v>88</v>
      </c>
      <c r="B3113" s="6" t="s">
        <v>617</v>
      </c>
      <c r="C3113" s="13">
        <v>101</v>
      </c>
      <c r="D3113" s="14" t="s">
        <v>90</v>
      </c>
      <c r="E3113">
        <v>12</v>
      </c>
      <c r="F3113" s="8">
        <f>VLOOKUP(financials[[#This Row],[productid]],Products!$B$2:$H$10,3)</f>
        <v>23</v>
      </c>
      <c r="G3113" s="8">
        <f>financials[[#This Row],[Units Sold]]*financials[[#This Row],[Sale Price]]</f>
        <v>276</v>
      </c>
      <c r="H3113" s="8">
        <f>IF(financials[[#This Row],[Discount Band]]="low",0.1,IF(financials[[#This Row],[Discount Band]]="medium",0.15,0.3))</f>
        <v>0.15</v>
      </c>
      <c r="I3113" s="8">
        <f>financials[[#This Row],[Gross Sales]]-financials[[#This Row],[Gross Sales]]*financials[[#This Row],[Discounts]]</f>
        <v>234.6</v>
      </c>
      <c r="J3113" s="8">
        <f>VLOOKUP(financials[[#This Row],[productid]],Products!$B$2:$H$10,4)</f>
        <v>9.9499999999999993</v>
      </c>
      <c r="K3113" s="8">
        <f>financials[[#This Row],[Net Sales]]-financials[[#This Row],[COGS]]</f>
        <v>224.65</v>
      </c>
      <c r="L3113" s="15">
        <v>43893</v>
      </c>
      <c r="M3113" t="s">
        <v>697</v>
      </c>
    </row>
    <row r="3114" spans="1:13" x14ac:dyDescent="0.25">
      <c r="A3114" t="s">
        <v>85</v>
      </c>
      <c r="B3114" s="6" t="s">
        <v>124</v>
      </c>
      <c r="C3114" s="13">
        <v>103</v>
      </c>
      <c r="D3114" s="14" t="s">
        <v>90</v>
      </c>
      <c r="E3114">
        <v>10</v>
      </c>
      <c r="F3114" s="8">
        <f>VLOOKUP(financials[[#This Row],[productid]],Products!$B$2:$H$10,3)</f>
        <v>28</v>
      </c>
      <c r="G3114" s="8">
        <f>financials[[#This Row],[Units Sold]]*financials[[#This Row],[Sale Price]]</f>
        <v>280</v>
      </c>
      <c r="H3114" s="8">
        <f>IF(financials[[#This Row],[Discount Band]]="low",0.1,IF(financials[[#This Row],[Discount Band]]="medium",0.15,0.3))</f>
        <v>0.15</v>
      </c>
      <c r="I3114" s="8">
        <f>financials[[#This Row],[Gross Sales]]-financials[[#This Row],[Gross Sales]]*financials[[#This Row],[Discounts]]</f>
        <v>238</v>
      </c>
      <c r="J3114" s="8">
        <f>VLOOKUP(financials[[#This Row],[productid]],Products!$B$2:$H$10,4)</f>
        <v>15</v>
      </c>
      <c r="K3114" s="8">
        <f>financials[[#This Row],[Net Sales]]-financials[[#This Row],[COGS]]</f>
        <v>223</v>
      </c>
      <c r="L3114" s="15">
        <v>44766</v>
      </c>
      <c r="M3114" t="s">
        <v>697</v>
      </c>
    </row>
    <row r="3115" spans="1:13" x14ac:dyDescent="0.25">
      <c r="A3115" t="s">
        <v>86</v>
      </c>
      <c r="B3115" s="6" t="s">
        <v>125</v>
      </c>
      <c r="C3115" s="13">
        <v>108</v>
      </c>
      <c r="D3115" s="14" t="s">
        <v>83</v>
      </c>
      <c r="E3115">
        <v>13</v>
      </c>
      <c r="F3115" s="8">
        <f>VLOOKUP(financials[[#This Row],[productid]],Products!$B$2:$H$10,3)</f>
        <v>5.5</v>
      </c>
      <c r="G3115" s="8">
        <f>financials[[#This Row],[Units Sold]]*financials[[#This Row],[Sale Price]]</f>
        <v>71.5</v>
      </c>
      <c r="H3115" s="8">
        <f>IF(financials[[#This Row],[Discount Band]]="low",0.1,IF(financials[[#This Row],[Discount Band]]="medium",0.15,0.3))</f>
        <v>0.3</v>
      </c>
      <c r="I3115" s="8">
        <f>financials[[#This Row],[Gross Sales]]-financials[[#This Row],[Gross Sales]]*financials[[#This Row],[Discounts]]</f>
        <v>50.05</v>
      </c>
      <c r="J3115" s="8">
        <f>VLOOKUP(financials[[#This Row],[productid]],Products!$B$2:$H$10,4)</f>
        <v>3.99</v>
      </c>
      <c r="K3115" s="8">
        <f>financials[[#This Row],[Net Sales]]-financials[[#This Row],[COGS]]</f>
        <v>46.059999999999995</v>
      </c>
      <c r="L3115" s="15">
        <v>45019</v>
      </c>
      <c r="M3115" t="s">
        <v>690</v>
      </c>
    </row>
    <row r="3116" spans="1:13" x14ac:dyDescent="0.25">
      <c r="A3116" t="s">
        <v>88</v>
      </c>
      <c r="B3116" s="6" t="s">
        <v>158</v>
      </c>
      <c r="C3116" s="13">
        <v>103</v>
      </c>
      <c r="D3116" s="14" t="s">
        <v>91</v>
      </c>
      <c r="E3116">
        <v>9</v>
      </c>
      <c r="F3116" s="8">
        <f>VLOOKUP(financials[[#This Row],[productid]],Products!$B$2:$H$10,3)</f>
        <v>28</v>
      </c>
      <c r="G3116" s="8">
        <f>financials[[#This Row],[Units Sold]]*financials[[#This Row],[Sale Price]]</f>
        <v>252</v>
      </c>
      <c r="H3116" s="8">
        <f>IF(financials[[#This Row],[Discount Band]]="low",0.1,IF(financials[[#This Row],[Discount Band]]="medium",0.15,0.3))</f>
        <v>0.1</v>
      </c>
      <c r="I3116" s="8">
        <f>financials[[#This Row],[Gross Sales]]-financials[[#This Row],[Gross Sales]]*financials[[#This Row],[Discounts]]</f>
        <v>226.8</v>
      </c>
      <c r="J3116" s="8">
        <f>VLOOKUP(financials[[#This Row],[productid]],Products!$B$2:$H$10,4)</f>
        <v>15</v>
      </c>
      <c r="K3116" s="8">
        <f>financials[[#This Row],[Net Sales]]-financials[[#This Row],[COGS]]</f>
        <v>211.8</v>
      </c>
      <c r="L3116" s="15">
        <v>44247</v>
      </c>
      <c r="M3116" t="s">
        <v>697</v>
      </c>
    </row>
    <row r="3117" spans="1:13" x14ac:dyDescent="0.25">
      <c r="A3117" t="s">
        <v>88</v>
      </c>
      <c r="B3117" s="6" t="s">
        <v>617</v>
      </c>
      <c r="C3117" s="13">
        <v>102</v>
      </c>
      <c r="D3117" s="14" t="s">
        <v>83</v>
      </c>
      <c r="E3117">
        <v>19</v>
      </c>
      <c r="F3117" s="8">
        <f>VLOOKUP(financials[[#This Row],[productid]],Products!$B$2:$H$10,3)</f>
        <v>15</v>
      </c>
      <c r="G3117" s="8">
        <f>financials[[#This Row],[Units Sold]]*financials[[#This Row],[Sale Price]]</f>
        <v>285</v>
      </c>
      <c r="H3117" s="8">
        <f>IF(financials[[#This Row],[Discount Band]]="low",0.1,IF(financials[[#This Row],[Discount Band]]="medium",0.15,0.3))</f>
        <v>0.3</v>
      </c>
      <c r="I3117" s="8">
        <f>financials[[#This Row],[Gross Sales]]-financials[[#This Row],[Gross Sales]]*financials[[#This Row],[Discounts]]</f>
        <v>199.5</v>
      </c>
      <c r="J3117" s="8">
        <f>VLOOKUP(financials[[#This Row],[productid]],Products!$B$2:$H$10,4)</f>
        <v>13.95</v>
      </c>
      <c r="K3117" s="8">
        <f>financials[[#This Row],[Net Sales]]-financials[[#This Row],[COGS]]</f>
        <v>185.55</v>
      </c>
      <c r="L3117" s="15">
        <v>44090</v>
      </c>
      <c r="M3117" t="s">
        <v>690</v>
      </c>
    </row>
    <row r="3118" spans="1:13" x14ac:dyDescent="0.25">
      <c r="A3118" t="s">
        <v>88</v>
      </c>
      <c r="B3118" s="6" t="s">
        <v>617</v>
      </c>
      <c r="C3118" s="13">
        <v>109</v>
      </c>
      <c r="D3118" s="14" t="s">
        <v>90</v>
      </c>
      <c r="E3118">
        <v>7</v>
      </c>
      <c r="F3118" s="8">
        <f>VLOOKUP(financials[[#This Row],[productid]],Products!$B$2:$H$10,3)</f>
        <v>36</v>
      </c>
      <c r="G3118" s="8">
        <f>financials[[#This Row],[Units Sold]]*financials[[#This Row],[Sale Price]]</f>
        <v>252</v>
      </c>
      <c r="H3118" s="8">
        <f>IF(financials[[#This Row],[Discount Band]]="low",0.1,IF(financials[[#This Row],[Discount Band]]="medium",0.15,0.3))</f>
        <v>0.15</v>
      </c>
      <c r="I3118" s="8">
        <f>financials[[#This Row],[Gross Sales]]-financials[[#This Row],[Gross Sales]]*financials[[#This Row],[Discounts]]</f>
        <v>214.2</v>
      </c>
      <c r="J3118" s="8">
        <f>VLOOKUP(financials[[#This Row],[productid]],Products!$B$2:$H$10,4)</f>
        <v>16.8</v>
      </c>
      <c r="K3118" s="8">
        <f>financials[[#This Row],[Net Sales]]-financials[[#This Row],[COGS]]</f>
        <v>197.39999999999998</v>
      </c>
      <c r="L3118" s="15">
        <v>45451</v>
      </c>
      <c r="M3118" t="s">
        <v>691</v>
      </c>
    </row>
    <row r="3119" spans="1:13" x14ac:dyDescent="0.25">
      <c r="A3119" t="s">
        <v>89</v>
      </c>
      <c r="B3119" s="6" t="s">
        <v>124</v>
      </c>
      <c r="C3119" s="13">
        <v>107</v>
      </c>
      <c r="D3119" s="14" t="s">
        <v>90</v>
      </c>
      <c r="E3119">
        <v>19</v>
      </c>
      <c r="F3119" s="8">
        <f>VLOOKUP(financials[[#This Row],[productid]],Products!$B$2:$H$10,3)</f>
        <v>15</v>
      </c>
      <c r="G3119" s="8">
        <f>financials[[#This Row],[Units Sold]]*financials[[#This Row],[Sale Price]]</f>
        <v>285</v>
      </c>
      <c r="H3119" s="8">
        <f>IF(financials[[#This Row],[Discount Band]]="low",0.1,IF(financials[[#This Row],[Discount Band]]="medium",0.15,0.3))</f>
        <v>0.15</v>
      </c>
      <c r="I3119" s="8">
        <f>financials[[#This Row],[Gross Sales]]-financials[[#This Row],[Gross Sales]]*financials[[#This Row],[Discounts]]</f>
        <v>242.25</v>
      </c>
      <c r="J3119" s="8">
        <f>VLOOKUP(financials[[#This Row],[productid]],Products!$B$2:$H$10,4)</f>
        <v>5.5</v>
      </c>
      <c r="K3119" s="8">
        <f>financials[[#This Row],[Net Sales]]-financials[[#This Row],[COGS]]</f>
        <v>236.75</v>
      </c>
      <c r="L3119" s="15">
        <v>44091</v>
      </c>
      <c r="M3119" t="s">
        <v>700</v>
      </c>
    </row>
    <row r="3120" spans="1:13" x14ac:dyDescent="0.25">
      <c r="A3120" t="s">
        <v>87</v>
      </c>
      <c r="B3120" s="6" t="s">
        <v>273</v>
      </c>
      <c r="C3120" s="13">
        <v>104</v>
      </c>
      <c r="D3120" s="14" t="s">
        <v>83</v>
      </c>
      <c r="E3120">
        <v>18</v>
      </c>
      <c r="F3120" s="8">
        <f>VLOOKUP(financials[[#This Row],[productid]],Products!$B$2:$H$10,3)</f>
        <v>5.9</v>
      </c>
      <c r="G3120" s="8">
        <f>financials[[#This Row],[Units Sold]]*financials[[#This Row],[Sale Price]]</f>
        <v>106.2</v>
      </c>
      <c r="H3120" s="8">
        <f>IF(financials[[#This Row],[Discount Band]]="low",0.1,IF(financials[[#This Row],[Discount Band]]="medium",0.15,0.3))</f>
        <v>0.3</v>
      </c>
      <c r="I3120" s="8">
        <f>financials[[#This Row],[Gross Sales]]-financials[[#This Row],[Gross Sales]]*financials[[#This Row],[Discounts]]</f>
        <v>74.34</v>
      </c>
      <c r="J3120" s="8">
        <f>VLOOKUP(financials[[#This Row],[productid]],Products!$B$2:$H$10,4)</f>
        <v>2.9</v>
      </c>
      <c r="K3120" s="8">
        <f>financials[[#This Row],[Net Sales]]-financials[[#This Row],[COGS]]</f>
        <v>71.44</v>
      </c>
      <c r="L3120" s="15">
        <v>44027</v>
      </c>
      <c r="M3120" t="s">
        <v>690</v>
      </c>
    </row>
    <row r="3121" spans="1:13" x14ac:dyDescent="0.25">
      <c r="A3121" t="s">
        <v>86</v>
      </c>
      <c r="B3121" s="6" t="s">
        <v>125</v>
      </c>
      <c r="C3121" s="11">
        <v>109</v>
      </c>
      <c r="D3121" s="9" t="s">
        <v>83</v>
      </c>
      <c r="E3121">
        <v>17</v>
      </c>
      <c r="F3121" s="8">
        <f>VLOOKUP(financials[[#This Row],[productid]],Products!$B$2:$H$10,3)</f>
        <v>36</v>
      </c>
      <c r="G3121" s="8">
        <f>financials[[#This Row],[Units Sold]]*financials[[#This Row],[Sale Price]]</f>
        <v>612</v>
      </c>
      <c r="H3121" s="8">
        <f>IF(financials[[#This Row],[Discount Band]]="low",0.1,IF(financials[[#This Row],[Discount Band]]="medium",0.15,0.3))</f>
        <v>0.3</v>
      </c>
      <c r="I3121" s="8">
        <f>financials[[#This Row],[Gross Sales]]-financials[[#This Row],[Gross Sales]]*financials[[#This Row],[Discounts]]</f>
        <v>428.4</v>
      </c>
      <c r="J3121" s="8">
        <f>VLOOKUP(financials[[#This Row],[productid]],Products!$B$2:$H$10,4)</f>
        <v>16.8</v>
      </c>
      <c r="K3121" s="8">
        <f>financials[[#This Row],[Net Sales]]-financials[[#This Row],[COGS]]</f>
        <v>411.59999999999997</v>
      </c>
      <c r="L3121" s="15">
        <v>44801</v>
      </c>
      <c r="M3121" t="s">
        <v>690</v>
      </c>
    </row>
    <row r="3122" spans="1:13" x14ac:dyDescent="0.25">
      <c r="A3122" t="s">
        <v>86</v>
      </c>
      <c r="B3122" s="6" t="s">
        <v>274</v>
      </c>
      <c r="C3122" s="13">
        <v>105</v>
      </c>
      <c r="D3122" s="14" t="s">
        <v>91</v>
      </c>
      <c r="E3122">
        <v>18</v>
      </c>
      <c r="F3122" s="8">
        <f>VLOOKUP(financials[[#This Row],[productid]],Products!$B$2:$H$10,3)</f>
        <v>15</v>
      </c>
      <c r="G3122" s="8">
        <f>financials[[#This Row],[Units Sold]]*financials[[#This Row],[Sale Price]]</f>
        <v>270</v>
      </c>
      <c r="H3122" s="8">
        <f>IF(financials[[#This Row],[Discount Band]]="low",0.1,IF(financials[[#This Row],[Discount Band]]="medium",0.15,0.3))</f>
        <v>0.1</v>
      </c>
      <c r="I3122" s="8">
        <f>financials[[#This Row],[Gross Sales]]-financials[[#This Row],[Gross Sales]]*financials[[#This Row],[Discounts]]</f>
        <v>243</v>
      </c>
      <c r="J3122" s="8">
        <f>VLOOKUP(financials[[#This Row],[productid]],Products!$B$2:$H$10,4)</f>
        <v>10</v>
      </c>
      <c r="K3122" s="8">
        <f>financials[[#This Row],[Net Sales]]-financials[[#This Row],[COGS]]</f>
        <v>233</v>
      </c>
      <c r="L3122" s="15">
        <v>45225</v>
      </c>
      <c r="M3122" t="s">
        <v>696</v>
      </c>
    </row>
    <row r="3123" spans="1:13" x14ac:dyDescent="0.25">
      <c r="A3123" t="s">
        <v>86</v>
      </c>
      <c r="B3123" s="6" t="s">
        <v>124</v>
      </c>
      <c r="C3123" s="13">
        <v>109</v>
      </c>
      <c r="D3123" s="14" t="s">
        <v>91</v>
      </c>
      <c r="E3123">
        <v>19</v>
      </c>
      <c r="F3123" s="8">
        <f>VLOOKUP(financials[[#This Row],[productid]],Products!$B$2:$H$10,3)</f>
        <v>36</v>
      </c>
      <c r="G3123" s="8">
        <f>financials[[#This Row],[Units Sold]]*financials[[#This Row],[Sale Price]]</f>
        <v>684</v>
      </c>
      <c r="H3123" s="8">
        <f>IF(financials[[#This Row],[Discount Band]]="low",0.1,IF(financials[[#This Row],[Discount Band]]="medium",0.15,0.3))</f>
        <v>0.1</v>
      </c>
      <c r="I3123" s="8">
        <f>financials[[#This Row],[Gross Sales]]-financials[[#This Row],[Gross Sales]]*financials[[#This Row],[Discounts]]</f>
        <v>615.6</v>
      </c>
      <c r="J3123" s="8">
        <f>VLOOKUP(financials[[#This Row],[productid]],Products!$B$2:$H$10,4)</f>
        <v>16.8</v>
      </c>
      <c r="K3123" s="8">
        <f>financials[[#This Row],[Net Sales]]-financials[[#This Row],[COGS]]</f>
        <v>598.80000000000007</v>
      </c>
      <c r="L3123" s="15">
        <v>44266</v>
      </c>
      <c r="M3123" t="s">
        <v>696</v>
      </c>
    </row>
    <row r="3124" spans="1:13" x14ac:dyDescent="0.25">
      <c r="A3124" t="s">
        <v>86</v>
      </c>
      <c r="B3124" s="6" t="s">
        <v>159</v>
      </c>
      <c r="C3124" s="11">
        <v>101</v>
      </c>
      <c r="D3124" s="9" t="s">
        <v>91</v>
      </c>
      <c r="E3124">
        <v>12</v>
      </c>
      <c r="F3124" s="8">
        <f>VLOOKUP(financials[[#This Row],[productid]],Products!$B$2:$H$10,3)</f>
        <v>23</v>
      </c>
      <c r="G3124" s="8">
        <f>financials[[#This Row],[Units Sold]]*financials[[#This Row],[Sale Price]]</f>
        <v>276</v>
      </c>
      <c r="H3124" s="8">
        <f>IF(financials[[#This Row],[Discount Band]]="low",0.1,IF(financials[[#This Row],[Discount Band]]="medium",0.15,0.3))</f>
        <v>0.1</v>
      </c>
      <c r="I3124" s="8">
        <f>financials[[#This Row],[Gross Sales]]-financials[[#This Row],[Gross Sales]]*financials[[#This Row],[Discounts]]</f>
        <v>248.4</v>
      </c>
      <c r="J3124" s="8">
        <f>VLOOKUP(financials[[#This Row],[productid]],Products!$B$2:$H$10,4)</f>
        <v>9.9499999999999993</v>
      </c>
      <c r="K3124" s="8">
        <f>financials[[#This Row],[Net Sales]]-financials[[#This Row],[COGS]]</f>
        <v>238.45000000000002</v>
      </c>
      <c r="L3124" s="15">
        <v>44322</v>
      </c>
      <c r="M3124" t="s">
        <v>697</v>
      </c>
    </row>
    <row r="3125" spans="1:13" x14ac:dyDescent="0.25">
      <c r="A3125" t="s">
        <v>88</v>
      </c>
      <c r="B3125" s="6" t="s">
        <v>274</v>
      </c>
      <c r="C3125" s="11">
        <v>107</v>
      </c>
      <c r="D3125" s="9" t="s">
        <v>92</v>
      </c>
      <c r="E3125">
        <v>6</v>
      </c>
      <c r="F3125" s="8">
        <f>VLOOKUP(financials[[#This Row],[productid]],Products!$B$2:$H$10,3)</f>
        <v>15</v>
      </c>
      <c r="G3125" s="8">
        <f>financials[[#This Row],[Units Sold]]*financials[[#This Row],[Sale Price]]</f>
        <v>90</v>
      </c>
      <c r="H3125" s="8">
        <f>IF(financials[[#This Row],[Discount Band]]="low",0.1,IF(financials[[#This Row],[Discount Band]]="medium",0.15,0.3))</f>
        <v>0.3</v>
      </c>
      <c r="I3125" s="8">
        <f>financials[[#This Row],[Gross Sales]]-financials[[#This Row],[Gross Sales]]*financials[[#This Row],[Discounts]]</f>
        <v>63</v>
      </c>
      <c r="J3125" s="8">
        <f>VLOOKUP(financials[[#This Row],[productid]],Products!$B$2:$H$10,4)</f>
        <v>5.5</v>
      </c>
      <c r="K3125" s="8">
        <f>financials[[#This Row],[Net Sales]]-financials[[#This Row],[COGS]]</f>
        <v>57.5</v>
      </c>
      <c r="L3125" s="15">
        <v>44546</v>
      </c>
      <c r="M3125" t="s">
        <v>691</v>
      </c>
    </row>
    <row r="3126" spans="1:13" x14ac:dyDescent="0.25">
      <c r="A3126" t="s">
        <v>88</v>
      </c>
      <c r="B3126" s="6" t="s">
        <v>240</v>
      </c>
      <c r="C3126" s="11">
        <v>103</v>
      </c>
      <c r="D3126" s="9" t="s">
        <v>91</v>
      </c>
      <c r="E3126">
        <v>6</v>
      </c>
      <c r="F3126" s="8">
        <f>VLOOKUP(financials[[#This Row],[productid]],Products!$B$2:$H$10,3)</f>
        <v>28</v>
      </c>
      <c r="G3126" s="8">
        <f>financials[[#This Row],[Units Sold]]*financials[[#This Row],[Sale Price]]</f>
        <v>168</v>
      </c>
      <c r="H3126" s="8">
        <f>IF(financials[[#This Row],[Discount Band]]="low",0.1,IF(financials[[#This Row],[Discount Band]]="medium",0.15,0.3))</f>
        <v>0.1</v>
      </c>
      <c r="I3126" s="8">
        <f>financials[[#This Row],[Gross Sales]]-financials[[#This Row],[Gross Sales]]*financials[[#This Row],[Discounts]]</f>
        <v>151.19999999999999</v>
      </c>
      <c r="J3126" s="8">
        <f>VLOOKUP(financials[[#This Row],[productid]],Products!$B$2:$H$10,4)</f>
        <v>15</v>
      </c>
      <c r="K3126" s="8">
        <f>financials[[#This Row],[Net Sales]]-financials[[#This Row],[COGS]]</f>
        <v>136.19999999999999</v>
      </c>
      <c r="L3126" s="15">
        <v>43967</v>
      </c>
      <c r="M3126" t="s">
        <v>691</v>
      </c>
    </row>
    <row r="3127" spans="1:13" x14ac:dyDescent="0.25">
      <c r="A3127" t="s">
        <v>88</v>
      </c>
      <c r="B3127" s="6" t="s">
        <v>125</v>
      </c>
      <c r="C3127" s="13">
        <v>102</v>
      </c>
      <c r="D3127" s="14" t="s">
        <v>83</v>
      </c>
      <c r="E3127">
        <v>15</v>
      </c>
      <c r="F3127" s="8">
        <f>VLOOKUP(financials[[#This Row],[productid]],Products!$B$2:$H$10,3)</f>
        <v>15</v>
      </c>
      <c r="G3127" s="8">
        <f>financials[[#This Row],[Units Sold]]*financials[[#This Row],[Sale Price]]</f>
        <v>225</v>
      </c>
      <c r="H3127" s="8">
        <f>IF(financials[[#This Row],[Discount Band]]="low",0.1,IF(financials[[#This Row],[Discount Band]]="medium",0.15,0.3))</f>
        <v>0.3</v>
      </c>
      <c r="I3127" s="8">
        <f>financials[[#This Row],[Gross Sales]]-financials[[#This Row],[Gross Sales]]*financials[[#This Row],[Discounts]]</f>
        <v>157.5</v>
      </c>
      <c r="J3127" s="8">
        <f>VLOOKUP(financials[[#This Row],[productid]],Products!$B$2:$H$10,4)</f>
        <v>13.95</v>
      </c>
      <c r="K3127" s="8">
        <f>financials[[#This Row],[Net Sales]]-financials[[#This Row],[COGS]]</f>
        <v>143.55000000000001</v>
      </c>
      <c r="L3127" s="15">
        <v>45322</v>
      </c>
      <c r="M3127" t="s">
        <v>691</v>
      </c>
    </row>
    <row r="3128" spans="1:13" x14ac:dyDescent="0.25">
      <c r="A3128" t="s">
        <v>88</v>
      </c>
      <c r="B3128" s="6" t="s">
        <v>240</v>
      </c>
      <c r="C3128" s="13">
        <v>105</v>
      </c>
      <c r="D3128" s="14" t="s">
        <v>83</v>
      </c>
      <c r="E3128">
        <v>7</v>
      </c>
      <c r="F3128" s="8">
        <f>VLOOKUP(financials[[#This Row],[productid]],Products!$B$2:$H$10,3)</f>
        <v>15</v>
      </c>
      <c r="G3128" s="8">
        <f>financials[[#This Row],[Units Sold]]*financials[[#This Row],[Sale Price]]</f>
        <v>105</v>
      </c>
      <c r="H3128" s="8">
        <f>IF(financials[[#This Row],[Discount Band]]="low",0.1,IF(financials[[#This Row],[Discount Band]]="medium",0.15,0.3))</f>
        <v>0.3</v>
      </c>
      <c r="I3128" s="8">
        <f>financials[[#This Row],[Gross Sales]]-financials[[#This Row],[Gross Sales]]*financials[[#This Row],[Discounts]]</f>
        <v>73.5</v>
      </c>
      <c r="J3128" s="8">
        <f>VLOOKUP(financials[[#This Row],[productid]],Products!$B$2:$H$10,4)</f>
        <v>10</v>
      </c>
      <c r="K3128" s="8">
        <f>financials[[#This Row],[Net Sales]]-financials[[#This Row],[COGS]]</f>
        <v>63.5</v>
      </c>
      <c r="L3128" s="15">
        <v>44585</v>
      </c>
      <c r="M3128" t="s">
        <v>690</v>
      </c>
    </row>
    <row r="3129" spans="1:13" x14ac:dyDescent="0.25">
      <c r="A3129" t="s">
        <v>88</v>
      </c>
      <c r="B3129" s="6" t="s">
        <v>240</v>
      </c>
      <c r="C3129" s="13">
        <v>106</v>
      </c>
      <c r="D3129" s="14" t="s">
        <v>83</v>
      </c>
      <c r="E3129">
        <v>5</v>
      </c>
      <c r="F3129" s="8">
        <f>VLOOKUP(financials[[#This Row],[productid]],Products!$B$2:$H$10,3)</f>
        <v>25</v>
      </c>
      <c r="G3129" s="8">
        <f>financials[[#This Row],[Units Sold]]*financials[[#This Row],[Sale Price]]</f>
        <v>125</v>
      </c>
      <c r="H3129" s="8">
        <f>IF(financials[[#This Row],[Discount Band]]="low",0.1,IF(financials[[#This Row],[Discount Band]]="medium",0.15,0.3))</f>
        <v>0.3</v>
      </c>
      <c r="I3129" s="8">
        <f>financials[[#This Row],[Gross Sales]]-financials[[#This Row],[Gross Sales]]*financials[[#This Row],[Discounts]]</f>
        <v>87.5</v>
      </c>
      <c r="J3129" s="8">
        <f>VLOOKUP(financials[[#This Row],[productid]],Products!$B$2:$H$10,4)</f>
        <v>9.1</v>
      </c>
      <c r="K3129" s="8">
        <f>financials[[#This Row],[Net Sales]]-financials[[#This Row],[COGS]]</f>
        <v>78.400000000000006</v>
      </c>
      <c r="L3129" s="15">
        <v>45575</v>
      </c>
      <c r="M3129" t="s">
        <v>690</v>
      </c>
    </row>
    <row r="3130" spans="1:13" x14ac:dyDescent="0.25">
      <c r="A3130" t="s">
        <v>88</v>
      </c>
      <c r="B3130" s="6" t="s">
        <v>266</v>
      </c>
      <c r="C3130" s="13">
        <v>102</v>
      </c>
      <c r="D3130" s="14" t="s">
        <v>90</v>
      </c>
      <c r="E3130">
        <v>10</v>
      </c>
      <c r="F3130" s="8">
        <f>VLOOKUP(financials[[#This Row],[productid]],Products!$B$2:$H$10,3)</f>
        <v>15</v>
      </c>
      <c r="G3130" s="8">
        <f>financials[[#This Row],[Units Sold]]*financials[[#This Row],[Sale Price]]</f>
        <v>150</v>
      </c>
      <c r="H3130" s="8">
        <f>IF(financials[[#This Row],[Discount Band]]="low",0.1,IF(financials[[#This Row],[Discount Band]]="medium",0.15,0.3))</f>
        <v>0.15</v>
      </c>
      <c r="I3130" s="8">
        <f>financials[[#This Row],[Gross Sales]]-financials[[#This Row],[Gross Sales]]*financials[[#This Row],[Discounts]]</f>
        <v>127.5</v>
      </c>
      <c r="J3130" s="8">
        <f>VLOOKUP(financials[[#This Row],[productid]],Products!$B$2:$H$10,4)</f>
        <v>13.95</v>
      </c>
      <c r="K3130" s="8">
        <f>financials[[#This Row],[Net Sales]]-financials[[#This Row],[COGS]]</f>
        <v>113.55</v>
      </c>
      <c r="L3130" s="15">
        <v>45024</v>
      </c>
      <c r="M3130" t="s">
        <v>700</v>
      </c>
    </row>
    <row r="3131" spans="1:13" x14ac:dyDescent="0.25">
      <c r="A3131" t="s">
        <v>86</v>
      </c>
      <c r="B3131" s="6" t="s">
        <v>148</v>
      </c>
      <c r="C3131" s="13">
        <v>109</v>
      </c>
      <c r="D3131" s="14" t="s">
        <v>90</v>
      </c>
      <c r="E3131">
        <v>9</v>
      </c>
      <c r="F3131" s="8">
        <f>VLOOKUP(financials[[#This Row],[productid]],Products!$B$2:$H$10,3)</f>
        <v>36</v>
      </c>
      <c r="G3131" s="8">
        <f>financials[[#This Row],[Units Sold]]*financials[[#This Row],[Sale Price]]</f>
        <v>324</v>
      </c>
      <c r="H3131" s="8">
        <f>IF(financials[[#This Row],[Discount Band]]="low",0.1,IF(financials[[#This Row],[Discount Band]]="medium",0.15,0.3))</f>
        <v>0.15</v>
      </c>
      <c r="I3131" s="8">
        <f>financials[[#This Row],[Gross Sales]]-financials[[#This Row],[Gross Sales]]*financials[[#This Row],[Discounts]]</f>
        <v>275.39999999999998</v>
      </c>
      <c r="J3131" s="8">
        <f>VLOOKUP(financials[[#This Row],[productid]],Products!$B$2:$H$10,4)</f>
        <v>16.8</v>
      </c>
      <c r="K3131" s="8">
        <f>financials[[#This Row],[Net Sales]]-financials[[#This Row],[COGS]]</f>
        <v>258.59999999999997</v>
      </c>
      <c r="L3131" s="15">
        <v>45404</v>
      </c>
      <c r="M3131" t="s">
        <v>690</v>
      </c>
    </row>
    <row r="3132" spans="1:13" x14ac:dyDescent="0.25">
      <c r="A3132" t="s">
        <v>86</v>
      </c>
      <c r="B3132" s="6" t="s">
        <v>148</v>
      </c>
      <c r="C3132" s="13">
        <v>102</v>
      </c>
      <c r="D3132" s="14" t="s">
        <v>90</v>
      </c>
      <c r="E3132">
        <v>8</v>
      </c>
      <c r="F3132" s="8">
        <f>VLOOKUP(financials[[#This Row],[productid]],Products!$B$2:$H$10,3)</f>
        <v>15</v>
      </c>
      <c r="G3132" s="8">
        <f>financials[[#This Row],[Units Sold]]*financials[[#This Row],[Sale Price]]</f>
        <v>120</v>
      </c>
      <c r="H3132" s="8">
        <f>IF(financials[[#This Row],[Discount Band]]="low",0.1,IF(financials[[#This Row],[Discount Band]]="medium",0.15,0.3))</f>
        <v>0.15</v>
      </c>
      <c r="I3132" s="8">
        <f>financials[[#This Row],[Gross Sales]]-financials[[#This Row],[Gross Sales]]*financials[[#This Row],[Discounts]]</f>
        <v>102</v>
      </c>
      <c r="J3132" s="8">
        <f>VLOOKUP(financials[[#This Row],[productid]],Products!$B$2:$H$10,4)</f>
        <v>13.95</v>
      </c>
      <c r="K3132" s="8">
        <f>financials[[#This Row],[Net Sales]]-financials[[#This Row],[COGS]]</f>
        <v>88.05</v>
      </c>
      <c r="L3132" s="15">
        <v>43982</v>
      </c>
      <c r="M3132" t="s">
        <v>700</v>
      </c>
    </row>
    <row r="3133" spans="1:13" x14ac:dyDescent="0.25">
      <c r="A3133" t="s">
        <v>87</v>
      </c>
      <c r="B3133" s="6" t="s">
        <v>205</v>
      </c>
      <c r="C3133" s="13">
        <v>109</v>
      </c>
      <c r="D3133" s="14" t="s">
        <v>83</v>
      </c>
      <c r="E3133">
        <v>17</v>
      </c>
      <c r="F3133" s="8">
        <f>VLOOKUP(financials[[#This Row],[productid]],Products!$B$2:$H$10,3)</f>
        <v>36</v>
      </c>
      <c r="G3133" s="8">
        <f>financials[[#This Row],[Units Sold]]*financials[[#This Row],[Sale Price]]</f>
        <v>612</v>
      </c>
      <c r="H3133" s="8">
        <f>IF(financials[[#This Row],[Discount Band]]="low",0.1,IF(financials[[#This Row],[Discount Band]]="medium",0.15,0.3))</f>
        <v>0.3</v>
      </c>
      <c r="I3133" s="8">
        <f>financials[[#This Row],[Gross Sales]]-financials[[#This Row],[Gross Sales]]*financials[[#This Row],[Discounts]]</f>
        <v>428.4</v>
      </c>
      <c r="J3133" s="8">
        <f>VLOOKUP(financials[[#This Row],[productid]],Products!$B$2:$H$10,4)</f>
        <v>16.8</v>
      </c>
      <c r="K3133" s="8">
        <f>financials[[#This Row],[Net Sales]]-financials[[#This Row],[COGS]]</f>
        <v>411.59999999999997</v>
      </c>
      <c r="L3133" s="15">
        <v>44275</v>
      </c>
      <c r="M3133" t="s">
        <v>696</v>
      </c>
    </row>
    <row r="3134" spans="1:13" x14ac:dyDescent="0.25">
      <c r="A3134" t="s">
        <v>86</v>
      </c>
      <c r="B3134" s="6" t="s">
        <v>159</v>
      </c>
      <c r="C3134" s="11">
        <v>101</v>
      </c>
      <c r="D3134" s="9" t="s">
        <v>92</v>
      </c>
      <c r="E3134">
        <v>9</v>
      </c>
      <c r="F3134" s="8">
        <f>VLOOKUP(financials[[#This Row],[productid]],Products!$B$2:$H$10,3)</f>
        <v>23</v>
      </c>
      <c r="G3134" s="8">
        <f>financials[[#This Row],[Units Sold]]*financials[[#This Row],[Sale Price]]</f>
        <v>207</v>
      </c>
      <c r="H3134" s="8">
        <f>IF(financials[[#This Row],[Discount Band]]="low",0.1,IF(financials[[#This Row],[Discount Band]]="medium",0.15,0.3))</f>
        <v>0.3</v>
      </c>
      <c r="I3134" s="8">
        <f>financials[[#This Row],[Gross Sales]]-financials[[#This Row],[Gross Sales]]*financials[[#This Row],[Discounts]]</f>
        <v>144.9</v>
      </c>
      <c r="J3134" s="8">
        <f>VLOOKUP(financials[[#This Row],[productid]],Products!$B$2:$H$10,4)</f>
        <v>9.9499999999999993</v>
      </c>
      <c r="K3134" s="8">
        <f>financials[[#This Row],[Net Sales]]-financials[[#This Row],[COGS]]</f>
        <v>134.95000000000002</v>
      </c>
      <c r="L3134" s="15">
        <v>43977</v>
      </c>
      <c r="M3134" t="s">
        <v>700</v>
      </c>
    </row>
    <row r="3135" spans="1:13" x14ac:dyDescent="0.25">
      <c r="A3135" t="s">
        <v>88</v>
      </c>
      <c r="B3135" s="6" t="s">
        <v>197</v>
      </c>
      <c r="C3135" s="13">
        <v>108</v>
      </c>
      <c r="D3135" s="14" t="s">
        <v>90</v>
      </c>
      <c r="E3135">
        <v>9</v>
      </c>
      <c r="F3135" s="8">
        <f>VLOOKUP(financials[[#This Row],[productid]],Products!$B$2:$H$10,3)</f>
        <v>5.5</v>
      </c>
      <c r="G3135" s="8">
        <f>financials[[#This Row],[Units Sold]]*financials[[#This Row],[Sale Price]]</f>
        <v>49.5</v>
      </c>
      <c r="H3135" s="8">
        <f>IF(financials[[#This Row],[Discount Band]]="low",0.1,IF(financials[[#This Row],[Discount Band]]="medium",0.15,0.3))</f>
        <v>0.15</v>
      </c>
      <c r="I3135" s="8">
        <f>financials[[#This Row],[Gross Sales]]-financials[[#This Row],[Gross Sales]]*financials[[#This Row],[Discounts]]</f>
        <v>42.075000000000003</v>
      </c>
      <c r="J3135" s="8">
        <f>VLOOKUP(financials[[#This Row],[productid]],Products!$B$2:$H$10,4)</f>
        <v>3.99</v>
      </c>
      <c r="K3135" s="8">
        <f>financials[[#This Row],[Net Sales]]-financials[[#This Row],[COGS]]</f>
        <v>38.085000000000001</v>
      </c>
      <c r="L3135" s="15">
        <v>45269</v>
      </c>
      <c r="M3135" t="s">
        <v>691</v>
      </c>
    </row>
    <row r="3136" spans="1:13" x14ac:dyDescent="0.25">
      <c r="A3136" t="s">
        <v>89</v>
      </c>
      <c r="B3136" s="6" t="s">
        <v>159</v>
      </c>
      <c r="C3136" s="13">
        <v>108</v>
      </c>
      <c r="D3136" s="14" t="s">
        <v>83</v>
      </c>
      <c r="E3136">
        <v>19</v>
      </c>
      <c r="F3136" s="8">
        <f>VLOOKUP(financials[[#This Row],[productid]],Products!$B$2:$H$10,3)</f>
        <v>5.5</v>
      </c>
      <c r="G3136" s="8">
        <f>financials[[#This Row],[Units Sold]]*financials[[#This Row],[Sale Price]]</f>
        <v>104.5</v>
      </c>
      <c r="H3136" s="8">
        <f>IF(financials[[#This Row],[Discount Band]]="low",0.1,IF(financials[[#This Row],[Discount Band]]="medium",0.15,0.3))</f>
        <v>0.3</v>
      </c>
      <c r="I3136" s="8">
        <f>financials[[#This Row],[Gross Sales]]-financials[[#This Row],[Gross Sales]]*financials[[#This Row],[Discounts]]</f>
        <v>73.150000000000006</v>
      </c>
      <c r="J3136" s="8">
        <f>VLOOKUP(financials[[#This Row],[productid]],Products!$B$2:$H$10,4)</f>
        <v>3.99</v>
      </c>
      <c r="K3136" s="8">
        <f>financials[[#This Row],[Net Sales]]-financials[[#This Row],[COGS]]</f>
        <v>69.160000000000011</v>
      </c>
      <c r="L3136" s="15">
        <v>44310</v>
      </c>
      <c r="M3136" t="s">
        <v>697</v>
      </c>
    </row>
    <row r="3137" spans="1:13" x14ac:dyDescent="0.25">
      <c r="A3137" t="s">
        <v>86</v>
      </c>
      <c r="B3137" s="6" t="s">
        <v>93</v>
      </c>
      <c r="C3137" s="11">
        <v>104</v>
      </c>
      <c r="D3137" s="9" t="s">
        <v>83</v>
      </c>
      <c r="E3137">
        <v>7</v>
      </c>
      <c r="F3137" s="8">
        <f>VLOOKUP(financials[[#This Row],[productid]],Products!$B$2:$H$10,3)</f>
        <v>5.9</v>
      </c>
      <c r="G3137" s="8">
        <f>financials[[#This Row],[Units Sold]]*financials[[#This Row],[Sale Price]]</f>
        <v>41.300000000000004</v>
      </c>
      <c r="H3137" s="8">
        <f>IF(financials[[#This Row],[Discount Band]]="low",0.1,IF(financials[[#This Row],[Discount Band]]="medium",0.15,0.3))</f>
        <v>0.3</v>
      </c>
      <c r="I3137" s="8">
        <f>financials[[#This Row],[Gross Sales]]-financials[[#This Row],[Gross Sales]]*financials[[#This Row],[Discounts]]</f>
        <v>28.910000000000004</v>
      </c>
      <c r="J3137" s="8">
        <f>VLOOKUP(financials[[#This Row],[productid]],Products!$B$2:$H$10,4)</f>
        <v>2.9</v>
      </c>
      <c r="K3137" s="8">
        <f>financials[[#This Row],[Net Sales]]-financials[[#This Row],[COGS]]</f>
        <v>26.010000000000005</v>
      </c>
      <c r="L3137" s="15">
        <v>44681</v>
      </c>
      <c r="M3137" t="s">
        <v>696</v>
      </c>
    </row>
    <row r="3138" spans="1:13" x14ac:dyDescent="0.25">
      <c r="A3138" t="s">
        <v>86</v>
      </c>
      <c r="B3138" s="6" t="s">
        <v>159</v>
      </c>
      <c r="C3138" s="13">
        <v>107</v>
      </c>
      <c r="D3138" s="14" t="s">
        <v>90</v>
      </c>
      <c r="E3138">
        <v>10</v>
      </c>
      <c r="F3138" s="8">
        <f>VLOOKUP(financials[[#This Row],[productid]],Products!$B$2:$H$10,3)</f>
        <v>15</v>
      </c>
      <c r="G3138" s="8">
        <f>financials[[#This Row],[Units Sold]]*financials[[#This Row],[Sale Price]]</f>
        <v>150</v>
      </c>
      <c r="H3138" s="8">
        <f>IF(financials[[#This Row],[Discount Band]]="low",0.1,IF(financials[[#This Row],[Discount Band]]="medium",0.15,0.3))</f>
        <v>0.15</v>
      </c>
      <c r="I3138" s="8">
        <f>financials[[#This Row],[Gross Sales]]-financials[[#This Row],[Gross Sales]]*financials[[#This Row],[Discounts]]</f>
        <v>127.5</v>
      </c>
      <c r="J3138" s="8">
        <f>VLOOKUP(financials[[#This Row],[productid]],Products!$B$2:$H$10,4)</f>
        <v>5.5</v>
      </c>
      <c r="K3138" s="8">
        <f>financials[[#This Row],[Net Sales]]-financials[[#This Row],[COGS]]</f>
        <v>122</v>
      </c>
      <c r="L3138" s="15">
        <v>44241</v>
      </c>
      <c r="M3138" t="s">
        <v>700</v>
      </c>
    </row>
    <row r="3139" spans="1:13" x14ac:dyDescent="0.25">
      <c r="A3139" t="s">
        <v>87</v>
      </c>
      <c r="B3139" s="6" t="s">
        <v>276</v>
      </c>
      <c r="C3139" s="13">
        <v>102</v>
      </c>
      <c r="D3139" s="14" t="s">
        <v>91</v>
      </c>
      <c r="E3139">
        <v>10</v>
      </c>
      <c r="F3139" s="8">
        <f>VLOOKUP(financials[[#This Row],[productid]],Products!$B$2:$H$10,3)</f>
        <v>15</v>
      </c>
      <c r="G3139" s="8">
        <f>financials[[#This Row],[Units Sold]]*financials[[#This Row],[Sale Price]]</f>
        <v>150</v>
      </c>
      <c r="H3139" s="8">
        <f>IF(financials[[#This Row],[Discount Band]]="low",0.1,IF(financials[[#This Row],[Discount Band]]="medium",0.15,0.3))</f>
        <v>0.1</v>
      </c>
      <c r="I3139" s="8">
        <f>financials[[#This Row],[Gross Sales]]-financials[[#This Row],[Gross Sales]]*financials[[#This Row],[Discounts]]</f>
        <v>135</v>
      </c>
      <c r="J3139" s="8">
        <f>VLOOKUP(financials[[#This Row],[productid]],Products!$B$2:$H$10,4)</f>
        <v>13.95</v>
      </c>
      <c r="K3139" s="8">
        <f>financials[[#This Row],[Net Sales]]-financials[[#This Row],[COGS]]</f>
        <v>121.05</v>
      </c>
      <c r="L3139" s="15">
        <v>44550</v>
      </c>
      <c r="M3139" t="s">
        <v>697</v>
      </c>
    </row>
    <row r="3140" spans="1:13" x14ac:dyDescent="0.25">
      <c r="A3140" t="s">
        <v>88</v>
      </c>
      <c r="B3140" s="6" t="s">
        <v>287</v>
      </c>
      <c r="C3140" s="13">
        <v>103</v>
      </c>
      <c r="D3140" s="14" t="s">
        <v>83</v>
      </c>
      <c r="E3140">
        <v>20</v>
      </c>
      <c r="F3140" s="8">
        <f>VLOOKUP(financials[[#This Row],[productid]],Products!$B$2:$H$10,3)</f>
        <v>28</v>
      </c>
      <c r="G3140" s="8">
        <f>financials[[#This Row],[Units Sold]]*financials[[#This Row],[Sale Price]]</f>
        <v>560</v>
      </c>
      <c r="H3140" s="8">
        <f>IF(financials[[#This Row],[Discount Band]]="low",0.1,IF(financials[[#This Row],[Discount Band]]="medium",0.15,0.3))</f>
        <v>0.3</v>
      </c>
      <c r="I3140" s="8">
        <f>financials[[#This Row],[Gross Sales]]-financials[[#This Row],[Gross Sales]]*financials[[#This Row],[Discounts]]</f>
        <v>392</v>
      </c>
      <c r="J3140" s="8">
        <f>VLOOKUP(financials[[#This Row],[productid]],Products!$B$2:$H$10,4)</f>
        <v>15</v>
      </c>
      <c r="K3140" s="8">
        <f>financials[[#This Row],[Net Sales]]-financials[[#This Row],[COGS]]</f>
        <v>377</v>
      </c>
      <c r="L3140" s="15">
        <v>44283</v>
      </c>
      <c r="M3140" t="s">
        <v>700</v>
      </c>
    </row>
    <row r="3141" spans="1:13" x14ac:dyDescent="0.25">
      <c r="A3141" t="s">
        <v>88</v>
      </c>
      <c r="B3141" s="6" t="s">
        <v>274</v>
      </c>
      <c r="C3141" s="13">
        <v>106</v>
      </c>
      <c r="D3141" s="14" t="s">
        <v>83</v>
      </c>
      <c r="E3141">
        <v>20</v>
      </c>
      <c r="F3141" s="8">
        <f>VLOOKUP(financials[[#This Row],[productid]],Products!$B$2:$H$10,3)</f>
        <v>25</v>
      </c>
      <c r="G3141" s="8">
        <f>financials[[#This Row],[Units Sold]]*financials[[#This Row],[Sale Price]]</f>
        <v>500</v>
      </c>
      <c r="H3141" s="8">
        <f>IF(financials[[#This Row],[Discount Band]]="low",0.1,IF(financials[[#This Row],[Discount Band]]="medium",0.15,0.3))</f>
        <v>0.3</v>
      </c>
      <c r="I3141" s="8">
        <f>financials[[#This Row],[Gross Sales]]-financials[[#This Row],[Gross Sales]]*financials[[#This Row],[Discounts]]</f>
        <v>350</v>
      </c>
      <c r="J3141" s="8">
        <f>VLOOKUP(financials[[#This Row],[productid]],Products!$B$2:$H$10,4)</f>
        <v>9.1</v>
      </c>
      <c r="K3141" s="8">
        <f>financials[[#This Row],[Net Sales]]-financials[[#This Row],[COGS]]</f>
        <v>340.9</v>
      </c>
      <c r="L3141" s="15">
        <v>45031</v>
      </c>
      <c r="M3141" t="s">
        <v>700</v>
      </c>
    </row>
    <row r="3142" spans="1:13" x14ac:dyDescent="0.25">
      <c r="A3142" t="s">
        <v>87</v>
      </c>
      <c r="B3142" s="6" t="s">
        <v>95</v>
      </c>
      <c r="C3142" s="13">
        <v>109</v>
      </c>
      <c r="D3142" s="14" t="s">
        <v>92</v>
      </c>
      <c r="E3142">
        <v>5</v>
      </c>
      <c r="F3142" s="8">
        <f>VLOOKUP(financials[[#This Row],[productid]],Products!$B$2:$H$10,3)</f>
        <v>36</v>
      </c>
      <c r="G3142" s="8">
        <f>financials[[#This Row],[Units Sold]]*financials[[#This Row],[Sale Price]]</f>
        <v>180</v>
      </c>
      <c r="H3142" s="8">
        <f>IF(financials[[#This Row],[Discount Band]]="low",0.1,IF(financials[[#This Row],[Discount Band]]="medium",0.15,0.3))</f>
        <v>0.3</v>
      </c>
      <c r="I3142" s="8">
        <f>financials[[#This Row],[Gross Sales]]-financials[[#This Row],[Gross Sales]]*financials[[#This Row],[Discounts]]</f>
        <v>126</v>
      </c>
      <c r="J3142" s="8">
        <f>VLOOKUP(financials[[#This Row],[productid]],Products!$B$2:$H$10,4)</f>
        <v>16.8</v>
      </c>
      <c r="K3142" s="8">
        <f>financials[[#This Row],[Net Sales]]-financials[[#This Row],[COGS]]</f>
        <v>109.2</v>
      </c>
      <c r="L3142" s="15">
        <v>45347</v>
      </c>
      <c r="M3142" t="s">
        <v>690</v>
      </c>
    </row>
    <row r="3143" spans="1:13" x14ac:dyDescent="0.25">
      <c r="A3143" t="s">
        <v>86</v>
      </c>
      <c r="B3143" s="6" t="s">
        <v>287</v>
      </c>
      <c r="C3143" s="13">
        <v>102</v>
      </c>
      <c r="D3143" s="14" t="s">
        <v>90</v>
      </c>
      <c r="E3143">
        <v>19</v>
      </c>
      <c r="F3143" s="8">
        <f>VLOOKUP(financials[[#This Row],[productid]],Products!$B$2:$H$10,3)</f>
        <v>15</v>
      </c>
      <c r="G3143" s="8">
        <f>financials[[#This Row],[Units Sold]]*financials[[#This Row],[Sale Price]]</f>
        <v>285</v>
      </c>
      <c r="H3143" s="8">
        <f>IF(financials[[#This Row],[Discount Band]]="low",0.1,IF(financials[[#This Row],[Discount Band]]="medium",0.15,0.3))</f>
        <v>0.15</v>
      </c>
      <c r="I3143" s="8">
        <f>financials[[#This Row],[Gross Sales]]-financials[[#This Row],[Gross Sales]]*financials[[#This Row],[Discounts]]</f>
        <v>242.25</v>
      </c>
      <c r="J3143" s="8">
        <f>VLOOKUP(financials[[#This Row],[productid]],Products!$B$2:$H$10,4)</f>
        <v>13.95</v>
      </c>
      <c r="K3143" s="8">
        <f>financials[[#This Row],[Net Sales]]-financials[[#This Row],[COGS]]</f>
        <v>228.3</v>
      </c>
      <c r="L3143" s="15">
        <v>45233</v>
      </c>
      <c r="M3143" t="s">
        <v>690</v>
      </c>
    </row>
    <row r="3144" spans="1:13" x14ac:dyDescent="0.25">
      <c r="A3144" t="s">
        <v>86</v>
      </c>
      <c r="B3144" s="6" t="s">
        <v>148</v>
      </c>
      <c r="C3144" s="13">
        <v>103</v>
      </c>
      <c r="D3144" s="14" t="s">
        <v>91</v>
      </c>
      <c r="E3144">
        <v>7</v>
      </c>
      <c r="F3144" s="8">
        <f>VLOOKUP(financials[[#This Row],[productid]],Products!$B$2:$H$10,3)</f>
        <v>28</v>
      </c>
      <c r="G3144" s="8">
        <f>financials[[#This Row],[Units Sold]]*financials[[#This Row],[Sale Price]]</f>
        <v>196</v>
      </c>
      <c r="H3144" s="8">
        <f>IF(financials[[#This Row],[Discount Band]]="low",0.1,IF(financials[[#This Row],[Discount Band]]="medium",0.15,0.3))</f>
        <v>0.1</v>
      </c>
      <c r="I3144" s="8">
        <f>financials[[#This Row],[Gross Sales]]-financials[[#This Row],[Gross Sales]]*financials[[#This Row],[Discounts]]</f>
        <v>176.4</v>
      </c>
      <c r="J3144" s="8">
        <f>VLOOKUP(financials[[#This Row],[productid]],Products!$B$2:$H$10,4)</f>
        <v>15</v>
      </c>
      <c r="K3144" s="8">
        <f>financials[[#This Row],[Net Sales]]-financials[[#This Row],[COGS]]</f>
        <v>161.4</v>
      </c>
      <c r="L3144" s="15">
        <v>45219</v>
      </c>
      <c r="M3144" t="s">
        <v>696</v>
      </c>
    </row>
    <row r="3145" spans="1:13" x14ac:dyDescent="0.25">
      <c r="A3145" t="s">
        <v>88</v>
      </c>
      <c r="B3145" s="6" t="s">
        <v>545</v>
      </c>
      <c r="C3145" s="13">
        <v>101</v>
      </c>
      <c r="D3145" s="14" t="s">
        <v>83</v>
      </c>
      <c r="E3145">
        <v>7</v>
      </c>
      <c r="F3145" s="8">
        <f>VLOOKUP(financials[[#This Row],[productid]],Products!$B$2:$H$10,3)</f>
        <v>23</v>
      </c>
      <c r="G3145" s="8">
        <f>financials[[#This Row],[Units Sold]]*financials[[#This Row],[Sale Price]]</f>
        <v>161</v>
      </c>
      <c r="H3145" s="8">
        <f>IF(financials[[#This Row],[Discount Band]]="low",0.1,IF(financials[[#This Row],[Discount Band]]="medium",0.15,0.3))</f>
        <v>0.3</v>
      </c>
      <c r="I3145" s="8">
        <f>financials[[#This Row],[Gross Sales]]-financials[[#This Row],[Gross Sales]]*financials[[#This Row],[Discounts]]</f>
        <v>112.7</v>
      </c>
      <c r="J3145" s="8">
        <f>VLOOKUP(financials[[#This Row],[productid]],Products!$B$2:$H$10,4)</f>
        <v>9.9499999999999993</v>
      </c>
      <c r="K3145" s="8">
        <f>financials[[#This Row],[Net Sales]]-financials[[#This Row],[COGS]]</f>
        <v>102.75</v>
      </c>
      <c r="L3145" s="15">
        <v>44189</v>
      </c>
      <c r="M3145" t="s">
        <v>690</v>
      </c>
    </row>
    <row r="3146" spans="1:13" x14ac:dyDescent="0.25">
      <c r="A3146" t="s">
        <v>85</v>
      </c>
      <c r="B3146" s="6" t="s">
        <v>124</v>
      </c>
      <c r="C3146" s="13">
        <v>104</v>
      </c>
      <c r="D3146" s="14" t="s">
        <v>90</v>
      </c>
      <c r="E3146">
        <v>13</v>
      </c>
      <c r="F3146" s="8">
        <f>VLOOKUP(financials[[#This Row],[productid]],Products!$B$2:$H$10,3)</f>
        <v>5.9</v>
      </c>
      <c r="G3146" s="8">
        <f>financials[[#This Row],[Units Sold]]*financials[[#This Row],[Sale Price]]</f>
        <v>76.7</v>
      </c>
      <c r="H3146" s="8">
        <f>IF(financials[[#This Row],[Discount Band]]="low",0.1,IF(financials[[#This Row],[Discount Band]]="medium",0.15,0.3))</f>
        <v>0.15</v>
      </c>
      <c r="I3146" s="8">
        <f>financials[[#This Row],[Gross Sales]]-financials[[#This Row],[Gross Sales]]*financials[[#This Row],[Discounts]]</f>
        <v>65.195000000000007</v>
      </c>
      <c r="J3146" s="8">
        <f>VLOOKUP(financials[[#This Row],[productid]],Products!$B$2:$H$10,4)</f>
        <v>2.9</v>
      </c>
      <c r="K3146" s="8">
        <f>financials[[#This Row],[Net Sales]]-financials[[#This Row],[COGS]]</f>
        <v>62.295000000000009</v>
      </c>
      <c r="L3146" s="15">
        <v>45317</v>
      </c>
      <c r="M3146" t="s">
        <v>697</v>
      </c>
    </row>
    <row r="3147" spans="1:13" x14ac:dyDescent="0.25">
      <c r="A3147" t="s">
        <v>86</v>
      </c>
      <c r="B3147" s="6" t="s">
        <v>159</v>
      </c>
      <c r="C3147" s="13">
        <v>109</v>
      </c>
      <c r="D3147" s="14" t="s">
        <v>90</v>
      </c>
      <c r="E3147">
        <v>20</v>
      </c>
      <c r="F3147" s="8">
        <f>VLOOKUP(financials[[#This Row],[productid]],Products!$B$2:$H$10,3)</f>
        <v>36</v>
      </c>
      <c r="G3147" s="8">
        <f>financials[[#This Row],[Units Sold]]*financials[[#This Row],[Sale Price]]</f>
        <v>720</v>
      </c>
      <c r="H3147" s="8">
        <f>IF(financials[[#This Row],[Discount Band]]="low",0.1,IF(financials[[#This Row],[Discount Band]]="medium",0.15,0.3))</f>
        <v>0.15</v>
      </c>
      <c r="I3147" s="8">
        <f>financials[[#This Row],[Gross Sales]]-financials[[#This Row],[Gross Sales]]*financials[[#This Row],[Discounts]]</f>
        <v>612</v>
      </c>
      <c r="J3147" s="8">
        <f>VLOOKUP(financials[[#This Row],[productid]],Products!$B$2:$H$10,4)</f>
        <v>16.8</v>
      </c>
      <c r="K3147" s="8">
        <f>financials[[#This Row],[Net Sales]]-financials[[#This Row],[COGS]]</f>
        <v>595.20000000000005</v>
      </c>
      <c r="L3147" s="15">
        <v>45275</v>
      </c>
      <c r="M3147" t="s">
        <v>691</v>
      </c>
    </row>
    <row r="3148" spans="1:13" x14ac:dyDescent="0.25">
      <c r="A3148" t="s">
        <v>86</v>
      </c>
      <c r="B3148" s="6" t="s">
        <v>287</v>
      </c>
      <c r="C3148" s="11">
        <v>101</v>
      </c>
      <c r="D3148" s="9" t="s">
        <v>91</v>
      </c>
      <c r="E3148">
        <v>10</v>
      </c>
      <c r="F3148" s="8">
        <f>VLOOKUP(financials[[#This Row],[productid]],Products!$B$2:$H$10,3)</f>
        <v>23</v>
      </c>
      <c r="G3148" s="8">
        <f>financials[[#This Row],[Units Sold]]*financials[[#This Row],[Sale Price]]</f>
        <v>230</v>
      </c>
      <c r="H3148" s="8">
        <f>IF(financials[[#This Row],[Discount Band]]="low",0.1,IF(financials[[#This Row],[Discount Band]]="medium",0.15,0.3))</f>
        <v>0.1</v>
      </c>
      <c r="I3148" s="8">
        <f>financials[[#This Row],[Gross Sales]]-financials[[#This Row],[Gross Sales]]*financials[[#This Row],[Discounts]]</f>
        <v>207</v>
      </c>
      <c r="J3148" s="8">
        <f>VLOOKUP(financials[[#This Row],[productid]],Products!$B$2:$H$10,4)</f>
        <v>9.9499999999999993</v>
      </c>
      <c r="K3148" s="8">
        <f>financials[[#This Row],[Net Sales]]-financials[[#This Row],[COGS]]</f>
        <v>197.05</v>
      </c>
      <c r="L3148" s="15">
        <v>44972</v>
      </c>
      <c r="M3148" t="s">
        <v>696</v>
      </c>
    </row>
    <row r="3149" spans="1:13" x14ac:dyDescent="0.25">
      <c r="A3149" t="s">
        <v>86</v>
      </c>
      <c r="B3149" s="6" t="s">
        <v>158</v>
      </c>
      <c r="C3149" s="13">
        <v>106</v>
      </c>
      <c r="D3149" s="14" t="s">
        <v>91</v>
      </c>
      <c r="E3149">
        <v>8</v>
      </c>
      <c r="F3149" s="8">
        <f>VLOOKUP(financials[[#This Row],[productid]],Products!$B$2:$H$10,3)</f>
        <v>25</v>
      </c>
      <c r="G3149" s="8">
        <f>financials[[#This Row],[Units Sold]]*financials[[#This Row],[Sale Price]]</f>
        <v>200</v>
      </c>
      <c r="H3149" s="8">
        <f>IF(financials[[#This Row],[Discount Band]]="low",0.1,IF(financials[[#This Row],[Discount Band]]="medium",0.15,0.3))</f>
        <v>0.1</v>
      </c>
      <c r="I3149" s="8">
        <f>financials[[#This Row],[Gross Sales]]-financials[[#This Row],[Gross Sales]]*financials[[#This Row],[Discounts]]</f>
        <v>180</v>
      </c>
      <c r="J3149" s="8">
        <f>VLOOKUP(financials[[#This Row],[productid]],Products!$B$2:$H$10,4)</f>
        <v>9.1</v>
      </c>
      <c r="K3149" s="8">
        <f>financials[[#This Row],[Net Sales]]-financials[[#This Row],[COGS]]</f>
        <v>170.9</v>
      </c>
      <c r="L3149" s="15">
        <v>44159</v>
      </c>
      <c r="M3149" t="s">
        <v>691</v>
      </c>
    </row>
    <row r="3150" spans="1:13" x14ac:dyDescent="0.25">
      <c r="A3150" t="s">
        <v>86</v>
      </c>
      <c r="B3150" s="6" t="s">
        <v>617</v>
      </c>
      <c r="C3150" s="13">
        <v>104</v>
      </c>
      <c r="D3150" s="14" t="s">
        <v>91</v>
      </c>
      <c r="E3150">
        <v>8</v>
      </c>
      <c r="F3150" s="8">
        <f>VLOOKUP(financials[[#This Row],[productid]],Products!$B$2:$H$10,3)</f>
        <v>5.9</v>
      </c>
      <c r="G3150" s="8">
        <f>financials[[#This Row],[Units Sold]]*financials[[#This Row],[Sale Price]]</f>
        <v>47.2</v>
      </c>
      <c r="H3150" s="8">
        <f>IF(financials[[#This Row],[Discount Band]]="low",0.1,IF(financials[[#This Row],[Discount Band]]="medium",0.15,0.3))</f>
        <v>0.1</v>
      </c>
      <c r="I3150" s="8">
        <f>financials[[#This Row],[Gross Sales]]-financials[[#This Row],[Gross Sales]]*financials[[#This Row],[Discounts]]</f>
        <v>42.480000000000004</v>
      </c>
      <c r="J3150" s="8">
        <f>VLOOKUP(financials[[#This Row],[productid]],Products!$B$2:$H$10,4)</f>
        <v>2.9</v>
      </c>
      <c r="K3150" s="8">
        <f>financials[[#This Row],[Net Sales]]-financials[[#This Row],[COGS]]</f>
        <v>39.580000000000005</v>
      </c>
      <c r="L3150" s="15">
        <v>44332</v>
      </c>
      <c r="M3150" t="s">
        <v>690</v>
      </c>
    </row>
    <row r="3151" spans="1:13" x14ac:dyDescent="0.25">
      <c r="A3151" t="s">
        <v>89</v>
      </c>
      <c r="B3151" s="6" t="s">
        <v>159</v>
      </c>
      <c r="C3151" s="13">
        <v>106</v>
      </c>
      <c r="D3151" s="14" t="s">
        <v>90</v>
      </c>
      <c r="E3151">
        <v>9</v>
      </c>
      <c r="F3151" s="8">
        <f>VLOOKUP(financials[[#This Row],[productid]],Products!$B$2:$H$10,3)</f>
        <v>25</v>
      </c>
      <c r="G3151" s="8">
        <f>financials[[#This Row],[Units Sold]]*financials[[#This Row],[Sale Price]]</f>
        <v>225</v>
      </c>
      <c r="H3151" s="8">
        <f>IF(financials[[#This Row],[Discount Band]]="low",0.1,IF(financials[[#This Row],[Discount Band]]="medium",0.15,0.3))</f>
        <v>0.15</v>
      </c>
      <c r="I3151" s="8">
        <f>financials[[#This Row],[Gross Sales]]-financials[[#This Row],[Gross Sales]]*financials[[#This Row],[Discounts]]</f>
        <v>191.25</v>
      </c>
      <c r="J3151" s="8">
        <f>VLOOKUP(financials[[#This Row],[productid]],Products!$B$2:$H$10,4)</f>
        <v>9.1</v>
      </c>
      <c r="K3151" s="8">
        <f>financials[[#This Row],[Net Sales]]-financials[[#This Row],[COGS]]</f>
        <v>182.15</v>
      </c>
      <c r="L3151" s="15">
        <v>44008</v>
      </c>
      <c r="M3151" t="s">
        <v>697</v>
      </c>
    </row>
    <row r="3152" spans="1:13" x14ac:dyDescent="0.25">
      <c r="A3152" t="s">
        <v>87</v>
      </c>
      <c r="B3152" s="6" t="s">
        <v>545</v>
      </c>
      <c r="C3152" s="11">
        <v>104</v>
      </c>
      <c r="D3152" s="9" t="s">
        <v>91</v>
      </c>
      <c r="E3152">
        <v>15</v>
      </c>
      <c r="F3152" s="8">
        <f>VLOOKUP(financials[[#This Row],[productid]],Products!$B$2:$H$10,3)</f>
        <v>5.9</v>
      </c>
      <c r="G3152" s="8">
        <f>financials[[#This Row],[Units Sold]]*financials[[#This Row],[Sale Price]]</f>
        <v>88.5</v>
      </c>
      <c r="H3152" s="8">
        <f>IF(financials[[#This Row],[Discount Band]]="low",0.1,IF(financials[[#This Row],[Discount Band]]="medium",0.15,0.3))</f>
        <v>0.1</v>
      </c>
      <c r="I3152" s="8">
        <f>financials[[#This Row],[Gross Sales]]-financials[[#This Row],[Gross Sales]]*financials[[#This Row],[Discounts]]</f>
        <v>79.650000000000006</v>
      </c>
      <c r="J3152" s="8">
        <f>VLOOKUP(financials[[#This Row],[productid]],Products!$B$2:$H$10,4)</f>
        <v>2.9</v>
      </c>
      <c r="K3152" s="8">
        <f>financials[[#This Row],[Net Sales]]-financials[[#This Row],[COGS]]</f>
        <v>76.75</v>
      </c>
      <c r="L3152" s="15">
        <v>44317</v>
      </c>
      <c r="M3152" t="s">
        <v>691</v>
      </c>
    </row>
    <row r="3153" spans="1:13" x14ac:dyDescent="0.25">
      <c r="A3153" t="s">
        <v>87</v>
      </c>
      <c r="B3153" s="6" t="s">
        <v>273</v>
      </c>
      <c r="C3153" s="13">
        <v>101</v>
      </c>
      <c r="D3153" s="14" t="s">
        <v>83</v>
      </c>
      <c r="E3153">
        <v>14</v>
      </c>
      <c r="F3153" s="8">
        <f>VLOOKUP(financials[[#This Row],[productid]],Products!$B$2:$H$10,3)</f>
        <v>23</v>
      </c>
      <c r="G3153" s="8">
        <f>financials[[#This Row],[Units Sold]]*financials[[#This Row],[Sale Price]]</f>
        <v>322</v>
      </c>
      <c r="H3153" s="8">
        <f>IF(financials[[#This Row],[Discount Band]]="low",0.1,IF(financials[[#This Row],[Discount Band]]="medium",0.15,0.3))</f>
        <v>0.3</v>
      </c>
      <c r="I3153" s="8">
        <f>financials[[#This Row],[Gross Sales]]-financials[[#This Row],[Gross Sales]]*financials[[#This Row],[Discounts]]</f>
        <v>225.4</v>
      </c>
      <c r="J3153" s="8">
        <f>VLOOKUP(financials[[#This Row],[productid]],Products!$B$2:$H$10,4)</f>
        <v>9.9499999999999993</v>
      </c>
      <c r="K3153" s="8">
        <f>financials[[#This Row],[Net Sales]]-financials[[#This Row],[COGS]]</f>
        <v>215.45000000000002</v>
      </c>
      <c r="L3153" s="15">
        <v>45319</v>
      </c>
      <c r="M3153" t="s">
        <v>691</v>
      </c>
    </row>
    <row r="3154" spans="1:13" x14ac:dyDescent="0.25">
      <c r="A3154" t="s">
        <v>87</v>
      </c>
      <c r="B3154" s="6" t="s">
        <v>167</v>
      </c>
      <c r="C3154" s="13">
        <v>101</v>
      </c>
      <c r="D3154" s="14" t="s">
        <v>91</v>
      </c>
      <c r="E3154">
        <v>9</v>
      </c>
      <c r="F3154" s="8">
        <f>VLOOKUP(financials[[#This Row],[productid]],Products!$B$2:$H$10,3)</f>
        <v>23</v>
      </c>
      <c r="G3154" s="8">
        <f>financials[[#This Row],[Units Sold]]*financials[[#This Row],[Sale Price]]</f>
        <v>207</v>
      </c>
      <c r="H3154" s="8">
        <f>IF(financials[[#This Row],[Discount Band]]="low",0.1,IF(financials[[#This Row],[Discount Band]]="medium",0.15,0.3))</f>
        <v>0.1</v>
      </c>
      <c r="I3154" s="8">
        <f>financials[[#This Row],[Gross Sales]]-financials[[#This Row],[Gross Sales]]*financials[[#This Row],[Discounts]]</f>
        <v>186.3</v>
      </c>
      <c r="J3154" s="8">
        <f>VLOOKUP(financials[[#This Row],[productid]],Products!$B$2:$H$10,4)</f>
        <v>9.9499999999999993</v>
      </c>
      <c r="K3154" s="8">
        <f>financials[[#This Row],[Net Sales]]-financials[[#This Row],[COGS]]</f>
        <v>176.35000000000002</v>
      </c>
      <c r="L3154" s="15">
        <v>44662</v>
      </c>
      <c r="M3154" t="s">
        <v>696</v>
      </c>
    </row>
    <row r="3155" spans="1:13" x14ac:dyDescent="0.25">
      <c r="A3155" t="s">
        <v>88</v>
      </c>
      <c r="B3155" s="6" t="s">
        <v>148</v>
      </c>
      <c r="C3155" s="13">
        <v>106</v>
      </c>
      <c r="D3155" s="14" t="s">
        <v>90</v>
      </c>
      <c r="E3155">
        <v>16</v>
      </c>
      <c r="F3155" s="8">
        <f>VLOOKUP(financials[[#This Row],[productid]],Products!$B$2:$H$10,3)</f>
        <v>25</v>
      </c>
      <c r="G3155" s="8">
        <f>financials[[#This Row],[Units Sold]]*financials[[#This Row],[Sale Price]]</f>
        <v>400</v>
      </c>
      <c r="H3155" s="8">
        <f>IF(financials[[#This Row],[Discount Band]]="low",0.1,IF(financials[[#This Row],[Discount Band]]="medium",0.15,0.3))</f>
        <v>0.15</v>
      </c>
      <c r="I3155" s="8">
        <f>financials[[#This Row],[Gross Sales]]-financials[[#This Row],[Gross Sales]]*financials[[#This Row],[Discounts]]</f>
        <v>340</v>
      </c>
      <c r="J3155" s="8">
        <f>VLOOKUP(financials[[#This Row],[productid]],Products!$B$2:$H$10,4)</f>
        <v>9.1</v>
      </c>
      <c r="K3155" s="8">
        <f>financials[[#This Row],[Net Sales]]-financials[[#This Row],[COGS]]</f>
        <v>330.9</v>
      </c>
      <c r="L3155" s="15">
        <v>44188</v>
      </c>
      <c r="M3155" t="s">
        <v>691</v>
      </c>
    </row>
    <row r="3156" spans="1:13" x14ac:dyDescent="0.25">
      <c r="A3156" t="s">
        <v>88</v>
      </c>
      <c r="B3156" s="6" t="s">
        <v>266</v>
      </c>
      <c r="C3156" s="13">
        <v>107</v>
      </c>
      <c r="D3156" s="14" t="s">
        <v>83</v>
      </c>
      <c r="E3156">
        <v>17</v>
      </c>
      <c r="F3156" s="8">
        <f>VLOOKUP(financials[[#This Row],[productid]],Products!$B$2:$H$10,3)</f>
        <v>15</v>
      </c>
      <c r="G3156" s="8">
        <f>financials[[#This Row],[Units Sold]]*financials[[#This Row],[Sale Price]]</f>
        <v>255</v>
      </c>
      <c r="H3156" s="8">
        <f>IF(financials[[#This Row],[Discount Band]]="low",0.1,IF(financials[[#This Row],[Discount Band]]="medium",0.15,0.3))</f>
        <v>0.3</v>
      </c>
      <c r="I3156" s="8">
        <f>financials[[#This Row],[Gross Sales]]-financials[[#This Row],[Gross Sales]]*financials[[#This Row],[Discounts]]</f>
        <v>178.5</v>
      </c>
      <c r="J3156" s="8">
        <f>VLOOKUP(financials[[#This Row],[productid]],Products!$B$2:$H$10,4)</f>
        <v>5.5</v>
      </c>
      <c r="K3156" s="8">
        <f>financials[[#This Row],[Net Sales]]-financials[[#This Row],[COGS]]</f>
        <v>173</v>
      </c>
      <c r="L3156" s="15">
        <v>45283</v>
      </c>
      <c r="M3156" t="s">
        <v>691</v>
      </c>
    </row>
    <row r="3157" spans="1:13" x14ac:dyDescent="0.25">
      <c r="A3157" t="s">
        <v>88</v>
      </c>
      <c r="B3157" s="6" t="s">
        <v>617</v>
      </c>
      <c r="C3157" s="13">
        <v>106</v>
      </c>
      <c r="D3157" s="14" t="s">
        <v>83</v>
      </c>
      <c r="E3157">
        <v>17</v>
      </c>
      <c r="F3157" s="8">
        <f>VLOOKUP(financials[[#This Row],[productid]],Products!$B$2:$H$10,3)</f>
        <v>25</v>
      </c>
      <c r="G3157" s="8">
        <f>financials[[#This Row],[Units Sold]]*financials[[#This Row],[Sale Price]]</f>
        <v>425</v>
      </c>
      <c r="H3157" s="8">
        <f>IF(financials[[#This Row],[Discount Band]]="low",0.1,IF(financials[[#This Row],[Discount Band]]="medium",0.15,0.3))</f>
        <v>0.3</v>
      </c>
      <c r="I3157" s="8">
        <f>financials[[#This Row],[Gross Sales]]-financials[[#This Row],[Gross Sales]]*financials[[#This Row],[Discounts]]</f>
        <v>297.5</v>
      </c>
      <c r="J3157" s="8">
        <f>VLOOKUP(financials[[#This Row],[productid]],Products!$B$2:$H$10,4)</f>
        <v>9.1</v>
      </c>
      <c r="K3157" s="8">
        <f>financials[[#This Row],[Net Sales]]-financials[[#This Row],[COGS]]</f>
        <v>288.39999999999998</v>
      </c>
      <c r="L3157" s="15">
        <v>44795</v>
      </c>
      <c r="M3157" t="s">
        <v>691</v>
      </c>
    </row>
    <row r="3158" spans="1:13" x14ac:dyDescent="0.25">
      <c r="A3158" t="s">
        <v>86</v>
      </c>
      <c r="B3158" s="6" t="s">
        <v>159</v>
      </c>
      <c r="C3158" s="13">
        <v>101</v>
      </c>
      <c r="D3158" s="14" t="s">
        <v>83</v>
      </c>
      <c r="E3158">
        <v>8</v>
      </c>
      <c r="F3158" s="8">
        <f>VLOOKUP(financials[[#This Row],[productid]],Products!$B$2:$H$10,3)</f>
        <v>23</v>
      </c>
      <c r="G3158" s="8">
        <f>financials[[#This Row],[Units Sold]]*financials[[#This Row],[Sale Price]]</f>
        <v>184</v>
      </c>
      <c r="H3158" s="8">
        <f>IF(financials[[#This Row],[Discount Band]]="low",0.1,IF(financials[[#This Row],[Discount Band]]="medium",0.15,0.3))</f>
        <v>0.3</v>
      </c>
      <c r="I3158" s="8">
        <f>financials[[#This Row],[Gross Sales]]-financials[[#This Row],[Gross Sales]]*financials[[#This Row],[Discounts]]</f>
        <v>128.80000000000001</v>
      </c>
      <c r="J3158" s="8">
        <f>VLOOKUP(financials[[#This Row],[productid]],Products!$B$2:$H$10,4)</f>
        <v>9.9499999999999993</v>
      </c>
      <c r="K3158" s="8">
        <f>financials[[#This Row],[Net Sales]]-financials[[#This Row],[COGS]]</f>
        <v>118.85000000000001</v>
      </c>
      <c r="L3158" s="15">
        <v>43893</v>
      </c>
      <c r="M3158" t="s">
        <v>696</v>
      </c>
    </row>
    <row r="3159" spans="1:13" x14ac:dyDescent="0.25">
      <c r="A3159" t="s">
        <v>87</v>
      </c>
      <c r="B3159" s="6" t="s">
        <v>268</v>
      </c>
      <c r="C3159" s="13">
        <v>107</v>
      </c>
      <c r="D3159" s="14" t="s">
        <v>90</v>
      </c>
      <c r="E3159">
        <v>7</v>
      </c>
      <c r="F3159" s="8">
        <f>VLOOKUP(financials[[#This Row],[productid]],Products!$B$2:$H$10,3)</f>
        <v>15</v>
      </c>
      <c r="G3159" s="8">
        <f>financials[[#This Row],[Units Sold]]*financials[[#This Row],[Sale Price]]</f>
        <v>105</v>
      </c>
      <c r="H3159" s="8">
        <f>IF(financials[[#This Row],[Discount Band]]="low",0.1,IF(financials[[#This Row],[Discount Band]]="medium",0.15,0.3))</f>
        <v>0.15</v>
      </c>
      <c r="I3159" s="8">
        <f>financials[[#This Row],[Gross Sales]]-financials[[#This Row],[Gross Sales]]*financials[[#This Row],[Discounts]]</f>
        <v>89.25</v>
      </c>
      <c r="J3159" s="8">
        <f>VLOOKUP(financials[[#This Row],[productid]],Products!$B$2:$H$10,4)</f>
        <v>5.5</v>
      </c>
      <c r="K3159" s="8">
        <f>financials[[#This Row],[Net Sales]]-financials[[#This Row],[COGS]]</f>
        <v>83.75</v>
      </c>
      <c r="L3159" s="15">
        <v>44466</v>
      </c>
      <c r="M3159" t="s">
        <v>700</v>
      </c>
    </row>
    <row r="3160" spans="1:13" x14ac:dyDescent="0.25">
      <c r="A3160" t="s">
        <v>87</v>
      </c>
      <c r="B3160" s="6" t="s">
        <v>94</v>
      </c>
      <c r="C3160" s="13">
        <v>108</v>
      </c>
      <c r="D3160" s="14" t="s">
        <v>83</v>
      </c>
      <c r="E3160">
        <v>19</v>
      </c>
      <c r="F3160" s="8">
        <f>VLOOKUP(financials[[#This Row],[productid]],Products!$B$2:$H$10,3)</f>
        <v>5.5</v>
      </c>
      <c r="G3160" s="8">
        <f>financials[[#This Row],[Units Sold]]*financials[[#This Row],[Sale Price]]</f>
        <v>104.5</v>
      </c>
      <c r="H3160" s="8">
        <f>IF(financials[[#This Row],[Discount Band]]="low",0.1,IF(financials[[#This Row],[Discount Band]]="medium",0.15,0.3))</f>
        <v>0.3</v>
      </c>
      <c r="I3160" s="8">
        <f>financials[[#This Row],[Gross Sales]]-financials[[#This Row],[Gross Sales]]*financials[[#This Row],[Discounts]]</f>
        <v>73.150000000000006</v>
      </c>
      <c r="J3160" s="8">
        <f>VLOOKUP(financials[[#This Row],[productid]],Products!$B$2:$H$10,4)</f>
        <v>3.99</v>
      </c>
      <c r="K3160" s="8">
        <f>financials[[#This Row],[Net Sales]]-financials[[#This Row],[COGS]]</f>
        <v>69.160000000000011</v>
      </c>
      <c r="L3160" s="15">
        <v>43868</v>
      </c>
      <c r="M3160" t="s">
        <v>690</v>
      </c>
    </row>
    <row r="3161" spans="1:13" x14ac:dyDescent="0.25">
      <c r="A3161" t="s">
        <v>86</v>
      </c>
      <c r="B3161" s="6" t="s">
        <v>125</v>
      </c>
      <c r="C3161" s="13">
        <v>108</v>
      </c>
      <c r="D3161" s="14" t="s">
        <v>91</v>
      </c>
      <c r="E3161">
        <v>6</v>
      </c>
      <c r="F3161" s="8">
        <f>VLOOKUP(financials[[#This Row],[productid]],Products!$B$2:$H$10,3)</f>
        <v>5.5</v>
      </c>
      <c r="G3161" s="8">
        <f>financials[[#This Row],[Units Sold]]*financials[[#This Row],[Sale Price]]</f>
        <v>33</v>
      </c>
      <c r="H3161" s="8">
        <f>IF(financials[[#This Row],[Discount Band]]="low",0.1,IF(financials[[#This Row],[Discount Band]]="medium",0.15,0.3))</f>
        <v>0.1</v>
      </c>
      <c r="I3161" s="8">
        <f>financials[[#This Row],[Gross Sales]]-financials[[#This Row],[Gross Sales]]*financials[[#This Row],[Discounts]]</f>
        <v>29.7</v>
      </c>
      <c r="J3161" s="8">
        <f>VLOOKUP(financials[[#This Row],[productid]],Products!$B$2:$H$10,4)</f>
        <v>3.99</v>
      </c>
      <c r="K3161" s="8">
        <f>financials[[#This Row],[Net Sales]]-financials[[#This Row],[COGS]]</f>
        <v>25.71</v>
      </c>
      <c r="L3161" s="15">
        <v>45559</v>
      </c>
      <c r="M3161" t="s">
        <v>700</v>
      </c>
    </row>
    <row r="3162" spans="1:13" x14ac:dyDescent="0.25">
      <c r="A3162" t="s">
        <v>86</v>
      </c>
      <c r="B3162" s="6" t="s">
        <v>645</v>
      </c>
      <c r="C3162" s="13">
        <v>107</v>
      </c>
      <c r="D3162" s="14" t="s">
        <v>83</v>
      </c>
      <c r="E3162">
        <v>19</v>
      </c>
      <c r="F3162" s="8">
        <f>VLOOKUP(financials[[#This Row],[productid]],Products!$B$2:$H$10,3)</f>
        <v>15</v>
      </c>
      <c r="G3162" s="8">
        <f>financials[[#This Row],[Units Sold]]*financials[[#This Row],[Sale Price]]</f>
        <v>285</v>
      </c>
      <c r="H3162" s="8">
        <f>IF(financials[[#This Row],[Discount Band]]="low",0.1,IF(financials[[#This Row],[Discount Band]]="medium",0.15,0.3))</f>
        <v>0.3</v>
      </c>
      <c r="I3162" s="8">
        <f>financials[[#This Row],[Gross Sales]]-financials[[#This Row],[Gross Sales]]*financials[[#This Row],[Discounts]]</f>
        <v>199.5</v>
      </c>
      <c r="J3162" s="8">
        <f>VLOOKUP(financials[[#This Row],[productid]],Products!$B$2:$H$10,4)</f>
        <v>5.5</v>
      </c>
      <c r="K3162" s="8">
        <f>financials[[#This Row],[Net Sales]]-financials[[#This Row],[COGS]]</f>
        <v>194</v>
      </c>
      <c r="L3162" s="15">
        <v>45248</v>
      </c>
      <c r="M3162" t="s">
        <v>697</v>
      </c>
    </row>
    <row r="3163" spans="1:13" x14ac:dyDescent="0.25">
      <c r="A3163" t="s">
        <v>86</v>
      </c>
      <c r="B3163" s="6" t="s">
        <v>159</v>
      </c>
      <c r="C3163" s="13">
        <v>103</v>
      </c>
      <c r="D3163" s="14" t="s">
        <v>83</v>
      </c>
      <c r="E3163">
        <v>8</v>
      </c>
      <c r="F3163" s="8">
        <f>VLOOKUP(financials[[#This Row],[productid]],Products!$B$2:$H$10,3)</f>
        <v>28</v>
      </c>
      <c r="G3163" s="8">
        <f>financials[[#This Row],[Units Sold]]*financials[[#This Row],[Sale Price]]</f>
        <v>224</v>
      </c>
      <c r="H3163" s="8">
        <f>IF(financials[[#This Row],[Discount Band]]="low",0.1,IF(financials[[#This Row],[Discount Band]]="medium",0.15,0.3))</f>
        <v>0.3</v>
      </c>
      <c r="I3163" s="8">
        <f>financials[[#This Row],[Gross Sales]]-financials[[#This Row],[Gross Sales]]*financials[[#This Row],[Discounts]]</f>
        <v>156.80000000000001</v>
      </c>
      <c r="J3163" s="8">
        <f>VLOOKUP(financials[[#This Row],[productid]],Products!$B$2:$H$10,4)</f>
        <v>15</v>
      </c>
      <c r="K3163" s="8">
        <f>financials[[#This Row],[Net Sales]]-financials[[#This Row],[COGS]]</f>
        <v>141.80000000000001</v>
      </c>
      <c r="L3163" s="15">
        <v>44238</v>
      </c>
      <c r="M3163" t="s">
        <v>700</v>
      </c>
    </row>
    <row r="3164" spans="1:13" x14ac:dyDescent="0.25">
      <c r="A3164" t="s">
        <v>86</v>
      </c>
      <c r="B3164" s="6" t="s">
        <v>124</v>
      </c>
      <c r="C3164" s="13">
        <v>108</v>
      </c>
      <c r="D3164" s="14" t="s">
        <v>90</v>
      </c>
      <c r="E3164">
        <v>9</v>
      </c>
      <c r="F3164" s="8">
        <f>VLOOKUP(financials[[#This Row],[productid]],Products!$B$2:$H$10,3)</f>
        <v>5.5</v>
      </c>
      <c r="G3164" s="8">
        <f>financials[[#This Row],[Units Sold]]*financials[[#This Row],[Sale Price]]</f>
        <v>49.5</v>
      </c>
      <c r="H3164" s="8">
        <f>IF(financials[[#This Row],[Discount Band]]="low",0.1,IF(financials[[#This Row],[Discount Band]]="medium",0.15,0.3))</f>
        <v>0.15</v>
      </c>
      <c r="I3164" s="8">
        <f>financials[[#This Row],[Gross Sales]]-financials[[#This Row],[Gross Sales]]*financials[[#This Row],[Discounts]]</f>
        <v>42.075000000000003</v>
      </c>
      <c r="J3164" s="8">
        <f>VLOOKUP(financials[[#This Row],[productid]],Products!$B$2:$H$10,4)</f>
        <v>3.99</v>
      </c>
      <c r="K3164" s="8">
        <f>financials[[#This Row],[Net Sales]]-financials[[#This Row],[COGS]]</f>
        <v>38.085000000000001</v>
      </c>
      <c r="L3164" s="15">
        <v>45547</v>
      </c>
      <c r="M3164" t="s">
        <v>696</v>
      </c>
    </row>
    <row r="3165" spans="1:13" x14ac:dyDescent="0.25">
      <c r="A3165" t="s">
        <v>88</v>
      </c>
      <c r="B3165" s="6" t="s">
        <v>274</v>
      </c>
      <c r="C3165" s="13">
        <v>108</v>
      </c>
      <c r="D3165" s="14" t="s">
        <v>90</v>
      </c>
      <c r="E3165">
        <v>8</v>
      </c>
      <c r="F3165" s="8">
        <f>VLOOKUP(financials[[#This Row],[productid]],Products!$B$2:$H$10,3)</f>
        <v>5.5</v>
      </c>
      <c r="G3165" s="8">
        <f>financials[[#This Row],[Units Sold]]*financials[[#This Row],[Sale Price]]</f>
        <v>44</v>
      </c>
      <c r="H3165" s="8">
        <f>IF(financials[[#This Row],[Discount Band]]="low",0.1,IF(financials[[#This Row],[Discount Band]]="medium",0.15,0.3))</f>
        <v>0.15</v>
      </c>
      <c r="I3165" s="8">
        <f>financials[[#This Row],[Gross Sales]]-financials[[#This Row],[Gross Sales]]*financials[[#This Row],[Discounts]]</f>
        <v>37.4</v>
      </c>
      <c r="J3165" s="8">
        <f>VLOOKUP(financials[[#This Row],[productid]],Products!$B$2:$H$10,4)</f>
        <v>3.99</v>
      </c>
      <c r="K3165" s="8">
        <f>financials[[#This Row],[Net Sales]]-financials[[#This Row],[COGS]]</f>
        <v>33.409999999999997</v>
      </c>
      <c r="L3165" s="15">
        <v>44018</v>
      </c>
      <c r="M3165" t="s">
        <v>697</v>
      </c>
    </row>
    <row r="3166" spans="1:13" x14ac:dyDescent="0.25">
      <c r="A3166" t="s">
        <v>87</v>
      </c>
      <c r="B3166" s="6" t="s">
        <v>273</v>
      </c>
      <c r="C3166" s="13">
        <v>103</v>
      </c>
      <c r="D3166" s="14" t="s">
        <v>91</v>
      </c>
      <c r="E3166">
        <v>9</v>
      </c>
      <c r="F3166" s="8">
        <f>VLOOKUP(financials[[#This Row],[productid]],Products!$B$2:$H$10,3)</f>
        <v>28</v>
      </c>
      <c r="G3166" s="8">
        <f>financials[[#This Row],[Units Sold]]*financials[[#This Row],[Sale Price]]</f>
        <v>252</v>
      </c>
      <c r="H3166" s="8">
        <f>IF(financials[[#This Row],[Discount Band]]="low",0.1,IF(financials[[#This Row],[Discount Band]]="medium",0.15,0.3))</f>
        <v>0.1</v>
      </c>
      <c r="I3166" s="8">
        <f>financials[[#This Row],[Gross Sales]]-financials[[#This Row],[Gross Sales]]*financials[[#This Row],[Discounts]]</f>
        <v>226.8</v>
      </c>
      <c r="J3166" s="8">
        <f>VLOOKUP(financials[[#This Row],[productid]],Products!$B$2:$H$10,4)</f>
        <v>15</v>
      </c>
      <c r="K3166" s="8">
        <f>financials[[#This Row],[Net Sales]]-financials[[#This Row],[COGS]]</f>
        <v>211.8</v>
      </c>
      <c r="L3166" s="15">
        <v>44641</v>
      </c>
      <c r="M3166" t="s">
        <v>700</v>
      </c>
    </row>
    <row r="3167" spans="1:13" x14ac:dyDescent="0.25">
      <c r="A3167" t="s">
        <v>87</v>
      </c>
      <c r="B3167" s="6" t="s">
        <v>95</v>
      </c>
      <c r="C3167" s="13">
        <v>109</v>
      </c>
      <c r="D3167" s="14" t="s">
        <v>83</v>
      </c>
      <c r="E3167">
        <v>16</v>
      </c>
      <c r="F3167" s="8">
        <f>VLOOKUP(financials[[#This Row],[productid]],Products!$B$2:$H$10,3)</f>
        <v>36</v>
      </c>
      <c r="G3167" s="8">
        <f>financials[[#This Row],[Units Sold]]*financials[[#This Row],[Sale Price]]</f>
        <v>576</v>
      </c>
      <c r="H3167" s="8">
        <f>IF(financials[[#This Row],[Discount Band]]="low",0.1,IF(financials[[#This Row],[Discount Band]]="medium",0.15,0.3))</f>
        <v>0.3</v>
      </c>
      <c r="I3167" s="8">
        <f>financials[[#This Row],[Gross Sales]]-financials[[#This Row],[Gross Sales]]*financials[[#This Row],[Discounts]]</f>
        <v>403.20000000000005</v>
      </c>
      <c r="J3167" s="8">
        <f>VLOOKUP(financials[[#This Row],[productid]],Products!$B$2:$H$10,4)</f>
        <v>16.8</v>
      </c>
      <c r="K3167" s="8">
        <f>financials[[#This Row],[Net Sales]]-financials[[#This Row],[COGS]]</f>
        <v>386.40000000000003</v>
      </c>
      <c r="L3167" s="15">
        <v>45301</v>
      </c>
      <c r="M3167" t="s">
        <v>691</v>
      </c>
    </row>
    <row r="3168" spans="1:13" x14ac:dyDescent="0.25">
      <c r="A3168" t="s">
        <v>89</v>
      </c>
      <c r="B3168" s="6" t="s">
        <v>124</v>
      </c>
      <c r="C3168" s="13">
        <v>103</v>
      </c>
      <c r="D3168" s="14" t="s">
        <v>83</v>
      </c>
      <c r="E3168">
        <v>14</v>
      </c>
      <c r="F3168" s="8">
        <f>VLOOKUP(financials[[#This Row],[productid]],Products!$B$2:$H$10,3)</f>
        <v>28</v>
      </c>
      <c r="G3168" s="8">
        <f>financials[[#This Row],[Units Sold]]*financials[[#This Row],[Sale Price]]</f>
        <v>392</v>
      </c>
      <c r="H3168" s="8">
        <f>IF(financials[[#This Row],[Discount Band]]="low",0.1,IF(financials[[#This Row],[Discount Band]]="medium",0.15,0.3))</f>
        <v>0.3</v>
      </c>
      <c r="I3168" s="8">
        <f>financials[[#This Row],[Gross Sales]]-financials[[#This Row],[Gross Sales]]*financials[[#This Row],[Discounts]]</f>
        <v>274.39999999999998</v>
      </c>
      <c r="J3168" s="8">
        <f>VLOOKUP(financials[[#This Row],[productid]],Products!$B$2:$H$10,4)</f>
        <v>15</v>
      </c>
      <c r="K3168" s="8">
        <f>financials[[#This Row],[Net Sales]]-financials[[#This Row],[COGS]]</f>
        <v>259.39999999999998</v>
      </c>
      <c r="L3168" s="15">
        <v>44749</v>
      </c>
      <c r="M3168" t="s">
        <v>697</v>
      </c>
    </row>
    <row r="3169" spans="1:13" x14ac:dyDescent="0.25">
      <c r="A3169" t="s">
        <v>86</v>
      </c>
      <c r="B3169" s="6" t="s">
        <v>159</v>
      </c>
      <c r="C3169" s="13">
        <v>101</v>
      </c>
      <c r="D3169" s="14" t="s">
        <v>92</v>
      </c>
      <c r="E3169">
        <v>13</v>
      </c>
      <c r="F3169" s="8">
        <f>VLOOKUP(financials[[#This Row],[productid]],Products!$B$2:$H$10,3)</f>
        <v>23</v>
      </c>
      <c r="G3169" s="8">
        <f>financials[[#This Row],[Units Sold]]*financials[[#This Row],[Sale Price]]</f>
        <v>299</v>
      </c>
      <c r="H3169" s="8">
        <f>IF(financials[[#This Row],[Discount Band]]="low",0.1,IF(financials[[#This Row],[Discount Band]]="medium",0.15,0.3))</f>
        <v>0.3</v>
      </c>
      <c r="I3169" s="8">
        <f>financials[[#This Row],[Gross Sales]]-financials[[#This Row],[Gross Sales]]*financials[[#This Row],[Discounts]]</f>
        <v>209.3</v>
      </c>
      <c r="J3169" s="8">
        <f>VLOOKUP(financials[[#This Row],[productid]],Products!$B$2:$H$10,4)</f>
        <v>9.9499999999999993</v>
      </c>
      <c r="K3169" s="8">
        <f>financials[[#This Row],[Net Sales]]-financials[[#This Row],[COGS]]</f>
        <v>199.35000000000002</v>
      </c>
      <c r="L3169" s="15">
        <v>44677</v>
      </c>
      <c r="M3169" t="s">
        <v>690</v>
      </c>
    </row>
    <row r="3170" spans="1:13" x14ac:dyDescent="0.25">
      <c r="A3170" t="s">
        <v>88</v>
      </c>
      <c r="B3170" s="6" t="s">
        <v>645</v>
      </c>
      <c r="C3170" s="13">
        <v>102</v>
      </c>
      <c r="D3170" s="14" t="s">
        <v>91</v>
      </c>
      <c r="E3170">
        <v>8</v>
      </c>
      <c r="F3170" s="8">
        <f>VLOOKUP(financials[[#This Row],[productid]],Products!$B$2:$H$10,3)</f>
        <v>15</v>
      </c>
      <c r="G3170" s="8">
        <f>financials[[#This Row],[Units Sold]]*financials[[#This Row],[Sale Price]]</f>
        <v>120</v>
      </c>
      <c r="H3170" s="8">
        <f>IF(financials[[#This Row],[Discount Band]]="low",0.1,IF(financials[[#This Row],[Discount Band]]="medium",0.15,0.3))</f>
        <v>0.1</v>
      </c>
      <c r="I3170" s="8">
        <f>financials[[#This Row],[Gross Sales]]-financials[[#This Row],[Gross Sales]]*financials[[#This Row],[Discounts]]</f>
        <v>108</v>
      </c>
      <c r="J3170" s="8">
        <f>VLOOKUP(financials[[#This Row],[productid]],Products!$B$2:$H$10,4)</f>
        <v>13.95</v>
      </c>
      <c r="K3170" s="8">
        <f>financials[[#This Row],[Net Sales]]-financials[[#This Row],[COGS]]</f>
        <v>94.05</v>
      </c>
      <c r="L3170" s="15">
        <v>44519</v>
      </c>
      <c r="M3170" t="s">
        <v>700</v>
      </c>
    </row>
    <row r="3171" spans="1:13" x14ac:dyDescent="0.25">
      <c r="A3171" t="s">
        <v>88</v>
      </c>
      <c r="B3171" s="6" t="s">
        <v>266</v>
      </c>
      <c r="C3171" s="13">
        <v>101</v>
      </c>
      <c r="D3171" s="14" t="s">
        <v>90</v>
      </c>
      <c r="E3171">
        <v>6</v>
      </c>
      <c r="F3171" s="8">
        <f>VLOOKUP(financials[[#This Row],[productid]],Products!$B$2:$H$10,3)</f>
        <v>23</v>
      </c>
      <c r="G3171" s="8">
        <f>financials[[#This Row],[Units Sold]]*financials[[#This Row],[Sale Price]]</f>
        <v>138</v>
      </c>
      <c r="H3171" s="8">
        <f>IF(financials[[#This Row],[Discount Band]]="low",0.1,IF(financials[[#This Row],[Discount Band]]="medium",0.15,0.3))</f>
        <v>0.15</v>
      </c>
      <c r="I3171" s="8">
        <f>financials[[#This Row],[Gross Sales]]-financials[[#This Row],[Gross Sales]]*financials[[#This Row],[Discounts]]</f>
        <v>117.3</v>
      </c>
      <c r="J3171" s="8">
        <f>VLOOKUP(financials[[#This Row],[productid]],Products!$B$2:$H$10,4)</f>
        <v>9.9499999999999993</v>
      </c>
      <c r="K3171" s="8">
        <f>financials[[#This Row],[Net Sales]]-financials[[#This Row],[COGS]]</f>
        <v>107.35</v>
      </c>
      <c r="L3171" s="15">
        <v>44197</v>
      </c>
      <c r="M3171" t="s">
        <v>700</v>
      </c>
    </row>
    <row r="3172" spans="1:13" x14ac:dyDescent="0.25">
      <c r="A3172" t="s">
        <v>89</v>
      </c>
      <c r="B3172" s="6" t="s">
        <v>124</v>
      </c>
      <c r="C3172" s="13">
        <v>107</v>
      </c>
      <c r="D3172" s="14" t="s">
        <v>92</v>
      </c>
      <c r="E3172">
        <v>16</v>
      </c>
      <c r="F3172" s="8">
        <f>VLOOKUP(financials[[#This Row],[productid]],Products!$B$2:$H$10,3)</f>
        <v>15</v>
      </c>
      <c r="G3172" s="8">
        <f>financials[[#This Row],[Units Sold]]*financials[[#This Row],[Sale Price]]</f>
        <v>240</v>
      </c>
      <c r="H3172" s="8">
        <f>IF(financials[[#This Row],[Discount Band]]="low",0.1,IF(financials[[#This Row],[Discount Band]]="medium",0.15,0.3))</f>
        <v>0.3</v>
      </c>
      <c r="I3172" s="8">
        <f>financials[[#This Row],[Gross Sales]]-financials[[#This Row],[Gross Sales]]*financials[[#This Row],[Discounts]]</f>
        <v>168</v>
      </c>
      <c r="J3172" s="8">
        <f>VLOOKUP(financials[[#This Row],[productid]],Products!$B$2:$H$10,4)</f>
        <v>5.5</v>
      </c>
      <c r="K3172" s="8">
        <f>financials[[#This Row],[Net Sales]]-financials[[#This Row],[COGS]]</f>
        <v>162.5</v>
      </c>
      <c r="L3172" s="15">
        <v>45364</v>
      </c>
      <c r="M3172" t="s">
        <v>691</v>
      </c>
    </row>
    <row r="3173" spans="1:13" x14ac:dyDescent="0.25">
      <c r="A3173" t="s">
        <v>89</v>
      </c>
      <c r="B3173" s="6" t="s">
        <v>159</v>
      </c>
      <c r="C3173" s="13">
        <v>101</v>
      </c>
      <c r="D3173" s="14" t="s">
        <v>90</v>
      </c>
      <c r="E3173">
        <v>17</v>
      </c>
      <c r="F3173" s="8">
        <f>VLOOKUP(financials[[#This Row],[productid]],Products!$B$2:$H$10,3)</f>
        <v>23</v>
      </c>
      <c r="G3173" s="8">
        <f>financials[[#This Row],[Units Sold]]*financials[[#This Row],[Sale Price]]</f>
        <v>391</v>
      </c>
      <c r="H3173" s="8">
        <f>IF(financials[[#This Row],[Discount Band]]="low",0.1,IF(financials[[#This Row],[Discount Band]]="medium",0.15,0.3))</f>
        <v>0.15</v>
      </c>
      <c r="I3173" s="8">
        <f>financials[[#This Row],[Gross Sales]]-financials[[#This Row],[Gross Sales]]*financials[[#This Row],[Discounts]]</f>
        <v>332.35</v>
      </c>
      <c r="J3173" s="8">
        <f>VLOOKUP(financials[[#This Row],[productid]],Products!$B$2:$H$10,4)</f>
        <v>9.9499999999999993</v>
      </c>
      <c r="K3173" s="8">
        <f>financials[[#This Row],[Net Sales]]-financials[[#This Row],[COGS]]</f>
        <v>322.40000000000003</v>
      </c>
      <c r="L3173" s="15">
        <v>44331</v>
      </c>
      <c r="M3173" t="s">
        <v>691</v>
      </c>
    </row>
    <row r="3174" spans="1:13" x14ac:dyDescent="0.25">
      <c r="A3174" t="s">
        <v>87</v>
      </c>
      <c r="B3174" s="6" t="s">
        <v>95</v>
      </c>
      <c r="C3174" s="13">
        <v>105</v>
      </c>
      <c r="D3174" s="14" t="s">
        <v>91</v>
      </c>
      <c r="E3174">
        <v>6</v>
      </c>
      <c r="F3174" s="8">
        <f>VLOOKUP(financials[[#This Row],[productid]],Products!$B$2:$H$10,3)</f>
        <v>15</v>
      </c>
      <c r="G3174" s="8">
        <f>financials[[#This Row],[Units Sold]]*financials[[#This Row],[Sale Price]]</f>
        <v>90</v>
      </c>
      <c r="H3174" s="8">
        <f>IF(financials[[#This Row],[Discount Band]]="low",0.1,IF(financials[[#This Row],[Discount Band]]="medium",0.15,0.3))</f>
        <v>0.1</v>
      </c>
      <c r="I3174" s="8">
        <f>financials[[#This Row],[Gross Sales]]-financials[[#This Row],[Gross Sales]]*financials[[#This Row],[Discounts]]</f>
        <v>81</v>
      </c>
      <c r="J3174" s="8">
        <f>VLOOKUP(financials[[#This Row],[productid]],Products!$B$2:$H$10,4)</f>
        <v>10</v>
      </c>
      <c r="K3174" s="8">
        <f>financials[[#This Row],[Net Sales]]-financials[[#This Row],[COGS]]</f>
        <v>71</v>
      </c>
      <c r="L3174" s="15">
        <v>45548</v>
      </c>
      <c r="M3174" t="s">
        <v>691</v>
      </c>
    </row>
    <row r="3175" spans="1:13" x14ac:dyDescent="0.25">
      <c r="A3175" t="s">
        <v>89</v>
      </c>
      <c r="B3175" s="6" t="s">
        <v>124</v>
      </c>
      <c r="C3175" s="13">
        <v>107</v>
      </c>
      <c r="D3175" s="14" t="s">
        <v>91</v>
      </c>
      <c r="E3175">
        <v>18</v>
      </c>
      <c r="F3175" s="8">
        <f>VLOOKUP(financials[[#This Row],[productid]],Products!$B$2:$H$10,3)</f>
        <v>15</v>
      </c>
      <c r="G3175" s="8">
        <f>financials[[#This Row],[Units Sold]]*financials[[#This Row],[Sale Price]]</f>
        <v>270</v>
      </c>
      <c r="H3175" s="8">
        <f>IF(financials[[#This Row],[Discount Band]]="low",0.1,IF(financials[[#This Row],[Discount Band]]="medium",0.15,0.3))</f>
        <v>0.1</v>
      </c>
      <c r="I3175" s="8">
        <f>financials[[#This Row],[Gross Sales]]-financials[[#This Row],[Gross Sales]]*financials[[#This Row],[Discounts]]</f>
        <v>243</v>
      </c>
      <c r="J3175" s="8">
        <f>VLOOKUP(financials[[#This Row],[productid]],Products!$B$2:$H$10,4)</f>
        <v>5.5</v>
      </c>
      <c r="K3175" s="8">
        <f>financials[[#This Row],[Net Sales]]-financials[[#This Row],[COGS]]</f>
        <v>237.5</v>
      </c>
      <c r="L3175" s="15">
        <v>43852</v>
      </c>
      <c r="M3175" t="s">
        <v>690</v>
      </c>
    </row>
    <row r="3176" spans="1:13" x14ac:dyDescent="0.25">
      <c r="A3176" t="s">
        <v>89</v>
      </c>
      <c r="B3176" s="6" t="s">
        <v>159</v>
      </c>
      <c r="C3176" s="13">
        <v>104</v>
      </c>
      <c r="D3176" s="14" t="s">
        <v>83</v>
      </c>
      <c r="E3176">
        <v>9</v>
      </c>
      <c r="F3176" s="8">
        <f>VLOOKUP(financials[[#This Row],[productid]],Products!$B$2:$H$10,3)</f>
        <v>5.9</v>
      </c>
      <c r="G3176" s="8">
        <f>financials[[#This Row],[Units Sold]]*financials[[#This Row],[Sale Price]]</f>
        <v>53.1</v>
      </c>
      <c r="H3176" s="8">
        <f>IF(financials[[#This Row],[Discount Band]]="low",0.1,IF(financials[[#This Row],[Discount Band]]="medium",0.15,0.3))</f>
        <v>0.3</v>
      </c>
      <c r="I3176" s="8">
        <f>financials[[#This Row],[Gross Sales]]-financials[[#This Row],[Gross Sales]]*financials[[#This Row],[Discounts]]</f>
        <v>37.17</v>
      </c>
      <c r="J3176" s="8">
        <f>VLOOKUP(financials[[#This Row],[productid]],Products!$B$2:$H$10,4)</f>
        <v>2.9</v>
      </c>
      <c r="K3176" s="8">
        <f>financials[[#This Row],[Net Sales]]-financials[[#This Row],[COGS]]</f>
        <v>34.270000000000003</v>
      </c>
      <c r="L3176" s="15">
        <v>45634</v>
      </c>
      <c r="M3176" t="s">
        <v>690</v>
      </c>
    </row>
    <row r="3177" spans="1:13" x14ac:dyDescent="0.25">
      <c r="A3177" t="s">
        <v>88</v>
      </c>
      <c r="B3177" s="6" t="s">
        <v>617</v>
      </c>
      <c r="C3177" s="13">
        <v>101</v>
      </c>
      <c r="D3177" s="14" t="s">
        <v>83</v>
      </c>
      <c r="E3177">
        <v>9</v>
      </c>
      <c r="F3177" s="8">
        <f>VLOOKUP(financials[[#This Row],[productid]],Products!$B$2:$H$10,3)</f>
        <v>23</v>
      </c>
      <c r="G3177" s="8">
        <f>financials[[#This Row],[Units Sold]]*financials[[#This Row],[Sale Price]]</f>
        <v>207</v>
      </c>
      <c r="H3177" s="8">
        <f>IF(financials[[#This Row],[Discount Band]]="low",0.1,IF(financials[[#This Row],[Discount Band]]="medium",0.15,0.3))</f>
        <v>0.3</v>
      </c>
      <c r="I3177" s="8">
        <f>financials[[#This Row],[Gross Sales]]-financials[[#This Row],[Gross Sales]]*financials[[#This Row],[Discounts]]</f>
        <v>144.9</v>
      </c>
      <c r="J3177" s="8">
        <f>VLOOKUP(financials[[#This Row],[productid]],Products!$B$2:$H$10,4)</f>
        <v>9.9499999999999993</v>
      </c>
      <c r="K3177" s="8">
        <f>financials[[#This Row],[Net Sales]]-financials[[#This Row],[COGS]]</f>
        <v>134.95000000000002</v>
      </c>
      <c r="L3177" s="15">
        <v>44994</v>
      </c>
      <c r="M3177" t="s">
        <v>700</v>
      </c>
    </row>
    <row r="3178" spans="1:13" x14ac:dyDescent="0.25">
      <c r="A3178" t="s">
        <v>88</v>
      </c>
      <c r="B3178" s="6" t="s">
        <v>93</v>
      </c>
      <c r="C3178" s="13">
        <v>106</v>
      </c>
      <c r="D3178" s="14" t="s">
        <v>90</v>
      </c>
      <c r="E3178">
        <v>15</v>
      </c>
      <c r="F3178" s="8">
        <f>VLOOKUP(financials[[#This Row],[productid]],Products!$B$2:$H$10,3)</f>
        <v>25</v>
      </c>
      <c r="G3178" s="8">
        <f>financials[[#This Row],[Units Sold]]*financials[[#This Row],[Sale Price]]</f>
        <v>375</v>
      </c>
      <c r="H3178" s="8">
        <f>IF(financials[[#This Row],[Discount Band]]="low",0.1,IF(financials[[#This Row],[Discount Band]]="medium",0.15,0.3))</f>
        <v>0.15</v>
      </c>
      <c r="I3178" s="8">
        <f>financials[[#This Row],[Gross Sales]]-financials[[#This Row],[Gross Sales]]*financials[[#This Row],[Discounts]]</f>
        <v>318.75</v>
      </c>
      <c r="J3178" s="8">
        <f>VLOOKUP(financials[[#This Row],[productid]],Products!$B$2:$H$10,4)</f>
        <v>9.1</v>
      </c>
      <c r="K3178" s="8">
        <f>financials[[#This Row],[Net Sales]]-financials[[#This Row],[COGS]]</f>
        <v>309.64999999999998</v>
      </c>
      <c r="L3178" s="15">
        <v>44208</v>
      </c>
      <c r="M3178" t="s">
        <v>700</v>
      </c>
    </row>
    <row r="3179" spans="1:13" x14ac:dyDescent="0.25">
      <c r="A3179" t="s">
        <v>87</v>
      </c>
      <c r="B3179" s="6" t="s">
        <v>95</v>
      </c>
      <c r="C3179" s="13">
        <v>104</v>
      </c>
      <c r="D3179" s="14" t="s">
        <v>90</v>
      </c>
      <c r="E3179">
        <v>18</v>
      </c>
      <c r="F3179" s="8">
        <f>VLOOKUP(financials[[#This Row],[productid]],Products!$B$2:$H$10,3)</f>
        <v>5.9</v>
      </c>
      <c r="G3179" s="8">
        <f>financials[[#This Row],[Units Sold]]*financials[[#This Row],[Sale Price]]</f>
        <v>106.2</v>
      </c>
      <c r="H3179" s="8">
        <f>IF(financials[[#This Row],[Discount Band]]="low",0.1,IF(financials[[#This Row],[Discount Band]]="medium",0.15,0.3))</f>
        <v>0.15</v>
      </c>
      <c r="I3179" s="8">
        <f>financials[[#This Row],[Gross Sales]]-financials[[#This Row],[Gross Sales]]*financials[[#This Row],[Discounts]]</f>
        <v>90.27000000000001</v>
      </c>
      <c r="J3179" s="8">
        <f>VLOOKUP(financials[[#This Row],[productid]],Products!$B$2:$H$10,4)</f>
        <v>2.9</v>
      </c>
      <c r="K3179" s="8">
        <f>financials[[#This Row],[Net Sales]]-financials[[#This Row],[COGS]]</f>
        <v>87.37</v>
      </c>
      <c r="L3179" s="15">
        <v>44642</v>
      </c>
      <c r="M3179" t="s">
        <v>690</v>
      </c>
    </row>
    <row r="3180" spans="1:13" x14ac:dyDescent="0.25">
      <c r="A3180" t="s">
        <v>89</v>
      </c>
      <c r="B3180" s="6" t="s">
        <v>124</v>
      </c>
      <c r="C3180" s="13">
        <v>108</v>
      </c>
      <c r="D3180" s="14" t="s">
        <v>92</v>
      </c>
      <c r="E3180">
        <v>18</v>
      </c>
      <c r="F3180" s="8">
        <f>VLOOKUP(financials[[#This Row],[productid]],Products!$B$2:$H$10,3)</f>
        <v>5.5</v>
      </c>
      <c r="G3180" s="8">
        <f>financials[[#This Row],[Units Sold]]*financials[[#This Row],[Sale Price]]</f>
        <v>99</v>
      </c>
      <c r="H3180" s="8">
        <f>IF(financials[[#This Row],[Discount Band]]="low",0.1,IF(financials[[#This Row],[Discount Band]]="medium",0.15,0.3))</f>
        <v>0.3</v>
      </c>
      <c r="I3180" s="8">
        <f>financials[[#This Row],[Gross Sales]]-financials[[#This Row],[Gross Sales]]*financials[[#This Row],[Discounts]]</f>
        <v>69.3</v>
      </c>
      <c r="J3180" s="8">
        <f>VLOOKUP(financials[[#This Row],[productid]],Products!$B$2:$H$10,4)</f>
        <v>3.99</v>
      </c>
      <c r="K3180" s="8">
        <f>financials[[#This Row],[Net Sales]]-financials[[#This Row],[COGS]]</f>
        <v>65.31</v>
      </c>
      <c r="L3180" s="15">
        <v>44245</v>
      </c>
      <c r="M3180" t="s">
        <v>700</v>
      </c>
    </row>
    <row r="3181" spans="1:13" x14ac:dyDescent="0.25">
      <c r="A3181" t="s">
        <v>89</v>
      </c>
      <c r="B3181" s="6" t="s">
        <v>124</v>
      </c>
      <c r="C3181" s="13">
        <v>101</v>
      </c>
      <c r="D3181" s="14" t="s">
        <v>83</v>
      </c>
      <c r="E3181">
        <v>16</v>
      </c>
      <c r="F3181" s="8">
        <f>VLOOKUP(financials[[#This Row],[productid]],Products!$B$2:$H$10,3)</f>
        <v>23</v>
      </c>
      <c r="G3181" s="8">
        <f>financials[[#This Row],[Units Sold]]*financials[[#This Row],[Sale Price]]</f>
        <v>368</v>
      </c>
      <c r="H3181" s="8">
        <f>IF(financials[[#This Row],[Discount Band]]="low",0.1,IF(financials[[#This Row],[Discount Band]]="medium",0.15,0.3))</f>
        <v>0.3</v>
      </c>
      <c r="I3181" s="8">
        <f>financials[[#This Row],[Gross Sales]]-financials[[#This Row],[Gross Sales]]*financials[[#This Row],[Discounts]]</f>
        <v>257.60000000000002</v>
      </c>
      <c r="J3181" s="8">
        <f>VLOOKUP(financials[[#This Row],[productid]],Products!$B$2:$H$10,4)</f>
        <v>9.9499999999999993</v>
      </c>
      <c r="K3181" s="8">
        <f>financials[[#This Row],[Net Sales]]-financials[[#This Row],[COGS]]</f>
        <v>247.65000000000003</v>
      </c>
      <c r="L3181" s="15">
        <v>44256</v>
      </c>
      <c r="M3181" t="s">
        <v>690</v>
      </c>
    </row>
    <row r="3182" spans="1:13" x14ac:dyDescent="0.25">
      <c r="A3182" t="s">
        <v>87</v>
      </c>
      <c r="B3182" s="6" t="s">
        <v>95</v>
      </c>
      <c r="C3182" s="13">
        <v>109</v>
      </c>
      <c r="D3182" s="14" t="s">
        <v>83</v>
      </c>
      <c r="E3182">
        <v>16</v>
      </c>
      <c r="F3182" s="8">
        <f>VLOOKUP(financials[[#This Row],[productid]],Products!$B$2:$H$10,3)</f>
        <v>36</v>
      </c>
      <c r="G3182" s="8">
        <f>financials[[#This Row],[Units Sold]]*financials[[#This Row],[Sale Price]]</f>
        <v>576</v>
      </c>
      <c r="H3182" s="8">
        <f>IF(financials[[#This Row],[Discount Band]]="low",0.1,IF(financials[[#This Row],[Discount Band]]="medium",0.15,0.3))</f>
        <v>0.3</v>
      </c>
      <c r="I3182" s="8">
        <f>financials[[#This Row],[Gross Sales]]-financials[[#This Row],[Gross Sales]]*financials[[#This Row],[Discounts]]</f>
        <v>403.20000000000005</v>
      </c>
      <c r="J3182" s="8">
        <f>VLOOKUP(financials[[#This Row],[productid]],Products!$B$2:$H$10,4)</f>
        <v>16.8</v>
      </c>
      <c r="K3182" s="8">
        <f>financials[[#This Row],[Net Sales]]-financials[[#This Row],[COGS]]</f>
        <v>386.40000000000003</v>
      </c>
      <c r="L3182" s="15">
        <v>44179</v>
      </c>
      <c r="M3182" t="s">
        <v>700</v>
      </c>
    </row>
    <row r="3183" spans="1:13" x14ac:dyDescent="0.25">
      <c r="A3183" t="s">
        <v>87</v>
      </c>
      <c r="B3183" s="6" t="s">
        <v>95</v>
      </c>
      <c r="C3183" s="13">
        <v>109</v>
      </c>
      <c r="D3183" s="14" t="s">
        <v>83</v>
      </c>
      <c r="E3183">
        <v>18</v>
      </c>
      <c r="F3183" s="8">
        <f>VLOOKUP(financials[[#This Row],[productid]],Products!$B$2:$H$10,3)</f>
        <v>36</v>
      </c>
      <c r="G3183" s="8">
        <f>financials[[#This Row],[Units Sold]]*financials[[#This Row],[Sale Price]]</f>
        <v>648</v>
      </c>
      <c r="H3183" s="8">
        <f>IF(financials[[#This Row],[Discount Band]]="low",0.1,IF(financials[[#This Row],[Discount Band]]="medium",0.15,0.3))</f>
        <v>0.3</v>
      </c>
      <c r="I3183" s="8">
        <f>financials[[#This Row],[Gross Sales]]-financials[[#This Row],[Gross Sales]]*financials[[#This Row],[Discounts]]</f>
        <v>453.6</v>
      </c>
      <c r="J3183" s="8">
        <f>VLOOKUP(financials[[#This Row],[productid]],Products!$B$2:$H$10,4)</f>
        <v>16.8</v>
      </c>
      <c r="K3183" s="8">
        <f>financials[[#This Row],[Net Sales]]-financials[[#This Row],[COGS]]</f>
        <v>436.8</v>
      </c>
      <c r="L3183" s="15">
        <v>44241</v>
      </c>
      <c r="M3183" t="s">
        <v>696</v>
      </c>
    </row>
    <row r="3184" spans="1:13" x14ac:dyDescent="0.25">
      <c r="A3184" t="s">
        <v>89</v>
      </c>
      <c r="B3184" s="6" t="s">
        <v>159</v>
      </c>
      <c r="C3184" s="13">
        <v>109</v>
      </c>
      <c r="D3184" s="14" t="s">
        <v>83</v>
      </c>
      <c r="E3184">
        <v>16</v>
      </c>
      <c r="F3184" s="8">
        <f>VLOOKUP(financials[[#This Row],[productid]],Products!$B$2:$H$10,3)</f>
        <v>36</v>
      </c>
      <c r="G3184" s="8">
        <f>financials[[#This Row],[Units Sold]]*financials[[#This Row],[Sale Price]]</f>
        <v>576</v>
      </c>
      <c r="H3184" s="8">
        <f>IF(financials[[#This Row],[Discount Band]]="low",0.1,IF(financials[[#This Row],[Discount Band]]="medium",0.15,0.3))</f>
        <v>0.3</v>
      </c>
      <c r="I3184" s="8">
        <f>financials[[#This Row],[Gross Sales]]-financials[[#This Row],[Gross Sales]]*financials[[#This Row],[Discounts]]</f>
        <v>403.20000000000005</v>
      </c>
      <c r="J3184" s="8">
        <f>VLOOKUP(financials[[#This Row],[productid]],Products!$B$2:$H$10,4)</f>
        <v>16.8</v>
      </c>
      <c r="K3184" s="8">
        <f>financials[[#This Row],[Net Sales]]-financials[[#This Row],[COGS]]</f>
        <v>386.40000000000003</v>
      </c>
      <c r="L3184" s="15">
        <v>44046</v>
      </c>
      <c r="M3184" t="s">
        <v>700</v>
      </c>
    </row>
    <row r="3185" spans="1:13" x14ac:dyDescent="0.25">
      <c r="A3185" t="s">
        <v>87</v>
      </c>
      <c r="B3185" s="6" t="s">
        <v>276</v>
      </c>
      <c r="C3185" s="11">
        <v>108</v>
      </c>
      <c r="D3185" s="9" t="s">
        <v>91</v>
      </c>
      <c r="E3185">
        <v>6</v>
      </c>
      <c r="F3185" s="8">
        <f>VLOOKUP(financials[[#This Row],[productid]],Products!$B$2:$H$10,3)</f>
        <v>5.5</v>
      </c>
      <c r="G3185" s="8">
        <f>financials[[#This Row],[Units Sold]]*financials[[#This Row],[Sale Price]]</f>
        <v>33</v>
      </c>
      <c r="H3185" s="8">
        <f>IF(financials[[#This Row],[Discount Band]]="low",0.1,IF(financials[[#This Row],[Discount Band]]="medium",0.15,0.3))</f>
        <v>0.1</v>
      </c>
      <c r="I3185" s="8">
        <f>financials[[#This Row],[Gross Sales]]-financials[[#This Row],[Gross Sales]]*financials[[#This Row],[Discounts]]</f>
        <v>29.7</v>
      </c>
      <c r="J3185" s="8">
        <f>VLOOKUP(financials[[#This Row],[productid]],Products!$B$2:$H$10,4)</f>
        <v>3.99</v>
      </c>
      <c r="K3185" s="8">
        <f>financials[[#This Row],[Net Sales]]-financials[[#This Row],[COGS]]</f>
        <v>25.71</v>
      </c>
      <c r="L3185" s="15">
        <v>43977</v>
      </c>
      <c r="M3185" t="s">
        <v>691</v>
      </c>
    </row>
    <row r="3186" spans="1:13" x14ac:dyDescent="0.25">
      <c r="A3186" t="s">
        <v>87</v>
      </c>
      <c r="B3186" s="6" t="s">
        <v>545</v>
      </c>
      <c r="C3186" s="13">
        <v>106</v>
      </c>
      <c r="D3186" s="14" t="s">
        <v>83</v>
      </c>
      <c r="E3186">
        <v>13</v>
      </c>
      <c r="F3186" s="8">
        <f>VLOOKUP(financials[[#This Row],[productid]],Products!$B$2:$H$10,3)</f>
        <v>25</v>
      </c>
      <c r="G3186" s="8">
        <f>financials[[#This Row],[Units Sold]]*financials[[#This Row],[Sale Price]]</f>
        <v>325</v>
      </c>
      <c r="H3186" s="8">
        <f>IF(financials[[#This Row],[Discount Band]]="low",0.1,IF(financials[[#This Row],[Discount Band]]="medium",0.15,0.3))</f>
        <v>0.3</v>
      </c>
      <c r="I3186" s="8">
        <f>financials[[#This Row],[Gross Sales]]-financials[[#This Row],[Gross Sales]]*financials[[#This Row],[Discounts]]</f>
        <v>227.5</v>
      </c>
      <c r="J3186" s="8">
        <f>VLOOKUP(financials[[#This Row],[productid]],Products!$B$2:$H$10,4)</f>
        <v>9.1</v>
      </c>
      <c r="K3186" s="8">
        <f>financials[[#This Row],[Net Sales]]-financials[[#This Row],[COGS]]</f>
        <v>218.4</v>
      </c>
      <c r="L3186" s="15">
        <v>43925</v>
      </c>
      <c r="M3186" t="s">
        <v>696</v>
      </c>
    </row>
    <row r="3187" spans="1:13" x14ac:dyDescent="0.25">
      <c r="A3187" t="s">
        <v>89</v>
      </c>
      <c r="B3187" s="6" t="s">
        <v>124</v>
      </c>
      <c r="C3187" s="13">
        <v>107</v>
      </c>
      <c r="D3187" s="14" t="s">
        <v>91</v>
      </c>
      <c r="E3187">
        <v>8</v>
      </c>
      <c r="F3187" s="8">
        <f>VLOOKUP(financials[[#This Row],[productid]],Products!$B$2:$H$10,3)</f>
        <v>15</v>
      </c>
      <c r="G3187" s="8">
        <f>financials[[#This Row],[Units Sold]]*financials[[#This Row],[Sale Price]]</f>
        <v>120</v>
      </c>
      <c r="H3187" s="8">
        <f>IF(financials[[#This Row],[Discount Band]]="low",0.1,IF(financials[[#This Row],[Discount Band]]="medium",0.15,0.3))</f>
        <v>0.1</v>
      </c>
      <c r="I3187" s="8">
        <f>financials[[#This Row],[Gross Sales]]-financials[[#This Row],[Gross Sales]]*financials[[#This Row],[Discounts]]</f>
        <v>108</v>
      </c>
      <c r="J3187" s="8">
        <f>VLOOKUP(financials[[#This Row],[productid]],Products!$B$2:$H$10,4)</f>
        <v>5.5</v>
      </c>
      <c r="K3187" s="8">
        <f>financials[[#This Row],[Net Sales]]-financials[[#This Row],[COGS]]</f>
        <v>102.5</v>
      </c>
      <c r="L3187" s="15">
        <v>44568</v>
      </c>
      <c r="M3187" t="s">
        <v>700</v>
      </c>
    </row>
    <row r="3188" spans="1:13" x14ac:dyDescent="0.25">
      <c r="A3188" t="s">
        <v>86</v>
      </c>
      <c r="B3188" s="6" t="s">
        <v>124</v>
      </c>
      <c r="C3188" s="13">
        <v>103</v>
      </c>
      <c r="D3188" s="14" t="s">
        <v>90</v>
      </c>
      <c r="E3188">
        <v>5</v>
      </c>
      <c r="F3188" s="8">
        <f>VLOOKUP(financials[[#This Row],[productid]],Products!$B$2:$H$10,3)</f>
        <v>28</v>
      </c>
      <c r="G3188" s="8">
        <f>financials[[#This Row],[Units Sold]]*financials[[#This Row],[Sale Price]]</f>
        <v>140</v>
      </c>
      <c r="H3188" s="8">
        <f>IF(financials[[#This Row],[Discount Band]]="low",0.1,IF(financials[[#This Row],[Discount Band]]="medium",0.15,0.3))</f>
        <v>0.15</v>
      </c>
      <c r="I3188" s="8">
        <f>financials[[#This Row],[Gross Sales]]-financials[[#This Row],[Gross Sales]]*financials[[#This Row],[Discounts]]</f>
        <v>119</v>
      </c>
      <c r="J3188" s="8">
        <f>VLOOKUP(financials[[#This Row],[productid]],Products!$B$2:$H$10,4)</f>
        <v>15</v>
      </c>
      <c r="K3188" s="8">
        <f>financials[[#This Row],[Net Sales]]-financials[[#This Row],[COGS]]</f>
        <v>104</v>
      </c>
      <c r="L3188" s="15">
        <v>44207</v>
      </c>
      <c r="M3188" t="s">
        <v>697</v>
      </c>
    </row>
    <row r="3189" spans="1:13" x14ac:dyDescent="0.25">
      <c r="A3189" t="s">
        <v>86</v>
      </c>
      <c r="B3189" s="6" t="s">
        <v>158</v>
      </c>
      <c r="C3189" s="13">
        <v>109</v>
      </c>
      <c r="D3189" s="14" t="s">
        <v>83</v>
      </c>
      <c r="E3189">
        <v>13</v>
      </c>
      <c r="F3189" s="8">
        <f>VLOOKUP(financials[[#This Row],[productid]],Products!$B$2:$H$10,3)</f>
        <v>36</v>
      </c>
      <c r="G3189" s="8">
        <f>financials[[#This Row],[Units Sold]]*financials[[#This Row],[Sale Price]]</f>
        <v>468</v>
      </c>
      <c r="H3189" s="8">
        <f>IF(financials[[#This Row],[Discount Band]]="low",0.1,IF(financials[[#This Row],[Discount Band]]="medium",0.15,0.3))</f>
        <v>0.3</v>
      </c>
      <c r="I3189" s="8">
        <f>financials[[#This Row],[Gross Sales]]-financials[[#This Row],[Gross Sales]]*financials[[#This Row],[Discounts]]</f>
        <v>327.60000000000002</v>
      </c>
      <c r="J3189" s="8">
        <f>VLOOKUP(financials[[#This Row],[productid]],Products!$B$2:$H$10,4)</f>
        <v>16.8</v>
      </c>
      <c r="K3189" s="8">
        <f>financials[[#This Row],[Net Sales]]-financials[[#This Row],[COGS]]</f>
        <v>310.8</v>
      </c>
      <c r="L3189" s="15">
        <v>45472</v>
      </c>
      <c r="M3189" t="s">
        <v>691</v>
      </c>
    </row>
    <row r="3190" spans="1:13" x14ac:dyDescent="0.25">
      <c r="A3190" t="s">
        <v>86</v>
      </c>
      <c r="B3190" s="6" t="s">
        <v>240</v>
      </c>
      <c r="C3190" s="13">
        <v>104</v>
      </c>
      <c r="D3190" s="14" t="s">
        <v>83</v>
      </c>
      <c r="E3190">
        <v>7</v>
      </c>
      <c r="F3190" s="8">
        <f>VLOOKUP(financials[[#This Row],[productid]],Products!$B$2:$H$10,3)</f>
        <v>5.9</v>
      </c>
      <c r="G3190" s="8">
        <f>financials[[#This Row],[Units Sold]]*financials[[#This Row],[Sale Price]]</f>
        <v>41.300000000000004</v>
      </c>
      <c r="H3190" s="8">
        <f>IF(financials[[#This Row],[Discount Band]]="low",0.1,IF(financials[[#This Row],[Discount Band]]="medium",0.15,0.3))</f>
        <v>0.3</v>
      </c>
      <c r="I3190" s="8">
        <f>financials[[#This Row],[Gross Sales]]-financials[[#This Row],[Gross Sales]]*financials[[#This Row],[Discounts]]</f>
        <v>28.910000000000004</v>
      </c>
      <c r="J3190" s="8">
        <f>VLOOKUP(financials[[#This Row],[productid]],Products!$B$2:$H$10,4)</f>
        <v>2.9</v>
      </c>
      <c r="K3190" s="8">
        <f>financials[[#This Row],[Net Sales]]-financials[[#This Row],[COGS]]</f>
        <v>26.010000000000005</v>
      </c>
      <c r="L3190" s="15">
        <v>44894</v>
      </c>
      <c r="M3190" t="s">
        <v>696</v>
      </c>
    </row>
    <row r="3191" spans="1:13" x14ac:dyDescent="0.25">
      <c r="A3191" t="s">
        <v>85</v>
      </c>
      <c r="B3191" s="6" t="s">
        <v>124</v>
      </c>
      <c r="C3191" s="13">
        <v>107</v>
      </c>
      <c r="D3191" s="14" t="s">
        <v>83</v>
      </c>
      <c r="E3191">
        <v>11</v>
      </c>
      <c r="F3191" s="8">
        <f>VLOOKUP(financials[[#This Row],[productid]],Products!$B$2:$H$10,3)</f>
        <v>15</v>
      </c>
      <c r="G3191" s="8">
        <f>financials[[#This Row],[Units Sold]]*financials[[#This Row],[Sale Price]]</f>
        <v>165</v>
      </c>
      <c r="H3191" s="8">
        <f>IF(financials[[#This Row],[Discount Band]]="low",0.1,IF(financials[[#This Row],[Discount Band]]="medium",0.15,0.3))</f>
        <v>0.3</v>
      </c>
      <c r="I3191" s="8">
        <f>financials[[#This Row],[Gross Sales]]-financials[[#This Row],[Gross Sales]]*financials[[#This Row],[Discounts]]</f>
        <v>115.5</v>
      </c>
      <c r="J3191" s="8">
        <f>VLOOKUP(financials[[#This Row],[productid]],Products!$B$2:$H$10,4)</f>
        <v>5.5</v>
      </c>
      <c r="K3191" s="8">
        <f>financials[[#This Row],[Net Sales]]-financials[[#This Row],[COGS]]</f>
        <v>110</v>
      </c>
      <c r="L3191" s="15">
        <v>44803</v>
      </c>
      <c r="M3191" t="s">
        <v>690</v>
      </c>
    </row>
    <row r="3192" spans="1:13" x14ac:dyDescent="0.25">
      <c r="A3192" t="s">
        <v>89</v>
      </c>
      <c r="B3192" s="6" t="s">
        <v>159</v>
      </c>
      <c r="C3192" s="13">
        <v>108</v>
      </c>
      <c r="D3192" s="14" t="s">
        <v>83</v>
      </c>
      <c r="E3192">
        <v>17</v>
      </c>
      <c r="F3192" s="8">
        <f>VLOOKUP(financials[[#This Row],[productid]],Products!$B$2:$H$10,3)</f>
        <v>5.5</v>
      </c>
      <c r="G3192" s="8">
        <f>financials[[#This Row],[Units Sold]]*financials[[#This Row],[Sale Price]]</f>
        <v>93.5</v>
      </c>
      <c r="H3192" s="8">
        <f>IF(financials[[#This Row],[Discount Band]]="low",0.1,IF(financials[[#This Row],[Discount Band]]="medium",0.15,0.3))</f>
        <v>0.3</v>
      </c>
      <c r="I3192" s="8">
        <f>financials[[#This Row],[Gross Sales]]-financials[[#This Row],[Gross Sales]]*financials[[#This Row],[Discounts]]</f>
        <v>65.45</v>
      </c>
      <c r="J3192" s="8">
        <f>VLOOKUP(financials[[#This Row],[productid]],Products!$B$2:$H$10,4)</f>
        <v>3.99</v>
      </c>
      <c r="K3192" s="8">
        <f>financials[[#This Row],[Net Sales]]-financials[[#This Row],[COGS]]</f>
        <v>61.46</v>
      </c>
      <c r="L3192" s="15">
        <v>44269</v>
      </c>
      <c r="M3192" t="s">
        <v>690</v>
      </c>
    </row>
    <row r="3193" spans="1:13" x14ac:dyDescent="0.25">
      <c r="A3193" t="s">
        <v>85</v>
      </c>
      <c r="B3193" s="6" t="s">
        <v>124</v>
      </c>
      <c r="C3193" s="13">
        <v>109</v>
      </c>
      <c r="D3193" s="14" t="s">
        <v>90</v>
      </c>
      <c r="E3193">
        <v>17</v>
      </c>
      <c r="F3193" s="8">
        <f>VLOOKUP(financials[[#This Row],[productid]],Products!$B$2:$H$10,3)</f>
        <v>36</v>
      </c>
      <c r="G3193" s="8">
        <f>financials[[#This Row],[Units Sold]]*financials[[#This Row],[Sale Price]]</f>
        <v>612</v>
      </c>
      <c r="H3193" s="8">
        <f>IF(financials[[#This Row],[Discount Band]]="low",0.1,IF(financials[[#This Row],[Discount Band]]="medium",0.15,0.3))</f>
        <v>0.15</v>
      </c>
      <c r="I3193" s="8">
        <f>financials[[#This Row],[Gross Sales]]-financials[[#This Row],[Gross Sales]]*financials[[#This Row],[Discounts]]</f>
        <v>520.20000000000005</v>
      </c>
      <c r="J3193" s="8">
        <f>VLOOKUP(financials[[#This Row],[productid]],Products!$B$2:$H$10,4)</f>
        <v>16.8</v>
      </c>
      <c r="K3193" s="8">
        <f>financials[[#This Row],[Net Sales]]-financials[[#This Row],[COGS]]</f>
        <v>503.40000000000003</v>
      </c>
      <c r="L3193" s="15">
        <v>45155</v>
      </c>
      <c r="M3193" t="s">
        <v>696</v>
      </c>
    </row>
    <row r="3194" spans="1:13" x14ac:dyDescent="0.25">
      <c r="A3194" t="s">
        <v>85</v>
      </c>
      <c r="B3194" s="6" t="s">
        <v>124</v>
      </c>
      <c r="C3194" s="13">
        <v>105</v>
      </c>
      <c r="D3194" s="14" t="s">
        <v>83</v>
      </c>
      <c r="E3194">
        <v>17</v>
      </c>
      <c r="F3194" s="8">
        <f>VLOOKUP(financials[[#This Row],[productid]],Products!$B$2:$H$10,3)</f>
        <v>15</v>
      </c>
      <c r="G3194" s="8">
        <f>financials[[#This Row],[Units Sold]]*financials[[#This Row],[Sale Price]]</f>
        <v>255</v>
      </c>
      <c r="H3194" s="8">
        <f>IF(financials[[#This Row],[Discount Band]]="low",0.1,IF(financials[[#This Row],[Discount Band]]="medium",0.15,0.3))</f>
        <v>0.3</v>
      </c>
      <c r="I3194" s="8">
        <f>financials[[#This Row],[Gross Sales]]-financials[[#This Row],[Gross Sales]]*financials[[#This Row],[Discounts]]</f>
        <v>178.5</v>
      </c>
      <c r="J3194" s="8">
        <f>VLOOKUP(financials[[#This Row],[productid]],Products!$B$2:$H$10,4)</f>
        <v>10</v>
      </c>
      <c r="K3194" s="8">
        <f>financials[[#This Row],[Net Sales]]-financials[[#This Row],[COGS]]</f>
        <v>168.5</v>
      </c>
      <c r="L3194" s="15">
        <v>44989</v>
      </c>
      <c r="M3194" t="s">
        <v>700</v>
      </c>
    </row>
    <row r="3195" spans="1:13" x14ac:dyDescent="0.25">
      <c r="A3195" t="s">
        <v>86</v>
      </c>
      <c r="B3195" s="6" t="s">
        <v>124</v>
      </c>
      <c r="C3195" s="13">
        <v>104</v>
      </c>
      <c r="D3195" s="14" t="s">
        <v>90</v>
      </c>
      <c r="E3195">
        <v>7</v>
      </c>
      <c r="F3195" s="8">
        <f>VLOOKUP(financials[[#This Row],[productid]],Products!$B$2:$H$10,3)</f>
        <v>5.9</v>
      </c>
      <c r="G3195" s="8">
        <f>financials[[#This Row],[Units Sold]]*financials[[#This Row],[Sale Price]]</f>
        <v>41.300000000000004</v>
      </c>
      <c r="H3195" s="8">
        <f>IF(financials[[#This Row],[Discount Band]]="low",0.1,IF(financials[[#This Row],[Discount Band]]="medium",0.15,0.3))</f>
        <v>0.15</v>
      </c>
      <c r="I3195" s="8">
        <f>financials[[#This Row],[Gross Sales]]-financials[[#This Row],[Gross Sales]]*financials[[#This Row],[Discounts]]</f>
        <v>35.105000000000004</v>
      </c>
      <c r="J3195" s="8">
        <f>VLOOKUP(financials[[#This Row],[productid]],Products!$B$2:$H$10,4)</f>
        <v>2.9</v>
      </c>
      <c r="K3195" s="8">
        <f>financials[[#This Row],[Net Sales]]-financials[[#This Row],[COGS]]</f>
        <v>32.205000000000005</v>
      </c>
      <c r="L3195" s="15">
        <v>44406</v>
      </c>
      <c r="M3195" t="s">
        <v>691</v>
      </c>
    </row>
    <row r="3196" spans="1:13" x14ac:dyDescent="0.25">
      <c r="A3196" t="s">
        <v>88</v>
      </c>
      <c r="B3196" s="6" t="s">
        <v>545</v>
      </c>
      <c r="C3196" s="13">
        <v>108</v>
      </c>
      <c r="D3196" s="14" t="s">
        <v>83</v>
      </c>
      <c r="E3196">
        <v>14</v>
      </c>
      <c r="F3196" s="8">
        <f>VLOOKUP(financials[[#This Row],[productid]],Products!$B$2:$H$10,3)</f>
        <v>5.5</v>
      </c>
      <c r="G3196" s="8">
        <f>financials[[#This Row],[Units Sold]]*financials[[#This Row],[Sale Price]]</f>
        <v>77</v>
      </c>
      <c r="H3196" s="8">
        <f>IF(financials[[#This Row],[Discount Band]]="low",0.1,IF(financials[[#This Row],[Discount Band]]="medium",0.15,0.3))</f>
        <v>0.3</v>
      </c>
      <c r="I3196" s="8">
        <f>financials[[#This Row],[Gross Sales]]-financials[[#This Row],[Gross Sales]]*financials[[#This Row],[Discounts]]</f>
        <v>53.900000000000006</v>
      </c>
      <c r="J3196" s="8">
        <f>VLOOKUP(financials[[#This Row],[productid]],Products!$B$2:$H$10,4)</f>
        <v>3.99</v>
      </c>
      <c r="K3196" s="8">
        <f>financials[[#This Row],[Net Sales]]-financials[[#This Row],[COGS]]</f>
        <v>49.910000000000004</v>
      </c>
      <c r="L3196" s="15">
        <v>44753</v>
      </c>
      <c r="M3196" t="s">
        <v>697</v>
      </c>
    </row>
    <row r="3197" spans="1:13" x14ac:dyDescent="0.25">
      <c r="A3197" t="s">
        <v>88</v>
      </c>
      <c r="B3197" s="6" t="s">
        <v>93</v>
      </c>
      <c r="C3197" s="13">
        <v>109</v>
      </c>
      <c r="D3197" s="14" t="s">
        <v>91</v>
      </c>
      <c r="E3197">
        <v>20</v>
      </c>
      <c r="F3197" s="8">
        <f>VLOOKUP(financials[[#This Row],[productid]],Products!$B$2:$H$10,3)</f>
        <v>36</v>
      </c>
      <c r="G3197" s="8">
        <f>financials[[#This Row],[Units Sold]]*financials[[#This Row],[Sale Price]]</f>
        <v>720</v>
      </c>
      <c r="H3197" s="8">
        <f>IF(financials[[#This Row],[Discount Band]]="low",0.1,IF(financials[[#This Row],[Discount Band]]="medium",0.15,0.3))</f>
        <v>0.1</v>
      </c>
      <c r="I3197" s="8">
        <f>financials[[#This Row],[Gross Sales]]-financials[[#This Row],[Gross Sales]]*financials[[#This Row],[Discounts]]</f>
        <v>648</v>
      </c>
      <c r="J3197" s="8">
        <f>VLOOKUP(financials[[#This Row],[productid]],Products!$B$2:$H$10,4)</f>
        <v>16.8</v>
      </c>
      <c r="K3197" s="8">
        <f>financials[[#This Row],[Net Sales]]-financials[[#This Row],[COGS]]</f>
        <v>631.20000000000005</v>
      </c>
      <c r="L3197" s="15">
        <v>43887</v>
      </c>
      <c r="M3197" t="s">
        <v>700</v>
      </c>
    </row>
    <row r="3198" spans="1:13" x14ac:dyDescent="0.25">
      <c r="A3198" t="s">
        <v>89</v>
      </c>
      <c r="B3198" s="6" t="s">
        <v>159</v>
      </c>
      <c r="C3198" s="13">
        <v>107</v>
      </c>
      <c r="D3198" s="14" t="s">
        <v>83</v>
      </c>
      <c r="E3198">
        <v>20</v>
      </c>
      <c r="F3198" s="8">
        <f>VLOOKUP(financials[[#This Row],[productid]],Products!$B$2:$H$10,3)</f>
        <v>15</v>
      </c>
      <c r="G3198" s="8">
        <f>financials[[#This Row],[Units Sold]]*financials[[#This Row],[Sale Price]]</f>
        <v>300</v>
      </c>
      <c r="H3198" s="8">
        <f>IF(financials[[#This Row],[Discount Band]]="low",0.1,IF(financials[[#This Row],[Discount Band]]="medium",0.15,0.3))</f>
        <v>0.3</v>
      </c>
      <c r="I3198" s="8">
        <f>financials[[#This Row],[Gross Sales]]-financials[[#This Row],[Gross Sales]]*financials[[#This Row],[Discounts]]</f>
        <v>210</v>
      </c>
      <c r="J3198" s="8">
        <f>VLOOKUP(financials[[#This Row],[productid]],Products!$B$2:$H$10,4)</f>
        <v>5.5</v>
      </c>
      <c r="K3198" s="8">
        <f>financials[[#This Row],[Net Sales]]-financials[[#This Row],[COGS]]</f>
        <v>204.5</v>
      </c>
      <c r="L3198" s="15">
        <v>43965</v>
      </c>
      <c r="M3198" t="s">
        <v>700</v>
      </c>
    </row>
    <row r="3199" spans="1:13" x14ac:dyDescent="0.25">
      <c r="A3199" t="s">
        <v>87</v>
      </c>
      <c r="B3199" s="6" t="s">
        <v>545</v>
      </c>
      <c r="C3199" s="13">
        <v>103</v>
      </c>
      <c r="D3199" s="14" t="s">
        <v>92</v>
      </c>
      <c r="E3199">
        <v>12</v>
      </c>
      <c r="F3199" s="8">
        <f>VLOOKUP(financials[[#This Row],[productid]],Products!$B$2:$H$10,3)</f>
        <v>28</v>
      </c>
      <c r="G3199" s="8">
        <f>financials[[#This Row],[Units Sold]]*financials[[#This Row],[Sale Price]]</f>
        <v>336</v>
      </c>
      <c r="H3199" s="8">
        <f>IF(financials[[#This Row],[Discount Band]]="low",0.1,IF(financials[[#This Row],[Discount Band]]="medium",0.15,0.3))</f>
        <v>0.3</v>
      </c>
      <c r="I3199" s="8">
        <f>financials[[#This Row],[Gross Sales]]-financials[[#This Row],[Gross Sales]]*financials[[#This Row],[Discounts]]</f>
        <v>235.2</v>
      </c>
      <c r="J3199" s="8">
        <f>VLOOKUP(financials[[#This Row],[productid]],Products!$B$2:$H$10,4)</f>
        <v>15</v>
      </c>
      <c r="K3199" s="8">
        <f>financials[[#This Row],[Net Sales]]-financials[[#This Row],[COGS]]</f>
        <v>220.2</v>
      </c>
      <c r="L3199" s="15">
        <v>45183</v>
      </c>
      <c r="M3199" t="s">
        <v>691</v>
      </c>
    </row>
    <row r="3200" spans="1:13" x14ac:dyDescent="0.25">
      <c r="A3200" t="s">
        <v>87</v>
      </c>
      <c r="B3200" s="6" t="s">
        <v>276</v>
      </c>
      <c r="C3200" s="13">
        <v>103</v>
      </c>
      <c r="D3200" s="14" t="s">
        <v>92</v>
      </c>
      <c r="E3200">
        <v>7</v>
      </c>
      <c r="F3200" s="8">
        <f>VLOOKUP(financials[[#This Row],[productid]],Products!$B$2:$H$10,3)</f>
        <v>28</v>
      </c>
      <c r="G3200" s="8">
        <f>financials[[#This Row],[Units Sold]]*financials[[#This Row],[Sale Price]]</f>
        <v>196</v>
      </c>
      <c r="H3200" s="8">
        <f>IF(financials[[#This Row],[Discount Band]]="low",0.1,IF(financials[[#This Row],[Discount Band]]="medium",0.15,0.3))</f>
        <v>0.3</v>
      </c>
      <c r="I3200" s="8">
        <f>financials[[#This Row],[Gross Sales]]-financials[[#This Row],[Gross Sales]]*financials[[#This Row],[Discounts]]</f>
        <v>137.19999999999999</v>
      </c>
      <c r="J3200" s="8">
        <f>VLOOKUP(financials[[#This Row],[productid]],Products!$B$2:$H$10,4)</f>
        <v>15</v>
      </c>
      <c r="K3200" s="8">
        <f>financials[[#This Row],[Net Sales]]-financials[[#This Row],[COGS]]</f>
        <v>122.19999999999999</v>
      </c>
      <c r="L3200" s="15">
        <v>44393</v>
      </c>
      <c r="M3200" t="s">
        <v>691</v>
      </c>
    </row>
    <row r="3201" spans="1:13" x14ac:dyDescent="0.25">
      <c r="A3201" t="s">
        <v>86</v>
      </c>
      <c r="B3201" s="6" t="s">
        <v>197</v>
      </c>
      <c r="C3201" s="13">
        <v>105</v>
      </c>
      <c r="D3201" s="14" t="s">
        <v>90</v>
      </c>
      <c r="E3201">
        <v>13</v>
      </c>
      <c r="F3201" s="8">
        <f>VLOOKUP(financials[[#This Row],[productid]],Products!$B$2:$H$10,3)</f>
        <v>15</v>
      </c>
      <c r="G3201" s="8">
        <f>financials[[#This Row],[Units Sold]]*financials[[#This Row],[Sale Price]]</f>
        <v>195</v>
      </c>
      <c r="H3201" s="8">
        <f>IF(financials[[#This Row],[Discount Band]]="low",0.1,IF(financials[[#This Row],[Discount Band]]="medium",0.15,0.3))</f>
        <v>0.15</v>
      </c>
      <c r="I3201" s="8">
        <f>financials[[#This Row],[Gross Sales]]-financials[[#This Row],[Gross Sales]]*financials[[#This Row],[Discounts]]</f>
        <v>165.75</v>
      </c>
      <c r="J3201" s="8">
        <f>VLOOKUP(financials[[#This Row],[productid]],Products!$B$2:$H$10,4)</f>
        <v>10</v>
      </c>
      <c r="K3201" s="8">
        <f>financials[[#This Row],[Net Sales]]-financials[[#This Row],[COGS]]</f>
        <v>155.75</v>
      </c>
      <c r="L3201" s="15">
        <v>44133</v>
      </c>
      <c r="M3201" t="s">
        <v>697</v>
      </c>
    </row>
    <row r="3202" spans="1:13" x14ac:dyDescent="0.25">
      <c r="A3202" t="s">
        <v>86</v>
      </c>
      <c r="B3202" s="6" t="s">
        <v>287</v>
      </c>
      <c r="C3202" s="13">
        <v>107</v>
      </c>
      <c r="D3202" s="14" t="s">
        <v>83</v>
      </c>
      <c r="E3202">
        <v>17</v>
      </c>
      <c r="F3202" s="8">
        <f>VLOOKUP(financials[[#This Row],[productid]],Products!$B$2:$H$10,3)</f>
        <v>15</v>
      </c>
      <c r="G3202" s="8">
        <f>financials[[#This Row],[Units Sold]]*financials[[#This Row],[Sale Price]]</f>
        <v>255</v>
      </c>
      <c r="H3202" s="8">
        <f>IF(financials[[#This Row],[Discount Band]]="low",0.1,IF(financials[[#This Row],[Discount Band]]="medium",0.15,0.3))</f>
        <v>0.3</v>
      </c>
      <c r="I3202" s="8">
        <f>financials[[#This Row],[Gross Sales]]-financials[[#This Row],[Gross Sales]]*financials[[#This Row],[Discounts]]</f>
        <v>178.5</v>
      </c>
      <c r="J3202" s="8">
        <f>VLOOKUP(financials[[#This Row],[productid]],Products!$B$2:$H$10,4)</f>
        <v>5.5</v>
      </c>
      <c r="K3202" s="8">
        <f>financials[[#This Row],[Net Sales]]-financials[[#This Row],[COGS]]</f>
        <v>173</v>
      </c>
      <c r="L3202" s="15">
        <v>44942</v>
      </c>
      <c r="M3202" t="s">
        <v>690</v>
      </c>
    </row>
    <row r="3203" spans="1:13" x14ac:dyDescent="0.25">
      <c r="A3203" t="s">
        <v>88</v>
      </c>
      <c r="B3203" s="6" t="s">
        <v>287</v>
      </c>
      <c r="C3203" s="11">
        <v>103</v>
      </c>
      <c r="D3203" s="9" t="s">
        <v>83</v>
      </c>
      <c r="E3203">
        <v>14</v>
      </c>
      <c r="F3203" s="8">
        <f>VLOOKUP(financials[[#This Row],[productid]],Products!$B$2:$H$10,3)</f>
        <v>28</v>
      </c>
      <c r="G3203" s="8">
        <f>financials[[#This Row],[Units Sold]]*financials[[#This Row],[Sale Price]]</f>
        <v>392</v>
      </c>
      <c r="H3203" s="8">
        <f>IF(financials[[#This Row],[Discount Band]]="low",0.1,IF(financials[[#This Row],[Discount Band]]="medium",0.15,0.3))</f>
        <v>0.3</v>
      </c>
      <c r="I3203" s="8">
        <f>financials[[#This Row],[Gross Sales]]-financials[[#This Row],[Gross Sales]]*financials[[#This Row],[Discounts]]</f>
        <v>274.39999999999998</v>
      </c>
      <c r="J3203" s="8">
        <f>VLOOKUP(financials[[#This Row],[productid]],Products!$B$2:$H$10,4)</f>
        <v>15</v>
      </c>
      <c r="K3203" s="8">
        <f>financials[[#This Row],[Net Sales]]-financials[[#This Row],[COGS]]</f>
        <v>259.39999999999998</v>
      </c>
      <c r="L3203" s="15">
        <v>45436</v>
      </c>
      <c r="M3203" t="s">
        <v>691</v>
      </c>
    </row>
    <row r="3204" spans="1:13" x14ac:dyDescent="0.25">
      <c r="A3204" t="s">
        <v>87</v>
      </c>
      <c r="B3204" s="6" t="s">
        <v>167</v>
      </c>
      <c r="C3204" s="11">
        <v>104</v>
      </c>
      <c r="D3204" s="9" t="s">
        <v>90</v>
      </c>
      <c r="E3204">
        <v>14</v>
      </c>
      <c r="F3204" s="8">
        <f>VLOOKUP(financials[[#This Row],[productid]],Products!$B$2:$H$10,3)</f>
        <v>5.9</v>
      </c>
      <c r="G3204" s="8">
        <f>financials[[#This Row],[Units Sold]]*financials[[#This Row],[Sale Price]]</f>
        <v>82.600000000000009</v>
      </c>
      <c r="H3204" s="8">
        <f>IF(financials[[#This Row],[Discount Band]]="low",0.1,IF(financials[[#This Row],[Discount Band]]="medium",0.15,0.3))</f>
        <v>0.15</v>
      </c>
      <c r="I3204" s="8">
        <f>financials[[#This Row],[Gross Sales]]-financials[[#This Row],[Gross Sales]]*financials[[#This Row],[Discounts]]</f>
        <v>70.210000000000008</v>
      </c>
      <c r="J3204" s="8">
        <f>VLOOKUP(financials[[#This Row],[productid]],Products!$B$2:$H$10,4)</f>
        <v>2.9</v>
      </c>
      <c r="K3204" s="8">
        <f>financials[[#This Row],[Net Sales]]-financials[[#This Row],[COGS]]</f>
        <v>67.31</v>
      </c>
      <c r="L3204" s="15">
        <v>44027</v>
      </c>
      <c r="M3204" t="s">
        <v>691</v>
      </c>
    </row>
    <row r="3205" spans="1:13" x14ac:dyDescent="0.25">
      <c r="A3205" t="s">
        <v>88</v>
      </c>
      <c r="B3205" s="6" t="s">
        <v>240</v>
      </c>
      <c r="C3205" s="13">
        <v>103</v>
      </c>
      <c r="D3205" s="14" t="s">
        <v>90</v>
      </c>
      <c r="E3205">
        <v>13</v>
      </c>
      <c r="F3205" s="8">
        <f>VLOOKUP(financials[[#This Row],[productid]],Products!$B$2:$H$10,3)</f>
        <v>28</v>
      </c>
      <c r="G3205" s="8">
        <f>financials[[#This Row],[Units Sold]]*financials[[#This Row],[Sale Price]]</f>
        <v>364</v>
      </c>
      <c r="H3205" s="8">
        <f>IF(financials[[#This Row],[Discount Band]]="low",0.1,IF(financials[[#This Row],[Discount Band]]="medium",0.15,0.3))</f>
        <v>0.15</v>
      </c>
      <c r="I3205" s="8">
        <f>financials[[#This Row],[Gross Sales]]-financials[[#This Row],[Gross Sales]]*financials[[#This Row],[Discounts]]</f>
        <v>309.39999999999998</v>
      </c>
      <c r="J3205" s="8">
        <f>VLOOKUP(financials[[#This Row],[productid]],Products!$B$2:$H$10,4)</f>
        <v>15</v>
      </c>
      <c r="K3205" s="8">
        <f>financials[[#This Row],[Net Sales]]-financials[[#This Row],[COGS]]</f>
        <v>294.39999999999998</v>
      </c>
      <c r="L3205" s="15">
        <v>44449</v>
      </c>
      <c r="M3205" t="s">
        <v>691</v>
      </c>
    </row>
    <row r="3206" spans="1:13" x14ac:dyDescent="0.25">
      <c r="A3206" t="s">
        <v>87</v>
      </c>
      <c r="B3206" s="6" t="s">
        <v>198</v>
      </c>
      <c r="C3206" s="13">
        <v>109</v>
      </c>
      <c r="D3206" s="14" t="s">
        <v>83</v>
      </c>
      <c r="E3206">
        <v>14</v>
      </c>
      <c r="F3206" s="8">
        <f>VLOOKUP(financials[[#This Row],[productid]],Products!$B$2:$H$10,3)</f>
        <v>36</v>
      </c>
      <c r="G3206" s="8">
        <f>financials[[#This Row],[Units Sold]]*financials[[#This Row],[Sale Price]]</f>
        <v>504</v>
      </c>
      <c r="H3206" s="8">
        <f>IF(financials[[#This Row],[Discount Band]]="low",0.1,IF(financials[[#This Row],[Discount Band]]="medium",0.15,0.3))</f>
        <v>0.3</v>
      </c>
      <c r="I3206" s="8">
        <f>financials[[#This Row],[Gross Sales]]-financials[[#This Row],[Gross Sales]]*financials[[#This Row],[Discounts]]</f>
        <v>352.8</v>
      </c>
      <c r="J3206" s="8">
        <f>VLOOKUP(financials[[#This Row],[productid]],Products!$B$2:$H$10,4)</f>
        <v>16.8</v>
      </c>
      <c r="K3206" s="8">
        <f>financials[[#This Row],[Net Sales]]-financials[[#This Row],[COGS]]</f>
        <v>336</v>
      </c>
      <c r="L3206" s="15">
        <v>45341</v>
      </c>
      <c r="M3206" t="s">
        <v>700</v>
      </c>
    </row>
    <row r="3207" spans="1:13" x14ac:dyDescent="0.25">
      <c r="A3207" t="s">
        <v>88</v>
      </c>
      <c r="B3207" s="6" t="s">
        <v>274</v>
      </c>
      <c r="C3207" s="13">
        <v>107</v>
      </c>
      <c r="D3207" s="14" t="s">
        <v>92</v>
      </c>
      <c r="E3207">
        <v>5</v>
      </c>
      <c r="F3207" s="8">
        <f>VLOOKUP(financials[[#This Row],[productid]],Products!$B$2:$H$10,3)</f>
        <v>15</v>
      </c>
      <c r="G3207" s="8">
        <f>financials[[#This Row],[Units Sold]]*financials[[#This Row],[Sale Price]]</f>
        <v>75</v>
      </c>
      <c r="H3207" s="8">
        <f>IF(financials[[#This Row],[Discount Band]]="low",0.1,IF(financials[[#This Row],[Discount Band]]="medium",0.15,0.3))</f>
        <v>0.3</v>
      </c>
      <c r="I3207" s="8">
        <f>financials[[#This Row],[Gross Sales]]-financials[[#This Row],[Gross Sales]]*financials[[#This Row],[Discounts]]</f>
        <v>52.5</v>
      </c>
      <c r="J3207" s="8">
        <f>VLOOKUP(financials[[#This Row],[productid]],Products!$B$2:$H$10,4)</f>
        <v>5.5</v>
      </c>
      <c r="K3207" s="8">
        <f>financials[[#This Row],[Net Sales]]-financials[[#This Row],[COGS]]</f>
        <v>47</v>
      </c>
      <c r="L3207" s="15">
        <v>45504</v>
      </c>
      <c r="M3207" t="s">
        <v>696</v>
      </c>
    </row>
    <row r="3208" spans="1:13" x14ac:dyDescent="0.25">
      <c r="A3208" t="s">
        <v>89</v>
      </c>
      <c r="B3208" s="6" t="s">
        <v>159</v>
      </c>
      <c r="C3208" s="13">
        <v>103</v>
      </c>
      <c r="D3208" s="14" t="s">
        <v>83</v>
      </c>
      <c r="E3208">
        <v>20</v>
      </c>
      <c r="F3208" s="8">
        <f>VLOOKUP(financials[[#This Row],[productid]],Products!$B$2:$H$10,3)</f>
        <v>28</v>
      </c>
      <c r="G3208" s="8">
        <f>financials[[#This Row],[Units Sold]]*financials[[#This Row],[Sale Price]]</f>
        <v>560</v>
      </c>
      <c r="H3208" s="8">
        <f>IF(financials[[#This Row],[Discount Band]]="low",0.1,IF(financials[[#This Row],[Discount Band]]="medium",0.15,0.3))</f>
        <v>0.3</v>
      </c>
      <c r="I3208" s="8">
        <f>financials[[#This Row],[Gross Sales]]-financials[[#This Row],[Gross Sales]]*financials[[#This Row],[Discounts]]</f>
        <v>392</v>
      </c>
      <c r="J3208" s="8">
        <f>VLOOKUP(financials[[#This Row],[productid]],Products!$B$2:$H$10,4)</f>
        <v>15</v>
      </c>
      <c r="K3208" s="8">
        <f>financials[[#This Row],[Net Sales]]-financials[[#This Row],[COGS]]</f>
        <v>377</v>
      </c>
      <c r="L3208" s="15">
        <v>44883</v>
      </c>
      <c r="M3208" t="s">
        <v>696</v>
      </c>
    </row>
    <row r="3209" spans="1:13" x14ac:dyDescent="0.25">
      <c r="A3209" t="s">
        <v>87</v>
      </c>
      <c r="B3209" s="6" t="s">
        <v>167</v>
      </c>
      <c r="C3209" s="13">
        <v>101</v>
      </c>
      <c r="D3209" s="14" t="s">
        <v>83</v>
      </c>
      <c r="E3209">
        <v>19</v>
      </c>
      <c r="F3209" s="8">
        <f>VLOOKUP(financials[[#This Row],[productid]],Products!$B$2:$H$10,3)</f>
        <v>23</v>
      </c>
      <c r="G3209" s="8">
        <f>financials[[#This Row],[Units Sold]]*financials[[#This Row],[Sale Price]]</f>
        <v>437</v>
      </c>
      <c r="H3209" s="8">
        <f>IF(financials[[#This Row],[Discount Band]]="low",0.1,IF(financials[[#This Row],[Discount Band]]="medium",0.15,0.3))</f>
        <v>0.3</v>
      </c>
      <c r="I3209" s="8">
        <f>financials[[#This Row],[Gross Sales]]-financials[[#This Row],[Gross Sales]]*financials[[#This Row],[Discounts]]</f>
        <v>305.89999999999998</v>
      </c>
      <c r="J3209" s="8">
        <f>VLOOKUP(financials[[#This Row],[productid]],Products!$B$2:$H$10,4)</f>
        <v>9.9499999999999993</v>
      </c>
      <c r="K3209" s="8">
        <f>financials[[#This Row],[Net Sales]]-financials[[#This Row],[COGS]]</f>
        <v>295.95</v>
      </c>
      <c r="L3209" s="15">
        <v>45116</v>
      </c>
      <c r="M3209" t="s">
        <v>700</v>
      </c>
    </row>
    <row r="3210" spans="1:13" x14ac:dyDescent="0.25">
      <c r="A3210" t="s">
        <v>87</v>
      </c>
      <c r="B3210" s="6" t="s">
        <v>545</v>
      </c>
      <c r="C3210" s="13">
        <v>105</v>
      </c>
      <c r="D3210" s="14" t="s">
        <v>83</v>
      </c>
      <c r="E3210">
        <v>9</v>
      </c>
      <c r="F3210" s="8">
        <f>VLOOKUP(financials[[#This Row],[productid]],Products!$B$2:$H$10,3)</f>
        <v>15</v>
      </c>
      <c r="G3210" s="8">
        <f>financials[[#This Row],[Units Sold]]*financials[[#This Row],[Sale Price]]</f>
        <v>135</v>
      </c>
      <c r="H3210" s="8">
        <f>IF(financials[[#This Row],[Discount Band]]="low",0.1,IF(financials[[#This Row],[Discount Band]]="medium",0.15,0.3))</f>
        <v>0.3</v>
      </c>
      <c r="I3210" s="8">
        <f>financials[[#This Row],[Gross Sales]]-financials[[#This Row],[Gross Sales]]*financials[[#This Row],[Discounts]]</f>
        <v>94.5</v>
      </c>
      <c r="J3210" s="8">
        <f>VLOOKUP(financials[[#This Row],[productid]],Products!$B$2:$H$10,4)</f>
        <v>10</v>
      </c>
      <c r="K3210" s="8">
        <f>financials[[#This Row],[Net Sales]]-financials[[#This Row],[COGS]]</f>
        <v>84.5</v>
      </c>
      <c r="L3210" s="15">
        <v>45198</v>
      </c>
      <c r="M3210" t="s">
        <v>697</v>
      </c>
    </row>
    <row r="3211" spans="1:13" x14ac:dyDescent="0.25">
      <c r="A3211" t="s">
        <v>86</v>
      </c>
      <c r="B3211" s="6" t="s">
        <v>240</v>
      </c>
      <c r="C3211" s="13">
        <v>102</v>
      </c>
      <c r="D3211" s="14" t="s">
        <v>83</v>
      </c>
      <c r="E3211">
        <v>6</v>
      </c>
      <c r="F3211" s="8">
        <f>VLOOKUP(financials[[#This Row],[productid]],Products!$B$2:$H$10,3)</f>
        <v>15</v>
      </c>
      <c r="G3211" s="8">
        <f>financials[[#This Row],[Units Sold]]*financials[[#This Row],[Sale Price]]</f>
        <v>90</v>
      </c>
      <c r="H3211" s="8">
        <f>IF(financials[[#This Row],[Discount Band]]="low",0.1,IF(financials[[#This Row],[Discount Band]]="medium",0.15,0.3))</f>
        <v>0.3</v>
      </c>
      <c r="I3211" s="8">
        <f>financials[[#This Row],[Gross Sales]]-financials[[#This Row],[Gross Sales]]*financials[[#This Row],[Discounts]]</f>
        <v>63</v>
      </c>
      <c r="J3211" s="8">
        <f>VLOOKUP(financials[[#This Row],[productid]],Products!$B$2:$H$10,4)</f>
        <v>13.95</v>
      </c>
      <c r="K3211" s="8">
        <f>financials[[#This Row],[Net Sales]]-financials[[#This Row],[COGS]]</f>
        <v>49.05</v>
      </c>
      <c r="L3211" s="15">
        <v>44138</v>
      </c>
      <c r="M3211" t="s">
        <v>696</v>
      </c>
    </row>
    <row r="3212" spans="1:13" x14ac:dyDescent="0.25">
      <c r="A3212" t="s">
        <v>86</v>
      </c>
      <c r="B3212" s="6" t="s">
        <v>287</v>
      </c>
      <c r="C3212" s="13">
        <v>103</v>
      </c>
      <c r="D3212" s="14" t="s">
        <v>91</v>
      </c>
      <c r="E3212">
        <v>14</v>
      </c>
      <c r="F3212" s="8">
        <f>VLOOKUP(financials[[#This Row],[productid]],Products!$B$2:$H$10,3)</f>
        <v>28</v>
      </c>
      <c r="G3212" s="8">
        <f>financials[[#This Row],[Units Sold]]*financials[[#This Row],[Sale Price]]</f>
        <v>392</v>
      </c>
      <c r="H3212" s="8">
        <f>IF(financials[[#This Row],[Discount Band]]="low",0.1,IF(financials[[#This Row],[Discount Band]]="medium",0.15,0.3))</f>
        <v>0.1</v>
      </c>
      <c r="I3212" s="8">
        <f>financials[[#This Row],[Gross Sales]]-financials[[#This Row],[Gross Sales]]*financials[[#This Row],[Discounts]]</f>
        <v>352.8</v>
      </c>
      <c r="J3212" s="8">
        <f>VLOOKUP(financials[[#This Row],[productid]],Products!$B$2:$H$10,4)</f>
        <v>15</v>
      </c>
      <c r="K3212" s="8">
        <f>financials[[#This Row],[Net Sales]]-financials[[#This Row],[COGS]]</f>
        <v>337.8</v>
      </c>
      <c r="L3212" s="15">
        <v>43910</v>
      </c>
      <c r="M3212" t="s">
        <v>690</v>
      </c>
    </row>
    <row r="3213" spans="1:13" x14ac:dyDescent="0.25">
      <c r="A3213" t="s">
        <v>86</v>
      </c>
      <c r="B3213" s="6" t="s">
        <v>159</v>
      </c>
      <c r="C3213" s="13">
        <v>101</v>
      </c>
      <c r="D3213" s="14" t="s">
        <v>90</v>
      </c>
      <c r="E3213">
        <v>14</v>
      </c>
      <c r="F3213" s="8">
        <f>VLOOKUP(financials[[#This Row],[productid]],Products!$B$2:$H$10,3)</f>
        <v>23</v>
      </c>
      <c r="G3213" s="8">
        <f>financials[[#This Row],[Units Sold]]*financials[[#This Row],[Sale Price]]</f>
        <v>322</v>
      </c>
      <c r="H3213" s="8">
        <f>IF(financials[[#This Row],[Discount Band]]="low",0.1,IF(financials[[#This Row],[Discount Band]]="medium",0.15,0.3))</f>
        <v>0.15</v>
      </c>
      <c r="I3213" s="8">
        <f>financials[[#This Row],[Gross Sales]]-financials[[#This Row],[Gross Sales]]*financials[[#This Row],[Discounts]]</f>
        <v>273.7</v>
      </c>
      <c r="J3213" s="8">
        <f>VLOOKUP(financials[[#This Row],[productid]],Products!$B$2:$H$10,4)</f>
        <v>9.9499999999999993</v>
      </c>
      <c r="K3213" s="8">
        <f>financials[[#This Row],[Net Sales]]-financials[[#This Row],[COGS]]</f>
        <v>263.75</v>
      </c>
      <c r="L3213" s="15">
        <v>44355</v>
      </c>
      <c r="M3213" t="s">
        <v>696</v>
      </c>
    </row>
    <row r="3214" spans="1:13" x14ac:dyDescent="0.25">
      <c r="A3214" t="s">
        <v>85</v>
      </c>
      <c r="B3214" s="6" t="s">
        <v>124</v>
      </c>
      <c r="C3214" s="13">
        <v>109</v>
      </c>
      <c r="D3214" s="14" t="s">
        <v>83</v>
      </c>
      <c r="E3214">
        <v>13</v>
      </c>
      <c r="F3214" s="8">
        <f>VLOOKUP(financials[[#This Row],[productid]],Products!$B$2:$H$10,3)</f>
        <v>36</v>
      </c>
      <c r="G3214" s="8">
        <f>financials[[#This Row],[Units Sold]]*financials[[#This Row],[Sale Price]]</f>
        <v>468</v>
      </c>
      <c r="H3214" s="8">
        <f>IF(financials[[#This Row],[Discount Band]]="low",0.1,IF(financials[[#This Row],[Discount Band]]="medium",0.15,0.3))</f>
        <v>0.3</v>
      </c>
      <c r="I3214" s="8">
        <f>financials[[#This Row],[Gross Sales]]-financials[[#This Row],[Gross Sales]]*financials[[#This Row],[Discounts]]</f>
        <v>327.60000000000002</v>
      </c>
      <c r="J3214" s="8">
        <f>VLOOKUP(financials[[#This Row],[productid]],Products!$B$2:$H$10,4)</f>
        <v>16.8</v>
      </c>
      <c r="K3214" s="8">
        <f>financials[[#This Row],[Net Sales]]-financials[[#This Row],[COGS]]</f>
        <v>310.8</v>
      </c>
      <c r="L3214" s="15">
        <v>44320</v>
      </c>
      <c r="M3214" t="s">
        <v>691</v>
      </c>
    </row>
    <row r="3215" spans="1:13" x14ac:dyDescent="0.25">
      <c r="A3215" t="s">
        <v>88</v>
      </c>
      <c r="B3215" s="6" t="s">
        <v>545</v>
      </c>
      <c r="C3215" s="13">
        <v>108</v>
      </c>
      <c r="D3215" s="14" t="s">
        <v>91</v>
      </c>
      <c r="E3215">
        <v>13</v>
      </c>
      <c r="F3215" s="8">
        <f>VLOOKUP(financials[[#This Row],[productid]],Products!$B$2:$H$10,3)</f>
        <v>5.5</v>
      </c>
      <c r="G3215" s="8">
        <f>financials[[#This Row],[Units Sold]]*financials[[#This Row],[Sale Price]]</f>
        <v>71.5</v>
      </c>
      <c r="H3215" s="8">
        <f>IF(financials[[#This Row],[Discount Band]]="low",0.1,IF(financials[[#This Row],[Discount Band]]="medium",0.15,0.3))</f>
        <v>0.1</v>
      </c>
      <c r="I3215" s="8">
        <f>financials[[#This Row],[Gross Sales]]-financials[[#This Row],[Gross Sales]]*financials[[#This Row],[Discounts]]</f>
        <v>64.349999999999994</v>
      </c>
      <c r="J3215" s="8">
        <f>VLOOKUP(financials[[#This Row],[productid]],Products!$B$2:$H$10,4)</f>
        <v>3.99</v>
      </c>
      <c r="K3215" s="8">
        <f>financials[[#This Row],[Net Sales]]-financials[[#This Row],[COGS]]</f>
        <v>60.359999999999992</v>
      </c>
      <c r="L3215" s="15">
        <v>44932</v>
      </c>
      <c r="M3215" t="s">
        <v>700</v>
      </c>
    </row>
    <row r="3216" spans="1:13" x14ac:dyDescent="0.25">
      <c r="A3216" t="s">
        <v>87</v>
      </c>
      <c r="B3216" s="6" t="s">
        <v>205</v>
      </c>
      <c r="C3216" s="13">
        <v>108</v>
      </c>
      <c r="D3216" s="14" t="s">
        <v>90</v>
      </c>
      <c r="E3216">
        <v>5</v>
      </c>
      <c r="F3216" s="8">
        <f>VLOOKUP(financials[[#This Row],[productid]],Products!$B$2:$H$10,3)</f>
        <v>5.5</v>
      </c>
      <c r="G3216" s="8">
        <f>financials[[#This Row],[Units Sold]]*financials[[#This Row],[Sale Price]]</f>
        <v>27.5</v>
      </c>
      <c r="H3216" s="8">
        <f>IF(financials[[#This Row],[Discount Band]]="low",0.1,IF(financials[[#This Row],[Discount Band]]="medium",0.15,0.3))</f>
        <v>0.15</v>
      </c>
      <c r="I3216" s="8">
        <f>financials[[#This Row],[Gross Sales]]-financials[[#This Row],[Gross Sales]]*financials[[#This Row],[Discounts]]</f>
        <v>23.375</v>
      </c>
      <c r="J3216" s="8">
        <f>VLOOKUP(financials[[#This Row],[productid]],Products!$B$2:$H$10,4)</f>
        <v>3.99</v>
      </c>
      <c r="K3216" s="8">
        <f>financials[[#This Row],[Net Sales]]-financials[[#This Row],[COGS]]</f>
        <v>19.384999999999998</v>
      </c>
      <c r="L3216" s="15">
        <v>44560</v>
      </c>
      <c r="M3216" t="s">
        <v>700</v>
      </c>
    </row>
    <row r="3217" spans="1:13" x14ac:dyDescent="0.25">
      <c r="A3217" t="s">
        <v>89</v>
      </c>
      <c r="B3217" s="6" t="s">
        <v>124</v>
      </c>
      <c r="C3217" s="13">
        <v>105</v>
      </c>
      <c r="D3217" s="14" t="s">
        <v>83</v>
      </c>
      <c r="E3217">
        <v>13</v>
      </c>
      <c r="F3217" s="8">
        <f>VLOOKUP(financials[[#This Row],[productid]],Products!$B$2:$H$10,3)</f>
        <v>15</v>
      </c>
      <c r="G3217" s="8">
        <f>financials[[#This Row],[Units Sold]]*financials[[#This Row],[Sale Price]]</f>
        <v>195</v>
      </c>
      <c r="H3217" s="8">
        <f>IF(financials[[#This Row],[Discount Band]]="low",0.1,IF(financials[[#This Row],[Discount Band]]="medium",0.15,0.3))</f>
        <v>0.3</v>
      </c>
      <c r="I3217" s="8">
        <f>financials[[#This Row],[Gross Sales]]-financials[[#This Row],[Gross Sales]]*financials[[#This Row],[Discounts]]</f>
        <v>136.5</v>
      </c>
      <c r="J3217" s="8">
        <f>VLOOKUP(financials[[#This Row],[productid]],Products!$B$2:$H$10,4)</f>
        <v>10</v>
      </c>
      <c r="K3217" s="8">
        <f>financials[[#This Row],[Net Sales]]-financials[[#This Row],[COGS]]</f>
        <v>126.5</v>
      </c>
      <c r="L3217" s="15">
        <v>43990</v>
      </c>
      <c r="M3217" t="s">
        <v>690</v>
      </c>
    </row>
    <row r="3218" spans="1:13" x14ac:dyDescent="0.25">
      <c r="A3218" t="s">
        <v>88</v>
      </c>
      <c r="B3218" s="6" t="s">
        <v>287</v>
      </c>
      <c r="C3218" s="13">
        <v>102</v>
      </c>
      <c r="D3218" s="14" t="s">
        <v>90</v>
      </c>
      <c r="E3218">
        <v>7</v>
      </c>
      <c r="F3218" s="8">
        <f>VLOOKUP(financials[[#This Row],[productid]],Products!$B$2:$H$10,3)</f>
        <v>15</v>
      </c>
      <c r="G3218" s="8">
        <f>financials[[#This Row],[Units Sold]]*financials[[#This Row],[Sale Price]]</f>
        <v>105</v>
      </c>
      <c r="H3218" s="8">
        <f>IF(financials[[#This Row],[Discount Band]]="low",0.1,IF(financials[[#This Row],[Discount Band]]="medium",0.15,0.3))</f>
        <v>0.15</v>
      </c>
      <c r="I3218" s="8">
        <f>financials[[#This Row],[Gross Sales]]-financials[[#This Row],[Gross Sales]]*financials[[#This Row],[Discounts]]</f>
        <v>89.25</v>
      </c>
      <c r="J3218" s="8">
        <f>VLOOKUP(financials[[#This Row],[productid]],Products!$B$2:$H$10,4)</f>
        <v>13.95</v>
      </c>
      <c r="K3218" s="8">
        <f>financials[[#This Row],[Net Sales]]-financials[[#This Row],[COGS]]</f>
        <v>75.3</v>
      </c>
      <c r="L3218" s="15">
        <v>45385</v>
      </c>
      <c r="M3218" t="s">
        <v>700</v>
      </c>
    </row>
    <row r="3219" spans="1:13" x14ac:dyDescent="0.25">
      <c r="A3219" t="s">
        <v>88</v>
      </c>
      <c r="B3219" s="6" t="s">
        <v>645</v>
      </c>
      <c r="C3219" s="13">
        <v>104</v>
      </c>
      <c r="D3219" s="14" t="s">
        <v>90</v>
      </c>
      <c r="E3219">
        <v>9</v>
      </c>
      <c r="F3219" s="8">
        <f>VLOOKUP(financials[[#This Row],[productid]],Products!$B$2:$H$10,3)</f>
        <v>5.9</v>
      </c>
      <c r="G3219" s="8">
        <f>financials[[#This Row],[Units Sold]]*financials[[#This Row],[Sale Price]]</f>
        <v>53.1</v>
      </c>
      <c r="H3219" s="8">
        <f>IF(financials[[#This Row],[Discount Band]]="low",0.1,IF(financials[[#This Row],[Discount Band]]="medium",0.15,0.3))</f>
        <v>0.15</v>
      </c>
      <c r="I3219" s="8">
        <f>financials[[#This Row],[Gross Sales]]-financials[[#This Row],[Gross Sales]]*financials[[#This Row],[Discounts]]</f>
        <v>45.135000000000005</v>
      </c>
      <c r="J3219" s="8">
        <f>VLOOKUP(financials[[#This Row],[productid]],Products!$B$2:$H$10,4)</f>
        <v>2.9</v>
      </c>
      <c r="K3219" s="8">
        <f>financials[[#This Row],[Net Sales]]-financials[[#This Row],[COGS]]</f>
        <v>42.235000000000007</v>
      </c>
      <c r="L3219" s="15">
        <v>44237</v>
      </c>
      <c r="M3219" t="s">
        <v>691</v>
      </c>
    </row>
    <row r="3220" spans="1:13" x14ac:dyDescent="0.25">
      <c r="A3220" t="s">
        <v>86</v>
      </c>
      <c r="B3220" s="6" t="s">
        <v>158</v>
      </c>
      <c r="C3220" s="13">
        <v>105</v>
      </c>
      <c r="D3220" s="14" t="s">
        <v>92</v>
      </c>
      <c r="E3220">
        <v>14</v>
      </c>
      <c r="F3220" s="8">
        <f>VLOOKUP(financials[[#This Row],[productid]],Products!$B$2:$H$10,3)</f>
        <v>15</v>
      </c>
      <c r="G3220" s="8">
        <f>financials[[#This Row],[Units Sold]]*financials[[#This Row],[Sale Price]]</f>
        <v>210</v>
      </c>
      <c r="H3220" s="8">
        <f>IF(financials[[#This Row],[Discount Band]]="low",0.1,IF(financials[[#This Row],[Discount Band]]="medium",0.15,0.3))</f>
        <v>0.3</v>
      </c>
      <c r="I3220" s="8">
        <f>financials[[#This Row],[Gross Sales]]-financials[[#This Row],[Gross Sales]]*financials[[#This Row],[Discounts]]</f>
        <v>147</v>
      </c>
      <c r="J3220" s="8">
        <f>VLOOKUP(financials[[#This Row],[productid]],Products!$B$2:$H$10,4)</f>
        <v>10</v>
      </c>
      <c r="K3220" s="8">
        <f>financials[[#This Row],[Net Sales]]-financials[[#This Row],[COGS]]</f>
        <v>137</v>
      </c>
      <c r="L3220" s="15">
        <v>45337</v>
      </c>
      <c r="M3220" t="s">
        <v>700</v>
      </c>
    </row>
    <row r="3221" spans="1:13" x14ac:dyDescent="0.25">
      <c r="A3221" t="s">
        <v>87</v>
      </c>
      <c r="B3221" s="6" t="s">
        <v>273</v>
      </c>
      <c r="C3221" s="13">
        <v>109</v>
      </c>
      <c r="D3221" s="14" t="s">
        <v>91</v>
      </c>
      <c r="E3221">
        <v>14</v>
      </c>
      <c r="F3221" s="8">
        <f>VLOOKUP(financials[[#This Row],[productid]],Products!$B$2:$H$10,3)</f>
        <v>36</v>
      </c>
      <c r="G3221" s="8">
        <f>financials[[#This Row],[Units Sold]]*financials[[#This Row],[Sale Price]]</f>
        <v>504</v>
      </c>
      <c r="H3221" s="8">
        <f>IF(financials[[#This Row],[Discount Band]]="low",0.1,IF(financials[[#This Row],[Discount Band]]="medium",0.15,0.3))</f>
        <v>0.1</v>
      </c>
      <c r="I3221" s="8">
        <f>financials[[#This Row],[Gross Sales]]-financials[[#This Row],[Gross Sales]]*financials[[#This Row],[Discounts]]</f>
        <v>453.6</v>
      </c>
      <c r="J3221" s="8">
        <f>VLOOKUP(financials[[#This Row],[productid]],Products!$B$2:$H$10,4)</f>
        <v>16.8</v>
      </c>
      <c r="K3221" s="8">
        <f>financials[[#This Row],[Net Sales]]-financials[[#This Row],[COGS]]</f>
        <v>436.8</v>
      </c>
      <c r="L3221" s="15">
        <v>45616</v>
      </c>
      <c r="M3221" t="s">
        <v>697</v>
      </c>
    </row>
    <row r="3222" spans="1:13" x14ac:dyDescent="0.25">
      <c r="A3222" t="s">
        <v>87</v>
      </c>
      <c r="B3222" s="6" t="s">
        <v>167</v>
      </c>
      <c r="C3222" s="13">
        <v>107</v>
      </c>
      <c r="D3222" s="14" t="s">
        <v>91</v>
      </c>
      <c r="E3222">
        <v>8</v>
      </c>
      <c r="F3222" s="8">
        <f>VLOOKUP(financials[[#This Row],[productid]],Products!$B$2:$H$10,3)</f>
        <v>15</v>
      </c>
      <c r="G3222" s="8">
        <f>financials[[#This Row],[Units Sold]]*financials[[#This Row],[Sale Price]]</f>
        <v>120</v>
      </c>
      <c r="H3222" s="8">
        <f>IF(financials[[#This Row],[Discount Band]]="low",0.1,IF(financials[[#This Row],[Discount Band]]="medium",0.15,0.3))</f>
        <v>0.1</v>
      </c>
      <c r="I3222" s="8">
        <f>financials[[#This Row],[Gross Sales]]-financials[[#This Row],[Gross Sales]]*financials[[#This Row],[Discounts]]</f>
        <v>108</v>
      </c>
      <c r="J3222" s="8">
        <f>VLOOKUP(financials[[#This Row],[productid]],Products!$B$2:$H$10,4)</f>
        <v>5.5</v>
      </c>
      <c r="K3222" s="8">
        <f>financials[[#This Row],[Net Sales]]-financials[[#This Row],[COGS]]</f>
        <v>102.5</v>
      </c>
      <c r="L3222" s="15">
        <v>44235</v>
      </c>
      <c r="M3222" t="s">
        <v>700</v>
      </c>
    </row>
    <row r="3223" spans="1:13" x14ac:dyDescent="0.25">
      <c r="A3223" t="s">
        <v>89</v>
      </c>
      <c r="B3223" s="6" t="s">
        <v>159</v>
      </c>
      <c r="C3223" s="13">
        <v>107</v>
      </c>
      <c r="D3223" s="14" t="s">
        <v>90</v>
      </c>
      <c r="E3223">
        <v>18</v>
      </c>
      <c r="F3223" s="8">
        <f>VLOOKUP(financials[[#This Row],[productid]],Products!$B$2:$H$10,3)</f>
        <v>15</v>
      </c>
      <c r="G3223" s="8">
        <f>financials[[#This Row],[Units Sold]]*financials[[#This Row],[Sale Price]]</f>
        <v>270</v>
      </c>
      <c r="H3223" s="8">
        <f>IF(financials[[#This Row],[Discount Band]]="low",0.1,IF(financials[[#This Row],[Discount Band]]="medium",0.15,0.3))</f>
        <v>0.15</v>
      </c>
      <c r="I3223" s="8">
        <f>financials[[#This Row],[Gross Sales]]-financials[[#This Row],[Gross Sales]]*financials[[#This Row],[Discounts]]</f>
        <v>229.5</v>
      </c>
      <c r="J3223" s="8">
        <f>VLOOKUP(financials[[#This Row],[productid]],Products!$B$2:$H$10,4)</f>
        <v>5.5</v>
      </c>
      <c r="K3223" s="8">
        <f>financials[[#This Row],[Net Sales]]-financials[[#This Row],[COGS]]</f>
        <v>224</v>
      </c>
      <c r="L3223" s="15">
        <v>44759</v>
      </c>
      <c r="M3223" t="s">
        <v>696</v>
      </c>
    </row>
    <row r="3224" spans="1:13" x14ac:dyDescent="0.25">
      <c r="A3224" t="s">
        <v>89</v>
      </c>
      <c r="B3224" s="6" t="s">
        <v>159</v>
      </c>
      <c r="C3224" s="13">
        <v>107</v>
      </c>
      <c r="D3224" s="14" t="s">
        <v>83</v>
      </c>
      <c r="E3224">
        <v>19</v>
      </c>
      <c r="F3224" s="8">
        <f>VLOOKUP(financials[[#This Row],[productid]],Products!$B$2:$H$10,3)</f>
        <v>15</v>
      </c>
      <c r="G3224" s="8">
        <f>financials[[#This Row],[Units Sold]]*financials[[#This Row],[Sale Price]]</f>
        <v>285</v>
      </c>
      <c r="H3224" s="8">
        <f>IF(financials[[#This Row],[Discount Band]]="low",0.1,IF(financials[[#This Row],[Discount Band]]="medium",0.15,0.3))</f>
        <v>0.3</v>
      </c>
      <c r="I3224" s="8">
        <f>financials[[#This Row],[Gross Sales]]-financials[[#This Row],[Gross Sales]]*financials[[#This Row],[Discounts]]</f>
        <v>199.5</v>
      </c>
      <c r="J3224" s="8">
        <f>VLOOKUP(financials[[#This Row],[productid]],Products!$B$2:$H$10,4)</f>
        <v>5.5</v>
      </c>
      <c r="K3224" s="8">
        <f>financials[[#This Row],[Net Sales]]-financials[[#This Row],[COGS]]</f>
        <v>194</v>
      </c>
      <c r="L3224" s="15">
        <v>45235</v>
      </c>
      <c r="M3224" t="s">
        <v>691</v>
      </c>
    </row>
    <row r="3225" spans="1:13" x14ac:dyDescent="0.25">
      <c r="A3225" t="s">
        <v>89</v>
      </c>
      <c r="B3225" s="6" t="s">
        <v>124</v>
      </c>
      <c r="C3225" s="13">
        <v>105</v>
      </c>
      <c r="D3225" s="14" t="s">
        <v>90</v>
      </c>
      <c r="E3225">
        <v>12</v>
      </c>
      <c r="F3225" s="8">
        <f>VLOOKUP(financials[[#This Row],[productid]],Products!$B$2:$H$10,3)</f>
        <v>15</v>
      </c>
      <c r="G3225" s="8">
        <f>financials[[#This Row],[Units Sold]]*financials[[#This Row],[Sale Price]]</f>
        <v>180</v>
      </c>
      <c r="H3225" s="8">
        <f>IF(financials[[#This Row],[Discount Band]]="low",0.1,IF(financials[[#This Row],[Discount Band]]="medium",0.15,0.3))</f>
        <v>0.15</v>
      </c>
      <c r="I3225" s="8">
        <f>financials[[#This Row],[Gross Sales]]-financials[[#This Row],[Gross Sales]]*financials[[#This Row],[Discounts]]</f>
        <v>153</v>
      </c>
      <c r="J3225" s="8">
        <f>VLOOKUP(financials[[#This Row],[productid]],Products!$B$2:$H$10,4)</f>
        <v>10</v>
      </c>
      <c r="K3225" s="8">
        <f>financials[[#This Row],[Net Sales]]-financials[[#This Row],[COGS]]</f>
        <v>143</v>
      </c>
      <c r="L3225" s="15">
        <v>44243</v>
      </c>
      <c r="M3225" t="s">
        <v>691</v>
      </c>
    </row>
    <row r="3226" spans="1:13" x14ac:dyDescent="0.25">
      <c r="A3226" t="s">
        <v>87</v>
      </c>
      <c r="B3226" s="6" t="s">
        <v>167</v>
      </c>
      <c r="C3226" s="13">
        <v>107</v>
      </c>
      <c r="D3226" s="14" t="s">
        <v>91</v>
      </c>
      <c r="E3226">
        <v>17</v>
      </c>
      <c r="F3226" s="8">
        <f>VLOOKUP(financials[[#This Row],[productid]],Products!$B$2:$H$10,3)</f>
        <v>15</v>
      </c>
      <c r="G3226" s="8">
        <f>financials[[#This Row],[Units Sold]]*financials[[#This Row],[Sale Price]]</f>
        <v>255</v>
      </c>
      <c r="H3226" s="8">
        <f>IF(financials[[#This Row],[Discount Band]]="low",0.1,IF(financials[[#This Row],[Discount Band]]="medium",0.15,0.3))</f>
        <v>0.1</v>
      </c>
      <c r="I3226" s="8">
        <f>financials[[#This Row],[Gross Sales]]-financials[[#This Row],[Gross Sales]]*financials[[#This Row],[Discounts]]</f>
        <v>229.5</v>
      </c>
      <c r="J3226" s="8">
        <f>VLOOKUP(financials[[#This Row],[productid]],Products!$B$2:$H$10,4)</f>
        <v>5.5</v>
      </c>
      <c r="K3226" s="8">
        <f>financials[[#This Row],[Net Sales]]-financials[[#This Row],[COGS]]</f>
        <v>224</v>
      </c>
      <c r="L3226" s="15">
        <v>45499</v>
      </c>
      <c r="M3226" t="s">
        <v>700</v>
      </c>
    </row>
    <row r="3227" spans="1:13" x14ac:dyDescent="0.25">
      <c r="A3227" t="s">
        <v>87</v>
      </c>
      <c r="B3227" s="6" t="s">
        <v>95</v>
      </c>
      <c r="C3227" s="13">
        <v>101</v>
      </c>
      <c r="D3227" s="14" t="s">
        <v>91</v>
      </c>
      <c r="E3227">
        <v>13</v>
      </c>
      <c r="F3227" s="8">
        <f>VLOOKUP(financials[[#This Row],[productid]],Products!$B$2:$H$10,3)</f>
        <v>23</v>
      </c>
      <c r="G3227" s="8">
        <f>financials[[#This Row],[Units Sold]]*financials[[#This Row],[Sale Price]]</f>
        <v>299</v>
      </c>
      <c r="H3227" s="8">
        <f>IF(financials[[#This Row],[Discount Band]]="low",0.1,IF(financials[[#This Row],[Discount Band]]="medium",0.15,0.3))</f>
        <v>0.1</v>
      </c>
      <c r="I3227" s="8">
        <f>financials[[#This Row],[Gross Sales]]-financials[[#This Row],[Gross Sales]]*financials[[#This Row],[Discounts]]</f>
        <v>269.10000000000002</v>
      </c>
      <c r="J3227" s="8">
        <f>VLOOKUP(financials[[#This Row],[productid]],Products!$B$2:$H$10,4)</f>
        <v>9.9499999999999993</v>
      </c>
      <c r="K3227" s="8">
        <f>financials[[#This Row],[Net Sales]]-financials[[#This Row],[COGS]]</f>
        <v>259.15000000000003</v>
      </c>
      <c r="L3227" s="15">
        <v>45259</v>
      </c>
      <c r="M3227" t="s">
        <v>697</v>
      </c>
    </row>
    <row r="3228" spans="1:13" x14ac:dyDescent="0.25">
      <c r="A3228" t="s">
        <v>88</v>
      </c>
      <c r="B3228" s="6" t="s">
        <v>645</v>
      </c>
      <c r="C3228" s="13">
        <v>108</v>
      </c>
      <c r="D3228" s="14" t="s">
        <v>83</v>
      </c>
      <c r="E3228">
        <v>9</v>
      </c>
      <c r="F3228" s="8">
        <f>VLOOKUP(financials[[#This Row],[productid]],Products!$B$2:$H$10,3)</f>
        <v>5.5</v>
      </c>
      <c r="G3228" s="8">
        <f>financials[[#This Row],[Units Sold]]*financials[[#This Row],[Sale Price]]</f>
        <v>49.5</v>
      </c>
      <c r="H3228" s="8">
        <f>IF(financials[[#This Row],[Discount Band]]="low",0.1,IF(financials[[#This Row],[Discount Band]]="medium",0.15,0.3))</f>
        <v>0.3</v>
      </c>
      <c r="I3228" s="8">
        <f>financials[[#This Row],[Gross Sales]]-financials[[#This Row],[Gross Sales]]*financials[[#This Row],[Discounts]]</f>
        <v>34.65</v>
      </c>
      <c r="J3228" s="8">
        <f>VLOOKUP(financials[[#This Row],[productid]],Products!$B$2:$H$10,4)</f>
        <v>3.99</v>
      </c>
      <c r="K3228" s="8">
        <f>financials[[#This Row],[Net Sales]]-financials[[#This Row],[COGS]]</f>
        <v>30.659999999999997</v>
      </c>
      <c r="L3228" s="15">
        <v>43858</v>
      </c>
      <c r="M3228" t="s">
        <v>696</v>
      </c>
    </row>
    <row r="3229" spans="1:13" x14ac:dyDescent="0.25">
      <c r="A3229" t="s">
        <v>86</v>
      </c>
      <c r="B3229" s="6" t="s">
        <v>266</v>
      </c>
      <c r="C3229" s="11">
        <v>101</v>
      </c>
      <c r="D3229" s="9" t="s">
        <v>92</v>
      </c>
      <c r="E3229">
        <v>11</v>
      </c>
      <c r="F3229" s="8">
        <f>VLOOKUP(financials[[#This Row],[productid]],Products!$B$2:$H$10,3)</f>
        <v>23</v>
      </c>
      <c r="G3229" s="8">
        <f>financials[[#This Row],[Units Sold]]*financials[[#This Row],[Sale Price]]</f>
        <v>253</v>
      </c>
      <c r="H3229" s="8">
        <f>IF(financials[[#This Row],[Discount Band]]="low",0.1,IF(financials[[#This Row],[Discount Band]]="medium",0.15,0.3))</f>
        <v>0.3</v>
      </c>
      <c r="I3229" s="8">
        <f>financials[[#This Row],[Gross Sales]]-financials[[#This Row],[Gross Sales]]*financials[[#This Row],[Discounts]]</f>
        <v>177.10000000000002</v>
      </c>
      <c r="J3229" s="8">
        <f>VLOOKUP(financials[[#This Row],[productid]],Products!$B$2:$H$10,4)</f>
        <v>9.9499999999999993</v>
      </c>
      <c r="K3229" s="8">
        <f>financials[[#This Row],[Net Sales]]-financials[[#This Row],[COGS]]</f>
        <v>167.15000000000003</v>
      </c>
      <c r="L3229" s="15">
        <v>44449</v>
      </c>
      <c r="M3229" t="s">
        <v>696</v>
      </c>
    </row>
    <row r="3230" spans="1:13" x14ac:dyDescent="0.25">
      <c r="A3230" t="s">
        <v>87</v>
      </c>
      <c r="B3230" s="6" t="s">
        <v>95</v>
      </c>
      <c r="C3230" s="13">
        <v>109</v>
      </c>
      <c r="D3230" s="14" t="s">
        <v>90</v>
      </c>
      <c r="E3230">
        <v>9</v>
      </c>
      <c r="F3230" s="8">
        <f>VLOOKUP(financials[[#This Row],[productid]],Products!$B$2:$H$10,3)</f>
        <v>36</v>
      </c>
      <c r="G3230" s="8">
        <f>financials[[#This Row],[Units Sold]]*financials[[#This Row],[Sale Price]]</f>
        <v>324</v>
      </c>
      <c r="H3230" s="8">
        <f>IF(financials[[#This Row],[Discount Band]]="low",0.1,IF(financials[[#This Row],[Discount Band]]="medium",0.15,0.3))</f>
        <v>0.15</v>
      </c>
      <c r="I3230" s="8">
        <f>financials[[#This Row],[Gross Sales]]-financials[[#This Row],[Gross Sales]]*financials[[#This Row],[Discounts]]</f>
        <v>275.39999999999998</v>
      </c>
      <c r="J3230" s="8">
        <f>VLOOKUP(financials[[#This Row],[productid]],Products!$B$2:$H$10,4)</f>
        <v>16.8</v>
      </c>
      <c r="K3230" s="8">
        <f>financials[[#This Row],[Net Sales]]-financials[[#This Row],[COGS]]</f>
        <v>258.59999999999997</v>
      </c>
      <c r="L3230" s="15">
        <v>45329</v>
      </c>
      <c r="M3230" t="s">
        <v>697</v>
      </c>
    </row>
    <row r="3231" spans="1:13" x14ac:dyDescent="0.25">
      <c r="A3231" t="s">
        <v>85</v>
      </c>
      <c r="B3231" s="6" t="s">
        <v>124</v>
      </c>
      <c r="C3231" s="13">
        <v>102</v>
      </c>
      <c r="D3231" s="14" t="s">
        <v>90</v>
      </c>
      <c r="E3231">
        <v>10</v>
      </c>
      <c r="F3231" s="8">
        <f>VLOOKUP(financials[[#This Row],[productid]],Products!$B$2:$H$10,3)</f>
        <v>15</v>
      </c>
      <c r="G3231" s="8">
        <f>financials[[#This Row],[Units Sold]]*financials[[#This Row],[Sale Price]]</f>
        <v>150</v>
      </c>
      <c r="H3231" s="8">
        <f>IF(financials[[#This Row],[Discount Band]]="low",0.1,IF(financials[[#This Row],[Discount Band]]="medium",0.15,0.3))</f>
        <v>0.15</v>
      </c>
      <c r="I3231" s="8">
        <f>financials[[#This Row],[Gross Sales]]-financials[[#This Row],[Gross Sales]]*financials[[#This Row],[Discounts]]</f>
        <v>127.5</v>
      </c>
      <c r="J3231" s="8">
        <f>VLOOKUP(financials[[#This Row],[productid]],Products!$B$2:$H$10,4)</f>
        <v>13.95</v>
      </c>
      <c r="K3231" s="8">
        <f>financials[[#This Row],[Net Sales]]-financials[[#This Row],[COGS]]</f>
        <v>113.55</v>
      </c>
      <c r="L3231" s="15">
        <v>45114</v>
      </c>
      <c r="M3231" t="s">
        <v>697</v>
      </c>
    </row>
    <row r="3232" spans="1:13" x14ac:dyDescent="0.25">
      <c r="A3232" t="s">
        <v>85</v>
      </c>
      <c r="B3232" s="6" t="s">
        <v>124</v>
      </c>
      <c r="C3232" s="13">
        <v>103</v>
      </c>
      <c r="D3232" s="14" t="s">
        <v>90</v>
      </c>
      <c r="E3232">
        <v>16</v>
      </c>
      <c r="F3232" s="8">
        <f>VLOOKUP(financials[[#This Row],[productid]],Products!$B$2:$H$10,3)</f>
        <v>28</v>
      </c>
      <c r="G3232" s="8">
        <f>financials[[#This Row],[Units Sold]]*financials[[#This Row],[Sale Price]]</f>
        <v>448</v>
      </c>
      <c r="H3232" s="8">
        <f>IF(financials[[#This Row],[Discount Band]]="low",0.1,IF(financials[[#This Row],[Discount Band]]="medium",0.15,0.3))</f>
        <v>0.15</v>
      </c>
      <c r="I3232" s="8">
        <f>financials[[#This Row],[Gross Sales]]-financials[[#This Row],[Gross Sales]]*financials[[#This Row],[Discounts]]</f>
        <v>380.8</v>
      </c>
      <c r="J3232" s="8">
        <f>VLOOKUP(financials[[#This Row],[productid]],Products!$B$2:$H$10,4)</f>
        <v>15</v>
      </c>
      <c r="K3232" s="8">
        <f>financials[[#This Row],[Net Sales]]-financials[[#This Row],[COGS]]</f>
        <v>365.8</v>
      </c>
      <c r="L3232" s="15">
        <v>44157</v>
      </c>
      <c r="M3232" t="s">
        <v>696</v>
      </c>
    </row>
    <row r="3233" spans="1:13" x14ac:dyDescent="0.25">
      <c r="A3233" t="s">
        <v>86</v>
      </c>
      <c r="B3233" s="6" t="s">
        <v>240</v>
      </c>
      <c r="C3233" s="13">
        <v>107</v>
      </c>
      <c r="D3233" s="14" t="s">
        <v>91</v>
      </c>
      <c r="E3233">
        <v>17</v>
      </c>
      <c r="F3233" s="8">
        <f>VLOOKUP(financials[[#This Row],[productid]],Products!$B$2:$H$10,3)</f>
        <v>15</v>
      </c>
      <c r="G3233" s="8">
        <f>financials[[#This Row],[Units Sold]]*financials[[#This Row],[Sale Price]]</f>
        <v>255</v>
      </c>
      <c r="H3233" s="8">
        <f>IF(financials[[#This Row],[Discount Band]]="low",0.1,IF(financials[[#This Row],[Discount Band]]="medium",0.15,0.3))</f>
        <v>0.1</v>
      </c>
      <c r="I3233" s="8">
        <f>financials[[#This Row],[Gross Sales]]-financials[[#This Row],[Gross Sales]]*financials[[#This Row],[Discounts]]</f>
        <v>229.5</v>
      </c>
      <c r="J3233" s="8">
        <f>VLOOKUP(financials[[#This Row],[productid]],Products!$B$2:$H$10,4)</f>
        <v>5.5</v>
      </c>
      <c r="K3233" s="8">
        <f>financials[[#This Row],[Net Sales]]-financials[[#This Row],[COGS]]</f>
        <v>224</v>
      </c>
      <c r="L3233" s="15">
        <v>44313</v>
      </c>
      <c r="M3233" t="s">
        <v>697</v>
      </c>
    </row>
    <row r="3234" spans="1:13" x14ac:dyDescent="0.25">
      <c r="A3234" t="s">
        <v>86</v>
      </c>
      <c r="B3234" s="6" t="s">
        <v>159</v>
      </c>
      <c r="C3234" s="13">
        <v>104</v>
      </c>
      <c r="D3234" s="14" t="s">
        <v>83</v>
      </c>
      <c r="E3234">
        <v>5</v>
      </c>
      <c r="F3234" s="8">
        <f>VLOOKUP(financials[[#This Row],[productid]],Products!$B$2:$H$10,3)</f>
        <v>5.9</v>
      </c>
      <c r="G3234" s="8">
        <f>financials[[#This Row],[Units Sold]]*financials[[#This Row],[Sale Price]]</f>
        <v>29.5</v>
      </c>
      <c r="H3234" s="8">
        <f>IF(financials[[#This Row],[Discount Band]]="low",0.1,IF(financials[[#This Row],[Discount Band]]="medium",0.15,0.3))</f>
        <v>0.3</v>
      </c>
      <c r="I3234" s="8">
        <f>financials[[#This Row],[Gross Sales]]-financials[[#This Row],[Gross Sales]]*financials[[#This Row],[Discounts]]</f>
        <v>20.65</v>
      </c>
      <c r="J3234" s="8">
        <f>VLOOKUP(financials[[#This Row],[productid]],Products!$B$2:$H$10,4)</f>
        <v>2.9</v>
      </c>
      <c r="K3234" s="8">
        <f>financials[[#This Row],[Net Sales]]-financials[[#This Row],[COGS]]</f>
        <v>17.75</v>
      </c>
      <c r="L3234" s="15">
        <v>44441</v>
      </c>
      <c r="M3234" t="s">
        <v>691</v>
      </c>
    </row>
    <row r="3235" spans="1:13" x14ac:dyDescent="0.25">
      <c r="A3235" t="s">
        <v>87</v>
      </c>
      <c r="B3235" s="6" t="s">
        <v>268</v>
      </c>
      <c r="C3235" s="13">
        <v>106</v>
      </c>
      <c r="D3235" s="14" t="s">
        <v>91</v>
      </c>
      <c r="E3235">
        <v>20</v>
      </c>
      <c r="F3235" s="8">
        <f>VLOOKUP(financials[[#This Row],[productid]],Products!$B$2:$H$10,3)</f>
        <v>25</v>
      </c>
      <c r="G3235" s="8">
        <f>financials[[#This Row],[Units Sold]]*financials[[#This Row],[Sale Price]]</f>
        <v>500</v>
      </c>
      <c r="H3235" s="8">
        <f>IF(financials[[#This Row],[Discount Band]]="low",0.1,IF(financials[[#This Row],[Discount Band]]="medium",0.15,0.3))</f>
        <v>0.1</v>
      </c>
      <c r="I3235" s="8">
        <f>financials[[#This Row],[Gross Sales]]-financials[[#This Row],[Gross Sales]]*financials[[#This Row],[Discounts]]</f>
        <v>450</v>
      </c>
      <c r="J3235" s="8">
        <f>VLOOKUP(financials[[#This Row],[productid]],Products!$B$2:$H$10,4)</f>
        <v>9.1</v>
      </c>
      <c r="K3235" s="8">
        <f>financials[[#This Row],[Net Sales]]-financials[[#This Row],[COGS]]</f>
        <v>440.9</v>
      </c>
      <c r="L3235" s="15">
        <v>45225</v>
      </c>
      <c r="M3235" t="s">
        <v>690</v>
      </c>
    </row>
    <row r="3236" spans="1:13" x14ac:dyDescent="0.25">
      <c r="A3236" t="s">
        <v>89</v>
      </c>
      <c r="B3236" s="6" t="s">
        <v>159</v>
      </c>
      <c r="C3236" s="11">
        <v>106</v>
      </c>
      <c r="D3236" s="9" t="s">
        <v>83</v>
      </c>
      <c r="E3236">
        <v>10</v>
      </c>
      <c r="F3236" s="8">
        <f>VLOOKUP(financials[[#This Row],[productid]],Products!$B$2:$H$10,3)</f>
        <v>25</v>
      </c>
      <c r="G3236" s="8">
        <f>financials[[#This Row],[Units Sold]]*financials[[#This Row],[Sale Price]]</f>
        <v>250</v>
      </c>
      <c r="H3236" s="8">
        <f>IF(financials[[#This Row],[Discount Band]]="low",0.1,IF(financials[[#This Row],[Discount Band]]="medium",0.15,0.3))</f>
        <v>0.3</v>
      </c>
      <c r="I3236" s="8">
        <f>financials[[#This Row],[Gross Sales]]-financials[[#This Row],[Gross Sales]]*financials[[#This Row],[Discounts]]</f>
        <v>175</v>
      </c>
      <c r="J3236" s="8">
        <f>VLOOKUP(financials[[#This Row],[productid]],Products!$B$2:$H$10,4)</f>
        <v>9.1</v>
      </c>
      <c r="K3236" s="8">
        <f>financials[[#This Row],[Net Sales]]-financials[[#This Row],[COGS]]</f>
        <v>165.9</v>
      </c>
      <c r="L3236" s="15">
        <v>45471</v>
      </c>
      <c r="M3236" t="s">
        <v>696</v>
      </c>
    </row>
    <row r="3237" spans="1:13" x14ac:dyDescent="0.25">
      <c r="A3237" t="s">
        <v>86</v>
      </c>
      <c r="B3237" s="6" t="s">
        <v>124</v>
      </c>
      <c r="C3237" s="13">
        <v>101</v>
      </c>
      <c r="D3237" s="14" t="s">
        <v>83</v>
      </c>
      <c r="E3237">
        <v>19</v>
      </c>
      <c r="F3237" s="8">
        <f>VLOOKUP(financials[[#This Row],[productid]],Products!$B$2:$H$10,3)</f>
        <v>23</v>
      </c>
      <c r="G3237" s="8">
        <f>financials[[#This Row],[Units Sold]]*financials[[#This Row],[Sale Price]]</f>
        <v>437</v>
      </c>
      <c r="H3237" s="8">
        <f>IF(financials[[#This Row],[Discount Band]]="low",0.1,IF(financials[[#This Row],[Discount Band]]="medium",0.15,0.3))</f>
        <v>0.3</v>
      </c>
      <c r="I3237" s="8">
        <f>financials[[#This Row],[Gross Sales]]-financials[[#This Row],[Gross Sales]]*financials[[#This Row],[Discounts]]</f>
        <v>305.89999999999998</v>
      </c>
      <c r="J3237" s="8">
        <f>VLOOKUP(financials[[#This Row],[productid]],Products!$B$2:$H$10,4)</f>
        <v>9.9499999999999993</v>
      </c>
      <c r="K3237" s="8">
        <f>financials[[#This Row],[Net Sales]]-financials[[#This Row],[COGS]]</f>
        <v>295.95</v>
      </c>
      <c r="L3237" s="15">
        <v>45631</v>
      </c>
      <c r="M3237" t="s">
        <v>697</v>
      </c>
    </row>
    <row r="3238" spans="1:13" x14ac:dyDescent="0.25">
      <c r="A3238" t="s">
        <v>89</v>
      </c>
      <c r="B3238" s="6" t="s">
        <v>124</v>
      </c>
      <c r="C3238" s="13">
        <v>105</v>
      </c>
      <c r="D3238" s="14" t="s">
        <v>91</v>
      </c>
      <c r="E3238">
        <v>17</v>
      </c>
      <c r="F3238" s="8">
        <f>VLOOKUP(financials[[#This Row],[productid]],Products!$B$2:$H$10,3)</f>
        <v>15</v>
      </c>
      <c r="G3238" s="8">
        <f>financials[[#This Row],[Units Sold]]*financials[[#This Row],[Sale Price]]</f>
        <v>255</v>
      </c>
      <c r="H3238" s="8">
        <f>IF(financials[[#This Row],[Discount Band]]="low",0.1,IF(financials[[#This Row],[Discount Band]]="medium",0.15,0.3))</f>
        <v>0.1</v>
      </c>
      <c r="I3238" s="8">
        <f>financials[[#This Row],[Gross Sales]]-financials[[#This Row],[Gross Sales]]*financials[[#This Row],[Discounts]]</f>
        <v>229.5</v>
      </c>
      <c r="J3238" s="8">
        <f>VLOOKUP(financials[[#This Row],[productid]],Products!$B$2:$H$10,4)</f>
        <v>10</v>
      </c>
      <c r="K3238" s="8">
        <f>financials[[#This Row],[Net Sales]]-financials[[#This Row],[COGS]]</f>
        <v>219.5</v>
      </c>
      <c r="L3238" s="15">
        <v>43967</v>
      </c>
      <c r="M3238" t="s">
        <v>691</v>
      </c>
    </row>
    <row r="3239" spans="1:13" x14ac:dyDescent="0.25">
      <c r="A3239" t="s">
        <v>86</v>
      </c>
      <c r="B3239" s="6" t="s">
        <v>124</v>
      </c>
      <c r="C3239" s="13">
        <v>106</v>
      </c>
      <c r="D3239" s="14" t="s">
        <v>90</v>
      </c>
      <c r="E3239">
        <v>6</v>
      </c>
      <c r="F3239" s="8">
        <f>VLOOKUP(financials[[#This Row],[productid]],Products!$B$2:$H$10,3)</f>
        <v>25</v>
      </c>
      <c r="G3239" s="8">
        <f>financials[[#This Row],[Units Sold]]*financials[[#This Row],[Sale Price]]</f>
        <v>150</v>
      </c>
      <c r="H3239" s="8">
        <f>IF(financials[[#This Row],[Discount Band]]="low",0.1,IF(financials[[#This Row],[Discount Band]]="medium",0.15,0.3))</f>
        <v>0.15</v>
      </c>
      <c r="I3239" s="8">
        <f>financials[[#This Row],[Gross Sales]]-financials[[#This Row],[Gross Sales]]*financials[[#This Row],[Discounts]]</f>
        <v>127.5</v>
      </c>
      <c r="J3239" s="8">
        <f>VLOOKUP(financials[[#This Row],[productid]],Products!$B$2:$H$10,4)</f>
        <v>9.1</v>
      </c>
      <c r="K3239" s="8">
        <f>financials[[#This Row],[Net Sales]]-financials[[#This Row],[COGS]]</f>
        <v>118.4</v>
      </c>
      <c r="L3239" s="15">
        <v>44836</v>
      </c>
      <c r="M3239" t="s">
        <v>690</v>
      </c>
    </row>
    <row r="3240" spans="1:13" x14ac:dyDescent="0.25">
      <c r="A3240" t="s">
        <v>88</v>
      </c>
      <c r="B3240" s="6" t="s">
        <v>617</v>
      </c>
      <c r="C3240" s="13">
        <v>107</v>
      </c>
      <c r="D3240" s="14" t="s">
        <v>90</v>
      </c>
      <c r="E3240">
        <v>13</v>
      </c>
      <c r="F3240" s="8">
        <f>VLOOKUP(financials[[#This Row],[productid]],Products!$B$2:$H$10,3)</f>
        <v>15</v>
      </c>
      <c r="G3240" s="8">
        <f>financials[[#This Row],[Units Sold]]*financials[[#This Row],[Sale Price]]</f>
        <v>195</v>
      </c>
      <c r="H3240" s="8">
        <f>IF(financials[[#This Row],[Discount Band]]="low",0.1,IF(financials[[#This Row],[Discount Band]]="medium",0.15,0.3))</f>
        <v>0.15</v>
      </c>
      <c r="I3240" s="8">
        <f>financials[[#This Row],[Gross Sales]]-financials[[#This Row],[Gross Sales]]*financials[[#This Row],[Discounts]]</f>
        <v>165.75</v>
      </c>
      <c r="J3240" s="8">
        <f>VLOOKUP(financials[[#This Row],[productid]],Products!$B$2:$H$10,4)</f>
        <v>5.5</v>
      </c>
      <c r="K3240" s="8">
        <f>financials[[#This Row],[Net Sales]]-financials[[#This Row],[COGS]]</f>
        <v>160.25</v>
      </c>
      <c r="L3240" s="15">
        <v>45540</v>
      </c>
      <c r="M3240" t="s">
        <v>691</v>
      </c>
    </row>
    <row r="3241" spans="1:13" x14ac:dyDescent="0.25">
      <c r="A3241" t="s">
        <v>88</v>
      </c>
      <c r="B3241" s="6" t="s">
        <v>545</v>
      </c>
      <c r="C3241" s="13">
        <v>106</v>
      </c>
      <c r="D3241" s="14" t="s">
        <v>90</v>
      </c>
      <c r="E3241">
        <v>16</v>
      </c>
      <c r="F3241" s="8">
        <f>VLOOKUP(financials[[#This Row],[productid]],Products!$B$2:$H$10,3)</f>
        <v>25</v>
      </c>
      <c r="G3241" s="8">
        <f>financials[[#This Row],[Units Sold]]*financials[[#This Row],[Sale Price]]</f>
        <v>400</v>
      </c>
      <c r="H3241" s="8">
        <f>IF(financials[[#This Row],[Discount Band]]="low",0.1,IF(financials[[#This Row],[Discount Band]]="medium",0.15,0.3))</f>
        <v>0.15</v>
      </c>
      <c r="I3241" s="8">
        <f>financials[[#This Row],[Gross Sales]]-financials[[#This Row],[Gross Sales]]*financials[[#This Row],[Discounts]]</f>
        <v>340</v>
      </c>
      <c r="J3241" s="8">
        <f>VLOOKUP(financials[[#This Row],[productid]],Products!$B$2:$H$10,4)</f>
        <v>9.1</v>
      </c>
      <c r="K3241" s="8">
        <f>financials[[#This Row],[Net Sales]]-financials[[#This Row],[COGS]]</f>
        <v>330.9</v>
      </c>
      <c r="L3241" s="15">
        <v>45254</v>
      </c>
      <c r="M3241" t="s">
        <v>697</v>
      </c>
    </row>
    <row r="3242" spans="1:13" x14ac:dyDescent="0.25">
      <c r="A3242" t="s">
        <v>86</v>
      </c>
      <c r="B3242" s="6" t="s">
        <v>124</v>
      </c>
      <c r="C3242" s="13">
        <v>109</v>
      </c>
      <c r="D3242" s="14" t="s">
        <v>83</v>
      </c>
      <c r="E3242">
        <v>18</v>
      </c>
      <c r="F3242" s="8">
        <f>VLOOKUP(financials[[#This Row],[productid]],Products!$B$2:$H$10,3)</f>
        <v>36</v>
      </c>
      <c r="G3242" s="8">
        <f>financials[[#This Row],[Units Sold]]*financials[[#This Row],[Sale Price]]</f>
        <v>648</v>
      </c>
      <c r="H3242" s="8">
        <f>IF(financials[[#This Row],[Discount Band]]="low",0.1,IF(financials[[#This Row],[Discount Band]]="medium",0.15,0.3))</f>
        <v>0.3</v>
      </c>
      <c r="I3242" s="8">
        <f>financials[[#This Row],[Gross Sales]]-financials[[#This Row],[Gross Sales]]*financials[[#This Row],[Discounts]]</f>
        <v>453.6</v>
      </c>
      <c r="J3242" s="8">
        <f>VLOOKUP(financials[[#This Row],[productid]],Products!$B$2:$H$10,4)</f>
        <v>16.8</v>
      </c>
      <c r="K3242" s="8">
        <f>financials[[#This Row],[Net Sales]]-financials[[#This Row],[COGS]]</f>
        <v>436.8</v>
      </c>
      <c r="L3242" s="15">
        <v>44175</v>
      </c>
      <c r="M3242" t="s">
        <v>700</v>
      </c>
    </row>
    <row r="3243" spans="1:13" x14ac:dyDescent="0.25">
      <c r="A3243" t="s">
        <v>86</v>
      </c>
      <c r="B3243" s="6" t="s">
        <v>159</v>
      </c>
      <c r="C3243" s="11">
        <v>105</v>
      </c>
      <c r="D3243" s="9" t="s">
        <v>90</v>
      </c>
      <c r="E3243">
        <v>7</v>
      </c>
      <c r="F3243" s="8">
        <f>VLOOKUP(financials[[#This Row],[productid]],Products!$B$2:$H$10,3)</f>
        <v>15</v>
      </c>
      <c r="G3243" s="8">
        <f>financials[[#This Row],[Units Sold]]*financials[[#This Row],[Sale Price]]</f>
        <v>105</v>
      </c>
      <c r="H3243" s="8">
        <f>IF(financials[[#This Row],[Discount Band]]="low",0.1,IF(financials[[#This Row],[Discount Band]]="medium",0.15,0.3))</f>
        <v>0.15</v>
      </c>
      <c r="I3243" s="8">
        <f>financials[[#This Row],[Gross Sales]]-financials[[#This Row],[Gross Sales]]*financials[[#This Row],[Discounts]]</f>
        <v>89.25</v>
      </c>
      <c r="J3243" s="8">
        <f>VLOOKUP(financials[[#This Row],[productid]],Products!$B$2:$H$10,4)</f>
        <v>10</v>
      </c>
      <c r="K3243" s="8">
        <f>financials[[#This Row],[Net Sales]]-financials[[#This Row],[COGS]]</f>
        <v>79.25</v>
      </c>
      <c r="L3243" s="15">
        <v>45295</v>
      </c>
      <c r="M3243" t="s">
        <v>696</v>
      </c>
    </row>
    <row r="3244" spans="1:13" x14ac:dyDescent="0.25">
      <c r="A3244" t="s">
        <v>87</v>
      </c>
      <c r="B3244" s="6" t="s">
        <v>198</v>
      </c>
      <c r="C3244" s="13">
        <v>104</v>
      </c>
      <c r="D3244" s="14" t="s">
        <v>92</v>
      </c>
      <c r="E3244">
        <v>10</v>
      </c>
      <c r="F3244" s="8">
        <f>VLOOKUP(financials[[#This Row],[productid]],Products!$B$2:$H$10,3)</f>
        <v>5.9</v>
      </c>
      <c r="G3244" s="8">
        <f>financials[[#This Row],[Units Sold]]*financials[[#This Row],[Sale Price]]</f>
        <v>59</v>
      </c>
      <c r="H3244" s="8">
        <f>IF(financials[[#This Row],[Discount Band]]="low",0.1,IF(financials[[#This Row],[Discount Band]]="medium",0.15,0.3))</f>
        <v>0.3</v>
      </c>
      <c r="I3244" s="8">
        <f>financials[[#This Row],[Gross Sales]]-financials[[#This Row],[Gross Sales]]*financials[[#This Row],[Discounts]]</f>
        <v>41.3</v>
      </c>
      <c r="J3244" s="8">
        <f>VLOOKUP(financials[[#This Row],[productid]],Products!$B$2:$H$10,4)</f>
        <v>2.9</v>
      </c>
      <c r="K3244" s="8">
        <f>financials[[#This Row],[Net Sales]]-financials[[#This Row],[COGS]]</f>
        <v>38.4</v>
      </c>
      <c r="L3244" s="15">
        <v>45543</v>
      </c>
      <c r="M3244" t="s">
        <v>691</v>
      </c>
    </row>
    <row r="3245" spans="1:13" x14ac:dyDescent="0.25">
      <c r="A3245" t="s">
        <v>87</v>
      </c>
      <c r="B3245" s="6" t="s">
        <v>276</v>
      </c>
      <c r="C3245" s="13">
        <v>108</v>
      </c>
      <c r="D3245" s="14" t="s">
        <v>91</v>
      </c>
      <c r="E3245">
        <v>14</v>
      </c>
      <c r="F3245" s="8">
        <f>VLOOKUP(financials[[#This Row],[productid]],Products!$B$2:$H$10,3)</f>
        <v>5.5</v>
      </c>
      <c r="G3245" s="8">
        <f>financials[[#This Row],[Units Sold]]*financials[[#This Row],[Sale Price]]</f>
        <v>77</v>
      </c>
      <c r="H3245" s="8">
        <f>IF(financials[[#This Row],[Discount Band]]="low",0.1,IF(financials[[#This Row],[Discount Band]]="medium",0.15,0.3))</f>
        <v>0.1</v>
      </c>
      <c r="I3245" s="8">
        <f>financials[[#This Row],[Gross Sales]]-financials[[#This Row],[Gross Sales]]*financials[[#This Row],[Discounts]]</f>
        <v>69.3</v>
      </c>
      <c r="J3245" s="8">
        <f>VLOOKUP(financials[[#This Row],[productid]],Products!$B$2:$H$10,4)</f>
        <v>3.99</v>
      </c>
      <c r="K3245" s="8">
        <f>financials[[#This Row],[Net Sales]]-financials[[#This Row],[COGS]]</f>
        <v>65.31</v>
      </c>
      <c r="L3245" s="15">
        <v>44064</v>
      </c>
      <c r="M3245" t="s">
        <v>690</v>
      </c>
    </row>
    <row r="3246" spans="1:13" x14ac:dyDescent="0.25">
      <c r="A3246" t="s">
        <v>89</v>
      </c>
      <c r="B3246" s="6" t="s">
        <v>159</v>
      </c>
      <c r="C3246" s="11">
        <v>108</v>
      </c>
      <c r="D3246" s="9" t="s">
        <v>83</v>
      </c>
      <c r="E3246">
        <v>18</v>
      </c>
      <c r="F3246" s="8">
        <f>VLOOKUP(financials[[#This Row],[productid]],Products!$B$2:$H$10,3)</f>
        <v>5.5</v>
      </c>
      <c r="G3246" s="8">
        <f>financials[[#This Row],[Units Sold]]*financials[[#This Row],[Sale Price]]</f>
        <v>99</v>
      </c>
      <c r="H3246" s="8">
        <f>IF(financials[[#This Row],[Discount Band]]="low",0.1,IF(financials[[#This Row],[Discount Band]]="medium",0.15,0.3))</f>
        <v>0.3</v>
      </c>
      <c r="I3246" s="8">
        <f>financials[[#This Row],[Gross Sales]]-financials[[#This Row],[Gross Sales]]*financials[[#This Row],[Discounts]]</f>
        <v>69.3</v>
      </c>
      <c r="J3246" s="8">
        <f>VLOOKUP(financials[[#This Row],[productid]],Products!$B$2:$H$10,4)</f>
        <v>3.99</v>
      </c>
      <c r="K3246" s="8">
        <f>financials[[#This Row],[Net Sales]]-financials[[#This Row],[COGS]]</f>
        <v>65.31</v>
      </c>
      <c r="L3246" s="15">
        <v>44598</v>
      </c>
      <c r="M3246" t="s">
        <v>691</v>
      </c>
    </row>
    <row r="3247" spans="1:13" x14ac:dyDescent="0.25">
      <c r="A3247" t="s">
        <v>85</v>
      </c>
      <c r="B3247" s="6" t="s">
        <v>124</v>
      </c>
      <c r="C3247" s="13">
        <v>107</v>
      </c>
      <c r="D3247" s="14" t="s">
        <v>90</v>
      </c>
      <c r="E3247">
        <v>16</v>
      </c>
      <c r="F3247" s="8">
        <f>VLOOKUP(financials[[#This Row],[productid]],Products!$B$2:$H$10,3)</f>
        <v>15</v>
      </c>
      <c r="G3247" s="8">
        <f>financials[[#This Row],[Units Sold]]*financials[[#This Row],[Sale Price]]</f>
        <v>240</v>
      </c>
      <c r="H3247" s="8">
        <f>IF(financials[[#This Row],[Discount Band]]="low",0.1,IF(financials[[#This Row],[Discount Band]]="medium",0.15,0.3))</f>
        <v>0.15</v>
      </c>
      <c r="I3247" s="8">
        <f>financials[[#This Row],[Gross Sales]]-financials[[#This Row],[Gross Sales]]*financials[[#This Row],[Discounts]]</f>
        <v>204</v>
      </c>
      <c r="J3247" s="8">
        <f>VLOOKUP(financials[[#This Row],[productid]],Products!$B$2:$H$10,4)</f>
        <v>5.5</v>
      </c>
      <c r="K3247" s="8">
        <f>financials[[#This Row],[Net Sales]]-financials[[#This Row],[COGS]]</f>
        <v>198.5</v>
      </c>
      <c r="L3247" s="15">
        <v>44228</v>
      </c>
      <c r="M3247" t="s">
        <v>691</v>
      </c>
    </row>
    <row r="3248" spans="1:13" x14ac:dyDescent="0.25">
      <c r="A3248" t="s">
        <v>86</v>
      </c>
      <c r="B3248" s="6" t="s">
        <v>159</v>
      </c>
      <c r="C3248" s="13">
        <v>103</v>
      </c>
      <c r="D3248" s="14" t="s">
        <v>91</v>
      </c>
      <c r="E3248">
        <v>15</v>
      </c>
      <c r="F3248" s="8">
        <f>VLOOKUP(financials[[#This Row],[productid]],Products!$B$2:$H$10,3)</f>
        <v>28</v>
      </c>
      <c r="G3248" s="8">
        <f>financials[[#This Row],[Units Sold]]*financials[[#This Row],[Sale Price]]</f>
        <v>420</v>
      </c>
      <c r="H3248" s="8">
        <f>IF(financials[[#This Row],[Discount Band]]="low",0.1,IF(financials[[#This Row],[Discount Band]]="medium",0.15,0.3))</f>
        <v>0.1</v>
      </c>
      <c r="I3248" s="8">
        <f>financials[[#This Row],[Gross Sales]]-financials[[#This Row],[Gross Sales]]*financials[[#This Row],[Discounts]]</f>
        <v>378</v>
      </c>
      <c r="J3248" s="8">
        <f>VLOOKUP(financials[[#This Row],[productid]],Products!$B$2:$H$10,4)</f>
        <v>15</v>
      </c>
      <c r="K3248" s="8">
        <f>financials[[#This Row],[Net Sales]]-financials[[#This Row],[COGS]]</f>
        <v>363</v>
      </c>
      <c r="L3248" s="15">
        <v>44426</v>
      </c>
      <c r="M3248" t="s">
        <v>700</v>
      </c>
    </row>
    <row r="3249" spans="1:13" x14ac:dyDescent="0.25">
      <c r="A3249" t="s">
        <v>89</v>
      </c>
      <c r="B3249" s="6" t="s">
        <v>159</v>
      </c>
      <c r="C3249" s="13">
        <v>105</v>
      </c>
      <c r="D3249" s="14" t="s">
        <v>83</v>
      </c>
      <c r="E3249">
        <v>6</v>
      </c>
      <c r="F3249" s="8">
        <f>VLOOKUP(financials[[#This Row],[productid]],Products!$B$2:$H$10,3)</f>
        <v>15</v>
      </c>
      <c r="G3249" s="8">
        <f>financials[[#This Row],[Units Sold]]*financials[[#This Row],[Sale Price]]</f>
        <v>90</v>
      </c>
      <c r="H3249" s="8">
        <f>IF(financials[[#This Row],[Discount Band]]="low",0.1,IF(financials[[#This Row],[Discount Band]]="medium",0.15,0.3))</f>
        <v>0.3</v>
      </c>
      <c r="I3249" s="8">
        <f>financials[[#This Row],[Gross Sales]]-financials[[#This Row],[Gross Sales]]*financials[[#This Row],[Discounts]]</f>
        <v>63</v>
      </c>
      <c r="J3249" s="8">
        <f>VLOOKUP(financials[[#This Row],[productid]],Products!$B$2:$H$10,4)</f>
        <v>10</v>
      </c>
      <c r="K3249" s="8">
        <f>financials[[#This Row],[Net Sales]]-financials[[#This Row],[COGS]]</f>
        <v>53</v>
      </c>
      <c r="L3249" s="15">
        <v>44502</v>
      </c>
      <c r="M3249" t="s">
        <v>690</v>
      </c>
    </row>
    <row r="3250" spans="1:13" x14ac:dyDescent="0.25">
      <c r="A3250" t="s">
        <v>87</v>
      </c>
      <c r="B3250" s="6" t="s">
        <v>268</v>
      </c>
      <c r="C3250" s="13">
        <v>105</v>
      </c>
      <c r="D3250" s="14" t="s">
        <v>91</v>
      </c>
      <c r="E3250">
        <v>11</v>
      </c>
      <c r="F3250" s="8">
        <f>VLOOKUP(financials[[#This Row],[productid]],Products!$B$2:$H$10,3)</f>
        <v>15</v>
      </c>
      <c r="G3250" s="8">
        <f>financials[[#This Row],[Units Sold]]*financials[[#This Row],[Sale Price]]</f>
        <v>165</v>
      </c>
      <c r="H3250" s="8">
        <f>IF(financials[[#This Row],[Discount Band]]="low",0.1,IF(financials[[#This Row],[Discount Band]]="medium",0.15,0.3))</f>
        <v>0.1</v>
      </c>
      <c r="I3250" s="8">
        <f>financials[[#This Row],[Gross Sales]]-financials[[#This Row],[Gross Sales]]*financials[[#This Row],[Discounts]]</f>
        <v>148.5</v>
      </c>
      <c r="J3250" s="8">
        <f>VLOOKUP(financials[[#This Row],[productid]],Products!$B$2:$H$10,4)</f>
        <v>10</v>
      </c>
      <c r="K3250" s="8">
        <f>financials[[#This Row],[Net Sales]]-financials[[#This Row],[COGS]]</f>
        <v>138.5</v>
      </c>
      <c r="L3250" s="15">
        <v>45656</v>
      </c>
      <c r="M3250" t="s">
        <v>696</v>
      </c>
    </row>
    <row r="3251" spans="1:13" x14ac:dyDescent="0.25">
      <c r="A3251" t="s">
        <v>89</v>
      </c>
      <c r="B3251" s="6" t="s">
        <v>159</v>
      </c>
      <c r="C3251" s="13">
        <v>101</v>
      </c>
      <c r="D3251" s="14" t="s">
        <v>83</v>
      </c>
      <c r="E3251">
        <v>18</v>
      </c>
      <c r="F3251" s="8">
        <f>VLOOKUP(financials[[#This Row],[productid]],Products!$B$2:$H$10,3)</f>
        <v>23</v>
      </c>
      <c r="G3251" s="8">
        <f>financials[[#This Row],[Units Sold]]*financials[[#This Row],[Sale Price]]</f>
        <v>414</v>
      </c>
      <c r="H3251" s="8">
        <f>IF(financials[[#This Row],[Discount Band]]="low",0.1,IF(financials[[#This Row],[Discount Band]]="medium",0.15,0.3))</f>
        <v>0.3</v>
      </c>
      <c r="I3251" s="8">
        <f>financials[[#This Row],[Gross Sales]]-financials[[#This Row],[Gross Sales]]*financials[[#This Row],[Discounts]]</f>
        <v>289.8</v>
      </c>
      <c r="J3251" s="8">
        <f>VLOOKUP(financials[[#This Row],[productid]],Products!$B$2:$H$10,4)</f>
        <v>9.9499999999999993</v>
      </c>
      <c r="K3251" s="8">
        <f>financials[[#This Row],[Net Sales]]-financials[[#This Row],[COGS]]</f>
        <v>279.85000000000002</v>
      </c>
      <c r="L3251" s="15">
        <v>45331</v>
      </c>
      <c r="M3251" t="s">
        <v>691</v>
      </c>
    </row>
    <row r="3252" spans="1:13" x14ac:dyDescent="0.25">
      <c r="A3252" t="s">
        <v>87</v>
      </c>
      <c r="B3252" s="6" t="s">
        <v>95</v>
      </c>
      <c r="C3252" s="13">
        <v>108</v>
      </c>
      <c r="D3252" s="14" t="s">
        <v>91</v>
      </c>
      <c r="E3252">
        <v>17</v>
      </c>
      <c r="F3252" s="8">
        <f>VLOOKUP(financials[[#This Row],[productid]],Products!$B$2:$H$10,3)</f>
        <v>5.5</v>
      </c>
      <c r="G3252" s="8">
        <f>financials[[#This Row],[Units Sold]]*financials[[#This Row],[Sale Price]]</f>
        <v>93.5</v>
      </c>
      <c r="H3252" s="8">
        <f>IF(financials[[#This Row],[Discount Band]]="low",0.1,IF(financials[[#This Row],[Discount Band]]="medium",0.15,0.3))</f>
        <v>0.1</v>
      </c>
      <c r="I3252" s="8">
        <f>financials[[#This Row],[Gross Sales]]-financials[[#This Row],[Gross Sales]]*financials[[#This Row],[Discounts]]</f>
        <v>84.15</v>
      </c>
      <c r="J3252" s="8">
        <f>VLOOKUP(financials[[#This Row],[productid]],Products!$B$2:$H$10,4)</f>
        <v>3.99</v>
      </c>
      <c r="K3252" s="8">
        <f>financials[[#This Row],[Net Sales]]-financials[[#This Row],[COGS]]</f>
        <v>80.160000000000011</v>
      </c>
      <c r="L3252" s="15">
        <v>45107</v>
      </c>
      <c r="M3252" t="s">
        <v>700</v>
      </c>
    </row>
    <row r="3253" spans="1:13" x14ac:dyDescent="0.25">
      <c r="A3253" t="s">
        <v>86</v>
      </c>
      <c r="B3253" s="6" t="s">
        <v>93</v>
      </c>
      <c r="C3253" s="13">
        <v>102</v>
      </c>
      <c r="D3253" s="14" t="s">
        <v>92</v>
      </c>
      <c r="E3253">
        <v>17</v>
      </c>
      <c r="F3253" s="8">
        <f>VLOOKUP(financials[[#This Row],[productid]],Products!$B$2:$H$10,3)</f>
        <v>15</v>
      </c>
      <c r="G3253" s="8">
        <f>financials[[#This Row],[Units Sold]]*financials[[#This Row],[Sale Price]]</f>
        <v>255</v>
      </c>
      <c r="H3253" s="8">
        <f>IF(financials[[#This Row],[Discount Band]]="low",0.1,IF(financials[[#This Row],[Discount Band]]="medium",0.15,0.3))</f>
        <v>0.3</v>
      </c>
      <c r="I3253" s="8">
        <f>financials[[#This Row],[Gross Sales]]-financials[[#This Row],[Gross Sales]]*financials[[#This Row],[Discounts]]</f>
        <v>178.5</v>
      </c>
      <c r="J3253" s="8">
        <f>VLOOKUP(financials[[#This Row],[productid]],Products!$B$2:$H$10,4)</f>
        <v>13.95</v>
      </c>
      <c r="K3253" s="8">
        <f>financials[[#This Row],[Net Sales]]-financials[[#This Row],[COGS]]</f>
        <v>164.55</v>
      </c>
      <c r="L3253" s="15">
        <v>45102</v>
      </c>
      <c r="M3253" t="s">
        <v>697</v>
      </c>
    </row>
    <row r="3254" spans="1:13" x14ac:dyDescent="0.25">
      <c r="A3254" t="s">
        <v>88</v>
      </c>
      <c r="B3254" s="6" t="s">
        <v>96</v>
      </c>
      <c r="C3254" s="11">
        <v>102</v>
      </c>
      <c r="D3254" s="9" t="s">
        <v>91</v>
      </c>
      <c r="E3254">
        <v>18</v>
      </c>
      <c r="F3254" s="8">
        <f>VLOOKUP(financials[[#This Row],[productid]],Products!$B$2:$H$10,3)</f>
        <v>15</v>
      </c>
      <c r="G3254" s="8">
        <f>financials[[#This Row],[Units Sold]]*financials[[#This Row],[Sale Price]]</f>
        <v>270</v>
      </c>
      <c r="H3254" s="8">
        <f>IF(financials[[#This Row],[Discount Band]]="low",0.1,IF(financials[[#This Row],[Discount Band]]="medium",0.15,0.3))</f>
        <v>0.1</v>
      </c>
      <c r="I3254" s="8">
        <f>financials[[#This Row],[Gross Sales]]-financials[[#This Row],[Gross Sales]]*financials[[#This Row],[Discounts]]</f>
        <v>243</v>
      </c>
      <c r="J3254" s="8">
        <f>VLOOKUP(financials[[#This Row],[productid]],Products!$B$2:$H$10,4)</f>
        <v>13.95</v>
      </c>
      <c r="K3254" s="8">
        <f>financials[[#This Row],[Net Sales]]-financials[[#This Row],[COGS]]</f>
        <v>229.05</v>
      </c>
      <c r="L3254" s="15">
        <v>44845</v>
      </c>
      <c r="M3254" t="s">
        <v>700</v>
      </c>
    </row>
    <row r="3255" spans="1:13" x14ac:dyDescent="0.25">
      <c r="A3255" t="s">
        <v>88</v>
      </c>
      <c r="B3255" s="6" t="s">
        <v>158</v>
      </c>
      <c r="C3255" s="13">
        <v>109</v>
      </c>
      <c r="D3255" s="14" t="s">
        <v>83</v>
      </c>
      <c r="E3255">
        <v>6</v>
      </c>
      <c r="F3255" s="8">
        <f>VLOOKUP(financials[[#This Row],[productid]],Products!$B$2:$H$10,3)</f>
        <v>36</v>
      </c>
      <c r="G3255" s="8">
        <f>financials[[#This Row],[Units Sold]]*financials[[#This Row],[Sale Price]]</f>
        <v>216</v>
      </c>
      <c r="H3255" s="8">
        <f>IF(financials[[#This Row],[Discount Band]]="low",0.1,IF(financials[[#This Row],[Discount Band]]="medium",0.15,0.3))</f>
        <v>0.3</v>
      </c>
      <c r="I3255" s="8">
        <f>financials[[#This Row],[Gross Sales]]-financials[[#This Row],[Gross Sales]]*financials[[#This Row],[Discounts]]</f>
        <v>151.19999999999999</v>
      </c>
      <c r="J3255" s="8">
        <f>VLOOKUP(financials[[#This Row],[productid]],Products!$B$2:$H$10,4)</f>
        <v>16.8</v>
      </c>
      <c r="K3255" s="8">
        <f>financials[[#This Row],[Net Sales]]-financials[[#This Row],[COGS]]</f>
        <v>134.39999999999998</v>
      </c>
      <c r="L3255" s="15">
        <v>45548</v>
      </c>
      <c r="M3255" t="s">
        <v>690</v>
      </c>
    </row>
    <row r="3256" spans="1:13" x14ac:dyDescent="0.25">
      <c r="A3256" t="s">
        <v>89</v>
      </c>
      <c r="B3256" s="6" t="s">
        <v>159</v>
      </c>
      <c r="C3256" s="13">
        <v>103</v>
      </c>
      <c r="D3256" s="14" t="s">
        <v>83</v>
      </c>
      <c r="E3256">
        <v>17</v>
      </c>
      <c r="F3256" s="8">
        <f>VLOOKUP(financials[[#This Row],[productid]],Products!$B$2:$H$10,3)</f>
        <v>28</v>
      </c>
      <c r="G3256" s="8">
        <f>financials[[#This Row],[Units Sold]]*financials[[#This Row],[Sale Price]]</f>
        <v>476</v>
      </c>
      <c r="H3256" s="8">
        <f>IF(financials[[#This Row],[Discount Band]]="low",0.1,IF(financials[[#This Row],[Discount Band]]="medium",0.15,0.3))</f>
        <v>0.3</v>
      </c>
      <c r="I3256" s="8">
        <f>financials[[#This Row],[Gross Sales]]-financials[[#This Row],[Gross Sales]]*financials[[#This Row],[Discounts]]</f>
        <v>333.20000000000005</v>
      </c>
      <c r="J3256" s="8">
        <f>VLOOKUP(financials[[#This Row],[productid]],Products!$B$2:$H$10,4)</f>
        <v>15</v>
      </c>
      <c r="K3256" s="8">
        <f>financials[[#This Row],[Net Sales]]-financials[[#This Row],[COGS]]</f>
        <v>318.20000000000005</v>
      </c>
      <c r="L3256" s="15">
        <v>45169</v>
      </c>
      <c r="M3256" t="s">
        <v>700</v>
      </c>
    </row>
    <row r="3257" spans="1:13" x14ac:dyDescent="0.25">
      <c r="A3257" t="s">
        <v>87</v>
      </c>
      <c r="B3257" s="6" t="s">
        <v>205</v>
      </c>
      <c r="C3257" s="13">
        <v>109</v>
      </c>
      <c r="D3257" s="14" t="s">
        <v>83</v>
      </c>
      <c r="E3257">
        <v>5</v>
      </c>
      <c r="F3257" s="8">
        <f>VLOOKUP(financials[[#This Row],[productid]],Products!$B$2:$H$10,3)</f>
        <v>36</v>
      </c>
      <c r="G3257" s="8">
        <f>financials[[#This Row],[Units Sold]]*financials[[#This Row],[Sale Price]]</f>
        <v>180</v>
      </c>
      <c r="H3257" s="8">
        <f>IF(financials[[#This Row],[Discount Band]]="low",0.1,IF(financials[[#This Row],[Discount Band]]="medium",0.15,0.3))</f>
        <v>0.3</v>
      </c>
      <c r="I3257" s="8">
        <f>financials[[#This Row],[Gross Sales]]-financials[[#This Row],[Gross Sales]]*financials[[#This Row],[Discounts]]</f>
        <v>126</v>
      </c>
      <c r="J3257" s="8">
        <f>VLOOKUP(financials[[#This Row],[productid]],Products!$B$2:$H$10,4)</f>
        <v>16.8</v>
      </c>
      <c r="K3257" s="8">
        <f>financials[[#This Row],[Net Sales]]-financials[[#This Row],[COGS]]</f>
        <v>109.2</v>
      </c>
      <c r="L3257" s="15">
        <v>44442</v>
      </c>
      <c r="M3257" t="s">
        <v>700</v>
      </c>
    </row>
    <row r="3258" spans="1:13" x14ac:dyDescent="0.25">
      <c r="A3258" t="s">
        <v>86</v>
      </c>
      <c r="B3258" s="6" t="s">
        <v>148</v>
      </c>
      <c r="C3258" s="13">
        <v>105</v>
      </c>
      <c r="D3258" s="14" t="s">
        <v>83</v>
      </c>
      <c r="E3258">
        <v>18</v>
      </c>
      <c r="F3258" s="8">
        <f>VLOOKUP(financials[[#This Row],[productid]],Products!$B$2:$H$10,3)</f>
        <v>15</v>
      </c>
      <c r="G3258" s="8">
        <f>financials[[#This Row],[Units Sold]]*financials[[#This Row],[Sale Price]]</f>
        <v>270</v>
      </c>
      <c r="H3258" s="8">
        <f>IF(financials[[#This Row],[Discount Band]]="low",0.1,IF(financials[[#This Row],[Discount Band]]="medium",0.15,0.3))</f>
        <v>0.3</v>
      </c>
      <c r="I3258" s="8">
        <f>financials[[#This Row],[Gross Sales]]-financials[[#This Row],[Gross Sales]]*financials[[#This Row],[Discounts]]</f>
        <v>189</v>
      </c>
      <c r="J3258" s="8">
        <f>VLOOKUP(financials[[#This Row],[productid]],Products!$B$2:$H$10,4)</f>
        <v>10</v>
      </c>
      <c r="K3258" s="8">
        <f>financials[[#This Row],[Net Sales]]-financials[[#This Row],[COGS]]</f>
        <v>179</v>
      </c>
      <c r="L3258" s="15">
        <v>44026</v>
      </c>
      <c r="M3258" t="s">
        <v>690</v>
      </c>
    </row>
    <row r="3259" spans="1:13" x14ac:dyDescent="0.25">
      <c r="A3259" t="s">
        <v>88</v>
      </c>
      <c r="B3259" s="6" t="s">
        <v>287</v>
      </c>
      <c r="C3259" s="11">
        <v>105</v>
      </c>
      <c r="D3259" s="9" t="s">
        <v>83</v>
      </c>
      <c r="E3259">
        <v>7</v>
      </c>
      <c r="F3259" s="8">
        <f>VLOOKUP(financials[[#This Row],[productid]],Products!$B$2:$H$10,3)</f>
        <v>15</v>
      </c>
      <c r="G3259" s="8">
        <f>financials[[#This Row],[Units Sold]]*financials[[#This Row],[Sale Price]]</f>
        <v>105</v>
      </c>
      <c r="H3259" s="8">
        <f>IF(financials[[#This Row],[Discount Band]]="low",0.1,IF(financials[[#This Row],[Discount Band]]="medium",0.15,0.3))</f>
        <v>0.3</v>
      </c>
      <c r="I3259" s="8">
        <f>financials[[#This Row],[Gross Sales]]-financials[[#This Row],[Gross Sales]]*financials[[#This Row],[Discounts]]</f>
        <v>73.5</v>
      </c>
      <c r="J3259" s="8">
        <f>VLOOKUP(financials[[#This Row],[productid]],Products!$B$2:$H$10,4)</f>
        <v>10</v>
      </c>
      <c r="K3259" s="8">
        <f>financials[[#This Row],[Net Sales]]-financials[[#This Row],[COGS]]</f>
        <v>63.5</v>
      </c>
      <c r="L3259" s="15">
        <v>43875</v>
      </c>
      <c r="M3259" t="s">
        <v>697</v>
      </c>
    </row>
    <row r="3260" spans="1:13" x14ac:dyDescent="0.25">
      <c r="A3260" t="s">
        <v>89</v>
      </c>
      <c r="B3260" s="6" t="s">
        <v>159</v>
      </c>
      <c r="C3260" s="13">
        <v>109</v>
      </c>
      <c r="D3260" s="14" t="s">
        <v>91</v>
      </c>
      <c r="E3260">
        <v>7</v>
      </c>
      <c r="F3260" s="8">
        <f>VLOOKUP(financials[[#This Row],[productid]],Products!$B$2:$H$10,3)</f>
        <v>36</v>
      </c>
      <c r="G3260" s="8">
        <f>financials[[#This Row],[Units Sold]]*financials[[#This Row],[Sale Price]]</f>
        <v>252</v>
      </c>
      <c r="H3260" s="8">
        <f>IF(financials[[#This Row],[Discount Band]]="low",0.1,IF(financials[[#This Row],[Discount Band]]="medium",0.15,0.3))</f>
        <v>0.1</v>
      </c>
      <c r="I3260" s="8">
        <f>financials[[#This Row],[Gross Sales]]-financials[[#This Row],[Gross Sales]]*financials[[#This Row],[Discounts]]</f>
        <v>226.8</v>
      </c>
      <c r="J3260" s="8">
        <f>VLOOKUP(financials[[#This Row],[productid]],Products!$B$2:$H$10,4)</f>
        <v>16.8</v>
      </c>
      <c r="K3260" s="8">
        <f>financials[[#This Row],[Net Sales]]-financials[[#This Row],[COGS]]</f>
        <v>210</v>
      </c>
      <c r="L3260" s="15">
        <v>44210</v>
      </c>
      <c r="M3260" t="s">
        <v>690</v>
      </c>
    </row>
    <row r="3261" spans="1:13" x14ac:dyDescent="0.25">
      <c r="A3261" t="s">
        <v>88</v>
      </c>
      <c r="B3261" s="6" t="s">
        <v>274</v>
      </c>
      <c r="C3261" s="13">
        <v>107</v>
      </c>
      <c r="D3261" s="14" t="s">
        <v>83</v>
      </c>
      <c r="E3261">
        <v>10</v>
      </c>
      <c r="F3261" s="8">
        <f>VLOOKUP(financials[[#This Row],[productid]],Products!$B$2:$H$10,3)</f>
        <v>15</v>
      </c>
      <c r="G3261" s="8">
        <f>financials[[#This Row],[Units Sold]]*financials[[#This Row],[Sale Price]]</f>
        <v>150</v>
      </c>
      <c r="H3261" s="8">
        <f>IF(financials[[#This Row],[Discount Band]]="low",0.1,IF(financials[[#This Row],[Discount Band]]="medium",0.15,0.3))</f>
        <v>0.3</v>
      </c>
      <c r="I3261" s="8">
        <f>financials[[#This Row],[Gross Sales]]-financials[[#This Row],[Gross Sales]]*financials[[#This Row],[Discounts]]</f>
        <v>105</v>
      </c>
      <c r="J3261" s="8">
        <f>VLOOKUP(financials[[#This Row],[productid]],Products!$B$2:$H$10,4)</f>
        <v>5.5</v>
      </c>
      <c r="K3261" s="8">
        <f>financials[[#This Row],[Net Sales]]-financials[[#This Row],[COGS]]</f>
        <v>99.5</v>
      </c>
      <c r="L3261" s="15">
        <v>44135</v>
      </c>
      <c r="M3261" t="s">
        <v>690</v>
      </c>
    </row>
    <row r="3262" spans="1:13" x14ac:dyDescent="0.25">
      <c r="A3262" t="s">
        <v>86</v>
      </c>
      <c r="B3262" s="6" t="s">
        <v>159</v>
      </c>
      <c r="C3262" s="13">
        <v>101</v>
      </c>
      <c r="D3262" s="14" t="s">
        <v>92</v>
      </c>
      <c r="E3262">
        <v>17</v>
      </c>
      <c r="F3262" s="8">
        <f>VLOOKUP(financials[[#This Row],[productid]],Products!$B$2:$H$10,3)</f>
        <v>23</v>
      </c>
      <c r="G3262" s="8">
        <f>financials[[#This Row],[Units Sold]]*financials[[#This Row],[Sale Price]]</f>
        <v>391</v>
      </c>
      <c r="H3262" s="8">
        <f>IF(financials[[#This Row],[Discount Band]]="low",0.1,IF(financials[[#This Row],[Discount Band]]="medium",0.15,0.3))</f>
        <v>0.3</v>
      </c>
      <c r="I3262" s="8">
        <f>financials[[#This Row],[Gross Sales]]-financials[[#This Row],[Gross Sales]]*financials[[#This Row],[Discounts]]</f>
        <v>273.7</v>
      </c>
      <c r="J3262" s="8">
        <f>VLOOKUP(financials[[#This Row],[productid]],Products!$B$2:$H$10,4)</f>
        <v>9.9499999999999993</v>
      </c>
      <c r="K3262" s="8">
        <f>financials[[#This Row],[Net Sales]]-financials[[#This Row],[COGS]]</f>
        <v>263.75</v>
      </c>
      <c r="L3262" s="15">
        <v>44708</v>
      </c>
      <c r="M3262" t="s">
        <v>696</v>
      </c>
    </row>
    <row r="3263" spans="1:13" x14ac:dyDescent="0.25">
      <c r="A3263" t="s">
        <v>86</v>
      </c>
      <c r="B3263" s="6" t="s">
        <v>124</v>
      </c>
      <c r="C3263" s="13">
        <v>105</v>
      </c>
      <c r="D3263" s="14" t="s">
        <v>91</v>
      </c>
      <c r="E3263">
        <v>7</v>
      </c>
      <c r="F3263" s="8">
        <f>VLOOKUP(financials[[#This Row],[productid]],Products!$B$2:$H$10,3)</f>
        <v>15</v>
      </c>
      <c r="G3263" s="8">
        <f>financials[[#This Row],[Units Sold]]*financials[[#This Row],[Sale Price]]</f>
        <v>105</v>
      </c>
      <c r="H3263" s="8">
        <f>IF(financials[[#This Row],[Discount Band]]="low",0.1,IF(financials[[#This Row],[Discount Band]]="medium",0.15,0.3))</f>
        <v>0.1</v>
      </c>
      <c r="I3263" s="8">
        <f>financials[[#This Row],[Gross Sales]]-financials[[#This Row],[Gross Sales]]*financials[[#This Row],[Discounts]]</f>
        <v>94.5</v>
      </c>
      <c r="J3263" s="8">
        <f>VLOOKUP(financials[[#This Row],[productid]],Products!$B$2:$H$10,4)</f>
        <v>10</v>
      </c>
      <c r="K3263" s="8">
        <f>financials[[#This Row],[Net Sales]]-financials[[#This Row],[COGS]]</f>
        <v>84.5</v>
      </c>
      <c r="L3263" s="15">
        <v>45256</v>
      </c>
      <c r="M3263" t="s">
        <v>696</v>
      </c>
    </row>
    <row r="3264" spans="1:13" x14ac:dyDescent="0.25">
      <c r="A3264" t="s">
        <v>87</v>
      </c>
      <c r="B3264" s="6" t="s">
        <v>198</v>
      </c>
      <c r="C3264" s="13">
        <v>107</v>
      </c>
      <c r="D3264" s="14" t="s">
        <v>91</v>
      </c>
      <c r="E3264">
        <v>6</v>
      </c>
      <c r="F3264" s="8">
        <f>VLOOKUP(financials[[#This Row],[productid]],Products!$B$2:$H$10,3)</f>
        <v>15</v>
      </c>
      <c r="G3264" s="8">
        <f>financials[[#This Row],[Units Sold]]*financials[[#This Row],[Sale Price]]</f>
        <v>90</v>
      </c>
      <c r="H3264" s="8">
        <f>IF(financials[[#This Row],[Discount Band]]="low",0.1,IF(financials[[#This Row],[Discount Band]]="medium",0.15,0.3))</f>
        <v>0.1</v>
      </c>
      <c r="I3264" s="8">
        <f>financials[[#This Row],[Gross Sales]]-financials[[#This Row],[Gross Sales]]*financials[[#This Row],[Discounts]]</f>
        <v>81</v>
      </c>
      <c r="J3264" s="8">
        <f>VLOOKUP(financials[[#This Row],[productid]],Products!$B$2:$H$10,4)</f>
        <v>5.5</v>
      </c>
      <c r="K3264" s="8">
        <f>financials[[#This Row],[Net Sales]]-financials[[#This Row],[COGS]]</f>
        <v>75.5</v>
      </c>
      <c r="L3264" s="15">
        <v>43852</v>
      </c>
      <c r="M3264" t="s">
        <v>691</v>
      </c>
    </row>
    <row r="3265" spans="1:13" x14ac:dyDescent="0.25">
      <c r="A3265" t="s">
        <v>85</v>
      </c>
      <c r="B3265" s="6" t="s">
        <v>124</v>
      </c>
      <c r="C3265" s="11">
        <v>107</v>
      </c>
      <c r="D3265" s="9" t="s">
        <v>83</v>
      </c>
      <c r="E3265">
        <v>12</v>
      </c>
      <c r="F3265" s="8">
        <f>VLOOKUP(financials[[#This Row],[productid]],Products!$B$2:$H$10,3)</f>
        <v>15</v>
      </c>
      <c r="G3265" s="8">
        <f>financials[[#This Row],[Units Sold]]*financials[[#This Row],[Sale Price]]</f>
        <v>180</v>
      </c>
      <c r="H3265" s="8">
        <f>IF(financials[[#This Row],[Discount Band]]="low",0.1,IF(financials[[#This Row],[Discount Band]]="medium",0.15,0.3))</f>
        <v>0.3</v>
      </c>
      <c r="I3265" s="8">
        <f>financials[[#This Row],[Gross Sales]]-financials[[#This Row],[Gross Sales]]*financials[[#This Row],[Discounts]]</f>
        <v>126</v>
      </c>
      <c r="J3265" s="8">
        <f>VLOOKUP(financials[[#This Row],[productid]],Products!$B$2:$H$10,4)</f>
        <v>5.5</v>
      </c>
      <c r="K3265" s="8">
        <f>financials[[#This Row],[Net Sales]]-financials[[#This Row],[COGS]]</f>
        <v>120.5</v>
      </c>
      <c r="L3265" s="15">
        <v>44670</v>
      </c>
      <c r="M3265" t="s">
        <v>696</v>
      </c>
    </row>
    <row r="3266" spans="1:13" x14ac:dyDescent="0.25">
      <c r="A3266" t="s">
        <v>86</v>
      </c>
      <c r="B3266" s="6" t="s">
        <v>617</v>
      </c>
      <c r="C3266" s="13">
        <v>105</v>
      </c>
      <c r="D3266" s="14" t="s">
        <v>83</v>
      </c>
      <c r="E3266">
        <v>11</v>
      </c>
      <c r="F3266" s="8">
        <f>VLOOKUP(financials[[#This Row],[productid]],Products!$B$2:$H$10,3)</f>
        <v>15</v>
      </c>
      <c r="G3266" s="8">
        <f>financials[[#This Row],[Units Sold]]*financials[[#This Row],[Sale Price]]</f>
        <v>165</v>
      </c>
      <c r="H3266" s="8">
        <f>IF(financials[[#This Row],[Discount Band]]="low",0.1,IF(financials[[#This Row],[Discount Band]]="medium",0.15,0.3))</f>
        <v>0.3</v>
      </c>
      <c r="I3266" s="8">
        <f>financials[[#This Row],[Gross Sales]]-financials[[#This Row],[Gross Sales]]*financials[[#This Row],[Discounts]]</f>
        <v>115.5</v>
      </c>
      <c r="J3266" s="8">
        <f>VLOOKUP(financials[[#This Row],[productid]],Products!$B$2:$H$10,4)</f>
        <v>10</v>
      </c>
      <c r="K3266" s="8">
        <f>financials[[#This Row],[Net Sales]]-financials[[#This Row],[COGS]]</f>
        <v>105.5</v>
      </c>
      <c r="L3266" s="15">
        <v>45043</v>
      </c>
      <c r="M3266" t="s">
        <v>690</v>
      </c>
    </row>
    <row r="3267" spans="1:13" x14ac:dyDescent="0.25">
      <c r="A3267" t="s">
        <v>85</v>
      </c>
      <c r="B3267" s="6" t="s">
        <v>124</v>
      </c>
      <c r="C3267" s="13">
        <v>102</v>
      </c>
      <c r="D3267" s="14" t="s">
        <v>83</v>
      </c>
      <c r="E3267">
        <v>5</v>
      </c>
      <c r="F3267" s="8">
        <f>VLOOKUP(financials[[#This Row],[productid]],Products!$B$2:$H$10,3)</f>
        <v>15</v>
      </c>
      <c r="G3267" s="8">
        <f>financials[[#This Row],[Units Sold]]*financials[[#This Row],[Sale Price]]</f>
        <v>75</v>
      </c>
      <c r="H3267" s="8">
        <f>IF(financials[[#This Row],[Discount Band]]="low",0.1,IF(financials[[#This Row],[Discount Band]]="medium",0.15,0.3))</f>
        <v>0.3</v>
      </c>
      <c r="I3267" s="8">
        <f>financials[[#This Row],[Gross Sales]]-financials[[#This Row],[Gross Sales]]*financials[[#This Row],[Discounts]]</f>
        <v>52.5</v>
      </c>
      <c r="J3267" s="8">
        <f>VLOOKUP(financials[[#This Row],[productid]],Products!$B$2:$H$10,4)</f>
        <v>13.95</v>
      </c>
      <c r="K3267" s="8">
        <f>financials[[#This Row],[Net Sales]]-financials[[#This Row],[COGS]]</f>
        <v>38.549999999999997</v>
      </c>
      <c r="L3267" s="15">
        <v>43894</v>
      </c>
      <c r="M3267" t="s">
        <v>690</v>
      </c>
    </row>
    <row r="3268" spans="1:13" x14ac:dyDescent="0.25">
      <c r="A3268" t="s">
        <v>86</v>
      </c>
      <c r="B3268" s="6" t="s">
        <v>159</v>
      </c>
      <c r="C3268" s="11">
        <v>105</v>
      </c>
      <c r="D3268" s="9" t="s">
        <v>90</v>
      </c>
      <c r="E3268">
        <v>5</v>
      </c>
      <c r="F3268" s="8">
        <f>VLOOKUP(financials[[#This Row],[productid]],Products!$B$2:$H$10,3)</f>
        <v>15</v>
      </c>
      <c r="G3268" s="8">
        <f>financials[[#This Row],[Units Sold]]*financials[[#This Row],[Sale Price]]</f>
        <v>75</v>
      </c>
      <c r="H3268" s="8">
        <f>IF(financials[[#This Row],[Discount Band]]="low",0.1,IF(financials[[#This Row],[Discount Band]]="medium",0.15,0.3))</f>
        <v>0.15</v>
      </c>
      <c r="I3268" s="8">
        <f>financials[[#This Row],[Gross Sales]]-financials[[#This Row],[Gross Sales]]*financials[[#This Row],[Discounts]]</f>
        <v>63.75</v>
      </c>
      <c r="J3268" s="8">
        <f>VLOOKUP(financials[[#This Row],[productid]],Products!$B$2:$H$10,4)</f>
        <v>10</v>
      </c>
      <c r="K3268" s="8">
        <f>financials[[#This Row],[Net Sales]]-financials[[#This Row],[COGS]]</f>
        <v>53.75</v>
      </c>
      <c r="L3268" s="15">
        <v>45090</v>
      </c>
      <c r="M3268" t="s">
        <v>700</v>
      </c>
    </row>
    <row r="3269" spans="1:13" x14ac:dyDescent="0.25">
      <c r="A3269" t="s">
        <v>87</v>
      </c>
      <c r="B3269" s="6" t="s">
        <v>205</v>
      </c>
      <c r="C3269" s="13">
        <v>108</v>
      </c>
      <c r="D3269" s="14" t="s">
        <v>91</v>
      </c>
      <c r="E3269">
        <v>20</v>
      </c>
      <c r="F3269" s="8">
        <f>VLOOKUP(financials[[#This Row],[productid]],Products!$B$2:$H$10,3)</f>
        <v>5.5</v>
      </c>
      <c r="G3269" s="8">
        <f>financials[[#This Row],[Units Sold]]*financials[[#This Row],[Sale Price]]</f>
        <v>110</v>
      </c>
      <c r="H3269" s="8">
        <f>IF(financials[[#This Row],[Discount Band]]="low",0.1,IF(financials[[#This Row],[Discount Band]]="medium",0.15,0.3))</f>
        <v>0.1</v>
      </c>
      <c r="I3269" s="8">
        <f>financials[[#This Row],[Gross Sales]]-financials[[#This Row],[Gross Sales]]*financials[[#This Row],[Discounts]]</f>
        <v>99</v>
      </c>
      <c r="J3269" s="8">
        <f>VLOOKUP(financials[[#This Row],[productid]],Products!$B$2:$H$10,4)</f>
        <v>3.99</v>
      </c>
      <c r="K3269" s="8">
        <f>financials[[#This Row],[Net Sales]]-financials[[#This Row],[COGS]]</f>
        <v>95.01</v>
      </c>
      <c r="L3269" s="15">
        <v>44837</v>
      </c>
      <c r="M3269" t="s">
        <v>690</v>
      </c>
    </row>
    <row r="3270" spans="1:13" x14ac:dyDescent="0.25">
      <c r="A3270" t="s">
        <v>88</v>
      </c>
      <c r="B3270" s="6" t="s">
        <v>96</v>
      </c>
      <c r="C3270" s="13">
        <v>109</v>
      </c>
      <c r="D3270" s="14" t="s">
        <v>91</v>
      </c>
      <c r="E3270">
        <v>7</v>
      </c>
      <c r="F3270" s="8">
        <f>VLOOKUP(financials[[#This Row],[productid]],Products!$B$2:$H$10,3)</f>
        <v>36</v>
      </c>
      <c r="G3270" s="8">
        <f>financials[[#This Row],[Units Sold]]*financials[[#This Row],[Sale Price]]</f>
        <v>252</v>
      </c>
      <c r="H3270" s="8">
        <f>IF(financials[[#This Row],[Discount Band]]="low",0.1,IF(financials[[#This Row],[Discount Band]]="medium",0.15,0.3))</f>
        <v>0.1</v>
      </c>
      <c r="I3270" s="8">
        <f>financials[[#This Row],[Gross Sales]]-financials[[#This Row],[Gross Sales]]*financials[[#This Row],[Discounts]]</f>
        <v>226.8</v>
      </c>
      <c r="J3270" s="8">
        <f>VLOOKUP(financials[[#This Row],[productid]],Products!$B$2:$H$10,4)</f>
        <v>16.8</v>
      </c>
      <c r="K3270" s="8">
        <f>financials[[#This Row],[Net Sales]]-financials[[#This Row],[COGS]]</f>
        <v>210</v>
      </c>
      <c r="L3270" s="15">
        <v>44181</v>
      </c>
      <c r="M3270" t="s">
        <v>700</v>
      </c>
    </row>
    <row r="3271" spans="1:13" x14ac:dyDescent="0.25">
      <c r="A3271" t="s">
        <v>88</v>
      </c>
      <c r="B3271" s="6" t="s">
        <v>645</v>
      </c>
      <c r="C3271" s="13">
        <v>101</v>
      </c>
      <c r="D3271" s="14" t="s">
        <v>83</v>
      </c>
      <c r="E3271">
        <v>16</v>
      </c>
      <c r="F3271" s="8">
        <f>VLOOKUP(financials[[#This Row],[productid]],Products!$B$2:$H$10,3)</f>
        <v>23</v>
      </c>
      <c r="G3271" s="8">
        <f>financials[[#This Row],[Units Sold]]*financials[[#This Row],[Sale Price]]</f>
        <v>368</v>
      </c>
      <c r="H3271" s="8">
        <f>IF(financials[[#This Row],[Discount Band]]="low",0.1,IF(financials[[#This Row],[Discount Band]]="medium",0.15,0.3))</f>
        <v>0.3</v>
      </c>
      <c r="I3271" s="8">
        <f>financials[[#This Row],[Gross Sales]]-financials[[#This Row],[Gross Sales]]*financials[[#This Row],[Discounts]]</f>
        <v>257.60000000000002</v>
      </c>
      <c r="J3271" s="8">
        <f>VLOOKUP(financials[[#This Row],[productid]],Products!$B$2:$H$10,4)</f>
        <v>9.9499999999999993</v>
      </c>
      <c r="K3271" s="8">
        <f>financials[[#This Row],[Net Sales]]-financials[[#This Row],[COGS]]</f>
        <v>247.65000000000003</v>
      </c>
      <c r="L3271" s="15">
        <v>44492</v>
      </c>
      <c r="M3271" t="s">
        <v>690</v>
      </c>
    </row>
    <row r="3272" spans="1:13" x14ac:dyDescent="0.25">
      <c r="A3272" t="s">
        <v>89</v>
      </c>
      <c r="B3272" s="6" t="s">
        <v>159</v>
      </c>
      <c r="C3272" s="13">
        <v>107</v>
      </c>
      <c r="D3272" s="14" t="s">
        <v>92</v>
      </c>
      <c r="E3272">
        <v>10</v>
      </c>
      <c r="F3272" s="8">
        <f>VLOOKUP(financials[[#This Row],[productid]],Products!$B$2:$H$10,3)</f>
        <v>15</v>
      </c>
      <c r="G3272" s="8">
        <f>financials[[#This Row],[Units Sold]]*financials[[#This Row],[Sale Price]]</f>
        <v>150</v>
      </c>
      <c r="H3272" s="8">
        <f>IF(financials[[#This Row],[Discount Band]]="low",0.1,IF(financials[[#This Row],[Discount Band]]="medium",0.15,0.3))</f>
        <v>0.3</v>
      </c>
      <c r="I3272" s="8">
        <f>financials[[#This Row],[Gross Sales]]-financials[[#This Row],[Gross Sales]]*financials[[#This Row],[Discounts]]</f>
        <v>105</v>
      </c>
      <c r="J3272" s="8">
        <f>VLOOKUP(financials[[#This Row],[productid]],Products!$B$2:$H$10,4)</f>
        <v>5.5</v>
      </c>
      <c r="K3272" s="8">
        <f>financials[[#This Row],[Net Sales]]-financials[[#This Row],[COGS]]</f>
        <v>99.5</v>
      </c>
      <c r="L3272" s="15">
        <v>45443</v>
      </c>
      <c r="M3272" t="s">
        <v>700</v>
      </c>
    </row>
    <row r="3273" spans="1:13" x14ac:dyDescent="0.25">
      <c r="A3273" t="s">
        <v>86</v>
      </c>
      <c r="B3273" s="6" t="s">
        <v>148</v>
      </c>
      <c r="C3273" s="13">
        <v>104</v>
      </c>
      <c r="D3273" s="14" t="s">
        <v>83</v>
      </c>
      <c r="E3273">
        <v>19</v>
      </c>
      <c r="F3273" s="8">
        <f>VLOOKUP(financials[[#This Row],[productid]],Products!$B$2:$H$10,3)</f>
        <v>5.9</v>
      </c>
      <c r="G3273" s="8">
        <f>financials[[#This Row],[Units Sold]]*financials[[#This Row],[Sale Price]]</f>
        <v>112.10000000000001</v>
      </c>
      <c r="H3273" s="8">
        <f>IF(financials[[#This Row],[Discount Band]]="low",0.1,IF(financials[[#This Row],[Discount Band]]="medium",0.15,0.3))</f>
        <v>0.3</v>
      </c>
      <c r="I3273" s="8">
        <f>financials[[#This Row],[Gross Sales]]-financials[[#This Row],[Gross Sales]]*financials[[#This Row],[Discounts]]</f>
        <v>78.47</v>
      </c>
      <c r="J3273" s="8">
        <f>VLOOKUP(financials[[#This Row],[productid]],Products!$B$2:$H$10,4)</f>
        <v>2.9</v>
      </c>
      <c r="K3273" s="8">
        <f>financials[[#This Row],[Net Sales]]-financials[[#This Row],[COGS]]</f>
        <v>75.569999999999993</v>
      </c>
      <c r="L3273" s="15">
        <v>44798</v>
      </c>
      <c r="M3273" t="s">
        <v>690</v>
      </c>
    </row>
    <row r="3274" spans="1:13" x14ac:dyDescent="0.25">
      <c r="A3274" t="s">
        <v>88</v>
      </c>
      <c r="B3274" s="6" t="s">
        <v>274</v>
      </c>
      <c r="C3274" s="13">
        <v>106</v>
      </c>
      <c r="D3274" s="14" t="s">
        <v>91</v>
      </c>
      <c r="E3274">
        <v>20</v>
      </c>
      <c r="F3274" s="8">
        <f>VLOOKUP(financials[[#This Row],[productid]],Products!$B$2:$H$10,3)</f>
        <v>25</v>
      </c>
      <c r="G3274" s="8">
        <f>financials[[#This Row],[Units Sold]]*financials[[#This Row],[Sale Price]]</f>
        <v>500</v>
      </c>
      <c r="H3274" s="8">
        <f>IF(financials[[#This Row],[Discount Band]]="low",0.1,IF(financials[[#This Row],[Discount Band]]="medium",0.15,0.3))</f>
        <v>0.1</v>
      </c>
      <c r="I3274" s="8">
        <f>financials[[#This Row],[Gross Sales]]-financials[[#This Row],[Gross Sales]]*financials[[#This Row],[Discounts]]</f>
        <v>450</v>
      </c>
      <c r="J3274" s="8">
        <f>VLOOKUP(financials[[#This Row],[productid]],Products!$B$2:$H$10,4)</f>
        <v>9.1</v>
      </c>
      <c r="K3274" s="8">
        <f>financials[[#This Row],[Net Sales]]-financials[[#This Row],[COGS]]</f>
        <v>440.9</v>
      </c>
      <c r="L3274" s="15">
        <v>45447</v>
      </c>
      <c r="M3274" t="s">
        <v>697</v>
      </c>
    </row>
    <row r="3275" spans="1:13" x14ac:dyDescent="0.25">
      <c r="A3275" t="s">
        <v>88</v>
      </c>
      <c r="B3275" s="6" t="s">
        <v>197</v>
      </c>
      <c r="C3275" s="13">
        <v>105</v>
      </c>
      <c r="D3275" s="14" t="s">
        <v>91</v>
      </c>
      <c r="E3275">
        <v>20</v>
      </c>
      <c r="F3275" s="8">
        <f>VLOOKUP(financials[[#This Row],[productid]],Products!$B$2:$H$10,3)</f>
        <v>15</v>
      </c>
      <c r="G3275" s="8">
        <f>financials[[#This Row],[Units Sold]]*financials[[#This Row],[Sale Price]]</f>
        <v>300</v>
      </c>
      <c r="H3275" s="8">
        <f>IF(financials[[#This Row],[Discount Band]]="low",0.1,IF(financials[[#This Row],[Discount Band]]="medium",0.15,0.3))</f>
        <v>0.1</v>
      </c>
      <c r="I3275" s="8">
        <f>financials[[#This Row],[Gross Sales]]-financials[[#This Row],[Gross Sales]]*financials[[#This Row],[Discounts]]</f>
        <v>270</v>
      </c>
      <c r="J3275" s="8">
        <f>VLOOKUP(financials[[#This Row],[productid]],Products!$B$2:$H$10,4)</f>
        <v>10</v>
      </c>
      <c r="K3275" s="8">
        <f>financials[[#This Row],[Net Sales]]-financials[[#This Row],[COGS]]</f>
        <v>260</v>
      </c>
      <c r="L3275" s="15">
        <v>45371</v>
      </c>
      <c r="M3275" t="s">
        <v>690</v>
      </c>
    </row>
    <row r="3276" spans="1:13" x14ac:dyDescent="0.25">
      <c r="A3276" t="s">
        <v>88</v>
      </c>
      <c r="B3276" s="6" t="s">
        <v>93</v>
      </c>
      <c r="C3276" s="13">
        <v>105</v>
      </c>
      <c r="D3276" s="14" t="s">
        <v>83</v>
      </c>
      <c r="E3276">
        <v>6</v>
      </c>
      <c r="F3276" s="8">
        <f>VLOOKUP(financials[[#This Row],[productid]],Products!$B$2:$H$10,3)</f>
        <v>15</v>
      </c>
      <c r="G3276" s="8">
        <f>financials[[#This Row],[Units Sold]]*financials[[#This Row],[Sale Price]]</f>
        <v>90</v>
      </c>
      <c r="H3276" s="8">
        <f>IF(financials[[#This Row],[Discount Band]]="low",0.1,IF(financials[[#This Row],[Discount Band]]="medium",0.15,0.3))</f>
        <v>0.3</v>
      </c>
      <c r="I3276" s="8">
        <f>financials[[#This Row],[Gross Sales]]-financials[[#This Row],[Gross Sales]]*financials[[#This Row],[Discounts]]</f>
        <v>63</v>
      </c>
      <c r="J3276" s="8">
        <f>VLOOKUP(financials[[#This Row],[productid]],Products!$B$2:$H$10,4)</f>
        <v>10</v>
      </c>
      <c r="K3276" s="8">
        <f>financials[[#This Row],[Net Sales]]-financials[[#This Row],[COGS]]</f>
        <v>53</v>
      </c>
      <c r="L3276" s="15">
        <v>44369</v>
      </c>
      <c r="M3276" t="s">
        <v>697</v>
      </c>
    </row>
    <row r="3277" spans="1:13" x14ac:dyDescent="0.25">
      <c r="A3277" t="s">
        <v>89</v>
      </c>
      <c r="B3277" s="6" t="s">
        <v>159</v>
      </c>
      <c r="C3277" s="13">
        <v>102</v>
      </c>
      <c r="D3277" s="14" t="s">
        <v>83</v>
      </c>
      <c r="E3277">
        <v>7</v>
      </c>
      <c r="F3277" s="8">
        <f>VLOOKUP(financials[[#This Row],[productid]],Products!$B$2:$H$10,3)</f>
        <v>15</v>
      </c>
      <c r="G3277" s="8">
        <f>financials[[#This Row],[Units Sold]]*financials[[#This Row],[Sale Price]]</f>
        <v>105</v>
      </c>
      <c r="H3277" s="8">
        <f>IF(financials[[#This Row],[Discount Band]]="low",0.1,IF(financials[[#This Row],[Discount Band]]="medium",0.15,0.3))</f>
        <v>0.3</v>
      </c>
      <c r="I3277" s="8">
        <f>financials[[#This Row],[Gross Sales]]-financials[[#This Row],[Gross Sales]]*financials[[#This Row],[Discounts]]</f>
        <v>73.5</v>
      </c>
      <c r="J3277" s="8">
        <f>VLOOKUP(financials[[#This Row],[productid]],Products!$B$2:$H$10,4)</f>
        <v>13.95</v>
      </c>
      <c r="K3277" s="8">
        <f>financials[[#This Row],[Net Sales]]-financials[[#This Row],[COGS]]</f>
        <v>59.55</v>
      </c>
      <c r="L3277" s="15">
        <v>45561</v>
      </c>
      <c r="M3277" t="s">
        <v>691</v>
      </c>
    </row>
    <row r="3278" spans="1:13" x14ac:dyDescent="0.25">
      <c r="A3278" t="s">
        <v>86</v>
      </c>
      <c r="B3278" s="6" t="s">
        <v>124</v>
      </c>
      <c r="C3278" s="13">
        <v>104</v>
      </c>
      <c r="D3278" s="14" t="s">
        <v>90</v>
      </c>
      <c r="E3278">
        <v>9</v>
      </c>
      <c r="F3278" s="8">
        <f>VLOOKUP(financials[[#This Row],[productid]],Products!$B$2:$H$10,3)</f>
        <v>5.9</v>
      </c>
      <c r="G3278" s="8">
        <f>financials[[#This Row],[Units Sold]]*financials[[#This Row],[Sale Price]]</f>
        <v>53.1</v>
      </c>
      <c r="H3278" s="8">
        <f>IF(financials[[#This Row],[Discount Band]]="low",0.1,IF(financials[[#This Row],[Discount Band]]="medium",0.15,0.3))</f>
        <v>0.15</v>
      </c>
      <c r="I3278" s="8">
        <f>financials[[#This Row],[Gross Sales]]-financials[[#This Row],[Gross Sales]]*financials[[#This Row],[Discounts]]</f>
        <v>45.135000000000005</v>
      </c>
      <c r="J3278" s="8">
        <f>VLOOKUP(financials[[#This Row],[productid]],Products!$B$2:$H$10,4)</f>
        <v>2.9</v>
      </c>
      <c r="K3278" s="8">
        <f>financials[[#This Row],[Net Sales]]-financials[[#This Row],[COGS]]</f>
        <v>42.235000000000007</v>
      </c>
      <c r="L3278" s="15">
        <v>43859</v>
      </c>
      <c r="M3278" t="s">
        <v>696</v>
      </c>
    </row>
    <row r="3279" spans="1:13" x14ac:dyDescent="0.25">
      <c r="A3279" t="s">
        <v>86</v>
      </c>
      <c r="B3279" s="6" t="s">
        <v>274</v>
      </c>
      <c r="C3279" s="13">
        <v>109</v>
      </c>
      <c r="D3279" s="14" t="s">
        <v>91</v>
      </c>
      <c r="E3279">
        <v>5</v>
      </c>
      <c r="F3279" s="8">
        <f>VLOOKUP(financials[[#This Row],[productid]],Products!$B$2:$H$10,3)</f>
        <v>36</v>
      </c>
      <c r="G3279" s="8">
        <f>financials[[#This Row],[Units Sold]]*financials[[#This Row],[Sale Price]]</f>
        <v>180</v>
      </c>
      <c r="H3279" s="8">
        <f>IF(financials[[#This Row],[Discount Band]]="low",0.1,IF(financials[[#This Row],[Discount Band]]="medium",0.15,0.3))</f>
        <v>0.1</v>
      </c>
      <c r="I3279" s="8">
        <f>financials[[#This Row],[Gross Sales]]-financials[[#This Row],[Gross Sales]]*financials[[#This Row],[Discounts]]</f>
        <v>162</v>
      </c>
      <c r="J3279" s="8">
        <f>VLOOKUP(financials[[#This Row],[productid]],Products!$B$2:$H$10,4)</f>
        <v>16.8</v>
      </c>
      <c r="K3279" s="8">
        <f>financials[[#This Row],[Net Sales]]-financials[[#This Row],[COGS]]</f>
        <v>145.19999999999999</v>
      </c>
      <c r="L3279" s="15">
        <v>44979</v>
      </c>
      <c r="M3279" t="s">
        <v>696</v>
      </c>
    </row>
    <row r="3280" spans="1:13" x14ac:dyDescent="0.25">
      <c r="A3280" t="s">
        <v>86</v>
      </c>
      <c r="B3280" s="6" t="s">
        <v>96</v>
      </c>
      <c r="C3280" s="13">
        <v>106</v>
      </c>
      <c r="D3280" s="14" t="s">
        <v>83</v>
      </c>
      <c r="E3280">
        <v>12</v>
      </c>
      <c r="F3280" s="8">
        <f>VLOOKUP(financials[[#This Row],[productid]],Products!$B$2:$H$10,3)</f>
        <v>25</v>
      </c>
      <c r="G3280" s="8">
        <f>financials[[#This Row],[Units Sold]]*financials[[#This Row],[Sale Price]]</f>
        <v>300</v>
      </c>
      <c r="H3280" s="8">
        <f>IF(financials[[#This Row],[Discount Band]]="low",0.1,IF(financials[[#This Row],[Discount Band]]="medium",0.15,0.3))</f>
        <v>0.3</v>
      </c>
      <c r="I3280" s="8">
        <f>financials[[#This Row],[Gross Sales]]-financials[[#This Row],[Gross Sales]]*financials[[#This Row],[Discounts]]</f>
        <v>210</v>
      </c>
      <c r="J3280" s="8">
        <f>VLOOKUP(financials[[#This Row],[productid]],Products!$B$2:$H$10,4)</f>
        <v>9.1</v>
      </c>
      <c r="K3280" s="8">
        <f>financials[[#This Row],[Net Sales]]-financials[[#This Row],[COGS]]</f>
        <v>200.9</v>
      </c>
      <c r="L3280" s="15">
        <v>44898</v>
      </c>
      <c r="M3280" t="s">
        <v>700</v>
      </c>
    </row>
    <row r="3281" spans="1:13" x14ac:dyDescent="0.25">
      <c r="A3281" t="s">
        <v>85</v>
      </c>
      <c r="B3281" s="6" t="s">
        <v>124</v>
      </c>
      <c r="C3281" s="13">
        <v>103</v>
      </c>
      <c r="D3281" s="14" t="s">
        <v>91</v>
      </c>
      <c r="E3281">
        <v>20</v>
      </c>
      <c r="F3281" s="8">
        <f>VLOOKUP(financials[[#This Row],[productid]],Products!$B$2:$H$10,3)</f>
        <v>28</v>
      </c>
      <c r="G3281" s="8">
        <f>financials[[#This Row],[Units Sold]]*financials[[#This Row],[Sale Price]]</f>
        <v>560</v>
      </c>
      <c r="H3281" s="8">
        <f>IF(financials[[#This Row],[Discount Band]]="low",0.1,IF(financials[[#This Row],[Discount Band]]="medium",0.15,0.3))</f>
        <v>0.1</v>
      </c>
      <c r="I3281" s="8">
        <f>financials[[#This Row],[Gross Sales]]-financials[[#This Row],[Gross Sales]]*financials[[#This Row],[Discounts]]</f>
        <v>504</v>
      </c>
      <c r="J3281" s="8">
        <f>VLOOKUP(financials[[#This Row],[productid]],Products!$B$2:$H$10,4)</f>
        <v>15</v>
      </c>
      <c r="K3281" s="8">
        <f>financials[[#This Row],[Net Sales]]-financials[[#This Row],[COGS]]</f>
        <v>489</v>
      </c>
      <c r="L3281" s="15">
        <v>44917</v>
      </c>
      <c r="M3281" t="s">
        <v>691</v>
      </c>
    </row>
    <row r="3282" spans="1:13" x14ac:dyDescent="0.25">
      <c r="A3282" t="s">
        <v>89</v>
      </c>
      <c r="B3282" s="6" t="s">
        <v>159</v>
      </c>
      <c r="C3282" s="13">
        <v>107</v>
      </c>
      <c r="D3282" s="14" t="s">
        <v>83</v>
      </c>
      <c r="E3282">
        <v>12</v>
      </c>
      <c r="F3282" s="8">
        <f>VLOOKUP(financials[[#This Row],[productid]],Products!$B$2:$H$10,3)</f>
        <v>15</v>
      </c>
      <c r="G3282" s="8">
        <f>financials[[#This Row],[Units Sold]]*financials[[#This Row],[Sale Price]]</f>
        <v>180</v>
      </c>
      <c r="H3282" s="8">
        <f>IF(financials[[#This Row],[Discount Band]]="low",0.1,IF(financials[[#This Row],[Discount Band]]="medium",0.15,0.3))</f>
        <v>0.3</v>
      </c>
      <c r="I3282" s="8">
        <f>financials[[#This Row],[Gross Sales]]-financials[[#This Row],[Gross Sales]]*financials[[#This Row],[Discounts]]</f>
        <v>126</v>
      </c>
      <c r="J3282" s="8">
        <f>VLOOKUP(financials[[#This Row],[productid]],Products!$B$2:$H$10,4)</f>
        <v>5.5</v>
      </c>
      <c r="K3282" s="8">
        <f>financials[[#This Row],[Net Sales]]-financials[[#This Row],[COGS]]</f>
        <v>120.5</v>
      </c>
      <c r="L3282" s="15">
        <v>43973</v>
      </c>
      <c r="M3282" t="s">
        <v>690</v>
      </c>
    </row>
    <row r="3283" spans="1:13" x14ac:dyDescent="0.25">
      <c r="A3283" t="s">
        <v>86</v>
      </c>
      <c r="B3283" s="6" t="s">
        <v>159</v>
      </c>
      <c r="C3283" s="13">
        <v>104</v>
      </c>
      <c r="D3283" s="14" t="s">
        <v>90</v>
      </c>
      <c r="E3283">
        <v>17</v>
      </c>
      <c r="F3283" s="8">
        <f>VLOOKUP(financials[[#This Row],[productid]],Products!$B$2:$H$10,3)</f>
        <v>5.9</v>
      </c>
      <c r="G3283" s="8">
        <f>financials[[#This Row],[Units Sold]]*financials[[#This Row],[Sale Price]]</f>
        <v>100.30000000000001</v>
      </c>
      <c r="H3283" s="8">
        <f>IF(financials[[#This Row],[Discount Band]]="low",0.1,IF(financials[[#This Row],[Discount Band]]="medium",0.15,0.3))</f>
        <v>0.15</v>
      </c>
      <c r="I3283" s="8">
        <f>financials[[#This Row],[Gross Sales]]-financials[[#This Row],[Gross Sales]]*financials[[#This Row],[Discounts]]</f>
        <v>85.25500000000001</v>
      </c>
      <c r="J3283" s="8">
        <f>VLOOKUP(financials[[#This Row],[productid]],Products!$B$2:$H$10,4)</f>
        <v>2.9</v>
      </c>
      <c r="K3283" s="8">
        <f>financials[[#This Row],[Net Sales]]-financials[[#This Row],[COGS]]</f>
        <v>82.355000000000004</v>
      </c>
      <c r="L3283" s="15">
        <v>45572</v>
      </c>
      <c r="M3283" t="s">
        <v>697</v>
      </c>
    </row>
    <row r="3284" spans="1:13" x14ac:dyDescent="0.25">
      <c r="A3284" t="s">
        <v>86</v>
      </c>
      <c r="B3284" s="6" t="s">
        <v>124</v>
      </c>
      <c r="C3284" s="13">
        <v>102</v>
      </c>
      <c r="D3284" s="14" t="s">
        <v>90</v>
      </c>
      <c r="E3284">
        <v>5</v>
      </c>
      <c r="F3284" s="8">
        <f>VLOOKUP(financials[[#This Row],[productid]],Products!$B$2:$H$10,3)</f>
        <v>15</v>
      </c>
      <c r="G3284" s="8">
        <f>financials[[#This Row],[Units Sold]]*financials[[#This Row],[Sale Price]]</f>
        <v>75</v>
      </c>
      <c r="H3284" s="8">
        <f>IF(financials[[#This Row],[Discount Band]]="low",0.1,IF(financials[[#This Row],[Discount Band]]="medium",0.15,0.3))</f>
        <v>0.15</v>
      </c>
      <c r="I3284" s="8">
        <f>financials[[#This Row],[Gross Sales]]-financials[[#This Row],[Gross Sales]]*financials[[#This Row],[Discounts]]</f>
        <v>63.75</v>
      </c>
      <c r="J3284" s="8">
        <f>VLOOKUP(financials[[#This Row],[productid]],Products!$B$2:$H$10,4)</f>
        <v>13.95</v>
      </c>
      <c r="K3284" s="8">
        <f>financials[[#This Row],[Net Sales]]-financials[[#This Row],[COGS]]</f>
        <v>49.8</v>
      </c>
      <c r="L3284" s="15">
        <v>45143</v>
      </c>
      <c r="M3284" t="s">
        <v>696</v>
      </c>
    </row>
    <row r="3285" spans="1:13" x14ac:dyDescent="0.25">
      <c r="A3285" t="s">
        <v>85</v>
      </c>
      <c r="B3285" s="6" t="s">
        <v>124</v>
      </c>
      <c r="C3285" s="11">
        <v>103</v>
      </c>
      <c r="D3285" s="9" t="s">
        <v>91</v>
      </c>
      <c r="E3285">
        <v>12</v>
      </c>
      <c r="F3285" s="8">
        <f>VLOOKUP(financials[[#This Row],[productid]],Products!$B$2:$H$10,3)</f>
        <v>28</v>
      </c>
      <c r="G3285" s="8">
        <f>financials[[#This Row],[Units Sold]]*financials[[#This Row],[Sale Price]]</f>
        <v>336</v>
      </c>
      <c r="H3285" s="8">
        <f>IF(financials[[#This Row],[Discount Band]]="low",0.1,IF(financials[[#This Row],[Discount Band]]="medium",0.15,0.3))</f>
        <v>0.1</v>
      </c>
      <c r="I3285" s="8">
        <f>financials[[#This Row],[Gross Sales]]-financials[[#This Row],[Gross Sales]]*financials[[#This Row],[Discounts]]</f>
        <v>302.39999999999998</v>
      </c>
      <c r="J3285" s="8">
        <f>VLOOKUP(financials[[#This Row],[productid]],Products!$B$2:$H$10,4)</f>
        <v>15</v>
      </c>
      <c r="K3285" s="8">
        <f>financials[[#This Row],[Net Sales]]-financials[[#This Row],[COGS]]</f>
        <v>287.39999999999998</v>
      </c>
      <c r="L3285" s="15">
        <v>45461</v>
      </c>
      <c r="M3285" t="s">
        <v>697</v>
      </c>
    </row>
    <row r="3286" spans="1:13" x14ac:dyDescent="0.25">
      <c r="A3286" t="s">
        <v>88</v>
      </c>
      <c r="B3286" s="6" t="s">
        <v>287</v>
      </c>
      <c r="C3286" s="13">
        <v>106</v>
      </c>
      <c r="D3286" s="14" t="s">
        <v>90</v>
      </c>
      <c r="E3286">
        <v>14</v>
      </c>
      <c r="F3286" s="8">
        <f>VLOOKUP(financials[[#This Row],[productid]],Products!$B$2:$H$10,3)</f>
        <v>25</v>
      </c>
      <c r="G3286" s="8">
        <f>financials[[#This Row],[Units Sold]]*financials[[#This Row],[Sale Price]]</f>
        <v>350</v>
      </c>
      <c r="H3286" s="8">
        <f>IF(financials[[#This Row],[Discount Band]]="low",0.1,IF(financials[[#This Row],[Discount Band]]="medium",0.15,0.3))</f>
        <v>0.15</v>
      </c>
      <c r="I3286" s="8">
        <f>financials[[#This Row],[Gross Sales]]-financials[[#This Row],[Gross Sales]]*financials[[#This Row],[Discounts]]</f>
        <v>297.5</v>
      </c>
      <c r="J3286" s="8">
        <f>VLOOKUP(financials[[#This Row],[productid]],Products!$B$2:$H$10,4)</f>
        <v>9.1</v>
      </c>
      <c r="K3286" s="8">
        <f>financials[[#This Row],[Net Sales]]-financials[[#This Row],[COGS]]</f>
        <v>288.39999999999998</v>
      </c>
      <c r="L3286" s="15">
        <v>43906</v>
      </c>
      <c r="M3286" t="s">
        <v>691</v>
      </c>
    </row>
    <row r="3287" spans="1:13" x14ac:dyDescent="0.25">
      <c r="A3287" t="s">
        <v>88</v>
      </c>
      <c r="B3287" s="6" t="s">
        <v>617</v>
      </c>
      <c r="C3287" s="13">
        <v>101</v>
      </c>
      <c r="D3287" s="14" t="s">
        <v>90</v>
      </c>
      <c r="E3287">
        <v>9</v>
      </c>
      <c r="F3287" s="8">
        <f>VLOOKUP(financials[[#This Row],[productid]],Products!$B$2:$H$10,3)</f>
        <v>23</v>
      </c>
      <c r="G3287" s="8">
        <f>financials[[#This Row],[Units Sold]]*financials[[#This Row],[Sale Price]]</f>
        <v>207</v>
      </c>
      <c r="H3287" s="8">
        <f>IF(financials[[#This Row],[Discount Band]]="low",0.1,IF(financials[[#This Row],[Discount Band]]="medium",0.15,0.3))</f>
        <v>0.15</v>
      </c>
      <c r="I3287" s="8">
        <f>financials[[#This Row],[Gross Sales]]-financials[[#This Row],[Gross Sales]]*financials[[#This Row],[Discounts]]</f>
        <v>175.95</v>
      </c>
      <c r="J3287" s="8">
        <f>VLOOKUP(financials[[#This Row],[productid]],Products!$B$2:$H$10,4)</f>
        <v>9.9499999999999993</v>
      </c>
      <c r="K3287" s="8">
        <f>financials[[#This Row],[Net Sales]]-financials[[#This Row],[COGS]]</f>
        <v>166</v>
      </c>
      <c r="L3287" s="15">
        <v>45387</v>
      </c>
      <c r="M3287" t="s">
        <v>696</v>
      </c>
    </row>
    <row r="3288" spans="1:13" x14ac:dyDescent="0.25">
      <c r="A3288" t="s">
        <v>85</v>
      </c>
      <c r="B3288" s="6" t="s">
        <v>124</v>
      </c>
      <c r="C3288" s="13">
        <v>101</v>
      </c>
      <c r="D3288" s="14" t="s">
        <v>83</v>
      </c>
      <c r="E3288">
        <v>12</v>
      </c>
      <c r="F3288" s="8">
        <f>VLOOKUP(financials[[#This Row],[productid]],Products!$B$2:$H$10,3)</f>
        <v>23</v>
      </c>
      <c r="G3288" s="8">
        <f>financials[[#This Row],[Units Sold]]*financials[[#This Row],[Sale Price]]</f>
        <v>276</v>
      </c>
      <c r="H3288" s="8">
        <f>IF(financials[[#This Row],[Discount Band]]="low",0.1,IF(financials[[#This Row],[Discount Band]]="medium",0.15,0.3))</f>
        <v>0.3</v>
      </c>
      <c r="I3288" s="8">
        <f>financials[[#This Row],[Gross Sales]]-financials[[#This Row],[Gross Sales]]*financials[[#This Row],[Discounts]]</f>
        <v>193.2</v>
      </c>
      <c r="J3288" s="8">
        <f>VLOOKUP(financials[[#This Row],[productid]],Products!$B$2:$H$10,4)</f>
        <v>9.9499999999999993</v>
      </c>
      <c r="K3288" s="8">
        <f>financials[[#This Row],[Net Sales]]-financials[[#This Row],[COGS]]</f>
        <v>183.25</v>
      </c>
      <c r="L3288" s="15">
        <v>44572</v>
      </c>
      <c r="M3288" t="s">
        <v>697</v>
      </c>
    </row>
    <row r="3289" spans="1:13" x14ac:dyDescent="0.25">
      <c r="A3289" t="s">
        <v>86</v>
      </c>
      <c r="B3289" s="6" t="s">
        <v>645</v>
      </c>
      <c r="C3289" s="13">
        <v>108</v>
      </c>
      <c r="D3289" s="14" t="s">
        <v>83</v>
      </c>
      <c r="E3289">
        <v>10</v>
      </c>
      <c r="F3289" s="8">
        <f>VLOOKUP(financials[[#This Row],[productid]],Products!$B$2:$H$10,3)</f>
        <v>5.5</v>
      </c>
      <c r="G3289" s="8">
        <f>financials[[#This Row],[Units Sold]]*financials[[#This Row],[Sale Price]]</f>
        <v>55</v>
      </c>
      <c r="H3289" s="8">
        <f>IF(financials[[#This Row],[Discount Band]]="low",0.1,IF(financials[[#This Row],[Discount Band]]="medium",0.15,0.3))</f>
        <v>0.3</v>
      </c>
      <c r="I3289" s="8">
        <f>financials[[#This Row],[Gross Sales]]-financials[[#This Row],[Gross Sales]]*financials[[#This Row],[Discounts]]</f>
        <v>38.5</v>
      </c>
      <c r="J3289" s="8">
        <f>VLOOKUP(financials[[#This Row],[productid]],Products!$B$2:$H$10,4)</f>
        <v>3.99</v>
      </c>
      <c r="K3289" s="8">
        <f>financials[[#This Row],[Net Sales]]-financials[[#This Row],[COGS]]</f>
        <v>34.51</v>
      </c>
      <c r="L3289" s="15">
        <v>44721</v>
      </c>
      <c r="M3289" t="s">
        <v>700</v>
      </c>
    </row>
    <row r="3290" spans="1:13" x14ac:dyDescent="0.25">
      <c r="A3290" t="s">
        <v>86</v>
      </c>
      <c r="B3290" s="6" t="s">
        <v>266</v>
      </c>
      <c r="C3290" s="13">
        <v>101</v>
      </c>
      <c r="D3290" s="14" t="s">
        <v>91</v>
      </c>
      <c r="E3290">
        <v>14</v>
      </c>
      <c r="F3290" s="8">
        <f>VLOOKUP(financials[[#This Row],[productid]],Products!$B$2:$H$10,3)</f>
        <v>23</v>
      </c>
      <c r="G3290" s="8">
        <f>financials[[#This Row],[Units Sold]]*financials[[#This Row],[Sale Price]]</f>
        <v>322</v>
      </c>
      <c r="H3290" s="8">
        <f>IF(financials[[#This Row],[Discount Band]]="low",0.1,IF(financials[[#This Row],[Discount Band]]="medium",0.15,0.3))</f>
        <v>0.1</v>
      </c>
      <c r="I3290" s="8">
        <f>financials[[#This Row],[Gross Sales]]-financials[[#This Row],[Gross Sales]]*financials[[#This Row],[Discounts]]</f>
        <v>289.8</v>
      </c>
      <c r="J3290" s="8">
        <f>VLOOKUP(financials[[#This Row],[productid]],Products!$B$2:$H$10,4)</f>
        <v>9.9499999999999993</v>
      </c>
      <c r="K3290" s="8">
        <f>financials[[#This Row],[Net Sales]]-financials[[#This Row],[COGS]]</f>
        <v>279.85000000000002</v>
      </c>
      <c r="L3290" s="15">
        <v>44630</v>
      </c>
      <c r="M3290" t="s">
        <v>691</v>
      </c>
    </row>
    <row r="3291" spans="1:13" x14ac:dyDescent="0.25">
      <c r="A3291" t="s">
        <v>86</v>
      </c>
      <c r="B3291" s="6" t="s">
        <v>617</v>
      </c>
      <c r="C3291" s="13">
        <v>103</v>
      </c>
      <c r="D3291" s="14" t="s">
        <v>83</v>
      </c>
      <c r="E3291">
        <v>8</v>
      </c>
      <c r="F3291" s="8">
        <f>VLOOKUP(financials[[#This Row],[productid]],Products!$B$2:$H$10,3)</f>
        <v>28</v>
      </c>
      <c r="G3291" s="8">
        <f>financials[[#This Row],[Units Sold]]*financials[[#This Row],[Sale Price]]</f>
        <v>224</v>
      </c>
      <c r="H3291" s="8">
        <f>IF(financials[[#This Row],[Discount Band]]="low",0.1,IF(financials[[#This Row],[Discount Band]]="medium",0.15,0.3))</f>
        <v>0.3</v>
      </c>
      <c r="I3291" s="8">
        <f>financials[[#This Row],[Gross Sales]]-financials[[#This Row],[Gross Sales]]*financials[[#This Row],[Discounts]]</f>
        <v>156.80000000000001</v>
      </c>
      <c r="J3291" s="8">
        <f>VLOOKUP(financials[[#This Row],[productid]],Products!$B$2:$H$10,4)</f>
        <v>15</v>
      </c>
      <c r="K3291" s="8">
        <f>financials[[#This Row],[Net Sales]]-financials[[#This Row],[COGS]]</f>
        <v>141.80000000000001</v>
      </c>
      <c r="L3291" s="15">
        <v>44750</v>
      </c>
      <c r="M3291" t="s">
        <v>696</v>
      </c>
    </row>
    <row r="3292" spans="1:13" x14ac:dyDescent="0.25">
      <c r="A3292" t="s">
        <v>88</v>
      </c>
      <c r="B3292" s="6" t="s">
        <v>158</v>
      </c>
      <c r="C3292" s="11">
        <v>109</v>
      </c>
      <c r="D3292" s="9" t="s">
        <v>83</v>
      </c>
      <c r="E3292">
        <v>5</v>
      </c>
      <c r="F3292" s="8">
        <f>VLOOKUP(financials[[#This Row],[productid]],Products!$B$2:$H$10,3)</f>
        <v>36</v>
      </c>
      <c r="G3292" s="8">
        <f>financials[[#This Row],[Units Sold]]*financials[[#This Row],[Sale Price]]</f>
        <v>180</v>
      </c>
      <c r="H3292" s="8">
        <f>IF(financials[[#This Row],[Discount Band]]="low",0.1,IF(financials[[#This Row],[Discount Band]]="medium",0.15,0.3))</f>
        <v>0.3</v>
      </c>
      <c r="I3292" s="8">
        <f>financials[[#This Row],[Gross Sales]]-financials[[#This Row],[Gross Sales]]*financials[[#This Row],[Discounts]]</f>
        <v>126</v>
      </c>
      <c r="J3292" s="8">
        <f>VLOOKUP(financials[[#This Row],[productid]],Products!$B$2:$H$10,4)</f>
        <v>16.8</v>
      </c>
      <c r="K3292" s="8">
        <f>financials[[#This Row],[Net Sales]]-financials[[#This Row],[COGS]]</f>
        <v>109.2</v>
      </c>
      <c r="L3292" s="15">
        <v>45401</v>
      </c>
      <c r="M3292" t="s">
        <v>697</v>
      </c>
    </row>
    <row r="3293" spans="1:13" x14ac:dyDescent="0.25">
      <c r="A3293" t="s">
        <v>88</v>
      </c>
      <c r="B3293" s="6" t="s">
        <v>645</v>
      </c>
      <c r="C3293" s="13">
        <v>104</v>
      </c>
      <c r="D3293" s="14" t="s">
        <v>90</v>
      </c>
      <c r="E3293">
        <v>17</v>
      </c>
      <c r="F3293" s="8">
        <f>VLOOKUP(financials[[#This Row],[productid]],Products!$B$2:$H$10,3)</f>
        <v>5.9</v>
      </c>
      <c r="G3293" s="8">
        <f>financials[[#This Row],[Units Sold]]*financials[[#This Row],[Sale Price]]</f>
        <v>100.30000000000001</v>
      </c>
      <c r="H3293" s="8">
        <f>IF(financials[[#This Row],[Discount Band]]="low",0.1,IF(financials[[#This Row],[Discount Band]]="medium",0.15,0.3))</f>
        <v>0.15</v>
      </c>
      <c r="I3293" s="8">
        <f>financials[[#This Row],[Gross Sales]]-financials[[#This Row],[Gross Sales]]*financials[[#This Row],[Discounts]]</f>
        <v>85.25500000000001</v>
      </c>
      <c r="J3293" s="8">
        <f>VLOOKUP(financials[[#This Row],[productid]],Products!$B$2:$H$10,4)</f>
        <v>2.9</v>
      </c>
      <c r="K3293" s="8">
        <f>financials[[#This Row],[Net Sales]]-financials[[#This Row],[COGS]]</f>
        <v>82.355000000000004</v>
      </c>
      <c r="L3293" s="15">
        <v>43893</v>
      </c>
      <c r="M3293" t="s">
        <v>691</v>
      </c>
    </row>
    <row r="3294" spans="1:13" x14ac:dyDescent="0.25">
      <c r="A3294" t="s">
        <v>88</v>
      </c>
      <c r="B3294" s="6" t="s">
        <v>125</v>
      </c>
      <c r="C3294" s="13">
        <v>108</v>
      </c>
      <c r="D3294" s="14" t="s">
        <v>83</v>
      </c>
      <c r="E3294">
        <v>7</v>
      </c>
      <c r="F3294" s="8">
        <f>VLOOKUP(financials[[#This Row],[productid]],Products!$B$2:$H$10,3)</f>
        <v>5.5</v>
      </c>
      <c r="G3294" s="8">
        <f>financials[[#This Row],[Units Sold]]*financials[[#This Row],[Sale Price]]</f>
        <v>38.5</v>
      </c>
      <c r="H3294" s="8">
        <f>IF(financials[[#This Row],[Discount Band]]="low",0.1,IF(financials[[#This Row],[Discount Band]]="medium",0.15,0.3))</f>
        <v>0.3</v>
      </c>
      <c r="I3294" s="8">
        <f>financials[[#This Row],[Gross Sales]]-financials[[#This Row],[Gross Sales]]*financials[[#This Row],[Discounts]]</f>
        <v>26.950000000000003</v>
      </c>
      <c r="J3294" s="8">
        <f>VLOOKUP(financials[[#This Row],[productid]],Products!$B$2:$H$10,4)</f>
        <v>3.99</v>
      </c>
      <c r="K3294" s="8">
        <f>financials[[#This Row],[Net Sales]]-financials[[#This Row],[COGS]]</f>
        <v>22.96</v>
      </c>
      <c r="L3294" s="15">
        <v>44591</v>
      </c>
      <c r="M3294" t="s">
        <v>697</v>
      </c>
    </row>
    <row r="3295" spans="1:13" x14ac:dyDescent="0.25">
      <c r="A3295" t="s">
        <v>86</v>
      </c>
      <c r="B3295" s="6" t="s">
        <v>159</v>
      </c>
      <c r="C3295" s="13">
        <v>106</v>
      </c>
      <c r="D3295" s="14" t="s">
        <v>91</v>
      </c>
      <c r="E3295">
        <v>6</v>
      </c>
      <c r="F3295" s="8">
        <f>VLOOKUP(financials[[#This Row],[productid]],Products!$B$2:$H$10,3)</f>
        <v>25</v>
      </c>
      <c r="G3295" s="8">
        <f>financials[[#This Row],[Units Sold]]*financials[[#This Row],[Sale Price]]</f>
        <v>150</v>
      </c>
      <c r="H3295" s="8">
        <f>IF(financials[[#This Row],[Discount Band]]="low",0.1,IF(financials[[#This Row],[Discount Band]]="medium",0.15,0.3))</f>
        <v>0.1</v>
      </c>
      <c r="I3295" s="8">
        <f>financials[[#This Row],[Gross Sales]]-financials[[#This Row],[Gross Sales]]*financials[[#This Row],[Discounts]]</f>
        <v>135</v>
      </c>
      <c r="J3295" s="8">
        <f>VLOOKUP(financials[[#This Row],[productid]],Products!$B$2:$H$10,4)</f>
        <v>9.1</v>
      </c>
      <c r="K3295" s="8">
        <f>financials[[#This Row],[Net Sales]]-financials[[#This Row],[COGS]]</f>
        <v>125.9</v>
      </c>
      <c r="L3295" s="15">
        <v>44206</v>
      </c>
      <c r="M3295" t="s">
        <v>691</v>
      </c>
    </row>
    <row r="3296" spans="1:13" x14ac:dyDescent="0.25">
      <c r="A3296" t="s">
        <v>85</v>
      </c>
      <c r="B3296" s="6" t="s">
        <v>124</v>
      </c>
      <c r="C3296" s="11">
        <v>102</v>
      </c>
      <c r="D3296" s="9" t="s">
        <v>83</v>
      </c>
      <c r="E3296">
        <v>17</v>
      </c>
      <c r="F3296" s="8">
        <f>VLOOKUP(financials[[#This Row],[productid]],Products!$B$2:$H$10,3)</f>
        <v>15</v>
      </c>
      <c r="G3296" s="8">
        <f>financials[[#This Row],[Units Sold]]*financials[[#This Row],[Sale Price]]</f>
        <v>255</v>
      </c>
      <c r="H3296" s="8">
        <f>IF(financials[[#This Row],[Discount Band]]="low",0.1,IF(financials[[#This Row],[Discount Band]]="medium",0.15,0.3))</f>
        <v>0.3</v>
      </c>
      <c r="I3296" s="8">
        <f>financials[[#This Row],[Gross Sales]]-financials[[#This Row],[Gross Sales]]*financials[[#This Row],[Discounts]]</f>
        <v>178.5</v>
      </c>
      <c r="J3296" s="8">
        <f>VLOOKUP(financials[[#This Row],[productid]],Products!$B$2:$H$10,4)</f>
        <v>13.95</v>
      </c>
      <c r="K3296" s="8">
        <f>financials[[#This Row],[Net Sales]]-financials[[#This Row],[COGS]]</f>
        <v>164.55</v>
      </c>
      <c r="L3296" s="15">
        <v>45497</v>
      </c>
      <c r="M3296" t="s">
        <v>696</v>
      </c>
    </row>
    <row r="3297" spans="1:13" x14ac:dyDescent="0.25">
      <c r="A3297" t="s">
        <v>89</v>
      </c>
      <c r="B3297" s="6" t="s">
        <v>159</v>
      </c>
      <c r="C3297" s="13">
        <v>108</v>
      </c>
      <c r="D3297" s="14" t="s">
        <v>90</v>
      </c>
      <c r="E3297">
        <v>5</v>
      </c>
      <c r="F3297" s="8">
        <f>VLOOKUP(financials[[#This Row],[productid]],Products!$B$2:$H$10,3)</f>
        <v>5.5</v>
      </c>
      <c r="G3297" s="8">
        <f>financials[[#This Row],[Units Sold]]*financials[[#This Row],[Sale Price]]</f>
        <v>27.5</v>
      </c>
      <c r="H3297" s="8">
        <f>IF(financials[[#This Row],[Discount Band]]="low",0.1,IF(financials[[#This Row],[Discount Band]]="medium",0.15,0.3))</f>
        <v>0.15</v>
      </c>
      <c r="I3297" s="8">
        <f>financials[[#This Row],[Gross Sales]]-financials[[#This Row],[Gross Sales]]*financials[[#This Row],[Discounts]]</f>
        <v>23.375</v>
      </c>
      <c r="J3297" s="8">
        <f>VLOOKUP(financials[[#This Row],[productid]],Products!$B$2:$H$10,4)</f>
        <v>3.99</v>
      </c>
      <c r="K3297" s="8">
        <f>financials[[#This Row],[Net Sales]]-financials[[#This Row],[COGS]]</f>
        <v>19.384999999999998</v>
      </c>
      <c r="L3297" s="15">
        <v>44871</v>
      </c>
      <c r="M3297" t="s">
        <v>691</v>
      </c>
    </row>
    <row r="3298" spans="1:13" x14ac:dyDescent="0.25">
      <c r="A3298" t="s">
        <v>86</v>
      </c>
      <c r="B3298" s="6" t="s">
        <v>158</v>
      </c>
      <c r="C3298" s="13">
        <v>102</v>
      </c>
      <c r="D3298" s="14" t="s">
        <v>91</v>
      </c>
      <c r="E3298">
        <v>10</v>
      </c>
      <c r="F3298" s="8">
        <f>VLOOKUP(financials[[#This Row],[productid]],Products!$B$2:$H$10,3)</f>
        <v>15</v>
      </c>
      <c r="G3298" s="8">
        <f>financials[[#This Row],[Units Sold]]*financials[[#This Row],[Sale Price]]</f>
        <v>150</v>
      </c>
      <c r="H3298" s="8">
        <f>IF(financials[[#This Row],[Discount Band]]="low",0.1,IF(financials[[#This Row],[Discount Band]]="medium",0.15,0.3))</f>
        <v>0.1</v>
      </c>
      <c r="I3298" s="8">
        <f>financials[[#This Row],[Gross Sales]]-financials[[#This Row],[Gross Sales]]*financials[[#This Row],[Discounts]]</f>
        <v>135</v>
      </c>
      <c r="J3298" s="8">
        <f>VLOOKUP(financials[[#This Row],[productid]],Products!$B$2:$H$10,4)</f>
        <v>13.95</v>
      </c>
      <c r="K3298" s="8">
        <f>financials[[#This Row],[Net Sales]]-financials[[#This Row],[COGS]]</f>
        <v>121.05</v>
      </c>
      <c r="L3298" s="15">
        <v>45202</v>
      </c>
      <c r="M3298" t="s">
        <v>696</v>
      </c>
    </row>
    <row r="3299" spans="1:13" x14ac:dyDescent="0.25">
      <c r="A3299" t="s">
        <v>86</v>
      </c>
      <c r="B3299" s="6" t="s">
        <v>617</v>
      </c>
      <c r="C3299" s="13">
        <v>105</v>
      </c>
      <c r="D3299" s="14" t="s">
        <v>90</v>
      </c>
      <c r="E3299">
        <v>7</v>
      </c>
      <c r="F3299" s="8">
        <f>VLOOKUP(financials[[#This Row],[productid]],Products!$B$2:$H$10,3)</f>
        <v>15</v>
      </c>
      <c r="G3299" s="8">
        <f>financials[[#This Row],[Units Sold]]*financials[[#This Row],[Sale Price]]</f>
        <v>105</v>
      </c>
      <c r="H3299" s="8">
        <f>IF(financials[[#This Row],[Discount Band]]="low",0.1,IF(financials[[#This Row],[Discount Band]]="medium",0.15,0.3))</f>
        <v>0.15</v>
      </c>
      <c r="I3299" s="8">
        <f>financials[[#This Row],[Gross Sales]]-financials[[#This Row],[Gross Sales]]*financials[[#This Row],[Discounts]]</f>
        <v>89.25</v>
      </c>
      <c r="J3299" s="8">
        <f>VLOOKUP(financials[[#This Row],[productid]],Products!$B$2:$H$10,4)</f>
        <v>10</v>
      </c>
      <c r="K3299" s="8">
        <f>financials[[#This Row],[Net Sales]]-financials[[#This Row],[COGS]]</f>
        <v>79.25</v>
      </c>
      <c r="L3299" s="15">
        <v>44840</v>
      </c>
      <c r="M3299" t="s">
        <v>691</v>
      </c>
    </row>
    <row r="3300" spans="1:13" x14ac:dyDescent="0.25">
      <c r="A3300" t="s">
        <v>86</v>
      </c>
      <c r="B3300" s="6" t="s">
        <v>125</v>
      </c>
      <c r="C3300" s="13">
        <v>109</v>
      </c>
      <c r="D3300" s="14" t="s">
        <v>91</v>
      </c>
      <c r="E3300">
        <v>19</v>
      </c>
      <c r="F3300" s="8">
        <f>VLOOKUP(financials[[#This Row],[productid]],Products!$B$2:$H$10,3)</f>
        <v>36</v>
      </c>
      <c r="G3300" s="8">
        <f>financials[[#This Row],[Units Sold]]*financials[[#This Row],[Sale Price]]</f>
        <v>684</v>
      </c>
      <c r="H3300" s="8">
        <f>IF(financials[[#This Row],[Discount Band]]="low",0.1,IF(financials[[#This Row],[Discount Band]]="medium",0.15,0.3))</f>
        <v>0.1</v>
      </c>
      <c r="I3300" s="8">
        <f>financials[[#This Row],[Gross Sales]]-financials[[#This Row],[Gross Sales]]*financials[[#This Row],[Discounts]]</f>
        <v>615.6</v>
      </c>
      <c r="J3300" s="8">
        <f>VLOOKUP(financials[[#This Row],[productid]],Products!$B$2:$H$10,4)</f>
        <v>16.8</v>
      </c>
      <c r="K3300" s="8">
        <f>financials[[#This Row],[Net Sales]]-financials[[#This Row],[COGS]]</f>
        <v>598.80000000000007</v>
      </c>
      <c r="L3300" s="15">
        <v>44892</v>
      </c>
      <c r="M3300" t="s">
        <v>696</v>
      </c>
    </row>
    <row r="3301" spans="1:13" x14ac:dyDescent="0.25">
      <c r="A3301" t="s">
        <v>88</v>
      </c>
      <c r="B3301" s="6" t="s">
        <v>545</v>
      </c>
      <c r="C3301" s="13">
        <v>108</v>
      </c>
      <c r="D3301" s="14" t="s">
        <v>92</v>
      </c>
      <c r="E3301">
        <v>5</v>
      </c>
      <c r="F3301" s="8">
        <f>VLOOKUP(financials[[#This Row],[productid]],Products!$B$2:$H$10,3)</f>
        <v>5.5</v>
      </c>
      <c r="G3301" s="8">
        <f>financials[[#This Row],[Units Sold]]*financials[[#This Row],[Sale Price]]</f>
        <v>27.5</v>
      </c>
      <c r="H3301" s="8">
        <f>IF(financials[[#This Row],[Discount Band]]="low",0.1,IF(financials[[#This Row],[Discount Band]]="medium",0.15,0.3))</f>
        <v>0.3</v>
      </c>
      <c r="I3301" s="8">
        <f>financials[[#This Row],[Gross Sales]]-financials[[#This Row],[Gross Sales]]*financials[[#This Row],[Discounts]]</f>
        <v>19.25</v>
      </c>
      <c r="J3301" s="8">
        <f>VLOOKUP(financials[[#This Row],[productid]],Products!$B$2:$H$10,4)</f>
        <v>3.99</v>
      </c>
      <c r="K3301" s="8">
        <f>financials[[#This Row],[Net Sales]]-financials[[#This Row],[COGS]]</f>
        <v>15.26</v>
      </c>
      <c r="L3301" s="15">
        <v>44895</v>
      </c>
      <c r="M3301" t="s">
        <v>697</v>
      </c>
    </row>
    <row r="3302" spans="1:13" x14ac:dyDescent="0.25">
      <c r="A3302" t="s">
        <v>89</v>
      </c>
      <c r="B3302" s="6" t="s">
        <v>159</v>
      </c>
      <c r="C3302" s="11">
        <v>104</v>
      </c>
      <c r="D3302" s="9" t="s">
        <v>91</v>
      </c>
      <c r="E3302">
        <v>15</v>
      </c>
      <c r="F3302" s="8">
        <f>VLOOKUP(financials[[#This Row],[productid]],Products!$B$2:$H$10,3)</f>
        <v>5.9</v>
      </c>
      <c r="G3302" s="8">
        <f>financials[[#This Row],[Units Sold]]*financials[[#This Row],[Sale Price]]</f>
        <v>88.5</v>
      </c>
      <c r="H3302" s="8">
        <f>IF(financials[[#This Row],[Discount Band]]="low",0.1,IF(financials[[#This Row],[Discount Band]]="medium",0.15,0.3))</f>
        <v>0.1</v>
      </c>
      <c r="I3302" s="8">
        <f>financials[[#This Row],[Gross Sales]]-financials[[#This Row],[Gross Sales]]*financials[[#This Row],[Discounts]]</f>
        <v>79.650000000000006</v>
      </c>
      <c r="J3302" s="8">
        <f>VLOOKUP(financials[[#This Row],[productid]],Products!$B$2:$H$10,4)</f>
        <v>2.9</v>
      </c>
      <c r="K3302" s="8">
        <f>financials[[#This Row],[Net Sales]]-financials[[#This Row],[COGS]]</f>
        <v>76.75</v>
      </c>
      <c r="L3302" s="15">
        <v>44254</v>
      </c>
      <c r="M3302" t="s">
        <v>697</v>
      </c>
    </row>
    <row r="3303" spans="1:13" x14ac:dyDescent="0.25">
      <c r="A3303" t="s">
        <v>87</v>
      </c>
      <c r="B3303" s="6" t="s">
        <v>268</v>
      </c>
      <c r="C3303" s="13">
        <v>105</v>
      </c>
      <c r="D3303" s="14" t="s">
        <v>91</v>
      </c>
      <c r="E3303">
        <v>10</v>
      </c>
      <c r="F3303" s="8">
        <f>VLOOKUP(financials[[#This Row],[productid]],Products!$B$2:$H$10,3)</f>
        <v>15</v>
      </c>
      <c r="G3303" s="8">
        <f>financials[[#This Row],[Units Sold]]*financials[[#This Row],[Sale Price]]</f>
        <v>150</v>
      </c>
      <c r="H3303" s="8">
        <f>IF(financials[[#This Row],[Discount Band]]="low",0.1,IF(financials[[#This Row],[Discount Band]]="medium",0.15,0.3))</f>
        <v>0.1</v>
      </c>
      <c r="I3303" s="8">
        <f>financials[[#This Row],[Gross Sales]]-financials[[#This Row],[Gross Sales]]*financials[[#This Row],[Discounts]]</f>
        <v>135</v>
      </c>
      <c r="J3303" s="8">
        <f>VLOOKUP(financials[[#This Row],[productid]],Products!$B$2:$H$10,4)</f>
        <v>10</v>
      </c>
      <c r="K3303" s="8">
        <f>financials[[#This Row],[Net Sales]]-financials[[#This Row],[COGS]]</f>
        <v>125</v>
      </c>
      <c r="L3303" s="15">
        <v>44070</v>
      </c>
      <c r="M3303" t="s">
        <v>696</v>
      </c>
    </row>
    <row r="3304" spans="1:13" x14ac:dyDescent="0.25">
      <c r="A3304" t="s">
        <v>85</v>
      </c>
      <c r="B3304" s="6" t="s">
        <v>124</v>
      </c>
      <c r="C3304" s="13">
        <v>106</v>
      </c>
      <c r="D3304" s="14" t="s">
        <v>83</v>
      </c>
      <c r="E3304">
        <v>19</v>
      </c>
      <c r="F3304" s="8">
        <f>VLOOKUP(financials[[#This Row],[productid]],Products!$B$2:$H$10,3)</f>
        <v>25</v>
      </c>
      <c r="G3304" s="8">
        <f>financials[[#This Row],[Units Sold]]*financials[[#This Row],[Sale Price]]</f>
        <v>475</v>
      </c>
      <c r="H3304" s="8">
        <f>IF(financials[[#This Row],[Discount Band]]="low",0.1,IF(financials[[#This Row],[Discount Band]]="medium",0.15,0.3))</f>
        <v>0.3</v>
      </c>
      <c r="I3304" s="8">
        <f>financials[[#This Row],[Gross Sales]]-financials[[#This Row],[Gross Sales]]*financials[[#This Row],[Discounts]]</f>
        <v>332.5</v>
      </c>
      <c r="J3304" s="8">
        <f>VLOOKUP(financials[[#This Row],[productid]],Products!$B$2:$H$10,4)</f>
        <v>9.1</v>
      </c>
      <c r="K3304" s="8">
        <f>financials[[#This Row],[Net Sales]]-financials[[#This Row],[COGS]]</f>
        <v>323.39999999999998</v>
      </c>
      <c r="L3304" s="15">
        <v>44151</v>
      </c>
      <c r="M3304" t="s">
        <v>691</v>
      </c>
    </row>
    <row r="3305" spans="1:13" x14ac:dyDescent="0.25">
      <c r="A3305" t="s">
        <v>86</v>
      </c>
      <c r="B3305" s="6" t="s">
        <v>159</v>
      </c>
      <c r="C3305" s="11">
        <v>102</v>
      </c>
      <c r="D3305" s="9" t="s">
        <v>91</v>
      </c>
      <c r="E3305">
        <v>17</v>
      </c>
      <c r="F3305" s="8">
        <f>VLOOKUP(financials[[#This Row],[productid]],Products!$B$2:$H$10,3)</f>
        <v>15</v>
      </c>
      <c r="G3305" s="8">
        <f>financials[[#This Row],[Units Sold]]*financials[[#This Row],[Sale Price]]</f>
        <v>255</v>
      </c>
      <c r="H3305" s="8">
        <f>IF(financials[[#This Row],[Discount Band]]="low",0.1,IF(financials[[#This Row],[Discount Band]]="medium",0.15,0.3))</f>
        <v>0.1</v>
      </c>
      <c r="I3305" s="8">
        <f>financials[[#This Row],[Gross Sales]]-financials[[#This Row],[Gross Sales]]*financials[[#This Row],[Discounts]]</f>
        <v>229.5</v>
      </c>
      <c r="J3305" s="8">
        <f>VLOOKUP(financials[[#This Row],[productid]],Products!$B$2:$H$10,4)</f>
        <v>13.95</v>
      </c>
      <c r="K3305" s="8">
        <f>financials[[#This Row],[Net Sales]]-financials[[#This Row],[COGS]]</f>
        <v>215.55</v>
      </c>
      <c r="L3305" s="15">
        <v>43860</v>
      </c>
      <c r="M3305" t="s">
        <v>690</v>
      </c>
    </row>
    <row r="3306" spans="1:13" x14ac:dyDescent="0.25">
      <c r="A3306" t="s">
        <v>86</v>
      </c>
      <c r="B3306" s="6" t="s">
        <v>240</v>
      </c>
      <c r="C3306" s="11">
        <v>105</v>
      </c>
      <c r="D3306" s="9" t="s">
        <v>91</v>
      </c>
      <c r="E3306">
        <v>16</v>
      </c>
      <c r="F3306" s="8">
        <f>VLOOKUP(financials[[#This Row],[productid]],Products!$B$2:$H$10,3)</f>
        <v>15</v>
      </c>
      <c r="G3306" s="8">
        <f>financials[[#This Row],[Units Sold]]*financials[[#This Row],[Sale Price]]</f>
        <v>240</v>
      </c>
      <c r="H3306" s="8">
        <f>IF(financials[[#This Row],[Discount Band]]="low",0.1,IF(financials[[#This Row],[Discount Band]]="medium",0.15,0.3))</f>
        <v>0.1</v>
      </c>
      <c r="I3306" s="8">
        <f>financials[[#This Row],[Gross Sales]]-financials[[#This Row],[Gross Sales]]*financials[[#This Row],[Discounts]]</f>
        <v>216</v>
      </c>
      <c r="J3306" s="8">
        <f>VLOOKUP(financials[[#This Row],[productid]],Products!$B$2:$H$10,4)</f>
        <v>10</v>
      </c>
      <c r="K3306" s="8">
        <f>financials[[#This Row],[Net Sales]]-financials[[#This Row],[COGS]]</f>
        <v>206</v>
      </c>
      <c r="L3306" s="15">
        <v>44235</v>
      </c>
      <c r="M3306" t="s">
        <v>696</v>
      </c>
    </row>
    <row r="3307" spans="1:13" x14ac:dyDescent="0.25">
      <c r="A3307" t="s">
        <v>86</v>
      </c>
      <c r="B3307" s="6" t="s">
        <v>240</v>
      </c>
      <c r="C3307" s="13">
        <v>108</v>
      </c>
      <c r="D3307" s="14" t="s">
        <v>83</v>
      </c>
      <c r="E3307">
        <v>20</v>
      </c>
      <c r="F3307" s="8">
        <f>VLOOKUP(financials[[#This Row],[productid]],Products!$B$2:$H$10,3)</f>
        <v>5.5</v>
      </c>
      <c r="G3307" s="8">
        <f>financials[[#This Row],[Units Sold]]*financials[[#This Row],[Sale Price]]</f>
        <v>110</v>
      </c>
      <c r="H3307" s="8">
        <f>IF(financials[[#This Row],[Discount Band]]="low",0.1,IF(financials[[#This Row],[Discount Band]]="medium",0.15,0.3))</f>
        <v>0.3</v>
      </c>
      <c r="I3307" s="8">
        <f>financials[[#This Row],[Gross Sales]]-financials[[#This Row],[Gross Sales]]*financials[[#This Row],[Discounts]]</f>
        <v>77</v>
      </c>
      <c r="J3307" s="8">
        <f>VLOOKUP(financials[[#This Row],[productid]],Products!$B$2:$H$10,4)</f>
        <v>3.99</v>
      </c>
      <c r="K3307" s="8">
        <f>financials[[#This Row],[Net Sales]]-financials[[#This Row],[COGS]]</f>
        <v>73.010000000000005</v>
      </c>
      <c r="L3307" s="15">
        <v>44656</v>
      </c>
      <c r="M3307" t="s">
        <v>690</v>
      </c>
    </row>
    <row r="3308" spans="1:13" x14ac:dyDescent="0.25">
      <c r="A3308" t="s">
        <v>86</v>
      </c>
      <c r="B3308" s="6" t="s">
        <v>617</v>
      </c>
      <c r="C3308" s="13">
        <v>106</v>
      </c>
      <c r="D3308" s="14" t="s">
        <v>83</v>
      </c>
      <c r="E3308">
        <v>20</v>
      </c>
      <c r="F3308" s="8">
        <f>VLOOKUP(financials[[#This Row],[productid]],Products!$B$2:$H$10,3)</f>
        <v>25</v>
      </c>
      <c r="G3308" s="8">
        <f>financials[[#This Row],[Units Sold]]*financials[[#This Row],[Sale Price]]</f>
        <v>500</v>
      </c>
      <c r="H3308" s="8">
        <f>IF(financials[[#This Row],[Discount Band]]="low",0.1,IF(financials[[#This Row],[Discount Band]]="medium",0.15,0.3))</f>
        <v>0.3</v>
      </c>
      <c r="I3308" s="8">
        <f>financials[[#This Row],[Gross Sales]]-financials[[#This Row],[Gross Sales]]*financials[[#This Row],[Discounts]]</f>
        <v>350</v>
      </c>
      <c r="J3308" s="8">
        <f>VLOOKUP(financials[[#This Row],[productid]],Products!$B$2:$H$10,4)</f>
        <v>9.1</v>
      </c>
      <c r="K3308" s="8">
        <f>financials[[#This Row],[Net Sales]]-financials[[#This Row],[COGS]]</f>
        <v>340.9</v>
      </c>
      <c r="L3308" s="15">
        <v>45480</v>
      </c>
      <c r="M3308" t="s">
        <v>700</v>
      </c>
    </row>
    <row r="3309" spans="1:13" x14ac:dyDescent="0.25">
      <c r="A3309" t="s">
        <v>86</v>
      </c>
      <c r="B3309" s="6" t="s">
        <v>645</v>
      </c>
      <c r="C3309" s="13">
        <v>107</v>
      </c>
      <c r="D3309" s="14" t="s">
        <v>91</v>
      </c>
      <c r="E3309">
        <v>5</v>
      </c>
      <c r="F3309" s="8">
        <f>VLOOKUP(financials[[#This Row],[productid]],Products!$B$2:$H$10,3)</f>
        <v>15</v>
      </c>
      <c r="G3309" s="8">
        <f>financials[[#This Row],[Units Sold]]*financials[[#This Row],[Sale Price]]</f>
        <v>75</v>
      </c>
      <c r="H3309" s="8">
        <f>IF(financials[[#This Row],[Discount Band]]="low",0.1,IF(financials[[#This Row],[Discount Band]]="medium",0.15,0.3))</f>
        <v>0.1</v>
      </c>
      <c r="I3309" s="8">
        <f>financials[[#This Row],[Gross Sales]]-financials[[#This Row],[Gross Sales]]*financials[[#This Row],[Discounts]]</f>
        <v>67.5</v>
      </c>
      <c r="J3309" s="8">
        <f>VLOOKUP(financials[[#This Row],[productid]],Products!$B$2:$H$10,4)</f>
        <v>5.5</v>
      </c>
      <c r="K3309" s="8">
        <f>financials[[#This Row],[Net Sales]]-financials[[#This Row],[COGS]]</f>
        <v>62</v>
      </c>
      <c r="L3309" s="15">
        <v>44215</v>
      </c>
      <c r="M3309" t="s">
        <v>696</v>
      </c>
    </row>
    <row r="3310" spans="1:13" x14ac:dyDescent="0.25">
      <c r="A3310" t="s">
        <v>88</v>
      </c>
      <c r="B3310" s="6" t="s">
        <v>93</v>
      </c>
      <c r="C3310" s="13">
        <v>105</v>
      </c>
      <c r="D3310" s="14" t="s">
        <v>90</v>
      </c>
      <c r="E3310">
        <v>18</v>
      </c>
      <c r="F3310" s="8">
        <f>VLOOKUP(financials[[#This Row],[productid]],Products!$B$2:$H$10,3)</f>
        <v>15</v>
      </c>
      <c r="G3310" s="8">
        <f>financials[[#This Row],[Units Sold]]*financials[[#This Row],[Sale Price]]</f>
        <v>270</v>
      </c>
      <c r="H3310" s="8">
        <f>IF(financials[[#This Row],[Discount Band]]="low",0.1,IF(financials[[#This Row],[Discount Band]]="medium",0.15,0.3))</f>
        <v>0.15</v>
      </c>
      <c r="I3310" s="8">
        <f>financials[[#This Row],[Gross Sales]]-financials[[#This Row],[Gross Sales]]*financials[[#This Row],[Discounts]]</f>
        <v>229.5</v>
      </c>
      <c r="J3310" s="8">
        <f>VLOOKUP(financials[[#This Row],[productid]],Products!$B$2:$H$10,4)</f>
        <v>10</v>
      </c>
      <c r="K3310" s="8">
        <f>financials[[#This Row],[Net Sales]]-financials[[#This Row],[COGS]]</f>
        <v>219.5</v>
      </c>
      <c r="L3310" s="15">
        <v>45025</v>
      </c>
      <c r="M3310" t="s">
        <v>696</v>
      </c>
    </row>
    <row r="3311" spans="1:13" x14ac:dyDescent="0.25">
      <c r="A3311" t="s">
        <v>89</v>
      </c>
      <c r="B3311" s="6" t="s">
        <v>124</v>
      </c>
      <c r="C3311" s="11">
        <v>102</v>
      </c>
      <c r="D3311" s="9" t="s">
        <v>83</v>
      </c>
      <c r="E3311">
        <v>11</v>
      </c>
      <c r="F3311" s="8">
        <f>VLOOKUP(financials[[#This Row],[productid]],Products!$B$2:$H$10,3)</f>
        <v>15</v>
      </c>
      <c r="G3311" s="8">
        <f>financials[[#This Row],[Units Sold]]*financials[[#This Row],[Sale Price]]</f>
        <v>165</v>
      </c>
      <c r="H3311" s="8">
        <f>IF(financials[[#This Row],[Discount Band]]="low",0.1,IF(financials[[#This Row],[Discount Band]]="medium",0.15,0.3))</f>
        <v>0.3</v>
      </c>
      <c r="I3311" s="8">
        <f>financials[[#This Row],[Gross Sales]]-financials[[#This Row],[Gross Sales]]*financials[[#This Row],[Discounts]]</f>
        <v>115.5</v>
      </c>
      <c r="J3311" s="8">
        <f>VLOOKUP(financials[[#This Row],[productid]],Products!$B$2:$H$10,4)</f>
        <v>13.95</v>
      </c>
      <c r="K3311" s="8">
        <f>financials[[#This Row],[Net Sales]]-financials[[#This Row],[COGS]]</f>
        <v>101.55</v>
      </c>
      <c r="L3311" s="15">
        <v>44647</v>
      </c>
      <c r="M3311" t="s">
        <v>697</v>
      </c>
    </row>
    <row r="3312" spans="1:13" x14ac:dyDescent="0.25">
      <c r="A3312" t="s">
        <v>87</v>
      </c>
      <c r="B3312" s="6" t="s">
        <v>198</v>
      </c>
      <c r="C3312" s="13">
        <v>103</v>
      </c>
      <c r="D3312" s="14" t="s">
        <v>92</v>
      </c>
      <c r="E3312">
        <v>12</v>
      </c>
      <c r="F3312" s="8">
        <f>VLOOKUP(financials[[#This Row],[productid]],Products!$B$2:$H$10,3)</f>
        <v>28</v>
      </c>
      <c r="G3312" s="8">
        <f>financials[[#This Row],[Units Sold]]*financials[[#This Row],[Sale Price]]</f>
        <v>336</v>
      </c>
      <c r="H3312" s="8">
        <f>IF(financials[[#This Row],[Discount Band]]="low",0.1,IF(financials[[#This Row],[Discount Band]]="medium",0.15,0.3))</f>
        <v>0.3</v>
      </c>
      <c r="I3312" s="8">
        <f>financials[[#This Row],[Gross Sales]]-financials[[#This Row],[Gross Sales]]*financials[[#This Row],[Discounts]]</f>
        <v>235.2</v>
      </c>
      <c r="J3312" s="8">
        <f>VLOOKUP(financials[[#This Row],[productid]],Products!$B$2:$H$10,4)</f>
        <v>15</v>
      </c>
      <c r="K3312" s="8">
        <f>financials[[#This Row],[Net Sales]]-financials[[#This Row],[COGS]]</f>
        <v>220.2</v>
      </c>
      <c r="L3312" s="15">
        <v>45193</v>
      </c>
      <c r="M3312" t="s">
        <v>700</v>
      </c>
    </row>
    <row r="3313" spans="1:13" x14ac:dyDescent="0.25">
      <c r="A3313" t="s">
        <v>86</v>
      </c>
      <c r="B3313" s="6" t="s">
        <v>287</v>
      </c>
      <c r="C3313" s="11">
        <v>101</v>
      </c>
      <c r="D3313" s="9" t="s">
        <v>91</v>
      </c>
      <c r="E3313">
        <v>18</v>
      </c>
      <c r="F3313" s="8">
        <f>VLOOKUP(financials[[#This Row],[productid]],Products!$B$2:$H$10,3)</f>
        <v>23</v>
      </c>
      <c r="G3313" s="8">
        <f>financials[[#This Row],[Units Sold]]*financials[[#This Row],[Sale Price]]</f>
        <v>414</v>
      </c>
      <c r="H3313" s="8">
        <f>IF(financials[[#This Row],[Discount Band]]="low",0.1,IF(financials[[#This Row],[Discount Band]]="medium",0.15,0.3))</f>
        <v>0.1</v>
      </c>
      <c r="I3313" s="8">
        <f>financials[[#This Row],[Gross Sales]]-financials[[#This Row],[Gross Sales]]*financials[[#This Row],[Discounts]]</f>
        <v>372.6</v>
      </c>
      <c r="J3313" s="8">
        <f>VLOOKUP(financials[[#This Row],[productid]],Products!$B$2:$H$10,4)</f>
        <v>9.9499999999999993</v>
      </c>
      <c r="K3313" s="8">
        <f>financials[[#This Row],[Net Sales]]-financials[[#This Row],[COGS]]</f>
        <v>362.65000000000003</v>
      </c>
      <c r="L3313" s="15">
        <v>44130</v>
      </c>
      <c r="M3313" t="s">
        <v>691</v>
      </c>
    </row>
    <row r="3314" spans="1:13" x14ac:dyDescent="0.25">
      <c r="A3314" t="s">
        <v>86</v>
      </c>
      <c r="B3314" s="6" t="s">
        <v>159</v>
      </c>
      <c r="C3314" s="13">
        <v>108</v>
      </c>
      <c r="D3314" s="14" t="s">
        <v>90</v>
      </c>
      <c r="E3314">
        <v>7</v>
      </c>
      <c r="F3314" s="8">
        <f>VLOOKUP(financials[[#This Row],[productid]],Products!$B$2:$H$10,3)</f>
        <v>5.5</v>
      </c>
      <c r="G3314" s="8">
        <f>financials[[#This Row],[Units Sold]]*financials[[#This Row],[Sale Price]]</f>
        <v>38.5</v>
      </c>
      <c r="H3314" s="8">
        <f>IF(financials[[#This Row],[Discount Band]]="low",0.1,IF(financials[[#This Row],[Discount Band]]="medium",0.15,0.3))</f>
        <v>0.15</v>
      </c>
      <c r="I3314" s="8">
        <f>financials[[#This Row],[Gross Sales]]-financials[[#This Row],[Gross Sales]]*financials[[#This Row],[Discounts]]</f>
        <v>32.725000000000001</v>
      </c>
      <c r="J3314" s="8">
        <f>VLOOKUP(financials[[#This Row],[productid]],Products!$B$2:$H$10,4)</f>
        <v>3.99</v>
      </c>
      <c r="K3314" s="8">
        <f>financials[[#This Row],[Net Sales]]-financials[[#This Row],[COGS]]</f>
        <v>28.734999999999999</v>
      </c>
      <c r="L3314" s="15">
        <v>44668</v>
      </c>
      <c r="M3314" t="s">
        <v>700</v>
      </c>
    </row>
    <row r="3315" spans="1:13" x14ac:dyDescent="0.25">
      <c r="A3315" t="s">
        <v>87</v>
      </c>
      <c r="B3315" s="6" t="s">
        <v>94</v>
      </c>
      <c r="C3315" s="13">
        <v>103</v>
      </c>
      <c r="D3315" s="14" t="s">
        <v>92</v>
      </c>
      <c r="E3315">
        <v>11</v>
      </c>
      <c r="F3315" s="8">
        <f>VLOOKUP(financials[[#This Row],[productid]],Products!$B$2:$H$10,3)</f>
        <v>28</v>
      </c>
      <c r="G3315" s="8">
        <f>financials[[#This Row],[Units Sold]]*financials[[#This Row],[Sale Price]]</f>
        <v>308</v>
      </c>
      <c r="H3315" s="8">
        <f>IF(financials[[#This Row],[Discount Band]]="low",0.1,IF(financials[[#This Row],[Discount Band]]="medium",0.15,0.3))</f>
        <v>0.3</v>
      </c>
      <c r="I3315" s="8">
        <f>financials[[#This Row],[Gross Sales]]-financials[[#This Row],[Gross Sales]]*financials[[#This Row],[Discounts]]</f>
        <v>215.60000000000002</v>
      </c>
      <c r="J3315" s="8">
        <f>VLOOKUP(financials[[#This Row],[productid]],Products!$B$2:$H$10,4)</f>
        <v>15</v>
      </c>
      <c r="K3315" s="8">
        <f>financials[[#This Row],[Net Sales]]-financials[[#This Row],[COGS]]</f>
        <v>200.60000000000002</v>
      </c>
      <c r="L3315" s="15">
        <v>45330</v>
      </c>
      <c r="M3315" t="s">
        <v>690</v>
      </c>
    </row>
    <row r="3316" spans="1:13" x14ac:dyDescent="0.25">
      <c r="A3316" t="s">
        <v>86</v>
      </c>
      <c r="B3316" s="6" t="s">
        <v>159</v>
      </c>
      <c r="C3316" s="13">
        <v>101</v>
      </c>
      <c r="D3316" s="14" t="s">
        <v>90</v>
      </c>
      <c r="E3316">
        <v>6</v>
      </c>
      <c r="F3316" s="8">
        <f>VLOOKUP(financials[[#This Row],[productid]],Products!$B$2:$H$10,3)</f>
        <v>23</v>
      </c>
      <c r="G3316" s="8">
        <f>financials[[#This Row],[Units Sold]]*financials[[#This Row],[Sale Price]]</f>
        <v>138</v>
      </c>
      <c r="H3316" s="8">
        <f>IF(financials[[#This Row],[Discount Band]]="low",0.1,IF(financials[[#This Row],[Discount Band]]="medium",0.15,0.3))</f>
        <v>0.15</v>
      </c>
      <c r="I3316" s="8">
        <f>financials[[#This Row],[Gross Sales]]-financials[[#This Row],[Gross Sales]]*financials[[#This Row],[Discounts]]</f>
        <v>117.3</v>
      </c>
      <c r="J3316" s="8">
        <f>VLOOKUP(financials[[#This Row],[productid]],Products!$B$2:$H$10,4)</f>
        <v>9.9499999999999993</v>
      </c>
      <c r="K3316" s="8">
        <f>financials[[#This Row],[Net Sales]]-financials[[#This Row],[COGS]]</f>
        <v>107.35</v>
      </c>
      <c r="L3316" s="15">
        <v>45164</v>
      </c>
      <c r="M3316" t="s">
        <v>691</v>
      </c>
    </row>
    <row r="3317" spans="1:13" x14ac:dyDescent="0.25">
      <c r="A3317" t="s">
        <v>89</v>
      </c>
      <c r="B3317" s="6" t="s">
        <v>124</v>
      </c>
      <c r="C3317" s="13">
        <v>107</v>
      </c>
      <c r="D3317" s="14" t="s">
        <v>92</v>
      </c>
      <c r="E3317">
        <v>9</v>
      </c>
      <c r="F3317" s="8">
        <f>VLOOKUP(financials[[#This Row],[productid]],Products!$B$2:$H$10,3)</f>
        <v>15</v>
      </c>
      <c r="G3317" s="8">
        <f>financials[[#This Row],[Units Sold]]*financials[[#This Row],[Sale Price]]</f>
        <v>135</v>
      </c>
      <c r="H3317" s="8">
        <f>IF(financials[[#This Row],[Discount Band]]="low",0.1,IF(financials[[#This Row],[Discount Band]]="medium",0.15,0.3))</f>
        <v>0.3</v>
      </c>
      <c r="I3317" s="8">
        <f>financials[[#This Row],[Gross Sales]]-financials[[#This Row],[Gross Sales]]*financials[[#This Row],[Discounts]]</f>
        <v>94.5</v>
      </c>
      <c r="J3317" s="8">
        <f>VLOOKUP(financials[[#This Row],[productid]],Products!$B$2:$H$10,4)</f>
        <v>5.5</v>
      </c>
      <c r="K3317" s="8">
        <f>financials[[#This Row],[Net Sales]]-financials[[#This Row],[COGS]]</f>
        <v>89</v>
      </c>
      <c r="L3317" s="15">
        <v>44425</v>
      </c>
      <c r="M3317" t="s">
        <v>696</v>
      </c>
    </row>
    <row r="3318" spans="1:13" x14ac:dyDescent="0.25">
      <c r="A3318" t="s">
        <v>89</v>
      </c>
      <c r="B3318" s="6" t="s">
        <v>159</v>
      </c>
      <c r="C3318" s="13">
        <v>105</v>
      </c>
      <c r="D3318" s="14" t="s">
        <v>91</v>
      </c>
      <c r="E3318">
        <v>9</v>
      </c>
      <c r="F3318" s="8">
        <f>VLOOKUP(financials[[#This Row],[productid]],Products!$B$2:$H$10,3)</f>
        <v>15</v>
      </c>
      <c r="G3318" s="8">
        <f>financials[[#This Row],[Units Sold]]*financials[[#This Row],[Sale Price]]</f>
        <v>135</v>
      </c>
      <c r="H3318" s="8">
        <f>IF(financials[[#This Row],[Discount Band]]="low",0.1,IF(financials[[#This Row],[Discount Band]]="medium",0.15,0.3))</f>
        <v>0.1</v>
      </c>
      <c r="I3318" s="8">
        <f>financials[[#This Row],[Gross Sales]]-financials[[#This Row],[Gross Sales]]*financials[[#This Row],[Discounts]]</f>
        <v>121.5</v>
      </c>
      <c r="J3318" s="8">
        <f>VLOOKUP(financials[[#This Row],[productid]],Products!$B$2:$H$10,4)</f>
        <v>10</v>
      </c>
      <c r="K3318" s="8">
        <f>financials[[#This Row],[Net Sales]]-financials[[#This Row],[COGS]]</f>
        <v>111.5</v>
      </c>
      <c r="L3318" s="15">
        <v>44195</v>
      </c>
      <c r="M3318" t="s">
        <v>700</v>
      </c>
    </row>
    <row r="3319" spans="1:13" x14ac:dyDescent="0.25">
      <c r="A3319" t="s">
        <v>89</v>
      </c>
      <c r="B3319" s="6" t="s">
        <v>124</v>
      </c>
      <c r="C3319" s="13">
        <v>105</v>
      </c>
      <c r="D3319" s="14" t="s">
        <v>83</v>
      </c>
      <c r="E3319">
        <v>15</v>
      </c>
      <c r="F3319" s="8">
        <f>VLOOKUP(financials[[#This Row],[productid]],Products!$B$2:$H$10,3)</f>
        <v>15</v>
      </c>
      <c r="G3319" s="8">
        <f>financials[[#This Row],[Units Sold]]*financials[[#This Row],[Sale Price]]</f>
        <v>225</v>
      </c>
      <c r="H3319" s="8">
        <f>IF(financials[[#This Row],[Discount Band]]="low",0.1,IF(financials[[#This Row],[Discount Band]]="medium",0.15,0.3))</f>
        <v>0.3</v>
      </c>
      <c r="I3319" s="8">
        <f>financials[[#This Row],[Gross Sales]]-financials[[#This Row],[Gross Sales]]*financials[[#This Row],[Discounts]]</f>
        <v>157.5</v>
      </c>
      <c r="J3319" s="8">
        <f>VLOOKUP(financials[[#This Row],[productid]],Products!$B$2:$H$10,4)</f>
        <v>10</v>
      </c>
      <c r="K3319" s="8">
        <f>financials[[#This Row],[Net Sales]]-financials[[#This Row],[COGS]]</f>
        <v>147.5</v>
      </c>
      <c r="L3319" s="15">
        <v>44576</v>
      </c>
      <c r="M3319" t="s">
        <v>697</v>
      </c>
    </row>
    <row r="3320" spans="1:13" x14ac:dyDescent="0.25">
      <c r="A3320" t="s">
        <v>86</v>
      </c>
      <c r="B3320" s="6" t="s">
        <v>197</v>
      </c>
      <c r="C3320" s="13">
        <v>102</v>
      </c>
      <c r="D3320" s="14" t="s">
        <v>83</v>
      </c>
      <c r="E3320">
        <v>5</v>
      </c>
      <c r="F3320" s="8">
        <f>VLOOKUP(financials[[#This Row],[productid]],Products!$B$2:$H$10,3)</f>
        <v>15</v>
      </c>
      <c r="G3320" s="8">
        <f>financials[[#This Row],[Units Sold]]*financials[[#This Row],[Sale Price]]</f>
        <v>75</v>
      </c>
      <c r="H3320" s="8">
        <f>IF(financials[[#This Row],[Discount Band]]="low",0.1,IF(financials[[#This Row],[Discount Band]]="medium",0.15,0.3))</f>
        <v>0.3</v>
      </c>
      <c r="I3320" s="8">
        <f>financials[[#This Row],[Gross Sales]]-financials[[#This Row],[Gross Sales]]*financials[[#This Row],[Discounts]]</f>
        <v>52.5</v>
      </c>
      <c r="J3320" s="8">
        <f>VLOOKUP(financials[[#This Row],[productid]],Products!$B$2:$H$10,4)</f>
        <v>13.95</v>
      </c>
      <c r="K3320" s="8">
        <f>financials[[#This Row],[Net Sales]]-financials[[#This Row],[COGS]]</f>
        <v>38.549999999999997</v>
      </c>
      <c r="L3320" s="15">
        <v>45381</v>
      </c>
      <c r="M3320" t="s">
        <v>691</v>
      </c>
    </row>
    <row r="3321" spans="1:13" x14ac:dyDescent="0.25">
      <c r="A3321" t="s">
        <v>89</v>
      </c>
      <c r="B3321" s="6" t="s">
        <v>159</v>
      </c>
      <c r="C3321" s="13">
        <v>101</v>
      </c>
      <c r="D3321" s="14" t="s">
        <v>83</v>
      </c>
      <c r="E3321">
        <v>12</v>
      </c>
      <c r="F3321" s="8">
        <f>VLOOKUP(financials[[#This Row],[productid]],Products!$B$2:$H$10,3)</f>
        <v>23</v>
      </c>
      <c r="G3321" s="8">
        <f>financials[[#This Row],[Units Sold]]*financials[[#This Row],[Sale Price]]</f>
        <v>276</v>
      </c>
      <c r="H3321" s="8">
        <f>IF(financials[[#This Row],[Discount Band]]="low",0.1,IF(financials[[#This Row],[Discount Band]]="medium",0.15,0.3))</f>
        <v>0.3</v>
      </c>
      <c r="I3321" s="8">
        <f>financials[[#This Row],[Gross Sales]]-financials[[#This Row],[Gross Sales]]*financials[[#This Row],[Discounts]]</f>
        <v>193.2</v>
      </c>
      <c r="J3321" s="8">
        <f>VLOOKUP(financials[[#This Row],[productid]],Products!$B$2:$H$10,4)</f>
        <v>9.9499999999999993</v>
      </c>
      <c r="K3321" s="8">
        <f>financials[[#This Row],[Net Sales]]-financials[[#This Row],[COGS]]</f>
        <v>183.25</v>
      </c>
      <c r="L3321" s="15">
        <v>45555</v>
      </c>
      <c r="M3321" t="s">
        <v>700</v>
      </c>
    </row>
    <row r="3322" spans="1:13" x14ac:dyDescent="0.25">
      <c r="A3322" t="s">
        <v>86</v>
      </c>
      <c r="B3322" s="6" t="s">
        <v>124</v>
      </c>
      <c r="C3322" s="13">
        <v>108</v>
      </c>
      <c r="D3322" s="14" t="s">
        <v>90</v>
      </c>
      <c r="E3322">
        <v>20</v>
      </c>
      <c r="F3322" s="8">
        <f>VLOOKUP(financials[[#This Row],[productid]],Products!$B$2:$H$10,3)</f>
        <v>5.5</v>
      </c>
      <c r="G3322" s="8">
        <f>financials[[#This Row],[Units Sold]]*financials[[#This Row],[Sale Price]]</f>
        <v>110</v>
      </c>
      <c r="H3322" s="8">
        <f>IF(financials[[#This Row],[Discount Band]]="low",0.1,IF(financials[[#This Row],[Discount Band]]="medium",0.15,0.3))</f>
        <v>0.15</v>
      </c>
      <c r="I3322" s="8">
        <f>financials[[#This Row],[Gross Sales]]-financials[[#This Row],[Gross Sales]]*financials[[#This Row],[Discounts]]</f>
        <v>93.5</v>
      </c>
      <c r="J3322" s="8">
        <f>VLOOKUP(financials[[#This Row],[productid]],Products!$B$2:$H$10,4)</f>
        <v>3.99</v>
      </c>
      <c r="K3322" s="8">
        <f>financials[[#This Row],[Net Sales]]-financials[[#This Row],[COGS]]</f>
        <v>89.51</v>
      </c>
      <c r="L3322" s="15">
        <v>45602</v>
      </c>
      <c r="M3322" t="s">
        <v>691</v>
      </c>
    </row>
    <row r="3323" spans="1:13" x14ac:dyDescent="0.25">
      <c r="A3323" t="s">
        <v>87</v>
      </c>
      <c r="B3323" s="6" t="s">
        <v>268</v>
      </c>
      <c r="C3323" s="13">
        <v>108</v>
      </c>
      <c r="D3323" s="14" t="s">
        <v>83</v>
      </c>
      <c r="E3323">
        <v>13</v>
      </c>
      <c r="F3323" s="8">
        <f>VLOOKUP(financials[[#This Row],[productid]],Products!$B$2:$H$10,3)</f>
        <v>5.5</v>
      </c>
      <c r="G3323" s="8">
        <f>financials[[#This Row],[Units Sold]]*financials[[#This Row],[Sale Price]]</f>
        <v>71.5</v>
      </c>
      <c r="H3323" s="8">
        <f>IF(financials[[#This Row],[Discount Band]]="low",0.1,IF(financials[[#This Row],[Discount Band]]="medium",0.15,0.3))</f>
        <v>0.3</v>
      </c>
      <c r="I3323" s="8">
        <f>financials[[#This Row],[Gross Sales]]-financials[[#This Row],[Gross Sales]]*financials[[#This Row],[Discounts]]</f>
        <v>50.05</v>
      </c>
      <c r="J3323" s="8">
        <f>VLOOKUP(financials[[#This Row],[productid]],Products!$B$2:$H$10,4)</f>
        <v>3.99</v>
      </c>
      <c r="K3323" s="8">
        <f>financials[[#This Row],[Net Sales]]-financials[[#This Row],[COGS]]</f>
        <v>46.059999999999995</v>
      </c>
      <c r="L3323" s="15">
        <v>45149</v>
      </c>
      <c r="M3323" t="s">
        <v>690</v>
      </c>
    </row>
    <row r="3324" spans="1:13" x14ac:dyDescent="0.25">
      <c r="A3324" t="s">
        <v>88</v>
      </c>
      <c r="B3324" s="6" t="s">
        <v>125</v>
      </c>
      <c r="C3324" s="11">
        <v>106</v>
      </c>
      <c r="D3324" s="9" t="s">
        <v>90</v>
      </c>
      <c r="E3324">
        <v>18</v>
      </c>
      <c r="F3324" s="8">
        <f>VLOOKUP(financials[[#This Row],[productid]],Products!$B$2:$H$10,3)</f>
        <v>25</v>
      </c>
      <c r="G3324" s="8">
        <f>financials[[#This Row],[Units Sold]]*financials[[#This Row],[Sale Price]]</f>
        <v>450</v>
      </c>
      <c r="H3324" s="8">
        <f>IF(financials[[#This Row],[Discount Band]]="low",0.1,IF(financials[[#This Row],[Discount Band]]="medium",0.15,0.3))</f>
        <v>0.15</v>
      </c>
      <c r="I3324" s="8">
        <f>financials[[#This Row],[Gross Sales]]-financials[[#This Row],[Gross Sales]]*financials[[#This Row],[Discounts]]</f>
        <v>382.5</v>
      </c>
      <c r="J3324" s="8">
        <f>VLOOKUP(financials[[#This Row],[productid]],Products!$B$2:$H$10,4)</f>
        <v>9.1</v>
      </c>
      <c r="K3324" s="8">
        <f>financials[[#This Row],[Net Sales]]-financials[[#This Row],[COGS]]</f>
        <v>373.4</v>
      </c>
      <c r="L3324" s="15">
        <v>44251</v>
      </c>
      <c r="M3324" t="s">
        <v>697</v>
      </c>
    </row>
    <row r="3325" spans="1:13" x14ac:dyDescent="0.25">
      <c r="A3325" t="s">
        <v>88</v>
      </c>
      <c r="B3325" s="6" t="s">
        <v>93</v>
      </c>
      <c r="C3325" s="11">
        <v>101</v>
      </c>
      <c r="D3325" s="9" t="s">
        <v>90</v>
      </c>
      <c r="E3325">
        <v>14</v>
      </c>
      <c r="F3325" s="8">
        <f>VLOOKUP(financials[[#This Row],[productid]],Products!$B$2:$H$10,3)</f>
        <v>23</v>
      </c>
      <c r="G3325" s="8">
        <f>financials[[#This Row],[Units Sold]]*financials[[#This Row],[Sale Price]]</f>
        <v>322</v>
      </c>
      <c r="H3325" s="8">
        <f>IF(financials[[#This Row],[Discount Band]]="low",0.1,IF(financials[[#This Row],[Discount Band]]="medium",0.15,0.3))</f>
        <v>0.15</v>
      </c>
      <c r="I3325" s="8">
        <f>financials[[#This Row],[Gross Sales]]-financials[[#This Row],[Gross Sales]]*financials[[#This Row],[Discounts]]</f>
        <v>273.7</v>
      </c>
      <c r="J3325" s="8">
        <f>VLOOKUP(financials[[#This Row],[productid]],Products!$B$2:$H$10,4)</f>
        <v>9.9499999999999993</v>
      </c>
      <c r="K3325" s="8">
        <f>financials[[#This Row],[Net Sales]]-financials[[#This Row],[COGS]]</f>
        <v>263.75</v>
      </c>
      <c r="L3325" s="15">
        <v>44579</v>
      </c>
      <c r="M3325" t="s">
        <v>696</v>
      </c>
    </row>
    <row r="3326" spans="1:13" x14ac:dyDescent="0.25">
      <c r="A3326" t="s">
        <v>88</v>
      </c>
      <c r="B3326" s="6" t="s">
        <v>617</v>
      </c>
      <c r="C3326" s="13">
        <v>106</v>
      </c>
      <c r="D3326" s="14" t="s">
        <v>83</v>
      </c>
      <c r="E3326">
        <v>13</v>
      </c>
      <c r="F3326" s="8">
        <f>VLOOKUP(financials[[#This Row],[productid]],Products!$B$2:$H$10,3)</f>
        <v>25</v>
      </c>
      <c r="G3326" s="8">
        <f>financials[[#This Row],[Units Sold]]*financials[[#This Row],[Sale Price]]</f>
        <v>325</v>
      </c>
      <c r="H3326" s="8">
        <f>IF(financials[[#This Row],[Discount Band]]="low",0.1,IF(financials[[#This Row],[Discount Band]]="medium",0.15,0.3))</f>
        <v>0.3</v>
      </c>
      <c r="I3326" s="8">
        <f>financials[[#This Row],[Gross Sales]]-financials[[#This Row],[Gross Sales]]*financials[[#This Row],[Discounts]]</f>
        <v>227.5</v>
      </c>
      <c r="J3326" s="8">
        <f>VLOOKUP(financials[[#This Row],[productid]],Products!$B$2:$H$10,4)</f>
        <v>9.1</v>
      </c>
      <c r="K3326" s="8">
        <f>financials[[#This Row],[Net Sales]]-financials[[#This Row],[COGS]]</f>
        <v>218.4</v>
      </c>
      <c r="L3326" s="15">
        <v>44065</v>
      </c>
      <c r="M3326" t="s">
        <v>696</v>
      </c>
    </row>
    <row r="3327" spans="1:13" x14ac:dyDescent="0.25">
      <c r="A3327" t="s">
        <v>87</v>
      </c>
      <c r="B3327" s="6" t="s">
        <v>268</v>
      </c>
      <c r="C3327" s="11">
        <v>108</v>
      </c>
      <c r="D3327" s="9" t="s">
        <v>83</v>
      </c>
      <c r="E3327">
        <v>9</v>
      </c>
      <c r="F3327" s="8">
        <f>VLOOKUP(financials[[#This Row],[productid]],Products!$B$2:$H$10,3)</f>
        <v>5.5</v>
      </c>
      <c r="G3327" s="8">
        <f>financials[[#This Row],[Units Sold]]*financials[[#This Row],[Sale Price]]</f>
        <v>49.5</v>
      </c>
      <c r="H3327" s="8">
        <f>IF(financials[[#This Row],[Discount Band]]="low",0.1,IF(financials[[#This Row],[Discount Band]]="medium",0.15,0.3))</f>
        <v>0.3</v>
      </c>
      <c r="I3327" s="8">
        <f>financials[[#This Row],[Gross Sales]]-financials[[#This Row],[Gross Sales]]*financials[[#This Row],[Discounts]]</f>
        <v>34.65</v>
      </c>
      <c r="J3327" s="8">
        <f>VLOOKUP(financials[[#This Row],[productid]],Products!$B$2:$H$10,4)</f>
        <v>3.99</v>
      </c>
      <c r="K3327" s="8">
        <f>financials[[#This Row],[Net Sales]]-financials[[#This Row],[COGS]]</f>
        <v>30.659999999999997</v>
      </c>
      <c r="L3327" s="15">
        <v>43833</v>
      </c>
      <c r="M3327" t="s">
        <v>690</v>
      </c>
    </row>
    <row r="3328" spans="1:13" x14ac:dyDescent="0.25">
      <c r="A3328" t="s">
        <v>86</v>
      </c>
      <c r="B3328" s="6" t="s">
        <v>159</v>
      </c>
      <c r="C3328" s="13">
        <v>104</v>
      </c>
      <c r="D3328" s="14" t="s">
        <v>83</v>
      </c>
      <c r="E3328">
        <v>15</v>
      </c>
      <c r="F3328" s="8">
        <f>VLOOKUP(financials[[#This Row],[productid]],Products!$B$2:$H$10,3)</f>
        <v>5.9</v>
      </c>
      <c r="G3328" s="8">
        <f>financials[[#This Row],[Units Sold]]*financials[[#This Row],[Sale Price]]</f>
        <v>88.5</v>
      </c>
      <c r="H3328" s="8">
        <f>IF(financials[[#This Row],[Discount Band]]="low",0.1,IF(financials[[#This Row],[Discount Band]]="medium",0.15,0.3))</f>
        <v>0.3</v>
      </c>
      <c r="I3328" s="8">
        <f>financials[[#This Row],[Gross Sales]]-financials[[#This Row],[Gross Sales]]*financials[[#This Row],[Discounts]]</f>
        <v>61.95</v>
      </c>
      <c r="J3328" s="8">
        <f>VLOOKUP(financials[[#This Row],[productid]],Products!$B$2:$H$10,4)</f>
        <v>2.9</v>
      </c>
      <c r="K3328" s="8">
        <f>financials[[#This Row],[Net Sales]]-financials[[#This Row],[COGS]]</f>
        <v>59.050000000000004</v>
      </c>
      <c r="L3328" s="15">
        <v>45624</v>
      </c>
      <c r="M3328" t="s">
        <v>697</v>
      </c>
    </row>
    <row r="3329" spans="1:13" x14ac:dyDescent="0.25">
      <c r="A3329" t="s">
        <v>87</v>
      </c>
      <c r="B3329" s="6" t="s">
        <v>94</v>
      </c>
      <c r="C3329" s="13">
        <v>107</v>
      </c>
      <c r="D3329" s="14" t="s">
        <v>90</v>
      </c>
      <c r="E3329">
        <v>14</v>
      </c>
      <c r="F3329" s="8">
        <f>VLOOKUP(financials[[#This Row],[productid]],Products!$B$2:$H$10,3)</f>
        <v>15</v>
      </c>
      <c r="G3329" s="8">
        <f>financials[[#This Row],[Units Sold]]*financials[[#This Row],[Sale Price]]</f>
        <v>210</v>
      </c>
      <c r="H3329" s="8">
        <f>IF(financials[[#This Row],[Discount Band]]="low",0.1,IF(financials[[#This Row],[Discount Band]]="medium",0.15,0.3))</f>
        <v>0.15</v>
      </c>
      <c r="I3329" s="8">
        <f>financials[[#This Row],[Gross Sales]]-financials[[#This Row],[Gross Sales]]*financials[[#This Row],[Discounts]]</f>
        <v>178.5</v>
      </c>
      <c r="J3329" s="8">
        <f>VLOOKUP(financials[[#This Row],[productid]],Products!$B$2:$H$10,4)</f>
        <v>5.5</v>
      </c>
      <c r="K3329" s="8">
        <f>financials[[#This Row],[Net Sales]]-financials[[#This Row],[COGS]]</f>
        <v>173</v>
      </c>
      <c r="L3329" s="15">
        <v>45434</v>
      </c>
      <c r="M3329" t="s">
        <v>691</v>
      </c>
    </row>
    <row r="3330" spans="1:13" x14ac:dyDescent="0.25">
      <c r="A3330" t="s">
        <v>89</v>
      </c>
      <c r="B3330" s="6" t="s">
        <v>124</v>
      </c>
      <c r="C3330" s="13">
        <v>102</v>
      </c>
      <c r="D3330" s="14" t="s">
        <v>83</v>
      </c>
      <c r="E3330">
        <v>11</v>
      </c>
      <c r="F3330" s="8">
        <f>VLOOKUP(financials[[#This Row],[productid]],Products!$B$2:$H$10,3)</f>
        <v>15</v>
      </c>
      <c r="G3330" s="8">
        <f>financials[[#This Row],[Units Sold]]*financials[[#This Row],[Sale Price]]</f>
        <v>165</v>
      </c>
      <c r="H3330" s="8">
        <f>IF(financials[[#This Row],[Discount Band]]="low",0.1,IF(financials[[#This Row],[Discount Band]]="medium",0.15,0.3))</f>
        <v>0.3</v>
      </c>
      <c r="I3330" s="8">
        <f>financials[[#This Row],[Gross Sales]]-financials[[#This Row],[Gross Sales]]*financials[[#This Row],[Discounts]]</f>
        <v>115.5</v>
      </c>
      <c r="J3330" s="8">
        <f>VLOOKUP(financials[[#This Row],[productid]],Products!$B$2:$H$10,4)</f>
        <v>13.95</v>
      </c>
      <c r="K3330" s="8">
        <f>financials[[#This Row],[Net Sales]]-financials[[#This Row],[COGS]]</f>
        <v>101.55</v>
      </c>
      <c r="L3330" s="15">
        <v>44018</v>
      </c>
      <c r="M3330" t="s">
        <v>697</v>
      </c>
    </row>
    <row r="3331" spans="1:13" x14ac:dyDescent="0.25">
      <c r="A3331" t="s">
        <v>89</v>
      </c>
      <c r="B3331" s="6" t="s">
        <v>159</v>
      </c>
      <c r="C3331" s="13">
        <v>106</v>
      </c>
      <c r="D3331" s="14" t="s">
        <v>91</v>
      </c>
      <c r="E3331">
        <v>10</v>
      </c>
      <c r="F3331" s="8">
        <f>VLOOKUP(financials[[#This Row],[productid]],Products!$B$2:$H$10,3)</f>
        <v>25</v>
      </c>
      <c r="G3331" s="8">
        <f>financials[[#This Row],[Units Sold]]*financials[[#This Row],[Sale Price]]</f>
        <v>250</v>
      </c>
      <c r="H3331" s="8">
        <f>IF(financials[[#This Row],[Discount Band]]="low",0.1,IF(financials[[#This Row],[Discount Band]]="medium",0.15,0.3))</f>
        <v>0.1</v>
      </c>
      <c r="I3331" s="8">
        <f>financials[[#This Row],[Gross Sales]]-financials[[#This Row],[Gross Sales]]*financials[[#This Row],[Discounts]]</f>
        <v>225</v>
      </c>
      <c r="J3331" s="8">
        <f>VLOOKUP(financials[[#This Row],[productid]],Products!$B$2:$H$10,4)</f>
        <v>9.1</v>
      </c>
      <c r="K3331" s="8">
        <f>financials[[#This Row],[Net Sales]]-financials[[#This Row],[COGS]]</f>
        <v>215.9</v>
      </c>
      <c r="L3331" s="15">
        <v>44277</v>
      </c>
      <c r="M3331" t="s">
        <v>690</v>
      </c>
    </row>
    <row r="3332" spans="1:13" x14ac:dyDescent="0.25">
      <c r="A3332" t="s">
        <v>89</v>
      </c>
      <c r="B3332" s="6" t="s">
        <v>159</v>
      </c>
      <c r="C3332" s="11">
        <v>101</v>
      </c>
      <c r="D3332" s="9" t="s">
        <v>90</v>
      </c>
      <c r="E3332">
        <v>20</v>
      </c>
      <c r="F3332" s="8">
        <f>VLOOKUP(financials[[#This Row],[productid]],Products!$B$2:$H$10,3)</f>
        <v>23</v>
      </c>
      <c r="G3332" s="8">
        <f>financials[[#This Row],[Units Sold]]*financials[[#This Row],[Sale Price]]</f>
        <v>460</v>
      </c>
      <c r="H3332" s="8">
        <f>IF(financials[[#This Row],[Discount Band]]="low",0.1,IF(financials[[#This Row],[Discount Band]]="medium",0.15,0.3))</f>
        <v>0.15</v>
      </c>
      <c r="I3332" s="8">
        <f>financials[[#This Row],[Gross Sales]]-financials[[#This Row],[Gross Sales]]*financials[[#This Row],[Discounts]]</f>
        <v>391</v>
      </c>
      <c r="J3332" s="8">
        <f>VLOOKUP(financials[[#This Row],[productid]],Products!$B$2:$H$10,4)</f>
        <v>9.9499999999999993</v>
      </c>
      <c r="K3332" s="8">
        <f>financials[[#This Row],[Net Sales]]-financials[[#This Row],[COGS]]</f>
        <v>381.05</v>
      </c>
      <c r="L3332" s="15">
        <v>43954</v>
      </c>
      <c r="M3332" t="s">
        <v>691</v>
      </c>
    </row>
    <row r="3333" spans="1:13" x14ac:dyDescent="0.25">
      <c r="A3333" t="s">
        <v>88</v>
      </c>
      <c r="B3333" s="6" t="s">
        <v>125</v>
      </c>
      <c r="C3333" s="13">
        <v>103</v>
      </c>
      <c r="D3333" s="14" t="s">
        <v>91</v>
      </c>
      <c r="E3333">
        <v>6</v>
      </c>
      <c r="F3333" s="8">
        <f>VLOOKUP(financials[[#This Row],[productid]],Products!$B$2:$H$10,3)</f>
        <v>28</v>
      </c>
      <c r="G3333" s="8">
        <f>financials[[#This Row],[Units Sold]]*financials[[#This Row],[Sale Price]]</f>
        <v>168</v>
      </c>
      <c r="H3333" s="8">
        <f>IF(financials[[#This Row],[Discount Band]]="low",0.1,IF(financials[[#This Row],[Discount Band]]="medium",0.15,0.3))</f>
        <v>0.1</v>
      </c>
      <c r="I3333" s="8">
        <f>financials[[#This Row],[Gross Sales]]-financials[[#This Row],[Gross Sales]]*financials[[#This Row],[Discounts]]</f>
        <v>151.19999999999999</v>
      </c>
      <c r="J3333" s="8">
        <f>VLOOKUP(financials[[#This Row],[productid]],Products!$B$2:$H$10,4)</f>
        <v>15</v>
      </c>
      <c r="K3333" s="8">
        <f>financials[[#This Row],[Net Sales]]-financials[[#This Row],[COGS]]</f>
        <v>136.19999999999999</v>
      </c>
      <c r="L3333" s="15">
        <v>45064</v>
      </c>
      <c r="M3333" t="s">
        <v>690</v>
      </c>
    </row>
    <row r="3334" spans="1:13" x14ac:dyDescent="0.25">
      <c r="A3334" t="s">
        <v>88</v>
      </c>
      <c r="B3334" s="6" t="s">
        <v>96</v>
      </c>
      <c r="C3334" s="13">
        <v>105</v>
      </c>
      <c r="D3334" s="14" t="s">
        <v>90</v>
      </c>
      <c r="E3334">
        <v>12</v>
      </c>
      <c r="F3334" s="8">
        <f>VLOOKUP(financials[[#This Row],[productid]],Products!$B$2:$H$10,3)</f>
        <v>15</v>
      </c>
      <c r="G3334" s="8">
        <f>financials[[#This Row],[Units Sold]]*financials[[#This Row],[Sale Price]]</f>
        <v>180</v>
      </c>
      <c r="H3334" s="8">
        <f>IF(financials[[#This Row],[Discount Band]]="low",0.1,IF(financials[[#This Row],[Discount Band]]="medium",0.15,0.3))</f>
        <v>0.15</v>
      </c>
      <c r="I3334" s="8">
        <f>financials[[#This Row],[Gross Sales]]-financials[[#This Row],[Gross Sales]]*financials[[#This Row],[Discounts]]</f>
        <v>153</v>
      </c>
      <c r="J3334" s="8">
        <f>VLOOKUP(financials[[#This Row],[productid]],Products!$B$2:$H$10,4)</f>
        <v>10</v>
      </c>
      <c r="K3334" s="8">
        <f>financials[[#This Row],[Net Sales]]-financials[[#This Row],[COGS]]</f>
        <v>143</v>
      </c>
      <c r="L3334" s="15">
        <v>45434</v>
      </c>
      <c r="M3334" t="s">
        <v>700</v>
      </c>
    </row>
    <row r="3335" spans="1:13" x14ac:dyDescent="0.25">
      <c r="A3335" t="s">
        <v>86</v>
      </c>
      <c r="B3335" s="6" t="s">
        <v>124</v>
      </c>
      <c r="C3335" s="13">
        <v>109</v>
      </c>
      <c r="D3335" s="14" t="s">
        <v>83</v>
      </c>
      <c r="E3335">
        <v>8</v>
      </c>
      <c r="F3335" s="8">
        <f>VLOOKUP(financials[[#This Row],[productid]],Products!$B$2:$H$10,3)</f>
        <v>36</v>
      </c>
      <c r="G3335" s="8">
        <f>financials[[#This Row],[Units Sold]]*financials[[#This Row],[Sale Price]]</f>
        <v>288</v>
      </c>
      <c r="H3335" s="8">
        <f>IF(financials[[#This Row],[Discount Band]]="low",0.1,IF(financials[[#This Row],[Discount Band]]="medium",0.15,0.3))</f>
        <v>0.3</v>
      </c>
      <c r="I3335" s="8">
        <f>financials[[#This Row],[Gross Sales]]-financials[[#This Row],[Gross Sales]]*financials[[#This Row],[Discounts]]</f>
        <v>201.60000000000002</v>
      </c>
      <c r="J3335" s="8">
        <f>VLOOKUP(financials[[#This Row],[productid]],Products!$B$2:$H$10,4)</f>
        <v>16.8</v>
      </c>
      <c r="K3335" s="8">
        <f>financials[[#This Row],[Net Sales]]-financials[[#This Row],[COGS]]</f>
        <v>184.8</v>
      </c>
      <c r="L3335" s="15">
        <v>43968</v>
      </c>
      <c r="M3335" t="s">
        <v>700</v>
      </c>
    </row>
    <row r="3336" spans="1:13" x14ac:dyDescent="0.25">
      <c r="A3336" t="s">
        <v>87</v>
      </c>
      <c r="B3336" s="6" t="s">
        <v>94</v>
      </c>
      <c r="C3336" s="13">
        <v>106</v>
      </c>
      <c r="D3336" s="14" t="s">
        <v>90</v>
      </c>
      <c r="E3336">
        <v>19</v>
      </c>
      <c r="F3336" s="8">
        <f>VLOOKUP(financials[[#This Row],[productid]],Products!$B$2:$H$10,3)</f>
        <v>25</v>
      </c>
      <c r="G3336" s="8">
        <f>financials[[#This Row],[Units Sold]]*financials[[#This Row],[Sale Price]]</f>
        <v>475</v>
      </c>
      <c r="H3336" s="8">
        <f>IF(financials[[#This Row],[Discount Band]]="low",0.1,IF(financials[[#This Row],[Discount Band]]="medium",0.15,0.3))</f>
        <v>0.15</v>
      </c>
      <c r="I3336" s="8">
        <f>financials[[#This Row],[Gross Sales]]-financials[[#This Row],[Gross Sales]]*financials[[#This Row],[Discounts]]</f>
        <v>403.75</v>
      </c>
      <c r="J3336" s="8">
        <f>VLOOKUP(financials[[#This Row],[productid]],Products!$B$2:$H$10,4)</f>
        <v>9.1</v>
      </c>
      <c r="K3336" s="8">
        <f>financials[[#This Row],[Net Sales]]-financials[[#This Row],[COGS]]</f>
        <v>394.65</v>
      </c>
      <c r="L3336" s="15">
        <v>44536</v>
      </c>
      <c r="M3336" t="s">
        <v>690</v>
      </c>
    </row>
    <row r="3337" spans="1:13" x14ac:dyDescent="0.25">
      <c r="A3337" t="s">
        <v>86</v>
      </c>
      <c r="B3337" s="6" t="s">
        <v>148</v>
      </c>
      <c r="C3337" s="13">
        <v>106</v>
      </c>
      <c r="D3337" s="14" t="s">
        <v>92</v>
      </c>
      <c r="E3337">
        <v>8</v>
      </c>
      <c r="F3337" s="8">
        <f>VLOOKUP(financials[[#This Row],[productid]],Products!$B$2:$H$10,3)</f>
        <v>25</v>
      </c>
      <c r="G3337" s="8">
        <f>financials[[#This Row],[Units Sold]]*financials[[#This Row],[Sale Price]]</f>
        <v>200</v>
      </c>
      <c r="H3337" s="8">
        <f>IF(financials[[#This Row],[Discount Band]]="low",0.1,IF(financials[[#This Row],[Discount Band]]="medium",0.15,0.3))</f>
        <v>0.3</v>
      </c>
      <c r="I3337" s="8">
        <f>financials[[#This Row],[Gross Sales]]-financials[[#This Row],[Gross Sales]]*financials[[#This Row],[Discounts]]</f>
        <v>140</v>
      </c>
      <c r="J3337" s="8">
        <f>VLOOKUP(financials[[#This Row],[productid]],Products!$B$2:$H$10,4)</f>
        <v>9.1</v>
      </c>
      <c r="K3337" s="8">
        <f>financials[[#This Row],[Net Sales]]-financials[[#This Row],[COGS]]</f>
        <v>130.9</v>
      </c>
      <c r="L3337" s="15">
        <v>44888</v>
      </c>
      <c r="M3337" t="s">
        <v>697</v>
      </c>
    </row>
    <row r="3338" spans="1:13" x14ac:dyDescent="0.25">
      <c r="A3338" t="s">
        <v>86</v>
      </c>
      <c r="B3338" s="6" t="s">
        <v>287</v>
      </c>
      <c r="C3338" s="13">
        <v>103</v>
      </c>
      <c r="D3338" s="14" t="s">
        <v>83</v>
      </c>
      <c r="E3338">
        <v>17</v>
      </c>
      <c r="F3338" s="8">
        <f>VLOOKUP(financials[[#This Row],[productid]],Products!$B$2:$H$10,3)</f>
        <v>28</v>
      </c>
      <c r="G3338" s="8">
        <f>financials[[#This Row],[Units Sold]]*financials[[#This Row],[Sale Price]]</f>
        <v>476</v>
      </c>
      <c r="H3338" s="8">
        <f>IF(financials[[#This Row],[Discount Band]]="low",0.1,IF(financials[[#This Row],[Discount Band]]="medium",0.15,0.3))</f>
        <v>0.3</v>
      </c>
      <c r="I3338" s="8">
        <f>financials[[#This Row],[Gross Sales]]-financials[[#This Row],[Gross Sales]]*financials[[#This Row],[Discounts]]</f>
        <v>333.20000000000005</v>
      </c>
      <c r="J3338" s="8">
        <f>VLOOKUP(financials[[#This Row],[productid]],Products!$B$2:$H$10,4)</f>
        <v>15</v>
      </c>
      <c r="K3338" s="8">
        <f>financials[[#This Row],[Net Sales]]-financials[[#This Row],[COGS]]</f>
        <v>318.20000000000005</v>
      </c>
      <c r="L3338" s="15">
        <v>44553</v>
      </c>
      <c r="M3338" t="s">
        <v>700</v>
      </c>
    </row>
    <row r="3339" spans="1:13" x14ac:dyDescent="0.25">
      <c r="A3339" t="s">
        <v>87</v>
      </c>
      <c r="B3339" s="6" t="s">
        <v>95</v>
      </c>
      <c r="C3339" s="13">
        <v>103</v>
      </c>
      <c r="D3339" s="14" t="s">
        <v>91</v>
      </c>
      <c r="E3339">
        <v>18</v>
      </c>
      <c r="F3339" s="8">
        <f>VLOOKUP(financials[[#This Row],[productid]],Products!$B$2:$H$10,3)</f>
        <v>28</v>
      </c>
      <c r="G3339" s="8">
        <f>financials[[#This Row],[Units Sold]]*financials[[#This Row],[Sale Price]]</f>
        <v>504</v>
      </c>
      <c r="H3339" s="8">
        <f>IF(financials[[#This Row],[Discount Band]]="low",0.1,IF(financials[[#This Row],[Discount Band]]="medium",0.15,0.3))</f>
        <v>0.1</v>
      </c>
      <c r="I3339" s="8">
        <f>financials[[#This Row],[Gross Sales]]-financials[[#This Row],[Gross Sales]]*financials[[#This Row],[Discounts]]</f>
        <v>453.6</v>
      </c>
      <c r="J3339" s="8">
        <f>VLOOKUP(financials[[#This Row],[productid]],Products!$B$2:$H$10,4)</f>
        <v>15</v>
      </c>
      <c r="K3339" s="8">
        <f>financials[[#This Row],[Net Sales]]-financials[[#This Row],[COGS]]</f>
        <v>438.6</v>
      </c>
      <c r="L3339" s="15">
        <v>44429</v>
      </c>
      <c r="M3339" t="s">
        <v>697</v>
      </c>
    </row>
    <row r="3340" spans="1:13" x14ac:dyDescent="0.25">
      <c r="A3340" t="s">
        <v>88</v>
      </c>
      <c r="B3340" s="6" t="s">
        <v>268</v>
      </c>
      <c r="C3340" s="13">
        <v>102</v>
      </c>
      <c r="D3340" s="14" t="s">
        <v>90</v>
      </c>
      <c r="E3340">
        <v>6</v>
      </c>
      <c r="F3340" s="8">
        <f>VLOOKUP(financials[[#This Row],[productid]],Products!$B$2:$H$10,3)</f>
        <v>15</v>
      </c>
      <c r="G3340" s="8">
        <f>financials[[#This Row],[Units Sold]]*financials[[#This Row],[Sale Price]]</f>
        <v>90</v>
      </c>
      <c r="H3340" s="8">
        <f>IF(financials[[#This Row],[Discount Band]]="low",0.1,IF(financials[[#This Row],[Discount Band]]="medium",0.15,0.3))</f>
        <v>0.15</v>
      </c>
      <c r="I3340" s="8">
        <f>financials[[#This Row],[Gross Sales]]-financials[[#This Row],[Gross Sales]]*financials[[#This Row],[Discounts]]</f>
        <v>76.5</v>
      </c>
      <c r="J3340" s="8">
        <f>VLOOKUP(financials[[#This Row],[productid]],Products!$B$2:$H$10,4)</f>
        <v>13.95</v>
      </c>
      <c r="K3340" s="8">
        <f>financials[[#This Row],[Net Sales]]-financials[[#This Row],[COGS]]</f>
        <v>62.55</v>
      </c>
      <c r="L3340" s="15">
        <v>44231</v>
      </c>
      <c r="M3340" t="s">
        <v>696</v>
      </c>
    </row>
    <row r="3341" spans="1:13" x14ac:dyDescent="0.25">
      <c r="A3341" t="s">
        <v>88</v>
      </c>
      <c r="B3341" s="6" t="s">
        <v>96</v>
      </c>
      <c r="C3341" s="13">
        <v>103</v>
      </c>
      <c r="D3341" s="14" t="s">
        <v>83</v>
      </c>
      <c r="E3341">
        <v>13</v>
      </c>
      <c r="F3341" s="8">
        <f>VLOOKUP(financials[[#This Row],[productid]],Products!$B$2:$H$10,3)</f>
        <v>28</v>
      </c>
      <c r="G3341" s="8">
        <f>financials[[#This Row],[Units Sold]]*financials[[#This Row],[Sale Price]]</f>
        <v>364</v>
      </c>
      <c r="H3341" s="8">
        <f>IF(financials[[#This Row],[Discount Band]]="low",0.1,IF(financials[[#This Row],[Discount Band]]="medium",0.15,0.3))</f>
        <v>0.3</v>
      </c>
      <c r="I3341" s="8">
        <f>financials[[#This Row],[Gross Sales]]-financials[[#This Row],[Gross Sales]]*financials[[#This Row],[Discounts]]</f>
        <v>254.8</v>
      </c>
      <c r="J3341" s="8">
        <f>VLOOKUP(financials[[#This Row],[productid]],Products!$B$2:$H$10,4)</f>
        <v>15</v>
      </c>
      <c r="K3341" s="8">
        <f>financials[[#This Row],[Net Sales]]-financials[[#This Row],[COGS]]</f>
        <v>239.8</v>
      </c>
      <c r="L3341" s="15">
        <v>44591</v>
      </c>
      <c r="M3341" t="s">
        <v>691</v>
      </c>
    </row>
    <row r="3342" spans="1:13" x14ac:dyDescent="0.25">
      <c r="A3342" t="s">
        <v>89</v>
      </c>
      <c r="B3342" s="6" t="s">
        <v>124</v>
      </c>
      <c r="C3342" s="13">
        <v>106</v>
      </c>
      <c r="D3342" s="14" t="s">
        <v>83</v>
      </c>
      <c r="E3342">
        <v>14</v>
      </c>
      <c r="F3342" s="8">
        <f>VLOOKUP(financials[[#This Row],[productid]],Products!$B$2:$H$10,3)</f>
        <v>25</v>
      </c>
      <c r="G3342" s="8">
        <f>financials[[#This Row],[Units Sold]]*financials[[#This Row],[Sale Price]]</f>
        <v>350</v>
      </c>
      <c r="H3342" s="8">
        <f>IF(financials[[#This Row],[Discount Band]]="low",0.1,IF(financials[[#This Row],[Discount Band]]="medium",0.15,0.3))</f>
        <v>0.3</v>
      </c>
      <c r="I3342" s="8">
        <f>financials[[#This Row],[Gross Sales]]-financials[[#This Row],[Gross Sales]]*financials[[#This Row],[Discounts]]</f>
        <v>245</v>
      </c>
      <c r="J3342" s="8">
        <f>VLOOKUP(financials[[#This Row],[productid]],Products!$B$2:$H$10,4)</f>
        <v>9.1</v>
      </c>
      <c r="K3342" s="8">
        <f>financials[[#This Row],[Net Sales]]-financials[[#This Row],[COGS]]</f>
        <v>235.9</v>
      </c>
      <c r="L3342" s="15">
        <v>44501</v>
      </c>
      <c r="M3342" t="s">
        <v>697</v>
      </c>
    </row>
    <row r="3343" spans="1:13" x14ac:dyDescent="0.25">
      <c r="A3343" t="s">
        <v>88</v>
      </c>
      <c r="B3343" s="6" t="s">
        <v>93</v>
      </c>
      <c r="C3343" s="13">
        <v>103</v>
      </c>
      <c r="D3343" s="14" t="s">
        <v>91</v>
      </c>
      <c r="E3343">
        <v>12</v>
      </c>
      <c r="F3343" s="8">
        <f>VLOOKUP(financials[[#This Row],[productid]],Products!$B$2:$H$10,3)</f>
        <v>28</v>
      </c>
      <c r="G3343" s="8">
        <f>financials[[#This Row],[Units Sold]]*financials[[#This Row],[Sale Price]]</f>
        <v>336</v>
      </c>
      <c r="H3343" s="8">
        <f>IF(financials[[#This Row],[Discount Band]]="low",0.1,IF(financials[[#This Row],[Discount Band]]="medium",0.15,0.3))</f>
        <v>0.1</v>
      </c>
      <c r="I3343" s="8">
        <f>financials[[#This Row],[Gross Sales]]-financials[[#This Row],[Gross Sales]]*financials[[#This Row],[Discounts]]</f>
        <v>302.39999999999998</v>
      </c>
      <c r="J3343" s="8">
        <f>VLOOKUP(financials[[#This Row],[productid]],Products!$B$2:$H$10,4)</f>
        <v>15</v>
      </c>
      <c r="K3343" s="8">
        <f>financials[[#This Row],[Net Sales]]-financials[[#This Row],[COGS]]</f>
        <v>287.39999999999998</v>
      </c>
      <c r="L3343" s="15">
        <v>44149</v>
      </c>
      <c r="M3343" t="s">
        <v>690</v>
      </c>
    </row>
    <row r="3344" spans="1:13" x14ac:dyDescent="0.25">
      <c r="A3344" t="s">
        <v>88</v>
      </c>
      <c r="B3344" s="6" t="s">
        <v>96</v>
      </c>
      <c r="C3344" s="13">
        <v>104</v>
      </c>
      <c r="D3344" s="14" t="s">
        <v>83</v>
      </c>
      <c r="E3344">
        <v>9</v>
      </c>
      <c r="F3344" s="8">
        <f>VLOOKUP(financials[[#This Row],[productid]],Products!$B$2:$H$10,3)</f>
        <v>5.9</v>
      </c>
      <c r="G3344" s="8">
        <f>financials[[#This Row],[Units Sold]]*financials[[#This Row],[Sale Price]]</f>
        <v>53.1</v>
      </c>
      <c r="H3344" s="8">
        <f>IF(financials[[#This Row],[Discount Band]]="low",0.1,IF(financials[[#This Row],[Discount Band]]="medium",0.15,0.3))</f>
        <v>0.3</v>
      </c>
      <c r="I3344" s="8">
        <f>financials[[#This Row],[Gross Sales]]-financials[[#This Row],[Gross Sales]]*financials[[#This Row],[Discounts]]</f>
        <v>37.17</v>
      </c>
      <c r="J3344" s="8">
        <f>VLOOKUP(financials[[#This Row],[productid]],Products!$B$2:$H$10,4)</f>
        <v>2.9</v>
      </c>
      <c r="K3344" s="8">
        <f>financials[[#This Row],[Net Sales]]-financials[[#This Row],[COGS]]</f>
        <v>34.270000000000003</v>
      </c>
      <c r="L3344" s="15">
        <v>44698</v>
      </c>
      <c r="M3344" t="s">
        <v>696</v>
      </c>
    </row>
    <row r="3345" spans="1:13" x14ac:dyDescent="0.25">
      <c r="A3345" t="s">
        <v>86</v>
      </c>
      <c r="B3345" s="6" t="s">
        <v>159</v>
      </c>
      <c r="C3345" s="11">
        <v>109</v>
      </c>
      <c r="D3345" s="9" t="s">
        <v>90</v>
      </c>
      <c r="E3345">
        <v>6</v>
      </c>
      <c r="F3345" s="8">
        <f>VLOOKUP(financials[[#This Row],[productid]],Products!$B$2:$H$10,3)</f>
        <v>36</v>
      </c>
      <c r="G3345" s="8">
        <f>financials[[#This Row],[Units Sold]]*financials[[#This Row],[Sale Price]]</f>
        <v>216</v>
      </c>
      <c r="H3345" s="8">
        <f>IF(financials[[#This Row],[Discount Band]]="low",0.1,IF(financials[[#This Row],[Discount Band]]="medium",0.15,0.3))</f>
        <v>0.15</v>
      </c>
      <c r="I3345" s="8">
        <f>financials[[#This Row],[Gross Sales]]-financials[[#This Row],[Gross Sales]]*financials[[#This Row],[Discounts]]</f>
        <v>183.6</v>
      </c>
      <c r="J3345" s="8">
        <f>VLOOKUP(financials[[#This Row],[productid]],Products!$B$2:$H$10,4)</f>
        <v>16.8</v>
      </c>
      <c r="K3345" s="8">
        <f>financials[[#This Row],[Net Sales]]-financials[[#This Row],[COGS]]</f>
        <v>166.79999999999998</v>
      </c>
      <c r="L3345" s="15">
        <v>44036</v>
      </c>
      <c r="M3345" t="s">
        <v>691</v>
      </c>
    </row>
    <row r="3346" spans="1:13" x14ac:dyDescent="0.25">
      <c r="A3346" t="s">
        <v>86</v>
      </c>
      <c r="B3346" s="6" t="s">
        <v>124</v>
      </c>
      <c r="C3346" s="13">
        <v>105</v>
      </c>
      <c r="D3346" s="14" t="s">
        <v>83</v>
      </c>
      <c r="E3346">
        <v>8</v>
      </c>
      <c r="F3346" s="8">
        <f>VLOOKUP(financials[[#This Row],[productid]],Products!$B$2:$H$10,3)</f>
        <v>15</v>
      </c>
      <c r="G3346" s="8">
        <f>financials[[#This Row],[Units Sold]]*financials[[#This Row],[Sale Price]]</f>
        <v>120</v>
      </c>
      <c r="H3346" s="8">
        <f>IF(financials[[#This Row],[Discount Band]]="low",0.1,IF(financials[[#This Row],[Discount Band]]="medium",0.15,0.3))</f>
        <v>0.3</v>
      </c>
      <c r="I3346" s="8">
        <f>financials[[#This Row],[Gross Sales]]-financials[[#This Row],[Gross Sales]]*financials[[#This Row],[Discounts]]</f>
        <v>84</v>
      </c>
      <c r="J3346" s="8">
        <f>VLOOKUP(financials[[#This Row],[productid]],Products!$B$2:$H$10,4)</f>
        <v>10</v>
      </c>
      <c r="K3346" s="8">
        <f>financials[[#This Row],[Net Sales]]-financials[[#This Row],[COGS]]</f>
        <v>74</v>
      </c>
      <c r="L3346" s="15">
        <v>44014</v>
      </c>
      <c r="M3346" t="s">
        <v>691</v>
      </c>
    </row>
    <row r="3347" spans="1:13" x14ac:dyDescent="0.25">
      <c r="A3347" t="s">
        <v>87</v>
      </c>
      <c r="B3347" s="6" t="s">
        <v>276</v>
      </c>
      <c r="C3347" s="13">
        <v>101</v>
      </c>
      <c r="D3347" s="14" t="s">
        <v>83</v>
      </c>
      <c r="E3347">
        <v>17</v>
      </c>
      <c r="F3347" s="8">
        <f>VLOOKUP(financials[[#This Row],[productid]],Products!$B$2:$H$10,3)</f>
        <v>23</v>
      </c>
      <c r="G3347" s="8">
        <f>financials[[#This Row],[Units Sold]]*financials[[#This Row],[Sale Price]]</f>
        <v>391</v>
      </c>
      <c r="H3347" s="8">
        <f>IF(financials[[#This Row],[Discount Band]]="low",0.1,IF(financials[[#This Row],[Discount Band]]="medium",0.15,0.3))</f>
        <v>0.3</v>
      </c>
      <c r="I3347" s="8">
        <f>financials[[#This Row],[Gross Sales]]-financials[[#This Row],[Gross Sales]]*financials[[#This Row],[Discounts]]</f>
        <v>273.7</v>
      </c>
      <c r="J3347" s="8">
        <f>VLOOKUP(financials[[#This Row],[productid]],Products!$B$2:$H$10,4)</f>
        <v>9.9499999999999993</v>
      </c>
      <c r="K3347" s="8">
        <f>financials[[#This Row],[Net Sales]]-financials[[#This Row],[COGS]]</f>
        <v>263.75</v>
      </c>
      <c r="L3347" s="15">
        <v>44568</v>
      </c>
      <c r="M3347" t="s">
        <v>690</v>
      </c>
    </row>
    <row r="3348" spans="1:13" x14ac:dyDescent="0.25">
      <c r="A3348" t="s">
        <v>86</v>
      </c>
      <c r="B3348" s="6" t="s">
        <v>124</v>
      </c>
      <c r="C3348" s="13">
        <v>109</v>
      </c>
      <c r="D3348" s="14" t="s">
        <v>83</v>
      </c>
      <c r="E3348">
        <v>12</v>
      </c>
      <c r="F3348" s="8">
        <f>VLOOKUP(financials[[#This Row],[productid]],Products!$B$2:$H$10,3)</f>
        <v>36</v>
      </c>
      <c r="G3348" s="8">
        <f>financials[[#This Row],[Units Sold]]*financials[[#This Row],[Sale Price]]</f>
        <v>432</v>
      </c>
      <c r="H3348" s="8">
        <f>IF(financials[[#This Row],[Discount Band]]="low",0.1,IF(financials[[#This Row],[Discount Band]]="medium",0.15,0.3))</f>
        <v>0.3</v>
      </c>
      <c r="I3348" s="8">
        <f>financials[[#This Row],[Gross Sales]]-financials[[#This Row],[Gross Sales]]*financials[[#This Row],[Discounts]]</f>
        <v>302.39999999999998</v>
      </c>
      <c r="J3348" s="8">
        <f>VLOOKUP(financials[[#This Row],[productid]],Products!$B$2:$H$10,4)</f>
        <v>16.8</v>
      </c>
      <c r="K3348" s="8">
        <f>financials[[#This Row],[Net Sales]]-financials[[#This Row],[COGS]]</f>
        <v>285.59999999999997</v>
      </c>
      <c r="L3348" s="15">
        <v>44626</v>
      </c>
      <c r="M3348" t="s">
        <v>700</v>
      </c>
    </row>
    <row r="3349" spans="1:13" x14ac:dyDescent="0.25">
      <c r="A3349" t="s">
        <v>88</v>
      </c>
      <c r="B3349" s="6" t="s">
        <v>617</v>
      </c>
      <c r="C3349" s="11">
        <v>108</v>
      </c>
      <c r="D3349" s="9" t="s">
        <v>83</v>
      </c>
      <c r="E3349">
        <v>19</v>
      </c>
      <c r="F3349" s="8">
        <f>VLOOKUP(financials[[#This Row],[productid]],Products!$B$2:$H$10,3)</f>
        <v>5.5</v>
      </c>
      <c r="G3349" s="8">
        <f>financials[[#This Row],[Units Sold]]*financials[[#This Row],[Sale Price]]</f>
        <v>104.5</v>
      </c>
      <c r="H3349" s="8">
        <f>IF(financials[[#This Row],[Discount Band]]="low",0.1,IF(financials[[#This Row],[Discount Band]]="medium",0.15,0.3))</f>
        <v>0.3</v>
      </c>
      <c r="I3349" s="8">
        <f>financials[[#This Row],[Gross Sales]]-financials[[#This Row],[Gross Sales]]*financials[[#This Row],[Discounts]]</f>
        <v>73.150000000000006</v>
      </c>
      <c r="J3349" s="8">
        <f>VLOOKUP(financials[[#This Row],[productid]],Products!$B$2:$H$10,4)</f>
        <v>3.99</v>
      </c>
      <c r="K3349" s="8">
        <f>financials[[#This Row],[Net Sales]]-financials[[#This Row],[COGS]]</f>
        <v>69.160000000000011</v>
      </c>
      <c r="L3349" s="15">
        <v>44821</v>
      </c>
      <c r="M3349" t="s">
        <v>700</v>
      </c>
    </row>
    <row r="3350" spans="1:13" x14ac:dyDescent="0.25">
      <c r="A3350" t="s">
        <v>88</v>
      </c>
      <c r="B3350" s="6" t="s">
        <v>617</v>
      </c>
      <c r="C3350" s="13">
        <v>104</v>
      </c>
      <c r="D3350" s="14" t="s">
        <v>90</v>
      </c>
      <c r="E3350">
        <v>19</v>
      </c>
      <c r="F3350" s="8">
        <f>VLOOKUP(financials[[#This Row],[productid]],Products!$B$2:$H$10,3)</f>
        <v>5.9</v>
      </c>
      <c r="G3350" s="8">
        <f>financials[[#This Row],[Units Sold]]*financials[[#This Row],[Sale Price]]</f>
        <v>112.10000000000001</v>
      </c>
      <c r="H3350" s="8">
        <f>IF(financials[[#This Row],[Discount Band]]="low",0.1,IF(financials[[#This Row],[Discount Band]]="medium",0.15,0.3))</f>
        <v>0.15</v>
      </c>
      <c r="I3350" s="8">
        <f>financials[[#This Row],[Gross Sales]]-financials[[#This Row],[Gross Sales]]*financials[[#This Row],[Discounts]]</f>
        <v>95.285000000000011</v>
      </c>
      <c r="J3350" s="8">
        <f>VLOOKUP(financials[[#This Row],[productid]],Products!$B$2:$H$10,4)</f>
        <v>2.9</v>
      </c>
      <c r="K3350" s="8">
        <f>financials[[#This Row],[Net Sales]]-financials[[#This Row],[COGS]]</f>
        <v>92.385000000000005</v>
      </c>
      <c r="L3350" s="15">
        <v>44089</v>
      </c>
      <c r="M3350" t="s">
        <v>697</v>
      </c>
    </row>
    <row r="3351" spans="1:13" x14ac:dyDescent="0.25">
      <c r="A3351" t="s">
        <v>88</v>
      </c>
      <c r="B3351" s="6" t="s">
        <v>240</v>
      </c>
      <c r="C3351" s="13">
        <v>101</v>
      </c>
      <c r="D3351" s="14" t="s">
        <v>91</v>
      </c>
      <c r="E3351">
        <v>19</v>
      </c>
      <c r="F3351" s="8">
        <f>VLOOKUP(financials[[#This Row],[productid]],Products!$B$2:$H$10,3)</f>
        <v>23</v>
      </c>
      <c r="G3351" s="8">
        <f>financials[[#This Row],[Units Sold]]*financials[[#This Row],[Sale Price]]</f>
        <v>437</v>
      </c>
      <c r="H3351" s="8">
        <f>IF(financials[[#This Row],[Discount Band]]="low",0.1,IF(financials[[#This Row],[Discount Band]]="medium",0.15,0.3))</f>
        <v>0.1</v>
      </c>
      <c r="I3351" s="8">
        <f>financials[[#This Row],[Gross Sales]]-financials[[#This Row],[Gross Sales]]*financials[[#This Row],[Discounts]]</f>
        <v>393.3</v>
      </c>
      <c r="J3351" s="8">
        <f>VLOOKUP(financials[[#This Row],[productid]],Products!$B$2:$H$10,4)</f>
        <v>9.9499999999999993</v>
      </c>
      <c r="K3351" s="8">
        <f>financials[[#This Row],[Net Sales]]-financials[[#This Row],[COGS]]</f>
        <v>383.35</v>
      </c>
      <c r="L3351" s="15">
        <v>45523</v>
      </c>
      <c r="M3351" t="s">
        <v>700</v>
      </c>
    </row>
    <row r="3352" spans="1:13" x14ac:dyDescent="0.25">
      <c r="A3352" t="s">
        <v>86</v>
      </c>
      <c r="B3352" s="6" t="s">
        <v>148</v>
      </c>
      <c r="C3352" s="13">
        <v>103</v>
      </c>
      <c r="D3352" s="14" t="s">
        <v>90</v>
      </c>
      <c r="E3352">
        <v>11</v>
      </c>
      <c r="F3352" s="8">
        <f>VLOOKUP(financials[[#This Row],[productid]],Products!$B$2:$H$10,3)</f>
        <v>28</v>
      </c>
      <c r="G3352" s="8">
        <f>financials[[#This Row],[Units Sold]]*financials[[#This Row],[Sale Price]]</f>
        <v>308</v>
      </c>
      <c r="H3352" s="8">
        <f>IF(financials[[#This Row],[Discount Band]]="low",0.1,IF(financials[[#This Row],[Discount Band]]="medium",0.15,0.3))</f>
        <v>0.15</v>
      </c>
      <c r="I3352" s="8">
        <f>financials[[#This Row],[Gross Sales]]-financials[[#This Row],[Gross Sales]]*financials[[#This Row],[Discounts]]</f>
        <v>261.8</v>
      </c>
      <c r="J3352" s="8">
        <f>VLOOKUP(financials[[#This Row],[productid]],Products!$B$2:$H$10,4)</f>
        <v>15</v>
      </c>
      <c r="K3352" s="8">
        <f>financials[[#This Row],[Net Sales]]-financials[[#This Row],[COGS]]</f>
        <v>246.8</v>
      </c>
      <c r="L3352" s="15">
        <v>45470</v>
      </c>
      <c r="M3352" t="s">
        <v>700</v>
      </c>
    </row>
    <row r="3353" spans="1:13" x14ac:dyDescent="0.25">
      <c r="A3353" t="s">
        <v>88</v>
      </c>
      <c r="B3353" s="6" t="s">
        <v>268</v>
      </c>
      <c r="C3353" s="13">
        <v>109</v>
      </c>
      <c r="D3353" s="14" t="s">
        <v>90</v>
      </c>
      <c r="E3353">
        <v>13</v>
      </c>
      <c r="F3353" s="8">
        <f>VLOOKUP(financials[[#This Row],[productid]],Products!$B$2:$H$10,3)</f>
        <v>36</v>
      </c>
      <c r="G3353" s="8">
        <f>financials[[#This Row],[Units Sold]]*financials[[#This Row],[Sale Price]]</f>
        <v>468</v>
      </c>
      <c r="H3353" s="8">
        <f>IF(financials[[#This Row],[Discount Band]]="low",0.1,IF(financials[[#This Row],[Discount Band]]="medium",0.15,0.3))</f>
        <v>0.15</v>
      </c>
      <c r="I3353" s="8">
        <f>financials[[#This Row],[Gross Sales]]-financials[[#This Row],[Gross Sales]]*financials[[#This Row],[Discounts]]</f>
        <v>397.8</v>
      </c>
      <c r="J3353" s="8">
        <f>VLOOKUP(financials[[#This Row],[productid]],Products!$B$2:$H$10,4)</f>
        <v>16.8</v>
      </c>
      <c r="K3353" s="8">
        <f>financials[[#This Row],[Net Sales]]-financials[[#This Row],[COGS]]</f>
        <v>381</v>
      </c>
      <c r="L3353" s="15">
        <v>43983</v>
      </c>
      <c r="M3353" t="s">
        <v>696</v>
      </c>
    </row>
    <row r="3354" spans="1:13" x14ac:dyDescent="0.25">
      <c r="A3354" t="s">
        <v>86</v>
      </c>
      <c r="B3354" s="6" t="s">
        <v>159</v>
      </c>
      <c r="C3354" s="13">
        <v>105</v>
      </c>
      <c r="D3354" s="14" t="s">
        <v>90</v>
      </c>
      <c r="E3354">
        <v>11</v>
      </c>
      <c r="F3354" s="8">
        <f>VLOOKUP(financials[[#This Row],[productid]],Products!$B$2:$H$10,3)</f>
        <v>15</v>
      </c>
      <c r="G3354" s="8">
        <f>financials[[#This Row],[Units Sold]]*financials[[#This Row],[Sale Price]]</f>
        <v>165</v>
      </c>
      <c r="H3354" s="8">
        <f>IF(financials[[#This Row],[Discount Band]]="low",0.1,IF(financials[[#This Row],[Discount Band]]="medium",0.15,0.3))</f>
        <v>0.15</v>
      </c>
      <c r="I3354" s="8">
        <f>financials[[#This Row],[Gross Sales]]-financials[[#This Row],[Gross Sales]]*financials[[#This Row],[Discounts]]</f>
        <v>140.25</v>
      </c>
      <c r="J3354" s="8">
        <f>VLOOKUP(financials[[#This Row],[productid]],Products!$B$2:$H$10,4)</f>
        <v>10</v>
      </c>
      <c r="K3354" s="8">
        <f>financials[[#This Row],[Net Sales]]-financials[[#This Row],[COGS]]</f>
        <v>130.25</v>
      </c>
      <c r="L3354" s="15">
        <v>44366</v>
      </c>
      <c r="M3354" t="s">
        <v>697</v>
      </c>
    </row>
    <row r="3355" spans="1:13" x14ac:dyDescent="0.25">
      <c r="A3355" t="s">
        <v>87</v>
      </c>
      <c r="B3355" s="6" t="s">
        <v>94</v>
      </c>
      <c r="C3355" s="13">
        <v>102</v>
      </c>
      <c r="D3355" s="14" t="s">
        <v>83</v>
      </c>
      <c r="E3355">
        <v>6</v>
      </c>
      <c r="F3355" s="8">
        <f>VLOOKUP(financials[[#This Row],[productid]],Products!$B$2:$H$10,3)</f>
        <v>15</v>
      </c>
      <c r="G3355" s="8">
        <f>financials[[#This Row],[Units Sold]]*financials[[#This Row],[Sale Price]]</f>
        <v>90</v>
      </c>
      <c r="H3355" s="8">
        <f>IF(financials[[#This Row],[Discount Band]]="low",0.1,IF(financials[[#This Row],[Discount Band]]="medium",0.15,0.3))</f>
        <v>0.3</v>
      </c>
      <c r="I3355" s="8">
        <f>financials[[#This Row],[Gross Sales]]-financials[[#This Row],[Gross Sales]]*financials[[#This Row],[Discounts]]</f>
        <v>63</v>
      </c>
      <c r="J3355" s="8">
        <f>VLOOKUP(financials[[#This Row],[productid]],Products!$B$2:$H$10,4)</f>
        <v>13.95</v>
      </c>
      <c r="K3355" s="8">
        <f>financials[[#This Row],[Net Sales]]-financials[[#This Row],[COGS]]</f>
        <v>49.05</v>
      </c>
      <c r="L3355" s="15">
        <v>44433</v>
      </c>
      <c r="M3355" t="s">
        <v>690</v>
      </c>
    </row>
    <row r="3356" spans="1:13" x14ac:dyDescent="0.25">
      <c r="A3356" t="s">
        <v>87</v>
      </c>
      <c r="B3356" s="6" t="s">
        <v>276</v>
      </c>
      <c r="C3356" s="13">
        <v>102</v>
      </c>
      <c r="D3356" s="14" t="s">
        <v>90</v>
      </c>
      <c r="E3356">
        <v>5</v>
      </c>
      <c r="F3356" s="8">
        <f>VLOOKUP(financials[[#This Row],[productid]],Products!$B$2:$H$10,3)</f>
        <v>15</v>
      </c>
      <c r="G3356" s="8">
        <f>financials[[#This Row],[Units Sold]]*financials[[#This Row],[Sale Price]]</f>
        <v>75</v>
      </c>
      <c r="H3356" s="8">
        <f>IF(financials[[#This Row],[Discount Band]]="low",0.1,IF(financials[[#This Row],[Discount Band]]="medium",0.15,0.3))</f>
        <v>0.15</v>
      </c>
      <c r="I3356" s="8">
        <f>financials[[#This Row],[Gross Sales]]-financials[[#This Row],[Gross Sales]]*financials[[#This Row],[Discounts]]</f>
        <v>63.75</v>
      </c>
      <c r="J3356" s="8">
        <f>VLOOKUP(financials[[#This Row],[productid]],Products!$B$2:$H$10,4)</f>
        <v>13.95</v>
      </c>
      <c r="K3356" s="8">
        <f>financials[[#This Row],[Net Sales]]-financials[[#This Row],[COGS]]</f>
        <v>49.8</v>
      </c>
      <c r="L3356" s="15">
        <v>44572</v>
      </c>
      <c r="M3356" t="s">
        <v>697</v>
      </c>
    </row>
    <row r="3357" spans="1:13" x14ac:dyDescent="0.25">
      <c r="A3357" t="s">
        <v>88</v>
      </c>
      <c r="B3357" s="6" t="s">
        <v>617</v>
      </c>
      <c r="C3357" s="13">
        <v>105</v>
      </c>
      <c r="D3357" s="14" t="s">
        <v>83</v>
      </c>
      <c r="E3357">
        <v>14</v>
      </c>
      <c r="F3357" s="8">
        <f>VLOOKUP(financials[[#This Row],[productid]],Products!$B$2:$H$10,3)</f>
        <v>15</v>
      </c>
      <c r="G3357" s="8">
        <f>financials[[#This Row],[Units Sold]]*financials[[#This Row],[Sale Price]]</f>
        <v>210</v>
      </c>
      <c r="H3357" s="8">
        <f>IF(financials[[#This Row],[Discount Band]]="low",0.1,IF(financials[[#This Row],[Discount Band]]="medium",0.15,0.3))</f>
        <v>0.3</v>
      </c>
      <c r="I3357" s="8">
        <f>financials[[#This Row],[Gross Sales]]-financials[[#This Row],[Gross Sales]]*financials[[#This Row],[Discounts]]</f>
        <v>147</v>
      </c>
      <c r="J3357" s="8">
        <f>VLOOKUP(financials[[#This Row],[productid]],Products!$B$2:$H$10,4)</f>
        <v>10</v>
      </c>
      <c r="K3357" s="8">
        <f>financials[[#This Row],[Net Sales]]-financials[[#This Row],[COGS]]</f>
        <v>137</v>
      </c>
      <c r="L3357" s="15">
        <v>44832</v>
      </c>
      <c r="M3357" t="s">
        <v>697</v>
      </c>
    </row>
    <row r="3358" spans="1:13" x14ac:dyDescent="0.25">
      <c r="A3358" t="s">
        <v>86</v>
      </c>
      <c r="B3358" s="6" t="s">
        <v>240</v>
      </c>
      <c r="C3358" s="13">
        <v>103</v>
      </c>
      <c r="D3358" s="14" t="s">
        <v>90</v>
      </c>
      <c r="E3358">
        <v>17</v>
      </c>
      <c r="F3358" s="8">
        <f>VLOOKUP(financials[[#This Row],[productid]],Products!$B$2:$H$10,3)</f>
        <v>28</v>
      </c>
      <c r="G3358" s="8">
        <f>financials[[#This Row],[Units Sold]]*financials[[#This Row],[Sale Price]]</f>
        <v>476</v>
      </c>
      <c r="H3358" s="8">
        <f>IF(financials[[#This Row],[Discount Band]]="low",0.1,IF(financials[[#This Row],[Discount Band]]="medium",0.15,0.3))</f>
        <v>0.15</v>
      </c>
      <c r="I3358" s="8">
        <f>financials[[#This Row],[Gross Sales]]-financials[[#This Row],[Gross Sales]]*financials[[#This Row],[Discounts]]</f>
        <v>404.6</v>
      </c>
      <c r="J3358" s="8">
        <f>VLOOKUP(financials[[#This Row],[productid]],Products!$B$2:$H$10,4)</f>
        <v>15</v>
      </c>
      <c r="K3358" s="8">
        <f>financials[[#This Row],[Net Sales]]-financials[[#This Row],[COGS]]</f>
        <v>389.6</v>
      </c>
      <c r="L3358" s="15">
        <v>43909</v>
      </c>
      <c r="M3358" t="s">
        <v>696</v>
      </c>
    </row>
    <row r="3359" spans="1:13" x14ac:dyDescent="0.25">
      <c r="A3359" t="s">
        <v>86</v>
      </c>
      <c r="B3359" s="6" t="s">
        <v>617</v>
      </c>
      <c r="C3359" s="13">
        <v>104</v>
      </c>
      <c r="D3359" s="14" t="s">
        <v>83</v>
      </c>
      <c r="E3359">
        <v>14</v>
      </c>
      <c r="F3359" s="8">
        <f>VLOOKUP(financials[[#This Row],[productid]],Products!$B$2:$H$10,3)</f>
        <v>5.9</v>
      </c>
      <c r="G3359" s="8">
        <f>financials[[#This Row],[Units Sold]]*financials[[#This Row],[Sale Price]]</f>
        <v>82.600000000000009</v>
      </c>
      <c r="H3359" s="8">
        <f>IF(financials[[#This Row],[Discount Band]]="low",0.1,IF(financials[[#This Row],[Discount Band]]="medium",0.15,0.3))</f>
        <v>0.3</v>
      </c>
      <c r="I3359" s="8">
        <f>financials[[#This Row],[Gross Sales]]-financials[[#This Row],[Gross Sales]]*financials[[#This Row],[Discounts]]</f>
        <v>57.820000000000007</v>
      </c>
      <c r="J3359" s="8">
        <f>VLOOKUP(financials[[#This Row],[productid]],Products!$B$2:$H$10,4)</f>
        <v>2.9</v>
      </c>
      <c r="K3359" s="8">
        <f>financials[[#This Row],[Net Sales]]-financials[[#This Row],[COGS]]</f>
        <v>54.920000000000009</v>
      </c>
      <c r="L3359" s="15">
        <v>45457</v>
      </c>
      <c r="M3359" t="s">
        <v>697</v>
      </c>
    </row>
    <row r="3360" spans="1:13" x14ac:dyDescent="0.25">
      <c r="A3360" t="s">
        <v>88</v>
      </c>
      <c r="B3360" s="6" t="s">
        <v>240</v>
      </c>
      <c r="C3360" s="13">
        <v>109</v>
      </c>
      <c r="D3360" s="14" t="s">
        <v>90</v>
      </c>
      <c r="E3360">
        <v>14</v>
      </c>
      <c r="F3360" s="8">
        <f>VLOOKUP(financials[[#This Row],[productid]],Products!$B$2:$H$10,3)</f>
        <v>36</v>
      </c>
      <c r="G3360" s="8">
        <f>financials[[#This Row],[Units Sold]]*financials[[#This Row],[Sale Price]]</f>
        <v>504</v>
      </c>
      <c r="H3360" s="8">
        <f>IF(financials[[#This Row],[Discount Band]]="low",0.1,IF(financials[[#This Row],[Discount Band]]="medium",0.15,0.3))</f>
        <v>0.15</v>
      </c>
      <c r="I3360" s="8">
        <f>financials[[#This Row],[Gross Sales]]-financials[[#This Row],[Gross Sales]]*financials[[#This Row],[Discounts]]</f>
        <v>428.4</v>
      </c>
      <c r="J3360" s="8">
        <f>VLOOKUP(financials[[#This Row],[productid]],Products!$B$2:$H$10,4)</f>
        <v>16.8</v>
      </c>
      <c r="K3360" s="8">
        <f>financials[[#This Row],[Net Sales]]-financials[[#This Row],[COGS]]</f>
        <v>411.59999999999997</v>
      </c>
      <c r="L3360" s="15">
        <v>43935</v>
      </c>
      <c r="M3360" t="s">
        <v>697</v>
      </c>
    </row>
    <row r="3361" spans="1:13" x14ac:dyDescent="0.25">
      <c r="A3361" t="s">
        <v>87</v>
      </c>
      <c r="B3361" s="6" t="s">
        <v>268</v>
      </c>
      <c r="C3361" s="13">
        <v>104</v>
      </c>
      <c r="D3361" s="14" t="s">
        <v>91</v>
      </c>
      <c r="E3361">
        <v>6</v>
      </c>
      <c r="F3361" s="8">
        <f>VLOOKUP(financials[[#This Row],[productid]],Products!$B$2:$H$10,3)</f>
        <v>5.9</v>
      </c>
      <c r="G3361" s="8">
        <f>financials[[#This Row],[Units Sold]]*financials[[#This Row],[Sale Price]]</f>
        <v>35.400000000000006</v>
      </c>
      <c r="H3361" s="8">
        <f>IF(financials[[#This Row],[Discount Band]]="low",0.1,IF(financials[[#This Row],[Discount Band]]="medium",0.15,0.3))</f>
        <v>0.1</v>
      </c>
      <c r="I3361" s="8">
        <f>financials[[#This Row],[Gross Sales]]-financials[[#This Row],[Gross Sales]]*financials[[#This Row],[Discounts]]</f>
        <v>31.860000000000007</v>
      </c>
      <c r="J3361" s="8">
        <f>VLOOKUP(financials[[#This Row],[productid]],Products!$B$2:$H$10,4)</f>
        <v>2.9</v>
      </c>
      <c r="K3361" s="8">
        <f>financials[[#This Row],[Net Sales]]-financials[[#This Row],[COGS]]</f>
        <v>28.960000000000008</v>
      </c>
      <c r="L3361" s="15">
        <v>44705</v>
      </c>
      <c r="M3361" t="s">
        <v>697</v>
      </c>
    </row>
    <row r="3362" spans="1:13" x14ac:dyDescent="0.25">
      <c r="A3362" t="s">
        <v>88</v>
      </c>
      <c r="B3362" s="6" t="s">
        <v>232</v>
      </c>
      <c r="C3362" s="13">
        <v>107</v>
      </c>
      <c r="D3362" s="14" t="s">
        <v>92</v>
      </c>
      <c r="E3362">
        <v>12</v>
      </c>
      <c r="F3362" s="8">
        <f>VLOOKUP(financials[[#This Row],[productid]],Products!$B$2:$H$10,3)</f>
        <v>15</v>
      </c>
      <c r="G3362" s="8">
        <f>financials[[#This Row],[Units Sold]]*financials[[#This Row],[Sale Price]]</f>
        <v>180</v>
      </c>
      <c r="H3362" s="8">
        <f>IF(financials[[#This Row],[Discount Band]]="low",0.1,IF(financials[[#This Row],[Discount Band]]="medium",0.15,0.3))</f>
        <v>0.3</v>
      </c>
      <c r="I3362" s="8">
        <f>financials[[#This Row],[Gross Sales]]-financials[[#This Row],[Gross Sales]]*financials[[#This Row],[Discounts]]</f>
        <v>126</v>
      </c>
      <c r="J3362" s="8">
        <f>VLOOKUP(financials[[#This Row],[productid]],Products!$B$2:$H$10,4)</f>
        <v>5.5</v>
      </c>
      <c r="K3362" s="8">
        <f>financials[[#This Row],[Net Sales]]-financials[[#This Row],[COGS]]</f>
        <v>120.5</v>
      </c>
      <c r="L3362" s="15">
        <v>44265</v>
      </c>
      <c r="M3362" t="s">
        <v>690</v>
      </c>
    </row>
    <row r="3363" spans="1:13" x14ac:dyDescent="0.25">
      <c r="A3363" t="s">
        <v>86</v>
      </c>
      <c r="B3363" s="6" t="s">
        <v>159</v>
      </c>
      <c r="C3363" s="13">
        <v>104</v>
      </c>
      <c r="D3363" s="14" t="s">
        <v>92</v>
      </c>
      <c r="E3363">
        <v>20</v>
      </c>
      <c r="F3363" s="8">
        <f>VLOOKUP(financials[[#This Row],[productid]],Products!$B$2:$H$10,3)</f>
        <v>5.9</v>
      </c>
      <c r="G3363" s="8">
        <f>financials[[#This Row],[Units Sold]]*financials[[#This Row],[Sale Price]]</f>
        <v>118</v>
      </c>
      <c r="H3363" s="8">
        <f>IF(financials[[#This Row],[Discount Band]]="low",0.1,IF(financials[[#This Row],[Discount Band]]="medium",0.15,0.3))</f>
        <v>0.3</v>
      </c>
      <c r="I3363" s="8">
        <f>financials[[#This Row],[Gross Sales]]-financials[[#This Row],[Gross Sales]]*financials[[#This Row],[Discounts]]</f>
        <v>82.6</v>
      </c>
      <c r="J3363" s="8">
        <f>VLOOKUP(financials[[#This Row],[productid]],Products!$B$2:$H$10,4)</f>
        <v>2.9</v>
      </c>
      <c r="K3363" s="8">
        <f>financials[[#This Row],[Net Sales]]-financials[[#This Row],[COGS]]</f>
        <v>79.699999999999989</v>
      </c>
      <c r="L3363" s="15">
        <v>44679</v>
      </c>
      <c r="M3363" t="s">
        <v>691</v>
      </c>
    </row>
    <row r="3364" spans="1:13" x14ac:dyDescent="0.25">
      <c r="A3364" t="s">
        <v>86</v>
      </c>
      <c r="B3364" s="6" t="s">
        <v>645</v>
      </c>
      <c r="C3364" s="13">
        <v>101</v>
      </c>
      <c r="D3364" s="14" t="s">
        <v>83</v>
      </c>
      <c r="E3364">
        <v>8</v>
      </c>
      <c r="F3364" s="8">
        <f>VLOOKUP(financials[[#This Row],[productid]],Products!$B$2:$H$10,3)</f>
        <v>23</v>
      </c>
      <c r="G3364" s="8">
        <f>financials[[#This Row],[Units Sold]]*financials[[#This Row],[Sale Price]]</f>
        <v>184</v>
      </c>
      <c r="H3364" s="8">
        <f>IF(financials[[#This Row],[Discount Band]]="low",0.1,IF(financials[[#This Row],[Discount Band]]="medium",0.15,0.3))</f>
        <v>0.3</v>
      </c>
      <c r="I3364" s="8">
        <f>financials[[#This Row],[Gross Sales]]-financials[[#This Row],[Gross Sales]]*financials[[#This Row],[Discounts]]</f>
        <v>128.80000000000001</v>
      </c>
      <c r="J3364" s="8">
        <f>VLOOKUP(financials[[#This Row],[productid]],Products!$B$2:$H$10,4)</f>
        <v>9.9499999999999993</v>
      </c>
      <c r="K3364" s="8">
        <f>financials[[#This Row],[Net Sales]]-financials[[#This Row],[COGS]]</f>
        <v>118.85000000000001</v>
      </c>
      <c r="L3364" s="15">
        <v>44171</v>
      </c>
      <c r="M3364" t="s">
        <v>696</v>
      </c>
    </row>
    <row r="3365" spans="1:13" x14ac:dyDescent="0.25">
      <c r="A3365" t="s">
        <v>86</v>
      </c>
      <c r="B3365" s="6" t="s">
        <v>266</v>
      </c>
      <c r="C3365" s="13">
        <v>109</v>
      </c>
      <c r="D3365" s="14" t="s">
        <v>92</v>
      </c>
      <c r="E3365">
        <v>16</v>
      </c>
      <c r="F3365" s="8">
        <f>VLOOKUP(financials[[#This Row],[productid]],Products!$B$2:$H$10,3)</f>
        <v>36</v>
      </c>
      <c r="G3365" s="8">
        <f>financials[[#This Row],[Units Sold]]*financials[[#This Row],[Sale Price]]</f>
        <v>576</v>
      </c>
      <c r="H3365" s="8">
        <f>IF(financials[[#This Row],[Discount Band]]="low",0.1,IF(financials[[#This Row],[Discount Band]]="medium",0.15,0.3))</f>
        <v>0.3</v>
      </c>
      <c r="I3365" s="8">
        <f>financials[[#This Row],[Gross Sales]]-financials[[#This Row],[Gross Sales]]*financials[[#This Row],[Discounts]]</f>
        <v>403.20000000000005</v>
      </c>
      <c r="J3365" s="8">
        <f>VLOOKUP(financials[[#This Row],[productid]],Products!$B$2:$H$10,4)</f>
        <v>16.8</v>
      </c>
      <c r="K3365" s="8">
        <f>financials[[#This Row],[Net Sales]]-financials[[#This Row],[COGS]]</f>
        <v>386.40000000000003</v>
      </c>
      <c r="L3365" s="15">
        <v>44672</v>
      </c>
      <c r="M3365" t="s">
        <v>690</v>
      </c>
    </row>
    <row r="3366" spans="1:13" x14ac:dyDescent="0.25">
      <c r="A3366" t="s">
        <v>87</v>
      </c>
      <c r="B3366" s="6" t="s">
        <v>276</v>
      </c>
      <c r="C3366" s="13">
        <v>109</v>
      </c>
      <c r="D3366" s="14" t="s">
        <v>83</v>
      </c>
      <c r="E3366">
        <v>11</v>
      </c>
      <c r="F3366" s="8">
        <f>VLOOKUP(financials[[#This Row],[productid]],Products!$B$2:$H$10,3)</f>
        <v>36</v>
      </c>
      <c r="G3366" s="8">
        <f>financials[[#This Row],[Units Sold]]*financials[[#This Row],[Sale Price]]</f>
        <v>396</v>
      </c>
      <c r="H3366" s="8">
        <f>IF(financials[[#This Row],[Discount Band]]="low",0.1,IF(financials[[#This Row],[Discount Band]]="medium",0.15,0.3))</f>
        <v>0.3</v>
      </c>
      <c r="I3366" s="8">
        <f>financials[[#This Row],[Gross Sales]]-financials[[#This Row],[Gross Sales]]*financials[[#This Row],[Discounts]]</f>
        <v>277.2</v>
      </c>
      <c r="J3366" s="8">
        <f>VLOOKUP(financials[[#This Row],[productid]],Products!$B$2:$H$10,4)</f>
        <v>16.8</v>
      </c>
      <c r="K3366" s="8">
        <f>financials[[#This Row],[Net Sales]]-financials[[#This Row],[COGS]]</f>
        <v>260.39999999999998</v>
      </c>
      <c r="L3366" s="15">
        <v>44349</v>
      </c>
      <c r="M3366" t="s">
        <v>696</v>
      </c>
    </row>
    <row r="3367" spans="1:13" x14ac:dyDescent="0.25">
      <c r="A3367" t="s">
        <v>88</v>
      </c>
      <c r="B3367" s="6" t="s">
        <v>125</v>
      </c>
      <c r="C3367" s="13">
        <v>103</v>
      </c>
      <c r="D3367" s="14" t="s">
        <v>91</v>
      </c>
      <c r="E3367">
        <v>13</v>
      </c>
      <c r="F3367" s="8">
        <f>VLOOKUP(financials[[#This Row],[productid]],Products!$B$2:$H$10,3)</f>
        <v>28</v>
      </c>
      <c r="G3367" s="8">
        <f>financials[[#This Row],[Units Sold]]*financials[[#This Row],[Sale Price]]</f>
        <v>364</v>
      </c>
      <c r="H3367" s="8">
        <f>IF(financials[[#This Row],[Discount Band]]="low",0.1,IF(financials[[#This Row],[Discount Band]]="medium",0.15,0.3))</f>
        <v>0.1</v>
      </c>
      <c r="I3367" s="8">
        <f>financials[[#This Row],[Gross Sales]]-financials[[#This Row],[Gross Sales]]*financials[[#This Row],[Discounts]]</f>
        <v>327.60000000000002</v>
      </c>
      <c r="J3367" s="8">
        <f>VLOOKUP(financials[[#This Row],[productid]],Products!$B$2:$H$10,4)</f>
        <v>15</v>
      </c>
      <c r="K3367" s="8">
        <f>financials[[#This Row],[Net Sales]]-financials[[#This Row],[COGS]]</f>
        <v>312.60000000000002</v>
      </c>
      <c r="L3367" s="15">
        <v>43996</v>
      </c>
      <c r="M3367" t="s">
        <v>691</v>
      </c>
    </row>
    <row r="3368" spans="1:13" x14ac:dyDescent="0.25">
      <c r="A3368" t="s">
        <v>88</v>
      </c>
      <c r="B3368" s="6" t="s">
        <v>240</v>
      </c>
      <c r="C3368" s="13">
        <v>102</v>
      </c>
      <c r="D3368" s="14" t="s">
        <v>90</v>
      </c>
      <c r="E3368">
        <v>19</v>
      </c>
      <c r="F3368" s="8">
        <f>VLOOKUP(financials[[#This Row],[productid]],Products!$B$2:$H$10,3)</f>
        <v>15</v>
      </c>
      <c r="G3368" s="8">
        <f>financials[[#This Row],[Units Sold]]*financials[[#This Row],[Sale Price]]</f>
        <v>285</v>
      </c>
      <c r="H3368" s="8">
        <f>IF(financials[[#This Row],[Discount Band]]="low",0.1,IF(financials[[#This Row],[Discount Band]]="medium",0.15,0.3))</f>
        <v>0.15</v>
      </c>
      <c r="I3368" s="8">
        <f>financials[[#This Row],[Gross Sales]]-financials[[#This Row],[Gross Sales]]*financials[[#This Row],[Discounts]]</f>
        <v>242.25</v>
      </c>
      <c r="J3368" s="8">
        <f>VLOOKUP(financials[[#This Row],[productid]],Products!$B$2:$H$10,4)</f>
        <v>13.95</v>
      </c>
      <c r="K3368" s="8">
        <f>financials[[#This Row],[Net Sales]]-financials[[#This Row],[COGS]]</f>
        <v>228.3</v>
      </c>
      <c r="L3368" s="15">
        <v>45404</v>
      </c>
      <c r="M3368" t="s">
        <v>697</v>
      </c>
    </row>
    <row r="3369" spans="1:13" x14ac:dyDescent="0.25">
      <c r="A3369" t="s">
        <v>88</v>
      </c>
      <c r="B3369" s="6" t="s">
        <v>228</v>
      </c>
      <c r="C3369" s="13">
        <v>104</v>
      </c>
      <c r="D3369" s="14" t="s">
        <v>83</v>
      </c>
      <c r="E3369">
        <v>16</v>
      </c>
      <c r="F3369" s="8">
        <f>VLOOKUP(financials[[#This Row],[productid]],Products!$B$2:$H$10,3)</f>
        <v>5.9</v>
      </c>
      <c r="G3369" s="8">
        <f>financials[[#This Row],[Units Sold]]*financials[[#This Row],[Sale Price]]</f>
        <v>94.4</v>
      </c>
      <c r="H3369" s="8">
        <f>IF(financials[[#This Row],[Discount Band]]="low",0.1,IF(financials[[#This Row],[Discount Band]]="medium",0.15,0.3))</f>
        <v>0.3</v>
      </c>
      <c r="I3369" s="8">
        <f>financials[[#This Row],[Gross Sales]]-financials[[#This Row],[Gross Sales]]*financials[[#This Row],[Discounts]]</f>
        <v>66.080000000000013</v>
      </c>
      <c r="J3369" s="8">
        <f>VLOOKUP(financials[[#This Row],[productid]],Products!$B$2:$H$10,4)</f>
        <v>2.9</v>
      </c>
      <c r="K3369" s="8">
        <f>financials[[#This Row],[Net Sales]]-financials[[#This Row],[COGS]]</f>
        <v>63.180000000000014</v>
      </c>
      <c r="L3369" s="15">
        <v>44461</v>
      </c>
      <c r="M3369" t="s">
        <v>690</v>
      </c>
    </row>
    <row r="3370" spans="1:13" x14ac:dyDescent="0.25">
      <c r="A3370" t="s">
        <v>86</v>
      </c>
      <c r="B3370" s="6" t="s">
        <v>159</v>
      </c>
      <c r="C3370" s="13">
        <v>108</v>
      </c>
      <c r="D3370" s="14" t="s">
        <v>90</v>
      </c>
      <c r="E3370">
        <v>17</v>
      </c>
      <c r="F3370" s="8">
        <f>VLOOKUP(financials[[#This Row],[productid]],Products!$B$2:$H$10,3)</f>
        <v>5.5</v>
      </c>
      <c r="G3370" s="8">
        <f>financials[[#This Row],[Units Sold]]*financials[[#This Row],[Sale Price]]</f>
        <v>93.5</v>
      </c>
      <c r="H3370" s="8">
        <f>IF(financials[[#This Row],[Discount Band]]="low",0.1,IF(financials[[#This Row],[Discount Band]]="medium",0.15,0.3))</f>
        <v>0.15</v>
      </c>
      <c r="I3370" s="8">
        <f>financials[[#This Row],[Gross Sales]]-financials[[#This Row],[Gross Sales]]*financials[[#This Row],[Discounts]]</f>
        <v>79.474999999999994</v>
      </c>
      <c r="J3370" s="8">
        <f>VLOOKUP(financials[[#This Row],[productid]],Products!$B$2:$H$10,4)</f>
        <v>3.99</v>
      </c>
      <c r="K3370" s="8">
        <f>financials[[#This Row],[Net Sales]]-financials[[#This Row],[COGS]]</f>
        <v>75.484999999999999</v>
      </c>
      <c r="L3370" s="15">
        <v>45161</v>
      </c>
      <c r="M3370" t="s">
        <v>691</v>
      </c>
    </row>
    <row r="3371" spans="1:13" x14ac:dyDescent="0.25">
      <c r="A3371" t="s">
        <v>87</v>
      </c>
      <c r="B3371" s="6" t="s">
        <v>95</v>
      </c>
      <c r="C3371" s="13">
        <v>107</v>
      </c>
      <c r="D3371" s="14" t="s">
        <v>91</v>
      </c>
      <c r="E3371">
        <v>12</v>
      </c>
      <c r="F3371" s="8">
        <f>VLOOKUP(financials[[#This Row],[productid]],Products!$B$2:$H$10,3)</f>
        <v>15</v>
      </c>
      <c r="G3371" s="8">
        <f>financials[[#This Row],[Units Sold]]*financials[[#This Row],[Sale Price]]</f>
        <v>180</v>
      </c>
      <c r="H3371" s="8">
        <f>IF(financials[[#This Row],[Discount Band]]="low",0.1,IF(financials[[#This Row],[Discount Band]]="medium",0.15,0.3))</f>
        <v>0.1</v>
      </c>
      <c r="I3371" s="8">
        <f>financials[[#This Row],[Gross Sales]]-financials[[#This Row],[Gross Sales]]*financials[[#This Row],[Discounts]]</f>
        <v>162</v>
      </c>
      <c r="J3371" s="8">
        <f>VLOOKUP(financials[[#This Row],[productid]],Products!$B$2:$H$10,4)</f>
        <v>5.5</v>
      </c>
      <c r="K3371" s="8">
        <f>financials[[#This Row],[Net Sales]]-financials[[#This Row],[COGS]]</f>
        <v>156.5</v>
      </c>
      <c r="L3371" s="15">
        <v>43918</v>
      </c>
      <c r="M3371" t="s">
        <v>691</v>
      </c>
    </row>
    <row r="3372" spans="1:13" x14ac:dyDescent="0.25">
      <c r="A3372" t="s">
        <v>89</v>
      </c>
      <c r="B3372" s="6" t="s">
        <v>124</v>
      </c>
      <c r="C3372" s="13">
        <v>105</v>
      </c>
      <c r="D3372" s="14" t="s">
        <v>83</v>
      </c>
      <c r="E3372">
        <v>18</v>
      </c>
      <c r="F3372" s="8">
        <f>VLOOKUP(financials[[#This Row],[productid]],Products!$B$2:$H$10,3)</f>
        <v>15</v>
      </c>
      <c r="G3372" s="8">
        <f>financials[[#This Row],[Units Sold]]*financials[[#This Row],[Sale Price]]</f>
        <v>270</v>
      </c>
      <c r="H3372" s="8">
        <f>IF(financials[[#This Row],[Discount Band]]="low",0.1,IF(financials[[#This Row],[Discount Band]]="medium",0.15,0.3))</f>
        <v>0.3</v>
      </c>
      <c r="I3372" s="8">
        <f>financials[[#This Row],[Gross Sales]]-financials[[#This Row],[Gross Sales]]*financials[[#This Row],[Discounts]]</f>
        <v>189</v>
      </c>
      <c r="J3372" s="8">
        <f>VLOOKUP(financials[[#This Row],[productid]],Products!$B$2:$H$10,4)</f>
        <v>10</v>
      </c>
      <c r="K3372" s="8">
        <f>financials[[#This Row],[Net Sales]]-financials[[#This Row],[COGS]]</f>
        <v>179</v>
      </c>
      <c r="L3372" s="15">
        <v>44338</v>
      </c>
      <c r="M3372" t="s">
        <v>691</v>
      </c>
    </row>
    <row r="3373" spans="1:13" x14ac:dyDescent="0.25">
      <c r="A3373" t="s">
        <v>86</v>
      </c>
      <c r="B3373" s="6" t="s">
        <v>96</v>
      </c>
      <c r="C3373" s="11">
        <v>106</v>
      </c>
      <c r="D3373" s="9" t="s">
        <v>91</v>
      </c>
      <c r="E3373">
        <v>14</v>
      </c>
      <c r="F3373" s="8">
        <f>VLOOKUP(financials[[#This Row],[productid]],Products!$B$2:$H$10,3)</f>
        <v>25</v>
      </c>
      <c r="G3373" s="8">
        <f>financials[[#This Row],[Units Sold]]*financials[[#This Row],[Sale Price]]</f>
        <v>350</v>
      </c>
      <c r="H3373" s="8">
        <f>IF(financials[[#This Row],[Discount Band]]="low",0.1,IF(financials[[#This Row],[Discount Band]]="medium",0.15,0.3))</f>
        <v>0.1</v>
      </c>
      <c r="I3373" s="8">
        <f>financials[[#This Row],[Gross Sales]]-financials[[#This Row],[Gross Sales]]*financials[[#This Row],[Discounts]]</f>
        <v>315</v>
      </c>
      <c r="J3373" s="8">
        <f>VLOOKUP(financials[[#This Row],[productid]],Products!$B$2:$H$10,4)</f>
        <v>9.1</v>
      </c>
      <c r="K3373" s="8">
        <f>financials[[#This Row],[Net Sales]]-financials[[#This Row],[COGS]]</f>
        <v>305.89999999999998</v>
      </c>
      <c r="L3373" s="15">
        <v>44443</v>
      </c>
      <c r="M3373" t="s">
        <v>700</v>
      </c>
    </row>
    <row r="3374" spans="1:13" x14ac:dyDescent="0.25">
      <c r="A3374" t="s">
        <v>86</v>
      </c>
      <c r="B3374" s="6" t="s">
        <v>158</v>
      </c>
      <c r="C3374" s="13">
        <v>106</v>
      </c>
      <c r="D3374" s="14" t="s">
        <v>83</v>
      </c>
      <c r="E3374">
        <v>6</v>
      </c>
      <c r="F3374" s="8">
        <f>VLOOKUP(financials[[#This Row],[productid]],Products!$B$2:$H$10,3)</f>
        <v>25</v>
      </c>
      <c r="G3374" s="8">
        <f>financials[[#This Row],[Units Sold]]*financials[[#This Row],[Sale Price]]</f>
        <v>150</v>
      </c>
      <c r="H3374" s="8">
        <f>IF(financials[[#This Row],[Discount Band]]="low",0.1,IF(financials[[#This Row],[Discount Band]]="medium",0.15,0.3))</f>
        <v>0.3</v>
      </c>
      <c r="I3374" s="8">
        <f>financials[[#This Row],[Gross Sales]]-financials[[#This Row],[Gross Sales]]*financials[[#This Row],[Discounts]]</f>
        <v>105</v>
      </c>
      <c r="J3374" s="8">
        <f>VLOOKUP(financials[[#This Row],[productid]],Products!$B$2:$H$10,4)</f>
        <v>9.1</v>
      </c>
      <c r="K3374" s="8">
        <f>financials[[#This Row],[Net Sales]]-financials[[#This Row],[COGS]]</f>
        <v>95.9</v>
      </c>
      <c r="L3374" s="15">
        <v>44857</v>
      </c>
      <c r="M3374" t="s">
        <v>696</v>
      </c>
    </row>
    <row r="3375" spans="1:13" x14ac:dyDescent="0.25">
      <c r="A3375" t="s">
        <v>87</v>
      </c>
      <c r="B3375" s="6" t="s">
        <v>268</v>
      </c>
      <c r="C3375" s="13">
        <v>103</v>
      </c>
      <c r="D3375" s="14" t="s">
        <v>92</v>
      </c>
      <c r="E3375">
        <v>17</v>
      </c>
      <c r="F3375" s="8">
        <f>VLOOKUP(financials[[#This Row],[productid]],Products!$B$2:$H$10,3)</f>
        <v>28</v>
      </c>
      <c r="G3375" s="8">
        <f>financials[[#This Row],[Units Sold]]*financials[[#This Row],[Sale Price]]</f>
        <v>476</v>
      </c>
      <c r="H3375" s="8">
        <f>IF(financials[[#This Row],[Discount Band]]="low",0.1,IF(financials[[#This Row],[Discount Band]]="medium",0.15,0.3))</f>
        <v>0.3</v>
      </c>
      <c r="I3375" s="8">
        <f>financials[[#This Row],[Gross Sales]]-financials[[#This Row],[Gross Sales]]*financials[[#This Row],[Discounts]]</f>
        <v>333.20000000000005</v>
      </c>
      <c r="J3375" s="8">
        <f>VLOOKUP(financials[[#This Row],[productid]],Products!$B$2:$H$10,4)</f>
        <v>15</v>
      </c>
      <c r="K3375" s="8">
        <f>financials[[#This Row],[Net Sales]]-financials[[#This Row],[COGS]]</f>
        <v>318.20000000000005</v>
      </c>
      <c r="L3375" s="15">
        <v>44747</v>
      </c>
      <c r="M3375" t="s">
        <v>700</v>
      </c>
    </row>
    <row r="3376" spans="1:13" x14ac:dyDescent="0.25">
      <c r="A3376" t="s">
        <v>87</v>
      </c>
      <c r="B3376" s="6" t="s">
        <v>276</v>
      </c>
      <c r="C3376" s="13">
        <v>106</v>
      </c>
      <c r="D3376" s="14" t="s">
        <v>91</v>
      </c>
      <c r="E3376">
        <v>8</v>
      </c>
      <c r="F3376" s="8">
        <f>VLOOKUP(financials[[#This Row],[productid]],Products!$B$2:$H$10,3)</f>
        <v>25</v>
      </c>
      <c r="G3376" s="8">
        <f>financials[[#This Row],[Units Sold]]*financials[[#This Row],[Sale Price]]</f>
        <v>200</v>
      </c>
      <c r="H3376" s="8">
        <f>IF(financials[[#This Row],[Discount Band]]="low",0.1,IF(financials[[#This Row],[Discount Band]]="medium",0.15,0.3))</f>
        <v>0.1</v>
      </c>
      <c r="I3376" s="8">
        <f>financials[[#This Row],[Gross Sales]]-financials[[#This Row],[Gross Sales]]*financials[[#This Row],[Discounts]]</f>
        <v>180</v>
      </c>
      <c r="J3376" s="8">
        <f>VLOOKUP(financials[[#This Row],[productid]],Products!$B$2:$H$10,4)</f>
        <v>9.1</v>
      </c>
      <c r="K3376" s="8">
        <f>financials[[#This Row],[Net Sales]]-financials[[#This Row],[COGS]]</f>
        <v>170.9</v>
      </c>
      <c r="L3376" s="15">
        <v>44827</v>
      </c>
      <c r="M3376" t="s">
        <v>700</v>
      </c>
    </row>
    <row r="3377" spans="1:13" x14ac:dyDescent="0.25">
      <c r="A3377" t="s">
        <v>88</v>
      </c>
      <c r="B3377" s="6" t="s">
        <v>95</v>
      </c>
      <c r="C3377" s="13">
        <v>103</v>
      </c>
      <c r="D3377" s="14" t="s">
        <v>83</v>
      </c>
      <c r="E3377">
        <v>17</v>
      </c>
      <c r="F3377" s="8">
        <f>VLOOKUP(financials[[#This Row],[productid]],Products!$B$2:$H$10,3)</f>
        <v>28</v>
      </c>
      <c r="G3377" s="8">
        <f>financials[[#This Row],[Units Sold]]*financials[[#This Row],[Sale Price]]</f>
        <v>476</v>
      </c>
      <c r="H3377" s="8">
        <f>IF(financials[[#This Row],[Discount Band]]="low",0.1,IF(financials[[#This Row],[Discount Band]]="medium",0.15,0.3))</f>
        <v>0.3</v>
      </c>
      <c r="I3377" s="8">
        <f>financials[[#This Row],[Gross Sales]]-financials[[#This Row],[Gross Sales]]*financials[[#This Row],[Discounts]]</f>
        <v>333.20000000000005</v>
      </c>
      <c r="J3377" s="8">
        <f>VLOOKUP(financials[[#This Row],[productid]],Products!$B$2:$H$10,4)</f>
        <v>15</v>
      </c>
      <c r="K3377" s="8">
        <f>financials[[#This Row],[Net Sales]]-financials[[#This Row],[COGS]]</f>
        <v>318.20000000000005</v>
      </c>
      <c r="L3377" s="15">
        <v>43945</v>
      </c>
      <c r="M3377" t="s">
        <v>700</v>
      </c>
    </row>
    <row r="3378" spans="1:13" x14ac:dyDescent="0.25">
      <c r="A3378" t="s">
        <v>87</v>
      </c>
      <c r="B3378" s="6" t="s">
        <v>276</v>
      </c>
      <c r="C3378" s="13">
        <v>108</v>
      </c>
      <c r="D3378" s="14" t="s">
        <v>91</v>
      </c>
      <c r="E3378">
        <v>14</v>
      </c>
      <c r="F3378" s="8">
        <f>VLOOKUP(financials[[#This Row],[productid]],Products!$B$2:$H$10,3)</f>
        <v>5.5</v>
      </c>
      <c r="G3378" s="8">
        <f>financials[[#This Row],[Units Sold]]*financials[[#This Row],[Sale Price]]</f>
        <v>77</v>
      </c>
      <c r="H3378" s="8">
        <f>IF(financials[[#This Row],[Discount Band]]="low",0.1,IF(financials[[#This Row],[Discount Band]]="medium",0.15,0.3))</f>
        <v>0.1</v>
      </c>
      <c r="I3378" s="8">
        <f>financials[[#This Row],[Gross Sales]]-financials[[#This Row],[Gross Sales]]*financials[[#This Row],[Discounts]]</f>
        <v>69.3</v>
      </c>
      <c r="J3378" s="8">
        <f>VLOOKUP(financials[[#This Row],[productid]],Products!$B$2:$H$10,4)</f>
        <v>3.99</v>
      </c>
      <c r="K3378" s="8">
        <f>financials[[#This Row],[Net Sales]]-financials[[#This Row],[COGS]]</f>
        <v>65.31</v>
      </c>
      <c r="L3378" s="15">
        <v>44879</v>
      </c>
      <c r="M3378" t="s">
        <v>700</v>
      </c>
    </row>
    <row r="3379" spans="1:13" x14ac:dyDescent="0.25">
      <c r="A3379" t="s">
        <v>86</v>
      </c>
      <c r="B3379" s="6" t="s">
        <v>158</v>
      </c>
      <c r="C3379" s="13">
        <v>101</v>
      </c>
      <c r="D3379" s="14" t="s">
        <v>90</v>
      </c>
      <c r="E3379">
        <v>10</v>
      </c>
      <c r="F3379" s="8">
        <f>VLOOKUP(financials[[#This Row],[productid]],Products!$B$2:$H$10,3)</f>
        <v>23</v>
      </c>
      <c r="G3379" s="8">
        <f>financials[[#This Row],[Units Sold]]*financials[[#This Row],[Sale Price]]</f>
        <v>230</v>
      </c>
      <c r="H3379" s="8">
        <f>IF(financials[[#This Row],[Discount Band]]="low",0.1,IF(financials[[#This Row],[Discount Band]]="medium",0.15,0.3))</f>
        <v>0.15</v>
      </c>
      <c r="I3379" s="8">
        <f>financials[[#This Row],[Gross Sales]]-financials[[#This Row],[Gross Sales]]*financials[[#This Row],[Discounts]]</f>
        <v>195.5</v>
      </c>
      <c r="J3379" s="8">
        <f>VLOOKUP(financials[[#This Row],[productid]],Products!$B$2:$H$10,4)</f>
        <v>9.9499999999999993</v>
      </c>
      <c r="K3379" s="8">
        <f>financials[[#This Row],[Net Sales]]-financials[[#This Row],[COGS]]</f>
        <v>185.55</v>
      </c>
      <c r="L3379" s="15">
        <v>44493</v>
      </c>
      <c r="M3379" t="s">
        <v>697</v>
      </c>
    </row>
    <row r="3380" spans="1:13" x14ac:dyDescent="0.25">
      <c r="A3380" t="s">
        <v>86</v>
      </c>
      <c r="B3380" s="6" t="s">
        <v>158</v>
      </c>
      <c r="C3380" s="13">
        <v>109</v>
      </c>
      <c r="D3380" s="14" t="s">
        <v>83</v>
      </c>
      <c r="E3380">
        <v>19</v>
      </c>
      <c r="F3380" s="8">
        <f>VLOOKUP(financials[[#This Row],[productid]],Products!$B$2:$H$10,3)</f>
        <v>36</v>
      </c>
      <c r="G3380" s="8">
        <f>financials[[#This Row],[Units Sold]]*financials[[#This Row],[Sale Price]]</f>
        <v>684</v>
      </c>
      <c r="H3380" s="8">
        <f>IF(financials[[#This Row],[Discount Band]]="low",0.1,IF(financials[[#This Row],[Discount Band]]="medium",0.15,0.3))</f>
        <v>0.3</v>
      </c>
      <c r="I3380" s="8">
        <f>financials[[#This Row],[Gross Sales]]-financials[[#This Row],[Gross Sales]]*financials[[#This Row],[Discounts]]</f>
        <v>478.8</v>
      </c>
      <c r="J3380" s="8">
        <f>VLOOKUP(financials[[#This Row],[productid]],Products!$B$2:$H$10,4)</f>
        <v>16.8</v>
      </c>
      <c r="K3380" s="8">
        <f>financials[[#This Row],[Net Sales]]-financials[[#This Row],[COGS]]</f>
        <v>462</v>
      </c>
      <c r="L3380" s="15">
        <v>44453</v>
      </c>
      <c r="M3380" t="s">
        <v>696</v>
      </c>
    </row>
    <row r="3381" spans="1:13" x14ac:dyDescent="0.25">
      <c r="A3381" t="s">
        <v>86</v>
      </c>
      <c r="B3381" s="6" t="s">
        <v>274</v>
      </c>
      <c r="C3381" s="13">
        <v>102</v>
      </c>
      <c r="D3381" s="14" t="s">
        <v>91</v>
      </c>
      <c r="E3381">
        <v>9</v>
      </c>
      <c r="F3381" s="8">
        <f>VLOOKUP(financials[[#This Row],[productid]],Products!$B$2:$H$10,3)</f>
        <v>15</v>
      </c>
      <c r="G3381" s="8">
        <f>financials[[#This Row],[Units Sold]]*financials[[#This Row],[Sale Price]]</f>
        <v>135</v>
      </c>
      <c r="H3381" s="8">
        <f>IF(financials[[#This Row],[Discount Band]]="low",0.1,IF(financials[[#This Row],[Discount Band]]="medium",0.15,0.3))</f>
        <v>0.1</v>
      </c>
      <c r="I3381" s="8">
        <f>financials[[#This Row],[Gross Sales]]-financials[[#This Row],[Gross Sales]]*financials[[#This Row],[Discounts]]</f>
        <v>121.5</v>
      </c>
      <c r="J3381" s="8">
        <f>VLOOKUP(financials[[#This Row],[productid]],Products!$B$2:$H$10,4)</f>
        <v>13.95</v>
      </c>
      <c r="K3381" s="8">
        <f>financials[[#This Row],[Net Sales]]-financials[[#This Row],[COGS]]</f>
        <v>107.55</v>
      </c>
      <c r="L3381" s="15">
        <v>44962</v>
      </c>
      <c r="M3381" t="s">
        <v>691</v>
      </c>
    </row>
    <row r="3382" spans="1:13" x14ac:dyDescent="0.25">
      <c r="A3382" t="s">
        <v>88</v>
      </c>
      <c r="B3382" s="6" t="s">
        <v>228</v>
      </c>
      <c r="C3382" s="13">
        <v>105</v>
      </c>
      <c r="D3382" s="14" t="s">
        <v>83</v>
      </c>
      <c r="E3382">
        <v>20</v>
      </c>
      <c r="F3382" s="8">
        <f>VLOOKUP(financials[[#This Row],[productid]],Products!$B$2:$H$10,3)</f>
        <v>15</v>
      </c>
      <c r="G3382" s="8">
        <f>financials[[#This Row],[Units Sold]]*financials[[#This Row],[Sale Price]]</f>
        <v>300</v>
      </c>
      <c r="H3382" s="8">
        <f>IF(financials[[#This Row],[Discount Band]]="low",0.1,IF(financials[[#This Row],[Discount Band]]="medium",0.15,0.3))</f>
        <v>0.3</v>
      </c>
      <c r="I3382" s="8">
        <f>financials[[#This Row],[Gross Sales]]-financials[[#This Row],[Gross Sales]]*financials[[#This Row],[Discounts]]</f>
        <v>210</v>
      </c>
      <c r="J3382" s="8">
        <f>VLOOKUP(financials[[#This Row],[productid]],Products!$B$2:$H$10,4)</f>
        <v>10</v>
      </c>
      <c r="K3382" s="8">
        <f>financials[[#This Row],[Net Sales]]-financials[[#This Row],[COGS]]</f>
        <v>200</v>
      </c>
      <c r="L3382" s="15">
        <v>44482</v>
      </c>
      <c r="M3382" t="s">
        <v>697</v>
      </c>
    </row>
    <row r="3383" spans="1:13" x14ac:dyDescent="0.25">
      <c r="A3383" t="s">
        <v>88</v>
      </c>
      <c r="B3383" s="6" t="s">
        <v>96</v>
      </c>
      <c r="C3383" s="13">
        <v>107</v>
      </c>
      <c r="D3383" s="14" t="s">
        <v>83</v>
      </c>
      <c r="E3383">
        <v>11</v>
      </c>
      <c r="F3383" s="8">
        <f>VLOOKUP(financials[[#This Row],[productid]],Products!$B$2:$H$10,3)</f>
        <v>15</v>
      </c>
      <c r="G3383" s="8">
        <f>financials[[#This Row],[Units Sold]]*financials[[#This Row],[Sale Price]]</f>
        <v>165</v>
      </c>
      <c r="H3383" s="8">
        <f>IF(financials[[#This Row],[Discount Band]]="low",0.1,IF(financials[[#This Row],[Discount Band]]="medium",0.15,0.3))</f>
        <v>0.3</v>
      </c>
      <c r="I3383" s="8">
        <f>financials[[#This Row],[Gross Sales]]-financials[[#This Row],[Gross Sales]]*financials[[#This Row],[Discounts]]</f>
        <v>115.5</v>
      </c>
      <c r="J3383" s="8">
        <f>VLOOKUP(financials[[#This Row],[productid]],Products!$B$2:$H$10,4)</f>
        <v>5.5</v>
      </c>
      <c r="K3383" s="8">
        <f>financials[[#This Row],[Net Sales]]-financials[[#This Row],[COGS]]</f>
        <v>110</v>
      </c>
      <c r="L3383" s="15">
        <v>44035</v>
      </c>
      <c r="M3383" t="s">
        <v>700</v>
      </c>
    </row>
    <row r="3384" spans="1:13" x14ac:dyDescent="0.25">
      <c r="A3384" t="s">
        <v>86</v>
      </c>
      <c r="B3384" s="6" t="s">
        <v>124</v>
      </c>
      <c r="C3384" s="13">
        <v>101</v>
      </c>
      <c r="D3384" s="14" t="s">
        <v>91</v>
      </c>
      <c r="E3384">
        <v>14</v>
      </c>
      <c r="F3384" s="8">
        <f>VLOOKUP(financials[[#This Row],[productid]],Products!$B$2:$H$10,3)</f>
        <v>23</v>
      </c>
      <c r="G3384" s="8">
        <f>financials[[#This Row],[Units Sold]]*financials[[#This Row],[Sale Price]]</f>
        <v>322</v>
      </c>
      <c r="H3384" s="8">
        <f>IF(financials[[#This Row],[Discount Band]]="low",0.1,IF(financials[[#This Row],[Discount Band]]="medium",0.15,0.3))</f>
        <v>0.1</v>
      </c>
      <c r="I3384" s="8">
        <f>financials[[#This Row],[Gross Sales]]-financials[[#This Row],[Gross Sales]]*financials[[#This Row],[Discounts]]</f>
        <v>289.8</v>
      </c>
      <c r="J3384" s="8">
        <f>VLOOKUP(financials[[#This Row],[productid]],Products!$B$2:$H$10,4)</f>
        <v>9.9499999999999993</v>
      </c>
      <c r="K3384" s="8">
        <f>financials[[#This Row],[Net Sales]]-financials[[#This Row],[COGS]]</f>
        <v>279.85000000000002</v>
      </c>
      <c r="L3384" s="15">
        <v>44373</v>
      </c>
      <c r="M3384" t="s">
        <v>696</v>
      </c>
    </row>
    <row r="3385" spans="1:13" x14ac:dyDescent="0.25">
      <c r="A3385" t="s">
        <v>88</v>
      </c>
      <c r="B3385" s="6" t="s">
        <v>158</v>
      </c>
      <c r="C3385" s="11">
        <v>101</v>
      </c>
      <c r="D3385" s="9" t="s">
        <v>90</v>
      </c>
      <c r="E3385">
        <v>10</v>
      </c>
      <c r="F3385" s="8">
        <f>VLOOKUP(financials[[#This Row],[productid]],Products!$B$2:$H$10,3)</f>
        <v>23</v>
      </c>
      <c r="G3385" s="8">
        <f>financials[[#This Row],[Units Sold]]*financials[[#This Row],[Sale Price]]</f>
        <v>230</v>
      </c>
      <c r="H3385" s="8">
        <f>IF(financials[[#This Row],[Discount Band]]="low",0.1,IF(financials[[#This Row],[Discount Band]]="medium",0.15,0.3))</f>
        <v>0.15</v>
      </c>
      <c r="I3385" s="8">
        <f>financials[[#This Row],[Gross Sales]]-financials[[#This Row],[Gross Sales]]*financials[[#This Row],[Discounts]]</f>
        <v>195.5</v>
      </c>
      <c r="J3385" s="8">
        <f>VLOOKUP(financials[[#This Row],[productid]],Products!$B$2:$H$10,4)</f>
        <v>9.9499999999999993</v>
      </c>
      <c r="K3385" s="8">
        <f>financials[[#This Row],[Net Sales]]-financials[[#This Row],[COGS]]</f>
        <v>185.55</v>
      </c>
      <c r="L3385" s="15">
        <v>44657</v>
      </c>
      <c r="M3385" t="s">
        <v>691</v>
      </c>
    </row>
    <row r="3386" spans="1:13" x14ac:dyDescent="0.25">
      <c r="A3386" t="s">
        <v>88</v>
      </c>
      <c r="B3386" s="6" t="s">
        <v>617</v>
      </c>
      <c r="C3386" s="13">
        <v>106</v>
      </c>
      <c r="D3386" s="14" t="s">
        <v>91</v>
      </c>
      <c r="E3386">
        <v>18</v>
      </c>
      <c r="F3386" s="8">
        <f>VLOOKUP(financials[[#This Row],[productid]],Products!$B$2:$H$10,3)</f>
        <v>25</v>
      </c>
      <c r="G3386" s="8">
        <f>financials[[#This Row],[Units Sold]]*financials[[#This Row],[Sale Price]]</f>
        <v>450</v>
      </c>
      <c r="H3386" s="8">
        <f>IF(financials[[#This Row],[Discount Band]]="low",0.1,IF(financials[[#This Row],[Discount Band]]="medium",0.15,0.3))</f>
        <v>0.1</v>
      </c>
      <c r="I3386" s="8">
        <f>financials[[#This Row],[Gross Sales]]-financials[[#This Row],[Gross Sales]]*financials[[#This Row],[Discounts]]</f>
        <v>405</v>
      </c>
      <c r="J3386" s="8">
        <f>VLOOKUP(financials[[#This Row],[productid]],Products!$B$2:$H$10,4)</f>
        <v>9.1</v>
      </c>
      <c r="K3386" s="8">
        <f>financials[[#This Row],[Net Sales]]-financials[[#This Row],[COGS]]</f>
        <v>395.9</v>
      </c>
      <c r="L3386" s="15">
        <v>45365</v>
      </c>
      <c r="M3386" t="s">
        <v>697</v>
      </c>
    </row>
    <row r="3387" spans="1:13" x14ac:dyDescent="0.25">
      <c r="A3387" t="s">
        <v>88</v>
      </c>
      <c r="B3387" s="6" t="s">
        <v>148</v>
      </c>
      <c r="C3387" s="13">
        <v>108</v>
      </c>
      <c r="D3387" s="14" t="s">
        <v>83</v>
      </c>
      <c r="E3387">
        <v>20</v>
      </c>
      <c r="F3387" s="8">
        <f>VLOOKUP(financials[[#This Row],[productid]],Products!$B$2:$H$10,3)</f>
        <v>5.5</v>
      </c>
      <c r="G3387" s="8">
        <f>financials[[#This Row],[Units Sold]]*financials[[#This Row],[Sale Price]]</f>
        <v>110</v>
      </c>
      <c r="H3387" s="8">
        <f>IF(financials[[#This Row],[Discount Band]]="low",0.1,IF(financials[[#This Row],[Discount Band]]="medium",0.15,0.3))</f>
        <v>0.3</v>
      </c>
      <c r="I3387" s="8">
        <f>financials[[#This Row],[Gross Sales]]-financials[[#This Row],[Gross Sales]]*financials[[#This Row],[Discounts]]</f>
        <v>77</v>
      </c>
      <c r="J3387" s="8">
        <f>VLOOKUP(financials[[#This Row],[productid]],Products!$B$2:$H$10,4)</f>
        <v>3.99</v>
      </c>
      <c r="K3387" s="8">
        <f>financials[[#This Row],[Net Sales]]-financials[[#This Row],[COGS]]</f>
        <v>73.010000000000005</v>
      </c>
      <c r="L3387" s="15">
        <v>45437</v>
      </c>
      <c r="M3387" t="s">
        <v>697</v>
      </c>
    </row>
    <row r="3388" spans="1:13" x14ac:dyDescent="0.25">
      <c r="A3388" t="s">
        <v>86</v>
      </c>
      <c r="B3388" s="6" t="s">
        <v>159</v>
      </c>
      <c r="C3388" s="11">
        <v>105</v>
      </c>
      <c r="D3388" s="9" t="s">
        <v>83</v>
      </c>
      <c r="E3388">
        <v>12</v>
      </c>
      <c r="F3388" s="8">
        <f>VLOOKUP(financials[[#This Row],[productid]],Products!$B$2:$H$10,3)</f>
        <v>15</v>
      </c>
      <c r="G3388" s="8">
        <f>financials[[#This Row],[Units Sold]]*financials[[#This Row],[Sale Price]]</f>
        <v>180</v>
      </c>
      <c r="H3388" s="8">
        <f>IF(financials[[#This Row],[Discount Band]]="low",0.1,IF(financials[[#This Row],[Discount Band]]="medium",0.15,0.3))</f>
        <v>0.3</v>
      </c>
      <c r="I3388" s="8">
        <f>financials[[#This Row],[Gross Sales]]-financials[[#This Row],[Gross Sales]]*financials[[#This Row],[Discounts]]</f>
        <v>126</v>
      </c>
      <c r="J3388" s="8">
        <f>VLOOKUP(financials[[#This Row],[productid]],Products!$B$2:$H$10,4)</f>
        <v>10</v>
      </c>
      <c r="K3388" s="8">
        <f>financials[[#This Row],[Net Sales]]-financials[[#This Row],[COGS]]</f>
        <v>116</v>
      </c>
      <c r="L3388" s="15">
        <v>45403</v>
      </c>
      <c r="M3388" t="s">
        <v>691</v>
      </c>
    </row>
    <row r="3389" spans="1:13" x14ac:dyDescent="0.25">
      <c r="A3389" t="s">
        <v>89</v>
      </c>
      <c r="B3389" s="6" t="s">
        <v>124</v>
      </c>
      <c r="C3389" s="13">
        <v>102</v>
      </c>
      <c r="D3389" s="14" t="s">
        <v>92</v>
      </c>
      <c r="E3389">
        <v>11</v>
      </c>
      <c r="F3389" s="8">
        <f>VLOOKUP(financials[[#This Row],[productid]],Products!$B$2:$H$10,3)</f>
        <v>15</v>
      </c>
      <c r="G3389" s="8">
        <f>financials[[#This Row],[Units Sold]]*financials[[#This Row],[Sale Price]]</f>
        <v>165</v>
      </c>
      <c r="H3389" s="8">
        <f>IF(financials[[#This Row],[Discount Band]]="low",0.1,IF(financials[[#This Row],[Discount Band]]="medium",0.15,0.3))</f>
        <v>0.3</v>
      </c>
      <c r="I3389" s="8">
        <f>financials[[#This Row],[Gross Sales]]-financials[[#This Row],[Gross Sales]]*financials[[#This Row],[Discounts]]</f>
        <v>115.5</v>
      </c>
      <c r="J3389" s="8">
        <f>VLOOKUP(financials[[#This Row],[productid]],Products!$B$2:$H$10,4)</f>
        <v>13.95</v>
      </c>
      <c r="K3389" s="8">
        <f>financials[[#This Row],[Net Sales]]-financials[[#This Row],[COGS]]</f>
        <v>101.55</v>
      </c>
      <c r="L3389" s="15">
        <v>45553</v>
      </c>
      <c r="M3389" t="s">
        <v>697</v>
      </c>
    </row>
    <row r="3390" spans="1:13" x14ac:dyDescent="0.25">
      <c r="A3390" t="s">
        <v>86</v>
      </c>
      <c r="B3390" s="6" t="s">
        <v>159</v>
      </c>
      <c r="C3390" s="13">
        <v>107</v>
      </c>
      <c r="D3390" s="14" t="s">
        <v>83</v>
      </c>
      <c r="E3390">
        <v>11</v>
      </c>
      <c r="F3390" s="8">
        <f>VLOOKUP(financials[[#This Row],[productid]],Products!$B$2:$H$10,3)</f>
        <v>15</v>
      </c>
      <c r="G3390" s="8">
        <f>financials[[#This Row],[Units Sold]]*financials[[#This Row],[Sale Price]]</f>
        <v>165</v>
      </c>
      <c r="H3390" s="8">
        <f>IF(financials[[#This Row],[Discount Band]]="low",0.1,IF(financials[[#This Row],[Discount Band]]="medium",0.15,0.3))</f>
        <v>0.3</v>
      </c>
      <c r="I3390" s="8">
        <f>financials[[#This Row],[Gross Sales]]-financials[[#This Row],[Gross Sales]]*financials[[#This Row],[Discounts]]</f>
        <v>115.5</v>
      </c>
      <c r="J3390" s="8">
        <f>VLOOKUP(financials[[#This Row],[productid]],Products!$B$2:$H$10,4)</f>
        <v>5.5</v>
      </c>
      <c r="K3390" s="8">
        <f>financials[[#This Row],[Net Sales]]-financials[[#This Row],[COGS]]</f>
        <v>110</v>
      </c>
      <c r="L3390" s="15">
        <v>45269</v>
      </c>
      <c r="M3390" t="s">
        <v>691</v>
      </c>
    </row>
    <row r="3391" spans="1:13" x14ac:dyDescent="0.25">
      <c r="A3391" t="s">
        <v>88</v>
      </c>
      <c r="B3391" s="6" t="s">
        <v>274</v>
      </c>
      <c r="C3391" s="11">
        <v>106</v>
      </c>
      <c r="D3391" s="9" t="s">
        <v>83</v>
      </c>
      <c r="E3391">
        <v>6</v>
      </c>
      <c r="F3391" s="8">
        <f>VLOOKUP(financials[[#This Row],[productid]],Products!$B$2:$H$10,3)</f>
        <v>25</v>
      </c>
      <c r="G3391" s="8">
        <f>financials[[#This Row],[Units Sold]]*financials[[#This Row],[Sale Price]]</f>
        <v>150</v>
      </c>
      <c r="H3391" s="8">
        <f>IF(financials[[#This Row],[Discount Band]]="low",0.1,IF(financials[[#This Row],[Discount Band]]="medium",0.15,0.3))</f>
        <v>0.3</v>
      </c>
      <c r="I3391" s="8">
        <f>financials[[#This Row],[Gross Sales]]-financials[[#This Row],[Gross Sales]]*financials[[#This Row],[Discounts]]</f>
        <v>105</v>
      </c>
      <c r="J3391" s="8">
        <f>VLOOKUP(financials[[#This Row],[productid]],Products!$B$2:$H$10,4)</f>
        <v>9.1</v>
      </c>
      <c r="K3391" s="8">
        <f>financials[[#This Row],[Net Sales]]-financials[[#This Row],[COGS]]</f>
        <v>95.9</v>
      </c>
      <c r="L3391" s="15">
        <v>45456</v>
      </c>
      <c r="M3391" t="s">
        <v>700</v>
      </c>
    </row>
    <row r="3392" spans="1:13" x14ac:dyDescent="0.25">
      <c r="A3392" t="s">
        <v>88</v>
      </c>
      <c r="B3392" s="6" t="s">
        <v>228</v>
      </c>
      <c r="C3392" s="13">
        <v>102</v>
      </c>
      <c r="D3392" s="14" t="s">
        <v>92</v>
      </c>
      <c r="E3392">
        <v>16</v>
      </c>
      <c r="F3392" s="8">
        <f>VLOOKUP(financials[[#This Row],[productid]],Products!$B$2:$H$10,3)</f>
        <v>15</v>
      </c>
      <c r="G3392" s="8">
        <f>financials[[#This Row],[Units Sold]]*financials[[#This Row],[Sale Price]]</f>
        <v>240</v>
      </c>
      <c r="H3392" s="8">
        <f>IF(financials[[#This Row],[Discount Band]]="low",0.1,IF(financials[[#This Row],[Discount Band]]="medium",0.15,0.3))</f>
        <v>0.3</v>
      </c>
      <c r="I3392" s="8">
        <f>financials[[#This Row],[Gross Sales]]-financials[[#This Row],[Gross Sales]]*financials[[#This Row],[Discounts]]</f>
        <v>168</v>
      </c>
      <c r="J3392" s="8">
        <f>VLOOKUP(financials[[#This Row],[productid]],Products!$B$2:$H$10,4)</f>
        <v>13.95</v>
      </c>
      <c r="K3392" s="8">
        <f>financials[[#This Row],[Net Sales]]-financials[[#This Row],[COGS]]</f>
        <v>154.05000000000001</v>
      </c>
      <c r="L3392" s="15">
        <v>45269</v>
      </c>
      <c r="M3392" t="s">
        <v>697</v>
      </c>
    </row>
    <row r="3393" spans="1:13" x14ac:dyDescent="0.25">
      <c r="A3393" t="s">
        <v>88</v>
      </c>
      <c r="B3393" s="6" t="s">
        <v>228</v>
      </c>
      <c r="C3393" s="13">
        <v>102</v>
      </c>
      <c r="D3393" s="14" t="s">
        <v>83</v>
      </c>
      <c r="E3393">
        <v>12</v>
      </c>
      <c r="F3393" s="8">
        <f>VLOOKUP(financials[[#This Row],[productid]],Products!$B$2:$H$10,3)</f>
        <v>15</v>
      </c>
      <c r="G3393" s="8">
        <f>financials[[#This Row],[Units Sold]]*financials[[#This Row],[Sale Price]]</f>
        <v>180</v>
      </c>
      <c r="H3393" s="8">
        <f>IF(financials[[#This Row],[Discount Band]]="low",0.1,IF(financials[[#This Row],[Discount Band]]="medium",0.15,0.3))</f>
        <v>0.3</v>
      </c>
      <c r="I3393" s="8">
        <f>financials[[#This Row],[Gross Sales]]-financials[[#This Row],[Gross Sales]]*financials[[#This Row],[Discounts]]</f>
        <v>126</v>
      </c>
      <c r="J3393" s="8">
        <f>VLOOKUP(financials[[#This Row],[productid]],Products!$B$2:$H$10,4)</f>
        <v>13.95</v>
      </c>
      <c r="K3393" s="8">
        <f>financials[[#This Row],[Net Sales]]-financials[[#This Row],[COGS]]</f>
        <v>112.05</v>
      </c>
      <c r="L3393" s="15">
        <v>45072</v>
      </c>
      <c r="M3393" t="s">
        <v>696</v>
      </c>
    </row>
    <row r="3394" spans="1:13" x14ac:dyDescent="0.25">
      <c r="A3394" t="s">
        <v>86</v>
      </c>
      <c r="B3394" s="6" t="s">
        <v>159</v>
      </c>
      <c r="C3394" s="13">
        <v>107</v>
      </c>
      <c r="D3394" s="14" t="s">
        <v>83</v>
      </c>
      <c r="E3394">
        <v>14</v>
      </c>
      <c r="F3394" s="8">
        <f>VLOOKUP(financials[[#This Row],[productid]],Products!$B$2:$H$10,3)</f>
        <v>15</v>
      </c>
      <c r="G3394" s="8">
        <f>financials[[#This Row],[Units Sold]]*financials[[#This Row],[Sale Price]]</f>
        <v>210</v>
      </c>
      <c r="H3394" s="8">
        <f>IF(financials[[#This Row],[Discount Band]]="low",0.1,IF(financials[[#This Row],[Discount Band]]="medium",0.15,0.3))</f>
        <v>0.3</v>
      </c>
      <c r="I3394" s="8">
        <f>financials[[#This Row],[Gross Sales]]-financials[[#This Row],[Gross Sales]]*financials[[#This Row],[Discounts]]</f>
        <v>147</v>
      </c>
      <c r="J3394" s="8">
        <f>VLOOKUP(financials[[#This Row],[productid]],Products!$B$2:$H$10,4)</f>
        <v>5.5</v>
      </c>
      <c r="K3394" s="8">
        <f>financials[[#This Row],[Net Sales]]-financials[[#This Row],[COGS]]</f>
        <v>141.5</v>
      </c>
      <c r="L3394" s="15">
        <v>44777</v>
      </c>
      <c r="M3394" t="s">
        <v>700</v>
      </c>
    </row>
    <row r="3395" spans="1:13" x14ac:dyDescent="0.25">
      <c r="A3395" t="s">
        <v>86</v>
      </c>
      <c r="B3395" s="6" t="s">
        <v>617</v>
      </c>
      <c r="C3395" s="11">
        <v>103</v>
      </c>
      <c r="D3395" s="9" t="s">
        <v>90</v>
      </c>
      <c r="E3395">
        <v>7</v>
      </c>
      <c r="F3395" s="8">
        <f>VLOOKUP(financials[[#This Row],[productid]],Products!$B$2:$H$10,3)</f>
        <v>28</v>
      </c>
      <c r="G3395" s="8">
        <f>financials[[#This Row],[Units Sold]]*financials[[#This Row],[Sale Price]]</f>
        <v>196</v>
      </c>
      <c r="H3395" s="8">
        <f>IF(financials[[#This Row],[Discount Band]]="low",0.1,IF(financials[[#This Row],[Discount Band]]="medium",0.15,0.3))</f>
        <v>0.15</v>
      </c>
      <c r="I3395" s="8">
        <f>financials[[#This Row],[Gross Sales]]-financials[[#This Row],[Gross Sales]]*financials[[#This Row],[Discounts]]</f>
        <v>166.6</v>
      </c>
      <c r="J3395" s="8">
        <f>VLOOKUP(financials[[#This Row],[productid]],Products!$B$2:$H$10,4)</f>
        <v>15</v>
      </c>
      <c r="K3395" s="8">
        <f>financials[[#This Row],[Net Sales]]-financials[[#This Row],[COGS]]</f>
        <v>151.6</v>
      </c>
      <c r="L3395" s="15">
        <v>45152</v>
      </c>
      <c r="M3395" t="s">
        <v>690</v>
      </c>
    </row>
    <row r="3396" spans="1:13" x14ac:dyDescent="0.25">
      <c r="A3396" t="s">
        <v>86</v>
      </c>
      <c r="B3396" s="6" t="s">
        <v>148</v>
      </c>
      <c r="C3396" s="13">
        <v>107</v>
      </c>
      <c r="D3396" s="14" t="s">
        <v>90</v>
      </c>
      <c r="E3396">
        <v>16</v>
      </c>
      <c r="F3396" s="8">
        <f>VLOOKUP(financials[[#This Row],[productid]],Products!$B$2:$H$10,3)</f>
        <v>15</v>
      </c>
      <c r="G3396" s="8">
        <f>financials[[#This Row],[Units Sold]]*financials[[#This Row],[Sale Price]]</f>
        <v>240</v>
      </c>
      <c r="H3396" s="8">
        <f>IF(financials[[#This Row],[Discount Band]]="low",0.1,IF(financials[[#This Row],[Discount Band]]="medium",0.15,0.3))</f>
        <v>0.15</v>
      </c>
      <c r="I3396" s="8">
        <f>financials[[#This Row],[Gross Sales]]-financials[[#This Row],[Gross Sales]]*financials[[#This Row],[Discounts]]</f>
        <v>204</v>
      </c>
      <c r="J3396" s="8">
        <f>VLOOKUP(financials[[#This Row],[productid]],Products!$B$2:$H$10,4)</f>
        <v>5.5</v>
      </c>
      <c r="K3396" s="8">
        <f>financials[[#This Row],[Net Sales]]-financials[[#This Row],[COGS]]</f>
        <v>198.5</v>
      </c>
      <c r="L3396" s="15">
        <v>44507</v>
      </c>
      <c r="M3396" t="s">
        <v>700</v>
      </c>
    </row>
    <row r="3397" spans="1:13" x14ac:dyDescent="0.25">
      <c r="A3397" t="s">
        <v>88</v>
      </c>
      <c r="B3397" s="6" t="s">
        <v>125</v>
      </c>
      <c r="C3397" s="11">
        <v>107</v>
      </c>
      <c r="D3397" s="9" t="s">
        <v>83</v>
      </c>
      <c r="E3397">
        <v>10</v>
      </c>
      <c r="F3397" s="8">
        <f>VLOOKUP(financials[[#This Row],[productid]],Products!$B$2:$H$10,3)</f>
        <v>15</v>
      </c>
      <c r="G3397" s="8">
        <f>financials[[#This Row],[Units Sold]]*financials[[#This Row],[Sale Price]]</f>
        <v>150</v>
      </c>
      <c r="H3397" s="8">
        <f>IF(financials[[#This Row],[Discount Band]]="low",0.1,IF(financials[[#This Row],[Discount Band]]="medium",0.15,0.3))</f>
        <v>0.3</v>
      </c>
      <c r="I3397" s="8">
        <f>financials[[#This Row],[Gross Sales]]-financials[[#This Row],[Gross Sales]]*financials[[#This Row],[Discounts]]</f>
        <v>105</v>
      </c>
      <c r="J3397" s="8">
        <f>VLOOKUP(financials[[#This Row],[productid]],Products!$B$2:$H$10,4)</f>
        <v>5.5</v>
      </c>
      <c r="K3397" s="8">
        <f>financials[[#This Row],[Net Sales]]-financials[[#This Row],[COGS]]</f>
        <v>99.5</v>
      </c>
      <c r="L3397" s="15">
        <v>45482</v>
      </c>
      <c r="M3397" t="s">
        <v>696</v>
      </c>
    </row>
    <row r="3398" spans="1:13" x14ac:dyDescent="0.25">
      <c r="A3398" t="s">
        <v>88</v>
      </c>
      <c r="B3398" s="6" t="s">
        <v>148</v>
      </c>
      <c r="C3398" s="11">
        <v>103</v>
      </c>
      <c r="D3398" s="9" t="s">
        <v>90</v>
      </c>
      <c r="E3398">
        <v>12</v>
      </c>
      <c r="F3398" s="8">
        <f>VLOOKUP(financials[[#This Row],[productid]],Products!$B$2:$H$10,3)</f>
        <v>28</v>
      </c>
      <c r="G3398" s="8">
        <f>financials[[#This Row],[Units Sold]]*financials[[#This Row],[Sale Price]]</f>
        <v>336</v>
      </c>
      <c r="H3398" s="8">
        <f>IF(financials[[#This Row],[Discount Band]]="low",0.1,IF(financials[[#This Row],[Discount Band]]="medium",0.15,0.3))</f>
        <v>0.15</v>
      </c>
      <c r="I3398" s="8">
        <f>financials[[#This Row],[Gross Sales]]-financials[[#This Row],[Gross Sales]]*financials[[#This Row],[Discounts]]</f>
        <v>285.60000000000002</v>
      </c>
      <c r="J3398" s="8">
        <f>VLOOKUP(financials[[#This Row],[productid]],Products!$B$2:$H$10,4)</f>
        <v>15</v>
      </c>
      <c r="K3398" s="8">
        <f>financials[[#This Row],[Net Sales]]-financials[[#This Row],[COGS]]</f>
        <v>270.60000000000002</v>
      </c>
      <c r="L3398" s="15">
        <v>43888</v>
      </c>
      <c r="M3398" t="s">
        <v>696</v>
      </c>
    </row>
    <row r="3399" spans="1:13" x14ac:dyDescent="0.25">
      <c r="A3399" t="s">
        <v>88</v>
      </c>
      <c r="B3399" s="6" t="s">
        <v>228</v>
      </c>
      <c r="C3399" s="13">
        <v>102</v>
      </c>
      <c r="D3399" s="14" t="s">
        <v>83</v>
      </c>
      <c r="E3399">
        <v>20</v>
      </c>
      <c r="F3399" s="8">
        <f>VLOOKUP(financials[[#This Row],[productid]],Products!$B$2:$H$10,3)</f>
        <v>15</v>
      </c>
      <c r="G3399" s="8">
        <f>financials[[#This Row],[Units Sold]]*financials[[#This Row],[Sale Price]]</f>
        <v>300</v>
      </c>
      <c r="H3399" s="8">
        <f>IF(financials[[#This Row],[Discount Band]]="low",0.1,IF(financials[[#This Row],[Discount Band]]="medium",0.15,0.3))</f>
        <v>0.3</v>
      </c>
      <c r="I3399" s="8">
        <f>financials[[#This Row],[Gross Sales]]-financials[[#This Row],[Gross Sales]]*financials[[#This Row],[Discounts]]</f>
        <v>210</v>
      </c>
      <c r="J3399" s="8">
        <f>VLOOKUP(financials[[#This Row],[productid]],Products!$B$2:$H$10,4)</f>
        <v>13.95</v>
      </c>
      <c r="K3399" s="8">
        <f>financials[[#This Row],[Net Sales]]-financials[[#This Row],[COGS]]</f>
        <v>196.05</v>
      </c>
      <c r="L3399" s="15">
        <v>44741</v>
      </c>
      <c r="M3399" t="s">
        <v>696</v>
      </c>
    </row>
    <row r="3400" spans="1:13" x14ac:dyDescent="0.25">
      <c r="A3400" t="s">
        <v>88</v>
      </c>
      <c r="B3400" s="6" t="s">
        <v>645</v>
      </c>
      <c r="C3400" s="13">
        <v>104</v>
      </c>
      <c r="D3400" s="14" t="s">
        <v>91</v>
      </c>
      <c r="E3400">
        <v>20</v>
      </c>
      <c r="F3400" s="8">
        <f>VLOOKUP(financials[[#This Row],[productid]],Products!$B$2:$H$10,3)</f>
        <v>5.9</v>
      </c>
      <c r="G3400" s="8">
        <f>financials[[#This Row],[Units Sold]]*financials[[#This Row],[Sale Price]]</f>
        <v>118</v>
      </c>
      <c r="H3400" s="8">
        <f>IF(financials[[#This Row],[Discount Band]]="low",0.1,IF(financials[[#This Row],[Discount Band]]="medium",0.15,0.3))</f>
        <v>0.1</v>
      </c>
      <c r="I3400" s="8">
        <f>financials[[#This Row],[Gross Sales]]-financials[[#This Row],[Gross Sales]]*financials[[#This Row],[Discounts]]</f>
        <v>106.2</v>
      </c>
      <c r="J3400" s="8">
        <f>VLOOKUP(financials[[#This Row],[productid]],Products!$B$2:$H$10,4)</f>
        <v>2.9</v>
      </c>
      <c r="K3400" s="8">
        <f>financials[[#This Row],[Net Sales]]-financials[[#This Row],[COGS]]</f>
        <v>103.3</v>
      </c>
      <c r="L3400" s="15">
        <v>45586</v>
      </c>
      <c r="M3400" t="s">
        <v>696</v>
      </c>
    </row>
    <row r="3401" spans="1:13" x14ac:dyDescent="0.25">
      <c r="A3401" t="s">
        <v>88</v>
      </c>
      <c r="B3401" s="6" t="s">
        <v>274</v>
      </c>
      <c r="C3401" s="13">
        <v>104</v>
      </c>
      <c r="D3401" s="14" t="s">
        <v>83</v>
      </c>
      <c r="E3401">
        <v>6</v>
      </c>
      <c r="F3401" s="8">
        <f>VLOOKUP(financials[[#This Row],[productid]],Products!$B$2:$H$10,3)</f>
        <v>5.9</v>
      </c>
      <c r="G3401" s="8">
        <f>financials[[#This Row],[Units Sold]]*financials[[#This Row],[Sale Price]]</f>
        <v>35.400000000000006</v>
      </c>
      <c r="H3401" s="8">
        <f>IF(financials[[#This Row],[Discount Band]]="low",0.1,IF(financials[[#This Row],[Discount Band]]="medium",0.15,0.3))</f>
        <v>0.3</v>
      </c>
      <c r="I3401" s="8">
        <f>financials[[#This Row],[Gross Sales]]-financials[[#This Row],[Gross Sales]]*financials[[#This Row],[Discounts]]</f>
        <v>24.780000000000005</v>
      </c>
      <c r="J3401" s="8">
        <f>VLOOKUP(financials[[#This Row],[productid]],Products!$B$2:$H$10,4)</f>
        <v>2.9</v>
      </c>
      <c r="K3401" s="8">
        <f>financials[[#This Row],[Net Sales]]-financials[[#This Row],[COGS]]</f>
        <v>21.880000000000006</v>
      </c>
      <c r="L3401" s="15">
        <v>44648</v>
      </c>
      <c r="M3401" t="s">
        <v>690</v>
      </c>
    </row>
    <row r="3402" spans="1:13" x14ac:dyDescent="0.25">
      <c r="A3402" t="s">
        <v>86</v>
      </c>
      <c r="B3402" s="6" t="s">
        <v>287</v>
      </c>
      <c r="C3402" s="13">
        <v>101</v>
      </c>
      <c r="D3402" s="14" t="s">
        <v>91</v>
      </c>
      <c r="E3402">
        <v>10</v>
      </c>
      <c r="F3402" s="8">
        <f>VLOOKUP(financials[[#This Row],[productid]],Products!$B$2:$H$10,3)</f>
        <v>23</v>
      </c>
      <c r="G3402" s="8">
        <f>financials[[#This Row],[Units Sold]]*financials[[#This Row],[Sale Price]]</f>
        <v>230</v>
      </c>
      <c r="H3402" s="8">
        <f>IF(financials[[#This Row],[Discount Band]]="low",0.1,IF(financials[[#This Row],[Discount Band]]="medium",0.15,0.3))</f>
        <v>0.1</v>
      </c>
      <c r="I3402" s="8">
        <f>financials[[#This Row],[Gross Sales]]-financials[[#This Row],[Gross Sales]]*financials[[#This Row],[Discounts]]</f>
        <v>207</v>
      </c>
      <c r="J3402" s="8">
        <f>VLOOKUP(financials[[#This Row],[productid]],Products!$B$2:$H$10,4)</f>
        <v>9.9499999999999993</v>
      </c>
      <c r="K3402" s="8">
        <f>financials[[#This Row],[Net Sales]]-financials[[#This Row],[COGS]]</f>
        <v>197.05</v>
      </c>
      <c r="L3402" s="15">
        <v>44233</v>
      </c>
      <c r="M3402" t="s">
        <v>691</v>
      </c>
    </row>
    <row r="3403" spans="1:13" x14ac:dyDescent="0.25">
      <c r="A3403" t="s">
        <v>86</v>
      </c>
      <c r="B3403" s="6" t="s">
        <v>158</v>
      </c>
      <c r="C3403" s="13">
        <v>101</v>
      </c>
      <c r="D3403" s="14" t="s">
        <v>83</v>
      </c>
      <c r="E3403">
        <v>14</v>
      </c>
      <c r="F3403" s="8">
        <f>VLOOKUP(financials[[#This Row],[productid]],Products!$B$2:$H$10,3)</f>
        <v>23</v>
      </c>
      <c r="G3403" s="8">
        <f>financials[[#This Row],[Units Sold]]*financials[[#This Row],[Sale Price]]</f>
        <v>322</v>
      </c>
      <c r="H3403" s="8">
        <f>IF(financials[[#This Row],[Discount Band]]="low",0.1,IF(financials[[#This Row],[Discount Band]]="medium",0.15,0.3))</f>
        <v>0.3</v>
      </c>
      <c r="I3403" s="8">
        <f>financials[[#This Row],[Gross Sales]]-financials[[#This Row],[Gross Sales]]*financials[[#This Row],[Discounts]]</f>
        <v>225.4</v>
      </c>
      <c r="J3403" s="8">
        <f>VLOOKUP(financials[[#This Row],[productid]],Products!$B$2:$H$10,4)</f>
        <v>9.9499999999999993</v>
      </c>
      <c r="K3403" s="8">
        <f>financials[[#This Row],[Net Sales]]-financials[[#This Row],[COGS]]</f>
        <v>215.45000000000002</v>
      </c>
      <c r="L3403" s="15">
        <v>45027</v>
      </c>
      <c r="M3403" t="s">
        <v>690</v>
      </c>
    </row>
    <row r="3404" spans="1:13" x14ac:dyDescent="0.25">
      <c r="A3404" t="s">
        <v>86</v>
      </c>
      <c r="B3404" s="6" t="s">
        <v>240</v>
      </c>
      <c r="C3404" s="13">
        <v>101</v>
      </c>
      <c r="D3404" s="14" t="s">
        <v>91</v>
      </c>
      <c r="E3404">
        <v>8</v>
      </c>
      <c r="F3404" s="8">
        <f>VLOOKUP(financials[[#This Row],[productid]],Products!$B$2:$H$10,3)</f>
        <v>23</v>
      </c>
      <c r="G3404" s="8">
        <f>financials[[#This Row],[Units Sold]]*financials[[#This Row],[Sale Price]]</f>
        <v>184</v>
      </c>
      <c r="H3404" s="8">
        <f>IF(financials[[#This Row],[Discount Band]]="low",0.1,IF(financials[[#This Row],[Discount Band]]="medium",0.15,0.3))</f>
        <v>0.1</v>
      </c>
      <c r="I3404" s="8">
        <f>financials[[#This Row],[Gross Sales]]-financials[[#This Row],[Gross Sales]]*financials[[#This Row],[Discounts]]</f>
        <v>165.6</v>
      </c>
      <c r="J3404" s="8">
        <f>VLOOKUP(financials[[#This Row],[productid]],Products!$B$2:$H$10,4)</f>
        <v>9.9499999999999993</v>
      </c>
      <c r="K3404" s="8">
        <f>financials[[#This Row],[Net Sales]]-financials[[#This Row],[COGS]]</f>
        <v>155.65</v>
      </c>
      <c r="L3404" s="15">
        <v>44236</v>
      </c>
      <c r="M3404" t="s">
        <v>700</v>
      </c>
    </row>
    <row r="3405" spans="1:13" x14ac:dyDescent="0.25">
      <c r="A3405" t="s">
        <v>86</v>
      </c>
      <c r="B3405" s="6" t="s">
        <v>148</v>
      </c>
      <c r="C3405" s="13">
        <v>105</v>
      </c>
      <c r="D3405" s="14" t="s">
        <v>91</v>
      </c>
      <c r="E3405">
        <v>15</v>
      </c>
      <c r="F3405" s="8">
        <f>VLOOKUP(financials[[#This Row],[productid]],Products!$B$2:$H$10,3)</f>
        <v>15</v>
      </c>
      <c r="G3405" s="8">
        <f>financials[[#This Row],[Units Sold]]*financials[[#This Row],[Sale Price]]</f>
        <v>225</v>
      </c>
      <c r="H3405" s="8">
        <f>IF(financials[[#This Row],[Discount Band]]="low",0.1,IF(financials[[#This Row],[Discount Band]]="medium",0.15,0.3))</f>
        <v>0.1</v>
      </c>
      <c r="I3405" s="8">
        <f>financials[[#This Row],[Gross Sales]]-financials[[#This Row],[Gross Sales]]*financials[[#This Row],[Discounts]]</f>
        <v>202.5</v>
      </c>
      <c r="J3405" s="8">
        <f>VLOOKUP(financials[[#This Row],[productid]],Products!$B$2:$H$10,4)</f>
        <v>10</v>
      </c>
      <c r="K3405" s="8">
        <f>financials[[#This Row],[Net Sales]]-financials[[#This Row],[COGS]]</f>
        <v>192.5</v>
      </c>
      <c r="L3405" s="15">
        <v>45068</v>
      </c>
      <c r="M3405" t="s">
        <v>696</v>
      </c>
    </row>
    <row r="3406" spans="1:13" x14ac:dyDescent="0.25">
      <c r="A3406" t="s">
        <v>87</v>
      </c>
      <c r="B3406" s="6" t="s">
        <v>273</v>
      </c>
      <c r="C3406" s="13">
        <v>104</v>
      </c>
      <c r="D3406" s="14" t="s">
        <v>91</v>
      </c>
      <c r="E3406">
        <v>17</v>
      </c>
      <c r="F3406" s="8">
        <f>VLOOKUP(financials[[#This Row],[productid]],Products!$B$2:$H$10,3)</f>
        <v>5.9</v>
      </c>
      <c r="G3406" s="8">
        <f>financials[[#This Row],[Units Sold]]*financials[[#This Row],[Sale Price]]</f>
        <v>100.30000000000001</v>
      </c>
      <c r="H3406" s="8">
        <f>IF(financials[[#This Row],[Discount Band]]="low",0.1,IF(financials[[#This Row],[Discount Band]]="medium",0.15,0.3))</f>
        <v>0.1</v>
      </c>
      <c r="I3406" s="8">
        <f>financials[[#This Row],[Gross Sales]]-financials[[#This Row],[Gross Sales]]*financials[[#This Row],[Discounts]]</f>
        <v>90.27000000000001</v>
      </c>
      <c r="J3406" s="8">
        <f>VLOOKUP(financials[[#This Row],[productid]],Products!$B$2:$H$10,4)</f>
        <v>2.9</v>
      </c>
      <c r="K3406" s="8">
        <f>financials[[#This Row],[Net Sales]]-financials[[#This Row],[COGS]]</f>
        <v>87.37</v>
      </c>
      <c r="L3406" s="15">
        <v>43993</v>
      </c>
      <c r="M3406" t="s">
        <v>697</v>
      </c>
    </row>
    <row r="3407" spans="1:13" x14ac:dyDescent="0.25">
      <c r="A3407" t="s">
        <v>89</v>
      </c>
      <c r="B3407" s="6" t="s">
        <v>124</v>
      </c>
      <c r="C3407" s="13">
        <v>107</v>
      </c>
      <c r="D3407" s="14" t="s">
        <v>91</v>
      </c>
      <c r="E3407">
        <v>19</v>
      </c>
      <c r="F3407" s="8">
        <f>VLOOKUP(financials[[#This Row],[productid]],Products!$B$2:$H$10,3)</f>
        <v>15</v>
      </c>
      <c r="G3407" s="8">
        <f>financials[[#This Row],[Units Sold]]*financials[[#This Row],[Sale Price]]</f>
        <v>285</v>
      </c>
      <c r="H3407" s="8">
        <f>IF(financials[[#This Row],[Discount Band]]="low",0.1,IF(financials[[#This Row],[Discount Band]]="medium",0.15,0.3))</f>
        <v>0.1</v>
      </c>
      <c r="I3407" s="8">
        <f>financials[[#This Row],[Gross Sales]]-financials[[#This Row],[Gross Sales]]*financials[[#This Row],[Discounts]]</f>
        <v>256.5</v>
      </c>
      <c r="J3407" s="8">
        <f>VLOOKUP(financials[[#This Row],[productid]],Products!$B$2:$H$10,4)</f>
        <v>5.5</v>
      </c>
      <c r="K3407" s="8">
        <f>financials[[#This Row],[Net Sales]]-financials[[#This Row],[COGS]]</f>
        <v>251</v>
      </c>
      <c r="L3407" s="15">
        <v>43859</v>
      </c>
      <c r="M3407" t="s">
        <v>697</v>
      </c>
    </row>
    <row r="3408" spans="1:13" x14ac:dyDescent="0.25">
      <c r="A3408" t="s">
        <v>88</v>
      </c>
      <c r="B3408" s="6" t="s">
        <v>240</v>
      </c>
      <c r="C3408" s="13">
        <v>104</v>
      </c>
      <c r="D3408" s="14" t="s">
        <v>90</v>
      </c>
      <c r="E3408">
        <v>12</v>
      </c>
      <c r="F3408" s="8">
        <f>VLOOKUP(financials[[#This Row],[productid]],Products!$B$2:$H$10,3)</f>
        <v>5.9</v>
      </c>
      <c r="G3408" s="8">
        <f>financials[[#This Row],[Units Sold]]*financials[[#This Row],[Sale Price]]</f>
        <v>70.800000000000011</v>
      </c>
      <c r="H3408" s="8">
        <f>IF(financials[[#This Row],[Discount Band]]="low",0.1,IF(financials[[#This Row],[Discount Band]]="medium",0.15,0.3))</f>
        <v>0.15</v>
      </c>
      <c r="I3408" s="8">
        <f>financials[[#This Row],[Gross Sales]]-financials[[#This Row],[Gross Sales]]*financials[[#This Row],[Discounts]]</f>
        <v>60.180000000000007</v>
      </c>
      <c r="J3408" s="8">
        <f>VLOOKUP(financials[[#This Row],[productid]],Products!$B$2:$H$10,4)</f>
        <v>2.9</v>
      </c>
      <c r="K3408" s="8">
        <f>financials[[#This Row],[Net Sales]]-financials[[#This Row],[COGS]]</f>
        <v>57.280000000000008</v>
      </c>
      <c r="L3408" s="15">
        <v>45081</v>
      </c>
      <c r="M3408" t="s">
        <v>697</v>
      </c>
    </row>
    <row r="3409" spans="1:13" x14ac:dyDescent="0.25">
      <c r="A3409" t="s">
        <v>89</v>
      </c>
      <c r="B3409" s="6" t="s">
        <v>124</v>
      </c>
      <c r="C3409" s="13">
        <v>109</v>
      </c>
      <c r="D3409" s="14" t="s">
        <v>90</v>
      </c>
      <c r="E3409">
        <v>10</v>
      </c>
      <c r="F3409" s="8">
        <f>VLOOKUP(financials[[#This Row],[productid]],Products!$B$2:$H$10,3)</f>
        <v>36</v>
      </c>
      <c r="G3409" s="8">
        <f>financials[[#This Row],[Units Sold]]*financials[[#This Row],[Sale Price]]</f>
        <v>360</v>
      </c>
      <c r="H3409" s="8">
        <f>IF(financials[[#This Row],[Discount Band]]="low",0.1,IF(financials[[#This Row],[Discount Band]]="medium",0.15,0.3))</f>
        <v>0.15</v>
      </c>
      <c r="I3409" s="8">
        <f>financials[[#This Row],[Gross Sales]]-financials[[#This Row],[Gross Sales]]*financials[[#This Row],[Discounts]]</f>
        <v>306</v>
      </c>
      <c r="J3409" s="8">
        <f>VLOOKUP(financials[[#This Row],[productid]],Products!$B$2:$H$10,4)</f>
        <v>16.8</v>
      </c>
      <c r="K3409" s="8">
        <f>financials[[#This Row],[Net Sales]]-financials[[#This Row],[COGS]]</f>
        <v>289.2</v>
      </c>
      <c r="L3409" s="15">
        <v>45630</v>
      </c>
      <c r="M3409" t="s">
        <v>696</v>
      </c>
    </row>
    <row r="3410" spans="1:13" x14ac:dyDescent="0.25">
      <c r="A3410" t="s">
        <v>86</v>
      </c>
      <c r="B3410" s="6" t="s">
        <v>124</v>
      </c>
      <c r="C3410" s="13">
        <v>102</v>
      </c>
      <c r="D3410" s="14" t="s">
        <v>90</v>
      </c>
      <c r="E3410">
        <v>18</v>
      </c>
      <c r="F3410" s="8">
        <f>VLOOKUP(financials[[#This Row],[productid]],Products!$B$2:$H$10,3)</f>
        <v>15</v>
      </c>
      <c r="G3410" s="8">
        <f>financials[[#This Row],[Units Sold]]*financials[[#This Row],[Sale Price]]</f>
        <v>270</v>
      </c>
      <c r="H3410" s="8">
        <f>IF(financials[[#This Row],[Discount Band]]="low",0.1,IF(financials[[#This Row],[Discount Band]]="medium",0.15,0.3))</f>
        <v>0.15</v>
      </c>
      <c r="I3410" s="8">
        <f>financials[[#This Row],[Gross Sales]]-financials[[#This Row],[Gross Sales]]*financials[[#This Row],[Discounts]]</f>
        <v>229.5</v>
      </c>
      <c r="J3410" s="8">
        <f>VLOOKUP(financials[[#This Row],[productid]],Products!$B$2:$H$10,4)</f>
        <v>13.95</v>
      </c>
      <c r="K3410" s="8">
        <f>financials[[#This Row],[Net Sales]]-financials[[#This Row],[COGS]]</f>
        <v>215.55</v>
      </c>
      <c r="L3410" s="15">
        <v>45317</v>
      </c>
      <c r="M3410" t="s">
        <v>690</v>
      </c>
    </row>
    <row r="3411" spans="1:13" x14ac:dyDescent="0.25">
      <c r="A3411" t="s">
        <v>86</v>
      </c>
      <c r="B3411" s="6" t="s">
        <v>159</v>
      </c>
      <c r="C3411" s="13">
        <v>102</v>
      </c>
      <c r="D3411" s="14" t="s">
        <v>83</v>
      </c>
      <c r="E3411">
        <v>19</v>
      </c>
      <c r="F3411" s="8">
        <f>VLOOKUP(financials[[#This Row],[productid]],Products!$B$2:$H$10,3)</f>
        <v>15</v>
      </c>
      <c r="G3411" s="8">
        <f>financials[[#This Row],[Units Sold]]*financials[[#This Row],[Sale Price]]</f>
        <v>285</v>
      </c>
      <c r="H3411" s="8">
        <f>IF(financials[[#This Row],[Discount Band]]="low",0.1,IF(financials[[#This Row],[Discount Band]]="medium",0.15,0.3))</f>
        <v>0.3</v>
      </c>
      <c r="I3411" s="8">
        <f>financials[[#This Row],[Gross Sales]]-financials[[#This Row],[Gross Sales]]*financials[[#This Row],[Discounts]]</f>
        <v>199.5</v>
      </c>
      <c r="J3411" s="8">
        <f>VLOOKUP(financials[[#This Row],[productid]],Products!$B$2:$H$10,4)</f>
        <v>13.95</v>
      </c>
      <c r="K3411" s="8">
        <f>financials[[#This Row],[Net Sales]]-financials[[#This Row],[COGS]]</f>
        <v>185.55</v>
      </c>
      <c r="L3411" s="15">
        <v>43855</v>
      </c>
      <c r="M3411" t="s">
        <v>690</v>
      </c>
    </row>
    <row r="3412" spans="1:13" x14ac:dyDescent="0.25">
      <c r="A3412" t="s">
        <v>86</v>
      </c>
      <c r="B3412" s="6" t="s">
        <v>617</v>
      </c>
      <c r="C3412" s="13">
        <v>102</v>
      </c>
      <c r="D3412" s="14" t="s">
        <v>91</v>
      </c>
      <c r="E3412">
        <v>13</v>
      </c>
      <c r="F3412" s="8">
        <f>VLOOKUP(financials[[#This Row],[productid]],Products!$B$2:$H$10,3)</f>
        <v>15</v>
      </c>
      <c r="G3412" s="8">
        <f>financials[[#This Row],[Units Sold]]*financials[[#This Row],[Sale Price]]</f>
        <v>195</v>
      </c>
      <c r="H3412" s="8">
        <f>IF(financials[[#This Row],[Discount Band]]="low",0.1,IF(financials[[#This Row],[Discount Band]]="medium",0.15,0.3))</f>
        <v>0.1</v>
      </c>
      <c r="I3412" s="8">
        <f>financials[[#This Row],[Gross Sales]]-financials[[#This Row],[Gross Sales]]*financials[[#This Row],[Discounts]]</f>
        <v>175.5</v>
      </c>
      <c r="J3412" s="8">
        <f>VLOOKUP(financials[[#This Row],[productid]],Products!$B$2:$H$10,4)</f>
        <v>13.95</v>
      </c>
      <c r="K3412" s="8">
        <f>financials[[#This Row],[Net Sales]]-financials[[#This Row],[COGS]]</f>
        <v>161.55000000000001</v>
      </c>
      <c r="L3412" s="15">
        <v>44515</v>
      </c>
      <c r="M3412" t="s">
        <v>691</v>
      </c>
    </row>
    <row r="3413" spans="1:13" x14ac:dyDescent="0.25">
      <c r="A3413" t="s">
        <v>86</v>
      </c>
      <c r="B3413" s="6" t="s">
        <v>266</v>
      </c>
      <c r="C3413" s="13">
        <v>107</v>
      </c>
      <c r="D3413" s="14" t="s">
        <v>91</v>
      </c>
      <c r="E3413">
        <v>15</v>
      </c>
      <c r="F3413" s="8">
        <f>VLOOKUP(financials[[#This Row],[productid]],Products!$B$2:$H$10,3)</f>
        <v>15</v>
      </c>
      <c r="G3413" s="8">
        <f>financials[[#This Row],[Units Sold]]*financials[[#This Row],[Sale Price]]</f>
        <v>225</v>
      </c>
      <c r="H3413" s="8">
        <f>IF(financials[[#This Row],[Discount Band]]="low",0.1,IF(financials[[#This Row],[Discount Band]]="medium",0.15,0.3))</f>
        <v>0.1</v>
      </c>
      <c r="I3413" s="8">
        <f>financials[[#This Row],[Gross Sales]]-financials[[#This Row],[Gross Sales]]*financials[[#This Row],[Discounts]]</f>
        <v>202.5</v>
      </c>
      <c r="J3413" s="8">
        <f>VLOOKUP(financials[[#This Row],[productid]],Products!$B$2:$H$10,4)</f>
        <v>5.5</v>
      </c>
      <c r="K3413" s="8">
        <f>financials[[#This Row],[Net Sales]]-financials[[#This Row],[COGS]]</f>
        <v>197</v>
      </c>
      <c r="L3413" s="15">
        <v>44386</v>
      </c>
      <c r="M3413" t="s">
        <v>690</v>
      </c>
    </row>
    <row r="3414" spans="1:13" x14ac:dyDescent="0.25">
      <c r="A3414" t="s">
        <v>86</v>
      </c>
      <c r="B3414" s="6" t="s">
        <v>274</v>
      </c>
      <c r="C3414" s="13">
        <v>108</v>
      </c>
      <c r="D3414" s="14" t="s">
        <v>83</v>
      </c>
      <c r="E3414">
        <v>8</v>
      </c>
      <c r="F3414" s="8">
        <f>VLOOKUP(financials[[#This Row],[productid]],Products!$B$2:$H$10,3)</f>
        <v>5.5</v>
      </c>
      <c r="G3414" s="8">
        <f>financials[[#This Row],[Units Sold]]*financials[[#This Row],[Sale Price]]</f>
        <v>44</v>
      </c>
      <c r="H3414" s="8">
        <f>IF(financials[[#This Row],[Discount Band]]="low",0.1,IF(financials[[#This Row],[Discount Band]]="medium",0.15,0.3))</f>
        <v>0.3</v>
      </c>
      <c r="I3414" s="8">
        <f>financials[[#This Row],[Gross Sales]]-financials[[#This Row],[Gross Sales]]*financials[[#This Row],[Discounts]]</f>
        <v>30.8</v>
      </c>
      <c r="J3414" s="8">
        <f>VLOOKUP(financials[[#This Row],[productid]],Products!$B$2:$H$10,4)</f>
        <v>3.99</v>
      </c>
      <c r="K3414" s="8">
        <f>financials[[#This Row],[Net Sales]]-financials[[#This Row],[COGS]]</f>
        <v>26.810000000000002</v>
      </c>
      <c r="L3414" s="15">
        <v>44835</v>
      </c>
      <c r="M3414" t="s">
        <v>690</v>
      </c>
    </row>
    <row r="3415" spans="1:13" x14ac:dyDescent="0.25">
      <c r="A3415" t="s">
        <v>88</v>
      </c>
      <c r="B3415" s="6" t="s">
        <v>645</v>
      </c>
      <c r="C3415" s="13">
        <v>109</v>
      </c>
      <c r="D3415" s="14" t="s">
        <v>91</v>
      </c>
      <c r="E3415">
        <v>7</v>
      </c>
      <c r="F3415" s="8">
        <f>VLOOKUP(financials[[#This Row],[productid]],Products!$B$2:$H$10,3)</f>
        <v>36</v>
      </c>
      <c r="G3415" s="8">
        <f>financials[[#This Row],[Units Sold]]*financials[[#This Row],[Sale Price]]</f>
        <v>252</v>
      </c>
      <c r="H3415" s="8">
        <f>IF(financials[[#This Row],[Discount Band]]="low",0.1,IF(financials[[#This Row],[Discount Band]]="medium",0.15,0.3))</f>
        <v>0.1</v>
      </c>
      <c r="I3415" s="8">
        <f>financials[[#This Row],[Gross Sales]]-financials[[#This Row],[Gross Sales]]*financials[[#This Row],[Discounts]]</f>
        <v>226.8</v>
      </c>
      <c r="J3415" s="8">
        <f>VLOOKUP(financials[[#This Row],[productid]],Products!$B$2:$H$10,4)</f>
        <v>16.8</v>
      </c>
      <c r="K3415" s="8">
        <f>financials[[#This Row],[Net Sales]]-financials[[#This Row],[COGS]]</f>
        <v>210</v>
      </c>
      <c r="L3415" s="15">
        <v>44627</v>
      </c>
      <c r="M3415" t="s">
        <v>696</v>
      </c>
    </row>
    <row r="3416" spans="1:13" x14ac:dyDescent="0.25">
      <c r="A3416" t="s">
        <v>88</v>
      </c>
      <c r="B3416" s="6" t="s">
        <v>94</v>
      </c>
      <c r="C3416" s="13">
        <v>102</v>
      </c>
      <c r="D3416" s="14" t="s">
        <v>90</v>
      </c>
      <c r="E3416">
        <v>9</v>
      </c>
      <c r="F3416" s="8">
        <f>VLOOKUP(financials[[#This Row],[productid]],Products!$B$2:$H$10,3)</f>
        <v>15</v>
      </c>
      <c r="G3416" s="8">
        <f>financials[[#This Row],[Units Sold]]*financials[[#This Row],[Sale Price]]</f>
        <v>135</v>
      </c>
      <c r="H3416" s="8">
        <f>IF(financials[[#This Row],[Discount Band]]="low",0.1,IF(financials[[#This Row],[Discount Band]]="medium",0.15,0.3))</f>
        <v>0.15</v>
      </c>
      <c r="I3416" s="8">
        <f>financials[[#This Row],[Gross Sales]]-financials[[#This Row],[Gross Sales]]*financials[[#This Row],[Discounts]]</f>
        <v>114.75</v>
      </c>
      <c r="J3416" s="8">
        <f>VLOOKUP(financials[[#This Row],[productid]],Products!$B$2:$H$10,4)</f>
        <v>13.95</v>
      </c>
      <c r="K3416" s="8">
        <f>financials[[#This Row],[Net Sales]]-financials[[#This Row],[COGS]]</f>
        <v>100.8</v>
      </c>
      <c r="L3416" s="15">
        <v>45118</v>
      </c>
      <c r="M3416" t="s">
        <v>696</v>
      </c>
    </row>
    <row r="3417" spans="1:13" x14ac:dyDescent="0.25">
      <c r="A3417" t="s">
        <v>87</v>
      </c>
      <c r="B3417" s="6" t="s">
        <v>276</v>
      </c>
      <c r="C3417" s="13">
        <v>106</v>
      </c>
      <c r="D3417" s="14" t="s">
        <v>90</v>
      </c>
      <c r="E3417">
        <v>20</v>
      </c>
      <c r="F3417" s="8">
        <f>VLOOKUP(financials[[#This Row],[productid]],Products!$B$2:$H$10,3)</f>
        <v>25</v>
      </c>
      <c r="G3417" s="8">
        <f>financials[[#This Row],[Units Sold]]*financials[[#This Row],[Sale Price]]</f>
        <v>500</v>
      </c>
      <c r="H3417" s="8">
        <f>IF(financials[[#This Row],[Discount Band]]="low",0.1,IF(financials[[#This Row],[Discount Band]]="medium",0.15,0.3))</f>
        <v>0.15</v>
      </c>
      <c r="I3417" s="8">
        <f>financials[[#This Row],[Gross Sales]]-financials[[#This Row],[Gross Sales]]*financials[[#This Row],[Discounts]]</f>
        <v>425</v>
      </c>
      <c r="J3417" s="8">
        <f>VLOOKUP(financials[[#This Row],[productid]],Products!$B$2:$H$10,4)</f>
        <v>9.1</v>
      </c>
      <c r="K3417" s="8">
        <f>financials[[#This Row],[Net Sales]]-financials[[#This Row],[COGS]]</f>
        <v>415.9</v>
      </c>
      <c r="L3417" s="15">
        <v>43892</v>
      </c>
      <c r="M3417" t="s">
        <v>691</v>
      </c>
    </row>
    <row r="3418" spans="1:13" x14ac:dyDescent="0.25">
      <c r="A3418" t="s">
        <v>86</v>
      </c>
      <c r="B3418" s="6" t="s">
        <v>159</v>
      </c>
      <c r="C3418" s="11">
        <v>105</v>
      </c>
      <c r="D3418" s="9" t="s">
        <v>90</v>
      </c>
      <c r="E3418">
        <v>17</v>
      </c>
      <c r="F3418" s="8">
        <f>VLOOKUP(financials[[#This Row],[productid]],Products!$B$2:$H$10,3)</f>
        <v>15</v>
      </c>
      <c r="G3418" s="8">
        <f>financials[[#This Row],[Units Sold]]*financials[[#This Row],[Sale Price]]</f>
        <v>255</v>
      </c>
      <c r="H3418" s="8">
        <f>IF(financials[[#This Row],[Discount Band]]="low",0.1,IF(financials[[#This Row],[Discount Band]]="medium",0.15,0.3))</f>
        <v>0.15</v>
      </c>
      <c r="I3418" s="8">
        <f>financials[[#This Row],[Gross Sales]]-financials[[#This Row],[Gross Sales]]*financials[[#This Row],[Discounts]]</f>
        <v>216.75</v>
      </c>
      <c r="J3418" s="8">
        <f>VLOOKUP(financials[[#This Row],[productid]],Products!$B$2:$H$10,4)</f>
        <v>10</v>
      </c>
      <c r="K3418" s="8">
        <f>financials[[#This Row],[Net Sales]]-financials[[#This Row],[COGS]]</f>
        <v>206.75</v>
      </c>
      <c r="L3418" s="15">
        <v>45145</v>
      </c>
      <c r="M3418" t="s">
        <v>690</v>
      </c>
    </row>
    <row r="3419" spans="1:13" x14ac:dyDescent="0.25">
      <c r="A3419" t="s">
        <v>86</v>
      </c>
      <c r="B3419" s="6" t="s">
        <v>125</v>
      </c>
      <c r="C3419" s="11">
        <v>106</v>
      </c>
      <c r="D3419" s="9" t="s">
        <v>90</v>
      </c>
      <c r="E3419">
        <v>10</v>
      </c>
      <c r="F3419" s="8">
        <f>VLOOKUP(financials[[#This Row],[productid]],Products!$B$2:$H$10,3)</f>
        <v>25</v>
      </c>
      <c r="G3419" s="8">
        <f>financials[[#This Row],[Units Sold]]*financials[[#This Row],[Sale Price]]</f>
        <v>250</v>
      </c>
      <c r="H3419" s="8">
        <f>IF(financials[[#This Row],[Discount Band]]="low",0.1,IF(financials[[#This Row],[Discount Band]]="medium",0.15,0.3))</f>
        <v>0.15</v>
      </c>
      <c r="I3419" s="8">
        <f>financials[[#This Row],[Gross Sales]]-financials[[#This Row],[Gross Sales]]*financials[[#This Row],[Discounts]]</f>
        <v>212.5</v>
      </c>
      <c r="J3419" s="8">
        <f>VLOOKUP(financials[[#This Row],[productid]],Products!$B$2:$H$10,4)</f>
        <v>9.1</v>
      </c>
      <c r="K3419" s="8">
        <f>financials[[#This Row],[Net Sales]]-financials[[#This Row],[COGS]]</f>
        <v>203.4</v>
      </c>
      <c r="L3419" s="15">
        <v>44844</v>
      </c>
      <c r="M3419" t="s">
        <v>690</v>
      </c>
    </row>
    <row r="3420" spans="1:13" x14ac:dyDescent="0.25">
      <c r="A3420" t="s">
        <v>86</v>
      </c>
      <c r="B3420" s="6" t="s">
        <v>645</v>
      </c>
      <c r="C3420" s="13">
        <v>108</v>
      </c>
      <c r="D3420" s="14" t="s">
        <v>92</v>
      </c>
      <c r="E3420">
        <v>18</v>
      </c>
      <c r="F3420" s="8">
        <f>VLOOKUP(financials[[#This Row],[productid]],Products!$B$2:$H$10,3)</f>
        <v>5.5</v>
      </c>
      <c r="G3420" s="8">
        <f>financials[[#This Row],[Units Sold]]*financials[[#This Row],[Sale Price]]</f>
        <v>99</v>
      </c>
      <c r="H3420" s="8">
        <f>IF(financials[[#This Row],[Discount Band]]="low",0.1,IF(financials[[#This Row],[Discount Band]]="medium",0.15,0.3))</f>
        <v>0.3</v>
      </c>
      <c r="I3420" s="8">
        <f>financials[[#This Row],[Gross Sales]]-financials[[#This Row],[Gross Sales]]*financials[[#This Row],[Discounts]]</f>
        <v>69.3</v>
      </c>
      <c r="J3420" s="8">
        <f>VLOOKUP(financials[[#This Row],[productid]],Products!$B$2:$H$10,4)</f>
        <v>3.99</v>
      </c>
      <c r="K3420" s="8">
        <f>financials[[#This Row],[Net Sales]]-financials[[#This Row],[COGS]]</f>
        <v>65.31</v>
      </c>
      <c r="L3420" s="15">
        <v>44168</v>
      </c>
      <c r="M3420" t="s">
        <v>700</v>
      </c>
    </row>
    <row r="3421" spans="1:13" x14ac:dyDescent="0.25">
      <c r="A3421" t="s">
        <v>86</v>
      </c>
      <c r="B3421" s="6" t="s">
        <v>93</v>
      </c>
      <c r="C3421" s="13">
        <v>101</v>
      </c>
      <c r="D3421" s="14" t="s">
        <v>91</v>
      </c>
      <c r="E3421">
        <v>16</v>
      </c>
      <c r="F3421" s="8">
        <f>VLOOKUP(financials[[#This Row],[productid]],Products!$B$2:$H$10,3)</f>
        <v>23</v>
      </c>
      <c r="G3421" s="8">
        <f>financials[[#This Row],[Units Sold]]*financials[[#This Row],[Sale Price]]</f>
        <v>368</v>
      </c>
      <c r="H3421" s="8">
        <f>IF(financials[[#This Row],[Discount Band]]="low",0.1,IF(financials[[#This Row],[Discount Band]]="medium",0.15,0.3))</f>
        <v>0.1</v>
      </c>
      <c r="I3421" s="8">
        <f>financials[[#This Row],[Gross Sales]]-financials[[#This Row],[Gross Sales]]*financials[[#This Row],[Discounts]]</f>
        <v>331.2</v>
      </c>
      <c r="J3421" s="8">
        <f>VLOOKUP(financials[[#This Row],[productid]],Products!$B$2:$H$10,4)</f>
        <v>9.9499999999999993</v>
      </c>
      <c r="K3421" s="8">
        <f>financials[[#This Row],[Net Sales]]-financials[[#This Row],[COGS]]</f>
        <v>321.25</v>
      </c>
      <c r="L3421" s="15">
        <v>45378</v>
      </c>
      <c r="M3421" t="s">
        <v>697</v>
      </c>
    </row>
    <row r="3422" spans="1:13" x14ac:dyDescent="0.25">
      <c r="A3422" t="s">
        <v>86</v>
      </c>
      <c r="B3422" s="6" t="s">
        <v>159</v>
      </c>
      <c r="C3422" s="11">
        <v>104</v>
      </c>
      <c r="D3422" s="9" t="s">
        <v>83</v>
      </c>
      <c r="E3422">
        <v>10</v>
      </c>
      <c r="F3422" s="8">
        <f>VLOOKUP(financials[[#This Row],[productid]],Products!$B$2:$H$10,3)</f>
        <v>5.9</v>
      </c>
      <c r="G3422" s="8">
        <f>financials[[#This Row],[Units Sold]]*financials[[#This Row],[Sale Price]]</f>
        <v>59</v>
      </c>
      <c r="H3422" s="8">
        <f>IF(financials[[#This Row],[Discount Band]]="low",0.1,IF(financials[[#This Row],[Discount Band]]="medium",0.15,0.3))</f>
        <v>0.3</v>
      </c>
      <c r="I3422" s="8">
        <f>financials[[#This Row],[Gross Sales]]-financials[[#This Row],[Gross Sales]]*financials[[#This Row],[Discounts]]</f>
        <v>41.3</v>
      </c>
      <c r="J3422" s="8">
        <f>VLOOKUP(financials[[#This Row],[productid]],Products!$B$2:$H$10,4)</f>
        <v>2.9</v>
      </c>
      <c r="K3422" s="8">
        <f>financials[[#This Row],[Net Sales]]-financials[[#This Row],[COGS]]</f>
        <v>38.4</v>
      </c>
      <c r="L3422" s="15">
        <v>44321</v>
      </c>
      <c r="M3422" t="s">
        <v>691</v>
      </c>
    </row>
    <row r="3423" spans="1:13" x14ac:dyDescent="0.25">
      <c r="A3423" t="s">
        <v>88</v>
      </c>
      <c r="B3423" s="6" t="s">
        <v>197</v>
      </c>
      <c r="C3423" s="11">
        <v>102</v>
      </c>
      <c r="D3423" s="9" t="s">
        <v>91</v>
      </c>
      <c r="E3423">
        <v>11</v>
      </c>
      <c r="F3423" s="8">
        <f>VLOOKUP(financials[[#This Row],[productid]],Products!$B$2:$H$10,3)</f>
        <v>15</v>
      </c>
      <c r="G3423" s="8">
        <f>financials[[#This Row],[Units Sold]]*financials[[#This Row],[Sale Price]]</f>
        <v>165</v>
      </c>
      <c r="H3423" s="8">
        <f>IF(financials[[#This Row],[Discount Band]]="low",0.1,IF(financials[[#This Row],[Discount Band]]="medium",0.15,0.3))</f>
        <v>0.1</v>
      </c>
      <c r="I3423" s="8">
        <f>financials[[#This Row],[Gross Sales]]-financials[[#This Row],[Gross Sales]]*financials[[#This Row],[Discounts]]</f>
        <v>148.5</v>
      </c>
      <c r="J3423" s="8">
        <f>VLOOKUP(financials[[#This Row],[productid]],Products!$B$2:$H$10,4)</f>
        <v>13.95</v>
      </c>
      <c r="K3423" s="8">
        <f>financials[[#This Row],[Net Sales]]-financials[[#This Row],[COGS]]</f>
        <v>134.55000000000001</v>
      </c>
      <c r="L3423" s="15">
        <v>44613</v>
      </c>
      <c r="M3423" t="s">
        <v>700</v>
      </c>
    </row>
    <row r="3424" spans="1:13" x14ac:dyDescent="0.25">
      <c r="A3424" t="s">
        <v>88</v>
      </c>
      <c r="B3424" s="6" t="s">
        <v>148</v>
      </c>
      <c r="C3424" s="13">
        <v>108</v>
      </c>
      <c r="D3424" s="14" t="s">
        <v>83</v>
      </c>
      <c r="E3424">
        <v>14</v>
      </c>
      <c r="F3424" s="8">
        <f>VLOOKUP(financials[[#This Row],[productid]],Products!$B$2:$H$10,3)</f>
        <v>5.5</v>
      </c>
      <c r="G3424" s="8">
        <f>financials[[#This Row],[Units Sold]]*financials[[#This Row],[Sale Price]]</f>
        <v>77</v>
      </c>
      <c r="H3424" s="8">
        <f>IF(financials[[#This Row],[Discount Band]]="low",0.1,IF(financials[[#This Row],[Discount Band]]="medium",0.15,0.3))</f>
        <v>0.3</v>
      </c>
      <c r="I3424" s="8">
        <f>financials[[#This Row],[Gross Sales]]-financials[[#This Row],[Gross Sales]]*financials[[#This Row],[Discounts]]</f>
        <v>53.900000000000006</v>
      </c>
      <c r="J3424" s="8">
        <f>VLOOKUP(financials[[#This Row],[productid]],Products!$B$2:$H$10,4)</f>
        <v>3.99</v>
      </c>
      <c r="K3424" s="8">
        <f>financials[[#This Row],[Net Sales]]-financials[[#This Row],[COGS]]</f>
        <v>49.910000000000004</v>
      </c>
      <c r="L3424" s="15">
        <v>43911</v>
      </c>
      <c r="M3424" t="s">
        <v>700</v>
      </c>
    </row>
    <row r="3425" spans="1:13" x14ac:dyDescent="0.25">
      <c r="A3425" t="s">
        <v>88</v>
      </c>
      <c r="B3425" s="6" t="s">
        <v>96</v>
      </c>
      <c r="C3425" s="13">
        <v>105</v>
      </c>
      <c r="D3425" s="14" t="s">
        <v>83</v>
      </c>
      <c r="E3425">
        <v>14</v>
      </c>
      <c r="F3425" s="8">
        <f>VLOOKUP(financials[[#This Row],[productid]],Products!$B$2:$H$10,3)</f>
        <v>15</v>
      </c>
      <c r="G3425" s="8">
        <f>financials[[#This Row],[Units Sold]]*financials[[#This Row],[Sale Price]]</f>
        <v>210</v>
      </c>
      <c r="H3425" s="8">
        <f>IF(financials[[#This Row],[Discount Band]]="low",0.1,IF(financials[[#This Row],[Discount Band]]="medium",0.15,0.3))</f>
        <v>0.3</v>
      </c>
      <c r="I3425" s="8">
        <f>financials[[#This Row],[Gross Sales]]-financials[[#This Row],[Gross Sales]]*financials[[#This Row],[Discounts]]</f>
        <v>147</v>
      </c>
      <c r="J3425" s="8">
        <f>VLOOKUP(financials[[#This Row],[productid]],Products!$B$2:$H$10,4)</f>
        <v>10</v>
      </c>
      <c r="K3425" s="8">
        <f>financials[[#This Row],[Net Sales]]-financials[[#This Row],[COGS]]</f>
        <v>137</v>
      </c>
      <c r="L3425" s="15">
        <v>45083</v>
      </c>
      <c r="M3425" t="s">
        <v>696</v>
      </c>
    </row>
    <row r="3426" spans="1:13" x14ac:dyDescent="0.25">
      <c r="A3426" t="s">
        <v>87</v>
      </c>
      <c r="B3426" s="6" t="s">
        <v>273</v>
      </c>
      <c r="C3426" s="13">
        <v>104</v>
      </c>
      <c r="D3426" s="14" t="s">
        <v>90</v>
      </c>
      <c r="E3426">
        <v>19</v>
      </c>
      <c r="F3426" s="8">
        <f>VLOOKUP(financials[[#This Row],[productid]],Products!$B$2:$H$10,3)</f>
        <v>5.9</v>
      </c>
      <c r="G3426" s="8">
        <f>financials[[#This Row],[Units Sold]]*financials[[#This Row],[Sale Price]]</f>
        <v>112.10000000000001</v>
      </c>
      <c r="H3426" s="8">
        <f>IF(financials[[#This Row],[Discount Band]]="low",0.1,IF(financials[[#This Row],[Discount Band]]="medium",0.15,0.3))</f>
        <v>0.15</v>
      </c>
      <c r="I3426" s="8">
        <f>financials[[#This Row],[Gross Sales]]-financials[[#This Row],[Gross Sales]]*financials[[#This Row],[Discounts]]</f>
        <v>95.285000000000011</v>
      </c>
      <c r="J3426" s="8">
        <f>VLOOKUP(financials[[#This Row],[productid]],Products!$B$2:$H$10,4)</f>
        <v>2.9</v>
      </c>
      <c r="K3426" s="8">
        <f>financials[[#This Row],[Net Sales]]-financials[[#This Row],[COGS]]</f>
        <v>92.385000000000005</v>
      </c>
      <c r="L3426" s="15">
        <v>45576</v>
      </c>
      <c r="M3426" t="s">
        <v>690</v>
      </c>
    </row>
    <row r="3427" spans="1:13" x14ac:dyDescent="0.25">
      <c r="A3427" t="s">
        <v>88</v>
      </c>
      <c r="B3427" s="6" t="s">
        <v>268</v>
      </c>
      <c r="C3427" s="13">
        <v>109</v>
      </c>
      <c r="D3427" s="14" t="s">
        <v>90</v>
      </c>
      <c r="E3427">
        <v>5</v>
      </c>
      <c r="F3427" s="8">
        <f>VLOOKUP(financials[[#This Row],[productid]],Products!$B$2:$H$10,3)</f>
        <v>36</v>
      </c>
      <c r="G3427" s="8">
        <f>financials[[#This Row],[Units Sold]]*financials[[#This Row],[Sale Price]]</f>
        <v>180</v>
      </c>
      <c r="H3427" s="8">
        <f>IF(financials[[#This Row],[Discount Band]]="low",0.1,IF(financials[[#This Row],[Discount Band]]="medium",0.15,0.3))</f>
        <v>0.15</v>
      </c>
      <c r="I3427" s="8">
        <f>financials[[#This Row],[Gross Sales]]-financials[[#This Row],[Gross Sales]]*financials[[#This Row],[Discounts]]</f>
        <v>153</v>
      </c>
      <c r="J3427" s="8">
        <f>VLOOKUP(financials[[#This Row],[productid]],Products!$B$2:$H$10,4)</f>
        <v>16.8</v>
      </c>
      <c r="K3427" s="8">
        <f>financials[[#This Row],[Net Sales]]-financials[[#This Row],[COGS]]</f>
        <v>136.19999999999999</v>
      </c>
      <c r="L3427" s="15">
        <v>44415</v>
      </c>
      <c r="M3427" t="s">
        <v>700</v>
      </c>
    </row>
    <row r="3428" spans="1:13" x14ac:dyDescent="0.25">
      <c r="A3428" t="s">
        <v>88</v>
      </c>
      <c r="B3428" s="6" t="s">
        <v>167</v>
      </c>
      <c r="C3428" s="13">
        <v>105</v>
      </c>
      <c r="D3428" s="14" t="s">
        <v>90</v>
      </c>
      <c r="E3428">
        <v>20</v>
      </c>
      <c r="F3428" s="8">
        <f>VLOOKUP(financials[[#This Row],[productid]],Products!$B$2:$H$10,3)</f>
        <v>15</v>
      </c>
      <c r="G3428" s="8">
        <f>financials[[#This Row],[Units Sold]]*financials[[#This Row],[Sale Price]]</f>
        <v>300</v>
      </c>
      <c r="H3428" s="8">
        <f>IF(financials[[#This Row],[Discount Band]]="low",0.1,IF(financials[[#This Row],[Discount Band]]="medium",0.15,0.3))</f>
        <v>0.15</v>
      </c>
      <c r="I3428" s="8">
        <f>financials[[#This Row],[Gross Sales]]-financials[[#This Row],[Gross Sales]]*financials[[#This Row],[Discounts]]</f>
        <v>255</v>
      </c>
      <c r="J3428" s="8">
        <f>VLOOKUP(financials[[#This Row],[productid]],Products!$B$2:$H$10,4)</f>
        <v>10</v>
      </c>
      <c r="K3428" s="8">
        <f>financials[[#This Row],[Net Sales]]-financials[[#This Row],[COGS]]</f>
        <v>245</v>
      </c>
      <c r="L3428" s="15">
        <v>44202</v>
      </c>
      <c r="M3428" t="s">
        <v>700</v>
      </c>
    </row>
    <row r="3429" spans="1:13" x14ac:dyDescent="0.25">
      <c r="A3429" t="s">
        <v>88</v>
      </c>
      <c r="B3429" s="6" t="s">
        <v>240</v>
      </c>
      <c r="C3429" s="13">
        <v>102</v>
      </c>
      <c r="D3429" s="14" t="s">
        <v>90</v>
      </c>
      <c r="E3429">
        <v>13</v>
      </c>
      <c r="F3429" s="8">
        <f>VLOOKUP(financials[[#This Row],[productid]],Products!$B$2:$H$10,3)</f>
        <v>15</v>
      </c>
      <c r="G3429" s="8">
        <f>financials[[#This Row],[Units Sold]]*financials[[#This Row],[Sale Price]]</f>
        <v>195</v>
      </c>
      <c r="H3429" s="8">
        <f>IF(financials[[#This Row],[Discount Band]]="low",0.1,IF(financials[[#This Row],[Discount Band]]="medium",0.15,0.3))</f>
        <v>0.15</v>
      </c>
      <c r="I3429" s="8">
        <f>financials[[#This Row],[Gross Sales]]-financials[[#This Row],[Gross Sales]]*financials[[#This Row],[Discounts]]</f>
        <v>165.75</v>
      </c>
      <c r="J3429" s="8">
        <f>VLOOKUP(financials[[#This Row],[productid]],Products!$B$2:$H$10,4)</f>
        <v>13.95</v>
      </c>
      <c r="K3429" s="8">
        <f>financials[[#This Row],[Net Sales]]-financials[[#This Row],[COGS]]</f>
        <v>151.80000000000001</v>
      </c>
      <c r="L3429" s="15">
        <v>44309</v>
      </c>
      <c r="M3429" t="s">
        <v>696</v>
      </c>
    </row>
    <row r="3430" spans="1:13" x14ac:dyDescent="0.25">
      <c r="A3430" t="s">
        <v>88</v>
      </c>
      <c r="B3430" s="6" t="s">
        <v>287</v>
      </c>
      <c r="C3430" s="13">
        <v>107</v>
      </c>
      <c r="D3430" s="14" t="s">
        <v>90</v>
      </c>
      <c r="E3430">
        <v>8</v>
      </c>
      <c r="F3430" s="8">
        <f>VLOOKUP(financials[[#This Row],[productid]],Products!$B$2:$H$10,3)</f>
        <v>15</v>
      </c>
      <c r="G3430" s="8">
        <f>financials[[#This Row],[Units Sold]]*financials[[#This Row],[Sale Price]]</f>
        <v>120</v>
      </c>
      <c r="H3430" s="8">
        <f>IF(financials[[#This Row],[Discount Band]]="low",0.1,IF(financials[[#This Row],[Discount Band]]="medium",0.15,0.3))</f>
        <v>0.15</v>
      </c>
      <c r="I3430" s="8">
        <f>financials[[#This Row],[Gross Sales]]-financials[[#This Row],[Gross Sales]]*financials[[#This Row],[Discounts]]</f>
        <v>102</v>
      </c>
      <c r="J3430" s="8">
        <f>VLOOKUP(financials[[#This Row],[productid]],Products!$B$2:$H$10,4)</f>
        <v>5.5</v>
      </c>
      <c r="K3430" s="8">
        <f>financials[[#This Row],[Net Sales]]-financials[[#This Row],[COGS]]</f>
        <v>96.5</v>
      </c>
      <c r="L3430" s="15">
        <v>44352</v>
      </c>
      <c r="M3430" t="s">
        <v>690</v>
      </c>
    </row>
    <row r="3431" spans="1:13" x14ac:dyDescent="0.25">
      <c r="A3431" t="s">
        <v>88</v>
      </c>
      <c r="B3431" s="6" t="s">
        <v>228</v>
      </c>
      <c r="C3431" s="13">
        <v>101</v>
      </c>
      <c r="D3431" s="14" t="s">
        <v>83</v>
      </c>
      <c r="E3431">
        <v>8</v>
      </c>
      <c r="F3431" s="8">
        <f>VLOOKUP(financials[[#This Row],[productid]],Products!$B$2:$H$10,3)</f>
        <v>23</v>
      </c>
      <c r="G3431" s="8">
        <f>financials[[#This Row],[Units Sold]]*financials[[#This Row],[Sale Price]]</f>
        <v>184</v>
      </c>
      <c r="H3431" s="8">
        <f>IF(financials[[#This Row],[Discount Band]]="low",0.1,IF(financials[[#This Row],[Discount Band]]="medium",0.15,0.3))</f>
        <v>0.3</v>
      </c>
      <c r="I3431" s="8">
        <f>financials[[#This Row],[Gross Sales]]-financials[[#This Row],[Gross Sales]]*financials[[#This Row],[Discounts]]</f>
        <v>128.80000000000001</v>
      </c>
      <c r="J3431" s="8">
        <f>VLOOKUP(financials[[#This Row],[productid]],Products!$B$2:$H$10,4)</f>
        <v>9.9499999999999993</v>
      </c>
      <c r="K3431" s="8">
        <f>financials[[#This Row],[Net Sales]]-financials[[#This Row],[COGS]]</f>
        <v>118.85000000000001</v>
      </c>
      <c r="L3431" s="15">
        <v>44976</v>
      </c>
      <c r="M3431" t="s">
        <v>700</v>
      </c>
    </row>
    <row r="3432" spans="1:13" x14ac:dyDescent="0.25">
      <c r="A3432" t="s">
        <v>88</v>
      </c>
      <c r="B3432" s="6" t="s">
        <v>240</v>
      </c>
      <c r="C3432" s="13">
        <v>108</v>
      </c>
      <c r="D3432" s="14" t="s">
        <v>90</v>
      </c>
      <c r="E3432">
        <v>7</v>
      </c>
      <c r="F3432" s="8">
        <f>VLOOKUP(financials[[#This Row],[productid]],Products!$B$2:$H$10,3)</f>
        <v>5.5</v>
      </c>
      <c r="G3432" s="8">
        <f>financials[[#This Row],[Units Sold]]*financials[[#This Row],[Sale Price]]</f>
        <v>38.5</v>
      </c>
      <c r="H3432" s="8">
        <f>IF(financials[[#This Row],[Discount Band]]="low",0.1,IF(financials[[#This Row],[Discount Band]]="medium",0.15,0.3))</f>
        <v>0.15</v>
      </c>
      <c r="I3432" s="8">
        <f>financials[[#This Row],[Gross Sales]]-financials[[#This Row],[Gross Sales]]*financials[[#This Row],[Discounts]]</f>
        <v>32.725000000000001</v>
      </c>
      <c r="J3432" s="8">
        <f>VLOOKUP(financials[[#This Row],[productid]],Products!$B$2:$H$10,4)</f>
        <v>3.99</v>
      </c>
      <c r="K3432" s="8">
        <f>financials[[#This Row],[Net Sales]]-financials[[#This Row],[COGS]]</f>
        <v>28.734999999999999</v>
      </c>
      <c r="L3432" s="15">
        <v>45424</v>
      </c>
      <c r="M3432" t="s">
        <v>691</v>
      </c>
    </row>
    <row r="3433" spans="1:13" x14ac:dyDescent="0.25">
      <c r="A3433" t="s">
        <v>86</v>
      </c>
      <c r="B3433" s="6" t="s">
        <v>124</v>
      </c>
      <c r="C3433" s="13">
        <v>102</v>
      </c>
      <c r="D3433" s="14" t="s">
        <v>90</v>
      </c>
      <c r="E3433">
        <v>10</v>
      </c>
      <c r="F3433" s="8">
        <f>VLOOKUP(financials[[#This Row],[productid]],Products!$B$2:$H$10,3)</f>
        <v>15</v>
      </c>
      <c r="G3433" s="8">
        <f>financials[[#This Row],[Units Sold]]*financials[[#This Row],[Sale Price]]</f>
        <v>150</v>
      </c>
      <c r="H3433" s="8">
        <f>IF(financials[[#This Row],[Discount Band]]="low",0.1,IF(financials[[#This Row],[Discount Band]]="medium",0.15,0.3))</f>
        <v>0.15</v>
      </c>
      <c r="I3433" s="8">
        <f>financials[[#This Row],[Gross Sales]]-financials[[#This Row],[Gross Sales]]*financials[[#This Row],[Discounts]]</f>
        <v>127.5</v>
      </c>
      <c r="J3433" s="8">
        <f>VLOOKUP(financials[[#This Row],[productid]],Products!$B$2:$H$10,4)</f>
        <v>13.95</v>
      </c>
      <c r="K3433" s="8">
        <f>financials[[#This Row],[Net Sales]]-financials[[#This Row],[COGS]]</f>
        <v>113.55</v>
      </c>
      <c r="L3433" s="15">
        <v>43839</v>
      </c>
      <c r="M3433" t="s">
        <v>691</v>
      </c>
    </row>
    <row r="3434" spans="1:13" x14ac:dyDescent="0.25">
      <c r="A3434" t="s">
        <v>86</v>
      </c>
      <c r="B3434" s="6" t="s">
        <v>159</v>
      </c>
      <c r="C3434" s="13">
        <v>104</v>
      </c>
      <c r="D3434" s="14" t="s">
        <v>83</v>
      </c>
      <c r="E3434">
        <v>8</v>
      </c>
      <c r="F3434" s="8">
        <f>VLOOKUP(financials[[#This Row],[productid]],Products!$B$2:$H$10,3)</f>
        <v>5.9</v>
      </c>
      <c r="G3434" s="8">
        <f>financials[[#This Row],[Units Sold]]*financials[[#This Row],[Sale Price]]</f>
        <v>47.2</v>
      </c>
      <c r="H3434" s="8">
        <f>IF(financials[[#This Row],[Discount Band]]="low",0.1,IF(financials[[#This Row],[Discount Band]]="medium",0.15,0.3))</f>
        <v>0.3</v>
      </c>
      <c r="I3434" s="8">
        <f>financials[[#This Row],[Gross Sales]]-financials[[#This Row],[Gross Sales]]*financials[[#This Row],[Discounts]]</f>
        <v>33.040000000000006</v>
      </c>
      <c r="J3434" s="8">
        <f>VLOOKUP(financials[[#This Row],[productid]],Products!$B$2:$H$10,4)</f>
        <v>2.9</v>
      </c>
      <c r="K3434" s="8">
        <f>financials[[#This Row],[Net Sales]]-financials[[#This Row],[COGS]]</f>
        <v>30.140000000000008</v>
      </c>
      <c r="L3434" s="15">
        <v>44908</v>
      </c>
      <c r="M3434" t="s">
        <v>690</v>
      </c>
    </row>
    <row r="3435" spans="1:13" x14ac:dyDescent="0.25">
      <c r="A3435" t="s">
        <v>86</v>
      </c>
      <c r="B3435" s="6" t="s">
        <v>124</v>
      </c>
      <c r="C3435" s="13">
        <v>108</v>
      </c>
      <c r="D3435" s="14" t="s">
        <v>90</v>
      </c>
      <c r="E3435">
        <v>19</v>
      </c>
      <c r="F3435" s="8">
        <f>VLOOKUP(financials[[#This Row],[productid]],Products!$B$2:$H$10,3)</f>
        <v>5.5</v>
      </c>
      <c r="G3435" s="8">
        <f>financials[[#This Row],[Units Sold]]*financials[[#This Row],[Sale Price]]</f>
        <v>104.5</v>
      </c>
      <c r="H3435" s="8">
        <f>IF(financials[[#This Row],[Discount Band]]="low",0.1,IF(financials[[#This Row],[Discount Band]]="medium",0.15,0.3))</f>
        <v>0.15</v>
      </c>
      <c r="I3435" s="8">
        <f>financials[[#This Row],[Gross Sales]]-financials[[#This Row],[Gross Sales]]*financials[[#This Row],[Discounts]]</f>
        <v>88.825000000000003</v>
      </c>
      <c r="J3435" s="8">
        <f>VLOOKUP(financials[[#This Row],[productid]],Products!$B$2:$H$10,4)</f>
        <v>3.99</v>
      </c>
      <c r="K3435" s="8">
        <f>financials[[#This Row],[Net Sales]]-financials[[#This Row],[COGS]]</f>
        <v>84.835000000000008</v>
      </c>
      <c r="L3435" s="15">
        <v>45554</v>
      </c>
      <c r="M3435" t="s">
        <v>696</v>
      </c>
    </row>
    <row r="3436" spans="1:13" x14ac:dyDescent="0.25">
      <c r="A3436" t="s">
        <v>88</v>
      </c>
      <c r="B3436" s="6" t="s">
        <v>240</v>
      </c>
      <c r="C3436" s="13">
        <v>105</v>
      </c>
      <c r="D3436" s="14" t="s">
        <v>90</v>
      </c>
      <c r="E3436">
        <v>14</v>
      </c>
      <c r="F3436" s="8">
        <f>VLOOKUP(financials[[#This Row],[productid]],Products!$B$2:$H$10,3)</f>
        <v>15</v>
      </c>
      <c r="G3436" s="8">
        <f>financials[[#This Row],[Units Sold]]*financials[[#This Row],[Sale Price]]</f>
        <v>210</v>
      </c>
      <c r="H3436" s="8">
        <f>IF(financials[[#This Row],[Discount Band]]="low",0.1,IF(financials[[#This Row],[Discount Band]]="medium",0.15,0.3))</f>
        <v>0.15</v>
      </c>
      <c r="I3436" s="8">
        <f>financials[[#This Row],[Gross Sales]]-financials[[#This Row],[Gross Sales]]*financials[[#This Row],[Discounts]]</f>
        <v>178.5</v>
      </c>
      <c r="J3436" s="8">
        <f>VLOOKUP(financials[[#This Row],[productid]],Products!$B$2:$H$10,4)</f>
        <v>10</v>
      </c>
      <c r="K3436" s="8">
        <f>financials[[#This Row],[Net Sales]]-financials[[#This Row],[COGS]]</f>
        <v>168.5</v>
      </c>
      <c r="L3436" s="15">
        <v>44837</v>
      </c>
      <c r="M3436" t="s">
        <v>696</v>
      </c>
    </row>
    <row r="3437" spans="1:13" x14ac:dyDescent="0.25">
      <c r="A3437" t="s">
        <v>87</v>
      </c>
      <c r="B3437" s="6" t="s">
        <v>273</v>
      </c>
      <c r="C3437" s="13">
        <v>106</v>
      </c>
      <c r="D3437" s="14" t="s">
        <v>83</v>
      </c>
      <c r="E3437">
        <v>18</v>
      </c>
      <c r="F3437" s="8">
        <f>VLOOKUP(financials[[#This Row],[productid]],Products!$B$2:$H$10,3)</f>
        <v>25</v>
      </c>
      <c r="G3437" s="8">
        <f>financials[[#This Row],[Units Sold]]*financials[[#This Row],[Sale Price]]</f>
        <v>450</v>
      </c>
      <c r="H3437" s="8">
        <f>IF(financials[[#This Row],[Discount Band]]="low",0.1,IF(financials[[#This Row],[Discount Band]]="medium",0.15,0.3))</f>
        <v>0.3</v>
      </c>
      <c r="I3437" s="8">
        <f>financials[[#This Row],[Gross Sales]]-financials[[#This Row],[Gross Sales]]*financials[[#This Row],[Discounts]]</f>
        <v>315</v>
      </c>
      <c r="J3437" s="8">
        <f>VLOOKUP(financials[[#This Row],[productid]],Products!$B$2:$H$10,4)</f>
        <v>9.1</v>
      </c>
      <c r="K3437" s="8">
        <f>financials[[#This Row],[Net Sales]]-financials[[#This Row],[COGS]]</f>
        <v>305.89999999999998</v>
      </c>
      <c r="L3437" s="15">
        <v>44423</v>
      </c>
      <c r="M3437" t="s">
        <v>700</v>
      </c>
    </row>
    <row r="3438" spans="1:13" x14ac:dyDescent="0.25">
      <c r="A3438" t="s">
        <v>89</v>
      </c>
      <c r="B3438" s="6" t="s">
        <v>124</v>
      </c>
      <c r="C3438" s="13">
        <v>106</v>
      </c>
      <c r="D3438" s="14" t="s">
        <v>83</v>
      </c>
      <c r="E3438">
        <v>7</v>
      </c>
      <c r="F3438" s="8">
        <f>VLOOKUP(financials[[#This Row],[productid]],Products!$B$2:$H$10,3)</f>
        <v>25</v>
      </c>
      <c r="G3438" s="8">
        <f>financials[[#This Row],[Units Sold]]*financials[[#This Row],[Sale Price]]</f>
        <v>175</v>
      </c>
      <c r="H3438" s="8">
        <f>IF(financials[[#This Row],[Discount Band]]="low",0.1,IF(financials[[#This Row],[Discount Band]]="medium",0.15,0.3))</f>
        <v>0.3</v>
      </c>
      <c r="I3438" s="8">
        <f>financials[[#This Row],[Gross Sales]]-financials[[#This Row],[Gross Sales]]*financials[[#This Row],[Discounts]]</f>
        <v>122.5</v>
      </c>
      <c r="J3438" s="8">
        <f>VLOOKUP(financials[[#This Row],[productid]],Products!$B$2:$H$10,4)</f>
        <v>9.1</v>
      </c>
      <c r="K3438" s="8">
        <f>financials[[#This Row],[Net Sales]]-financials[[#This Row],[COGS]]</f>
        <v>113.4</v>
      </c>
      <c r="L3438" s="15">
        <v>43950</v>
      </c>
      <c r="M3438" t="s">
        <v>691</v>
      </c>
    </row>
    <row r="3439" spans="1:13" x14ac:dyDescent="0.25">
      <c r="A3439" t="s">
        <v>88</v>
      </c>
      <c r="B3439" s="6" t="s">
        <v>93</v>
      </c>
      <c r="C3439" s="13">
        <v>105</v>
      </c>
      <c r="D3439" s="14" t="s">
        <v>90</v>
      </c>
      <c r="E3439">
        <v>20</v>
      </c>
      <c r="F3439" s="8">
        <f>VLOOKUP(financials[[#This Row],[productid]],Products!$B$2:$H$10,3)</f>
        <v>15</v>
      </c>
      <c r="G3439" s="8">
        <f>financials[[#This Row],[Units Sold]]*financials[[#This Row],[Sale Price]]</f>
        <v>300</v>
      </c>
      <c r="H3439" s="8">
        <f>IF(financials[[#This Row],[Discount Band]]="low",0.1,IF(financials[[#This Row],[Discount Band]]="medium",0.15,0.3))</f>
        <v>0.15</v>
      </c>
      <c r="I3439" s="8">
        <f>financials[[#This Row],[Gross Sales]]-financials[[#This Row],[Gross Sales]]*financials[[#This Row],[Discounts]]</f>
        <v>255</v>
      </c>
      <c r="J3439" s="8">
        <f>VLOOKUP(financials[[#This Row],[productid]],Products!$B$2:$H$10,4)</f>
        <v>10</v>
      </c>
      <c r="K3439" s="8">
        <f>financials[[#This Row],[Net Sales]]-financials[[#This Row],[COGS]]</f>
        <v>245</v>
      </c>
      <c r="L3439" s="15">
        <v>44087</v>
      </c>
      <c r="M3439" t="s">
        <v>696</v>
      </c>
    </row>
    <row r="3440" spans="1:13" x14ac:dyDescent="0.25">
      <c r="A3440" t="s">
        <v>88</v>
      </c>
      <c r="B3440" s="6" t="s">
        <v>167</v>
      </c>
      <c r="C3440" s="13">
        <v>102</v>
      </c>
      <c r="D3440" s="14" t="s">
        <v>83</v>
      </c>
      <c r="E3440">
        <v>7</v>
      </c>
      <c r="F3440" s="8">
        <f>VLOOKUP(financials[[#This Row],[productid]],Products!$B$2:$H$10,3)</f>
        <v>15</v>
      </c>
      <c r="G3440" s="8">
        <f>financials[[#This Row],[Units Sold]]*financials[[#This Row],[Sale Price]]</f>
        <v>105</v>
      </c>
      <c r="H3440" s="8">
        <f>IF(financials[[#This Row],[Discount Band]]="low",0.1,IF(financials[[#This Row],[Discount Band]]="medium",0.15,0.3))</f>
        <v>0.3</v>
      </c>
      <c r="I3440" s="8">
        <f>financials[[#This Row],[Gross Sales]]-financials[[#This Row],[Gross Sales]]*financials[[#This Row],[Discounts]]</f>
        <v>73.5</v>
      </c>
      <c r="J3440" s="8">
        <f>VLOOKUP(financials[[#This Row],[productid]],Products!$B$2:$H$10,4)</f>
        <v>13.95</v>
      </c>
      <c r="K3440" s="8">
        <f>financials[[#This Row],[Net Sales]]-financials[[#This Row],[COGS]]</f>
        <v>59.55</v>
      </c>
      <c r="L3440" s="15">
        <v>44115</v>
      </c>
      <c r="M3440" t="s">
        <v>696</v>
      </c>
    </row>
    <row r="3441" spans="1:13" x14ac:dyDescent="0.25">
      <c r="A3441" t="s">
        <v>89</v>
      </c>
      <c r="B3441" s="6" t="s">
        <v>124</v>
      </c>
      <c r="C3441" s="13">
        <v>101</v>
      </c>
      <c r="D3441" s="14" t="s">
        <v>90</v>
      </c>
      <c r="E3441">
        <v>8</v>
      </c>
      <c r="F3441" s="8">
        <f>VLOOKUP(financials[[#This Row],[productid]],Products!$B$2:$H$10,3)</f>
        <v>23</v>
      </c>
      <c r="G3441" s="8">
        <f>financials[[#This Row],[Units Sold]]*financials[[#This Row],[Sale Price]]</f>
        <v>184</v>
      </c>
      <c r="H3441" s="8">
        <f>IF(financials[[#This Row],[Discount Band]]="low",0.1,IF(financials[[#This Row],[Discount Band]]="medium",0.15,0.3))</f>
        <v>0.15</v>
      </c>
      <c r="I3441" s="8">
        <f>financials[[#This Row],[Gross Sales]]-financials[[#This Row],[Gross Sales]]*financials[[#This Row],[Discounts]]</f>
        <v>156.4</v>
      </c>
      <c r="J3441" s="8">
        <f>VLOOKUP(financials[[#This Row],[productid]],Products!$B$2:$H$10,4)</f>
        <v>9.9499999999999993</v>
      </c>
      <c r="K3441" s="8">
        <f>financials[[#This Row],[Net Sales]]-financials[[#This Row],[COGS]]</f>
        <v>146.45000000000002</v>
      </c>
      <c r="L3441" s="15">
        <v>44637</v>
      </c>
      <c r="M3441" t="s">
        <v>700</v>
      </c>
    </row>
    <row r="3442" spans="1:13" x14ac:dyDescent="0.25">
      <c r="A3442" t="s">
        <v>86</v>
      </c>
      <c r="B3442" s="6" t="s">
        <v>159</v>
      </c>
      <c r="C3442" s="13">
        <v>109</v>
      </c>
      <c r="D3442" s="14" t="s">
        <v>91</v>
      </c>
      <c r="E3442">
        <v>6</v>
      </c>
      <c r="F3442" s="8">
        <f>VLOOKUP(financials[[#This Row],[productid]],Products!$B$2:$H$10,3)</f>
        <v>36</v>
      </c>
      <c r="G3442" s="8">
        <f>financials[[#This Row],[Units Sold]]*financials[[#This Row],[Sale Price]]</f>
        <v>216</v>
      </c>
      <c r="H3442" s="8">
        <f>IF(financials[[#This Row],[Discount Band]]="low",0.1,IF(financials[[#This Row],[Discount Band]]="medium",0.15,0.3))</f>
        <v>0.1</v>
      </c>
      <c r="I3442" s="8">
        <f>financials[[#This Row],[Gross Sales]]-financials[[#This Row],[Gross Sales]]*financials[[#This Row],[Discounts]]</f>
        <v>194.4</v>
      </c>
      <c r="J3442" s="8">
        <f>VLOOKUP(financials[[#This Row],[productid]],Products!$B$2:$H$10,4)</f>
        <v>16.8</v>
      </c>
      <c r="K3442" s="8">
        <f>financials[[#This Row],[Net Sales]]-financials[[#This Row],[COGS]]</f>
        <v>177.6</v>
      </c>
      <c r="L3442" s="15">
        <v>45122</v>
      </c>
      <c r="M3442" t="s">
        <v>697</v>
      </c>
    </row>
    <row r="3443" spans="1:13" x14ac:dyDescent="0.25">
      <c r="A3443" t="s">
        <v>89</v>
      </c>
      <c r="B3443" s="6" t="s">
        <v>124</v>
      </c>
      <c r="C3443" s="13">
        <v>101</v>
      </c>
      <c r="D3443" s="14" t="s">
        <v>83</v>
      </c>
      <c r="E3443">
        <v>7</v>
      </c>
      <c r="F3443" s="8">
        <f>VLOOKUP(financials[[#This Row],[productid]],Products!$B$2:$H$10,3)</f>
        <v>23</v>
      </c>
      <c r="G3443" s="8">
        <f>financials[[#This Row],[Units Sold]]*financials[[#This Row],[Sale Price]]</f>
        <v>161</v>
      </c>
      <c r="H3443" s="8">
        <f>IF(financials[[#This Row],[Discount Band]]="low",0.1,IF(financials[[#This Row],[Discount Band]]="medium",0.15,0.3))</f>
        <v>0.3</v>
      </c>
      <c r="I3443" s="8">
        <f>financials[[#This Row],[Gross Sales]]-financials[[#This Row],[Gross Sales]]*financials[[#This Row],[Discounts]]</f>
        <v>112.7</v>
      </c>
      <c r="J3443" s="8">
        <f>VLOOKUP(financials[[#This Row],[productid]],Products!$B$2:$H$10,4)</f>
        <v>9.9499999999999993</v>
      </c>
      <c r="K3443" s="8">
        <f>financials[[#This Row],[Net Sales]]-financials[[#This Row],[COGS]]</f>
        <v>102.75</v>
      </c>
      <c r="L3443" s="15">
        <v>45109</v>
      </c>
      <c r="M3443" t="s">
        <v>690</v>
      </c>
    </row>
    <row r="3444" spans="1:13" x14ac:dyDescent="0.25">
      <c r="A3444" t="s">
        <v>88</v>
      </c>
      <c r="B3444" s="6" t="s">
        <v>274</v>
      </c>
      <c r="C3444" s="13">
        <v>102</v>
      </c>
      <c r="D3444" s="14" t="s">
        <v>90</v>
      </c>
      <c r="E3444">
        <v>6</v>
      </c>
      <c r="F3444" s="8">
        <f>VLOOKUP(financials[[#This Row],[productid]],Products!$B$2:$H$10,3)</f>
        <v>15</v>
      </c>
      <c r="G3444" s="8">
        <f>financials[[#This Row],[Units Sold]]*financials[[#This Row],[Sale Price]]</f>
        <v>90</v>
      </c>
      <c r="H3444" s="8">
        <f>IF(financials[[#This Row],[Discount Band]]="low",0.1,IF(financials[[#This Row],[Discount Band]]="medium",0.15,0.3))</f>
        <v>0.15</v>
      </c>
      <c r="I3444" s="8">
        <f>financials[[#This Row],[Gross Sales]]-financials[[#This Row],[Gross Sales]]*financials[[#This Row],[Discounts]]</f>
        <v>76.5</v>
      </c>
      <c r="J3444" s="8">
        <f>VLOOKUP(financials[[#This Row],[productid]],Products!$B$2:$H$10,4)</f>
        <v>13.95</v>
      </c>
      <c r="K3444" s="8">
        <f>financials[[#This Row],[Net Sales]]-financials[[#This Row],[COGS]]</f>
        <v>62.55</v>
      </c>
      <c r="L3444" s="15">
        <v>45506</v>
      </c>
      <c r="M3444" t="s">
        <v>690</v>
      </c>
    </row>
    <row r="3445" spans="1:13" x14ac:dyDescent="0.25">
      <c r="A3445" t="s">
        <v>86</v>
      </c>
      <c r="B3445" s="6" t="s">
        <v>617</v>
      </c>
      <c r="C3445" s="11">
        <v>105</v>
      </c>
      <c r="D3445" s="9" t="s">
        <v>90</v>
      </c>
      <c r="E3445">
        <v>8</v>
      </c>
      <c r="F3445" s="8">
        <f>VLOOKUP(financials[[#This Row],[productid]],Products!$B$2:$H$10,3)</f>
        <v>15</v>
      </c>
      <c r="G3445" s="8">
        <f>financials[[#This Row],[Units Sold]]*financials[[#This Row],[Sale Price]]</f>
        <v>120</v>
      </c>
      <c r="H3445" s="8">
        <f>IF(financials[[#This Row],[Discount Band]]="low",0.1,IF(financials[[#This Row],[Discount Band]]="medium",0.15,0.3))</f>
        <v>0.15</v>
      </c>
      <c r="I3445" s="8">
        <f>financials[[#This Row],[Gross Sales]]-financials[[#This Row],[Gross Sales]]*financials[[#This Row],[Discounts]]</f>
        <v>102</v>
      </c>
      <c r="J3445" s="8">
        <f>VLOOKUP(financials[[#This Row],[productid]],Products!$B$2:$H$10,4)</f>
        <v>10</v>
      </c>
      <c r="K3445" s="8">
        <f>financials[[#This Row],[Net Sales]]-financials[[#This Row],[COGS]]</f>
        <v>92</v>
      </c>
      <c r="L3445" s="15">
        <v>44977</v>
      </c>
      <c r="M3445" t="s">
        <v>690</v>
      </c>
    </row>
    <row r="3446" spans="1:13" x14ac:dyDescent="0.25">
      <c r="A3446" t="s">
        <v>89</v>
      </c>
      <c r="B3446" s="6" t="s">
        <v>124</v>
      </c>
      <c r="C3446" s="13">
        <v>109</v>
      </c>
      <c r="D3446" s="14" t="s">
        <v>83</v>
      </c>
      <c r="E3446">
        <v>17</v>
      </c>
      <c r="F3446" s="8">
        <f>VLOOKUP(financials[[#This Row],[productid]],Products!$B$2:$H$10,3)</f>
        <v>36</v>
      </c>
      <c r="G3446" s="8">
        <f>financials[[#This Row],[Units Sold]]*financials[[#This Row],[Sale Price]]</f>
        <v>612</v>
      </c>
      <c r="H3446" s="8">
        <f>IF(financials[[#This Row],[Discount Band]]="low",0.1,IF(financials[[#This Row],[Discount Band]]="medium",0.15,0.3))</f>
        <v>0.3</v>
      </c>
      <c r="I3446" s="8">
        <f>financials[[#This Row],[Gross Sales]]-financials[[#This Row],[Gross Sales]]*financials[[#This Row],[Discounts]]</f>
        <v>428.4</v>
      </c>
      <c r="J3446" s="8">
        <f>VLOOKUP(financials[[#This Row],[productid]],Products!$B$2:$H$10,4)</f>
        <v>16.8</v>
      </c>
      <c r="K3446" s="8">
        <f>financials[[#This Row],[Net Sales]]-financials[[#This Row],[COGS]]</f>
        <v>411.59999999999997</v>
      </c>
      <c r="L3446" s="15">
        <v>44305</v>
      </c>
      <c r="M3446" t="s">
        <v>700</v>
      </c>
    </row>
    <row r="3447" spans="1:13" x14ac:dyDescent="0.25">
      <c r="A3447" t="s">
        <v>89</v>
      </c>
      <c r="B3447" s="6" t="s">
        <v>124</v>
      </c>
      <c r="C3447" s="13">
        <v>105</v>
      </c>
      <c r="D3447" s="14" t="s">
        <v>83</v>
      </c>
      <c r="E3447">
        <v>19</v>
      </c>
      <c r="F3447" s="8">
        <f>VLOOKUP(financials[[#This Row],[productid]],Products!$B$2:$H$10,3)</f>
        <v>15</v>
      </c>
      <c r="G3447" s="8">
        <f>financials[[#This Row],[Units Sold]]*financials[[#This Row],[Sale Price]]</f>
        <v>285</v>
      </c>
      <c r="H3447" s="8">
        <f>IF(financials[[#This Row],[Discount Band]]="low",0.1,IF(financials[[#This Row],[Discount Band]]="medium",0.15,0.3))</f>
        <v>0.3</v>
      </c>
      <c r="I3447" s="8">
        <f>financials[[#This Row],[Gross Sales]]-financials[[#This Row],[Gross Sales]]*financials[[#This Row],[Discounts]]</f>
        <v>199.5</v>
      </c>
      <c r="J3447" s="8">
        <f>VLOOKUP(financials[[#This Row],[productid]],Products!$B$2:$H$10,4)</f>
        <v>10</v>
      </c>
      <c r="K3447" s="8">
        <f>financials[[#This Row],[Net Sales]]-financials[[#This Row],[COGS]]</f>
        <v>189.5</v>
      </c>
      <c r="L3447" s="15">
        <v>43936</v>
      </c>
      <c r="M3447" t="s">
        <v>696</v>
      </c>
    </row>
    <row r="3448" spans="1:13" x14ac:dyDescent="0.25">
      <c r="A3448" t="s">
        <v>86</v>
      </c>
      <c r="B3448" s="6" t="s">
        <v>159</v>
      </c>
      <c r="C3448" s="13">
        <v>104</v>
      </c>
      <c r="D3448" s="14" t="s">
        <v>90</v>
      </c>
      <c r="E3448">
        <v>7</v>
      </c>
      <c r="F3448" s="8">
        <f>VLOOKUP(financials[[#This Row],[productid]],Products!$B$2:$H$10,3)</f>
        <v>5.9</v>
      </c>
      <c r="G3448" s="8">
        <f>financials[[#This Row],[Units Sold]]*financials[[#This Row],[Sale Price]]</f>
        <v>41.300000000000004</v>
      </c>
      <c r="H3448" s="8">
        <f>IF(financials[[#This Row],[Discount Band]]="low",0.1,IF(financials[[#This Row],[Discount Band]]="medium",0.15,0.3))</f>
        <v>0.15</v>
      </c>
      <c r="I3448" s="8">
        <f>financials[[#This Row],[Gross Sales]]-financials[[#This Row],[Gross Sales]]*financials[[#This Row],[Discounts]]</f>
        <v>35.105000000000004</v>
      </c>
      <c r="J3448" s="8">
        <f>VLOOKUP(financials[[#This Row],[productid]],Products!$B$2:$H$10,4)</f>
        <v>2.9</v>
      </c>
      <c r="K3448" s="8">
        <f>financials[[#This Row],[Net Sales]]-financials[[#This Row],[COGS]]</f>
        <v>32.205000000000005</v>
      </c>
      <c r="L3448" s="15">
        <v>44009</v>
      </c>
      <c r="M3448" t="s">
        <v>700</v>
      </c>
    </row>
    <row r="3449" spans="1:13" x14ac:dyDescent="0.25">
      <c r="A3449" t="s">
        <v>88</v>
      </c>
      <c r="B3449" s="6" t="s">
        <v>167</v>
      </c>
      <c r="C3449" s="13">
        <v>104</v>
      </c>
      <c r="D3449" s="14" t="s">
        <v>91</v>
      </c>
      <c r="E3449">
        <v>15</v>
      </c>
      <c r="F3449" s="8">
        <f>VLOOKUP(financials[[#This Row],[productid]],Products!$B$2:$H$10,3)</f>
        <v>5.9</v>
      </c>
      <c r="G3449" s="8">
        <f>financials[[#This Row],[Units Sold]]*financials[[#This Row],[Sale Price]]</f>
        <v>88.5</v>
      </c>
      <c r="H3449" s="8">
        <f>IF(financials[[#This Row],[Discount Band]]="low",0.1,IF(financials[[#This Row],[Discount Band]]="medium",0.15,0.3))</f>
        <v>0.1</v>
      </c>
      <c r="I3449" s="8">
        <f>financials[[#This Row],[Gross Sales]]-financials[[#This Row],[Gross Sales]]*financials[[#This Row],[Discounts]]</f>
        <v>79.650000000000006</v>
      </c>
      <c r="J3449" s="8">
        <f>VLOOKUP(financials[[#This Row],[productid]],Products!$B$2:$H$10,4)</f>
        <v>2.9</v>
      </c>
      <c r="K3449" s="8">
        <f>financials[[#This Row],[Net Sales]]-financials[[#This Row],[COGS]]</f>
        <v>76.75</v>
      </c>
      <c r="L3449" s="15">
        <v>44197</v>
      </c>
      <c r="M3449" t="s">
        <v>700</v>
      </c>
    </row>
    <row r="3450" spans="1:13" x14ac:dyDescent="0.25">
      <c r="A3450" t="s">
        <v>88</v>
      </c>
      <c r="B3450" s="6" t="s">
        <v>125</v>
      </c>
      <c r="C3450" s="13">
        <v>102</v>
      </c>
      <c r="D3450" s="14" t="s">
        <v>91</v>
      </c>
      <c r="E3450">
        <v>13</v>
      </c>
      <c r="F3450" s="8">
        <f>VLOOKUP(financials[[#This Row],[productid]],Products!$B$2:$H$10,3)</f>
        <v>15</v>
      </c>
      <c r="G3450" s="8">
        <f>financials[[#This Row],[Units Sold]]*financials[[#This Row],[Sale Price]]</f>
        <v>195</v>
      </c>
      <c r="H3450" s="8">
        <f>IF(financials[[#This Row],[Discount Band]]="low",0.1,IF(financials[[#This Row],[Discount Band]]="medium",0.15,0.3))</f>
        <v>0.1</v>
      </c>
      <c r="I3450" s="8">
        <f>financials[[#This Row],[Gross Sales]]-financials[[#This Row],[Gross Sales]]*financials[[#This Row],[Discounts]]</f>
        <v>175.5</v>
      </c>
      <c r="J3450" s="8">
        <f>VLOOKUP(financials[[#This Row],[productid]],Products!$B$2:$H$10,4)</f>
        <v>13.95</v>
      </c>
      <c r="K3450" s="8">
        <f>financials[[#This Row],[Net Sales]]-financials[[#This Row],[COGS]]</f>
        <v>161.55000000000001</v>
      </c>
      <c r="L3450" s="15">
        <v>44797</v>
      </c>
      <c r="M3450" t="s">
        <v>697</v>
      </c>
    </row>
    <row r="3451" spans="1:13" x14ac:dyDescent="0.25">
      <c r="A3451" t="s">
        <v>88</v>
      </c>
      <c r="B3451" s="6" t="s">
        <v>232</v>
      </c>
      <c r="C3451" s="13">
        <v>109</v>
      </c>
      <c r="D3451" s="14" t="s">
        <v>83</v>
      </c>
      <c r="E3451">
        <v>8</v>
      </c>
      <c r="F3451" s="8">
        <f>VLOOKUP(financials[[#This Row],[productid]],Products!$B$2:$H$10,3)</f>
        <v>36</v>
      </c>
      <c r="G3451" s="8">
        <f>financials[[#This Row],[Units Sold]]*financials[[#This Row],[Sale Price]]</f>
        <v>288</v>
      </c>
      <c r="H3451" s="8">
        <f>IF(financials[[#This Row],[Discount Band]]="low",0.1,IF(financials[[#This Row],[Discount Band]]="medium",0.15,0.3))</f>
        <v>0.3</v>
      </c>
      <c r="I3451" s="8">
        <f>financials[[#This Row],[Gross Sales]]-financials[[#This Row],[Gross Sales]]*financials[[#This Row],[Discounts]]</f>
        <v>201.60000000000002</v>
      </c>
      <c r="J3451" s="8">
        <f>VLOOKUP(financials[[#This Row],[productid]],Products!$B$2:$H$10,4)</f>
        <v>16.8</v>
      </c>
      <c r="K3451" s="8">
        <f>financials[[#This Row],[Net Sales]]-financials[[#This Row],[COGS]]</f>
        <v>184.8</v>
      </c>
      <c r="L3451" s="15">
        <v>45487</v>
      </c>
      <c r="M3451" t="s">
        <v>700</v>
      </c>
    </row>
    <row r="3452" spans="1:13" x14ac:dyDescent="0.25">
      <c r="A3452" t="s">
        <v>88</v>
      </c>
      <c r="B3452" s="6" t="s">
        <v>148</v>
      </c>
      <c r="C3452" s="13">
        <v>107</v>
      </c>
      <c r="D3452" s="14" t="s">
        <v>83</v>
      </c>
      <c r="E3452">
        <v>10</v>
      </c>
      <c r="F3452" s="8">
        <f>VLOOKUP(financials[[#This Row],[productid]],Products!$B$2:$H$10,3)</f>
        <v>15</v>
      </c>
      <c r="G3452" s="8">
        <f>financials[[#This Row],[Units Sold]]*financials[[#This Row],[Sale Price]]</f>
        <v>150</v>
      </c>
      <c r="H3452" s="8">
        <f>IF(financials[[#This Row],[Discount Band]]="low",0.1,IF(financials[[#This Row],[Discount Band]]="medium",0.15,0.3))</f>
        <v>0.3</v>
      </c>
      <c r="I3452" s="8">
        <f>financials[[#This Row],[Gross Sales]]-financials[[#This Row],[Gross Sales]]*financials[[#This Row],[Discounts]]</f>
        <v>105</v>
      </c>
      <c r="J3452" s="8">
        <f>VLOOKUP(financials[[#This Row],[productid]],Products!$B$2:$H$10,4)</f>
        <v>5.5</v>
      </c>
      <c r="K3452" s="8">
        <f>financials[[#This Row],[Net Sales]]-financials[[#This Row],[COGS]]</f>
        <v>99.5</v>
      </c>
      <c r="L3452" s="15">
        <v>44152</v>
      </c>
      <c r="M3452" t="s">
        <v>700</v>
      </c>
    </row>
    <row r="3453" spans="1:13" x14ac:dyDescent="0.25">
      <c r="A3453" t="s">
        <v>86</v>
      </c>
      <c r="B3453" s="6" t="s">
        <v>124</v>
      </c>
      <c r="C3453" s="13">
        <v>102</v>
      </c>
      <c r="D3453" s="14" t="s">
        <v>83</v>
      </c>
      <c r="E3453">
        <v>17</v>
      </c>
      <c r="F3453" s="8">
        <f>VLOOKUP(financials[[#This Row],[productid]],Products!$B$2:$H$10,3)</f>
        <v>15</v>
      </c>
      <c r="G3453" s="8">
        <f>financials[[#This Row],[Units Sold]]*financials[[#This Row],[Sale Price]]</f>
        <v>255</v>
      </c>
      <c r="H3453" s="8">
        <f>IF(financials[[#This Row],[Discount Band]]="low",0.1,IF(financials[[#This Row],[Discount Band]]="medium",0.15,0.3))</f>
        <v>0.3</v>
      </c>
      <c r="I3453" s="8">
        <f>financials[[#This Row],[Gross Sales]]-financials[[#This Row],[Gross Sales]]*financials[[#This Row],[Discounts]]</f>
        <v>178.5</v>
      </c>
      <c r="J3453" s="8">
        <f>VLOOKUP(financials[[#This Row],[productid]],Products!$B$2:$H$10,4)</f>
        <v>13.95</v>
      </c>
      <c r="K3453" s="8">
        <f>financials[[#This Row],[Net Sales]]-financials[[#This Row],[COGS]]</f>
        <v>164.55</v>
      </c>
      <c r="L3453" s="15">
        <v>45645</v>
      </c>
      <c r="M3453" t="s">
        <v>696</v>
      </c>
    </row>
    <row r="3454" spans="1:13" x14ac:dyDescent="0.25">
      <c r="A3454" t="s">
        <v>86</v>
      </c>
      <c r="B3454" s="6" t="s">
        <v>159</v>
      </c>
      <c r="C3454" s="11">
        <v>106</v>
      </c>
      <c r="D3454" s="9" t="s">
        <v>92</v>
      </c>
      <c r="E3454">
        <v>15</v>
      </c>
      <c r="F3454" s="8">
        <f>VLOOKUP(financials[[#This Row],[productid]],Products!$B$2:$H$10,3)</f>
        <v>25</v>
      </c>
      <c r="G3454" s="8">
        <f>financials[[#This Row],[Units Sold]]*financials[[#This Row],[Sale Price]]</f>
        <v>375</v>
      </c>
      <c r="H3454" s="8">
        <f>IF(financials[[#This Row],[Discount Band]]="low",0.1,IF(financials[[#This Row],[Discount Band]]="medium",0.15,0.3))</f>
        <v>0.3</v>
      </c>
      <c r="I3454" s="8">
        <f>financials[[#This Row],[Gross Sales]]-financials[[#This Row],[Gross Sales]]*financials[[#This Row],[Discounts]]</f>
        <v>262.5</v>
      </c>
      <c r="J3454" s="8">
        <f>VLOOKUP(financials[[#This Row],[productid]],Products!$B$2:$H$10,4)</f>
        <v>9.1</v>
      </c>
      <c r="K3454" s="8">
        <f>financials[[#This Row],[Net Sales]]-financials[[#This Row],[COGS]]</f>
        <v>253.4</v>
      </c>
      <c r="L3454" s="15">
        <v>45100</v>
      </c>
      <c r="M3454" t="s">
        <v>700</v>
      </c>
    </row>
    <row r="3455" spans="1:13" x14ac:dyDescent="0.25">
      <c r="A3455" t="s">
        <v>86</v>
      </c>
      <c r="B3455" s="6" t="s">
        <v>545</v>
      </c>
      <c r="C3455" s="13">
        <v>107</v>
      </c>
      <c r="D3455" s="14" t="s">
        <v>92</v>
      </c>
      <c r="E3455">
        <v>13</v>
      </c>
      <c r="F3455" s="8">
        <f>VLOOKUP(financials[[#This Row],[productid]],Products!$B$2:$H$10,3)</f>
        <v>15</v>
      </c>
      <c r="G3455" s="8">
        <f>financials[[#This Row],[Units Sold]]*financials[[#This Row],[Sale Price]]</f>
        <v>195</v>
      </c>
      <c r="H3455" s="8">
        <f>IF(financials[[#This Row],[Discount Band]]="low",0.1,IF(financials[[#This Row],[Discount Band]]="medium",0.15,0.3))</f>
        <v>0.3</v>
      </c>
      <c r="I3455" s="8">
        <f>financials[[#This Row],[Gross Sales]]-financials[[#This Row],[Gross Sales]]*financials[[#This Row],[Discounts]]</f>
        <v>136.5</v>
      </c>
      <c r="J3455" s="8">
        <f>VLOOKUP(financials[[#This Row],[productid]],Products!$B$2:$H$10,4)</f>
        <v>5.5</v>
      </c>
      <c r="K3455" s="8">
        <f>financials[[#This Row],[Net Sales]]-financials[[#This Row],[COGS]]</f>
        <v>131</v>
      </c>
      <c r="L3455" s="15">
        <v>45438</v>
      </c>
      <c r="M3455" t="s">
        <v>700</v>
      </c>
    </row>
    <row r="3456" spans="1:13" x14ac:dyDescent="0.25">
      <c r="A3456" t="s">
        <v>88</v>
      </c>
      <c r="B3456" s="6" t="s">
        <v>228</v>
      </c>
      <c r="C3456" s="13">
        <v>102</v>
      </c>
      <c r="D3456" s="14" t="s">
        <v>83</v>
      </c>
      <c r="E3456">
        <v>7</v>
      </c>
      <c r="F3456" s="8">
        <f>VLOOKUP(financials[[#This Row],[productid]],Products!$B$2:$H$10,3)</f>
        <v>15</v>
      </c>
      <c r="G3456" s="8">
        <f>financials[[#This Row],[Units Sold]]*financials[[#This Row],[Sale Price]]</f>
        <v>105</v>
      </c>
      <c r="H3456" s="8">
        <f>IF(financials[[#This Row],[Discount Band]]="low",0.1,IF(financials[[#This Row],[Discount Band]]="medium",0.15,0.3))</f>
        <v>0.3</v>
      </c>
      <c r="I3456" s="8">
        <f>financials[[#This Row],[Gross Sales]]-financials[[#This Row],[Gross Sales]]*financials[[#This Row],[Discounts]]</f>
        <v>73.5</v>
      </c>
      <c r="J3456" s="8">
        <f>VLOOKUP(financials[[#This Row],[productid]],Products!$B$2:$H$10,4)</f>
        <v>13.95</v>
      </c>
      <c r="K3456" s="8">
        <f>financials[[#This Row],[Net Sales]]-financials[[#This Row],[COGS]]</f>
        <v>59.55</v>
      </c>
      <c r="L3456" s="15">
        <v>44418</v>
      </c>
      <c r="M3456" t="s">
        <v>690</v>
      </c>
    </row>
    <row r="3457" spans="1:13" x14ac:dyDescent="0.25">
      <c r="A3457" t="s">
        <v>88</v>
      </c>
      <c r="B3457" s="6" t="s">
        <v>268</v>
      </c>
      <c r="C3457" s="13">
        <v>103</v>
      </c>
      <c r="D3457" s="14" t="s">
        <v>90</v>
      </c>
      <c r="E3457">
        <v>5</v>
      </c>
      <c r="F3457" s="8">
        <f>VLOOKUP(financials[[#This Row],[productid]],Products!$B$2:$H$10,3)</f>
        <v>28</v>
      </c>
      <c r="G3457" s="8">
        <f>financials[[#This Row],[Units Sold]]*financials[[#This Row],[Sale Price]]</f>
        <v>140</v>
      </c>
      <c r="H3457" s="8">
        <f>IF(financials[[#This Row],[Discount Band]]="low",0.1,IF(financials[[#This Row],[Discount Band]]="medium",0.15,0.3))</f>
        <v>0.15</v>
      </c>
      <c r="I3457" s="8">
        <f>financials[[#This Row],[Gross Sales]]-financials[[#This Row],[Gross Sales]]*financials[[#This Row],[Discounts]]</f>
        <v>119</v>
      </c>
      <c r="J3457" s="8">
        <f>VLOOKUP(financials[[#This Row],[productid]],Products!$B$2:$H$10,4)</f>
        <v>15</v>
      </c>
      <c r="K3457" s="8">
        <f>financials[[#This Row],[Net Sales]]-financials[[#This Row],[COGS]]</f>
        <v>104</v>
      </c>
      <c r="L3457" s="15">
        <v>44104</v>
      </c>
      <c r="M3457" t="s">
        <v>700</v>
      </c>
    </row>
    <row r="3458" spans="1:13" x14ac:dyDescent="0.25">
      <c r="A3458" t="s">
        <v>86</v>
      </c>
      <c r="B3458" s="6" t="s">
        <v>159</v>
      </c>
      <c r="C3458" s="13">
        <v>101</v>
      </c>
      <c r="D3458" s="14" t="s">
        <v>91</v>
      </c>
      <c r="E3458">
        <v>17</v>
      </c>
      <c r="F3458" s="8">
        <f>VLOOKUP(financials[[#This Row],[productid]],Products!$B$2:$H$10,3)</f>
        <v>23</v>
      </c>
      <c r="G3458" s="8">
        <f>financials[[#This Row],[Units Sold]]*financials[[#This Row],[Sale Price]]</f>
        <v>391</v>
      </c>
      <c r="H3458" s="8">
        <f>IF(financials[[#This Row],[Discount Band]]="low",0.1,IF(financials[[#This Row],[Discount Band]]="medium",0.15,0.3))</f>
        <v>0.1</v>
      </c>
      <c r="I3458" s="8">
        <f>financials[[#This Row],[Gross Sales]]-financials[[#This Row],[Gross Sales]]*financials[[#This Row],[Discounts]]</f>
        <v>351.9</v>
      </c>
      <c r="J3458" s="8">
        <f>VLOOKUP(financials[[#This Row],[productid]],Products!$B$2:$H$10,4)</f>
        <v>9.9499999999999993</v>
      </c>
      <c r="K3458" s="8">
        <f>financials[[#This Row],[Net Sales]]-financials[[#This Row],[COGS]]</f>
        <v>341.95</v>
      </c>
      <c r="L3458" s="15">
        <v>43942</v>
      </c>
      <c r="M3458" t="s">
        <v>690</v>
      </c>
    </row>
    <row r="3459" spans="1:13" x14ac:dyDescent="0.25">
      <c r="A3459" t="s">
        <v>86</v>
      </c>
      <c r="B3459" s="6" t="s">
        <v>159</v>
      </c>
      <c r="C3459" s="13">
        <v>105</v>
      </c>
      <c r="D3459" s="14" t="s">
        <v>90</v>
      </c>
      <c r="E3459">
        <v>15</v>
      </c>
      <c r="F3459" s="8">
        <f>VLOOKUP(financials[[#This Row],[productid]],Products!$B$2:$H$10,3)</f>
        <v>15</v>
      </c>
      <c r="G3459" s="8">
        <f>financials[[#This Row],[Units Sold]]*financials[[#This Row],[Sale Price]]</f>
        <v>225</v>
      </c>
      <c r="H3459" s="8">
        <f>IF(financials[[#This Row],[Discount Band]]="low",0.1,IF(financials[[#This Row],[Discount Band]]="medium",0.15,0.3))</f>
        <v>0.15</v>
      </c>
      <c r="I3459" s="8">
        <f>financials[[#This Row],[Gross Sales]]-financials[[#This Row],[Gross Sales]]*financials[[#This Row],[Discounts]]</f>
        <v>191.25</v>
      </c>
      <c r="J3459" s="8">
        <f>VLOOKUP(financials[[#This Row],[productid]],Products!$B$2:$H$10,4)</f>
        <v>10</v>
      </c>
      <c r="K3459" s="8">
        <f>financials[[#This Row],[Net Sales]]-financials[[#This Row],[COGS]]</f>
        <v>181.25</v>
      </c>
      <c r="L3459" s="15">
        <v>45472</v>
      </c>
      <c r="M3459" t="s">
        <v>690</v>
      </c>
    </row>
    <row r="3460" spans="1:13" x14ac:dyDescent="0.25">
      <c r="A3460" t="s">
        <v>86</v>
      </c>
      <c r="B3460" s="6" t="s">
        <v>617</v>
      </c>
      <c r="C3460" s="11">
        <v>103</v>
      </c>
      <c r="D3460" s="9" t="s">
        <v>91</v>
      </c>
      <c r="E3460">
        <v>8</v>
      </c>
      <c r="F3460" s="8">
        <f>VLOOKUP(financials[[#This Row],[productid]],Products!$B$2:$H$10,3)</f>
        <v>28</v>
      </c>
      <c r="G3460" s="8">
        <f>financials[[#This Row],[Units Sold]]*financials[[#This Row],[Sale Price]]</f>
        <v>224</v>
      </c>
      <c r="H3460" s="8">
        <f>IF(financials[[#This Row],[Discount Band]]="low",0.1,IF(financials[[#This Row],[Discount Band]]="medium",0.15,0.3))</f>
        <v>0.1</v>
      </c>
      <c r="I3460" s="8">
        <f>financials[[#This Row],[Gross Sales]]-financials[[#This Row],[Gross Sales]]*financials[[#This Row],[Discounts]]</f>
        <v>201.6</v>
      </c>
      <c r="J3460" s="8">
        <f>VLOOKUP(financials[[#This Row],[productid]],Products!$B$2:$H$10,4)</f>
        <v>15</v>
      </c>
      <c r="K3460" s="8">
        <f>financials[[#This Row],[Net Sales]]-financials[[#This Row],[COGS]]</f>
        <v>186.6</v>
      </c>
      <c r="L3460" s="15">
        <v>44523</v>
      </c>
      <c r="M3460" t="s">
        <v>696</v>
      </c>
    </row>
    <row r="3461" spans="1:13" x14ac:dyDescent="0.25">
      <c r="A3461" t="s">
        <v>86</v>
      </c>
      <c r="B3461" s="6" t="s">
        <v>124</v>
      </c>
      <c r="C3461" s="13">
        <v>105</v>
      </c>
      <c r="D3461" s="14" t="s">
        <v>90</v>
      </c>
      <c r="E3461">
        <v>10</v>
      </c>
      <c r="F3461" s="8">
        <f>VLOOKUP(financials[[#This Row],[productid]],Products!$B$2:$H$10,3)</f>
        <v>15</v>
      </c>
      <c r="G3461" s="8">
        <f>financials[[#This Row],[Units Sold]]*financials[[#This Row],[Sale Price]]</f>
        <v>150</v>
      </c>
      <c r="H3461" s="8">
        <f>IF(financials[[#This Row],[Discount Band]]="low",0.1,IF(financials[[#This Row],[Discount Band]]="medium",0.15,0.3))</f>
        <v>0.15</v>
      </c>
      <c r="I3461" s="8">
        <f>financials[[#This Row],[Gross Sales]]-financials[[#This Row],[Gross Sales]]*financials[[#This Row],[Discounts]]</f>
        <v>127.5</v>
      </c>
      <c r="J3461" s="8">
        <f>VLOOKUP(financials[[#This Row],[productid]],Products!$B$2:$H$10,4)</f>
        <v>10</v>
      </c>
      <c r="K3461" s="8">
        <f>financials[[#This Row],[Net Sales]]-financials[[#This Row],[COGS]]</f>
        <v>117.5</v>
      </c>
      <c r="L3461" s="15">
        <v>45392</v>
      </c>
      <c r="M3461" t="s">
        <v>697</v>
      </c>
    </row>
    <row r="3462" spans="1:13" x14ac:dyDescent="0.25">
      <c r="A3462" t="s">
        <v>86</v>
      </c>
      <c r="B3462" s="6" t="s">
        <v>96</v>
      </c>
      <c r="C3462" s="13">
        <v>103</v>
      </c>
      <c r="D3462" s="14" t="s">
        <v>90</v>
      </c>
      <c r="E3462">
        <v>16</v>
      </c>
      <c r="F3462" s="8">
        <f>VLOOKUP(financials[[#This Row],[productid]],Products!$B$2:$H$10,3)</f>
        <v>28</v>
      </c>
      <c r="G3462" s="8">
        <f>financials[[#This Row],[Units Sold]]*financials[[#This Row],[Sale Price]]</f>
        <v>448</v>
      </c>
      <c r="H3462" s="8">
        <f>IF(financials[[#This Row],[Discount Band]]="low",0.1,IF(financials[[#This Row],[Discount Band]]="medium",0.15,0.3))</f>
        <v>0.15</v>
      </c>
      <c r="I3462" s="8">
        <f>financials[[#This Row],[Gross Sales]]-financials[[#This Row],[Gross Sales]]*financials[[#This Row],[Discounts]]</f>
        <v>380.8</v>
      </c>
      <c r="J3462" s="8">
        <f>VLOOKUP(financials[[#This Row],[productid]],Products!$B$2:$H$10,4)</f>
        <v>15</v>
      </c>
      <c r="K3462" s="8">
        <f>financials[[#This Row],[Net Sales]]-financials[[#This Row],[COGS]]</f>
        <v>365.8</v>
      </c>
      <c r="L3462" s="15">
        <v>44614</v>
      </c>
      <c r="M3462" t="s">
        <v>700</v>
      </c>
    </row>
    <row r="3463" spans="1:13" x14ac:dyDescent="0.25">
      <c r="A3463" t="s">
        <v>88</v>
      </c>
      <c r="B3463" s="6" t="s">
        <v>617</v>
      </c>
      <c r="C3463" s="13">
        <v>101</v>
      </c>
      <c r="D3463" s="14" t="s">
        <v>90</v>
      </c>
      <c r="E3463">
        <v>7</v>
      </c>
      <c r="F3463" s="8">
        <f>VLOOKUP(financials[[#This Row],[productid]],Products!$B$2:$H$10,3)</f>
        <v>23</v>
      </c>
      <c r="G3463" s="8">
        <f>financials[[#This Row],[Units Sold]]*financials[[#This Row],[Sale Price]]</f>
        <v>161</v>
      </c>
      <c r="H3463" s="8">
        <f>IF(financials[[#This Row],[Discount Band]]="low",0.1,IF(financials[[#This Row],[Discount Band]]="medium",0.15,0.3))</f>
        <v>0.15</v>
      </c>
      <c r="I3463" s="8">
        <f>financials[[#This Row],[Gross Sales]]-financials[[#This Row],[Gross Sales]]*financials[[#This Row],[Discounts]]</f>
        <v>136.85</v>
      </c>
      <c r="J3463" s="8">
        <f>VLOOKUP(financials[[#This Row],[productid]],Products!$B$2:$H$10,4)</f>
        <v>9.9499999999999993</v>
      </c>
      <c r="K3463" s="8">
        <f>financials[[#This Row],[Net Sales]]-financials[[#This Row],[COGS]]</f>
        <v>126.89999999999999</v>
      </c>
      <c r="L3463" s="15">
        <v>43929</v>
      </c>
      <c r="M3463" t="s">
        <v>690</v>
      </c>
    </row>
    <row r="3464" spans="1:13" x14ac:dyDescent="0.25">
      <c r="A3464" t="s">
        <v>86</v>
      </c>
      <c r="B3464" s="6" t="s">
        <v>645</v>
      </c>
      <c r="C3464" s="13">
        <v>101</v>
      </c>
      <c r="D3464" s="14" t="s">
        <v>90</v>
      </c>
      <c r="E3464">
        <v>7</v>
      </c>
      <c r="F3464" s="8">
        <f>VLOOKUP(financials[[#This Row],[productid]],Products!$B$2:$H$10,3)</f>
        <v>23</v>
      </c>
      <c r="G3464" s="8">
        <f>financials[[#This Row],[Units Sold]]*financials[[#This Row],[Sale Price]]</f>
        <v>161</v>
      </c>
      <c r="H3464" s="8">
        <f>IF(financials[[#This Row],[Discount Band]]="low",0.1,IF(financials[[#This Row],[Discount Band]]="medium",0.15,0.3))</f>
        <v>0.15</v>
      </c>
      <c r="I3464" s="8">
        <f>financials[[#This Row],[Gross Sales]]-financials[[#This Row],[Gross Sales]]*financials[[#This Row],[Discounts]]</f>
        <v>136.85</v>
      </c>
      <c r="J3464" s="8">
        <f>VLOOKUP(financials[[#This Row],[productid]],Products!$B$2:$H$10,4)</f>
        <v>9.9499999999999993</v>
      </c>
      <c r="K3464" s="8">
        <f>financials[[#This Row],[Net Sales]]-financials[[#This Row],[COGS]]</f>
        <v>126.89999999999999</v>
      </c>
      <c r="L3464" s="15">
        <v>45481</v>
      </c>
      <c r="M3464" t="s">
        <v>697</v>
      </c>
    </row>
    <row r="3465" spans="1:13" x14ac:dyDescent="0.25">
      <c r="A3465" t="s">
        <v>88</v>
      </c>
      <c r="B3465" s="6" t="s">
        <v>93</v>
      </c>
      <c r="C3465" s="13">
        <v>101</v>
      </c>
      <c r="D3465" s="14" t="s">
        <v>90</v>
      </c>
      <c r="E3465">
        <v>7</v>
      </c>
      <c r="F3465" s="8">
        <f>VLOOKUP(financials[[#This Row],[productid]],Products!$B$2:$H$10,3)</f>
        <v>23</v>
      </c>
      <c r="G3465" s="8">
        <f>financials[[#This Row],[Units Sold]]*financials[[#This Row],[Sale Price]]</f>
        <v>161</v>
      </c>
      <c r="H3465" s="8">
        <f>IF(financials[[#This Row],[Discount Band]]="low",0.1,IF(financials[[#This Row],[Discount Band]]="medium",0.15,0.3))</f>
        <v>0.15</v>
      </c>
      <c r="I3465" s="8">
        <f>financials[[#This Row],[Gross Sales]]-financials[[#This Row],[Gross Sales]]*financials[[#This Row],[Discounts]]</f>
        <v>136.85</v>
      </c>
      <c r="J3465" s="8">
        <f>VLOOKUP(financials[[#This Row],[productid]],Products!$B$2:$H$10,4)</f>
        <v>9.9499999999999993</v>
      </c>
      <c r="K3465" s="8">
        <f>financials[[#This Row],[Net Sales]]-financials[[#This Row],[COGS]]</f>
        <v>126.89999999999999</v>
      </c>
      <c r="L3465" s="15">
        <v>44652</v>
      </c>
      <c r="M3465" t="s">
        <v>690</v>
      </c>
    </row>
    <row r="3466" spans="1:13" x14ac:dyDescent="0.25">
      <c r="A3466" t="s">
        <v>87</v>
      </c>
      <c r="B3466" s="6" t="s">
        <v>273</v>
      </c>
      <c r="C3466" s="13">
        <v>107</v>
      </c>
      <c r="D3466" s="14" t="s">
        <v>90</v>
      </c>
      <c r="E3466">
        <v>13</v>
      </c>
      <c r="F3466" s="8">
        <f>VLOOKUP(financials[[#This Row],[productid]],Products!$B$2:$H$10,3)</f>
        <v>15</v>
      </c>
      <c r="G3466" s="8">
        <f>financials[[#This Row],[Units Sold]]*financials[[#This Row],[Sale Price]]</f>
        <v>195</v>
      </c>
      <c r="H3466" s="8">
        <f>IF(financials[[#This Row],[Discount Band]]="low",0.1,IF(financials[[#This Row],[Discount Band]]="medium",0.15,0.3))</f>
        <v>0.15</v>
      </c>
      <c r="I3466" s="8">
        <f>financials[[#This Row],[Gross Sales]]-financials[[#This Row],[Gross Sales]]*financials[[#This Row],[Discounts]]</f>
        <v>165.75</v>
      </c>
      <c r="J3466" s="8">
        <f>VLOOKUP(financials[[#This Row],[productid]],Products!$B$2:$H$10,4)</f>
        <v>5.5</v>
      </c>
      <c r="K3466" s="8">
        <f>financials[[#This Row],[Net Sales]]-financials[[#This Row],[COGS]]</f>
        <v>160.25</v>
      </c>
      <c r="L3466" s="15">
        <v>44184</v>
      </c>
      <c r="M3466" t="s">
        <v>690</v>
      </c>
    </row>
    <row r="3467" spans="1:13" x14ac:dyDescent="0.25">
      <c r="A3467" t="s">
        <v>87</v>
      </c>
      <c r="B3467" s="6" t="s">
        <v>198</v>
      </c>
      <c r="C3467" s="13">
        <v>109</v>
      </c>
      <c r="D3467" s="14" t="s">
        <v>90</v>
      </c>
      <c r="E3467">
        <v>10</v>
      </c>
      <c r="F3467" s="8">
        <f>VLOOKUP(financials[[#This Row],[productid]],Products!$B$2:$H$10,3)</f>
        <v>36</v>
      </c>
      <c r="G3467" s="8">
        <f>financials[[#This Row],[Units Sold]]*financials[[#This Row],[Sale Price]]</f>
        <v>360</v>
      </c>
      <c r="H3467" s="8">
        <f>IF(financials[[#This Row],[Discount Band]]="low",0.1,IF(financials[[#This Row],[Discount Band]]="medium",0.15,0.3))</f>
        <v>0.15</v>
      </c>
      <c r="I3467" s="8">
        <f>financials[[#This Row],[Gross Sales]]-financials[[#This Row],[Gross Sales]]*financials[[#This Row],[Discounts]]</f>
        <v>306</v>
      </c>
      <c r="J3467" s="8">
        <f>VLOOKUP(financials[[#This Row],[productid]],Products!$B$2:$H$10,4)</f>
        <v>16.8</v>
      </c>
      <c r="K3467" s="8">
        <f>financials[[#This Row],[Net Sales]]-financials[[#This Row],[COGS]]</f>
        <v>289.2</v>
      </c>
      <c r="L3467" s="15">
        <v>45455</v>
      </c>
      <c r="M3467" t="s">
        <v>696</v>
      </c>
    </row>
    <row r="3468" spans="1:13" x14ac:dyDescent="0.25">
      <c r="A3468" t="s">
        <v>86</v>
      </c>
      <c r="B3468" s="6" t="s">
        <v>159</v>
      </c>
      <c r="C3468" s="13">
        <v>104</v>
      </c>
      <c r="D3468" s="14" t="s">
        <v>90</v>
      </c>
      <c r="E3468">
        <v>11</v>
      </c>
      <c r="F3468" s="8">
        <f>VLOOKUP(financials[[#This Row],[productid]],Products!$B$2:$H$10,3)</f>
        <v>5.9</v>
      </c>
      <c r="G3468" s="8">
        <f>financials[[#This Row],[Units Sold]]*financials[[#This Row],[Sale Price]]</f>
        <v>64.900000000000006</v>
      </c>
      <c r="H3468" s="8">
        <f>IF(financials[[#This Row],[Discount Band]]="low",0.1,IF(financials[[#This Row],[Discount Band]]="medium",0.15,0.3))</f>
        <v>0.15</v>
      </c>
      <c r="I3468" s="8">
        <f>financials[[#This Row],[Gross Sales]]-financials[[#This Row],[Gross Sales]]*financials[[#This Row],[Discounts]]</f>
        <v>55.165000000000006</v>
      </c>
      <c r="J3468" s="8">
        <f>VLOOKUP(financials[[#This Row],[productid]],Products!$B$2:$H$10,4)</f>
        <v>2.9</v>
      </c>
      <c r="K3468" s="8">
        <f>financials[[#This Row],[Net Sales]]-financials[[#This Row],[COGS]]</f>
        <v>52.265000000000008</v>
      </c>
      <c r="L3468" s="15">
        <v>43939</v>
      </c>
      <c r="M3468" t="s">
        <v>696</v>
      </c>
    </row>
    <row r="3469" spans="1:13" x14ac:dyDescent="0.25">
      <c r="A3469" t="s">
        <v>86</v>
      </c>
      <c r="B3469" s="6" t="s">
        <v>158</v>
      </c>
      <c r="C3469" s="11">
        <v>101</v>
      </c>
      <c r="D3469" s="9" t="s">
        <v>83</v>
      </c>
      <c r="E3469">
        <v>16</v>
      </c>
      <c r="F3469" s="8">
        <f>VLOOKUP(financials[[#This Row],[productid]],Products!$B$2:$H$10,3)</f>
        <v>23</v>
      </c>
      <c r="G3469" s="8">
        <f>financials[[#This Row],[Units Sold]]*financials[[#This Row],[Sale Price]]</f>
        <v>368</v>
      </c>
      <c r="H3469" s="8">
        <f>IF(financials[[#This Row],[Discount Band]]="low",0.1,IF(financials[[#This Row],[Discount Band]]="medium",0.15,0.3))</f>
        <v>0.3</v>
      </c>
      <c r="I3469" s="8">
        <f>financials[[#This Row],[Gross Sales]]-financials[[#This Row],[Gross Sales]]*financials[[#This Row],[Discounts]]</f>
        <v>257.60000000000002</v>
      </c>
      <c r="J3469" s="8">
        <f>VLOOKUP(financials[[#This Row],[productid]],Products!$B$2:$H$10,4)</f>
        <v>9.9499999999999993</v>
      </c>
      <c r="K3469" s="8">
        <f>financials[[#This Row],[Net Sales]]-financials[[#This Row],[COGS]]</f>
        <v>247.65000000000003</v>
      </c>
      <c r="L3469" s="15">
        <v>44712</v>
      </c>
      <c r="M3469" t="s">
        <v>697</v>
      </c>
    </row>
    <row r="3470" spans="1:13" x14ac:dyDescent="0.25">
      <c r="A3470" t="s">
        <v>86</v>
      </c>
      <c r="B3470" s="6" t="s">
        <v>197</v>
      </c>
      <c r="C3470" s="13">
        <v>101</v>
      </c>
      <c r="D3470" s="14" t="s">
        <v>83</v>
      </c>
      <c r="E3470">
        <v>20</v>
      </c>
      <c r="F3470" s="8">
        <f>VLOOKUP(financials[[#This Row],[productid]],Products!$B$2:$H$10,3)</f>
        <v>23</v>
      </c>
      <c r="G3470" s="8">
        <f>financials[[#This Row],[Units Sold]]*financials[[#This Row],[Sale Price]]</f>
        <v>460</v>
      </c>
      <c r="H3470" s="8">
        <f>IF(financials[[#This Row],[Discount Band]]="low",0.1,IF(financials[[#This Row],[Discount Band]]="medium",0.15,0.3))</f>
        <v>0.3</v>
      </c>
      <c r="I3470" s="8">
        <f>financials[[#This Row],[Gross Sales]]-financials[[#This Row],[Gross Sales]]*financials[[#This Row],[Discounts]]</f>
        <v>322</v>
      </c>
      <c r="J3470" s="8">
        <f>VLOOKUP(financials[[#This Row],[productid]],Products!$B$2:$H$10,4)</f>
        <v>9.9499999999999993</v>
      </c>
      <c r="K3470" s="8">
        <f>financials[[#This Row],[Net Sales]]-financials[[#This Row],[COGS]]</f>
        <v>312.05</v>
      </c>
      <c r="L3470" s="15">
        <v>44681</v>
      </c>
      <c r="M3470" t="s">
        <v>697</v>
      </c>
    </row>
    <row r="3471" spans="1:13" x14ac:dyDescent="0.25">
      <c r="A3471" t="s">
        <v>86</v>
      </c>
      <c r="B3471" s="6" t="s">
        <v>266</v>
      </c>
      <c r="C3471" s="13">
        <v>104</v>
      </c>
      <c r="D3471" s="14" t="s">
        <v>91</v>
      </c>
      <c r="E3471">
        <v>14</v>
      </c>
      <c r="F3471" s="8">
        <f>VLOOKUP(financials[[#This Row],[productid]],Products!$B$2:$H$10,3)</f>
        <v>5.9</v>
      </c>
      <c r="G3471" s="8">
        <f>financials[[#This Row],[Units Sold]]*financials[[#This Row],[Sale Price]]</f>
        <v>82.600000000000009</v>
      </c>
      <c r="H3471" s="8">
        <f>IF(financials[[#This Row],[Discount Band]]="low",0.1,IF(financials[[#This Row],[Discount Band]]="medium",0.15,0.3))</f>
        <v>0.1</v>
      </c>
      <c r="I3471" s="8">
        <f>financials[[#This Row],[Gross Sales]]-financials[[#This Row],[Gross Sales]]*financials[[#This Row],[Discounts]]</f>
        <v>74.34</v>
      </c>
      <c r="J3471" s="8">
        <f>VLOOKUP(financials[[#This Row],[productid]],Products!$B$2:$H$10,4)</f>
        <v>2.9</v>
      </c>
      <c r="K3471" s="8">
        <f>financials[[#This Row],[Net Sales]]-financials[[#This Row],[COGS]]</f>
        <v>71.44</v>
      </c>
      <c r="L3471" s="15">
        <v>44572</v>
      </c>
      <c r="M3471" t="s">
        <v>700</v>
      </c>
    </row>
    <row r="3472" spans="1:13" x14ac:dyDescent="0.25">
      <c r="A3472" t="s">
        <v>89</v>
      </c>
      <c r="B3472" s="6" t="s">
        <v>124</v>
      </c>
      <c r="C3472" s="13">
        <v>108</v>
      </c>
      <c r="D3472" s="14" t="s">
        <v>92</v>
      </c>
      <c r="E3472">
        <v>5</v>
      </c>
      <c r="F3472" s="8">
        <f>VLOOKUP(financials[[#This Row],[productid]],Products!$B$2:$H$10,3)</f>
        <v>5.5</v>
      </c>
      <c r="G3472" s="8">
        <f>financials[[#This Row],[Units Sold]]*financials[[#This Row],[Sale Price]]</f>
        <v>27.5</v>
      </c>
      <c r="H3472" s="8">
        <f>IF(financials[[#This Row],[Discount Band]]="low",0.1,IF(financials[[#This Row],[Discount Band]]="medium",0.15,0.3))</f>
        <v>0.3</v>
      </c>
      <c r="I3472" s="8">
        <f>financials[[#This Row],[Gross Sales]]-financials[[#This Row],[Gross Sales]]*financials[[#This Row],[Discounts]]</f>
        <v>19.25</v>
      </c>
      <c r="J3472" s="8">
        <f>VLOOKUP(financials[[#This Row],[productid]],Products!$B$2:$H$10,4)</f>
        <v>3.99</v>
      </c>
      <c r="K3472" s="8">
        <f>financials[[#This Row],[Net Sales]]-financials[[#This Row],[COGS]]</f>
        <v>15.26</v>
      </c>
      <c r="L3472" s="15">
        <v>43892</v>
      </c>
      <c r="M3472" t="s">
        <v>696</v>
      </c>
    </row>
    <row r="3473" spans="1:13" x14ac:dyDescent="0.25">
      <c r="A3473" t="s">
        <v>88</v>
      </c>
      <c r="B3473" s="6" t="s">
        <v>197</v>
      </c>
      <c r="C3473" s="11">
        <v>108</v>
      </c>
      <c r="D3473" s="9" t="s">
        <v>91</v>
      </c>
      <c r="E3473">
        <v>11</v>
      </c>
      <c r="F3473" s="8">
        <f>VLOOKUP(financials[[#This Row],[productid]],Products!$B$2:$H$10,3)</f>
        <v>5.5</v>
      </c>
      <c r="G3473" s="8">
        <f>financials[[#This Row],[Units Sold]]*financials[[#This Row],[Sale Price]]</f>
        <v>60.5</v>
      </c>
      <c r="H3473" s="8">
        <f>IF(financials[[#This Row],[Discount Band]]="low",0.1,IF(financials[[#This Row],[Discount Band]]="medium",0.15,0.3))</f>
        <v>0.1</v>
      </c>
      <c r="I3473" s="8">
        <f>financials[[#This Row],[Gross Sales]]-financials[[#This Row],[Gross Sales]]*financials[[#This Row],[Discounts]]</f>
        <v>54.45</v>
      </c>
      <c r="J3473" s="8">
        <f>VLOOKUP(financials[[#This Row],[productid]],Products!$B$2:$H$10,4)</f>
        <v>3.99</v>
      </c>
      <c r="K3473" s="8">
        <f>financials[[#This Row],[Net Sales]]-financials[[#This Row],[COGS]]</f>
        <v>50.46</v>
      </c>
      <c r="L3473" s="15">
        <v>45580</v>
      </c>
      <c r="M3473" t="s">
        <v>691</v>
      </c>
    </row>
    <row r="3474" spans="1:13" x14ac:dyDescent="0.25">
      <c r="A3474" t="s">
        <v>88</v>
      </c>
      <c r="B3474" s="6" t="s">
        <v>287</v>
      </c>
      <c r="C3474" s="13">
        <v>108</v>
      </c>
      <c r="D3474" s="14" t="s">
        <v>91</v>
      </c>
      <c r="E3474">
        <v>7</v>
      </c>
      <c r="F3474" s="8">
        <f>VLOOKUP(financials[[#This Row],[productid]],Products!$B$2:$H$10,3)</f>
        <v>5.5</v>
      </c>
      <c r="G3474" s="8">
        <f>financials[[#This Row],[Units Sold]]*financials[[#This Row],[Sale Price]]</f>
        <v>38.5</v>
      </c>
      <c r="H3474" s="8">
        <f>IF(financials[[#This Row],[Discount Band]]="low",0.1,IF(financials[[#This Row],[Discount Band]]="medium",0.15,0.3))</f>
        <v>0.1</v>
      </c>
      <c r="I3474" s="8">
        <f>financials[[#This Row],[Gross Sales]]-financials[[#This Row],[Gross Sales]]*financials[[#This Row],[Discounts]]</f>
        <v>34.65</v>
      </c>
      <c r="J3474" s="8">
        <f>VLOOKUP(financials[[#This Row],[productid]],Products!$B$2:$H$10,4)</f>
        <v>3.99</v>
      </c>
      <c r="K3474" s="8">
        <f>financials[[#This Row],[Net Sales]]-financials[[#This Row],[COGS]]</f>
        <v>30.659999999999997</v>
      </c>
      <c r="L3474" s="15">
        <v>45033</v>
      </c>
      <c r="M3474" t="s">
        <v>691</v>
      </c>
    </row>
    <row r="3475" spans="1:13" x14ac:dyDescent="0.25">
      <c r="A3475" t="s">
        <v>88</v>
      </c>
      <c r="B3475" s="6" t="s">
        <v>287</v>
      </c>
      <c r="C3475" s="13">
        <v>101</v>
      </c>
      <c r="D3475" s="14" t="s">
        <v>83</v>
      </c>
      <c r="E3475">
        <v>16</v>
      </c>
      <c r="F3475" s="8">
        <f>VLOOKUP(financials[[#This Row],[productid]],Products!$B$2:$H$10,3)</f>
        <v>23</v>
      </c>
      <c r="G3475" s="8">
        <f>financials[[#This Row],[Units Sold]]*financials[[#This Row],[Sale Price]]</f>
        <v>368</v>
      </c>
      <c r="H3475" s="8">
        <f>IF(financials[[#This Row],[Discount Band]]="low",0.1,IF(financials[[#This Row],[Discount Band]]="medium",0.15,0.3))</f>
        <v>0.3</v>
      </c>
      <c r="I3475" s="8">
        <f>financials[[#This Row],[Gross Sales]]-financials[[#This Row],[Gross Sales]]*financials[[#This Row],[Discounts]]</f>
        <v>257.60000000000002</v>
      </c>
      <c r="J3475" s="8">
        <f>VLOOKUP(financials[[#This Row],[productid]],Products!$B$2:$H$10,4)</f>
        <v>9.9499999999999993</v>
      </c>
      <c r="K3475" s="8">
        <f>financials[[#This Row],[Net Sales]]-financials[[#This Row],[COGS]]</f>
        <v>247.65000000000003</v>
      </c>
      <c r="L3475" s="15">
        <v>45510</v>
      </c>
      <c r="M3475" t="s">
        <v>696</v>
      </c>
    </row>
    <row r="3476" spans="1:13" x14ac:dyDescent="0.25">
      <c r="A3476" t="s">
        <v>87</v>
      </c>
      <c r="B3476" s="6" t="s">
        <v>273</v>
      </c>
      <c r="C3476" s="13">
        <v>105</v>
      </c>
      <c r="D3476" s="14" t="s">
        <v>91</v>
      </c>
      <c r="E3476">
        <v>8</v>
      </c>
      <c r="F3476" s="8">
        <f>VLOOKUP(financials[[#This Row],[productid]],Products!$B$2:$H$10,3)</f>
        <v>15</v>
      </c>
      <c r="G3476" s="8">
        <f>financials[[#This Row],[Units Sold]]*financials[[#This Row],[Sale Price]]</f>
        <v>120</v>
      </c>
      <c r="H3476" s="8">
        <f>IF(financials[[#This Row],[Discount Band]]="low",0.1,IF(financials[[#This Row],[Discount Band]]="medium",0.15,0.3))</f>
        <v>0.1</v>
      </c>
      <c r="I3476" s="8">
        <f>financials[[#This Row],[Gross Sales]]-financials[[#This Row],[Gross Sales]]*financials[[#This Row],[Discounts]]</f>
        <v>108</v>
      </c>
      <c r="J3476" s="8">
        <f>VLOOKUP(financials[[#This Row],[productid]],Products!$B$2:$H$10,4)</f>
        <v>10</v>
      </c>
      <c r="K3476" s="8">
        <f>financials[[#This Row],[Net Sales]]-financials[[#This Row],[COGS]]</f>
        <v>98</v>
      </c>
      <c r="L3476" s="15">
        <v>45181</v>
      </c>
      <c r="M3476" t="s">
        <v>697</v>
      </c>
    </row>
    <row r="3477" spans="1:13" x14ac:dyDescent="0.25">
      <c r="A3477" t="s">
        <v>86</v>
      </c>
      <c r="B3477" s="6" t="s">
        <v>124</v>
      </c>
      <c r="C3477" s="13">
        <v>101</v>
      </c>
      <c r="D3477" s="14" t="s">
        <v>90</v>
      </c>
      <c r="E3477">
        <v>12</v>
      </c>
      <c r="F3477" s="8">
        <f>VLOOKUP(financials[[#This Row],[productid]],Products!$B$2:$H$10,3)</f>
        <v>23</v>
      </c>
      <c r="G3477" s="8">
        <f>financials[[#This Row],[Units Sold]]*financials[[#This Row],[Sale Price]]</f>
        <v>276</v>
      </c>
      <c r="H3477" s="8">
        <f>IF(financials[[#This Row],[Discount Band]]="low",0.1,IF(financials[[#This Row],[Discount Band]]="medium",0.15,0.3))</f>
        <v>0.15</v>
      </c>
      <c r="I3477" s="8">
        <f>financials[[#This Row],[Gross Sales]]-financials[[#This Row],[Gross Sales]]*financials[[#This Row],[Discounts]]</f>
        <v>234.6</v>
      </c>
      <c r="J3477" s="8">
        <f>VLOOKUP(financials[[#This Row],[productid]],Products!$B$2:$H$10,4)</f>
        <v>9.9499999999999993</v>
      </c>
      <c r="K3477" s="8">
        <f>financials[[#This Row],[Net Sales]]-financials[[#This Row],[COGS]]</f>
        <v>224.65</v>
      </c>
      <c r="L3477" s="15">
        <v>44809</v>
      </c>
      <c r="M3477" t="s">
        <v>690</v>
      </c>
    </row>
    <row r="3478" spans="1:13" x14ac:dyDescent="0.25">
      <c r="A3478" t="s">
        <v>86</v>
      </c>
      <c r="B3478" s="6" t="s">
        <v>645</v>
      </c>
      <c r="C3478" s="13">
        <v>107</v>
      </c>
      <c r="D3478" s="14" t="s">
        <v>90</v>
      </c>
      <c r="E3478">
        <v>16</v>
      </c>
      <c r="F3478" s="8">
        <f>VLOOKUP(financials[[#This Row],[productid]],Products!$B$2:$H$10,3)</f>
        <v>15</v>
      </c>
      <c r="G3478" s="8">
        <f>financials[[#This Row],[Units Sold]]*financials[[#This Row],[Sale Price]]</f>
        <v>240</v>
      </c>
      <c r="H3478" s="8">
        <f>IF(financials[[#This Row],[Discount Band]]="low",0.1,IF(financials[[#This Row],[Discount Band]]="medium",0.15,0.3))</f>
        <v>0.15</v>
      </c>
      <c r="I3478" s="8">
        <f>financials[[#This Row],[Gross Sales]]-financials[[#This Row],[Gross Sales]]*financials[[#This Row],[Discounts]]</f>
        <v>204</v>
      </c>
      <c r="J3478" s="8">
        <f>VLOOKUP(financials[[#This Row],[productid]],Products!$B$2:$H$10,4)</f>
        <v>5.5</v>
      </c>
      <c r="K3478" s="8">
        <f>financials[[#This Row],[Net Sales]]-financials[[#This Row],[COGS]]</f>
        <v>198.5</v>
      </c>
      <c r="L3478" s="15">
        <v>44262</v>
      </c>
      <c r="M3478" t="s">
        <v>696</v>
      </c>
    </row>
    <row r="3479" spans="1:13" x14ac:dyDescent="0.25">
      <c r="A3479" t="s">
        <v>86</v>
      </c>
      <c r="B3479" s="6" t="s">
        <v>287</v>
      </c>
      <c r="C3479" s="13">
        <v>101</v>
      </c>
      <c r="D3479" s="14" t="s">
        <v>90</v>
      </c>
      <c r="E3479">
        <v>6</v>
      </c>
      <c r="F3479" s="8">
        <f>VLOOKUP(financials[[#This Row],[productid]],Products!$B$2:$H$10,3)</f>
        <v>23</v>
      </c>
      <c r="G3479" s="8">
        <f>financials[[#This Row],[Units Sold]]*financials[[#This Row],[Sale Price]]</f>
        <v>138</v>
      </c>
      <c r="H3479" s="8">
        <f>IF(financials[[#This Row],[Discount Band]]="low",0.1,IF(financials[[#This Row],[Discount Band]]="medium",0.15,0.3))</f>
        <v>0.15</v>
      </c>
      <c r="I3479" s="8">
        <f>financials[[#This Row],[Gross Sales]]-financials[[#This Row],[Gross Sales]]*financials[[#This Row],[Discounts]]</f>
        <v>117.3</v>
      </c>
      <c r="J3479" s="8">
        <f>VLOOKUP(financials[[#This Row],[productid]],Products!$B$2:$H$10,4)</f>
        <v>9.9499999999999993</v>
      </c>
      <c r="K3479" s="8">
        <f>financials[[#This Row],[Net Sales]]-financials[[#This Row],[COGS]]</f>
        <v>107.35</v>
      </c>
      <c r="L3479" s="15">
        <v>43965</v>
      </c>
      <c r="M3479" t="s">
        <v>697</v>
      </c>
    </row>
    <row r="3480" spans="1:13" x14ac:dyDescent="0.25">
      <c r="A3480" t="s">
        <v>86</v>
      </c>
      <c r="B3480" s="6" t="s">
        <v>274</v>
      </c>
      <c r="C3480" s="13">
        <v>105</v>
      </c>
      <c r="D3480" s="14" t="s">
        <v>90</v>
      </c>
      <c r="E3480">
        <v>16</v>
      </c>
      <c r="F3480" s="8">
        <f>VLOOKUP(financials[[#This Row],[productid]],Products!$B$2:$H$10,3)</f>
        <v>15</v>
      </c>
      <c r="G3480" s="8">
        <f>financials[[#This Row],[Units Sold]]*financials[[#This Row],[Sale Price]]</f>
        <v>240</v>
      </c>
      <c r="H3480" s="8">
        <f>IF(financials[[#This Row],[Discount Band]]="low",0.1,IF(financials[[#This Row],[Discount Band]]="medium",0.15,0.3))</f>
        <v>0.15</v>
      </c>
      <c r="I3480" s="8">
        <f>financials[[#This Row],[Gross Sales]]-financials[[#This Row],[Gross Sales]]*financials[[#This Row],[Discounts]]</f>
        <v>204</v>
      </c>
      <c r="J3480" s="8">
        <f>VLOOKUP(financials[[#This Row],[productid]],Products!$B$2:$H$10,4)</f>
        <v>10</v>
      </c>
      <c r="K3480" s="8">
        <f>financials[[#This Row],[Net Sales]]-financials[[#This Row],[COGS]]</f>
        <v>194</v>
      </c>
      <c r="L3480" s="15">
        <v>45067</v>
      </c>
      <c r="M3480" t="s">
        <v>696</v>
      </c>
    </row>
    <row r="3481" spans="1:13" x14ac:dyDescent="0.25">
      <c r="A3481" t="s">
        <v>87</v>
      </c>
      <c r="B3481" s="6" t="s">
        <v>205</v>
      </c>
      <c r="C3481" s="13">
        <v>101</v>
      </c>
      <c r="D3481" s="14" t="s">
        <v>90</v>
      </c>
      <c r="E3481">
        <v>14</v>
      </c>
      <c r="F3481" s="8">
        <f>VLOOKUP(financials[[#This Row],[productid]],Products!$B$2:$H$10,3)</f>
        <v>23</v>
      </c>
      <c r="G3481" s="8">
        <f>financials[[#This Row],[Units Sold]]*financials[[#This Row],[Sale Price]]</f>
        <v>322</v>
      </c>
      <c r="H3481" s="8">
        <f>IF(financials[[#This Row],[Discount Band]]="low",0.1,IF(financials[[#This Row],[Discount Band]]="medium",0.15,0.3))</f>
        <v>0.15</v>
      </c>
      <c r="I3481" s="8">
        <f>financials[[#This Row],[Gross Sales]]-financials[[#This Row],[Gross Sales]]*financials[[#This Row],[Discounts]]</f>
        <v>273.7</v>
      </c>
      <c r="J3481" s="8">
        <f>VLOOKUP(financials[[#This Row],[productid]],Products!$B$2:$H$10,4)</f>
        <v>9.9499999999999993</v>
      </c>
      <c r="K3481" s="8">
        <f>financials[[#This Row],[Net Sales]]-financials[[#This Row],[COGS]]</f>
        <v>263.75</v>
      </c>
      <c r="L3481" s="15">
        <v>44799</v>
      </c>
      <c r="M3481" t="s">
        <v>697</v>
      </c>
    </row>
    <row r="3482" spans="1:13" x14ac:dyDescent="0.25">
      <c r="A3482" t="s">
        <v>86</v>
      </c>
      <c r="B3482" s="6" t="s">
        <v>287</v>
      </c>
      <c r="C3482" s="13">
        <v>105</v>
      </c>
      <c r="D3482" s="14" t="s">
        <v>83</v>
      </c>
      <c r="E3482">
        <v>11</v>
      </c>
      <c r="F3482" s="8">
        <f>VLOOKUP(financials[[#This Row],[productid]],Products!$B$2:$H$10,3)</f>
        <v>15</v>
      </c>
      <c r="G3482" s="8">
        <f>financials[[#This Row],[Units Sold]]*financials[[#This Row],[Sale Price]]</f>
        <v>165</v>
      </c>
      <c r="H3482" s="8">
        <f>IF(financials[[#This Row],[Discount Band]]="low",0.1,IF(financials[[#This Row],[Discount Band]]="medium",0.15,0.3))</f>
        <v>0.3</v>
      </c>
      <c r="I3482" s="8">
        <f>financials[[#This Row],[Gross Sales]]-financials[[#This Row],[Gross Sales]]*financials[[#This Row],[Discounts]]</f>
        <v>115.5</v>
      </c>
      <c r="J3482" s="8">
        <f>VLOOKUP(financials[[#This Row],[productid]],Products!$B$2:$H$10,4)</f>
        <v>10</v>
      </c>
      <c r="K3482" s="8">
        <f>financials[[#This Row],[Net Sales]]-financials[[#This Row],[COGS]]</f>
        <v>105.5</v>
      </c>
      <c r="L3482" s="15">
        <v>45003</v>
      </c>
      <c r="M3482" t="s">
        <v>700</v>
      </c>
    </row>
    <row r="3483" spans="1:13" x14ac:dyDescent="0.25">
      <c r="A3483" t="s">
        <v>89</v>
      </c>
      <c r="B3483" s="6" t="s">
        <v>124</v>
      </c>
      <c r="C3483" s="13">
        <v>109</v>
      </c>
      <c r="D3483" s="14" t="s">
        <v>83</v>
      </c>
      <c r="E3483">
        <v>7</v>
      </c>
      <c r="F3483" s="8">
        <f>VLOOKUP(financials[[#This Row],[productid]],Products!$B$2:$H$10,3)</f>
        <v>36</v>
      </c>
      <c r="G3483" s="8">
        <f>financials[[#This Row],[Units Sold]]*financials[[#This Row],[Sale Price]]</f>
        <v>252</v>
      </c>
      <c r="H3483" s="8">
        <f>IF(financials[[#This Row],[Discount Band]]="low",0.1,IF(financials[[#This Row],[Discount Band]]="medium",0.15,0.3))</f>
        <v>0.3</v>
      </c>
      <c r="I3483" s="8">
        <f>financials[[#This Row],[Gross Sales]]-financials[[#This Row],[Gross Sales]]*financials[[#This Row],[Discounts]]</f>
        <v>176.4</v>
      </c>
      <c r="J3483" s="8">
        <f>VLOOKUP(financials[[#This Row],[productid]],Products!$B$2:$H$10,4)</f>
        <v>16.8</v>
      </c>
      <c r="K3483" s="8">
        <f>financials[[#This Row],[Net Sales]]-financials[[#This Row],[COGS]]</f>
        <v>159.6</v>
      </c>
      <c r="L3483" s="15">
        <v>45318</v>
      </c>
      <c r="M3483" t="s">
        <v>691</v>
      </c>
    </row>
    <row r="3484" spans="1:13" x14ac:dyDescent="0.25">
      <c r="A3484" t="s">
        <v>88</v>
      </c>
      <c r="B3484" s="6" t="s">
        <v>274</v>
      </c>
      <c r="C3484" s="13">
        <v>105</v>
      </c>
      <c r="D3484" s="14" t="s">
        <v>90</v>
      </c>
      <c r="E3484">
        <v>20</v>
      </c>
      <c r="F3484" s="8">
        <f>VLOOKUP(financials[[#This Row],[productid]],Products!$B$2:$H$10,3)</f>
        <v>15</v>
      </c>
      <c r="G3484" s="8">
        <f>financials[[#This Row],[Units Sold]]*financials[[#This Row],[Sale Price]]</f>
        <v>300</v>
      </c>
      <c r="H3484" s="8">
        <f>IF(financials[[#This Row],[Discount Band]]="low",0.1,IF(financials[[#This Row],[Discount Band]]="medium",0.15,0.3))</f>
        <v>0.15</v>
      </c>
      <c r="I3484" s="8">
        <f>financials[[#This Row],[Gross Sales]]-financials[[#This Row],[Gross Sales]]*financials[[#This Row],[Discounts]]</f>
        <v>255</v>
      </c>
      <c r="J3484" s="8">
        <f>VLOOKUP(financials[[#This Row],[productid]],Products!$B$2:$H$10,4)</f>
        <v>10</v>
      </c>
      <c r="K3484" s="8">
        <f>financials[[#This Row],[Net Sales]]-financials[[#This Row],[COGS]]</f>
        <v>245</v>
      </c>
      <c r="L3484" s="15">
        <v>44373</v>
      </c>
      <c r="M3484" t="s">
        <v>696</v>
      </c>
    </row>
    <row r="3485" spans="1:13" x14ac:dyDescent="0.25">
      <c r="A3485" t="s">
        <v>88</v>
      </c>
      <c r="B3485" s="6" t="s">
        <v>95</v>
      </c>
      <c r="C3485" s="13">
        <v>107</v>
      </c>
      <c r="D3485" s="14" t="s">
        <v>90</v>
      </c>
      <c r="E3485">
        <v>16</v>
      </c>
      <c r="F3485" s="8">
        <f>VLOOKUP(financials[[#This Row],[productid]],Products!$B$2:$H$10,3)</f>
        <v>15</v>
      </c>
      <c r="G3485" s="8">
        <f>financials[[#This Row],[Units Sold]]*financials[[#This Row],[Sale Price]]</f>
        <v>240</v>
      </c>
      <c r="H3485" s="8">
        <f>IF(financials[[#This Row],[Discount Band]]="low",0.1,IF(financials[[#This Row],[Discount Band]]="medium",0.15,0.3))</f>
        <v>0.15</v>
      </c>
      <c r="I3485" s="8">
        <f>financials[[#This Row],[Gross Sales]]-financials[[#This Row],[Gross Sales]]*financials[[#This Row],[Discounts]]</f>
        <v>204</v>
      </c>
      <c r="J3485" s="8">
        <f>VLOOKUP(financials[[#This Row],[productid]],Products!$B$2:$H$10,4)</f>
        <v>5.5</v>
      </c>
      <c r="K3485" s="8">
        <f>financials[[#This Row],[Net Sales]]-financials[[#This Row],[COGS]]</f>
        <v>198.5</v>
      </c>
      <c r="L3485" s="15">
        <v>44167</v>
      </c>
      <c r="M3485" t="s">
        <v>691</v>
      </c>
    </row>
    <row r="3486" spans="1:13" x14ac:dyDescent="0.25">
      <c r="A3486" t="s">
        <v>88</v>
      </c>
      <c r="B3486" s="6" t="s">
        <v>95</v>
      </c>
      <c r="C3486" s="13">
        <v>101</v>
      </c>
      <c r="D3486" s="14" t="s">
        <v>91</v>
      </c>
      <c r="E3486">
        <v>9</v>
      </c>
      <c r="F3486" s="8">
        <f>VLOOKUP(financials[[#This Row],[productid]],Products!$B$2:$H$10,3)</f>
        <v>23</v>
      </c>
      <c r="G3486" s="8">
        <f>financials[[#This Row],[Units Sold]]*financials[[#This Row],[Sale Price]]</f>
        <v>207</v>
      </c>
      <c r="H3486" s="8">
        <f>IF(financials[[#This Row],[Discount Band]]="low",0.1,IF(financials[[#This Row],[Discount Band]]="medium",0.15,0.3))</f>
        <v>0.1</v>
      </c>
      <c r="I3486" s="8">
        <f>financials[[#This Row],[Gross Sales]]-financials[[#This Row],[Gross Sales]]*financials[[#This Row],[Discounts]]</f>
        <v>186.3</v>
      </c>
      <c r="J3486" s="8">
        <f>VLOOKUP(financials[[#This Row],[productid]],Products!$B$2:$H$10,4)</f>
        <v>9.9499999999999993</v>
      </c>
      <c r="K3486" s="8">
        <f>financials[[#This Row],[Net Sales]]-financials[[#This Row],[COGS]]</f>
        <v>176.35000000000002</v>
      </c>
      <c r="L3486" s="15">
        <v>45004</v>
      </c>
      <c r="M3486" t="s">
        <v>696</v>
      </c>
    </row>
    <row r="3487" spans="1:13" x14ac:dyDescent="0.25">
      <c r="A3487" t="s">
        <v>86</v>
      </c>
      <c r="B3487" s="6" t="s">
        <v>287</v>
      </c>
      <c r="C3487" s="13">
        <v>107</v>
      </c>
      <c r="D3487" s="14" t="s">
        <v>90</v>
      </c>
      <c r="E3487">
        <v>17</v>
      </c>
      <c r="F3487" s="8">
        <f>VLOOKUP(financials[[#This Row],[productid]],Products!$B$2:$H$10,3)</f>
        <v>15</v>
      </c>
      <c r="G3487" s="8">
        <f>financials[[#This Row],[Units Sold]]*financials[[#This Row],[Sale Price]]</f>
        <v>255</v>
      </c>
      <c r="H3487" s="8">
        <f>IF(financials[[#This Row],[Discount Band]]="low",0.1,IF(financials[[#This Row],[Discount Band]]="medium",0.15,0.3))</f>
        <v>0.15</v>
      </c>
      <c r="I3487" s="8">
        <f>financials[[#This Row],[Gross Sales]]-financials[[#This Row],[Gross Sales]]*financials[[#This Row],[Discounts]]</f>
        <v>216.75</v>
      </c>
      <c r="J3487" s="8">
        <f>VLOOKUP(financials[[#This Row],[productid]],Products!$B$2:$H$10,4)</f>
        <v>5.5</v>
      </c>
      <c r="K3487" s="8">
        <f>financials[[#This Row],[Net Sales]]-financials[[#This Row],[COGS]]</f>
        <v>211.25</v>
      </c>
      <c r="L3487" s="15">
        <v>43980</v>
      </c>
      <c r="M3487" t="s">
        <v>691</v>
      </c>
    </row>
    <row r="3488" spans="1:13" x14ac:dyDescent="0.25">
      <c r="A3488" t="s">
        <v>89</v>
      </c>
      <c r="B3488" s="6" t="s">
        <v>124</v>
      </c>
      <c r="C3488" s="13">
        <v>103</v>
      </c>
      <c r="D3488" s="14" t="s">
        <v>83</v>
      </c>
      <c r="E3488">
        <v>15</v>
      </c>
      <c r="F3488" s="8">
        <f>VLOOKUP(financials[[#This Row],[productid]],Products!$B$2:$H$10,3)</f>
        <v>28</v>
      </c>
      <c r="G3488" s="8">
        <f>financials[[#This Row],[Units Sold]]*financials[[#This Row],[Sale Price]]</f>
        <v>420</v>
      </c>
      <c r="H3488" s="8">
        <f>IF(financials[[#This Row],[Discount Band]]="low",0.1,IF(financials[[#This Row],[Discount Band]]="medium",0.15,0.3))</f>
        <v>0.3</v>
      </c>
      <c r="I3488" s="8">
        <f>financials[[#This Row],[Gross Sales]]-financials[[#This Row],[Gross Sales]]*financials[[#This Row],[Discounts]]</f>
        <v>294</v>
      </c>
      <c r="J3488" s="8">
        <f>VLOOKUP(financials[[#This Row],[productid]],Products!$B$2:$H$10,4)</f>
        <v>15</v>
      </c>
      <c r="K3488" s="8">
        <f>financials[[#This Row],[Net Sales]]-financials[[#This Row],[COGS]]</f>
        <v>279</v>
      </c>
      <c r="L3488" s="15">
        <v>45161</v>
      </c>
      <c r="M3488" t="s">
        <v>691</v>
      </c>
    </row>
    <row r="3489" spans="1:13" x14ac:dyDescent="0.25">
      <c r="A3489" t="s">
        <v>88</v>
      </c>
      <c r="B3489" s="6" t="s">
        <v>125</v>
      </c>
      <c r="C3489" s="11">
        <v>102</v>
      </c>
      <c r="D3489" s="9" t="s">
        <v>91</v>
      </c>
      <c r="E3489">
        <v>15</v>
      </c>
      <c r="F3489" s="8">
        <f>VLOOKUP(financials[[#This Row],[productid]],Products!$B$2:$H$10,3)</f>
        <v>15</v>
      </c>
      <c r="G3489" s="8">
        <f>financials[[#This Row],[Units Sold]]*financials[[#This Row],[Sale Price]]</f>
        <v>225</v>
      </c>
      <c r="H3489" s="8">
        <f>IF(financials[[#This Row],[Discount Band]]="low",0.1,IF(financials[[#This Row],[Discount Band]]="medium",0.15,0.3))</f>
        <v>0.1</v>
      </c>
      <c r="I3489" s="8">
        <f>financials[[#This Row],[Gross Sales]]-financials[[#This Row],[Gross Sales]]*financials[[#This Row],[Discounts]]</f>
        <v>202.5</v>
      </c>
      <c r="J3489" s="8">
        <f>VLOOKUP(financials[[#This Row],[productid]],Products!$B$2:$H$10,4)</f>
        <v>13.95</v>
      </c>
      <c r="K3489" s="8">
        <f>financials[[#This Row],[Net Sales]]-financials[[#This Row],[COGS]]</f>
        <v>188.55</v>
      </c>
      <c r="L3489" s="15">
        <v>43936</v>
      </c>
      <c r="M3489" t="s">
        <v>697</v>
      </c>
    </row>
    <row r="3490" spans="1:13" x14ac:dyDescent="0.25">
      <c r="A3490" t="s">
        <v>88</v>
      </c>
      <c r="B3490" s="6" t="s">
        <v>274</v>
      </c>
      <c r="C3490" s="13">
        <v>109</v>
      </c>
      <c r="D3490" s="14" t="s">
        <v>90</v>
      </c>
      <c r="E3490">
        <v>5</v>
      </c>
      <c r="F3490" s="8">
        <f>VLOOKUP(financials[[#This Row],[productid]],Products!$B$2:$H$10,3)</f>
        <v>36</v>
      </c>
      <c r="G3490" s="8">
        <f>financials[[#This Row],[Units Sold]]*financials[[#This Row],[Sale Price]]</f>
        <v>180</v>
      </c>
      <c r="H3490" s="8">
        <f>IF(financials[[#This Row],[Discount Band]]="low",0.1,IF(financials[[#This Row],[Discount Band]]="medium",0.15,0.3))</f>
        <v>0.15</v>
      </c>
      <c r="I3490" s="8">
        <f>financials[[#This Row],[Gross Sales]]-financials[[#This Row],[Gross Sales]]*financials[[#This Row],[Discounts]]</f>
        <v>153</v>
      </c>
      <c r="J3490" s="8">
        <f>VLOOKUP(financials[[#This Row],[productid]],Products!$B$2:$H$10,4)</f>
        <v>16.8</v>
      </c>
      <c r="K3490" s="8">
        <f>financials[[#This Row],[Net Sales]]-financials[[#This Row],[COGS]]</f>
        <v>136.19999999999999</v>
      </c>
      <c r="L3490" s="15">
        <v>44663</v>
      </c>
      <c r="M3490" t="s">
        <v>697</v>
      </c>
    </row>
    <row r="3491" spans="1:13" x14ac:dyDescent="0.25">
      <c r="A3491" t="s">
        <v>88</v>
      </c>
      <c r="B3491" s="6" t="s">
        <v>94</v>
      </c>
      <c r="C3491" s="13">
        <v>108</v>
      </c>
      <c r="D3491" s="14" t="s">
        <v>90</v>
      </c>
      <c r="E3491">
        <v>17</v>
      </c>
      <c r="F3491" s="8">
        <f>VLOOKUP(financials[[#This Row],[productid]],Products!$B$2:$H$10,3)</f>
        <v>5.5</v>
      </c>
      <c r="G3491" s="8">
        <f>financials[[#This Row],[Units Sold]]*financials[[#This Row],[Sale Price]]</f>
        <v>93.5</v>
      </c>
      <c r="H3491" s="8">
        <f>IF(financials[[#This Row],[Discount Band]]="low",0.1,IF(financials[[#This Row],[Discount Band]]="medium",0.15,0.3))</f>
        <v>0.15</v>
      </c>
      <c r="I3491" s="8">
        <f>financials[[#This Row],[Gross Sales]]-financials[[#This Row],[Gross Sales]]*financials[[#This Row],[Discounts]]</f>
        <v>79.474999999999994</v>
      </c>
      <c r="J3491" s="8">
        <f>VLOOKUP(financials[[#This Row],[productid]],Products!$B$2:$H$10,4)</f>
        <v>3.99</v>
      </c>
      <c r="K3491" s="8">
        <f>financials[[#This Row],[Net Sales]]-financials[[#This Row],[COGS]]</f>
        <v>75.484999999999999</v>
      </c>
      <c r="L3491" s="15">
        <v>44123</v>
      </c>
      <c r="M3491" t="s">
        <v>690</v>
      </c>
    </row>
    <row r="3492" spans="1:13" x14ac:dyDescent="0.25">
      <c r="A3492" t="s">
        <v>88</v>
      </c>
      <c r="B3492" s="6" t="s">
        <v>197</v>
      </c>
      <c r="C3492" s="13">
        <v>108</v>
      </c>
      <c r="D3492" s="14" t="s">
        <v>91</v>
      </c>
      <c r="E3492">
        <v>12</v>
      </c>
      <c r="F3492" s="8">
        <f>VLOOKUP(financials[[#This Row],[productid]],Products!$B$2:$H$10,3)</f>
        <v>5.5</v>
      </c>
      <c r="G3492" s="8">
        <f>financials[[#This Row],[Units Sold]]*financials[[#This Row],[Sale Price]]</f>
        <v>66</v>
      </c>
      <c r="H3492" s="8">
        <f>IF(financials[[#This Row],[Discount Band]]="low",0.1,IF(financials[[#This Row],[Discount Band]]="medium",0.15,0.3))</f>
        <v>0.1</v>
      </c>
      <c r="I3492" s="8">
        <f>financials[[#This Row],[Gross Sales]]-financials[[#This Row],[Gross Sales]]*financials[[#This Row],[Discounts]]</f>
        <v>59.4</v>
      </c>
      <c r="J3492" s="8">
        <f>VLOOKUP(financials[[#This Row],[productid]],Products!$B$2:$H$10,4)</f>
        <v>3.99</v>
      </c>
      <c r="K3492" s="8">
        <f>financials[[#This Row],[Net Sales]]-financials[[#This Row],[COGS]]</f>
        <v>55.41</v>
      </c>
      <c r="L3492" s="15">
        <v>45572</v>
      </c>
      <c r="M3492" t="s">
        <v>690</v>
      </c>
    </row>
    <row r="3493" spans="1:13" x14ac:dyDescent="0.25">
      <c r="A3493" t="s">
        <v>86</v>
      </c>
      <c r="B3493" s="6" t="s">
        <v>159</v>
      </c>
      <c r="C3493" s="13">
        <v>101</v>
      </c>
      <c r="D3493" s="14" t="s">
        <v>83</v>
      </c>
      <c r="E3493">
        <v>6</v>
      </c>
      <c r="F3493" s="8">
        <f>VLOOKUP(financials[[#This Row],[productid]],Products!$B$2:$H$10,3)</f>
        <v>23</v>
      </c>
      <c r="G3493" s="8">
        <f>financials[[#This Row],[Units Sold]]*financials[[#This Row],[Sale Price]]</f>
        <v>138</v>
      </c>
      <c r="H3493" s="8">
        <f>IF(financials[[#This Row],[Discount Band]]="low",0.1,IF(financials[[#This Row],[Discount Band]]="medium",0.15,0.3))</f>
        <v>0.3</v>
      </c>
      <c r="I3493" s="8">
        <f>financials[[#This Row],[Gross Sales]]-financials[[#This Row],[Gross Sales]]*financials[[#This Row],[Discounts]]</f>
        <v>96.6</v>
      </c>
      <c r="J3493" s="8">
        <f>VLOOKUP(financials[[#This Row],[productid]],Products!$B$2:$H$10,4)</f>
        <v>9.9499999999999993</v>
      </c>
      <c r="K3493" s="8">
        <f>financials[[#This Row],[Net Sales]]-financials[[#This Row],[COGS]]</f>
        <v>86.649999999999991</v>
      </c>
      <c r="L3493" s="15">
        <v>45561</v>
      </c>
      <c r="M3493" t="s">
        <v>700</v>
      </c>
    </row>
    <row r="3494" spans="1:13" x14ac:dyDescent="0.25">
      <c r="A3494" t="s">
        <v>86</v>
      </c>
      <c r="B3494" s="6" t="s">
        <v>96</v>
      </c>
      <c r="C3494" s="13">
        <v>109</v>
      </c>
      <c r="D3494" s="14" t="s">
        <v>91</v>
      </c>
      <c r="E3494">
        <v>17</v>
      </c>
      <c r="F3494" s="8">
        <f>VLOOKUP(financials[[#This Row],[productid]],Products!$B$2:$H$10,3)</f>
        <v>36</v>
      </c>
      <c r="G3494" s="8">
        <f>financials[[#This Row],[Units Sold]]*financials[[#This Row],[Sale Price]]</f>
        <v>612</v>
      </c>
      <c r="H3494" s="8">
        <f>IF(financials[[#This Row],[Discount Band]]="low",0.1,IF(financials[[#This Row],[Discount Band]]="medium",0.15,0.3))</f>
        <v>0.1</v>
      </c>
      <c r="I3494" s="8">
        <f>financials[[#This Row],[Gross Sales]]-financials[[#This Row],[Gross Sales]]*financials[[#This Row],[Discounts]]</f>
        <v>550.79999999999995</v>
      </c>
      <c r="J3494" s="8">
        <f>VLOOKUP(financials[[#This Row],[productid]],Products!$B$2:$H$10,4)</f>
        <v>16.8</v>
      </c>
      <c r="K3494" s="8">
        <f>financials[[#This Row],[Net Sales]]-financials[[#This Row],[COGS]]</f>
        <v>534</v>
      </c>
      <c r="L3494" s="15">
        <v>45628</v>
      </c>
      <c r="M3494" t="s">
        <v>700</v>
      </c>
    </row>
    <row r="3495" spans="1:13" x14ac:dyDescent="0.25">
      <c r="A3495" t="s">
        <v>86</v>
      </c>
      <c r="B3495" s="6" t="s">
        <v>240</v>
      </c>
      <c r="C3495" s="13">
        <v>108</v>
      </c>
      <c r="D3495" s="14" t="s">
        <v>83</v>
      </c>
      <c r="E3495">
        <v>6</v>
      </c>
      <c r="F3495" s="8">
        <f>VLOOKUP(financials[[#This Row],[productid]],Products!$B$2:$H$10,3)</f>
        <v>5.5</v>
      </c>
      <c r="G3495" s="8">
        <f>financials[[#This Row],[Units Sold]]*financials[[#This Row],[Sale Price]]</f>
        <v>33</v>
      </c>
      <c r="H3495" s="8">
        <f>IF(financials[[#This Row],[Discount Band]]="low",0.1,IF(financials[[#This Row],[Discount Band]]="medium",0.15,0.3))</f>
        <v>0.3</v>
      </c>
      <c r="I3495" s="8">
        <f>financials[[#This Row],[Gross Sales]]-financials[[#This Row],[Gross Sales]]*financials[[#This Row],[Discounts]]</f>
        <v>23.1</v>
      </c>
      <c r="J3495" s="8">
        <f>VLOOKUP(financials[[#This Row],[productid]],Products!$B$2:$H$10,4)</f>
        <v>3.99</v>
      </c>
      <c r="K3495" s="8">
        <f>financials[[#This Row],[Net Sales]]-financials[[#This Row],[COGS]]</f>
        <v>19.11</v>
      </c>
      <c r="L3495" s="15">
        <v>44687</v>
      </c>
      <c r="M3495" t="s">
        <v>696</v>
      </c>
    </row>
    <row r="3496" spans="1:13" x14ac:dyDescent="0.25">
      <c r="A3496" t="s">
        <v>88</v>
      </c>
      <c r="B3496" s="6" t="s">
        <v>232</v>
      </c>
      <c r="C3496" s="13">
        <v>103</v>
      </c>
      <c r="D3496" s="14" t="s">
        <v>91</v>
      </c>
      <c r="E3496">
        <v>12</v>
      </c>
      <c r="F3496" s="8">
        <f>VLOOKUP(financials[[#This Row],[productid]],Products!$B$2:$H$10,3)</f>
        <v>28</v>
      </c>
      <c r="G3496" s="8">
        <f>financials[[#This Row],[Units Sold]]*financials[[#This Row],[Sale Price]]</f>
        <v>336</v>
      </c>
      <c r="H3496" s="8">
        <f>IF(financials[[#This Row],[Discount Band]]="low",0.1,IF(financials[[#This Row],[Discount Band]]="medium",0.15,0.3))</f>
        <v>0.1</v>
      </c>
      <c r="I3496" s="8">
        <f>financials[[#This Row],[Gross Sales]]-financials[[#This Row],[Gross Sales]]*financials[[#This Row],[Discounts]]</f>
        <v>302.39999999999998</v>
      </c>
      <c r="J3496" s="8">
        <f>VLOOKUP(financials[[#This Row],[productid]],Products!$B$2:$H$10,4)</f>
        <v>15</v>
      </c>
      <c r="K3496" s="8">
        <f>financials[[#This Row],[Net Sales]]-financials[[#This Row],[COGS]]</f>
        <v>287.39999999999998</v>
      </c>
      <c r="L3496" s="15">
        <v>44590</v>
      </c>
      <c r="M3496" t="s">
        <v>691</v>
      </c>
    </row>
    <row r="3497" spans="1:13" x14ac:dyDescent="0.25">
      <c r="A3497" t="s">
        <v>88</v>
      </c>
      <c r="B3497" s="6" t="s">
        <v>287</v>
      </c>
      <c r="C3497" s="13">
        <v>106</v>
      </c>
      <c r="D3497" s="14" t="s">
        <v>90</v>
      </c>
      <c r="E3497">
        <v>5</v>
      </c>
      <c r="F3497" s="8">
        <f>VLOOKUP(financials[[#This Row],[productid]],Products!$B$2:$H$10,3)</f>
        <v>25</v>
      </c>
      <c r="G3497" s="8">
        <f>financials[[#This Row],[Units Sold]]*financials[[#This Row],[Sale Price]]</f>
        <v>125</v>
      </c>
      <c r="H3497" s="8">
        <f>IF(financials[[#This Row],[Discount Band]]="low",0.1,IF(financials[[#This Row],[Discount Band]]="medium",0.15,0.3))</f>
        <v>0.15</v>
      </c>
      <c r="I3497" s="8">
        <f>financials[[#This Row],[Gross Sales]]-financials[[#This Row],[Gross Sales]]*financials[[#This Row],[Discounts]]</f>
        <v>106.25</v>
      </c>
      <c r="J3497" s="8">
        <f>VLOOKUP(financials[[#This Row],[productid]],Products!$B$2:$H$10,4)</f>
        <v>9.1</v>
      </c>
      <c r="K3497" s="8">
        <f>financials[[#This Row],[Net Sales]]-financials[[#This Row],[COGS]]</f>
        <v>97.15</v>
      </c>
      <c r="L3497" s="15">
        <v>45533</v>
      </c>
      <c r="M3497" t="s">
        <v>690</v>
      </c>
    </row>
    <row r="3498" spans="1:13" x14ac:dyDescent="0.25">
      <c r="A3498" t="s">
        <v>87</v>
      </c>
      <c r="B3498" s="6" t="s">
        <v>205</v>
      </c>
      <c r="C3498" s="13">
        <v>108</v>
      </c>
      <c r="D3498" s="14" t="s">
        <v>91</v>
      </c>
      <c r="E3498">
        <v>19</v>
      </c>
      <c r="F3498" s="8">
        <f>VLOOKUP(financials[[#This Row],[productid]],Products!$B$2:$H$10,3)</f>
        <v>5.5</v>
      </c>
      <c r="G3498" s="8">
        <f>financials[[#This Row],[Units Sold]]*financials[[#This Row],[Sale Price]]</f>
        <v>104.5</v>
      </c>
      <c r="H3498" s="8">
        <f>IF(financials[[#This Row],[Discount Band]]="low",0.1,IF(financials[[#This Row],[Discount Band]]="medium",0.15,0.3))</f>
        <v>0.1</v>
      </c>
      <c r="I3498" s="8">
        <f>financials[[#This Row],[Gross Sales]]-financials[[#This Row],[Gross Sales]]*financials[[#This Row],[Discounts]]</f>
        <v>94.05</v>
      </c>
      <c r="J3498" s="8">
        <f>VLOOKUP(financials[[#This Row],[productid]],Products!$B$2:$H$10,4)</f>
        <v>3.99</v>
      </c>
      <c r="K3498" s="8">
        <f>financials[[#This Row],[Net Sales]]-financials[[#This Row],[COGS]]</f>
        <v>90.06</v>
      </c>
      <c r="L3498" s="15">
        <v>45402</v>
      </c>
      <c r="M3498" t="s">
        <v>697</v>
      </c>
    </row>
    <row r="3499" spans="1:13" x14ac:dyDescent="0.25">
      <c r="A3499" t="s">
        <v>86</v>
      </c>
      <c r="B3499" s="6" t="s">
        <v>240</v>
      </c>
      <c r="C3499" s="11">
        <v>109</v>
      </c>
      <c r="D3499" s="9" t="s">
        <v>83</v>
      </c>
      <c r="E3499">
        <v>19</v>
      </c>
      <c r="F3499" s="8">
        <f>VLOOKUP(financials[[#This Row],[productid]],Products!$B$2:$H$10,3)</f>
        <v>36</v>
      </c>
      <c r="G3499" s="8">
        <f>financials[[#This Row],[Units Sold]]*financials[[#This Row],[Sale Price]]</f>
        <v>684</v>
      </c>
      <c r="H3499" s="8">
        <f>IF(financials[[#This Row],[Discount Band]]="low",0.1,IF(financials[[#This Row],[Discount Band]]="medium",0.15,0.3))</f>
        <v>0.3</v>
      </c>
      <c r="I3499" s="8">
        <f>financials[[#This Row],[Gross Sales]]-financials[[#This Row],[Gross Sales]]*financials[[#This Row],[Discounts]]</f>
        <v>478.8</v>
      </c>
      <c r="J3499" s="8">
        <f>VLOOKUP(financials[[#This Row],[productid]],Products!$B$2:$H$10,4)</f>
        <v>16.8</v>
      </c>
      <c r="K3499" s="8">
        <f>financials[[#This Row],[Net Sales]]-financials[[#This Row],[COGS]]</f>
        <v>462</v>
      </c>
      <c r="L3499" s="15">
        <v>44658</v>
      </c>
      <c r="M3499" t="s">
        <v>697</v>
      </c>
    </row>
    <row r="3500" spans="1:13" x14ac:dyDescent="0.25">
      <c r="A3500" t="s">
        <v>88</v>
      </c>
      <c r="B3500" s="6" t="s">
        <v>158</v>
      </c>
      <c r="C3500" s="13">
        <v>108</v>
      </c>
      <c r="D3500" s="14" t="s">
        <v>83</v>
      </c>
      <c r="E3500">
        <v>6</v>
      </c>
      <c r="F3500" s="8">
        <f>VLOOKUP(financials[[#This Row],[productid]],Products!$B$2:$H$10,3)</f>
        <v>5.5</v>
      </c>
      <c r="G3500" s="8">
        <f>financials[[#This Row],[Units Sold]]*financials[[#This Row],[Sale Price]]</f>
        <v>33</v>
      </c>
      <c r="H3500" s="8">
        <f>IF(financials[[#This Row],[Discount Band]]="low",0.1,IF(financials[[#This Row],[Discount Band]]="medium",0.15,0.3))</f>
        <v>0.3</v>
      </c>
      <c r="I3500" s="8">
        <f>financials[[#This Row],[Gross Sales]]-financials[[#This Row],[Gross Sales]]*financials[[#This Row],[Discounts]]</f>
        <v>23.1</v>
      </c>
      <c r="J3500" s="8">
        <f>VLOOKUP(financials[[#This Row],[productid]],Products!$B$2:$H$10,4)</f>
        <v>3.99</v>
      </c>
      <c r="K3500" s="8">
        <f>financials[[#This Row],[Net Sales]]-financials[[#This Row],[COGS]]</f>
        <v>19.11</v>
      </c>
      <c r="L3500" s="15">
        <v>45363</v>
      </c>
      <c r="M3500" t="s">
        <v>697</v>
      </c>
    </row>
    <row r="3501" spans="1:13" x14ac:dyDescent="0.25">
      <c r="A3501" t="s">
        <v>86</v>
      </c>
      <c r="B3501" s="6" t="s">
        <v>96</v>
      </c>
      <c r="C3501" s="13">
        <v>109</v>
      </c>
      <c r="D3501" s="14" t="s">
        <v>92</v>
      </c>
      <c r="E3501">
        <v>11</v>
      </c>
      <c r="F3501" s="8">
        <f>VLOOKUP(financials[[#This Row],[productid]],Products!$B$2:$H$10,3)</f>
        <v>36</v>
      </c>
      <c r="G3501" s="8">
        <f>financials[[#This Row],[Units Sold]]*financials[[#This Row],[Sale Price]]</f>
        <v>396</v>
      </c>
      <c r="H3501" s="8">
        <f>IF(financials[[#This Row],[Discount Band]]="low",0.1,IF(financials[[#This Row],[Discount Band]]="medium",0.15,0.3))</f>
        <v>0.3</v>
      </c>
      <c r="I3501" s="8">
        <f>financials[[#This Row],[Gross Sales]]-financials[[#This Row],[Gross Sales]]*financials[[#This Row],[Discounts]]</f>
        <v>277.2</v>
      </c>
      <c r="J3501" s="8">
        <f>VLOOKUP(financials[[#This Row],[productid]],Products!$B$2:$H$10,4)</f>
        <v>16.8</v>
      </c>
      <c r="K3501" s="8">
        <f>financials[[#This Row],[Net Sales]]-financials[[#This Row],[COGS]]</f>
        <v>260.39999999999998</v>
      </c>
      <c r="L3501" s="15">
        <v>44829</v>
      </c>
      <c r="M3501" t="s">
        <v>691</v>
      </c>
    </row>
    <row r="3502" spans="1:13" x14ac:dyDescent="0.25">
      <c r="A3502" t="s">
        <v>88</v>
      </c>
      <c r="B3502" s="6" t="s">
        <v>158</v>
      </c>
      <c r="C3502" s="13">
        <v>102</v>
      </c>
      <c r="D3502" s="14" t="s">
        <v>90</v>
      </c>
      <c r="E3502">
        <v>9</v>
      </c>
      <c r="F3502" s="8">
        <f>VLOOKUP(financials[[#This Row],[productid]],Products!$B$2:$H$10,3)</f>
        <v>15</v>
      </c>
      <c r="G3502" s="8">
        <f>financials[[#This Row],[Units Sold]]*financials[[#This Row],[Sale Price]]</f>
        <v>135</v>
      </c>
      <c r="H3502" s="8">
        <f>IF(financials[[#This Row],[Discount Band]]="low",0.1,IF(financials[[#This Row],[Discount Band]]="medium",0.15,0.3))</f>
        <v>0.15</v>
      </c>
      <c r="I3502" s="8">
        <f>financials[[#This Row],[Gross Sales]]-financials[[#This Row],[Gross Sales]]*financials[[#This Row],[Discounts]]</f>
        <v>114.75</v>
      </c>
      <c r="J3502" s="8">
        <f>VLOOKUP(financials[[#This Row],[productid]],Products!$B$2:$H$10,4)</f>
        <v>13.95</v>
      </c>
      <c r="K3502" s="8">
        <f>financials[[#This Row],[Net Sales]]-financials[[#This Row],[COGS]]</f>
        <v>100.8</v>
      </c>
      <c r="L3502" s="15">
        <v>43975</v>
      </c>
      <c r="M3502" t="s">
        <v>697</v>
      </c>
    </row>
    <row r="3503" spans="1:13" x14ac:dyDescent="0.25">
      <c r="A3503" t="s">
        <v>88</v>
      </c>
      <c r="B3503" s="6" t="s">
        <v>197</v>
      </c>
      <c r="C3503" s="13">
        <v>109</v>
      </c>
      <c r="D3503" s="14" t="s">
        <v>83</v>
      </c>
      <c r="E3503">
        <v>18</v>
      </c>
      <c r="F3503" s="8">
        <f>VLOOKUP(financials[[#This Row],[productid]],Products!$B$2:$H$10,3)</f>
        <v>36</v>
      </c>
      <c r="G3503" s="8">
        <f>financials[[#This Row],[Units Sold]]*financials[[#This Row],[Sale Price]]</f>
        <v>648</v>
      </c>
      <c r="H3503" s="8">
        <f>IF(financials[[#This Row],[Discount Band]]="low",0.1,IF(financials[[#This Row],[Discount Band]]="medium",0.15,0.3))</f>
        <v>0.3</v>
      </c>
      <c r="I3503" s="8">
        <f>financials[[#This Row],[Gross Sales]]-financials[[#This Row],[Gross Sales]]*financials[[#This Row],[Discounts]]</f>
        <v>453.6</v>
      </c>
      <c r="J3503" s="8">
        <f>VLOOKUP(financials[[#This Row],[productid]],Products!$B$2:$H$10,4)</f>
        <v>16.8</v>
      </c>
      <c r="K3503" s="8">
        <f>financials[[#This Row],[Net Sales]]-financials[[#This Row],[COGS]]</f>
        <v>436.8</v>
      </c>
      <c r="L3503" s="15">
        <v>44937</v>
      </c>
      <c r="M3503" t="s">
        <v>691</v>
      </c>
    </row>
    <row r="3504" spans="1:13" x14ac:dyDescent="0.25">
      <c r="A3504" t="s">
        <v>86</v>
      </c>
      <c r="B3504" s="6" t="s">
        <v>240</v>
      </c>
      <c r="C3504" s="11">
        <v>108</v>
      </c>
      <c r="D3504" s="9" t="s">
        <v>90</v>
      </c>
      <c r="E3504">
        <v>10</v>
      </c>
      <c r="F3504" s="8">
        <f>VLOOKUP(financials[[#This Row],[productid]],Products!$B$2:$H$10,3)</f>
        <v>5.5</v>
      </c>
      <c r="G3504" s="8">
        <f>financials[[#This Row],[Units Sold]]*financials[[#This Row],[Sale Price]]</f>
        <v>55</v>
      </c>
      <c r="H3504" s="8">
        <f>IF(financials[[#This Row],[Discount Band]]="low",0.1,IF(financials[[#This Row],[Discount Band]]="medium",0.15,0.3))</f>
        <v>0.15</v>
      </c>
      <c r="I3504" s="8">
        <f>financials[[#This Row],[Gross Sales]]-financials[[#This Row],[Gross Sales]]*financials[[#This Row],[Discounts]]</f>
        <v>46.75</v>
      </c>
      <c r="J3504" s="8">
        <f>VLOOKUP(financials[[#This Row],[productid]],Products!$B$2:$H$10,4)</f>
        <v>3.99</v>
      </c>
      <c r="K3504" s="8">
        <f>financials[[#This Row],[Net Sales]]-financials[[#This Row],[COGS]]</f>
        <v>42.76</v>
      </c>
      <c r="L3504" s="15">
        <v>44076</v>
      </c>
      <c r="M3504" t="s">
        <v>697</v>
      </c>
    </row>
    <row r="3505" spans="1:13" x14ac:dyDescent="0.25">
      <c r="A3505" t="s">
        <v>86</v>
      </c>
      <c r="B3505" s="6" t="s">
        <v>93</v>
      </c>
      <c r="C3505" s="13">
        <v>104</v>
      </c>
      <c r="D3505" s="14" t="s">
        <v>83</v>
      </c>
      <c r="E3505">
        <v>17</v>
      </c>
      <c r="F3505" s="8">
        <f>VLOOKUP(financials[[#This Row],[productid]],Products!$B$2:$H$10,3)</f>
        <v>5.9</v>
      </c>
      <c r="G3505" s="8">
        <f>financials[[#This Row],[Units Sold]]*financials[[#This Row],[Sale Price]]</f>
        <v>100.30000000000001</v>
      </c>
      <c r="H3505" s="8">
        <f>IF(financials[[#This Row],[Discount Band]]="low",0.1,IF(financials[[#This Row],[Discount Band]]="medium",0.15,0.3))</f>
        <v>0.3</v>
      </c>
      <c r="I3505" s="8">
        <f>financials[[#This Row],[Gross Sales]]-financials[[#This Row],[Gross Sales]]*financials[[#This Row],[Discounts]]</f>
        <v>70.210000000000008</v>
      </c>
      <c r="J3505" s="8">
        <f>VLOOKUP(financials[[#This Row],[productid]],Products!$B$2:$H$10,4)</f>
        <v>2.9</v>
      </c>
      <c r="K3505" s="8">
        <f>financials[[#This Row],[Net Sales]]-financials[[#This Row],[COGS]]</f>
        <v>67.31</v>
      </c>
      <c r="L3505" s="15">
        <v>43960</v>
      </c>
      <c r="M3505" t="s">
        <v>696</v>
      </c>
    </row>
    <row r="3506" spans="1:13" x14ac:dyDescent="0.25">
      <c r="A3506" t="s">
        <v>86</v>
      </c>
      <c r="B3506" s="6" t="s">
        <v>617</v>
      </c>
      <c r="C3506" s="13">
        <v>106</v>
      </c>
      <c r="D3506" s="14" t="s">
        <v>90</v>
      </c>
      <c r="E3506">
        <v>8</v>
      </c>
      <c r="F3506" s="8">
        <f>VLOOKUP(financials[[#This Row],[productid]],Products!$B$2:$H$10,3)</f>
        <v>25</v>
      </c>
      <c r="G3506" s="8">
        <f>financials[[#This Row],[Units Sold]]*financials[[#This Row],[Sale Price]]</f>
        <v>200</v>
      </c>
      <c r="H3506" s="8">
        <f>IF(financials[[#This Row],[Discount Band]]="low",0.1,IF(financials[[#This Row],[Discount Band]]="medium",0.15,0.3))</f>
        <v>0.15</v>
      </c>
      <c r="I3506" s="8">
        <f>financials[[#This Row],[Gross Sales]]-financials[[#This Row],[Gross Sales]]*financials[[#This Row],[Discounts]]</f>
        <v>170</v>
      </c>
      <c r="J3506" s="8">
        <f>VLOOKUP(financials[[#This Row],[productid]],Products!$B$2:$H$10,4)</f>
        <v>9.1</v>
      </c>
      <c r="K3506" s="8">
        <f>financials[[#This Row],[Net Sales]]-financials[[#This Row],[COGS]]</f>
        <v>160.9</v>
      </c>
      <c r="L3506" s="15">
        <v>44911</v>
      </c>
      <c r="M3506" t="s">
        <v>700</v>
      </c>
    </row>
    <row r="3507" spans="1:13" x14ac:dyDescent="0.25">
      <c r="A3507" t="s">
        <v>89</v>
      </c>
      <c r="B3507" s="6" t="s">
        <v>124</v>
      </c>
      <c r="C3507" s="13">
        <v>107</v>
      </c>
      <c r="D3507" s="14" t="s">
        <v>90</v>
      </c>
      <c r="E3507">
        <v>18</v>
      </c>
      <c r="F3507" s="8">
        <f>VLOOKUP(financials[[#This Row],[productid]],Products!$B$2:$H$10,3)</f>
        <v>15</v>
      </c>
      <c r="G3507" s="8">
        <f>financials[[#This Row],[Units Sold]]*financials[[#This Row],[Sale Price]]</f>
        <v>270</v>
      </c>
      <c r="H3507" s="8">
        <f>IF(financials[[#This Row],[Discount Band]]="low",0.1,IF(financials[[#This Row],[Discount Band]]="medium",0.15,0.3))</f>
        <v>0.15</v>
      </c>
      <c r="I3507" s="8">
        <f>financials[[#This Row],[Gross Sales]]-financials[[#This Row],[Gross Sales]]*financials[[#This Row],[Discounts]]</f>
        <v>229.5</v>
      </c>
      <c r="J3507" s="8">
        <f>VLOOKUP(financials[[#This Row],[productid]],Products!$B$2:$H$10,4)</f>
        <v>5.5</v>
      </c>
      <c r="K3507" s="8">
        <f>financials[[#This Row],[Net Sales]]-financials[[#This Row],[COGS]]</f>
        <v>224</v>
      </c>
      <c r="L3507" s="15">
        <v>44015</v>
      </c>
      <c r="M3507" t="s">
        <v>697</v>
      </c>
    </row>
    <row r="3508" spans="1:13" x14ac:dyDescent="0.25">
      <c r="A3508" t="s">
        <v>88</v>
      </c>
      <c r="B3508" s="6" t="s">
        <v>232</v>
      </c>
      <c r="C3508" s="11">
        <v>105</v>
      </c>
      <c r="D3508" s="9" t="s">
        <v>90</v>
      </c>
      <c r="E3508">
        <v>13</v>
      </c>
      <c r="F3508" s="8">
        <f>VLOOKUP(financials[[#This Row],[productid]],Products!$B$2:$H$10,3)</f>
        <v>15</v>
      </c>
      <c r="G3508" s="8">
        <f>financials[[#This Row],[Units Sold]]*financials[[#This Row],[Sale Price]]</f>
        <v>195</v>
      </c>
      <c r="H3508" s="8">
        <f>IF(financials[[#This Row],[Discount Band]]="low",0.1,IF(financials[[#This Row],[Discount Band]]="medium",0.15,0.3))</f>
        <v>0.15</v>
      </c>
      <c r="I3508" s="8">
        <f>financials[[#This Row],[Gross Sales]]-financials[[#This Row],[Gross Sales]]*financials[[#This Row],[Discounts]]</f>
        <v>165.75</v>
      </c>
      <c r="J3508" s="8">
        <f>VLOOKUP(financials[[#This Row],[productid]],Products!$B$2:$H$10,4)</f>
        <v>10</v>
      </c>
      <c r="K3508" s="8">
        <f>financials[[#This Row],[Net Sales]]-financials[[#This Row],[COGS]]</f>
        <v>155.75</v>
      </c>
      <c r="L3508" s="15">
        <v>45311</v>
      </c>
      <c r="M3508" t="s">
        <v>700</v>
      </c>
    </row>
    <row r="3509" spans="1:13" x14ac:dyDescent="0.25">
      <c r="A3509" t="s">
        <v>88</v>
      </c>
      <c r="B3509" s="6" t="s">
        <v>93</v>
      </c>
      <c r="C3509" s="13">
        <v>104</v>
      </c>
      <c r="D3509" s="14" t="s">
        <v>83</v>
      </c>
      <c r="E3509">
        <v>10</v>
      </c>
      <c r="F3509" s="8">
        <f>VLOOKUP(financials[[#This Row],[productid]],Products!$B$2:$H$10,3)</f>
        <v>5.9</v>
      </c>
      <c r="G3509" s="8">
        <f>financials[[#This Row],[Units Sold]]*financials[[#This Row],[Sale Price]]</f>
        <v>59</v>
      </c>
      <c r="H3509" s="8">
        <f>IF(financials[[#This Row],[Discount Band]]="low",0.1,IF(financials[[#This Row],[Discount Band]]="medium",0.15,0.3))</f>
        <v>0.3</v>
      </c>
      <c r="I3509" s="8">
        <f>financials[[#This Row],[Gross Sales]]-financials[[#This Row],[Gross Sales]]*financials[[#This Row],[Discounts]]</f>
        <v>41.3</v>
      </c>
      <c r="J3509" s="8">
        <f>VLOOKUP(financials[[#This Row],[productid]],Products!$B$2:$H$10,4)</f>
        <v>2.9</v>
      </c>
      <c r="K3509" s="8">
        <f>financials[[#This Row],[Net Sales]]-financials[[#This Row],[COGS]]</f>
        <v>38.4</v>
      </c>
      <c r="L3509" s="15">
        <v>44302</v>
      </c>
      <c r="M3509" t="s">
        <v>691</v>
      </c>
    </row>
    <row r="3510" spans="1:13" x14ac:dyDescent="0.25">
      <c r="A3510" t="s">
        <v>88</v>
      </c>
      <c r="B3510" s="6" t="s">
        <v>617</v>
      </c>
      <c r="C3510" s="13">
        <v>101</v>
      </c>
      <c r="D3510" s="14" t="s">
        <v>83</v>
      </c>
      <c r="E3510">
        <v>10</v>
      </c>
      <c r="F3510" s="8">
        <f>VLOOKUP(financials[[#This Row],[productid]],Products!$B$2:$H$10,3)</f>
        <v>23</v>
      </c>
      <c r="G3510" s="8">
        <f>financials[[#This Row],[Units Sold]]*financials[[#This Row],[Sale Price]]</f>
        <v>230</v>
      </c>
      <c r="H3510" s="8">
        <f>IF(financials[[#This Row],[Discount Band]]="low",0.1,IF(financials[[#This Row],[Discount Band]]="medium",0.15,0.3))</f>
        <v>0.3</v>
      </c>
      <c r="I3510" s="8">
        <f>financials[[#This Row],[Gross Sales]]-financials[[#This Row],[Gross Sales]]*financials[[#This Row],[Discounts]]</f>
        <v>161</v>
      </c>
      <c r="J3510" s="8">
        <f>VLOOKUP(financials[[#This Row],[productid]],Products!$B$2:$H$10,4)</f>
        <v>9.9499999999999993</v>
      </c>
      <c r="K3510" s="8">
        <f>financials[[#This Row],[Net Sales]]-financials[[#This Row],[COGS]]</f>
        <v>151.05000000000001</v>
      </c>
      <c r="L3510" s="15">
        <v>45623</v>
      </c>
      <c r="M3510" t="s">
        <v>690</v>
      </c>
    </row>
    <row r="3511" spans="1:13" x14ac:dyDescent="0.25">
      <c r="A3511" t="s">
        <v>89</v>
      </c>
      <c r="B3511" s="6" t="s">
        <v>124</v>
      </c>
      <c r="C3511" s="13">
        <v>103</v>
      </c>
      <c r="D3511" s="14" t="s">
        <v>83</v>
      </c>
      <c r="E3511">
        <v>16</v>
      </c>
      <c r="F3511" s="8">
        <f>VLOOKUP(financials[[#This Row],[productid]],Products!$B$2:$H$10,3)</f>
        <v>28</v>
      </c>
      <c r="G3511" s="8">
        <f>financials[[#This Row],[Units Sold]]*financials[[#This Row],[Sale Price]]</f>
        <v>448</v>
      </c>
      <c r="H3511" s="8">
        <f>IF(financials[[#This Row],[Discount Band]]="low",0.1,IF(financials[[#This Row],[Discount Band]]="medium",0.15,0.3))</f>
        <v>0.3</v>
      </c>
      <c r="I3511" s="8">
        <f>financials[[#This Row],[Gross Sales]]-financials[[#This Row],[Gross Sales]]*financials[[#This Row],[Discounts]]</f>
        <v>313.60000000000002</v>
      </c>
      <c r="J3511" s="8">
        <f>VLOOKUP(financials[[#This Row],[productid]],Products!$B$2:$H$10,4)</f>
        <v>15</v>
      </c>
      <c r="K3511" s="8">
        <f>financials[[#This Row],[Net Sales]]-financials[[#This Row],[COGS]]</f>
        <v>298.60000000000002</v>
      </c>
      <c r="L3511" s="15">
        <v>44219</v>
      </c>
      <c r="M3511" t="s">
        <v>697</v>
      </c>
    </row>
    <row r="3512" spans="1:13" x14ac:dyDescent="0.25">
      <c r="A3512" t="s">
        <v>86</v>
      </c>
      <c r="B3512" s="6" t="s">
        <v>232</v>
      </c>
      <c r="C3512" s="13">
        <v>105</v>
      </c>
      <c r="D3512" s="14" t="s">
        <v>83</v>
      </c>
      <c r="E3512">
        <v>9</v>
      </c>
      <c r="F3512" s="8">
        <f>VLOOKUP(financials[[#This Row],[productid]],Products!$B$2:$H$10,3)</f>
        <v>15</v>
      </c>
      <c r="G3512" s="8">
        <f>financials[[#This Row],[Units Sold]]*financials[[#This Row],[Sale Price]]</f>
        <v>135</v>
      </c>
      <c r="H3512" s="8">
        <f>IF(financials[[#This Row],[Discount Band]]="low",0.1,IF(financials[[#This Row],[Discount Band]]="medium",0.15,0.3))</f>
        <v>0.3</v>
      </c>
      <c r="I3512" s="8">
        <f>financials[[#This Row],[Gross Sales]]-financials[[#This Row],[Gross Sales]]*financials[[#This Row],[Discounts]]</f>
        <v>94.5</v>
      </c>
      <c r="J3512" s="8">
        <f>VLOOKUP(financials[[#This Row],[productid]],Products!$B$2:$H$10,4)</f>
        <v>10</v>
      </c>
      <c r="K3512" s="8">
        <f>financials[[#This Row],[Net Sales]]-financials[[#This Row],[COGS]]</f>
        <v>84.5</v>
      </c>
      <c r="L3512" s="15">
        <v>43844</v>
      </c>
      <c r="M3512" t="s">
        <v>696</v>
      </c>
    </row>
    <row r="3513" spans="1:13" x14ac:dyDescent="0.25">
      <c r="A3513" t="s">
        <v>86</v>
      </c>
      <c r="B3513" s="6" t="s">
        <v>287</v>
      </c>
      <c r="C3513" s="13">
        <v>106</v>
      </c>
      <c r="D3513" s="14" t="s">
        <v>90</v>
      </c>
      <c r="E3513">
        <v>6</v>
      </c>
      <c r="F3513" s="8">
        <f>VLOOKUP(financials[[#This Row],[productid]],Products!$B$2:$H$10,3)</f>
        <v>25</v>
      </c>
      <c r="G3513" s="8">
        <f>financials[[#This Row],[Units Sold]]*financials[[#This Row],[Sale Price]]</f>
        <v>150</v>
      </c>
      <c r="H3513" s="8">
        <f>IF(financials[[#This Row],[Discount Band]]="low",0.1,IF(financials[[#This Row],[Discount Band]]="medium",0.15,0.3))</f>
        <v>0.15</v>
      </c>
      <c r="I3513" s="8">
        <f>financials[[#This Row],[Gross Sales]]-financials[[#This Row],[Gross Sales]]*financials[[#This Row],[Discounts]]</f>
        <v>127.5</v>
      </c>
      <c r="J3513" s="8">
        <f>VLOOKUP(financials[[#This Row],[productid]],Products!$B$2:$H$10,4)</f>
        <v>9.1</v>
      </c>
      <c r="K3513" s="8">
        <f>financials[[#This Row],[Net Sales]]-financials[[#This Row],[COGS]]</f>
        <v>118.4</v>
      </c>
      <c r="L3513" s="15">
        <v>44142</v>
      </c>
      <c r="M3513" t="s">
        <v>700</v>
      </c>
    </row>
    <row r="3514" spans="1:13" x14ac:dyDescent="0.25">
      <c r="A3514" t="s">
        <v>86</v>
      </c>
      <c r="B3514" s="6" t="s">
        <v>228</v>
      </c>
      <c r="C3514" s="13">
        <v>108</v>
      </c>
      <c r="D3514" s="14" t="s">
        <v>90</v>
      </c>
      <c r="E3514">
        <v>10</v>
      </c>
      <c r="F3514" s="8">
        <f>VLOOKUP(financials[[#This Row],[productid]],Products!$B$2:$H$10,3)</f>
        <v>5.5</v>
      </c>
      <c r="G3514" s="8">
        <f>financials[[#This Row],[Units Sold]]*financials[[#This Row],[Sale Price]]</f>
        <v>55</v>
      </c>
      <c r="H3514" s="8">
        <f>IF(financials[[#This Row],[Discount Band]]="low",0.1,IF(financials[[#This Row],[Discount Band]]="medium",0.15,0.3))</f>
        <v>0.15</v>
      </c>
      <c r="I3514" s="8">
        <f>financials[[#This Row],[Gross Sales]]-financials[[#This Row],[Gross Sales]]*financials[[#This Row],[Discounts]]</f>
        <v>46.75</v>
      </c>
      <c r="J3514" s="8">
        <f>VLOOKUP(financials[[#This Row],[productid]],Products!$B$2:$H$10,4)</f>
        <v>3.99</v>
      </c>
      <c r="K3514" s="8">
        <f>financials[[#This Row],[Net Sales]]-financials[[#This Row],[COGS]]</f>
        <v>42.76</v>
      </c>
      <c r="L3514" s="15">
        <v>45573</v>
      </c>
      <c r="M3514" t="s">
        <v>690</v>
      </c>
    </row>
    <row r="3515" spans="1:13" x14ac:dyDescent="0.25">
      <c r="A3515" t="s">
        <v>86</v>
      </c>
      <c r="B3515" s="6" t="s">
        <v>124</v>
      </c>
      <c r="C3515" s="13">
        <v>101</v>
      </c>
      <c r="D3515" s="14" t="s">
        <v>90</v>
      </c>
      <c r="E3515">
        <v>14</v>
      </c>
      <c r="F3515" s="8">
        <f>VLOOKUP(financials[[#This Row],[productid]],Products!$B$2:$H$10,3)</f>
        <v>23</v>
      </c>
      <c r="G3515" s="8">
        <f>financials[[#This Row],[Units Sold]]*financials[[#This Row],[Sale Price]]</f>
        <v>322</v>
      </c>
      <c r="H3515" s="8">
        <f>IF(financials[[#This Row],[Discount Band]]="low",0.1,IF(financials[[#This Row],[Discount Band]]="medium",0.15,0.3))</f>
        <v>0.15</v>
      </c>
      <c r="I3515" s="8">
        <f>financials[[#This Row],[Gross Sales]]-financials[[#This Row],[Gross Sales]]*financials[[#This Row],[Discounts]]</f>
        <v>273.7</v>
      </c>
      <c r="J3515" s="8">
        <f>VLOOKUP(financials[[#This Row],[productid]],Products!$B$2:$H$10,4)</f>
        <v>9.9499999999999993</v>
      </c>
      <c r="K3515" s="8">
        <f>financials[[#This Row],[Net Sales]]-financials[[#This Row],[COGS]]</f>
        <v>263.75</v>
      </c>
      <c r="L3515" s="15">
        <v>44582</v>
      </c>
      <c r="M3515" t="s">
        <v>690</v>
      </c>
    </row>
    <row r="3516" spans="1:13" x14ac:dyDescent="0.25">
      <c r="A3516" t="s">
        <v>88</v>
      </c>
      <c r="B3516" s="6" t="s">
        <v>93</v>
      </c>
      <c r="C3516" s="13">
        <v>109</v>
      </c>
      <c r="D3516" s="14" t="s">
        <v>91</v>
      </c>
      <c r="E3516">
        <v>13</v>
      </c>
      <c r="F3516" s="8">
        <f>VLOOKUP(financials[[#This Row],[productid]],Products!$B$2:$H$10,3)</f>
        <v>36</v>
      </c>
      <c r="G3516" s="8">
        <f>financials[[#This Row],[Units Sold]]*financials[[#This Row],[Sale Price]]</f>
        <v>468</v>
      </c>
      <c r="H3516" s="8">
        <f>IF(financials[[#This Row],[Discount Band]]="low",0.1,IF(financials[[#This Row],[Discount Band]]="medium",0.15,0.3))</f>
        <v>0.1</v>
      </c>
      <c r="I3516" s="8">
        <f>financials[[#This Row],[Gross Sales]]-financials[[#This Row],[Gross Sales]]*financials[[#This Row],[Discounts]]</f>
        <v>421.2</v>
      </c>
      <c r="J3516" s="8">
        <f>VLOOKUP(financials[[#This Row],[productid]],Products!$B$2:$H$10,4)</f>
        <v>16.8</v>
      </c>
      <c r="K3516" s="8">
        <f>financials[[#This Row],[Net Sales]]-financials[[#This Row],[COGS]]</f>
        <v>404.4</v>
      </c>
      <c r="L3516" s="15">
        <v>43894</v>
      </c>
      <c r="M3516" t="s">
        <v>696</v>
      </c>
    </row>
    <row r="3517" spans="1:13" x14ac:dyDescent="0.25">
      <c r="A3517" t="s">
        <v>86</v>
      </c>
      <c r="B3517" s="6" t="s">
        <v>232</v>
      </c>
      <c r="C3517" s="13">
        <v>105</v>
      </c>
      <c r="D3517" s="14" t="s">
        <v>83</v>
      </c>
      <c r="E3517">
        <v>9</v>
      </c>
      <c r="F3517" s="8">
        <f>VLOOKUP(financials[[#This Row],[productid]],Products!$B$2:$H$10,3)</f>
        <v>15</v>
      </c>
      <c r="G3517" s="8">
        <f>financials[[#This Row],[Units Sold]]*financials[[#This Row],[Sale Price]]</f>
        <v>135</v>
      </c>
      <c r="H3517" s="8">
        <f>IF(financials[[#This Row],[Discount Band]]="low",0.1,IF(financials[[#This Row],[Discount Band]]="medium",0.15,0.3))</f>
        <v>0.3</v>
      </c>
      <c r="I3517" s="8">
        <f>financials[[#This Row],[Gross Sales]]-financials[[#This Row],[Gross Sales]]*financials[[#This Row],[Discounts]]</f>
        <v>94.5</v>
      </c>
      <c r="J3517" s="8">
        <f>VLOOKUP(financials[[#This Row],[productid]],Products!$B$2:$H$10,4)</f>
        <v>10</v>
      </c>
      <c r="K3517" s="8">
        <f>financials[[#This Row],[Net Sales]]-financials[[#This Row],[COGS]]</f>
        <v>84.5</v>
      </c>
      <c r="L3517" s="15">
        <v>44548</v>
      </c>
      <c r="M3517" t="s">
        <v>691</v>
      </c>
    </row>
    <row r="3518" spans="1:13" x14ac:dyDescent="0.25">
      <c r="A3518" t="s">
        <v>86</v>
      </c>
      <c r="B3518" s="6" t="s">
        <v>148</v>
      </c>
      <c r="C3518" s="13">
        <v>108</v>
      </c>
      <c r="D3518" s="14" t="s">
        <v>83</v>
      </c>
      <c r="E3518">
        <v>14</v>
      </c>
      <c r="F3518" s="8">
        <f>VLOOKUP(financials[[#This Row],[productid]],Products!$B$2:$H$10,3)</f>
        <v>5.5</v>
      </c>
      <c r="G3518" s="8">
        <f>financials[[#This Row],[Units Sold]]*financials[[#This Row],[Sale Price]]</f>
        <v>77</v>
      </c>
      <c r="H3518" s="8">
        <f>IF(financials[[#This Row],[Discount Band]]="low",0.1,IF(financials[[#This Row],[Discount Band]]="medium",0.15,0.3))</f>
        <v>0.3</v>
      </c>
      <c r="I3518" s="8">
        <f>financials[[#This Row],[Gross Sales]]-financials[[#This Row],[Gross Sales]]*financials[[#This Row],[Discounts]]</f>
        <v>53.900000000000006</v>
      </c>
      <c r="J3518" s="8">
        <f>VLOOKUP(financials[[#This Row],[productid]],Products!$B$2:$H$10,4)</f>
        <v>3.99</v>
      </c>
      <c r="K3518" s="8">
        <f>financials[[#This Row],[Net Sales]]-financials[[#This Row],[COGS]]</f>
        <v>49.910000000000004</v>
      </c>
      <c r="L3518" s="15">
        <v>44400</v>
      </c>
      <c r="M3518" t="s">
        <v>700</v>
      </c>
    </row>
    <row r="3519" spans="1:13" x14ac:dyDescent="0.25">
      <c r="A3519" t="s">
        <v>87</v>
      </c>
      <c r="B3519" s="6" t="s">
        <v>276</v>
      </c>
      <c r="C3519" s="13">
        <v>105</v>
      </c>
      <c r="D3519" s="14" t="s">
        <v>83</v>
      </c>
      <c r="E3519">
        <v>6</v>
      </c>
      <c r="F3519" s="8">
        <f>VLOOKUP(financials[[#This Row],[productid]],Products!$B$2:$H$10,3)</f>
        <v>15</v>
      </c>
      <c r="G3519" s="8">
        <f>financials[[#This Row],[Units Sold]]*financials[[#This Row],[Sale Price]]</f>
        <v>90</v>
      </c>
      <c r="H3519" s="8">
        <f>IF(financials[[#This Row],[Discount Band]]="low",0.1,IF(financials[[#This Row],[Discount Band]]="medium",0.15,0.3))</f>
        <v>0.3</v>
      </c>
      <c r="I3519" s="8">
        <f>financials[[#This Row],[Gross Sales]]-financials[[#This Row],[Gross Sales]]*financials[[#This Row],[Discounts]]</f>
        <v>63</v>
      </c>
      <c r="J3519" s="8">
        <f>VLOOKUP(financials[[#This Row],[productid]],Products!$B$2:$H$10,4)</f>
        <v>10</v>
      </c>
      <c r="K3519" s="8">
        <f>financials[[#This Row],[Net Sales]]-financials[[#This Row],[COGS]]</f>
        <v>53</v>
      </c>
      <c r="L3519" s="15">
        <v>44433</v>
      </c>
      <c r="M3519" t="s">
        <v>700</v>
      </c>
    </row>
    <row r="3520" spans="1:13" x14ac:dyDescent="0.25">
      <c r="A3520" t="s">
        <v>88</v>
      </c>
      <c r="B3520" s="6" t="s">
        <v>232</v>
      </c>
      <c r="C3520" s="13">
        <v>109</v>
      </c>
      <c r="D3520" s="14" t="s">
        <v>91</v>
      </c>
      <c r="E3520">
        <v>16</v>
      </c>
      <c r="F3520" s="8">
        <f>VLOOKUP(financials[[#This Row],[productid]],Products!$B$2:$H$10,3)</f>
        <v>36</v>
      </c>
      <c r="G3520" s="8">
        <f>financials[[#This Row],[Units Sold]]*financials[[#This Row],[Sale Price]]</f>
        <v>576</v>
      </c>
      <c r="H3520" s="8">
        <f>IF(financials[[#This Row],[Discount Band]]="low",0.1,IF(financials[[#This Row],[Discount Band]]="medium",0.15,0.3))</f>
        <v>0.1</v>
      </c>
      <c r="I3520" s="8">
        <f>financials[[#This Row],[Gross Sales]]-financials[[#This Row],[Gross Sales]]*financials[[#This Row],[Discounts]]</f>
        <v>518.4</v>
      </c>
      <c r="J3520" s="8">
        <f>VLOOKUP(financials[[#This Row],[productid]],Products!$B$2:$H$10,4)</f>
        <v>16.8</v>
      </c>
      <c r="K3520" s="8">
        <f>financials[[#This Row],[Net Sales]]-financials[[#This Row],[COGS]]</f>
        <v>501.59999999999997</v>
      </c>
      <c r="L3520" s="15">
        <v>44871</v>
      </c>
      <c r="M3520" t="s">
        <v>691</v>
      </c>
    </row>
    <row r="3521" spans="1:13" x14ac:dyDescent="0.25">
      <c r="A3521" t="s">
        <v>88</v>
      </c>
      <c r="B3521" s="6" t="s">
        <v>287</v>
      </c>
      <c r="C3521" s="13">
        <v>103</v>
      </c>
      <c r="D3521" s="14" t="s">
        <v>91</v>
      </c>
      <c r="E3521">
        <v>20</v>
      </c>
      <c r="F3521" s="8">
        <f>VLOOKUP(financials[[#This Row],[productid]],Products!$B$2:$H$10,3)</f>
        <v>28</v>
      </c>
      <c r="G3521" s="8">
        <f>financials[[#This Row],[Units Sold]]*financials[[#This Row],[Sale Price]]</f>
        <v>560</v>
      </c>
      <c r="H3521" s="8">
        <f>IF(financials[[#This Row],[Discount Band]]="low",0.1,IF(financials[[#This Row],[Discount Band]]="medium",0.15,0.3))</f>
        <v>0.1</v>
      </c>
      <c r="I3521" s="8">
        <f>financials[[#This Row],[Gross Sales]]-financials[[#This Row],[Gross Sales]]*financials[[#This Row],[Discounts]]</f>
        <v>504</v>
      </c>
      <c r="J3521" s="8">
        <f>VLOOKUP(financials[[#This Row],[productid]],Products!$B$2:$H$10,4)</f>
        <v>15</v>
      </c>
      <c r="K3521" s="8">
        <f>financials[[#This Row],[Net Sales]]-financials[[#This Row],[COGS]]</f>
        <v>489</v>
      </c>
      <c r="L3521" s="15">
        <v>45458</v>
      </c>
      <c r="M3521" t="s">
        <v>691</v>
      </c>
    </row>
    <row r="3522" spans="1:13" x14ac:dyDescent="0.25">
      <c r="A3522" t="s">
        <v>88</v>
      </c>
      <c r="B3522" s="6" t="s">
        <v>232</v>
      </c>
      <c r="C3522" s="13">
        <v>102</v>
      </c>
      <c r="D3522" s="14" t="s">
        <v>91</v>
      </c>
      <c r="E3522">
        <v>11</v>
      </c>
      <c r="F3522" s="8">
        <f>VLOOKUP(financials[[#This Row],[productid]],Products!$B$2:$H$10,3)</f>
        <v>15</v>
      </c>
      <c r="G3522" s="8">
        <f>financials[[#This Row],[Units Sold]]*financials[[#This Row],[Sale Price]]</f>
        <v>165</v>
      </c>
      <c r="H3522" s="8">
        <f>IF(financials[[#This Row],[Discount Band]]="low",0.1,IF(financials[[#This Row],[Discount Band]]="medium",0.15,0.3))</f>
        <v>0.1</v>
      </c>
      <c r="I3522" s="8">
        <f>financials[[#This Row],[Gross Sales]]-financials[[#This Row],[Gross Sales]]*financials[[#This Row],[Discounts]]</f>
        <v>148.5</v>
      </c>
      <c r="J3522" s="8">
        <f>VLOOKUP(financials[[#This Row],[productid]],Products!$B$2:$H$10,4)</f>
        <v>13.95</v>
      </c>
      <c r="K3522" s="8">
        <f>financials[[#This Row],[Net Sales]]-financials[[#This Row],[COGS]]</f>
        <v>134.55000000000001</v>
      </c>
      <c r="L3522" s="15">
        <v>45404</v>
      </c>
      <c r="M3522" t="s">
        <v>691</v>
      </c>
    </row>
    <row r="3523" spans="1:13" x14ac:dyDescent="0.25">
      <c r="A3523" t="s">
        <v>86</v>
      </c>
      <c r="B3523" s="6" t="s">
        <v>274</v>
      </c>
      <c r="C3523" s="11">
        <v>104</v>
      </c>
      <c r="D3523" s="9" t="s">
        <v>83</v>
      </c>
      <c r="E3523">
        <v>13</v>
      </c>
      <c r="F3523" s="8">
        <f>VLOOKUP(financials[[#This Row],[productid]],Products!$B$2:$H$10,3)</f>
        <v>5.9</v>
      </c>
      <c r="G3523" s="8">
        <f>financials[[#This Row],[Units Sold]]*financials[[#This Row],[Sale Price]]</f>
        <v>76.7</v>
      </c>
      <c r="H3523" s="8">
        <f>IF(financials[[#This Row],[Discount Band]]="low",0.1,IF(financials[[#This Row],[Discount Band]]="medium",0.15,0.3))</f>
        <v>0.3</v>
      </c>
      <c r="I3523" s="8">
        <f>financials[[#This Row],[Gross Sales]]-financials[[#This Row],[Gross Sales]]*financials[[#This Row],[Discounts]]</f>
        <v>53.69</v>
      </c>
      <c r="J3523" s="8">
        <f>VLOOKUP(financials[[#This Row],[productid]],Products!$B$2:$H$10,4)</f>
        <v>2.9</v>
      </c>
      <c r="K3523" s="8">
        <f>financials[[#This Row],[Net Sales]]-financials[[#This Row],[COGS]]</f>
        <v>50.79</v>
      </c>
      <c r="L3523" s="15">
        <v>44061</v>
      </c>
      <c r="M3523" t="s">
        <v>690</v>
      </c>
    </row>
    <row r="3524" spans="1:13" x14ac:dyDescent="0.25">
      <c r="A3524" t="s">
        <v>86</v>
      </c>
      <c r="B3524" s="6" t="s">
        <v>274</v>
      </c>
      <c r="C3524" s="13">
        <v>106</v>
      </c>
      <c r="D3524" s="14" t="s">
        <v>90</v>
      </c>
      <c r="E3524">
        <v>11</v>
      </c>
      <c r="F3524" s="8">
        <f>VLOOKUP(financials[[#This Row],[productid]],Products!$B$2:$H$10,3)</f>
        <v>25</v>
      </c>
      <c r="G3524" s="8">
        <f>financials[[#This Row],[Units Sold]]*financials[[#This Row],[Sale Price]]</f>
        <v>275</v>
      </c>
      <c r="H3524" s="8">
        <f>IF(financials[[#This Row],[Discount Band]]="low",0.1,IF(financials[[#This Row],[Discount Band]]="medium",0.15,0.3))</f>
        <v>0.15</v>
      </c>
      <c r="I3524" s="8">
        <f>financials[[#This Row],[Gross Sales]]-financials[[#This Row],[Gross Sales]]*financials[[#This Row],[Discounts]]</f>
        <v>233.75</v>
      </c>
      <c r="J3524" s="8">
        <f>VLOOKUP(financials[[#This Row],[productid]],Products!$B$2:$H$10,4)</f>
        <v>9.1</v>
      </c>
      <c r="K3524" s="8">
        <f>financials[[#This Row],[Net Sales]]-financials[[#This Row],[COGS]]</f>
        <v>224.65</v>
      </c>
      <c r="L3524" s="15">
        <v>44108</v>
      </c>
      <c r="M3524" t="s">
        <v>697</v>
      </c>
    </row>
    <row r="3525" spans="1:13" x14ac:dyDescent="0.25">
      <c r="A3525" t="s">
        <v>89</v>
      </c>
      <c r="B3525" s="6" t="s">
        <v>124</v>
      </c>
      <c r="C3525" s="13">
        <v>104</v>
      </c>
      <c r="D3525" s="14" t="s">
        <v>83</v>
      </c>
      <c r="E3525">
        <v>13</v>
      </c>
      <c r="F3525" s="8">
        <f>VLOOKUP(financials[[#This Row],[productid]],Products!$B$2:$H$10,3)</f>
        <v>5.9</v>
      </c>
      <c r="G3525" s="8">
        <f>financials[[#This Row],[Units Sold]]*financials[[#This Row],[Sale Price]]</f>
        <v>76.7</v>
      </c>
      <c r="H3525" s="8">
        <f>IF(financials[[#This Row],[Discount Band]]="low",0.1,IF(financials[[#This Row],[Discount Band]]="medium",0.15,0.3))</f>
        <v>0.3</v>
      </c>
      <c r="I3525" s="8">
        <f>financials[[#This Row],[Gross Sales]]-financials[[#This Row],[Gross Sales]]*financials[[#This Row],[Discounts]]</f>
        <v>53.69</v>
      </c>
      <c r="J3525" s="8">
        <f>VLOOKUP(financials[[#This Row],[productid]],Products!$B$2:$H$10,4)</f>
        <v>2.9</v>
      </c>
      <c r="K3525" s="8">
        <f>financials[[#This Row],[Net Sales]]-financials[[#This Row],[COGS]]</f>
        <v>50.79</v>
      </c>
      <c r="L3525" s="15">
        <v>44055</v>
      </c>
      <c r="M3525" t="s">
        <v>691</v>
      </c>
    </row>
    <row r="3526" spans="1:13" x14ac:dyDescent="0.25">
      <c r="A3526" t="s">
        <v>88</v>
      </c>
      <c r="B3526" s="6" t="s">
        <v>96</v>
      </c>
      <c r="C3526" s="13">
        <v>101</v>
      </c>
      <c r="D3526" s="14" t="s">
        <v>83</v>
      </c>
      <c r="E3526">
        <v>12</v>
      </c>
      <c r="F3526" s="8">
        <f>VLOOKUP(financials[[#This Row],[productid]],Products!$B$2:$H$10,3)</f>
        <v>23</v>
      </c>
      <c r="G3526" s="8">
        <f>financials[[#This Row],[Units Sold]]*financials[[#This Row],[Sale Price]]</f>
        <v>276</v>
      </c>
      <c r="H3526" s="8">
        <f>IF(financials[[#This Row],[Discount Band]]="low",0.1,IF(financials[[#This Row],[Discount Band]]="medium",0.15,0.3))</f>
        <v>0.3</v>
      </c>
      <c r="I3526" s="8">
        <f>financials[[#This Row],[Gross Sales]]-financials[[#This Row],[Gross Sales]]*financials[[#This Row],[Discounts]]</f>
        <v>193.2</v>
      </c>
      <c r="J3526" s="8">
        <f>VLOOKUP(financials[[#This Row],[productid]],Products!$B$2:$H$10,4)</f>
        <v>9.9499999999999993</v>
      </c>
      <c r="K3526" s="8">
        <f>financials[[#This Row],[Net Sales]]-financials[[#This Row],[COGS]]</f>
        <v>183.25</v>
      </c>
      <c r="L3526" s="15">
        <v>44516</v>
      </c>
      <c r="M3526" t="s">
        <v>700</v>
      </c>
    </row>
    <row r="3527" spans="1:13" x14ac:dyDescent="0.25">
      <c r="A3527" t="s">
        <v>87</v>
      </c>
      <c r="B3527" s="6" t="s">
        <v>205</v>
      </c>
      <c r="C3527" s="13">
        <v>104</v>
      </c>
      <c r="D3527" s="14" t="s">
        <v>83</v>
      </c>
      <c r="E3527">
        <v>5</v>
      </c>
      <c r="F3527" s="8">
        <f>VLOOKUP(financials[[#This Row],[productid]],Products!$B$2:$H$10,3)</f>
        <v>5.9</v>
      </c>
      <c r="G3527" s="8">
        <f>financials[[#This Row],[Units Sold]]*financials[[#This Row],[Sale Price]]</f>
        <v>29.5</v>
      </c>
      <c r="H3527" s="8">
        <f>IF(financials[[#This Row],[Discount Band]]="low",0.1,IF(financials[[#This Row],[Discount Band]]="medium",0.15,0.3))</f>
        <v>0.3</v>
      </c>
      <c r="I3527" s="8">
        <f>financials[[#This Row],[Gross Sales]]-financials[[#This Row],[Gross Sales]]*financials[[#This Row],[Discounts]]</f>
        <v>20.65</v>
      </c>
      <c r="J3527" s="8">
        <f>VLOOKUP(financials[[#This Row],[productid]],Products!$B$2:$H$10,4)</f>
        <v>2.9</v>
      </c>
      <c r="K3527" s="8">
        <f>financials[[#This Row],[Net Sales]]-financials[[#This Row],[COGS]]</f>
        <v>17.75</v>
      </c>
      <c r="L3527" s="15">
        <v>44169</v>
      </c>
      <c r="M3527" t="s">
        <v>697</v>
      </c>
    </row>
    <row r="3528" spans="1:13" x14ac:dyDescent="0.25">
      <c r="A3528" t="s">
        <v>86</v>
      </c>
      <c r="B3528" s="6" t="s">
        <v>159</v>
      </c>
      <c r="C3528" s="13">
        <v>103</v>
      </c>
      <c r="D3528" s="14" t="s">
        <v>90</v>
      </c>
      <c r="E3528">
        <v>19</v>
      </c>
      <c r="F3528" s="8">
        <f>VLOOKUP(financials[[#This Row],[productid]],Products!$B$2:$H$10,3)</f>
        <v>28</v>
      </c>
      <c r="G3528" s="8">
        <f>financials[[#This Row],[Units Sold]]*financials[[#This Row],[Sale Price]]</f>
        <v>532</v>
      </c>
      <c r="H3528" s="8">
        <f>IF(financials[[#This Row],[Discount Band]]="low",0.1,IF(financials[[#This Row],[Discount Band]]="medium",0.15,0.3))</f>
        <v>0.15</v>
      </c>
      <c r="I3528" s="8">
        <f>financials[[#This Row],[Gross Sales]]-financials[[#This Row],[Gross Sales]]*financials[[#This Row],[Discounts]]</f>
        <v>452.2</v>
      </c>
      <c r="J3528" s="8">
        <f>VLOOKUP(financials[[#This Row],[productid]],Products!$B$2:$H$10,4)</f>
        <v>15</v>
      </c>
      <c r="K3528" s="8">
        <f>financials[[#This Row],[Net Sales]]-financials[[#This Row],[COGS]]</f>
        <v>437.2</v>
      </c>
      <c r="L3528" s="15">
        <v>44307</v>
      </c>
      <c r="M3528" t="s">
        <v>690</v>
      </c>
    </row>
    <row r="3529" spans="1:13" x14ac:dyDescent="0.25">
      <c r="A3529" t="s">
        <v>86</v>
      </c>
      <c r="B3529" s="6" t="s">
        <v>617</v>
      </c>
      <c r="C3529" s="13">
        <v>102</v>
      </c>
      <c r="D3529" s="14" t="s">
        <v>91</v>
      </c>
      <c r="E3529">
        <v>14</v>
      </c>
      <c r="F3529" s="8">
        <f>VLOOKUP(financials[[#This Row],[productid]],Products!$B$2:$H$10,3)</f>
        <v>15</v>
      </c>
      <c r="G3529" s="8">
        <f>financials[[#This Row],[Units Sold]]*financials[[#This Row],[Sale Price]]</f>
        <v>210</v>
      </c>
      <c r="H3529" s="8">
        <f>IF(financials[[#This Row],[Discount Band]]="low",0.1,IF(financials[[#This Row],[Discount Band]]="medium",0.15,0.3))</f>
        <v>0.1</v>
      </c>
      <c r="I3529" s="8">
        <f>financials[[#This Row],[Gross Sales]]-financials[[#This Row],[Gross Sales]]*financials[[#This Row],[Discounts]]</f>
        <v>189</v>
      </c>
      <c r="J3529" s="8">
        <f>VLOOKUP(financials[[#This Row],[productid]],Products!$B$2:$H$10,4)</f>
        <v>13.95</v>
      </c>
      <c r="K3529" s="8">
        <f>financials[[#This Row],[Net Sales]]-financials[[#This Row],[COGS]]</f>
        <v>175.05</v>
      </c>
      <c r="L3529" s="15">
        <v>45492</v>
      </c>
      <c r="M3529" t="s">
        <v>691</v>
      </c>
    </row>
    <row r="3530" spans="1:13" x14ac:dyDescent="0.25">
      <c r="A3530" t="s">
        <v>86</v>
      </c>
      <c r="B3530" s="6" t="s">
        <v>240</v>
      </c>
      <c r="C3530" s="13">
        <v>103</v>
      </c>
      <c r="D3530" s="14" t="s">
        <v>83</v>
      </c>
      <c r="E3530">
        <v>10</v>
      </c>
      <c r="F3530" s="8">
        <f>VLOOKUP(financials[[#This Row],[productid]],Products!$B$2:$H$10,3)</f>
        <v>28</v>
      </c>
      <c r="G3530" s="8">
        <f>financials[[#This Row],[Units Sold]]*financials[[#This Row],[Sale Price]]</f>
        <v>280</v>
      </c>
      <c r="H3530" s="8">
        <f>IF(financials[[#This Row],[Discount Band]]="low",0.1,IF(financials[[#This Row],[Discount Band]]="medium",0.15,0.3))</f>
        <v>0.3</v>
      </c>
      <c r="I3530" s="8">
        <f>financials[[#This Row],[Gross Sales]]-financials[[#This Row],[Gross Sales]]*financials[[#This Row],[Discounts]]</f>
        <v>196</v>
      </c>
      <c r="J3530" s="8">
        <f>VLOOKUP(financials[[#This Row],[productid]],Products!$B$2:$H$10,4)</f>
        <v>15</v>
      </c>
      <c r="K3530" s="8">
        <f>financials[[#This Row],[Net Sales]]-financials[[#This Row],[COGS]]</f>
        <v>181</v>
      </c>
      <c r="L3530" s="15">
        <v>45565</v>
      </c>
      <c r="M3530" t="s">
        <v>690</v>
      </c>
    </row>
    <row r="3531" spans="1:13" x14ac:dyDescent="0.25">
      <c r="A3531" t="s">
        <v>86</v>
      </c>
      <c r="B3531" s="6" t="s">
        <v>159</v>
      </c>
      <c r="C3531" s="13">
        <v>105</v>
      </c>
      <c r="D3531" s="14" t="s">
        <v>91</v>
      </c>
      <c r="E3531">
        <v>7</v>
      </c>
      <c r="F3531" s="8">
        <f>VLOOKUP(financials[[#This Row],[productid]],Products!$B$2:$H$10,3)</f>
        <v>15</v>
      </c>
      <c r="G3531" s="8">
        <f>financials[[#This Row],[Units Sold]]*financials[[#This Row],[Sale Price]]</f>
        <v>105</v>
      </c>
      <c r="H3531" s="8">
        <f>IF(financials[[#This Row],[Discount Band]]="low",0.1,IF(financials[[#This Row],[Discount Band]]="medium",0.15,0.3))</f>
        <v>0.1</v>
      </c>
      <c r="I3531" s="8">
        <f>financials[[#This Row],[Gross Sales]]-financials[[#This Row],[Gross Sales]]*financials[[#This Row],[Discounts]]</f>
        <v>94.5</v>
      </c>
      <c r="J3531" s="8">
        <f>VLOOKUP(financials[[#This Row],[productid]],Products!$B$2:$H$10,4)</f>
        <v>10</v>
      </c>
      <c r="K3531" s="8">
        <f>financials[[#This Row],[Net Sales]]-financials[[#This Row],[COGS]]</f>
        <v>84.5</v>
      </c>
      <c r="L3531" s="15">
        <v>45189</v>
      </c>
      <c r="M3531" t="s">
        <v>700</v>
      </c>
    </row>
    <row r="3532" spans="1:13" x14ac:dyDescent="0.25">
      <c r="A3532" t="s">
        <v>88</v>
      </c>
      <c r="B3532" s="6" t="s">
        <v>287</v>
      </c>
      <c r="C3532" s="13">
        <v>102</v>
      </c>
      <c r="D3532" s="14" t="s">
        <v>83</v>
      </c>
      <c r="E3532">
        <v>19</v>
      </c>
      <c r="F3532" s="8">
        <f>VLOOKUP(financials[[#This Row],[productid]],Products!$B$2:$H$10,3)</f>
        <v>15</v>
      </c>
      <c r="G3532" s="8">
        <f>financials[[#This Row],[Units Sold]]*financials[[#This Row],[Sale Price]]</f>
        <v>285</v>
      </c>
      <c r="H3532" s="8">
        <f>IF(financials[[#This Row],[Discount Band]]="low",0.1,IF(financials[[#This Row],[Discount Band]]="medium",0.15,0.3))</f>
        <v>0.3</v>
      </c>
      <c r="I3532" s="8">
        <f>financials[[#This Row],[Gross Sales]]-financials[[#This Row],[Gross Sales]]*financials[[#This Row],[Discounts]]</f>
        <v>199.5</v>
      </c>
      <c r="J3532" s="8">
        <f>VLOOKUP(financials[[#This Row],[productid]],Products!$B$2:$H$10,4)</f>
        <v>13.95</v>
      </c>
      <c r="K3532" s="8">
        <f>financials[[#This Row],[Net Sales]]-financials[[#This Row],[COGS]]</f>
        <v>185.55</v>
      </c>
      <c r="L3532" s="15">
        <v>44626</v>
      </c>
      <c r="M3532" t="s">
        <v>690</v>
      </c>
    </row>
    <row r="3533" spans="1:13" x14ac:dyDescent="0.25">
      <c r="A3533" t="s">
        <v>88</v>
      </c>
      <c r="B3533" s="6" t="s">
        <v>148</v>
      </c>
      <c r="C3533" s="13">
        <v>108</v>
      </c>
      <c r="D3533" s="14" t="s">
        <v>90</v>
      </c>
      <c r="E3533">
        <v>7</v>
      </c>
      <c r="F3533" s="8">
        <f>VLOOKUP(financials[[#This Row],[productid]],Products!$B$2:$H$10,3)</f>
        <v>5.5</v>
      </c>
      <c r="G3533" s="8">
        <f>financials[[#This Row],[Units Sold]]*financials[[#This Row],[Sale Price]]</f>
        <v>38.5</v>
      </c>
      <c r="H3533" s="8">
        <f>IF(financials[[#This Row],[Discount Band]]="low",0.1,IF(financials[[#This Row],[Discount Band]]="medium",0.15,0.3))</f>
        <v>0.15</v>
      </c>
      <c r="I3533" s="8">
        <f>financials[[#This Row],[Gross Sales]]-financials[[#This Row],[Gross Sales]]*financials[[#This Row],[Discounts]]</f>
        <v>32.725000000000001</v>
      </c>
      <c r="J3533" s="8">
        <f>VLOOKUP(financials[[#This Row],[productid]],Products!$B$2:$H$10,4)</f>
        <v>3.99</v>
      </c>
      <c r="K3533" s="8">
        <f>financials[[#This Row],[Net Sales]]-financials[[#This Row],[COGS]]</f>
        <v>28.734999999999999</v>
      </c>
      <c r="L3533" s="15">
        <v>44762</v>
      </c>
      <c r="M3533" t="s">
        <v>690</v>
      </c>
    </row>
    <row r="3534" spans="1:13" x14ac:dyDescent="0.25">
      <c r="A3534" t="s">
        <v>86</v>
      </c>
      <c r="B3534" s="6" t="s">
        <v>159</v>
      </c>
      <c r="C3534" s="13">
        <v>106</v>
      </c>
      <c r="D3534" s="14" t="s">
        <v>90</v>
      </c>
      <c r="E3534">
        <v>10</v>
      </c>
      <c r="F3534" s="8">
        <f>VLOOKUP(financials[[#This Row],[productid]],Products!$B$2:$H$10,3)</f>
        <v>25</v>
      </c>
      <c r="G3534" s="8">
        <f>financials[[#This Row],[Units Sold]]*financials[[#This Row],[Sale Price]]</f>
        <v>250</v>
      </c>
      <c r="H3534" s="8">
        <f>IF(financials[[#This Row],[Discount Band]]="low",0.1,IF(financials[[#This Row],[Discount Band]]="medium",0.15,0.3))</f>
        <v>0.15</v>
      </c>
      <c r="I3534" s="8">
        <f>financials[[#This Row],[Gross Sales]]-financials[[#This Row],[Gross Sales]]*financials[[#This Row],[Discounts]]</f>
        <v>212.5</v>
      </c>
      <c r="J3534" s="8">
        <f>VLOOKUP(financials[[#This Row],[productid]],Products!$B$2:$H$10,4)</f>
        <v>9.1</v>
      </c>
      <c r="K3534" s="8">
        <f>financials[[#This Row],[Net Sales]]-financials[[#This Row],[COGS]]</f>
        <v>203.4</v>
      </c>
      <c r="L3534" s="15">
        <v>44500</v>
      </c>
      <c r="M3534" t="s">
        <v>700</v>
      </c>
    </row>
    <row r="3535" spans="1:13" x14ac:dyDescent="0.25">
      <c r="A3535" t="s">
        <v>89</v>
      </c>
      <c r="B3535" s="6" t="s">
        <v>124</v>
      </c>
      <c r="C3535" s="13">
        <v>101</v>
      </c>
      <c r="D3535" s="14" t="s">
        <v>83</v>
      </c>
      <c r="E3535">
        <v>15</v>
      </c>
      <c r="F3535" s="8">
        <f>VLOOKUP(financials[[#This Row],[productid]],Products!$B$2:$H$10,3)</f>
        <v>23</v>
      </c>
      <c r="G3535" s="8">
        <f>financials[[#This Row],[Units Sold]]*financials[[#This Row],[Sale Price]]</f>
        <v>345</v>
      </c>
      <c r="H3535" s="8">
        <f>IF(financials[[#This Row],[Discount Band]]="low",0.1,IF(financials[[#This Row],[Discount Band]]="medium",0.15,0.3))</f>
        <v>0.3</v>
      </c>
      <c r="I3535" s="8">
        <f>financials[[#This Row],[Gross Sales]]-financials[[#This Row],[Gross Sales]]*financials[[#This Row],[Discounts]]</f>
        <v>241.5</v>
      </c>
      <c r="J3535" s="8">
        <f>VLOOKUP(financials[[#This Row],[productid]],Products!$B$2:$H$10,4)</f>
        <v>9.9499999999999993</v>
      </c>
      <c r="K3535" s="8">
        <f>financials[[#This Row],[Net Sales]]-financials[[#This Row],[COGS]]</f>
        <v>231.55</v>
      </c>
      <c r="L3535" s="15">
        <v>43955</v>
      </c>
      <c r="M3535" t="s">
        <v>691</v>
      </c>
    </row>
    <row r="3536" spans="1:13" x14ac:dyDescent="0.25">
      <c r="A3536" t="s">
        <v>89</v>
      </c>
      <c r="B3536" s="6" t="s">
        <v>124</v>
      </c>
      <c r="C3536" s="13">
        <v>103</v>
      </c>
      <c r="D3536" s="14" t="s">
        <v>83</v>
      </c>
      <c r="E3536">
        <v>9</v>
      </c>
      <c r="F3536" s="8">
        <f>VLOOKUP(financials[[#This Row],[productid]],Products!$B$2:$H$10,3)</f>
        <v>28</v>
      </c>
      <c r="G3536" s="8">
        <f>financials[[#This Row],[Units Sold]]*financials[[#This Row],[Sale Price]]</f>
        <v>252</v>
      </c>
      <c r="H3536" s="8">
        <f>IF(financials[[#This Row],[Discount Band]]="low",0.1,IF(financials[[#This Row],[Discount Band]]="medium",0.15,0.3))</f>
        <v>0.3</v>
      </c>
      <c r="I3536" s="8">
        <f>financials[[#This Row],[Gross Sales]]-financials[[#This Row],[Gross Sales]]*financials[[#This Row],[Discounts]]</f>
        <v>176.4</v>
      </c>
      <c r="J3536" s="8">
        <f>VLOOKUP(financials[[#This Row],[productid]],Products!$B$2:$H$10,4)</f>
        <v>15</v>
      </c>
      <c r="K3536" s="8">
        <f>financials[[#This Row],[Net Sales]]-financials[[#This Row],[COGS]]</f>
        <v>161.4</v>
      </c>
      <c r="L3536" s="15">
        <v>44178</v>
      </c>
      <c r="M3536" t="s">
        <v>690</v>
      </c>
    </row>
    <row r="3537" spans="1:13" x14ac:dyDescent="0.25">
      <c r="A3537" t="s">
        <v>86</v>
      </c>
      <c r="B3537" s="6" t="s">
        <v>287</v>
      </c>
      <c r="C3537" s="13">
        <v>101</v>
      </c>
      <c r="D3537" s="14" t="s">
        <v>83</v>
      </c>
      <c r="E3537">
        <v>17</v>
      </c>
      <c r="F3537" s="8">
        <f>VLOOKUP(financials[[#This Row],[productid]],Products!$B$2:$H$10,3)</f>
        <v>23</v>
      </c>
      <c r="G3537" s="8">
        <f>financials[[#This Row],[Units Sold]]*financials[[#This Row],[Sale Price]]</f>
        <v>391</v>
      </c>
      <c r="H3537" s="8">
        <f>IF(financials[[#This Row],[Discount Band]]="low",0.1,IF(financials[[#This Row],[Discount Band]]="medium",0.15,0.3))</f>
        <v>0.3</v>
      </c>
      <c r="I3537" s="8">
        <f>financials[[#This Row],[Gross Sales]]-financials[[#This Row],[Gross Sales]]*financials[[#This Row],[Discounts]]</f>
        <v>273.7</v>
      </c>
      <c r="J3537" s="8">
        <f>VLOOKUP(financials[[#This Row],[productid]],Products!$B$2:$H$10,4)</f>
        <v>9.9499999999999993</v>
      </c>
      <c r="K3537" s="8">
        <f>financials[[#This Row],[Net Sales]]-financials[[#This Row],[COGS]]</f>
        <v>263.75</v>
      </c>
      <c r="L3537" s="15">
        <v>44906</v>
      </c>
      <c r="M3537" t="s">
        <v>697</v>
      </c>
    </row>
    <row r="3538" spans="1:13" x14ac:dyDescent="0.25">
      <c r="A3538" t="s">
        <v>88</v>
      </c>
      <c r="B3538" s="6" t="s">
        <v>158</v>
      </c>
      <c r="C3538" s="13">
        <v>108</v>
      </c>
      <c r="D3538" s="14" t="s">
        <v>90</v>
      </c>
      <c r="E3538">
        <v>18</v>
      </c>
      <c r="F3538" s="8">
        <f>VLOOKUP(financials[[#This Row],[productid]],Products!$B$2:$H$10,3)</f>
        <v>5.5</v>
      </c>
      <c r="G3538" s="8">
        <f>financials[[#This Row],[Units Sold]]*financials[[#This Row],[Sale Price]]</f>
        <v>99</v>
      </c>
      <c r="H3538" s="8">
        <f>IF(financials[[#This Row],[Discount Band]]="low",0.1,IF(financials[[#This Row],[Discount Band]]="medium",0.15,0.3))</f>
        <v>0.15</v>
      </c>
      <c r="I3538" s="8">
        <f>financials[[#This Row],[Gross Sales]]-financials[[#This Row],[Gross Sales]]*financials[[#This Row],[Discounts]]</f>
        <v>84.15</v>
      </c>
      <c r="J3538" s="8">
        <f>VLOOKUP(financials[[#This Row],[productid]],Products!$B$2:$H$10,4)</f>
        <v>3.99</v>
      </c>
      <c r="K3538" s="8">
        <f>financials[[#This Row],[Net Sales]]-financials[[#This Row],[COGS]]</f>
        <v>80.160000000000011</v>
      </c>
      <c r="L3538" s="15">
        <v>44442</v>
      </c>
      <c r="M3538" t="s">
        <v>696</v>
      </c>
    </row>
    <row r="3539" spans="1:13" x14ac:dyDescent="0.25">
      <c r="A3539" t="s">
        <v>86</v>
      </c>
      <c r="B3539" s="6" t="s">
        <v>228</v>
      </c>
      <c r="C3539" s="13">
        <v>101</v>
      </c>
      <c r="D3539" s="14" t="s">
        <v>91</v>
      </c>
      <c r="E3539">
        <v>7</v>
      </c>
      <c r="F3539" s="8">
        <f>VLOOKUP(financials[[#This Row],[productid]],Products!$B$2:$H$10,3)</f>
        <v>23</v>
      </c>
      <c r="G3539" s="8">
        <f>financials[[#This Row],[Units Sold]]*financials[[#This Row],[Sale Price]]</f>
        <v>161</v>
      </c>
      <c r="H3539" s="8">
        <f>IF(financials[[#This Row],[Discount Band]]="low",0.1,IF(financials[[#This Row],[Discount Band]]="medium",0.15,0.3))</f>
        <v>0.1</v>
      </c>
      <c r="I3539" s="8">
        <f>financials[[#This Row],[Gross Sales]]-financials[[#This Row],[Gross Sales]]*financials[[#This Row],[Discounts]]</f>
        <v>144.9</v>
      </c>
      <c r="J3539" s="8">
        <f>VLOOKUP(financials[[#This Row],[productid]],Products!$B$2:$H$10,4)</f>
        <v>9.9499999999999993</v>
      </c>
      <c r="K3539" s="8">
        <f>financials[[#This Row],[Net Sales]]-financials[[#This Row],[COGS]]</f>
        <v>134.95000000000002</v>
      </c>
      <c r="L3539" s="15">
        <v>44461</v>
      </c>
      <c r="M3539" t="s">
        <v>700</v>
      </c>
    </row>
    <row r="3540" spans="1:13" x14ac:dyDescent="0.25">
      <c r="A3540" t="s">
        <v>87</v>
      </c>
      <c r="B3540" s="6" t="s">
        <v>276</v>
      </c>
      <c r="C3540" s="13">
        <v>102</v>
      </c>
      <c r="D3540" s="14" t="s">
        <v>92</v>
      </c>
      <c r="E3540">
        <v>20</v>
      </c>
      <c r="F3540" s="8">
        <f>VLOOKUP(financials[[#This Row],[productid]],Products!$B$2:$H$10,3)</f>
        <v>15</v>
      </c>
      <c r="G3540" s="8">
        <f>financials[[#This Row],[Units Sold]]*financials[[#This Row],[Sale Price]]</f>
        <v>300</v>
      </c>
      <c r="H3540" s="8">
        <f>IF(financials[[#This Row],[Discount Band]]="low",0.1,IF(financials[[#This Row],[Discount Band]]="medium",0.15,0.3))</f>
        <v>0.3</v>
      </c>
      <c r="I3540" s="8">
        <f>financials[[#This Row],[Gross Sales]]-financials[[#This Row],[Gross Sales]]*financials[[#This Row],[Discounts]]</f>
        <v>210</v>
      </c>
      <c r="J3540" s="8">
        <f>VLOOKUP(financials[[#This Row],[productid]],Products!$B$2:$H$10,4)</f>
        <v>13.95</v>
      </c>
      <c r="K3540" s="8">
        <f>financials[[#This Row],[Net Sales]]-financials[[#This Row],[COGS]]</f>
        <v>196.05</v>
      </c>
      <c r="L3540" s="15">
        <v>45197</v>
      </c>
      <c r="M3540" t="s">
        <v>700</v>
      </c>
    </row>
    <row r="3541" spans="1:13" x14ac:dyDescent="0.25">
      <c r="A3541" t="s">
        <v>88</v>
      </c>
      <c r="B3541" s="6" t="s">
        <v>228</v>
      </c>
      <c r="C3541" s="13">
        <v>106</v>
      </c>
      <c r="D3541" s="14" t="s">
        <v>90</v>
      </c>
      <c r="E3541">
        <v>19</v>
      </c>
      <c r="F3541" s="8">
        <f>VLOOKUP(financials[[#This Row],[productid]],Products!$B$2:$H$10,3)</f>
        <v>25</v>
      </c>
      <c r="G3541" s="8">
        <f>financials[[#This Row],[Units Sold]]*financials[[#This Row],[Sale Price]]</f>
        <v>475</v>
      </c>
      <c r="H3541" s="8">
        <f>IF(financials[[#This Row],[Discount Band]]="low",0.1,IF(financials[[#This Row],[Discount Band]]="medium",0.15,0.3))</f>
        <v>0.15</v>
      </c>
      <c r="I3541" s="8">
        <f>financials[[#This Row],[Gross Sales]]-financials[[#This Row],[Gross Sales]]*financials[[#This Row],[Discounts]]</f>
        <v>403.75</v>
      </c>
      <c r="J3541" s="8">
        <f>VLOOKUP(financials[[#This Row],[productid]],Products!$B$2:$H$10,4)</f>
        <v>9.1</v>
      </c>
      <c r="K3541" s="8">
        <f>financials[[#This Row],[Net Sales]]-financials[[#This Row],[COGS]]</f>
        <v>394.65</v>
      </c>
      <c r="L3541" s="15">
        <v>45198</v>
      </c>
      <c r="M3541" t="s">
        <v>697</v>
      </c>
    </row>
    <row r="3542" spans="1:13" x14ac:dyDescent="0.25">
      <c r="A3542" t="s">
        <v>86</v>
      </c>
      <c r="B3542" s="6" t="s">
        <v>287</v>
      </c>
      <c r="C3542" s="13">
        <v>109</v>
      </c>
      <c r="D3542" s="14" t="s">
        <v>90</v>
      </c>
      <c r="E3542">
        <v>16</v>
      </c>
      <c r="F3542" s="8">
        <f>VLOOKUP(financials[[#This Row],[productid]],Products!$B$2:$H$10,3)</f>
        <v>36</v>
      </c>
      <c r="G3542" s="8">
        <f>financials[[#This Row],[Units Sold]]*financials[[#This Row],[Sale Price]]</f>
        <v>576</v>
      </c>
      <c r="H3542" s="8">
        <f>IF(financials[[#This Row],[Discount Band]]="low",0.1,IF(financials[[#This Row],[Discount Band]]="medium",0.15,0.3))</f>
        <v>0.15</v>
      </c>
      <c r="I3542" s="8">
        <f>financials[[#This Row],[Gross Sales]]-financials[[#This Row],[Gross Sales]]*financials[[#This Row],[Discounts]]</f>
        <v>489.6</v>
      </c>
      <c r="J3542" s="8">
        <f>VLOOKUP(financials[[#This Row],[productid]],Products!$B$2:$H$10,4)</f>
        <v>16.8</v>
      </c>
      <c r="K3542" s="8">
        <f>financials[[#This Row],[Net Sales]]-financials[[#This Row],[COGS]]</f>
        <v>472.8</v>
      </c>
      <c r="L3542" s="15">
        <v>44189</v>
      </c>
      <c r="M3542" t="s">
        <v>691</v>
      </c>
    </row>
    <row r="3543" spans="1:13" x14ac:dyDescent="0.25">
      <c r="A3543" t="s">
        <v>86</v>
      </c>
      <c r="B3543" s="6" t="s">
        <v>268</v>
      </c>
      <c r="C3543" s="13">
        <v>107</v>
      </c>
      <c r="D3543" s="14" t="s">
        <v>90</v>
      </c>
      <c r="E3543">
        <v>8</v>
      </c>
      <c r="F3543" s="8">
        <f>VLOOKUP(financials[[#This Row],[productid]],Products!$B$2:$H$10,3)</f>
        <v>15</v>
      </c>
      <c r="G3543" s="8">
        <f>financials[[#This Row],[Units Sold]]*financials[[#This Row],[Sale Price]]</f>
        <v>120</v>
      </c>
      <c r="H3543" s="8">
        <f>IF(financials[[#This Row],[Discount Band]]="low",0.1,IF(financials[[#This Row],[Discount Band]]="medium",0.15,0.3))</f>
        <v>0.15</v>
      </c>
      <c r="I3543" s="8">
        <f>financials[[#This Row],[Gross Sales]]-financials[[#This Row],[Gross Sales]]*financials[[#This Row],[Discounts]]</f>
        <v>102</v>
      </c>
      <c r="J3543" s="8">
        <f>VLOOKUP(financials[[#This Row],[productid]],Products!$B$2:$H$10,4)</f>
        <v>5.5</v>
      </c>
      <c r="K3543" s="8">
        <f>financials[[#This Row],[Net Sales]]-financials[[#This Row],[COGS]]</f>
        <v>96.5</v>
      </c>
      <c r="L3543" s="15">
        <v>43975</v>
      </c>
      <c r="M3543" t="s">
        <v>691</v>
      </c>
    </row>
    <row r="3544" spans="1:13" x14ac:dyDescent="0.25">
      <c r="A3544" t="s">
        <v>86</v>
      </c>
      <c r="B3544" s="6" t="s">
        <v>197</v>
      </c>
      <c r="C3544" s="13">
        <v>102</v>
      </c>
      <c r="D3544" s="14" t="s">
        <v>90</v>
      </c>
      <c r="E3544">
        <v>10</v>
      </c>
      <c r="F3544" s="8">
        <f>VLOOKUP(financials[[#This Row],[productid]],Products!$B$2:$H$10,3)</f>
        <v>15</v>
      </c>
      <c r="G3544" s="8">
        <f>financials[[#This Row],[Units Sold]]*financials[[#This Row],[Sale Price]]</f>
        <v>150</v>
      </c>
      <c r="H3544" s="8">
        <f>IF(financials[[#This Row],[Discount Band]]="low",0.1,IF(financials[[#This Row],[Discount Band]]="medium",0.15,0.3))</f>
        <v>0.15</v>
      </c>
      <c r="I3544" s="8">
        <f>financials[[#This Row],[Gross Sales]]-financials[[#This Row],[Gross Sales]]*financials[[#This Row],[Discounts]]</f>
        <v>127.5</v>
      </c>
      <c r="J3544" s="8">
        <f>VLOOKUP(financials[[#This Row],[productid]],Products!$B$2:$H$10,4)</f>
        <v>13.95</v>
      </c>
      <c r="K3544" s="8">
        <f>financials[[#This Row],[Net Sales]]-financials[[#This Row],[COGS]]</f>
        <v>113.55</v>
      </c>
      <c r="L3544" s="15">
        <v>43886</v>
      </c>
      <c r="M3544" t="s">
        <v>697</v>
      </c>
    </row>
    <row r="3545" spans="1:13" x14ac:dyDescent="0.25">
      <c r="A3545" t="s">
        <v>86</v>
      </c>
      <c r="B3545" s="6" t="s">
        <v>96</v>
      </c>
      <c r="C3545" s="13">
        <v>106</v>
      </c>
      <c r="D3545" s="14" t="s">
        <v>83</v>
      </c>
      <c r="E3545">
        <v>13</v>
      </c>
      <c r="F3545" s="8">
        <f>VLOOKUP(financials[[#This Row],[productid]],Products!$B$2:$H$10,3)</f>
        <v>25</v>
      </c>
      <c r="G3545" s="8">
        <f>financials[[#This Row],[Units Sold]]*financials[[#This Row],[Sale Price]]</f>
        <v>325</v>
      </c>
      <c r="H3545" s="8">
        <f>IF(financials[[#This Row],[Discount Band]]="low",0.1,IF(financials[[#This Row],[Discount Band]]="medium",0.15,0.3))</f>
        <v>0.3</v>
      </c>
      <c r="I3545" s="8">
        <f>financials[[#This Row],[Gross Sales]]-financials[[#This Row],[Gross Sales]]*financials[[#This Row],[Discounts]]</f>
        <v>227.5</v>
      </c>
      <c r="J3545" s="8">
        <f>VLOOKUP(financials[[#This Row],[productid]],Products!$B$2:$H$10,4)</f>
        <v>9.1</v>
      </c>
      <c r="K3545" s="8">
        <f>financials[[#This Row],[Net Sales]]-financials[[#This Row],[COGS]]</f>
        <v>218.4</v>
      </c>
      <c r="L3545" s="15">
        <v>45107</v>
      </c>
      <c r="M3545" t="s">
        <v>696</v>
      </c>
    </row>
    <row r="3546" spans="1:13" x14ac:dyDescent="0.25">
      <c r="A3546" t="s">
        <v>86</v>
      </c>
      <c r="B3546" s="6" t="s">
        <v>124</v>
      </c>
      <c r="C3546" s="13">
        <v>102</v>
      </c>
      <c r="D3546" s="14" t="s">
        <v>83</v>
      </c>
      <c r="E3546">
        <v>10</v>
      </c>
      <c r="F3546" s="8">
        <f>VLOOKUP(financials[[#This Row],[productid]],Products!$B$2:$H$10,3)</f>
        <v>15</v>
      </c>
      <c r="G3546" s="8">
        <f>financials[[#This Row],[Units Sold]]*financials[[#This Row],[Sale Price]]</f>
        <v>150</v>
      </c>
      <c r="H3546" s="8">
        <f>IF(financials[[#This Row],[Discount Band]]="low",0.1,IF(financials[[#This Row],[Discount Band]]="medium",0.15,0.3))</f>
        <v>0.3</v>
      </c>
      <c r="I3546" s="8">
        <f>financials[[#This Row],[Gross Sales]]-financials[[#This Row],[Gross Sales]]*financials[[#This Row],[Discounts]]</f>
        <v>105</v>
      </c>
      <c r="J3546" s="8">
        <f>VLOOKUP(financials[[#This Row],[productid]],Products!$B$2:$H$10,4)</f>
        <v>13.95</v>
      </c>
      <c r="K3546" s="8">
        <f>financials[[#This Row],[Net Sales]]-financials[[#This Row],[COGS]]</f>
        <v>91.05</v>
      </c>
      <c r="L3546" s="15">
        <v>45086</v>
      </c>
      <c r="M3546" t="s">
        <v>696</v>
      </c>
    </row>
    <row r="3547" spans="1:13" x14ac:dyDescent="0.25">
      <c r="A3547" t="s">
        <v>88</v>
      </c>
      <c r="B3547" s="6" t="s">
        <v>232</v>
      </c>
      <c r="C3547" s="11">
        <v>105</v>
      </c>
      <c r="D3547" s="9" t="s">
        <v>90</v>
      </c>
      <c r="E3547">
        <v>15</v>
      </c>
      <c r="F3547" s="8">
        <f>VLOOKUP(financials[[#This Row],[productid]],Products!$B$2:$H$10,3)</f>
        <v>15</v>
      </c>
      <c r="G3547" s="8">
        <f>financials[[#This Row],[Units Sold]]*financials[[#This Row],[Sale Price]]</f>
        <v>225</v>
      </c>
      <c r="H3547" s="8">
        <f>IF(financials[[#This Row],[Discount Band]]="low",0.1,IF(financials[[#This Row],[Discount Band]]="medium",0.15,0.3))</f>
        <v>0.15</v>
      </c>
      <c r="I3547" s="8">
        <f>financials[[#This Row],[Gross Sales]]-financials[[#This Row],[Gross Sales]]*financials[[#This Row],[Discounts]]</f>
        <v>191.25</v>
      </c>
      <c r="J3547" s="8">
        <f>VLOOKUP(financials[[#This Row],[productid]],Products!$B$2:$H$10,4)</f>
        <v>10</v>
      </c>
      <c r="K3547" s="8">
        <f>financials[[#This Row],[Net Sales]]-financials[[#This Row],[COGS]]</f>
        <v>181.25</v>
      </c>
      <c r="L3547" s="15">
        <v>45580</v>
      </c>
      <c r="M3547" t="s">
        <v>697</v>
      </c>
    </row>
    <row r="3548" spans="1:13" x14ac:dyDescent="0.25">
      <c r="A3548" t="s">
        <v>88</v>
      </c>
      <c r="B3548" s="6" t="s">
        <v>197</v>
      </c>
      <c r="C3548" s="13">
        <v>109</v>
      </c>
      <c r="D3548" s="14" t="s">
        <v>83</v>
      </c>
      <c r="E3548">
        <v>6</v>
      </c>
      <c r="F3548" s="8">
        <f>VLOOKUP(financials[[#This Row],[productid]],Products!$B$2:$H$10,3)</f>
        <v>36</v>
      </c>
      <c r="G3548" s="8">
        <f>financials[[#This Row],[Units Sold]]*financials[[#This Row],[Sale Price]]</f>
        <v>216</v>
      </c>
      <c r="H3548" s="8">
        <f>IF(financials[[#This Row],[Discount Band]]="low",0.1,IF(financials[[#This Row],[Discount Band]]="medium",0.15,0.3))</f>
        <v>0.3</v>
      </c>
      <c r="I3548" s="8">
        <f>financials[[#This Row],[Gross Sales]]-financials[[#This Row],[Gross Sales]]*financials[[#This Row],[Discounts]]</f>
        <v>151.19999999999999</v>
      </c>
      <c r="J3548" s="8">
        <f>VLOOKUP(financials[[#This Row],[productid]],Products!$B$2:$H$10,4)</f>
        <v>16.8</v>
      </c>
      <c r="K3548" s="8">
        <f>financials[[#This Row],[Net Sales]]-financials[[#This Row],[COGS]]</f>
        <v>134.39999999999998</v>
      </c>
      <c r="L3548" s="15">
        <v>44419</v>
      </c>
      <c r="M3548" t="s">
        <v>697</v>
      </c>
    </row>
    <row r="3549" spans="1:13" x14ac:dyDescent="0.25">
      <c r="A3549" t="s">
        <v>88</v>
      </c>
      <c r="B3549" s="6" t="s">
        <v>228</v>
      </c>
      <c r="C3549" s="13">
        <v>109</v>
      </c>
      <c r="D3549" s="14" t="s">
        <v>83</v>
      </c>
      <c r="E3549">
        <v>19</v>
      </c>
      <c r="F3549" s="8">
        <f>VLOOKUP(financials[[#This Row],[productid]],Products!$B$2:$H$10,3)</f>
        <v>36</v>
      </c>
      <c r="G3549" s="8">
        <f>financials[[#This Row],[Units Sold]]*financials[[#This Row],[Sale Price]]</f>
        <v>684</v>
      </c>
      <c r="H3549" s="8">
        <f>IF(financials[[#This Row],[Discount Band]]="low",0.1,IF(financials[[#This Row],[Discount Band]]="medium",0.15,0.3))</f>
        <v>0.3</v>
      </c>
      <c r="I3549" s="8">
        <f>financials[[#This Row],[Gross Sales]]-financials[[#This Row],[Gross Sales]]*financials[[#This Row],[Discounts]]</f>
        <v>478.8</v>
      </c>
      <c r="J3549" s="8">
        <f>VLOOKUP(financials[[#This Row],[productid]],Products!$B$2:$H$10,4)</f>
        <v>16.8</v>
      </c>
      <c r="K3549" s="8">
        <f>financials[[#This Row],[Net Sales]]-financials[[#This Row],[COGS]]</f>
        <v>462</v>
      </c>
      <c r="L3549" s="15">
        <v>43875</v>
      </c>
      <c r="M3549" t="s">
        <v>696</v>
      </c>
    </row>
    <row r="3550" spans="1:13" x14ac:dyDescent="0.25">
      <c r="A3550" t="s">
        <v>88</v>
      </c>
      <c r="B3550" s="6" t="s">
        <v>645</v>
      </c>
      <c r="C3550" s="13">
        <v>105</v>
      </c>
      <c r="D3550" s="14" t="s">
        <v>90</v>
      </c>
      <c r="E3550">
        <v>7</v>
      </c>
      <c r="F3550" s="8">
        <f>VLOOKUP(financials[[#This Row],[productid]],Products!$B$2:$H$10,3)</f>
        <v>15</v>
      </c>
      <c r="G3550" s="8">
        <f>financials[[#This Row],[Units Sold]]*financials[[#This Row],[Sale Price]]</f>
        <v>105</v>
      </c>
      <c r="H3550" s="8">
        <f>IF(financials[[#This Row],[Discount Band]]="low",0.1,IF(financials[[#This Row],[Discount Band]]="medium",0.15,0.3))</f>
        <v>0.15</v>
      </c>
      <c r="I3550" s="8">
        <f>financials[[#This Row],[Gross Sales]]-financials[[#This Row],[Gross Sales]]*financials[[#This Row],[Discounts]]</f>
        <v>89.25</v>
      </c>
      <c r="J3550" s="8">
        <f>VLOOKUP(financials[[#This Row],[productid]],Products!$B$2:$H$10,4)</f>
        <v>10</v>
      </c>
      <c r="K3550" s="8">
        <f>financials[[#This Row],[Net Sales]]-financials[[#This Row],[COGS]]</f>
        <v>79.25</v>
      </c>
      <c r="L3550" s="15">
        <v>45318</v>
      </c>
      <c r="M3550" t="s">
        <v>700</v>
      </c>
    </row>
    <row r="3551" spans="1:13" x14ac:dyDescent="0.25">
      <c r="A3551" t="s">
        <v>86</v>
      </c>
      <c r="B3551" s="6" t="s">
        <v>240</v>
      </c>
      <c r="C3551" s="13">
        <v>107</v>
      </c>
      <c r="D3551" s="14" t="s">
        <v>83</v>
      </c>
      <c r="E3551">
        <v>13</v>
      </c>
      <c r="F3551" s="8">
        <f>VLOOKUP(financials[[#This Row],[productid]],Products!$B$2:$H$10,3)</f>
        <v>15</v>
      </c>
      <c r="G3551" s="8">
        <f>financials[[#This Row],[Units Sold]]*financials[[#This Row],[Sale Price]]</f>
        <v>195</v>
      </c>
      <c r="H3551" s="8">
        <f>IF(financials[[#This Row],[Discount Band]]="low",0.1,IF(financials[[#This Row],[Discount Band]]="medium",0.15,0.3))</f>
        <v>0.3</v>
      </c>
      <c r="I3551" s="8">
        <f>financials[[#This Row],[Gross Sales]]-financials[[#This Row],[Gross Sales]]*financials[[#This Row],[Discounts]]</f>
        <v>136.5</v>
      </c>
      <c r="J3551" s="8">
        <f>VLOOKUP(financials[[#This Row],[productid]],Products!$B$2:$H$10,4)</f>
        <v>5.5</v>
      </c>
      <c r="K3551" s="8">
        <f>financials[[#This Row],[Net Sales]]-financials[[#This Row],[COGS]]</f>
        <v>131</v>
      </c>
      <c r="L3551" s="15">
        <v>44449</v>
      </c>
      <c r="M3551" t="s">
        <v>690</v>
      </c>
    </row>
    <row r="3552" spans="1:13" x14ac:dyDescent="0.25">
      <c r="A3552" t="s">
        <v>86</v>
      </c>
      <c r="B3552" s="6" t="s">
        <v>197</v>
      </c>
      <c r="C3552" s="13">
        <v>107</v>
      </c>
      <c r="D3552" s="14" t="s">
        <v>83</v>
      </c>
      <c r="E3552">
        <v>12</v>
      </c>
      <c r="F3552" s="8">
        <f>VLOOKUP(financials[[#This Row],[productid]],Products!$B$2:$H$10,3)</f>
        <v>15</v>
      </c>
      <c r="G3552" s="8">
        <f>financials[[#This Row],[Units Sold]]*financials[[#This Row],[Sale Price]]</f>
        <v>180</v>
      </c>
      <c r="H3552" s="8">
        <f>IF(financials[[#This Row],[Discount Band]]="low",0.1,IF(financials[[#This Row],[Discount Band]]="medium",0.15,0.3))</f>
        <v>0.3</v>
      </c>
      <c r="I3552" s="8">
        <f>financials[[#This Row],[Gross Sales]]-financials[[#This Row],[Gross Sales]]*financials[[#This Row],[Discounts]]</f>
        <v>126</v>
      </c>
      <c r="J3552" s="8">
        <f>VLOOKUP(financials[[#This Row],[productid]],Products!$B$2:$H$10,4)</f>
        <v>5.5</v>
      </c>
      <c r="K3552" s="8">
        <f>financials[[#This Row],[Net Sales]]-financials[[#This Row],[COGS]]</f>
        <v>120.5</v>
      </c>
      <c r="L3552" s="15">
        <v>44852</v>
      </c>
      <c r="M3552" t="s">
        <v>696</v>
      </c>
    </row>
    <row r="3553" spans="1:13" x14ac:dyDescent="0.25">
      <c r="A3553" t="s">
        <v>89</v>
      </c>
      <c r="B3553" s="6" t="s">
        <v>124</v>
      </c>
      <c r="C3553" s="13">
        <v>109</v>
      </c>
      <c r="D3553" s="14" t="s">
        <v>92</v>
      </c>
      <c r="E3553">
        <v>12</v>
      </c>
      <c r="F3553" s="8">
        <f>VLOOKUP(financials[[#This Row],[productid]],Products!$B$2:$H$10,3)</f>
        <v>36</v>
      </c>
      <c r="G3553" s="8">
        <f>financials[[#This Row],[Units Sold]]*financials[[#This Row],[Sale Price]]</f>
        <v>432</v>
      </c>
      <c r="H3553" s="8">
        <f>IF(financials[[#This Row],[Discount Band]]="low",0.1,IF(financials[[#This Row],[Discount Band]]="medium",0.15,0.3))</f>
        <v>0.3</v>
      </c>
      <c r="I3553" s="8">
        <f>financials[[#This Row],[Gross Sales]]-financials[[#This Row],[Gross Sales]]*financials[[#This Row],[Discounts]]</f>
        <v>302.39999999999998</v>
      </c>
      <c r="J3553" s="8">
        <f>VLOOKUP(financials[[#This Row],[productid]],Products!$B$2:$H$10,4)</f>
        <v>16.8</v>
      </c>
      <c r="K3553" s="8">
        <f>financials[[#This Row],[Net Sales]]-financials[[#This Row],[COGS]]</f>
        <v>285.59999999999997</v>
      </c>
      <c r="L3553" s="15">
        <v>45281</v>
      </c>
      <c r="M3553" t="s">
        <v>697</v>
      </c>
    </row>
    <row r="3554" spans="1:13" x14ac:dyDescent="0.25">
      <c r="A3554" t="s">
        <v>89</v>
      </c>
      <c r="B3554" s="6" t="s">
        <v>124</v>
      </c>
      <c r="C3554" s="13">
        <v>103</v>
      </c>
      <c r="D3554" s="14" t="s">
        <v>90</v>
      </c>
      <c r="E3554">
        <v>6</v>
      </c>
      <c r="F3554" s="8">
        <f>VLOOKUP(financials[[#This Row],[productid]],Products!$B$2:$H$10,3)</f>
        <v>28</v>
      </c>
      <c r="G3554" s="8">
        <f>financials[[#This Row],[Units Sold]]*financials[[#This Row],[Sale Price]]</f>
        <v>168</v>
      </c>
      <c r="H3554" s="8">
        <f>IF(financials[[#This Row],[Discount Band]]="low",0.1,IF(financials[[#This Row],[Discount Band]]="medium",0.15,0.3))</f>
        <v>0.15</v>
      </c>
      <c r="I3554" s="8">
        <f>financials[[#This Row],[Gross Sales]]-financials[[#This Row],[Gross Sales]]*financials[[#This Row],[Discounts]]</f>
        <v>142.80000000000001</v>
      </c>
      <c r="J3554" s="8">
        <f>VLOOKUP(financials[[#This Row],[productid]],Products!$B$2:$H$10,4)</f>
        <v>15</v>
      </c>
      <c r="K3554" s="8">
        <f>financials[[#This Row],[Net Sales]]-financials[[#This Row],[COGS]]</f>
        <v>127.80000000000001</v>
      </c>
      <c r="L3554" s="15">
        <v>44772</v>
      </c>
      <c r="M3554" t="s">
        <v>690</v>
      </c>
    </row>
    <row r="3555" spans="1:13" x14ac:dyDescent="0.25">
      <c r="A3555" t="s">
        <v>88</v>
      </c>
      <c r="B3555" s="6" t="s">
        <v>617</v>
      </c>
      <c r="C3555" s="13">
        <v>102</v>
      </c>
      <c r="D3555" s="14" t="s">
        <v>83</v>
      </c>
      <c r="E3555">
        <v>18</v>
      </c>
      <c r="F3555" s="8">
        <f>VLOOKUP(financials[[#This Row],[productid]],Products!$B$2:$H$10,3)</f>
        <v>15</v>
      </c>
      <c r="G3555" s="8">
        <f>financials[[#This Row],[Units Sold]]*financials[[#This Row],[Sale Price]]</f>
        <v>270</v>
      </c>
      <c r="H3555" s="8">
        <f>IF(financials[[#This Row],[Discount Band]]="low",0.1,IF(financials[[#This Row],[Discount Band]]="medium",0.15,0.3))</f>
        <v>0.3</v>
      </c>
      <c r="I3555" s="8">
        <f>financials[[#This Row],[Gross Sales]]-financials[[#This Row],[Gross Sales]]*financials[[#This Row],[Discounts]]</f>
        <v>189</v>
      </c>
      <c r="J3555" s="8">
        <f>VLOOKUP(financials[[#This Row],[productid]],Products!$B$2:$H$10,4)</f>
        <v>13.95</v>
      </c>
      <c r="K3555" s="8">
        <f>financials[[#This Row],[Net Sales]]-financials[[#This Row],[COGS]]</f>
        <v>175.05</v>
      </c>
      <c r="L3555" s="15">
        <v>45011</v>
      </c>
      <c r="M3555" t="s">
        <v>700</v>
      </c>
    </row>
    <row r="3556" spans="1:13" x14ac:dyDescent="0.25">
      <c r="A3556" t="s">
        <v>88</v>
      </c>
      <c r="B3556" s="6" t="s">
        <v>93</v>
      </c>
      <c r="C3556" s="13">
        <v>109</v>
      </c>
      <c r="D3556" s="14" t="s">
        <v>83</v>
      </c>
      <c r="E3556">
        <v>5</v>
      </c>
      <c r="F3556" s="8">
        <f>VLOOKUP(financials[[#This Row],[productid]],Products!$B$2:$H$10,3)</f>
        <v>36</v>
      </c>
      <c r="G3556" s="8">
        <f>financials[[#This Row],[Units Sold]]*financials[[#This Row],[Sale Price]]</f>
        <v>180</v>
      </c>
      <c r="H3556" s="8">
        <f>IF(financials[[#This Row],[Discount Band]]="low",0.1,IF(financials[[#This Row],[Discount Band]]="medium",0.15,0.3))</f>
        <v>0.3</v>
      </c>
      <c r="I3556" s="8">
        <f>financials[[#This Row],[Gross Sales]]-financials[[#This Row],[Gross Sales]]*financials[[#This Row],[Discounts]]</f>
        <v>126</v>
      </c>
      <c r="J3556" s="8">
        <f>VLOOKUP(financials[[#This Row],[productid]],Products!$B$2:$H$10,4)</f>
        <v>16.8</v>
      </c>
      <c r="K3556" s="8">
        <f>financials[[#This Row],[Net Sales]]-financials[[#This Row],[COGS]]</f>
        <v>109.2</v>
      </c>
      <c r="L3556" s="15">
        <v>44810</v>
      </c>
      <c r="M3556" t="s">
        <v>696</v>
      </c>
    </row>
    <row r="3557" spans="1:13" x14ac:dyDescent="0.25">
      <c r="A3557" t="s">
        <v>86</v>
      </c>
      <c r="B3557" s="6" t="s">
        <v>240</v>
      </c>
      <c r="C3557" s="13">
        <v>102</v>
      </c>
      <c r="D3557" s="14" t="s">
        <v>91</v>
      </c>
      <c r="E3557">
        <v>5</v>
      </c>
      <c r="F3557" s="8">
        <f>VLOOKUP(financials[[#This Row],[productid]],Products!$B$2:$H$10,3)</f>
        <v>15</v>
      </c>
      <c r="G3557" s="8">
        <f>financials[[#This Row],[Units Sold]]*financials[[#This Row],[Sale Price]]</f>
        <v>75</v>
      </c>
      <c r="H3557" s="8">
        <f>IF(financials[[#This Row],[Discount Band]]="low",0.1,IF(financials[[#This Row],[Discount Band]]="medium",0.15,0.3))</f>
        <v>0.1</v>
      </c>
      <c r="I3557" s="8">
        <f>financials[[#This Row],[Gross Sales]]-financials[[#This Row],[Gross Sales]]*financials[[#This Row],[Discounts]]</f>
        <v>67.5</v>
      </c>
      <c r="J3557" s="8">
        <f>VLOOKUP(financials[[#This Row],[productid]],Products!$B$2:$H$10,4)</f>
        <v>13.95</v>
      </c>
      <c r="K3557" s="8">
        <f>financials[[#This Row],[Net Sales]]-financials[[#This Row],[COGS]]</f>
        <v>53.55</v>
      </c>
      <c r="L3557" s="15">
        <v>44869</v>
      </c>
      <c r="M3557" t="s">
        <v>697</v>
      </c>
    </row>
    <row r="3558" spans="1:13" x14ac:dyDescent="0.25">
      <c r="A3558" t="s">
        <v>86</v>
      </c>
      <c r="B3558" s="6" t="s">
        <v>268</v>
      </c>
      <c r="C3558" s="13">
        <v>103</v>
      </c>
      <c r="D3558" s="14" t="s">
        <v>83</v>
      </c>
      <c r="E3558">
        <v>8</v>
      </c>
      <c r="F3558" s="8">
        <f>VLOOKUP(financials[[#This Row],[productid]],Products!$B$2:$H$10,3)</f>
        <v>28</v>
      </c>
      <c r="G3558" s="8">
        <f>financials[[#This Row],[Units Sold]]*financials[[#This Row],[Sale Price]]</f>
        <v>224</v>
      </c>
      <c r="H3558" s="8">
        <f>IF(financials[[#This Row],[Discount Band]]="low",0.1,IF(financials[[#This Row],[Discount Band]]="medium",0.15,0.3))</f>
        <v>0.3</v>
      </c>
      <c r="I3558" s="8">
        <f>financials[[#This Row],[Gross Sales]]-financials[[#This Row],[Gross Sales]]*financials[[#This Row],[Discounts]]</f>
        <v>156.80000000000001</v>
      </c>
      <c r="J3558" s="8">
        <f>VLOOKUP(financials[[#This Row],[productid]],Products!$B$2:$H$10,4)</f>
        <v>15</v>
      </c>
      <c r="K3558" s="8">
        <f>financials[[#This Row],[Net Sales]]-financials[[#This Row],[COGS]]</f>
        <v>141.80000000000001</v>
      </c>
      <c r="L3558" s="15">
        <v>45374</v>
      </c>
      <c r="M3558" t="s">
        <v>700</v>
      </c>
    </row>
    <row r="3559" spans="1:13" x14ac:dyDescent="0.25">
      <c r="A3559" t="s">
        <v>86</v>
      </c>
      <c r="B3559" s="6" t="s">
        <v>545</v>
      </c>
      <c r="C3559" s="13">
        <v>101</v>
      </c>
      <c r="D3559" s="14" t="s">
        <v>92</v>
      </c>
      <c r="E3559">
        <v>8</v>
      </c>
      <c r="F3559" s="8">
        <f>VLOOKUP(financials[[#This Row],[productid]],Products!$B$2:$H$10,3)</f>
        <v>23</v>
      </c>
      <c r="G3559" s="8">
        <f>financials[[#This Row],[Units Sold]]*financials[[#This Row],[Sale Price]]</f>
        <v>184</v>
      </c>
      <c r="H3559" s="8">
        <f>IF(financials[[#This Row],[Discount Band]]="low",0.1,IF(financials[[#This Row],[Discount Band]]="medium",0.15,0.3))</f>
        <v>0.3</v>
      </c>
      <c r="I3559" s="8">
        <f>financials[[#This Row],[Gross Sales]]-financials[[#This Row],[Gross Sales]]*financials[[#This Row],[Discounts]]</f>
        <v>128.80000000000001</v>
      </c>
      <c r="J3559" s="8">
        <f>VLOOKUP(financials[[#This Row],[productid]],Products!$B$2:$H$10,4)</f>
        <v>9.9499999999999993</v>
      </c>
      <c r="K3559" s="8">
        <f>financials[[#This Row],[Net Sales]]-financials[[#This Row],[COGS]]</f>
        <v>118.85000000000001</v>
      </c>
      <c r="L3559" s="15">
        <v>44738</v>
      </c>
      <c r="M3559" t="s">
        <v>700</v>
      </c>
    </row>
    <row r="3560" spans="1:13" x14ac:dyDescent="0.25">
      <c r="A3560" t="s">
        <v>86</v>
      </c>
      <c r="B3560" s="6" t="s">
        <v>158</v>
      </c>
      <c r="C3560" s="13">
        <v>109</v>
      </c>
      <c r="D3560" s="14" t="s">
        <v>91</v>
      </c>
      <c r="E3560">
        <v>7</v>
      </c>
      <c r="F3560" s="8">
        <f>VLOOKUP(financials[[#This Row],[productid]],Products!$B$2:$H$10,3)</f>
        <v>36</v>
      </c>
      <c r="G3560" s="8">
        <f>financials[[#This Row],[Units Sold]]*financials[[#This Row],[Sale Price]]</f>
        <v>252</v>
      </c>
      <c r="H3560" s="8">
        <f>IF(financials[[#This Row],[Discount Band]]="low",0.1,IF(financials[[#This Row],[Discount Band]]="medium",0.15,0.3))</f>
        <v>0.1</v>
      </c>
      <c r="I3560" s="8">
        <f>financials[[#This Row],[Gross Sales]]-financials[[#This Row],[Gross Sales]]*financials[[#This Row],[Discounts]]</f>
        <v>226.8</v>
      </c>
      <c r="J3560" s="8">
        <f>VLOOKUP(financials[[#This Row],[productid]],Products!$B$2:$H$10,4)</f>
        <v>16.8</v>
      </c>
      <c r="K3560" s="8">
        <f>financials[[#This Row],[Net Sales]]-financials[[#This Row],[COGS]]</f>
        <v>210</v>
      </c>
      <c r="L3560" s="15">
        <v>44398</v>
      </c>
      <c r="M3560" t="s">
        <v>697</v>
      </c>
    </row>
    <row r="3561" spans="1:13" x14ac:dyDescent="0.25">
      <c r="A3561" t="s">
        <v>88</v>
      </c>
      <c r="B3561" s="6" t="s">
        <v>228</v>
      </c>
      <c r="C3561" s="13">
        <v>106</v>
      </c>
      <c r="D3561" s="14" t="s">
        <v>90</v>
      </c>
      <c r="E3561">
        <v>20</v>
      </c>
      <c r="F3561" s="8">
        <f>VLOOKUP(financials[[#This Row],[productid]],Products!$B$2:$H$10,3)</f>
        <v>25</v>
      </c>
      <c r="G3561" s="8">
        <f>financials[[#This Row],[Units Sold]]*financials[[#This Row],[Sale Price]]</f>
        <v>500</v>
      </c>
      <c r="H3561" s="8">
        <f>IF(financials[[#This Row],[Discount Band]]="low",0.1,IF(financials[[#This Row],[Discount Band]]="medium",0.15,0.3))</f>
        <v>0.15</v>
      </c>
      <c r="I3561" s="8">
        <f>financials[[#This Row],[Gross Sales]]-financials[[#This Row],[Gross Sales]]*financials[[#This Row],[Discounts]]</f>
        <v>425</v>
      </c>
      <c r="J3561" s="8">
        <f>VLOOKUP(financials[[#This Row],[productid]],Products!$B$2:$H$10,4)</f>
        <v>9.1</v>
      </c>
      <c r="K3561" s="8">
        <f>financials[[#This Row],[Net Sales]]-financials[[#This Row],[COGS]]</f>
        <v>415.9</v>
      </c>
      <c r="L3561" s="15">
        <v>44937</v>
      </c>
      <c r="M3561" t="s">
        <v>697</v>
      </c>
    </row>
    <row r="3562" spans="1:13" x14ac:dyDescent="0.25">
      <c r="A3562" t="s">
        <v>88</v>
      </c>
      <c r="B3562" s="6" t="s">
        <v>287</v>
      </c>
      <c r="C3562" s="13">
        <v>108</v>
      </c>
      <c r="D3562" s="14" t="s">
        <v>91</v>
      </c>
      <c r="E3562">
        <v>19</v>
      </c>
      <c r="F3562" s="8">
        <f>VLOOKUP(financials[[#This Row],[productid]],Products!$B$2:$H$10,3)</f>
        <v>5.5</v>
      </c>
      <c r="G3562" s="8">
        <f>financials[[#This Row],[Units Sold]]*financials[[#This Row],[Sale Price]]</f>
        <v>104.5</v>
      </c>
      <c r="H3562" s="8">
        <f>IF(financials[[#This Row],[Discount Band]]="low",0.1,IF(financials[[#This Row],[Discount Band]]="medium",0.15,0.3))</f>
        <v>0.1</v>
      </c>
      <c r="I3562" s="8">
        <f>financials[[#This Row],[Gross Sales]]-financials[[#This Row],[Gross Sales]]*financials[[#This Row],[Discounts]]</f>
        <v>94.05</v>
      </c>
      <c r="J3562" s="8">
        <f>VLOOKUP(financials[[#This Row],[productid]],Products!$B$2:$H$10,4)</f>
        <v>3.99</v>
      </c>
      <c r="K3562" s="8">
        <f>financials[[#This Row],[Net Sales]]-financials[[#This Row],[COGS]]</f>
        <v>90.06</v>
      </c>
      <c r="L3562" s="15">
        <v>44889</v>
      </c>
      <c r="M3562" t="s">
        <v>697</v>
      </c>
    </row>
    <row r="3563" spans="1:13" x14ac:dyDescent="0.25">
      <c r="A3563" t="s">
        <v>88</v>
      </c>
      <c r="B3563" s="6" t="s">
        <v>148</v>
      </c>
      <c r="C3563" s="13">
        <v>104</v>
      </c>
      <c r="D3563" s="14" t="s">
        <v>83</v>
      </c>
      <c r="E3563">
        <v>6</v>
      </c>
      <c r="F3563" s="8">
        <f>VLOOKUP(financials[[#This Row],[productid]],Products!$B$2:$H$10,3)</f>
        <v>5.9</v>
      </c>
      <c r="G3563" s="8">
        <f>financials[[#This Row],[Units Sold]]*financials[[#This Row],[Sale Price]]</f>
        <v>35.400000000000006</v>
      </c>
      <c r="H3563" s="8">
        <f>IF(financials[[#This Row],[Discount Band]]="low",0.1,IF(financials[[#This Row],[Discount Band]]="medium",0.15,0.3))</f>
        <v>0.3</v>
      </c>
      <c r="I3563" s="8">
        <f>financials[[#This Row],[Gross Sales]]-financials[[#This Row],[Gross Sales]]*financials[[#This Row],[Discounts]]</f>
        <v>24.780000000000005</v>
      </c>
      <c r="J3563" s="8">
        <f>VLOOKUP(financials[[#This Row],[productid]],Products!$B$2:$H$10,4)</f>
        <v>2.9</v>
      </c>
      <c r="K3563" s="8">
        <f>financials[[#This Row],[Net Sales]]-financials[[#This Row],[COGS]]</f>
        <v>21.880000000000006</v>
      </c>
      <c r="L3563" s="15">
        <v>45412</v>
      </c>
      <c r="M3563" t="s">
        <v>690</v>
      </c>
    </row>
    <row r="3564" spans="1:13" x14ac:dyDescent="0.25">
      <c r="A3564" t="s">
        <v>86</v>
      </c>
      <c r="B3564" s="6" t="s">
        <v>159</v>
      </c>
      <c r="C3564" s="13">
        <v>101</v>
      </c>
      <c r="D3564" s="14" t="s">
        <v>83</v>
      </c>
      <c r="E3564">
        <v>5</v>
      </c>
      <c r="F3564" s="8">
        <f>VLOOKUP(financials[[#This Row],[productid]],Products!$B$2:$H$10,3)</f>
        <v>23</v>
      </c>
      <c r="G3564" s="8">
        <f>financials[[#This Row],[Units Sold]]*financials[[#This Row],[Sale Price]]</f>
        <v>115</v>
      </c>
      <c r="H3564" s="8">
        <f>IF(financials[[#This Row],[Discount Band]]="low",0.1,IF(financials[[#This Row],[Discount Band]]="medium",0.15,0.3))</f>
        <v>0.3</v>
      </c>
      <c r="I3564" s="8">
        <f>financials[[#This Row],[Gross Sales]]-financials[[#This Row],[Gross Sales]]*financials[[#This Row],[Discounts]]</f>
        <v>80.5</v>
      </c>
      <c r="J3564" s="8">
        <f>VLOOKUP(financials[[#This Row],[productid]],Products!$B$2:$H$10,4)</f>
        <v>9.9499999999999993</v>
      </c>
      <c r="K3564" s="8">
        <f>financials[[#This Row],[Net Sales]]-financials[[#This Row],[COGS]]</f>
        <v>70.55</v>
      </c>
      <c r="L3564" s="15">
        <v>44446</v>
      </c>
      <c r="M3564" t="s">
        <v>696</v>
      </c>
    </row>
    <row r="3565" spans="1:13" x14ac:dyDescent="0.25">
      <c r="A3565" t="s">
        <v>88</v>
      </c>
      <c r="B3565" s="6" t="s">
        <v>228</v>
      </c>
      <c r="C3565" s="11">
        <v>106</v>
      </c>
      <c r="D3565" s="9" t="s">
        <v>83</v>
      </c>
      <c r="E3565">
        <v>19</v>
      </c>
      <c r="F3565" s="8">
        <f>VLOOKUP(financials[[#This Row],[productid]],Products!$B$2:$H$10,3)</f>
        <v>25</v>
      </c>
      <c r="G3565" s="8">
        <f>financials[[#This Row],[Units Sold]]*financials[[#This Row],[Sale Price]]</f>
        <v>475</v>
      </c>
      <c r="H3565" s="8">
        <f>IF(financials[[#This Row],[Discount Band]]="low",0.1,IF(financials[[#This Row],[Discount Band]]="medium",0.15,0.3))</f>
        <v>0.3</v>
      </c>
      <c r="I3565" s="8">
        <f>financials[[#This Row],[Gross Sales]]-financials[[#This Row],[Gross Sales]]*financials[[#This Row],[Discounts]]</f>
        <v>332.5</v>
      </c>
      <c r="J3565" s="8">
        <f>VLOOKUP(financials[[#This Row],[productid]],Products!$B$2:$H$10,4)</f>
        <v>9.1</v>
      </c>
      <c r="K3565" s="8">
        <f>financials[[#This Row],[Net Sales]]-financials[[#This Row],[COGS]]</f>
        <v>323.39999999999998</v>
      </c>
      <c r="L3565" s="15">
        <v>44860</v>
      </c>
      <c r="M3565" t="s">
        <v>696</v>
      </c>
    </row>
    <row r="3566" spans="1:13" x14ac:dyDescent="0.25">
      <c r="A3566" t="s">
        <v>88</v>
      </c>
      <c r="B3566" s="6" t="s">
        <v>645</v>
      </c>
      <c r="C3566" s="13">
        <v>107</v>
      </c>
      <c r="D3566" s="14" t="s">
        <v>91</v>
      </c>
      <c r="E3566">
        <v>6</v>
      </c>
      <c r="F3566" s="8">
        <f>VLOOKUP(financials[[#This Row],[productid]],Products!$B$2:$H$10,3)</f>
        <v>15</v>
      </c>
      <c r="G3566" s="8">
        <f>financials[[#This Row],[Units Sold]]*financials[[#This Row],[Sale Price]]</f>
        <v>90</v>
      </c>
      <c r="H3566" s="8">
        <f>IF(financials[[#This Row],[Discount Band]]="low",0.1,IF(financials[[#This Row],[Discount Band]]="medium",0.15,0.3))</f>
        <v>0.1</v>
      </c>
      <c r="I3566" s="8">
        <f>financials[[#This Row],[Gross Sales]]-financials[[#This Row],[Gross Sales]]*financials[[#This Row],[Discounts]]</f>
        <v>81</v>
      </c>
      <c r="J3566" s="8">
        <f>VLOOKUP(financials[[#This Row],[productid]],Products!$B$2:$H$10,4)</f>
        <v>5.5</v>
      </c>
      <c r="K3566" s="8">
        <f>financials[[#This Row],[Net Sales]]-financials[[#This Row],[COGS]]</f>
        <v>75.5</v>
      </c>
      <c r="L3566" s="15">
        <v>44242</v>
      </c>
      <c r="M3566" t="s">
        <v>690</v>
      </c>
    </row>
    <row r="3567" spans="1:13" x14ac:dyDescent="0.25">
      <c r="A3567" t="s">
        <v>86</v>
      </c>
      <c r="B3567" s="6" t="s">
        <v>124</v>
      </c>
      <c r="C3567" s="13">
        <v>102</v>
      </c>
      <c r="D3567" s="14" t="s">
        <v>90</v>
      </c>
      <c r="E3567">
        <v>9</v>
      </c>
      <c r="F3567" s="8">
        <f>VLOOKUP(financials[[#This Row],[productid]],Products!$B$2:$H$10,3)</f>
        <v>15</v>
      </c>
      <c r="G3567" s="8">
        <f>financials[[#This Row],[Units Sold]]*financials[[#This Row],[Sale Price]]</f>
        <v>135</v>
      </c>
      <c r="H3567" s="8">
        <f>IF(financials[[#This Row],[Discount Band]]="low",0.1,IF(financials[[#This Row],[Discount Band]]="medium",0.15,0.3))</f>
        <v>0.15</v>
      </c>
      <c r="I3567" s="8">
        <f>financials[[#This Row],[Gross Sales]]-financials[[#This Row],[Gross Sales]]*financials[[#This Row],[Discounts]]</f>
        <v>114.75</v>
      </c>
      <c r="J3567" s="8">
        <f>VLOOKUP(financials[[#This Row],[productid]],Products!$B$2:$H$10,4)</f>
        <v>13.95</v>
      </c>
      <c r="K3567" s="8">
        <f>financials[[#This Row],[Net Sales]]-financials[[#This Row],[COGS]]</f>
        <v>100.8</v>
      </c>
      <c r="L3567" s="15">
        <v>44106</v>
      </c>
      <c r="M3567" t="s">
        <v>691</v>
      </c>
    </row>
    <row r="3568" spans="1:13" x14ac:dyDescent="0.25">
      <c r="A3568" t="s">
        <v>87</v>
      </c>
      <c r="B3568" s="6" t="s">
        <v>205</v>
      </c>
      <c r="C3568" s="13">
        <v>103</v>
      </c>
      <c r="D3568" s="14" t="s">
        <v>83</v>
      </c>
      <c r="E3568">
        <v>16</v>
      </c>
      <c r="F3568" s="8">
        <f>VLOOKUP(financials[[#This Row],[productid]],Products!$B$2:$H$10,3)</f>
        <v>28</v>
      </c>
      <c r="G3568" s="8">
        <f>financials[[#This Row],[Units Sold]]*financials[[#This Row],[Sale Price]]</f>
        <v>448</v>
      </c>
      <c r="H3568" s="8">
        <f>IF(financials[[#This Row],[Discount Band]]="low",0.1,IF(financials[[#This Row],[Discount Band]]="medium",0.15,0.3))</f>
        <v>0.3</v>
      </c>
      <c r="I3568" s="8">
        <f>financials[[#This Row],[Gross Sales]]-financials[[#This Row],[Gross Sales]]*financials[[#This Row],[Discounts]]</f>
        <v>313.60000000000002</v>
      </c>
      <c r="J3568" s="8">
        <f>VLOOKUP(financials[[#This Row],[productid]],Products!$B$2:$H$10,4)</f>
        <v>15</v>
      </c>
      <c r="K3568" s="8">
        <f>financials[[#This Row],[Net Sales]]-financials[[#This Row],[COGS]]</f>
        <v>298.60000000000002</v>
      </c>
      <c r="L3568" s="15">
        <v>45425</v>
      </c>
      <c r="M3568" t="s">
        <v>691</v>
      </c>
    </row>
    <row r="3569" spans="1:13" x14ac:dyDescent="0.25">
      <c r="A3569" t="s">
        <v>86</v>
      </c>
      <c r="B3569" s="6" t="s">
        <v>148</v>
      </c>
      <c r="C3569" s="13">
        <v>107</v>
      </c>
      <c r="D3569" s="14" t="s">
        <v>90</v>
      </c>
      <c r="E3569">
        <v>20</v>
      </c>
      <c r="F3569" s="8">
        <f>VLOOKUP(financials[[#This Row],[productid]],Products!$B$2:$H$10,3)</f>
        <v>15</v>
      </c>
      <c r="G3569" s="8">
        <f>financials[[#This Row],[Units Sold]]*financials[[#This Row],[Sale Price]]</f>
        <v>300</v>
      </c>
      <c r="H3569" s="8">
        <f>IF(financials[[#This Row],[Discount Band]]="low",0.1,IF(financials[[#This Row],[Discount Band]]="medium",0.15,0.3))</f>
        <v>0.15</v>
      </c>
      <c r="I3569" s="8">
        <f>financials[[#This Row],[Gross Sales]]-financials[[#This Row],[Gross Sales]]*financials[[#This Row],[Discounts]]</f>
        <v>255</v>
      </c>
      <c r="J3569" s="8">
        <f>VLOOKUP(financials[[#This Row],[productid]],Products!$B$2:$H$10,4)</f>
        <v>5.5</v>
      </c>
      <c r="K3569" s="8">
        <f>financials[[#This Row],[Net Sales]]-financials[[#This Row],[COGS]]</f>
        <v>249.5</v>
      </c>
      <c r="L3569" s="15">
        <v>44845</v>
      </c>
      <c r="M3569" t="s">
        <v>691</v>
      </c>
    </row>
    <row r="3570" spans="1:13" x14ac:dyDescent="0.25">
      <c r="A3570" t="s">
        <v>88</v>
      </c>
      <c r="B3570" s="6" t="s">
        <v>232</v>
      </c>
      <c r="C3570" s="13">
        <v>106</v>
      </c>
      <c r="D3570" s="14" t="s">
        <v>83</v>
      </c>
      <c r="E3570">
        <v>14</v>
      </c>
      <c r="F3570" s="8">
        <f>VLOOKUP(financials[[#This Row],[productid]],Products!$B$2:$H$10,3)</f>
        <v>25</v>
      </c>
      <c r="G3570" s="8">
        <f>financials[[#This Row],[Units Sold]]*financials[[#This Row],[Sale Price]]</f>
        <v>350</v>
      </c>
      <c r="H3570" s="8">
        <f>IF(financials[[#This Row],[Discount Band]]="low",0.1,IF(financials[[#This Row],[Discount Band]]="medium",0.15,0.3))</f>
        <v>0.3</v>
      </c>
      <c r="I3570" s="8">
        <f>financials[[#This Row],[Gross Sales]]-financials[[#This Row],[Gross Sales]]*financials[[#This Row],[Discounts]]</f>
        <v>245</v>
      </c>
      <c r="J3570" s="8">
        <f>VLOOKUP(financials[[#This Row],[productid]],Products!$B$2:$H$10,4)</f>
        <v>9.1</v>
      </c>
      <c r="K3570" s="8">
        <f>financials[[#This Row],[Net Sales]]-financials[[#This Row],[COGS]]</f>
        <v>235.9</v>
      </c>
      <c r="L3570" s="15">
        <v>45383</v>
      </c>
      <c r="M3570" t="s">
        <v>691</v>
      </c>
    </row>
    <row r="3571" spans="1:13" x14ac:dyDescent="0.25">
      <c r="A3571" t="s">
        <v>86</v>
      </c>
      <c r="B3571" s="6" t="s">
        <v>124</v>
      </c>
      <c r="C3571" s="13">
        <v>109</v>
      </c>
      <c r="D3571" s="14" t="s">
        <v>90</v>
      </c>
      <c r="E3571">
        <v>18</v>
      </c>
      <c r="F3571" s="8">
        <f>VLOOKUP(financials[[#This Row],[productid]],Products!$B$2:$H$10,3)</f>
        <v>36</v>
      </c>
      <c r="G3571" s="8">
        <f>financials[[#This Row],[Units Sold]]*financials[[#This Row],[Sale Price]]</f>
        <v>648</v>
      </c>
      <c r="H3571" s="8">
        <f>IF(financials[[#This Row],[Discount Band]]="low",0.1,IF(financials[[#This Row],[Discount Band]]="medium",0.15,0.3))</f>
        <v>0.15</v>
      </c>
      <c r="I3571" s="8">
        <f>financials[[#This Row],[Gross Sales]]-financials[[#This Row],[Gross Sales]]*financials[[#This Row],[Discounts]]</f>
        <v>550.79999999999995</v>
      </c>
      <c r="J3571" s="8">
        <f>VLOOKUP(financials[[#This Row],[productid]],Products!$B$2:$H$10,4)</f>
        <v>16.8</v>
      </c>
      <c r="K3571" s="8">
        <f>financials[[#This Row],[Net Sales]]-financials[[#This Row],[COGS]]</f>
        <v>534</v>
      </c>
      <c r="L3571" s="15">
        <v>45277</v>
      </c>
      <c r="M3571" t="s">
        <v>697</v>
      </c>
    </row>
    <row r="3572" spans="1:13" x14ac:dyDescent="0.25">
      <c r="A3572" t="s">
        <v>88</v>
      </c>
      <c r="B3572" s="6" t="s">
        <v>274</v>
      </c>
      <c r="C3572" s="11">
        <v>107</v>
      </c>
      <c r="D3572" s="9" t="s">
        <v>91</v>
      </c>
      <c r="E3572">
        <v>11</v>
      </c>
      <c r="F3572" s="8">
        <f>VLOOKUP(financials[[#This Row],[productid]],Products!$B$2:$H$10,3)</f>
        <v>15</v>
      </c>
      <c r="G3572" s="8">
        <f>financials[[#This Row],[Units Sold]]*financials[[#This Row],[Sale Price]]</f>
        <v>165</v>
      </c>
      <c r="H3572" s="8">
        <f>IF(financials[[#This Row],[Discount Band]]="low",0.1,IF(financials[[#This Row],[Discount Band]]="medium",0.15,0.3))</f>
        <v>0.1</v>
      </c>
      <c r="I3572" s="8">
        <f>financials[[#This Row],[Gross Sales]]-financials[[#This Row],[Gross Sales]]*financials[[#This Row],[Discounts]]</f>
        <v>148.5</v>
      </c>
      <c r="J3572" s="8">
        <f>VLOOKUP(financials[[#This Row],[productid]],Products!$B$2:$H$10,4)</f>
        <v>5.5</v>
      </c>
      <c r="K3572" s="8">
        <f>financials[[#This Row],[Net Sales]]-financials[[#This Row],[COGS]]</f>
        <v>143</v>
      </c>
      <c r="L3572" s="15">
        <v>45379</v>
      </c>
      <c r="M3572" t="s">
        <v>690</v>
      </c>
    </row>
    <row r="3573" spans="1:13" x14ac:dyDescent="0.25">
      <c r="A3573" t="s">
        <v>86</v>
      </c>
      <c r="B3573" s="6" t="s">
        <v>159</v>
      </c>
      <c r="C3573" s="13">
        <v>109</v>
      </c>
      <c r="D3573" s="14" t="s">
        <v>90</v>
      </c>
      <c r="E3573">
        <v>18</v>
      </c>
      <c r="F3573" s="8">
        <f>VLOOKUP(financials[[#This Row],[productid]],Products!$B$2:$H$10,3)</f>
        <v>36</v>
      </c>
      <c r="G3573" s="8">
        <f>financials[[#This Row],[Units Sold]]*financials[[#This Row],[Sale Price]]</f>
        <v>648</v>
      </c>
      <c r="H3573" s="8">
        <f>IF(financials[[#This Row],[Discount Band]]="low",0.1,IF(financials[[#This Row],[Discount Band]]="medium",0.15,0.3))</f>
        <v>0.15</v>
      </c>
      <c r="I3573" s="8">
        <f>financials[[#This Row],[Gross Sales]]-financials[[#This Row],[Gross Sales]]*financials[[#This Row],[Discounts]]</f>
        <v>550.79999999999995</v>
      </c>
      <c r="J3573" s="8">
        <f>VLOOKUP(financials[[#This Row],[productid]],Products!$B$2:$H$10,4)</f>
        <v>16.8</v>
      </c>
      <c r="K3573" s="8">
        <f>financials[[#This Row],[Net Sales]]-financials[[#This Row],[COGS]]</f>
        <v>534</v>
      </c>
      <c r="L3573" s="15">
        <v>45069</v>
      </c>
      <c r="M3573" t="s">
        <v>696</v>
      </c>
    </row>
    <row r="3574" spans="1:13" x14ac:dyDescent="0.25">
      <c r="A3574" t="s">
        <v>88</v>
      </c>
      <c r="B3574" s="6" t="s">
        <v>228</v>
      </c>
      <c r="C3574" s="13">
        <v>104</v>
      </c>
      <c r="D3574" s="14" t="s">
        <v>90</v>
      </c>
      <c r="E3574">
        <v>10</v>
      </c>
      <c r="F3574" s="8">
        <f>VLOOKUP(financials[[#This Row],[productid]],Products!$B$2:$H$10,3)</f>
        <v>5.9</v>
      </c>
      <c r="G3574" s="8">
        <f>financials[[#This Row],[Units Sold]]*financials[[#This Row],[Sale Price]]</f>
        <v>59</v>
      </c>
      <c r="H3574" s="8">
        <f>IF(financials[[#This Row],[Discount Band]]="low",0.1,IF(financials[[#This Row],[Discount Band]]="medium",0.15,0.3))</f>
        <v>0.15</v>
      </c>
      <c r="I3574" s="8">
        <f>financials[[#This Row],[Gross Sales]]-financials[[#This Row],[Gross Sales]]*financials[[#This Row],[Discounts]]</f>
        <v>50.15</v>
      </c>
      <c r="J3574" s="8">
        <f>VLOOKUP(financials[[#This Row],[productid]],Products!$B$2:$H$10,4)</f>
        <v>2.9</v>
      </c>
      <c r="K3574" s="8">
        <f>financials[[#This Row],[Net Sales]]-financials[[#This Row],[COGS]]</f>
        <v>47.25</v>
      </c>
      <c r="L3574" s="15">
        <v>44436</v>
      </c>
      <c r="M3574" t="s">
        <v>697</v>
      </c>
    </row>
    <row r="3575" spans="1:13" x14ac:dyDescent="0.25">
      <c r="A3575" t="s">
        <v>88</v>
      </c>
      <c r="B3575" s="6" t="s">
        <v>240</v>
      </c>
      <c r="C3575" s="13">
        <v>107</v>
      </c>
      <c r="D3575" s="14" t="s">
        <v>91</v>
      </c>
      <c r="E3575">
        <v>7</v>
      </c>
      <c r="F3575" s="8">
        <f>VLOOKUP(financials[[#This Row],[productid]],Products!$B$2:$H$10,3)</f>
        <v>15</v>
      </c>
      <c r="G3575" s="8">
        <f>financials[[#This Row],[Units Sold]]*financials[[#This Row],[Sale Price]]</f>
        <v>105</v>
      </c>
      <c r="H3575" s="8">
        <f>IF(financials[[#This Row],[Discount Band]]="low",0.1,IF(financials[[#This Row],[Discount Band]]="medium",0.15,0.3))</f>
        <v>0.1</v>
      </c>
      <c r="I3575" s="8">
        <f>financials[[#This Row],[Gross Sales]]-financials[[#This Row],[Gross Sales]]*financials[[#This Row],[Discounts]]</f>
        <v>94.5</v>
      </c>
      <c r="J3575" s="8">
        <f>VLOOKUP(financials[[#This Row],[productid]],Products!$B$2:$H$10,4)</f>
        <v>5.5</v>
      </c>
      <c r="K3575" s="8">
        <f>financials[[#This Row],[Net Sales]]-financials[[#This Row],[COGS]]</f>
        <v>89</v>
      </c>
      <c r="L3575" s="15">
        <v>44886</v>
      </c>
      <c r="M3575" t="s">
        <v>690</v>
      </c>
    </row>
    <row r="3576" spans="1:13" x14ac:dyDescent="0.25">
      <c r="A3576" t="s">
        <v>86</v>
      </c>
      <c r="B3576" s="6" t="s">
        <v>232</v>
      </c>
      <c r="C3576" s="13">
        <v>105</v>
      </c>
      <c r="D3576" s="14" t="s">
        <v>90</v>
      </c>
      <c r="E3576">
        <v>13</v>
      </c>
      <c r="F3576" s="8">
        <f>VLOOKUP(financials[[#This Row],[productid]],Products!$B$2:$H$10,3)</f>
        <v>15</v>
      </c>
      <c r="G3576" s="8">
        <f>financials[[#This Row],[Units Sold]]*financials[[#This Row],[Sale Price]]</f>
        <v>195</v>
      </c>
      <c r="H3576" s="8">
        <f>IF(financials[[#This Row],[Discount Band]]="low",0.1,IF(financials[[#This Row],[Discount Band]]="medium",0.15,0.3))</f>
        <v>0.15</v>
      </c>
      <c r="I3576" s="8">
        <f>financials[[#This Row],[Gross Sales]]-financials[[#This Row],[Gross Sales]]*financials[[#This Row],[Discounts]]</f>
        <v>165.75</v>
      </c>
      <c r="J3576" s="8">
        <f>VLOOKUP(financials[[#This Row],[productid]],Products!$B$2:$H$10,4)</f>
        <v>10</v>
      </c>
      <c r="K3576" s="8">
        <f>financials[[#This Row],[Net Sales]]-financials[[#This Row],[COGS]]</f>
        <v>155.75</v>
      </c>
      <c r="L3576" s="15">
        <v>44164</v>
      </c>
      <c r="M3576" t="s">
        <v>700</v>
      </c>
    </row>
    <row r="3577" spans="1:13" x14ac:dyDescent="0.25">
      <c r="A3577" t="s">
        <v>87</v>
      </c>
      <c r="B3577" s="6" t="s">
        <v>276</v>
      </c>
      <c r="C3577" s="13">
        <v>103</v>
      </c>
      <c r="D3577" s="14" t="s">
        <v>83</v>
      </c>
      <c r="E3577">
        <v>19</v>
      </c>
      <c r="F3577" s="8">
        <f>VLOOKUP(financials[[#This Row],[productid]],Products!$B$2:$H$10,3)</f>
        <v>28</v>
      </c>
      <c r="G3577" s="8">
        <f>financials[[#This Row],[Units Sold]]*financials[[#This Row],[Sale Price]]</f>
        <v>532</v>
      </c>
      <c r="H3577" s="8">
        <f>IF(financials[[#This Row],[Discount Band]]="low",0.1,IF(financials[[#This Row],[Discount Band]]="medium",0.15,0.3))</f>
        <v>0.3</v>
      </c>
      <c r="I3577" s="8">
        <f>financials[[#This Row],[Gross Sales]]-financials[[#This Row],[Gross Sales]]*financials[[#This Row],[Discounts]]</f>
        <v>372.4</v>
      </c>
      <c r="J3577" s="8">
        <f>VLOOKUP(financials[[#This Row],[productid]],Products!$B$2:$H$10,4)</f>
        <v>15</v>
      </c>
      <c r="K3577" s="8">
        <f>financials[[#This Row],[Net Sales]]-financials[[#This Row],[COGS]]</f>
        <v>357.4</v>
      </c>
      <c r="L3577" s="15">
        <v>43958</v>
      </c>
      <c r="M3577" t="s">
        <v>690</v>
      </c>
    </row>
    <row r="3578" spans="1:13" x14ac:dyDescent="0.25">
      <c r="A3578" t="s">
        <v>89</v>
      </c>
      <c r="B3578" s="6" t="s">
        <v>124</v>
      </c>
      <c r="C3578" s="13">
        <v>102</v>
      </c>
      <c r="D3578" s="14" t="s">
        <v>90</v>
      </c>
      <c r="E3578">
        <v>10</v>
      </c>
      <c r="F3578" s="8">
        <f>VLOOKUP(financials[[#This Row],[productid]],Products!$B$2:$H$10,3)</f>
        <v>15</v>
      </c>
      <c r="G3578" s="8">
        <f>financials[[#This Row],[Units Sold]]*financials[[#This Row],[Sale Price]]</f>
        <v>150</v>
      </c>
      <c r="H3578" s="8">
        <f>IF(financials[[#This Row],[Discount Band]]="low",0.1,IF(financials[[#This Row],[Discount Band]]="medium",0.15,0.3))</f>
        <v>0.15</v>
      </c>
      <c r="I3578" s="8">
        <f>financials[[#This Row],[Gross Sales]]-financials[[#This Row],[Gross Sales]]*financials[[#This Row],[Discounts]]</f>
        <v>127.5</v>
      </c>
      <c r="J3578" s="8">
        <f>VLOOKUP(financials[[#This Row],[productid]],Products!$B$2:$H$10,4)</f>
        <v>13.95</v>
      </c>
      <c r="K3578" s="8">
        <f>financials[[#This Row],[Net Sales]]-financials[[#This Row],[COGS]]</f>
        <v>113.55</v>
      </c>
      <c r="L3578" s="15">
        <v>44055</v>
      </c>
      <c r="M3578" t="s">
        <v>690</v>
      </c>
    </row>
    <row r="3579" spans="1:13" x14ac:dyDescent="0.25">
      <c r="A3579" t="s">
        <v>86</v>
      </c>
      <c r="B3579" s="6" t="s">
        <v>159</v>
      </c>
      <c r="C3579" s="13">
        <v>103</v>
      </c>
      <c r="D3579" s="14" t="s">
        <v>83</v>
      </c>
      <c r="E3579">
        <v>17</v>
      </c>
      <c r="F3579" s="8">
        <f>VLOOKUP(financials[[#This Row],[productid]],Products!$B$2:$H$10,3)</f>
        <v>28</v>
      </c>
      <c r="G3579" s="8">
        <f>financials[[#This Row],[Units Sold]]*financials[[#This Row],[Sale Price]]</f>
        <v>476</v>
      </c>
      <c r="H3579" s="8">
        <f>IF(financials[[#This Row],[Discount Band]]="low",0.1,IF(financials[[#This Row],[Discount Band]]="medium",0.15,0.3))</f>
        <v>0.3</v>
      </c>
      <c r="I3579" s="8">
        <f>financials[[#This Row],[Gross Sales]]-financials[[#This Row],[Gross Sales]]*financials[[#This Row],[Discounts]]</f>
        <v>333.20000000000005</v>
      </c>
      <c r="J3579" s="8">
        <f>VLOOKUP(financials[[#This Row],[productid]],Products!$B$2:$H$10,4)</f>
        <v>15</v>
      </c>
      <c r="K3579" s="8">
        <f>financials[[#This Row],[Net Sales]]-financials[[#This Row],[COGS]]</f>
        <v>318.20000000000005</v>
      </c>
      <c r="L3579" s="15">
        <v>45132</v>
      </c>
      <c r="M3579" t="s">
        <v>691</v>
      </c>
    </row>
    <row r="3580" spans="1:13" x14ac:dyDescent="0.25">
      <c r="A3580" t="s">
        <v>88</v>
      </c>
      <c r="B3580" s="6" t="s">
        <v>545</v>
      </c>
      <c r="C3580" s="13">
        <v>101</v>
      </c>
      <c r="D3580" s="14" t="s">
        <v>90</v>
      </c>
      <c r="E3580">
        <v>7</v>
      </c>
      <c r="F3580" s="8">
        <f>VLOOKUP(financials[[#This Row],[productid]],Products!$B$2:$H$10,3)</f>
        <v>23</v>
      </c>
      <c r="G3580" s="8">
        <f>financials[[#This Row],[Units Sold]]*financials[[#This Row],[Sale Price]]</f>
        <v>161</v>
      </c>
      <c r="H3580" s="8">
        <f>IF(financials[[#This Row],[Discount Band]]="low",0.1,IF(financials[[#This Row],[Discount Band]]="medium",0.15,0.3))</f>
        <v>0.15</v>
      </c>
      <c r="I3580" s="8">
        <f>financials[[#This Row],[Gross Sales]]-financials[[#This Row],[Gross Sales]]*financials[[#This Row],[Discounts]]</f>
        <v>136.85</v>
      </c>
      <c r="J3580" s="8">
        <f>VLOOKUP(financials[[#This Row],[productid]],Products!$B$2:$H$10,4)</f>
        <v>9.9499999999999993</v>
      </c>
      <c r="K3580" s="8">
        <f>financials[[#This Row],[Net Sales]]-financials[[#This Row],[COGS]]</f>
        <v>126.89999999999999</v>
      </c>
      <c r="L3580" s="15">
        <v>44417</v>
      </c>
      <c r="M3580" t="s">
        <v>700</v>
      </c>
    </row>
    <row r="3581" spans="1:13" x14ac:dyDescent="0.25">
      <c r="A3581" t="s">
        <v>86</v>
      </c>
      <c r="B3581" s="6" t="s">
        <v>159</v>
      </c>
      <c r="C3581" s="13">
        <v>103</v>
      </c>
      <c r="D3581" s="14" t="s">
        <v>91</v>
      </c>
      <c r="E3581">
        <v>20</v>
      </c>
      <c r="F3581" s="8">
        <f>VLOOKUP(financials[[#This Row],[productid]],Products!$B$2:$H$10,3)</f>
        <v>28</v>
      </c>
      <c r="G3581" s="8">
        <f>financials[[#This Row],[Units Sold]]*financials[[#This Row],[Sale Price]]</f>
        <v>560</v>
      </c>
      <c r="H3581" s="8">
        <f>IF(financials[[#This Row],[Discount Band]]="low",0.1,IF(financials[[#This Row],[Discount Band]]="medium",0.15,0.3))</f>
        <v>0.1</v>
      </c>
      <c r="I3581" s="8">
        <f>financials[[#This Row],[Gross Sales]]-financials[[#This Row],[Gross Sales]]*financials[[#This Row],[Discounts]]</f>
        <v>504</v>
      </c>
      <c r="J3581" s="8">
        <f>VLOOKUP(financials[[#This Row],[productid]],Products!$B$2:$H$10,4)</f>
        <v>15</v>
      </c>
      <c r="K3581" s="8">
        <f>financials[[#This Row],[Net Sales]]-financials[[#This Row],[COGS]]</f>
        <v>489</v>
      </c>
      <c r="L3581" s="15">
        <v>43907</v>
      </c>
      <c r="M3581" t="s">
        <v>700</v>
      </c>
    </row>
    <row r="3582" spans="1:13" x14ac:dyDescent="0.25">
      <c r="A3582" t="s">
        <v>86</v>
      </c>
      <c r="B3582" s="6" t="s">
        <v>240</v>
      </c>
      <c r="C3582" s="11">
        <v>106</v>
      </c>
      <c r="D3582" s="9" t="s">
        <v>90</v>
      </c>
      <c r="E3582">
        <v>16</v>
      </c>
      <c r="F3582" s="8">
        <f>VLOOKUP(financials[[#This Row],[productid]],Products!$B$2:$H$10,3)</f>
        <v>25</v>
      </c>
      <c r="G3582" s="8">
        <f>financials[[#This Row],[Units Sold]]*financials[[#This Row],[Sale Price]]</f>
        <v>400</v>
      </c>
      <c r="H3582" s="8">
        <f>IF(financials[[#This Row],[Discount Band]]="low",0.1,IF(financials[[#This Row],[Discount Band]]="medium",0.15,0.3))</f>
        <v>0.15</v>
      </c>
      <c r="I3582" s="8">
        <f>financials[[#This Row],[Gross Sales]]-financials[[#This Row],[Gross Sales]]*financials[[#This Row],[Discounts]]</f>
        <v>340</v>
      </c>
      <c r="J3582" s="8">
        <f>VLOOKUP(financials[[#This Row],[productid]],Products!$B$2:$H$10,4)</f>
        <v>9.1</v>
      </c>
      <c r="K3582" s="8">
        <f>financials[[#This Row],[Net Sales]]-financials[[#This Row],[COGS]]</f>
        <v>330.9</v>
      </c>
      <c r="L3582" s="15">
        <v>44421</v>
      </c>
      <c r="M3582" t="s">
        <v>697</v>
      </c>
    </row>
    <row r="3583" spans="1:13" x14ac:dyDescent="0.25">
      <c r="A3583" t="s">
        <v>86</v>
      </c>
      <c r="B3583" s="6" t="s">
        <v>268</v>
      </c>
      <c r="C3583" s="13">
        <v>109</v>
      </c>
      <c r="D3583" s="14" t="s">
        <v>92</v>
      </c>
      <c r="E3583">
        <v>11</v>
      </c>
      <c r="F3583" s="8">
        <f>VLOOKUP(financials[[#This Row],[productid]],Products!$B$2:$H$10,3)</f>
        <v>36</v>
      </c>
      <c r="G3583" s="8">
        <f>financials[[#This Row],[Units Sold]]*financials[[#This Row],[Sale Price]]</f>
        <v>396</v>
      </c>
      <c r="H3583" s="8">
        <f>IF(financials[[#This Row],[Discount Band]]="low",0.1,IF(financials[[#This Row],[Discount Band]]="medium",0.15,0.3))</f>
        <v>0.3</v>
      </c>
      <c r="I3583" s="8">
        <f>financials[[#This Row],[Gross Sales]]-financials[[#This Row],[Gross Sales]]*financials[[#This Row],[Discounts]]</f>
        <v>277.2</v>
      </c>
      <c r="J3583" s="8">
        <f>VLOOKUP(financials[[#This Row],[productid]],Products!$B$2:$H$10,4)</f>
        <v>16.8</v>
      </c>
      <c r="K3583" s="8">
        <f>financials[[#This Row],[Net Sales]]-financials[[#This Row],[COGS]]</f>
        <v>260.39999999999998</v>
      </c>
      <c r="L3583" s="15">
        <v>44041</v>
      </c>
      <c r="M3583" t="s">
        <v>696</v>
      </c>
    </row>
    <row r="3584" spans="1:13" x14ac:dyDescent="0.25">
      <c r="A3584" t="s">
        <v>86</v>
      </c>
      <c r="B3584" s="6" t="s">
        <v>96</v>
      </c>
      <c r="C3584" s="13">
        <v>106</v>
      </c>
      <c r="D3584" s="14" t="s">
        <v>83</v>
      </c>
      <c r="E3584">
        <v>20</v>
      </c>
      <c r="F3584" s="8">
        <f>VLOOKUP(financials[[#This Row],[productid]],Products!$B$2:$H$10,3)</f>
        <v>25</v>
      </c>
      <c r="G3584" s="8">
        <f>financials[[#This Row],[Units Sold]]*financials[[#This Row],[Sale Price]]</f>
        <v>500</v>
      </c>
      <c r="H3584" s="8">
        <f>IF(financials[[#This Row],[Discount Band]]="low",0.1,IF(financials[[#This Row],[Discount Band]]="medium",0.15,0.3))</f>
        <v>0.3</v>
      </c>
      <c r="I3584" s="8">
        <f>financials[[#This Row],[Gross Sales]]-financials[[#This Row],[Gross Sales]]*financials[[#This Row],[Discounts]]</f>
        <v>350</v>
      </c>
      <c r="J3584" s="8">
        <f>VLOOKUP(financials[[#This Row],[productid]],Products!$B$2:$H$10,4)</f>
        <v>9.1</v>
      </c>
      <c r="K3584" s="8">
        <f>financials[[#This Row],[Net Sales]]-financials[[#This Row],[COGS]]</f>
        <v>340.9</v>
      </c>
      <c r="L3584" s="15">
        <v>44766</v>
      </c>
      <c r="M3584" t="s">
        <v>697</v>
      </c>
    </row>
    <row r="3585" spans="1:13" x14ac:dyDescent="0.25">
      <c r="A3585" t="s">
        <v>87</v>
      </c>
      <c r="B3585" s="6" t="s">
        <v>198</v>
      </c>
      <c r="C3585" s="13">
        <v>105</v>
      </c>
      <c r="D3585" s="14" t="s">
        <v>91</v>
      </c>
      <c r="E3585">
        <v>15</v>
      </c>
      <c r="F3585" s="8">
        <f>VLOOKUP(financials[[#This Row],[productid]],Products!$B$2:$H$10,3)</f>
        <v>15</v>
      </c>
      <c r="G3585" s="8">
        <f>financials[[#This Row],[Units Sold]]*financials[[#This Row],[Sale Price]]</f>
        <v>225</v>
      </c>
      <c r="H3585" s="8">
        <f>IF(financials[[#This Row],[Discount Band]]="low",0.1,IF(financials[[#This Row],[Discount Band]]="medium",0.15,0.3))</f>
        <v>0.1</v>
      </c>
      <c r="I3585" s="8">
        <f>financials[[#This Row],[Gross Sales]]-financials[[#This Row],[Gross Sales]]*financials[[#This Row],[Discounts]]</f>
        <v>202.5</v>
      </c>
      <c r="J3585" s="8">
        <f>VLOOKUP(financials[[#This Row],[productid]],Products!$B$2:$H$10,4)</f>
        <v>10</v>
      </c>
      <c r="K3585" s="8">
        <f>financials[[#This Row],[Net Sales]]-financials[[#This Row],[COGS]]</f>
        <v>192.5</v>
      </c>
      <c r="L3585" s="15">
        <v>45220</v>
      </c>
      <c r="M3585" t="s">
        <v>697</v>
      </c>
    </row>
    <row r="3586" spans="1:13" x14ac:dyDescent="0.25">
      <c r="A3586" t="s">
        <v>88</v>
      </c>
      <c r="B3586" s="6" t="s">
        <v>93</v>
      </c>
      <c r="C3586" s="13">
        <v>101</v>
      </c>
      <c r="D3586" s="14" t="s">
        <v>90</v>
      </c>
      <c r="E3586">
        <v>19</v>
      </c>
      <c r="F3586" s="8">
        <f>VLOOKUP(financials[[#This Row],[productid]],Products!$B$2:$H$10,3)</f>
        <v>23</v>
      </c>
      <c r="G3586" s="8">
        <f>financials[[#This Row],[Units Sold]]*financials[[#This Row],[Sale Price]]</f>
        <v>437</v>
      </c>
      <c r="H3586" s="8">
        <f>IF(financials[[#This Row],[Discount Band]]="low",0.1,IF(financials[[#This Row],[Discount Band]]="medium",0.15,0.3))</f>
        <v>0.15</v>
      </c>
      <c r="I3586" s="8">
        <f>financials[[#This Row],[Gross Sales]]-financials[[#This Row],[Gross Sales]]*financials[[#This Row],[Discounts]]</f>
        <v>371.45</v>
      </c>
      <c r="J3586" s="8">
        <f>VLOOKUP(financials[[#This Row],[productid]],Products!$B$2:$H$10,4)</f>
        <v>9.9499999999999993</v>
      </c>
      <c r="K3586" s="8">
        <f>financials[[#This Row],[Net Sales]]-financials[[#This Row],[COGS]]</f>
        <v>361.5</v>
      </c>
      <c r="L3586" s="15">
        <v>43866</v>
      </c>
      <c r="M3586" t="s">
        <v>690</v>
      </c>
    </row>
    <row r="3587" spans="1:13" x14ac:dyDescent="0.25">
      <c r="A3587" t="s">
        <v>86</v>
      </c>
      <c r="B3587" s="6" t="s">
        <v>232</v>
      </c>
      <c r="C3587" s="11">
        <v>104</v>
      </c>
      <c r="D3587" s="9" t="s">
        <v>90</v>
      </c>
      <c r="E3587">
        <v>10</v>
      </c>
      <c r="F3587" s="8">
        <f>VLOOKUP(financials[[#This Row],[productid]],Products!$B$2:$H$10,3)</f>
        <v>5.9</v>
      </c>
      <c r="G3587" s="8">
        <f>financials[[#This Row],[Units Sold]]*financials[[#This Row],[Sale Price]]</f>
        <v>59</v>
      </c>
      <c r="H3587" s="8">
        <f>IF(financials[[#This Row],[Discount Band]]="low",0.1,IF(financials[[#This Row],[Discount Band]]="medium",0.15,0.3))</f>
        <v>0.15</v>
      </c>
      <c r="I3587" s="8">
        <f>financials[[#This Row],[Gross Sales]]-financials[[#This Row],[Gross Sales]]*financials[[#This Row],[Discounts]]</f>
        <v>50.15</v>
      </c>
      <c r="J3587" s="8">
        <f>VLOOKUP(financials[[#This Row],[productid]],Products!$B$2:$H$10,4)</f>
        <v>2.9</v>
      </c>
      <c r="K3587" s="8">
        <f>financials[[#This Row],[Net Sales]]-financials[[#This Row],[COGS]]</f>
        <v>47.25</v>
      </c>
      <c r="L3587" s="15">
        <v>45283</v>
      </c>
      <c r="M3587" t="s">
        <v>691</v>
      </c>
    </row>
    <row r="3588" spans="1:13" x14ac:dyDescent="0.25">
      <c r="A3588" t="s">
        <v>86</v>
      </c>
      <c r="B3588" s="6" t="s">
        <v>93</v>
      </c>
      <c r="C3588" s="13">
        <v>104</v>
      </c>
      <c r="D3588" s="14" t="s">
        <v>83</v>
      </c>
      <c r="E3588">
        <v>6</v>
      </c>
      <c r="F3588" s="8">
        <f>VLOOKUP(financials[[#This Row],[productid]],Products!$B$2:$H$10,3)</f>
        <v>5.9</v>
      </c>
      <c r="G3588" s="8">
        <f>financials[[#This Row],[Units Sold]]*financials[[#This Row],[Sale Price]]</f>
        <v>35.400000000000006</v>
      </c>
      <c r="H3588" s="8">
        <f>IF(financials[[#This Row],[Discount Band]]="low",0.1,IF(financials[[#This Row],[Discount Band]]="medium",0.15,0.3))</f>
        <v>0.3</v>
      </c>
      <c r="I3588" s="8">
        <f>financials[[#This Row],[Gross Sales]]-financials[[#This Row],[Gross Sales]]*financials[[#This Row],[Discounts]]</f>
        <v>24.780000000000005</v>
      </c>
      <c r="J3588" s="8">
        <f>VLOOKUP(financials[[#This Row],[productid]],Products!$B$2:$H$10,4)</f>
        <v>2.9</v>
      </c>
      <c r="K3588" s="8">
        <f>financials[[#This Row],[Net Sales]]-financials[[#This Row],[COGS]]</f>
        <v>21.880000000000006</v>
      </c>
      <c r="L3588" s="15">
        <v>45336</v>
      </c>
      <c r="M3588" t="s">
        <v>700</v>
      </c>
    </row>
    <row r="3589" spans="1:13" x14ac:dyDescent="0.25">
      <c r="A3589" t="s">
        <v>86</v>
      </c>
      <c r="B3589" s="6" t="s">
        <v>228</v>
      </c>
      <c r="C3589" s="13">
        <v>103</v>
      </c>
      <c r="D3589" s="14" t="s">
        <v>83</v>
      </c>
      <c r="E3589">
        <v>16</v>
      </c>
      <c r="F3589" s="8">
        <f>VLOOKUP(financials[[#This Row],[productid]],Products!$B$2:$H$10,3)</f>
        <v>28</v>
      </c>
      <c r="G3589" s="8">
        <f>financials[[#This Row],[Units Sold]]*financials[[#This Row],[Sale Price]]</f>
        <v>448</v>
      </c>
      <c r="H3589" s="8">
        <f>IF(financials[[#This Row],[Discount Band]]="low",0.1,IF(financials[[#This Row],[Discount Band]]="medium",0.15,0.3))</f>
        <v>0.3</v>
      </c>
      <c r="I3589" s="8">
        <f>financials[[#This Row],[Gross Sales]]-financials[[#This Row],[Gross Sales]]*financials[[#This Row],[Discounts]]</f>
        <v>313.60000000000002</v>
      </c>
      <c r="J3589" s="8">
        <f>VLOOKUP(financials[[#This Row],[productid]],Products!$B$2:$H$10,4)</f>
        <v>15</v>
      </c>
      <c r="K3589" s="8">
        <f>financials[[#This Row],[Net Sales]]-financials[[#This Row],[COGS]]</f>
        <v>298.60000000000002</v>
      </c>
      <c r="L3589" s="15">
        <v>45068</v>
      </c>
      <c r="M3589" t="s">
        <v>691</v>
      </c>
    </row>
    <row r="3590" spans="1:13" x14ac:dyDescent="0.25">
      <c r="A3590" t="s">
        <v>88</v>
      </c>
      <c r="B3590" s="6" t="s">
        <v>228</v>
      </c>
      <c r="C3590" s="13">
        <v>109</v>
      </c>
      <c r="D3590" s="14" t="s">
        <v>83</v>
      </c>
      <c r="E3590">
        <v>17</v>
      </c>
      <c r="F3590" s="8">
        <f>VLOOKUP(financials[[#This Row],[productid]],Products!$B$2:$H$10,3)</f>
        <v>36</v>
      </c>
      <c r="G3590" s="8">
        <f>financials[[#This Row],[Units Sold]]*financials[[#This Row],[Sale Price]]</f>
        <v>612</v>
      </c>
      <c r="H3590" s="8">
        <f>IF(financials[[#This Row],[Discount Band]]="low",0.1,IF(financials[[#This Row],[Discount Band]]="medium",0.15,0.3))</f>
        <v>0.3</v>
      </c>
      <c r="I3590" s="8">
        <f>financials[[#This Row],[Gross Sales]]-financials[[#This Row],[Gross Sales]]*financials[[#This Row],[Discounts]]</f>
        <v>428.4</v>
      </c>
      <c r="J3590" s="8">
        <f>VLOOKUP(financials[[#This Row],[productid]],Products!$B$2:$H$10,4)</f>
        <v>16.8</v>
      </c>
      <c r="K3590" s="8">
        <f>financials[[#This Row],[Net Sales]]-financials[[#This Row],[COGS]]</f>
        <v>411.59999999999997</v>
      </c>
      <c r="L3590" s="15">
        <v>44577</v>
      </c>
      <c r="M3590" t="s">
        <v>691</v>
      </c>
    </row>
    <row r="3591" spans="1:13" x14ac:dyDescent="0.25">
      <c r="A3591" t="s">
        <v>86</v>
      </c>
      <c r="B3591" s="6" t="s">
        <v>159</v>
      </c>
      <c r="C3591" s="13">
        <v>105</v>
      </c>
      <c r="D3591" s="14" t="s">
        <v>83</v>
      </c>
      <c r="E3591">
        <v>12</v>
      </c>
      <c r="F3591" s="8">
        <f>VLOOKUP(financials[[#This Row],[productid]],Products!$B$2:$H$10,3)</f>
        <v>15</v>
      </c>
      <c r="G3591" s="8">
        <f>financials[[#This Row],[Units Sold]]*financials[[#This Row],[Sale Price]]</f>
        <v>180</v>
      </c>
      <c r="H3591" s="8">
        <f>IF(financials[[#This Row],[Discount Band]]="low",0.1,IF(financials[[#This Row],[Discount Band]]="medium",0.15,0.3))</f>
        <v>0.3</v>
      </c>
      <c r="I3591" s="8">
        <f>financials[[#This Row],[Gross Sales]]-financials[[#This Row],[Gross Sales]]*financials[[#This Row],[Discounts]]</f>
        <v>126</v>
      </c>
      <c r="J3591" s="8">
        <f>VLOOKUP(financials[[#This Row],[productid]],Products!$B$2:$H$10,4)</f>
        <v>10</v>
      </c>
      <c r="K3591" s="8">
        <f>financials[[#This Row],[Net Sales]]-financials[[#This Row],[COGS]]</f>
        <v>116</v>
      </c>
      <c r="L3591" s="15">
        <v>45620</v>
      </c>
      <c r="M3591" t="s">
        <v>700</v>
      </c>
    </row>
    <row r="3592" spans="1:13" x14ac:dyDescent="0.25">
      <c r="A3592" t="s">
        <v>86</v>
      </c>
      <c r="B3592" s="6" t="s">
        <v>158</v>
      </c>
      <c r="C3592" s="11">
        <v>106</v>
      </c>
      <c r="D3592" s="9" t="s">
        <v>91</v>
      </c>
      <c r="E3592">
        <v>7</v>
      </c>
      <c r="F3592" s="8">
        <f>VLOOKUP(financials[[#This Row],[productid]],Products!$B$2:$H$10,3)</f>
        <v>25</v>
      </c>
      <c r="G3592" s="8">
        <f>financials[[#This Row],[Units Sold]]*financials[[#This Row],[Sale Price]]</f>
        <v>175</v>
      </c>
      <c r="H3592" s="8">
        <f>IF(financials[[#This Row],[Discount Band]]="low",0.1,IF(financials[[#This Row],[Discount Band]]="medium",0.15,0.3))</f>
        <v>0.1</v>
      </c>
      <c r="I3592" s="8">
        <f>financials[[#This Row],[Gross Sales]]-financials[[#This Row],[Gross Sales]]*financials[[#This Row],[Discounts]]</f>
        <v>157.5</v>
      </c>
      <c r="J3592" s="8">
        <f>VLOOKUP(financials[[#This Row],[productid]],Products!$B$2:$H$10,4)</f>
        <v>9.1</v>
      </c>
      <c r="K3592" s="8">
        <f>financials[[#This Row],[Net Sales]]-financials[[#This Row],[COGS]]</f>
        <v>148.4</v>
      </c>
      <c r="L3592" s="15">
        <v>45215</v>
      </c>
      <c r="M3592" t="s">
        <v>691</v>
      </c>
    </row>
    <row r="3593" spans="1:13" x14ac:dyDescent="0.25">
      <c r="A3593" t="s">
        <v>86</v>
      </c>
      <c r="B3593" s="6" t="s">
        <v>197</v>
      </c>
      <c r="C3593" s="13">
        <v>109</v>
      </c>
      <c r="D3593" s="14" t="s">
        <v>83</v>
      </c>
      <c r="E3593">
        <v>13</v>
      </c>
      <c r="F3593" s="8">
        <f>VLOOKUP(financials[[#This Row],[productid]],Products!$B$2:$H$10,3)</f>
        <v>36</v>
      </c>
      <c r="G3593" s="8">
        <f>financials[[#This Row],[Units Sold]]*financials[[#This Row],[Sale Price]]</f>
        <v>468</v>
      </c>
      <c r="H3593" s="8">
        <f>IF(financials[[#This Row],[Discount Band]]="low",0.1,IF(financials[[#This Row],[Discount Band]]="medium",0.15,0.3))</f>
        <v>0.3</v>
      </c>
      <c r="I3593" s="8">
        <f>financials[[#This Row],[Gross Sales]]-financials[[#This Row],[Gross Sales]]*financials[[#This Row],[Discounts]]</f>
        <v>327.60000000000002</v>
      </c>
      <c r="J3593" s="8">
        <f>VLOOKUP(financials[[#This Row],[productid]],Products!$B$2:$H$10,4)</f>
        <v>16.8</v>
      </c>
      <c r="K3593" s="8">
        <f>financials[[#This Row],[Net Sales]]-financials[[#This Row],[COGS]]</f>
        <v>310.8</v>
      </c>
      <c r="L3593" s="15">
        <v>45029</v>
      </c>
      <c r="M3593" t="s">
        <v>691</v>
      </c>
    </row>
    <row r="3594" spans="1:13" x14ac:dyDescent="0.25">
      <c r="A3594" t="s">
        <v>86</v>
      </c>
      <c r="B3594" s="6" t="s">
        <v>228</v>
      </c>
      <c r="C3594" s="13">
        <v>107</v>
      </c>
      <c r="D3594" s="14" t="s">
        <v>83</v>
      </c>
      <c r="E3594">
        <v>13</v>
      </c>
      <c r="F3594" s="8">
        <f>VLOOKUP(financials[[#This Row],[productid]],Products!$B$2:$H$10,3)</f>
        <v>15</v>
      </c>
      <c r="G3594" s="8">
        <f>financials[[#This Row],[Units Sold]]*financials[[#This Row],[Sale Price]]</f>
        <v>195</v>
      </c>
      <c r="H3594" s="8">
        <f>IF(financials[[#This Row],[Discount Band]]="low",0.1,IF(financials[[#This Row],[Discount Band]]="medium",0.15,0.3))</f>
        <v>0.3</v>
      </c>
      <c r="I3594" s="8">
        <f>financials[[#This Row],[Gross Sales]]-financials[[#This Row],[Gross Sales]]*financials[[#This Row],[Discounts]]</f>
        <v>136.5</v>
      </c>
      <c r="J3594" s="8">
        <f>VLOOKUP(financials[[#This Row],[productid]],Products!$B$2:$H$10,4)</f>
        <v>5.5</v>
      </c>
      <c r="K3594" s="8">
        <f>financials[[#This Row],[Net Sales]]-financials[[#This Row],[COGS]]</f>
        <v>131</v>
      </c>
      <c r="L3594" s="15">
        <v>44310</v>
      </c>
      <c r="M3594" t="s">
        <v>696</v>
      </c>
    </row>
    <row r="3595" spans="1:13" x14ac:dyDescent="0.25">
      <c r="A3595" t="s">
        <v>86</v>
      </c>
      <c r="B3595" s="6" t="s">
        <v>125</v>
      </c>
      <c r="C3595" s="13">
        <v>103</v>
      </c>
      <c r="D3595" s="14" t="s">
        <v>91</v>
      </c>
      <c r="E3595">
        <v>12</v>
      </c>
      <c r="F3595" s="8">
        <f>VLOOKUP(financials[[#This Row],[productid]],Products!$B$2:$H$10,3)</f>
        <v>28</v>
      </c>
      <c r="G3595" s="8">
        <f>financials[[#This Row],[Units Sold]]*financials[[#This Row],[Sale Price]]</f>
        <v>336</v>
      </c>
      <c r="H3595" s="8">
        <f>IF(financials[[#This Row],[Discount Band]]="low",0.1,IF(financials[[#This Row],[Discount Band]]="medium",0.15,0.3))</f>
        <v>0.1</v>
      </c>
      <c r="I3595" s="8">
        <f>financials[[#This Row],[Gross Sales]]-financials[[#This Row],[Gross Sales]]*financials[[#This Row],[Discounts]]</f>
        <v>302.39999999999998</v>
      </c>
      <c r="J3595" s="8">
        <f>VLOOKUP(financials[[#This Row],[productid]],Products!$B$2:$H$10,4)</f>
        <v>15</v>
      </c>
      <c r="K3595" s="8">
        <f>financials[[#This Row],[Net Sales]]-financials[[#This Row],[COGS]]</f>
        <v>287.39999999999998</v>
      </c>
      <c r="L3595" s="15">
        <v>45108</v>
      </c>
      <c r="M3595" t="s">
        <v>691</v>
      </c>
    </row>
    <row r="3596" spans="1:13" x14ac:dyDescent="0.25">
      <c r="A3596" t="s">
        <v>88</v>
      </c>
      <c r="B3596" s="6" t="s">
        <v>197</v>
      </c>
      <c r="C3596" s="13">
        <v>104</v>
      </c>
      <c r="D3596" s="14" t="s">
        <v>90</v>
      </c>
      <c r="E3596">
        <v>13</v>
      </c>
      <c r="F3596" s="8">
        <f>VLOOKUP(financials[[#This Row],[productid]],Products!$B$2:$H$10,3)</f>
        <v>5.9</v>
      </c>
      <c r="G3596" s="8">
        <f>financials[[#This Row],[Units Sold]]*financials[[#This Row],[Sale Price]]</f>
        <v>76.7</v>
      </c>
      <c r="H3596" s="8">
        <f>IF(financials[[#This Row],[Discount Band]]="low",0.1,IF(financials[[#This Row],[Discount Band]]="medium",0.15,0.3))</f>
        <v>0.15</v>
      </c>
      <c r="I3596" s="8">
        <f>financials[[#This Row],[Gross Sales]]-financials[[#This Row],[Gross Sales]]*financials[[#This Row],[Discounts]]</f>
        <v>65.195000000000007</v>
      </c>
      <c r="J3596" s="8">
        <f>VLOOKUP(financials[[#This Row],[productid]],Products!$B$2:$H$10,4)</f>
        <v>2.9</v>
      </c>
      <c r="K3596" s="8">
        <f>financials[[#This Row],[Net Sales]]-financials[[#This Row],[COGS]]</f>
        <v>62.295000000000009</v>
      </c>
      <c r="L3596" s="15">
        <v>44747</v>
      </c>
      <c r="M3596" t="s">
        <v>690</v>
      </c>
    </row>
    <row r="3597" spans="1:13" x14ac:dyDescent="0.25">
      <c r="A3597" t="s">
        <v>86</v>
      </c>
      <c r="B3597" s="6" t="s">
        <v>159</v>
      </c>
      <c r="C3597" s="13">
        <v>104</v>
      </c>
      <c r="D3597" s="14" t="s">
        <v>91</v>
      </c>
      <c r="E3597">
        <v>10</v>
      </c>
      <c r="F3597" s="8">
        <f>VLOOKUP(financials[[#This Row],[productid]],Products!$B$2:$H$10,3)</f>
        <v>5.9</v>
      </c>
      <c r="G3597" s="8">
        <f>financials[[#This Row],[Units Sold]]*financials[[#This Row],[Sale Price]]</f>
        <v>59</v>
      </c>
      <c r="H3597" s="8">
        <f>IF(financials[[#This Row],[Discount Band]]="low",0.1,IF(financials[[#This Row],[Discount Band]]="medium",0.15,0.3))</f>
        <v>0.1</v>
      </c>
      <c r="I3597" s="8">
        <f>financials[[#This Row],[Gross Sales]]-financials[[#This Row],[Gross Sales]]*financials[[#This Row],[Discounts]]</f>
        <v>53.1</v>
      </c>
      <c r="J3597" s="8">
        <f>VLOOKUP(financials[[#This Row],[productid]],Products!$B$2:$H$10,4)</f>
        <v>2.9</v>
      </c>
      <c r="K3597" s="8">
        <f>financials[[#This Row],[Net Sales]]-financials[[#This Row],[COGS]]</f>
        <v>50.2</v>
      </c>
      <c r="L3597" s="15">
        <v>44566</v>
      </c>
      <c r="M3597" t="s">
        <v>691</v>
      </c>
    </row>
    <row r="3598" spans="1:13" x14ac:dyDescent="0.25">
      <c r="A3598" t="s">
        <v>86</v>
      </c>
      <c r="B3598" s="6" t="s">
        <v>274</v>
      </c>
      <c r="C3598" s="13">
        <v>108</v>
      </c>
      <c r="D3598" s="14" t="s">
        <v>91</v>
      </c>
      <c r="E3598">
        <v>20</v>
      </c>
      <c r="F3598" s="8">
        <f>VLOOKUP(financials[[#This Row],[productid]],Products!$B$2:$H$10,3)</f>
        <v>5.5</v>
      </c>
      <c r="G3598" s="8">
        <f>financials[[#This Row],[Units Sold]]*financials[[#This Row],[Sale Price]]</f>
        <v>110</v>
      </c>
      <c r="H3598" s="8">
        <f>IF(financials[[#This Row],[Discount Band]]="low",0.1,IF(financials[[#This Row],[Discount Band]]="medium",0.15,0.3))</f>
        <v>0.1</v>
      </c>
      <c r="I3598" s="8">
        <f>financials[[#This Row],[Gross Sales]]-financials[[#This Row],[Gross Sales]]*financials[[#This Row],[Discounts]]</f>
        <v>99</v>
      </c>
      <c r="J3598" s="8">
        <f>VLOOKUP(financials[[#This Row],[productid]],Products!$B$2:$H$10,4)</f>
        <v>3.99</v>
      </c>
      <c r="K3598" s="8">
        <f>financials[[#This Row],[Net Sales]]-financials[[#This Row],[COGS]]</f>
        <v>95.01</v>
      </c>
      <c r="L3598" s="15">
        <v>44799</v>
      </c>
      <c r="M3598" t="s">
        <v>697</v>
      </c>
    </row>
    <row r="3599" spans="1:13" x14ac:dyDescent="0.25">
      <c r="A3599" t="s">
        <v>86</v>
      </c>
      <c r="B3599" s="6" t="s">
        <v>274</v>
      </c>
      <c r="C3599" s="13">
        <v>104</v>
      </c>
      <c r="D3599" s="14" t="s">
        <v>83</v>
      </c>
      <c r="E3599">
        <v>19</v>
      </c>
      <c r="F3599" s="8">
        <f>VLOOKUP(financials[[#This Row],[productid]],Products!$B$2:$H$10,3)</f>
        <v>5.9</v>
      </c>
      <c r="G3599" s="8">
        <f>financials[[#This Row],[Units Sold]]*financials[[#This Row],[Sale Price]]</f>
        <v>112.10000000000001</v>
      </c>
      <c r="H3599" s="8">
        <f>IF(financials[[#This Row],[Discount Band]]="low",0.1,IF(financials[[#This Row],[Discount Band]]="medium",0.15,0.3))</f>
        <v>0.3</v>
      </c>
      <c r="I3599" s="8">
        <f>financials[[#This Row],[Gross Sales]]-financials[[#This Row],[Gross Sales]]*financials[[#This Row],[Discounts]]</f>
        <v>78.47</v>
      </c>
      <c r="J3599" s="8">
        <f>VLOOKUP(financials[[#This Row],[productid]],Products!$B$2:$H$10,4)</f>
        <v>2.9</v>
      </c>
      <c r="K3599" s="8">
        <f>financials[[#This Row],[Net Sales]]-financials[[#This Row],[COGS]]</f>
        <v>75.569999999999993</v>
      </c>
      <c r="L3599" s="15">
        <v>44420</v>
      </c>
      <c r="M3599" t="s">
        <v>696</v>
      </c>
    </row>
    <row r="3600" spans="1:13" x14ac:dyDescent="0.25">
      <c r="A3600" t="s">
        <v>86</v>
      </c>
      <c r="B3600" s="6" t="s">
        <v>268</v>
      </c>
      <c r="C3600" s="13">
        <v>107</v>
      </c>
      <c r="D3600" s="14" t="s">
        <v>91</v>
      </c>
      <c r="E3600">
        <v>19</v>
      </c>
      <c r="F3600" s="8">
        <f>VLOOKUP(financials[[#This Row],[productid]],Products!$B$2:$H$10,3)</f>
        <v>15</v>
      </c>
      <c r="G3600" s="8">
        <f>financials[[#This Row],[Units Sold]]*financials[[#This Row],[Sale Price]]</f>
        <v>285</v>
      </c>
      <c r="H3600" s="8">
        <f>IF(financials[[#This Row],[Discount Band]]="low",0.1,IF(financials[[#This Row],[Discount Band]]="medium",0.15,0.3))</f>
        <v>0.1</v>
      </c>
      <c r="I3600" s="8">
        <f>financials[[#This Row],[Gross Sales]]-financials[[#This Row],[Gross Sales]]*financials[[#This Row],[Discounts]]</f>
        <v>256.5</v>
      </c>
      <c r="J3600" s="8">
        <f>VLOOKUP(financials[[#This Row],[productid]],Products!$B$2:$H$10,4)</f>
        <v>5.5</v>
      </c>
      <c r="K3600" s="8">
        <f>financials[[#This Row],[Net Sales]]-financials[[#This Row],[COGS]]</f>
        <v>251</v>
      </c>
      <c r="L3600" s="15">
        <v>45608</v>
      </c>
      <c r="M3600" t="s">
        <v>690</v>
      </c>
    </row>
    <row r="3601" spans="1:13" x14ac:dyDescent="0.25">
      <c r="A3601" t="s">
        <v>88</v>
      </c>
      <c r="B3601" s="6" t="s">
        <v>232</v>
      </c>
      <c r="C3601" s="13">
        <v>104</v>
      </c>
      <c r="D3601" s="14" t="s">
        <v>83</v>
      </c>
      <c r="E3601">
        <v>12</v>
      </c>
      <c r="F3601" s="8">
        <f>VLOOKUP(financials[[#This Row],[productid]],Products!$B$2:$H$10,3)</f>
        <v>5.9</v>
      </c>
      <c r="G3601" s="8">
        <f>financials[[#This Row],[Units Sold]]*financials[[#This Row],[Sale Price]]</f>
        <v>70.800000000000011</v>
      </c>
      <c r="H3601" s="8">
        <f>IF(financials[[#This Row],[Discount Band]]="low",0.1,IF(financials[[#This Row],[Discount Band]]="medium",0.15,0.3))</f>
        <v>0.3</v>
      </c>
      <c r="I3601" s="8">
        <f>financials[[#This Row],[Gross Sales]]-financials[[#This Row],[Gross Sales]]*financials[[#This Row],[Discounts]]</f>
        <v>49.560000000000009</v>
      </c>
      <c r="J3601" s="8">
        <f>VLOOKUP(financials[[#This Row],[productid]],Products!$B$2:$H$10,4)</f>
        <v>2.9</v>
      </c>
      <c r="K3601" s="8">
        <f>financials[[#This Row],[Net Sales]]-financials[[#This Row],[COGS]]</f>
        <v>46.660000000000011</v>
      </c>
      <c r="L3601" s="15">
        <v>44645</v>
      </c>
      <c r="M3601" t="s">
        <v>696</v>
      </c>
    </row>
    <row r="3602" spans="1:13" x14ac:dyDescent="0.25">
      <c r="A3602" t="s">
        <v>88</v>
      </c>
      <c r="B3602" s="6" t="s">
        <v>268</v>
      </c>
      <c r="C3602" s="13">
        <v>109</v>
      </c>
      <c r="D3602" s="14" t="s">
        <v>90</v>
      </c>
      <c r="E3602">
        <v>13</v>
      </c>
      <c r="F3602" s="8">
        <f>VLOOKUP(financials[[#This Row],[productid]],Products!$B$2:$H$10,3)</f>
        <v>36</v>
      </c>
      <c r="G3602" s="8">
        <f>financials[[#This Row],[Units Sold]]*financials[[#This Row],[Sale Price]]</f>
        <v>468</v>
      </c>
      <c r="H3602" s="8">
        <f>IF(financials[[#This Row],[Discount Band]]="low",0.1,IF(financials[[#This Row],[Discount Band]]="medium",0.15,0.3))</f>
        <v>0.15</v>
      </c>
      <c r="I3602" s="8">
        <f>financials[[#This Row],[Gross Sales]]-financials[[#This Row],[Gross Sales]]*financials[[#This Row],[Discounts]]</f>
        <v>397.8</v>
      </c>
      <c r="J3602" s="8">
        <f>VLOOKUP(financials[[#This Row],[productid]],Products!$B$2:$H$10,4)</f>
        <v>16.8</v>
      </c>
      <c r="K3602" s="8">
        <f>financials[[#This Row],[Net Sales]]-financials[[#This Row],[COGS]]</f>
        <v>381</v>
      </c>
      <c r="L3602" s="15">
        <v>43940</v>
      </c>
      <c r="M3602" t="s">
        <v>697</v>
      </c>
    </row>
    <row r="3603" spans="1:13" x14ac:dyDescent="0.25">
      <c r="A3603" t="s">
        <v>88</v>
      </c>
      <c r="B3603" s="6" t="s">
        <v>232</v>
      </c>
      <c r="C3603" s="13">
        <v>109</v>
      </c>
      <c r="D3603" s="14" t="s">
        <v>90</v>
      </c>
      <c r="E3603">
        <v>14</v>
      </c>
      <c r="F3603" s="8">
        <f>VLOOKUP(financials[[#This Row],[productid]],Products!$B$2:$H$10,3)</f>
        <v>36</v>
      </c>
      <c r="G3603" s="8">
        <f>financials[[#This Row],[Units Sold]]*financials[[#This Row],[Sale Price]]</f>
        <v>504</v>
      </c>
      <c r="H3603" s="8">
        <f>IF(financials[[#This Row],[Discount Band]]="low",0.1,IF(financials[[#This Row],[Discount Band]]="medium",0.15,0.3))</f>
        <v>0.15</v>
      </c>
      <c r="I3603" s="8">
        <f>financials[[#This Row],[Gross Sales]]-financials[[#This Row],[Gross Sales]]*financials[[#This Row],[Discounts]]</f>
        <v>428.4</v>
      </c>
      <c r="J3603" s="8">
        <f>VLOOKUP(financials[[#This Row],[productid]],Products!$B$2:$H$10,4)</f>
        <v>16.8</v>
      </c>
      <c r="K3603" s="8">
        <f>financials[[#This Row],[Net Sales]]-financials[[#This Row],[COGS]]</f>
        <v>411.59999999999997</v>
      </c>
      <c r="L3603" s="15">
        <v>44470</v>
      </c>
      <c r="M3603" t="s">
        <v>691</v>
      </c>
    </row>
    <row r="3604" spans="1:13" x14ac:dyDescent="0.25">
      <c r="A3604" t="s">
        <v>88</v>
      </c>
      <c r="B3604" s="6" t="s">
        <v>158</v>
      </c>
      <c r="C3604" s="13">
        <v>101</v>
      </c>
      <c r="D3604" s="14" t="s">
        <v>90</v>
      </c>
      <c r="E3604">
        <v>5</v>
      </c>
      <c r="F3604" s="8">
        <f>VLOOKUP(financials[[#This Row],[productid]],Products!$B$2:$H$10,3)</f>
        <v>23</v>
      </c>
      <c r="G3604" s="8">
        <f>financials[[#This Row],[Units Sold]]*financials[[#This Row],[Sale Price]]</f>
        <v>115</v>
      </c>
      <c r="H3604" s="8">
        <f>IF(financials[[#This Row],[Discount Band]]="low",0.1,IF(financials[[#This Row],[Discount Band]]="medium",0.15,0.3))</f>
        <v>0.15</v>
      </c>
      <c r="I3604" s="8">
        <f>financials[[#This Row],[Gross Sales]]-financials[[#This Row],[Gross Sales]]*financials[[#This Row],[Discounts]]</f>
        <v>97.75</v>
      </c>
      <c r="J3604" s="8">
        <f>VLOOKUP(financials[[#This Row],[productid]],Products!$B$2:$H$10,4)</f>
        <v>9.9499999999999993</v>
      </c>
      <c r="K3604" s="8">
        <f>financials[[#This Row],[Net Sales]]-financials[[#This Row],[COGS]]</f>
        <v>87.8</v>
      </c>
      <c r="L3604" s="15">
        <v>45420</v>
      </c>
      <c r="M3604" t="s">
        <v>696</v>
      </c>
    </row>
    <row r="3605" spans="1:13" x14ac:dyDescent="0.25">
      <c r="A3605" t="s">
        <v>86</v>
      </c>
      <c r="B3605" s="6" t="s">
        <v>159</v>
      </c>
      <c r="C3605" s="13">
        <v>104</v>
      </c>
      <c r="D3605" s="14" t="s">
        <v>90</v>
      </c>
      <c r="E3605">
        <v>13</v>
      </c>
      <c r="F3605" s="8">
        <f>VLOOKUP(financials[[#This Row],[productid]],Products!$B$2:$H$10,3)</f>
        <v>5.9</v>
      </c>
      <c r="G3605" s="8">
        <f>financials[[#This Row],[Units Sold]]*financials[[#This Row],[Sale Price]]</f>
        <v>76.7</v>
      </c>
      <c r="H3605" s="8">
        <f>IF(financials[[#This Row],[Discount Band]]="low",0.1,IF(financials[[#This Row],[Discount Band]]="medium",0.15,0.3))</f>
        <v>0.15</v>
      </c>
      <c r="I3605" s="8">
        <f>financials[[#This Row],[Gross Sales]]-financials[[#This Row],[Gross Sales]]*financials[[#This Row],[Discounts]]</f>
        <v>65.195000000000007</v>
      </c>
      <c r="J3605" s="8">
        <f>VLOOKUP(financials[[#This Row],[productid]],Products!$B$2:$H$10,4)</f>
        <v>2.9</v>
      </c>
      <c r="K3605" s="8">
        <f>financials[[#This Row],[Net Sales]]-financials[[#This Row],[COGS]]</f>
        <v>62.295000000000009</v>
      </c>
      <c r="L3605" s="15">
        <v>43972</v>
      </c>
      <c r="M3605" t="s">
        <v>691</v>
      </c>
    </row>
    <row r="3606" spans="1:13" x14ac:dyDescent="0.25">
      <c r="A3606" t="s">
        <v>88</v>
      </c>
      <c r="B3606" s="6" t="s">
        <v>268</v>
      </c>
      <c r="C3606" s="11">
        <v>103</v>
      </c>
      <c r="D3606" s="9" t="s">
        <v>90</v>
      </c>
      <c r="E3606">
        <v>6</v>
      </c>
      <c r="F3606" s="8">
        <f>VLOOKUP(financials[[#This Row],[productid]],Products!$B$2:$H$10,3)</f>
        <v>28</v>
      </c>
      <c r="G3606" s="8">
        <f>financials[[#This Row],[Units Sold]]*financials[[#This Row],[Sale Price]]</f>
        <v>168</v>
      </c>
      <c r="H3606" s="8">
        <f>IF(financials[[#This Row],[Discount Band]]="low",0.1,IF(financials[[#This Row],[Discount Band]]="medium",0.15,0.3))</f>
        <v>0.15</v>
      </c>
      <c r="I3606" s="8">
        <f>financials[[#This Row],[Gross Sales]]-financials[[#This Row],[Gross Sales]]*financials[[#This Row],[Discounts]]</f>
        <v>142.80000000000001</v>
      </c>
      <c r="J3606" s="8">
        <f>VLOOKUP(financials[[#This Row],[productid]],Products!$B$2:$H$10,4)</f>
        <v>15</v>
      </c>
      <c r="K3606" s="8">
        <f>financials[[#This Row],[Net Sales]]-financials[[#This Row],[COGS]]</f>
        <v>127.80000000000001</v>
      </c>
      <c r="L3606" s="15">
        <v>44889</v>
      </c>
      <c r="M3606" t="s">
        <v>690</v>
      </c>
    </row>
    <row r="3607" spans="1:13" x14ac:dyDescent="0.25">
      <c r="A3607" t="s">
        <v>88</v>
      </c>
      <c r="B3607" s="6" t="s">
        <v>197</v>
      </c>
      <c r="C3607" s="13">
        <v>109</v>
      </c>
      <c r="D3607" s="14" t="s">
        <v>83</v>
      </c>
      <c r="E3607">
        <v>8</v>
      </c>
      <c r="F3607" s="8">
        <f>VLOOKUP(financials[[#This Row],[productid]],Products!$B$2:$H$10,3)</f>
        <v>36</v>
      </c>
      <c r="G3607" s="8">
        <f>financials[[#This Row],[Units Sold]]*financials[[#This Row],[Sale Price]]</f>
        <v>288</v>
      </c>
      <c r="H3607" s="8">
        <f>IF(financials[[#This Row],[Discount Band]]="low",0.1,IF(financials[[#This Row],[Discount Band]]="medium",0.15,0.3))</f>
        <v>0.3</v>
      </c>
      <c r="I3607" s="8">
        <f>financials[[#This Row],[Gross Sales]]-financials[[#This Row],[Gross Sales]]*financials[[#This Row],[Discounts]]</f>
        <v>201.60000000000002</v>
      </c>
      <c r="J3607" s="8">
        <f>VLOOKUP(financials[[#This Row],[productid]],Products!$B$2:$H$10,4)</f>
        <v>16.8</v>
      </c>
      <c r="K3607" s="8">
        <f>financials[[#This Row],[Net Sales]]-financials[[#This Row],[COGS]]</f>
        <v>184.8</v>
      </c>
      <c r="L3607" s="15">
        <v>45324</v>
      </c>
      <c r="M3607" t="s">
        <v>697</v>
      </c>
    </row>
    <row r="3608" spans="1:13" x14ac:dyDescent="0.25">
      <c r="A3608" t="s">
        <v>88</v>
      </c>
      <c r="B3608" s="6" t="s">
        <v>93</v>
      </c>
      <c r="C3608" s="13">
        <v>106</v>
      </c>
      <c r="D3608" s="14" t="s">
        <v>83</v>
      </c>
      <c r="E3608">
        <v>16</v>
      </c>
      <c r="F3608" s="8">
        <f>VLOOKUP(financials[[#This Row],[productid]],Products!$B$2:$H$10,3)</f>
        <v>25</v>
      </c>
      <c r="G3608" s="8">
        <f>financials[[#This Row],[Units Sold]]*financials[[#This Row],[Sale Price]]</f>
        <v>400</v>
      </c>
      <c r="H3608" s="8">
        <f>IF(financials[[#This Row],[Discount Band]]="low",0.1,IF(financials[[#This Row],[Discount Band]]="medium",0.15,0.3))</f>
        <v>0.3</v>
      </c>
      <c r="I3608" s="8">
        <f>financials[[#This Row],[Gross Sales]]-financials[[#This Row],[Gross Sales]]*financials[[#This Row],[Discounts]]</f>
        <v>280</v>
      </c>
      <c r="J3608" s="8">
        <f>VLOOKUP(financials[[#This Row],[productid]],Products!$B$2:$H$10,4)</f>
        <v>9.1</v>
      </c>
      <c r="K3608" s="8">
        <f>financials[[#This Row],[Net Sales]]-financials[[#This Row],[COGS]]</f>
        <v>270.89999999999998</v>
      </c>
      <c r="L3608" s="15">
        <v>44399</v>
      </c>
      <c r="M3608" t="s">
        <v>697</v>
      </c>
    </row>
    <row r="3609" spans="1:13" x14ac:dyDescent="0.25">
      <c r="A3609" t="s">
        <v>86</v>
      </c>
      <c r="B3609" s="6" t="s">
        <v>124</v>
      </c>
      <c r="C3609" s="13">
        <v>102</v>
      </c>
      <c r="D3609" s="14" t="s">
        <v>91</v>
      </c>
      <c r="E3609">
        <v>17</v>
      </c>
      <c r="F3609" s="8">
        <f>VLOOKUP(financials[[#This Row],[productid]],Products!$B$2:$H$10,3)</f>
        <v>15</v>
      </c>
      <c r="G3609" s="8">
        <f>financials[[#This Row],[Units Sold]]*financials[[#This Row],[Sale Price]]</f>
        <v>255</v>
      </c>
      <c r="H3609" s="8">
        <f>IF(financials[[#This Row],[Discount Band]]="low",0.1,IF(financials[[#This Row],[Discount Band]]="medium",0.15,0.3))</f>
        <v>0.1</v>
      </c>
      <c r="I3609" s="8">
        <f>financials[[#This Row],[Gross Sales]]-financials[[#This Row],[Gross Sales]]*financials[[#This Row],[Discounts]]</f>
        <v>229.5</v>
      </c>
      <c r="J3609" s="8">
        <f>VLOOKUP(financials[[#This Row],[productid]],Products!$B$2:$H$10,4)</f>
        <v>13.95</v>
      </c>
      <c r="K3609" s="8">
        <f>financials[[#This Row],[Net Sales]]-financials[[#This Row],[COGS]]</f>
        <v>215.55</v>
      </c>
      <c r="L3609" s="15">
        <v>45145</v>
      </c>
      <c r="M3609" t="s">
        <v>691</v>
      </c>
    </row>
    <row r="3610" spans="1:13" x14ac:dyDescent="0.25">
      <c r="A3610" t="s">
        <v>86</v>
      </c>
      <c r="B3610" s="6" t="s">
        <v>124</v>
      </c>
      <c r="C3610" s="13">
        <v>105</v>
      </c>
      <c r="D3610" s="14" t="s">
        <v>83</v>
      </c>
      <c r="E3610">
        <v>16</v>
      </c>
      <c r="F3610" s="8">
        <f>VLOOKUP(financials[[#This Row],[productid]],Products!$B$2:$H$10,3)</f>
        <v>15</v>
      </c>
      <c r="G3610" s="8">
        <f>financials[[#This Row],[Units Sold]]*financials[[#This Row],[Sale Price]]</f>
        <v>240</v>
      </c>
      <c r="H3610" s="8">
        <f>IF(financials[[#This Row],[Discount Band]]="low",0.1,IF(financials[[#This Row],[Discount Band]]="medium",0.15,0.3))</f>
        <v>0.3</v>
      </c>
      <c r="I3610" s="8">
        <f>financials[[#This Row],[Gross Sales]]-financials[[#This Row],[Gross Sales]]*financials[[#This Row],[Discounts]]</f>
        <v>168</v>
      </c>
      <c r="J3610" s="8">
        <f>VLOOKUP(financials[[#This Row],[productid]],Products!$B$2:$H$10,4)</f>
        <v>10</v>
      </c>
      <c r="K3610" s="8">
        <f>financials[[#This Row],[Net Sales]]-financials[[#This Row],[COGS]]</f>
        <v>158</v>
      </c>
      <c r="L3610" s="15">
        <v>45379</v>
      </c>
      <c r="M3610" t="s">
        <v>691</v>
      </c>
    </row>
    <row r="3611" spans="1:13" x14ac:dyDescent="0.25">
      <c r="A3611" t="s">
        <v>88</v>
      </c>
      <c r="B3611" s="6" t="s">
        <v>232</v>
      </c>
      <c r="C3611" s="13">
        <v>105</v>
      </c>
      <c r="D3611" s="14" t="s">
        <v>92</v>
      </c>
      <c r="E3611">
        <v>19</v>
      </c>
      <c r="F3611" s="8">
        <f>VLOOKUP(financials[[#This Row],[productid]],Products!$B$2:$H$10,3)</f>
        <v>15</v>
      </c>
      <c r="G3611" s="8">
        <f>financials[[#This Row],[Units Sold]]*financials[[#This Row],[Sale Price]]</f>
        <v>285</v>
      </c>
      <c r="H3611" s="8">
        <f>IF(financials[[#This Row],[Discount Band]]="low",0.1,IF(financials[[#This Row],[Discount Band]]="medium",0.15,0.3))</f>
        <v>0.3</v>
      </c>
      <c r="I3611" s="8">
        <f>financials[[#This Row],[Gross Sales]]-financials[[#This Row],[Gross Sales]]*financials[[#This Row],[Discounts]]</f>
        <v>199.5</v>
      </c>
      <c r="J3611" s="8">
        <f>VLOOKUP(financials[[#This Row],[productid]],Products!$B$2:$H$10,4)</f>
        <v>10</v>
      </c>
      <c r="K3611" s="8">
        <f>financials[[#This Row],[Net Sales]]-financials[[#This Row],[COGS]]</f>
        <v>189.5</v>
      </c>
      <c r="L3611" s="15">
        <v>43995</v>
      </c>
      <c r="M3611" t="s">
        <v>690</v>
      </c>
    </row>
    <row r="3612" spans="1:13" x14ac:dyDescent="0.25">
      <c r="A3612" t="s">
        <v>86</v>
      </c>
      <c r="B3612" s="6" t="s">
        <v>95</v>
      </c>
      <c r="C3612" s="11">
        <v>107</v>
      </c>
      <c r="D3612" s="9" t="s">
        <v>90</v>
      </c>
      <c r="E3612">
        <v>14</v>
      </c>
      <c r="F3612" s="8">
        <f>VLOOKUP(financials[[#This Row],[productid]],Products!$B$2:$H$10,3)</f>
        <v>15</v>
      </c>
      <c r="G3612" s="8">
        <f>financials[[#This Row],[Units Sold]]*financials[[#This Row],[Sale Price]]</f>
        <v>210</v>
      </c>
      <c r="H3612" s="8">
        <f>IF(financials[[#This Row],[Discount Band]]="low",0.1,IF(financials[[#This Row],[Discount Band]]="medium",0.15,0.3))</f>
        <v>0.15</v>
      </c>
      <c r="I3612" s="8">
        <f>financials[[#This Row],[Gross Sales]]-financials[[#This Row],[Gross Sales]]*financials[[#This Row],[Discounts]]</f>
        <v>178.5</v>
      </c>
      <c r="J3612" s="8">
        <f>VLOOKUP(financials[[#This Row],[productid]],Products!$B$2:$H$10,4)</f>
        <v>5.5</v>
      </c>
      <c r="K3612" s="8">
        <f>financials[[#This Row],[Net Sales]]-financials[[#This Row],[COGS]]</f>
        <v>173</v>
      </c>
      <c r="L3612" s="15">
        <v>45291</v>
      </c>
      <c r="M3612" t="s">
        <v>691</v>
      </c>
    </row>
    <row r="3613" spans="1:13" x14ac:dyDescent="0.25">
      <c r="A3613" t="s">
        <v>86</v>
      </c>
      <c r="B3613" s="6" t="s">
        <v>240</v>
      </c>
      <c r="C3613" s="13">
        <v>108</v>
      </c>
      <c r="D3613" s="14" t="s">
        <v>91</v>
      </c>
      <c r="E3613">
        <v>17</v>
      </c>
      <c r="F3613" s="8">
        <f>VLOOKUP(financials[[#This Row],[productid]],Products!$B$2:$H$10,3)</f>
        <v>5.5</v>
      </c>
      <c r="G3613" s="8">
        <f>financials[[#This Row],[Units Sold]]*financials[[#This Row],[Sale Price]]</f>
        <v>93.5</v>
      </c>
      <c r="H3613" s="8">
        <f>IF(financials[[#This Row],[Discount Band]]="low",0.1,IF(financials[[#This Row],[Discount Band]]="medium",0.15,0.3))</f>
        <v>0.1</v>
      </c>
      <c r="I3613" s="8">
        <f>financials[[#This Row],[Gross Sales]]-financials[[#This Row],[Gross Sales]]*financials[[#This Row],[Discounts]]</f>
        <v>84.15</v>
      </c>
      <c r="J3613" s="8">
        <f>VLOOKUP(financials[[#This Row],[productid]],Products!$B$2:$H$10,4)</f>
        <v>3.99</v>
      </c>
      <c r="K3613" s="8">
        <f>financials[[#This Row],[Net Sales]]-financials[[#This Row],[COGS]]</f>
        <v>80.160000000000011</v>
      </c>
      <c r="L3613" s="15">
        <v>45244</v>
      </c>
      <c r="M3613" t="s">
        <v>690</v>
      </c>
    </row>
    <row r="3614" spans="1:13" x14ac:dyDescent="0.25">
      <c r="A3614" t="s">
        <v>86</v>
      </c>
      <c r="B3614" s="6" t="s">
        <v>148</v>
      </c>
      <c r="C3614" s="13">
        <v>108</v>
      </c>
      <c r="D3614" s="14" t="s">
        <v>83</v>
      </c>
      <c r="E3614">
        <v>10</v>
      </c>
      <c r="F3614" s="8">
        <f>VLOOKUP(financials[[#This Row],[productid]],Products!$B$2:$H$10,3)</f>
        <v>5.5</v>
      </c>
      <c r="G3614" s="8">
        <f>financials[[#This Row],[Units Sold]]*financials[[#This Row],[Sale Price]]</f>
        <v>55</v>
      </c>
      <c r="H3614" s="8">
        <f>IF(financials[[#This Row],[Discount Band]]="low",0.1,IF(financials[[#This Row],[Discount Band]]="medium",0.15,0.3))</f>
        <v>0.3</v>
      </c>
      <c r="I3614" s="8">
        <f>financials[[#This Row],[Gross Sales]]-financials[[#This Row],[Gross Sales]]*financials[[#This Row],[Discounts]]</f>
        <v>38.5</v>
      </c>
      <c r="J3614" s="8">
        <f>VLOOKUP(financials[[#This Row],[productid]],Products!$B$2:$H$10,4)</f>
        <v>3.99</v>
      </c>
      <c r="K3614" s="8">
        <f>financials[[#This Row],[Net Sales]]-financials[[#This Row],[COGS]]</f>
        <v>34.51</v>
      </c>
      <c r="L3614" s="15">
        <v>45582</v>
      </c>
      <c r="M3614" t="s">
        <v>697</v>
      </c>
    </row>
    <row r="3615" spans="1:13" x14ac:dyDescent="0.25">
      <c r="A3615" t="s">
        <v>88</v>
      </c>
      <c r="B3615" s="6" t="s">
        <v>148</v>
      </c>
      <c r="C3615" s="13">
        <v>107</v>
      </c>
      <c r="D3615" s="14" t="s">
        <v>90</v>
      </c>
      <c r="E3615">
        <v>10</v>
      </c>
      <c r="F3615" s="8">
        <f>VLOOKUP(financials[[#This Row],[productid]],Products!$B$2:$H$10,3)</f>
        <v>15</v>
      </c>
      <c r="G3615" s="8">
        <f>financials[[#This Row],[Units Sold]]*financials[[#This Row],[Sale Price]]</f>
        <v>150</v>
      </c>
      <c r="H3615" s="8">
        <f>IF(financials[[#This Row],[Discount Band]]="low",0.1,IF(financials[[#This Row],[Discount Band]]="medium",0.15,0.3))</f>
        <v>0.15</v>
      </c>
      <c r="I3615" s="8">
        <f>financials[[#This Row],[Gross Sales]]-financials[[#This Row],[Gross Sales]]*financials[[#This Row],[Discounts]]</f>
        <v>127.5</v>
      </c>
      <c r="J3615" s="8">
        <f>VLOOKUP(financials[[#This Row],[productid]],Products!$B$2:$H$10,4)</f>
        <v>5.5</v>
      </c>
      <c r="K3615" s="8">
        <f>financials[[#This Row],[Net Sales]]-financials[[#This Row],[COGS]]</f>
        <v>122</v>
      </c>
      <c r="L3615" s="15">
        <v>45088</v>
      </c>
      <c r="M3615" t="s">
        <v>690</v>
      </c>
    </row>
    <row r="3616" spans="1:13" x14ac:dyDescent="0.25">
      <c r="A3616" t="s">
        <v>88</v>
      </c>
      <c r="B3616" s="6" t="s">
        <v>645</v>
      </c>
      <c r="C3616" s="13">
        <v>102</v>
      </c>
      <c r="D3616" s="14" t="s">
        <v>92</v>
      </c>
      <c r="E3616">
        <v>20</v>
      </c>
      <c r="F3616" s="8">
        <f>VLOOKUP(financials[[#This Row],[productid]],Products!$B$2:$H$10,3)</f>
        <v>15</v>
      </c>
      <c r="G3616" s="8">
        <f>financials[[#This Row],[Units Sold]]*financials[[#This Row],[Sale Price]]</f>
        <v>300</v>
      </c>
      <c r="H3616" s="8">
        <f>IF(financials[[#This Row],[Discount Band]]="low",0.1,IF(financials[[#This Row],[Discount Band]]="medium",0.15,0.3))</f>
        <v>0.3</v>
      </c>
      <c r="I3616" s="8">
        <f>financials[[#This Row],[Gross Sales]]-financials[[#This Row],[Gross Sales]]*financials[[#This Row],[Discounts]]</f>
        <v>210</v>
      </c>
      <c r="J3616" s="8">
        <f>VLOOKUP(financials[[#This Row],[productid]],Products!$B$2:$H$10,4)</f>
        <v>13.95</v>
      </c>
      <c r="K3616" s="8">
        <f>financials[[#This Row],[Net Sales]]-financials[[#This Row],[COGS]]</f>
        <v>196.05</v>
      </c>
      <c r="L3616" s="15">
        <v>44241</v>
      </c>
      <c r="M3616" t="s">
        <v>697</v>
      </c>
    </row>
    <row r="3617" spans="1:13" x14ac:dyDescent="0.25">
      <c r="A3617" t="s">
        <v>88</v>
      </c>
      <c r="B3617" s="6" t="s">
        <v>274</v>
      </c>
      <c r="C3617" s="13">
        <v>106</v>
      </c>
      <c r="D3617" s="14" t="s">
        <v>91</v>
      </c>
      <c r="E3617">
        <v>6</v>
      </c>
      <c r="F3617" s="8">
        <f>VLOOKUP(financials[[#This Row],[productid]],Products!$B$2:$H$10,3)</f>
        <v>25</v>
      </c>
      <c r="G3617" s="8">
        <f>financials[[#This Row],[Units Sold]]*financials[[#This Row],[Sale Price]]</f>
        <v>150</v>
      </c>
      <c r="H3617" s="8">
        <f>IF(financials[[#This Row],[Discount Band]]="low",0.1,IF(financials[[#This Row],[Discount Band]]="medium",0.15,0.3))</f>
        <v>0.1</v>
      </c>
      <c r="I3617" s="8">
        <f>financials[[#This Row],[Gross Sales]]-financials[[#This Row],[Gross Sales]]*financials[[#This Row],[Discounts]]</f>
        <v>135</v>
      </c>
      <c r="J3617" s="8">
        <f>VLOOKUP(financials[[#This Row],[productid]],Products!$B$2:$H$10,4)</f>
        <v>9.1</v>
      </c>
      <c r="K3617" s="8">
        <f>financials[[#This Row],[Net Sales]]-financials[[#This Row],[COGS]]</f>
        <v>125.9</v>
      </c>
      <c r="L3617" s="15">
        <v>44662</v>
      </c>
      <c r="M3617" t="s">
        <v>691</v>
      </c>
    </row>
    <row r="3618" spans="1:13" x14ac:dyDescent="0.25">
      <c r="A3618" t="s">
        <v>88</v>
      </c>
      <c r="B3618" s="6" t="s">
        <v>232</v>
      </c>
      <c r="C3618" s="13">
        <v>101</v>
      </c>
      <c r="D3618" s="14" t="s">
        <v>90</v>
      </c>
      <c r="E3618">
        <v>7</v>
      </c>
      <c r="F3618" s="8">
        <f>VLOOKUP(financials[[#This Row],[productid]],Products!$B$2:$H$10,3)</f>
        <v>23</v>
      </c>
      <c r="G3618" s="8">
        <f>financials[[#This Row],[Units Sold]]*financials[[#This Row],[Sale Price]]</f>
        <v>161</v>
      </c>
      <c r="H3618" s="8">
        <f>IF(financials[[#This Row],[Discount Band]]="low",0.1,IF(financials[[#This Row],[Discount Band]]="medium",0.15,0.3))</f>
        <v>0.15</v>
      </c>
      <c r="I3618" s="8">
        <f>financials[[#This Row],[Gross Sales]]-financials[[#This Row],[Gross Sales]]*financials[[#This Row],[Discounts]]</f>
        <v>136.85</v>
      </c>
      <c r="J3618" s="8">
        <f>VLOOKUP(financials[[#This Row],[productid]],Products!$B$2:$H$10,4)</f>
        <v>9.9499999999999993</v>
      </c>
      <c r="K3618" s="8">
        <f>financials[[#This Row],[Net Sales]]-financials[[#This Row],[COGS]]</f>
        <v>126.89999999999999</v>
      </c>
      <c r="L3618" s="15">
        <v>43939</v>
      </c>
      <c r="M3618" t="s">
        <v>697</v>
      </c>
    </row>
    <row r="3619" spans="1:13" x14ac:dyDescent="0.25">
      <c r="A3619" t="s">
        <v>86</v>
      </c>
      <c r="B3619" s="6" t="s">
        <v>159</v>
      </c>
      <c r="C3619" s="13">
        <v>108</v>
      </c>
      <c r="D3619" s="14" t="s">
        <v>90</v>
      </c>
      <c r="E3619">
        <v>9</v>
      </c>
      <c r="F3619" s="8">
        <f>VLOOKUP(financials[[#This Row],[productid]],Products!$B$2:$H$10,3)</f>
        <v>5.5</v>
      </c>
      <c r="G3619" s="8">
        <f>financials[[#This Row],[Units Sold]]*financials[[#This Row],[Sale Price]]</f>
        <v>49.5</v>
      </c>
      <c r="H3619" s="8">
        <f>IF(financials[[#This Row],[Discount Band]]="low",0.1,IF(financials[[#This Row],[Discount Band]]="medium",0.15,0.3))</f>
        <v>0.15</v>
      </c>
      <c r="I3619" s="8">
        <f>financials[[#This Row],[Gross Sales]]-financials[[#This Row],[Gross Sales]]*financials[[#This Row],[Discounts]]</f>
        <v>42.075000000000003</v>
      </c>
      <c r="J3619" s="8">
        <f>VLOOKUP(financials[[#This Row],[productid]],Products!$B$2:$H$10,4)</f>
        <v>3.99</v>
      </c>
      <c r="K3619" s="8">
        <f>financials[[#This Row],[Net Sales]]-financials[[#This Row],[COGS]]</f>
        <v>38.085000000000001</v>
      </c>
      <c r="L3619" s="15">
        <v>44329</v>
      </c>
      <c r="M3619" t="s">
        <v>697</v>
      </c>
    </row>
    <row r="3620" spans="1:13" x14ac:dyDescent="0.25">
      <c r="A3620" t="s">
        <v>88</v>
      </c>
      <c r="B3620" s="6" t="s">
        <v>158</v>
      </c>
      <c r="C3620" s="13">
        <v>101</v>
      </c>
      <c r="D3620" s="14" t="s">
        <v>91</v>
      </c>
      <c r="E3620">
        <v>10</v>
      </c>
      <c r="F3620" s="8">
        <f>VLOOKUP(financials[[#This Row],[productid]],Products!$B$2:$H$10,3)</f>
        <v>23</v>
      </c>
      <c r="G3620" s="8">
        <f>financials[[#This Row],[Units Sold]]*financials[[#This Row],[Sale Price]]</f>
        <v>230</v>
      </c>
      <c r="H3620" s="8">
        <f>IF(financials[[#This Row],[Discount Band]]="low",0.1,IF(financials[[#This Row],[Discount Band]]="medium",0.15,0.3))</f>
        <v>0.1</v>
      </c>
      <c r="I3620" s="8">
        <f>financials[[#This Row],[Gross Sales]]-financials[[#This Row],[Gross Sales]]*financials[[#This Row],[Discounts]]</f>
        <v>207</v>
      </c>
      <c r="J3620" s="8">
        <f>VLOOKUP(financials[[#This Row],[productid]],Products!$B$2:$H$10,4)</f>
        <v>9.9499999999999993</v>
      </c>
      <c r="K3620" s="8">
        <f>financials[[#This Row],[Net Sales]]-financials[[#This Row],[COGS]]</f>
        <v>197.05</v>
      </c>
      <c r="L3620" s="15">
        <v>44024</v>
      </c>
      <c r="M3620" t="s">
        <v>700</v>
      </c>
    </row>
    <row r="3621" spans="1:13" x14ac:dyDescent="0.25">
      <c r="A3621" t="s">
        <v>88</v>
      </c>
      <c r="B3621" s="6" t="s">
        <v>158</v>
      </c>
      <c r="C3621" s="13">
        <v>109</v>
      </c>
      <c r="D3621" s="14" t="s">
        <v>91</v>
      </c>
      <c r="E3621">
        <v>8</v>
      </c>
      <c r="F3621" s="8">
        <f>VLOOKUP(financials[[#This Row],[productid]],Products!$B$2:$H$10,3)</f>
        <v>36</v>
      </c>
      <c r="G3621" s="8">
        <f>financials[[#This Row],[Units Sold]]*financials[[#This Row],[Sale Price]]</f>
        <v>288</v>
      </c>
      <c r="H3621" s="8">
        <f>IF(financials[[#This Row],[Discount Band]]="low",0.1,IF(financials[[#This Row],[Discount Band]]="medium",0.15,0.3))</f>
        <v>0.1</v>
      </c>
      <c r="I3621" s="8">
        <f>financials[[#This Row],[Gross Sales]]-financials[[#This Row],[Gross Sales]]*financials[[#This Row],[Discounts]]</f>
        <v>259.2</v>
      </c>
      <c r="J3621" s="8">
        <f>VLOOKUP(financials[[#This Row],[productid]],Products!$B$2:$H$10,4)</f>
        <v>16.8</v>
      </c>
      <c r="K3621" s="8">
        <f>financials[[#This Row],[Net Sales]]-financials[[#This Row],[COGS]]</f>
        <v>242.39999999999998</v>
      </c>
      <c r="L3621" s="15">
        <v>44645</v>
      </c>
      <c r="M3621" t="s">
        <v>690</v>
      </c>
    </row>
    <row r="3622" spans="1:13" x14ac:dyDescent="0.25">
      <c r="A3622" t="s">
        <v>86</v>
      </c>
      <c r="B3622" s="6" t="s">
        <v>232</v>
      </c>
      <c r="C3622" s="11">
        <v>101</v>
      </c>
      <c r="D3622" s="9" t="s">
        <v>90</v>
      </c>
      <c r="E3622">
        <v>17</v>
      </c>
      <c r="F3622" s="8">
        <f>VLOOKUP(financials[[#This Row],[productid]],Products!$B$2:$H$10,3)</f>
        <v>23</v>
      </c>
      <c r="G3622" s="8">
        <f>financials[[#This Row],[Units Sold]]*financials[[#This Row],[Sale Price]]</f>
        <v>391</v>
      </c>
      <c r="H3622" s="8">
        <f>IF(financials[[#This Row],[Discount Band]]="low",0.1,IF(financials[[#This Row],[Discount Band]]="medium",0.15,0.3))</f>
        <v>0.15</v>
      </c>
      <c r="I3622" s="8">
        <f>financials[[#This Row],[Gross Sales]]-financials[[#This Row],[Gross Sales]]*financials[[#This Row],[Discounts]]</f>
        <v>332.35</v>
      </c>
      <c r="J3622" s="8">
        <f>VLOOKUP(financials[[#This Row],[productid]],Products!$B$2:$H$10,4)</f>
        <v>9.9499999999999993</v>
      </c>
      <c r="K3622" s="8">
        <f>financials[[#This Row],[Net Sales]]-financials[[#This Row],[COGS]]</f>
        <v>322.40000000000003</v>
      </c>
      <c r="L3622" s="15">
        <v>45363</v>
      </c>
      <c r="M3622" t="s">
        <v>691</v>
      </c>
    </row>
    <row r="3623" spans="1:13" x14ac:dyDescent="0.25">
      <c r="A3623" t="s">
        <v>86</v>
      </c>
      <c r="B3623" s="6" t="s">
        <v>158</v>
      </c>
      <c r="C3623" s="13">
        <v>109</v>
      </c>
      <c r="D3623" s="14" t="s">
        <v>91</v>
      </c>
      <c r="E3623">
        <v>13</v>
      </c>
      <c r="F3623" s="8">
        <f>VLOOKUP(financials[[#This Row],[productid]],Products!$B$2:$H$10,3)</f>
        <v>36</v>
      </c>
      <c r="G3623" s="8">
        <f>financials[[#This Row],[Units Sold]]*financials[[#This Row],[Sale Price]]</f>
        <v>468</v>
      </c>
      <c r="H3623" s="8">
        <f>IF(financials[[#This Row],[Discount Band]]="low",0.1,IF(financials[[#This Row],[Discount Band]]="medium",0.15,0.3))</f>
        <v>0.1</v>
      </c>
      <c r="I3623" s="8">
        <f>financials[[#This Row],[Gross Sales]]-financials[[#This Row],[Gross Sales]]*financials[[#This Row],[Discounts]]</f>
        <v>421.2</v>
      </c>
      <c r="J3623" s="8">
        <f>VLOOKUP(financials[[#This Row],[productid]],Products!$B$2:$H$10,4)</f>
        <v>16.8</v>
      </c>
      <c r="K3623" s="8">
        <f>financials[[#This Row],[Net Sales]]-financials[[#This Row],[COGS]]</f>
        <v>404.4</v>
      </c>
      <c r="L3623" s="15">
        <v>45599</v>
      </c>
      <c r="M3623" t="s">
        <v>697</v>
      </c>
    </row>
    <row r="3624" spans="1:13" x14ac:dyDescent="0.25">
      <c r="A3624" t="s">
        <v>86</v>
      </c>
      <c r="B3624" s="6" t="s">
        <v>94</v>
      </c>
      <c r="C3624" s="13">
        <v>103</v>
      </c>
      <c r="D3624" s="14" t="s">
        <v>83</v>
      </c>
      <c r="E3624">
        <v>16</v>
      </c>
      <c r="F3624" s="8">
        <f>VLOOKUP(financials[[#This Row],[productid]],Products!$B$2:$H$10,3)</f>
        <v>28</v>
      </c>
      <c r="G3624" s="8">
        <f>financials[[#This Row],[Units Sold]]*financials[[#This Row],[Sale Price]]</f>
        <v>448</v>
      </c>
      <c r="H3624" s="8">
        <f>IF(financials[[#This Row],[Discount Band]]="low",0.1,IF(financials[[#This Row],[Discount Band]]="medium",0.15,0.3))</f>
        <v>0.3</v>
      </c>
      <c r="I3624" s="8">
        <f>financials[[#This Row],[Gross Sales]]-financials[[#This Row],[Gross Sales]]*financials[[#This Row],[Discounts]]</f>
        <v>313.60000000000002</v>
      </c>
      <c r="J3624" s="8">
        <f>VLOOKUP(financials[[#This Row],[productid]],Products!$B$2:$H$10,4)</f>
        <v>15</v>
      </c>
      <c r="K3624" s="8">
        <f>financials[[#This Row],[Net Sales]]-financials[[#This Row],[COGS]]</f>
        <v>298.60000000000002</v>
      </c>
      <c r="L3624" s="15">
        <v>44490</v>
      </c>
      <c r="M3624" t="s">
        <v>697</v>
      </c>
    </row>
    <row r="3625" spans="1:13" x14ac:dyDescent="0.25">
      <c r="A3625" t="s">
        <v>86</v>
      </c>
      <c r="B3625" s="6" t="s">
        <v>645</v>
      </c>
      <c r="C3625" s="13">
        <v>108</v>
      </c>
      <c r="D3625" s="14" t="s">
        <v>91</v>
      </c>
      <c r="E3625">
        <v>11</v>
      </c>
      <c r="F3625" s="8">
        <f>VLOOKUP(financials[[#This Row],[productid]],Products!$B$2:$H$10,3)</f>
        <v>5.5</v>
      </c>
      <c r="G3625" s="8">
        <f>financials[[#This Row],[Units Sold]]*financials[[#This Row],[Sale Price]]</f>
        <v>60.5</v>
      </c>
      <c r="H3625" s="8">
        <f>IF(financials[[#This Row],[Discount Band]]="low",0.1,IF(financials[[#This Row],[Discount Band]]="medium",0.15,0.3))</f>
        <v>0.1</v>
      </c>
      <c r="I3625" s="8">
        <f>financials[[#This Row],[Gross Sales]]-financials[[#This Row],[Gross Sales]]*financials[[#This Row],[Discounts]]</f>
        <v>54.45</v>
      </c>
      <c r="J3625" s="8">
        <f>VLOOKUP(financials[[#This Row],[productid]],Products!$B$2:$H$10,4)</f>
        <v>3.99</v>
      </c>
      <c r="K3625" s="8">
        <f>financials[[#This Row],[Net Sales]]-financials[[#This Row],[COGS]]</f>
        <v>50.46</v>
      </c>
      <c r="L3625" s="15">
        <v>44245</v>
      </c>
      <c r="M3625" t="s">
        <v>697</v>
      </c>
    </row>
    <row r="3626" spans="1:13" x14ac:dyDescent="0.25">
      <c r="A3626" t="s">
        <v>86</v>
      </c>
      <c r="B3626" s="6" t="s">
        <v>268</v>
      </c>
      <c r="C3626" s="11">
        <v>101</v>
      </c>
      <c r="D3626" s="9" t="s">
        <v>90</v>
      </c>
      <c r="E3626">
        <v>6</v>
      </c>
      <c r="F3626" s="8">
        <f>VLOOKUP(financials[[#This Row],[productid]],Products!$B$2:$H$10,3)</f>
        <v>23</v>
      </c>
      <c r="G3626" s="8">
        <f>financials[[#This Row],[Units Sold]]*financials[[#This Row],[Sale Price]]</f>
        <v>138</v>
      </c>
      <c r="H3626" s="8">
        <f>IF(financials[[#This Row],[Discount Band]]="low",0.1,IF(financials[[#This Row],[Discount Band]]="medium",0.15,0.3))</f>
        <v>0.15</v>
      </c>
      <c r="I3626" s="8">
        <f>financials[[#This Row],[Gross Sales]]-financials[[#This Row],[Gross Sales]]*financials[[#This Row],[Discounts]]</f>
        <v>117.3</v>
      </c>
      <c r="J3626" s="8">
        <f>VLOOKUP(financials[[#This Row],[productid]],Products!$B$2:$H$10,4)</f>
        <v>9.9499999999999993</v>
      </c>
      <c r="K3626" s="8">
        <f>financials[[#This Row],[Net Sales]]-financials[[#This Row],[COGS]]</f>
        <v>107.35</v>
      </c>
      <c r="L3626" s="15">
        <v>44250</v>
      </c>
      <c r="M3626" t="s">
        <v>690</v>
      </c>
    </row>
    <row r="3627" spans="1:13" x14ac:dyDescent="0.25">
      <c r="A3627" t="s">
        <v>86</v>
      </c>
      <c r="B3627" s="6" t="s">
        <v>240</v>
      </c>
      <c r="C3627" s="13">
        <v>109</v>
      </c>
      <c r="D3627" s="14" t="s">
        <v>90</v>
      </c>
      <c r="E3627">
        <v>16</v>
      </c>
      <c r="F3627" s="8">
        <f>VLOOKUP(financials[[#This Row],[productid]],Products!$B$2:$H$10,3)</f>
        <v>36</v>
      </c>
      <c r="G3627" s="8">
        <f>financials[[#This Row],[Units Sold]]*financials[[#This Row],[Sale Price]]</f>
        <v>576</v>
      </c>
      <c r="H3627" s="8">
        <f>IF(financials[[#This Row],[Discount Band]]="low",0.1,IF(financials[[#This Row],[Discount Band]]="medium",0.15,0.3))</f>
        <v>0.15</v>
      </c>
      <c r="I3627" s="8">
        <f>financials[[#This Row],[Gross Sales]]-financials[[#This Row],[Gross Sales]]*financials[[#This Row],[Discounts]]</f>
        <v>489.6</v>
      </c>
      <c r="J3627" s="8">
        <f>VLOOKUP(financials[[#This Row],[productid]],Products!$B$2:$H$10,4)</f>
        <v>16.8</v>
      </c>
      <c r="K3627" s="8">
        <f>financials[[#This Row],[Net Sales]]-financials[[#This Row],[COGS]]</f>
        <v>472.8</v>
      </c>
      <c r="L3627" s="15">
        <v>44143</v>
      </c>
      <c r="M3627" t="s">
        <v>697</v>
      </c>
    </row>
    <row r="3628" spans="1:13" x14ac:dyDescent="0.25">
      <c r="A3628" t="s">
        <v>86</v>
      </c>
      <c r="B3628" s="6" t="s">
        <v>93</v>
      </c>
      <c r="C3628" s="13">
        <v>107</v>
      </c>
      <c r="D3628" s="14" t="s">
        <v>83</v>
      </c>
      <c r="E3628">
        <v>15</v>
      </c>
      <c r="F3628" s="8">
        <f>VLOOKUP(financials[[#This Row],[productid]],Products!$B$2:$H$10,3)</f>
        <v>15</v>
      </c>
      <c r="G3628" s="8">
        <f>financials[[#This Row],[Units Sold]]*financials[[#This Row],[Sale Price]]</f>
        <v>225</v>
      </c>
      <c r="H3628" s="8">
        <f>IF(financials[[#This Row],[Discount Band]]="low",0.1,IF(financials[[#This Row],[Discount Band]]="medium",0.15,0.3))</f>
        <v>0.3</v>
      </c>
      <c r="I3628" s="8">
        <f>financials[[#This Row],[Gross Sales]]-financials[[#This Row],[Gross Sales]]*financials[[#This Row],[Discounts]]</f>
        <v>157.5</v>
      </c>
      <c r="J3628" s="8">
        <f>VLOOKUP(financials[[#This Row],[productid]],Products!$B$2:$H$10,4)</f>
        <v>5.5</v>
      </c>
      <c r="K3628" s="8">
        <f>financials[[#This Row],[Net Sales]]-financials[[#This Row],[COGS]]</f>
        <v>152</v>
      </c>
      <c r="L3628" s="15">
        <v>44316</v>
      </c>
      <c r="M3628" t="s">
        <v>697</v>
      </c>
    </row>
    <row r="3629" spans="1:13" x14ac:dyDescent="0.25">
      <c r="A3629" t="s">
        <v>86</v>
      </c>
      <c r="B3629" s="6" t="s">
        <v>124</v>
      </c>
      <c r="C3629" s="13">
        <v>108</v>
      </c>
      <c r="D3629" s="14" t="s">
        <v>90</v>
      </c>
      <c r="E3629">
        <v>16</v>
      </c>
      <c r="F3629" s="8">
        <f>VLOOKUP(financials[[#This Row],[productid]],Products!$B$2:$H$10,3)</f>
        <v>5.5</v>
      </c>
      <c r="G3629" s="8">
        <f>financials[[#This Row],[Units Sold]]*financials[[#This Row],[Sale Price]]</f>
        <v>88</v>
      </c>
      <c r="H3629" s="8">
        <f>IF(financials[[#This Row],[Discount Band]]="low",0.1,IF(financials[[#This Row],[Discount Band]]="medium",0.15,0.3))</f>
        <v>0.15</v>
      </c>
      <c r="I3629" s="8">
        <f>financials[[#This Row],[Gross Sales]]-financials[[#This Row],[Gross Sales]]*financials[[#This Row],[Discounts]]</f>
        <v>74.8</v>
      </c>
      <c r="J3629" s="8">
        <f>VLOOKUP(financials[[#This Row],[productid]],Products!$B$2:$H$10,4)</f>
        <v>3.99</v>
      </c>
      <c r="K3629" s="8">
        <f>financials[[#This Row],[Net Sales]]-financials[[#This Row],[COGS]]</f>
        <v>70.81</v>
      </c>
      <c r="L3629" s="15">
        <v>45576</v>
      </c>
      <c r="M3629" t="s">
        <v>696</v>
      </c>
    </row>
    <row r="3630" spans="1:13" x14ac:dyDescent="0.25">
      <c r="A3630" t="s">
        <v>86</v>
      </c>
      <c r="B3630" s="6" t="s">
        <v>159</v>
      </c>
      <c r="C3630" s="13">
        <v>104</v>
      </c>
      <c r="D3630" s="14" t="s">
        <v>83</v>
      </c>
      <c r="E3630">
        <v>10</v>
      </c>
      <c r="F3630" s="8">
        <f>VLOOKUP(financials[[#This Row],[productid]],Products!$B$2:$H$10,3)</f>
        <v>5.9</v>
      </c>
      <c r="G3630" s="8">
        <f>financials[[#This Row],[Units Sold]]*financials[[#This Row],[Sale Price]]</f>
        <v>59</v>
      </c>
      <c r="H3630" s="8">
        <f>IF(financials[[#This Row],[Discount Band]]="low",0.1,IF(financials[[#This Row],[Discount Band]]="medium",0.15,0.3))</f>
        <v>0.3</v>
      </c>
      <c r="I3630" s="8">
        <f>financials[[#This Row],[Gross Sales]]-financials[[#This Row],[Gross Sales]]*financials[[#This Row],[Discounts]]</f>
        <v>41.3</v>
      </c>
      <c r="J3630" s="8">
        <f>VLOOKUP(financials[[#This Row],[productid]],Products!$B$2:$H$10,4)</f>
        <v>2.9</v>
      </c>
      <c r="K3630" s="8">
        <f>financials[[#This Row],[Net Sales]]-financials[[#This Row],[COGS]]</f>
        <v>38.4</v>
      </c>
      <c r="L3630" s="15">
        <v>43993</v>
      </c>
      <c r="M3630" t="s">
        <v>690</v>
      </c>
    </row>
    <row r="3631" spans="1:13" x14ac:dyDescent="0.25">
      <c r="A3631" t="s">
        <v>86</v>
      </c>
      <c r="B3631" s="6" t="s">
        <v>240</v>
      </c>
      <c r="C3631" s="11">
        <v>104</v>
      </c>
      <c r="D3631" s="9" t="s">
        <v>91</v>
      </c>
      <c r="E3631">
        <v>8</v>
      </c>
      <c r="F3631" s="8">
        <f>VLOOKUP(financials[[#This Row],[productid]],Products!$B$2:$H$10,3)</f>
        <v>5.9</v>
      </c>
      <c r="G3631" s="8">
        <f>financials[[#This Row],[Units Sold]]*financials[[#This Row],[Sale Price]]</f>
        <v>47.2</v>
      </c>
      <c r="H3631" s="8">
        <f>IF(financials[[#This Row],[Discount Band]]="low",0.1,IF(financials[[#This Row],[Discount Band]]="medium",0.15,0.3))</f>
        <v>0.1</v>
      </c>
      <c r="I3631" s="8">
        <f>financials[[#This Row],[Gross Sales]]-financials[[#This Row],[Gross Sales]]*financials[[#This Row],[Discounts]]</f>
        <v>42.480000000000004</v>
      </c>
      <c r="J3631" s="8">
        <f>VLOOKUP(financials[[#This Row],[productid]],Products!$B$2:$H$10,4)</f>
        <v>2.9</v>
      </c>
      <c r="K3631" s="8">
        <f>financials[[#This Row],[Net Sales]]-financials[[#This Row],[COGS]]</f>
        <v>39.580000000000005</v>
      </c>
      <c r="L3631" s="15">
        <v>44677</v>
      </c>
      <c r="M3631" t="s">
        <v>697</v>
      </c>
    </row>
    <row r="3632" spans="1:13" x14ac:dyDescent="0.25">
      <c r="A3632" t="s">
        <v>88</v>
      </c>
      <c r="B3632" s="6" t="s">
        <v>197</v>
      </c>
      <c r="C3632" s="11">
        <v>105</v>
      </c>
      <c r="D3632" s="9" t="s">
        <v>83</v>
      </c>
      <c r="E3632">
        <v>9</v>
      </c>
      <c r="F3632" s="8">
        <f>VLOOKUP(financials[[#This Row],[productid]],Products!$B$2:$H$10,3)</f>
        <v>15</v>
      </c>
      <c r="G3632" s="8">
        <f>financials[[#This Row],[Units Sold]]*financials[[#This Row],[Sale Price]]</f>
        <v>135</v>
      </c>
      <c r="H3632" s="8">
        <f>IF(financials[[#This Row],[Discount Band]]="low",0.1,IF(financials[[#This Row],[Discount Band]]="medium",0.15,0.3))</f>
        <v>0.3</v>
      </c>
      <c r="I3632" s="8">
        <f>financials[[#This Row],[Gross Sales]]-financials[[#This Row],[Gross Sales]]*financials[[#This Row],[Discounts]]</f>
        <v>94.5</v>
      </c>
      <c r="J3632" s="8">
        <f>VLOOKUP(financials[[#This Row],[productid]],Products!$B$2:$H$10,4)</f>
        <v>10</v>
      </c>
      <c r="K3632" s="8">
        <f>financials[[#This Row],[Net Sales]]-financials[[#This Row],[COGS]]</f>
        <v>84.5</v>
      </c>
      <c r="L3632" s="15">
        <v>45620</v>
      </c>
      <c r="M3632" t="s">
        <v>700</v>
      </c>
    </row>
    <row r="3633" spans="1:13" x14ac:dyDescent="0.25">
      <c r="A3633" t="s">
        <v>88</v>
      </c>
      <c r="B3633" s="6" t="s">
        <v>158</v>
      </c>
      <c r="C3633" s="13">
        <v>103</v>
      </c>
      <c r="D3633" s="14" t="s">
        <v>83</v>
      </c>
      <c r="E3633">
        <v>15</v>
      </c>
      <c r="F3633" s="8">
        <f>VLOOKUP(financials[[#This Row],[productid]],Products!$B$2:$H$10,3)</f>
        <v>28</v>
      </c>
      <c r="G3633" s="8">
        <f>financials[[#This Row],[Units Sold]]*financials[[#This Row],[Sale Price]]</f>
        <v>420</v>
      </c>
      <c r="H3633" s="8">
        <f>IF(financials[[#This Row],[Discount Band]]="low",0.1,IF(financials[[#This Row],[Discount Band]]="medium",0.15,0.3))</f>
        <v>0.3</v>
      </c>
      <c r="I3633" s="8">
        <f>financials[[#This Row],[Gross Sales]]-financials[[#This Row],[Gross Sales]]*financials[[#This Row],[Discounts]]</f>
        <v>294</v>
      </c>
      <c r="J3633" s="8">
        <f>VLOOKUP(financials[[#This Row],[productid]],Products!$B$2:$H$10,4)</f>
        <v>15</v>
      </c>
      <c r="K3633" s="8">
        <f>financials[[#This Row],[Net Sales]]-financials[[#This Row],[COGS]]</f>
        <v>279</v>
      </c>
      <c r="L3633" s="15">
        <v>45476</v>
      </c>
      <c r="M3633" t="s">
        <v>691</v>
      </c>
    </row>
    <row r="3634" spans="1:13" x14ac:dyDescent="0.25">
      <c r="A3634" t="s">
        <v>88</v>
      </c>
      <c r="B3634" s="6" t="s">
        <v>197</v>
      </c>
      <c r="C3634" s="13">
        <v>103</v>
      </c>
      <c r="D3634" s="14" t="s">
        <v>90</v>
      </c>
      <c r="E3634">
        <v>13</v>
      </c>
      <c r="F3634" s="8">
        <f>VLOOKUP(financials[[#This Row],[productid]],Products!$B$2:$H$10,3)</f>
        <v>28</v>
      </c>
      <c r="G3634" s="8">
        <f>financials[[#This Row],[Units Sold]]*financials[[#This Row],[Sale Price]]</f>
        <v>364</v>
      </c>
      <c r="H3634" s="8">
        <f>IF(financials[[#This Row],[Discount Band]]="low",0.1,IF(financials[[#This Row],[Discount Band]]="medium",0.15,0.3))</f>
        <v>0.15</v>
      </c>
      <c r="I3634" s="8">
        <f>financials[[#This Row],[Gross Sales]]-financials[[#This Row],[Gross Sales]]*financials[[#This Row],[Discounts]]</f>
        <v>309.39999999999998</v>
      </c>
      <c r="J3634" s="8">
        <f>VLOOKUP(financials[[#This Row],[productid]],Products!$B$2:$H$10,4)</f>
        <v>15</v>
      </c>
      <c r="K3634" s="8">
        <f>financials[[#This Row],[Net Sales]]-financials[[#This Row],[COGS]]</f>
        <v>294.39999999999998</v>
      </c>
      <c r="L3634" s="15">
        <v>45437</v>
      </c>
      <c r="M3634" t="s">
        <v>697</v>
      </c>
    </row>
    <row r="3635" spans="1:13" x14ac:dyDescent="0.25">
      <c r="A3635" t="s">
        <v>86</v>
      </c>
      <c r="B3635" s="6" t="s">
        <v>232</v>
      </c>
      <c r="C3635" s="13">
        <v>106</v>
      </c>
      <c r="D3635" s="14" t="s">
        <v>90</v>
      </c>
      <c r="E3635">
        <v>10</v>
      </c>
      <c r="F3635" s="8">
        <f>VLOOKUP(financials[[#This Row],[productid]],Products!$B$2:$H$10,3)</f>
        <v>25</v>
      </c>
      <c r="G3635" s="8">
        <f>financials[[#This Row],[Units Sold]]*financials[[#This Row],[Sale Price]]</f>
        <v>250</v>
      </c>
      <c r="H3635" s="8">
        <f>IF(financials[[#This Row],[Discount Band]]="low",0.1,IF(financials[[#This Row],[Discount Band]]="medium",0.15,0.3))</f>
        <v>0.15</v>
      </c>
      <c r="I3635" s="8">
        <f>financials[[#This Row],[Gross Sales]]-financials[[#This Row],[Gross Sales]]*financials[[#This Row],[Discounts]]</f>
        <v>212.5</v>
      </c>
      <c r="J3635" s="8">
        <f>VLOOKUP(financials[[#This Row],[productid]],Products!$B$2:$H$10,4)</f>
        <v>9.1</v>
      </c>
      <c r="K3635" s="8">
        <f>financials[[#This Row],[Net Sales]]-financials[[#This Row],[COGS]]</f>
        <v>203.4</v>
      </c>
      <c r="L3635" s="15">
        <v>44117</v>
      </c>
      <c r="M3635" t="s">
        <v>691</v>
      </c>
    </row>
    <row r="3636" spans="1:13" x14ac:dyDescent="0.25">
      <c r="A3636" t="s">
        <v>88</v>
      </c>
      <c r="B3636" s="6" t="s">
        <v>197</v>
      </c>
      <c r="C3636" s="13">
        <v>105</v>
      </c>
      <c r="D3636" s="14" t="s">
        <v>92</v>
      </c>
      <c r="E3636">
        <v>9</v>
      </c>
      <c r="F3636" s="8">
        <f>VLOOKUP(financials[[#This Row],[productid]],Products!$B$2:$H$10,3)</f>
        <v>15</v>
      </c>
      <c r="G3636" s="8">
        <f>financials[[#This Row],[Units Sold]]*financials[[#This Row],[Sale Price]]</f>
        <v>135</v>
      </c>
      <c r="H3636" s="8">
        <f>IF(financials[[#This Row],[Discount Band]]="low",0.1,IF(financials[[#This Row],[Discount Band]]="medium",0.15,0.3))</f>
        <v>0.3</v>
      </c>
      <c r="I3636" s="8">
        <f>financials[[#This Row],[Gross Sales]]-financials[[#This Row],[Gross Sales]]*financials[[#This Row],[Discounts]]</f>
        <v>94.5</v>
      </c>
      <c r="J3636" s="8">
        <f>VLOOKUP(financials[[#This Row],[productid]],Products!$B$2:$H$10,4)</f>
        <v>10</v>
      </c>
      <c r="K3636" s="8">
        <f>financials[[#This Row],[Net Sales]]-financials[[#This Row],[COGS]]</f>
        <v>84.5</v>
      </c>
      <c r="L3636" s="15">
        <v>45291</v>
      </c>
      <c r="M3636" t="s">
        <v>690</v>
      </c>
    </row>
    <row r="3637" spans="1:13" x14ac:dyDescent="0.25">
      <c r="A3637" t="s">
        <v>86</v>
      </c>
      <c r="B3637" s="6" t="s">
        <v>148</v>
      </c>
      <c r="C3637" s="13">
        <v>104</v>
      </c>
      <c r="D3637" s="14" t="s">
        <v>83</v>
      </c>
      <c r="E3637">
        <v>12</v>
      </c>
      <c r="F3637" s="8">
        <f>VLOOKUP(financials[[#This Row],[productid]],Products!$B$2:$H$10,3)</f>
        <v>5.9</v>
      </c>
      <c r="G3637" s="8">
        <f>financials[[#This Row],[Units Sold]]*financials[[#This Row],[Sale Price]]</f>
        <v>70.800000000000011</v>
      </c>
      <c r="H3637" s="8">
        <f>IF(financials[[#This Row],[Discount Band]]="low",0.1,IF(financials[[#This Row],[Discount Band]]="medium",0.15,0.3))</f>
        <v>0.3</v>
      </c>
      <c r="I3637" s="8">
        <f>financials[[#This Row],[Gross Sales]]-financials[[#This Row],[Gross Sales]]*financials[[#This Row],[Discounts]]</f>
        <v>49.560000000000009</v>
      </c>
      <c r="J3637" s="8">
        <f>VLOOKUP(financials[[#This Row],[productid]],Products!$B$2:$H$10,4)</f>
        <v>2.9</v>
      </c>
      <c r="K3637" s="8">
        <f>financials[[#This Row],[Net Sales]]-financials[[#This Row],[COGS]]</f>
        <v>46.660000000000011</v>
      </c>
      <c r="L3637" s="15">
        <v>44184</v>
      </c>
      <c r="M3637" t="s">
        <v>696</v>
      </c>
    </row>
    <row r="3638" spans="1:13" x14ac:dyDescent="0.25">
      <c r="A3638" t="s">
        <v>86</v>
      </c>
      <c r="B3638" s="6" t="s">
        <v>94</v>
      </c>
      <c r="C3638" s="13">
        <v>106</v>
      </c>
      <c r="D3638" s="14" t="s">
        <v>91</v>
      </c>
      <c r="E3638">
        <v>5</v>
      </c>
      <c r="F3638" s="8">
        <f>VLOOKUP(financials[[#This Row],[productid]],Products!$B$2:$H$10,3)</f>
        <v>25</v>
      </c>
      <c r="G3638" s="8">
        <f>financials[[#This Row],[Units Sold]]*financials[[#This Row],[Sale Price]]</f>
        <v>125</v>
      </c>
      <c r="H3638" s="8">
        <f>IF(financials[[#This Row],[Discount Band]]="low",0.1,IF(financials[[#This Row],[Discount Band]]="medium",0.15,0.3))</f>
        <v>0.1</v>
      </c>
      <c r="I3638" s="8">
        <f>financials[[#This Row],[Gross Sales]]-financials[[#This Row],[Gross Sales]]*financials[[#This Row],[Discounts]]</f>
        <v>112.5</v>
      </c>
      <c r="J3638" s="8">
        <f>VLOOKUP(financials[[#This Row],[productid]],Products!$B$2:$H$10,4)</f>
        <v>9.1</v>
      </c>
      <c r="K3638" s="8">
        <f>financials[[#This Row],[Net Sales]]-financials[[#This Row],[COGS]]</f>
        <v>103.4</v>
      </c>
      <c r="L3638" s="15">
        <v>45090</v>
      </c>
      <c r="M3638" t="s">
        <v>690</v>
      </c>
    </row>
    <row r="3639" spans="1:13" x14ac:dyDescent="0.25">
      <c r="A3639" t="s">
        <v>86</v>
      </c>
      <c r="B3639" s="6" t="s">
        <v>159</v>
      </c>
      <c r="C3639" s="13">
        <v>109</v>
      </c>
      <c r="D3639" s="14" t="s">
        <v>90</v>
      </c>
      <c r="E3639">
        <v>8</v>
      </c>
      <c r="F3639" s="8">
        <f>VLOOKUP(financials[[#This Row],[productid]],Products!$B$2:$H$10,3)</f>
        <v>36</v>
      </c>
      <c r="G3639" s="8">
        <f>financials[[#This Row],[Units Sold]]*financials[[#This Row],[Sale Price]]</f>
        <v>288</v>
      </c>
      <c r="H3639" s="8">
        <f>IF(financials[[#This Row],[Discount Band]]="low",0.1,IF(financials[[#This Row],[Discount Band]]="medium",0.15,0.3))</f>
        <v>0.15</v>
      </c>
      <c r="I3639" s="8">
        <f>financials[[#This Row],[Gross Sales]]-financials[[#This Row],[Gross Sales]]*financials[[#This Row],[Discounts]]</f>
        <v>244.8</v>
      </c>
      <c r="J3639" s="8">
        <f>VLOOKUP(financials[[#This Row],[productid]],Products!$B$2:$H$10,4)</f>
        <v>16.8</v>
      </c>
      <c r="K3639" s="8">
        <f>financials[[#This Row],[Net Sales]]-financials[[#This Row],[COGS]]</f>
        <v>228</v>
      </c>
      <c r="L3639" s="15">
        <v>44870</v>
      </c>
      <c r="M3639" t="s">
        <v>696</v>
      </c>
    </row>
    <row r="3640" spans="1:13" x14ac:dyDescent="0.25">
      <c r="A3640" t="s">
        <v>88</v>
      </c>
      <c r="B3640" s="6" t="s">
        <v>545</v>
      </c>
      <c r="C3640" s="11">
        <v>104</v>
      </c>
      <c r="D3640" s="9" t="s">
        <v>92</v>
      </c>
      <c r="E3640">
        <v>11</v>
      </c>
      <c r="F3640" s="8">
        <f>VLOOKUP(financials[[#This Row],[productid]],Products!$B$2:$H$10,3)</f>
        <v>5.9</v>
      </c>
      <c r="G3640" s="8">
        <f>financials[[#This Row],[Units Sold]]*financials[[#This Row],[Sale Price]]</f>
        <v>64.900000000000006</v>
      </c>
      <c r="H3640" s="8">
        <f>IF(financials[[#This Row],[Discount Band]]="low",0.1,IF(financials[[#This Row],[Discount Band]]="medium",0.15,0.3))</f>
        <v>0.3</v>
      </c>
      <c r="I3640" s="8">
        <f>financials[[#This Row],[Gross Sales]]-financials[[#This Row],[Gross Sales]]*financials[[#This Row],[Discounts]]</f>
        <v>45.430000000000007</v>
      </c>
      <c r="J3640" s="8">
        <f>VLOOKUP(financials[[#This Row],[productid]],Products!$B$2:$H$10,4)</f>
        <v>2.9</v>
      </c>
      <c r="K3640" s="8">
        <f>financials[[#This Row],[Net Sales]]-financials[[#This Row],[COGS]]</f>
        <v>42.530000000000008</v>
      </c>
      <c r="L3640" s="15">
        <v>45163</v>
      </c>
      <c r="M3640" t="s">
        <v>691</v>
      </c>
    </row>
    <row r="3641" spans="1:13" x14ac:dyDescent="0.25">
      <c r="A3641" t="s">
        <v>88</v>
      </c>
      <c r="B3641" s="6" t="s">
        <v>273</v>
      </c>
      <c r="C3641" s="11">
        <v>104</v>
      </c>
      <c r="D3641" s="9" t="s">
        <v>83</v>
      </c>
      <c r="E3641">
        <v>6</v>
      </c>
      <c r="F3641" s="8">
        <f>VLOOKUP(financials[[#This Row],[productid]],Products!$B$2:$H$10,3)</f>
        <v>5.9</v>
      </c>
      <c r="G3641" s="8">
        <f>financials[[#This Row],[Units Sold]]*financials[[#This Row],[Sale Price]]</f>
        <v>35.400000000000006</v>
      </c>
      <c r="H3641" s="8">
        <f>IF(financials[[#This Row],[Discount Band]]="low",0.1,IF(financials[[#This Row],[Discount Band]]="medium",0.15,0.3))</f>
        <v>0.3</v>
      </c>
      <c r="I3641" s="8">
        <f>financials[[#This Row],[Gross Sales]]-financials[[#This Row],[Gross Sales]]*financials[[#This Row],[Discounts]]</f>
        <v>24.780000000000005</v>
      </c>
      <c r="J3641" s="8">
        <f>VLOOKUP(financials[[#This Row],[productid]],Products!$B$2:$H$10,4)</f>
        <v>2.9</v>
      </c>
      <c r="K3641" s="8">
        <f>financials[[#This Row],[Net Sales]]-financials[[#This Row],[COGS]]</f>
        <v>21.880000000000006</v>
      </c>
      <c r="L3641" s="15">
        <v>45093</v>
      </c>
      <c r="M3641" t="s">
        <v>690</v>
      </c>
    </row>
    <row r="3642" spans="1:13" x14ac:dyDescent="0.25">
      <c r="A3642" t="s">
        <v>88</v>
      </c>
      <c r="B3642" s="6" t="s">
        <v>93</v>
      </c>
      <c r="C3642" s="11">
        <v>106</v>
      </c>
      <c r="D3642" s="9" t="s">
        <v>90</v>
      </c>
      <c r="E3642">
        <v>13</v>
      </c>
      <c r="F3642" s="8">
        <f>VLOOKUP(financials[[#This Row],[productid]],Products!$B$2:$H$10,3)</f>
        <v>25</v>
      </c>
      <c r="G3642" s="8">
        <f>financials[[#This Row],[Units Sold]]*financials[[#This Row],[Sale Price]]</f>
        <v>325</v>
      </c>
      <c r="H3642" s="8">
        <f>IF(financials[[#This Row],[Discount Band]]="low",0.1,IF(financials[[#This Row],[Discount Band]]="medium",0.15,0.3))</f>
        <v>0.15</v>
      </c>
      <c r="I3642" s="8">
        <f>financials[[#This Row],[Gross Sales]]-financials[[#This Row],[Gross Sales]]*financials[[#This Row],[Discounts]]</f>
        <v>276.25</v>
      </c>
      <c r="J3642" s="8">
        <f>VLOOKUP(financials[[#This Row],[productid]],Products!$B$2:$H$10,4)</f>
        <v>9.1</v>
      </c>
      <c r="K3642" s="8">
        <f>financials[[#This Row],[Net Sales]]-financials[[#This Row],[COGS]]</f>
        <v>267.14999999999998</v>
      </c>
      <c r="L3642" s="15">
        <v>44166</v>
      </c>
      <c r="M3642" t="s">
        <v>691</v>
      </c>
    </row>
    <row r="3643" spans="1:13" x14ac:dyDescent="0.25">
      <c r="A3643" t="s">
        <v>86</v>
      </c>
      <c r="B3643" s="6" t="s">
        <v>148</v>
      </c>
      <c r="C3643" s="13">
        <v>104</v>
      </c>
      <c r="D3643" s="14" t="s">
        <v>91</v>
      </c>
      <c r="E3643">
        <v>13</v>
      </c>
      <c r="F3643" s="8">
        <f>VLOOKUP(financials[[#This Row],[productid]],Products!$B$2:$H$10,3)</f>
        <v>5.9</v>
      </c>
      <c r="G3643" s="8">
        <f>financials[[#This Row],[Units Sold]]*financials[[#This Row],[Sale Price]]</f>
        <v>76.7</v>
      </c>
      <c r="H3643" s="8">
        <f>IF(financials[[#This Row],[Discount Band]]="low",0.1,IF(financials[[#This Row],[Discount Band]]="medium",0.15,0.3))</f>
        <v>0.1</v>
      </c>
      <c r="I3643" s="8">
        <f>financials[[#This Row],[Gross Sales]]-financials[[#This Row],[Gross Sales]]*financials[[#This Row],[Discounts]]</f>
        <v>69.03</v>
      </c>
      <c r="J3643" s="8">
        <f>VLOOKUP(financials[[#This Row],[productid]],Products!$B$2:$H$10,4)</f>
        <v>2.9</v>
      </c>
      <c r="K3643" s="8">
        <f>financials[[#This Row],[Net Sales]]-financials[[#This Row],[COGS]]</f>
        <v>66.13</v>
      </c>
      <c r="L3643" s="15">
        <v>45095</v>
      </c>
      <c r="M3643" t="s">
        <v>696</v>
      </c>
    </row>
    <row r="3644" spans="1:13" x14ac:dyDescent="0.25">
      <c r="A3644" t="s">
        <v>86</v>
      </c>
      <c r="B3644" s="6" t="s">
        <v>617</v>
      </c>
      <c r="C3644" s="13">
        <v>104</v>
      </c>
      <c r="D3644" s="14" t="s">
        <v>90</v>
      </c>
      <c r="E3644">
        <v>10</v>
      </c>
      <c r="F3644" s="8">
        <f>VLOOKUP(financials[[#This Row],[productid]],Products!$B$2:$H$10,3)</f>
        <v>5.9</v>
      </c>
      <c r="G3644" s="8">
        <f>financials[[#This Row],[Units Sold]]*financials[[#This Row],[Sale Price]]</f>
        <v>59</v>
      </c>
      <c r="H3644" s="8">
        <f>IF(financials[[#This Row],[Discount Band]]="low",0.1,IF(financials[[#This Row],[Discount Band]]="medium",0.15,0.3))</f>
        <v>0.15</v>
      </c>
      <c r="I3644" s="8">
        <f>financials[[#This Row],[Gross Sales]]-financials[[#This Row],[Gross Sales]]*financials[[#This Row],[Discounts]]</f>
        <v>50.15</v>
      </c>
      <c r="J3644" s="8">
        <f>VLOOKUP(financials[[#This Row],[productid]],Products!$B$2:$H$10,4)</f>
        <v>2.9</v>
      </c>
      <c r="K3644" s="8">
        <f>financials[[#This Row],[Net Sales]]-financials[[#This Row],[COGS]]</f>
        <v>47.25</v>
      </c>
      <c r="L3644" s="15">
        <v>44784</v>
      </c>
      <c r="M3644" t="s">
        <v>696</v>
      </c>
    </row>
    <row r="3645" spans="1:13" x14ac:dyDescent="0.25">
      <c r="A3645" t="s">
        <v>86</v>
      </c>
      <c r="B3645" s="6" t="s">
        <v>96</v>
      </c>
      <c r="C3645" s="13">
        <v>108</v>
      </c>
      <c r="D3645" s="14" t="s">
        <v>91</v>
      </c>
      <c r="E3645">
        <v>14</v>
      </c>
      <c r="F3645" s="8">
        <f>VLOOKUP(financials[[#This Row],[productid]],Products!$B$2:$H$10,3)</f>
        <v>5.5</v>
      </c>
      <c r="G3645" s="8">
        <f>financials[[#This Row],[Units Sold]]*financials[[#This Row],[Sale Price]]</f>
        <v>77</v>
      </c>
      <c r="H3645" s="8">
        <f>IF(financials[[#This Row],[Discount Band]]="low",0.1,IF(financials[[#This Row],[Discount Band]]="medium",0.15,0.3))</f>
        <v>0.1</v>
      </c>
      <c r="I3645" s="8">
        <f>financials[[#This Row],[Gross Sales]]-financials[[#This Row],[Gross Sales]]*financials[[#This Row],[Discounts]]</f>
        <v>69.3</v>
      </c>
      <c r="J3645" s="8">
        <f>VLOOKUP(financials[[#This Row],[productid]],Products!$B$2:$H$10,4)</f>
        <v>3.99</v>
      </c>
      <c r="K3645" s="8">
        <f>financials[[#This Row],[Net Sales]]-financials[[#This Row],[COGS]]</f>
        <v>65.31</v>
      </c>
      <c r="L3645" s="15">
        <v>44069</v>
      </c>
      <c r="M3645" t="s">
        <v>691</v>
      </c>
    </row>
    <row r="3646" spans="1:13" x14ac:dyDescent="0.25">
      <c r="A3646" t="s">
        <v>86</v>
      </c>
      <c r="B3646" s="6" t="s">
        <v>228</v>
      </c>
      <c r="C3646" s="13">
        <v>106</v>
      </c>
      <c r="D3646" s="14" t="s">
        <v>91</v>
      </c>
      <c r="E3646">
        <v>7</v>
      </c>
      <c r="F3646" s="8">
        <f>VLOOKUP(financials[[#This Row],[productid]],Products!$B$2:$H$10,3)</f>
        <v>25</v>
      </c>
      <c r="G3646" s="8">
        <f>financials[[#This Row],[Units Sold]]*financials[[#This Row],[Sale Price]]</f>
        <v>175</v>
      </c>
      <c r="H3646" s="8">
        <f>IF(financials[[#This Row],[Discount Band]]="low",0.1,IF(financials[[#This Row],[Discount Band]]="medium",0.15,0.3))</f>
        <v>0.1</v>
      </c>
      <c r="I3646" s="8">
        <f>financials[[#This Row],[Gross Sales]]-financials[[#This Row],[Gross Sales]]*financials[[#This Row],[Discounts]]</f>
        <v>157.5</v>
      </c>
      <c r="J3646" s="8">
        <f>VLOOKUP(financials[[#This Row],[productid]],Products!$B$2:$H$10,4)</f>
        <v>9.1</v>
      </c>
      <c r="K3646" s="8">
        <f>financials[[#This Row],[Net Sales]]-financials[[#This Row],[COGS]]</f>
        <v>148.4</v>
      </c>
      <c r="L3646" s="15">
        <v>44305</v>
      </c>
      <c r="M3646" t="s">
        <v>691</v>
      </c>
    </row>
    <row r="3647" spans="1:13" x14ac:dyDescent="0.25">
      <c r="A3647" t="s">
        <v>86</v>
      </c>
      <c r="B3647" s="6" t="s">
        <v>124</v>
      </c>
      <c r="C3647" s="13">
        <v>109</v>
      </c>
      <c r="D3647" s="14" t="s">
        <v>83</v>
      </c>
      <c r="E3647">
        <v>12</v>
      </c>
      <c r="F3647" s="8">
        <f>VLOOKUP(financials[[#This Row],[productid]],Products!$B$2:$H$10,3)</f>
        <v>36</v>
      </c>
      <c r="G3647" s="8">
        <f>financials[[#This Row],[Units Sold]]*financials[[#This Row],[Sale Price]]</f>
        <v>432</v>
      </c>
      <c r="H3647" s="8">
        <f>IF(financials[[#This Row],[Discount Band]]="low",0.1,IF(financials[[#This Row],[Discount Band]]="medium",0.15,0.3))</f>
        <v>0.3</v>
      </c>
      <c r="I3647" s="8">
        <f>financials[[#This Row],[Gross Sales]]-financials[[#This Row],[Gross Sales]]*financials[[#This Row],[Discounts]]</f>
        <v>302.39999999999998</v>
      </c>
      <c r="J3647" s="8">
        <f>VLOOKUP(financials[[#This Row],[productid]],Products!$B$2:$H$10,4)</f>
        <v>16.8</v>
      </c>
      <c r="K3647" s="8">
        <f>financials[[#This Row],[Net Sales]]-financials[[#This Row],[COGS]]</f>
        <v>285.59999999999997</v>
      </c>
      <c r="L3647" s="15">
        <v>44996</v>
      </c>
      <c r="M3647" t="s">
        <v>696</v>
      </c>
    </row>
    <row r="3648" spans="1:13" x14ac:dyDescent="0.25">
      <c r="A3648" t="s">
        <v>86</v>
      </c>
      <c r="B3648" s="6" t="s">
        <v>232</v>
      </c>
      <c r="C3648" s="11">
        <v>101</v>
      </c>
      <c r="D3648" s="9" t="s">
        <v>83</v>
      </c>
      <c r="E3648">
        <v>19</v>
      </c>
      <c r="F3648" s="8">
        <f>VLOOKUP(financials[[#This Row],[productid]],Products!$B$2:$H$10,3)</f>
        <v>23</v>
      </c>
      <c r="G3648" s="8">
        <f>financials[[#This Row],[Units Sold]]*financials[[#This Row],[Sale Price]]</f>
        <v>437</v>
      </c>
      <c r="H3648" s="8">
        <f>IF(financials[[#This Row],[Discount Band]]="low",0.1,IF(financials[[#This Row],[Discount Band]]="medium",0.15,0.3))</f>
        <v>0.3</v>
      </c>
      <c r="I3648" s="8">
        <f>financials[[#This Row],[Gross Sales]]-financials[[#This Row],[Gross Sales]]*financials[[#This Row],[Discounts]]</f>
        <v>305.89999999999998</v>
      </c>
      <c r="J3648" s="8">
        <f>VLOOKUP(financials[[#This Row],[productid]],Products!$B$2:$H$10,4)</f>
        <v>9.9499999999999993</v>
      </c>
      <c r="K3648" s="8">
        <f>financials[[#This Row],[Net Sales]]-financials[[#This Row],[COGS]]</f>
        <v>295.95</v>
      </c>
      <c r="L3648" s="15">
        <v>44873</v>
      </c>
      <c r="M3648" t="s">
        <v>697</v>
      </c>
    </row>
    <row r="3649" spans="1:13" x14ac:dyDescent="0.25">
      <c r="A3649" t="s">
        <v>86</v>
      </c>
      <c r="B3649" s="6" t="s">
        <v>96</v>
      </c>
      <c r="C3649" s="13">
        <v>108</v>
      </c>
      <c r="D3649" s="14" t="s">
        <v>83</v>
      </c>
      <c r="E3649">
        <v>11</v>
      </c>
      <c r="F3649" s="8">
        <f>VLOOKUP(financials[[#This Row],[productid]],Products!$B$2:$H$10,3)</f>
        <v>5.5</v>
      </c>
      <c r="G3649" s="8">
        <f>financials[[#This Row],[Units Sold]]*financials[[#This Row],[Sale Price]]</f>
        <v>60.5</v>
      </c>
      <c r="H3649" s="8">
        <f>IF(financials[[#This Row],[Discount Band]]="low",0.1,IF(financials[[#This Row],[Discount Band]]="medium",0.15,0.3))</f>
        <v>0.3</v>
      </c>
      <c r="I3649" s="8">
        <f>financials[[#This Row],[Gross Sales]]-financials[[#This Row],[Gross Sales]]*financials[[#This Row],[Discounts]]</f>
        <v>42.35</v>
      </c>
      <c r="J3649" s="8">
        <f>VLOOKUP(financials[[#This Row],[productid]],Products!$B$2:$H$10,4)</f>
        <v>3.99</v>
      </c>
      <c r="K3649" s="8">
        <f>financials[[#This Row],[Net Sales]]-financials[[#This Row],[COGS]]</f>
        <v>38.36</v>
      </c>
      <c r="L3649" s="15">
        <v>45226</v>
      </c>
      <c r="M3649" t="s">
        <v>690</v>
      </c>
    </row>
    <row r="3650" spans="1:13" x14ac:dyDescent="0.25">
      <c r="A3650" t="s">
        <v>86</v>
      </c>
      <c r="B3650" s="6" t="s">
        <v>617</v>
      </c>
      <c r="C3650" s="13">
        <v>106</v>
      </c>
      <c r="D3650" s="14" t="s">
        <v>83</v>
      </c>
      <c r="E3650">
        <v>8</v>
      </c>
      <c r="F3650" s="8">
        <f>VLOOKUP(financials[[#This Row],[productid]],Products!$B$2:$H$10,3)</f>
        <v>25</v>
      </c>
      <c r="G3650" s="8">
        <f>financials[[#This Row],[Units Sold]]*financials[[#This Row],[Sale Price]]</f>
        <v>200</v>
      </c>
      <c r="H3650" s="8">
        <f>IF(financials[[#This Row],[Discount Band]]="low",0.1,IF(financials[[#This Row],[Discount Band]]="medium",0.15,0.3))</f>
        <v>0.3</v>
      </c>
      <c r="I3650" s="8">
        <f>financials[[#This Row],[Gross Sales]]-financials[[#This Row],[Gross Sales]]*financials[[#This Row],[Discounts]]</f>
        <v>140</v>
      </c>
      <c r="J3650" s="8">
        <f>VLOOKUP(financials[[#This Row],[productid]],Products!$B$2:$H$10,4)</f>
        <v>9.1</v>
      </c>
      <c r="K3650" s="8">
        <f>financials[[#This Row],[Net Sales]]-financials[[#This Row],[COGS]]</f>
        <v>130.9</v>
      </c>
      <c r="L3650" s="15">
        <v>45476</v>
      </c>
      <c r="M3650" t="s">
        <v>691</v>
      </c>
    </row>
    <row r="3651" spans="1:13" x14ac:dyDescent="0.25">
      <c r="A3651" t="s">
        <v>86</v>
      </c>
      <c r="B3651" s="6" t="s">
        <v>158</v>
      </c>
      <c r="C3651" s="13">
        <v>102</v>
      </c>
      <c r="D3651" s="14" t="s">
        <v>90</v>
      </c>
      <c r="E3651">
        <v>17</v>
      </c>
      <c r="F3651" s="8">
        <f>VLOOKUP(financials[[#This Row],[productid]],Products!$B$2:$H$10,3)</f>
        <v>15</v>
      </c>
      <c r="G3651" s="8">
        <f>financials[[#This Row],[Units Sold]]*financials[[#This Row],[Sale Price]]</f>
        <v>255</v>
      </c>
      <c r="H3651" s="8">
        <f>IF(financials[[#This Row],[Discount Band]]="low",0.1,IF(financials[[#This Row],[Discount Band]]="medium",0.15,0.3))</f>
        <v>0.15</v>
      </c>
      <c r="I3651" s="8">
        <f>financials[[#This Row],[Gross Sales]]-financials[[#This Row],[Gross Sales]]*financials[[#This Row],[Discounts]]</f>
        <v>216.75</v>
      </c>
      <c r="J3651" s="8">
        <f>VLOOKUP(financials[[#This Row],[productid]],Products!$B$2:$H$10,4)</f>
        <v>13.95</v>
      </c>
      <c r="K3651" s="8">
        <f>financials[[#This Row],[Net Sales]]-financials[[#This Row],[COGS]]</f>
        <v>202.8</v>
      </c>
      <c r="L3651" s="15">
        <v>44906</v>
      </c>
      <c r="M3651" t="s">
        <v>700</v>
      </c>
    </row>
    <row r="3652" spans="1:13" x14ac:dyDescent="0.25">
      <c r="A3652" t="s">
        <v>86</v>
      </c>
      <c r="B3652" s="6" t="s">
        <v>148</v>
      </c>
      <c r="C3652" s="13">
        <v>107</v>
      </c>
      <c r="D3652" s="14" t="s">
        <v>83</v>
      </c>
      <c r="E3652">
        <v>13</v>
      </c>
      <c r="F3652" s="8">
        <f>VLOOKUP(financials[[#This Row],[productid]],Products!$B$2:$H$10,3)</f>
        <v>15</v>
      </c>
      <c r="G3652" s="8">
        <f>financials[[#This Row],[Units Sold]]*financials[[#This Row],[Sale Price]]</f>
        <v>195</v>
      </c>
      <c r="H3652" s="8">
        <f>IF(financials[[#This Row],[Discount Band]]="low",0.1,IF(financials[[#This Row],[Discount Band]]="medium",0.15,0.3))</f>
        <v>0.3</v>
      </c>
      <c r="I3652" s="8">
        <f>financials[[#This Row],[Gross Sales]]-financials[[#This Row],[Gross Sales]]*financials[[#This Row],[Discounts]]</f>
        <v>136.5</v>
      </c>
      <c r="J3652" s="8">
        <f>VLOOKUP(financials[[#This Row],[productid]],Products!$B$2:$H$10,4)</f>
        <v>5.5</v>
      </c>
      <c r="K3652" s="8">
        <f>financials[[#This Row],[Net Sales]]-financials[[#This Row],[COGS]]</f>
        <v>131</v>
      </c>
      <c r="L3652" s="15">
        <v>44562</v>
      </c>
      <c r="M3652" t="s">
        <v>691</v>
      </c>
    </row>
    <row r="3653" spans="1:13" x14ac:dyDescent="0.25">
      <c r="A3653" t="s">
        <v>86</v>
      </c>
      <c r="B3653" s="6" t="s">
        <v>274</v>
      </c>
      <c r="C3653" s="13">
        <v>106</v>
      </c>
      <c r="D3653" s="14" t="s">
        <v>91</v>
      </c>
      <c r="E3653">
        <v>17</v>
      </c>
      <c r="F3653" s="8">
        <f>VLOOKUP(financials[[#This Row],[productid]],Products!$B$2:$H$10,3)</f>
        <v>25</v>
      </c>
      <c r="G3653" s="8">
        <f>financials[[#This Row],[Units Sold]]*financials[[#This Row],[Sale Price]]</f>
        <v>425</v>
      </c>
      <c r="H3653" s="8">
        <f>IF(financials[[#This Row],[Discount Band]]="low",0.1,IF(financials[[#This Row],[Discount Band]]="medium",0.15,0.3))</f>
        <v>0.1</v>
      </c>
      <c r="I3653" s="8">
        <f>financials[[#This Row],[Gross Sales]]-financials[[#This Row],[Gross Sales]]*financials[[#This Row],[Discounts]]</f>
        <v>382.5</v>
      </c>
      <c r="J3653" s="8">
        <f>VLOOKUP(financials[[#This Row],[productid]],Products!$B$2:$H$10,4)</f>
        <v>9.1</v>
      </c>
      <c r="K3653" s="8">
        <f>financials[[#This Row],[Net Sales]]-financials[[#This Row],[COGS]]</f>
        <v>373.4</v>
      </c>
      <c r="L3653" s="15">
        <v>45452</v>
      </c>
      <c r="M3653" t="s">
        <v>696</v>
      </c>
    </row>
    <row r="3654" spans="1:13" x14ac:dyDescent="0.25">
      <c r="A3654" t="s">
        <v>88</v>
      </c>
      <c r="B3654" s="6" t="s">
        <v>268</v>
      </c>
      <c r="C3654" s="13">
        <v>108</v>
      </c>
      <c r="D3654" s="14" t="s">
        <v>83</v>
      </c>
      <c r="E3654">
        <v>15</v>
      </c>
      <c r="F3654" s="8">
        <f>VLOOKUP(financials[[#This Row],[productid]],Products!$B$2:$H$10,3)</f>
        <v>5.5</v>
      </c>
      <c r="G3654" s="8">
        <f>financials[[#This Row],[Units Sold]]*financials[[#This Row],[Sale Price]]</f>
        <v>82.5</v>
      </c>
      <c r="H3654" s="8">
        <f>IF(financials[[#This Row],[Discount Band]]="low",0.1,IF(financials[[#This Row],[Discount Band]]="medium",0.15,0.3))</f>
        <v>0.3</v>
      </c>
      <c r="I3654" s="8">
        <f>financials[[#This Row],[Gross Sales]]-financials[[#This Row],[Gross Sales]]*financials[[#This Row],[Discounts]]</f>
        <v>57.75</v>
      </c>
      <c r="J3654" s="8">
        <f>VLOOKUP(financials[[#This Row],[productid]],Products!$B$2:$H$10,4)</f>
        <v>3.99</v>
      </c>
      <c r="K3654" s="8">
        <f>financials[[#This Row],[Net Sales]]-financials[[#This Row],[COGS]]</f>
        <v>53.76</v>
      </c>
      <c r="L3654" s="15">
        <v>44442</v>
      </c>
      <c r="M3654" t="s">
        <v>691</v>
      </c>
    </row>
    <row r="3655" spans="1:13" x14ac:dyDescent="0.25">
      <c r="A3655" t="s">
        <v>88</v>
      </c>
      <c r="B3655" s="6" t="s">
        <v>197</v>
      </c>
      <c r="C3655" s="13">
        <v>101</v>
      </c>
      <c r="D3655" s="14" t="s">
        <v>83</v>
      </c>
      <c r="E3655">
        <v>14</v>
      </c>
      <c r="F3655" s="8">
        <f>VLOOKUP(financials[[#This Row],[productid]],Products!$B$2:$H$10,3)</f>
        <v>23</v>
      </c>
      <c r="G3655" s="8">
        <f>financials[[#This Row],[Units Sold]]*financials[[#This Row],[Sale Price]]</f>
        <v>322</v>
      </c>
      <c r="H3655" s="8">
        <f>IF(financials[[#This Row],[Discount Band]]="low",0.1,IF(financials[[#This Row],[Discount Band]]="medium",0.15,0.3))</f>
        <v>0.3</v>
      </c>
      <c r="I3655" s="8">
        <f>financials[[#This Row],[Gross Sales]]-financials[[#This Row],[Gross Sales]]*financials[[#This Row],[Discounts]]</f>
        <v>225.4</v>
      </c>
      <c r="J3655" s="8">
        <f>VLOOKUP(financials[[#This Row],[productid]],Products!$B$2:$H$10,4)</f>
        <v>9.9499999999999993</v>
      </c>
      <c r="K3655" s="8">
        <f>financials[[#This Row],[Net Sales]]-financials[[#This Row],[COGS]]</f>
        <v>215.45000000000002</v>
      </c>
      <c r="L3655" s="15">
        <v>45465</v>
      </c>
      <c r="M3655" t="s">
        <v>696</v>
      </c>
    </row>
    <row r="3656" spans="1:13" x14ac:dyDescent="0.25">
      <c r="A3656" t="s">
        <v>86</v>
      </c>
      <c r="B3656" s="6" t="s">
        <v>232</v>
      </c>
      <c r="C3656" s="11">
        <v>107</v>
      </c>
      <c r="D3656" s="9" t="s">
        <v>83</v>
      </c>
      <c r="E3656">
        <v>20</v>
      </c>
      <c r="F3656" s="8">
        <f>VLOOKUP(financials[[#This Row],[productid]],Products!$B$2:$H$10,3)</f>
        <v>15</v>
      </c>
      <c r="G3656" s="8">
        <f>financials[[#This Row],[Units Sold]]*financials[[#This Row],[Sale Price]]</f>
        <v>300</v>
      </c>
      <c r="H3656" s="8">
        <f>IF(financials[[#This Row],[Discount Band]]="low",0.1,IF(financials[[#This Row],[Discount Band]]="medium",0.15,0.3))</f>
        <v>0.3</v>
      </c>
      <c r="I3656" s="8">
        <f>financials[[#This Row],[Gross Sales]]-financials[[#This Row],[Gross Sales]]*financials[[#This Row],[Discounts]]</f>
        <v>210</v>
      </c>
      <c r="J3656" s="8">
        <f>VLOOKUP(financials[[#This Row],[productid]],Products!$B$2:$H$10,4)</f>
        <v>5.5</v>
      </c>
      <c r="K3656" s="8">
        <f>financials[[#This Row],[Net Sales]]-financials[[#This Row],[COGS]]</f>
        <v>204.5</v>
      </c>
      <c r="L3656" s="15">
        <v>45109</v>
      </c>
      <c r="M3656" t="s">
        <v>691</v>
      </c>
    </row>
    <row r="3657" spans="1:13" x14ac:dyDescent="0.25">
      <c r="A3657" t="s">
        <v>86</v>
      </c>
      <c r="B3657" s="6" t="s">
        <v>268</v>
      </c>
      <c r="C3657" s="13">
        <v>108</v>
      </c>
      <c r="D3657" s="14" t="s">
        <v>91</v>
      </c>
      <c r="E3657">
        <v>17</v>
      </c>
      <c r="F3657" s="8">
        <f>VLOOKUP(financials[[#This Row],[productid]],Products!$B$2:$H$10,3)</f>
        <v>5.5</v>
      </c>
      <c r="G3657" s="8">
        <f>financials[[#This Row],[Units Sold]]*financials[[#This Row],[Sale Price]]</f>
        <v>93.5</v>
      </c>
      <c r="H3657" s="8">
        <f>IF(financials[[#This Row],[Discount Band]]="low",0.1,IF(financials[[#This Row],[Discount Band]]="medium",0.15,0.3))</f>
        <v>0.1</v>
      </c>
      <c r="I3657" s="8">
        <f>financials[[#This Row],[Gross Sales]]-financials[[#This Row],[Gross Sales]]*financials[[#This Row],[Discounts]]</f>
        <v>84.15</v>
      </c>
      <c r="J3657" s="8">
        <f>VLOOKUP(financials[[#This Row],[productid]],Products!$B$2:$H$10,4)</f>
        <v>3.99</v>
      </c>
      <c r="K3657" s="8">
        <f>financials[[#This Row],[Net Sales]]-financials[[#This Row],[COGS]]</f>
        <v>80.160000000000011</v>
      </c>
      <c r="L3657" s="15">
        <v>45445</v>
      </c>
      <c r="M3657" t="s">
        <v>690</v>
      </c>
    </row>
    <row r="3658" spans="1:13" x14ac:dyDescent="0.25">
      <c r="A3658" t="s">
        <v>86</v>
      </c>
      <c r="B3658" s="6" t="s">
        <v>167</v>
      </c>
      <c r="C3658" s="13">
        <v>108</v>
      </c>
      <c r="D3658" s="14" t="s">
        <v>91</v>
      </c>
      <c r="E3658">
        <v>17</v>
      </c>
      <c r="F3658" s="8">
        <f>VLOOKUP(financials[[#This Row],[productid]],Products!$B$2:$H$10,3)</f>
        <v>5.5</v>
      </c>
      <c r="G3658" s="8">
        <f>financials[[#This Row],[Units Sold]]*financials[[#This Row],[Sale Price]]</f>
        <v>93.5</v>
      </c>
      <c r="H3658" s="8">
        <f>IF(financials[[#This Row],[Discount Band]]="low",0.1,IF(financials[[#This Row],[Discount Band]]="medium",0.15,0.3))</f>
        <v>0.1</v>
      </c>
      <c r="I3658" s="8">
        <f>financials[[#This Row],[Gross Sales]]-financials[[#This Row],[Gross Sales]]*financials[[#This Row],[Discounts]]</f>
        <v>84.15</v>
      </c>
      <c r="J3658" s="8">
        <f>VLOOKUP(financials[[#This Row],[productid]],Products!$B$2:$H$10,4)</f>
        <v>3.99</v>
      </c>
      <c r="K3658" s="8">
        <f>financials[[#This Row],[Net Sales]]-financials[[#This Row],[COGS]]</f>
        <v>80.160000000000011</v>
      </c>
      <c r="L3658" s="15">
        <v>44740</v>
      </c>
      <c r="M3658" t="s">
        <v>690</v>
      </c>
    </row>
    <row r="3659" spans="1:13" x14ac:dyDescent="0.25">
      <c r="A3659" t="s">
        <v>86</v>
      </c>
      <c r="B3659" s="6" t="s">
        <v>159</v>
      </c>
      <c r="C3659" s="13">
        <v>105</v>
      </c>
      <c r="D3659" s="14" t="s">
        <v>83</v>
      </c>
      <c r="E3659">
        <v>19</v>
      </c>
      <c r="F3659" s="8">
        <f>VLOOKUP(financials[[#This Row],[productid]],Products!$B$2:$H$10,3)</f>
        <v>15</v>
      </c>
      <c r="G3659" s="8">
        <f>financials[[#This Row],[Units Sold]]*financials[[#This Row],[Sale Price]]</f>
        <v>285</v>
      </c>
      <c r="H3659" s="8">
        <f>IF(financials[[#This Row],[Discount Band]]="low",0.1,IF(financials[[#This Row],[Discount Band]]="medium",0.15,0.3))</f>
        <v>0.3</v>
      </c>
      <c r="I3659" s="8">
        <f>financials[[#This Row],[Gross Sales]]-financials[[#This Row],[Gross Sales]]*financials[[#This Row],[Discounts]]</f>
        <v>199.5</v>
      </c>
      <c r="J3659" s="8">
        <f>VLOOKUP(financials[[#This Row],[productid]],Products!$B$2:$H$10,4)</f>
        <v>10</v>
      </c>
      <c r="K3659" s="8">
        <f>financials[[#This Row],[Net Sales]]-financials[[#This Row],[COGS]]</f>
        <v>189.5</v>
      </c>
      <c r="L3659" s="15">
        <v>43841</v>
      </c>
      <c r="M3659" t="s">
        <v>700</v>
      </c>
    </row>
    <row r="3660" spans="1:13" x14ac:dyDescent="0.25">
      <c r="A3660" t="s">
        <v>86</v>
      </c>
      <c r="B3660" s="6" t="s">
        <v>159</v>
      </c>
      <c r="C3660" s="13">
        <v>108</v>
      </c>
      <c r="D3660" s="14" t="s">
        <v>83</v>
      </c>
      <c r="E3660">
        <v>18</v>
      </c>
      <c r="F3660" s="8">
        <f>VLOOKUP(financials[[#This Row],[productid]],Products!$B$2:$H$10,3)</f>
        <v>5.5</v>
      </c>
      <c r="G3660" s="8">
        <f>financials[[#This Row],[Units Sold]]*financials[[#This Row],[Sale Price]]</f>
        <v>99</v>
      </c>
      <c r="H3660" s="8">
        <f>IF(financials[[#This Row],[Discount Band]]="low",0.1,IF(financials[[#This Row],[Discount Band]]="medium",0.15,0.3))</f>
        <v>0.3</v>
      </c>
      <c r="I3660" s="8">
        <f>financials[[#This Row],[Gross Sales]]-financials[[#This Row],[Gross Sales]]*financials[[#This Row],[Discounts]]</f>
        <v>69.3</v>
      </c>
      <c r="J3660" s="8">
        <f>VLOOKUP(financials[[#This Row],[productid]],Products!$B$2:$H$10,4)</f>
        <v>3.99</v>
      </c>
      <c r="K3660" s="8">
        <f>financials[[#This Row],[Net Sales]]-financials[[#This Row],[COGS]]</f>
        <v>65.31</v>
      </c>
      <c r="L3660" s="15">
        <v>45134</v>
      </c>
      <c r="M3660" t="s">
        <v>697</v>
      </c>
    </row>
    <row r="3661" spans="1:13" x14ac:dyDescent="0.25">
      <c r="A3661" t="s">
        <v>88</v>
      </c>
      <c r="B3661" s="6" t="s">
        <v>545</v>
      </c>
      <c r="C3661" s="11">
        <v>107</v>
      </c>
      <c r="D3661" s="9" t="s">
        <v>90</v>
      </c>
      <c r="E3661">
        <v>14</v>
      </c>
      <c r="F3661" s="8">
        <f>VLOOKUP(financials[[#This Row],[productid]],Products!$B$2:$H$10,3)</f>
        <v>15</v>
      </c>
      <c r="G3661" s="8">
        <f>financials[[#This Row],[Units Sold]]*financials[[#This Row],[Sale Price]]</f>
        <v>210</v>
      </c>
      <c r="H3661" s="8">
        <f>IF(financials[[#This Row],[Discount Band]]="low",0.1,IF(financials[[#This Row],[Discount Band]]="medium",0.15,0.3))</f>
        <v>0.15</v>
      </c>
      <c r="I3661" s="8">
        <f>financials[[#This Row],[Gross Sales]]-financials[[#This Row],[Gross Sales]]*financials[[#This Row],[Discounts]]</f>
        <v>178.5</v>
      </c>
      <c r="J3661" s="8">
        <f>VLOOKUP(financials[[#This Row],[productid]],Products!$B$2:$H$10,4)</f>
        <v>5.5</v>
      </c>
      <c r="K3661" s="8">
        <f>financials[[#This Row],[Net Sales]]-financials[[#This Row],[COGS]]</f>
        <v>173</v>
      </c>
      <c r="L3661" s="15">
        <v>44060</v>
      </c>
      <c r="M3661" t="s">
        <v>696</v>
      </c>
    </row>
    <row r="3662" spans="1:13" x14ac:dyDescent="0.25">
      <c r="A3662" t="s">
        <v>86</v>
      </c>
      <c r="B3662" s="6" t="s">
        <v>645</v>
      </c>
      <c r="C3662" s="13">
        <v>109</v>
      </c>
      <c r="D3662" s="14" t="s">
        <v>91</v>
      </c>
      <c r="E3662">
        <v>17</v>
      </c>
      <c r="F3662" s="8">
        <f>VLOOKUP(financials[[#This Row],[productid]],Products!$B$2:$H$10,3)</f>
        <v>36</v>
      </c>
      <c r="G3662" s="8">
        <f>financials[[#This Row],[Units Sold]]*financials[[#This Row],[Sale Price]]</f>
        <v>612</v>
      </c>
      <c r="H3662" s="8">
        <f>IF(financials[[#This Row],[Discount Band]]="low",0.1,IF(financials[[#This Row],[Discount Band]]="medium",0.15,0.3))</f>
        <v>0.1</v>
      </c>
      <c r="I3662" s="8">
        <f>financials[[#This Row],[Gross Sales]]-financials[[#This Row],[Gross Sales]]*financials[[#This Row],[Discounts]]</f>
        <v>550.79999999999995</v>
      </c>
      <c r="J3662" s="8">
        <f>VLOOKUP(financials[[#This Row],[productid]],Products!$B$2:$H$10,4)</f>
        <v>16.8</v>
      </c>
      <c r="K3662" s="8">
        <f>financials[[#This Row],[Net Sales]]-financials[[#This Row],[COGS]]</f>
        <v>534</v>
      </c>
      <c r="L3662" s="15">
        <v>45292</v>
      </c>
      <c r="M3662" t="s">
        <v>696</v>
      </c>
    </row>
    <row r="3663" spans="1:13" x14ac:dyDescent="0.25">
      <c r="A3663" t="s">
        <v>87</v>
      </c>
      <c r="B3663" s="6" t="s">
        <v>205</v>
      </c>
      <c r="C3663" s="13">
        <v>101</v>
      </c>
      <c r="D3663" s="14" t="s">
        <v>90</v>
      </c>
      <c r="E3663">
        <v>15</v>
      </c>
      <c r="F3663" s="8">
        <f>VLOOKUP(financials[[#This Row],[productid]],Products!$B$2:$H$10,3)</f>
        <v>23</v>
      </c>
      <c r="G3663" s="8">
        <f>financials[[#This Row],[Units Sold]]*financials[[#This Row],[Sale Price]]</f>
        <v>345</v>
      </c>
      <c r="H3663" s="8">
        <f>IF(financials[[#This Row],[Discount Band]]="low",0.1,IF(financials[[#This Row],[Discount Band]]="medium",0.15,0.3))</f>
        <v>0.15</v>
      </c>
      <c r="I3663" s="8">
        <f>financials[[#This Row],[Gross Sales]]-financials[[#This Row],[Gross Sales]]*financials[[#This Row],[Discounts]]</f>
        <v>293.25</v>
      </c>
      <c r="J3663" s="8">
        <f>VLOOKUP(financials[[#This Row],[productid]],Products!$B$2:$H$10,4)</f>
        <v>9.9499999999999993</v>
      </c>
      <c r="K3663" s="8">
        <f>financials[[#This Row],[Net Sales]]-financials[[#This Row],[COGS]]</f>
        <v>283.3</v>
      </c>
      <c r="L3663" s="15">
        <v>44257</v>
      </c>
      <c r="M3663" t="s">
        <v>690</v>
      </c>
    </row>
    <row r="3664" spans="1:13" x14ac:dyDescent="0.25">
      <c r="A3664" t="s">
        <v>88</v>
      </c>
      <c r="B3664" s="6" t="s">
        <v>95</v>
      </c>
      <c r="C3664" s="11">
        <v>103</v>
      </c>
      <c r="D3664" s="9" t="s">
        <v>90</v>
      </c>
      <c r="E3664">
        <v>11</v>
      </c>
      <c r="F3664" s="8">
        <f>VLOOKUP(financials[[#This Row],[productid]],Products!$B$2:$H$10,3)</f>
        <v>28</v>
      </c>
      <c r="G3664" s="8">
        <f>financials[[#This Row],[Units Sold]]*financials[[#This Row],[Sale Price]]</f>
        <v>308</v>
      </c>
      <c r="H3664" s="8">
        <f>IF(financials[[#This Row],[Discount Band]]="low",0.1,IF(financials[[#This Row],[Discount Band]]="medium",0.15,0.3))</f>
        <v>0.15</v>
      </c>
      <c r="I3664" s="8">
        <f>financials[[#This Row],[Gross Sales]]-financials[[#This Row],[Gross Sales]]*financials[[#This Row],[Discounts]]</f>
        <v>261.8</v>
      </c>
      <c r="J3664" s="8">
        <f>VLOOKUP(financials[[#This Row],[productid]],Products!$B$2:$H$10,4)</f>
        <v>15</v>
      </c>
      <c r="K3664" s="8">
        <f>financials[[#This Row],[Net Sales]]-financials[[#This Row],[COGS]]</f>
        <v>246.8</v>
      </c>
      <c r="L3664" s="15">
        <v>45147</v>
      </c>
      <c r="M3664" t="s">
        <v>691</v>
      </c>
    </row>
    <row r="3665" spans="1:13" x14ac:dyDescent="0.25">
      <c r="A3665" t="s">
        <v>88</v>
      </c>
      <c r="B3665" s="6" t="s">
        <v>95</v>
      </c>
      <c r="C3665" s="13">
        <v>104</v>
      </c>
      <c r="D3665" s="14" t="s">
        <v>90</v>
      </c>
      <c r="E3665">
        <v>5</v>
      </c>
      <c r="F3665" s="8">
        <f>VLOOKUP(financials[[#This Row],[productid]],Products!$B$2:$H$10,3)</f>
        <v>5.9</v>
      </c>
      <c r="G3665" s="8">
        <f>financials[[#This Row],[Units Sold]]*financials[[#This Row],[Sale Price]]</f>
        <v>29.5</v>
      </c>
      <c r="H3665" s="8">
        <f>IF(financials[[#This Row],[Discount Band]]="low",0.1,IF(financials[[#This Row],[Discount Band]]="medium",0.15,0.3))</f>
        <v>0.15</v>
      </c>
      <c r="I3665" s="8">
        <f>financials[[#This Row],[Gross Sales]]-financials[[#This Row],[Gross Sales]]*financials[[#This Row],[Discounts]]</f>
        <v>25.074999999999999</v>
      </c>
      <c r="J3665" s="8">
        <f>VLOOKUP(financials[[#This Row],[productid]],Products!$B$2:$H$10,4)</f>
        <v>2.9</v>
      </c>
      <c r="K3665" s="8">
        <f>financials[[#This Row],[Net Sales]]-financials[[#This Row],[COGS]]</f>
        <v>22.175000000000001</v>
      </c>
      <c r="L3665" s="15">
        <v>44194</v>
      </c>
      <c r="M3665" t="s">
        <v>690</v>
      </c>
    </row>
    <row r="3666" spans="1:13" x14ac:dyDescent="0.25">
      <c r="A3666" t="s">
        <v>86</v>
      </c>
      <c r="B3666" s="6" t="s">
        <v>158</v>
      </c>
      <c r="C3666" s="13">
        <v>108</v>
      </c>
      <c r="D3666" s="14" t="s">
        <v>90</v>
      </c>
      <c r="E3666">
        <v>16</v>
      </c>
      <c r="F3666" s="8">
        <f>VLOOKUP(financials[[#This Row],[productid]],Products!$B$2:$H$10,3)</f>
        <v>5.5</v>
      </c>
      <c r="G3666" s="8">
        <f>financials[[#This Row],[Units Sold]]*financials[[#This Row],[Sale Price]]</f>
        <v>88</v>
      </c>
      <c r="H3666" s="8">
        <f>IF(financials[[#This Row],[Discount Band]]="low",0.1,IF(financials[[#This Row],[Discount Band]]="medium",0.15,0.3))</f>
        <v>0.15</v>
      </c>
      <c r="I3666" s="8">
        <f>financials[[#This Row],[Gross Sales]]-financials[[#This Row],[Gross Sales]]*financials[[#This Row],[Discounts]]</f>
        <v>74.8</v>
      </c>
      <c r="J3666" s="8">
        <f>VLOOKUP(financials[[#This Row],[productid]],Products!$B$2:$H$10,4)</f>
        <v>3.99</v>
      </c>
      <c r="K3666" s="8">
        <f>financials[[#This Row],[Net Sales]]-financials[[#This Row],[COGS]]</f>
        <v>70.81</v>
      </c>
      <c r="L3666" s="15">
        <v>44116</v>
      </c>
      <c r="M3666" t="s">
        <v>696</v>
      </c>
    </row>
    <row r="3667" spans="1:13" x14ac:dyDescent="0.25">
      <c r="A3667" t="s">
        <v>88</v>
      </c>
      <c r="B3667" s="6" t="s">
        <v>158</v>
      </c>
      <c r="C3667" s="11">
        <v>102</v>
      </c>
      <c r="D3667" s="9" t="s">
        <v>90</v>
      </c>
      <c r="E3667">
        <v>13</v>
      </c>
      <c r="F3667" s="8">
        <f>VLOOKUP(financials[[#This Row],[productid]],Products!$B$2:$H$10,3)</f>
        <v>15</v>
      </c>
      <c r="G3667" s="8">
        <f>financials[[#This Row],[Units Sold]]*financials[[#This Row],[Sale Price]]</f>
        <v>195</v>
      </c>
      <c r="H3667" s="8">
        <f>IF(financials[[#This Row],[Discount Band]]="low",0.1,IF(financials[[#This Row],[Discount Band]]="medium",0.15,0.3))</f>
        <v>0.15</v>
      </c>
      <c r="I3667" s="8">
        <f>financials[[#This Row],[Gross Sales]]-financials[[#This Row],[Gross Sales]]*financials[[#This Row],[Discounts]]</f>
        <v>165.75</v>
      </c>
      <c r="J3667" s="8">
        <f>VLOOKUP(financials[[#This Row],[productid]],Products!$B$2:$H$10,4)</f>
        <v>13.95</v>
      </c>
      <c r="K3667" s="8">
        <f>financials[[#This Row],[Net Sales]]-financials[[#This Row],[COGS]]</f>
        <v>151.80000000000001</v>
      </c>
      <c r="L3667" s="15">
        <v>45566</v>
      </c>
      <c r="M3667" t="s">
        <v>696</v>
      </c>
    </row>
    <row r="3668" spans="1:13" x14ac:dyDescent="0.25">
      <c r="A3668" t="s">
        <v>88</v>
      </c>
      <c r="B3668" s="6" t="s">
        <v>287</v>
      </c>
      <c r="C3668" s="11">
        <v>101</v>
      </c>
      <c r="D3668" s="9" t="s">
        <v>83</v>
      </c>
      <c r="E3668">
        <v>10</v>
      </c>
      <c r="F3668" s="8">
        <f>VLOOKUP(financials[[#This Row],[productid]],Products!$B$2:$H$10,3)</f>
        <v>23</v>
      </c>
      <c r="G3668" s="8">
        <f>financials[[#This Row],[Units Sold]]*financials[[#This Row],[Sale Price]]</f>
        <v>230</v>
      </c>
      <c r="H3668" s="8">
        <f>IF(financials[[#This Row],[Discount Band]]="low",0.1,IF(financials[[#This Row],[Discount Band]]="medium",0.15,0.3))</f>
        <v>0.3</v>
      </c>
      <c r="I3668" s="8">
        <f>financials[[#This Row],[Gross Sales]]-financials[[#This Row],[Gross Sales]]*financials[[#This Row],[Discounts]]</f>
        <v>161</v>
      </c>
      <c r="J3668" s="8">
        <f>VLOOKUP(financials[[#This Row],[productid]],Products!$B$2:$H$10,4)</f>
        <v>9.9499999999999993</v>
      </c>
      <c r="K3668" s="8">
        <f>financials[[#This Row],[Net Sales]]-financials[[#This Row],[COGS]]</f>
        <v>151.05000000000001</v>
      </c>
      <c r="L3668" s="15">
        <v>43926</v>
      </c>
      <c r="M3668" t="s">
        <v>690</v>
      </c>
    </row>
    <row r="3669" spans="1:13" x14ac:dyDescent="0.25">
      <c r="A3669" t="s">
        <v>88</v>
      </c>
      <c r="B3669" s="6" t="s">
        <v>148</v>
      </c>
      <c r="C3669" s="13">
        <v>109</v>
      </c>
      <c r="D3669" s="14" t="s">
        <v>91</v>
      </c>
      <c r="E3669">
        <v>8</v>
      </c>
      <c r="F3669" s="8">
        <f>VLOOKUP(financials[[#This Row],[productid]],Products!$B$2:$H$10,3)</f>
        <v>36</v>
      </c>
      <c r="G3669" s="8">
        <f>financials[[#This Row],[Units Sold]]*financials[[#This Row],[Sale Price]]</f>
        <v>288</v>
      </c>
      <c r="H3669" s="8">
        <f>IF(financials[[#This Row],[Discount Band]]="low",0.1,IF(financials[[#This Row],[Discount Band]]="medium",0.15,0.3))</f>
        <v>0.1</v>
      </c>
      <c r="I3669" s="8">
        <f>financials[[#This Row],[Gross Sales]]-financials[[#This Row],[Gross Sales]]*financials[[#This Row],[Discounts]]</f>
        <v>259.2</v>
      </c>
      <c r="J3669" s="8">
        <f>VLOOKUP(financials[[#This Row],[productid]],Products!$B$2:$H$10,4)</f>
        <v>16.8</v>
      </c>
      <c r="K3669" s="8">
        <f>financials[[#This Row],[Net Sales]]-financials[[#This Row],[COGS]]</f>
        <v>242.39999999999998</v>
      </c>
      <c r="L3669" s="15">
        <v>44204</v>
      </c>
      <c r="M3669" t="s">
        <v>697</v>
      </c>
    </row>
    <row r="3670" spans="1:13" x14ac:dyDescent="0.25">
      <c r="A3670" t="s">
        <v>88</v>
      </c>
      <c r="B3670" s="6" t="s">
        <v>167</v>
      </c>
      <c r="C3670" s="13">
        <v>101</v>
      </c>
      <c r="D3670" s="14" t="s">
        <v>91</v>
      </c>
      <c r="E3670">
        <v>18</v>
      </c>
      <c r="F3670" s="8">
        <f>VLOOKUP(financials[[#This Row],[productid]],Products!$B$2:$H$10,3)</f>
        <v>23</v>
      </c>
      <c r="G3670" s="8">
        <f>financials[[#This Row],[Units Sold]]*financials[[#This Row],[Sale Price]]</f>
        <v>414</v>
      </c>
      <c r="H3670" s="8">
        <f>IF(financials[[#This Row],[Discount Band]]="low",0.1,IF(financials[[#This Row],[Discount Band]]="medium",0.15,0.3))</f>
        <v>0.1</v>
      </c>
      <c r="I3670" s="8">
        <f>financials[[#This Row],[Gross Sales]]-financials[[#This Row],[Gross Sales]]*financials[[#This Row],[Discounts]]</f>
        <v>372.6</v>
      </c>
      <c r="J3670" s="8">
        <f>VLOOKUP(financials[[#This Row],[productid]],Products!$B$2:$H$10,4)</f>
        <v>9.9499999999999993</v>
      </c>
      <c r="K3670" s="8">
        <f>financials[[#This Row],[Net Sales]]-financials[[#This Row],[COGS]]</f>
        <v>362.65000000000003</v>
      </c>
      <c r="L3670" s="15">
        <v>45418</v>
      </c>
      <c r="M3670" t="s">
        <v>696</v>
      </c>
    </row>
    <row r="3671" spans="1:13" x14ac:dyDescent="0.25">
      <c r="A3671" t="s">
        <v>88</v>
      </c>
      <c r="B3671" s="6" t="s">
        <v>645</v>
      </c>
      <c r="C3671" s="13">
        <v>108</v>
      </c>
      <c r="D3671" s="14" t="s">
        <v>91</v>
      </c>
      <c r="E3671">
        <v>8</v>
      </c>
      <c r="F3671" s="8">
        <f>VLOOKUP(financials[[#This Row],[productid]],Products!$B$2:$H$10,3)</f>
        <v>5.5</v>
      </c>
      <c r="G3671" s="8">
        <f>financials[[#This Row],[Units Sold]]*financials[[#This Row],[Sale Price]]</f>
        <v>44</v>
      </c>
      <c r="H3671" s="8">
        <f>IF(financials[[#This Row],[Discount Band]]="low",0.1,IF(financials[[#This Row],[Discount Band]]="medium",0.15,0.3))</f>
        <v>0.1</v>
      </c>
      <c r="I3671" s="8">
        <f>financials[[#This Row],[Gross Sales]]-financials[[#This Row],[Gross Sales]]*financials[[#This Row],[Discounts]]</f>
        <v>39.6</v>
      </c>
      <c r="J3671" s="8">
        <f>VLOOKUP(financials[[#This Row],[productid]],Products!$B$2:$H$10,4)</f>
        <v>3.99</v>
      </c>
      <c r="K3671" s="8">
        <f>financials[[#This Row],[Net Sales]]-financials[[#This Row],[COGS]]</f>
        <v>35.61</v>
      </c>
      <c r="L3671" s="15">
        <v>44904</v>
      </c>
      <c r="M3671" t="s">
        <v>696</v>
      </c>
    </row>
    <row r="3672" spans="1:13" x14ac:dyDescent="0.25">
      <c r="A3672" t="s">
        <v>86</v>
      </c>
      <c r="B3672" s="6" t="s">
        <v>274</v>
      </c>
      <c r="C3672" s="13">
        <v>108</v>
      </c>
      <c r="D3672" s="14" t="s">
        <v>90</v>
      </c>
      <c r="E3672">
        <v>6</v>
      </c>
      <c r="F3672" s="8">
        <f>VLOOKUP(financials[[#This Row],[productid]],Products!$B$2:$H$10,3)</f>
        <v>5.5</v>
      </c>
      <c r="G3672" s="8">
        <f>financials[[#This Row],[Units Sold]]*financials[[#This Row],[Sale Price]]</f>
        <v>33</v>
      </c>
      <c r="H3672" s="8">
        <f>IF(financials[[#This Row],[Discount Band]]="low",0.1,IF(financials[[#This Row],[Discount Band]]="medium",0.15,0.3))</f>
        <v>0.15</v>
      </c>
      <c r="I3672" s="8">
        <f>financials[[#This Row],[Gross Sales]]-financials[[#This Row],[Gross Sales]]*financials[[#This Row],[Discounts]]</f>
        <v>28.05</v>
      </c>
      <c r="J3672" s="8">
        <f>VLOOKUP(financials[[#This Row],[productid]],Products!$B$2:$H$10,4)</f>
        <v>3.99</v>
      </c>
      <c r="K3672" s="8">
        <f>financials[[#This Row],[Net Sales]]-financials[[#This Row],[COGS]]</f>
        <v>24.060000000000002</v>
      </c>
      <c r="L3672" s="15">
        <v>44912</v>
      </c>
      <c r="M3672" t="s">
        <v>696</v>
      </c>
    </row>
    <row r="3673" spans="1:13" x14ac:dyDescent="0.25">
      <c r="A3673" t="s">
        <v>86</v>
      </c>
      <c r="B3673" s="6" t="s">
        <v>232</v>
      </c>
      <c r="C3673" s="13">
        <v>101</v>
      </c>
      <c r="D3673" s="14" t="s">
        <v>90</v>
      </c>
      <c r="E3673">
        <v>19</v>
      </c>
      <c r="F3673" s="8">
        <f>VLOOKUP(financials[[#This Row],[productid]],Products!$B$2:$H$10,3)</f>
        <v>23</v>
      </c>
      <c r="G3673" s="8">
        <f>financials[[#This Row],[Units Sold]]*financials[[#This Row],[Sale Price]]</f>
        <v>437</v>
      </c>
      <c r="H3673" s="8">
        <f>IF(financials[[#This Row],[Discount Band]]="low",0.1,IF(financials[[#This Row],[Discount Band]]="medium",0.15,0.3))</f>
        <v>0.15</v>
      </c>
      <c r="I3673" s="8">
        <f>financials[[#This Row],[Gross Sales]]-financials[[#This Row],[Gross Sales]]*financials[[#This Row],[Discounts]]</f>
        <v>371.45</v>
      </c>
      <c r="J3673" s="8">
        <f>VLOOKUP(financials[[#This Row],[productid]],Products!$B$2:$H$10,4)</f>
        <v>9.9499999999999993</v>
      </c>
      <c r="K3673" s="8">
        <f>financials[[#This Row],[Net Sales]]-financials[[#This Row],[COGS]]</f>
        <v>361.5</v>
      </c>
      <c r="L3673" s="15">
        <v>45453</v>
      </c>
      <c r="M3673" t="s">
        <v>700</v>
      </c>
    </row>
    <row r="3674" spans="1:13" x14ac:dyDescent="0.25">
      <c r="A3674" t="s">
        <v>88</v>
      </c>
      <c r="B3674" s="6" t="s">
        <v>93</v>
      </c>
      <c r="C3674" s="13">
        <v>104</v>
      </c>
      <c r="D3674" s="14" t="s">
        <v>90</v>
      </c>
      <c r="E3674">
        <v>13</v>
      </c>
      <c r="F3674" s="8">
        <f>VLOOKUP(financials[[#This Row],[productid]],Products!$B$2:$H$10,3)</f>
        <v>5.9</v>
      </c>
      <c r="G3674" s="8">
        <f>financials[[#This Row],[Units Sold]]*financials[[#This Row],[Sale Price]]</f>
        <v>76.7</v>
      </c>
      <c r="H3674" s="8">
        <f>IF(financials[[#This Row],[Discount Band]]="low",0.1,IF(financials[[#This Row],[Discount Band]]="medium",0.15,0.3))</f>
        <v>0.15</v>
      </c>
      <c r="I3674" s="8">
        <f>financials[[#This Row],[Gross Sales]]-financials[[#This Row],[Gross Sales]]*financials[[#This Row],[Discounts]]</f>
        <v>65.195000000000007</v>
      </c>
      <c r="J3674" s="8">
        <f>VLOOKUP(financials[[#This Row],[productid]],Products!$B$2:$H$10,4)</f>
        <v>2.9</v>
      </c>
      <c r="K3674" s="8">
        <f>financials[[#This Row],[Net Sales]]-financials[[#This Row],[COGS]]</f>
        <v>62.295000000000009</v>
      </c>
      <c r="L3674" s="15">
        <v>45231</v>
      </c>
      <c r="M3674" t="s">
        <v>700</v>
      </c>
    </row>
    <row r="3675" spans="1:13" x14ac:dyDescent="0.25">
      <c r="A3675" t="s">
        <v>88</v>
      </c>
      <c r="B3675" s="6" t="s">
        <v>228</v>
      </c>
      <c r="C3675" s="11">
        <v>102</v>
      </c>
      <c r="D3675" s="9" t="s">
        <v>90</v>
      </c>
      <c r="E3675">
        <v>16</v>
      </c>
      <c r="F3675" s="8">
        <f>VLOOKUP(financials[[#This Row],[productid]],Products!$B$2:$H$10,3)</f>
        <v>15</v>
      </c>
      <c r="G3675" s="8">
        <f>financials[[#This Row],[Units Sold]]*financials[[#This Row],[Sale Price]]</f>
        <v>240</v>
      </c>
      <c r="H3675" s="8">
        <f>IF(financials[[#This Row],[Discount Band]]="low",0.1,IF(financials[[#This Row],[Discount Band]]="medium",0.15,0.3))</f>
        <v>0.15</v>
      </c>
      <c r="I3675" s="8">
        <f>financials[[#This Row],[Gross Sales]]-financials[[#This Row],[Gross Sales]]*financials[[#This Row],[Discounts]]</f>
        <v>204</v>
      </c>
      <c r="J3675" s="8">
        <f>VLOOKUP(financials[[#This Row],[productid]],Products!$B$2:$H$10,4)</f>
        <v>13.95</v>
      </c>
      <c r="K3675" s="8">
        <f>financials[[#This Row],[Net Sales]]-financials[[#This Row],[COGS]]</f>
        <v>190.05</v>
      </c>
      <c r="L3675" s="15">
        <v>44749</v>
      </c>
      <c r="M3675" t="s">
        <v>690</v>
      </c>
    </row>
    <row r="3676" spans="1:13" x14ac:dyDescent="0.25">
      <c r="A3676" t="s">
        <v>88</v>
      </c>
      <c r="B3676" s="6" t="s">
        <v>645</v>
      </c>
      <c r="C3676" s="13">
        <v>106</v>
      </c>
      <c r="D3676" s="14" t="s">
        <v>90</v>
      </c>
      <c r="E3676">
        <v>10</v>
      </c>
      <c r="F3676" s="8">
        <f>VLOOKUP(financials[[#This Row],[productid]],Products!$B$2:$H$10,3)</f>
        <v>25</v>
      </c>
      <c r="G3676" s="8">
        <f>financials[[#This Row],[Units Sold]]*financials[[#This Row],[Sale Price]]</f>
        <v>250</v>
      </c>
      <c r="H3676" s="8">
        <f>IF(financials[[#This Row],[Discount Band]]="low",0.1,IF(financials[[#This Row],[Discount Band]]="medium",0.15,0.3))</f>
        <v>0.15</v>
      </c>
      <c r="I3676" s="8">
        <f>financials[[#This Row],[Gross Sales]]-financials[[#This Row],[Gross Sales]]*financials[[#This Row],[Discounts]]</f>
        <v>212.5</v>
      </c>
      <c r="J3676" s="8">
        <f>VLOOKUP(financials[[#This Row],[productid]],Products!$B$2:$H$10,4)</f>
        <v>9.1</v>
      </c>
      <c r="K3676" s="8">
        <f>financials[[#This Row],[Net Sales]]-financials[[#This Row],[COGS]]</f>
        <v>203.4</v>
      </c>
      <c r="L3676" s="15">
        <v>45568</v>
      </c>
      <c r="M3676" t="s">
        <v>696</v>
      </c>
    </row>
    <row r="3677" spans="1:13" x14ac:dyDescent="0.25">
      <c r="A3677" t="s">
        <v>88</v>
      </c>
      <c r="B3677" s="6" t="s">
        <v>617</v>
      </c>
      <c r="C3677" s="13">
        <v>103</v>
      </c>
      <c r="D3677" s="14" t="s">
        <v>91</v>
      </c>
      <c r="E3677">
        <v>10</v>
      </c>
      <c r="F3677" s="8">
        <f>VLOOKUP(financials[[#This Row],[productid]],Products!$B$2:$H$10,3)</f>
        <v>28</v>
      </c>
      <c r="G3677" s="8">
        <f>financials[[#This Row],[Units Sold]]*financials[[#This Row],[Sale Price]]</f>
        <v>280</v>
      </c>
      <c r="H3677" s="8">
        <f>IF(financials[[#This Row],[Discount Band]]="low",0.1,IF(financials[[#This Row],[Discount Band]]="medium",0.15,0.3))</f>
        <v>0.1</v>
      </c>
      <c r="I3677" s="8">
        <f>financials[[#This Row],[Gross Sales]]-financials[[#This Row],[Gross Sales]]*financials[[#This Row],[Discounts]]</f>
        <v>252</v>
      </c>
      <c r="J3677" s="8">
        <f>VLOOKUP(financials[[#This Row],[productid]],Products!$B$2:$H$10,4)</f>
        <v>15</v>
      </c>
      <c r="K3677" s="8">
        <f>financials[[#This Row],[Net Sales]]-financials[[#This Row],[COGS]]</f>
        <v>237</v>
      </c>
      <c r="L3677" s="15">
        <v>45266</v>
      </c>
      <c r="M3677" t="s">
        <v>691</v>
      </c>
    </row>
    <row r="3678" spans="1:13" x14ac:dyDescent="0.25">
      <c r="A3678" t="s">
        <v>86</v>
      </c>
      <c r="B3678" s="6" t="s">
        <v>167</v>
      </c>
      <c r="C3678" s="13">
        <v>108</v>
      </c>
      <c r="D3678" s="14" t="s">
        <v>90</v>
      </c>
      <c r="E3678">
        <v>18</v>
      </c>
      <c r="F3678" s="8">
        <f>VLOOKUP(financials[[#This Row],[productid]],Products!$B$2:$H$10,3)</f>
        <v>5.5</v>
      </c>
      <c r="G3678" s="8">
        <f>financials[[#This Row],[Units Sold]]*financials[[#This Row],[Sale Price]]</f>
        <v>99</v>
      </c>
      <c r="H3678" s="8">
        <f>IF(financials[[#This Row],[Discount Band]]="low",0.1,IF(financials[[#This Row],[Discount Band]]="medium",0.15,0.3))</f>
        <v>0.15</v>
      </c>
      <c r="I3678" s="8">
        <f>financials[[#This Row],[Gross Sales]]-financials[[#This Row],[Gross Sales]]*financials[[#This Row],[Discounts]]</f>
        <v>84.15</v>
      </c>
      <c r="J3678" s="8">
        <f>VLOOKUP(financials[[#This Row],[productid]],Products!$B$2:$H$10,4)</f>
        <v>3.99</v>
      </c>
      <c r="K3678" s="8">
        <f>financials[[#This Row],[Net Sales]]-financials[[#This Row],[COGS]]</f>
        <v>80.160000000000011</v>
      </c>
      <c r="L3678" s="15">
        <v>44684</v>
      </c>
      <c r="M3678" t="s">
        <v>697</v>
      </c>
    </row>
    <row r="3679" spans="1:13" x14ac:dyDescent="0.25">
      <c r="A3679" t="s">
        <v>86</v>
      </c>
      <c r="B3679" s="6" t="s">
        <v>228</v>
      </c>
      <c r="C3679" s="13">
        <v>105</v>
      </c>
      <c r="D3679" s="14" t="s">
        <v>90</v>
      </c>
      <c r="E3679">
        <v>9</v>
      </c>
      <c r="F3679" s="8">
        <f>VLOOKUP(financials[[#This Row],[productid]],Products!$B$2:$H$10,3)</f>
        <v>15</v>
      </c>
      <c r="G3679" s="8">
        <f>financials[[#This Row],[Units Sold]]*financials[[#This Row],[Sale Price]]</f>
        <v>135</v>
      </c>
      <c r="H3679" s="8">
        <f>IF(financials[[#This Row],[Discount Band]]="low",0.1,IF(financials[[#This Row],[Discount Band]]="medium",0.15,0.3))</f>
        <v>0.15</v>
      </c>
      <c r="I3679" s="8">
        <f>financials[[#This Row],[Gross Sales]]-financials[[#This Row],[Gross Sales]]*financials[[#This Row],[Discounts]]</f>
        <v>114.75</v>
      </c>
      <c r="J3679" s="8">
        <f>VLOOKUP(financials[[#This Row],[productid]],Products!$B$2:$H$10,4)</f>
        <v>10</v>
      </c>
      <c r="K3679" s="8">
        <f>financials[[#This Row],[Net Sales]]-financials[[#This Row],[COGS]]</f>
        <v>104.75</v>
      </c>
      <c r="L3679" s="15">
        <v>44694</v>
      </c>
      <c r="M3679" t="s">
        <v>691</v>
      </c>
    </row>
    <row r="3680" spans="1:13" x14ac:dyDescent="0.25">
      <c r="A3680" t="s">
        <v>86</v>
      </c>
      <c r="B3680" s="6" t="s">
        <v>148</v>
      </c>
      <c r="C3680" s="13">
        <v>104</v>
      </c>
      <c r="D3680" s="14" t="s">
        <v>83</v>
      </c>
      <c r="E3680">
        <v>15</v>
      </c>
      <c r="F3680" s="8">
        <f>VLOOKUP(financials[[#This Row],[productid]],Products!$B$2:$H$10,3)</f>
        <v>5.9</v>
      </c>
      <c r="G3680" s="8">
        <f>financials[[#This Row],[Units Sold]]*financials[[#This Row],[Sale Price]]</f>
        <v>88.5</v>
      </c>
      <c r="H3680" s="8">
        <f>IF(financials[[#This Row],[Discount Band]]="low",0.1,IF(financials[[#This Row],[Discount Band]]="medium",0.15,0.3))</f>
        <v>0.3</v>
      </c>
      <c r="I3680" s="8">
        <f>financials[[#This Row],[Gross Sales]]-financials[[#This Row],[Gross Sales]]*financials[[#This Row],[Discounts]]</f>
        <v>61.95</v>
      </c>
      <c r="J3680" s="8">
        <f>VLOOKUP(financials[[#This Row],[productid]],Products!$B$2:$H$10,4)</f>
        <v>2.9</v>
      </c>
      <c r="K3680" s="8">
        <f>financials[[#This Row],[Net Sales]]-financials[[#This Row],[COGS]]</f>
        <v>59.050000000000004</v>
      </c>
      <c r="L3680" s="15">
        <v>45048</v>
      </c>
      <c r="M3680" t="s">
        <v>696</v>
      </c>
    </row>
    <row r="3681" spans="1:13" x14ac:dyDescent="0.25">
      <c r="A3681" t="s">
        <v>86</v>
      </c>
      <c r="B3681" s="6" t="s">
        <v>124</v>
      </c>
      <c r="C3681" s="13">
        <v>101</v>
      </c>
      <c r="D3681" s="14" t="s">
        <v>83</v>
      </c>
      <c r="E3681">
        <v>18</v>
      </c>
      <c r="F3681" s="8">
        <f>VLOOKUP(financials[[#This Row],[productid]],Products!$B$2:$H$10,3)</f>
        <v>23</v>
      </c>
      <c r="G3681" s="8">
        <f>financials[[#This Row],[Units Sold]]*financials[[#This Row],[Sale Price]]</f>
        <v>414</v>
      </c>
      <c r="H3681" s="8">
        <f>IF(financials[[#This Row],[Discount Band]]="low",0.1,IF(financials[[#This Row],[Discount Band]]="medium",0.15,0.3))</f>
        <v>0.3</v>
      </c>
      <c r="I3681" s="8">
        <f>financials[[#This Row],[Gross Sales]]-financials[[#This Row],[Gross Sales]]*financials[[#This Row],[Discounts]]</f>
        <v>289.8</v>
      </c>
      <c r="J3681" s="8">
        <f>VLOOKUP(financials[[#This Row],[productid]],Products!$B$2:$H$10,4)</f>
        <v>9.9499999999999993</v>
      </c>
      <c r="K3681" s="8">
        <f>financials[[#This Row],[Net Sales]]-financials[[#This Row],[COGS]]</f>
        <v>279.85000000000002</v>
      </c>
      <c r="L3681" s="15">
        <v>45058</v>
      </c>
      <c r="M3681" t="s">
        <v>691</v>
      </c>
    </row>
    <row r="3682" spans="1:13" x14ac:dyDescent="0.25">
      <c r="A3682" t="s">
        <v>88</v>
      </c>
      <c r="B3682" s="6" t="s">
        <v>228</v>
      </c>
      <c r="C3682" s="13">
        <v>102</v>
      </c>
      <c r="D3682" s="14" t="s">
        <v>90</v>
      </c>
      <c r="E3682">
        <v>8</v>
      </c>
      <c r="F3682" s="8">
        <f>VLOOKUP(financials[[#This Row],[productid]],Products!$B$2:$H$10,3)</f>
        <v>15</v>
      </c>
      <c r="G3682" s="8">
        <f>financials[[#This Row],[Units Sold]]*financials[[#This Row],[Sale Price]]</f>
        <v>120</v>
      </c>
      <c r="H3682" s="8">
        <f>IF(financials[[#This Row],[Discount Band]]="low",0.1,IF(financials[[#This Row],[Discount Band]]="medium",0.15,0.3))</f>
        <v>0.15</v>
      </c>
      <c r="I3682" s="8">
        <f>financials[[#This Row],[Gross Sales]]-financials[[#This Row],[Gross Sales]]*financials[[#This Row],[Discounts]]</f>
        <v>102</v>
      </c>
      <c r="J3682" s="8">
        <f>VLOOKUP(financials[[#This Row],[productid]],Products!$B$2:$H$10,4)</f>
        <v>13.95</v>
      </c>
      <c r="K3682" s="8">
        <f>financials[[#This Row],[Net Sales]]-financials[[#This Row],[COGS]]</f>
        <v>88.05</v>
      </c>
      <c r="L3682" s="15">
        <v>44497</v>
      </c>
      <c r="M3682" t="s">
        <v>696</v>
      </c>
    </row>
    <row r="3683" spans="1:13" x14ac:dyDescent="0.25">
      <c r="A3683" t="s">
        <v>88</v>
      </c>
      <c r="B3683" s="6" t="s">
        <v>96</v>
      </c>
      <c r="C3683" s="13">
        <v>107</v>
      </c>
      <c r="D3683" s="14" t="s">
        <v>90</v>
      </c>
      <c r="E3683">
        <v>15</v>
      </c>
      <c r="F3683" s="8">
        <f>VLOOKUP(financials[[#This Row],[productid]],Products!$B$2:$H$10,3)</f>
        <v>15</v>
      </c>
      <c r="G3683" s="8">
        <f>financials[[#This Row],[Units Sold]]*financials[[#This Row],[Sale Price]]</f>
        <v>225</v>
      </c>
      <c r="H3683" s="8">
        <f>IF(financials[[#This Row],[Discount Band]]="low",0.1,IF(financials[[#This Row],[Discount Band]]="medium",0.15,0.3))</f>
        <v>0.15</v>
      </c>
      <c r="I3683" s="8">
        <f>financials[[#This Row],[Gross Sales]]-financials[[#This Row],[Gross Sales]]*financials[[#This Row],[Discounts]]</f>
        <v>191.25</v>
      </c>
      <c r="J3683" s="8">
        <f>VLOOKUP(financials[[#This Row],[productid]],Products!$B$2:$H$10,4)</f>
        <v>5.5</v>
      </c>
      <c r="K3683" s="8">
        <f>financials[[#This Row],[Net Sales]]-financials[[#This Row],[COGS]]</f>
        <v>185.75</v>
      </c>
      <c r="L3683" s="15">
        <v>44207</v>
      </c>
      <c r="M3683" t="s">
        <v>696</v>
      </c>
    </row>
    <row r="3684" spans="1:13" x14ac:dyDescent="0.25">
      <c r="A3684" t="s">
        <v>86</v>
      </c>
      <c r="B3684" s="6" t="s">
        <v>197</v>
      </c>
      <c r="C3684" s="13">
        <v>105</v>
      </c>
      <c r="D3684" s="14" t="s">
        <v>91</v>
      </c>
      <c r="E3684">
        <v>10</v>
      </c>
      <c r="F3684" s="8">
        <f>VLOOKUP(financials[[#This Row],[productid]],Products!$B$2:$H$10,3)</f>
        <v>15</v>
      </c>
      <c r="G3684" s="8">
        <f>financials[[#This Row],[Units Sold]]*financials[[#This Row],[Sale Price]]</f>
        <v>150</v>
      </c>
      <c r="H3684" s="8">
        <f>IF(financials[[#This Row],[Discount Band]]="low",0.1,IF(financials[[#This Row],[Discount Band]]="medium",0.15,0.3))</f>
        <v>0.1</v>
      </c>
      <c r="I3684" s="8">
        <f>financials[[#This Row],[Gross Sales]]-financials[[#This Row],[Gross Sales]]*financials[[#This Row],[Discounts]]</f>
        <v>135</v>
      </c>
      <c r="J3684" s="8">
        <f>VLOOKUP(financials[[#This Row],[productid]],Products!$B$2:$H$10,4)</f>
        <v>10</v>
      </c>
      <c r="K3684" s="8">
        <f>financials[[#This Row],[Net Sales]]-financials[[#This Row],[COGS]]</f>
        <v>125</v>
      </c>
      <c r="L3684" s="15">
        <v>45316</v>
      </c>
      <c r="M3684" t="s">
        <v>690</v>
      </c>
    </row>
    <row r="3685" spans="1:13" x14ac:dyDescent="0.25">
      <c r="A3685" t="s">
        <v>86</v>
      </c>
      <c r="B3685" s="6" t="s">
        <v>124</v>
      </c>
      <c r="C3685" s="13">
        <v>104</v>
      </c>
      <c r="D3685" s="14" t="s">
        <v>83</v>
      </c>
      <c r="E3685">
        <v>12</v>
      </c>
      <c r="F3685" s="8">
        <f>VLOOKUP(financials[[#This Row],[productid]],Products!$B$2:$H$10,3)</f>
        <v>5.9</v>
      </c>
      <c r="G3685" s="8">
        <f>financials[[#This Row],[Units Sold]]*financials[[#This Row],[Sale Price]]</f>
        <v>70.800000000000011</v>
      </c>
      <c r="H3685" s="8">
        <f>IF(financials[[#This Row],[Discount Band]]="low",0.1,IF(financials[[#This Row],[Discount Band]]="medium",0.15,0.3))</f>
        <v>0.3</v>
      </c>
      <c r="I3685" s="8">
        <f>financials[[#This Row],[Gross Sales]]-financials[[#This Row],[Gross Sales]]*financials[[#This Row],[Discounts]]</f>
        <v>49.560000000000009</v>
      </c>
      <c r="J3685" s="8">
        <f>VLOOKUP(financials[[#This Row],[productid]],Products!$B$2:$H$10,4)</f>
        <v>2.9</v>
      </c>
      <c r="K3685" s="8">
        <f>financials[[#This Row],[Net Sales]]-financials[[#This Row],[COGS]]</f>
        <v>46.660000000000011</v>
      </c>
      <c r="L3685" s="15">
        <v>44900</v>
      </c>
      <c r="M3685" t="s">
        <v>697</v>
      </c>
    </row>
    <row r="3686" spans="1:13" x14ac:dyDescent="0.25">
      <c r="A3686" t="s">
        <v>88</v>
      </c>
      <c r="B3686" s="6" t="s">
        <v>232</v>
      </c>
      <c r="C3686" s="13">
        <v>104</v>
      </c>
      <c r="D3686" s="14" t="s">
        <v>91</v>
      </c>
      <c r="E3686">
        <v>16</v>
      </c>
      <c r="F3686" s="8">
        <f>VLOOKUP(financials[[#This Row],[productid]],Products!$B$2:$H$10,3)</f>
        <v>5.9</v>
      </c>
      <c r="G3686" s="8">
        <f>financials[[#This Row],[Units Sold]]*financials[[#This Row],[Sale Price]]</f>
        <v>94.4</v>
      </c>
      <c r="H3686" s="8">
        <f>IF(financials[[#This Row],[Discount Band]]="low",0.1,IF(financials[[#This Row],[Discount Band]]="medium",0.15,0.3))</f>
        <v>0.1</v>
      </c>
      <c r="I3686" s="8">
        <f>financials[[#This Row],[Gross Sales]]-financials[[#This Row],[Gross Sales]]*financials[[#This Row],[Discounts]]</f>
        <v>84.960000000000008</v>
      </c>
      <c r="J3686" s="8">
        <f>VLOOKUP(financials[[#This Row],[productid]],Products!$B$2:$H$10,4)</f>
        <v>2.9</v>
      </c>
      <c r="K3686" s="8">
        <f>financials[[#This Row],[Net Sales]]-financials[[#This Row],[COGS]]</f>
        <v>82.06</v>
      </c>
      <c r="L3686" s="15">
        <v>44912</v>
      </c>
      <c r="M3686" t="s">
        <v>691</v>
      </c>
    </row>
    <row r="3687" spans="1:13" x14ac:dyDescent="0.25">
      <c r="A3687" t="s">
        <v>86</v>
      </c>
      <c r="B3687" s="6" t="s">
        <v>124</v>
      </c>
      <c r="C3687" s="13">
        <v>107</v>
      </c>
      <c r="D3687" s="14" t="s">
        <v>91</v>
      </c>
      <c r="E3687">
        <v>6</v>
      </c>
      <c r="F3687" s="8">
        <f>VLOOKUP(financials[[#This Row],[productid]],Products!$B$2:$H$10,3)</f>
        <v>15</v>
      </c>
      <c r="G3687" s="8">
        <f>financials[[#This Row],[Units Sold]]*financials[[#This Row],[Sale Price]]</f>
        <v>90</v>
      </c>
      <c r="H3687" s="8">
        <f>IF(financials[[#This Row],[Discount Band]]="low",0.1,IF(financials[[#This Row],[Discount Band]]="medium",0.15,0.3))</f>
        <v>0.1</v>
      </c>
      <c r="I3687" s="8">
        <f>financials[[#This Row],[Gross Sales]]-financials[[#This Row],[Gross Sales]]*financials[[#This Row],[Discounts]]</f>
        <v>81</v>
      </c>
      <c r="J3687" s="8">
        <f>VLOOKUP(financials[[#This Row],[productid]],Products!$B$2:$H$10,4)</f>
        <v>5.5</v>
      </c>
      <c r="K3687" s="8">
        <f>financials[[#This Row],[Net Sales]]-financials[[#This Row],[COGS]]</f>
        <v>75.5</v>
      </c>
      <c r="L3687" s="15">
        <v>44247</v>
      </c>
      <c r="M3687" t="s">
        <v>697</v>
      </c>
    </row>
    <row r="3688" spans="1:13" x14ac:dyDescent="0.25">
      <c r="A3688" t="s">
        <v>86</v>
      </c>
      <c r="B3688" s="6" t="s">
        <v>617</v>
      </c>
      <c r="C3688" s="13">
        <v>105</v>
      </c>
      <c r="D3688" s="14" t="s">
        <v>90</v>
      </c>
      <c r="E3688">
        <v>8</v>
      </c>
      <c r="F3688" s="8">
        <f>VLOOKUP(financials[[#This Row],[productid]],Products!$B$2:$H$10,3)</f>
        <v>15</v>
      </c>
      <c r="G3688" s="8">
        <f>financials[[#This Row],[Units Sold]]*financials[[#This Row],[Sale Price]]</f>
        <v>120</v>
      </c>
      <c r="H3688" s="8">
        <f>IF(financials[[#This Row],[Discount Band]]="low",0.1,IF(financials[[#This Row],[Discount Band]]="medium",0.15,0.3))</f>
        <v>0.15</v>
      </c>
      <c r="I3688" s="8">
        <f>financials[[#This Row],[Gross Sales]]-financials[[#This Row],[Gross Sales]]*financials[[#This Row],[Discounts]]</f>
        <v>102</v>
      </c>
      <c r="J3688" s="8">
        <f>VLOOKUP(financials[[#This Row],[productid]],Products!$B$2:$H$10,4)</f>
        <v>10</v>
      </c>
      <c r="K3688" s="8">
        <f>financials[[#This Row],[Net Sales]]-financials[[#This Row],[COGS]]</f>
        <v>92</v>
      </c>
      <c r="L3688" s="15">
        <v>45641</v>
      </c>
      <c r="M3688" t="s">
        <v>696</v>
      </c>
    </row>
    <row r="3689" spans="1:13" x14ac:dyDescent="0.25">
      <c r="A3689" t="s">
        <v>86</v>
      </c>
      <c r="B3689" s="6" t="s">
        <v>125</v>
      </c>
      <c r="C3689" s="13">
        <v>101</v>
      </c>
      <c r="D3689" s="14" t="s">
        <v>90</v>
      </c>
      <c r="E3689">
        <v>18</v>
      </c>
      <c r="F3689" s="8">
        <f>VLOOKUP(financials[[#This Row],[productid]],Products!$B$2:$H$10,3)</f>
        <v>23</v>
      </c>
      <c r="G3689" s="8">
        <f>financials[[#This Row],[Units Sold]]*financials[[#This Row],[Sale Price]]</f>
        <v>414</v>
      </c>
      <c r="H3689" s="8">
        <f>IF(financials[[#This Row],[Discount Band]]="low",0.1,IF(financials[[#This Row],[Discount Band]]="medium",0.15,0.3))</f>
        <v>0.15</v>
      </c>
      <c r="I3689" s="8">
        <f>financials[[#This Row],[Gross Sales]]-financials[[#This Row],[Gross Sales]]*financials[[#This Row],[Discounts]]</f>
        <v>351.9</v>
      </c>
      <c r="J3689" s="8">
        <f>VLOOKUP(financials[[#This Row],[productid]],Products!$B$2:$H$10,4)</f>
        <v>9.9499999999999993</v>
      </c>
      <c r="K3689" s="8">
        <f>financials[[#This Row],[Net Sales]]-financials[[#This Row],[COGS]]</f>
        <v>341.95</v>
      </c>
      <c r="L3689" s="15">
        <v>44458</v>
      </c>
      <c r="M3689" t="s">
        <v>700</v>
      </c>
    </row>
    <row r="3690" spans="1:13" x14ac:dyDescent="0.25">
      <c r="A3690" t="s">
        <v>86</v>
      </c>
      <c r="B3690" s="6" t="s">
        <v>124</v>
      </c>
      <c r="C3690" s="13">
        <v>102</v>
      </c>
      <c r="D3690" s="14" t="s">
        <v>92</v>
      </c>
      <c r="E3690">
        <v>11</v>
      </c>
      <c r="F3690" s="8">
        <f>VLOOKUP(financials[[#This Row],[productid]],Products!$B$2:$H$10,3)</f>
        <v>15</v>
      </c>
      <c r="G3690" s="8">
        <f>financials[[#This Row],[Units Sold]]*financials[[#This Row],[Sale Price]]</f>
        <v>165</v>
      </c>
      <c r="H3690" s="8">
        <f>IF(financials[[#This Row],[Discount Band]]="low",0.1,IF(financials[[#This Row],[Discount Band]]="medium",0.15,0.3))</f>
        <v>0.3</v>
      </c>
      <c r="I3690" s="8">
        <f>financials[[#This Row],[Gross Sales]]-financials[[#This Row],[Gross Sales]]*financials[[#This Row],[Discounts]]</f>
        <v>115.5</v>
      </c>
      <c r="J3690" s="8">
        <f>VLOOKUP(financials[[#This Row],[productid]],Products!$B$2:$H$10,4)</f>
        <v>13.95</v>
      </c>
      <c r="K3690" s="8">
        <f>financials[[#This Row],[Net Sales]]-financials[[#This Row],[COGS]]</f>
        <v>101.55</v>
      </c>
      <c r="L3690" s="15">
        <v>44720</v>
      </c>
      <c r="M3690" t="s">
        <v>696</v>
      </c>
    </row>
    <row r="3691" spans="1:13" x14ac:dyDescent="0.25">
      <c r="A3691" t="s">
        <v>88</v>
      </c>
      <c r="B3691" s="6" t="s">
        <v>287</v>
      </c>
      <c r="C3691" s="13">
        <v>105</v>
      </c>
      <c r="D3691" s="14" t="s">
        <v>90</v>
      </c>
      <c r="E3691">
        <v>12</v>
      </c>
      <c r="F3691" s="8">
        <f>VLOOKUP(financials[[#This Row],[productid]],Products!$B$2:$H$10,3)</f>
        <v>15</v>
      </c>
      <c r="G3691" s="8">
        <f>financials[[#This Row],[Units Sold]]*financials[[#This Row],[Sale Price]]</f>
        <v>180</v>
      </c>
      <c r="H3691" s="8">
        <f>IF(financials[[#This Row],[Discount Band]]="low",0.1,IF(financials[[#This Row],[Discount Band]]="medium",0.15,0.3))</f>
        <v>0.15</v>
      </c>
      <c r="I3691" s="8">
        <f>financials[[#This Row],[Gross Sales]]-financials[[#This Row],[Gross Sales]]*financials[[#This Row],[Discounts]]</f>
        <v>153</v>
      </c>
      <c r="J3691" s="8">
        <f>VLOOKUP(financials[[#This Row],[productid]],Products!$B$2:$H$10,4)</f>
        <v>10</v>
      </c>
      <c r="K3691" s="8">
        <f>financials[[#This Row],[Net Sales]]-financials[[#This Row],[COGS]]</f>
        <v>143</v>
      </c>
      <c r="L3691" s="15">
        <v>44424</v>
      </c>
      <c r="M3691" t="s">
        <v>700</v>
      </c>
    </row>
    <row r="3692" spans="1:13" x14ac:dyDescent="0.25">
      <c r="A3692" t="s">
        <v>88</v>
      </c>
      <c r="B3692" s="6" t="s">
        <v>645</v>
      </c>
      <c r="C3692" s="13">
        <v>107</v>
      </c>
      <c r="D3692" s="14" t="s">
        <v>90</v>
      </c>
      <c r="E3692">
        <v>12</v>
      </c>
      <c r="F3692" s="8">
        <f>VLOOKUP(financials[[#This Row],[productid]],Products!$B$2:$H$10,3)</f>
        <v>15</v>
      </c>
      <c r="G3692" s="8">
        <f>financials[[#This Row],[Units Sold]]*financials[[#This Row],[Sale Price]]</f>
        <v>180</v>
      </c>
      <c r="H3692" s="8">
        <f>IF(financials[[#This Row],[Discount Band]]="low",0.1,IF(financials[[#This Row],[Discount Band]]="medium",0.15,0.3))</f>
        <v>0.15</v>
      </c>
      <c r="I3692" s="8">
        <f>financials[[#This Row],[Gross Sales]]-financials[[#This Row],[Gross Sales]]*financials[[#This Row],[Discounts]]</f>
        <v>153</v>
      </c>
      <c r="J3692" s="8">
        <f>VLOOKUP(financials[[#This Row],[productid]],Products!$B$2:$H$10,4)</f>
        <v>5.5</v>
      </c>
      <c r="K3692" s="8">
        <f>financials[[#This Row],[Net Sales]]-financials[[#This Row],[COGS]]</f>
        <v>147.5</v>
      </c>
      <c r="L3692" s="15">
        <v>44999</v>
      </c>
      <c r="M3692" t="s">
        <v>700</v>
      </c>
    </row>
    <row r="3693" spans="1:13" x14ac:dyDescent="0.25">
      <c r="A3693" t="s">
        <v>86</v>
      </c>
      <c r="B3693" s="6" t="s">
        <v>287</v>
      </c>
      <c r="C3693" s="11">
        <v>107</v>
      </c>
      <c r="D3693" s="9" t="s">
        <v>83</v>
      </c>
      <c r="E3693">
        <v>15</v>
      </c>
      <c r="F3693" s="8">
        <f>VLOOKUP(financials[[#This Row],[productid]],Products!$B$2:$H$10,3)</f>
        <v>15</v>
      </c>
      <c r="G3693" s="8">
        <f>financials[[#This Row],[Units Sold]]*financials[[#This Row],[Sale Price]]</f>
        <v>225</v>
      </c>
      <c r="H3693" s="8">
        <f>IF(financials[[#This Row],[Discount Band]]="low",0.1,IF(financials[[#This Row],[Discount Band]]="medium",0.15,0.3))</f>
        <v>0.3</v>
      </c>
      <c r="I3693" s="8">
        <f>financials[[#This Row],[Gross Sales]]-financials[[#This Row],[Gross Sales]]*financials[[#This Row],[Discounts]]</f>
        <v>157.5</v>
      </c>
      <c r="J3693" s="8">
        <f>VLOOKUP(financials[[#This Row],[productid]],Products!$B$2:$H$10,4)</f>
        <v>5.5</v>
      </c>
      <c r="K3693" s="8">
        <f>financials[[#This Row],[Net Sales]]-financials[[#This Row],[COGS]]</f>
        <v>152</v>
      </c>
      <c r="L3693" s="15">
        <v>44961</v>
      </c>
      <c r="M3693" t="s">
        <v>697</v>
      </c>
    </row>
    <row r="3694" spans="1:13" x14ac:dyDescent="0.25">
      <c r="A3694" t="s">
        <v>86</v>
      </c>
      <c r="B3694" s="6" t="s">
        <v>228</v>
      </c>
      <c r="C3694" s="13">
        <v>106</v>
      </c>
      <c r="D3694" s="14" t="s">
        <v>91</v>
      </c>
      <c r="E3694">
        <v>8</v>
      </c>
      <c r="F3694" s="8">
        <f>VLOOKUP(financials[[#This Row],[productid]],Products!$B$2:$H$10,3)</f>
        <v>25</v>
      </c>
      <c r="G3694" s="8">
        <f>financials[[#This Row],[Units Sold]]*financials[[#This Row],[Sale Price]]</f>
        <v>200</v>
      </c>
      <c r="H3694" s="8">
        <f>IF(financials[[#This Row],[Discount Band]]="low",0.1,IF(financials[[#This Row],[Discount Band]]="medium",0.15,0.3))</f>
        <v>0.1</v>
      </c>
      <c r="I3694" s="8">
        <f>financials[[#This Row],[Gross Sales]]-financials[[#This Row],[Gross Sales]]*financials[[#This Row],[Discounts]]</f>
        <v>180</v>
      </c>
      <c r="J3694" s="8">
        <f>VLOOKUP(financials[[#This Row],[productid]],Products!$B$2:$H$10,4)</f>
        <v>9.1</v>
      </c>
      <c r="K3694" s="8">
        <f>financials[[#This Row],[Net Sales]]-financials[[#This Row],[COGS]]</f>
        <v>170.9</v>
      </c>
      <c r="L3694" s="15">
        <v>44809</v>
      </c>
      <c r="M3694" t="s">
        <v>690</v>
      </c>
    </row>
    <row r="3695" spans="1:13" x14ac:dyDescent="0.25">
      <c r="A3695" t="s">
        <v>88</v>
      </c>
      <c r="B3695" s="6" t="s">
        <v>617</v>
      </c>
      <c r="C3695" s="13">
        <v>104</v>
      </c>
      <c r="D3695" s="14" t="s">
        <v>91</v>
      </c>
      <c r="E3695">
        <v>6</v>
      </c>
      <c r="F3695" s="8">
        <f>VLOOKUP(financials[[#This Row],[productid]],Products!$B$2:$H$10,3)</f>
        <v>5.9</v>
      </c>
      <c r="G3695" s="8">
        <f>financials[[#This Row],[Units Sold]]*financials[[#This Row],[Sale Price]]</f>
        <v>35.400000000000006</v>
      </c>
      <c r="H3695" s="8">
        <f>IF(financials[[#This Row],[Discount Band]]="low",0.1,IF(financials[[#This Row],[Discount Band]]="medium",0.15,0.3))</f>
        <v>0.1</v>
      </c>
      <c r="I3695" s="8">
        <f>financials[[#This Row],[Gross Sales]]-financials[[#This Row],[Gross Sales]]*financials[[#This Row],[Discounts]]</f>
        <v>31.860000000000007</v>
      </c>
      <c r="J3695" s="8">
        <f>VLOOKUP(financials[[#This Row],[productid]],Products!$B$2:$H$10,4)</f>
        <v>2.9</v>
      </c>
      <c r="K3695" s="8">
        <f>financials[[#This Row],[Net Sales]]-financials[[#This Row],[COGS]]</f>
        <v>28.960000000000008</v>
      </c>
      <c r="L3695" s="15">
        <v>45307</v>
      </c>
      <c r="M3695" t="s">
        <v>697</v>
      </c>
    </row>
    <row r="3696" spans="1:13" x14ac:dyDescent="0.25">
      <c r="A3696" t="s">
        <v>88</v>
      </c>
      <c r="B3696" s="6" t="s">
        <v>274</v>
      </c>
      <c r="C3696" s="13">
        <v>102</v>
      </c>
      <c r="D3696" s="14" t="s">
        <v>83</v>
      </c>
      <c r="E3696">
        <v>8</v>
      </c>
      <c r="F3696" s="8">
        <f>VLOOKUP(financials[[#This Row],[productid]],Products!$B$2:$H$10,3)</f>
        <v>15</v>
      </c>
      <c r="G3696" s="8">
        <f>financials[[#This Row],[Units Sold]]*financials[[#This Row],[Sale Price]]</f>
        <v>120</v>
      </c>
      <c r="H3696" s="8">
        <f>IF(financials[[#This Row],[Discount Band]]="low",0.1,IF(financials[[#This Row],[Discount Band]]="medium",0.15,0.3))</f>
        <v>0.3</v>
      </c>
      <c r="I3696" s="8">
        <f>financials[[#This Row],[Gross Sales]]-financials[[#This Row],[Gross Sales]]*financials[[#This Row],[Discounts]]</f>
        <v>84</v>
      </c>
      <c r="J3696" s="8">
        <f>VLOOKUP(financials[[#This Row],[productid]],Products!$B$2:$H$10,4)</f>
        <v>13.95</v>
      </c>
      <c r="K3696" s="8">
        <f>financials[[#This Row],[Net Sales]]-financials[[#This Row],[COGS]]</f>
        <v>70.05</v>
      </c>
      <c r="L3696" s="15">
        <v>45566</v>
      </c>
      <c r="M3696" t="s">
        <v>700</v>
      </c>
    </row>
    <row r="3697" spans="1:13" x14ac:dyDescent="0.25">
      <c r="A3697" t="s">
        <v>88</v>
      </c>
      <c r="B3697" s="6" t="s">
        <v>545</v>
      </c>
      <c r="C3697" s="13">
        <v>104</v>
      </c>
      <c r="D3697" s="14" t="s">
        <v>90</v>
      </c>
      <c r="E3697">
        <v>13</v>
      </c>
      <c r="F3697" s="8">
        <f>VLOOKUP(financials[[#This Row],[productid]],Products!$B$2:$H$10,3)</f>
        <v>5.9</v>
      </c>
      <c r="G3697" s="8">
        <f>financials[[#This Row],[Units Sold]]*financials[[#This Row],[Sale Price]]</f>
        <v>76.7</v>
      </c>
      <c r="H3697" s="8">
        <f>IF(financials[[#This Row],[Discount Band]]="low",0.1,IF(financials[[#This Row],[Discount Band]]="medium",0.15,0.3))</f>
        <v>0.15</v>
      </c>
      <c r="I3697" s="8">
        <f>financials[[#This Row],[Gross Sales]]-financials[[#This Row],[Gross Sales]]*financials[[#This Row],[Discounts]]</f>
        <v>65.195000000000007</v>
      </c>
      <c r="J3697" s="8">
        <f>VLOOKUP(financials[[#This Row],[productid]],Products!$B$2:$H$10,4)</f>
        <v>2.9</v>
      </c>
      <c r="K3697" s="8">
        <f>financials[[#This Row],[Net Sales]]-financials[[#This Row],[COGS]]</f>
        <v>62.295000000000009</v>
      </c>
      <c r="L3697" s="15">
        <v>44729</v>
      </c>
      <c r="M3697" t="s">
        <v>697</v>
      </c>
    </row>
    <row r="3698" spans="1:13" x14ac:dyDescent="0.25">
      <c r="A3698" t="s">
        <v>86</v>
      </c>
      <c r="B3698" s="6" t="s">
        <v>148</v>
      </c>
      <c r="C3698" s="11">
        <v>101</v>
      </c>
      <c r="D3698" s="9" t="s">
        <v>90</v>
      </c>
      <c r="E3698">
        <v>10</v>
      </c>
      <c r="F3698" s="8">
        <f>VLOOKUP(financials[[#This Row],[productid]],Products!$B$2:$H$10,3)</f>
        <v>23</v>
      </c>
      <c r="G3698" s="8">
        <f>financials[[#This Row],[Units Sold]]*financials[[#This Row],[Sale Price]]</f>
        <v>230</v>
      </c>
      <c r="H3698" s="8">
        <f>IF(financials[[#This Row],[Discount Band]]="low",0.1,IF(financials[[#This Row],[Discount Band]]="medium",0.15,0.3))</f>
        <v>0.15</v>
      </c>
      <c r="I3698" s="8">
        <f>financials[[#This Row],[Gross Sales]]-financials[[#This Row],[Gross Sales]]*financials[[#This Row],[Discounts]]</f>
        <v>195.5</v>
      </c>
      <c r="J3698" s="8">
        <f>VLOOKUP(financials[[#This Row],[productid]],Products!$B$2:$H$10,4)</f>
        <v>9.9499999999999993</v>
      </c>
      <c r="K3698" s="8">
        <f>financials[[#This Row],[Net Sales]]-financials[[#This Row],[COGS]]</f>
        <v>185.55</v>
      </c>
      <c r="L3698" s="15">
        <v>43913</v>
      </c>
      <c r="M3698" t="s">
        <v>690</v>
      </c>
    </row>
    <row r="3699" spans="1:13" x14ac:dyDescent="0.25">
      <c r="A3699" t="s">
        <v>86</v>
      </c>
      <c r="B3699" s="6" t="s">
        <v>645</v>
      </c>
      <c r="C3699" s="13">
        <v>107</v>
      </c>
      <c r="D3699" s="14" t="s">
        <v>83</v>
      </c>
      <c r="E3699">
        <v>9</v>
      </c>
      <c r="F3699" s="8">
        <f>VLOOKUP(financials[[#This Row],[productid]],Products!$B$2:$H$10,3)</f>
        <v>15</v>
      </c>
      <c r="G3699" s="8">
        <f>financials[[#This Row],[Units Sold]]*financials[[#This Row],[Sale Price]]</f>
        <v>135</v>
      </c>
      <c r="H3699" s="8">
        <f>IF(financials[[#This Row],[Discount Band]]="low",0.1,IF(financials[[#This Row],[Discount Band]]="medium",0.15,0.3))</f>
        <v>0.3</v>
      </c>
      <c r="I3699" s="8">
        <f>financials[[#This Row],[Gross Sales]]-financials[[#This Row],[Gross Sales]]*financials[[#This Row],[Discounts]]</f>
        <v>94.5</v>
      </c>
      <c r="J3699" s="8">
        <f>VLOOKUP(financials[[#This Row],[productid]],Products!$B$2:$H$10,4)</f>
        <v>5.5</v>
      </c>
      <c r="K3699" s="8">
        <f>financials[[#This Row],[Net Sales]]-financials[[#This Row],[COGS]]</f>
        <v>89</v>
      </c>
      <c r="L3699" s="15">
        <v>44357</v>
      </c>
      <c r="M3699" t="s">
        <v>690</v>
      </c>
    </row>
    <row r="3700" spans="1:13" x14ac:dyDescent="0.25">
      <c r="A3700" t="s">
        <v>86</v>
      </c>
      <c r="B3700" s="6" t="s">
        <v>268</v>
      </c>
      <c r="C3700" s="13">
        <v>106</v>
      </c>
      <c r="D3700" s="14" t="s">
        <v>91</v>
      </c>
      <c r="E3700">
        <v>13</v>
      </c>
      <c r="F3700" s="8">
        <f>VLOOKUP(financials[[#This Row],[productid]],Products!$B$2:$H$10,3)</f>
        <v>25</v>
      </c>
      <c r="G3700" s="8">
        <f>financials[[#This Row],[Units Sold]]*financials[[#This Row],[Sale Price]]</f>
        <v>325</v>
      </c>
      <c r="H3700" s="8">
        <f>IF(financials[[#This Row],[Discount Band]]="low",0.1,IF(financials[[#This Row],[Discount Band]]="medium",0.15,0.3))</f>
        <v>0.1</v>
      </c>
      <c r="I3700" s="8">
        <f>financials[[#This Row],[Gross Sales]]-financials[[#This Row],[Gross Sales]]*financials[[#This Row],[Discounts]]</f>
        <v>292.5</v>
      </c>
      <c r="J3700" s="8">
        <f>VLOOKUP(financials[[#This Row],[productid]],Products!$B$2:$H$10,4)</f>
        <v>9.1</v>
      </c>
      <c r="K3700" s="8">
        <f>financials[[#This Row],[Net Sales]]-financials[[#This Row],[COGS]]</f>
        <v>283.39999999999998</v>
      </c>
      <c r="L3700" s="15">
        <v>44668</v>
      </c>
      <c r="M3700" t="s">
        <v>696</v>
      </c>
    </row>
    <row r="3701" spans="1:13" x14ac:dyDescent="0.25">
      <c r="A3701" t="s">
        <v>88</v>
      </c>
      <c r="B3701" s="6" t="s">
        <v>158</v>
      </c>
      <c r="C3701" s="13">
        <v>108</v>
      </c>
      <c r="D3701" s="14" t="s">
        <v>83</v>
      </c>
      <c r="E3701">
        <v>15</v>
      </c>
      <c r="F3701" s="8">
        <f>VLOOKUP(financials[[#This Row],[productid]],Products!$B$2:$H$10,3)</f>
        <v>5.5</v>
      </c>
      <c r="G3701" s="8">
        <f>financials[[#This Row],[Units Sold]]*financials[[#This Row],[Sale Price]]</f>
        <v>82.5</v>
      </c>
      <c r="H3701" s="8">
        <f>IF(financials[[#This Row],[Discount Band]]="low",0.1,IF(financials[[#This Row],[Discount Band]]="medium",0.15,0.3))</f>
        <v>0.3</v>
      </c>
      <c r="I3701" s="8">
        <f>financials[[#This Row],[Gross Sales]]-financials[[#This Row],[Gross Sales]]*financials[[#This Row],[Discounts]]</f>
        <v>57.75</v>
      </c>
      <c r="J3701" s="8">
        <f>VLOOKUP(financials[[#This Row],[productid]],Products!$B$2:$H$10,4)</f>
        <v>3.99</v>
      </c>
      <c r="K3701" s="8">
        <f>financials[[#This Row],[Net Sales]]-financials[[#This Row],[COGS]]</f>
        <v>53.76</v>
      </c>
      <c r="L3701" s="15">
        <v>45495</v>
      </c>
      <c r="M3701" t="s">
        <v>690</v>
      </c>
    </row>
    <row r="3702" spans="1:13" x14ac:dyDescent="0.25">
      <c r="A3702" t="s">
        <v>88</v>
      </c>
      <c r="B3702" s="6" t="s">
        <v>93</v>
      </c>
      <c r="C3702" s="13">
        <v>105</v>
      </c>
      <c r="D3702" s="14" t="s">
        <v>83</v>
      </c>
      <c r="E3702">
        <v>17</v>
      </c>
      <c r="F3702" s="8">
        <f>VLOOKUP(financials[[#This Row],[productid]],Products!$B$2:$H$10,3)</f>
        <v>15</v>
      </c>
      <c r="G3702" s="8">
        <f>financials[[#This Row],[Units Sold]]*financials[[#This Row],[Sale Price]]</f>
        <v>255</v>
      </c>
      <c r="H3702" s="8">
        <f>IF(financials[[#This Row],[Discount Band]]="low",0.1,IF(financials[[#This Row],[Discount Band]]="medium",0.15,0.3))</f>
        <v>0.3</v>
      </c>
      <c r="I3702" s="8">
        <f>financials[[#This Row],[Gross Sales]]-financials[[#This Row],[Gross Sales]]*financials[[#This Row],[Discounts]]</f>
        <v>178.5</v>
      </c>
      <c r="J3702" s="8">
        <f>VLOOKUP(financials[[#This Row],[productid]],Products!$B$2:$H$10,4)</f>
        <v>10</v>
      </c>
      <c r="K3702" s="8">
        <f>financials[[#This Row],[Net Sales]]-financials[[#This Row],[COGS]]</f>
        <v>168.5</v>
      </c>
      <c r="L3702" s="15">
        <v>44625</v>
      </c>
      <c r="M3702" t="s">
        <v>691</v>
      </c>
    </row>
    <row r="3703" spans="1:13" x14ac:dyDescent="0.25">
      <c r="A3703" t="s">
        <v>86</v>
      </c>
      <c r="B3703" s="6" t="s">
        <v>124</v>
      </c>
      <c r="C3703" s="13">
        <v>107</v>
      </c>
      <c r="D3703" s="14" t="s">
        <v>83</v>
      </c>
      <c r="E3703">
        <v>6</v>
      </c>
      <c r="F3703" s="8">
        <f>VLOOKUP(financials[[#This Row],[productid]],Products!$B$2:$H$10,3)</f>
        <v>15</v>
      </c>
      <c r="G3703" s="8">
        <f>financials[[#This Row],[Units Sold]]*financials[[#This Row],[Sale Price]]</f>
        <v>90</v>
      </c>
      <c r="H3703" s="8">
        <f>IF(financials[[#This Row],[Discount Band]]="low",0.1,IF(financials[[#This Row],[Discount Band]]="medium",0.15,0.3))</f>
        <v>0.3</v>
      </c>
      <c r="I3703" s="8">
        <f>financials[[#This Row],[Gross Sales]]-financials[[#This Row],[Gross Sales]]*financials[[#This Row],[Discounts]]</f>
        <v>63</v>
      </c>
      <c r="J3703" s="8">
        <f>VLOOKUP(financials[[#This Row],[productid]],Products!$B$2:$H$10,4)</f>
        <v>5.5</v>
      </c>
      <c r="K3703" s="8">
        <f>financials[[#This Row],[Net Sales]]-financials[[#This Row],[COGS]]</f>
        <v>57.5</v>
      </c>
      <c r="L3703" s="15">
        <v>44555</v>
      </c>
      <c r="M3703" t="s">
        <v>690</v>
      </c>
    </row>
    <row r="3704" spans="1:13" x14ac:dyDescent="0.25">
      <c r="A3704" t="s">
        <v>86</v>
      </c>
      <c r="B3704" s="6" t="s">
        <v>268</v>
      </c>
      <c r="C3704" s="11">
        <v>108</v>
      </c>
      <c r="D3704" s="9" t="s">
        <v>91</v>
      </c>
      <c r="E3704">
        <v>6</v>
      </c>
      <c r="F3704" s="8">
        <f>VLOOKUP(financials[[#This Row],[productid]],Products!$B$2:$H$10,3)</f>
        <v>5.5</v>
      </c>
      <c r="G3704" s="8">
        <f>financials[[#This Row],[Units Sold]]*financials[[#This Row],[Sale Price]]</f>
        <v>33</v>
      </c>
      <c r="H3704" s="8">
        <f>IF(financials[[#This Row],[Discount Band]]="low",0.1,IF(financials[[#This Row],[Discount Band]]="medium",0.15,0.3))</f>
        <v>0.1</v>
      </c>
      <c r="I3704" s="8">
        <f>financials[[#This Row],[Gross Sales]]-financials[[#This Row],[Gross Sales]]*financials[[#This Row],[Discounts]]</f>
        <v>29.7</v>
      </c>
      <c r="J3704" s="8">
        <f>VLOOKUP(financials[[#This Row],[productid]],Products!$B$2:$H$10,4)</f>
        <v>3.99</v>
      </c>
      <c r="K3704" s="8">
        <f>financials[[#This Row],[Net Sales]]-financials[[#This Row],[COGS]]</f>
        <v>25.71</v>
      </c>
      <c r="L3704" s="15">
        <v>44759</v>
      </c>
      <c r="M3704" t="s">
        <v>691</v>
      </c>
    </row>
    <row r="3705" spans="1:13" x14ac:dyDescent="0.25">
      <c r="A3705" t="s">
        <v>86</v>
      </c>
      <c r="B3705" s="6" t="s">
        <v>125</v>
      </c>
      <c r="C3705" s="13">
        <v>107</v>
      </c>
      <c r="D3705" s="14" t="s">
        <v>83</v>
      </c>
      <c r="E3705">
        <v>12</v>
      </c>
      <c r="F3705" s="8">
        <f>VLOOKUP(financials[[#This Row],[productid]],Products!$B$2:$H$10,3)</f>
        <v>15</v>
      </c>
      <c r="G3705" s="8">
        <f>financials[[#This Row],[Units Sold]]*financials[[#This Row],[Sale Price]]</f>
        <v>180</v>
      </c>
      <c r="H3705" s="8">
        <f>IF(financials[[#This Row],[Discount Band]]="low",0.1,IF(financials[[#This Row],[Discount Band]]="medium",0.15,0.3))</f>
        <v>0.3</v>
      </c>
      <c r="I3705" s="8">
        <f>financials[[#This Row],[Gross Sales]]-financials[[#This Row],[Gross Sales]]*financials[[#This Row],[Discounts]]</f>
        <v>126</v>
      </c>
      <c r="J3705" s="8">
        <f>VLOOKUP(financials[[#This Row],[productid]],Products!$B$2:$H$10,4)</f>
        <v>5.5</v>
      </c>
      <c r="K3705" s="8">
        <f>financials[[#This Row],[Net Sales]]-financials[[#This Row],[COGS]]</f>
        <v>120.5</v>
      </c>
      <c r="L3705" s="15">
        <v>44511</v>
      </c>
      <c r="M3705" t="s">
        <v>691</v>
      </c>
    </row>
    <row r="3706" spans="1:13" x14ac:dyDescent="0.25">
      <c r="A3706" t="s">
        <v>88</v>
      </c>
      <c r="B3706" s="6" t="s">
        <v>268</v>
      </c>
      <c r="C3706" s="13">
        <v>109</v>
      </c>
      <c r="D3706" s="14" t="s">
        <v>90</v>
      </c>
      <c r="E3706">
        <v>19</v>
      </c>
      <c r="F3706" s="8">
        <f>VLOOKUP(financials[[#This Row],[productid]],Products!$B$2:$H$10,3)</f>
        <v>36</v>
      </c>
      <c r="G3706" s="8">
        <f>financials[[#This Row],[Units Sold]]*financials[[#This Row],[Sale Price]]</f>
        <v>684</v>
      </c>
      <c r="H3706" s="8">
        <f>IF(financials[[#This Row],[Discount Band]]="low",0.1,IF(financials[[#This Row],[Discount Band]]="medium",0.15,0.3))</f>
        <v>0.15</v>
      </c>
      <c r="I3706" s="8">
        <f>financials[[#This Row],[Gross Sales]]-financials[[#This Row],[Gross Sales]]*financials[[#This Row],[Discounts]]</f>
        <v>581.4</v>
      </c>
      <c r="J3706" s="8">
        <f>VLOOKUP(financials[[#This Row],[productid]],Products!$B$2:$H$10,4)</f>
        <v>16.8</v>
      </c>
      <c r="K3706" s="8">
        <f>financials[[#This Row],[Net Sales]]-financials[[#This Row],[COGS]]</f>
        <v>564.6</v>
      </c>
      <c r="L3706" s="15">
        <v>45013</v>
      </c>
      <c r="M3706" t="s">
        <v>697</v>
      </c>
    </row>
    <row r="3707" spans="1:13" x14ac:dyDescent="0.25">
      <c r="A3707" t="s">
        <v>88</v>
      </c>
      <c r="B3707" s="6" t="s">
        <v>232</v>
      </c>
      <c r="C3707" s="13">
        <v>101</v>
      </c>
      <c r="D3707" s="14" t="s">
        <v>91</v>
      </c>
      <c r="E3707">
        <v>17</v>
      </c>
      <c r="F3707" s="8">
        <f>VLOOKUP(financials[[#This Row],[productid]],Products!$B$2:$H$10,3)</f>
        <v>23</v>
      </c>
      <c r="G3707" s="8">
        <f>financials[[#This Row],[Units Sold]]*financials[[#This Row],[Sale Price]]</f>
        <v>391</v>
      </c>
      <c r="H3707" s="8">
        <f>IF(financials[[#This Row],[Discount Band]]="low",0.1,IF(financials[[#This Row],[Discount Band]]="medium",0.15,0.3))</f>
        <v>0.1</v>
      </c>
      <c r="I3707" s="8">
        <f>financials[[#This Row],[Gross Sales]]-financials[[#This Row],[Gross Sales]]*financials[[#This Row],[Discounts]]</f>
        <v>351.9</v>
      </c>
      <c r="J3707" s="8">
        <f>VLOOKUP(financials[[#This Row],[productid]],Products!$B$2:$H$10,4)</f>
        <v>9.9499999999999993</v>
      </c>
      <c r="K3707" s="8">
        <f>financials[[#This Row],[Net Sales]]-financials[[#This Row],[COGS]]</f>
        <v>341.95</v>
      </c>
      <c r="L3707" s="15">
        <v>44359</v>
      </c>
      <c r="M3707" t="s">
        <v>696</v>
      </c>
    </row>
    <row r="3708" spans="1:13" x14ac:dyDescent="0.25">
      <c r="A3708" t="s">
        <v>88</v>
      </c>
      <c r="B3708" s="6" t="s">
        <v>125</v>
      </c>
      <c r="C3708" s="13">
        <v>104</v>
      </c>
      <c r="D3708" s="14" t="s">
        <v>83</v>
      </c>
      <c r="E3708">
        <v>14</v>
      </c>
      <c r="F3708" s="8">
        <f>VLOOKUP(financials[[#This Row],[productid]],Products!$B$2:$H$10,3)</f>
        <v>5.9</v>
      </c>
      <c r="G3708" s="8">
        <f>financials[[#This Row],[Units Sold]]*financials[[#This Row],[Sale Price]]</f>
        <v>82.600000000000009</v>
      </c>
      <c r="H3708" s="8">
        <f>IF(financials[[#This Row],[Discount Band]]="low",0.1,IF(financials[[#This Row],[Discount Band]]="medium",0.15,0.3))</f>
        <v>0.3</v>
      </c>
      <c r="I3708" s="8">
        <f>financials[[#This Row],[Gross Sales]]-financials[[#This Row],[Gross Sales]]*financials[[#This Row],[Discounts]]</f>
        <v>57.820000000000007</v>
      </c>
      <c r="J3708" s="8">
        <f>VLOOKUP(financials[[#This Row],[productid]],Products!$B$2:$H$10,4)</f>
        <v>2.9</v>
      </c>
      <c r="K3708" s="8">
        <f>financials[[#This Row],[Net Sales]]-financials[[#This Row],[COGS]]</f>
        <v>54.920000000000009</v>
      </c>
      <c r="L3708" s="15">
        <v>44924</v>
      </c>
      <c r="M3708" t="s">
        <v>696</v>
      </c>
    </row>
    <row r="3709" spans="1:13" x14ac:dyDescent="0.25">
      <c r="A3709" t="s">
        <v>86</v>
      </c>
      <c r="B3709" s="6" t="s">
        <v>617</v>
      </c>
      <c r="C3709" s="13">
        <v>107</v>
      </c>
      <c r="D3709" s="14" t="s">
        <v>90</v>
      </c>
      <c r="E3709">
        <v>16</v>
      </c>
      <c r="F3709" s="8">
        <f>VLOOKUP(financials[[#This Row],[productid]],Products!$B$2:$H$10,3)</f>
        <v>15</v>
      </c>
      <c r="G3709" s="8">
        <f>financials[[#This Row],[Units Sold]]*financials[[#This Row],[Sale Price]]</f>
        <v>240</v>
      </c>
      <c r="H3709" s="8">
        <f>IF(financials[[#This Row],[Discount Band]]="low",0.1,IF(financials[[#This Row],[Discount Band]]="medium",0.15,0.3))</f>
        <v>0.15</v>
      </c>
      <c r="I3709" s="8">
        <f>financials[[#This Row],[Gross Sales]]-financials[[#This Row],[Gross Sales]]*financials[[#This Row],[Discounts]]</f>
        <v>204</v>
      </c>
      <c r="J3709" s="8">
        <f>VLOOKUP(financials[[#This Row],[productid]],Products!$B$2:$H$10,4)</f>
        <v>5.5</v>
      </c>
      <c r="K3709" s="8">
        <f>financials[[#This Row],[Net Sales]]-financials[[#This Row],[COGS]]</f>
        <v>198.5</v>
      </c>
      <c r="L3709" s="15">
        <v>44099</v>
      </c>
      <c r="M3709" t="s">
        <v>700</v>
      </c>
    </row>
    <row r="3710" spans="1:13" x14ac:dyDescent="0.25">
      <c r="A3710" t="s">
        <v>87</v>
      </c>
      <c r="B3710" s="6" t="s">
        <v>205</v>
      </c>
      <c r="C3710" s="13">
        <v>104</v>
      </c>
      <c r="D3710" s="14" t="s">
        <v>91</v>
      </c>
      <c r="E3710">
        <v>16</v>
      </c>
      <c r="F3710" s="8">
        <f>VLOOKUP(financials[[#This Row],[productid]],Products!$B$2:$H$10,3)</f>
        <v>5.9</v>
      </c>
      <c r="G3710" s="8">
        <f>financials[[#This Row],[Units Sold]]*financials[[#This Row],[Sale Price]]</f>
        <v>94.4</v>
      </c>
      <c r="H3710" s="8">
        <f>IF(financials[[#This Row],[Discount Band]]="low",0.1,IF(financials[[#This Row],[Discount Band]]="medium",0.15,0.3))</f>
        <v>0.1</v>
      </c>
      <c r="I3710" s="8">
        <f>financials[[#This Row],[Gross Sales]]-financials[[#This Row],[Gross Sales]]*financials[[#This Row],[Discounts]]</f>
        <v>84.960000000000008</v>
      </c>
      <c r="J3710" s="8">
        <f>VLOOKUP(financials[[#This Row],[productid]],Products!$B$2:$H$10,4)</f>
        <v>2.9</v>
      </c>
      <c r="K3710" s="8">
        <f>financials[[#This Row],[Net Sales]]-financials[[#This Row],[COGS]]</f>
        <v>82.06</v>
      </c>
      <c r="L3710" s="15">
        <v>45268</v>
      </c>
      <c r="M3710" t="s">
        <v>690</v>
      </c>
    </row>
    <row r="3711" spans="1:13" x14ac:dyDescent="0.25">
      <c r="A3711" t="s">
        <v>86</v>
      </c>
      <c r="B3711" s="6" t="s">
        <v>232</v>
      </c>
      <c r="C3711" s="13">
        <v>104</v>
      </c>
      <c r="D3711" s="14" t="s">
        <v>90</v>
      </c>
      <c r="E3711">
        <v>11</v>
      </c>
      <c r="F3711" s="8">
        <f>VLOOKUP(financials[[#This Row],[productid]],Products!$B$2:$H$10,3)</f>
        <v>5.9</v>
      </c>
      <c r="G3711" s="8">
        <f>financials[[#This Row],[Units Sold]]*financials[[#This Row],[Sale Price]]</f>
        <v>64.900000000000006</v>
      </c>
      <c r="H3711" s="8">
        <f>IF(financials[[#This Row],[Discount Band]]="low",0.1,IF(financials[[#This Row],[Discount Band]]="medium",0.15,0.3))</f>
        <v>0.15</v>
      </c>
      <c r="I3711" s="8">
        <f>financials[[#This Row],[Gross Sales]]-financials[[#This Row],[Gross Sales]]*financials[[#This Row],[Discounts]]</f>
        <v>55.165000000000006</v>
      </c>
      <c r="J3711" s="8">
        <f>VLOOKUP(financials[[#This Row],[productid]],Products!$B$2:$H$10,4)</f>
        <v>2.9</v>
      </c>
      <c r="K3711" s="8">
        <f>financials[[#This Row],[Net Sales]]-financials[[#This Row],[COGS]]</f>
        <v>52.265000000000008</v>
      </c>
      <c r="L3711" s="15">
        <v>44478</v>
      </c>
      <c r="M3711" t="s">
        <v>696</v>
      </c>
    </row>
    <row r="3712" spans="1:13" x14ac:dyDescent="0.25">
      <c r="A3712" t="s">
        <v>86</v>
      </c>
      <c r="B3712" s="6" t="s">
        <v>287</v>
      </c>
      <c r="C3712" s="13">
        <v>101</v>
      </c>
      <c r="D3712" s="14" t="s">
        <v>91</v>
      </c>
      <c r="E3712">
        <v>9</v>
      </c>
      <c r="F3712" s="8">
        <f>VLOOKUP(financials[[#This Row],[productid]],Products!$B$2:$H$10,3)</f>
        <v>23</v>
      </c>
      <c r="G3712" s="8">
        <f>financials[[#This Row],[Units Sold]]*financials[[#This Row],[Sale Price]]</f>
        <v>207</v>
      </c>
      <c r="H3712" s="8">
        <f>IF(financials[[#This Row],[Discount Band]]="low",0.1,IF(financials[[#This Row],[Discount Band]]="medium",0.15,0.3))</f>
        <v>0.1</v>
      </c>
      <c r="I3712" s="8">
        <f>financials[[#This Row],[Gross Sales]]-financials[[#This Row],[Gross Sales]]*financials[[#This Row],[Discounts]]</f>
        <v>186.3</v>
      </c>
      <c r="J3712" s="8">
        <f>VLOOKUP(financials[[#This Row],[productid]],Products!$B$2:$H$10,4)</f>
        <v>9.9499999999999993</v>
      </c>
      <c r="K3712" s="8">
        <f>financials[[#This Row],[Net Sales]]-financials[[#This Row],[COGS]]</f>
        <v>176.35000000000002</v>
      </c>
      <c r="L3712" s="15">
        <v>44354</v>
      </c>
      <c r="M3712" t="s">
        <v>700</v>
      </c>
    </row>
    <row r="3713" spans="1:13" x14ac:dyDescent="0.25">
      <c r="A3713" t="s">
        <v>88</v>
      </c>
      <c r="B3713" s="6" t="s">
        <v>148</v>
      </c>
      <c r="C3713" s="13">
        <v>102</v>
      </c>
      <c r="D3713" s="14" t="s">
        <v>91</v>
      </c>
      <c r="E3713">
        <v>16</v>
      </c>
      <c r="F3713" s="8">
        <f>VLOOKUP(financials[[#This Row],[productid]],Products!$B$2:$H$10,3)</f>
        <v>15</v>
      </c>
      <c r="G3713" s="8">
        <f>financials[[#This Row],[Units Sold]]*financials[[#This Row],[Sale Price]]</f>
        <v>240</v>
      </c>
      <c r="H3713" s="8">
        <f>IF(financials[[#This Row],[Discount Band]]="low",0.1,IF(financials[[#This Row],[Discount Band]]="medium",0.15,0.3))</f>
        <v>0.1</v>
      </c>
      <c r="I3713" s="8">
        <f>financials[[#This Row],[Gross Sales]]-financials[[#This Row],[Gross Sales]]*financials[[#This Row],[Discounts]]</f>
        <v>216</v>
      </c>
      <c r="J3713" s="8">
        <f>VLOOKUP(financials[[#This Row],[productid]],Products!$B$2:$H$10,4)</f>
        <v>13.95</v>
      </c>
      <c r="K3713" s="8">
        <f>financials[[#This Row],[Net Sales]]-financials[[#This Row],[COGS]]</f>
        <v>202.05</v>
      </c>
      <c r="L3713" s="15">
        <v>45152</v>
      </c>
      <c r="M3713" t="s">
        <v>697</v>
      </c>
    </row>
    <row r="3714" spans="1:13" x14ac:dyDescent="0.25">
      <c r="A3714" t="s">
        <v>88</v>
      </c>
      <c r="B3714" s="6" t="s">
        <v>228</v>
      </c>
      <c r="C3714" s="13">
        <v>101</v>
      </c>
      <c r="D3714" s="14" t="s">
        <v>90</v>
      </c>
      <c r="E3714">
        <v>13</v>
      </c>
      <c r="F3714" s="8">
        <f>VLOOKUP(financials[[#This Row],[productid]],Products!$B$2:$H$10,3)</f>
        <v>23</v>
      </c>
      <c r="G3714" s="8">
        <f>financials[[#This Row],[Units Sold]]*financials[[#This Row],[Sale Price]]</f>
        <v>299</v>
      </c>
      <c r="H3714" s="8">
        <f>IF(financials[[#This Row],[Discount Band]]="low",0.1,IF(financials[[#This Row],[Discount Band]]="medium",0.15,0.3))</f>
        <v>0.15</v>
      </c>
      <c r="I3714" s="8">
        <f>financials[[#This Row],[Gross Sales]]-financials[[#This Row],[Gross Sales]]*financials[[#This Row],[Discounts]]</f>
        <v>254.15</v>
      </c>
      <c r="J3714" s="8">
        <f>VLOOKUP(financials[[#This Row],[productid]],Products!$B$2:$H$10,4)</f>
        <v>9.9499999999999993</v>
      </c>
      <c r="K3714" s="8">
        <f>financials[[#This Row],[Net Sales]]-financials[[#This Row],[COGS]]</f>
        <v>244.20000000000002</v>
      </c>
      <c r="L3714" s="15">
        <v>44068</v>
      </c>
      <c r="M3714" t="s">
        <v>691</v>
      </c>
    </row>
    <row r="3715" spans="1:13" x14ac:dyDescent="0.25">
      <c r="A3715" t="s">
        <v>86</v>
      </c>
      <c r="B3715" s="6" t="s">
        <v>228</v>
      </c>
      <c r="C3715" s="13">
        <v>107</v>
      </c>
      <c r="D3715" s="14" t="s">
        <v>90</v>
      </c>
      <c r="E3715">
        <v>14</v>
      </c>
      <c r="F3715" s="8">
        <f>VLOOKUP(financials[[#This Row],[productid]],Products!$B$2:$H$10,3)</f>
        <v>15</v>
      </c>
      <c r="G3715" s="8">
        <f>financials[[#This Row],[Units Sold]]*financials[[#This Row],[Sale Price]]</f>
        <v>210</v>
      </c>
      <c r="H3715" s="8">
        <f>IF(financials[[#This Row],[Discount Band]]="low",0.1,IF(financials[[#This Row],[Discount Band]]="medium",0.15,0.3))</f>
        <v>0.15</v>
      </c>
      <c r="I3715" s="8">
        <f>financials[[#This Row],[Gross Sales]]-financials[[#This Row],[Gross Sales]]*financials[[#This Row],[Discounts]]</f>
        <v>178.5</v>
      </c>
      <c r="J3715" s="8">
        <f>VLOOKUP(financials[[#This Row],[productid]],Products!$B$2:$H$10,4)</f>
        <v>5.5</v>
      </c>
      <c r="K3715" s="8">
        <f>financials[[#This Row],[Net Sales]]-financials[[#This Row],[COGS]]</f>
        <v>173</v>
      </c>
      <c r="L3715" s="15">
        <v>45463</v>
      </c>
      <c r="M3715" t="s">
        <v>691</v>
      </c>
    </row>
    <row r="3716" spans="1:13" x14ac:dyDescent="0.25">
      <c r="A3716" t="s">
        <v>86</v>
      </c>
      <c r="B3716" s="6" t="s">
        <v>287</v>
      </c>
      <c r="C3716" s="13">
        <v>108</v>
      </c>
      <c r="D3716" s="14" t="s">
        <v>90</v>
      </c>
      <c r="E3716">
        <v>7</v>
      </c>
      <c r="F3716" s="8">
        <f>VLOOKUP(financials[[#This Row],[productid]],Products!$B$2:$H$10,3)</f>
        <v>5.5</v>
      </c>
      <c r="G3716" s="8">
        <f>financials[[#This Row],[Units Sold]]*financials[[#This Row],[Sale Price]]</f>
        <v>38.5</v>
      </c>
      <c r="H3716" s="8">
        <f>IF(financials[[#This Row],[Discount Band]]="low",0.1,IF(financials[[#This Row],[Discount Band]]="medium",0.15,0.3))</f>
        <v>0.15</v>
      </c>
      <c r="I3716" s="8">
        <f>financials[[#This Row],[Gross Sales]]-financials[[#This Row],[Gross Sales]]*financials[[#This Row],[Discounts]]</f>
        <v>32.725000000000001</v>
      </c>
      <c r="J3716" s="8">
        <f>VLOOKUP(financials[[#This Row],[productid]],Products!$B$2:$H$10,4)</f>
        <v>3.99</v>
      </c>
      <c r="K3716" s="8">
        <f>financials[[#This Row],[Net Sales]]-financials[[#This Row],[COGS]]</f>
        <v>28.734999999999999</v>
      </c>
      <c r="L3716" s="15">
        <v>44434</v>
      </c>
      <c r="M3716" t="s">
        <v>691</v>
      </c>
    </row>
    <row r="3717" spans="1:13" x14ac:dyDescent="0.25">
      <c r="A3717" t="s">
        <v>86</v>
      </c>
      <c r="B3717" s="6" t="s">
        <v>274</v>
      </c>
      <c r="C3717" s="13">
        <v>103</v>
      </c>
      <c r="D3717" s="14" t="s">
        <v>90</v>
      </c>
      <c r="E3717">
        <v>20</v>
      </c>
      <c r="F3717" s="8">
        <f>VLOOKUP(financials[[#This Row],[productid]],Products!$B$2:$H$10,3)</f>
        <v>28</v>
      </c>
      <c r="G3717" s="8">
        <f>financials[[#This Row],[Units Sold]]*financials[[#This Row],[Sale Price]]</f>
        <v>560</v>
      </c>
      <c r="H3717" s="8">
        <f>IF(financials[[#This Row],[Discount Band]]="low",0.1,IF(financials[[#This Row],[Discount Band]]="medium",0.15,0.3))</f>
        <v>0.15</v>
      </c>
      <c r="I3717" s="8">
        <f>financials[[#This Row],[Gross Sales]]-financials[[#This Row],[Gross Sales]]*financials[[#This Row],[Discounts]]</f>
        <v>476</v>
      </c>
      <c r="J3717" s="8">
        <f>VLOOKUP(financials[[#This Row],[productid]],Products!$B$2:$H$10,4)</f>
        <v>15</v>
      </c>
      <c r="K3717" s="8">
        <f>financials[[#This Row],[Net Sales]]-financials[[#This Row],[COGS]]</f>
        <v>461</v>
      </c>
      <c r="L3717" s="15">
        <v>44854</v>
      </c>
      <c r="M3717" t="s">
        <v>700</v>
      </c>
    </row>
    <row r="3718" spans="1:13" x14ac:dyDescent="0.25">
      <c r="A3718" t="s">
        <v>88</v>
      </c>
      <c r="B3718" s="6" t="s">
        <v>273</v>
      </c>
      <c r="C3718" s="11">
        <v>103</v>
      </c>
      <c r="D3718" s="9" t="s">
        <v>90</v>
      </c>
      <c r="E3718">
        <v>20</v>
      </c>
      <c r="F3718" s="8">
        <f>VLOOKUP(financials[[#This Row],[productid]],Products!$B$2:$H$10,3)</f>
        <v>28</v>
      </c>
      <c r="G3718" s="8">
        <f>financials[[#This Row],[Units Sold]]*financials[[#This Row],[Sale Price]]</f>
        <v>560</v>
      </c>
      <c r="H3718" s="8">
        <f>IF(financials[[#This Row],[Discount Band]]="low",0.1,IF(financials[[#This Row],[Discount Band]]="medium",0.15,0.3))</f>
        <v>0.15</v>
      </c>
      <c r="I3718" s="8">
        <f>financials[[#This Row],[Gross Sales]]-financials[[#This Row],[Gross Sales]]*financials[[#This Row],[Discounts]]</f>
        <v>476</v>
      </c>
      <c r="J3718" s="8">
        <f>VLOOKUP(financials[[#This Row],[productid]],Products!$B$2:$H$10,4)</f>
        <v>15</v>
      </c>
      <c r="K3718" s="8">
        <f>financials[[#This Row],[Net Sales]]-financials[[#This Row],[COGS]]</f>
        <v>461</v>
      </c>
      <c r="L3718" s="15">
        <v>45237</v>
      </c>
      <c r="M3718" t="s">
        <v>696</v>
      </c>
    </row>
    <row r="3719" spans="1:13" x14ac:dyDescent="0.25">
      <c r="A3719" t="s">
        <v>88</v>
      </c>
      <c r="B3719" s="6" t="s">
        <v>197</v>
      </c>
      <c r="C3719" s="13">
        <v>102</v>
      </c>
      <c r="D3719" s="14" t="s">
        <v>90</v>
      </c>
      <c r="E3719">
        <v>6</v>
      </c>
      <c r="F3719" s="8">
        <f>VLOOKUP(financials[[#This Row],[productid]],Products!$B$2:$H$10,3)</f>
        <v>15</v>
      </c>
      <c r="G3719" s="8">
        <f>financials[[#This Row],[Units Sold]]*financials[[#This Row],[Sale Price]]</f>
        <v>90</v>
      </c>
      <c r="H3719" s="8">
        <f>IF(financials[[#This Row],[Discount Band]]="low",0.1,IF(financials[[#This Row],[Discount Band]]="medium",0.15,0.3))</f>
        <v>0.15</v>
      </c>
      <c r="I3719" s="8">
        <f>financials[[#This Row],[Gross Sales]]-financials[[#This Row],[Gross Sales]]*financials[[#This Row],[Discounts]]</f>
        <v>76.5</v>
      </c>
      <c r="J3719" s="8">
        <f>VLOOKUP(financials[[#This Row],[productid]],Products!$B$2:$H$10,4)</f>
        <v>13.95</v>
      </c>
      <c r="K3719" s="8">
        <f>financials[[#This Row],[Net Sales]]-financials[[#This Row],[COGS]]</f>
        <v>62.55</v>
      </c>
      <c r="L3719" s="15">
        <v>44323</v>
      </c>
      <c r="M3719" t="s">
        <v>700</v>
      </c>
    </row>
    <row r="3720" spans="1:13" x14ac:dyDescent="0.25">
      <c r="A3720" t="s">
        <v>86</v>
      </c>
      <c r="B3720" s="6" t="s">
        <v>167</v>
      </c>
      <c r="C3720" s="13">
        <v>102</v>
      </c>
      <c r="D3720" s="14" t="s">
        <v>83</v>
      </c>
      <c r="E3720">
        <v>20</v>
      </c>
      <c r="F3720" s="8">
        <f>VLOOKUP(financials[[#This Row],[productid]],Products!$B$2:$H$10,3)</f>
        <v>15</v>
      </c>
      <c r="G3720" s="8">
        <f>financials[[#This Row],[Units Sold]]*financials[[#This Row],[Sale Price]]</f>
        <v>300</v>
      </c>
      <c r="H3720" s="8">
        <f>IF(financials[[#This Row],[Discount Band]]="low",0.1,IF(financials[[#This Row],[Discount Band]]="medium",0.15,0.3))</f>
        <v>0.3</v>
      </c>
      <c r="I3720" s="8">
        <f>financials[[#This Row],[Gross Sales]]-financials[[#This Row],[Gross Sales]]*financials[[#This Row],[Discounts]]</f>
        <v>210</v>
      </c>
      <c r="J3720" s="8">
        <f>VLOOKUP(financials[[#This Row],[productid]],Products!$B$2:$H$10,4)</f>
        <v>13.95</v>
      </c>
      <c r="K3720" s="8">
        <f>financials[[#This Row],[Net Sales]]-financials[[#This Row],[COGS]]</f>
        <v>196.05</v>
      </c>
      <c r="L3720" s="15">
        <v>44753</v>
      </c>
      <c r="M3720" t="s">
        <v>691</v>
      </c>
    </row>
    <row r="3721" spans="1:13" x14ac:dyDescent="0.25">
      <c r="A3721" t="s">
        <v>88</v>
      </c>
      <c r="B3721" s="6" t="s">
        <v>645</v>
      </c>
      <c r="C3721" s="13">
        <v>107</v>
      </c>
      <c r="D3721" s="14" t="s">
        <v>83</v>
      </c>
      <c r="E3721">
        <v>5</v>
      </c>
      <c r="F3721" s="8">
        <f>VLOOKUP(financials[[#This Row],[productid]],Products!$B$2:$H$10,3)</f>
        <v>15</v>
      </c>
      <c r="G3721" s="8">
        <f>financials[[#This Row],[Units Sold]]*financials[[#This Row],[Sale Price]]</f>
        <v>75</v>
      </c>
      <c r="H3721" s="8">
        <f>IF(financials[[#This Row],[Discount Band]]="low",0.1,IF(financials[[#This Row],[Discount Band]]="medium",0.15,0.3))</f>
        <v>0.3</v>
      </c>
      <c r="I3721" s="8">
        <f>financials[[#This Row],[Gross Sales]]-financials[[#This Row],[Gross Sales]]*financials[[#This Row],[Discounts]]</f>
        <v>52.5</v>
      </c>
      <c r="J3721" s="8">
        <f>VLOOKUP(financials[[#This Row],[productid]],Products!$B$2:$H$10,4)</f>
        <v>5.5</v>
      </c>
      <c r="K3721" s="8">
        <f>financials[[#This Row],[Net Sales]]-financials[[#This Row],[COGS]]</f>
        <v>47</v>
      </c>
      <c r="L3721" s="15">
        <v>44923</v>
      </c>
      <c r="M3721" t="s">
        <v>690</v>
      </c>
    </row>
    <row r="3722" spans="1:13" x14ac:dyDescent="0.25">
      <c r="A3722" t="s">
        <v>87</v>
      </c>
      <c r="B3722" s="6" t="s">
        <v>205</v>
      </c>
      <c r="C3722" s="13">
        <v>105</v>
      </c>
      <c r="D3722" s="14" t="s">
        <v>90</v>
      </c>
      <c r="E3722">
        <v>16</v>
      </c>
      <c r="F3722" s="8">
        <f>VLOOKUP(financials[[#This Row],[productid]],Products!$B$2:$H$10,3)</f>
        <v>15</v>
      </c>
      <c r="G3722" s="8">
        <f>financials[[#This Row],[Units Sold]]*financials[[#This Row],[Sale Price]]</f>
        <v>240</v>
      </c>
      <c r="H3722" s="8">
        <f>IF(financials[[#This Row],[Discount Band]]="low",0.1,IF(financials[[#This Row],[Discount Band]]="medium",0.15,0.3))</f>
        <v>0.15</v>
      </c>
      <c r="I3722" s="8">
        <f>financials[[#This Row],[Gross Sales]]-financials[[#This Row],[Gross Sales]]*financials[[#This Row],[Discounts]]</f>
        <v>204</v>
      </c>
      <c r="J3722" s="8">
        <f>VLOOKUP(financials[[#This Row],[productid]],Products!$B$2:$H$10,4)</f>
        <v>10</v>
      </c>
      <c r="K3722" s="8">
        <f>financials[[#This Row],[Net Sales]]-financials[[#This Row],[COGS]]</f>
        <v>194</v>
      </c>
      <c r="L3722" s="15">
        <v>44144</v>
      </c>
      <c r="M3722" t="s">
        <v>696</v>
      </c>
    </row>
    <row r="3723" spans="1:13" x14ac:dyDescent="0.25">
      <c r="A3723" t="s">
        <v>86</v>
      </c>
      <c r="B3723" s="6" t="s">
        <v>287</v>
      </c>
      <c r="C3723" s="13">
        <v>108</v>
      </c>
      <c r="D3723" s="14" t="s">
        <v>83</v>
      </c>
      <c r="E3723">
        <v>18</v>
      </c>
      <c r="F3723" s="8">
        <f>VLOOKUP(financials[[#This Row],[productid]],Products!$B$2:$H$10,3)</f>
        <v>5.5</v>
      </c>
      <c r="G3723" s="8">
        <f>financials[[#This Row],[Units Sold]]*financials[[#This Row],[Sale Price]]</f>
        <v>99</v>
      </c>
      <c r="H3723" s="8">
        <f>IF(financials[[#This Row],[Discount Band]]="low",0.1,IF(financials[[#This Row],[Discount Band]]="medium",0.15,0.3))</f>
        <v>0.3</v>
      </c>
      <c r="I3723" s="8">
        <f>financials[[#This Row],[Gross Sales]]-financials[[#This Row],[Gross Sales]]*financials[[#This Row],[Discounts]]</f>
        <v>69.3</v>
      </c>
      <c r="J3723" s="8">
        <f>VLOOKUP(financials[[#This Row],[productid]],Products!$B$2:$H$10,4)</f>
        <v>3.99</v>
      </c>
      <c r="K3723" s="8">
        <f>financials[[#This Row],[Net Sales]]-financials[[#This Row],[COGS]]</f>
        <v>65.31</v>
      </c>
      <c r="L3723" s="15">
        <v>45425</v>
      </c>
      <c r="M3723" t="s">
        <v>696</v>
      </c>
    </row>
    <row r="3724" spans="1:13" x14ac:dyDescent="0.25">
      <c r="A3724" t="s">
        <v>86</v>
      </c>
      <c r="B3724" s="6" t="s">
        <v>240</v>
      </c>
      <c r="C3724" s="13">
        <v>105</v>
      </c>
      <c r="D3724" s="14" t="s">
        <v>83</v>
      </c>
      <c r="E3724">
        <v>18</v>
      </c>
      <c r="F3724" s="8">
        <f>VLOOKUP(financials[[#This Row],[productid]],Products!$B$2:$H$10,3)</f>
        <v>15</v>
      </c>
      <c r="G3724" s="8">
        <f>financials[[#This Row],[Units Sold]]*financials[[#This Row],[Sale Price]]</f>
        <v>270</v>
      </c>
      <c r="H3724" s="8">
        <f>IF(financials[[#This Row],[Discount Band]]="low",0.1,IF(financials[[#This Row],[Discount Band]]="medium",0.15,0.3))</f>
        <v>0.3</v>
      </c>
      <c r="I3724" s="8">
        <f>financials[[#This Row],[Gross Sales]]-financials[[#This Row],[Gross Sales]]*financials[[#This Row],[Discounts]]</f>
        <v>189</v>
      </c>
      <c r="J3724" s="8">
        <f>VLOOKUP(financials[[#This Row],[productid]],Products!$B$2:$H$10,4)</f>
        <v>10</v>
      </c>
      <c r="K3724" s="8">
        <f>financials[[#This Row],[Net Sales]]-financials[[#This Row],[COGS]]</f>
        <v>179</v>
      </c>
      <c r="L3724" s="15">
        <v>45011</v>
      </c>
      <c r="M3724" t="s">
        <v>700</v>
      </c>
    </row>
    <row r="3725" spans="1:13" x14ac:dyDescent="0.25">
      <c r="A3725" t="s">
        <v>86</v>
      </c>
      <c r="B3725" s="6" t="s">
        <v>268</v>
      </c>
      <c r="C3725" s="13">
        <v>101</v>
      </c>
      <c r="D3725" s="14" t="s">
        <v>83</v>
      </c>
      <c r="E3725">
        <v>11</v>
      </c>
      <c r="F3725" s="8">
        <f>VLOOKUP(financials[[#This Row],[productid]],Products!$B$2:$H$10,3)</f>
        <v>23</v>
      </c>
      <c r="G3725" s="8">
        <f>financials[[#This Row],[Units Sold]]*financials[[#This Row],[Sale Price]]</f>
        <v>253</v>
      </c>
      <c r="H3725" s="8">
        <f>IF(financials[[#This Row],[Discount Band]]="low",0.1,IF(financials[[#This Row],[Discount Band]]="medium",0.15,0.3))</f>
        <v>0.3</v>
      </c>
      <c r="I3725" s="8">
        <f>financials[[#This Row],[Gross Sales]]-financials[[#This Row],[Gross Sales]]*financials[[#This Row],[Discounts]]</f>
        <v>177.10000000000002</v>
      </c>
      <c r="J3725" s="8">
        <f>VLOOKUP(financials[[#This Row],[productid]],Products!$B$2:$H$10,4)</f>
        <v>9.9499999999999993</v>
      </c>
      <c r="K3725" s="8">
        <f>financials[[#This Row],[Net Sales]]-financials[[#This Row],[COGS]]</f>
        <v>167.15000000000003</v>
      </c>
      <c r="L3725" s="15">
        <v>43935</v>
      </c>
      <c r="M3725" t="s">
        <v>697</v>
      </c>
    </row>
    <row r="3726" spans="1:13" x14ac:dyDescent="0.25">
      <c r="A3726" t="s">
        <v>86</v>
      </c>
      <c r="B3726" s="6" t="s">
        <v>228</v>
      </c>
      <c r="C3726" s="13">
        <v>107</v>
      </c>
      <c r="D3726" s="14" t="s">
        <v>91</v>
      </c>
      <c r="E3726">
        <v>17</v>
      </c>
      <c r="F3726" s="8">
        <f>VLOOKUP(financials[[#This Row],[productid]],Products!$B$2:$H$10,3)</f>
        <v>15</v>
      </c>
      <c r="G3726" s="8">
        <f>financials[[#This Row],[Units Sold]]*financials[[#This Row],[Sale Price]]</f>
        <v>255</v>
      </c>
      <c r="H3726" s="8">
        <f>IF(financials[[#This Row],[Discount Band]]="low",0.1,IF(financials[[#This Row],[Discount Band]]="medium",0.15,0.3))</f>
        <v>0.1</v>
      </c>
      <c r="I3726" s="8">
        <f>financials[[#This Row],[Gross Sales]]-financials[[#This Row],[Gross Sales]]*financials[[#This Row],[Discounts]]</f>
        <v>229.5</v>
      </c>
      <c r="J3726" s="8">
        <f>VLOOKUP(financials[[#This Row],[productid]],Products!$B$2:$H$10,4)</f>
        <v>5.5</v>
      </c>
      <c r="K3726" s="8">
        <f>financials[[#This Row],[Net Sales]]-financials[[#This Row],[COGS]]</f>
        <v>224</v>
      </c>
      <c r="L3726" s="15">
        <v>44658</v>
      </c>
      <c r="M3726" t="s">
        <v>691</v>
      </c>
    </row>
    <row r="3727" spans="1:13" x14ac:dyDescent="0.25">
      <c r="A3727" t="s">
        <v>88</v>
      </c>
      <c r="B3727" s="6" t="s">
        <v>273</v>
      </c>
      <c r="C3727" s="13">
        <v>106</v>
      </c>
      <c r="D3727" s="14" t="s">
        <v>91</v>
      </c>
      <c r="E3727">
        <v>19</v>
      </c>
      <c r="F3727" s="8">
        <f>VLOOKUP(financials[[#This Row],[productid]],Products!$B$2:$H$10,3)</f>
        <v>25</v>
      </c>
      <c r="G3727" s="8">
        <f>financials[[#This Row],[Units Sold]]*financials[[#This Row],[Sale Price]]</f>
        <v>475</v>
      </c>
      <c r="H3727" s="8">
        <f>IF(financials[[#This Row],[Discount Band]]="low",0.1,IF(financials[[#This Row],[Discount Band]]="medium",0.15,0.3))</f>
        <v>0.1</v>
      </c>
      <c r="I3727" s="8">
        <f>financials[[#This Row],[Gross Sales]]-financials[[#This Row],[Gross Sales]]*financials[[#This Row],[Discounts]]</f>
        <v>427.5</v>
      </c>
      <c r="J3727" s="8">
        <f>VLOOKUP(financials[[#This Row],[productid]],Products!$B$2:$H$10,4)</f>
        <v>9.1</v>
      </c>
      <c r="K3727" s="8">
        <f>financials[[#This Row],[Net Sales]]-financials[[#This Row],[COGS]]</f>
        <v>418.4</v>
      </c>
      <c r="L3727" s="15">
        <v>44029</v>
      </c>
      <c r="M3727" t="s">
        <v>696</v>
      </c>
    </row>
    <row r="3728" spans="1:13" x14ac:dyDescent="0.25">
      <c r="A3728" t="s">
        <v>88</v>
      </c>
      <c r="B3728" s="6" t="s">
        <v>232</v>
      </c>
      <c r="C3728" s="13">
        <v>101</v>
      </c>
      <c r="D3728" s="14" t="s">
        <v>83</v>
      </c>
      <c r="E3728">
        <v>7</v>
      </c>
      <c r="F3728" s="8">
        <f>VLOOKUP(financials[[#This Row],[productid]],Products!$B$2:$H$10,3)</f>
        <v>23</v>
      </c>
      <c r="G3728" s="8">
        <f>financials[[#This Row],[Units Sold]]*financials[[#This Row],[Sale Price]]</f>
        <v>161</v>
      </c>
      <c r="H3728" s="8">
        <f>IF(financials[[#This Row],[Discount Band]]="low",0.1,IF(financials[[#This Row],[Discount Band]]="medium",0.15,0.3))</f>
        <v>0.3</v>
      </c>
      <c r="I3728" s="8">
        <f>financials[[#This Row],[Gross Sales]]-financials[[#This Row],[Gross Sales]]*financials[[#This Row],[Discounts]]</f>
        <v>112.7</v>
      </c>
      <c r="J3728" s="8">
        <f>VLOOKUP(financials[[#This Row],[productid]],Products!$B$2:$H$10,4)</f>
        <v>9.9499999999999993</v>
      </c>
      <c r="K3728" s="8">
        <f>financials[[#This Row],[Net Sales]]-financials[[#This Row],[COGS]]</f>
        <v>102.75</v>
      </c>
      <c r="L3728" s="15">
        <v>44666</v>
      </c>
      <c r="M3728" t="s">
        <v>697</v>
      </c>
    </row>
    <row r="3729" spans="1:13" x14ac:dyDescent="0.25">
      <c r="A3729" t="s">
        <v>88</v>
      </c>
      <c r="B3729" s="6" t="s">
        <v>96</v>
      </c>
      <c r="C3729" s="13">
        <v>105</v>
      </c>
      <c r="D3729" s="14" t="s">
        <v>90</v>
      </c>
      <c r="E3729">
        <v>8</v>
      </c>
      <c r="F3729" s="8">
        <f>VLOOKUP(financials[[#This Row],[productid]],Products!$B$2:$H$10,3)</f>
        <v>15</v>
      </c>
      <c r="G3729" s="8">
        <f>financials[[#This Row],[Units Sold]]*financials[[#This Row],[Sale Price]]</f>
        <v>120</v>
      </c>
      <c r="H3729" s="8">
        <f>IF(financials[[#This Row],[Discount Band]]="low",0.1,IF(financials[[#This Row],[Discount Band]]="medium",0.15,0.3))</f>
        <v>0.15</v>
      </c>
      <c r="I3729" s="8">
        <f>financials[[#This Row],[Gross Sales]]-financials[[#This Row],[Gross Sales]]*financials[[#This Row],[Discounts]]</f>
        <v>102</v>
      </c>
      <c r="J3729" s="8">
        <f>VLOOKUP(financials[[#This Row],[productid]],Products!$B$2:$H$10,4)</f>
        <v>10</v>
      </c>
      <c r="K3729" s="8">
        <f>financials[[#This Row],[Net Sales]]-financials[[#This Row],[COGS]]</f>
        <v>92</v>
      </c>
      <c r="L3729" s="15">
        <v>44782</v>
      </c>
      <c r="M3729" t="s">
        <v>696</v>
      </c>
    </row>
    <row r="3730" spans="1:13" x14ac:dyDescent="0.25">
      <c r="A3730" t="s">
        <v>88</v>
      </c>
      <c r="B3730" s="6" t="s">
        <v>617</v>
      </c>
      <c r="C3730" s="11">
        <v>103</v>
      </c>
      <c r="D3730" s="9" t="s">
        <v>91</v>
      </c>
      <c r="E3730">
        <v>14</v>
      </c>
      <c r="F3730" s="8">
        <f>VLOOKUP(financials[[#This Row],[productid]],Products!$B$2:$H$10,3)</f>
        <v>28</v>
      </c>
      <c r="G3730" s="8">
        <f>financials[[#This Row],[Units Sold]]*financials[[#This Row],[Sale Price]]</f>
        <v>392</v>
      </c>
      <c r="H3730" s="8">
        <f>IF(financials[[#This Row],[Discount Band]]="low",0.1,IF(financials[[#This Row],[Discount Band]]="medium",0.15,0.3))</f>
        <v>0.1</v>
      </c>
      <c r="I3730" s="8">
        <f>financials[[#This Row],[Gross Sales]]-financials[[#This Row],[Gross Sales]]*financials[[#This Row],[Discounts]]</f>
        <v>352.8</v>
      </c>
      <c r="J3730" s="8">
        <f>VLOOKUP(financials[[#This Row],[productid]],Products!$B$2:$H$10,4)</f>
        <v>15</v>
      </c>
      <c r="K3730" s="8">
        <f>financials[[#This Row],[Net Sales]]-financials[[#This Row],[COGS]]</f>
        <v>337.8</v>
      </c>
      <c r="L3730" s="15">
        <v>45064</v>
      </c>
      <c r="M3730" t="s">
        <v>691</v>
      </c>
    </row>
    <row r="3731" spans="1:13" x14ac:dyDescent="0.25">
      <c r="A3731" t="s">
        <v>86</v>
      </c>
      <c r="B3731" s="6" t="s">
        <v>545</v>
      </c>
      <c r="C3731" s="13">
        <v>104</v>
      </c>
      <c r="D3731" s="14" t="s">
        <v>83</v>
      </c>
      <c r="E3731">
        <v>10</v>
      </c>
      <c r="F3731" s="8">
        <f>VLOOKUP(financials[[#This Row],[productid]],Products!$B$2:$H$10,3)</f>
        <v>5.9</v>
      </c>
      <c r="G3731" s="8">
        <f>financials[[#This Row],[Units Sold]]*financials[[#This Row],[Sale Price]]</f>
        <v>59</v>
      </c>
      <c r="H3731" s="8">
        <f>IF(financials[[#This Row],[Discount Band]]="low",0.1,IF(financials[[#This Row],[Discount Band]]="medium",0.15,0.3))</f>
        <v>0.3</v>
      </c>
      <c r="I3731" s="8">
        <f>financials[[#This Row],[Gross Sales]]-financials[[#This Row],[Gross Sales]]*financials[[#This Row],[Discounts]]</f>
        <v>41.3</v>
      </c>
      <c r="J3731" s="8">
        <f>VLOOKUP(financials[[#This Row],[productid]],Products!$B$2:$H$10,4)</f>
        <v>2.9</v>
      </c>
      <c r="K3731" s="8">
        <f>financials[[#This Row],[Net Sales]]-financials[[#This Row],[COGS]]</f>
        <v>38.4</v>
      </c>
      <c r="L3731" s="15">
        <v>44921</v>
      </c>
      <c r="M3731" t="s">
        <v>691</v>
      </c>
    </row>
    <row r="3732" spans="1:13" x14ac:dyDescent="0.25">
      <c r="A3732" t="s">
        <v>88</v>
      </c>
      <c r="B3732" s="6" t="s">
        <v>287</v>
      </c>
      <c r="C3732" s="13">
        <v>101</v>
      </c>
      <c r="D3732" s="14" t="s">
        <v>83</v>
      </c>
      <c r="E3732">
        <v>15</v>
      </c>
      <c r="F3732" s="8">
        <f>VLOOKUP(financials[[#This Row],[productid]],Products!$B$2:$H$10,3)</f>
        <v>23</v>
      </c>
      <c r="G3732" s="8">
        <f>financials[[#This Row],[Units Sold]]*financials[[#This Row],[Sale Price]]</f>
        <v>345</v>
      </c>
      <c r="H3732" s="8">
        <f>IF(financials[[#This Row],[Discount Band]]="low",0.1,IF(financials[[#This Row],[Discount Band]]="medium",0.15,0.3))</f>
        <v>0.3</v>
      </c>
      <c r="I3732" s="8">
        <f>financials[[#This Row],[Gross Sales]]-financials[[#This Row],[Gross Sales]]*financials[[#This Row],[Discounts]]</f>
        <v>241.5</v>
      </c>
      <c r="J3732" s="8">
        <f>VLOOKUP(financials[[#This Row],[productid]],Products!$B$2:$H$10,4)</f>
        <v>9.9499999999999993</v>
      </c>
      <c r="K3732" s="8">
        <f>financials[[#This Row],[Net Sales]]-financials[[#This Row],[COGS]]</f>
        <v>231.55</v>
      </c>
      <c r="L3732" s="15">
        <v>44936</v>
      </c>
      <c r="M3732" t="s">
        <v>690</v>
      </c>
    </row>
    <row r="3733" spans="1:13" x14ac:dyDescent="0.25">
      <c r="A3733" t="s">
        <v>88</v>
      </c>
      <c r="B3733" s="6" t="s">
        <v>273</v>
      </c>
      <c r="C3733" s="13">
        <v>103</v>
      </c>
      <c r="D3733" s="14" t="s">
        <v>83</v>
      </c>
      <c r="E3733">
        <v>15</v>
      </c>
      <c r="F3733" s="8">
        <f>VLOOKUP(financials[[#This Row],[productid]],Products!$B$2:$H$10,3)</f>
        <v>28</v>
      </c>
      <c r="G3733" s="8">
        <f>financials[[#This Row],[Units Sold]]*financials[[#This Row],[Sale Price]]</f>
        <v>420</v>
      </c>
      <c r="H3733" s="8">
        <f>IF(financials[[#This Row],[Discount Band]]="low",0.1,IF(financials[[#This Row],[Discount Band]]="medium",0.15,0.3))</f>
        <v>0.3</v>
      </c>
      <c r="I3733" s="8">
        <f>financials[[#This Row],[Gross Sales]]-financials[[#This Row],[Gross Sales]]*financials[[#This Row],[Discounts]]</f>
        <v>294</v>
      </c>
      <c r="J3733" s="8">
        <f>VLOOKUP(financials[[#This Row],[productid]],Products!$B$2:$H$10,4)</f>
        <v>15</v>
      </c>
      <c r="K3733" s="8">
        <f>financials[[#This Row],[Net Sales]]-financials[[#This Row],[COGS]]</f>
        <v>279</v>
      </c>
      <c r="L3733" s="15">
        <v>45268</v>
      </c>
      <c r="M3733" t="s">
        <v>700</v>
      </c>
    </row>
    <row r="3734" spans="1:13" x14ac:dyDescent="0.25">
      <c r="A3734" t="s">
        <v>88</v>
      </c>
      <c r="B3734" s="6" t="s">
        <v>93</v>
      </c>
      <c r="C3734" s="13">
        <v>106</v>
      </c>
      <c r="D3734" s="14" t="s">
        <v>83</v>
      </c>
      <c r="E3734">
        <v>13</v>
      </c>
      <c r="F3734" s="8">
        <f>VLOOKUP(financials[[#This Row],[productid]],Products!$B$2:$H$10,3)</f>
        <v>25</v>
      </c>
      <c r="G3734" s="8">
        <f>financials[[#This Row],[Units Sold]]*financials[[#This Row],[Sale Price]]</f>
        <v>325</v>
      </c>
      <c r="H3734" s="8">
        <f>IF(financials[[#This Row],[Discount Band]]="low",0.1,IF(financials[[#This Row],[Discount Band]]="medium",0.15,0.3))</f>
        <v>0.3</v>
      </c>
      <c r="I3734" s="8">
        <f>financials[[#This Row],[Gross Sales]]-financials[[#This Row],[Gross Sales]]*financials[[#This Row],[Discounts]]</f>
        <v>227.5</v>
      </c>
      <c r="J3734" s="8">
        <f>VLOOKUP(financials[[#This Row],[productid]],Products!$B$2:$H$10,4)</f>
        <v>9.1</v>
      </c>
      <c r="K3734" s="8">
        <f>financials[[#This Row],[Net Sales]]-financials[[#This Row],[COGS]]</f>
        <v>218.4</v>
      </c>
      <c r="L3734" s="15">
        <v>44657</v>
      </c>
      <c r="M3734" t="s">
        <v>690</v>
      </c>
    </row>
    <row r="3735" spans="1:13" x14ac:dyDescent="0.25">
      <c r="A3735" t="s">
        <v>86</v>
      </c>
      <c r="B3735" s="6" t="s">
        <v>645</v>
      </c>
      <c r="C3735" s="13">
        <v>104</v>
      </c>
      <c r="D3735" s="14" t="s">
        <v>91</v>
      </c>
      <c r="E3735">
        <v>10</v>
      </c>
      <c r="F3735" s="8">
        <f>VLOOKUP(financials[[#This Row],[productid]],Products!$B$2:$H$10,3)</f>
        <v>5.9</v>
      </c>
      <c r="G3735" s="8">
        <f>financials[[#This Row],[Units Sold]]*financials[[#This Row],[Sale Price]]</f>
        <v>59</v>
      </c>
      <c r="H3735" s="8">
        <f>IF(financials[[#This Row],[Discount Band]]="low",0.1,IF(financials[[#This Row],[Discount Band]]="medium",0.15,0.3))</f>
        <v>0.1</v>
      </c>
      <c r="I3735" s="8">
        <f>financials[[#This Row],[Gross Sales]]-financials[[#This Row],[Gross Sales]]*financials[[#This Row],[Discounts]]</f>
        <v>53.1</v>
      </c>
      <c r="J3735" s="8">
        <f>VLOOKUP(financials[[#This Row],[productid]],Products!$B$2:$H$10,4)</f>
        <v>2.9</v>
      </c>
      <c r="K3735" s="8">
        <f>financials[[#This Row],[Net Sales]]-financials[[#This Row],[COGS]]</f>
        <v>50.2</v>
      </c>
      <c r="L3735" s="15">
        <v>44805</v>
      </c>
      <c r="M3735" t="s">
        <v>696</v>
      </c>
    </row>
    <row r="3736" spans="1:13" x14ac:dyDescent="0.25">
      <c r="A3736" t="s">
        <v>86</v>
      </c>
      <c r="B3736" s="6" t="s">
        <v>197</v>
      </c>
      <c r="C3736" s="13">
        <v>108</v>
      </c>
      <c r="D3736" s="14" t="s">
        <v>90</v>
      </c>
      <c r="E3736">
        <v>18</v>
      </c>
      <c r="F3736" s="8">
        <f>VLOOKUP(financials[[#This Row],[productid]],Products!$B$2:$H$10,3)</f>
        <v>5.5</v>
      </c>
      <c r="G3736" s="8">
        <f>financials[[#This Row],[Units Sold]]*financials[[#This Row],[Sale Price]]</f>
        <v>99</v>
      </c>
      <c r="H3736" s="8">
        <f>IF(financials[[#This Row],[Discount Band]]="low",0.1,IF(financials[[#This Row],[Discount Band]]="medium",0.15,0.3))</f>
        <v>0.15</v>
      </c>
      <c r="I3736" s="8">
        <f>financials[[#This Row],[Gross Sales]]-financials[[#This Row],[Gross Sales]]*financials[[#This Row],[Discounts]]</f>
        <v>84.15</v>
      </c>
      <c r="J3736" s="8">
        <f>VLOOKUP(financials[[#This Row],[productid]],Products!$B$2:$H$10,4)</f>
        <v>3.99</v>
      </c>
      <c r="K3736" s="8">
        <f>financials[[#This Row],[Net Sales]]-financials[[#This Row],[COGS]]</f>
        <v>80.160000000000011</v>
      </c>
      <c r="L3736" s="15">
        <v>44154</v>
      </c>
      <c r="M3736" t="s">
        <v>700</v>
      </c>
    </row>
    <row r="3737" spans="1:13" x14ac:dyDescent="0.25">
      <c r="A3737" t="s">
        <v>86</v>
      </c>
      <c r="B3737" s="6" t="s">
        <v>124</v>
      </c>
      <c r="C3737" s="13">
        <v>107</v>
      </c>
      <c r="D3737" s="14" t="s">
        <v>83</v>
      </c>
      <c r="E3737">
        <v>19</v>
      </c>
      <c r="F3737" s="8">
        <f>VLOOKUP(financials[[#This Row],[productid]],Products!$B$2:$H$10,3)</f>
        <v>15</v>
      </c>
      <c r="G3737" s="8">
        <f>financials[[#This Row],[Units Sold]]*financials[[#This Row],[Sale Price]]</f>
        <v>285</v>
      </c>
      <c r="H3737" s="8">
        <f>IF(financials[[#This Row],[Discount Band]]="low",0.1,IF(financials[[#This Row],[Discount Band]]="medium",0.15,0.3))</f>
        <v>0.3</v>
      </c>
      <c r="I3737" s="8">
        <f>financials[[#This Row],[Gross Sales]]-financials[[#This Row],[Gross Sales]]*financials[[#This Row],[Discounts]]</f>
        <v>199.5</v>
      </c>
      <c r="J3737" s="8">
        <f>VLOOKUP(financials[[#This Row],[productid]],Products!$B$2:$H$10,4)</f>
        <v>5.5</v>
      </c>
      <c r="K3737" s="8">
        <f>financials[[#This Row],[Net Sales]]-financials[[#This Row],[COGS]]</f>
        <v>194</v>
      </c>
      <c r="L3737" s="15">
        <v>43954</v>
      </c>
      <c r="M3737" t="s">
        <v>700</v>
      </c>
    </row>
    <row r="3738" spans="1:13" x14ac:dyDescent="0.25">
      <c r="A3738" t="s">
        <v>88</v>
      </c>
      <c r="B3738" s="6" t="s">
        <v>268</v>
      </c>
      <c r="C3738" s="11">
        <v>105</v>
      </c>
      <c r="D3738" s="9" t="s">
        <v>92</v>
      </c>
      <c r="E3738">
        <v>19</v>
      </c>
      <c r="F3738" s="8">
        <f>VLOOKUP(financials[[#This Row],[productid]],Products!$B$2:$H$10,3)</f>
        <v>15</v>
      </c>
      <c r="G3738" s="8">
        <f>financials[[#This Row],[Units Sold]]*financials[[#This Row],[Sale Price]]</f>
        <v>285</v>
      </c>
      <c r="H3738" s="8">
        <f>IF(financials[[#This Row],[Discount Band]]="low",0.1,IF(financials[[#This Row],[Discount Band]]="medium",0.15,0.3))</f>
        <v>0.3</v>
      </c>
      <c r="I3738" s="8">
        <f>financials[[#This Row],[Gross Sales]]-financials[[#This Row],[Gross Sales]]*financials[[#This Row],[Discounts]]</f>
        <v>199.5</v>
      </c>
      <c r="J3738" s="8">
        <f>VLOOKUP(financials[[#This Row],[productid]],Products!$B$2:$H$10,4)</f>
        <v>10</v>
      </c>
      <c r="K3738" s="8">
        <f>financials[[#This Row],[Net Sales]]-financials[[#This Row],[COGS]]</f>
        <v>189.5</v>
      </c>
      <c r="L3738" s="15">
        <v>45242</v>
      </c>
      <c r="M3738" t="s">
        <v>696</v>
      </c>
    </row>
    <row r="3739" spans="1:13" x14ac:dyDescent="0.25">
      <c r="A3739" t="s">
        <v>88</v>
      </c>
      <c r="B3739" s="6" t="s">
        <v>93</v>
      </c>
      <c r="C3739" s="11">
        <v>104</v>
      </c>
      <c r="D3739" s="9" t="s">
        <v>83</v>
      </c>
      <c r="E3739">
        <v>6</v>
      </c>
      <c r="F3739" s="8">
        <f>VLOOKUP(financials[[#This Row],[productid]],Products!$B$2:$H$10,3)</f>
        <v>5.9</v>
      </c>
      <c r="G3739" s="8">
        <f>financials[[#This Row],[Units Sold]]*financials[[#This Row],[Sale Price]]</f>
        <v>35.400000000000006</v>
      </c>
      <c r="H3739" s="8">
        <f>IF(financials[[#This Row],[Discount Band]]="low",0.1,IF(financials[[#This Row],[Discount Band]]="medium",0.15,0.3))</f>
        <v>0.3</v>
      </c>
      <c r="I3739" s="8">
        <f>financials[[#This Row],[Gross Sales]]-financials[[#This Row],[Gross Sales]]*financials[[#This Row],[Discounts]]</f>
        <v>24.780000000000005</v>
      </c>
      <c r="J3739" s="8">
        <f>VLOOKUP(financials[[#This Row],[productid]],Products!$B$2:$H$10,4)</f>
        <v>2.9</v>
      </c>
      <c r="K3739" s="8">
        <f>financials[[#This Row],[Net Sales]]-financials[[#This Row],[COGS]]</f>
        <v>21.880000000000006</v>
      </c>
      <c r="L3739" s="15">
        <v>44678</v>
      </c>
      <c r="M3739" t="s">
        <v>690</v>
      </c>
    </row>
    <row r="3740" spans="1:13" x14ac:dyDescent="0.25">
      <c r="A3740" t="s">
        <v>88</v>
      </c>
      <c r="B3740" s="6" t="s">
        <v>197</v>
      </c>
      <c r="C3740" s="13">
        <v>104</v>
      </c>
      <c r="D3740" s="14" t="s">
        <v>91</v>
      </c>
      <c r="E3740">
        <v>7</v>
      </c>
      <c r="F3740" s="8">
        <f>VLOOKUP(financials[[#This Row],[productid]],Products!$B$2:$H$10,3)</f>
        <v>5.9</v>
      </c>
      <c r="G3740" s="8">
        <f>financials[[#This Row],[Units Sold]]*financials[[#This Row],[Sale Price]]</f>
        <v>41.300000000000004</v>
      </c>
      <c r="H3740" s="8">
        <f>IF(financials[[#This Row],[Discount Band]]="low",0.1,IF(financials[[#This Row],[Discount Band]]="medium",0.15,0.3))</f>
        <v>0.1</v>
      </c>
      <c r="I3740" s="8">
        <f>financials[[#This Row],[Gross Sales]]-financials[[#This Row],[Gross Sales]]*financials[[#This Row],[Discounts]]</f>
        <v>37.17</v>
      </c>
      <c r="J3740" s="8">
        <f>VLOOKUP(financials[[#This Row],[productid]],Products!$B$2:$H$10,4)</f>
        <v>2.9</v>
      </c>
      <c r="K3740" s="8">
        <f>financials[[#This Row],[Net Sales]]-financials[[#This Row],[COGS]]</f>
        <v>34.270000000000003</v>
      </c>
      <c r="L3740" s="15">
        <v>45213</v>
      </c>
      <c r="M3740" t="s">
        <v>691</v>
      </c>
    </row>
    <row r="3741" spans="1:13" x14ac:dyDescent="0.25">
      <c r="A3741" t="s">
        <v>88</v>
      </c>
      <c r="B3741" s="6" t="s">
        <v>96</v>
      </c>
      <c r="C3741" s="13">
        <v>108</v>
      </c>
      <c r="D3741" s="14" t="s">
        <v>91</v>
      </c>
      <c r="E3741">
        <v>19</v>
      </c>
      <c r="F3741" s="8">
        <f>VLOOKUP(financials[[#This Row],[productid]],Products!$B$2:$H$10,3)</f>
        <v>5.5</v>
      </c>
      <c r="G3741" s="8">
        <f>financials[[#This Row],[Units Sold]]*financials[[#This Row],[Sale Price]]</f>
        <v>104.5</v>
      </c>
      <c r="H3741" s="8">
        <f>IF(financials[[#This Row],[Discount Band]]="low",0.1,IF(financials[[#This Row],[Discount Band]]="medium",0.15,0.3))</f>
        <v>0.1</v>
      </c>
      <c r="I3741" s="8">
        <f>financials[[#This Row],[Gross Sales]]-financials[[#This Row],[Gross Sales]]*financials[[#This Row],[Discounts]]</f>
        <v>94.05</v>
      </c>
      <c r="J3741" s="8">
        <f>VLOOKUP(financials[[#This Row],[productid]],Products!$B$2:$H$10,4)</f>
        <v>3.99</v>
      </c>
      <c r="K3741" s="8">
        <f>financials[[#This Row],[Net Sales]]-financials[[#This Row],[COGS]]</f>
        <v>90.06</v>
      </c>
      <c r="L3741" s="15">
        <v>43952</v>
      </c>
      <c r="M3741" t="s">
        <v>691</v>
      </c>
    </row>
    <row r="3742" spans="1:13" x14ac:dyDescent="0.25">
      <c r="A3742" t="s">
        <v>88</v>
      </c>
      <c r="B3742" s="6" t="s">
        <v>96</v>
      </c>
      <c r="C3742" s="13">
        <v>105</v>
      </c>
      <c r="D3742" s="14" t="s">
        <v>90</v>
      </c>
      <c r="E3742">
        <v>5</v>
      </c>
      <c r="F3742" s="8">
        <f>VLOOKUP(financials[[#This Row],[productid]],Products!$B$2:$H$10,3)</f>
        <v>15</v>
      </c>
      <c r="G3742" s="8">
        <f>financials[[#This Row],[Units Sold]]*financials[[#This Row],[Sale Price]]</f>
        <v>75</v>
      </c>
      <c r="H3742" s="8">
        <f>IF(financials[[#This Row],[Discount Band]]="low",0.1,IF(financials[[#This Row],[Discount Band]]="medium",0.15,0.3))</f>
        <v>0.15</v>
      </c>
      <c r="I3742" s="8">
        <f>financials[[#This Row],[Gross Sales]]-financials[[#This Row],[Gross Sales]]*financials[[#This Row],[Discounts]]</f>
        <v>63.75</v>
      </c>
      <c r="J3742" s="8">
        <f>VLOOKUP(financials[[#This Row],[productid]],Products!$B$2:$H$10,4)</f>
        <v>10</v>
      </c>
      <c r="K3742" s="8">
        <f>financials[[#This Row],[Net Sales]]-financials[[#This Row],[COGS]]</f>
        <v>53.75</v>
      </c>
      <c r="L3742" s="15">
        <v>45218</v>
      </c>
      <c r="M3742" t="s">
        <v>697</v>
      </c>
    </row>
    <row r="3743" spans="1:13" x14ac:dyDescent="0.25">
      <c r="A3743" t="s">
        <v>88</v>
      </c>
      <c r="B3743" s="6" t="s">
        <v>167</v>
      </c>
      <c r="C3743" s="13">
        <v>107</v>
      </c>
      <c r="D3743" s="14" t="s">
        <v>90</v>
      </c>
      <c r="E3743">
        <v>14</v>
      </c>
      <c r="F3743" s="8">
        <f>VLOOKUP(financials[[#This Row],[productid]],Products!$B$2:$H$10,3)</f>
        <v>15</v>
      </c>
      <c r="G3743" s="8">
        <f>financials[[#This Row],[Units Sold]]*financials[[#This Row],[Sale Price]]</f>
        <v>210</v>
      </c>
      <c r="H3743" s="8">
        <f>IF(financials[[#This Row],[Discount Band]]="low",0.1,IF(financials[[#This Row],[Discount Band]]="medium",0.15,0.3))</f>
        <v>0.15</v>
      </c>
      <c r="I3743" s="8">
        <f>financials[[#This Row],[Gross Sales]]-financials[[#This Row],[Gross Sales]]*financials[[#This Row],[Discounts]]</f>
        <v>178.5</v>
      </c>
      <c r="J3743" s="8">
        <f>VLOOKUP(financials[[#This Row],[productid]],Products!$B$2:$H$10,4)</f>
        <v>5.5</v>
      </c>
      <c r="K3743" s="8">
        <f>financials[[#This Row],[Net Sales]]-financials[[#This Row],[COGS]]</f>
        <v>173</v>
      </c>
      <c r="L3743" s="15">
        <v>44266</v>
      </c>
      <c r="M3743" t="s">
        <v>696</v>
      </c>
    </row>
    <row r="3744" spans="1:13" x14ac:dyDescent="0.25">
      <c r="A3744" t="s">
        <v>86</v>
      </c>
      <c r="B3744" s="6" t="s">
        <v>94</v>
      </c>
      <c r="C3744" s="11">
        <v>108</v>
      </c>
      <c r="D3744" s="9" t="s">
        <v>91</v>
      </c>
      <c r="E3744">
        <v>17</v>
      </c>
      <c r="F3744" s="8">
        <f>VLOOKUP(financials[[#This Row],[productid]],Products!$B$2:$H$10,3)</f>
        <v>5.5</v>
      </c>
      <c r="G3744" s="8">
        <f>financials[[#This Row],[Units Sold]]*financials[[#This Row],[Sale Price]]</f>
        <v>93.5</v>
      </c>
      <c r="H3744" s="8">
        <f>IF(financials[[#This Row],[Discount Band]]="low",0.1,IF(financials[[#This Row],[Discount Band]]="medium",0.15,0.3))</f>
        <v>0.1</v>
      </c>
      <c r="I3744" s="8">
        <f>financials[[#This Row],[Gross Sales]]-financials[[#This Row],[Gross Sales]]*financials[[#This Row],[Discounts]]</f>
        <v>84.15</v>
      </c>
      <c r="J3744" s="8">
        <f>VLOOKUP(financials[[#This Row],[productid]],Products!$B$2:$H$10,4)</f>
        <v>3.99</v>
      </c>
      <c r="K3744" s="8">
        <f>financials[[#This Row],[Net Sales]]-financials[[#This Row],[COGS]]</f>
        <v>80.160000000000011</v>
      </c>
      <c r="L3744" s="15">
        <v>44893</v>
      </c>
      <c r="M3744" t="s">
        <v>700</v>
      </c>
    </row>
    <row r="3745" spans="1:13" x14ac:dyDescent="0.25">
      <c r="A3745" t="s">
        <v>86</v>
      </c>
      <c r="B3745" s="6" t="s">
        <v>158</v>
      </c>
      <c r="C3745" s="13">
        <v>101</v>
      </c>
      <c r="D3745" s="14" t="s">
        <v>83</v>
      </c>
      <c r="E3745">
        <v>19</v>
      </c>
      <c r="F3745" s="8">
        <f>VLOOKUP(financials[[#This Row],[productid]],Products!$B$2:$H$10,3)</f>
        <v>23</v>
      </c>
      <c r="G3745" s="8">
        <f>financials[[#This Row],[Units Sold]]*financials[[#This Row],[Sale Price]]</f>
        <v>437</v>
      </c>
      <c r="H3745" s="8">
        <f>IF(financials[[#This Row],[Discount Band]]="low",0.1,IF(financials[[#This Row],[Discount Band]]="medium",0.15,0.3))</f>
        <v>0.3</v>
      </c>
      <c r="I3745" s="8">
        <f>financials[[#This Row],[Gross Sales]]-financials[[#This Row],[Gross Sales]]*financials[[#This Row],[Discounts]]</f>
        <v>305.89999999999998</v>
      </c>
      <c r="J3745" s="8">
        <f>VLOOKUP(financials[[#This Row],[productid]],Products!$B$2:$H$10,4)</f>
        <v>9.9499999999999993</v>
      </c>
      <c r="K3745" s="8">
        <f>financials[[#This Row],[Net Sales]]-financials[[#This Row],[COGS]]</f>
        <v>295.95</v>
      </c>
      <c r="L3745" s="15">
        <v>44176</v>
      </c>
      <c r="M3745" t="s">
        <v>700</v>
      </c>
    </row>
    <row r="3746" spans="1:13" x14ac:dyDescent="0.25">
      <c r="A3746" t="s">
        <v>86</v>
      </c>
      <c r="B3746" s="6" t="s">
        <v>240</v>
      </c>
      <c r="C3746" s="13">
        <v>108</v>
      </c>
      <c r="D3746" s="14" t="s">
        <v>90</v>
      </c>
      <c r="E3746">
        <v>12</v>
      </c>
      <c r="F3746" s="8">
        <f>VLOOKUP(financials[[#This Row],[productid]],Products!$B$2:$H$10,3)</f>
        <v>5.5</v>
      </c>
      <c r="G3746" s="8">
        <f>financials[[#This Row],[Units Sold]]*financials[[#This Row],[Sale Price]]</f>
        <v>66</v>
      </c>
      <c r="H3746" s="8">
        <f>IF(financials[[#This Row],[Discount Band]]="low",0.1,IF(financials[[#This Row],[Discount Band]]="medium",0.15,0.3))</f>
        <v>0.15</v>
      </c>
      <c r="I3746" s="8">
        <f>financials[[#This Row],[Gross Sales]]-financials[[#This Row],[Gross Sales]]*financials[[#This Row],[Discounts]]</f>
        <v>56.1</v>
      </c>
      <c r="J3746" s="8">
        <f>VLOOKUP(financials[[#This Row],[productid]],Products!$B$2:$H$10,4)</f>
        <v>3.99</v>
      </c>
      <c r="K3746" s="8">
        <f>financials[[#This Row],[Net Sales]]-financials[[#This Row],[COGS]]</f>
        <v>52.11</v>
      </c>
      <c r="L3746" s="15">
        <v>44842</v>
      </c>
      <c r="M3746" t="s">
        <v>700</v>
      </c>
    </row>
    <row r="3747" spans="1:13" x14ac:dyDescent="0.25">
      <c r="A3747" t="s">
        <v>86</v>
      </c>
      <c r="B3747" s="6" t="s">
        <v>124</v>
      </c>
      <c r="C3747" s="13">
        <v>108</v>
      </c>
      <c r="D3747" s="14" t="s">
        <v>83</v>
      </c>
      <c r="E3747">
        <v>20</v>
      </c>
      <c r="F3747" s="8">
        <f>VLOOKUP(financials[[#This Row],[productid]],Products!$B$2:$H$10,3)</f>
        <v>5.5</v>
      </c>
      <c r="G3747" s="8">
        <f>financials[[#This Row],[Units Sold]]*financials[[#This Row],[Sale Price]]</f>
        <v>110</v>
      </c>
      <c r="H3747" s="8">
        <f>IF(financials[[#This Row],[Discount Band]]="low",0.1,IF(financials[[#This Row],[Discount Band]]="medium",0.15,0.3))</f>
        <v>0.3</v>
      </c>
      <c r="I3747" s="8">
        <f>financials[[#This Row],[Gross Sales]]-financials[[#This Row],[Gross Sales]]*financials[[#This Row],[Discounts]]</f>
        <v>77</v>
      </c>
      <c r="J3747" s="8">
        <f>VLOOKUP(financials[[#This Row],[productid]],Products!$B$2:$H$10,4)</f>
        <v>3.99</v>
      </c>
      <c r="K3747" s="8">
        <f>financials[[#This Row],[Net Sales]]-financials[[#This Row],[COGS]]</f>
        <v>73.010000000000005</v>
      </c>
      <c r="L3747" s="15">
        <v>45414</v>
      </c>
      <c r="M3747" t="s">
        <v>691</v>
      </c>
    </row>
    <row r="3748" spans="1:13" x14ac:dyDescent="0.25">
      <c r="A3748" t="s">
        <v>88</v>
      </c>
      <c r="B3748" s="6" t="s">
        <v>96</v>
      </c>
      <c r="C3748" s="13">
        <v>104</v>
      </c>
      <c r="D3748" s="14" t="s">
        <v>83</v>
      </c>
      <c r="E3748">
        <v>18</v>
      </c>
      <c r="F3748" s="8">
        <f>VLOOKUP(financials[[#This Row],[productid]],Products!$B$2:$H$10,3)</f>
        <v>5.9</v>
      </c>
      <c r="G3748" s="8">
        <f>financials[[#This Row],[Units Sold]]*financials[[#This Row],[Sale Price]]</f>
        <v>106.2</v>
      </c>
      <c r="H3748" s="8">
        <f>IF(financials[[#This Row],[Discount Band]]="low",0.1,IF(financials[[#This Row],[Discount Band]]="medium",0.15,0.3))</f>
        <v>0.3</v>
      </c>
      <c r="I3748" s="8">
        <f>financials[[#This Row],[Gross Sales]]-financials[[#This Row],[Gross Sales]]*financials[[#This Row],[Discounts]]</f>
        <v>74.34</v>
      </c>
      <c r="J3748" s="8">
        <f>VLOOKUP(financials[[#This Row],[productid]],Products!$B$2:$H$10,4)</f>
        <v>2.9</v>
      </c>
      <c r="K3748" s="8">
        <f>financials[[#This Row],[Net Sales]]-financials[[#This Row],[COGS]]</f>
        <v>71.44</v>
      </c>
      <c r="L3748" s="15">
        <v>45248</v>
      </c>
      <c r="M3748" t="s">
        <v>696</v>
      </c>
    </row>
    <row r="3749" spans="1:13" x14ac:dyDescent="0.25">
      <c r="A3749" t="s">
        <v>88</v>
      </c>
      <c r="B3749" s="6" t="s">
        <v>93</v>
      </c>
      <c r="C3749" s="13">
        <v>101</v>
      </c>
      <c r="D3749" s="14" t="s">
        <v>91</v>
      </c>
      <c r="E3749">
        <v>9</v>
      </c>
      <c r="F3749" s="8">
        <f>VLOOKUP(financials[[#This Row],[productid]],Products!$B$2:$H$10,3)</f>
        <v>23</v>
      </c>
      <c r="G3749" s="8">
        <f>financials[[#This Row],[Units Sold]]*financials[[#This Row],[Sale Price]]</f>
        <v>207</v>
      </c>
      <c r="H3749" s="8">
        <f>IF(financials[[#This Row],[Discount Band]]="low",0.1,IF(financials[[#This Row],[Discount Band]]="medium",0.15,0.3))</f>
        <v>0.1</v>
      </c>
      <c r="I3749" s="8">
        <f>financials[[#This Row],[Gross Sales]]-financials[[#This Row],[Gross Sales]]*financials[[#This Row],[Discounts]]</f>
        <v>186.3</v>
      </c>
      <c r="J3749" s="8">
        <f>VLOOKUP(financials[[#This Row],[productid]],Products!$B$2:$H$10,4)</f>
        <v>9.9499999999999993</v>
      </c>
      <c r="K3749" s="8">
        <f>financials[[#This Row],[Net Sales]]-financials[[#This Row],[COGS]]</f>
        <v>176.35000000000002</v>
      </c>
      <c r="L3749" s="15">
        <v>45385</v>
      </c>
      <c r="M3749" t="s">
        <v>691</v>
      </c>
    </row>
    <row r="3750" spans="1:13" x14ac:dyDescent="0.25">
      <c r="A3750" t="s">
        <v>86</v>
      </c>
      <c r="B3750" s="6" t="s">
        <v>96</v>
      </c>
      <c r="C3750" s="11">
        <v>106</v>
      </c>
      <c r="D3750" s="9" t="s">
        <v>90</v>
      </c>
      <c r="E3750">
        <v>7</v>
      </c>
      <c r="F3750" s="8">
        <f>VLOOKUP(financials[[#This Row],[productid]],Products!$B$2:$H$10,3)</f>
        <v>25</v>
      </c>
      <c r="G3750" s="8">
        <f>financials[[#This Row],[Units Sold]]*financials[[#This Row],[Sale Price]]</f>
        <v>175</v>
      </c>
      <c r="H3750" s="8">
        <f>IF(financials[[#This Row],[Discount Band]]="low",0.1,IF(financials[[#This Row],[Discount Band]]="medium",0.15,0.3))</f>
        <v>0.15</v>
      </c>
      <c r="I3750" s="8">
        <f>financials[[#This Row],[Gross Sales]]-financials[[#This Row],[Gross Sales]]*financials[[#This Row],[Discounts]]</f>
        <v>148.75</v>
      </c>
      <c r="J3750" s="8">
        <f>VLOOKUP(financials[[#This Row],[productid]],Products!$B$2:$H$10,4)</f>
        <v>9.1</v>
      </c>
      <c r="K3750" s="8">
        <f>financials[[#This Row],[Net Sales]]-financials[[#This Row],[COGS]]</f>
        <v>139.65</v>
      </c>
      <c r="L3750" s="15">
        <v>45426</v>
      </c>
      <c r="M3750" t="s">
        <v>697</v>
      </c>
    </row>
    <row r="3751" spans="1:13" x14ac:dyDescent="0.25">
      <c r="A3751" t="s">
        <v>86</v>
      </c>
      <c r="B3751" s="6" t="s">
        <v>268</v>
      </c>
      <c r="C3751" s="13">
        <v>109</v>
      </c>
      <c r="D3751" s="14" t="s">
        <v>83</v>
      </c>
      <c r="E3751">
        <v>6</v>
      </c>
      <c r="F3751" s="8">
        <f>VLOOKUP(financials[[#This Row],[productid]],Products!$B$2:$H$10,3)</f>
        <v>36</v>
      </c>
      <c r="G3751" s="8">
        <f>financials[[#This Row],[Units Sold]]*financials[[#This Row],[Sale Price]]</f>
        <v>216</v>
      </c>
      <c r="H3751" s="8">
        <f>IF(financials[[#This Row],[Discount Band]]="low",0.1,IF(financials[[#This Row],[Discount Band]]="medium",0.15,0.3))</f>
        <v>0.3</v>
      </c>
      <c r="I3751" s="8">
        <f>financials[[#This Row],[Gross Sales]]-financials[[#This Row],[Gross Sales]]*financials[[#This Row],[Discounts]]</f>
        <v>151.19999999999999</v>
      </c>
      <c r="J3751" s="8">
        <f>VLOOKUP(financials[[#This Row],[productid]],Products!$B$2:$H$10,4)</f>
        <v>16.8</v>
      </c>
      <c r="K3751" s="8">
        <f>financials[[#This Row],[Net Sales]]-financials[[#This Row],[COGS]]</f>
        <v>134.39999999999998</v>
      </c>
      <c r="L3751" s="15">
        <v>44511</v>
      </c>
      <c r="M3751" t="s">
        <v>700</v>
      </c>
    </row>
    <row r="3752" spans="1:13" x14ac:dyDescent="0.25">
      <c r="A3752" t="s">
        <v>86</v>
      </c>
      <c r="B3752" s="6" t="s">
        <v>232</v>
      </c>
      <c r="C3752" s="13">
        <v>102</v>
      </c>
      <c r="D3752" s="14" t="s">
        <v>90</v>
      </c>
      <c r="E3752">
        <v>5</v>
      </c>
      <c r="F3752" s="8">
        <f>VLOOKUP(financials[[#This Row],[productid]],Products!$B$2:$H$10,3)</f>
        <v>15</v>
      </c>
      <c r="G3752" s="8">
        <f>financials[[#This Row],[Units Sold]]*financials[[#This Row],[Sale Price]]</f>
        <v>75</v>
      </c>
      <c r="H3752" s="8">
        <f>IF(financials[[#This Row],[Discount Band]]="low",0.1,IF(financials[[#This Row],[Discount Band]]="medium",0.15,0.3))</f>
        <v>0.15</v>
      </c>
      <c r="I3752" s="8">
        <f>financials[[#This Row],[Gross Sales]]-financials[[#This Row],[Gross Sales]]*financials[[#This Row],[Discounts]]</f>
        <v>63.75</v>
      </c>
      <c r="J3752" s="8">
        <f>VLOOKUP(financials[[#This Row],[productid]],Products!$B$2:$H$10,4)</f>
        <v>13.95</v>
      </c>
      <c r="K3752" s="8">
        <f>financials[[#This Row],[Net Sales]]-financials[[#This Row],[COGS]]</f>
        <v>49.8</v>
      </c>
      <c r="L3752" s="15">
        <v>44077</v>
      </c>
      <c r="M3752" t="s">
        <v>691</v>
      </c>
    </row>
    <row r="3753" spans="1:13" x14ac:dyDescent="0.25">
      <c r="A3753" t="s">
        <v>86</v>
      </c>
      <c r="B3753" s="6" t="s">
        <v>197</v>
      </c>
      <c r="C3753" s="13">
        <v>106</v>
      </c>
      <c r="D3753" s="14" t="s">
        <v>90</v>
      </c>
      <c r="E3753">
        <v>6</v>
      </c>
      <c r="F3753" s="8">
        <f>VLOOKUP(financials[[#This Row],[productid]],Products!$B$2:$H$10,3)</f>
        <v>25</v>
      </c>
      <c r="G3753" s="8">
        <f>financials[[#This Row],[Units Sold]]*financials[[#This Row],[Sale Price]]</f>
        <v>150</v>
      </c>
      <c r="H3753" s="8">
        <f>IF(financials[[#This Row],[Discount Band]]="low",0.1,IF(financials[[#This Row],[Discount Band]]="medium",0.15,0.3))</f>
        <v>0.15</v>
      </c>
      <c r="I3753" s="8">
        <f>financials[[#This Row],[Gross Sales]]-financials[[#This Row],[Gross Sales]]*financials[[#This Row],[Discounts]]</f>
        <v>127.5</v>
      </c>
      <c r="J3753" s="8">
        <f>VLOOKUP(financials[[#This Row],[productid]],Products!$B$2:$H$10,4)</f>
        <v>9.1</v>
      </c>
      <c r="K3753" s="8">
        <f>financials[[#This Row],[Net Sales]]-financials[[#This Row],[COGS]]</f>
        <v>118.4</v>
      </c>
      <c r="L3753" s="15">
        <v>44483</v>
      </c>
      <c r="M3753" t="s">
        <v>700</v>
      </c>
    </row>
    <row r="3754" spans="1:13" x14ac:dyDescent="0.25">
      <c r="A3754" t="s">
        <v>86</v>
      </c>
      <c r="B3754" s="6" t="s">
        <v>228</v>
      </c>
      <c r="C3754" s="13">
        <v>104</v>
      </c>
      <c r="D3754" s="14" t="s">
        <v>83</v>
      </c>
      <c r="E3754">
        <v>17</v>
      </c>
      <c r="F3754" s="8">
        <f>VLOOKUP(financials[[#This Row],[productid]],Products!$B$2:$H$10,3)</f>
        <v>5.9</v>
      </c>
      <c r="G3754" s="8">
        <f>financials[[#This Row],[Units Sold]]*financials[[#This Row],[Sale Price]]</f>
        <v>100.30000000000001</v>
      </c>
      <c r="H3754" s="8">
        <f>IF(financials[[#This Row],[Discount Band]]="low",0.1,IF(financials[[#This Row],[Discount Band]]="medium",0.15,0.3))</f>
        <v>0.3</v>
      </c>
      <c r="I3754" s="8">
        <f>financials[[#This Row],[Gross Sales]]-financials[[#This Row],[Gross Sales]]*financials[[#This Row],[Discounts]]</f>
        <v>70.210000000000008</v>
      </c>
      <c r="J3754" s="8">
        <f>VLOOKUP(financials[[#This Row],[productid]],Products!$B$2:$H$10,4)</f>
        <v>2.9</v>
      </c>
      <c r="K3754" s="8">
        <f>financials[[#This Row],[Net Sales]]-financials[[#This Row],[COGS]]</f>
        <v>67.31</v>
      </c>
      <c r="L3754" s="15">
        <v>45586</v>
      </c>
      <c r="M3754" t="s">
        <v>697</v>
      </c>
    </row>
    <row r="3755" spans="1:13" x14ac:dyDescent="0.25">
      <c r="A3755" t="s">
        <v>88</v>
      </c>
      <c r="B3755" s="6" t="s">
        <v>158</v>
      </c>
      <c r="C3755" s="11">
        <v>107</v>
      </c>
      <c r="D3755" s="9" t="s">
        <v>90</v>
      </c>
      <c r="E3755">
        <v>9</v>
      </c>
      <c r="F3755" s="8">
        <f>VLOOKUP(financials[[#This Row],[productid]],Products!$B$2:$H$10,3)</f>
        <v>15</v>
      </c>
      <c r="G3755" s="8">
        <f>financials[[#This Row],[Units Sold]]*financials[[#This Row],[Sale Price]]</f>
        <v>135</v>
      </c>
      <c r="H3755" s="8">
        <f>IF(financials[[#This Row],[Discount Band]]="low",0.1,IF(financials[[#This Row],[Discount Band]]="medium",0.15,0.3))</f>
        <v>0.15</v>
      </c>
      <c r="I3755" s="8">
        <f>financials[[#This Row],[Gross Sales]]-financials[[#This Row],[Gross Sales]]*financials[[#This Row],[Discounts]]</f>
        <v>114.75</v>
      </c>
      <c r="J3755" s="8">
        <f>VLOOKUP(financials[[#This Row],[productid]],Products!$B$2:$H$10,4)</f>
        <v>5.5</v>
      </c>
      <c r="K3755" s="8">
        <f>financials[[#This Row],[Net Sales]]-financials[[#This Row],[COGS]]</f>
        <v>109.25</v>
      </c>
      <c r="L3755" s="15">
        <v>45017</v>
      </c>
      <c r="M3755" t="s">
        <v>691</v>
      </c>
    </row>
    <row r="3756" spans="1:13" x14ac:dyDescent="0.25">
      <c r="A3756" t="s">
        <v>88</v>
      </c>
      <c r="B3756" s="6" t="s">
        <v>228</v>
      </c>
      <c r="C3756" s="13">
        <v>105</v>
      </c>
      <c r="D3756" s="14" t="s">
        <v>90</v>
      </c>
      <c r="E3756">
        <v>5</v>
      </c>
      <c r="F3756" s="8">
        <f>VLOOKUP(financials[[#This Row],[productid]],Products!$B$2:$H$10,3)</f>
        <v>15</v>
      </c>
      <c r="G3756" s="8">
        <f>financials[[#This Row],[Units Sold]]*financials[[#This Row],[Sale Price]]</f>
        <v>75</v>
      </c>
      <c r="H3756" s="8">
        <f>IF(financials[[#This Row],[Discount Band]]="low",0.1,IF(financials[[#This Row],[Discount Band]]="medium",0.15,0.3))</f>
        <v>0.15</v>
      </c>
      <c r="I3756" s="8">
        <f>financials[[#This Row],[Gross Sales]]-financials[[#This Row],[Gross Sales]]*financials[[#This Row],[Discounts]]</f>
        <v>63.75</v>
      </c>
      <c r="J3756" s="8">
        <f>VLOOKUP(financials[[#This Row],[productid]],Products!$B$2:$H$10,4)</f>
        <v>10</v>
      </c>
      <c r="K3756" s="8">
        <f>financials[[#This Row],[Net Sales]]-financials[[#This Row],[COGS]]</f>
        <v>53.75</v>
      </c>
      <c r="L3756" s="15">
        <v>44470</v>
      </c>
      <c r="M3756" t="s">
        <v>691</v>
      </c>
    </row>
    <row r="3757" spans="1:13" x14ac:dyDescent="0.25">
      <c r="A3757" t="s">
        <v>86</v>
      </c>
      <c r="B3757" s="6" t="s">
        <v>617</v>
      </c>
      <c r="C3757" s="13">
        <v>106</v>
      </c>
      <c r="D3757" s="14" t="s">
        <v>91</v>
      </c>
      <c r="E3757">
        <v>18</v>
      </c>
      <c r="F3757" s="8">
        <f>VLOOKUP(financials[[#This Row],[productid]],Products!$B$2:$H$10,3)</f>
        <v>25</v>
      </c>
      <c r="G3757" s="8">
        <f>financials[[#This Row],[Units Sold]]*financials[[#This Row],[Sale Price]]</f>
        <v>450</v>
      </c>
      <c r="H3757" s="8">
        <f>IF(financials[[#This Row],[Discount Band]]="low",0.1,IF(financials[[#This Row],[Discount Band]]="medium",0.15,0.3))</f>
        <v>0.1</v>
      </c>
      <c r="I3757" s="8">
        <f>financials[[#This Row],[Gross Sales]]-financials[[#This Row],[Gross Sales]]*financials[[#This Row],[Discounts]]</f>
        <v>405</v>
      </c>
      <c r="J3757" s="8">
        <f>VLOOKUP(financials[[#This Row],[productid]],Products!$B$2:$H$10,4)</f>
        <v>9.1</v>
      </c>
      <c r="K3757" s="8">
        <f>financials[[#This Row],[Net Sales]]-financials[[#This Row],[COGS]]</f>
        <v>395.9</v>
      </c>
      <c r="L3757" s="15">
        <v>44919</v>
      </c>
      <c r="M3757" t="s">
        <v>691</v>
      </c>
    </row>
    <row r="3758" spans="1:13" x14ac:dyDescent="0.25">
      <c r="A3758" t="s">
        <v>86</v>
      </c>
      <c r="B3758" s="6" t="s">
        <v>124</v>
      </c>
      <c r="C3758" s="13">
        <v>104</v>
      </c>
      <c r="D3758" s="14" t="s">
        <v>90</v>
      </c>
      <c r="E3758">
        <v>15</v>
      </c>
      <c r="F3758" s="8">
        <f>VLOOKUP(financials[[#This Row],[productid]],Products!$B$2:$H$10,3)</f>
        <v>5.9</v>
      </c>
      <c r="G3758" s="8">
        <f>financials[[#This Row],[Units Sold]]*financials[[#This Row],[Sale Price]]</f>
        <v>88.5</v>
      </c>
      <c r="H3758" s="8">
        <f>IF(financials[[#This Row],[Discount Band]]="low",0.1,IF(financials[[#This Row],[Discount Band]]="medium",0.15,0.3))</f>
        <v>0.15</v>
      </c>
      <c r="I3758" s="8">
        <f>financials[[#This Row],[Gross Sales]]-financials[[#This Row],[Gross Sales]]*financials[[#This Row],[Discounts]]</f>
        <v>75.224999999999994</v>
      </c>
      <c r="J3758" s="8">
        <f>VLOOKUP(financials[[#This Row],[productid]],Products!$B$2:$H$10,4)</f>
        <v>2.9</v>
      </c>
      <c r="K3758" s="8">
        <f>financials[[#This Row],[Net Sales]]-financials[[#This Row],[COGS]]</f>
        <v>72.324999999999989</v>
      </c>
      <c r="L3758" s="15">
        <v>45490</v>
      </c>
      <c r="M3758" t="s">
        <v>697</v>
      </c>
    </row>
    <row r="3759" spans="1:13" x14ac:dyDescent="0.25">
      <c r="A3759" t="s">
        <v>86</v>
      </c>
      <c r="B3759" s="6" t="s">
        <v>124</v>
      </c>
      <c r="C3759" s="13">
        <v>109</v>
      </c>
      <c r="D3759" s="14" t="s">
        <v>83</v>
      </c>
      <c r="E3759">
        <v>18</v>
      </c>
      <c r="F3759" s="8">
        <f>VLOOKUP(financials[[#This Row],[productid]],Products!$B$2:$H$10,3)</f>
        <v>36</v>
      </c>
      <c r="G3759" s="8">
        <f>financials[[#This Row],[Units Sold]]*financials[[#This Row],[Sale Price]]</f>
        <v>648</v>
      </c>
      <c r="H3759" s="8">
        <f>IF(financials[[#This Row],[Discount Band]]="low",0.1,IF(financials[[#This Row],[Discount Band]]="medium",0.15,0.3))</f>
        <v>0.3</v>
      </c>
      <c r="I3759" s="8">
        <f>financials[[#This Row],[Gross Sales]]-financials[[#This Row],[Gross Sales]]*financials[[#This Row],[Discounts]]</f>
        <v>453.6</v>
      </c>
      <c r="J3759" s="8">
        <f>VLOOKUP(financials[[#This Row],[productid]],Products!$B$2:$H$10,4)</f>
        <v>16.8</v>
      </c>
      <c r="K3759" s="8">
        <f>financials[[#This Row],[Net Sales]]-financials[[#This Row],[COGS]]</f>
        <v>436.8</v>
      </c>
      <c r="L3759" s="15">
        <v>44607</v>
      </c>
      <c r="M3759" t="s">
        <v>690</v>
      </c>
    </row>
    <row r="3760" spans="1:13" x14ac:dyDescent="0.25">
      <c r="A3760" t="s">
        <v>88</v>
      </c>
      <c r="B3760" s="6" t="s">
        <v>232</v>
      </c>
      <c r="C3760" s="11">
        <v>103</v>
      </c>
      <c r="D3760" s="9" t="s">
        <v>90</v>
      </c>
      <c r="E3760">
        <v>20</v>
      </c>
      <c r="F3760" s="8">
        <f>VLOOKUP(financials[[#This Row],[productid]],Products!$B$2:$H$10,3)</f>
        <v>28</v>
      </c>
      <c r="G3760" s="8">
        <f>financials[[#This Row],[Units Sold]]*financials[[#This Row],[Sale Price]]</f>
        <v>560</v>
      </c>
      <c r="H3760" s="8">
        <f>IF(financials[[#This Row],[Discount Band]]="low",0.1,IF(financials[[#This Row],[Discount Band]]="medium",0.15,0.3))</f>
        <v>0.15</v>
      </c>
      <c r="I3760" s="8">
        <f>financials[[#This Row],[Gross Sales]]-financials[[#This Row],[Gross Sales]]*financials[[#This Row],[Discounts]]</f>
        <v>476</v>
      </c>
      <c r="J3760" s="8">
        <f>VLOOKUP(financials[[#This Row],[productid]],Products!$B$2:$H$10,4)</f>
        <v>15</v>
      </c>
      <c r="K3760" s="8">
        <f>financials[[#This Row],[Net Sales]]-financials[[#This Row],[COGS]]</f>
        <v>461</v>
      </c>
      <c r="L3760" s="15">
        <v>44776</v>
      </c>
      <c r="M3760" t="s">
        <v>690</v>
      </c>
    </row>
    <row r="3761" spans="1:13" x14ac:dyDescent="0.25">
      <c r="A3761" t="s">
        <v>88</v>
      </c>
      <c r="B3761" s="6" t="s">
        <v>148</v>
      </c>
      <c r="C3761" s="13">
        <v>101</v>
      </c>
      <c r="D3761" s="14" t="s">
        <v>91</v>
      </c>
      <c r="E3761">
        <v>14</v>
      </c>
      <c r="F3761" s="8">
        <f>VLOOKUP(financials[[#This Row],[productid]],Products!$B$2:$H$10,3)</f>
        <v>23</v>
      </c>
      <c r="G3761" s="8">
        <f>financials[[#This Row],[Units Sold]]*financials[[#This Row],[Sale Price]]</f>
        <v>322</v>
      </c>
      <c r="H3761" s="8">
        <f>IF(financials[[#This Row],[Discount Band]]="low",0.1,IF(financials[[#This Row],[Discount Band]]="medium",0.15,0.3))</f>
        <v>0.1</v>
      </c>
      <c r="I3761" s="8">
        <f>financials[[#This Row],[Gross Sales]]-financials[[#This Row],[Gross Sales]]*financials[[#This Row],[Discounts]]</f>
        <v>289.8</v>
      </c>
      <c r="J3761" s="8">
        <f>VLOOKUP(financials[[#This Row],[productid]],Products!$B$2:$H$10,4)</f>
        <v>9.9499999999999993</v>
      </c>
      <c r="K3761" s="8">
        <f>financials[[#This Row],[Net Sales]]-financials[[#This Row],[COGS]]</f>
        <v>279.85000000000002</v>
      </c>
      <c r="L3761" s="15">
        <v>44169</v>
      </c>
      <c r="M3761" t="s">
        <v>700</v>
      </c>
    </row>
    <row r="3762" spans="1:13" x14ac:dyDescent="0.25">
      <c r="A3762" t="s">
        <v>88</v>
      </c>
      <c r="B3762" s="6" t="s">
        <v>167</v>
      </c>
      <c r="C3762" s="13">
        <v>103</v>
      </c>
      <c r="D3762" s="14" t="s">
        <v>83</v>
      </c>
      <c r="E3762">
        <v>17</v>
      </c>
      <c r="F3762" s="8">
        <f>VLOOKUP(financials[[#This Row],[productid]],Products!$B$2:$H$10,3)</f>
        <v>28</v>
      </c>
      <c r="G3762" s="8">
        <f>financials[[#This Row],[Units Sold]]*financials[[#This Row],[Sale Price]]</f>
        <v>476</v>
      </c>
      <c r="H3762" s="8">
        <f>IF(financials[[#This Row],[Discount Band]]="low",0.1,IF(financials[[#This Row],[Discount Band]]="medium",0.15,0.3))</f>
        <v>0.3</v>
      </c>
      <c r="I3762" s="8">
        <f>financials[[#This Row],[Gross Sales]]-financials[[#This Row],[Gross Sales]]*financials[[#This Row],[Discounts]]</f>
        <v>333.20000000000005</v>
      </c>
      <c r="J3762" s="8">
        <f>VLOOKUP(financials[[#This Row],[productid]],Products!$B$2:$H$10,4)</f>
        <v>15</v>
      </c>
      <c r="K3762" s="8">
        <f>financials[[#This Row],[Net Sales]]-financials[[#This Row],[COGS]]</f>
        <v>318.20000000000005</v>
      </c>
      <c r="L3762" s="15">
        <v>44981</v>
      </c>
      <c r="M3762" t="s">
        <v>697</v>
      </c>
    </row>
    <row r="3763" spans="1:13" x14ac:dyDescent="0.25">
      <c r="A3763" t="s">
        <v>88</v>
      </c>
      <c r="B3763" s="6" t="s">
        <v>158</v>
      </c>
      <c r="C3763" s="13">
        <v>107</v>
      </c>
      <c r="D3763" s="14" t="s">
        <v>90</v>
      </c>
      <c r="E3763">
        <v>10</v>
      </c>
      <c r="F3763" s="8">
        <f>VLOOKUP(financials[[#This Row],[productid]],Products!$B$2:$H$10,3)</f>
        <v>15</v>
      </c>
      <c r="G3763" s="8">
        <f>financials[[#This Row],[Units Sold]]*financials[[#This Row],[Sale Price]]</f>
        <v>150</v>
      </c>
      <c r="H3763" s="8">
        <f>IF(financials[[#This Row],[Discount Band]]="low",0.1,IF(financials[[#This Row],[Discount Band]]="medium",0.15,0.3))</f>
        <v>0.15</v>
      </c>
      <c r="I3763" s="8">
        <f>financials[[#This Row],[Gross Sales]]-financials[[#This Row],[Gross Sales]]*financials[[#This Row],[Discounts]]</f>
        <v>127.5</v>
      </c>
      <c r="J3763" s="8">
        <f>VLOOKUP(financials[[#This Row],[productid]],Products!$B$2:$H$10,4)</f>
        <v>5.5</v>
      </c>
      <c r="K3763" s="8">
        <f>financials[[#This Row],[Net Sales]]-financials[[#This Row],[COGS]]</f>
        <v>122</v>
      </c>
      <c r="L3763" s="15">
        <v>44461</v>
      </c>
      <c r="M3763" t="s">
        <v>690</v>
      </c>
    </row>
    <row r="3764" spans="1:13" x14ac:dyDescent="0.25">
      <c r="A3764" t="s">
        <v>86</v>
      </c>
      <c r="B3764" s="6" t="s">
        <v>124</v>
      </c>
      <c r="C3764" s="11">
        <v>101</v>
      </c>
      <c r="D3764" s="9" t="s">
        <v>83</v>
      </c>
      <c r="E3764">
        <v>6</v>
      </c>
      <c r="F3764" s="8">
        <f>VLOOKUP(financials[[#This Row],[productid]],Products!$B$2:$H$10,3)</f>
        <v>23</v>
      </c>
      <c r="G3764" s="8">
        <f>financials[[#This Row],[Units Sold]]*financials[[#This Row],[Sale Price]]</f>
        <v>138</v>
      </c>
      <c r="H3764" s="8">
        <f>IF(financials[[#This Row],[Discount Band]]="low",0.1,IF(financials[[#This Row],[Discount Band]]="medium",0.15,0.3))</f>
        <v>0.3</v>
      </c>
      <c r="I3764" s="8">
        <f>financials[[#This Row],[Gross Sales]]-financials[[#This Row],[Gross Sales]]*financials[[#This Row],[Discounts]]</f>
        <v>96.6</v>
      </c>
      <c r="J3764" s="8">
        <f>VLOOKUP(financials[[#This Row],[productid]],Products!$B$2:$H$10,4)</f>
        <v>9.9499999999999993</v>
      </c>
      <c r="K3764" s="8">
        <f>financials[[#This Row],[Net Sales]]-financials[[#This Row],[COGS]]</f>
        <v>86.649999999999991</v>
      </c>
      <c r="L3764" s="15">
        <v>44590</v>
      </c>
      <c r="M3764" t="s">
        <v>696</v>
      </c>
    </row>
    <row r="3765" spans="1:13" x14ac:dyDescent="0.25">
      <c r="A3765" t="s">
        <v>86</v>
      </c>
      <c r="B3765" s="6" t="s">
        <v>124</v>
      </c>
      <c r="C3765" s="13">
        <v>109</v>
      </c>
      <c r="D3765" s="14" t="s">
        <v>83</v>
      </c>
      <c r="E3765">
        <v>15</v>
      </c>
      <c r="F3765" s="8">
        <f>VLOOKUP(financials[[#This Row],[productid]],Products!$B$2:$H$10,3)</f>
        <v>36</v>
      </c>
      <c r="G3765" s="8">
        <f>financials[[#This Row],[Units Sold]]*financials[[#This Row],[Sale Price]]</f>
        <v>540</v>
      </c>
      <c r="H3765" s="8">
        <f>IF(financials[[#This Row],[Discount Band]]="low",0.1,IF(financials[[#This Row],[Discount Band]]="medium",0.15,0.3))</f>
        <v>0.3</v>
      </c>
      <c r="I3765" s="8">
        <f>financials[[#This Row],[Gross Sales]]-financials[[#This Row],[Gross Sales]]*financials[[#This Row],[Discounts]]</f>
        <v>378</v>
      </c>
      <c r="J3765" s="8">
        <f>VLOOKUP(financials[[#This Row],[productid]],Products!$B$2:$H$10,4)</f>
        <v>16.8</v>
      </c>
      <c r="K3765" s="8">
        <f>financials[[#This Row],[Net Sales]]-financials[[#This Row],[COGS]]</f>
        <v>361.2</v>
      </c>
      <c r="L3765" s="15">
        <v>45337</v>
      </c>
      <c r="M3765" t="s">
        <v>691</v>
      </c>
    </row>
    <row r="3766" spans="1:13" x14ac:dyDescent="0.25">
      <c r="A3766" t="s">
        <v>86</v>
      </c>
      <c r="B3766" s="6" t="s">
        <v>158</v>
      </c>
      <c r="C3766" s="13">
        <v>101</v>
      </c>
      <c r="D3766" s="14" t="s">
        <v>83</v>
      </c>
      <c r="E3766">
        <v>16</v>
      </c>
      <c r="F3766" s="8">
        <f>VLOOKUP(financials[[#This Row],[productid]],Products!$B$2:$H$10,3)</f>
        <v>23</v>
      </c>
      <c r="G3766" s="8">
        <f>financials[[#This Row],[Units Sold]]*financials[[#This Row],[Sale Price]]</f>
        <v>368</v>
      </c>
      <c r="H3766" s="8">
        <f>IF(financials[[#This Row],[Discount Band]]="low",0.1,IF(financials[[#This Row],[Discount Band]]="medium",0.15,0.3))</f>
        <v>0.3</v>
      </c>
      <c r="I3766" s="8">
        <f>financials[[#This Row],[Gross Sales]]-financials[[#This Row],[Gross Sales]]*financials[[#This Row],[Discounts]]</f>
        <v>257.60000000000002</v>
      </c>
      <c r="J3766" s="8">
        <f>VLOOKUP(financials[[#This Row],[productid]],Products!$B$2:$H$10,4)</f>
        <v>9.9499999999999993</v>
      </c>
      <c r="K3766" s="8">
        <f>financials[[#This Row],[Net Sales]]-financials[[#This Row],[COGS]]</f>
        <v>247.65000000000003</v>
      </c>
      <c r="L3766" s="15">
        <v>45406</v>
      </c>
      <c r="M3766" t="s">
        <v>696</v>
      </c>
    </row>
    <row r="3767" spans="1:13" x14ac:dyDescent="0.25">
      <c r="A3767" t="s">
        <v>88</v>
      </c>
      <c r="B3767" s="6" t="s">
        <v>617</v>
      </c>
      <c r="C3767" s="13">
        <v>108</v>
      </c>
      <c r="D3767" s="14" t="s">
        <v>90</v>
      </c>
      <c r="E3767">
        <v>5</v>
      </c>
      <c r="F3767" s="8">
        <f>VLOOKUP(financials[[#This Row],[productid]],Products!$B$2:$H$10,3)</f>
        <v>5.5</v>
      </c>
      <c r="G3767" s="8">
        <f>financials[[#This Row],[Units Sold]]*financials[[#This Row],[Sale Price]]</f>
        <v>27.5</v>
      </c>
      <c r="H3767" s="8">
        <f>IF(financials[[#This Row],[Discount Band]]="low",0.1,IF(financials[[#This Row],[Discount Band]]="medium",0.15,0.3))</f>
        <v>0.15</v>
      </c>
      <c r="I3767" s="8">
        <f>financials[[#This Row],[Gross Sales]]-financials[[#This Row],[Gross Sales]]*financials[[#This Row],[Discounts]]</f>
        <v>23.375</v>
      </c>
      <c r="J3767" s="8">
        <f>VLOOKUP(financials[[#This Row],[productid]],Products!$B$2:$H$10,4)</f>
        <v>3.99</v>
      </c>
      <c r="K3767" s="8">
        <f>financials[[#This Row],[Net Sales]]-financials[[#This Row],[COGS]]</f>
        <v>19.384999999999998</v>
      </c>
      <c r="L3767" s="15">
        <v>44332</v>
      </c>
      <c r="M3767" t="s">
        <v>690</v>
      </c>
    </row>
    <row r="3768" spans="1:13" x14ac:dyDescent="0.25">
      <c r="A3768" t="s">
        <v>88</v>
      </c>
      <c r="B3768" s="6" t="s">
        <v>228</v>
      </c>
      <c r="C3768" s="13">
        <v>102</v>
      </c>
      <c r="D3768" s="14" t="s">
        <v>90</v>
      </c>
      <c r="E3768">
        <v>19</v>
      </c>
      <c r="F3768" s="8">
        <f>VLOOKUP(financials[[#This Row],[productid]],Products!$B$2:$H$10,3)</f>
        <v>15</v>
      </c>
      <c r="G3768" s="8">
        <f>financials[[#This Row],[Units Sold]]*financials[[#This Row],[Sale Price]]</f>
        <v>285</v>
      </c>
      <c r="H3768" s="8">
        <f>IF(financials[[#This Row],[Discount Band]]="low",0.1,IF(financials[[#This Row],[Discount Band]]="medium",0.15,0.3))</f>
        <v>0.15</v>
      </c>
      <c r="I3768" s="8">
        <f>financials[[#This Row],[Gross Sales]]-financials[[#This Row],[Gross Sales]]*financials[[#This Row],[Discounts]]</f>
        <v>242.25</v>
      </c>
      <c r="J3768" s="8">
        <f>VLOOKUP(financials[[#This Row],[productid]],Products!$B$2:$H$10,4)</f>
        <v>13.95</v>
      </c>
      <c r="K3768" s="8">
        <f>financials[[#This Row],[Net Sales]]-financials[[#This Row],[COGS]]</f>
        <v>228.3</v>
      </c>
      <c r="L3768" s="15">
        <v>43982</v>
      </c>
      <c r="M3768" t="s">
        <v>700</v>
      </c>
    </row>
    <row r="3769" spans="1:13" x14ac:dyDescent="0.25">
      <c r="A3769" t="s">
        <v>86</v>
      </c>
      <c r="B3769" s="6" t="s">
        <v>95</v>
      </c>
      <c r="C3769" s="13">
        <v>108</v>
      </c>
      <c r="D3769" s="14" t="s">
        <v>90</v>
      </c>
      <c r="E3769">
        <v>15</v>
      </c>
      <c r="F3769" s="8">
        <f>VLOOKUP(financials[[#This Row],[productid]],Products!$B$2:$H$10,3)</f>
        <v>5.5</v>
      </c>
      <c r="G3769" s="8">
        <f>financials[[#This Row],[Units Sold]]*financials[[#This Row],[Sale Price]]</f>
        <v>82.5</v>
      </c>
      <c r="H3769" s="8">
        <f>IF(financials[[#This Row],[Discount Band]]="low",0.1,IF(financials[[#This Row],[Discount Band]]="medium",0.15,0.3))</f>
        <v>0.15</v>
      </c>
      <c r="I3769" s="8">
        <f>financials[[#This Row],[Gross Sales]]-financials[[#This Row],[Gross Sales]]*financials[[#This Row],[Discounts]]</f>
        <v>70.125</v>
      </c>
      <c r="J3769" s="8">
        <f>VLOOKUP(financials[[#This Row],[productid]],Products!$B$2:$H$10,4)</f>
        <v>3.99</v>
      </c>
      <c r="K3769" s="8">
        <f>financials[[#This Row],[Net Sales]]-financials[[#This Row],[COGS]]</f>
        <v>66.135000000000005</v>
      </c>
      <c r="L3769" s="15">
        <v>44240</v>
      </c>
      <c r="M3769" t="s">
        <v>700</v>
      </c>
    </row>
    <row r="3770" spans="1:13" x14ac:dyDescent="0.25">
      <c r="A3770" t="s">
        <v>86</v>
      </c>
      <c r="B3770" s="6" t="s">
        <v>125</v>
      </c>
      <c r="C3770" s="13">
        <v>106</v>
      </c>
      <c r="D3770" s="14" t="s">
        <v>83</v>
      </c>
      <c r="E3770">
        <v>14</v>
      </c>
      <c r="F3770" s="8">
        <f>VLOOKUP(financials[[#This Row],[productid]],Products!$B$2:$H$10,3)</f>
        <v>25</v>
      </c>
      <c r="G3770" s="8">
        <f>financials[[#This Row],[Units Sold]]*financials[[#This Row],[Sale Price]]</f>
        <v>350</v>
      </c>
      <c r="H3770" s="8">
        <f>IF(financials[[#This Row],[Discount Band]]="low",0.1,IF(financials[[#This Row],[Discount Band]]="medium",0.15,0.3))</f>
        <v>0.3</v>
      </c>
      <c r="I3770" s="8">
        <f>financials[[#This Row],[Gross Sales]]-financials[[#This Row],[Gross Sales]]*financials[[#This Row],[Discounts]]</f>
        <v>245</v>
      </c>
      <c r="J3770" s="8">
        <f>VLOOKUP(financials[[#This Row],[productid]],Products!$B$2:$H$10,4)</f>
        <v>9.1</v>
      </c>
      <c r="K3770" s="8">
        <f>financials[[#This Row],[Net Sales]]-financials[[#This Row],[COGS]]</f>
        <v>235.9</v>
      </c>
      <c r="L3770" s="15">
        <v>44858</v>
      </c>
      <c r="M3770" t="s">
        <v>696</v>
      </c>
    </row>
    <row r="3771" spans="1:13" x14ac:dyDescent="0.25">
      <c r="A3771" t="s">
        <v>86</v>
      </c>
      <c r="B3771" s="6" t="s">
        <v>197</v>
      </c>
      <c r="C3771" s="13">
        <v>106</v>
      </c>
      <c r="D3771" s="14" t="s">
        <v>92</v>
      </c>
      <c r="E3771">
        <v>12</v>
      </c>
      <c r="F3771" s="8">
        <f>VLOOKUP(financials[[#This Row],[productid]],Products!$B$2:$H$10,3)</f>
        <v>25</v>
      </c>
      <c r="G3771" s="8">
        <f>financials[[#This Row],[Units Sold]]*financials[[#This Row],[Sale Price]]</f>
        <v>300</v>
      </c>
      <c r="H3771" s="8">
        <f>IF(financials[[#This Row],[Discount Band]]="low",0.1,IF(financials[[#This Row],[Discount Band]]="medium",0.15,0.3))</f>
        <v>0.3</v>
      </c>
      <c r="I3771" s="8">
        <f>financials[[#This Row],[Gross Sales]]-financials[[#This Row],[Gross Sales]]*financials[[#This Row],[Discounts]]</f>
        <v>210</v>
      </c>
      <c r="J3771" s="8">
        <f>VLOOKUP(financials[[#This Row],[productid]],Products!$B$2:$H$10,4)</f>
        <v>9.1</v>
      </c>
      <c r="K3771" s="8">
        <f>financials[[#This Row],[Net Sales]]-financials[[#This Row],[COGS]]</f>
        <v>200.9</v>
      </c>
      <c r="L3771" s="15">
        <v>44851</v>
      </c>
      <c r="M3771" t="s">
        <v>697</v>
      </c>
    </row>
    <row r="3772" spans="1:13" x14ac:dyDescent="0.25">
      <c r="A3772" t="s">
        <v>86</v>
      </c>
      <c r="B3772" s="6" t="s">
        <v>124</v>
      </c>
      <c r="C3772" s="13">
        <v>107</v>
      </c>
      <c r="D3772" s="14" t="s">
        <v>83</v>
      </c>
      <c r="E3772">
        <v>8</v>
      </c>
      <c r="F3772" s="8">
        <f>VLOOKUP(financials[[#This Row],[productid]],Products!$B$2:$H$10,3)</f>
        <v>15</v>
      </c>
      <c r="G3772" s="8">
        <f>financials[[#This Row],[Units Sold]]*financials[[#This Row],[Sale Price]]</f>
        <v>120</v>
      </c>
      <c r="H3772" s="8">
        <f>IF(financials[[#This Row],[Discount Band]]="low",0.1,IF(financials[[#This Row],[Discount Band]]="medium",0.15,0.3))</f>
        <v>0.3</v>
      </c>
      <c r="I3772" s="8">
        <f>financials[[#This Row],[Gross Sales]]-financials[[#This Row],[Gross Sales]]*financials[[#This Row],[Discounts]]</f>
        <v>84</v>
      </c>
      <c r="J3772" s="8">
        <f>VLOOKUP(financials[[#This Row],[productid]],Products!$B$2:$H$10,4)</f>
        <v>5.5</v>
      </c>
      <c r="K3772" s="8">
        <f>financials[[#This Row],[Net Sales]]-financials[[#This Row],[COGS]]</f>
        <v>78.5</v>
      </c>
      <c r="L3772" s="15">
        <v>44696</v>
      </c>
      <c r="M3772" t="s">
        <v>690</v>
      </c>
    </row>
    <row r="3773" spans="1:13" x14ac:dyDescent="0.25">
      <c r="A3773" t="s">
        <v>88</v>
      </c>
      <c r="B3773" s="6" t="s">
        <v>95</v>
      </c>
      <c r="C3773" s="13">
        <v>103</v>
      </c>
      <c r="D3773" s="14" t="s">
        <v>83</v>
      </c>
      <c r="E3773">
        <v>16</v>
      </c>
      <c r="F3773" s="8">
        <f>VLOOKUP(financials[[#This Row],[productid]],Products!$B$2:$H$10,3)</f>
        <v>28</v>
      </c>
      <c r="G3773" s="8">
        <f>financials[[#This Row],[Units Sold]]*financials[[#This Row],[Sale Price]]</f>
        <v>448</v>
      </c>
      <c r="H3773" s="8">
        <f>IF(financials[[#This Row],[Discount Band]]="low",0.1,IF(financials[[#This Row],[Discount Band]]="medium",0.15,0.3))</f>
        <v>0.3</v>
      </c>
      <c r="I3773" s="8">
        <f>financials[[#This Row],[Gross Sales]]-financials[[#This Row],[Gross Sales]]*financials[[#This Row],[Discounts]]</f>
        <v>313.60000000000002</v>
      </c>
      <c r="J3773" s="8">
        <f>VLOOKUP(financials[[#This Row],[productid]],Products!$B$2:$H$10,4)</f>
        <v>15</v>
      </c>
      <c r="K3773" s="8">
        <f>financials[[#This Row],[Net Sales]]-financials[[#This Row],[COGS]]</f>
        <v>298.60000000000002</v>
      </c>
      <c r="L3773" s="15">
        <v>44982</v>
      </c>
      <c r="M3773" t="s">
        <v>691</v>
      </c>
    </row>
    <row r="3774" spans="1:13" x14ac:dyDescent="0.25">
      <c r="A3774" t="s">
        <v>88</v>
      </c>
      <c r="B3774" s="6" t="s">
        <v>232</v>
      </c>
      <c r="C3774" s="13">
        <v>106</v>
      </c>
      <c r="D3774" s="14" t="s">
        <v>90</v>
      </c>
      <c r="E3774">
        <v>15</v>
      </c>
      <c r="F3774" s="8">
        <f>VLOOKUP(financials[[#This Row],[productid]],Products!$B$2:$H$10,3)</f>
        <v>25</v>
      </c>
      <c r="G3774" s="8">
        <f>financials[[#This Row],[Units Sold]]*financials[[#This Row],[Sale Price]]</f>
        <v>375</v>
      </c>
      <c r="H3774" s="8">
        <f>IF(financials[[#This Row],[Discount Band]]="low",0.1,IF(financials[[#This Row],[Discount Band]]="medium",0.15,0.3))</f>
        <v>0.15</v>
      </c>
      <c r="I3774" s="8">
        <f>financials[[#This Row],[Gross Sales]]-financials[[#This Row],[Gross Sales]]*financials[[#This Row],[Discounts]]</f>
        <v>318.75</v>
      </c>
      <c r="J3774" s="8">
        <f>VLOOKUP(financials[[#This Row],[productid]],Products!$B$2:$H$10,4)</f>
        <v>9.1</v>
      </c>
      <c r="K3774" s="8">
        <f>financials[[#This Row],[Net Sales]]-financials[[#This Row],[COGS]]</f>
        <v>309.64999999999998</v>
      </c>
      <c r="L3774" s="15">
        <v>44984</v>
      </c>
      <c r="M3774" t="s">
        <v>690</v>
      </c>
    </row>
    <row r="3775" spans="1:13" x14ac:dyDescent="0.25">
      <c r="A3775" t="s">
        <v>86</v>
      </c>
      <c r="B3775" s="6" t="s">
        <v>274</v>
      </c>
      <c r="C3775" s="11">
        <v>104</v>
      </c>
      <c r="D3775" s="9" t="s">
        <v>83</v>
      </c>
      <c r="E3775">
        <v>10</v>
      </c>
      <c r="F3775" s="8">
        <f>VLOOKUP(financials[[#This Row],[productid]],Products!$B$2:$H$10,3)</f>
        <v>5.9</v>
      </c>
      <c r="G3775" s="8">
        <f>financials[[#This Row],[Units Sold]]*financials[[#This Row],[Sale Price]]</f>
        <v>59</v>
      </c>
      <c r="H3775" s="8">
        <f>IF(financials[[#This Row],[Discount Band]]="low",0.1,IF(financials[[#This Row],[Discount Band]]="medium",0.15,0.3))</f>
        <v>0.3</v>
      </c>
      <c r="I3775" s="8">
        <f>financials[[#This Row],[Gross Sales]]-financials[[#This Row],[Gross Sales]]*financials[[#This Row],[Discounts]]</f>
        <v>41.3</v>
      </c>
      <c r="J3775" s="8">
        <f>VLOOKUP(financials[[#This Row],[productid]],Products!$B$2:$H$10,4)</f>
        <v>2.9</v>
      </c>
      <c r="K3775" s="8">
        <f>financials[[#This Row],[Net Sales]]-financials[[#This Row],[COGS]]</f>
        <v>38.4</v>
      </c>
      <c r="L3775" s="15">
        <v>44585</v>
      </c>
      <c r="M3775" t="s">
        <v>690</v>
      </c>
    </row>
    <row r="3776" spans="1:13" x14ac:dyDescent="0.25">
      <c r="A3776" t="s">
        <v>86</v>
      </c>
      <c r="B3776" s="6" t="s">
        <v>228</v>
      </c>
      <c r="C3776" s="13">
        <v>109</v>
      </c>
      <c r="D3776" s="14" t="s">
        <v>90</v>
      </c>
      <c r="E3776">
        <v>15</v>
      </c>
      <c r="F3776" s="8">
        <f>VLOOKUP(financials[[#This Row],[productid]],Products!$B$2:$H$10,3)</f>
        <v>36</v>
      </c>
      <c r="G3776" s="8">
        <f>financials[[#This Row],[Units Sold]]*financials[[#This Row],[Sale Price]]</f>
        <v>540</v>
      </c>
      <c r="H3776" s="8">
        <f>IF(financials[[#This Row],[Discount Band]]="low",0.1,IF(financials[[#This Row],[Discount Band]]="medium",0.15,0.3))</f>
        <v>0.15</v>
      </c>
      <c r="I3776" s="8">
        <f>financials[[#This Row],[Gross Sales]]-financials[[#This Row],[Gross Sales]]*financials[[#This Row],[Discounts]]</f>
        <v>459</v>
      </c>
      <c r="J3776" s="8">
        <f>VLOOKUP(financials[[#This Row],[productid]],Products!$B$2:$H$10,4)</f>
        <v>16.8</v>
      </c>
      <c r="K3776" s="8">
        <f>financials[[#This Row],[Net Sales]]-financials[[#This Row],[COGS]]</f>
        <v>442.2</v>
      </c>
      <c r="L3776" s="15">
        <v>44740</v>
      </c>
      <c r="M3776" t="s">
        <v>690</v>
      </c>
    </row>
    <row r="3777" spans="1:13" x14ac:dyDescent="0.25">
      <c r="A3777" t="s">
        <v>86</v>
      </c>
      <c r="B3777" s="6" t="s">
        <v>96</v>
      </c>
      <c r="C3777" s="13">
        <v>105</v>
      </c>
      <c r="D3777" s="14" t="s">
        <v>92</v>
      </c>
      <c r="E3777">
        <v>7</v>
      </c>
      <c r="F3777" s="8">
        <f>VLOOKUP(financials[[#This Row],[productid]],Products!$B$2:$H$10,3)</f>
        <v>15</v>
      </c>
      <c r="G3777" s="8">
        <f>financials[[#This Row],[Units Sold]]*financials[[#This Row],[Sale Price]]</f>
        <v>105</v>
      </c>
      <c r="H3777" s="8">
        <f>IF(financials[[#This Row],[Discount Band]]="low",0.1,IF(financials[[#This Row],[Discount Band]]="medium",0.15,0.3))</f>
        <v>0.3</v>
      </c>
      <c r="I3777" s="8">
        <f>financials[[#This Row],[Gross Sales]]-financials[[#This Row],[Gross Sales]]*financials[[#This Row],[Discounts]]</f>
        <v>73.5</v>
      </c>
      <c r="J3777" s="8">
        <f>VLOOKUP(financials[[#This Row],[productid]],Products!$B$2:$H$10,4)</f>
        <v>10</v>
      </c>
      <c r="K3777" s="8">
        <f>financials[[#This Row],[Net Sales]]-financials[[#This Row],[COGS]]</f>
        <v>63.5</v>
      </c>
      <c r="L3777" s="15">
        <v>44313</v>
      </c>
      <c r="M3777" t="s">
        <v>696</v>
      </c>
    </row>
    <row r="3778" spans="1:13" x14ac:dyDescent="0.25">
      <c r="A3778" t="s">
        <v>86</v>
      </c>
      <c r="B3778" s="6" t="s">
        <v>232</v>
      </c>
      <c r="C3778" s="13">
        <v>104</v>
      </c>
      <c r="D3778" s="14" t="s">
        <v>91</v>
      </c>
      <c r="E3778">
        <v>20</v>
      </c>
      <c r="F3778" s="8">
        <f>VLOOKUP(financials[[#This Row],[productid]],Products!$B$2:$H$10,3)</f>
        <v>5.9</v>
      </c>
      <c r="G3778" s="8">
        <f>financials[[#This Row],[Units Sold]]*financials[[#This Row],[Sale Price]]</f>
        <v>118</v>
      </c>
      <c r="H3778" s="8">
        <f>IF(financials[[#This Row],[Discount Band]]="low",0.1,IF(financials[[#This Row],[Discount Band]]="medium",0.15,0.3))</f>
        <v>0.1</v>
      </c>
      <c r="I3778" s="8">
        <f>financials[[#This Row],[Gross Sales]]-financials[[#This Row],[Gross Sales]]*financials[[#This Row],[Discounts]]</f>
        <v>106.2</v>
      </c>
      <c r="J3778" s="8">
        <f>VLOOKUP(financials[[#This Row],[productid]],Products!$B$2:$H$10,4)</f>
        <v>2.9</v>
      </c>
      <c r="K3778" s="8">
        <f>financials[[#This Row],[Net Sales]]-financials[[#This Row],[COGS]]</f>
        <v>103.3</v>
      </c>
      <c r="L3778" s="15">
        <v>44990</v>
      </c>
      <c r="M3778" t="s">
        <v>690</v>
      </c>
    </row>
    <row r="3779" spans="1:13" x14ac:dyDescent="0.25">
      <c r="A3779" t="s">
        <v>87</v>
      </c>
      <c r="B3779" s="6" t="s">
        <v>205</v>
      </c>
      <c r="C3779" s="13">
        <v>101</v>
      </c>
      <c r="D3779" s="14" t="s">
        <v>91</v>
      </c>
      <c r="E3779">
        <v>9</v>
      </c>
      <c r="F3779" s="8">
        <f>VLOOKUP(financials[[#This Row],[productid]],Products!$B$2:$H$10,3)</f>
        <v>23</v>
      </c>
      <c r="G3779" s="8">
        <f>financials[[#This Row],[Units Sold]]*financials[[#This Row],[Sale Price]]</f>
        <v>207</v>
      </c>
      <c r="H3779" s="8">
        <f>IF(financials[[#This Row],[Discount Band]]="low",0.1,IF(financials[[#This Row],[Discount Band]]="medium",0.15,0.3))</f>
        <v>0.1</v>
      </c>
      <c r="I3779" s="8">
        <f>financials[[#This Row],[Gross Sales]]-financials[[#This Row],[Gross Sales]]*financials[[#This Row],[Discounts]]</f>
        <v>186.3</v>
      </c>
      <c r="J3779" s="8">
        <f>VLOOKUP(financials[[#This Row],[productid]],Products!$B$2:$H$10,4)</f>
        <v>9.9499999999999993</v>
      </c>
      <c r="K3779" s="8">
        <f>financials[[#This Row],[Net Sales]]-financials[[#This Row],[COGS]]</f>
        <v>176.35000000000002</v>
      </c>
      <c r="L3779" s="15">
        <v>45298</v>
      </c>
      <c r="M3779" t="s">
        <v>690</v>
      </c>
    </row>
    <row r="3780" spans="1:13" x14ac:dyDescent="0.25">
      <c r="A3780" t="s">
        <v>86</v>
      </c>
      <c r="B3780" s="6" t="s">
        <v>228</v>
      </c>
      <c r="C3780" s="13">
        <v>102</v>
      </c>
      <c r="D3780" s="14" t="s">
        <v>92</v>
      </c>
      <c r="E3780">
        <v>11</v>
      </c>
      <c r="F3780" s="8">
        <f>VLOOKUP(financials[[#This Row],[productid]],Products!$B$2:$H$10,3)</f>
        <v>15</v>
      </c>
      <c r="G3780" s="8">
        <f>financials[[#This Row],[Units Sold]]*financials[[#This Row],[Sale Price]]</f>
        <v>165</v>
      </c>
      <c r="H3780" s="8">
        <f>IF(financials[[#This Row],[Discount Band]]="low",0.1,IF(financials[[#This Row],[Discount Band]]="medium",0.15,0.3))</f>
        <v>0.3</v>
      </c>
      <c r="I3780" s="8">
        <f>financials[[#This Row],[Gross Sales]]-financials[[#This Row],[Gross Sales]]*financials[[#This Row],[Discounts]]</f>
        <v>115.5</v>
      </c>
      <c r="J3780" s="8">
        <f>VLOOKUP(financials[[#This Row],[productid]],Products!$B$2:$H$10,4)</f>
        <v>13.95</v>
      </c>
      <c r="K3780" s="8">
        <f>financials[[#This Row],[Net Sales]]-financials[[#This Row],[COGS]]</f>
        <v>101.55</v>
      </c>
      <c r="L3780" s="15">
        <v>43981</v>
      </c>
      <c r="M3780" t="s">
        <v>690</v>
      </c>
    </row>
    <row r="3781" spans="1:13" x14ac:dyDescent="0.25">
      <c r="A3781" t="s">
        <v>86</v>
      </c>
      <c r="B3781" s="6" t="s">
        <v>228</v>
      </c>
      <c r="C3781" s="13">
        <v>103</v>
      </c>
      <c r="D3781" s="14" t="s">
        <v>83</v>
      </c>
      <c r="E3781">
        <v>12</v>
      </c>
      <c r="F3781" s="8">
        <f>VLOOKUP(financials[[#This Row],[productid]],Products!$B$2:$H$10,3)</f>
        <v>28</v>
      </c>
      <c r="G3781" s="8">
        <f>financials[[#This Row],[Units Sold]]*financials[[#This Row],[Sale Price]]</f>
        <v>336</v>
      </c>
      <c r="H3781" s="8">
        <f>IF(financials[[#This Row],[Discount Band]]="low",0.1,IF(financials[[#This Row],[Discount Band]]="medium",0.15,0.3))</f>
        <v>0.3</v>
      </c>
      <c r="I3781" s="8">
        <f>financials[[#This Row],[Gross Sales]]-financials[[#This Row],[Gross Sales]]*financials[[#This Row],[Discounts]]</f>
        <v>235.2</v>
      </c>
      <c r="J3781" s="8">
        <f>VLOOKUP(financials[[#This Row],[productid]],Products!$B$2:$H$10,4)</f>
        <v>15</v>
      </c>
      <c r="K3781" s="8">
        <f>financials[[#This Row],[Net Sales]]-financials[[#This Row],[COGS]]</f>
        <v>220.2</v>
      </c>
      <c r="L3781" s="15">
        <v>44468</v>
      </c>
      <c r="M3781" t="s">
        <v>691</v>
      </c>
    </row>
    <row r="3782" spans="1:13" x14ac:dyDescent="0.25">
      <c r="A3782" t="s">
        <v>86</v>
      </c>
      <c r="B3782" s="6" t="s">
        <v>124</v>
      </c>
      <c r="C3782" s="13">
        <v>109</v>
      </c>
      <c r="D3782" s="14" t="s">
        <v>83</v>
      </c>
      <c r="E3782">
        <v>18</v>
      </c>
      <c r="F3782" s="8">
        <f>VLOOKUP(financials[[#This Row],[productid]],Products!$B$2:$H$10,3)</f>
        <v>36</v>
      </c>
      <c r="G3782" s="8">
        <f>financials[[#This Row],[Units Sold]]*financials[[#This Row],[Sale Price]]</f>
        <v>648</v>
      </c>
      <c r="H3782" s="8">
        <f>IF(financials[[#This Row],[Discount Band]]="low",0.1,IF(financials[[#This Row],[Discount Band]]="medium",0.15,0.3))</f>
        <v>0.3</v>
      </c>
      <c r="I3782" s="8">
        <f>financials[[#This Row],[Gross Sales]]-financials[[#This Row],[Gross Sales]]*financials[[#This Row],[Discounts]]</f>
        <v>453.6</v>
      </c>
      <c r="J3782" s="8">
        <f>VLOOKUP(financials[[#This Row],[productid]],Products!$B$2:$H$10,4)</f>
        <v>16.8</v>
      </c>
      <c r="K3782" s="8">
        <f>financials[[#This Row],[Net Sales]]-financials[[#This Row],[COGS]]</f>
        <v>436.8</v>
      </c>
      <c r="L3782" s="15">
        <v>44001</v>
      </c>
      <c r="M3782" t="s">
        <v>691</v>
      </c>
    </row>
    <row r="3783" spans="1:13" x14ac:dyDescent="0.25">
      <c r="A3783" t="s">
        <v>86</v>
      </c>
      <c r="B3783" s="6" t="s">
        <v>124</v>
      </c>
      <c r="C3783" s="13">
        <v>101</v>
      </c>
      <c r="D3783" s="14" t="s">
        <v>83</v>
      </c>
      <c r="E3783">
        <v>6</v>
      </c>
      <c r="F3783" s="8">
        <f>VLOOKUP(financials[[#This Row],[productid]],Products!$B$2:$H$10,3)</f>
        <v>23</v>
      </c>
      <c r="G3783" s="8">
        <f>financials[[#This Row],[Units Sold]]*financials[[#This Row],[Sale Price]]</f>
        <v>138</v>
      </c>
      <c r="H3783" s="8">
        <f>IF(financials[[#This Row],[Discount Band]]="low",0.1,IF(financials[[#This Row],[Discount Band]]="medium",0.15,0.3))</f>
        <v>0.3</v>
      </c>
      <c r="I3783" s="8">
        <f>financials[[#This Row],[Gross Sales]]-financials[[#This Row],[Gross Sales]]*financials[[#This Row],[Discounts]]</f>
        <v>96.6</v>
      </c>
      <c r="J3783" s="8">
        <f>VLOOKUP(financials[[#This Row],[productid]],Products!$B$2:$H$10,4)</f>
        <v>9.9499999999999993</v>
      </c>
      <c r="K3783" s="8">
        <f>financials[[#This Row],[Net Sales]]-financials[[#This Row],[COGS]]</f>
        <v>86.649999999999991</v>
      </c>
      <c r="L3783" s="15">
        <v>44248</v>
      </c>
      <c r="M3783" t="s">
        <v>691</v>
      </c>
    </row>
    <row r="3784" spans="1:13" x14ac:dyDescent="0.25">
      <c r="A3784" t="s">
        <v>86</v>
      </c>
      <c r="B3784" s="6" t="s">
        <v>158</v>
      </c>
      <c r="C3784" s="13">
        <v>108</v>
      </c>
      <c r="D3784" s="14" t="s">
        <v>90</v>
      </c>
      <c r="E3784">
        <v>8</v>
      </c>
      <c r="F3784" s="8">
        <f>VLOOKUP(financials[[#This Row],[productid]],Products!$B$2:$H$10,3)</f>
        <v>5.5</v>
      </c>
      <c r="G3784" s="8">
        <f>financials[[#This Row],[Units Sold]]*financials[[#This Row],[Sale Price]]</f>
        <v>44</v>
      </c>
      <c r="H3784" s="8">
        <f>IF(financials[[#This Row],[Discount Band]]="low",0.1,IF(financials[[#This Row],[Discount Band]]="medium",0.15,0.3))</f>
        <v>0.15</v>
      </c>
      <c r="I3784" s="8">
        <f>financials[[#This Row],[Gross Sales]]-financials[[#This Row],[Gross Sales]]*financials[[#This Row],[Discounts]]</f>
        <v>37.4</v>
      </c>
      <c r="J3784" s="8">
        <f>VLOOKUP(financials[[#This Row],[productid]],Products!$B$2:$H$10,4)</f>
        <v>3.99</v>
      </c>
      <c r="K3784" s="8">
        <f>financials[[#This Row],[Net Sales]]-financials[[#This Row],[COGS]]</f>
        <v>33.409999999999997</v>
      </c>
      <c r="L3784" s="15">
        <v>44200</v>
      </c>
      <c r="M3784" t="s">
        <v>690</v>
      </c>
    </row>
    <row r="3785" spans="1:13" x14ac:dyDescent="0.25">
      <c r="A3785" t="s">
        <v>86</v>
      </c>
      <c r="B3785" s="6" t="s">
        <v>240</v>
      </c>
      <c r="C3785" s="13">
        <v>106</v>
      </c>
      <c r="D3785" s="14" t="s">
        <v>91</v>
      </c>
      <c r="E3785">
        <v>7</v>
      </c>
      <c r="F3785" s="8">
        <f>VLOOKUP(financials[[#This Row],[productid]],Products!$B$2:$H$10,3)</f>
        <v>25</v>
      </c>
      <c r="G3785" s="8">
        <f>financials[[#This Row],[Units Sold]]*financials[[#This Row],[Sale Price]]</f>
        <v>175</v>
      </c>
      <c r="H3785" s="8">
        <f>IF(financials[[#This Row],[Discount Band]]="low",0.1,IF(financials[[#This Row],[Discount Band]]="medium",0.15,0.3))</f>
        <v>0.1</v>
      </c>
      <c r="I3785" s="8">
        <f>financials[[#This Row],[Gross Sales]]-financials[[#This Row],[Gross Sales]]*financials[[#This Row],[Discounts]]</f>
        <v>157.5</v>
      </c>
      <c r="J3785" s="8">
        <f>VLOOKUP(financials[[#This Row],[productid]],Products!$B$2:$H$10,4)</f>
        <v>9.1</v>
      </c>
      <c r="K3785" s="8">
        <f>financials[[#This Row],[Net Sales]]-financials[[#This Row],[COGS]]</f>
        <v>148.4</v>
      </c>
      <c r="L3785" s="15">
        <v>45027</v>
      </c>
      <c r="M3785" t="s">
        <v>697</v>
      </c>
    </row>
    <row r="3786" spans="1:13" x14ac:dyDescent="0.25">
      <c r="A3786" t="s">
        <v>86</v>
      </c>
      <c r="B3786" s="6" t="s">
        <v>95</v>
      </c>
      <c r="C3786" s="13">
        <v>101</v>
      </c>
      <c r="D3786" s="14" t="s">
        <v>92</v>
      </c>
      <c r="E3786">
        <v>13</v>
      </c>
      <c r="F3786" s="8">
        <f>VLOOKUP(financials[[#This Row],[productid]],Products!$B$2:$H$10,3)</f>
        <v>23</v>
      </c>
      <c r="G3786" s="8">
        <f>financials[[#This Row],[Units Sold]]*financials[[#This Row],[Sale Price]]</f>
        <v>299</v>
      </c>
      <c r="H3786" s="8">
        <f>IF(financials[[#This Row],[Discount Band]]="low",0.1,IF(financials[[#This Row],[Discount Band]]="medium",0.15,0.3))</f>
        <v>0.3</v>
      </c>
      <c r="I3786" s="8">
        <f>financials[[#This Row],[Gross Sales]]-financials[[#This Row],[Gross Sales]]*financials[[#This Row],[Discounts]]</f>
        <v>209.3</v>
      </c>
      <c r="J3786" s="8">
        <f>VLOOKUP(financials[[#This Row],[productid]],Products!$B$2:$H$10,4)</f>
        <v>9.9499999999999993</v>
      </c>
      <c r="K3786" s="8">
        <f>financials[[#This Row],[Net Sales]]-financials[[#This Row],[COGS]]</f>
        <v>199.35000000000002</v>
      </c>
      <c r="L3786" s="15">
        <v>43870</v>
      </c>
      <c r="M3786" t="s">
        <v>696</v>
      </c>
    </row>
    <row r="3787" spans="1:13" x14ac:dyDescent="0.25">
      <c r="A3787" t="s">
        <v>88</v>
      </c>
      <c r="B3787" s="6" t="s">
        <v>93</v>
      </c>
      <c r="C3787" s="11">
        <v>109</v>
      </c>
      <c r="D3787" s="9" t="s">
        <v>91</v>
      </c>
      <c r="E3787">
        <v>10</v>
      </c>
      <c r="F3787" s="8">
        <f>VLOOKUP(financials[[#This Row],[productid]],Products!$B$2:$H$10,3)</f>
        <v>36</v>
      </c>
      <c r="G3787" s="8">
        <f>financials[[#This Row],[Units Sold]]*financials[[#This Row],[Sale Price]]</f>
        <v>360</v>
      </c>
      <c r="H3787" s="8">
        <f>IF(financials[[#This Row],[Discount Band]]="low",0.1,IF(financials[[#This Row],[Discount Band]]="medium",0.15,0.3))</f>
        <v>0.1</v>
      </c>
      <c r="I3787" s="8">
        <f>financials[[#This Row],[Gross Sales]]-financials[[#This Row],[Gross Sales]]*financials[[#This Row],[Discounts]]</f>
        <v>324</v>
      </c>
      <c r="J3787" s="8">
        <f>VLOOKUP(financials[[#This Row],[productid]],Products!$B$2:$H$10,4)</f>
        <v>16.8</v>
      </c>
      <c r="K3787" s="8">
        <f>financials[[#This Row],[Net Sales]]-financials[[#This Row],[COGS]]</f>
        <v>307.2</v>
      </c>
      <c r="L3787" s="15">
        <v>44640</v>
      </c>
      <c r="M3787" t="s">
        <v>690</v>
      </c>
    </row>
    <row r="3788" spans="1:13" x14ac:dyDescent="0.25">
      <c r="A3788" t="s">
        <v>88</v>
      </c>
      <c r="B3788" s="6" t="s">
        <v>205</v>
      </c>
      <c r="C3788" s="11">
        <v>108</v>
      </c>
      <c r="D3788" s="9" t="s">
        <v>83</v>
      </c>
      <c r="E3788">
        <v>14</v>
      </c>
      <c r="F3788" s="8">
        <f>VLOOKUP(financials[[#This Row],[productid]],Products!$B$2:$H$10,3)</f>
        <v>5.5</v>
      </c>
      <c r="G3788" s="8">
        <f>financials[[#This Row],[Units Sold]]*financials[[#This Row],[Sale Price]]</f>
        <v>77</v>
      </c>
      <c r="H3788" s="8">
        <f>IF(financials[[#This Row],[Discount Band]]="low",0.1,IF(financials[[#This Row],[Discount Band]]="medium",0.15,0.3))</f>
        <v>0.3</v>
      </c>
      <c r="I3788" s="8">
        <f>financials[[#This Row],[Gross Sales]]-financials[[#This Row],[Gross Sales]]*financials[[#This Row],[Discounts]]</f>
        <v>53.900000000000006</v>
      </c>
      <c r="J3788" s="8">
        <f>VLOOKUP(financials[[#This Row],[productid]],Products!$B$2:$H$10,4)</f>
        <v>3.99</v>
      </c>
      <c r="K3788" s="8">
        <f>financials[[#This Row],[Net Sales]]-financials[[#This Row],[COGS]]</f>
        <v>49.910000000000004</v>
      </c>
      <c r="L3788" s="15">
        <v>44097</v>
      </c>
      <c r="M3788" t="s">
        <v>700</v>
      </c>
    </row>
    <row r="3789" spans="1:13" x14ac:dyDescent="0.25">
      <c r="A3789" t="s">
        <v>86</v>
      </c>
      <c r="B3789" s="6" t="s">
        <v>274</v>
      </c>
      <c r="C3789" s="13">
        <v>109</v>
      </c>
      <c r="D3789" s="14" t="s">
        <v>90</v>
      </c>
      <c r="E3789">
        <v>8</v>
      </c>
      <c r="F3789" s="8">
        <f>VLOOKUP(financials[[#This Row],[productid]],Products!$B$2:$H$10,3)</f>
        <v>36</v>
      </c>
      <c r="G3789" s="8">
        <f>financials[[#This Row],[Units Sold]]*financials[[#This Row],[Sale Price]]</f>
        <v>288</v>
      </c>
      <c r="H3789" s="8">
        <f>IF(financials[[#This Row],[Discount Band]]="low",0.1,IF(financials[[#This Row],[Discount Band]]="medium",0.15,0.3))</f>
        <v>0.15</v>
      </c>
      <c r="I3789" s="8">
        <f>financials[[#This Row],[Gross Sales]]-financials[[#This Row],[Gross Sales]]*financials[[#This Row],[Discounts]]</f>
        <v>244.8</v>
      </c>
      <c r="J3789" s="8">
        <f>VLOOKUP(financials[[#This Row],[productid]],Products!$B$2:$H$10,4)</f>
        <v>16.8</v>
      </c>
      <c r="K3789" s="8">
        <f>financials[[#This Row],[Net Sales]]-financials[[#This Row],[COGS]]</f>
        <v>228</v>
      </c>
      <c r="L3789" s="15">
        <v>44758</v>
      </c>
      <c r="M3789" t="s">
        <v>691</v>
      </c>
    </row>
    <row r="3790" spans="1:13" x14ac:dyDescent="0.25">
      <c r="A3790" t="s">
        <v>86</v>
      </c>
      <c r="B3790" s="6" t="s">
        <v>94</v>
      </c>
      <c r="C3790" s="13">
        <v>108</v>
      </c>
      <c r="D3790" s="14" t="s">
        <v>90</v>
      </c>
      <c r="E3790">
        <v>14</v>
      </c>
      <c r="F3790" s="8">
        <f>VLOOKUP(financials[[#This Row],[productid]],Products!$B$2:$H$10,3)</f>
        <v>5.5</v>
      </c>
      <c r="G3790" s="8">
        <f>financials[[#This Row],[Units Sold]]*financials[[#This Row],[Sale Price]]</f>
        <v>77</v>
      </c>
      <c r="H3790" s="8">
        <f>IF(financials[[#This Row],[Discount Band]]="low",0.1,IF(financials[[#This Row],[Discount Band]]="medium",0.15,0.3))</f>
        <v>0.15</v>
      </c>
      <c r="I3790" s="8">
        <f>financials[[#This Row],[Gross Sales]]-financials[[#This Row],[Gross Sales]]*financials[[#This Row],[Discounts]]</f>
        <v>65.45</v>
      </c>
      <c r="J3790" s="8">
        <f>VLOOKUP(financials[[#This Row],[productid]],Products!$B$2:$H$10,4)</f>
        <v>3.99</v>
      </c>
      <c r="K3790" s="8">
        <f>financials[[#This Row],[Net Sales]]-financials[[#This Row],[COGS]]</f>
        <v>61.46</v>
      </c>
      <c r="L3790" s="15">
        <v>44234</v>
      </c>
      <c r="M3790" t="s">
        <v>696</v>
      </c>
    </row>
    <row r="3791" spans="1:13" x14ac:dyDescent="0.25">
      <c r="A3791" t="s">
        <v>86</v>
      </c>
      <c r="B3791" s="6" t="s">
        <v>124</v>
      </c>
      <c r="C3791" s="11">
        <v>106</v>
      </c>
      <c r="D3791" s="9" t="s">
        <v>90</v>
      </c>
      <c r="E3791">
        <v>10</v>
      </c>
      <c r="F3791" s="8">
        <f>VLOOKUP(financials[[#This Row],[productid]],Products!$B$2:$H$10,3)</f>
        <v>25</v>
      </c>
      <c r="G3791" s="8">
        <f>financials[[#This Row],[Units Sold]]*financials[[#This Row],[Sale Price]]</f>
        <v>250</v>
      </c>
      <c r="H3791" s="8">
        <f>IF(financials[[#This Row],[Discount Band]]="low",0.1,IF(financials[[#This Row],[Discount Band]]="medium",0.15,0.3))</f>
        <v>0.15</v>
      </c>
      <c r="I3791" s="8">
        <f>financials[[#This Row],[Gross Sales]]-financials[[#This Row],[Gross Sales]]*financials[[#This Row],[Discounts]]</f>
        <v>212.5</v>
      </c>
      <c r="J3791" s="8">
        <f>VLOOKUP(financials[[#This Row],[productid]],Products!$B$2:$H$10,4)</f>
        <v>9.1</v>
      </c>
      <c r="K3791" s="8">
        <f>financials[[#This Row],[Net Sales]]-financials[[#This Row],[COGS]]</f>
        <v>203.4</v>
      </c>
      <c r="L3791" s="15">
        <v>44998</v>
      </c>
      <c r="M3791" t="s">
        <v>690</v>
      </c>
    </row>
    <row r="3792" spans="1:13" x14ac:dyDescent="0.25">
      <c r="A3792" t="s">
        <v>88</v>
      </c>
      <c r="B3792" s="6" t="s">
        <v>93</v>
      </c>
      <c r="C3792" s="11">
        <v>103</v>
      </c>
      <c r="D3792" s="9" t="s">
        <v>83</v>
      </c>
      <c r="E3792">
        <v>17</v>
      </c>
      <c r="F3792" s="8">
        <f>VLOOKUP(financials[[#This Row],[productid]],Products!$B$2:$H$10,3)</f>
        <v>28</v>
      </c>
      <c r="G3792" s="8">
        <f>financials[[#This Row],[Units Sold]]*financials[[#This Row],[Sale Price]]</f>
        <v>476</v>
      </c>
      <c r="H3792" s="8">
        <f>IF(financials[[#This Row],[Discount Band]]="low",0.1,IF(financials[[#This Row],[Discount Band]]="medium",0.15,0.3))</f>
        <v>0.3</v>
      </c>
      <c r="I3792" s="8">
        <f>financials[[#This Row],[Gross Sales]]-financials[[#This Row],[Gross Sales]]*financials[[#This Row],[Discounts]]</f>
        <v>333.20000000000005</v>
      </c>
      <c r="J3792" s="8">
        <f>VLOOKUP(financials[[#This Row],[productid]],Products!$B$2:$H$10,4)</f>
        <v>15</v>
      </c>
      <c r="K3792" s="8">
        <f>financials[[#This Row],[Net Sales]]-financials[[#This Row],[COGS]]</f>
        <v>318.20000000000005</v>
      </c>
      <c r="L3792" s="15">
        <v>44550</v>
      </c>
      <c r="M3792" t="s">
        <v>691</v>
      </c>
    </row>
    <row r="3793" spans="1:13" x14ac:dyDescent="0.25">
      <c r="A3793" t="s">
        <v>88</v>
      </c>
      <c r="B3793" s="6" t="s">
        <v>96</v>
      </c>
      <c r="C3793" s="13">
        <v>103</v>
      </c>
      <c r="D3793" s="14" t="s">
        <v>91</v>
      </c>
      <c r="E3793">
        <v>14</v>
      </c>
      <c r="F3793" s="8">
        <f>VLOOKUP(financials[[#This Row],[productid]],Products!$B$2:$H$10,3)</f>
        <v>28</v>
      </c>
      <c r="G3793" s="8">
        <f>financials[[#This Row],[Units Sold]]*financials[[#This Row],[Sale Price]]</f>
        <v>392</v>
      </c>
      <c r="H3793" s="8">
        <f>IF(financials[[#This Row],[Discount Band]]="low",0.1,IF(financials[[#This Row],[Discount Band]]="medium",0.15,0.3))</f>
        <v>0.1</v>
      </c>
      <c r="I3793" s="8">
        <f>financials[[#This Row],[Gross Sales]]-financials[[#This Row],[Gross Sales]]*financials[[#This Row],[Discounts]]</f>
        <v>352.8</v>
      </c>
      <c r="J3793" s="8">
        <f>VLOOKUP(financials[[#This Row],[productid]],Products!$B$2:$H$10,4)</f>
        <v>15</v>
      </c>
      <c r="K3793" s="8">
        <f>financials[[#This Row],[Net Sales]]-financials[[#This Row],[COGS]]</f>
        <v>337.8</v>
      </c>
      <c r="L3793" s="15">
        <v>44176</v>
      </c>
      <c r="M3793" t="s">
        <v>697</v>
      </c>
    </row>
    <row r="3794" spans="1:13" x14ac:dyDescent="0.25">
      <c r="A3794" t="s">
        <v>86</v>
      </c>
      <c r="B3794" s="6" t="s">
        <v>167</v>
      </c>
      <c r="C3794" s="13">
        <v>105</v>
      </c>
      <c r="D3794" s="14" t="s">
        <v>83</v>
      </c>
      <c r="E3794">
        <v>15</v>
      </c>
      <c r="F3794" s="8">
        <f>VLOOKUP(financials[[#This Row],[productid]],Products!$B$2:$H$10,3)</f>
        <v>15</v>
      </c>
      <c r="G3794" s="8">
        <f>financials[[#This Row],[Units Sold]]*financials[[#This Row],[Sale Price]]</f>
        <v>225</v>
      </c>
      <c r="H3794" s="8">
        <f>IF(financials[[#This Row],[Discount Band]]="low",0.1,IF(financials[[#This Row],[Discount Band]]="medium",0.15,0.3))</f>
        <v>0.3</v>
      </c>
      <c r="I3794" s="8">
        <f>financials[[#This Row],[Gross Sales]]-financials[[#This Row],[Gross Sales]]*financials[[#This Row],[Discounts]]</f>
        <v>157.5</v>
      </c>
      <c r="J3794" s="8">
        <f>VLOOKUP(financials[[#This Row],[productid]],Products!$B$2:$H$10,4)</f>
        <v>10</v>
      </c>
      <c r="K3794" s="8">
        <f>financials[[#This Row],[Net Sales]]-financials[[#This Row],[COGS]]</f>
        <v>147.5</v>
      </c>
      <c r="L3794" s="15">
        <v>44499</v>
      </c>
      <c r="M3794" t="s">
        <v>690</v>
      </c>
    </row>
    <row r="3795" spans="1:13" x14ac:dyDescent="0.25">
      <c r="A3795" t="s">
        <v>88</v>
      </c>
      <c r="B3795" s="6" t="s">
        <v>96</v>
      </c>
      <c r="C3795" s="13">
        <v>105</v>
      </c>
      <c r="D3795" s="14" t="s">
        <v>90</v>
      </c>
      <c r="E3795">
        <v>15</v>
      </c>
      <c r="F3795" s="8">
        <f>VLOOKUP(financials[[#This Row],[productid]],Products!$B$2:$H$10,3)</f>
        <v>15</v>
      </c>
      <c r="G3795" s="8">
        <f>financials[[#This Row],[Units Sold]]*financials[[#This Row],[Sale Price]]</f>
        <v>225</v>
      </c>
      <c r="H3795" s="8">
        <f>IF(financials[[#This Row],[Discount Band]]="low",0.1,IF(financials[[#This Row],[Discount Band]]="medium",0.15,0.3))</f>
        <v>0.15</v>
      </c>
      <c r="I3795" s="8">
        <f>financials[[#This Row],[Gross Sales]]-financials[[#This Row],[Gross Sales]]*financials[[#This Row],[Discounts]]</f>
        <v>191.25</v>
      </c>
      <c r="J3795" s="8">
        <f>VLOOKUP(financials[[#This Row],[productid]],Products!$B$2:$H$10,4)</f>
        <v>10</v>
      </c>
      <c r="K3795" s="8">
        <f>financials[[#This Row],[Net Sales]]-financials[[#This Row],[COGS]]</f>
        <v>181.25</v>
      </c>
      <c r="L3795" s="15">
        <v>44527</v>
      </c>
      <c r="M3795" t="s">
        <v>696</v>
      </c>
    </row>
    <row r="3796" spans="1:13" x14ac:dyDescent="0.25">
      <c r="A3796" t="s">
        <v>88</v>
      </c>
      <c r="B3796" s="6" t="s">
        <v>94</v>
      </c>
      <c r="C3796" s="13">
        <v>106</v>
      </c>
      <c r="D3796" s="14" t="s">
        <v>83</v>
      </c>
      <c r="E3796">
        <v>10</v>
      </c>
      <c r="F3796" s="8">
        <f>VLOOKUP(financials[[#This Row],[productid]],Products!$B$2:$H$10,3)</f>
        <v>25</v>
      </c>
      <c r="G3796" s="8">
        <f>financials[[#This Row],[Units Sold]]*financials[[#This Row],[Sale Price]]</f>
        <v>250</v>
      </c>
      <c r="H3796" s="8">
        <f>IF(financials[[#This Row],[Discount Band]]="low",0.1,IF(financials[[#This Row],[Discount Band]]="medium",0.15,0.3))</f>
        <v>0.3</v>
      </c>
      <c r="I3796" s="8">
        <f>financials[[#This Row],[Gross Sales]]-financials[[#This Row],[Gross Sales]]*financials[[#This Row],[Discounts]]</f>
        <v>175</v>
      </c>
      <c r="J3796" s="8">
        <f>VLOOKUP(financials[[#This Row],[productid]],Products!$B$2:$H$10,4)</f>
        <v>9.1</v>
      </c>
      <c r="K3796" s="8">
        <f>financials[[#This Row],[Net Sales]]-financials[[#This Row],[COGS]]</f>
        <v>165.9</v>
      </c>
      <c r="L3796" s="15">
        <v>43911</v>
      </c>
      <c r="M3796" t="s">
        <v>690</v>
      </c>
    </row>
    <row r="3797" spans="1:13" x14ac:dyDescent="0.25">
      <c r="A3797" t="s">
        <v>88</v>
      </c>
      <c r="B3797" s="6" t="s">
        <v>232</v>
      </c>
      <c r="C3797" s="11">
        <v>103</v>
      </c>
      <c r="D3797" s="9" t="s">
        <v>83</v>
      </c>
      <c r="E3797">
        <v>5</v>
      </c>
      <c r="F3797" s="8">
        <f>VLOOKUP(financials[[#This Row],[productid]],Products!$B$2:$H$10,3)</f>
        <v>28</v>
      </c>
      <c r="G3797" s="8">
        <f>financials[[#This Row],[Units Sold]]*financials[[#This Row],[Sale Price]]</f>
        <v>140</v>
      </c>
      <c r="H3797" s="8">
        <f>IF(financials[[#This Row],[Discount Band]]="low",0.1,IF(financials[[#This Row],[Discount Band]]="medium",0.15,0.3))</f>
        <v>0.3</v>
      </c>
      <c r="I3797" s="8">
        <f>financials[[#This Row],[Gross Sales]]-financials[[#This Row],[Gross Sales]]*financials[[#This Row],[Discounts]]</f>
        <v>98</v>
      </c>
      <c r="J3797" s="8">
        <f>VLOOKUP(financials[[#This Row],[productid]],Products!$B$2:$H$10,4)</f>
        <v>15</v>
      </c>
      <c r="K3797" s="8">
        <f>financials[[#This Row],[Net Sales]]-financials[[#This Row],[COGS]]</f>
        <v>83</v>
      </c>
      <c r="L3797" s="15">
        <v>44601</v>
      </c>
      <c r="M3797" t="s">
        <v>690</v>
      </c>
    </row>
    <row r="3798" spans="1:13" x14ac:dyDescent="0.25">
      <c r="A3798" t="s">
        <v>86</v>
      </c>
      <c r="B3798" s="6" t="s">
        <v>96</v>
      </c>
      <c r="C3798" s="13">
        <v>109</v>
      </c>
      <c r="D3798" s="14" t="s">
        <v>83</v>
      </c>
      <c r="E3798">
        <v>5</v>
      </c>
      <c r="F3798" s="8">
        <f>VLOOKUP(financials[[#This Row],[productid]],Products!$B$2:$H$10,3)</f>
        <v>36</v>
      </c>
      <c r="G3798" s="8">
        <f>financials[[#This Row],[Units Sold]]*financials[[#This Row],[Sale Price]]</f>
        <v>180</v>
      </c>
      <c r="H3798" s="8">
        <f>IF(financials[[#This Row],[Discount Band]]="low",0.1,IF(financials[[#This Row],[Discount Band]]="medium",0.15,0.3))</f>
        <v>0.3</v>
      </c>
      <c r="I3798" s="8">
        <f>financials[[#This Row],[Gross Sales]]-financials[[#This Row],[Gross Sales]]*financials[[#This Row],[Discounts]]</f>
        <v>126</v>
      </c>
      <c r="J3798" s="8">
        <f>VLOOKUP(financials[[#This Row],[productid]],Products!$B$2:$H$10,4)</f>
        <v>16.8</v>
      </c>
      <c r="K3798" s="8">
        <f>financials[[#This Row],[Net Sales]]-financials[[#This Row],[COGS]]</f>
        <v>109.2</v>
      </c>
      <c r="L3798" s="15">
        <v>45376</v>
      </c>
      <c r="M3798" t="s">
        <v>697</v>
      </c>
    </row>
    <row r="3799" spans="1:13" x14ac:dyDescent="0.25">
      <c r="A3799" t="s">
        <v>86</v>
      </c>
      <c r="B3799" s="6" t="s">
        <v>228</v>
      </c>
      <c r="C3799" s="13">
        <v>103</v>
      </c>
      <c r="D3799" s="14" t="s">
        <v>91</v>
      </c>
      <c r="E3799">
        <v>14</v>
      </c>
      <c r="F3799" s="8">
        <f>VLOOKUP(financials[[#This Row],[productid]],Products!$B$2:$H$10,3)</f>
        <v>28</v>
      </c>
      <c r="G3799" s="8">
        <f>financials[[#This Row],[Units Sold]]*financials[[#This Row],[Sale Price]]</f>
        <v>392</v>
      </c>
      <c r="H3799" s="8">
        <f>IF(financials[[#This Row],[Discount Band]]="low",0.1,IF(financials[[#This Row],[Discount Band]]="medium",0.15,0.3))</f>
        <v>0.1</v>
      </c>
      <c r="I3799" s="8">
        <f>financials[[#This Row],[Gross Sales]]-financials[[#This Row],[Gross Sales]]*financials[[#This Row],[Discounts]]</f>
        <v>352.8</v>
      </c>
      <c r="J3799" s="8">
        <f>VLOOKUP(financials[[#This Row],[productid]],Products!$B$2:$H$10,4)</f>
        <v>15</v>
      </c>
      <c r="K3799" s="8">
        <f>financials[[#This Row],[Net Sales]]-financials[[#This Row],[COGS]]</f>
        <v>337.8</v>
      </c>
      <c r="L3799" s="15">
        <v>43922</v>
      </c>
      <c r="M3799" t="s">
        <v>700</v>
      </c>
    </row>
    <row r="3800" spans="1:13" x14ac:dyDescent="0.25">
      <c r="A3800" t="s">
        <v>88</v>
      </c>
      <c r="B3800" s="6" t="s">
        <v>232</v>
      </c>
      <c r="C3800" s="13">
        <v>105</v>
      </c>
      <c r="D3800" s="14" t="s">
        <v>90</v>
      </c>
      <c r="E3800">
        <v>12</v>
      </c>
      <c r="F3800" s="8">
        <f>VLOOKUP(financials[[#This Row],[productid]],Products!$B$2:$H$10,3)</f>
        <v>15</v>
      </c>
      <c r="G3800" s="8">
        <f>financials[[#This Row],[Units Sold]]*financials[[#This Row],[Sale Price]]</f>
        <v>180</v>
      </c>
      <c r="H3800" s="8">
        <f>IF(financials[[#This Row],[Discount Band]]="low",0.1,IF(financials[[#This Row],[Discount Band]]="medium",0.15,0.3))</f>
        <v>0.15</v>
      </c>
      <c r="I3800" s="8">
        <f>financials[[#This Row],[Gross Sales]]-financials[[#This Row],[Gross Sales]]*financials[[#This Row],[Discounts]]</f>
        <v>153</v>
      </c>
      <c r="J3800" s="8">
        <f>VLOOKUP(financials[[#This Row],[productid]],Products!$B$2:$H$10,4)</f>
        <v>10</v>
      </c>
      <c r="K3800" s="8">
        <f>financials[[#This Row],[Net Sales]]-financials[[#This Row],[COGS]]</f>
        <v>143</v>
      </c>
      <c r="L3800" s="15">
        <v>44010</v>
      </c>
      <c r="M3800" t="s">
        <v>691</v>
      </c>
    </row>
    <row r="3801" spans="1:13" x14ac:dyDescent="0.25">
      <c r="A3801" t="s">
        <v>88</v>
      </c>
      <c r="B3801" s="6" t="s">
        <v>274</v>
      </c>
      <c r="C3801" s="13">
        <v>104</v>
      </c>
      <c r="D3801" s="14" t="s">
        <v>90</v>
      </c>
      <c r="E3801">
        <v>18</v>
      </c>
      <c r="F3801" s="8">
        <f>VLOOKUP(financials[[#This Row],[productid]],Products!$B$2:$H$10,3)</f>
        <v>5.9</v>
      </c>
      <c r="G3801" s="8">
        <f>financials[[#This Row],[Units Sold]]*financials[[#This Row],[Sale Price]]</f>
        <v>106.2</v>
      </c>
      <c r="H3801" s="8">
        <f>IF(financials[[#This Row],[Discount Band]]="low",0.1,IF(financials[[#This Row],[Discount Band]]="medium",0.15,0.3))</f>
        <v>0.15</v>
      </c>
      <c r="I3801" s="8">
        <f>financials[[#This Row],[Gross Sales]]-financials[[#This Row],[Gross Sales]]*financials[[#This Row],[Discounts]]</f>
        <v>90.27000000000001</v>
      </c>
      <c r="J3801" s="8">
        <f>VLOOKUP(financials[[#This Row],[productid]],Products!$B$2:$H$10,4)</f>
        <v>2.9</v>
      </c>
      <c r="K3801" s="8">
        <f>financials[[#This Row],[Net Sales]]-financials[[#This Row],[COGS]]</f>
        <v>87.37</v>
      </c>
      <c r="L3801" s="15">
        <v>44399</v>
      </c>
      <c r="M3801" t="s">
        <v>690</v>
      </c>
    </row>
    <row r="3802" spans="1:13" x14ac:dyDescent="0.25">
      <c r="A3802" t="s">
        <v>88</v>
      </c>
      <c r="B3802" s="6" t="s">
        <v>148</v>
      </c>
      <c r="C3802" s="13">
        <v>109</v>
      </c>
      <c r="D3802" s="14" t="s">
        <v>83</v>
      </c>
      <c r="E3802">
        <v>11</v>
      </c>
      <c r="F3802" s="8">
        <f>VLOOKUP(financials[[#This Row],[productid]],Products!$B$2:$H$10,3)</f>
        <v>36</v>
      </c>
      <c r="G3802" s="8">
        <f>financials[[#This Row],[Units Sold]]*financials[[#This Row],[Sale Price]]</f>
        <v>396</v>
      </c>
      <c r="H3802" s="8">
        <f>IF(financials[[#This Row],[Discount Band]]="low",0.1,IF(financials[[#This Row],[Discount Band]]="medium",0.15,0.3))</f>
        <v>0.3</v>
      </c>
      <c r="I3802" s="8">
        <f>financials[[#This Row],[Gross Sales]]-financials[[#This Row],[Gross Sales]]*financials[[#This Row],[Discounts]]</f>
        <v>277.2</v>
      </c>
      <c r="J3802" s="8">
        <f>VLOOKUP(financials[[#This Row],[productid]],Products!$B$2:$H$10,4)</f>
        <v>16.8</v>
      </c>
      <c r="K3802" s="8">
        <f>financials[[#This Row],[Net Sales]]-financials[[#This Row],[COGS]]</f>
        <v>260.39999999999998</v>
      </c>
      <c r="L3802" s="15">
        <v>45637</v>
      </c>
      <c r="M3802" t="s">
        <v>691</v>
      </c>
    </row>
    <row r="3803" spans="1:13" x14ac:dyDescent="0.25">
      <c r="A3803" t="s">
        <v>86</v>
      </c>
      <c r="B3803" s="6" t="s">
        <v>274</v>
      </c>
      <c r="C3803" s="13">
        <v>105</v>
      </c>
      <c r="D3803" s="14" t="s">
        <v>90</v>
      </c>
      <c r="E3803">
        <v>14</v>
      </c>
      <c r="F3803" s="8">
        <f>VLOOKUP(financials[[#This Row],[productid]],Products!$B$2:$H$10,3)</f>
        <v>15</v>
      </c>
      <c r="G3803" s="8">
        <f>financials[[#This Row],[Units Sold]]*financials[[#This Row],[Sale Price]]</f>
        <v>210</v>
      </c>
      <c r="H3803" s="8">
        <f>IF(financials[[#This Row],[Discount Band]]="low",0.1,IF(financials[[#This Row],[Discount Band]]="medium",0.15,0.3))</f>
        <v>0.15</v>
      </c>
      <c r="I3803" s="8">
        <f>financials[[#This Row],[Gross Sales]]-financials[[#This Row],[Gross Sales]]*financials[[#This Row],[Discounts]]</f>
        <v>178.5</v>
      </c>
      <c r="J3803" s="8">
        <f>VLOOKUP(financials[[#This Row],[productid]],Products!$B$2:$H$10,4)</f>
        <v>10</v>
      </c>
      <c r="K3803" s="8">
        <f>financials[[#This Row],[Net Sales]]-financials[[#This Row],[COGS]]</f>
        <v>168.5</v>
      </c>
      <c r="L3803" s="15">
        <v>45401</v>
      </c>
      <c r="M3803" t="s">
        <v>690</v>
      </c>
    </row>
    <row r="3804" spans="1:13" x14ac:dyDescent="0.25">
      <c r="A3804" t="s">
        <v>86</v>
      </c>
      <c r="B3804" s="6" t="s">
        <v>232</v>
      </c>
      <c r="C3804" s="13">
        <v>106</v>
      </c>
      <c r="D3804" s="14" t="s">
        <v>91</v>
      </c>
      <c r="E3804">
        <v>15</v>
      </c>
      <c r="F3804" s="8">
        <f>VLOOKUP(financials[[#This Row],[productid]],Products!$B$2:$H$10,3)</f>
        <v>25</v>
      </c>
      <c r="G3804" s="8">
        <f>financials[[#This Row],[Units Sold]]*financials[[#This Row],[Sale Price]]</f>
        <v>375</v>
      </c>
      <c r="H3804" s="8">
        <f>IF(financials[[#This Row],[Discount Band]]="low",0.1,IF(financials[[#This Row],[Discount Band]]="medium",0.15,0.3))</f>
        <v>0.1</v>
      </c>
      <c r="I3804" s="8">
        <f>financials[[#This Row],[Gross Sales]]-financials[[#This Row],[Gross Sales]]*financials[[#This Row],[Discounts]]</f>
        <v>337.5</v>
      </c>
      <c r="J3804" s="8">
        <f>VLOOKUP(financials[[#This Row],[productid]],Products!$B$2:$H$10,4)</f>
        <v>9.1</v>
      </c>
      <c r="K3804" s="8">
        <f>financials[[#This Row],[Net Sales]]-financials[[#This Row],[COGS]]</f>
        <v>328.4</v>
      </c>
      <c r="L3804" s="15">
        <v>43846</v>
      </c>
      <c r="M3804" t="s">
        <v>696</v>
      </c>
    </row>
    <row r="3805" spans="1:13" x14ac:dyDescent="0.25">
      <c r="A3805" t="s">
        <v>88</v>
      </c>
      <c r="B3805" s="6" t="s">
        <v>93</v>
      </c>
      <c r="C3805" s="13">
        <v>103</v>
      </c>
      <c r="D3805" s="14" t="s">
        <v>91</v>
      </c>
      <c r="E3805">
        <v>12</v>
      </c>
      <c r="F3805" s="8">
        <f>VLOOKUP(financials[[#This Row],[productid]],Products!$B$2:$H$10,3)</f>
        <v>28</v>
      </c>
      <c r="G3805" s="8">
        <f>financials[[#This Row],[Units Sold]]*financials[[#This Row],[Sale Price]]</f>
        <v>336</v>
      </c>
      <c r="H3805" s="8">
        <f>IF(financials[[#This Row],[Discount Band]]="low",0.1,IF(financials[[#This Row],[Discount Band]]="medium",0.15,0.3))</f>
        <v>0.1</v>
      </c>
      <c r="I3805" s="8">
        <f>financials[[#This Row],[Gross Sales]]-financials[[#This Row],[Gross Sales]]*financials[[#This Row],[Discounts]]</f>
        <v>302.39999999999998</v>
      </c>
      <c r="J3805" s="8">
        <f>VLOOKUP(financials[[#This Row],[productid]],Products!$B$2:$H$10,4)</f>
        <v>15</v>
      </c>
      <c r="K3805" s="8">
        <f>financials[[#This Row],[Net Sales]]-financials[[#This Row],[COGS]]</f>
        <v>287.39999999999998</v>
      </c>
      <c r="L3805" s="15">
        <v>44982</v>
      </c>
      <c r="M3805" t="s">
        <v>697</v>
      </c>
    </row>
    <row r="3806" spans="1:13" x14ac:dyDescent="0.25">
      <c r="A3806" t="s">
        <v>86</v>
      </c>
      <c r="B3806" s="6" t="s">
        <v>158</v>
      </c>
      <c r="C3806" s="13">
        <v>104</v>
      </c>
      <c r="D3806" s="14" t="s">
        <v>83</v>
      </c>
      <c r="E3806">
        <v>7</v>
      </c>
      <c r="F3806" s="8">
        <f>VLOOKUP(financials[[#This Row],[productid]],Products!$B$2:$H$10,3)</f>
        <v>5.9</v>
      </c>
      <c r="G3806" s="8">
        <f>financials[[#This Row],[Units Sold]]*financials[[#This Row],[Sale Price]]</f>
        <v>41.300000000000004</v>
      </c>
      <c r="H3806" s="8">
        <f>IF(financials[[#This Row],[Discount Band]]="low",0.1,IF(financials[[#This Row],[Discount Band]]="medium",0.15,0.3))</f>
        <v>0.3</v>
      </c>
      <c r="I3806" s="8">
        <f>financials[[#This Row],[Gross Sales]]-financials[[#This Row],[Gross Sales]]*financials[[#This Row],[Discounts]]</f>
        <v>28.910000000000004</v>
      </c>
      <c r="J3806" s="8">
        <f>VLOOKUP(financials[[#This Row],[productid]],Products!$B$2:$H$10,4)</f>
        <v>2.9</v>
      </c>
      <c r="K3806" s="8">
        <f>financials[[#This Row],[Net Sales]]-financials[[#This Row],[COGS]]</f>
        <v>26.010000000000005</v>
      </c>
      <c r="L3806" s="15">
        <v>44796</v>
      </c>
      <c r="M3806" t="s">
        <v>691</v>
      </c>
    </row>
    <row r="3807" spans="1:13" x14ac:dyDescent="0.25">
      <c r="A3807" t="s">
        <v>86</v>
      </c>
      <c r="B3807" s="6" t="s">
        <v>124</v>
      </c>
      <c r="C3807" s="13">
        <v>105</v>
      </c>
      <c r="D3807" s="14" t="s">
        <v>83</v>
      </c>
      <c r="E3807">
        <v>18</v>
      </c>
      <c r="F3807" s="8">
        <f>VLOOKUP(financials[[#This Row],[productid]],Products!$B$2:$H$10,3)</f>
        <v>15</v>
      </c>
      <c r="G3807" s="8">
        <f>financials[[#This Row],[Units Sold]]*financials[[#This Row],[Sale Price]]</f>
        <v>270</v>
      </c>
      <c r="H3807" s="8">
        <f>IF(financials[[#This Row],[Discount Band]]="low",0.1,IF(financials[[#This Row],[Discount Band]]="medium",0.15,0.3))</f>
        <v>0.3</v>
      </c>
      <c r="I3807" s="8">
        <f>financials[[#This Row],[Gross Sales]]-financials[[#This Row],[Gross Sales]]*financials[[#This Row],[Discounts]]</f>
        <v>189</v>
      </c>
      <c r="J3807" s="8">
        <f>VLOOKUP(financials[[#This Row],[productid]],Products!$B$2:$H$10,4)</f>
        <v>10</v>
      </c>
      <c r="K3807" s="8">
        <f>financials[[#This Row],[Net Sales]]-financials[[#This Row],[COGS]]</f>
        <v>179</v>
      </c>
      <c r="L3807" s="15">
        <v>44174</v>
      </c>
      <c r="M3807" t="s">
        <v>696</v>
      </c>
    </row>
    <row r="3808" spans="1:13" x14ac:dyDescent="0.25">
      <c r="A3808" t="s">
        <v>88</v>
      </c>
      <c r="B3808" s="6" t="s">
        <v>232</v>
      </c>
      <c r="C3808" s="13">
        <v>102</v>
      </c>
      <c r="D3808" s="14" t="s">
        <v>83</v>
      </c>
      <c r="E3808">
        <v>16</v>
      </c>
      <c r="F3808" s="8">
        <f>VLOOKUP(financials[[#This Row],[productid]],Products!$B$2:$H$10,3)</f>
        <v>15</v>
      </c>
      <c r="G3808" s="8">
        <f>financials[[#This Row],[Units Sold]]*financials[[#This Row],[Sale Price]]</f>
        <v>240</v>
      </c>
      <c r="H3808" s="8">
        <f>IF(financials[[#This Row],[Discount Band]]="low",0.1,IF(financials[[#This Row],[Discount Band]]="medium",0.15,0.3))</f>
        <v>0.3</v>
      </c>
      <c r="I3808" s="8">
        <f>financials[[#This Row],[Gross Sales]]-financials[[#This Row],[Gross Sales]]*financials[[#This Row],[Discounts]]</f>
        <v>168</v>
      </c>
      <c r="J3808" s="8">
        <f>VLOOKUP(financials[[#This Row],[productid]],Products!$B$2:$H$10,4)</f>
        <v>13.95</v>
      </c>
      <c r="K3808" s="8">
        <f>financials[[#This Row],[Net Sales]]-financials[[#This Row],[COGS]]</f>
        <v>154.05000000000001</v>
      </c>
      <c r="L3808" s="15">
        <v>44439</v>
      </c>
      <c r="M3808" t="s">
        <v>690</v>
      </c>
    </row>
    <row r="3809" spans="1:13" x14ac:dyDescent="0.25">
      <c r="A3809" t="s">
        <v>86</v>
      </c>
      <c r="B3809" s="6" t="s">
        <v>158</v>
      </c>
      <c r="C3809" s="13">
        <v>109</v>
      </c>
      <c r="D3809" s="14" t="s">
        <v>91</v>
      </c>
      <c r="E3809">
        <v>11</v>
      </c>
      <c r="F3809" s="8">
        <f>VLOOKUP(financials[[#This Row],[productid]],Products!$B$2:$H$10,3)</f>
        <v>36</v>
      </c>
      <c r="G3809" s="8">
        <f>financials[[#This Row],[Units Sold]]*financials[[#This Row],[Sale Price]]</f>
        <v>396</v>
      </c>
      <c r="H3809" s="8">
        <f>IF(financials[[#This Row],[Discount Band]]="low",0.1,IF(financials[[#This Row],[Discount Band]]="medium",0.15,0.3))</f>
        <v>0.1</v>
      </c>
      <c r="I3809" s="8">
        <f>financials[[#This Row],[Gross Sales]]-financials[[#This Row],[Gross Sales]]*financials[[#This Row],[Discounts]]</f>
        <v>356.4</v>
      </c>
      <c r="J3809" s="8">
        <f>VLOOKUP(financials[[#This Row],[productid]],Products!$B$2:$H$10,4)</f>
        <v>16.8</v>
      </c>
      <c r="K3809" s="8">
        <f>financials[[#This Row],[Net Sales]]-financials[[#This Row],[COGS]]</f>
        <v>339.59999999999997</v>
      </c>
      <c r="L3809" s="15">
        <v>44557</v>
      </c>
      <c r="M3809" t="s">
        <v>696</v>
      </c>
    </row>
    <row r="3810" spans="1:13" x14ac:dyDescent="0.25">
      <c r="A3810" t="s">
        <v>86</v>
      </c>
      <c r="B3810" s="6" t="s">
        <v>148</v>
      </c>
      <c r="C3810" s="13">
        <v>109</v>
      </c>
      <c r="D3810" s="14" t="s">
        <v>90</v>
      </c>
      <c r="E3810">
        <v>16</v>
      </c>
      <c r="F3810" s="8">
        <f>VLOOKUP(financials[[#This Row],[productid]],Products!$B$2:$H$10,3)</f>
        <v>36</v>
      </c>
      <c r="G3810" s="8">
        <f>financials[[#This Row],[Units Sold]]*financials[[#This Row],[Sale Price]]</f>
        <v>576</v>
      </c>
      <c r="H3810" s="8">
        <f>IF(financials[[#This Row],[Discount Band]]="low",0.1,IF(financials[[#This Row],[Discount Band]]="medium",0.15,0.3))</f>
        <v>0.15</v>
      </c>
      <c r="I3810" s="8">
        <f>financials[[#This Row],[Gross Sales]]-financials[[#This Row],[Gross Sales]]*financials[[#This Row],[Discounts]]</f>
        <v>489.6</v>
      </c>
      <c r="J3810" s="8">
        <f>VLOOKUP(financials[[#This Row],[productid]],Products!$B$2:$H$10,4)</f>
        <v>16.8</v>
      </c>
      <c r="K3810" s="8">
        <f>financials[[#This Row],[Net Sales]]-financials[[#This Row],[COGS]]</f>
        <v>472.8</v>
      </c>
      <c r="L3810" s="15">
        <v>44310</v>
      </c>
      <c r="M3810" t="s">
        <v>691</v>
      </c>
    </row>
    <row r="3811" spans="1:13" x14ac:dyDescent="0.25">
      <c r="A3811" t="s">
        <v>86</v>
      </c>
      <c r="B3811" s="6" t="s">
        <v>645</v>
      </c>
      <c r="C3811" s="13">
        <v>108</v>
      </c>
      <c r="D3811" s="14" t="s">
        <v>91</v>
      </c>
      <c r="E3811">
        <v>20</v>
      </c>
      <c r="F3811" s="8">
        <f>VLOOKUP(financials[[#This Row],[productid]],Products!$B$2:$H$10,3)</f>
        <v>5.5</v>
      </c>
      <c r="G3811" s="8">
        <f>financials[[#This Row],[Units Sold]]*financials[[#This Row],[Sale Price]]</f>
        <v>110</v>
      </c>
      <c r="H3811" s="8">
        <f>IF(financials[[#This Row],[Discount Band]]="low",0.1,IF(financials[[#This Row],[Discount Band]]="medium",0.15,0.3))</f>
        <v>0.1</v>
      </c>
      <c r="I3811" s="8">
        <f>financials[[#This Row],[Gross Sales]]-financials[[#This Row],[Gross Sales]]*financials[[#This Row],[Discounts]]</f>
        <v>99</v>
      </c>
      <c r="J3811" s="8">
        <f>VLOOKUP(financials[[#This Row],[productid]],Products!$B$2:$H$10,4)</f>
        <v>3.99</v>
      </c>
      <c r="K3811" s="8">
        <f>financials[[#This Row],[Net Sales]]-financials[[#This Row],[COGS]]</f>
        <v>95.01</v>
      </c>
      <c r="L3811" s="15">
        <v>45152</v>
      </c>
      <c r="M3811" t="s">
        <v>690</v>
      </c>
    </row>
    <row r="3812" spans="1:13" x14ac:dyDescent="0.25">
      <c r="A3812" t="s">
        <v>86</v>
      </c>
      <c r="B3812" s="6" t="s">
        <v>232</v>
      </c>
      <c r="C3812" s="11">
        <v>106</v>
      </c>
      <c r="D3812" s="9" t="s">
        <v>91</v>
      </c>
      <c r="E3812">
        <v>6</v>
      </c>
      <c r="F3812" s="8">
        <f>VLOOKUP(financials[[#This Row],[productid]],Products!$B$2:$H$10,3)</f>
        <v>25</v>
      </c>
      <c r="G3812" s="8">
        <f>financials[[#This Row],[Units Sold]]*financials[[#This Row],[Sale Price]]</f>
        <v>150</v>
      </c>
      <c r="H3812" s="8">
        <f>IF(financials[[#This Row],[Discount Band]]="low",0.1,IF(financials[[#This Row],[Discount Band]]="medium",0.15,0.3))</f>
        <v>0.1</v>
      </c>
      <c r="I3812" s="8">
        <f>financials[[#This Row],[Gross Sales]]-financials[[#This Row],[Gross Sales]]*financials[[#This Row],[Discounts]]</f>
        <v>135</v>
      </c>
      <c r="J3812" s="8">
        <f>VLOOKUP(financials[[#This Row],[productid]],Products!$B$2:$H$10,4)</f>
        <v>9.1</v>
      </c>
      <c r="K3812" s="8">
        <f>financials[[#This Row],[Net Sales]]-financials[[#This Row],[COGS]]</f>
        <v>125.9</v>
      </c>
      <c r="L3812" s="15">
        <v>45102</v>
      </c>
      <c r="M3812" t="s">
        <v>696</v>
      </c>
    </row>
    <row r="3813" spans="1:13" x14ac:dyDescent="0.25">
      <c r="A3813" t="s">
        <v>86</v>
      </c>
      <c r="B3813" s="6" t="s">
        <v>205</v>
      </c>
      <c r="C3813" s="13">
        <v>102</v>
      </c>
      <c r="D3813" s="14" t="s">
        <v>91</v>
      </c>
      <c r="E3813">
        <v>14</v>
      </c>
      <c r="F3813" s="8">
        <f>VLOOKUP(financials[[#This Row],[productid]],Products!$B$2:$H$10,3)</f>
        <v>15</v>
      </c>
      <c r="G3813" s="8">
        <f>financials[[#This Row],[Units Sold]]*financials[[#This Row],[Sale Price]]</f>
        <v>210</v>
      </c>
      <c r="H3813" s="8">
        <f>IF(financials[[#This Row],[Discount Band]]="low",0.1,IF(financials[[#This Row],[Discount Band]]="medium",0.15,0.3))</f>
        <v>0.1</v>
      </c>
      <c r="I3813" s="8">
        <f>financials[[#This Row],[Gross Sales]]-financials[[#This Row],[Gross Sales]]*financials[[#This Row],[Discounts]]</f>
        <v>189</v>
      </c>
      <c r="J3813" s="8">
        <f>VLOOKUP(financials[[#This Row],[productid]],Products!$B$2:$H$10,4)</f>
        <v>13.95</v>
      </c>
      <c r="K3813" s="8">
        <f>financials[[#This Row],[Net Sales]]-financials[[#This Row],[COGS]]</f>
        <v>175.05</v>
      </c>
      <c r="L3813" s="15">
        <v>43974</v>
      </c>
      <c r="M3813" t="s">
        <v>691</v>
      </c>
    </row>
    <row r="3814" spans="1:13" x14ac:dyDescent="0.25">
      <c r="A3814" t="s">
        <v>86</v>
      </c>
      <c r="B3814" s="6" t="s">
        <v>158</v>
      </c>
      <c r="C3814" s="13">
        <v>103</v>
      </c>
      <c r="D3814" s="14" t="s">
        <v>83</v>
      </c>
      <c r="E3814">
        <v>19</v>
      </c>
      <c r="F3814" s="8">
        <f>VLOOKUP(financials[[#This Row],[productid]],Products!$B$2:$H$10,3)</f>
        <v>28</v>
      </c>
      <c r="G3814" s="8">
        <f>financials[[#This Row],[Units Sold]]*financials[[#This Row],[Sale Price]]</f>
        <v>532</v>
      </c>
      <c r="H3814" s="8">
        <f>IF(financials[[#This Row],[Discount Band]]="low",0.1,IF(financials[[#This Row],[Discount Band]]="medium",0.15,0.3))</f>
        <v>0.3</v>
      </c>
      <c r="I3814" s="8">
        <f>financials[[#This Row],[Gross Sales]]-financials[[#This Row],[Gross Sales]]*financials[[#This Row],[Discounts]]</f>
        <v>372.4</v>
      </c>
      <c r="J3814" s="8">
        <f>VLOOKUP(financials[[#This Row],[productid]],Products!$B$2:$H$10,4)</f>
        <v>15</v>
      </c>
      <c r="K3814" s="8">
        <f>financials[[#This Row],[Net Sales]]-financials[[#This Row],[COGS]]</f>
        <v>357.4</v>
      </c>
      <c r="L3814" s="15">
        <v>43888</v>
      </c>
      <c r="M3814" t="s">
        <v>696</v>
      </c>
    </row>
    <row r="3815" spans="1:13" x14ac:dyDescent="0.25">
      <c r="A3815" t="s">
        <v>86</v>
      </c>
      <c r="B3815" s="6" t="s">
        <v>228</v>
      </c>
      <c r="C3815" s="13">
        <v>103</v>
      </c>
      <c r="D3815" s="14" t="s">
        <v>90</v>
      </c>
      <c r="E3815">
        <v>18</v>
      </c>
      <c r="F3815" s="8">
        <f>VLOOKUP(financials[[#This Row],[productid]],Products!$B$2:$H$10,3)</f>
        <v>28</v>
      </c>
      <c r="G3815" s="8">
        <f>financials[[#This Row],[Units Sold]]*financials[[#This Row],[Sale Price]]</f>
        <v>504</v>
      </c>
      <c r="H3815" s="8">
        <f>IF(financials[[#This Row],[Discount Band]]="low",0.1,IF(financials[[#This Row],[Discount Band]]="medium",0.15,0.3))</f>
        <v>0.15</v>
      </c>
      <c r="I3815" s="8">
        <f>financials[[#This Row],[Gross Sales]]-financials[[#This Row],[Gross Sales]]*financials[[#This Row],[Discounts]]</f>
        <v>428.4</v>
      </c>
      <c r="J3815" s="8">
        <f>VLOOKUP(financials[[#This Row],[productid]],Products!$B$2:$H$10,4)</f>
        <v>15</v>
      </c>
      <c r="K3815" s="8">
        <f>financials[[#This Row],[Net Sales]]-financials[[#This Row],[COGS]]</f>
        <v>413.4</v>
      </c>
      <c r="L3815" s="15">
        <v>44534</v>
      </c>
      <c r="M3815" t="s">
        <v>691</v>
      </c>
    </row>
    <row r="3816" spans="1:13" x14ac:dyDescent="0.25">
      <c r="A3816" t="s">
        <v>88</v>
      </c>
      <c r="B3816" s="6" t="s">
        <v>645</v>
      </c>
      <c r="C3816" s="11">
        <v>104</v>
      </c>
      <c r="D3816" s="9" t="s">
        <v>91</v>
      </c>
      <c r="E3816">
        <v>6</v>
      </c>
      <c r="F3816" s="8">
        <f>VLOOKUP(financials[[#This Row],[productid]],Products!$B$2:$H$10,3)</f>
        <v>5.9</v>
      </c>
      <c r="G3816" s="8">
        <f>financials[[#This Row],[Units Sold]]*financials[[#This Row],[Sale Price]]</f>
        <v>35.400000000000006</v>
      </c>
      <c r="H3816" s="8">
        <f>IF(financials[[#This Row],[Discount Band]]="low",0.1,IF(financials[[#This Row],[Discount Band]]="medium",0.15,0.3))</f>
        <v>0.1</v>
      </c>
      <c r="I3816" s="8">
        <f>financials[[#This Row],[Gross Sales]]-financials[[#This Row],[Gross Sales]]*financials[[#This Row],[Discounts]]</f>
        <v>31.860000000000007</v>
      </c>
      <c r="J3816" s="8">
        <f>VLOOKUP(financials[[#This Row],[productid]],Products!$B$2:$H$10,4)</f>
        <v>2.9</v>
      </c>
      <c r="K3816" s="8">
        <f>financials[[#This Row],[Net Sales]]-financials[[#This Row],[COGS]]</f>
        <v>28.960000000000008</v>
      </c>
      <c r="L3816" s="15">
        <v>45487</v>
      </c>
      <c r="M3816" t="s">
        <v>696</v>
      </c>
    </row>
    <row r="3817" spans="1:13" x14ac:dyDescent="0.25">
      <c r="A3817" t="s">
        <v>86</v>
      </c>
      <c r="B3817" s="6" t="s">
        <v>274</v>
      </c>
      <c r="C3817" s="13">
        <v>107</v>
      </c>
      <c r="D3817" s="14" t="s">
        <v>90</v>
      </c>
      <c r="E3817">
        <v>20</v>
      </c>
      <c r="F3817" s="8">
        <f>VLOOKUP(financials[[#This Row],[productid]],Products!$B$2:$H$10,3)</f>
        <v>15</v>
      </c>
      <c r="G3817" s="8">
        <f>financials[[#This Row],[Units Sold]]*financials[[#This Row],[Sale Price]]</f>
        <v>300</v>
      </c>
      <c r="H3817" s="8">
        <f>IF(financials[[#This Row],[Discount Band]]="low",0.1,IF(financials[[#This Row],[Discount Band]]="medium",0.15,0.3))</f>
        <v>0.15</v>
      </c>
      <c r="I3817" s="8">
        <f>financials[[#This Row],[Gross Sales]]-financials[[#This Row],[Gross Sales]]*financials[[#This Row],[Discounts]]</f>
        <v>255</v>
      </c>
      <c r="J3817" s="8">
        <f>VLOOKUP(financials[[#This Row],[productid]],Products!$B$2:$H$10,4)</f>
        <v>5.5</v>
      </c>
      <c r="K3817" s="8">
        <f>financials[[#This Row],[Net Sales]]-financials[[#This Row],[COGS]]</f>
        <v>249.5</v>
      </c>
      <c r="L3817" s="15">
        <v>44731</v>
      </c>
      <c r="M3817" t="s">
        <v>696</v>
      </c>
    </row>
    <row r="3818" spans="1:13" x14ac:dyDescent="0.25">
      <c r="A3818" t="s">
        <v>86</v>
      </c>
      <c r="B3818" s="6" t="s">
        <v>645</v>
      </c>
      <c r="C3818" s="13">
        <v>109</v>
      </c>
      <c r="D3818" s="14" t="s">
        <v>91</v>
      </c>
      <c r="E3818">
        <v>8</v>
      </c>
      <c r="F3818" s="8">
        <f>VLOOKUP(financials[[#This Row],[productid]],Products!$B$2:$H$10,3)</f>
        <v>36</v>
      </c>
      <c r="G3818" s="8">
        <f>financials[[#This Row],[Units Sold]]*financials[[#This Row],[Sale Price]]</f>
        <v>288</v>
      </c>
      <c r="H3818" s="8">
        <f>IF(financials[[#This Row],[Discount Band]]="low",0.1,IF(financials[[#This Row],[Discount Band]]="medium",0.15,0.3))</f>
        <v>0.1</v>
      </c>
      <c r="I3818" s="8">
        <f>financials[[#This Row],[Gross Sales]]-financials[[#This Row],[Gross Sales]]*financials[[#This Row],[Discounts]]</f>
        <v>259.2</v>
      </c>
      <c r="J3818" s="8">
        <f>VLOOKUP(financials[[#This Row],[productid]],Products!$B$2:$H$10,4)</f>
        <v>16.8</v>
      </c>
      <c r="K3818" s="8">
        <f>financials[[#This Row],[Net Sales]]-financials[[#This Row],[COGS]]</f>
        <v>242.39999999999998</v>
      </c>
      <c r="L3818" s="15">
        <v>44163</v>
      </c>
      <c r="M3818" t="s">
        <v>691</v>
      </c>
    </row>
    <row r="3819" spans="1:13" x14ac:dyDescent="0.25">
      <c r="A3819" t="s">
        <v>88</v>
      </c>
      <c r="B3819" s="6" t="s">
        <v>205</v>
      </c>
      <c r="C3819" s="13">
        <v>105</v>
      </c>
      <c r="D3819" s="14" t="s">
        <v>83</v>
      </c>
      <c r="E3819">
        <v>20</v>
      </c>
      <c r="F3819" s="8">
        <f>VLOOKUP(financials[[#This Row],[productid]],Products!$B$2:$H$10,3)</f>
        <v>15</v>
      </c>
      <c r="G3819" s="8">
        <f>financials[[#This Row],[Units Sold]]*financials[[#This Row],[Sale Price]]</f>
        <v>300</v>
      </c>
      <c r="H3819" s="8">
        <f>IF(financials[[#This Row],[Discount Band]]="low",0.1,IF(financials[[#This Row],[Discount Band]]="medium",0.15,0.3))</f>
        <v>0.3</v>
      </c>
      <c r="I3819" s="8">
        <f>financials[[#This Row],[Gross Sales]]-financials[[#This Row],[Gross Sales]]*financials[[#This Row],[Discounts]]</f>
        <v>210</v>
      </c>
      <c r="J3819" s="8">
        <f>VLOOKUP(financials[[#This Row],[productid]],Products!$B$2:$H$10,4)</f>
        <v>10</v>
      </c>
      <c r="K3819" s="8">
        <f>financials[[#This Row],[Net Sales]]-financials[[#This Row],[COGS]]</f>
        <v>200</v>
      </c>
      <c r="L3819" s="15">
        <v>45205</v>
      </c>
      <c r="M3819" t="s">
        <v>690</v>
      </c>
    </row>
    <row r="3820" spans="1:13" x14ac:dyDescent="0.25">
      <c r="A3820" t="s">
        <v>88</v>
      </c>
      <c r="B3820" s="6" t="s">
        <v>273</v>
      </c>
      <c r="C3820" s="13">
        <v>101</v>
      </c>
      <c r="D3820" s="14" t="s">
        <v>90</v>
      </c>
      <c r="E3820">
        <v>20</v>
      </c>
      <c r="F3820" s="8">
        <f>VLOOKUP(financials[[#This Row],[productid]],Products!$B$2:$H$10,3)</f>
        <v>23</v>
      </c>
      <c r="G3820" s="8">
        <f>financials[[#This Row],[Units Sold]]*financials[[#This Row],[Sale Price]]</f>
        <v>460</v>
      </c>
      <c r="H3820" s="8">
        <f>IF(financials[[#This Row],[Discount Band]]="low",0.1,IF(financials[[#This Row],[Discount Band]]="medium",0.15,0.3))</f>
        <v>0.15</v>
      </c>
      <c r="I3820" s="8">
        <f>financials[[#This Row],[Gross Sales]]-financials[[#This Row],[Gross Sales]]*financials[[#This Row],[Discounts]]</f>
        <v>391</v>
      </c>
      <c r="J3820" s="8">
        <f>VLOOKUP(financials[[#This Row],[productid]],Products!$B$2:$H$10,4)</f>
        <v>9.9499999999999993</v>
      </c>
      <c r="K3820" s="8">
        <f>financials[[#This Row],[Net Sales]]-financials[[#This Row],[COGS]]</f>
        <v>381.05</v>
      </c>
      <c r="L3820" s="15">
        <v>44664</v>
      </c>
      <c r="M3820" t="s">
        <v>700</v>
      </c>
    </row>
    <row r="3821" spans="1:13" x14ac:dyDescent="0.25">
      <c r="A3821" t="s">
        <v>88</v>
      </c>
      <c r="B3821" s="6" t="s">
        <v>228</v>
      </c>
      <c r="C3821" s="13">
        <v>109</v>
      </c>
      <c r="D3821" s="14" t="s">
        <v>91</v>
      </c>
      <c r="E3821">
        <v>14</v>
      </c>
      <c r="F3821" s="8">
        <f>VLOOKUP(financials[[#This Row],[productid]],Products!$B$2:$H$10,3)</f>
        <v>36</v>
      </c>
      <c r="G3821" s="8">
        <f>financials[[#This Row],[Units Sold]]*financials[[#This Row],[Sale Price]]</f>
        <v>504</v>
      </c>
      <c r="H3821" s="8">
        <f>IF(financials[[#This Row],[Discount Band]]="low",0.1,IF(financials[[#This Row],[Discount Band]]="medium",0.15,0.3))</f>
        <v>0.1</v>
      </c>
      <c r="I3821" s="8">
        <f>financials[[#This Row],[Gross Sales]]-financials[[#This Row],[Gross Sales]]*financials[[#This Row],[Discounts]]</f>
        <v>453.6</v>
      </c>
      <c r="J3821" s="8">
        <f>VLOOKUP(financials[[#This Row],[productid]],Products!$B$2:$H$10,4)</f>
        <v>16.8</v>
      </c>
      <c r="K3821" s="8">
        <f>financials[[#This Row],[Net Sales]]-financials[[#This Row],[COGS]]</f>
        <v>436.8</v>
      </c>
      <c r="L3821" s="15">
        <v>45107</v>
      </c>
      <c r="M3821" t="s">
        <v>697</v>
      </c>
    </row>
    <row r="3822" spans="1:13" x14ac:dyDescent="0.25">
      <c r="A3822" t="s">
        <v>88</v>
      </c>
      <c r="B3822" s="6" t="s">
        <v>232</v>
      </c>
      <c r="C3822" s="13">
        <v>109</v>
      </c>
      <c r="D3822" s="14" t="s">
        <v>90</v>
      </c>
      <c r="E3822">
        <v>14</v>
      </c>
      <c r="F3822" s="8">
        <f>VLOOKUP(financials[[#This Row],[productid]],Products!$B$2:$H$10,3)</f>
        <v>36</v>
      </c>
      <c r="G3822" s="8">
        <f>financials[[#This Row],[Units Sold]]*financials[[#This Row],[Sale Price]]</f>
        <v>504</v>
      </c>
      <c r="H3822" s="8">
        <f>IF(financials[[#This Row],[Discount Band]]="low",0.1,IF(financials[[#This Row],[Discount Band]]="medium",0.15,0.3))</f>
        <v>0.15</v>
      </c>
      <c r="I3822" s="8">
        <f>financials[[#This Row],[Gross Sales]]-financials[[#This Row],[Gross Sales]]*financials[[#This Row],[Discounts]]</f>
        <v>428.4</v>
      </c>
      <c r="J3822" s="8">
        <f>VLOOKUP(financials[[#This Row],[productid]],Products!$B$2:$H$10,4)</f>
        <v>16.8</v>
      </c>
      <c r="K3822" s="8">
        <f>financials[[#This Row],[Net Sales]]-financials[[#This Row],[COGS]]</f>
        <v>411.59999999999997</v>
      </c>
      <c r="L3822" s="15">
        <v>45592</v>
      </c>
      <c r="M3822" t="s">
        <v>691</v>
      </c>
    </row>
    <row r="3823" spans="1:13" x14ac:dyDescent="0.25">
      <c r="A3823" t="s">
        <v>86</v>
      </c>
      <c r="B3823" s="6" t="s">
        <v>274</v>
      </c>
      <c r="C3823" s="13">
        <v>108</v>
      </c>
      <c r="D3823" s="14" t="s">
        <v>90</v>
      </c>
      <c r="E3823">
        <v>19</v>
      </c>
      <c r="F3823" s="8">
        <f>VLOOKUP(financials[[#This Row],[productid]],Products!$B$2:$H$10,3)</f>
        <v>5.5</v>
      </c>
      <c r="G3823" s="8">
        <f>financials[[#This Row],[Units Sold]]*financials[[#This Row],[Sale Price]]</f>
        <v>104.5</v>
      </c>
      <c r="H3823" s="8">
        <f>IF(financials[[#This Row],[Discount Band]]="low",0.1,IF(financials[[#This Row],[Discount Band]]="medium",0.15,0.3))</f>
        <v>0.15</v>
      </c>
      <c r="I3823" s="8">
        <f>financials[[#This Row],[Gross Sales]]-financials[[#This Row],[Gross Sales]]*financials[[#This Row],[Discounts]]</f>
        <v>88.825000000000003</v>
      </c>
      <c r="J3823" s="8">
        <f>VLOOKUP(financials[[#This Row],[productid]],Products!$B$2:$H$10,4)</f>
        <v>3.99</v>
      </c>
      <c r="K3823" s="8">
        <f>financials[[#This Row],[Net Sales]]-financials[[#This Row],[COGS]]</f>
        <v>84.835000000000008</v>
      </c>
      <c r="L3823" s="15">
        <v>44076</v>
      </c>
      <c r="M3823" t="s">
        <v>690</v>
      </c>
    </row>
    <row r="3824" spans="1:13" x14ac:dyDescent="0.25">
      <c r="A3824" t="s">
        <v>86</v>
      </c>
      <c r="B3824" s="6" t="s">
        <v>197</v>
      </c>
      <c r="C3824" s="13">
        <v>108</v>
      </c>
      <c r="D3824" s="14" t="s">
        <v>83</v>
      </c>
      <c r="E3824">
        <v>13</v>
      </c>
      <c r="F3824" s="8">
        <f>VLOOKUP(financials[[#This Row],[productid]],Products!$B$2:$H$10,3)</f>
        <v>5.5</v>
      </c>
      <c r="G3824" s="8">
        <f>financials[[#This Row],[Units Sold]]*financials[[#This Row],[Sale Price]]</f>
        <v>71.5</v>
      </c>
      <c r="H3824" s="8">
        <f>IF(financials[[#This Row],[Discount Band]]="low",0.1,IF(financials[[#This Row],[Discount Band]]="medium",0.15,0.3))</f>
        <v>0.3</v>
      </c>
      <c r="I3824" s="8">
        <f>financials[[#This Row],[Gross Sales]]-financials[[#This Row],[Gross Sales]]*financials[[#This Row],[Discounts]]</f>
        <v>50.05</v>
      </c>
      <c r="J3824" s="8">
        <f>VLOOKUP(financials[[#This Row],[productid]],Products!$B$2:$H$10,4)</f>
        <v>3.99</v>
      </c>
      <c r="K3824" s="8">
        <f>financials[[#This Row],[Net Sales]]-financials[[#This Row],[COGS]]</f>
        <v>46.059999999999995</v>
      </c>
      <c r="L3824" s="15">
        <v>44004</v>
      </c>
      <c r="M3824" t="s">
        <v>697</v>
      </c>
    </row>
    <row r="3825" spans="1:13" x14ac:dyDescent="0.25">
      <c r="A3825" t="s">
        <v>86</v>
      </c>
      <c r="B3825" s="6" t="s">
        <v>94</v>
      </c>
      <c r="C3825" s="11">
        <v>104</v>
      </c>
      <c r="D3825" s="9" t="s">
        <v>83</v>
      </c>
      <c r="E3825">
        <v>14</v>
      </c>
      <c r="F3825" s="8">
        <f>VLOOKUP(financials[[#This Row],[productid]],Products!$B$2:$H$10,3)</f>
        <v>5.9</v>
      </c>
      <c r="G3825" s="8">
        <f>financials[[#This Row],[Units Sold]]*financials[[#This Row],[Sale Price]]</f>
        <v>82.600000000000009</v>
      </c>
      <c r="H3825" s="8">
        <f>IF(financials[[#This Row],[Discount Band]]="low",0.1,IF(financials[[#This Row],[Discount Band]]="medium",0.15,0.3))</f>
        <v>0.3</v>
      </c>
      <c r="I3825" s="8">
        <f>financials[[#This Row],[Gross Sales]]-financials[[#This Row],[Gross Sales]]*financials[[#This Row],[Discounts]]</f>
        <v>57.820000000000007</v>
      </c>
      <c r="J3825" s="8">
        <f>VLOOKUP(financials[[#This Row],[productid]],Products!$B$2:$H$10,4)</f>
        <v>2.9</v>
      </c>
      <c r="K3825" s="8">
        <f>financials[[#This Row],[Net Sales]]-financials[[#This Row],[COGS]]</f>
        <v>54.920000000000009</v>
      </c>
      <c r="L3825" s="15">
        <v>44196</v>
      </c>
      <c r="M3825" t="s">
        <v>691</v>
      </c>
    </row>
    <row r="3826" spans="1:13" x14ac:dyDescent="0.25">
      <c r="A3826" t="s">
        <v>88</v>
      </c>
      <c r="B3826" s="6" t="s">
        <v>205</v>
      </c>
      <c r="C3826" s="13">
        <v>106</v>
      </c>
      <c r="D3826" s="14" t="s">
        <v>90</v>
      </c>
      <c r="E3826">
        <v>15</v>
      </c>
      <c r="F3826" s="8">
        <f>VLOOKUP(financials[[#This Row],[productid]],Products!$B$2:$H$10,3)</f>
        <v>25</v>
      </c>
      <c r="G3826" s="8">
        <f>financials[[#This Row],[Units Sold]]*financials[[#This Row],[Sale Price]]</f>
        <v>375</v>
      </c>
      <c r="H3826" s="8">
        <f>IF(financials[[#This Row],[Discount Band]]="low",0.1,IF(financials[[#This Row],[Discount Band]]="medium",0.15,0.3))</f>
        <v>0.15</v>
      </c>
      <c r="I3826" s="8">
        <f>financials[[#This Row],[Gross Sales]]-financials[[#This Row],[Gross Sales]]*financials[[#This Row],[Discounts]]</f>
        <v>318.75</v>
      </c>
      <c r="J3826" s="8">
        <f>VLOOKUP(financials[[#This Row],[productid]],Products!$B$2:$H$10,4)</f>
        <v>9.1</v>
      </c>
      <c r="K3826" s="8">
        <f>financials[[#This Row],[Net Sales]]-financials[[#This Row],[COGS]]</f>
        <v>309.64999999999998</v>
      </c>
      <c r="L3826" s="15">
        <v>45640</v>
      </c>
      <c r="M3826" t="s">
        <v>690</v>
      </c>
    </row>
    <row r="3827" spans="1:13" x14ac:dyDescent="0.25">
      <c r="A3827" t="s">
        <v>86</v>
      </c>
      <c r="B3827" s="6" t="s">
        <v>645</v>
      </c>
      <c r="C3827" s="13">
        <v>102</v>
      </c>
      <c r="D3827" s="14" t="s">
        <v>91</v>
      </c>
      <c r="E3827">
        <v>14</v>
      </c>
      <c r="F3827" s="8">
        <f>VLOOKUP(financials[[#This Row],[productid]],Products!$B$2:$H$10,3)</f>
        <v>15</v>
      </c>
      <c r="G3827" s="8">
        <f>financials[[#This Row],[Units Sold]]*financials[[#This Row],[Sale Price]]</f>
        <v>210</v>
      </c>
      <c r="H3827" s="8">
        <f>IF(financials[[#This Row],[Discount Band]]="low",0.1,IF(financials[[#This Row],[Discount Band]]="medium",0.15,0.3))</f>
        <v>0.1</v>
      </c>
      <c r="I3827" s="8">
        <f>financials[[#This Row],[Gross Sales]]-financials[[#This Row],[Gross Sales]]*financials[[#This Row],[Discounts]]</f>
        <v>189</v>
      </c>
      <c r="J3827" s="8">
        <f>VLOOKUP(financials[[#This Row],[productid]],Products!$B$2:$H$10,4)</f>
        <v>13.95</v>
      </c>
      <c r="K3827" s="8">
        <f>financials[[#This Row],[Net Sales]]-financials[[#This Row],[COGS]]</f>
        <v>175.05</v>
      </c>
      <c r="L3827" s="15">
        <v>44915</v>
      </c>
      <c r="M3827" t="s">
        <v>690</v>
      </c>
    </row>
    <row r="3828" spans="1:13" x14ac:dyDescent="0.25">
      <c r="A3828" t="s">
        <v>88</v>
      </c>
      <c r="B3828" s="6" t="s">
        <v>95</v>
      </c>
      <c r="C3828" s="13">
        <v>102</v>
      </c>
      <c r="D3828" s="14" t="s">
        <v>90</v>
      </c>
      <c r="E3828">
        <v>5</v>
      </c>
      <c r="F3828" s="8">
        <f>VLOOKUP(financials[[#This Row],[productid]],Products!$B$2:$H$10,3)</f>
        <v>15</v>
      </c>
      <c r="G3828" s="8">
        <f>financials[[#This Row],[Units Sold]]*financials[[#This Row],[Sale Price]]</f>
        <v>75</v>
      </c>
      <c r="H3828" s="8">
        <f>IF(financials[[#This Row],[Discount Band]]="low",0.1,IF(financials[[#This Row],[Discount Band]]="medium",0.15,0.3))</f>
        <v>0.15</v>
      </c>
      <c r="I3828" s="8">
        <f>financials[[#This Row],[Gross Sales]]-financials[[#This Row],[Gross Sales]]*financials[[#This Row],[Discounts]]</f>
        <v>63.75</v>
      </c>
      <c r="J3828" s="8">
        <f>VLOOKUP(financials[[#This Row],[productid]],Products!$B$2:$H$10,4)</f>
        <v>13.95</v>
      </c>
      <c r="K3828" s="8">
        <f>financials[[#This Row],[Net Sales]]-financials[[#This Row],[COGS]]</f>
        <v>49.8</v>
      </c>
      <c r="L3828" s="15">
        <v>45189</v>
      </c>
      <c r="M3828" t="s">
        <v>690</v>
      </c>
    </row>
    <row r="3829" spans="1:13" x14ac:dyDescent="0.25">
      <c r="A3829" t="s">
        <v>86</v>
      </c>
      <c r="B3829" s="6" t="s">
        <v>274</v>
      </c>
      <c r="C3829" s="13">
        <v>104</v>
      </c>
      <c r="D3829" s="14" t="s">
        <v>90</v>
      </c>
      <c r="E3829">
        <v>9</v>
      </c>
      <c r="F3829" s="8">
        <f>VLOOKUP(financials[[#This Row],[productid]],Products!$B$2:$H$10,3)</f>
        <v>5.9</v>
      </c>
      <c r="G3829" s="8">
        <f>financials[[#This Row],[Units Sold]]*financials[[#This Row],[Sale Price]]</f>
        <v>53.1</v>
      </c>
      <c r="H3829" s="8">
        <f>IF(financials[[#This Row],[Discount Band]]="low",0.1,IF(financials[[#This Row],[Discount Band]]="medium",0.15,0.3))</f>
        <v>0.15</v>
      </c>
      <c r="I3829" s="8">
        <f>financials[[#This Row],[Gross Sales]]-financials[[#This Row],[Gross Sales]]*financials[[#This Row],[Discounts]]</f>
        <v>45.135000000000005</v>
      </c>
      <c r="J3829" s="8">
        <f>VLOOKUP(financials[[#This Row],[productid]],Products!$B$2:$H$10,4)</f>
        <v>2.9</v>
      </c>
      <c r="K3829" s="8">
        <f>financials[[#This Row],[Net Sales]]-financials[[#This Row],[COGS]]</f>
        <v>42.235000000000007</v>
      </c>
      <c r="L3829" s="15">
        <v>43928</v>
      </c>
      <c r="M3829" t="s">
        <v>700</v>
      </c>
    </row>
    <row r="3830" spans="1:13" x14ac:dyDescent="0.25">
      <c r="A3830" t="s">
        <v>88</v>
      </c>
      <c r="B3830" s="6" t="s">
        <v>198</v>
      </c>
      <c r="C3830" s="13">
        <v>101</v>
      </c>
      <c r="D3830" s="14" t="s">
        <v>90</v>
      </c>
      <c r="E3830">
        <v>5</v>
      </c>
      <c r="F3830" s="8">
        <f>VLOOKUP(financials[[#This Row],[productid]],Products!$B$2:$H$10,3)</f>
        <v>23</v>
      </c>
      <c r="G3830" s="8">
        <f>financials[[#This Row],[Units Sold]]*financials[[#This Row],[Sale Price]]</f>
        <v>115</v>
      </c>
      <c r="H3830" s="8">
        <f>IF(financials[[#This Row],[Discount Band]]="low",0.1,IF(financials[[#This Row],[Discount Band]]="medium",0.15,0.3))</f>
        <v>0.15</v>
      </c>
      <c r="I3830" s="8">
        <f>financials[[#This Row],[Gross Sales]]-financials[[#This Row],[Gross Sales]]*financials[[#This Row],[Discounts]]</f>
        <v>97.75</v>
      </c>
      <c r="J3830" s="8">
        <f>VLOOKUP(financials[[#This Row],[productid]],Products!$B$2:$H$10,4)</f>
        <v>9.9499999999999993</v>
      </c>
      <c r="K3830" s="8">
        <f>financials[[#This Row],[Net Sales]]-financials[[#This Row],[COGS]]</f>
        <v>87.8</v>
      </c>
      <c r="L3830" s="15">
        <v>43881</v>
      </c>
      <c r="M3830" t="s">
        <v>700</v>
      </c>
    </row>
    <row r="3831" spans="1:13" x14ac:dyDescent="0.25">
      <c r="A3831" t="s">
        <v>88</v>
      </c>
      <c r="B3831" s="6" t="s">
        <v>545</v>
      </c>
      <c r="C3831" s="13">
        <v>109</v>
      </c>
      <c r="D3831" s="14" t="s">
        <v>91</v>
      </c>
      <c r="E3831">
        <v>20</v>
      </c>
      <c r="F3831" s="8">
        <f>VLOOKUP(financials[[#This Row],[productid]],Products!$B$2:$H$10,3)</f>
        <v>36</v>
      </c>
      <c r="G3831" s="8">
        <f>financials[[#This Row],[Units Sold]]*financials[[#This Row],[Sale Price]]</f>
        <v>720</v>
      </c>
      <c r="H3831" s="8">
        <f>IF(financials[[#This Row],[Discount Band]]="low",0.1,IF(financials[[#This Row],[Discount Band]]="medium",0.15,0.3))</f>
        <v>0.1</v>
      </c>
      <c r="I3831" s="8">
        <f>financials[[#This Row],[Gross Sales]]-financials[[#This Row],[Gross Sales]]*financials[[#This Row],[Discounts]]</f>
        <v>648</v>
      </c>
      <c r="J3831" s="8">
        <f>VLOOKUP(financials[[#This Row],[productid]],Products!$B$2:$H$10,4)</f>
        <v>16.8</v>
      </c>
      <c r="K3831" s="8">
        <f>financials[[#This Row],[Net Sales]]-financials[[#This Row],[COGS]]</f>
        <v>631.20000000000005</v>
      </c>
      <c r="L3831" s="15">
        <v>44224</v>
      </c>
      <c r="M3831" t="s">
        <v>700</v>
      </c>
    </row>
    <row r="3832" spans="1:13" x14ac:dyDescent="0.25">
      <c r="A3832" t="s">
        <v>88</v>
      </c>
      <c r="B3832" s="6" t="s">
        <v>197</v>
      </c>
      <c r="C3832" s="13">
        <v>101</v>
      </c>
      <c r="D3832" s="14" t="s">
        <v>83</v>
      </c>
      <c r="E3832">
        <v>8</v>
      </c>
      <c r="F3832" s="8">
        <f>VLOOKUP(financials[[#This Row],[productid]],Products!$B$2:$H$10,3)</f>
        <v>23</v>
      </c>
      <c r="G3832" s="8">
        <f>financials[[#This Row],[Units Sold]]*financials[[#This Row],[Sale Price]]</f>
        <v>184</v>
      </c>
      <c r="H3832" s="8">
        <f>IF(financials[[#This Row],[Discount Band]]="low",0.1,IF(financials[[#This Row],[Discount Band]]="medium",0.15,0.3))</f>
        <v>0.3</v>
      </c>
      <c r="I3832" s="8">
        <f>financials[[#This Row],[Gross Sales]]-financials[[#This Row],[Gross Sales]]*financials[[#This Row],[Discounts]]</f>
        <v>128.80000000000001</v>
      </c>
      <c r="J3832" s="8">
        <f>VLOOKUP(financials[[#This Row],[productid]],Products!$B$2:$H$10,4)</f>
        <v>9.9499999999999993</v>
      </c>
      <c r="K3832" s="8">
        <f>financials[[#This Row],[Net Sales]]-financials[[#This Row],[COGS]]</f>
        <v>118.85000000000001</v>
      </c>
      <c r="L3832" s="15">
        <v>44352</v>
      </c>
      <c r="M3832" t="s">
        <v>696</v>
      </c>
    </row>
    <row r="3833" spans="1:13" x14ac:dyDescent="0.25">
      <c r="A3833" t="s">
        <v>86</v>
      </c>
      <c r="B3833" s="6" t="s">
        <v>124</v>
      </c>
      <c r="C3833" s="13">
        <v>101</v>
      </c>
      <c r="D3833" s="14" t="s">
        <v>92</v>
      </c>
      <c r="E3833">
        <v>12</v>
      </c>
      <c r="F3833" s="8">
        <f>VLOOKUP(financials[[#This Row],[productid]],Products!$B$2:$H$10,3)</f>
        <v>23</v>
      </c>
      <c r="G3833" s="8">
        <f>financials[[#This Row],[Units Sold]]*financials[[#This Row],[Sale Price]]</f>
        <v>276</v>
      </c>
      <c r="H3833" s="8">
        <f>IF(financials[[#This Row],[Discount Band]]="low",0.1,IF(financials[[#This Row],[Discount Band]]="medium",0.15,0.3))</f>
        <v>0.3</v>
      </c>
      <c r="I3833" s="8">
        <f>financials[[#This Row],[Gross Sales]]-financials[[#This Row],[Gross Sales]]*financials[[#This Row],[Discounts]]</f>
        <v>193.2</v>
      </c>
      <c r="J3833" s="8">
        <f>VLOOKUP(financials[[#This Row],[productid]],Products!$B$2:$H$10,4)</f>
        <v>9.9499999999999993</v>
      </c>
      <c r="K3833" s="8">
        <f>financials[[#This Row],[Net Sales]]-financials[[#This Row],[COGS]]</f>
        <v>183.25</v>
      </c>
      <c r="L3833" s="15">
        <v>45337</v>
      </c>
      <c r="M3833" t="s">
        <v>696</v>
      </c>
    </row>
    <row r="3834" spans="1:13" x14ac:dyDescent="0.25">
      <c r="A3834" t="s">
        <v>86</v>
      </c>
      <c r="B3834" s="6" t="s">
        <v>273</v>
      </c>
      <c r="C3834" s="11">
        <v>107</v>
      </c>
      <c r="D3834" s="9" t="s">
        <v>91</v>
      </c>
      <c r="E3834">
        <v>16</v>
      </c>
      <c r="F3834" s="8">
        <f>VLOOKUP(financials[[#This Row],[productid]],Products!$B$2:$H$10,3)</f>
        <v>15</v>
      </c>
      <c r="G3834" s="8">
        <f>financials[[#This Row],[Units Sold]]*financials[[#This Row],[Sale Price]]</f>
        <v>240</v>
      </c>
      <c r="H3834" s="8">
        <f>IF(financials[[#This Row],[Discount Band]]="low",0.1,IF(financials[[#This Row],[Discount Band]]="medium",0.15,0.3))</f>
        <v>0.1</v>
      </c>
      <c r="I3834" s="8">
        <f>financials[[#This Row],[Gross Sales]]-financials[[#This Row],[Gross Sales]]*financials[[#This Row],[Discounts]]</f>
        <v>216</v>
      </c>
      <c r="J3834" s="8">
        <f>VLOOKUP(financials[[#This Row],[productid]],Products!$B$2:$H$10,4)</f>
        <v>5.5</v>
      </c>
      <c r="K3834" s="8">
        <f>financials[[#This Row],[Net Sales]]-financials[[#This Row],[COGS]]</f>
        <v>210.5</v>
      </c>
      <c r="L3834" s="15">
        <v>44168</v>
      </c>
      <c r="M3834" t="s">
        <v>700</v>
      </c>
    </row>
    <row r="3835" spans="1:13" x14ac:dyDescent="0.25">
      <c r="A3835" t="s">
        <v>86</v>
      </c>
      <c r="B3835" s="6" t="s">
        <v>645</v>
      </c>
      <c r="C3835" s="11">
        <v>107</v>
      </c>
      <c r="D3835" s="9" t="s">
        <v>90</v>
      </c>
      <c r="E3835">
        <v>10</v>
      </c>
      <c r="F3835" s="8">
        <f>VLOOKUP(financials[[#This Row],[productid]],Products!$B$2:$H$10,3)</f>
        <v>15</v>
      </c>
      <c r="G3835" s="8">
        <f>financials[[#This Row],[Units Sold]]*financials[[#This Row],[Sale Price]]</f>
        <v>150</v>
      </c>
      <c r="H3835" s="8">
        <f>IF(financials[[#This Row],[Discount Band]]="low",0.1,IF(financials[[#This Row],[Discount Band]]="medium",0.15,0.3))</f>
        <v>0.15</v>
      </c>
      <c r="I3835" s="8">
        <f>financials[[#This Row],[Gross Sales]]-financials[[#This Row],[Gross Sales]]*financials[[#This Row],[Discounts]]</f>
        <v>127.5</v>
      </c>
      <c r="J3835" s="8">
        <f>VLOOKUP(financials[[#This Row],[productid]],Products!$B$2:$H$10,4)</f>
        <v>5.5</v>
      </c>
      <c r="K3835" s="8">
        <f>financials[[#This Row],[Net Sales]]-financials[[#This Row],[COGS]]</f>
        <v>122</v>
      </c>
      <c r="L3835" s="15">
        <v>44532</v>
      </c>
      <c r="M3835" t="s">
        <v>696</v>
      </c>
    </row>
    <row r="3836" spans="1:13" x14ac:dyDescent="0.25">
      <c r="A3836" t="s">
        <v>88</v>
      </c>
      <c r="B3836" s="6" t="s">
        <v>268</v>
      </c>
      <c r="C3836" s="13">
        <v>107</v>
      </c>
      <c r="D3836" s="14" t="s">
        <v>91</v>
      </c>
      <c r="E3836">
        <v>14</v>
      </c>
      <c r="F3836" s="8">
        <f>VLOOKUP(financials[[#This Row],[productid]],Products!$B$2:$H$10,3)</f>
        <v>15</v>
      </c>
      <c r="G3836" s="8">
        <f>financials[[#This Row],[Units Sold]]*financials[[#This Row],[Sale Price]]</f>
        <v>210</v>
      </c>
      <c r="H3836" s="8">
        <f>IF(financials[[#This Row],[Discount Band]]="low",0.1,IF(financials[[#This Row],[Discount Band]]="medium",0.15,0.3))</f>
        <v>0.1</v>
      </c>
      <c r="I3836" s="8">
        <f>financials[[#This Row],[Gross Sales]]-financials[[#This Row],[Gross Sales]]*financials[[#This Row],[Discounts]]</f>
        <v>189</v>
      </c>
      <c r="J3836" s="8">
        <f>VLOOKUP(financials[[#This Row],[productid]],Products!$B$2:$H$10,4)</f>
        <v>5.5</v>
      </c>
      <c r="K3836" s="8">
        <f>financials[[#This Row],[Net Sales]]-financials[[#This Row],[COGS]]</f>
        <v>183.5</v>
      </c>
      <c r="L3836" s="15">
        <v>44816</v>
      </c>
      <c r="M3836" t="s">
        <v>700</v>
      </c>
    </row>
    <row r="3837" spans="1:13" x14ac:dyDescent="0.25">
      <c r="A3837" t="s">
        <v>86</v>
      </c>
      <c r="B3837" s="6" t="s">
        <v>93</v>
      </c>
      <c r="C3837" s="11">
        <v>104</v>
      </c>
      <c r="D3837" s="9" t="s">
        <v>90</v>
      </c>
      <c r="E3837">
        <v>7</v>
      </c>
      <c r="F3837" s="8">
        <f>VLOOKUP(financials[[#This Row],[productid]],Products!$B$2:$H$10,3)</f>
        <v>5.9</v>
      </c>
      <c r="G3837" s="8">
        <f>financials[[#This Row],[Units Sold]]*financials[[#This Row],[Sale Price]]</f>
        <v>41.300000000000004</v>
      </c>
      <c r="H3837" s="8">
        <f>IF(financials[[#This Row],[Discount Band]]="low",0.1,IF(financials[[#This Row],[Discount Band]]="medium",0.15,0.3))</f>
        <v>0.15</v>
      </c>
      <c r="I3837" s="8">
        <f>financials[[#This Row],[Gross Sales]]-financials[[#This Row],[Gross Sales]]*financials[[#This Row],[Discounts]]</f>
        <v>35.105000000000004</v>
      </c>
      <c r="J3837" s="8">
        <f>VLOOKUP(financials[[#This Row],[productid]],Products!$B$2:$H$10,4)</f>
        <v>2.9</v>
      </c>
      <c r="K3837" s="8">
        <f>financials[[#This Row],[Net Sales]]-financials[[#This Row],[COGS]]</f>
        <v>32.205000000000005</v>
      </c>
      <c r="L3837" s="15">
        <v>44598</v>
      </c>
      <c r="M3837" t="s">
        <v>700</v>
      </c>
    </row>
    <row r="3838" spans="1:13" x14ac:dyDescent="0.25">
      <c r="A3838" t="s">
        <v>86</v>
      </c>
      <c r="B3838" s="6" t="s">
        <v>232</v>
      </c>
      <c r="C3838" s="11">
        <v>103</v>
      </c>
      <c r="D3838" s="9" t="s">
        <v>83</v>
      </c>
      <c r="E3838">
        <v>10</v>
      </c>
      <c r="F3838" s="8">
        <f>VLOOKUP(financials[[#This Row],[productid]],Products!$B$2:$H$10,3)</f>
        <v>28</v>
      </c>
      <c r="G3838" s="8">
        <f>financials[[#This Row],[Units Sold]]*financials[[#This Row],[Sale Price]]</f>
        <v>280</v>
      </c>
      <c r="H3838" s="8">
        <f>IF(financials[[#This Row],[Discount Band]]="low",0.1,IF(financials[[#This Row],[Discount Band]]="medium",0.15,0.3))</f>
        <v>0.3</v>
      </c>
      <c r="I3838" s="8">
        <f>financials[[#This Row],[Gross Sales]]-financials[[#This Row],[Gross Sales]]*financials[[#This Row],[Discounts]]</f>
        <v>196</v>
      </c>
      <c r="J3838" s="8">
        <f>VLOOKUP(financials[[#This Row],[productid]],Products!$B$2:$H$10,4)</f>
        <v>15</v>
      </c>
      <c r="K3838" s="8">
        <f>financials[[#This Row],[Net Sales]]-financials[[#This Row],[COGS]]</f>
        <v>181</v>
      </c>
      <c r="L3838" s="15">
        <v>44228</v>
      </c>
      <c r="M3838" t="s">
        <v>700</v>
      </c>
    </row>
    <row r="3839" spans="1:13" x14ac:dyDescent="0.25">
      <c r="A3839" t="s">
        <v>88</v>
      </c>
      <c r="B3839" s="6" t="s">
        <v>198</v>
      </c>
      <c r="C3839" s="13">
        <v>102</v>
      </c>
      <c r="D3839" s="14" t="s">
        <v>83</v>
      </c>
      <c r="E3839">
        <v>8</v>
      </c>
      <c r="F3839" s="8">
        <f>VLOOKUP(financials[[#This Row],[productid]],Products!$B$2:$H$10,3)</f>
        <v>15</v>
      </c>
      <c r="G3839" s="8">
        <f>financials[[#This Row],[Units Sold]]*financials[[#This Row],[Sale Price]]</f>
        <v>120</v>
      </c>
      <c r="H3839" s="8">
        <f>IF(financials[[#This Row],[Discount Band]]="low",0.1,IF(financials[[#This Row],[Discount Band]]="medium",0.15,0.3))</f>
        <v>0.3</v>
      </c>
      <c r="I3839" s="8">
        <f>financials[[#This Row],[Gross Sales]]-financials[[#This Row],[Gross Sales]]*financials[[#This Row],[Discounts]]</f>
        <v>84</v>
      </c>
      <c r="J3839" s="8">
        <f>VLOOKUP(financials[[#This Row],[productid]],Products!$B$2:$H$10,4)</f>
        <v>13.95</v>
      </c>
      <c r="K3839" s="8">
        <f>financials[[#This Row],[Net Sales]]-financials[[#This Row],[COGS]]</f>
        <v>70.05</v>
      </c>
      <c r="L3839" s="15">
        <v>44731</v>
      </c>
      <c r="M3839" t="s">
        <v>700</v>
      </c>
    </row>
    <row r="3840" spans="1:13" x14ac:dyDescent="0.25">
      <c r="A3840" t="s">
        <v>88</v>
      </c>
      <c r="B3840" s="6" t="s">
        <v>268</v>
      </c>
      <c r="C3840" s="13">
        <v>103</v>
      </c>
      <c r="D3840" s="14" t="s">
        <v>83</v>
      </c>
      <c r="E3840">
        <v>7</v>
      </c>
      <c r="F3840" s="8">
        <f>VLOOKUP(financials[[#This Row],[productid]],Products!$B$2:$H$10,3)</f>
        <v>28</v>
      </c>
      <c r="G3840" s="8">
        <f>financials[[#This Row],[Units Sold]]*financials[[#This Row],[Sale Price]]</f>
        <v>196</v>
      </c>
      <c r="H3840" s="8">
        <f>IF(financials[[#This Row],[Discount Band]]="low",0.1,IF(financials[[#This Row],[Discount Band]]="medium",0.15,0.3))</f>
        <v>0.3</v>
      </c>
      <c r="I3840" s="8">
        <f>financials[[#This Row],[Gross Sales]]-financials[[#This Row],[Gross Sales]]*financials[[#This Row],[Discounts]]</f>
        <v>137.19999999999999</v>
      </c>
      <c r="J3840" s="8">
        <f>VLOOKUP(financials[[#This Row],[productid]],Products!$B$2:$H$10,4)</f>
        <v>15</v>
      </c>
      <c r="K3840" s="8">
        <f>financials[[#This Row],[Net Sales]]-financials[[#This Row],[COGS]]</f>
        <v>122.19999999999999</v>
      </c>
      <c r="L3840" s="15">
        <v>44531</v>
      </c>
      <c r="M3840" t="s">
        <v>700</v>
      </c>
    </row>
    <row r="3841" spans="1:13" x14ac:dyDescent="0.25">
      <c r="A3841" t="s">
        <v>88</v>
      </c>
      <c r="B3841" s="6" t="s">
        <v>167</v>
      </c>
      <c r="C3841" s="13">
        <v>108</v>
      </c>
      <c r="D3841" s="14" t="s">
        <v>91</v>
      </c>
      <c r="E3841">
        <v>6</v>
      </c>
      <c r="F3841" s="8">
        <f>VLOOKUP(financials[[#This Row],[productid]],Products!$B$2:$H$10,3)</f>
        <v>5.5</v>
      </c>
      <c r="G3841" s="8">
        <f>financials[[#This Row],[Units Sold]]*financials[[#This Row],[Sale Price]]</f>
        <v>33</v>
      </c>
      <c r="H3841" s="8">
        <f>IF(financials[[#This Row],[Discount Band]]="low",0.1,IF(financials[[#This Row],[Discount Band]]="medium",0.15,0.3))</f>
        <v>0.1</v>
      </c>
      <c r="I3841" s="8">
        <f>financials[[#This Row],[Gross Sales]]-financials[[#This Row],[Gross Sales]]*financials[[#This Row],[Discounts]]</f>
        <v>29.7</v>
      </c>
      <c r="J3841" s="8">
        <f>VLOOKUP(financials[[#This Row],[productid]],Products!$B$2:$H$10,4)</f>
        <v>3.99</v>
      </c>
      <c r="K3841" s="8">
        <f>financials[[#This Row],[Net Sales]]-financials[[#This Row],[COGS]]</f>
        <v>25.71</v>
      </c>
      <c r="L3841" s="15">
        <v>44210</v>
      </c>
      <c r="M3841" t="s">
        <v>690</v>
      </c>
    </row>
    <row r="3842" spans="1:13" x14ac:dyDescent="0.25">
      <c r="A3842" t="s">
        <v>88</v>
      </c>
      <c r="B3842" s="6" t="s">
        <v>197</v>
      </c>
      <c r="C3842" s="13">
        <v>109</v>
      </c>
      <c r="D3842" s="14" t="s">
        <v>91</v>
      </c>
      <c r="E3842">
        <v>14</v>
      </c>
      <c r="F3842" s="8">
        <f>VLOOKUP(financials[[#This Row],[productid]],Products!$B$2:$H$10,3)</f>
        <v>36</v>
      </c>
      <c r="G3842" s="8">
        <f>financials[[#This Row],[Units Sold]]*financials[[#This Row],[Sale Price]]</f>
        <v>504</v>
      </c>
      <c r="H3842" s="8">
        <f>IF(financials[[#This Row],[Discount Band]]="low",0.1,IF(financials[[#This Row],[Discount Band]]="medium",0.15,0.3))</f>
        <v>0.1</v>
      </c>
      <c r="I3842" s="8">
        <f>financials[[#This Row],[Gross Sales]]-financials[[#This Row],[Gross Sales]]*financials[[#This Row],[Discounts]]</f>
        <v>453.6</v>
      </c>
      <c r="J3842" s="8">
        <f>VLOOKUP(financials[[#This Row],[productid]],Products!$B$2:$H$10,4)</f>
        <v>16.8</v>
      </c>
      <c r="K3842" s="8">
        <f>financials[[#This Row],[Net Sales]]-financials[[#This Row],[COGS]]</f>
        <v>436.8</v>
      </c>
      <c r="L3842" s="15">
        <v>44382</v>
      </c>
      <c r="M3842" t="s">
        <v>697</v>
      </c>
    </row>
    <row r="3843" spans="1:13" x14ac:dyDescent="0.25">
      <c r="A3843" t="s">
        <v>88</v>
      </c>
      <c r="B3843" s="6" t="s">
        <v>167</v>
      </c>
      <c r="C3843" s="13">
        <v>109</v>
      </c>
      <c r="D3843" s="14" t="s">
        <v>83</v>
      </c>
      <c r="E3843">
        <v>13</v>
      </c>
      <c r="F3843" s="8">
        <f>VLOOKUP(financials[[#This Row],[productid]],Products!$B$2:$H$10,3)</f>
        <v>36</v>
      </c>
      <c r="G3843" s="8">
        <f>financials[[#This Row],[Units Sold]]*financials[[#This Row],[Sale Price]]</f>
        <v>468</v>
      </c>
      <c r="H3843" s="8">
        <f>IF(financials[[#This Row],[Discount Band]]="low",0.1,IF(financials[[#This Row],[Discount Band]]="medium",0.15,0.3))</f>
        <v>0.3</v>
      </c>
      <c r="I3843" s="8">
        <f>financials[[#This Row],[Gross Sales]]-financials[[#This Row],[Gross Sales]]*financials[[#This Row],[Discounts]]</f>
        <v>327.60000000000002</v>
      </c>
      <c r="J3843" s="8">
        <f>VLOOKUP(financials[[#This Row],[productid]],Products!$B$2:$H$10,4)</f>
        <v>16.8</v>
      </c>
      <c r="K3843" s="8">
        <f>financials[[#This Row],[Net Sales]]-financials[[#This Row],[COGS]]</f>
        <v>310.8</v>
      </c>
      <c r="L3843" s="15">
        <v>44513</v>
      </c>
      <c r="M3843" t="s">
        <v>690</v>
      </c>
    </row>
    <row r="3844" spans="1:13" x14ac:dyDescent="0.25">
      <c r="A3844" t="s">
        <v>88</v>
      </c>
      <c r="B3844" s="6" t="s">
        <v>95</v>
      </c>
      <c r="C3844" s="13">
        <v>105</v>
      </c>
      <c r="D3844" s="14" t="s">
        <v>90</v>
      </c>
      <c r="E3844">
        <v>10</v>
      </c>
      <c r="F3844" s="8">
        <f>VLOOKUP(financials[[#This Row],[productid]],Products!$B$2:$H$10,3)</f>
        <v>15</v>
      </c>
      <c r="G3844" s="8">
        <f>financials[[#This Row],[Units Sold]]*financials[[#This Row],[Sale Price]]</f>
        <v>150</v>
      </c>
      <c r="H3844" s="8">
        <f>IF(financials[[#This Row],[Discount Band]]="low",0.1,IF(financials[[#This Row],[Discount Band]]="medium",0.15,0.3))</f>
        <v>0.15</v>
      </c>
      <c r="I3844" s="8">
        <f>financials[[#This Row],[Gross Sales]]-financials[[#This Row],[Gross Sales]]*financials[[#This Row],[Discounts]]</f>
        <v>127.5</v>
      </c>
      <c r="J3844" s="8">
        <f>VLOOKUP(financials[[#This Row],[productid]],Products!$B$2:$H$10,4)</f>
        <v>10</v>
      </c>
      <c r="K3844" s="8">
        <f>financials[[#This Row],[Net Sales]]-financials[[#This Row],[COGS]]</f>
        <v>117.5</v>
      </c>
      <c r="L3844" s="15">
        <v>45086</v>
      </c>
      <c r="M3844" t="s">
        <v>696</v>
      </c>
    </row>
    <row r="3845" spans="1:13" x14ac:dyDescent="0.25">
      <c r="A3845" t="s">
        <v>86</v>
      </c>
      <c r="B3845" s="6" t="s">
        <v>645</v>
      </c>
      <c r="C3845" s="13">
        <v>105</v>
      </c>
      <c r="D3845" s="14" t="s">
        <v>92</v>
      </c>
      <c r="E3845">
        <v>9</v>
      </c>
      <c r="F3845" s="8">
        <f>VLOOKUP(financials[[#This Row],[productid]],Products!$B$2:$H$10,3)</f>
        <v>15</v>
      </c>
      <c r="G3845" s="8">
        <f>financials[[#This Row],[Units Sold]]*financials[[#This Row],[Sale Price]]</f>
        <v>135</v>
      </c>
      <c r="H3845" s="8">
        <f>IF(financials[[#This Row],[Discount Band]]="low",0.1,IF(financials[[#This Row],[Discount Band]]="medium",0.15,0.3))</f>
        <v>0.3</v>
      </c>
      <c r="I3845" s="8">
        <f>financials[[#This Row],[Gross Sales]]-financials[[#This Row],[Gross Sales]]*financials[[#This Row],[Discounts]]</f>
        <v>94.5</v>
      </c>
      <c r="J3845" s="8">
        <f>VLOOKUP(financials[[#This Row],[productid]],Products!$B$2:$H$10,4)</f>
        <v>10</v>
      </c>
      <c r="K3845" s="8">
        <f>financials[[#This Row],[Net Sales]]-financials[[#This Row],[COGS]]</f>
        <v>84.5</v>
      </c>
      <c r="L3845" s="15">
        <v>45539</v>
      </c>
      <c r="M3845" t="s">
        <v>691</v>
      </c>
    </row>
    <row r="3846" spans="1:13" x14ac:dyDescent="0.25">
      <c r="A3846" t="s">
        <v>86</v>
      </c>
      <c r="B3846" s="6" t="s">
        <v>545</v>
      </c>
      <c r="C3846" s="13">
        <v>102</v>
      </c>
      <c r="D3846" s="14" t="s">
        <v>83</v>
      </c>
      <c r="E3846">
        <v>15</v>
      </c>
      <c r="F3846" s="8">
        <f>VLOOKUP(financials[[#This Row],[productid]],Products!$B$2:$H$10,3)</f>
        <v>15</v>
      </c>
      <c r="G3846" s="8">
        <f>financials[[#This Row],[Units Sold]]*financials[[#This Row],[Sale Price]]</f>
        <v>225</v>
      </c>
      <c r="H3846" s="8">
        <f>IF(financials[[#This Row],[Discount Band]]="low",0.1,IF(financials[[#This Row],[Discount Band]]="medium",0.15,0.3))</f>
        <v>0.3</v>
      </c>
      <c r="I3846" s="8">
        <f>financials[[#This Row],[Gross Sales]]-financials[[#This Row],[Gross Sales]]*financials[[#This Row],[Discounts]]</f>
        <v>157.5</v>
      </c>
      <c r="J3846" s="8">
        <f>VLOOKUP(financials[[#This Row],[productid]],Products!$B$2:$H$10,4)</f>
        <v>13.95</v>
      </c>
      <c r="K3846" s="8">
        <f>financials[[#This Row],[Net Sales]]-financials[[#This Row],[COGS]]</f>
        <v>143.55000000000001</v>
      </c>
      <c r="L3846" s="15">
        <v>44958</v>
      </c>
      <c r="M3846" t="s">
        <v>690</v>
      </c>
    </row>
    <row r="3847" spans="1:13" x14ac:dyDescent="0.25">
      <c r="A3847" t="s">
        <v>86</v>
      </c>
      <c r="B3847" s="6" t="s">
        <v>124</v>
      </c>
      <c r="C3847" s="13">
        <v>108</v>
      </c>
      <c r="D3847" s="14" t="s">
        <v>83</v>
      </c>
      <c r="E3847">
        <v>8</v>
      </c>
      <c r="F3847" s="8">
        <f>VLOOKUP(financials[[#This Row],[productid]],Products!$B$2:$H$10,3)</f>
        <v>5.5</v>
      </c>
      <c r="G3847" s="8">
        <f>financials[[#This Row],[Units Sold]]*financials[[#This Row],[Sale Price]]</f>
        <v>44</v>
      </c>
      <c r="H3847" s="8">
        <f>IF(financials[[#This Row],[Discount Band]]="low",0.1,IF(financials[[#This Row],[Discount Band]]="medium",0.15,0.3))</f>
        <v>0.3</v>
      </c>
      <c r="I3847" s="8">
        <f>financials[[#This Row],[Gross Sales]]-financials[[#This Row],[Gross Sales]]*financials[[#This Row],[Discounts]]</f>
        <v>30.8</v>
      </c>
      <c r="J3847" s="8">
        <f>VLOOKUP(financials[[#This Row],[productid]],Products!$B$2:$H$10,4)</f>
        <v>3.99</v>
      </c>
      <c r="K3847" s="8">
        <f>financials[[#This Row],[Net Sales]]-financials[[#This Row],[COGS]]</f>
        <v>26.810000000000002</v>
      </c>
      <c r="L3847" s="15">
        <v>45214</v>
      </c>
      <c r="M3847" t="s">
        <v>690</v>
      </c>
    </row>
    <row r="3848" spans="1:13" x14ac:dyDescent="0.25">
      <c r="A3848" t="s">
        <v>86</v>
      </c>
      <c r="B3848" s="6" t="s">
        <v>148</v>
      </c>
      <c r="C3848" s="13">
        <v>103</v>
      </c>
      <c r="D3848" s="14" t="s">
        <v>83</v>
      </c>
      <c r="E3848">
        <v>16</v>
      </c>
      <c r="F3848" s="8">
        <f>VLOOKUP(financials[[#This Row],[productid]],Products!$B$2:$H$10,3)</f>
        <v>28</v>
      </c>
      <c r="G3848" s="8">
        <f>financials[[#This Row],[Units Sold]]*financials[[#This Row],[Sale Price]]</f>
        <v>448</v>
      </c>
      <c r="H3848" s="8">
        <f>IF(financials[[#This Row],[Discount Band]]="low",0.1,IF(financials[[#This Row],[Discount Band]]="medium",0.15,0.3))</f>
        <v>0.3</v>
      </c>
      <c r="I3848" s="8">
        <f>financials[[#This Row],[Gross Sales]]-financials[[#This Row],[Gross Sales]]*financials[[#This Row],[Discounts]]</f>
        <v>313.60000000000002</v>
      </c>
      <c r="J3848" s="8">
        <f>VLOOKUP(financials[[#This Row],[productid]],Products!$B$2:$H$10,4)</f>
        <v>15</v>
      </c>
      <c r="K3848" s="8">
        <f>financials[[#This Row],[Net Sales]]-financials[[#This Row],[COGS]]</f>
        <v>298.60000000000002</v>
      </c>
      <c r="L3848" s="15">
        <v>45176</v>
      </c>
      <c r="M3848" t="s">
        <v>690</v>
      </c>
    </row>
    <row r="3849" spans="1:13" x14ac:dyDescent="0.25">
      <c r="A3849" t="s">
        <v>86</v>
      </c>
      <c r="B3849" s="6" t="s">
        <v>96</v>
      </c>
      <c r="C3849" s="13">
        <v>109</v>
      </c>
      <c r="D3849" s="14" t="s">
        <v>90</v>
      </c>
      <c r="E3849">
        <v>16</v>
      </c>
      <c r="F3849" s="8">
        <f>VLOOKUP(financials[[#This Row],[productid]],Products!$B$2:$H$10,3)</f>
        <v>36</v>
      </c>
      <c r="G3849" s="8">
        <f>financials[[#This Row],[Units Sold]]*financials[[#This Row],[Sale Price]]</f>
        <v>576</v>
      </c>
      <c r="H3849" s="8">
        <f>IF(financials[[#This Row],[Discount Band]]="low",0.1,IF(financials[[#This Row],[Discount Band]]="medium",0.15,0.3))</f>
        <v>0.15</v>
      </c>
      <c r="I3849" s="8">
        <f>financials[[#This Row],[Gross Sales]]-financials[[#This Row],[Gross Sales]]*financials[[#This Row],[Discounts]]</f>
        <v>489.6</v>
      </c>
      <c r="J3849" s="8">
        <f>VLOOKUP(financials[[#This Row],[productid]],Products!$B$2:$H$10,4)</f>
        <v>16.8</v>
      </c>
      <c r="K3849" s="8">
        <f>financials[[#This Row],[Net Sales]]-financials[[#This Row],[COGS]]</f>
        <v>472.8</v>
      </c>
      <c r="L3849" s="15">
        <v>45007</v>
      </c>
      <c r="M3849" t="s">
        <v>690</v>
      </c>
    </row>
    <row r="3850" spans="1:13" x14ac:dyDescent="0.25">
      <c r="A3850" t="s">
        <v>86</v>
      </c>
      <c r="B3850" s="6" t="s">
        <v>645</v>
      </c>
      <c r="C3850" s="13">
        <v>102</v>
      </c>
      <c r="D3850" s="14" t="s">
        <v>83</v>
      </c>
      <c r="E3850">
        <v>5</v>
      </c>
      <c r="F3850" s="8">
        <f>VLOOKUP(financials[[#This Row],[productid]],Products!$B$2:$H$10,3)</f>
        <v>15</v>
      </c>
      <c r="G3850" s="8">
        <f>financials[[#This Row],[Units Sold]]*financials[[#This Row],[Sale Price]]</f>
        <v>75</v>
      </c>
      <c r="H3850" s="8">
        <f>IF(financials[[#This Row],[Discount Band]]="low",0.1,IF(financials[[#This Row],[Discount Band]]="medium",0.15,0.3))</f>
        <v>0.3</v>
      </c>
      <c r="I3850" s="8">
        <f>financials[[#This Row],[Gross Sales]]-financials[[#This Row],[Gross Sales]]*financials[[#This Row],[Discounts]]</f>
        <v>52.5</v>
      </c>
      <c r="J3850" s="8">
        <f>VLOOKUP(financials[[#This Row],[productid]],Products!$B$2:$H$10,4)</f>
        <v>13.95</v>
      </c>
      <c r="K3850" s="8">
        <f>financials[[#This Row],[Net Sales]]-financials[[#This Row],[COGS]]</f>
        <v>38.549999999999997</v>
      </c>
      <c r="L3850" s="15">
        <v>44791</v>
      </c>
      <c r="M3850" t="s">
        <v>690</v>
      </c>
    </row>
    <row r="3851" spans="1:13" x14ac:dyDescent="0.25">
      <c r="A3851" t="s">
        <v>88</v>
      </c>
      <c r="B3851" s="6" t="s">
        <v>268</v>
      </c>
      <c r="C3851" s="13">
        <v>103</v>
      </c>
      <c r="D3851" s="14" t="s">
        <v>91</v>
      </c>
      <c r="E3851">
        <v>6</v>
      </c>
      <c r="F3851" s="8">
        <f>VLOOKUP(financials[[#This Row],[productid]],Products!$B$2:$H$10,3)</f>
        <v>28</v>
      </c>
      <c r="G3851" s="8">
        <f>financials[[#This Row],[Units Sold]]*financials[[#This Row],[Sale Price]]</f>
        <v>168</v>
      </c>
      <c r="H3851" s="8">
        <f>IF(financials[[#This Row],[Discount Band]]="low",0.1,IF(financials[[#This Row],[Discount Band]]="medium",0.15,0.3))</f>
        <v>0.1</v>
      </c>
      <c r="I3851" s="8">
        <f>financials[[#This Row],[Gross Sales]]-financials[[#This Row],[Gross Sales]]*financials[[#This Row],[Discounts]]</f>
        <v>151.19999999999999</v>
      </c>
      <c r="J3851" s="8">
        <f>VLOOKUP(financials[[#This Row],[productid]],Products!$B$2:$H$10,4)</f>
        <v>15</v>
      </c>
      <c r="K3851" s="8">
        <f>financials[[#This Row],[Net Sales]]-financials[[#This Row],[COGS]]</f>
        <v>136.19999999999999</v>
      </c>
      <c r="L3851" s="15">
        <v>44982</v>
      </c>
      <c r="M3851" t="s">
        <v>697</v>
      </c>
    </row>
    <row r="3852" spans="1:13" x14ac:dyDescent="0.25">
      <c r="A3852" t="s">
        <v>86</v>
      </c>
      <c r="B3852" s="6" t="s">
        <v>645</v>
      </c>
      <c r="C3852" s="13">
        <v>108</v>
      </c>
      <c r="D3852" s="14" t="s">
        <v>91</v>
      </c>
      <c r="E3852">
        <v>16</v>
      </c>
      <c r="F3852" s="8">
        <f>VLOOKUP(financials[[#This Row],[productid]],Products!$B$2:$H$10,3)</f>
        <v>5.5</v>
      </c>
      <c r="G3852" s="8">
        <f>financials[[#This Row],[Units Sold]]*financials[[#This Row],[Sale Price]]</f>
        <v>88</v>
      </c>
      <c r="H3852" s="8">
        <f>IF(financials[[#This Row],[Discount Band]]="low",0.1,IF(financials[[#This Row],[Discount Band]]="medium",0.15,0.3))</f>
        <v>0.1</v>
      </c>
      <c r="I3852" s="8">
        <f>financials[[#This Row],[Gross Sales]]-financials[[#This Row],[Gross Sales]]*financials[[#This Row],[Discounts]]</f>
        <v>79.2</v>
      </c>
      <c r="J3852" s="8">
        <f>VLOOKUP(financials[[#This Row],[productid]],Products!$B$2:$H$10,4)</f>
        <v>3.99</v>
      </c>
      <c r="K3852" s="8">
        <f>financials[[#This Row],[Net Sales]]-financials[[#This Row],[COGS]]</f>
        <v>75.210000000000008</v>
      </c>
      <c r="L3852" s="15">
        <v>44057</v>
      </c>
      <c r="M3852" t="s">
        <v>700</v>
      </c>
    </row>
    <row r="3853" spans="1:13" x14ac:dyDescent="0.25">
      <c r="A3853" t="s">
        <v>86</v>
      </c>
      <c r="B3853" s="6" t="s">
        <v>95</v>
      </c>
      <c r="C3853" s="13">
        <v>108</v>
      </c>
      <c r="D3853" s="14" t="s">
        <v>90</v>
      </c>
      <c r="E3853">
        <v>8</v>
      </c>
      <c r="F3853" s="8">
        <f>VLOOKUP(financials[[#This Row],[productid]],Products!$B$2:$H$10,3)</f>
        <v>5.5</v>
      </c>
      <c r="G3853" s="8">
        <f>financials[[#This Row],[Units Sold]]*financials[[#This Row],[Sale Price]]</f>
        <v>44</v>
      </c>
      <c r="H3853" s="8">
        <f>IF(financials[[#This Row],[Discount Band]]="low",0.1,IF(financials[[#This Row],[Discount Band]]="medium",0.15,0.3))</f>
        <v>0.15</v>
      </c>
      <c r="I3853" s="8">
        <f>financials[[#This Row],[Gross Sales]]-financials[[#This Row],[Gross Sales]]*financials[[#This Row],[Discounts]]</f>
        <v>37.4</v>
      </c>
      <c r="J3853" s="8">
        <f>VLOOKUP(financials[[#This Row],[productid]],Products!$B$2:$H$10,4)</f>
        <v>3.99</v>
      </c>
      <c r="K3853" s="8">
        <f>financials[[#This Row],[Net Sales]]-financials[[#This Row],[COGS]]</f>
        <v>33.409999999999997</v>
      </c>
      <c r="L3853" s="15">
        <v>44033</v>
      </c>
      <c r="M3853" t="s">
        <v>690</v>
      </c>
    </row>
    <row r="3854" spans="1:13" x14ac:dyDescent="0.25">
      <c r="A3854" t="s">
        <v>88</v>
      </c>
      <c r="B3854" s="6" t="s">
        <v>197</v>
      </c>
      <c r="C3854" s="11">
        <v>108</v>
      </c>
      <c r="D3854" s="9" t="s">
        <v>83</v>
      </c>
      <c r="E3854">
        <v>18</v>
      </c>
      <c r="F3854" s="8">
        <f>VLOOKUP(financials[[#This Row],[productid]],Products!$B$2:$H$10,3)</f>
        <v>5.5</v>
      </c>
      <c r="G3854" s="8">
        <f>financials[[#This Row],[Units Sold]]*financials[[#This Row],[Sale Price]]</f>
        <v>99</v>
      </c>
      <c r="H3854" s="8">
        <f>IF(financials[[#This Row],[Discount Band]]="low",0.1,IF(financials[[#This Row],[Discount Band]]="medium",0.15,0.3))</f>
        <v>0.3</v>
      </c>
      <c r="I3854" s="8">
        <f>financials[[#This Row],[Gross Sales]]-financials[[#This Row],[Gross Sales]]*financials[[#This Row],[Discounts]]</f>
        <v>69.3</v>
      </c>
      <c r="J3854" s="8">
        <f>VLOOKUP(financials[[#This Row],[productid]],Products!$B$2:$H$10,4)</f>
        <v>3.99</v>
      </c>
      <c r="K3854" s="8">
        <f>financials[[#This Row],[Net Sales]]-financials[[#This Row],[COGS]]</f>
        <v>65.31</v>
      </c>
      <c r="L3854" s="15">
        <v>45096</v>
      </c>
      <c r="M3854" t="s">
        <v>696</v>
      </c>
    </row>
    <row r="3855" spans="1:13" x14ac:dyDescent="0.25">
      <c r="A3855" t="s">
        <v>86</v>
      </c>
      <c r="B3855" s="6" t="s">
        <v>96</v>
      </c>
      <c r="C3855" s="13">
        <v>109</v>
      </c>
      <c r="D3855" s="14" t="s">
        <v>91</v>
      </c>
      <c r="E3855">
        <v>17</v>
      </c>
      <c r="F3855" s="8">
        <f>VLOOKUP(financials[[#This Row],[productid]],Products!$B$2:$H$10,3)</f>
        <v>36</v>
      </c>
      <c r="G3855" s="8">
        <f>financials[[#This Row],[Units Sold]]*financials[[#This Row],[Sale Price]]</f>
        <v>612</v>
      </c>
      <c r="H3855" s="8">
        <f>IF(financials[[#This Row],[Discount Band]]="low",0.1,IF(financials[[#This Row],[Discount Band]]="medium",0.15,0.3))</f>
        <v>0.1</v>
      </c>
      <c r="I3855" s="8">
        <f>financials[[#This Row],[Gross Sales]]-financials[[#This Row],[Gross Sales]]*financials[[#This Row],[Discounts]]</f>
        <v>550.79999999999995</v>
      </c>
      <c r="J3855" s="8">
        <f>VLOOKUP(financials[[#This Row],[productid]],Products!$B$2:$H$10,4)</f>
        <v>16.8</v>
      </c>
      <c r="K3855" s="8">
        <f>financials[[#This Row],[Net Sales]]-financials[[#This Row],[COGS]]</f>
        <v>534</v>
      </c>
      <c r="L3855" s="15">
        <v>44528</v>
      </c>
      <c r="M3855" t="s">
        <v>691</v>
      </c>
    </row>
    <row r="3856" spans="1:13" x14ac:dyDescent="0.25">
      <c r="A3856" t="s">
        <v>86</v>
      </c>
      <c r="B3856" s="6" t="s">
        <v>167</v>
      </c>
      <c r="C3856" s="13">
        <v>105</v>
      </c>
      <c r="D3856" s="14" t="s">
        <v>92</v>
      </c>
      <c r="E3856">
        <v>15</v>
      </c>
      <c r="F3856" s="8">
        <f>VLOOKUP(financials[[#This Row],[productid]],Products!$B$2:$H$10,3)</f>
        <v>15</v>
      </c>
      <c r="G3856" s="8">
        <f>financials[[#This Row],[Units Sold]]*financials[[#This Row],[Sale Price]]</f>
        <v>225</v>
      </c>
      <c r="H3856" s="8">
        <f>IF(financials[[#This Row],[Discount Band]]="low",0.1,IF(financials[[#This Row],[Discount Band]]="medium",0.15,0.3))</f>
        <v>0.3</v>
      </c>
      <c r="I3856" s="8">
        <f>financials[[#This Row],[Gross Sales]]-financials[[#This Row],[Gross Sales]]*financials[[#This Row],[Discounts]]</f>
        <v>157.5</v>
      </c>
      <c r="J3856" s="8">
        <f>VLOOKUP(financials[[#This Row],[productid]],Products!$B$2:$H$10,4)</f>
        <v>10</v>
      </c>
      <c r="K3856" s="8">
        <f>financials[[#This Row],[Net Sales]]-financials[[#This Row],[COGS]]</f>
        <v>147.5</v>
      </c>
      <c r="L3856" s="15">
        <v>43916</v>
      </c>
      <c r="M3856" t="s">
        <v>696</v>
      </c>
    </row>
    <row r="3857" spans="1:13" x14ac:dyDescent="0.25">
      <c r="A3857" t="s">
        <v>86</v>
      </c>
      <c r="B3857" s="6" t="s">
        <v>124</v>
      </c>
      <c r="C3857" s="13">
        <v>104</v>
      </c>
      <c r="D3857" s="14" t="s">
        <v>83</v>
      </c>
      <c r="E3857">
        <v>19</v>
      </c>
      <c r="F3857" s="8">
        <f>VLOOKUP(financials[[#This Row],[productid]],Products!$B$2:$H$10,3)</f>
        <v>5.9</v>
      </c>
      <c r="G3857" s="8">
        <f>financials[[#This Row],[Units Sold]]*financials[[#This Row],[Sale Price]]</f>
        <v>112.10000000000001</v>
      </c>
      <c r="H3857" s="8">
        <f>IF(financials[[#This Row],[Discount Band]]="low",0.1,IF(financials[[#This Row],[Discount Band]]="medium",0.15,0.3))</f>
        <v>0.3</v>
      </c>
      <c r="I3857" s="8">
        <f>financials[[#This Row],[Gross Sales]]-financials[[#This Row],[Gross Sales]]*financials[[#This Row],[Discounts]]</f>
        <v>78.47</v>
      </c>
      <c r="J3857" s="8">
        <f>VLOOKUP(financials[[#This Row],[productid]],Products!$B$2:$H$10,4)</f>
        <v>2.9</v>
      </c>
      <c r="K3857" s="8">
        <f>financials[[#This Row],[Net Sales]]-financials[[#This Row],[COGS]]</f>
        <v>75.569999999999993</v>
      </c>
      <c r="L3857" s="15">
        <v>45488</v>
      </c>
      <c r="M3857" t="s">
        <v>697</v>
      </c>
    </row>
    <row r="3858" spans="1:13" x14ac:dyDescent="0.25">
      <c r="A3858" t="s">
        <v>88</v>
      </c>
      <c r="B3858" s="6" t="s">
        <v>268</v>
      </c>
      <c r="C3858" s="13">
        <v>102</v>
      </c>
      <c r="D3858" s="14" t="s">
        <v>91</v>
      </c>
      <c r="E3858">
        <v>20</v>
      </c>
      <c r="F3858" s="8">
        <f>VLOOKUP(financials[[#This Row],[productid]],Products!$B$2:$H$10,3)</f>
        <v>15</v>
      </c>
      <c r="G3858" s="8">
        <f>financials[[#This Row],[Units Sold]]*financials[[#This Row],[Sale Price]]</f>
        <v>300</v>
      </c>
      <c r="H3858" s="8">
        <f>IF(financials[[#This Row],[Discount Band]]="low",0.1,IF(financials[[#This Row],[Discount Band]]="medium",0.15,0.3))</f>
        <v>0.1</v>
      </c>
      <c r="I3858" s="8">
        <f>financials[[#This Row],[Gross Sales]]-financials[[#This Row],[Gross Sales]]*financials[[#This Row],[Discounts]]</f>
        <v>270</v>
      </c>
      <c r="J3858" s="8">
        <f>VLOOKUP(financials[[#This Row],[productid]],Products!$B$2:$H$10,4)</f>
        <v>13.95</v>
      </c>
      <c r="K3858" s="8">
        <f>financials[[#This Row],[Net Sales]]-financials[[#This Row],[COGS]]</f>
        <v>256.05</v>
      </c>
      <c r="L3858" s="15">
        <v>44799</v>
      </c>
      <c r="M3858" t="s">
        <v>700</v>
      </c>
    </row>
    <row r="3859" spans="1:13" x14ac:dyDescent="0.25">
      <c r="A3859" t="s">
        <v>86</v>
      </c>
      <c r="B3859" s="6" t="s">
        <v>125</v>
      </c>
      <c r="C3859" s="13">
        <v>103</v>
      </c>
      <c r="D3859" s="14" t="s">
        <v>91</v>
      </c>
      <c r="E3859">
        <v>10</v>
      </c>
      <c r="F3859" s="8">
        <f>VLOOKUP(financials[[#This Row],[productid]],Products!$B$2:$H$10,3)</f>
        <v>28</v>
      </c>
      <c r="G3859" s="8">
        <f>financials[[#This Row],[Units Sold]]*financials[[#This Row],[Sale Price]]</f>
        <v>280</v>
      </c>
      <c r="H3859" s="8">
        <f>IF(financials[[#This Row],[Discount Band]]="low",0.1,IF(financials[[#This Row],[Discount Band]]="medium",0.15,0.3))</f>
        <v>0.1</v>
      </c>
      <c r="I3859" s="8">
        <f>financials[[#This Row],[Gross Sales]]-financials[[#This Row],[Gross Sales]]*financials[[#This Row],[Discounts]]</f>
        <v>252</v>
      </c>
      <c r="J3859" s="8">
        <f>VLOOKUP(financials[[#This Row],[productid]],Products!$B$2:$H$10,4)</f>
        <v>15</v>
      </c>
      <c r="K3859" s="8">
        <f>financials[[#This Row],[Net Sales]]-financials[[#This Row],[COGS]]</f>
        <v>237</v>
      </c>
      <c r="L3859" s="15">
        <v>44585</v>
      </c>
      <c r="M3859" t="s">
        <v>690</v>
      </c>
    </row>
    <row r="3860" spans="1:13" x14ac:dyDescent="0.25">
      <c r="A3860" t="s">
        <v>86</v>
      </c>
      <c r="B3860" s="6" t="s">
        <v>167</v>
      </c>
      <c r="C3860" s="13">
        <v>102</v>
      </c>
      <c r="D3860" s="14" t="s">
        <v>83</v>
      </c>
      <c r="E3860">
        <v>11</v>
      </c>
      <c r="F3860" s="8">
        <f>VLOOKUP(financials[[#This Row],[productid]],Products!$B$2:$H$10,3)</f>
        <v>15</v>
      </c>
      <c r="G3860" s="8">
        <f>financials[[#This Row],[Units Sold]]*financials[[#This Row],[Sale Price]]</f>
        <v>165</v>
      </c>
      <c r="H3860" s="8">
        <f>IF(financials[[#This Row],[Discount Band]]="low",0.1,IF(financials[[#This Row],[Discount Band]]="medium",0.15,0.3))</f>
        <v>0.3</v>
      </c>
      <c r="I3860" s="8">
        <f>financials[[#This Row],[Gross Sales]]-financials[[#This Row],[Gross Sales]]*financials[[#This Row],[Discounts]]</f>
        <v>115.5</v>
      </c>
      <c r="J3860" s="8">
        <f>VLOOKUP(financials[[#This Row],[productid]],Products!$B$2:$H$10,4)</f>
        <v>13.95</v>
      </c>
      <c r="K3860" s="8">
        <f>financials[[#This Row],[Net Sales]]-financials[[#This Row],[COGS]]</f>
        <v>101.55</v>
      </c>
      <c r="L3860" s="15">
        <v>44985</v>
      </c>
      <c r="M3860" t="s">
        <v>690</v>
      </c>
    </row>
    <row r="3861" spans="1:13" x14ac:dyDescent="0.25">
      <c r="A3861" t="s">
        <v>86</v>
      </c>
      <c r="B3861" s="6" t="s">
        <v>228</v>
      </c>
      <c r="C3861" s="13">
        <v>104</v>
      </c>
      <c r="D3861" s="14" t="s">
        <v>83</v>
      </c>
      <c r="E3861">
        <v>15</v>
      </c>
      <c r="F3861" s="8">
        <f>VLOOKUP(financials[[#This Row],[productid]],Products!$B$2:$H$10,3)</f>
        <v>5.9</v>
      </c>
      <c r="G3861" s="8">
        <f>financials[[#This Row],[Units Sold]]*financials[[#This Row],[Sale Price]]</f>
        <v>88.5</v>
      </c>
      <c r="H3861" s="8">
        <f>IF(financials[[#This Row],[Discount Band]]="low",0.1,IF(financials[[#This Row],[Discount Band]]="medium",0.15,0.3))</f>
        <v>0.3</v>
      </c>
      <c r="I3861" s="8">
        <f>financials[[#This Row],[Gross Sales]]-financials[[#This Row],[Gross Sales]]*financials[[#This Row],[Discounts]]</f>
        <v>61.95</v>
      </c>
      <c r="J3861" s="8">
        <f>VLOOKUP(financials[[#This Row],[productid]],Products!$B$2:$H$10,4)</f>
        <v>2.9</v>
      </c>
      <c r="K3861" s="8">
        <f>financials[[#This Row],[Net Sales]]-financials[[#This Row],[COGS]]</f>
        <v>59.050000000000004</v>
      </c>
      <c r="L3861" s="15">
        <v>44950</v>
      </c>
      <c r="M3861" t="s">
        <v>697</v>
      </c>
    </row>
    <row r="3862" spans="1:13" x14ac:dyDescent="0.25">
      <c r="A3862" t="s">
        <v>86</v>
      </c>
      <c r="B3862" s="6" t="s">
        <v>124</v>
      </c>
      <c r="C3862" s="13">
        <v>104</v>
      </c>
      <c r="D3862" s="14" t="s">
        <v>90</v>
      </c>
      <c r="E3862">
        <v>16</v>
      </c>
      <c r="F3862" s="8">
        <f>VLOOKUP(financials[[#This Row],[productid]],Products!$B$2:$H$10,3)</f>
        <v>5.9</v>
      </c>
      <c r="G3862" s="8">
        <f>financials[[#This Row],[Units Sold]]*financials[[#This Row],[Sale Price]]</f>
        <v>94.4</v>
      </c>
      <c r="H3862" s="8">
        <f>IF(financials[[#This Row],[Discount Band]]="low",0.1,IF(financials[[#This Row],[Discount Band]]="medium",0.15,0.3))</f>
        <v>0.15</v>
      </c>
      <c r="I3862" s="8">
        <f>financials[[#This Row],[Gross Sales]]-financials[[#This Row],[Gross Sales]]*financials[[#This Row],[Discounts]]</f>
        <v>80.240000000000009</v>
      </c>
      <c r="J3862" s="8">
        <f>VLOOKUP(financials[[#This Row],[productid]],Products!$B$2:$H$10,4)</f>
        <v>2.9</v>
      </c>
      <c r="K3862" s="8">
        <f>financials[[#This Row],[Net Sales]]-financials[[#This Row],[COGS]]</f>
        <v>77.34</v>
      </c>
      <c r="L3862" s="15">
        <v>45173</v>
      </c>
      <c r="M3862" t="s">
        <v>696</v>
      </c>
    </row>
    <row r="3863" spans="1:13" x14ac:dyDescent="0.25">
      <c r="A3863" t="s">
        <v>86</v>
      </c>
      <c r="B3863" s="6" t="s">
        <v>124</v>
      </c>
      <c r="C3863" s="13">
        <v>103</v>
      </c>
      <c r="D3863" s="14" t="s">
        <v>92</v>
      </c>
      <c r="E3863">
        <v>9</v>
      </c>
      <c r="F3863" s="8">
        <f>VLOOKUP(financials[[#This Row],[productid]],Products!$B$2:$H$10,3)</f>
        <v>28</v>
      </c>
      <c r="G3863" s="8">
        <f>financials[[#This Row],[Units Sold]]*financials[[#This Row],[Sale Price]]</f>
        <v>252</v>
      </c>
      <c r="H3863" s="8">
        <f>IF(financials[[#This Row],[Discount Band]]="low",0.1,IF(financials[[#This Row],[Discount Band]]="medium",0.15,0.3))</f>
        <v>0.3</v>
      </c>
      <c r="I3863" s="8">
        <f>financials[[#This Row],[Gross Sales]]-financials[[#This Row],[Gross Sales]]*financials[[#This Row],[Discounts]]</f>
        <v>176.4</v>
      </c>
      <c r="J3863" s="8">
        <f>VLOOKUP(financials[[#This Row],[productid]],Products!$B$2:$H$10,4)</f>
        <v>15</v>
      </c>
      <c r="K3863" s="8">
        <f>financials[[#This Row],[Net Sales]]-financials[[#This Row],[COGS]]</f>
        <v>161.4</v>
      </c>
      <c r="L3863" s="15">
        <v>44684</v>
      </c>
      <c r="M3863" t="s">
        <v>696</v>
      </c>
    </row>
    <row r="3864" spans="1:13" x14ac:dyDescent="0.25">
      <c r="A3864" t="s">
        <v>86</v>
      </c>
      <c r="B3864" s="6" t="s">
        <v>94</v>
      </c>
      <c r="C3864" s="13">
        <v>109</v>
      </c>
      <c r="D3864" s="14" t="s">
        <v>91</v>
      </c>
      <c r="E3864">
        <v>8</v>
      </c>
      <c r="F3864" s="8">
        <f>VLOOKUP(financials[[#This Row],[productid]],Products!$B$2:$H$10,3)</f>
        <v>36</v>
      </c>
      <c r="G3864" s="8">
        <f>financials[[#This Row],[Units Sold]]*financials[[#This Row],[Sale Price]]</f>
        <v>288</v>
      </c>
      <c r="H3864" s="8">
        <f>IF(financials[[#This Row],[Discount Band]]="low",0.1,IF(financials[[#This Row],[Discount Band]]="medium",0.15,0.3))</f>
        <v>0.1</v>
      </c>
      <c r="I3864" s="8">
        <f>financials[[#This Row],[Gross Sales]]-financials[[#This Row],[Gross Sales]]*financials[[#This Row],[Discounts]]</f>
        <v>259.2</v>
      </c>
      <c r="J3864" s="8">
        <f>VLOOKUP(financials[[#This Row],[productid]],Products!$B$2:$H$10,4)</f>
        <v>16.8</v>
      </c>
      <c r="K3864" s="8">
        <f>financials[[#This Row],[Net Sales]]-financials[[#This Row],[COGS]]</f>
        <v>242.39999999999998</v>
      </c>
      <c r="L3864" s="15">
        <v>45230</v>
      </c>
      <c r="M3864" t="s">
        <v>690</v>
      </c>
    </row>
    <row r="3865" spans="1:13" x14ac:dyDescent="0.25">
      <c r="A3865" t="s">
        <v>86</v>
      </c>
      <c r="B3865" s="6" t="s">
        <v>158</v>
      </c>
      <c r="C3865" s="13">
        <v>105</v>
      </c>
      <c r="D3865" s="14" t="s">
        <v>83</v>
      </c>
      <c r="E3865">
        <v>6</v>
      </c>
      <c r="F3865" s="8">
        <f>VLOOKUP(financials[[#This Row],[productid]],Products!$B$2:$H$10,3)</f>
        <v>15</v>
      </c>
      <c r="G3865" s="8">
        <f>financials[[#This Row],[Units Sold]]*financials[[#This Row],[Sale Price]]</f>
        <v>90</v>
      </c>
      <c r="H3865" s="8">
        <f>IF(financials[[#This Row],[Discount Band]]="low",0.1,IF(financials[[#This Row],[Discount Band]]="medium",0.15,0.3))</f>
        <v>0.3</v>
      </c>
      <c r="I3865" s="8">
        <f>financials[[#This Row],[Gross Sales]]-financials[[#This Row],[Gross Sales]]*financials[[#This Row],[Discounts]]</f>
        <v>63</v>
      </c>
      <c r="J3865" s="8">
        <f>VLOOKUP(financials[[#This Row],[productid]],Products!$B$2:$H$10,4)</f>
        <v>10</v>
      </c>
      <c r="K3865" s="8">
        <f>financials[[#This Row],[Net Sales]]-financials[[#This Row],[COGS]]</f>
        <v>53</v>
      </c>
      <c r="L3865" s="15">
        <v>45111</v>
      </c>
      <c r="M3865" t="s">
        <v>700</v>
      </c>
    </row>
    <row r="3866" spans="1:13" x14ac:dyDescent="0.25">
      <c r="A3866" t="s">
        <v>86</v>
      </c>
      <c r="B3866" s="6" t="s">
        <v>124</v>
      </c>
      <c r="C3866" s="13">
        <v>107</v>
      </c>
      <c r="D3866" s="14" t="s">
        <v>90</v>
      </c>
      <c r="E3866">
        <v>12</v>
      </c>
      <c r="F3866" s="8">
        <f>VLOOKUP(financials[[#This Row],[productid]],Products!$B$2:$H$10,3)</f>
        <v>15</v>
      </c>
      <c r="G3866" s="8">
        <f>financials[[#This Row],[Units Sold]]*financials[[#This Row],[Sale Price]]</f>
        <v>180</v>
      </c>
      <c r="H3866" s="8">
        <f>IF(financials[[#This Row],[Discount Band]]="low",0.1,IF(financials[[#This Row],[Discount Band]]="medium",0.15,0.3))</f>
        <v>0.15</v>
      </c>
      <c r="I3866" s="8">
        <f>financials[[#This Row],[Gross Sales]]-financials[[#This Row],[Gross Sales]]*financials[[#This Row],[Discounts]]</f>
        <v>153</v>
      </c>
      <c r="J3866" s="8">
        <f>VLOOKUP(financials[[#This Row],[productid]],Products!$B$2:$H$10,4)</f>
        <v>5.5</v>
      </c>
      <c r="K3866" s="8">
        <f>financials[[#This Row],[Net Sales]]-financials[[#This Row],[COGS]]</f>
        <v>147.5</v>
      </c>
      <c r="L3866" s="15">
        <v>43867</v>
      </c>
      <c r="M3866" t="s">
        <v>690</v>
      </c>
    </row>
    <row r="3867" spans="1:13" x14ac:dyDescent="0.25">
      <c r="A3867" t="s">
        <v>88</v>
      </c>
      <c r="B3867" s="6" t="s">
        <v>94</v>
      </c>
      <c r="C3867" s="13">
        <v>109</v>
      </c>
      <c r="D3867" s="14" t="s">
        <v>83</v>
      </c>
      <c r="E3867">
        <v>9</v>
      </c>
      <c r="F3867" s="8">
        <f>VLOOKUP(financials[[#This Row],[productid]],Products!$B$2:$H$10,3)</f>
        <v>36</v>
      </c>
      <c r="G3867" s="8">
        <f>financials[[#This Row],[Units Sold]]*financials[[#This Row],[Sale Price]]</f>
        <v>324</v>
      </c>
      <c r="H3867" s="8">
        <f>IF(financials[[#This Row],[Discount Band]]="low",0.1,IF(financials[[#This Row],[Discount Band]]="medium",0.15,0.3))</f>
        <v>0.3</v>
      </c>
      <c r="I3867" s="8">
        <f>financials[[#This Row],[Gross Sales]]-financials[[#This Row],[Gross Sales]]*financials[[#This Row],[Discounts]]</f>
        <v>226.8</v>
      </c>
      <c r="J3867" s="8">
        <f>VLOOKUP(financials[[#This Row],[productid]],Products!$B$2:$H$10,4)</f>
        <v>16.8</v>
      </c>
      <c r="K3867" s="8">
        <f>financials[[#This Row],[Net Sales]]-financials[[#This Row],[COGS]]</f>
        <v>210</v>
      </c>
      <c r="L3867" s="15">
        <v>44381</v>
      </c>
      <c r="M3867" t="s">
        <v>697</v>
      </c>
    </row>
    <row r="3868" spans="1:13" x14ac:dyDescent="0.25">
      <c r="A3868" t="s">
        <v>88</v>
      </c>
      <c r="B3868" s="6" t="s">
        <v>268</v>
      </c>
      <c r="C3868" s="13">
        <v>104</v>
      </c>
      <c r="D3868" s="14" t="s">
        <v>83</v>
      </c>
      <c r="E3868">
        <v>11</v>
      </c>
      <c r="F3868" s="8">
        <f>VLOOKUP(financials[[#This Row],[productid]],Products!$B$2:$H$10,3)</f>
        <v>5.9</v>
      </c>
      <c r="G3868" s="8">
        <f>financials[[#This Row],[Units Sold]]*financials[[#This Row],[Sale Price]]</f>
        <v>64.900000000000006</v>
      </c>
      <c r="H3868" s="8">
        <f>IF(financials[[#This Row],[Discount Band]]="low",0.1,IF(financials[[#This Row],[Discount Band]]="medium",0.15,0.3))</f>
        <v>0.3</v>
      </c>
      <c r="I3868" s="8">
        <f>financials[[#This Row],[Gross Sales]]-financials[[#This Row],[Gross Sales]]*financials[[#This Row],[Discounts]]</f>
        <v>45.430000000000007</v>
      </c>
      <c r="J3868" s="8">
        <f>VLOOKUP(financials[[#This Row],[productid]],Products!$B$2:$H$10,4)</f>
        <v>2.9</v>
      </c>
      <c r="K3868" s="8">
        <f>financials[[#This Row],[Net Sales]]-financials[[#This Row],[COGS]]</f>
        <v>42.530000000000008</v>
      </c>
      <c r="L3868" s="15">
        <v>45471</v>
      </c>
      <c r="M3868" t="s">
        <v>696</v>
      </c>
    </row>
    <row r="3869" spans="1:13" x14ac:dyDescent="0.25">
      <c r="A3869" t="s">
        <v>86</v>
      </c>
      <c r="B3869" s="6" t="s">
        <v>158</v>
      </c>
      <c r="C3869" s="13">
        <v>106</v>
      </c>
      <c r="D3869" s="14" t="s">
        <v>83</v>
      </c>
      <c r="E3869">
        <v>10</v>
      </c>
      <c r="F3869" s="8">
        <f>VLOOKUP(financials[[#This Row],[productid]],Products!$B$2:$H$10,3)</f>
        <v>25</v>
      </c>
      <c r="G3869" s="8">
        <f>financials[[#This Row],[Units Sold]]*financials[[#This Row],[Sale Price]]</f>
        <v>250</v>
      </c>
      <c r="H3869" s="8">
        <f>IF(financials[[#This Row],[Discount Band]]="low",0.1,IF(financials[[#This Row],[Discount Band]]="medium",0.15,0.3))</f>
        <v>0.3</v>
      </c>
      <c r="I3869" s="8">
        <f>financials[[#This Row],[Gross Sales]]-financials[[#This Row],[Gross Sales]]*financials[[#This Row],[Discounts]]</f>
        <v>175</v>
      </c>
      <c r="J3869" s="8">
        <f>VLOOKUP(financials[[#This Row],[productid]],Products!$B$2:$H$10,4)</f>
        <v>9.1</v>
      </c>
      <c r="K3869" s="8">
        <f>financials[[#This Row],[Net Sales]]-financials[[#This Row],[COGS]]</f>
        <v>165.9</v>
      </c>
      <c r="L3869" s="15">
        <v>44620</v>
      </c>
      <c r="M3869" t="s">
        <v>697</v>
      </c>
    </row>
    <row r="3870" spans="1:13" x14ac:dyDescent="0.25">
      <c r="A3870" t="s">
        <v>88</v>
      </c>
      <c r="B3870" s="6" t="s">
        <v>205</v>
      </c>
      <c r="C3870" s="11">
        <v>102</v>
      </c>
      <c r="D3870" s="9" t="s">
        <v>83</v>
      </c>
      <c r="E3870">
        <v>8</v>
      </c>
      <c r="F3870" s="8">
        <f>VLOOKUP(financials[[#This Row],[productid]],Products!$B$2:$H$10,3)</f>
        <v>15</v>
      </c>
      <c r="G3870" s="8">
        <f>financials[[#This Row],[Units Sold]]*financials[[#This Row],[Sale Price]]</f>
        <v>120</v>
      </c>
      <c r="H3870" s="8">
        <f>IF(financials[[#This Row],[Discount Band]]="low",0.1,IF(financials[[#This Row],[Discount Band]]="medium",0.15,0.3))</f>
        <v>0.3</v>
      </c>
      <c r="I3870" s="8">
        <f>financials[[#This Row],[Gross Sales]]-financials[[#This Row],[Gross Sales]]*financials[[#This Row],[Discounts]]</f>
        <v>84</v>
      </c>
      <c r="J3870" s="8">
        <f>VLOOKUP(financials[[#This Row],[productid]],Products!$B$2:$H$10,4)</f>
        <v>13.95</v>
      </c>
      <c r="K3870" s="8">
        <f>financials[[#This Row],[Net Sales]]-financials[[#This Row],[COGS]]</f>
        <v>70.05</v>
      </c>
      <c r="L3870" s="15">
        <v>44653</v>
      </c>
      <c r="M3870" t="s">
        <v>696</v>
      </c>
    </row>
    <row r="3871" spans="1:13" x14ac:dyDescent="0.25">
      <c r="A3871" t="s">
        <v>88</v>
      </c>
      <c r="B3871" s="6" t="s">
        <v>198</v>
      </c>
      <c r="C3871" s="13">
        <v>105</v>
      </c>
      <c r="D3871" s="14" t="s">
        <v>92</v>
      </c>
      <c r="E3871">
        <v>11</v>
      </c>
      <c r="F3871" s="8">
        <f>VLOOKUP(financials[[#This Row],[productid]],Products!$B$2:$H$10,3)</f>
        <v>15</v>
      </c>
      <c r="G3871" s="8">
        <f>financials[[#This Row],[Units Sold]]*financials[[#This Row],[Sale Price]]</f>
        <v>165</v>
      </c>
      <c r="H3871" s="8">
        <f>IF(financials[[#This Row],[Discount Band]]="low",0.1,IF(financials[[#This Row],[Discount Band]]="medium",0.15,0.3))</f>
        <v>0.3</v>
      </c>
      <c r="I3871" s="8">
        <f>financials[[#This Row],[Gross Sales]]-financials[[#This Row],[Gross Sales]]*financials[[#This Row],[Discounts]]</f>
        <v>115.5</v>
      </c>
      <c r="J3871" s="8">
        <f>VLOOKUP(financials[[#This Row],[productid]],Products!$B$2:$H$10,4)</f>
        <v>10</v>
      </c>
      <c r="K3871" s="8">
        <f>financials[[#This Row],[Net Sales]]-financials[[#This Row],[COGS]]</f>
        <v>105.5</v>
      </c>
      <c r="L3871" s="15">
        <v>43969</v>
      </c>
      <c r="M3871" t="s">
        <v>690</v>
      </c>
    </row>
    <row r="3872" spans="1:13" x14ac:dyDescent="0.25">
      <c r="A3872" t="s">
        <v>86</v>
      </c>
      <c r="B3872" s="6" t="s">
        <v>645</v>
      </c>
      <c r="C3872" s="13">
        <v>107</v>
      </c>
      <c r="D3872" s="14" t="s">
        <v>90</v>
      </c>
      <c r="E3872">
        <v>13</v>
      </c>
      <c r="F3872" s="8">
        <f>VLOOKUP(financials[[#This Row],[productid]],Products!$B$2:$H$10,3)</f>
        <v>15</v>
      </c>
      <c r="G3872" s="8">
        <f>financials[[#This Row],[Units Sold]]*financials[[#This Row],[Sale Price]]</f>
        <v>195</v>
      </c>
      <c r="H3872" s="8">
        <f>IF(financials[[#This Row],[Discount Band]]="low",0.1,IF(financials[[#This Row],[Discount Band]]="medium",0.15,0.3))</f>
        <v>0.15</v>
      </c>
      <c r="I3872" s="8">
        <f>financials[[#This Row],[Gross Sales]]-financials[[#This Row],[Gross Sales]]*financials[[#This Row],[Discounts]]</f>
        <v>165.75</v>
      </c>
      <c r="J3872" s="8">
        <f>VLOOKUP(financials[[#This Row],[productid]],Products!$B$2:$H$10,4)</f>
        <v>5.5</v>
      </c>
      <c r="K3872" s="8">
        <f>financials[[#This Row],[Net Sales]]-financials[[#This Row],[COGS]]</f>
        <v>160.25</v>
      </c>
      <c r="L3872" s="15">
        <v>44697</v>
      </c>
      <c r="M3872" t="s">
        <v>696</v>
      </c>
    </row>
    <row r="3873" spans="1:13" x14ac:dyDescent="0.25">
      <c r="A3873" t="s">
        <v>88</v>
      </c>
      <c r="B3873" s="6" t="s">
        <v>268</v>
      </c>
      <c r="C3873" s="13">
        <v>105</v>
      </c>
      <c r="D3873" s="14" t="s">
        <v>90</v>
      </c>
      <c r="E3873">
        <v>9</v>
      </c>
      <c r="F3873" s="8">
        <f>VLOOKUP(financials[[#This Row],[productid]],Products!$B$2:$H$10,3)</f>
        <v>15</v>
      </c>
      <c r="G3873" s="8">
        <f>financials[[#This Row],[Units Sold]]*financials[[#This Row],[Sale Price]]</f>
        <v>135</v>
      </c>
      <c r="H3873" s="8">
        <f>IF(financials[[#This Row],[Discount Band]]="low",0.1,IF(financials[[#This Row],[Discount Band]]="medium",0.15,0.3))</f>
        <v>0.15</v>
      </c>
      <c r="I3873" s="8">
        <f>financials[[#This Row],[Gross Sales]]-financials[[#This Row],[Gross Sales]]*financials[[#This Row],[Discounts]]</f>
        <v>114.75</v>
      </c>
      <c r="J3873" s="8">
        <f>VLOOKUP(financials[[#This Row],[productid]],Products!$B$2:$H$10,4)</f>
        <v>10</v>
      </c>
      <c r="K3873" s="8">
        <f>financials[[#This Row],[Net Sales]]-financials[[#This Row],[COGS]]</f>
        <v>104.75</v>
      </c>
      <c r="L3873" s="15">
        <v>44821</v>
      </c>
      <c r="M3873" t="s">
        <v>691</v>
      </c>
    </row>
    <row r="3874" spans="1:13" x14ac:dyDescent="0.25">
      <c r="A3874" t="s">
        <v>86</v>
      </c>
      <c r="B3874" s="6" t="s">
        <v>124</v>
      </c>
      <c r="C3874" s="11">
        <v>108</v>
      </c>
      <c r="D3874" s="9" t="s">
        <v>92</v>
      </c>
      <c r="E3874">
        <v>13</v>
      </c>
      <c r="F3874" s="8">
        <f>VLOOKUP(financials[[#This Row],[productid]],Products!$B$2:$H$10,3)</f>
        <v>5.5</v>
      </c>
      <c r="G3874" s="8">
        <f>financials[[#This Row],[Units Sold]]*financials[[#This Row],[Sale Price]]</f>
        <v>71.5</v>
      </c>
      <c r="H3874" s="8">
        <f>IF(financials[[#This Row],[Discount Band]]="low",0.1,IF(financials[[#This Row],[Discount Band]]="medium",0.15,0.3))</f>
        <v>0.3</v>
      </c>
      <c r="I3874" s="8">
        <f>financials[[#This Row],[Gross Sales]]-financials[[#This Row],[Gross Sales]]*financials[[#This Row],[Discounts]]</f>
        <v>50.05</v>
      </c>
      <c r="J3874" s="8">
        <f>VLOOKUP(financials[[#This Row],[productid]],Products!$B$2:$H$10,4)</f>
        <v>3.99</v>
      </c>
      <c r="K3874" s="8">
        <f>financials[[#This Row],[Net Sales]]-financials[[#This Row],[COGS]]</f>
        <v>46.059999999999995</v>
      </c>
      <c r="L3874" s="15">
        <v>44559</v>
      </c>
      <c r="M3874" t="s">
        <v>691</v>
      </c>
    </row>
    <row r="3875" spans="1:13" x14ac:dyDescent="0.25">
      <c r="A3875" t="s">
        <v>88</v>
      </c>
      <c r="B3875" s="6" t="s">
        <v>276</v>
      </c>
      <c r="C3875" s="13">
        <v>103</v>
      </c>
      <c r="D3875" s="14" t="s">
        <v>83</v>
      </c>
      <c r="E3875">
        <v>12</v>
      </c>
      <c r="F3875" s="8">
        <f>VLOOKUP(financials[[#This Row],[productid]],Products!$B$2:$H$10,3)</f>
        <v>28</v>
      </c>
      <c r="G3875" s="8">
        <f>financials[[#This Row],[Units Sold]]*financials[[#This Row],[Sale Price]]</f>
        <v>336</v>
      </c>
      <c r="H3875" s="8">
        <f>IF(financials[[#This Row],[Discount Band]]="low",0.1,IF(financials[[#This Row],[Discount Band]]="medium",0.15,0.3))</f>
        <v>0.3</v>
      </c>
      <c r="I3875" s="8">
        <f>financials[[#This Row],[Gross Sales]]-financials[[#This Row],[Gross Sales]]*financials[[#This Row],[Discounts]]</f>
        <v>235.2</v>
      </c>
      <c r="J3875" s="8">
        <f>VLOOKUP(financials[[#This Row],[productid]],Products!$B$2:$H$10,4)</f>
        <v>15</v>
      </c>
      <c r="K3875" s="8">
        <f>financials[[#This Row],[Net Sales]]-financials[[#This Row],[COGS]]</f>
        <v>220.2</v>
      </c>
      <c r="L3875" s="15">
        <v>44883</v>
      </c>
      <c r="M3875" t="s">
        <v>700</v>
      </c>
    </row>
    <row r="3876" spans="1:13" x14ac:dyDescent="0.25">
      <c r="A3876" t="s">
        <v>86</v>
      </c>
      <c r="B3876" s="6" t="s">
        <v>232</v>
      </c>
      <c r="C3876" s="13">
        <v>106</v>
      </c>
      <c r="D3876" s="14" t="s">
        <v>91</v>
      </c>
      <c r="E3876">
        <v>18</v>
      </c>
      <c r="F3876" s="8">
        <f>VLOOKUP(financials[[#This Row],[productid]],Products!$B$2:$H$10,3)</f>
        <v>25</v>
      </c>
      <c r="G3876" s="8">
        <f>financials[[#This Row],[Units Sold]]*financials[[#This Row],[Sale Price]]</f>
        <v>450</v>
      </c>
      <c r="H3876" s="8">
        <f>IF(financials[[#This Row],[Discount Band]]="low",0.1,IF(financials[[#This Row],[Discount Band]]="medium",0.15,0.3))</f>
        <v>0.1</v>
      </c>
      <c r="I3876" s="8">
        <f>financials[[#This Row],[Gross Sales]]-financials[[#This Row],[Gross Sales]]*financials[[#This Row],[Discounts]]</f>
        <v>405</v>
      </c>
      <c r="J3876" s="8">
        <f>VLOOKUP(financials[[#This Row],[productid]],Products!$B$2:$H$10,4)</f>
        <v>9.1</v>
      </c>
      <c r="K3876" s="8">
        <f>financials[[#This Row],[Net Sales]]-financials[[#This Row],[COGS]]</f>
        <v>395.9</v>
      </c>
      <c r="L3876" s="15">
        <v>45302</v>
      </c>
      <c r="M3876" t="s">
        <v>690</v>
      </c>
    </row>
    <row r="3877" spans="1:13" x14ac:dyDescent="0.25">
      <c r="A3877" t="s">
        <v>86</v>
      </c>
      <c r="B3877" s="6" t="s">
        <v>617</v>
      </c>
      <c r="C3877" s="11">
        <v>105</v>
      </c>
      <c r="D3877" s="9" t="s">
        <v>83</v>
      </c>
      <c r="E3877">
        <v>17</v>
      </c>
      <c r="F3877" s="8">
        <f>VLOOKUP(financials[[#This Row],[productid]],Products!$B$2:$H$10,3)</f>
        <v>15</v>
      </c>
      <c r="G3877" s="8">
        <f>financials[[#This Row],[Units Sold]]*financials[[#This Row],[Sale Price]]</f>
        <v>255</v>
      </c>
      <c r="H3877" s="8">
        <f>IF(financials[[#This Row],[Discount Band]]="low",0.1,IF(financials[[#This Row],[Discount Band]]="medium",0.15,0.3))</f>
        <v>0.3</v>
      </c>
      <c r="I3877" s="8">
        <f>financials[[#This Row],[Gross Sales]]-financials[[#This Row],[Gross Sales]]*financials[[#This Row],[Discounts]]</f>
        <v>178.5</v>
      </c>
      <c r="J3877" s="8">
        <f>VLOOKUP(financials[[#This Row],[productid]],Products!$B$2:$H$10,4)</f>
        <v>10</v>
      </c>
      <c r="K3877" s="8">
        <f>financials[[#This Row],[Net Sales]]-financials[[#This Row],[COGS]]</f>
        <v>168.5</v>
      </c>
      <c r="L3877" s="15">
        <v>45514</v>
      </c>
      <c r="M3877" t="s">
        <v>690</v>
      </c>
    </row>
    <row r="3878" spans="1:13" x14ac:dyDescent="0.25">
      <c r="A3878" t="s">
        <v>86</v>
      </c>
      <c r="B3878" s="6" t="s">
        <v>148</v>
      </c>
      <c r="C3878" s="13">
        <v>106</v>
      </c>
      <c r="D3878" s="14" t="s">
        <v>92</v>
      </c>
      <c r="E3878">
        <v>19</v>
      </c>
      <c r="F3878" s="8">
        <f>VLOOKUP(financials[[#This Row],[productid]],Products!$B$2:$H$10,3)</f>
        <v>25</v>
      </c>
      <c r="G3878" s="8">
        <f>financials[[#This Row],[Units Sold]]*financials[[#This Row],[Sale Price]]</f>
        <v>475</v>
      </c>
      <c r="H3878" s="8">
        <f>IF(financials[[#This Row],[Discount Band]]="low",0.1,IF(financials[[#This Row],[Discount Band]]="medium",0.15,0.3))</f>
        <v>0.3</v>
      </c>
      <c r="I3878" s="8">
        <f>financials[[#This Row],[Gross Sales]]-financials[[#This Row],[Gross Sales]]*financials[[#This Row],[Discounts]]</f>
        <v>332.5</v>
      </c>
      <c r="J3878" s="8">
        <f>VLOOKUP(financials[[#This Row],[productid]],Products!$B$2:$H$10,4)</f>
        <v>9.1</v>
      </c>
      <c r="K3878" s="8">
        <f>financials[[#This Row],[Net Sales]]-financials[[#This Row],[COGS]]</f>
        <v>323.39999999999998</v>
      </c>
      <c r="L3878" s="15">
        <v>45642</v>
      </c>
      <c r="M3878" t="s">
        <v>697</v>
      </c>
    </row>
    <row r="3879" spans="1:13" x14ac:dyDescent="0.25">
      <c r="A3879" t="s">
        <v>86</v>
      </c>
      <c r="B3879" s="6" t="s">
        <v>205</v>
      </c>
      <c r="C3879" s="13">
        <v>109</v>
      </c>
      <c r="D3879" s="14" t="s">
        <v>90</v>
      </c>
      <c r="E3879">
        <v>5</v>
      </c>
      <c r="F3879" s="8">
        <f>VLOOKUP(financials[[#This Row],[productid]],Products!$B$2:$H$10,3)</f>
        <v>36</v>
      </c>
      <c r="G3879" s="8">
        <f>financials[[#This Row],[Units Sold]]*financials[[#This Row],[Sale Price]]</f>
        <v>180</v>
      </c>
      <c r="H3879" s="8">
        <f>IF(financials[[#This Row],[Discount Band]]="low",0.1,IF(financials[[#This Row],[Discount Band]]="medium",0.15,0.3))</f>
        <v>0.15</v>
      </c>
      <c r="I3879" s="8">
        <f>financials[[#This Row],[Gross Sales]]-financials[[#This Row],[Gross Sales]]*financials[[#This Row],[Discounts]]</f>
        <v>153</v>
      </c>
      <c r="J3879" s="8">
        <f>VLOOKUP(financials[[#This Row],[productid]],Products!$B$2:$H$10,4)</f>
        <v>16.8</v>
      </c>
      <c r="K3879" s="8">
        <f>financials[[#This Row],[Net Sales]]-financials[[#This Row],[COGS]]</f>
        <v>136.19999999999999</v>
      </c>
      <c r="L3879" s="15">
        <v>44743</v>
      </c>
      <c r="M3879" t="s">
        <v>690</v>
      </c>
    </row>
    <row r="3880" spans="1:13" x14ac:dyDescent="0.25">
      <c r="A3880" t="s">
        <v>88</v>
      </c>
      <c r="B3880" s="6" t="s">
        <v>198</v>
      </c>
      <c r="C3880" s="11">
        <v>109</v>
      </c>
      <c r="D3880" s="9" t="s">
        <v>83</v>
      </c>
      <c r="E3880">
        <v>14</v>
      </c>
      <c r="F3880" s="8">
        <f>VLOOKUP(financials[[#This Row],[productid]],Products!$B$2:$H$10,3)</f>
        <v>36</v>
      </c>
      <c r="G3880" s="8">
        <f>financials[[#This Row],[Units Sold]]*financials[[#This Row],[Sale Price]]</f>
        <v>504</v>
      </c>
      <c r="H3880" s="8">
        <f>IF(financials[[#This Row],[Discount Band]]="low",0.1,IF(financials[[#This Row],[Discount Band]]="medium",0.15,0.3))</f>
        <v>0.3</v>
      </c>
      <c r="I3880" s="8">
        <f>financials[[#This Row],[Gross Sales]]-financials[[#This Row],[Gross Sales]]*financials[[#This Row],[Discounts]]</f>
        <v>352.8</v>
      </c>
      <c r="J3880" s="8">
        <f>VLOOKUP(financials[[#This Row],[productid]],Products!$B$2:$H$10,4)</f>
        <v>16.8</v>
      </c>
      <c r="K3880" s="8">
        <f>financials[[#This Row],[Net Sales]]-financials[[#This Row],[COGS]]</f>
        <v>336</v>
      </c>
      <c r="L3880" s="15">
        <v>45398</v>
      </c>
      <c r="M3880" t="s">
        <v>696</v>
      </c>
    </row>
    <row r="3881" spans="1:13" x14ac:dyDescent="0.25">
      <c r="A3881" t="s">
        <v>88</v>
      </c>
      <c r="B3881" s="6" t="s">
        <v>94</v>
      </c>
      <c r="C3881" s="13">
        <v>106</v>
      </c>
      <c r="D3881" s="14" t="s">
        <v>90</v>
      </c>
      <c r="E3881">
        <v>14</v>
      </c>
      <c r="F3881" s="8">
        <f>VLOOKUP(financials[[#This Row],[productid]],Products!$B$2:$H$10,3)</f>
        <v>25</v>
      </c>
      <c r="G3881" s="8">
        <f>financials[[#This Row],[Units Sold]]*financials[[#This Row],[Sale Price]]</f>
        <v>350</v>
      </c>
      <c r="H3881" s="8">
        <f>IF(financials[[#This Row],[Discount Band]]="low",0.1,IF(financials[[#This Row],[Discount Band]]="medium",0.15,0.3))</f>
        <v>0.15</v>
      </c>
      <c r="I3881" s="8">
        <f>financials[[#This Row],[Gross Sales]]-financials[[#This Row],[Gross Sales]]*financials[[#This Row],[Discounts]]</f>
        <v>297.5</v>
      </c>
      <c r="J3881" s="8">
        <f>VLOOKUP(financials[[#This Row],[productid]],Products!$B$2:$H$10,4)</f>
        <v>9.1</v>
      </c>
      <c r="K3881" s="8">
        <f>financials[[#This Row],[Net Sales]]-financials[[#This Row],[COGS]]</f>
        <v>288.39999999999998</v>
      </c>
      <c r="L3881" s="15">
        <v>43838</v>
      </c>
      <c r="M3881" t="s">
        <v>697</v>
      </c>
    </row>
    <row r="3882" spans="1:13" x14ac:dyDescent="0.25">
      <c r="A3882" t="s">
        <v>86</v>
      </c>
      <c r="B3882" s="6" t="s">
        <v>148</v>
      </c>
      <c r="C3882" s="11">
        <v>106</v>
      </c>
      <c r="D3882" s="9" t="s">
        <v>83</v>
      </c>
      <c r="E3882">
        <v>17</v>
      </c>
      <c r="F3882" s="8">
        <f>VLOOKUP(financials[[#This Row],[productid]],Products!$B$2:$H$10,3)</f>
        <v>25</v>
      </c>
      <c r="G3882" s="8">
        <f>financials[[#This Row],[Units Sold]]*financials[[#This Row],[Sale Price]]</f>
        <v>425</v>
      </c>
      <c r="H3882" s="8">
        <f>IF(financials[[#This Row],[Discount Band]]="low",0.1,IF(financials[[#This Row],[Discount Band]]="medium",0.15,0.3))</f>
        <v>0.3</v>
      </c>
      <c r="I3882" s="8">
        <f>financials[[#This Row],[Gross Sales]]-financials[[#This Row],[Gross Sales]]*financials[[#This Row],[Discounts]]</f>
        <v>297.5</v>
      </c>
      <c r="J3882" s="8">
        <f>VLOOKUP(financials[[#This Row],[productid]],Products!$B$2:$H$10,4)</f>
        <v>9.1</v>
      </c>
      <c r="K3882" s="8">
        <f>financials[[#This Row],[Net Sales]]-financials[[#This Row],[COGS]]</f>
        <v>288.39999999999998</v>
      </c>
      <c r="L3882" s="15">
        <v>44663</v>
      </c>
      <c r="M3882" t="s">
        <v>697</v>
      </c>
    </row>
    <row r="3883" spans="1:13" x14ac:dyDescent="0.25">
      <c r="A3883" t="s">
        <v>86</v>
      </c>
      <c r="B3883" s="6" t="s">
        <v>287</v>
      </c>
      <c r="C3883" s="13">
        <v>106</v>
      </c>
      <c r="D3883" s="14" t="s">
        <v>83</v>
      </c>
      <c r="E3883">
        <v>14</v>
      </c>
      <c r="F3883" s="8">
        <f>VLOOKUP(financials[[#This Row],[productid]],Products!$B$2:$H$10,3)</f>
        <v>25</v>
      </c>
      <c r="G3883" s="8">
        <f>financials[[#This Row],[Units Sold]]*financials[[#This Row],[Sale Price]]</f>
        <v>350</v>
      </c>
      <c r="H3883" s="8">
        <f>IF(financials[[#This Row],[Discount Band]]="low",0.1,IF(financials[[#This Row],[Discount Band]]="medium",0.15,0.3))</f>
        <v>0.3</v>
      </c>
      <c r="I3883" s="8">
        <f>financials[[#This Row],[Gross Sales]]-financials[[#This Row],[Gross Sales]]*financials[[#This Row],[Discounts]]</f>
        <v>245</v>
      </c>
      <c r="J3883" s="8">
        <f>VLOOKUP(financials[[#This Row],[productid]],Products!$B$2:$H$10,4)</f>
        <v>9.1</v>
      </c>
      <c r="K3883" s="8">
        <f>financials[[#This Row],[Net Sales]]-financials[[#This Row],[COGS]]</f>
        <v>235.9</v>
      </c>
      <c r="L3883" s="15">
        <v>44093</v>
      </c>
      <c r="M3883" t="s">
        <v>691</v>
      </c>
    </row>
    <row r="3884" spans="1:13" x14ac:dyDescent="0.25">
      <c r="A3884" t="s">
        <v>88</v>
      </c>
      <c r="B3884" s="6" t="s">
        <v>273</v>
      </c>
      <c r="C3884" s="13">
        <v>106</v>
      </c>
      <c r="D3884" s="14" t="s">
        <v>83</v>
      </c>
      <c r="E3884">
        <v>17</v>
      </c>
      <c r="F3884" s="8">
        <f>VLOOKUP(financials[[#This Row],[productid]],Products!$B$2:$H$10,3)</f>
        <v>25</v>
      </c>
      <c r="G3884" s="8">
        <f>financials[[#This Row],[Units Sold]]*financials[[#This Row],[Sale Price]]</f>
        <v>425</v>
      </c>
      <c r="H3884" s="8">
        <f>IF(financials[[#This Row],[Discount Band]]="low",0.1,IF(financials[[#This Row],[Discount Band]]="medium",0.15,0.3))</f>
        <v>0.3</v>
      </c>
      <c r="I3884" s="8">
        <f>financials[[#This Row],[Gross Sales]]-financials[[#This Row],[Gross Sales]]*financials[[#This Row],[Discounts]]</f>
        <v>297.5</v>
      </c>
      <c r="J3884" s="8">
        <f>VLOOKUP(financials[[#This Row],[productid]],Products!$B$2:$H$10,4)</f>
        <v>9.1</v>
      </c>
      <c r="K3884" s="8">
        <f>financials[[#This Row],[Net Sales]]-financials[[#This Row],[COGS]]</f>
        <v>288.39999999999998</v>
      </c>
      <c r="L3884" s="15">
        <v>44310</v>
      </c>
      <c r="M3884" t="s">
        <v>691</v>
      </c>
    </row>
    <row r="3885" spans="1:13" x14ac:dyDescent="0.25">
      <c r="A3885" t="s">
        <v>88</v>
      </c>
      <c r="B3885" s="6" t="s">
        <v>94</v>
      </c>
      <c r="C3885" s="13">
        <v>102</v>
      </c>
      <c r="D3885" s="14" t="s">
        <v>91</v>
      </c>
      <c r="E3885">
        <v>15</v>
      </c>
      <c r="F3885" s="8">
        <f>VLOOKUP(financials[[#This Row],[productid]],Products!$B$2:$H$10,3)</f>
        <v>15</v>
      </c>
      <c r="G3885" s="8">
        <f>financials[[#This Row],[Units Sold]]*financials[[#This Row],[Sale Price]]</f>
        <v>225</v>
      </c>
      <c r="H3885" s="8">
        <f>IF(financials[[#This Row],[Discount Band]]="low",0.1,IF(financials[[#This Row],[Discount Band]]="medium",0.15,0.3))</f>
        <v>0.1</v>
      </c>
      <c r="I3885" s="8">
        <f>financials[[#This Row],[Gross Sales]]-financials[[#This Row],[Gross Sales]]*financials[[#This Row],[Discounts]]</f>
        <v>202.5</v>
      </c>
      <c r="J3885" s="8">
        <f>VLOOKUP(financials[[#This Row],[productid]],Products!$B$2:$H$10,4)</f>
        <v>13.95</v>
      </c>
      <c r="K3885" s="8">
        <f>financials[[#This Row],[Net Sales]]-financials[[#This Row],[COGS]]</f>
        <v>188.55</v>
      </c>
      <c r="L3885" s="15">
        <v>44333</v>
      </c>
      <c r="M3885" t="s">
        <v>697</v>
      </c>
    </row>
    <row r="3886" spans="1:13" x14ac:dyDescent="0.25">
      <c r="A3886" t="s">
        <v>86</v>
      </c>
      <c r="B3886" s="6" t="s">
        <v>124</v>
      </c>
      <c r="C3886" s="13">
        <v>108</v>
      </c>
      <c r="D3886" s="14" t="s">
        <v>83</v>
      </c>
      <c r="E3886">
        <v>8</v>
      </c>
      <c r="F3886" s="8">
        <f>VLOOKUP(financials[[#This Row],[productid]],Products!$B$2:$H$10,3)</f>
        <v>5.5</v>
      </c>
      <c r="G3886" s="8">
        <f>financials[[#This Row],[Units Sold]]*financials[[#This Row],[Sale Price]]</f>
        <v>44</v>
      </c>
      <c r="H3886" s="8">
        <f>IF(financials[[#This Row],[Discount Band]]="low",0.1,IF(financials[[#This Row],[Discount Band]]="medium",0.15,0.3))</f>
        <v>0.3</v>
      </c>
      <c r="I3886" s="8">
        <f>financials[[#This Row],[Gross Sales]]-financials[[#This Row],[Gross Sales]]*financials[[#This Row],[Discounts]]</f>
        <v>30.8</v>
      </c>
      <c r="J3886" s="8">
        <f>VLOOKUP(financials[[#This Row],[productid]],Products!$B$2:$H$10,4)</f>
        <v>3.99</v>
      </c>
      <c r="K3886" s="8">
        <f>financials[[#This Row],[Net Sales]]-financials[[#This Row],[COGS]]</f>
        <v>26.810000000000002</v>
      </c>
      <c r="L3886" s="15">
        <v>44044</v>
      </c>
      <c r="M3886" t="s">
        <v>690</v>
      </c>
    </row>
    <row r="3887" spans="1:13" x14ac:dyDescent="0.25">
      <c r="A3887" t="s">
        <v>86</v>
      </c>
      <c r="B3887" s="6" t="s">
        <v>148</v>
      </c>
      <c r="C3887" s="13">
        <v>104</v>
      </c>
      <c r="D3887" s="14" t="s">
        <v>83</v>
      </c>
      <c r="E3887">
        <v>18</v>
      </c>
      <c r="F3887" s="8">
        <f>VLOOKUP(financials[[#This Row],[productid]],Products!$B$2:$H$10,3)</f>
        <v>5.9</v>
      </c>
      <c r="G3887" s="8">
        <f>financials[[#This Row],[Units Sold]]*financials[[#This Row],[Sale Price]]</f>
        <v>106.2</v>
      </c>
      <c r="H3887" s="8">
        <f>IF(financials[[#This Row],[Discount Band]]="low",0.1,IF(financials[[#This Row],[Discount Band]]="medium",0.15,0.3))</f>
        <v>0.3</v>
      </c>
      <c r="I3887" s="8">
        <f>financials[[#This Row],[Gross Sales]]-financials[[#This Row],[Gross Sales]]*financials[[#This Row],[Discounts]]</f>
        <v>74.34</v>
      </c>
      <c r="J3887" s="8">
        <f>VLOOKUP(financials[[#This Row],[productid]],Products!$B$2:$H$10,4)</f>
        <v>2.9</v>
      </c>
      <c r="K3887" s="8">
        <f>financials[[#This Row],[Net Sales]]-financials[[#This Row],[COGS]]</f>
        <v>71.44</v>
      </c>
      <c r="L3887" s="15">
        <v>44094</v>
      </c>
      <c r="M3887" t="s">
        <v>696</v>
      </c>
    </row>
    <row r="3888" spans="1:13" x14ac:dyDescent="0.25">
      <c r="A3888" t="s">
        <v>86</v>
      </c>
      <c r="B3888" s="6" t="s">
        <v>617</v>
      </c>
      <c r="C3888" s="13">
        <v>102</v>
      </c>
      <c r="D3888" s="14" t="s">
        <v>90</v>
      </c>
      <c r="E3888">
        <v>20</v>
      </c>
      <c r="F3888" s="8">
        <f>VLOOKUP(financials[[#This Row],[productid]],Products!$B$2:$H$10,3)</f>
        <v>15</v>
      </c>
      <c r="G3888" s="8">
        <f>financials[[#This Row],[Units Sold]]*financials[[#This Row],[Sale Price]]</f>
        <v>300</v>
      </c>
      <c r="H3888" s="8">
        <f>IF(financials[[#This Row],[Discount Band]]="low",0.1,IF(financials[[#This Row],[Discount Band]]="medium",0.15,0.3))</f>
        <v>0.15</v>
      </c>
      <c r="I3888" s="8">
        <f>financials[[#This Row],[Gross Sales]]-financials[[#This Row],[Gross Sales]]*financials[[#This Row],[Discounts]]</f>
        <v>255</v>
      </c>
      <c r="J3888" s="8">
        <f>VLOOKUP(financials[[#This Row],[productid]],Products!$B$2:$H$10,4)</f>
        <v>13.95</v>
      </c>
      <c r="K3888" s="8">
        <f>financials[[#This Row],[Net Sales]]-financials[[#This Row],[COGS]]</f>
        <v>241.05</v>
      </c>
      <c r="L3888" s="15">
        <v>45155</v>
      </c>
      <c r="M3888" t="s">
        <v>691</v>
      </c>
    </row>
    <row r="3889" spans="1:13" x14ac:dyDescent="0.25">
      <c r="A3889" t="s">
        <v>86</v>
      </c>
      <c r="B3889" s="6" t="s">
        <v>158</v>
      </c>
      <c r="C3889" s="13">
        <v>107</v>
      </c>
      <c r="D3889" s="14" t="s">
        <v>83</v>
      </c>
      <c r="E3889">
        <v>8</v>
      </c>
      <c r="F3889" s="8">
        <f>VLOOKUP(financials[[#This Row],[productid]],Products!$B$2:$H$10,3)</f>
        <v>15</v>
      </c>
      <c r="G3889" s="8">
        <f>financials[[#This Row],[Units Sold]]*financials[[#This Row],[Sale Price]]</f>
        <v>120</v>
      </c>
      <c r="H3889" s="8">
        <f>IF(financials[[#This Row],[Discount Band]]="low",0.1,IF(financials[[#This Row],[Discount Band]]="medium",0.15,0.3))</f>
        <v>0.3</v>
      </c>
      <c r="I3889" s="8">
        <f>financials[[#This Row],[Gross Sales]]-financials[[#This Row],[Gross Sales]]*financials[[#This Row],[Discounts]]</f>
        <v>84</v>
      </c>
      <c r="J3889" s="8">
        <f>VLOOKUP(financials[[#This Row],[productid]],Products!$B$2:$H$10,4)</f>
        <v>5.5</v>
      </c>
      <c r="K3889" s="8">
        <f>financials[[#This Row],[Net Sales]]-financials[[#This Row],[COGS]]</f>
        <v>78.5</v>
      </c>
      <c r="L3889" s="15">
        <v>45316</v>
      </c>
      <c r="M3889" t="s">
        <v>697</v>
      </c>
    </row>
    <row r="3890" spans="1:13" x14ac:dyDescent="0.25">
      <c r="A3890" t="s">
        <v>88</v>
      </c>
      <c r="B3890" s="6" t="s">
        <v>198</v>
      </c>
      <c r="C3890" s="13">
        <v>109</v>
      </c>
      <c r="D3890" s="14" t="s">
        <v>91</v>
      </c>
      <c r="E3890">
        <v>12</v>
      </c>
      <c r="F3890" s="8">
        <f>VLOOKUP(financials[[#This Row],[productid]],Products!$B$2:$H$10,3)</f>
        <v>36</v>
      </c>
      <c r="G3890" s="8">
        <f>financials[[#This Row],[Units Sold]]*financials[[#This Row],[Sale Price]]</f>
        <v>432</v>
      </c>
      <c r="H3890" s="8">
        <f>IF(financials[[#This Row],[Discount Band]]="low",0.1,IF(financials[[#This Row],[Discount Band]]="medium",0.15,0.3))</f>
        <v>0.1</v>
      </c>
      <c r="I3890" s="8">
        <f>financials[[#This Row],[Gross Sales]]-financials[[#This Row],[Gross Sales]]*financials[[#This Row],[Discounts]]</f>
        <v>388.8</v>
      </c>
      <c r="J3890" s="8">
        <f>VLOOKUP(financials[[#This Row],[productid]],Products!$B$2:$H$10,4)</f>
        <v>16.8</v>
      </c>
      <c r="K3890" s="8">
        <f>financials[[#This Row],[Net Sales]]-financials[[#This Row],[COGS]]</f>
        <v>372</v>
      </c>
      <c r="L3890" s="15">
        <v>45127</v>
      </c>
      <c r="M3890" t="s">
        <v>700</v>
      </c>
    </row>
    <row r="3891" spans="1:13" x14ac:dyDescent="0.25">
      <c r="A3891" t="s">
        <v>86</v>
      </c>
      <c r="B3891" s="6" t="s">
        <v>273</v>
      </c>
      <c r="C3891" s="11">
        <v>105</v>
      </c>
      <c r="D3891" s="9" t="s">
        <v>90</v>
      </c>
      <c r="E3891">
        <v>7</v>
      </c>
      <c r="F3891" s="8">
        <f>VLOOKUP(financials[[#This Row],[productid]],Products!$B$2:$H$10,3)</f>
        <v>15</v>
      </c>
      <c r="G3891" s="8">
        <f>financials[[#This Row],[Units Sold]]*financials[[#This Row],[Sale Price]]</f>
        <v>105</v>
      </c>
      <c r="H3891" s="8">
        <f>IF(financials[[#This Row],[Discount Band]]="low",0.1,IF(financials[[#This Row],[Discount Band]]="medium",0.15,0.3))</f>
        <v>0.15</v>
      </c>
      <c r="I3891" s="8">
        <f>financials[[#This Row],[Gross Sales]]-financials[[#This Row],[Gross Sales]]*financials[[#This Row],[Discounts]]</f>
        <v>89.25</v>
      </c>
      <c r="J3891" s="8">
        <f>VLOOKUP(financials[[#This Row],[productid]],Products!$B$2:$H$10,4)</f>
        <v>10</v>
      </c>
      <c r="K3891" s="8">
        <f>financials[[#This Row],[Net Sales]]-financials[[#This Row],[COGS]]</f>
        <v>79.25</v>
      </c>
      <c r="L3891" s="15">
        <v>45001</v>
      </c>
      <c r="M3891" t="s">
        <v>700</v>
      </c>
    </row>
    <row r="3892" spans="1:13" x14ac:dyDescent="0.25">
      <c r="A3892" t="s">
        <v>86</v>
      </c>
      <c r="B3892" s="6" t="s">
        <v>148</v>
      </c>
      <c r="C3892" s="13">
        <v>104</v>
      </c>
      <c r="D3892" s="14" t="s">
        <v>92</v>
      </c>
      <c r="E3892">
        <v>10</v>
      </c>
      <c r="F3892" s="8">
        <f>VLOOKUP(financials[[#This Row],[productid]],Products!$B$2:$H$10,3)</f>
        <v>5.9</v>
      </c>
      <c r="G3892" s="8">
        <f>financials[[#This Row],[Units Sold]]*financials[[#This Row],[Sale Price]]</f>
        <v>59</v>
      </c>
      <c r="H3892" s="8">
        <f>IF(financials[[#This Row],[Discount Band]]="low",0.1,IF(financials[[#This Row],[Discount Band]]="medium",0.15,0.3))</f>
        <v>0.3</v>
      </c>
      <c r="I3892" s="8">
        <f>financials[[#This Row],[Gross Sales]]-financials[[#This Row],[Gross Sales]]*financials[[#This Row],[Discounts]]</f>
        <v>41.3</v>
      </c>
      <c r="J3892" s="8">
        <f>VLOOKUP(financials[[#This Row],[productid]],Products!$B$2:$H$10,4)</f>
        <v>2.9</v>
      </c>
      <c r="K3892" s="8">
        <f>financials[[#This Row],[Net Sales]]-financials[[#This Row],[COGS]]</f>
        <v>38.4</v>
      </c>
      <c r="L3892" s="15">
        <v>44601</v>
      </c>
      <c r="M3892" t="s">
        <v>696</v>
      </c>
    </row>
    <row r="3893" spans="1:13" x14ac:dyDescent="0.25">
      <c r="A3893" t="s">
        <v>88</v>
      </c>
      <c r="B3893" s="6" t="s">
        <v>273</v>
      </c>
      <c r="C3893" s="13">
        <v>109</v>
      </c>
      <c r="D3893" s="14" t="s">
        <v>90</v>
      </c>
      <c r="E3893">
        <v>19</v>
      </c>
      <c r="F3893" s="8">
        <f>VLOOKUP(financials[[#This Row],[productid]],Products!$B$2:$H$10,3)</f>
        <v>36</v>
      </c>
      <c r="G3893" s="8">
        <f>financials[[#This Row],[Units Sold]]*financials[[#This Row],[Sale Price]]</f>
        <v>684</v>
      </c>
      <c r="H3893" s="8">
        <f>IF(financials[[#This Row],[Discount Band]]="low",0.1,IF(financials[[#This Row],[Discount Band]]="medium",0.15,0.3))</f>
        <v>0.15</v>
      </c>
      <c r="I3893" s="8">
        <f>financials[[#This Row],[Gross Sales]]-financials[[#This Row],[Gross Sales]]*financials[[#This Row],[Discounts]]</f>
        <v>581.4</v>
      </c>
      <c r="J3893" s="8">
        <f>VLOOKUP(financials[[#This Row],[productid]],Products!$B$2:$H$10,4)</f>
        <v>16.8</v>
      </c>
      <c r="K3893" s="8">
        <f>financials[[#This Row],[Net Sales]]-financials[[#This Row],[COGS]]</f>
        <v>564.6</v>
      </c>
      <c r="L3893" s="15">
        <v>45349</v>
      </c>
      <c r="M3893" t="s">
        <v>696</v>
      </c>
    </row>
    <row r="3894" spans="1:13" x14ac:dyDescent="0.25">
      <c r="A3894" t="s">
        <v>88</v>
      </c>
      <c r="B3894" s="6" t="s">
        <v>95</v>
      </c>
      <c r="C3894" s="13">
        <v>107</v>
      </c>
      <c r="D3894" s="14" t="s">
        <v>83</v>
      </c>
      <c r="E3894">
        <v>9</v>
      </c>
      <c r="F3894" s="8">
        <f>VLOOKUP(financials[[#This Row],[productid]],Products!$B$2:$H$10,3)</f>
        <v>15</v>
      </c>
      <c r="G3894" s="8">
        <f>financials[[#This Row],[Units Sold]]*financials[[#This Row],[Sale Price]]</f>
        <v>135</v>
      </c>
      <c r="H3894" s="8">
        <f>IF(financials[[#This Row],[Discount Band]]="low",0.1,IF(financials[[#This Row],[Discount Band]]="medium",0.15,0.3))</f>
        <v>0.3</v>
      </c>
      <c r="I3894" s="8">
        <f>financials[[#This Row],[Gross Sales]]-financials[[#This Row],[Gross Sales]]*financials[[#This Row],[Discounts]]</f>
        <v>94.5</v>
      </c>
      <c r="J3894" s="8">
        <f>VLOOKUP(financials[[#This Row],[productid]],Products!$B$2:$H$10,4)</f>
        <v>5.5</v>
      </c>
      <c r="K3894" s="8">
        <f>financials[[#This Row],[Net Sales]]-financials[[#This Row],[COGS]]</f>
        <v>89</v>
      </c>
      <c r="L3894" s="15">
        <v>45617</v>
      </c>
      <c r="M3894" t="s">
        <v>700</v>
      </c>
    </row>
    <row r="3895" spans="1:13" x14ac:dyDescent="0.25">
      <c r="A3895" t="s">
        <v>88</v>
      </c>
      <c r="B3895" s="6" t="s">
        <v>545</v>
      </c>
      <c r="C3895" s="13">
        <v>105</v>
      </c>
      <c r="D3895" s="14" t="s">
        <v>83</v>
      </c>
      <c r="E3895">
        <v>11</v>
      </c>
      <c r="F3895" s="8">
        <f>VLOOKUP(financials[[#This Row],[productid]],Products!$B$2:$H$10,3)</f>
        <v>15</v>
      </c>
      <c r="G3895" s="8">
        <f>financials[[#This Row],[Units Sold]]*financials[[#This Row],[Sale Price]]</f>
        <v>165</v>
      </c>
      <c r="H3895" s="8">
        <f>IF(financials[[#This Row],[Discount Band]]="low",0.1,IF(financials[[#This Row],[Discount Band]]="medium",0.15,0.3))</f>
        <v>0.3</v>
      </c>
      <c r="I3895" s="8">
        <f>financials[[#This Row],[Gross Sales]]-financials[[#This Row],[Gross Sales]]*financials[[#This Row],[Discounts]]</f>
        <v>115.5</v>
      </c>
      <c r="J3895" s="8">
        <f>VLOOKUP(financials[[#This Row],[productid]],Products!$B$2:$H$10,4)</f>
        <v>10</v>
      </c>
      <c r="K3895" s="8">
        <f>financials[[#This Row],[Net Sales]]-financials[[#This Row],[COGS]]</f>
        <v>105.5</v>
      </c>
      <c r="L3895" s="15">
        <v>45227</v>
      </c>
      <c r="M3895" t="s">
        <v>691</v>
      </c>
    </row>
    <row r="3896" spans="1:13" x14ac:dyDescent="0.25">
      <c r="A3896" t="s">
        <v>86</v>
      </c>
      <c r="B3896" s="6" t="s">
        <v>124</v>
      </c>
      <c r="C3896" s="11">
        <v>107</v>
      </c>
      <c r="D3896" s="9" t="s">
        <v>90</v>
      </c>
      <c r="E3896">
        <v>16</v>
      </c>
      <c r="F3896" s="8">
        <f>VLOOKUP(financials[[#This Row],[productid]],Products!$B$2:$H$10,3)</f>
        <v>15</v>
      </c>
      <c r="G3896" s="8">
        <f>financials[[#This Row],[Units Sold]]*financials[[#This Row],[Sale Price]]</f>
        <v>240</v>
      </c>
      <c r="H3896" s="8">
        <f>IF(financials[[#This Row],[Discount Band]]="low",0.1,IF(financials[[#This Row],[Discount Band]]="medium",0.15,0.3))</f>
        <v>0.15</v>
      </c>
      <c r="I3896" s="8">
        <f>financials[[#This Row],[Gross Sales]]-financials[[#This Row],[Gross Sales]]*financials[[#This Row],[Discounts]]</f>
        <v>204</v>
      </c>
      <c r="J3896" s="8">
        <f>VLOOKUP(financials[[#This Row],[productid]],Products!$B$2:$H$10,4)</f>
        <v>5.5</v>
      </c>
      <c r="K3896" s="8">
        <f>financials[[#This Row],[Net Sales]]-financials[[#This Row],[COGS]]</f>
        <v>198.5</v>
      </c>
      <c r="L3896" s="15">
        <v>45004</v>
      </c>
      <c r="M3896" t="s">
        <v>697</v>
      </c>
    </row>
    <row r="3897" spans="1:13" x14ac:dyDescent="0.25">
      <c r="A3897" t="s">
        <v>86</v>
      </c>
      <c r="B3897" s="6" t="s">
        <v>287</v>
      </c>
      <c r="C3897" s="11">
        <v>107</v>
      </c>
      <c r="D3897" s="9" t="s">
        <v>83</v>
      </c>
      <c r="E3897">
        <v>6</v>
      </c>
      <c r="F3897" s="8">
        <f>VLOOKUP(financials[[#This Row],[productid]],Products!$B$2:$H$10,3)</f>
        <v>15</v>
      </c>
      <c r="G3897" s="8">
        <f>financials[[#This Row],[Units Sold]]*financials[[#This Row],[Sale Price]]</f>
        <v>90</v>
      </c>
      <c r="H3897" s="8">
        <f>IF(financials[[#This Row],[Discount Band]]="low",0.1,IF(financials[[#This Row],[Discount Band]]="medium",0.15,0.3))</f>
        <v>0.3</v>
      </c>
      <c r="I3897" s="8">
        <f>financials[[#This Row],[Gross Sales]]-financials[[#This Row],[Gross Sales]]*financials[[#This Row],[Discounts]]</f>
        <v>63</v>
      </c>
      <c r="J3897" s="8">
        <f>VLOOKUP(financials[[#This Row],[productid]],Products!$B$2:$H$10,4)</f>
        <v>5.5</v>
      </c>
      <c r="K3897" s="8">
        <f>financials[[#This Row],[Net Sales]]-financials[[#This Row],[COGS]]</f>
        <v>57.5</v>
      </c>
      <c r="L3897" s="15">
        <v>44876</v>
      </c>
      <c r="M3897" t="s">
        <v>691</v>
      </c>
    </row>
    <row r="3898" spans="1:13" x14ac:dyDescent="0.25">
      <c r="A3898" t="s">
        <v>86</v>
      </c>
      <c r="B3898" s="6" t="s">
        <v>167</v>
      </c>
      <c r="C3898" s="11">
        <v>104</v>
      </c>
      <c r="D3898" s="9" t="s">
        <v>83</v>
      </c>
      <c r="E3898">
        <v>20</v>
      </c>
      <c r="F3898" s="8">
        <f>VLOOKUP(financials[[#This Row],[productid]],Products!$B$2:$H$10,3)</f>
        <v>5.9</v>
      </c>
      <c r="G3898" s="8">
        <f>financials[[#This Row],[Units Sold]]*financials[[#This Row],[Sale Price]]</f>
        <v>118</v>
      </c>
      <c r="H3898" s="8">
        <f>IF(financials[[#This Row],[Discount Band]]="low",0.1,IF(financials[[#This Row],[Discount Band]]="medium",0.15,0.3))</f>
        <v>0.3</v>
      </c>
      <c r="I3898" s="8">
        <f>financials[[#This Row],[Gross Sales]]-financials[[#This Row],[Gross Sales]]*financials[[#This Row],[Discounts]]</f>
        <v>82.6</v>
      </c>
      <c r="J3898" s="8">
        <f>VLOOKUP(financials[[#This Row],[productid]],Products!$B$2:$H$10,4)</f>
        <v>2.9</v>
      </c>
      <c r="K3898" s="8">
        <f>financials[[#This Row],[Net Sales]]-financials[[#This Row],[COGS]]</f>
        <v>79.699999999999989</v>
      </c>
      <c r="L3898" s="15">
        <v>45201</v>
      </c>
      <c r="M3898" t="s">
        <v>690</v>
      </c>
    </row>
    <row r="3899" spans="1:13" x14ac:dyDescent="0.25">
      <c r="A3899" t="s">
        <v>86</v>
      </c>
      <c r="B3899" s="6" t="s">
        <v>617</v>
      </c>
      <c r="C3899" s="13">
        <v>103</v>
      </c>
      <c r="D3899" s="14" t="s">
        <v>92</v>
      </c>
      <c r="E3899">
        <v>11</v>
      </c>
      <c r="F3899" s="8">
        <f>VLOOKUP(financials[[#This Row],[productid]],Products!$B$2:$H$10,3)</f>
        <v>28</v>
      </c>
      <c r="G3899" s="8">
        <f>financials[[#This Row],[Units Sold]]*financials[[#This Row],[Sale Price]]</f>
        <v>308</v>
      </c>
      <c r="H3899" s="8">
        <f>IF(financials[[#This Row],[Discount Band]]="low",0.1,IF(financials[[#This Row],[Discount Band]]="medium",0.15,0.3))</f>
        <v>0.3</v>
      </c>
      <c r="I3899" s="8">
        <f>financials[[#This Row],[Gross Sales]]-financials[[#This Row],[Gross Sales]]*financials[[#This Row],[Discounts]]</f>
        <v>215.60000000000002</v>
      </c>
      <c r="J3899" s="8">
        <f>VLOOKUP(financials[[#This Row],[productid]],Products!$B$2:$H$10,4)</f>
        <v>15</v>
      </c>
      <c r="K3899" s="8">
        <f>financials[[#This Row],[Net Sales]]-financials[[#This Row],[COGS]]</f>
        <v>200.60000000000002</v>
      </c>
      <c r="L3899" s="15">
        <v>45468</v>
      </c>
      <c r="M3899" t="s">
        <v>696</v>
      </c>
    </row>
    <row r="3900" spans="1:13" x14ac:dyDescent="0.25">
      <c r="A3900" t="s">
        <v>86</v>
      </c>
      <c r="B3900" s="6" t="s">
        <v>95</v>
      </c>
      <c r="C3900" s="13">
        <v>106</v>
      </c>
      <c r="D3900" s="14" t="s">
        <v>83</v>
      </c>
      <c r="E3900">
        <v>11</v>
      </c>
      <c r="F3900" s="8">
        <f>VLOOKUP(financials[[#This Row],[productid]],Products!$B$2:$H$10,3)</f>
        <v>25</v>
      </c>
      <c r="G3900" s="8">
        <f>financials[[#This Row],[Units Sold]]*financials[[#This Row],[Sale Price]]</f>
        <v>275</v>
      </c>
      <c r="H3900" s="8">
        <f>IF(financials[[#This Row],[Discount Band]]="low",0.1,IF(financials[[#This Row],[Discount Band]]="medium",0.15,0.3))</f>
        <v>0.3</v>
      </c>
      <c r="I3900" s="8">
        <f>financials[[#This Row],[Gross Sales]]-financials[[#This Row],[Gross Sales]]*financials[[#This Row],[Discounts]]</f>
        <v>192.5</v>
      </c>
      <c r="J3900" s="8">
        <f>VLOOKUP(financials[[#This Row],[productid]],Products!$B$2:$H$10,4)</f>
        <v>9.1</v>
      </c>
      <c r="K3900" s="8">
        <f>financials[[#This Row],[Net Sales]]-financials[[#This Row],[COGS]]</f>
        <v>183.4</v>
      </c>
      <c r="L3900" s="15">
        <v>44687</v>
      </c>
      <c r="M3900" t="s">
        <v>696</v>
      </c>
    </row>
    <row r="3901" spans="1:13" x14ac:dyDescent="0.25">
      <c r="A3901" t="s">
        <v>86</v>
      </c>
      <c r="B3901" s="6" t="s">
        <v>124</v>
      </c>
      <c r="C3901" s="13">
        <v>102</v>
      </c>
      <c r="D3901" s="14" t="s">
        <v>90</v>
      </c>
      <c r="E3901">
        <v>11</v>
      </c>
      <c r="F3901" s="8">
        <f>VLOOKUP(financials[[#This Row],[productid]],Products!$B$2:$H$10,3)</f>
        <v>15</v>
      </c>
      <c r="G3901" s="8">
        <f>financials[[#This Row],[Units Sold]]*financials[[#This Row],[Sale Price]]</f>
        <v>165</v>
      </c>
      <c r="H3901" s="8">
        <f>IF(financials[[#This Row],[Discount Band]]="low",0.1,IF(financials[[#This Row],[Discount Band]]="medium",0.15,0.3))</f>
        <v>0.15</v>
      </c>
      <c r="I3901" s="8">
        <f>financials[[#This Row],[Gross Sales]]-financials[[#This Row],[Gross Sales]]*financials[[#This Row],[Discounts]]</f>
        <v>140.25</v>
      </c>
      <c r="J3901" s="8">
        <f>VLOOKUP(financials[[#This Row],[productid]],Products!$B$2:$H$10,4)</f>
        <v>13.95</v>
      </c>
      <c r="K3901" s="8">
        <f>financials[[#This Row],[Net Sales]]-financials[[#This Row],[COGS]]</f>
        <v>126.3</v>
      </c>
      <c r="L3901" s="15">
        <v>44749</v>
      </c>
      <c r="M3901" t="s">
        <v>691</v>
      </c>
    </row>
    <row r="3902" spans="1:13" x14ac:dyDescent="0.25">
      <c r="A3902" t="s">
        <v>88</v>
      </c>
      <c r="B3902" s="6" t="s">
        <v>94</v>
      </c>
      <c r="C3902" s="13">
        <v>103</v>
      </c>
      <c r="D3902" s="14" t="s">
        <v>91</v>
      </c>
      <c r="E3902">
        <v>7</v>
      </c>
      <c r="F3902" s="8">
        <f>VLOOKUP(financials[[#This Row],[productid]],Products!$B$2:$H$10,3)</f>
        <v>28</v>
      </c>
      <c r="G3902" s="8">
        <f>financials[[#This Row],[Units Sold]]*financials[[#This Row],[Sale Price]]</f>
        <v>196</v>
      </c>
      <c r="H3902" s="8">
        <f>IF(financials[[#This Row],[Discount Band]]="low",0.1,IF(financials[[#This Row],[Discount Band]]="medium",0.15,0.3))</f>
        <v>0.1</v>
      </c>
      <c r="I3902" s="8">
        <f>financials[[#This Row],[Gross Sales]]-financials[[#This Row],[Gross Sales]]*financials[[#This Row],[Discounts]]</f>
        <v>176.4</v>
      </c>
      <c r="J3902" s="8">
        <f>VLOOKUP(financials[[#This Row],[productid]],Products!$B$2:$H$10,4)</f>
        <v>15</v>
      </c>
      <c r="K3902" s="8">
        <f>financials[[#This Row],[Net Sales]]-financials[[#This Row],[COGS]]</f>
        <v>161.4</v>
      </c>
      <c r="L3902" s="15">
        <v>44760</v>
      </c>
      <c r="M3902" t="s">
        <v>691</v>
      </c>
    </row>
    <row r="3903" spans="1:13" x14ac:dyDescent="0.25">
      <c r="A3903" t="s">
        <v>86</v>
      </c>
      <c r="B3903" s="6" t="s">
        <v>273</v>
      </c>
      <c r="C3903" s="11">
        <v>106</v>
      </c>
      <c r="D3903" s="9" t="s">
        <v>91</v>
      </c>
      <c r="E3903">
        <v>19</v>
      </c>
      <c r="F3903" s="8">
        <f>VLOOKUP(financials[[#This Row],[productid]],Products!$B$2:$H$10,3)</f>
        <v>25</v>
      </c>
      <c r="G3903" s="8">
        <f>financials[[#This Row],[Units Sold]]*financials[[#This Row],[Sale Price]]</f>
        <v>475</v>
      </c>
      <c r="H3903" s="8">
        <f>IF(financials[[#This Row],[Discount Band]]="low",0.1,IF(financials[[#This Row],[Discount Band]]="medium",0.15,0.3))</f>
        <v>0.1</v>
      </c>
      <c r="I3903" s="8">
        <f>financials[[#This Row],[Gross Sales]]-financials[[#This Row],[Gross Sales]]*financials[[#This Row],[Discounts]]</f>
        <v>427.5</v>
      </c>
      <c r="J3903" s="8">
        <f>VLOOKUP(financials[[#This Row],[productid]],Products!$B$2:$H$10,4)</f>
        <v>9.1</v>
      </c>
      <c r="K3903" s="8">
        <f>financials[[#This Row],[Net Sales]]-financials[[#This Row],[COGS]]</f>
        <v>418.4</v>
      </c>
      <c r="L3903" s="15">
        <v>45407</v>
      </c>
      <c r="M3903" t="s">
        <v>696</v>
      </c>
    </row>
    <row r="3904" spans="1:13" x14ac:dyDescent="0.25">
      <c r="A3904" t="s">
        <v>86</v>
      </c>
      <c r="B3904" s="6" t="s">
        <v>158</v>
      </c>
      <c r="C3904" s="13">
        <v>103</v>
      </c>
      <c r="D3904" s="14" t="s">
        <v>83</v>
      </c>
      <c r="E3904">
        <v>8</v>
      </c>
      <c r="F3904" s="8">
        <f>VLOOKUP(financials[[#This Row],[productid]],Products!$B$2:$H$10,3)</f>
        <v>28</v>
      </c>
      <c r="G3904" s="8">
        <f>financials[[#This Row],[Units Sold]]*financials[[#This Row],[Sale Price]]</f>
        <v>224</v>
      </c>
      <c r="H3904" s="8">
        <f>IF(financials[[#This Row],[Discount Band]]="low",0.1,IF(financials[[#This Row],[Discount Band]]="medium",0.15,0.3))</f>
        <v>0.3</v>
      </c>
      <c r="I3904" s="8">
        <f>financials[[#This Row],[Gross Sales]]-financials[[#This Row],[Gross Sales]]*financials[[#This Row],[Discounts]]</f>
        <v>156.80000000000001</v>
      </c>
      <c r="J3904" s="8">
        <f>VLOOKUP(financials[[#This Row],[productid]],Products!$B$2:$H$10,4)</f>
        <v>15</v>
      </c>
      <c r="K3904" s="8">
        <f>financials[[#This Row],[Net Sales]]-financials[[#This Row],[COGS]]</f>
        <v>141.80000000000001</v>
      </c>
      <c r="L3904" s="15">
        <v>45079</v>
      </c>
      <c r="M3904" t="s">
        <v>691</v>
      </c>
    </row>
    <row r="3905" spans="1:13" x14ac:dyDescent="0.25">
      <c r="A3905" t="s">
        <v>86</v>
      </c>
      <c r="B3905" s="6" t="s">
        <v>96</v>
      </c>
      <c r="C3905" s="13">
        <v>103</v>
      </c>
      <c r="D3905" s="14" t="s">
        <v>91</v>
      </c>
      <c r="E3905">
        <v>8</v>
      </c>
      <c r="F3905" s="8">
        <f>VLOOKUP(financials[[#This Row],[productid]],Products!$B$2:$H$10,3)</f>
        <v>28</v>
      </c>
      <c r="G3905" s="8">
        <f>financials[[#This Row],[Units Sold]]*financials[[#This Row],[Sale Price]]</f>
        <v>224</v>
      </c>
      <c r="H3905" s="8">
        <f>IF(financials[[#This Row],[Discount Band]]="low",0.1,IF(financials[[#This Row],[Discount Band]]="medium",0.15,0.3))</f>
        <v>0.1</v>
      </c>
      <c r="I3905" s="8">
        <f>financials[[#This Row],[Gross Sales]]-financials[[#This Row],[Gross Sales]]*financials[[#This Row],[Discounts]]</f>
        <v>201.6</v>
      </c>
      <c r="J3905" s="8">
        <f>VLOOKUP(financials[[#This Row],[productid]],Products!$B$2:$H$10,4)</f>
        <v>15</v>
      </c>
      <c r="K3905" s="8">
        <f>financials[[#This Row],[Net Sales]]-financials[[#This Row],[COGS]]</f>
        <v>186.6</v>
      </c>
      <c r="L3905" s="15">
        <v>45155</v>
      </c>
      <c r="M3905" t="s">
        <v>700</v>
      </c>
    </row>
    <row r="3906" spans="1:13" x14ac:dyDescent="0.25">
      <c r="A3906" t="s">
        <v>88</v>
      </c>
      <c r="B3906" s="6" t="s">
        <v>167</v>
      </c>
      <c r="C3906" s="13">
        <v>106</v>
      </c>
      <c r="D3906" s="14" t="s">
        <v>91</v>
      </c>
      <c r="E3906">
        <v>9</v>
      </c>
      <c r="F3906" s="8">
        <f>VLOOKUP(financials[[#This Row],[productid]],Products!$B$2:$H$10,3)</f>
        <v>25</v>
      </c>
      <c r="G3906" s="8">
        <f>financials[[#This Row],[Units Sold]]*financials[[#This Row],[Sale Price]]</f>
        <v>225</v>
      </c>
      <c r="H3906" s="8">
        <f>IF(financials[[#This Row],[Discount Band]]="low",0.1,IF(financials[[#This Row],[Discount Band]]="medium",0.15,0.3))</f>
        <v>0.1</v>
      </c>
      <c r="I3906" s="8">
        <f>financials[[#This Row],[Gross Sales]]-financials[[#This Row],[Gross Sales]]*financials[[#This Row],[Discounts]]</f>
        <v>202.5</v>
      </c>
      <c r="J3906" s="8">
        <f>VLOOKUP(financials[[#This Row],[productid]],Products!$B$2:$H$10,4)</f>
        <v>9.1</v>
      </c>
      <c r="K3906" s="8">
        <f>financials[[#This Row],[Net Sales]]-financials[[#This Row],[COGS]]</f>
        <v>193.4</v>
      </c>
      <c r="L3906" s="15">
        <v>44676</v>
      </c>
      <c r="M3906" t="s">
        <v>700</v>
      </c>
    </row>
    <row r="3907" spans="1:13" x14ac:dyDescent="0.25">
      <c r="A3907" t="s">
        <v>86</v>
      </c>
      <c r="B3907" s="6" t="s">
        <v>124</v>
      </c>
      <c r="C3907" s="11">
        <v>101</v>
      </c>
      <c r="D3907" s="9" t="s">
        <v>90</v>
      </c>
      <c r="E3907">
        <v>11</v>
      </c>
      <c r="F3907" s="8">
        <f>VLOOKUP(financials[[#This Row],[productid]],Products!$B$2:$H$10,3)</f>
        <v>23</v>
      </c>
      <c r="G3907" s="8">
        <f>financials[[#This Row],[Units Sold]]*financials[[#This Row],[Sale Price]]</f>
        <v>253</v>
      </c>
      <c r="H3907" s="8">
        <f>IF(financials[[#This Row],[Discount Band]]="low",0.1,IF(financials[[#This Row],[Discount Band]]="medium",0.15,0.3))</f>
        <v>0.15</v>
      </c>
      <c r="I3907" s="8">
        <f>financials[[#This Row],[Gross Sales]]-financials[[#This Row],[Gross Sales]]*financials[[#This Row],[Discounts]]</f>
        <v>215.05</v>
      </c>
      <c r="J3907" s="8">
        <f>VLOOKUP(financials[[#This Row],[productid]],Products!$B$2:$H$10,4)</f>
        <v>9.9499999999999993</v>
      </c>
      <c r="K3907" s="8">
        <f>financials[[#This Row],[Net Sales]]-financials[[#This Row],[COGS]]</f>
        <v>205.10000000000002</v>
      </c>
      <c r="L3907" s="15">
        <v>45453</v>
      </c>
      <c r="M3907" t="s">
        <v>696</v>
      </c>
    </row>
    <row r="3908" spans="1:13" x14ac:dyDescent="0.25">
      <c r="A3908" t="s">
        <v>86</v>
      </c>
      <c r="B3908" s="6" t="s">
        <v>287</v>
      </c>
      <c r="C3908" s="13">
        <v>103</v>
      </c>
      <c r="D3908" s="14" t="s">
        <v>91</v>
      </c>
      <c r="E3908">
        <v>19</v>
      </c>
      <c r="F3908" s="8">
        <f>VLOOKUP(financials[[#This Row],[productid]],Products!$B$2:$H$10,3)</f>
        <v>28</v>
      </c>
      <c r="G3908" s="8">
        <f>financials[[#This Row],[Units Sold]]*financials[[#This Row],[Sale Price]]</f>
        <v>532</v>
      </c>
      <c r="H3908" s="8">
        <f>IF(financials[[#This Row],[Discount Band]]="low",0.1,IF(financials[[#This Row],[Discount Band]]="medium",0.15,0.3))</f>
        <v>0.1</v>
      </c>
      <c r="I3908" s="8">
        <f>financials[[#This Row],[Gross Sales]]-financials[[#This Row],[Gross Sales]]*financials[[#This Row],[Discounts]]</f>
        <v>478.8</v>
      </c>
      <c r="J3908" s="8">
        <f>VLOOKUP(financials[[#This Row],[productid]],Products!$B$2:$H$10,4)</f>
        <v>15</v>
      </c>
      <c r="K3908" s="8">
        <f>financials[[#This Row],[Net Sales]]-financials[[#This Row],[COGS]]</f>
        <v>463.8</v>
      </c>
      <c r="L3908" s="15">
        <v>43911</v>
      </c>
      <c r="M3908" t="s">
        <v>700</v>
      </c>
    </row>
    <row r="3909" spans="1:13" x14ac:dyDescent="0.25">
      <c r="A3909" t="s">
        <v>88</v>
      </c>
      <c r="B3909" s="6" t="s">
        <v>197</v>
      </c>
      <c r="C3909" s="13">
        <v>106</v>
      </c>
      <c r="D3909" s="14" t="s">
        <v>90</v>
      </c>
      <c r="E3909">
        <v>17</v>
      </c>
      <c r="F3909" s="8">
        <f>VLOOKUP(financials[[#This Row],[productid]],Products!$B$2:$H$10,3)</f>
        <v>25</v>
      </c>
      <c r="G3909" s="8">
        <f>financials[[#This Row],[Units Sold]]*financials[[#This Row],[Sale Price]]</f>
        <v>425</v>
      </c>
      <c r="H3909" s="8">
        <f>IF(financials[[#This Row],[Discount Band]]="low",0.1,IF(financials[[#This Row],[Discount Band]]="medium",0.15,0.3))</f>
        <v>0.15</v>
      </c>
      <c r="I3909" s="8">
        <f>financials[[#This Row],[Gross Sales]]-financials[[#This Row],[Gross Sales]]*financials[[#This Row],[Discounts]]</f>
        <v>361.25</v>
      </c>
      <c r="J3909" s="8">
        <f>VLOOKUP(financials[[#This Row],[productid]],Products!$B$2:$H$10,4)</f>
        <v>9.1</v>
      </c>
      <c r="K3909" s="8">
        <f>financials[[#This Row],[Net Sales]]-financials[[#This Row],[COGS]]</f>
        <v>352.15</v>
      </c>
      <c r="L3909" s="15">
        <v>44835</v>
      </c>
      <c r="M3909" t="s">
        <v>700</v>
      </c>
    </row>
    <row r="3910" spans="1:13" x14ac:dyDescent="0.25">
      <c r="A3910" t="s">
        <v>86</v>
      </c>
      <c r="B3910" s="6" t="s">
        <v>95</v>
      </c>
      <c r="C3910" s="11">
        <v>106</v>
      </c>
      <c r="D3910" s="9" t="s">
        <v>90</v>
      </c>
      <c r="E3910">
        <v>12</v>
      </c>
      <c r="F3910" s="8">
        <f>VLOOKUP(financials[[#This Row],[productid]],Products!$B$2:$H$10,3)</f>
        <v>25</v>
      </c>
      <c r="G3910" s="8">
        <f>financials[[#This Row],[Units Sold]]*financials[[#This Row],[Sale Price]]</f>
        <v>300</v>
      </c>
      <c r="H3910" s="8">
        <f>IF(financials[[#This Row],[Discount Band]]="low",0.1,IF(financials[[#This Row],[Discount Band]]="medium",0.15,0.3))</f>
        <v>0.15</v>
      </c>
      <c r="I3910" s="8">
        <f>financials[[#This Row],[Gross Sales]]-financials[[#This Row],[Gross Sales]]*financials[[#This Row],[Discounts]]</f>
        <v>255</v>
      </c>
      <c r="J3910" s="8">
        <f>VLOOKUP(financials[[#This Row],[productid]],Products!$B$2:$H$10,4)</f>
        <v>9.1</v>
      </c>
      <c r="K3910" s="8">
        <f>financials[[#This Row],[Net Sales]]-financials[[#This Row],[COGS]]</f>
        <v>245.9</v>
      </c>
      <c r="L3910" s="15">
        <v>44449</v>
      </c>
      <c r="M3910" t="s">
        <v>691</v>
      </c>
    </row>
    <row r="3911" spans="1:13" x14ac:dyDescent="0.25">
      <c r="A3911" t="s">
        <v>86</v>
      </c>
      <c r="B3911" s="6" t="s">
        <v>232</v>
      </c>
      <c r="C3911" s="13">
        <v>104</v>
      </c>
      <c r="D3911" s="14" t="s">
        <v>92</v>
      </c>
      <c r="E3911">
        <v>8</v>
      </c>
      <c r="F3911" s="8">
        <f>VLOOKUP(financials[[#This Row],[productid]],Products!$B$2:$H$10,3)</f>
        <v>5.9</v>
      </c>
      <c r="G3911" s="8">
        <f>financials[[#This Row],[Units Sold]]*financials[[#This Row],[Sale Price]]</f>
        <v>47.2</v>
      </c>
      <c r="H3911" s="8">
        <f>IF(financials[[#This Row],[Discount Band]]="low",0.1,IF(financials[[#This Row],[Discount Band]]="medium",0.15,0.3))</f>
        <v>0.3</v>
      </c>
      <c r="I3911" s="8">
        <f>financials[[#This Row],[Gross Sales]]-financials[[#This Row],[Gross Sales]]*financials[[#This Row],[Discounts]]</f>
        <v>33.040000000000006</v>
      </c>
      <c r="J3911" s="8">
        <f>VLOOKUP(financials[[#This Row],[productid]],Products!$B$2:$H$10,4)</f>
        <v>2.9</v>
      </c>
      <c r="K3911" s="8">
        <f>financials[[#This Row],[Net Sales]]-financials[[#This Row],[COGS]]</f>
        <v>30.140000000000008</v>
      </c>
      <c r="L3911" s="15">
        <v>44106</v>
      </c>
      <c r="M3911" t="s">
        <v>697</v>
      </c>
    </row>
    <row r="3912" spans="1:13" x14ac:dyDescent="0.25">
      <c r="A3912" t="s">
        <v>86</v>
      </c>
      <c r="B3912" s="6" t="s">
        <v>228</v>
      </c>
      <c r="C3912" s="13">
        <v>105</v>
      </c>
      <c r="D3912" s="14" t="s">
        <v>83</v>
      </c>
      <c r="E3912">
        <v>19</v>
      </c>
      <c r="F3912" s="8">
        <f>VLOOKUP(financials[[#This Row],[productid]],Products!$B$2:$H$10,3)</f>
        <v>15</v>
      </c>
      <c r="G3912" s="8">
        <f>financials[[#This Row],[Units Sold]]*financials[[#This Row],[Sale Price]]</f>
        <v>285</v>
      </c>
      <c r="H3912" s="8">
        <f>IF(financials[[#This Row],[Discount Band]]="low",0.1,IF(financials[[#This Row],[Discount Band]]="medium",0.15,0.3))</f>
        <v>0.3</v>
      </c>
      <c r="I3912" s="8">
        <f>financials[[#This Row],[Gross Sales]]-financials[[#This Row],[Gross Sales]]*financials[[#This Row],[Discounts]]</f>
        <v>199.5</v>
      </c>
      <c r="J3912" s="8">
        <f>VLOOKUP(financials[[#This Row],[productid]],Products!$B$2:$H$10,4)</f>
        <v>10</v>
      </c>
      <c r="K3912" s="8">
        <f>financials[[#This Row],[Net Sales]]-financials[[#This Row],[COGS]]</f>
        <v>189.5</v>
      </c>
      <c r="L3912" s="15">
        <v>44943</v>
      </c>
      <c r="M3912" t="s">
        <v>696</v>
      </c>
    </row>
    <row r="3913" spans="1:13" x14ac:dyDescent="0.25">
      <c r="A3913" t="s">
        <v>86</v>
      </c>
      <c r="B3913" s="6" t="s">
        <v>96</v>
      </c>
      <c r="C3913" s="13">
        <v>106</v>
      </c>
      <c r="D3913" s="14" t="s">
        <v>90</v>
      </c>
      <c r="E3913">
        <v>11</v>
      </c>
      <c r="F3913" s="8">
        <f>VLOOKUP(financials[[#This Row],[productid]],Products!$B$2:$H$10,3)</f>
        <v>25</v>
      </c>
      <c r="G3913" s="8">
        <f>financials[[#This Row],[Units Sold]]*financials[[#This Row],[Sale Price]]</f>
        <v>275</v>
      </c>
      <c r="H3913" s="8">
        <f>IF(financials[[#This Row],[Discount Band]]="low",0.1,IF(financials[[#This Row],[Discount Band]]="medium",0.15,0.3))</f>
        <v>0.15</v>
      </c>
      <c r="I3913" s="8">
        <f>financials[[#This Row],[Gross Sales]]-financials[[#This Row],[Gross Sales]]*financials[[#This Row],[Discounts]]</f>
        <v>233.75</v>
      </c>
      <c r="J3913" s="8">
        <f>VLOOKUP(financials[[#This Row],[productid]],Products!$B$2:$H$10,4)</f>
        <v>9.1</v>
      </c>
      <c r="K3913" s="8">
        <f>financials[[#This Row],[Net Sales]]-financials[[#This Row],[COGS]]</f>
        <v>224.65</v>
      </c>
      <c r="L3913" s="15">
        <v>44290</v>
      </c>
      <c r="M3913" t="s">
        <v>697</v>
      </c>
    </row>
    <row r="3914" spans="1:13" x14ac:dyDescent="0.25">
      <c r="A3914" t="s">
        <v>86</v>
      </c>
      <c r="B3914" s="6" t="s">
        <v>617</v>
      </c>
      <c r="C3914" s="13">
        <v>108</v>
      </c>
      <c r="D3914" s="14" t="s">
        <v>91</v>
      </c>
      <c r="E3914">
        <v>13</v>
      </c>
      <c r="F3914" s="8">
        <f>VLOOKUP(financials[[#This Row],[productid]],Products!$B$2:$H$10,3)</f>
        <v>5.5</v>
      </c>
      <c r="G3914" s="8">
        <f>financials[[#This Row],[Units Sold]]*financials[[#This Row],[Sale Price]]</f>
        <v>71.5</v>
      </c>
      <c r="H3914" s="8">
        <f>IF(financials[[#This Row],[Discount Band]]="low",0.1,IF(financials[[#This Row],[Discount Band]]="medium",0.15,0.3))</f>
        <v>0.1</v>
      </c>
      <c r="I3914" s="8">
        <f>financials[[#This Row],[Gross Sales]]-financials[[#This Row],[Gross Sales]]*financials[[#This Row],[Discounts]]</f>
        <v>64.349999999999994</v>
      </c>
      <c r="J3914" s="8">
        <f>VLOOKUP(financials[[#This Row],[productid]],Products!$B$2:$H$10,4)</f>
        <v>3.99</v>
      </c>
      <c r="K3914" s="8">
        <f>financials[[#This Row],[Net Sales]]-financials[[#This Row],[COGS]]</f>
        <v>60.359999999999992</v>
      </c>
      <c r="L3914" s="15">
        <v>43992</v>
      </c>
      <c r="M3914" t="s">
        <v>696</v>
      </c>
    </row>
    <row r="3915" spans="1:13" x14ac:dyDescent="0.25">
      <c r="A3915" t="s">
        <v>86</v>
      </c>
      <c r="B3915" s="6" t="s">
        <v>148</v>
      </c>
      <c r="C3915" s="13">
        <v>103</v>
      </c>
      <c r="D3915" s="14" t="s">
        <v>83</v>
      </c>
      <c r="E3915">
        <v>20</v>
      </c>
      <c r="F3915" s="8">
        <f>VLOOKUP(financials[[#This Row],[productid]],Products!$B$2:$H$10,3)</f>
        <v>28</v>
      </c>
      <c r="G3915" s="8">
        <f>financials[[#This Row],[Units Sold]]*financials[[#This Row],[Sale Price]]</f>
        <v>560</v>
      </c>
      <c r="H3915" s="8">
        <f>IF(financials[[#This Row],[Discount Band]]="low",0.1,IF(financials[[#This Row],[Discount Band]]="medium",0.15,0.3))</f>
        <v>0.3</v>
      </c>
      <c r="I3915" s="8">
        <f>financials[[#This Row],[Gross Sales]]-financials[[#This Row],[Gross Sales]]*financials[[#This Row],[Discounts]]</f>
        <v>392</v>
      </c>
      <c r="J3915" s="8">
        <f>VLOOKUP(financials[[#This Row],[productid]],Products!$B$2:$H$10,4)</f>
        <v>15</v>
      </c>
      <c r="K3915" s="8">
        <f>financials[[#This Row],[Net Sales]]-financials[[#This Row],[COGS]]</f>
        <v>377</v>
      </c>
      <c r="L3915" s="15">
        <v>44552</v>
      </c>
      <c r="M3915" t="s">
        <v>690</v>
      </c>
    </row>
    <row r="3916" spans="1:13" x14ac:dyDescent="0.25">
      <c r="A3916" t="s">
        <v>86</v>
      </c>
      <c r="B3916" s="6" t="s">
        <v>232</v>
      </c>
      <c r="C3916" s="13">
        <v>109</v>
      </c>
      <c r="D3916" s="14" t="s">
        <v>83</v>
      </c>
      <c r="E3916">
        <v>12</v>
      </c>
      <c r="F3916" s="8">
        <f>VLOOKUP(financials[[#This Row],[productid]],Products!$B$2:$H$10,3)</f>
        <v>36</v>
      </c>
      <c r="G3916" s="8">
        <f>financials[[#This Row],[Units Sold]]*financials[[#This Row],[Sale Price]]</f>
        <v>432</v>
      </c>
      <c r="H3916" s="8">
        <f>IF(financials[[#This Row],[Discount Band]]="low",0.1,IF(financials[[#This Row],[Discount Band]]="medium",0.15,0.3))</f>
        <v>0.3</v>
      </c>
      <c r="I3916" s="8">
        <f>financials[[#This Row],[Gross Sales]]-financials[[#This Row],[Gross Sales]]*financials[[#This Row],[Discounts]]</f>
        <v>302.39999999999998</v>
      </c>
      <c r="J3916" s="8">
        <f>VLOOKUP(financials[[#This Row],[productid]],Products!$B$2:$H$10,4)</f>
        <v>16.8</v>
      </c>
      <c r="K3916" s="8">
        <f>financials[[#This Row],[Net Sales]]-financials[[#This Row],[COGS]]</f>
        <v>285.59999999999997</v>
      </c>
      <c r="L3916" s="15">
        <v>44179</v>
      </c>
      <c r="M3916" t="s">
        <v>696</v>
      </c>
    </row>
    <row r="3917" spans="1:13" x14ac:dyDescent="0.25">
      <c r="A3917" t="s">
        <v>86</v>
      </c>
      <c r="B3917" s="6" t="s">
        <v>93</v>
      </c>
      <c r="C3917" s="13">
        <v>108</v>
      </c>
      <c r="D3917" s="14" t="s">
        <v>83</v>
      </c>
      <c r="E3917">
        <v>12</v>
      </c>
      <c r="F3917" s="8">
        <f>VLOOKUP(financials[[#This Row],[productid]],Products!$B$2:$H$10,3)</f>
        <v>5.5</v>
      </c>
      <c r="G3917" s="8">
        <f>financials[[#This Row],[Units Sold]]*financials[[#This Row],[Sale Price]]</f>
        <v>66</v>
      </c>
      <c r="H3917" s="8">
        <f>IF(financials[[#This Row],[Discount Band]]="low",0.1,IF(financials[[#This Row],[Discount Band]]="medium",0.15,0.3))</f>
        <v>0.3</v>
      </c>
      <c r="I3917" s="8">
        <f>financials[[#This Row],[Gross Sales]]-financials[[#This Row],[Gross Sales]]*financials[[#This Row],[Discounts]]</f>
        <v>46.2</v>
      </c>
      <c r="J3917" s="8">
        <f>VLOOKUP(financials[[#This Row],[productid]],Products!$B$2:$H$10,4)</f>
        <v>3.99</v>
      </c>
      <c r="K3917" s="8">
        <f>financials[[#This Row],[Net Sales]]-financials[[#This Row],[COGS]]</f>
        <v>42.21</v>
      </c>
      <c r="L3917" s="15">
        <v>44007</v>
      </c>
      <c r="M3917" t="s">
        <v>697</v>
      </c>
    </row>
    <row r="3918" spans="1:13" x14ac:dyDescent="0.25">
      <c r="A3918" t="s">
        <v>88</v>
      </c>
      <c r="B3918" s="6" t="s">
        <v>198</v>
      </c>
      <c r="C3918" s="13">
        <v>108</v>
      </c>
      <c r="D3918" s="14" t="s">
        <v>90</v>
      </c>
      <c r="E3918">
        <v>12</v>
      </c>
      <c r="F3918" s="8">
        <f>VLOOKUP(financials[[#This Row],[productid]],Products!$B$2:$H$10,3)</f>
        <v>5.5</v>
      </c>
      <c r="G3918" s="8">
        <f>financials[[#This Row],[Units Sold]]*financials[[#This Row],[Sale Price]]</f>
        <v>66</v>
      </c>
      <c r="H3918" s="8">
        <f>IF(financials[[#This Row],[Discount Band]]="low",0.1,IF(financials[[#This Row],[Discount Band]]="medium",0.15,0.3))</f>
        <v>0.15</v>
      </c>
      <c r="I3918" s="8">
        <f>financials[[#This Row],[Gross Sales]]-financials[[#This Row],[Gross Sales]]*financials[[#This Row],[Discounts]]</f>
        <v>56.1</v>
      </c>
      <c r="J3918" s="8">
        <f>VLOOKUP(financials[[#This Row],[productid]],Products!$B$2:$H$10,4)</f>
        <v>3.99</v>
      </c>
      <c r="K3918" s="8">
        <f>financials[[#This Row],[Net Sales]]-financials[[#This Row],[COGS]]</f>
        <v>52.11</v>
      </c>
      <c r="L3918" s="15">
        <v>44265</v>
      </c>
      <c r="M3918" t="s">
        <v>696</v>
      </c>
    </row>
    <row r="3919" spans="1:13" x14ac:dyDescent="0.25">
      <c r="A3919" t="s">
        <v>88</v>
      </c>
      <c r="B3919" s="6" t="s">
        <v>198</v>
      </c>
      <c r="C3919" s="11">
        <v>107</v>
      </c>
      <c r="D3919" s="9" t="s">
        <v>91</v>
      </c>
      <c r="E3919">
        <v>5</v>
      </c>
      <c r="F3919" s="8">
        <f>VLOOKUP(financials[[#This Row],[productid]],Products!$B$2:$H$10,3)</f>
        <v>15</v>
      </c>
      <c r="G3919" s="8">
        <f>financials[[#This Row],[Units Sold]]*financials[[#This Row],[Sale Price]]</f>
        <v>75</v>
      </c>
      <c r="H3919" s="8">
        <f>IF(financials[[#This Row],[Discount Band]]="low",0.1,IF(financials[[#This Row],[Discount Band]]="medium",0.15,0.3))</f>
        <v>0.1</v>
      </c>
      <c r="I3919" s="8">
        <f>financials[[#This Row],[Gross Sales]]-financials[[#This Row],[Gross Sales]]*financials[[#This Row],[Discounts]]</f>
        <v>67.5</v>
      </c>
      <c r="J3919" s="8">
        <f>VLOOKUP(financials[[#This Row],[productid]],Products!$B$2:$H$10,4)</f>
        <v>5.5</v>
      </c>
      <c r="K3919" s="8">
        <f>financials[[#This Row],[Net Sales]]-financials[[#This Row],[COGS]]</f>
        <v>62</v>
      </c>
      <c r="L3919" s="15">
        <v>45581</v>
      </c>
      <c r="M3919" t="s">
        <v>690</v>
      </c>
    </row>
    <row r="3920" spans="1:13" x14ac:dyDescent="0.25">
      <c r="A3920" t="s">
        <v>88</v>
      </c>
      <c r="B3920" s="6" t="s">
        <v>276</v>
      </c>
      <c r="C3920" s="13">
        <v>104</v>
      </c>
      <c r="D3920" s="14" t="s">
        <v>83</v>
      </c>
      <c r="E3920">
        <v>8</v>
      </c>
      <c r="F3920" s="8">
        <f>VLOOKUP(financials[[#This Row],[productid]],Products!$B$2:$H$10,3)</f>
        <v>5.9</v>
      </c>
      <c r="G3920" s="8">
        <f>financials[[#This Row],[Units Sold]]*financials[[#This Row],[Sale Price]]</f>
        <v>47.2</v>
      </c>
      <c r="H3920" s="8">
        <f>IF(financials[[#This Row],[Discount Band]]="low",0.1,IF(financials[[#This Row],[Discount Band]]="medium",0.15,0.3))</f>
        <v>0.3</v>
      </c>
      <c r="I3920" s="8">
        <f>financials[[#This Row],[Gross Sales]]-financials[[#This Row],[Gross Sales]]*financials[[#This Row],[Discounts]]</f>
        <v>33.040000000000006</v>
      </c>
      <c r="J3920" s="8">
        <f>VLOOKUP(financials[[#This Row],[productid]],Products!$B$2:$H$10,4)</f>
        <v>2.9</v>
      </c>
      <c r="K3920" s="8">
        <f>financials[[#This Row],[Net Sales]]-financials[[#This Row],[COGS]]</f>
        <v>30.140000000000008</v>
      </c>
      <c r="L3920" s="15">
        <v>44618</v>
      </c>
      <c r="M3920" t="s">
        <v>690</v>
      </c>
    </row>
    <row r="3921" spans="1:13" x14ac:dyDescent="0.25">
      <c r="A3921" t="s">
        <v>86</v>
      </c>
      <c r="B3921" s="6" t="s">
        <v>274</v>
      </c>
      <c r="C3921" s="13">
        <v>102</v>
      </c>
      <c r="D3921" s="14" t="s">
        <v>90</v>
      </c>
      <c r="E3921">
        <v>5</v>
      </c>
      <c r="F3921" s="8">
        <f>VLOOKUP(financials[[#This Row],[productid]],Products!$B$2:$H$10,3)</f>
        <v>15</v>
      </c>
      <c r="G3921" s="8">
        <f>financials[[#This Row],[Units Sold]]*financials[[#This Row],[Sale Price]]</f>
        <v>75</v>
      </c>
      <c r="H3921" s="8">
        <f>IF(financials[[#This Row],[Discount Band]]="low",0.1,IF(financials[[#This Row],[Discount Band]]="medium",0.15,0.3))</f>
        <v>0.15</v>
      </c>
      <c r="I3921" s="8">
        <f>financials[[#This Row],[Gross Sales]]-financials[[#This Row],[Gross Sales]]*financials[[#This Row],[Discounts]]</f>
        <v>63.75</v>
      </c>
      <c r="J3921" s="8">
        <f>VLOOKUP(financials[[#This Row],[productid]],Products!$B$2:$H$10,4)</f>
        <v>13.95</v>
      </c>
      <c r="K3921" s="8">
        <f>financials[[#This Row],[Net Sales]]-financials[[#This Row],[COGS]]</f>
        <v>49.8</v>
      </c>
      <c r="L3921" s="15">
        <v>44799</v>
      </c>
      <c r="M3921" t="s">
        <v>697</v>
      </c>
    </row>
    <row r="3922" spans="1:13" x14ac:dyDescent="0.25">
      <c r="A3922" t="s">
        <v>88</v>
      </c>
      <c r="B3922" s="6" t="s">
        <v>197</v>
      </c>
      <c r="C3922" s="13">
        <v>103</v>
      </c>
      <c r="D3922" s="14" t="s">
        <v>91</v>
      </c>
      <c r="E3922">
        <v>13</v>
      </c>
      <c r="F3922" s="8">
        <f>VLOOKUP(financials[[#This Row],[productid]],Products!$B$2:$H$10,3)</f>
        <v>28</v>
      </c>
      <c r="G3922" s="8">
        <f>financials[[#This Row],[Units Sold]]*financials[[#This Row],[Sale Price]]</f>
        <v>364</v>
      </c>
      <c r="H3922" s="8">
        <f>IF(financials[[#This Row],[Discount Band]]="low",0.1,IF(financials[[#This Row],[Discount Band]]="medium",0.15,0.3))</f>
        <v>0.1</v>
      </c>
      <c r="I3922" s="8">
        <f>financials[[#This Row],[Gross Sales]]-financials[[#This Row],[Gross Sales]]*financials[[#This Row],[Discounts]]</f>
        <v>327.60000000000002</v>
      </c>
      <c r="J3922" s="8">
        <f>VLOOKUP(financials[[#This Row],[productid]],Products!$B$2:$H$10,4)</f>
        <v>15</v>
      </c>
      <c r="K3922" s="8">
        <f>financials[[#This Row],[Net Sales]]-financials[[#This Row],[COGS]]</f>
        <v>312.60000000000002</v>
      </c>
      <c r="L3922" s="15">
        <v>45247</v>
      </c>
      <c r="M3922" t="s">
        <v>690</v>
      </c>
    </row>
    <row r="3923" spans="1:13" x14ac:dyDescent="0.25">
      <c r="A3923" t="s">
        <v>86</v>
      </c>
      <c r="B3923" s="6" t="s">
        <v>158</v>
      </c>
      <c r="C3923" s="13">
        <v>102</v>
      </c>
      <c r="D3923" s="14" t="s">
        <v>91</v>
      </c>
      <c r="E3923">
        <v>7</v>
      </c>
      <c r="F3923" s="8">
        <f>VLOOKUP(financials[[#This Row],[productid]],Products!$B$2:$H$10,3)</f>
        <v>15</v>
      </c>
      <c r="G3923" s="8">
        <f>financials[[#This Row],[Units Sold]]*financials[[#This Row],[Sale Price]]</f>
        <v>105</v>
      </c>
      <c r="H3923" s="8">
        <f>IF(financials[[#This Row],[Discount Band]]="low",0.1,IF(financials[[#This Row],[Discount Band]]="medium",0.15,0.3))</f>
        <v>0.1</v>
      </c>
      <c r="I3923" s="8">
        <f>financials[[#This Row],[Gross Sales]]-financials[[#This Row],[Gross Sales]]*financials[[#This Row],[Discounts]]</f>
        <v>94.5</v>
      </c>
      <c r="J3923" s="8">
        <f>VLOOKUP(financials[[#This Row],[productid]],Products!$B$2:$H$10,4)</f>
        <v>13.95</v>
      </c>
      <c r="K3923" s="8">
        <f>financials[[#This Row],[Net Sales]]-financials[[#This Row],[COGS]]</f>
        <v>80.55</v>
      </c>
      <c r="L3923" s="15">
        <v>44532</v>
      </c>
      <c r="M3923" t="s">
        <v>690</v>
      </c>
    </row>
    <row r="3924" spans="1:13" x14ac:dyDescent="0.25">
      <c r="A3924" t="s">
        <v>86</v>
      </c>
      <c r="B3924" s="6" t="s">
        <v>148</v>
      </c>
      <c r="C3924" s="13">
        <v>108</v>
      </c>
      <c r="D3924" s="14" t="s">
        <v>90</v>
      </c>
      <c r="E3924">
        <v>8</v>
      </c>
      <c r="F3924" s="8">
        <f>VLOOKUP(financials[[#This Row],[productid]],Products!$B$2:$H$10,3)</f>
        <v>5.5</v>
      </c>
      <c r="G3924" s="8">
        <f>financials[[#This Row],[Units Sold]]*financials[[#This Row],[Sale Price]]</f>
        <v>44</v>
      </c>
      <c r="H3924" s="8">
        <f>IF(financials[[#This Row],[Discount Band]]="low",0.1,IF(financials[[#This Row],[Discount Band]]="medium",0.15,0.3))</f>
        <v>0.15</v>
      </c>
      <c r="I3924" s="8">
        <f>financials[[#This Row],[Gross Sales]]-financials[[#This Row],[Gross Sales]]*financials[[#This Row],[Discounts]]</f>
        <v>37.4</v>
      </c>
      <c r="J3924" s="8">
        <f>VLOOKUP(financials[[#This Row],[productid]],Products!$B$2:$H$10,4)</f>
        <v>3.99</v>
      </c>
      <c r="K3924" s="8">
        <f>financials[[#This Row],[Net Sales]]-financials[[#This Row],[COGS]]</f>
        <v>33.409999999999997</v>
      </c>
      <c r="L3924" s="15">
        <v>44759</v>
      </c>
      <c r="M3924" t="s">
        <v>691</v>
      </c>
    </row>
    <row r="3925" spans="1:13" x14ac:dyDescent="0.25">
      <c r="A3925" t="s">
        <v>86</v>
      </c>
      <c r="B3925" s="6" t="s">
        <v>197</v>
      </c>
      <c r="C3925" s="13">
        <v>109</v>
      </c>
      <c r="D3925" s="14" t="s">
        <v>83</v>
      </c>
      <c r="E3925">
        <v>19</v>
      </c>
      <c r="F3925" s="8">
        <f>VLOOKUP(financials[[#This Row],[productid]],Products!$B$2:$H$10,3)</f>
        <v>36</v>
      </c>
      <c r="G3925" s="8">
        <f>financials[[#This Row],[Units Sold]]*financials[[#This Row],[Sale Price]]</f>
        <v>684</v>
      </c>
      <c r="H3925" s="8">
        <f>IF(financials[[#This Row],[Discount Band]]="low",0.1,IF(financials[[#This Row],[Discount Band]]="medium",0.15,0.3))</f>
        <v>0.3</v>
      </c>
      <c r="I3925" s="8">
        <f>financials[[#This Row],[Gross Sales]]-financials[[#This Row],[Gross Sales]]*financials[[#This Row],[Discounts]]</f>
        <v>478.8</v>
      </c>
      <c r="J3925" s="8">
        <f>VLOOKUP(financials[[#This Row],[productid]],Products!$B$2:$H$10,4)</f>
        <v>16.8</v>
      </c>
      <c r="K3925" s="8">
        <f>financials[[#This Row],[Net Sales]]-financials[[#This Row],[COGS]]</f>
        <v>462</v>
      </c>
      <c r="L3925" s="15">
        <v>44314</v>
      </c>
      <c r="M3925" t="s">
        <v>700</v>
      </c>
    </row>
    <row r="3926" spans="1:13" x14ac:dyDescent="0.25">
      <c r="A3926" t="s">
        <v>86</v>
      </c>
      <c r="B3926" s="6" t="s">
        <v>617</v>
      </c>
      <c r="C3926" s="13">
        <v>109</v>
      </c>
      <c r="D3926" s="14" t="s">
        <v>83</v>
      </c>
      <c r="E3926">
        <v>16</v>
      </c>
      <c r="F3926" s="8">
        <f>VLOOKUP(financials[[#This Row],[productid]],Products!$B$2:$H$10,3)</f>
        <v>36</v>
      </c>
      <c r="G3926" s="8">
        <f>financials[[#This Row],[Units Sold]]*financials[[#This Row],[Sale Price]]</f>
        <v>576</v>
      </c>
      <c r="H3926" s="8">
        <f>IF(financials[[#This Row],[Discount Band]]="low",0.1,IF(financials[[#This Row],[Discount Band]]="medium",0.15,0.3))</f>
        <v>0.3</v>
      </c>
      <c r="I3926" s="8">
        <f>financials[[#This Row],[Gross Sales]]-financials[[#This Row],[Gross Sales]]*financials[[#This Row],[Discounts]]</f>
        <v>403.20000000000005</v>
      </c>
      <c r="J3926" s="8">
        <f>VLOOKUP(financials[[#This Row],[productid]],Products!$B$2:$H$10,4)</f>
        <v>16.8</v>
      </c>
      <c r="K3926" s="8">
        <f>financials[[#This Row],[Net Sales]]-financials[[#This Row],[COGS]]</f>
        <v>386.40000000000003</v>
      </c>
      <c r="L3926" s="15">
        <v>45230</v>
      </c>
      <c r="M3926" t="s">
        <v>691</v>
      </c>
    </row>
    <row r="3927" spans="1:13" x14ac:dyDescent="0.25">
      <c r="A3927" t="s">
        <v>88</v>
      </c>
      <c r="B3927" s="6" t="s">
        <v>167</v>
      </c>
      <c r="C3927" s="13">
        <v>106</v>
      </c>
      <c r="D3927" s="14" t="s">
        <v>90</v>
      </c>
      <c r="E3927">
        <v>13</v>
      </c>
      <c r="F3927" s="8">
        <f>VLOOKUP(financials[[#This Row],[productid]],Products!$B$2:$H$10,3)</f>
        <v>25</v>
      </c>
      <c r="G3927" s="8">
        <f>financials[[#This Row],[Units Sold]]*financials[[#This Row],[Sale Price]]</f>
        <v>325</v>
      </c>
      <c r="H3927" s="8">
        <f>IF(financials[[#This Row],[Discount Band]]="low",0.1,IF(financials[[#This Row],[Discount Band]]="medium",0.15,0.3))</f>
        <v>0.15</v>
      </c>
      <c r="I3927" s="8">
        <f>financials[[#This Row],[Gross Sales]]-financials[[#This Row],[Gross Sales]]*financials[[#This Row],[Discounts]]</f>
        <v>276.25</v>
      </c>
      <c r="J3927" s="8">
        <f>VLOOKUP(financials[[#This Row],[productid]],Products!$B$2:$H$10,4)</f>
        <v>9.1</v>
      </c>
      <c r="K3927" s="8">
        <f>financials[[#This Row],[Net Sales]]-financials[[#This Row],[COGS]]</f>
        <v>267.14999999999998</v>
      </c>
      <c r="L3927" s="15">
        <v>45143</v>
      </c>
      <c r="M3927" t="s">
        <v>696</v>
      </c>
    </row>
    <row r="3928" spans="1:13" x14ac:dyDescent="0.25">
      <c r="A3928" t="s">
        <v>88</v>
      </c>
      <c r="B3928" s="6" t="s">
        <v>94</v>
      </c>
      <c r="C3928" s="13">
        <v>109</v>
      </c>
      <c r="D3928" s="14" t="s">
        <v>83</v>
      </c>
      <c r="E3928">
        <v>7</v>
      </c>
      <c r="F3928" s="8">
        <f>VLOOKUP(financials[[#This Row],[productid]],Products!$B$2:$H$10,3)</f>
        <v>36</v>
      </c>
      <c r="G3928" s="8">
        <f>financials[[#This Row],[Units Sold]]*financials[[#This Row],[Sale Price]]</f>
        <v>252</v>
      </c>
      <c r="H3928" s="8">
        <f>IF(financials[[#This Row],[Discount Band]]="low",0.1,IF(financials[[#This Row],[Discount Band]]="medium",0.15,0.3))</f>
        <v>0.3</v>
      </c>
      <c r="I3928" s="8">
        <f>financials[[#This Row],[Gross Sales]]-financials[[#This Row],[Gross Sales]]*financials[[#This Row],[Discounts]]</f>
        <v>176.4</v>
      </c>
      <c r="J3928" s="8">
        <f>VLOOKUP(financials[[#This Row],[productid]],Products!$B$2:$H$10,4)</f>
        <v>16.8</v>
      </c>
      <c r="K3928" s="8">
        <f>financials[[#This Row],[Net Sales]]-financials[[#This Row],[COGS]]</f>
        <v>159.6</v>
      </c>
      <c r="L3928" s="15">
        <v>44905</v>
      </c>
      <c r="M3928" t="s">
        <v>696</v>
      </c>
    </row>
    <row r="3929" spans="1:13" x14ac:dyDescent="0.25">
      <c r="A3929" t="s">
        <v>88</v>
      </c>
      <c r="B3929" s="6" t="s">
        <v>95</v>
      </c>
      <c r="C3929" s="13">
        <v>105</v>
      </c>
      <c r="D3929" s="14" t="s">
        <v>91</v>
      </c>
      <c r="E3929">
        <v>17</v>
      </c>
      <c r="F3929" s="8">
        <f>VLOOKUP(financials[[#This Row],[productid]],Products!$B$2:$H$10,3)</f>
        <v>15</v>
      </c>
      <c r="G3929" s="8">
        <f>financials[[#This Row],[Units Sold]]*financials[[#This Row],[Sale Price]]</f>
        <v>255</v>
      </c>
      <c r="H3929" s="8">
        <f>IF(financials[[#This Row],[Discount Band]]="low",0.1,IF(financials[[#This Row],[Discount Band]]="medium",0.15,0.3))</f>
        <v>0.1</v>
      </c>
      <c r="I3929" s="8">
        <f>financials[[#This Row],[Gross Sales]]-financials[[#This Row],[Gross Sales]]*financials[[#This Row],[Discounts]]</f>
        <v>229.5</v>
      </c>
      <c r="J3929" s="8">
        <f>VLOOKUP(financials[[#This Row],[productid]],Products!$B$2:$H$10,4)</f>
        <v>10</v>
      </c>
      <c r="K3929" s="8">
        <f>financials[[#This Row],[Net Sales]]-financials[[#This Row],[COGS]]</f>
        <v>219.5</v>
      </c>
      <c r="L3929" s="15">
        <v>45097</v>
      </c>
      <c r="M3929" t="s">
        <v>690</v>
      </c>
    </row>
    <row r="3930" spans="1:13" x14ac:dyDescent="0.25">
      <c r="A3930" t="s">
        <v>88</v>
      </c>
      <c r="B3930" s="6" t="s">
        <v>197</v>
      </c>
      <c r="C3930" s="13">
        <v>101</v>
      </c>
      <c r="D3930" s="14" t="s">
        <v>90</v>
      </c>
      <c r="E3930">
        <v>12</v>
      </c>
      <c r="F3930" s="8">
        <f>VLOOKUP(financials[[#This Row],[productid]],Products!$B$2:$H$10,3)</f>
        <v>23</v>
      </c>
      <c r="G3930" s="8">
        <f>financials[[#This Row],[Units Sold]]*financials[[#This Row],[Sale Price]]</f>
        <v>276</v>
      </c>
      <c r="H3930" s="8">
        <f>IF(financials[[#This Row],[Discount Band]]="low",0.1,IF(financials[[#This Row],[Discount Band]]="medium",0.15,0.3))</f>
        <v>0.15</v>
      </c>
      <c r="I3930" s="8">
        <f>financials[[#This Row],[Gross Sales]]-financials[[#This Row],[Gross Sales]]*financials[[#This Row],[Discounts]]</f>
        <v>234.6</v>
      </c>
      <c r="J3930" s="8">
        <f>VLOOKUP(financials[[#This Row],[productid]],Products!$B$2:$H$10,4)</f>
        <v>9.9499999999999993</v>
      </c>
      <c r="K3930" s="8">
        <f>financials[[#This Row],[Net Sales]]-financials[[#This Row],[COGS]]</f>
        <v>224.65</v>
      </c>
      <c r="L3930" s="15">
        <v>44564</v>
      </c>
      <c r="M3930" t="s">
        <v>700</v>
      </c>
    </row>
    <row r="3931" spans="1:13" x14ac:dyDescent="0.25">
      <c r="A3931" t="s">
        <v>86</v>
      </c>
      <c r="B3931" s="6" t="s">
        <v>287</v>
      </c>
      <c r="C3931" s="11">
        <v>103</v>
      </c>
      <c r="D3931" s="9" t="s">
        <v>90</v>
      </c>
      <c r="E3931">
        <v>16</v>
      </c>
      <c r="F3931" s="8">
        <f>VLOOKUP(financials[[#This Row],[productid]],Products!$B$2:$H$10,3)</f>
        <v>28</v>
      </c>
      <c r="G3931" s="8">
        <f>financials[[#This Row],[Units Sold]]*financials[[#This Row],[Sale Price]]</f>
        <v>448</v>
      </c>
      <c r="H3931" s="8">
        <f>IF(financials[[#This Row],[Discount Band]]="low",0.1,IF(financials[[#This Row],[Discount Band]]="medium",0.15,0.3))</f>
        <v>0.15</v>
      </c>
      <c r="I3931" s="8">
        <f>financials[[#This Row],[Gross Sales]]-financials[[#This Row],[Gross Sales]]*financials[[#This Row],[Discounts]]</f>
        <v>380.8</v>
      </c>
      <c r="J3931" s="8">
        <f>VLOOKUP(financials[[#This Row],[productid]],Products!$B$2:$H$10,4)</f>
        <v>15</v>
      </c>
      <c r="K3931" s="8">
        <f>financials[[#This Row],[Net Sales]]-financials[[#This Row],[COGS]]</f>
        <v>365.8</v>
      </c>
      <c r="L3931" s="15">
        <v>44071</v>
      </c>
      <c r="M3931" t="s">
        <v>696</v>
      </c>
    </row>
    <row r="3932" spans="1:13" x14ac:dyDescent="0.25">
      <c r="A3932" t="s">
        <v>86</v>
      </c>
      <c r="B3932" s="6" t="s">
        <v>228</v>
      </c>
      <c r="C3932" s="13">
        <v>106</v>
      </c>
      <c r="D3932" s="14" t="s">
        <v>83</v>
      </c>
      <c r="E3932">
        <v>11</v>
      </c>
      <c r="F3932" s="8">
        <f>VLOOKUP(financials[[#This Row],[productid]],Products!$B$2:$H$10,3)</f>
        <v>25</v>
      </c>
      <c r="G3932" s="8">
        <f>financials[[#This Row],[Units Sold]]*financials[[#This Row],[Sale Price]]</f>
        <v>275</v>
      </c>
      <c r="H3932" s="8">
        <f>IF(financials[[#This Row],[Discount Band]]="low",0.1,IF(financials[[#This Row],[Discount Band]]="medium",0.15,0.3))</f>
        <v>0.3</v>
      </c>
      <c r="I3932" s="8">
        <f>financials[[#This Row],[Gross Sales]]-financials[[#This Row],[Gross Sales]]*financials[[#This Row],[Discounts]]</f>
        <v>192.5</v>
      </c>
      <c r="J3932" s="8">
        <f>VLOOKUP(financials[[#This Row],[productid]],Products!$B$2:$H$10,4)</f>
        <v>9.1</v>
      </c>
      <c r="K3932" s="8">
        <f>financials[[#This Row],[Net Sales]]-financials[[#This Row],[COGS]]</f>
        <v>183.4</v>
      </c>
      <c r="L3932" s="15">
        <v>44677</v>
      </c>
      <c r="M3932" t="s">
        <v>691</v>
      </c>
    </row>
    <row r="3933" spans="1:13" x14ac:dyDescent="0.25">
      <c r="A3933" t="s">
        <v>86</v>
      </c>
      <c r="B3933" s="6" t="s">
        <v>287</v>
      </c>
      <c r="C3933" s="13">
        <v>104</v>
      </c>
      <c r="D3933" s="14" t="s">
        <v>83</v>
      </c>
      <c r="E3933">
        <v>16</v>
      </c>
      <c r="F3933" s="8">
        <f>VLOOKUP(financials[[#This Row],[productid]],Products!$B$2:$H$10,3)</f>
        <v>5.9</v>
      </c>
      <c r="G3933" s="8">
        <f>financials[[#This Row],[Units Sold]]*financials[[#This Row],[Sale Price]]</f>
        <v>94.4</v>
      </c>
      <c r="H3933" s="8">
        <f>IF(financials[[#This Row],[Discount Band]]="low",0.1,IF(financials[[#This Row],[Discount Band]]="medium",0.15,0.3))</f>
        <v>0.3</v>
      </c>
      <c r="I3933" s="8">
        <f>financials[[#This Row],[Gross Sales]]-financials[[#This Row],[Gross Sales]]*financials[[#This Row],[Discounts]]</f>
        <v>66.080000000000013</v>
      </c>
      <c r="J3933" s="8">
        <f>VLOOKUP(financials[[#This Row],[productid]],Products!$B$2:$H$10,4)</f>
        <v>2.9</v>
      </c>
      <c r="K3933" s="8">
        <f>financials[[#This Row],[Net Sales]]-financials[[#This Row],[COGS]]</f>
        <v>63.180000000000014</v>
      </c>
      <c r="L3933" s="15">
        <v>43846</v>
      </c>
      <c r="M3933" t="s">
        <v>697</v>
      </c>
    </row>
    <row r="3934" spans="1:13" x14ac:dyDescent="0.25">
      <c r="A3934" t="s">
        <v>86</v>
      </c>
      <c r="B3934" s="6" t="s">
        <v>95</v>
      </c>
      <c r="C3934" s="11">
        <v>104</v>
      </c>
      <c r="D3934" s="9" t="s">
        <v>90</v>
      </c>
      <c r="E3934">
        <v>13</v>
      </c>
      <c r="F3934" s="8">
        <f>VLOOKUP(financials[[#This Row],[productid]],Products!$B$2:$H$10,3)</f>
        <v>5.9</v>
      </c>
      <c r="G3934" s="8">
        <f>financials[[#This Row],[Units Sold]]*financials[[#This Row],[Sale Price]]</f>
        <v>76.7</v>
      </c>
      <c r="H3934" s="8">
        <f>IF(financials[[#This Row],[Discount Band]]="low",0.1,IF(financials[[#This Row],[Discount Band]]="medium",0.15,0.3))</f>
        <v>0.15</v>
      </c>
      <c r="I3934" s="8">
        <f>financials[[#This Row],[Gross Sales]]-financials[[#This Row],[Gross Sales]]*financials[[#This Row],[Discounts]]</f>
        <v>65.195000000000007</v>
      </c>
      <c r="J3934" s="8">
        <f>VLOOKUP(financials[[#This Row],[productid]],Products!$B$2:$H$10,4)</f>
        <v>2.9</v>
      </c>
      <c r="K3934" s="8">
        <f>financials[[#This Row],[Net Sales]]-financials[[#This Row],[COGS]]</f>
        <v>62.295000000000009</v>
      </c>
      <c r="L3934" s="15">
        <v>43966</v>
      </c>
      <c r="M3934" t="s">
        <v>696</v>
      </c>
    </row>
    <row r="3935" spans="1:13" x14ac:dyDescent="0.25">
      <c r="A3935" t="s">
        <v>86</v>
      </c>
      <c r="B3935" s="6" t="s">
        <v>197</v>
      </c>
      <c r="C3935" s="13">
        <v>104</v>
      </c>
      <c r="D3935" s="14" t="s">
        <v>83</v>
      </c>
      <c r="E3935">
        <v>14</v>
      </c>
      <c r="F3935" s="8">
        <f>VLOOKUP(financials[[#This Row],[productid]],Products!$B$2:$H$10,3)</f>
        <v>5.9</v>
      </c>
      <c r="G3935" s="8">
        <f>financials[[#This Row],[Units Sold]]*financials[[#This Row],[Sale Price]]</f>
        <v>82.600000000000009</v>
      </c>
      <c r="H3935" s="8">
        <f>IF(financials[[#This Row],[Discount Band]]="low",0.1,IF(financials[[#This Row],[Discount Band]]="medium",0.15,0.3))</f>
        <v>0.3</v>
      </c>
      <c r="I3935" s="8">
        <f>financials[[#This Row],[Gross Sales]]-financials[[#This Row],[Gross Sales]]*financials[[#This Row],[Discounts]]</f>
        <v>57.820000000000007</v>
      </c>
      <c r="J3935" s="8">
        <f>VLOOKUP(financials[[#This Row],[productid]],Products!$B$2:$H$10,4)</f>
        <v>2.9</v>
      </c>
      <c r="K3935" s="8">
        <f>financials[[#This Row],[Net Sales]]-financials[[#This Row],[COGS]]</f>
        <v>54.920000000000009</v>
      </c>
      <c r="L3935" s="15">
        <v>45292</v>
      </c>
      <c r="M3935" t="s">
        <v>691</v>
      </c>
    </row>
    <row r="3936" spans="1:13" x14ac:dyDescent="0.25">
      <c r="A3936" t="s">
        <v>86</v>
      </c>
      <c r="B3936" s="6" t="s">
        <v>96</v>
      </c>
      <c r="C3936" s="11">
        <v>102</v>
      </c>
      <c r="D3936" s="9" t="s">
        <v>90</v>
      </c>
      <c r="E3936">
        <v>12</v>
      </c>
      <c r="F3936" s="8">
        <f>VLOOKUP(financials[[#This Row],[productid]],Products!$B$2:$H$10,3)</f>
        <v>15</v>
      </c>
      <c r="G3936" s="8">
        <f>financials[[#This Row],[Units Sold]]*financials[[#This Row],[Sale Price]]</f>
        <v>180</v>
      </c>
      <c r="H3936" s="8">
        <f>IF(financials[[#This Row],[Discount Band]]="low",0.1,IF(financials[[#This Row],[Discount Band]]="medium",0.15,0.3))</f>
        <v>0.15</v>
      </c>
      <c r="I3936" s="8">
        <f>financials[[#This Row],[Gross Sales]]-financials[[#This Row],[Gross Sales]]*financials[[#This Row],[Discounts]]</f>
        <v>153</v>
      </c>
      <c r="J3936" s="8">
        <f>VLOOKUP(financials[[#This Row],[productid]],Products!$B$2:$H$10,4)</f>
        <v>13.95</v>
      </c>
      <c r="K3936" s="8">
        <f>financials[[#This Row],[Net Sales]]-financials[[#This Row],[COGS]]</f>
        <v>139.05000000000001</v>
      </c>
      <c r="L3936" s="15">
        <v>43944</v>
      </c>
      <c r="M3936" t="s">
        <v>697</v>
      </c>
    </row>
    <row r="3937" spans="1:13" x14ac:dyDescent="0.25">
      <c r="A3937" t="s">
        <v>86</v>
      </c>
      <c r="B3937" s="6" t="s">
        <v>125</v>
      </c>
      <c r="C3937" s="13">
        <v>109</v>
      </c>
      <c r="D3937" s="14" t="s">
        <v>91</v>
      </c>
      <c r="E3937">
        <v>11</v>
      </c>
      <c r="F3937" s="8">
        <f>VLOOKUP(financials[[#This Row],[productid]],Products!$B$2:$H$10,3)</f>
        <v>36</v>
      </c>
      <c r="G3937" s="8">
        <f>financials[[#This Row],[Units Sold]]*financials[[#This Row],[Sale Price]]</f>
        <v>396</v>
      </c>
      <c r="H3937" s="8">
        <f>IF(financials[[#This Row],[Discount Band]]="low",0.1,IF(financials[[#This Row],[Discount Band]]="medium",0.15,0.3))</f>
        <v>0.1</v>
      </c>
      <c r="I3937" s="8">
        <f>financials[[#This Row],[Gross Sales]]-financials[[#This Row],[Gross Sales]]*financials[[#This Row],[Discounts]]</f>
        <v>356.4</v>
      </c>
      <c r="J3937" s="8">
        <f>VLOOKUP(financials[[#This Row],[productid]],Products!$B$2:$H$10,4)</f>
        <v>16.8</v>
      </c>
      <c r="K3937" s="8">
        <f>financials[[#This Row],[Net Sales]]-financials[[#This Row],[COGS]]</f>
        <v>339.59999999999997</v>
      </c>
      <c r="L3937" s="15">
        <v>44510</v>
      </c>
      <c r="M3937" t="s">
        <v>700</v>
      </c>
    </row>
    <row r="3938" spans="1:13" x14ac:dyDescent="0.25">
      <c r="A3938" t="s">
        <v>86</v>
      </c>
      <c r="B3938" s="6" t="s">
        <v>228</v>
      </c>
      <c r="C3938" s="13">
        <v>105</v>
      </c>
      <c r="D3938" s="14" t="s">
        <v>91</v>
      </c>
      <c r="E3938">
        <v>20</v>
      </c>
      <c r="F3938" s="8">
        <f>VLOOKUP(financials[[#This Row],[productid]],Products!$B$2:$H$10,3)</f>
        <v>15</v>
      </c>
      <c r="G3938" s="8">
        <f>financials[[#This Row],[Units Sold]]*financials[[#This Row],[Sale Price]]</f>
        <v>300</v>
      </c>
      <c r="H3938" s="8">
        <f>IF(financials[[#This Row],[Discount Band]]="low",0.1,IF(financials[[#This Row],[Discount Band]]="medium",0.15,0.3))</f>
        <v>0.1</v>
      </c>
      <c r="I3938" s="8">
        <f>financials[[#This Row],[Gross Sales]]-financials[[#This Row],[Gross Sales]]*financials[[#This Row],[Discounts]]</f>
        <v>270</v>
      </c>
      <c r="J3938" s="8">
        <f>VLOOKUP(financials[[#This Row],[productid]],Products!$B$2:$H$10,4)</f>
        <v>10</v>
      </c>
      <c r="K3938" s="8">
        <f>financials[[#This Row],[Net Sales]]-financials[[#This Row],[COGS]]</f>
        <v>260</v>
      </c>
      <c r="L3938" s="15">
        <v>44335</v>
      </c>
      <c r="M3938" t="s">
        <v>700</v>
      </c>
    </row>
    <row r="3939" spans="1:13" x14ac:dyDescent="0.25">
      <c r="A3939" t="s">
        <v>86</v>
      </c>
      <c r="B3939" s="6" t="s">
        <v>96</v>
      </c>
      <c r="C3939" s="13">
        <v>101</v>
      </c>
      <c r="D3939" s="14" t="s">
        <v>90</v>
      </c>
      <c r="E3939">
        <v>9</v>
      </c>
      <c r="F3939" s="8">
        <f>VLOOKUP(financials[[#This Row],[productid]],Products!$B$2:$H$10,3)</f>
        <v>23</v>
      </c>
      <c r="G3939" s="8">
        <f>financials[[#This Row],[Units Sold]]*financials[[#This Row],[Sale Price]]</f>
        <v>207</v>
      </c>
      <c r="H3939" s="8">
        <f>IF(financials[[#This Row],[Discount Band]]="low",0.1,IF(financials[[#This Row],[Discount Band]]="medium",0.15,0.3))</f>
        <v>0.15</v>
      </c>
      <c r="I3939" s="8">
        <f>financials[[#This Row],[Gross Sales]]-financials[[#This Row],[Gross Sales]]*financials[[#This Row],[Discounts]]</f>
        <v>175.95</v>
      </c>
      <c r="J3939" s="8">
        <f>VLOOKUP(financials[[#This Row],[productid]],Products!$B$2:$H$10,4)</f>
        <v>9.9499999999999993</v>
      </c>
      <c r="K3939" s="8">
        <f>financials[[#This Row],[Net Sales]]-financials[[#This Row],[COGS]]</f>
        <v>166</v>
      </c>
      <c r="L3939" s="15">
        <v>44608</v>
      </c>
      <c r="M3939" t="s">
        <v>700</v>
      </c>
    </row>
    <row r="3940" spans="1:13" x14ac:dyDescent="0.25">
      <c r="A3940" t="s">
        <v>86</v>
      </c>
      <c r="B3940" s="6" t="s">
        <v>232</v>
      </c>
      <c r="C3940" s="13">
        <v>105</v>
      </c>
      <c r="D3940" s="14" t="s">
        <v>83</v>
      </c>
      <c r="E3940">
        <v>10</v>
      </c>
      <c r="F3940" s="8">
        <f>VLOOKUP(financials[[#This Row],[productid]],Products!$B$2:$H$10,3)</f>
        <v>15</v>
      </c>
      <c r="G3940" s="8">
        <f>financials[[#This Row],[Units Sold]]*financials[[#This Row],[Sale Price]]</f>
        <v>150</v>
      </c>
      <c r="H3940" s="8">
        <f>IF(financials[[#This Row],[Discount Band]]="low",0.1,IF(financials[[#This Row],[Discount Band]]="medium",0.15,0.3))</f>
        <v>0.3</v>
      </c>
      <c r="I3940" s="8">
        <f>financials[[#This Row],[Gross Sales]]-financials[[#This Row],[Gross Sales]]*financials[[#This Row],[Discounts]]</f>
        <v>105</v>
      </c>
      <c r="J3940" s="8">
        <f>VLOOKUP(financials[[#This Row],[productid]],Products!$B$2:$H$10,4)</f>
        <v>10</v>
      </c>
      <c r="K3940" s="8">
        <f>financials[[#This Row],[Net Sales]]-financials[[#This Row],[COGS]]</f>
        <v>95</v>
      </c>
      <c r="L3940" s="15">
        <v>43840</v>
      </c>
      <c r="M3940" t="s">
        <v>697</v>
      </c>
    </row>
    <row r="3941" spans="1:13" x14ac:dyDescent="0.25">
      <c r="A3941" t="s">
        <v>86</v>
      </c>
      <c r="B3941" s="6" t="s">
        <v>232</v>
      </c>
      <c r="C3941" s="11">
        <v>103</v>
      </c>
      <c r="D3941" s="9" t="s">
        <v>91</v>
      </c>
      <c r="E3941">
        <v>15</v>
      </c>
      <c r="F3941" s="8">
        <f>VLOOKUP(financials[[#This Row],[productid]],Products!$B$2:$H$10,3)</f>
        <v>28</v>
      </c>
      <c r="G3941" s="8">
        <f>financials[[#This Row],[Units Sold]]*financials[[#This Row],[Sale Price]]</f>
        <v>420</v>
      </c>
      <c r="H3941" s="8">
        <f>IF(financials[[#This Row],[Discount Band]]="low",0.1,IF(financials[[#This Row],[Discount Band]]="medium",0.15,0.3))</f>
        <v>0.1</v>
      </c>
      <c r="I3941" s="8">
        <f>financials[[#This Row],[Gross Sales]]-financials[[#This Row],[Gross Sales]]*financials[[#This Row],[Discounts]]</f>
        <v>378</v>
      </c>
      <c r="J3941" s="8">
        <f>VLOOKUP(financials[[#This Row],[productid]],Products!$B$2:$H$10,4)</f>
        <v>15</v>
      </c>
      <c r="K3941" s="8">
        <f>financials[[#This Row],[Net Sales]]-financials[[#This Row],[COGS]]</f>
        <v>363</v>
      </c>
      <c r="L3941" s="15">
        <v>44456</v>
      </c>
      <c r="M3941" t="s">
        <v>697</v>
      </c>
    </row>
    <row r="3942" spans="1:13" x14ac:dyDescent="0.25">
      <c r="A3942" t="s">
        <v>86</v>
      </c>
      <c r="B3942" s="6" t="s">
        <v>125</v>
      </c>
      <c r="C3942" s="13">
        <v>105</v>
      </c>
      <c r="D3942" s="14" t="s">
        <v>83</v>
      </c>
      <c r="E3942">
        <v>9</v>
      </c>
      <c r="F3942" s="8">
        <f>VLOOKUP(financials[[#This Row],[productid]],Products!$B$2:$H$10,3)</f>
        <v>15</v>
      </c>
      <c r="G3942" s="8">
        <f>financials[[#This Row],[Units Sold]]*financials[[#This Row],[Sale Price]]</f>
        <v>135</v>
      </c>
      <c r="H3942" s="8">
        <f>IF(financials[[#This Row],[Discount Band]]="low",0.1,IF(financials[[#This Row],[Discount Band]]="medium",0.15,0.3))</f>
        <v>0.3</v>
      </c>
      <c r="I3942" s="8">
        <f>financials[[#This Row],[Gross Sales]]-financials[[#This Row],[Gross Sales]]*financials[[#This Row],[Discounts]]</f>
        <v>94.5</v>
      </c>
      <c r="J3942" s="8">
        <f>VLOOKUP(financials[[#This Row],[productid]],Products!$B$2:$H$10,4)</f>
        <v>10</v>
      </c>
      <c r="K3942" s="8">
        <f>financials[[#This Row],[Net Sales]]-financials[[#This Row],[COGS]]</f>
        <v>84.5</v>
      </c>
      <c r="L3942" s="15">
        <v>44946</v>
      </c>
      <c r="M3942" t="s">
        <v>696</v>
      </c>
    </row>
    <row r="3943" spans="1:13" x14ac:dyDescent="0.25">
      <c r="A3943" t="s">
        <v>86</v>
      </c>
      <c r="B3943" s="6" t="s">
        <v>95</v>
      </c>
      <c r="C3943" s="13">
        <v>105</v>
      </c>
      <c r="D3943" s="14" t="s">
        <v>83</v>
      </c>
      <c r="E3943">
        <v>9</v>
      </c>
      <c r="F3943" s="8">
        <f>VLOOKUP(financials[[#This Row],[productid]],Products!$B$2:$H$10,3)</f>
        <v>15</v>
      </c>
      <c r="G3943" s="8">
        <f>financials[[#This Row],[Units Sold]]*financials[[#This Row],[Sale Price]]</f>
        <v>135</v>
      </c>
      <c r="H3943" s="8">
        <f>IF(financials[[#This Row],[Discount Band]]="low",0.1,IF(financials[[#This Row],[Discount Band]]="medium",0.15,0.3))</f>
        <v>0.3</v>
      </c>
      <c r="I3943" s="8">
        <f>financials[[#This Row],[Gross Sales]]-financials[[#This Row],[Gross Sales]]*financials[[#This Row],[Discounts]]</f>
        <v>94.5</v>
      </c>
      <c r="J3943" s="8">
        <f>VLOOKUP(financials[[#This Row],[productid]],Products!$B$2:$H$10,4)</f>
        <v>10</v>
      </c>
      <c r="K3943" s="8">
        <f>financials[[#This Row],[Net Sales]]-financials[[#This Row],[COGS]]</f>
        <v>84.5</v>
      </c>
      <c r="L3943" s="15">
        <v>45304</v>
      </c>
      <c r="M3943" t="s">
        <v>697</v>
      </c>
    </row>
    <row r="3944" spans="1:13" x14ac:dyDescent="0.25">
      <c r="A3944" t="s">
        <v>86</v>
      </c>
      <c r="B3944" s="6" t="s">
        <v>545</v>
      </c>
      <c r="C3944" s="13">
        <v>101</v>
      </c>
      <c r="D3944" s="14" t="s">
        <v>91</v>
      </c>
      <c r="E3944">
        <v>11</v>
      </c>
      <c r="F3944" s="8">
        <f>VLOOKUP(financials[[#This Row],[productid]],Products!$B$2:$H$10,3)</f>
        <v>23</v>
      </c>
      <c r="G3944" s="8">
        <f>financials[[#This Row],[Units Sold]]*financials[[#This Row],[Sale Price]]</f>
        <v>253</v>
      </c>
      <c r="H3944" s="8">
        <f>IF(financials[[#This Row],[Discount Band]]="low",0.1,IF(financials[[#This Row],[Discount Band]]="medium",0.15,0.3))</f>
        <v>0.1</v>
      </c>
      <c r="I3944" s="8">
        <f>financials[[#This Row],[Gross Sales]]-financials[[#This Row],[Gross Sales]]*financials[[#This Row],[Discounts]]</f>
        <v>227.7</v>
      </c>
      <c r="J3944" s="8">
        <f>VLOOKUP(financials[[#This Row],[productid]],Products!$B$2:$H$10,4)</f>
        <v>9.9499999999999993</v>
      </c>
      <c r="K3944" s="8">
        <f>financials[[#This Row],[Net Sales]]-financials[[#This Row],[COGS]]</f>
        <v>217.75</v>
      </c>
      <c r="L3944" s="15">
        <v>43839</v>
      </c>
      <c r="M3944" t="s">
        <v>697</v>
      </c>
    </row>
    <row r="3945" spans="1:13" x14ac:dyDescent="0.25">
      <c r="A3945" t="s">
        <v>86</v>
      </c>
      <c r="B3945" s="6" t="s">
        <v>276</v>
      </c>
      <c r="C3945" s="13">
        <v>109</v>
      </c>
      <c r="D3945" s="14" t="s">
        <v>83</v>
      </c>
      <c r="E3945">
        <v>20</v>
      </c>
      <c r="F3945" s="8">
        <f>VLOOKUP(financials[[#This Row],[productid]],Products!$B$2:$H$10,3)</f>
        <v>36</v>
      </c>
      <c r="G3945" s="8">
        <f>financials[[#This Row],[Units Sold]]*financials[[#This Row],[Sale Price]]</f>
        <v>720</v>
      </c>
      <c r="H3945" s="8">
        <f>IF(financials[[#This Row],[Discount Band]]="low",0.1,IF(financials[[#This Row],[Discount Band]]="medium",0.15,0.3))</f>
        <v>0.3</v>
      </c>
      <c r="I3945" s="8">
        <f>financials[[#This Row],[Gross Sales]]-financials[[#This Row],[Gross Sales]]*financials[[#This Row],[Discounts]]</f>
        <v>504</v>
      </c>
      <c r="J3945" s="8">
        <f>VLOOKUP(financials[[#This Row],[productid]],Products!$B$2:$H$10,4)</f>
        <v>16.8</v>
      </c>
      <c r="K3945" s="8">
        <f>financials[[#This Row],[Net Sales]]-financials[[#This Row],[COGS]]</f>
        <v>487.2</v>
      </c>
      <c r="L3945" s="15">
        <v>45202</v>
      </c>
      <c r="M3945" t="s">
        <v>697</v>
      </c>
    </row>
    <row r="3946" spans="1:13" x14ac:dyDescent="0.25">
      <c r="A3946" t="s">
        <v>88</v>
      </c>
      <c r="B3946" s="6" t="s">
        <v>545</v>
      </c>
      <c r="C3946" s="13">
        <v>108</v>
      </c>
      <c r="D3946" s="14" t="s">
        <v>90</v>
      </c>
      <c r="E3946">
        <v>5</v>
      </c>
      <c r="F3946" s="8">
        <f>VLOOKUP(financials[[#This Row],[productid]],Products!$B$2:$H$10,3)</f>
        <v>5.5</v>
      </c>
      <c r="G3946" s="8">
        <f>financials[[#This Row],[Units Sold]]*financials[[#This Row],[Sale Price]]</f>
        <v>27.5</v>
      </c>
      <c r="H3946" s="8">
        <f>IF(financials[[#This Row],[Discount Band]]="low",0.1,IF(financials[[#This Row],[Discount Band]]="medium",0.15,0.3))</f>
        <v>0.15</v>
      </c>
      <c r="I3946" s="8">
        <f>financials[[#This Row],[Gross Sales]]-financials[[#This Row],[Gross Sales]]*financials[[#This Row],[Discounts]]</f>
        <v>23.375</v>
      </c>
      <c r="J3946" s="8">
        <f>VLOOKUP(financials[[#This Row],[productid]],Products!$B$2:$H$10,4)</f>
        <v>3.99</v>
      </c>
      <c r="K3946" s="8">
        <f>financials[[#This Row],[Net Sales]]-financials[[#This Row],[COGS]]</f>
        <v>19.384999999999998</v>
      </c>
      <c r="L3946" s="15">
        <v>45087</v>
      </c>
      <c r="M3946" t="s">
        <v>700</v>
      </c>
    </row>
    <row r="3947" spans="1:13" x14ac:dyDescent="0.25">
      <c r="A3947" t="s">
        <v>86</v>
      </c>
      <c r="B3947" s="6" t="s">
        <v>273</v>
      </c>
      <c r="C3947" s="13">
        <v>103</v>
      </c>
      <c r="D3947" s="14" t="s">
        <v>83</v>
      </c>
      <c r="E3947">
        <v>16</v>
      </c>
      <c r="F3947" s="8">
        <f>VLOOKUP(financials[[#This Row],[productid]],Products!$B$2:$H$10,3)</f>
        <v>28</v>
      </c>
      <c r="G3947" s="8">
        <f>financials[[#This Row],[Units Sold]]*financials[[#This Row],[Sale Price]]</f>
        <v>448</v>
      </c>
      <c r="H3947" s="8">
        <f>IF(financials[[#This Row],[Discount Band]]="low",0.1,IF(financials[[#This Row],[Discount Band]]="medium",0.15,0.3))</f>
        <v>0.3</v>
      </c>
      <c r="I3947" s="8">
        <f>financials[[#This Row],[Gross Sales]]-financials[[#This Row],[Gross Sales]]*financials[[#This Row],[Discounts]]</f>
        <v>313.60000000000002</v>
      </c>
      <c r="J3947" s="8">
        <f>VLOOKUP(financials[[#This Row],[productid]],Products!$B$2:$H$10,4)</f>
        <v>15</v>
      </c>
      <c r="K3947" s="8">
        <f>financials[[#This Row],[Net Sales]]-financials[[#This Row],[COGS]]</f>
        <v>298.60000000000002</v>
      </c>
      <c r="L3947" s="15">
        <v>44066</v>
      </c>
      <c r="M3947" t="s">
        <v>690</v>
      </c>
    </row>
    <row r="3948" spans="1:13" x14ac:dyDescent="0.25">
      <c r="A3948" t="s">
        <v>86</v>
      </c>
      <c r="B3948" s="6" t="s">
        <v>276</v>
      </c>
      <c r="C3948" s="11">
        <v>109</v>
      </c>
      <c r="D3948" s="9" t="s">
        <v>92</v>
      </c>
      <c r="E3948">
        <v>17</v>
      </c>
      <c r="F3948" s="8">
        <f>VLOOKUP(financials[[#This Row],[productid]],Products!$B$2:$H$10,3)</f>
        <v>36</v>
      </c>
      <c r="G3948" s="8">
        <f>financials[[#This Row],[Units Sold]]*financials[[#This Row],[Sale Price]]</f>
        <v>612</v>
      </c>
      <c r="H3948" s="8">
        <f>IF(financials[[#This Row],[Discount Band]]="low",0.1,IF(financials[[#This Row],[Discount Band]]="medium",0.15,0.3))</f>
        <v>0.3</v>
      </c>
      <c r="I3948" s="8">
        <f>financials[[#This Row],[Gross Sales]]-financials[[#This Row],[Gross Sales]]*financials[[#This Row],[Discounts]]</f>
        <v>428.4</v>
      </c>
      <c r="J3948" s="8">
        <f>VLOOKUP(financials[[#This Row],[productid]],Products!$B$2:$H$10,4)</f>
        <v>16.8</v>
      </c>
      <c r="K3948" s="8">
        <f>financials[[#This Row],[Net Sales]]-financials[[#This Row],[COGS]]</f>
        <v>411.59999999999997</v>
      </c>
      <c r="L3948" s="15">
        <v>45143</v>
      </c>
      <c r="M3948" t="s">
        <v>696</v>
      </c>
    </row>
    <row r="3949" spans="1:13" x14ac:dyDescent="0.25">
      <c r="A3949" t="s">
        <v>86</v>
      </c>
      <c r="B3949" s="6" t="s">
        <v>198</v>
      </c>
      <c r="C3949" s="13">
        <v>105</v>
      </c>
      <c r="D3949" s="14" t="s">
        <v>92</v>
      </c>
      <c r="E3949">
        <v>12</v>
      </c>
      <c r="F3949" s="8">
        <f>VLOOKUP(financials[[#This Row],[productid]],Products!$B$2:$H$10,3)</f>
        <v>15</v>
      </c>
      <c r="G3949" s="8">
        <f>financials[[#This Row],[Units Sold]]*financials[[#This Row],[Sale Price]]</f>
        <v>180</v>
      </c>
      <c r="H3949" s="8">
        <f>IF(financials[[#This Row],[Discount Band]]="low",0.1,IF(financials[[#This Row],[Discount Band]]="medium",0.15,0.3))</f>
        <v>0.3</v>
      </c>
      <c r="I3949" s="8">
        <f>financials[[#This Row],[Gross Sales]]-financials[[#This Row],[Gross Sales]]*financials[[#This Row],[Discounts]]</f>
        <v>126</v>
      </c>
      <c r="J3949" s="8">
        <f>VLOOKUP(financials[[#This Row],[productid]],Products!$B$2:$H$10,4)</f>
        <v>10</v>
      </c>
      <c r="K3949" s="8">
        <f>financials[[#This Row],[Net Sales]]-financials[[#This Row],[COGS]]</f>
        <v>116</v>
      </c>
      <c r="L3949" s="15">
        <v>44462</v>
      </c>
      <c r="M3949" t="s">
        <v>697</v>
      </c>
    </row>
    <row r="3950" spans="1:13" x14ac:dyDescent="0.25">
      <c r="A3950" t="s">
        <v>88</v>
      </c>
      <c r="B3950" s="6" t="s">
        <v>94</v>
      </c>
      <c r="C3950" s="13">
        <v>104</v>
      </c>
      <c r="D3950" s="14" t="s">
        <v>91</v>
      </c>
      <c r="E3950">
        <v>5</v>
      </c>
      <c r="F3950" s="8">
        <f>VLOOKUP(financials[[#This Row],[productid]],Products!$B$2:$H$10,3)</f>
        <v>5.9</v>
      </c>
      <c r="G3950" s="8">
        <f>financials[[#This Row],[Units Sold]]*financials[[#This Row],[Sale Price]]</f>
        <v>29.5</v>
      </c>
      <c r="H3950" s="8">
        <f>IF(financials[[#This Row],[Discount Band]]="low",0.1,IF(financials[[#This Row],[Discount Band]]="medium",0.15,0.3))</f>
        <v>0.1</v>
      </c>
      <c r="I3950" s="8">
        <f>financials[[#This Row],[Gross Sales]]-financials[[#This Row],[Gross Sales]]*financials[[#This Row],[Discounts]]</f>
        <v>26.55</v>
      </c>
      <c r="J3950" s="8">
        <f>VLOOKUP(financials[[#This Row],[productid]],Products!$B$2:$H$10,4)</f>
        <v>2.9</v>
      </c>
      <c r="K3950" s="8">
        <f>financials[[#This Row],[Net Sales]]-financials[[#This Row],[COGS]]</f>
        <v>23.650000000000002</v>
      </c>
      <c r="L3950" s="15">
        <v>45508</v>
      </c>
      <c r="M3950" t="s">
        <v>691</v>
      </c>
    </row>
    <row r="3951" spans="1:13" x14ac:dyDescent="0.25">
      <c r="A3951" t="s">
        <v>86</v>
      </c>
      <c r="B3951" s="6" t="s">
        <v>545</v>
      </c>
      <c r="C3951" s="13">
        <v>104</v>
      </c>
      <c r="D3951" s="14" t="s">
        <v>90</v>
      </c>
      <c r="E3951">
        <v>7</v>
      </c>
      <c r="F3951" s="8">
        <f>VLOOKUP(financials[[#This Row],[productid]],Products!$B$2:$H$10,3)</f>
        <v>5.9</v>
      </c>
      <c r="G3951" s="8">
        <f>financials[[#This Row],[Units Sold]]*financials[[#This Row],[Sale Price]]</f>
        <v>41.300000000000004</v>
      </c>
      <c r="H3951" s="8">
        <f>IF(financials[[#This Row],[Discount Band]]="low",0.1,IF(financials[[#This Row],[Discount Band]]="medium",0.15,0.3))</f>
        <v>0.15</v>
      </c>
      <c r="I3951" s="8">
        <f>financials[[#This Row],[Gross Sales]]-financials[[#This Row],[Gross Sales]]*financials[[#This Row],[Discounts]]</f>
        <v>35.105000000000004</v>
      </c>
      <c r="J3951" s="8">
        <f>VLOOKUP(financials[[#This Row],[productid]],Products!$B$2:$H$10,4)</f>
        <v>2.9</v>
      </c>
      <c r="K3951" s="8">
        <f>financials[[#This Row],[Net Sales]]-financials[[#This Row],[COGS]]</f>
        <v>32.205000000000005</v>
      </c>
      <c r="L3951" s="15">
        <v>45016</v>
      </c>
      <c r="M3951" t="s">
        <v>696</v>
      </c>
    </row>
    <row r="3952" spans="1:13" x14ac:dyDescent="0.25">
      <c r="A3952" t="s">
        <v>88</v>
      </c>
      <c r="B3952" s="6" t="s">
        <v>545</v>
      </c>
      <c r="C3952" s="13">
        <v>105</v>
      </c>
      <c r="D3952" s="14" t="s">
        <v>83</v>
      </c>
      <c r="E3952">
        <v>14</v>
      </c>
      <c r="F3952" s="8">
        <f>VLOOKUP(financials[[#This Row],[productid]],Products!$B$2:$H$10,3)</f>
        <v>15</v>
      </c>
      <c r="G3952" s="8">
        <f>financials[[#This Row],[Units Sold]]*financials[[#This Row],[Sale Price]]</f>
        <v>210</v>
      </c>
      <c r="H3952" s="8">
        <f>IF(financials[[#This Row],[Discount Band]]="low",0.1,IF(financials[[#This Row],[Discount Band]]="medium",0.15,0.3))</f>
        <v>0.3</v>
      </c>
      <c r="I3952" s="8">
        <f>financials[[#This Row],[Gross Sales]]-financials[[#This Row],[Gross Sales]]*financials[[#This Row],[Discounts]]</f>
        <v>147</v>
      </c>
      <c r="J3952" s="8">
        <f>VLOOKUP(financials[[#This Row],[productid]],Products!$B$2:$H$10,4)</f>
        <v>10</v>
      </c>
      <c r="K3952" s="8">
        <f>financials[[#This Row],[Net Sales]]-financials[[#This Row],[COGS]]</f>
        <v>137</v>
      </c>
      <c r="L3952" s="15">
        <v>45272</v>
      </c>
      <c r="M3952" t="s">
        <v>691</v>
      </c>
    </row>
    <row r="3953" spans="1:13" x14ac:dyDescent="0.25">
      <c r="A3953" t="s">
        <v>86</v>
      </c>
      <c r="B3953" s="6" t="s">
        <v>268</v>
      </c>
      <c r="C3953" s="13">
        <v>102</v>
      </c>
      <c r="D3953" s="14" t="s">
        <v>90</v>
      </c>
      <c r="E3953">
        <v>17</v>
      </c>
      <c r="F3953" s="8">
        <f>VLOOKUP(financials[[#This Row],[productid]],Products!$B$2:$H$10,3)</f>
        <v>15</v>
      </c>
      <c r="G3953" s="8">
        <f>financials[[#This Row],[Units Sold]]*financials[[#This Row],[Sale Price]]</f>
        <v>255</v>
      </c>
      <c r="H3953" s="8">
        <f>IF(financials[[#This Row],[Discount Band]]="low",0.1,IF(financials[[#This Row],[Discount Band]]="medium",0.15,0.3))</f>
        <v>0.15</v>
      </c>
      <c r="I3953" s="8">
        <f>financials[[#This Row],[Gross Sales]]-financials[[#This Row],[Gross Sales]]*financials[[#This Row],[Discounts]]</f>
        <v>216.75</v>
      </c>
      <c r="J3953" s="8">
        <f>VLOOKUP(financials[[#This Row],[productid]],Products!$B$2:$H$10,4)</f>
        <v>13.95</v>
      </c>
      <c r="K3953" s="8">
        <f>financials[[#This Row],[Net Sales]]-financials[[#This Row],[COGS]]</f>
        <v>202.8</v>
      </c>
      <c r="L3953" s="15">
        <v>44752</v>
      </c>
      <c r="M3953" t="s">
        <v>691</v>
      </c>
    </row>
    <row r="3954" spans="1:13" x14ac:dyDescent="0.25">
      <c r="A3954" t="s">
        <v>86</v>
      </c>
      <c r="B3954" s="6" t="s">
        <v>205</v>
      </c>
      <c r="C3954" s="13">
        <v>107</v>
      </c>
      <c r="D3954" s="14" t="s">
        <v>83</v>
      </c>
      <c r="E3954">
        <v>5</v>
      </c>
      <c r="F3954" s="8">
        <f>VLOOKUP(financials[[#This Row],[productid]],Products!$B$2:$H$10,3)</f>
        <v>15</v>
      </c>
      <c r="G3954" s="8">
        <f>financials[[#This Row],[Units Sold]]*financials[[#This Row],[Sale Price]]</f>
        <v>75</v>
      </c>
      <c r="H3954" s="8">
        <f>IF(financials[[#This Row],[Discount Band]]="low",0.1,IF(financials[[#This Row],[Discount Band]]="medium",0.15,0.3))</f>
        <v>0.3</v>
      </c>
      <c r="I3954" s="8">
        <f>financials[[#This Row],[Gross Sales]]-financials[[#This Row],[Gross Sales]]*financials[[#This Row],[Discounts]]</f>
        <v>52.5</v>
      </c>
      <c r="J3954" s="8">
        <f>VLOOKUP(financials[[#This Row],[productid]],Products!$B$2:$H$10,4)</f>
        <v>5.5</v>
      </c>
      <c r="K3954" s="8">
        <f>financials[[#This Row],[Net Sales]]-financials[[#This Row],[COGS]]</f>
        <v>47</v>
      </c>
      <c r="L3954" s="15">
        <v>44475</v>
      </c>
      <c r="M3954" t="s">
        <v>696</v>
      </c>
    </row>
    <row r="3955" spans="1:13" x14ac:dyDescent="0.25">
      <c r="A3955" t="s">
        <v>88</v>
      </c>
      <c r="B3955" s="6" t="s">
        <v>276</v>
      </c>
      <c r="C3955" s="13">
        <v>104</v>
      </c>
      <c r="D3955" s="14" t="s">
        <v>91</v>
      </c>
      <c r="E3955">
        <v>8</v>
      </c>
      <c r="F3955" s="8">
        <f>VLOOKUP(financials[[#This Row],[productid]],Products!$B$2:$H$10,3)</f>
        <v>5.9</v>
      </c>
      <c r="G3955" s="8">
        <f>financials[[#This Row],[Units Sold]]*financials[[#This Row],[Sale Price]]</f>
        <v>47.2</v>
      </c>
      <c r="H3955" s="8">
        <f>IF(financials[[#This Row],[Discount Band]]="low",0.1,IF(financials[[#This Row],[Discount Band]]="medium",0.15,0.3))</f>
        <v>0.1</v>
      </c>
      <c r="I3955" s="8">
        <f>financials[[#This Row],[Gross Sales]]-financials[[#This Row],[Gross Sales]]*financials[[#This Row],[Discounts]]</f>
        <v>42.480000000000004</v>
      </c>
      <c r="J3955" s="8">
        <f>VLOOKUP(financials[[#This Row],[productid]],Products!$B$2:$H$10,4)</f>
        <v>2.9</v>
      </c>
      <c r="K3955" s="8">
        <f>financials[[#This Row],[Net Sales]]-financials[[#This Row],[COGS]]</f>
        <v>39.580000000000005</v>
      </c>
      <c r="L3955" s="15">
        <v>44558</v>
      </c>
      <c r="M3955" t="s">
        <v>700</v>
      </c>
    </row>
    <row r="3956" spans="1:13" x14ac:dyDescent="0.25">
      <c r="A3956" t="s">
        <v>86</v>
      </c>
      <c r="B3956" s="6" t="s">
        <v>167</v>
      </c>
      <c r="C3956" s="13">
        <v>105</v>
      </c>
      <c r="D3956" s="14" t="s">
        <v>91</v>
      </c>
      <c r="E3956">
        <v>20</v>
      </c>
      <c r="F3956" s="8">
        <f>VLOOKUP(financials[[#This Row],[productid]],Products!$B$2:$H$10,3)</f>
        <v>15</v>
      </c>
      <c r="G3956" s="8">
        <f>financials[[#This Row],[Units Sold]]*financials[[#This Row],[Sale Price]]</f>
        <v>300</v>
      </c>
      <c r="H3956" s="8">
        <f>IF(financials[[#This Row],[Discount Band]]="low",0.1,IF(financials[[#This Row],[Discount Band]]="medium",0.15,0.3))</f>
        <v>0.1</v>
      </c>
      <c r="I3956" s="8">
        <f>financials[[#This Row],[Gross Sales]]-financials[[#This Row],[Gross Sales]]*financials[[#This Row],[Discounts]]</f>
        <v>270</v>
      </c>
      <c r="J3956" s="8">
        <f>VLOOKUP(financials[[#This Row],[productid]],Products!$B$2:$H$10,4)</f>
        <v>10</v>
      </c>
      <c r="K3956" s="8">
        <f>financials[[#This Row],[Net Sales]]-financials[[#This Row],[COGS]]</f>
        <v>260</v>
      </c>
      <c r="L3956" s="15">
        <v>44884</v>
      </c>
      <c r="M3956" t="s">
        <v>696</v>
      </c>
    </row>
    <row r="3957" spans="1:13" x14ac:dyDescent="0.25">
      <c r="A3957" t="s">
        <v>88</v>
      </c>
      <c r="B3957" s="6" t="s">
        <v>268</v>
      </c>
      <c r="C3957" s="13">
        <v>105</v>
      </c>
      <c r="D3957" s="14" t="s">
        <v>90</v>
      </c>
      <c r="E3957">
        <v>9</v>
      </c>
      <c r="F3957" s="8">
        <f>VLOOKUP(financials[[#This Row],[productid]],Products!$B$2:$H$10,3)</f>
        <v>15</v>
      </c>
      <c r="G3957" s="8">
        <f>financials[[#This Row],[Units Sold]]*financials[[#This Row],[Sale Price]]</f>
        <v>135</v>
      </c>
      <c r="H3957" s="8">
        <f>IF(financials[[#This Row],[Discount Band]]="low",0.1,IF(financials[[#This Row],[Discount Band]]="medium",0.15,0.3))</f>
        <v>0.15</v>
      </c>
      <c r="I3957" s="8">
        <f>financials[[#This Row],[Gross Sales]]-financials[[#This Row],[Gross Sales]]*financials[[#This Row],[Discounts]]</f>
        <v>114.75</v>
      </c>
      <c r="J3957" s="8">
        <f>VLOOKUP(financials[[#This Row],[productid]],Products!$B$2:$H$10,4)</f>
        <v>10</v>
      </c>
      <c r="K3957" s="8">
        <f>financials[[#This Row],[Net Sales]]-financials[[#This Row],[COGS]]</f>
        <v>104.75</v>
      </c>
      <c r="L3957" s="15">
        <v>44934</v>
      </c>
      <c r="M3957" t="s">
        <v>700</v>
      </c>
    </row>
    <row r="3958" spans="1:13" x14ac:dyDescent="0.25">
      <c r="A3958" t="s">
        <v>86</v>
      </c>
      <c r="B3958" s="6" t="s">
        <v>198</v>
      </c>
      <c r="C3958" s="13">
        <v>106</v>
      </c>
      <c r="D3958" s="14" t="s">
        <v>90</v>
      </c>
      <c r="E3958">
        <v>17</v>
      </c>
      <c r="F3958" s="8">
        <f>VLOOKUP(financials[[#This Row],[productid]],Products!$B$2:$H$10,3)</f>
        <v>25</v>
      </c>
      <c r="G3958" s="8">
        <f>financials[[#This Row],[Units Sold]]*financials[[#This Row],[Sale Price]]</f>
        <v>425</v>
      </c>
      <c r="H3958" s="8">
        <f>IF(financials[[#This Row],[Discount Band]]="low",0.1,IF(financials[[#This Row],[Discount Band]]="medium",0.15,0.3))</f>
        <v>0.15</v>
      </c>
      <c r="I3958" s="8">
        <f>financials[[#This Row],[Gross Sales]]-financials[[#This Row],[Gross Sales]]*financials[[#This Row],[Discounts]]</f>
        <v>361.25</v>
      </c>
      <c r="J3958" s="8">
        <f>VLOOKUP(financials[[#This Row],[productid]],Products!$B$2:$H$10,4)</f>
        <v>9.1</v>
      </c>
      <c r="K3958" s="8">
        <f>financials[[#This Row],[Net Sales]]-financials[[#This Row],[COGS]]</f>
        <v>352.15</v>
      </c>
      <c r="L3958" s="15">
        <v>45353</v>
      </c>
      <c r="M3958" t="s">
        <v>691</v>
      </c>
    </row>
    <row r="3959" spans="1:13" x14ac:dyDescent="0.25">
      <c r="A3959" t="s">
        <v>86</v>
      </c>
      <c r="B3959" s="6" t="s">
        <v>276</v>
      </c>
      <c r="C3959" s="13">
        <v>103</v>
      </c>
      <c r="D3959" s="14" t="s">
        <v>90</v>
      </c>
      <c r="E3959">
        <v>6</v>
      </c>
      <c r="F3959" s="8">
        <f>VLOOKUP(financials[[#This Row],[productid]],Products!$B$2:$H$10,3)</f>
        <v>28</v>
      </c>
      <c r="G3959" s="8">
        <f>financials[[#This Row],[Units Sold]]*financials[[#This Row],[Sale Price]]</f>
        <v>168</v>
      </c>
      <c r="H3959" s="8">
        <f>IF(financials[[#This Row],[Discount Band]]="low",0.1,IF(financials[[#This Row],[Discount Band]]="medium",0.15,0.3))</f>
        <v>0.15</v>
      </c>
      <c r="I3959" s="8">
        <f>financials[[#This Row],[Gross Sales]]-financials[[#This Row],[Gross Sales]]*financials[[#This Row],[Discounts]]</f>
        <v>142.80000000000001</v>
      </c>
      <c r="J3959" s="8">
        <f>VLOOKUP(financials[[#This Row],[productid]],Products!$B$2:$H$10,4)</f>
        <v>15</v>
      </c>
      <c r="K3959" s="8">
        <f>financials[[#This Row],[Net Sales]]-financials[[#This Row],[COGS]]</f>
        <v>127.80000000000001</v>
      </c>
      <c r="L3959" s="15">
        <v>44900</v>
      </c>
      <c r="M3959" t="s">
        <v>690</v>
      </c>
    </row>
    <row r="3960" spans="1:13" x14ac:dyDescent="0.25">
      <c r="A3960" t="s">
        <v>86</v>
      </c>
      <c r="B3960" s="6" t="s">
        <v>94</v>
      </c>
      <c r="C3960" s="13">
        <v>102</v>
      </c>
      <c r="D3960" s="14" t="s">
        <v>83</v>
      </c>
      <c r="E3960">
        <v>8</v>
      </c>
      <c r="F3960" s="8">
        <f>VLOOKUP(financials[[#This Row],[productid]],Products!$B$2:$H$10,3)</f>
        <v>15</v>
      </c>
      <c r="G3960" s="8">
        <f>financials[[#This Row],[Units Sold]]*financials[[#This Row],[Sale Price]]</f>
        <v>120</v>
      </c>
      <c r="H3960" s="8">
        <f>IF(financials[[#This Row],[Discount Band]]="low",0.1,IF(financials[[#This Row],[Discount Band]]="medium",0.15,0.3))</f>
        <v>0.3</v>
      </c>
      <c r="I3960" s="8">
        <f>financials[[#This Row],[Gross Sales]]-financials[[#This Row],[Gross Sales]]*financials[[#This Row],[Discounts]]</f>
        <v>84</v>
      </c>
      <c r="J3960" s="8">
        <f>VLOOKUP(financials[[#This Row],[productid]],Products!$B$2:$H$10,4)</f>
        <v>13.95</v>
      </c>
      <c r="K3960" s="8">
        <f>financials[[#This Row],[Net Sales]]-financials[[#This Row],[COGS]]</f>
        <v>70.05</v>
      </c>
      <c r="L3960" s="15">
        <v>45621</v>
      </c>
      <c r="M3960" t="s">
        <v>700</v>
      </c>
    </row>
    <row r="3961" spans="1:13" x14ac:dyDescent="0.25">
      <c r="A3961" t="s">
        <v>86</v>
      </c>
      <c r="B3961" s="6" t="s">
        <v>268</v>
      </c>
      <c r="C3961" s="13">
        <v>104</v>
      </c>
      <c r="D3961" s="14" t="s">
        <v>91</v>
      </c>
      <c r="E3961">
        <v>9</v>
      </c>
      <c r="F3961" s="8">
        <f>VLOOKUP(financials[[#This Row],[productid]],Products!$B$2:$H$10,3)</f>
        <v>5.9</v>
      </c>
      <c r="G3961" s="8">
        <f>financials[[#This Row],[Units Sold]]*financials[[#This Row],[Sale Price]]</f>
        <v>53.1</v>
      </c>
      <c r="H3961" s="8">
        <f>IF(financials[[#This Row],[Discount Band]]="low",0.1,IF(financials[[#This Row],[Discount Band]]="medium",0.15,0.3))</f>
        <v>0.1</v>
      </c>
      <c r="I3961" s="8">
        <f>financials[[#This Row],[Gross Sales]]-financials[[#This Row],[Gross Sales]]*financials[[#This Row],[Discounts]]</f>
        <v>47.79</v>
      </c>
      <c r="J3961" s="8">
        <f>VLOOKUP(financials[[#This Row],[productid]],Products!$B$2:$H$10,4)</f>
        <v>2.9</v>
      </c>
      <c r="K3961" s="8">
        <f>financials[[#This Row],[Net Sales]]-financials[[#This Row],[COGS]]</f>
        <v>44.89</v>
      </c>
      <c r="L3961" s="15">
        <v>44789</v>
      </c>
      <c r="M3961" t="s">
        <v>691</v>
      </c>
    </row>
    <row r="3962" spans="1:13" x14ac:dyDescent="0.25">
      <c r="A3962" t="s">
        <v>88</v>
      </c>
      <c r="B3962" s="6" t="s">
        <v>198</v>
      </c>
      <c r="C3962" s="13">
        <v>102</v>
      </c>
      <c r="D3962" s="14" t="s">
        <v>83</v>
      </c>
      <c r="E3962">
        <v>16</v>
      </c>
      <c r="F3962" s="8">
        <f>VLOOKUP(financials[[#This Row],[productid]],Products!$B$2:$H$10,3)</f>
        <v>15</v>
      </c>
      <c r="G3962" s="8">
        <f>financials[[#This Row],[Units Sold]]*financials[[#This Row],[Sale Price]]</f>
        <v>240</v>
      </c>
      <c r="H3962" s="8">
        <f>IF(financials[[#This Row],[Discount Band]]="low",0.1,IF(financials[[#This Row],[Discount Band]]="medium",0.15,0.3))</f>
        <v>0.3</v>
      </c>
      <c r="I3962" s="8">
        <f>financials[[#This Row],[Gross Sales]]-financials[[#This Row],[Gross Sales]]*financials[[#This Row],[Discounts]]</f>
        <v>168</v>
      </c>
      <c r="J3962" s="8">
        <f>VLOOKUP(financials[[#This Row],[productid]],Products!$B$2:$H$10,4)</f>
        <v>13.95</v>
      </c>
      <c r="K3962" s="8">
        <f>financials[[#This Row],[Net Sales]]-financials[[#This Row],[COGS]]</f>
        <v>154.05000000000001</v>
      </c>
      <c r="L3962" s="15">
        <v>44971</v>
      </c>
      <c r="M3962" t="s">
        <v>696</v>
      </c>
    </row>
    <row r="3963" spans="1:13" x14ac:dyDescent="0.25">
      <c r="A3963" t="s">
        <v>88</v>
      </c>
      <c r="B3963" s="6" t="s">
        <v>545</v>
      </c>
      <c r="C3963" s="13">
        <v>106</v>
      </c>
      <c r="D3963" s="14" t="s">
        <v>90</v>
      </c>
      <c r="E3963">
        <v>18</v>
      </c>
      <c r="F3963" s="8">
        <f>VLOOKUP(financials[[#This Row],[productid]],Products!$B$2:$H$10,3)</f>
        <v>25</v>
      </c>
      <c r="G3963" s="8">
        <f>financials[[#This Row],[Units Sold]]*financials[[#This Row],[Sale Price]]</f>
        <v>450</v>
      </c>
      <c r="H3963" s="8">
        <f>IF(financials[[#This Row],[Discount Band]]="low",0.1,IF(financials[[#This Row],[Discount Band]]="medium",0.15,0.3))</f>
        <v>0.15</v>
      </c>
      <c r="I3963" s="8">
        <f>financials[[#This Row],[Gross Sales]]-financials[[#This Row],[Gross Sales]]*financials[[#This Row],[Discounts]]</f>
        <v>382.5</v>
      </c>
      <c r="J3963" s="8">
        <f>VLOOKUP(financials[[#This Row],[productid]],Products!$B$2:$H$10,4)</f>
        <v>9.1</v>
      </c>
      <c r="K3963" s="8">
        <f>financials[[#This Row],[Net Sales]]-financials[[#This Row],[COGS]]</f>
        <v>373.4</v>
      </c>
      <c r="L3963" s="15">
        <v>44727</v>
      </c>
      <c r="M3963" t="s">
        <v>700</v>
      </c>
    </row>
    <row r="3964" spans="1:13" x14ac:dyDescent="0.25">
      <c r="A3964" t="s">
        <v>88</v>
      </c>
      <c r="B3964" s="6" t="s">
        <v>167</v>
      </c>
      <c r="C3964" s="13">
        <v>103</v>
      </c>
      <c r="D3964" s="14" t="s">
        <v>83</v>
      </c>
      <c r="E3964">
        <v>19</v>
      </c>
      <c r="F3964" s="8">
        <f>VLOOKUP(financials[[#This Row],[productid]],Products!$B$2:$H$10,3)</f>
        <v>28</v>
      </c>
      <c r="G3964" s="8">
        <f>financials[[#This Row],[Units Sold]]*financials[[#This Row],[Sale Price]]</f>
        <v>532</v>
      </c>
      <c r="H3964" s="8">
        <f>IF(financials[[#This Row],[Discount Band]]="low",0.1,IF(financials[[#This Row],[Discount Band]]="medium",0.15,0.3))</f>
        <v>0.3</v>
      </c>
      <c r="I3964" s="8">
        <f>financials[[#This Row],[Gross Sales]]-financials[[#This Row],[Gross Sales]]*financials[[#This Row],[Discounts]]</f>
        <v>372.4</v>
      </c>
      <c r="J3964" s="8">
        <f>VLOOKUP(financials[[#This Row],[productid]],Products!$B$2:$H$10,4)</f>
        <v>15</v>
      </c>
      <c r="K3964" s="8">
        <f>financials[[#This Row],[Net Sales]]-financials[[#This Row],[COGS]]</f>
        <v>357.4</v>
      </c>
      <c r="L3964" s="15">
        <v>45598</v>
      </c>
      <c r="M3964" t="s">
        <v>696</v>
      </c>
    </row>
    <row r="3965" spans="1:13" x14ac:dyDescent="0.25">
      <c r="A3965" t="s">
        <v>88</v>
      </c>
      <c r="B3965" s="6" t="s">
        <v>276</v>
      </c>
      <c r="C3965" s="13">
        <v>106</v>
      </c>
      <c r="D3965" s="14" t="s">
        <v>90</v>
      </c>
      <c r="E3965">
        <v>12</v>
      </c>
      <c r="F3965" s="8">
        <f>VLOOKUP(financials[[#This Row],[productid]],Products!$B$2:$H$10,3)</f>
        <v>25</v>
      </c>
      <c r="G3965" s="8">
        <f>financials[[#This Row],[Units Sold]]*financials[[#This Row],[Sale Price]]</f>
        <v>300</v>
      </c>
      <c r="H3965" s="8">
        <f>IF(financials[[#This Row],[Discount Band]]="low",0.1,IF(financials[[#This Row],[Discount Band]]="medium",0.15,0.3))</f>
        <v>0.15</v>
      </c>
      <c r="I3965" s="8">
        <f>financials[[#This Row],[Gross Sales]]-financials[[#This Row],[Gross Sales]]*financials[[#This Row],[Discounts]]</f>
        <v>255</v>
      </c>
      <c r="J3965" s="8">
        <f>VLOOKUP(financials[[#This Row],[productid]],Products!$B$2:$H$10,4)</f>
        <v>9.1</v>
      </c>
      <c r="K3965" s="8">
        <f>financials[[#This Row],[Net Sales]]-financials[[#This Row],[COGS]]</f>
        <v>245.9</v>
      </c>
      <c r="L3965" s="15">
        <v>44987</v>
      </c>
      <c r="M3965" t="s">
        <v>700</v>
      </c>
    </row>
    <row r="3966" spans="1:13" x14ac:dyDescent="0.25">
      <c r="A3966" t="s">
        <v>86</v>
      </c>
      <c r="B3966" s="6" t="s">
        <v>198</v>
      </c>
      <c r="C3966" s="13">
        <v>108</v>
      </c>
      <c r="D3966" s="14" t="s">
        <v>90</v>
      </c>
      <c r="E3966">
        <v>20</v>
      </c>
      <c r="F3966" s="8">
        <f>VLOOKUP(financials[[#This Row],[productid]],Products!$B$2:$H$10,3)</f>
        <v>5.5</v>
      </c>
      <c r="G3966" s="8">
        <f>financials[[#This Row],[Units Sold]]*financials[[#This Row],[Sale Price]]</f>
        <v>110</v>
      </c>
      <c r="H3966" s="8">
        <f>IF(financials[[#This Row],[Discount Band]]="low",0.1,IF(financials[[#This Row],[Discount Band]]="medium",0.15,0.3))</f>
        <v>0.15</v>
      </c>
      <c r="I3966" s="8">
        <f>financials[[#This Row],[Gross Sales]]-financials[[#This Row],[Gross Sales]]*financials[[#This Row],[Discounts]]</f>
        <v>93.5</v>
      </c>
      <c r="J3966" s="8">
        <f>VLOOKUP(financials[[#This Row],[productid]],Products!$B$2:$H$10,4)</f>
        <v>3.99</v>
      </c>
      <c r="K3966" s="8">
        <f>financials[[#This Row],[Net Sales]]-financials[[#This Row],[COGS]]</f>
        <v>89.51</v>
      </c>
      <c r="L3966" s="15">
        <v>44862</v>
      </c>
      <c r="M3966" t="s">
        <v>700</v>
      </c>
    </row>
    <row r="3967" spans="1:13" x14ac:dyDescent="0.25">
      <c r="A3967" t="s">
        <v>86</v>
      </c>
      <c r="B3967" s="6" t="s">
        <v>273</v>
      </c>
      <c r="C3967" s="13">
        <v>109</v>
      </c>
      <c r="D3967" s="14" t="s">
        <v>91</v>
      </c>
      <c r="E3967">
        <v>15</v>
      </c>
      <c r="F3967" s="8">
        <f>VLOOKUP(financials[[#This Row],[productid]],Products!$B$2:$H$10,3)</f>
        <v>36</v>
      </c>
      <c r="G3967" s="8">
        <f>financials[[#This Row],[Units Sold]]*financials[[#This Row],[Sale Price]]</f>
        <v>540</v>
      </c>
      <c r="H3967" s="8">
        <f>IF(financials[[#This Row],[Discount Band]]="low",0.1,IF(financials[[#This Row],[Discount Band]]="medium",0.15,0.3))</f>
        <v>0.1</v>
      </c>
      <c r="I3967" s="8">
        <f>financials[[#This Row],[Gross Sales]]-financials[[#This Row],[Gross Sales]]*financials[[#This Row],[Discounts]]</f>
        <v>486</v>
      </c>
      <c r="J3967" s="8">
        <f>VLOOKUP(financials[[#This Row],[productid]],Products!$B$2:$H$10,4)</f>
        <v>16.8</v>
      </c>
      <c r="K3967" s="8">
        <f>financials[[#This Row],[Net Sales]]-financials[[#This Row],[COGS]]</f>
        <v>469.2</v>
      </c>
      <c r="L3967" s="15">
        <v>44937</v>
      </c>
      <c r="M3967" t="s">
        <v>696</v>
      </c>
    </row>
    <row r="3968" spans="1:13" x14ac:dyDescent="0.25">
      <c r="A3968" t="s">
        <v>86</v>
      </c>
      <c r="B3968" s="6" t="s">
        <v>197</v>
      </c>
      <c r="C3968" s="13">
        <v>108</v>
      </c>
      <c r="D3968" s="14" t="s">
        <v>90</v>
      </c>
      <c r="E3968">
        <v>6</v>
      </c>
      <c r="F3968" s="8">
        <f>VLOOKUP(financials[[#This Row],[productid]],Products!$B$2:$H$10,3)</f>
        <v>5.5</v>
      </c>
      <c r="G3968" s="8">
        <f>financials[[#This Row],[Units Sold]]*financials[[#This Row],[Sale Price]]</f>
        <v>33</v>
      </c>
      <c r="H3968" s="8">
        <f>IF(financials[[#This Row],[Discount Band]]="low",0.1,IF(financials[[#This Row],[Discount Band]]="medium",0.15,0.3))</f>
        <v>0.15</v>
      </c>
      <c r="I3968" s="8">
        <f>financials[[#This Row],[Gross Sales]]-financials[[#This Row],[Gross Sales]]*financials[[#This Row],[Discounts]]</f>
        <v>28.05</v>
      </c>
      <c r="J3968" s="8">
        <f>VLOOKUP(financials[[#This Row],[productid]],Products!$B$2:$H$10,4)</f>
        <v>3.99</v>
      </c>
      <c r="K3968" s="8">
        <f>financials[[#This Row],[Net Sales]]-financials[[#This Row],[COGS]]</f>
        <v>24.060000000000002</v>
      </c>
      <c r="L3968" s="15">
        <v>45425</v>
      </c>
      <c r="M3968" t="s">
        <v>690</v>
      </c>
    </row>
    <row r="3969" spans="1:13" x14ac:dyDescent="0.25">
      <c r="A3969" t="s">
        <v>86</v>
      </c>
      <c r="B3969" s="6" t="s">
        <v>197</v>
      </c>
      <c r="C3969" s="13">
        <v>102</v>
      </c>
      <c r="D3969" s="14" t="s">
        <v>90</v>
      </c>
      <c r="E3969">
        <v>14</v>
      </c>
      <c r="F3969" s="8">
        <f>VLOOKUP(financials[[#This Row],[productid]],Products!$B$2:$H$10,3)</f>
        <v>15</v>
      </c>
      <c r="G3969" s="8">
        <f>financials[[#This Row],[Units Sold]]*financials[[#This Row],[Sale Price]]</f>
        <v>210</v>
      </c>
      <c r="H3969" s="8">
        <f>IF(financials[[#This Row],[Discount Band]]="low",0.1,IF(financials[[#This Row],[Discount Band]]="medium",0.15,0.3))</f>
        <v>0.15</v>
      </c>
      <c r="I3969" s="8">
        <f>financials[[#This Row],[Gross Sales]]-financials[[#This Row],[Gross Sales]]*financials[[#This Row],[Discounts]]</f>
        <v>178.5</v>
      </c>
      <c r="J3969" s="8">
        <f>VLOOKUP(financials[[#This Row],[productid]],Products!$B$2:$H$10,4)</f>
        <v>13.95</v>
      </c>
      <c r="K3969" s="8">
        <f>financials[[#This Row],[Net Sales]]-financials[[#This Row],[COGS]]</f>
        <v>164.55</v>
      </c>
      <c r="L3969" s="15">
        <v>43887</v>
      </c>
      <c r="M3969" t="s">
        <v>696</v>
      </c>
    </row>
    <row r="3970" spans="1:13" x14ac:dyDescent="0.25">
      <c r="A3970" t="s">
        <v>86</v>
      </c>
      <c r="B3970" s="6" t="s">
        <v>94</v>
      </c>
      <c r="C3970" s="13">
        <v>105</v>
      </c>
      <c r="D3970" s="14" t="s">
        <v>91</v>
      </c>
      <c r="E3970">
        <v>16</v>
      </c>
      <c r="F3970" s="8">
        <f>VLOOKUP(financials[[#This Row],[productid]],Products!$B$2:$H$10,3)</f>
        <v>15</v>
      </c>
      <c r="G3970" s="8">
        <f>financials[[#This Row],[Units Sold]]*financials[[#This Row],[Sale Price]]</f>
        <v>240</v>
      </c>
      <c r="H3970" s="8">
        <f>IF(financials[[#This Row],[Discount Band]]="low",0.1,IF(financials[[#This Row],[Discount Band]]="medium",0.15,0.3))</f>
        <v>0.1</v>
      </c>
      <c r="I3970" s="8">
        <f>financials[[#This Row],[Gross Sales]]-financials[[#This Row],[Gross Sales]]*financials[[#This Row],[Discounts]]</f>
        <v>216</v>
      </c>
      <c r="J3970" s="8">
        <f>VLOOKUP(financials[[#This Row],[productid]],Products!$B$2:$H$10,4)</f>
        <v>10</v>
      </c>
      <c r="K3970" s="8">
        <f>financials[[#This Row],[Net Sales]]-financials[[#This Row],[COGS]]</f>
        <v>206</v>
      </c>
      <c r="L3970" s="15">
        <v>44898</v>
      </c>
      <c r="M3970" t="s">
        <v>690</v>
      </c>
    </row>
    <row r="3971" spans="1:13" x14ac:dyDescent="0.25">
      <c r="A3971" t="s">
        <v>86</v>
      </c>
      <c r="B3971" s="6" t="s">
        <v>205</v>
      </c>
      <c r="C3971" s="13">
        <v>104</v>
      </c>
      <c r="D3971" s="14" t="s">
        <v>91</v>
      </c>
      <c r="E3971">
        <v>11</v>
      </c>
      <c r="F3971" s="8">
        <f>VLOOKUP(financials[[#This Row],[productid]],Products!$B$2:$H$10,3)</f>
        <v>5.9</v>
      </c>
      <c r="G3971" s="8">
        <f>financials[[#This Row],[Units Sold]]*financials[[#This Row],[Sale Price]]</f>
        <v>64.900000000000006</v>
      </c>
      <c r="H3971" s="8">
        <f>IF(financials[[#This Row],[Discount Band]]="low",0.1,IF(financials[[#This Row],[Discount Band]]="medium",0.15,0.3))</f>
        <v>0.1</v>
      </c>
      <c r="I3971" s="8">
        <f>financials[[#This Row],[Gross Sales]]-financials[[#This Row],[Gross Sales]]*financials[[#This Row],[Discounts]]</f>
        <v>58.410000000000004</v>
      </c>
      <c r="J3971" s="8">
        <f>VLOOKUP(financials[[#This Row],[productid]],Products!$B$2:$H$10,4)</f>
        <v>2.9</v>
      </c>
      <c r="K3971" s="8">
        <f>financials[[#This Row],[Net Sales]]-financials[[#This Row],[COGS]]</f>
        <v>55.510000000000005</v>
      </c>
      <c r="L3971" s="15">
        <v>44735</v>
      </c>
      <c r="M3971" t="s">
        <v>696</v>
      </c>
    </row>
    <row r="3972" spans="1:13" x14ac:dyDescent="0.25">
      <c r="A3972" t="s">
        <v>88</v>
      </c>
      <c r="B3972" s="6" t="s">
        <v>273</v>
      </c>
      <c r="C3972" s="13">
        <v>108</v>
      </c>
      <c r="D3972" s="14" t="s">
        <v>90</v>
      </c>
      <c r="E3972">
        <v>10</v>
      </c>
      <c r="F3972" s="8">
        <f>VLOOKUP(financials[[#This Row],[productid]],Products!$B$2:$H$10,3)</f>
        <v>5.5</v>
      </c>
      <c r="G3972" s="8">
        <f>financials[[#This Row],[Units Sold]]*financials[[#This Row],[Sale Price]]</f>
        <v>55</v>
      </c>
      <c r="H3972" s="8">
        <f>IF(financials[[#This Row],[Discount Band]]="low",0.1,IF(financials[[#This Row],[Discount Band]]="medium",0.15,0.3))</f>
        <v>0.15</v>
      </c>
      <c r="I3972" s="8">
        <f>financials[[#This Row],[Gross Sales]]-financials[[#This Row],[Gross Sales]]*financials[[#This Row],[Discounts]]</f>
        <v>46.75</v>
      </c>
      <c r="J3972" s="8">
        <f>VLOOKUP(financials[[#This Row],[productid]],Products!$B$2:$H$10,4)</f>
        <v>3.99</v>
      </c>
      <c r="K3972" s="8">
        <f>financials[[#This Row],[Net Sales]]-financials[[#This Row],[COGS]]</f>
        <v>42.76</v>
      </c>
      <c r="L3972" s="15">
        <v>44249</v>
      </c>
      <c r="M3972" t="s">
        <v>696</v>
      </c>
    </row>
    <row r="3973" spans="1:13" x14ac:dyDescent="0.25">
      <c r="A3973" t="s">
        <v>88</v>
      </c>
      <c r="B3973" s="6" t="s">
        <v>545</v>
      </c>
      <c r="C3973" s="13">
        <v>103</v>
      </c>
      <c r="D3973" s="14" t="s">
        <v>83</v>
      </c>
      <c r="E3973">
        <v>13</v>
      </c>
      <c r="F3973" s="8">
        <f>VLOOKUP(financials[[#This Row],[productid]],Products!$B$2:$H$10,3)</f>
        <v>28</v>
      </c>
      <c r="G3973" s="8">
        <f>financials[[#This Row],[Units Sold]]*financials[[#This Row],[Sale Price]]</f>
        <v>364</v>
      </c>
      <c r="H3973" s="8">
        <f>IF(financials[[#This Row],[Discount Band]]="low",0.1,IF(financials[[#This Row],[Discount Band]]="medium",0.15,0.3))</f>
        <v>0.3</v>
      </c>
      <c r="I3973" s="8">
        <f>financials[[#This Row],[Gross Sales]]-financials[[#This Row],[Gross Sales]]*financials[[#This Row],[Discounts]]</f>
        <v>254.8</v>
      </c>
      <c r="J3973" s="8">
        <f>VLOOKUP(financials[[#This Row],[productid]],Products!$B$2:$H$10,4)</f>
        <v>15</v>
      </c>
      <c r="K3973" s="8">
        <f>financials[[#This Row],[Net Sales]]-financials[[#This Row],[COGS]]</f>
        <v>239.8</v>
      </c>
      <c r="L3973" s="15">
        <v>44583</v>
      </c>
      <c r="M3973" t="s">
        <v>700</v>
      </c>
    </row>
    <row r="3974" spans="1:13" x14ac:dyDescent="0.25">
      <c r="A3974" t="s">
        <v>86</v>
      </c>
      <c r="B3974" s="6" t="s">
        <v>197</v>
      </c>
      <c r="C3974" s="13">
        <v>104</v>
      </c>
      <c r="D3974" s="14" t="s">
        <v>91</v>
      </c>
      <c r="E3974">
        <v>6</v>
      </c>
      <c r="F3974" s="8">
        <f>VLOOKUP(financials[[#This Row],[productid]],Products!$B$2:$H$10,3)</f>
        <v>5.9</v>
      </c>
      <c r="G3974" s="8">
        <f>financials[[#This Row],[Units Sold]]*financials[[#This Row],[Sale Price]]</f>
        <v>35.400000000000006</v>
      </c>
      <c r="H3974" s="8">
        <f>IF(financials[[#This Row],[Discount Band]]="low",0.1,IF(financials[[#This Row],[Discount Band]]="medium",0.15,0.3))</f>
        <v>0.1</v>
      </c>
      <c r="I3974" s="8">
        <f>financials[[#This Row],[Gross Sales]]-financials[[#This Row],[Gross Sales]]*financials[[#This Row],[Discounts]]</f>
        <v>31.860000000000007</v>
      </c>
      <c r="J3974" s="8">
        <f>VLOOKUP(financials[[#This Row],[productid]],Products!$B$2:$H$10,4)</f>
        <v>2.9</v>
      </c>
      <c r="K3974" s="8">
        <f>financials[[#This Row],[Net Sales]]-financials[[#This Row],[COGS]]</f>
        <v>28.960000000000008</v>
      </c>
      <c r="L3974" s="15">
        <v>45307</v>
      </c>
      <c r="M3974" t="s">
        <v>700</v>
      </c>
    </row>
    <row r="3975" spans="1:13" x14ac:dyDescent="0.25">
      <c r="A3975" t="s">
        <v>88</v>
      </c>
      <c r="B3975" s="6" t="s">
        <v>268</v>
      </c>
      <c r="C3975" s="13">
        <v>101</v>
      </c>
      <c r="D3975" s="14" t="s">
        <v>91</v>
      </c>
      <c r="E3975">
        <v>19</v>
      </c>
      <c r="F3975" s="8">
        <f>VLOOKUP(financials[[#This Row],[productid]],Products!$B$2:$H$10,3)</f>
        <v>23</v>
      </c>
      <c r="G3975" s="8">
        <f>financials[[#This Row],[Units Sold]]*financials[[#This Row],[Sale Price]]</f>
        <v>437</v>
      </c>
      <c r="H3975" s="8">
        <f>IF(financials[[#This Row],[Discount Band]]="low",0.1,IF(financials[[#This Row],[Discount Band]]="medium",0.15,0.3))</f>
        <v>0.1</v>
      </c>
      <c r="I3975" s="8">
        <f>financials[[#This Row],[Gross Sales]]-financials[[#This Row],[Gross Sales]]*financials[[#This Row],[Discounts]]</f>
        <v>393.3</v>
      </c>
      <c r="J3975" s="8">
        <f>VLOOKUP(financials[[#This Row],[productid]],Products!$B$2:$H$10,4)</f>
        <v>9.9499999999999993</v>
      </c>
      <c r="K3975" s="8">
        <f>financials[[#This Row],[Net Sales]]-financials[[#This Row],[COGS]]</f>
        <v>383.35</v>
      </c>
      <c r="L3975" s="15">
        <v>44235</v>
      </c>
      <c r="M3975" t="s">
        <v>691</v>
      </c>
    </row>
    <row r="3976" spans="1:13" x14ac:dyDescent="0.25">
      <c r="A3976" t="s">
        <v>88</v>
      </c>
      <c r="B3976" s="6" t="s">
        <v>545</v>
      </c>
      <c r="C3976" s="13">
        <v>107</v>
      </c>
      <c r="D3976" s="14" t="s">
        <v>90</v>
      </c>
      <c r="E3976">
        <v>20</v>
      </c>
      <c r="F3976" s="8">
        <f>VLOOKUP(financials[[#This Row],[productid]],Products!$B$2:$H$10,3)</f>
        <v>15</v>
      </c>
      <c r="G3976" s="8">
        <f>financials[[#This Row],[Units Sold]]*financials[[#This Row],[Sale Price]]</f>
        <v>300</v>
      </c>
      <c r="H3976" s="8">
        <f>IF(financials[[#This Row],[Discount Band]]="low",0.1,IF(financials[[#This Row],[Discount Band]]="medium",0.15,0.3))</f>
        <v>0.15</v>
      </c>
      <c r="I3976" s="8">
        <f>financials[[#This Row],[Gross Sales]]-financials[[#This Row],[Gross Sales]]*financials[[#This Row],[Discounts]]</f>
        <v>255</v>
      </c>
      <c r="J3976" s="8">
        <f>VLOOKUP(financials[[#This Row],[productid]],Products!$B$2:$H$10,4)</f>
        <v>5.5</v>
      </c>
      <c r="K3976" s="8">
        <f>financials[[#This Row],[Net Sales]]-financials[[#This Row],[COGS]]</f>
        <v>249.5</v>
      </c>
      <c r="L3976" s="15">
        <v>44547</v>
      </c>
      <c r="M3976" t="s">
        <v>691</v>
      </c>
    </row>
    <row r="3977" spans="1:13" x14ac:dyDescent="0.25">
      <c r="A3977" t="s">
        <v>86</v>
      </c>
      <c r="B3977" s="6" t="s">
        <v>95</v>
      </c>
      <c r="C3977" s="13">
        <v>107</v>
      </c>
      <c r="D3977" s="14" t="s">
        <v>90</v>
      </c>
      <c r="E3977">
        <v>20</v>
      </c>
      <c r="F3977" s="8">
        <f>VLOOKUP(financials[[#This Row],[productid]],Products!$B$2:$H$10,3)</f>
        <v>15</v>
      </c>
      <c r="G3977" s="8">
        <f>financials[[#This Row],[Units Sold]]*financials[[#This Row],[Sale Price]]</f>
        <v>300</v>
      </c>
      <c r="H3977" s="8">
        <f>IF(financials[[#This Row],[Discount Band]]="low",0.1,IF(financials[[#This Row],[Discount Band]]="medium",0.15,0.3))</f>
        <v>0.15</v>
      </c>
      <c r="I3977" s="8">
        <f>financials[[#This Row],[Gross Sales]]-financials[[#This Row],[Gross Sales]]*financials[[#This Row],[Discounts]]</f>
        <v>255</v>
      </c>
      <c r="J3977" s="8">
        <f>VLOOKUP(financials[[#This Row],[productid]],Products!$B$2:$H$10,4)</f>
        <v>5.5</v>
      </c>
      <c r="K3977" s="8">
        <f>financials[[#This Row],[Net Sales]]-financials[[#This Row],[COGS]]</f>
        <v>249.5</v>
      </c>
      <c r="L3977" s="15">
        <v>44540</v>
      </c>
      <c r="M3977" t="s">
        <v>700</v>
      </c>
    </row>
    <row r="3978" spans="1:13" x14ac:dyDescent="0.25">
      <c r="A3978" t="s">
        <v>86</v>
      </c>
      <c r="B3978" s="6" t="s">
        <v>545</v>
      </c>
      <c r="C3978" s="13">
        <v>109</v>
      </c>
      <c r="D3978" s="14" t="s">
        <v>90</v>
      </c>
      <c r="E3978">
        <v>16</v>
      </c>
      <c r="F3978" s="8">
        <f>VLOOKUP(financials[[#This Row],[productid]],Products!$B$2:$H$10,3)</f>
        <v>36</v>
      </c>
      <c r="G3978" s="8">
        <f>financials[[#This Row],[Units Sold]]*financials[[#This Row],[Sale Price]]</f>
        <v>576</v>
      </c>
      <c r="H3978" s="8">
        <f>IF(financials[[#This Row],[Discount Band]]="low",0.1,IF(financials[[#This Row],[Discount Band]]="medium",0.15,0.3))</f>
        <v>0.15</v>
      </c>
      <c r="I3978" s="8">
        <f>financials[[#This Row],[Gross Sales]]-financials[[#This Row],[Gross Sales]]*financials[[#This Row],[Discounts]]</f>
        <v>489.6</v>
      </c>
      <c r="J3978" s="8">
        <f>VLOOKUP(financials[[#This Row],[productid]],Products!$B$2:$H$10,4)</f>
        <v>16.8</v>
      </c>
      <c r="K3978" s="8">
        <f>financials[[#This Row],[Net Sales]]-financials[[#This Row],[COGS]]</f>
        <v>472.8</v>
      </c>
      <c r="L3978" s="15">
        <v>45196</v>
      </c>
      <c r="M3978" t="s">
        <v>700</v>
      </c>
    </row>
    <row r="3979" spans="1:13" x14ac:dyDescent="0.25">
      <c r="A3979" t="s">
        <v>86</v>
      </c>
      <c r="B3979" s="6" t="s">
        <v>198</v>
      </c>
      <c r="C3979" s="13">
        <v>106</v>
      </c>
      <c r="D3979" s="14" t="s">
        <v>83</v>
      </c>
      <c r="E3979">
        <v>15</v>
      </c>
      <c r="F3979" s="8">
        <f>VLOOKUP(financials[[#This Row],[productid]],Products!$B$2:$H$10,3)</f>
        <v>25</v>
      </c>
      <c r="G3979" s="8">
        <f>financials[[#This Row],[Units Sold]]*financials[[#This Row],[Sale Price]]</f>
        <v>375</v>
      </c>
      <c r="H3979" s="8">
        <f>IF(financials[[#This Row],[Discount Band]]="low",0.1,IF(financials[[#This Row],[Discount Band]]="medium",0.15,0.3))</f>
        <v>0.3</v>
      </c>
      <c r="I3979" s="8">
        <f>financials[[#This Row],[Gross Sales]]-financials[[#This Row],[Gross Sales]]*financials[[#This Row],[Discounts]]</f>
        <v>262.5</v>
      </c>
      <c r="J3979" s="8">
        <f>VLOOKUP(financials[[#This Row],[productid]],Products!$B$2:$H$10,4)</f>
        <v>9.1</v>
      </c>
      <c r="K3979" s="8">
        <f>financials[[#This Row],[Net Sales]]-financials[[#This Row],[COGS]]</f>
        <v>253.4</v>
      </c>
      <c r="L3979" s="15">
        <v>44191</v>
      </c>
      <c r="M3979" t="s">
        <v>690</v>
      </c>
    </row>
    <row r="3980" spans="1:13" x14ac:dyDescent="0.25">
      <c r="A3980" t="s">
        <v>88</v>
      </c>
      <c r="B3980" s="6" t="s">
        <v>276</v>
      </c>
      <c r="C3980" s="13">
        <v>104</v>
      </c>
      <c r="D3980" s="14" t="s">
        <v>90</v>
      </c>
      <c r="E3980">
        <v>7</v>
      </c>
      <c r="F3980" s="8">
        <f>VLOOKUP(financials[[#This Row],[productid]],Products!$B$2:$H$10,3)</f>
        <v>5.9</v>
      </c>
      <c r="G3980" s="8">
        <f>financials[[#This Row],[Units Sold]]*financials[[#This Row],[Sale Price]]</f>
        <v>41.300000000000004</v>
      </c>
      <c r="H3980" s="8">
        <f>IF(financials[[#This Row],[Discount Band]]="low",0.1,IF(financials[[#This Row],[Discount Band]]="medium",0.15,0.3))</f>
        <v>0.15</v>
      </c>
      <c r="I3980" s="8">
        <f>financials[[#This Row],[Gross Sales]]-financials[[#This Row],[Gross Sales]]*financials[[#This Row],[Discounts]]</f>
        <v>35.105000000000004</v>
      </c>
      <c r="J3980" s="8">
        <f>VLOOKUP(financials[[#This Row],[productid]],Products!$B$2:$H$10,4)</f>
        <v>2.9</v>
      </c>
      <c r="K3980" s="8">
        <f>financials[[#This Row],[Net Sales]]-financials[[#This Row],[COGS]]</f>
        <v>32.205000000000005</v>
      </c>
      <c r="L3980" s="15">
        <v>43900</v>
      </c>
      <c r="M3980" t="s">
        <v>697</v>
      </c>
    </row>
    <row r="3981" spans="1:13" x14ac:dyDescent="0.25">
      <c r="A3981" t="s">
        <v>86</v>
      </c>
      <c r="B3981" s="6" t="s">
        <v>197</v>
      </c>
      <c r="C3981" s="13">
        <v>109</v>
      </c>
      <c r="D3981" s="14" t="s">
        <v>83</v>
      </c>
      <c r="E3981">
        <v>7</v>
      </c>
      <c r="F3981" s="8">
        <f>VLOOKUP(financials[[#This Row],[productid]],Products!$B$2:$H$10,3)</f>
        <v>36</v>
      </c>
      <c r="G3981" s="8">
        <f>financials[[#This Row],[Units Sold]]*financials[[#This Row],[Sale Price]]</f>
        <v>252</v>
      </c>
      <c r="H3981" s="8">
        <f>IF(financials[[#This Row],[Discount Band]]="low",0.1,IF(financials[[#This Row],[Discount Band]]="medium",0.15,0.3))</f>
        <v>0.3</v>
      </c>
      <c r="I3981" s="8">
        <f>financials[[#This Row],[Gross Sales]]-financials[[#This Row],[Gross Sales]]*financials[[#This Row],[Discounts]]</f>
        <v>176.4</v>
      </c>
      <c r="J3981" s="8">
        <f>VLOOKUP(financials[[#This Row],[productid]],Products!$B$2:$H$10,4)</f>
        <v>16.8</v>
      </c>
      <c r="K3981" s="8">
        <f>financials[[#This Row],[Net Sales]]-financials[[#This Row],[COGS]]</f>
        <v>159.6</v>
      </c>
      <c r="L3981" s="15">
        <v>45035</v>
      </c>
      <c r="M3981" t="s">
        <v>691</v>
      </c>
    </row>
    <row r="3982" spans="1:13" x14ac:dyDescent="0.25">
      <c r="A3982" t="s">
        <v>88</v>
      </c>
      <c r="B3982" s="6" t="s">
        <v>198</v>
      </c>
      <c r="C3982" s="13">
        <v>106</v>
      </c>
      <c r="D3982" s="14" t="s">
        <v>90</v>
      </c>
      <c r="E3982">
        <v>19</v>
      </c>
      <c r="F3982" s="8">
        <f>VLOOKUP(financials[[#This Row],[productid]],Products!$B$2:$H$10,3)</f>
        <v>25</v>
      </c>
      <c r="G3982" s="8">
        <f>financials[[#This Row],[Units Sold]]*financials[[#This Row],[Sale Price]]</f>
        <v>475</v>
      </c>
      <c r="H3982" s="8">
        <f>IF(financials[[#This Row],[Discount Band]]="low",0.1,IF(financials[[#This Row],[Discount Band]]="medium",0.15,0.3))</f>
        <v>0.15</v>
      </c>
      <c r="I3982" s="8">
        <f>financials[[#This Row],[Gross Sales]]-financials[[#This Row],[Gross Sales]]*financials[[#This Row],[Discounts]]</f>
        <v>403.75</v>
      </c>
      <c r="J3982" s="8">
        <f>VLOOKUP(financials[[#This Row],[productid]],Products!$B$2:$H$10,4)</f>
        <v>9.1</v>
      </c>
      <c r="K3982" s="8">
        <f>financials[[#This Row],[Net Sales]]-financials[[#This Row],[COGS]]</f>
        <v>394.65</v>
      </c>
      <c r="L3982" s="15">
        <v>44533</v>
      </c>
      <c r="M3982" t="s">
        <v>690</v>
      </c>
    </row>
    <row r="3983" spans="1:13" x14ac:dyDescent="0.25">
      <c r="A3983" t="s">
        <v>88</v>
      </c>
      <c r="B3983" s="6" t="s">
        <v>198</v>
      </c>
      <c r="C3983" s="13">
        <v>104</v>
      </c>
      <c r="D3983" s="14" t="s">
        <v>90</v>
      </c>
      <c r="E3983">
        <v>7</v>
      </c>
      <c r="F3983" s="8">
        <f>VLOOKUP(financials[[#This Row],[productid]],Products!$B$2:$H$10,3)</f>
        <v>5.9</v>
      </c>
      <c r="G3983" s="8">
        <f>financials[[#This Row],[Units Sold]]*financials[[#This Row],[Sale Price]]</f>
        <v>41.300000000000004</v>
      </c>
      <c r="H3983" s="8">
        <f>IF(financials[[#This Row],[Discount Band]]="low",0.1,IF(financials[[#This Row],[Discount Band]]="medium",0.15,0.3))</f>
        <v>0.15</v>
      </c>
      <c r="I3983" s="8">
        <f>financials[[#This Row],[Gross Sales]]-financials[[#This Row],[Gross Sales]]*financials[[#This Row],[Discounts]]</f>
        <v>35.105000000000004</v>
      </c>
      <c r="J3983" s="8">
        <f>VLOOKUP(financials[[#This Row],[productid]],Products!$B$2:$H$10,4)</f>
        <v>2.9</v>
      </c>
      <c r="K3983" s="8">
        <f>financials[[#This Row],[Net Sales]]-financials[[#This Row],[COGS]]</f>
        <v>32.205000000000005</v>
      </c>
      <c r="L3983" s="15">
        <v>44786</v>
      </c>
      <c r="M3983" t="s">
        <v>691</v>
      </c>
    </row>
    <row r="3984" spans="1:13" x14ac:dyDescent="0.25">
      <c r="A3984" t="s">
        <v>88</v>
      </c>
      <c r="B3984" s="6" t="s">
        <v>94</v>
      </c>
      <c r="C3984" s="13">
        <v>104</v>
      </c>
      <c r="D3984" s="14" t="s">
        <v>90</v>
      </c>
      <c r="E3984">
        <v>8</v>
      </c>
      <c r="F3984" s="8">
        <f>VLOOKUP(financials[[#This Row],[productid]],Products!$B$2:$H$10,3)</f>
        <v>5.9</v>
      </c>
      <c r="G3984" s="8">
        <f>financials[[#This Row],[Units Sold]]*financials[[#This Row],[Sale Price]]</f>
        <v>47.2</v>
      </c>
      <c r="H3984" s="8">
        <f>IF(financials[[#This Row],[Discount Band]]="low",0.1,IF(financials[[#This Row],[Discount Band]]="medium",0.15,0.3))</f>
        <v>0.15</v>
      </c>
      <c r="I3984" s="8">
        <f>financials[[#This Row],[Gross Sales]]-financials[[#This Row],[Gross Sales]]*financials[[#This Row],[Discounts]]</f>
        <v>40.120000000000005</v>
      </c>
      <c r="J3984" s="8">
        <f>VLOOKUP(financials[[#This Row],[productid]],Products!$B$2:$H$10,4)</f>
        <v>2.9</v>
      </c>
      <c r="K3984" s="8">
        <f>financials[[#This Row],[Net Sales]]-financials[[#This Row],[COGS]]</f>
        <v>37.220000000000006</v>
      </c>
      <c r="L3984" s="15">
        <v>45020</v>
      </c>
      <c r="M3984" t="s">
        <v>690</v>
      </c>
    </row>
    <row r="3985" spans="1:13" x14ac:dyDescent="0.25">
      <c r="A3985" t="s">
        <v>86</v>
      </c>
      <c r="B3985" s="6" t="s">
        <v>197</v>
      </c>
      <c r="C3985" s="13">
        <v>101</v>
      </c>
      <c r="D3985" s="14" t="s">
        <v>91</v>
      </c>
      <c r="E3985">
        <v>13</v>
      </c>
      <c r="F3985" s="8">
        <f>VLOOKUP(financials[[#This Row],[productid]],Products!$B$2:$H$10,3)</f>
        <v>23</v>
      </c>
      <c r="G3985" s="8">
        <f>financials[[#This Row],[Units Sold]]*financials[[#This Row],[Sale Price]]</f>
        <v>299</v>
      </c>
      <c r="H3985" s="8">
        <f>IF(financials[[#This Row],[Discount Band]]="low",0.1,IF(financials[[#This Row],[Discount Band]]="medium",0.15,0.3))</f>
        <v>0.1</v>
      </c>
      <c r="I3985" s="8">
        <f>financials[[#This Row],[Gross Sales]]-financials[[#This Row],[Gross Sales]]*financials[[#This Row],[Discounts]]</f>
        <v>269.10000000000002</v>
      </c>
      <c r="J3985" s="8">
        <f>VLOOKUP(financials[[#This Row],[productid]],Products!$B$2:$H$10,4)</f>
        <v>9.9499999999999993</v>
      </c>
      <c r="K3985" s="8">
        <f>financials[[#This Row],[Net Sales]]-financials[[#This Row],[COGS]]</f>
        <v>259.15000000000003</v>
      </c>
      <c r="L3985" s="15">
        <v>45222</v>
      </c>
      <c r="M3985" t="s">
        <v>697</v>
      </c>
    </row>
    <row r="3986" spans="1:13" x14ac:dyDescent="0.25">
      <c r="A3986" t="s">
        <v>88</v>
      </c>
      <c r="B3986" s="6" t="s">
        <v>94</v>
      </c>
      <c r="C3986" s="11">
        <v>105</v>
      </c>
      <c r="D3986" s="9" t="s">
        <v>90</v>
      </c>
      <c r="E3986">
        <v>12</v>
      </c>
      <c r="F3986" s="8">
        <f>VLOOKUP(financials[[#This Row],[productid]],Products!$B$2:$H$10,3)</f>
        <v>15</v>
      </c>
      <c r="G3986" s="8">
        <f>financials[[#This Row],[Units Sold]]*financials[[#This Row],[Sale Price]]</f>
        <v>180</v>
      </c>
      <c r="H3986" s="8">
        <f>IF(financials[[#This Row],[Discount Band]]="low",0.1,IF(financials[[#This Row],[Discount Band]]="medium",0.15,0.3))</f>
        <v>0.15</v>
      </c>
      <c r="I3986" s="8">
        <f>financials[[#This Row],[Gross Sales]]-financials[[#This Row],[Gross Sales]]*financials[[#This Row],[Discounts]]</f>
        <v>153</v>
      </c>
      <c r="J3986" s="8">
        <f>VLOOKUP(financials[[#This Row],[productid]],Products!$B$2:$H$10,4)</f>
        <v>10</v>
      </c>
      <c r="K3986" s="8">
        <f>financials[[#This Row],[Net Sales]]-financials[[#This Row],[COGS]]</f>
        <v>143</v>
      </c>
      <c r="L3986" s="15">
        <v>44753</v>
      </c>
      <c r="M3986" t="s">
        <v>696</v>
      </c>
    </row>
    <row r="3987" spans="1:13" x14ac:dyDescent="0.25">
      <c r="A3987" t="s">
        <v>88</v>
      </c>
      <c r="B3987" s="6" t="s">
        <v>95</v>
      </c>
      <c r="C3987" s="13">
        <v>102</v>
      </c>
      <c r="D3987" s="14" t="s">
        <v>90</v>
      </c>
      <c r="E3987">
        <v>12</v>
      </c>
      <c r="F3987" s="8">
        <f>VLOOKUP(financials[[#This Row],[productid]],Products!$B$2:$H$10,3)</f>
        <v>15</v>
      </c>
      <c r="G3987" s="8">
        <f>financials[[#This Row],[Units Sold]]*financials[[#This Row],[Sale Price]]</f>
        <v>180</v>
      </c>
      <c r="H3987" s="8">
        <f>IF(financials[[#This Row],[Discount Band]]="low",0.1,IF(financials[[#This Row],[Discount Band]]="medium",0.15,0.3))</f>
        <v>0.15</v>
      </c>
      <c r="I3987" s="8">
        <f>financials[[#This Row],[Gross Sales]]-financials[[#This Row],[Gross Sales]]*financials[[#This Row],[Discounts]]</f>
        <v>153</v>
      </c>
      <c r="J3987" s="8">
        <f>VLOOKUP(financials[[#This Row],[productid]],Products!$B$2:$H$10,4)</f>
        <v>13.95</v>
      </c>
      <c r="K3987" s="8">
        <f>financials[[#This Row],[Net Sales]]-financials[[#This Row],[COGS]]</f>
        <v>139.05000000000001</v>
      </c>
      <c r="L3987" s="15">
        <v>44781</v>
      </c>
      <c r="M3987" t="s">
        <v>697</v>
      </c>
    </row>
    <row r="3988" spans="1:13" x14ac:dyDescent="0.25">
      <c r="A3988" t="s">
        <v>86</v>
      </c>
      <c r="B3988" s="6" t="s">
        <v>276</v>
      </c>
      <c r="C3988" s="13">
        <v>103</v>
      </c>
      <c r="D3988" s="14" t="s">
        <v>83</v>
      </c>
      <c r="E3988">
        <v>10</v>
      </c>
      <c r="F3988" s="8">
        <f>VLOOKUP(financials[[#This Row],[productid]],Products!$B$2:$H$10,3)</f>
        <v>28</v>
      </c>
      <c r="G3988" s="8">
        <f>financials[[#This Row],[Units Sold]]*financials[[#This Row],[Sale Price]]</f>
        <v>280</v>
      </c>
      <c r="H3988" s="8">
        <f>IF(financials[[#This Row],[Discount Band]]="low",0.1,IF(financials[[#This Row],[Discount Band]]="medium",0.15,0.3))</f>
        <v>0.3</v>
      </c>
      <c r="I3988" s="8">
        <f>financials[[#This Row],[Gross Sales]]-financials[[#This Row],[Gross Sales]]*financials[[#This Row],[Discounts]]</f>
        <v>196</v>
      </c>
      <c r="J3988" s="8">
        <f>VLOOKUP(financials[[#This Row],[productid]],Products!$B$2:$H$10,4)</f>
        <v>15</v>
      </c>
      <c r="K3988" s="8">
        <f>financials[[#This Row],[Net Sales]]-financials[[#This Row],[COGS]]</f>
        <v>181</v>
      </c>
      <c r="L3988" s="15">
        <v>44195</v>
      </c>
      <c r="M3988" t="s">
        <v>696</v>
      </c>
    </row>
    <row r="3989" spans="1:13" x14ac:dyDescent="0.25">
      <c r="A3989" t="s">
        <v>86</v>
      </c>
      <c r="B3989" s="6" t="s">
        <v>167</v>
      </c>
      <c r="C3989" s="13">
        <v>104</v>
      </c>
      <c r="D3989" s="14" t="s">
        <v>83</v>
      </c>
      <c r="E3989">
        <v>8</v>
      </c>
      <c r="F3989" s="8">
        <f>VLOOKUP(financials[[#This Row],[productid]],Products!$B$2:$H$10,3)</f>
        <v>5.9</v>
      </c>
      <c r="G3989" s="8">
        <f>financials[[#This Row],[Units Sold]]*financials[[#This Row],[Sale Price]]</f>
        <v>47.2</v>
      </c>
      <c r="H3989" s="8">
        <f>IF(financials[[#This Row],[Discount Band]]="low",0.1,IF(financials[[#This Row],[Discount Band]]="medium",0.15,0.3))</f>
        <v>0.3</v>
      </c>
      <c r="I3989" s="8">
        <f>financials[[#This Row],[Gross Sales]]-financials[[#This Row],[Gross Sales]]*financials[[#This Row],[Discounts]]</f>
        <v>33.040000000000006</v>
      </c>
      <c r="J3989" s="8">
        <f>VLOOKUP(financials[[#This Row],[productid]],Products!$B$2:$H$10,4)</f>
        <v>2.9</v>
      </c>
      <c r="K3989" s="8">
        <f>financials[[#This Row],[Net Sales]]-financials[[#This Row],[COGS]]</f>
        <v>30.140000000000008</v>
      </c>
      <c r="L3989" s="15">
        <v>44641</v>
      </c>
      <c r="M3989" t="s">
        <v>690</v>
      </c>
    </row>
    <row r="3990" spans="1:13" x14ac:dyDescent="0.25">
      <c r="A3990" t="s">
        <v>88</v>
      </c>
      <c r="B3990" s="6" t="s">
        <v>167</v>
      </c>
      <c r="C3990" s="13">
        <v>109</v>
      </c>
      <c r="D3990" s="14" t="s">
        <v>90</v>
      </c>
      <c r="E3990">
        <v>20</v>
      </c>
      <c r="F3990" s="8">
        <f>VLOOKUP(financials[[#This Row],[productid]],Products!$B$2:$H$10,3)</f>
        <v>36</v>
      </c>
      <c r="G3990" s="8">
        <f>financials[[#This Row],[Units Sold]]*financials[[#This Row],[Sale Price]]</f>
        <v>720</v>
      </c>
      <c r="H3990" s="8">
        <f>IF(financials[[#This Row],[Discount Band]]="low",0.1,IF(financials[[#This Row],[Discount Band]]="medium",0.15,0.3))</f>
        <v>0.15</v>
      </c>
      <c r="I3990" s="8">
        <f>financials[[#This Row],[Gross Sales]]-financials[[#This Row],[Gross Sales]]*financials[[#This Row],[Discounts]]</f>
        <v>612</v>
      </c>
      <c r="J3990" s="8">
        <f>VLOOKUP(financials[[#This Row],[productid]],Products!$B$2:$H$10,4)</f>
        <v>16.8</v>
      </c>
      <c r="K3990" s="8">
        <f>financials[[#This Row],[Net Sales]]-financials[[#This Row],[COGS]]</f>
        <v>595.20000000000005</v>
      </c>
      <c r="L3990" s="15">
        <v>45451</v>
      </c>
      <c r="M3990" t="s">
        <v>697</v>
      </c>
    </row>
    <row r="3991" spans="1:13" x14ac:dyDescent="0.25">
      <c r="A3991" t="s">
        <v>86</v>
      </c>
      <c r="B3991" s="6" t="s">
        <v>545</v>
      </c>
      <c r="C3991" s="13">
        <v>103</v>
      </c>
      <c r="D3991" s="14" t="s">
        <v>92</v>
      </c>
      <c r="E3991">
        <v>17</v>
      </c>
      <c r="F3991" s="8">
        <f>VLOOKUP(financials[[#This Row],[productid]],Products!$B$2:$H$10,3)</f>
        <v>28</v>
      </c>
      <c r="G3991" s="8">
        <f>financials[[#This Row],[Units Sold]]*financials[[#This Row],[Sale Price]]</f>
        <v>476</v>
      </c>
      <c r="H3991" s="8">
        <f>IF(financials[[#This Row],[Discount Band]]="low",0.1,IF(financials[[#This Row],[Discount Band]]="medium",0.15,0.3))</f>
        <v>0.3</v>
      </c>
      <c r="I3991" s="8">
        <f>financials[[#This Row],[Gross Sales]]-financials[[#This Row],[Gross Sales]]*financials[[#This Row],[Discounts]]</f>
        <v>333.20000000000005</v>
      </c>
      <c r="J3991" s="8">
        <f>VLOOKUP(financials[[#This Row],[productid]],Products!$B$2:$H$10,4)</f>
        <v>15</v>
      </c>
      <c r="K3991" s="8">
        <f>financials[[#This Row],[Net Sales]]-financials[[#This Row],[COGS]]</f>
        <v>318.20000000000005</v>
      </c>
      <c r="L3991" s="15">
        <v>45165</v>
      </c>
      <c r="M3991" t="s">
        <v>700</v>
      </c>
    </row>
    <row r="3992" spans="1:13" x14ac:dyDescent="0.25">
      <c r="A3992" t="s">
        <v>86</v>
      </c>
      <c r="B3992" s="6" t="s">
        <v>94</v>
      </c>
      <c r="C3992" s="13">
        <v>105</v>
      </c>
      <c r="D3992" s="14" t="s">
        <v>90</v>
      </c>
      <c r="E3992">
        <v>16</v>
      </c>
      <c r="F3992" s="8">
        <f>VLOOKUP(financials[[#This Row],[productid]],Products!$B$2:$H$10,3)</f>
        <v>15</v>
      </c>
      <c r="G3992" s="8">
        <f>financials[[#This Row],[Units Sold]]*financials[[#This Row],[Sale Price]]</f>
        <v>240</v>
      </c>
      <c r="H3992" s="8">
        <f>IF(financials[[#This Row],[Discount Band]]="low",0.1,IF(financials[[#This Row],[Discount Band]]="medium",0.15,0.3))</f>
        <v>0.15</v>
      </c>
      <c r="I3992" s="8">
        <f>financials[[#This Row],[Gross Sales]]-financials[[#This Row],[Gross Sales]]*financials[[#This Row],[Discounts]]</f>
        <v>204</v>
      </c>
      <c r="J3992" s="8">
        <f>VLOOKUP(financials[[#This Row],[productid]],Products!$B$2:$H$10,4)</f>
        <v>10</v>
      </c>
      <c r="K3992" s="8">
        <f>financials[[#This Row],[Net Sales]]-financials[[#This Row],[COGS]]</f>
        <v>194</v>
      </c>
      <c r="L3992" s="15">
        <v>44029</v>
      </c>
      <c r="M3992" t="s">
        <v>690</v>
      </c>
    </row>
    <row r="3993" spans="1:13" x14ac:dyDescent="0.25">
      <c r="A3993" t="s">
        <v>86</v>
      </c>
      <c r="B3993" s="6" t="s">
        <v>167</v>
      </c>
      <c r="C3993" s="13">
        <v>107</v>
      </c>
      <c r="D3993" s="14" t="s">
        <v>90</v>
      </c>
      <c r="E3993">
        <v>17</v>
      </c>
      <c r="F3993" s="8">
        <f>VLOOKUP(financials[[#This Row],[productid]],Products!$B$2:$H$10,3)</f>
        <v>15</v>
      </c>
      <c r="G3993" s="8">
        <f>financials[[#This Row],[Units Sold]]*financials[[#This Row],[Sale Price]]</f>
        <v>255</v>
      </c>
      <c r="H3993" s="8">
        <f>IF(financials[[#This Row],[Discount Band]]="low",0.1,IF(financials[[#This Row],[Discount Band]]="medium",0.15,0.3))</f>
        <v>0.15</v>
      </c>
      <c r="I3993" s="8">
        <f>financials[[#This Row],[Gross Sales]]-financials[[#This Row],[Gross Sales]]*financials[[#This Row],[Discounts]]</f>
        <v>216.75</v>
      </c>
      <c r="J3993" s="8">
        <f>VLOOKUP(financials[[#This Row],[productid]],Products!$B$2:$H$10,4)</f>
        <v>5.5</v>
      </c>
      <c r="K3993" s="8">
        <f>financials[[#This Row],[Net Sales]]-financials[[#This Row],[COGS]]</f>
        <v>211.25</v>
      </c>
      <c r="L3993" s="15">
        <v>45160</v>
      </c>
      <c r="M3993" t="s">
        <v>691</v>
      </c>
    </row>
    <row r="3994" spans="1:13" x14ac:dyDescent="0.25">
      <c r="A3994" t="s">
        <v>88</v>
      </c>
      <c r="B3994" s="6" t="s">
        <v>268</v>
      </c>
      <c r="C3994" s="13">
        <v>106</v>
      </c>
      <c r="D3994" s="14" t="s">
        <v>90</v>
      </c>
      <c r="E3994">
        <v>12</v>
      </c>
      <c r="F3994" s="8">
        <f>VLOOKUP(financials[[#This Row],[productid]],Products!$B$2:$H$10,3)</f>
        <v>25</v>
      </c>
      <c r="G3994" s="8">
        <f>financials[[#This Row],[Units Sold]]*financials[[#This Row],[Sale Price]]</f>
        <v>300</v>
      </c>
      <c r="H3994" s="8">
        <f>IF(financials[[#This Row],[Discount Band]]="low",0.1,IF(financials[[#This Row],[Discount Band]]="medium",0.15,0.3))</f>
        <v>0.15</v>
      </c>
      <c r="I3994" s="8">
        <f>financials[[#This Row],[Gross Sales]]-financials[[#This Row],[Gross Sales]]*financials[[#This Row],[Discounts]]</f>
        <v>255</v>
      </c>
      <c r="J3994" s="8">
        <f>VLOOKUP(financials[[#This Row],[productid]],Products!$B$2:$H$10,4)</f>
        <v>9.1</v>
      </c>
      <c r="K3994" s="8">
        <f>financials[[#This Row],[Net Sales]]-financials[[#This Row],[COGS]]</f>
        <v>245.9</v>
      </c>
      <c r="L3994" s="15">
        <v>44186</v>
      </c>
      <c r="M3994" t="s">
        <v>696</v>
      </c>
    </row>
    <row r="3995" spans="1:13" x14ac:dyDescent="0.25">
      <c r="A3995" t="s">
        <v>88</v>
      </c>
      <c r="B3995" s="6" t="s">
        <v>94</v>
      </c>
      <c r="C3995" s="13">
        <v>105</v>
      </c>
      <c r="D3995" s="14" t="s">
        <v>92</v>
      </c>
      <c r="E3995">
        <v>20</v>
      </c>
      <c r="F3995" s="8">
        <f>VLOOKUP(financials[[#This Row],[productid]],Products!$B$2:$H$10,3)</f>
        <v>15</v>
      </c>
      <c r="G3995" s="8">
        <f>financials[[#This Row],[Units Sold]]*financials[[#This Row],[Sale Price]]</f>
        <v>300</v>
      </c>
      <c r="H3995" s="8">
        <f>IF(financials[[#This Row],[Discount Band]]="low",0.1,IF(financials[[#This Row],[Discount Band]]="medium",0.15,0.3))</f>
        <v>0.3</v>
      </c>
      <c r="I3995" s="8">
        <f>financials[[#This Row],[Gross Sales]]-financials[[#This Row],[Gross Sales]]*financials[[#This Row],[Discounts]]</f>
        <v>210</v>
      </c>
      <c r="J3995" s="8">
        <f>VLOOKUP(financials[[#This Row],[productid]],Products!$B$2:$H$10,4)</f>
        <v>10</v>
      </c>
      <c r="K3995" s="8">
        <f>financials[[#This Row],[Net Sales]]-financials[[#This Row],[COGS]]</f>
        <v>200</v>
      </c>
      <c r="L3995" s="15">
        <v>45138</v>
      </c>
      <c r="M3995" t="s">
        <v>700</v>
      </c>
    </row>
    <row r="3996" spans="1:13" x14ac:dyDescent="0.25">
      <c r="A3996" t="s">
        <v>86</v>
      </c>
      <c r="B3996" s="6" t="s">
        <v>545</v>
      </c>
      <c r="C3996" s="13">
        <v>107</v>
      </c>
      <c r="D3996" s="14" t="s">
        <v>83</v>
      </c>
      <c r="E3996">
        <v>17</v>
      </c>
      <c r="F3996" s="8">
        <f>VLOOKUP(financials[[#This Row],[productid]],Products!$B$2:$H$10,3)</f>
        <v>15</v>
      </c>
      <c r="G3996" s="8">
        <f>financials[[#This Row],[Units Sold]]*financials[[#This Row],[Sale Price]]</f>
        <v>255</v>
      </c>
      <c r="H3996" s="8">
        <f>IF(financials[[#This Row],[Discount Band]]="low",0.1,IF(financials[[#This Row],[Discount Band]]="medium",0.15,0.3))</f>
        <v>0.3</v>
      </c>
      <c r="I3996" s="8">
        <f>financials[[#This Row],[Gross Sales]]-financials[[#This Row],[Gross Sales]]*financials[[#This Row],[Discounts]]</f>
        <v>178.5</v>
      </c>
      <c r="J3996" s="8">
        <f>VLOOKUP(financials[[#This Row],[productid]],Products!$B$2:$H$10,4)</f>
        <v>5.5</v>
      </c>
      <c r="K3996" s="8">
        <f>financials[[#This Row],[Net Sales]]-financials[[#This Row],[COGS]]</f>
        <v>173</v>
      </c>
      <c r="L3996" s="15">
        <v>45309</v>
      </c>
      <c r="M3996" t="s">
        <v>696</v>
      </c>
    </row>
    <row r="3997" spans="1:13" x14ac:dyDescent="0.25">
      <c r="A3997" t="s">
        <v>88</v>
      </c>
      <c r="B3997" s="6" t="s">
        <v>276</v>
      </c>
      <c r="C3997" s="11">
        <v>101</v>
      </c>
      <c r="D3997" s="9" t="s">
        <v>83</v>
      </c>
      <c r="E3997">
        <v>15</v>
      </c>
      <c r="F3997" s="8">
        <f>VLOOKUP(financials[[#This Row],[productid]],Products!$B$2:$H$10,3)</f>
        <v>23</v>
      </c>
      <c r="G3997" s="8">
        <f>financials[[#This Row],[Units Sold]]*financials[[#This Row],[Sale Price]]</f>
        <v>345</v>
      </c>
      <c r="H3997" s="8">
        <f>IF(financials[[#This Row],[Discount Band]]="low",0.1,IF(financials[[#This Row],[Discount Band]]="medium",0.15,0.3))</f>
        <v>0.3</v>
      </c>
      <c r="I3997" s="8">
        <f>financials[[#This Row],[Gross Sales]]-financials[[#This Row],[Gross Sales]]*financials[[#This Row],[Discounts]]</f>
        <v>241.5</v>
      </c>
      <c r="J3997" s="8">
        <f>VLOOKUP(financials[[#This Row],[productid]],Products!$B$2:$H$10,4)</f>
        <v>9.9499999999999993</v>
      </c>
      <c r="K3997" s="8">
        <f>financials[[#This Row],[Net Sales]]-financials[[#This Row],[COGS]]</f>
        <v>231.55</v>
      </c>
      <c r="L3997" s="15">
        <v>44152</v>
      </c>
      <c r="M3997" t="s">
        <v>697</v>
      </c>
    </row>
    <row r="3998" spans="1:13" x14ac:dyDescent="0.25">
      <c r="A3998" t="s">
        <v>87</v>
      </c>
      <c r="B3998" s="6" t="s">
        <v>159</v>
      </c>
      <c r="C3998" s="13">
        <v>104</v>
      </c>
      <c r="D3998" s="14" t="s">
        <v>90</v>
      </c>
      <c r="E3998">
        <v>12</v>
      </c>
      <c r="F3998" s="8">
        <f>VLOOKUP(financials[[#This Row],[productid]],Products!$B$2:$H$10,3)</f>
        <v>5.9</v>
      </c>
      <c r="G3998" s="8">
        <f>financials[[#This Row],[Units Sold]]*financials[[#This Row],[Sale Price]]</f>
        <v>70.800000000000011</v>
      </c>
      <c r="H3998" s="8">
        <f>IF(financials[[#This Row],[Discount Band]]="low",0.1,IF(financials[[#This Row],[Discount Band]]="medium",0.15,0.3))</f>
        <v>0.15</v>
      </c>
      <c r="I3998" s="8">
        <f>financials[[#This Row],[Gross Sales]]-financials[[#This Row],[Gross Sales]]*financials[[#This Row],[Discounts]]</f>
        <v>60.180000000000007</v>
      </c>
      <c r="J3998" s="8">
        <f>VLOOKUP(financials[[#This Row],[productid]],Products!$B$2:$H$10,4)</f>
        <v>2.9</v>
      </c>
      <c r="K3998" s="8">
        <f>financials[[#This Row],[Net Sales]]-financials[[#This Row],[COGS]]</f>
        <v>57.280000000000008</v>
      </c>
      <c r="L3998" s="15">
        <v>44171</v>
      </c>
      <c r="M3998" t="s">
        <v>691</v>
      </c>
    </row>
    <row r="3999" spans="1:13" x14ac:dyDescent="0.25">
      <c r="A3999" t="s">
        <v>86</v>
      </c>
      <c r="B3999" s="6" t="s">
        <v>95</v>
      </c>
      <c r="C3999" s="13">
        <v>108</v>
      </c>
      <c r="D3999" s="14" t="s">
        <v>83</v>
      </c>
      <c r="E3999">
        <v>6</v>
      </c>
      <c r="F3999" s="8">
        <f>VLOOKUP(financials[[#This Row],[productid]],Products!$B$2:$H$10,3)</f>
        <v>5.5</v>
      </c>
      <c r="G3999" s="8">
        <f>financials[[#This Row],[Units Sold]]*financials[[#This Row],[Sale Price]]</f>
        <v>33</v>
      </c>
      <c r="H3999" s="8">
        <f>IF(financials[[#This Row],[Discount Band]]="low",0.1,IF(financials[[#This Row],[Discount Band]]="medium",0.15,0.3))</f>
        <v>0.3</v>
      </c>
      <c r="I3999" s="8">
        <f>financials[[#This Row],[Gross Sales]]-financials[[#This Row],[Gross Sales]]*financials[[#This Row],[Discounts]]</f>
        <v>23.1</v>
      </c>
      <c r="J3999" s="8">
        <f>VLOOKUP(financials[[#This Row],[productid]],Products!$B$2:$H$10,4)</f>
        <v>3.99</v>
      </c>
      <c r="K3999" s="8">
        <f>financials[[#This Row],[Net Sales]]-financials[[#This Row],[COGS]]</f>
        <v>19.11</v>
      </c>
      <c r="L3999" s="15">
        <v>45493</v>
      </c>
      <c r="M3999" t="s">
        <v>700</v>
      </c>
    </row>
    <row r="4000" spans="1:13" x14ac:dyDescent="0.25">
      <c r="A4000" t="s">
        <v>88</v>
      </c>
      <c r="B4000" s="6" t="s">
        <v>268</v>
      </c>
      <c r="C4000" s="13">
        <v>109</v>
      </c>
      <c r="D4000" s="14" t="s">
        <v>83</v>
      </c>
      <c r="E4000">
        <v>16</v>
      </c>
      <c r="F4000" s="8">
        <f>VLOOKUP(financials[[#This Row],[productid]],Products!$B$2:$H$10,3)</f>
        <v>36</v>
      </c>
      <c r="G4000" s="8">
        <f>financials[[#This Row],[Units Sold]]*financials[[#This Row],[Sale Price]]</f>
        <v>576</v>
      </c>
      <c r="H4000" s="8">
        <f>IF(financials[[#This Row],[Discount Band]]="low",0.1,IF(financials[[#This Row],[Discount Band]]="medium",0.15,0.3))</f>
        <v>0.3</v>
      </c>
      <c r="I4000" s="8">
        <f>financials[[#This Row],[Gross Sales]]-financials[[#This Row],[Gross Sales]]*financials[[#This Row],[Discounts]]</f>
        <v>403.20000000000005</v>
      </c>
      <c r="J4000" s="8">
        <f>VLOOKUP(financials[[#This Row],[productid]],Products!$B$2:$H$10,4)</f>
        <v>16.8</v>
      </c>
      <c r="K4000" s="8">
        <f>financials[[#This Row],[Net Sales]]-financials[[#This Row],[COGS]]</f>
        <v>386.40000000000003</v>
      </c>
      <c r="L4000" s="15">
        <v>45458</v>
      </c>
      <c r="M4000" t="s">
        <v>700</v>
      </c>
    </row>
    <row r="4001" spans="1:13" x14ac:dyDescent="0.25">
      <c r="A4001" t="s">
        <v>87</v>
      </c>
      <c r="B4001" s="6" t="s">
        <v>84</v>
      </c>
      <c r="C4001" s="13">
        <v>103</v>
      </c>
      <c r="D4001" s="14" t="s">
        <v>83</v>
      </c>
      <c r="E4001">
        <v>19</v>
      </c>
      <c r="F4001" s="8">
        <f>VLOOKUP(financials[[#This Row],[productid]],Products!$B$2:$H$10,3)</f>
        <v>28</v>
      </c>
      <c r="G4001" s="8">
        <f>financials[[#This Row],[Units Sold]]*financials[[#This Row],[Sale Price]]</f>
        <v>532</v>
      </c>
      <c r="H4001" s="8">
        <f>IF(financials[[#This Row],[Discount Band]]="low",0.1,IF(financials[[#This Row],[Discount Band]]="medium",0.15,0.3))</f>
        <v>0.3</v>
      </c>
      <c r="I4001" s="8">
        <f>financials[[#This Row],[Gross Sales]]-financials[[#This Row],[Gross Sales]]*financials[[#This Row],[Discounts]]</f>
        <v>372.4</v>
      </c>
      <c r="J4001" s="8">
        <f>VLOOKUP(financials[[#This Row],[productid]],Products!$B$2:$H$10,4)</f>
        <v>15</v>
      </c>
      <c r="K4001" s="8">
        <f>financials[[#This Row],[Net Sales]]-financials[[#This Row],[COGS]]</f>
        <v>357.4</v>
      </c>
      <c r="L4001" s="15">
        <v>44974</v>
      </c>
      <c r="M4001" t="s">
        <v>690</v>
      </c>
    </row>
    <row r="4002" spans="1:13" x14ac:dyDescent="0.25">
      <c r="A4002" t="s">
        <v>87</v>
      </c>
      <c r="B4002" s="6" t="s">
        <v>159</v>
      </c>
      <c r="C4002" s="11">
        <v>103</v>
      </c>
      <c r="D4002" s="9" t="s">
        <v>83</v>
      </c>
      <c r="E4002">
        <v>6</v>
      </c>
      <c r="F4002" s="8">
        <f>VLOOKUP(financials[[#This Row],[productid]],Products!$B$2:$H$10,3)</f>
        <v>28</v>
      </c>
      <c r="G4002" s="8">
        <f>financials[[#This Row],[Units Sold]]*financials[[#This Row],[Sale Price]]</f>
        <v>168</v>
      </c>
      <c r="H4002" s="8">
        <f>IF(financials[[#This Row],[Discount Band]]="low",0.1,IF(financials[[#This Row],[Discount Band]]="medium",0.15,0.3))</f>
        <v>0.3</v>
      </c>
      <c r="I4002" s="8">
        <f>financials[[#This Row],[Gross Sales]]-financials[[#This Row],[Gross Sales]]*financials[[#This Row],[Discounts]]</f>
        <v>117.6</v>
      </c>
      <c r="J4002" s="8">
        <f>VLOOKUP(financials[[#This Row],[productid]],Products!$B$2:$H$10,4)</f>
        <v>15</v>
      </c>
      <c r="K4002" s="8">
        <f>financials[[#This Row],[Net Sales]]-financials[[#This Row],[COGS]]</f>
        <v>102.6</v>
      </c>
      <c r="L4002" s="15">
        <v>45657</v>
      </c>
      <c r="M4002" t="s">
        <v>700</v>
      </c>
    </row>
    <row r="4003" spans="1:13" x14ac:dyDescent="0.25">
      <c r="A4003" t="s">
        <v>86</v>
      </c>
      <c r="B4003" s="6" t="s">
        <v>276</v>
      </c>
      <c r="C4003" s="11">
        <v>103</v>
      </c>
      <c r="D4003" s="9" t="s">
        <v>90</v>
      </c>
      <c r="E4003">
        <v>7</v>
      </c>
      <c r="F4003" s="8">
        <f>VLOOKUP(financials[[#This Row],[productid]],Products!$B$2:$H$10,3)</f>
        <v>28</v>
      </c>
      <c r="G4003" s="8">
        <f>financials[[#This Row],[Units Sold]]*financials[[#This Row],[Sale Price]]</f>
        <v>196</v>
      </c>
      <c r="H4003" s="8">
        <f>IF(financials[[#This Row],[Discount Band]]="low",0.1,IF(financials[[#This Row],[Discount Band]]="medium",0.15,0.3))</f>
        <v>0.15</v>
      </c>
      <c r="I4003" s="8">
        <f>financials[[#This Row],[Gross Sales]]-financials[[#This Row],[Gross Sales]]*financials[[#This Row],[Discounts]]</f>
        <v>166.6</v>
      </c>
      <c r="J4003" s="8">
        <f>VLOOKUP(financials[[#This Row],[productid]],Products!$B$2:$H$10,4)</f>
        <v>15</v>
      </c>
      <c r="K4003" s="8">
        <f>financials[[#This Row],[Net Sales]]-financials[[#This Row],[COGS]]</f>
        <v>151.6</v>
      </c>
      <c r="L4003" s="15">
        <v>44675</v>
      </c>
      <c r="M4003" t="s">
        <v>700</v>
      </c>
    </row>
    <row r="4004" spans="1:13" x14ac:dyDescent="0.25">
      <c r="A4004" t="s">
        <v>88</v>
      </c>
      <c r="B4004" s="6" t="s">
        <v>94</v>
      </c>
      <c r="C4004" s="13">
        <v>104</v>
      </c>
      <c r="D4004" s="14" t="s">
        <v>90</v>
      </c>
      <c r="E4004">
        <v>20</v>
      </c>
      <c r="F4004" s="8">
        <f>VLOOKUP(financials[[#This Row],[productid]],Products!$B$2:$H$10,3)</f>
        <v>5.9</v>
      </c>
      <c r="G4004" s="8">
        <f>financials[[#This Row],[Units Sold]]*financials[[#This Row],[Sale Price]]</f>
        <v>118</v>
      </c>
      <c r="H4004" s="8">
        <f>IF(financials[[#This Row],[Discount Band]]="low",0.1,IF(financials[[#This Row],[Discount Band]]="medium",0.15,0.3))</f>
        <v>0.15</v>
      </c>
      <c r="I4004" s="8">
        <f>financials[[#This Row],[Gross Sales]]-financials[[#This Row],[Gross Sales]]*financials[[#This Row],[Discounts]]</f>
        <v>100.3</v>
      </c>
      <c r="J4004" s="8">
        <f>VLOOKUP(financials[[#This Row],[productid]],Products!$B$2:$H$10,4)</f>
        <v>2.9</v>
      </c>
      <c r="K4004" s="8">
        <f>financials[[#This Row],[Net Sales]]-financials[[#This Row],[COGS]]</f>
        <v>97.399999999999991</v>
      </c>
      <c r="L4004" s="15">
        <v>45112</v>
      </c>
      <c r="M4004" t="s">
        <v>697</v>
      </c>
    </row>
    <row r="4005" spans="1:13" x14ac:dyDescent="0.25">
      <c r="A4005" t="s">
        <v>87</v>
      </c>
      <c r="B4005" s="6" t="s">
        <v>84</v>
      </c>
      <c r="C4005" s="13">
        <v>106</v>
      </c>
      <c r="D4005" s="14" t="s">
        <v>90</v>
      </c>
      <c r="E4005">
        <v>8</v>
      </c>
      <c r="F4005" s="8">
        <f>VLOOKUP(financials[[#This Row],[productid]],Products!$B$2:$H$10,3)</f>
        <v>25</v>
      </c>
      <c r="G4005" s="8">
        <f>financials[[#This Row],[Units Sold]]*financials[[#This Row],[Sale Price]]</f>
        <v>200</v>
      </c>
      <c r="H4005" s="8">
        <f>IF(financials[[#This Row],[Discount Band]]="low",0.1,IF(financials[[#This Row],[Discount Band]]="medium",0.15,0.3))</f>
        <v>0.15</v>
      </c>
      <c r="I4005" s="8">
        <f>financials[[#This Row],[Gross Sales]]-financials[[#This Row],[Gross Sales]]*financials[[#This Row],[Discounts]]</f>
        <v>170</v>
      </c>
      <c r="J4005" s="8">
        <f>VLOOKUP(financials[[#This Row],[productid]],Products!$B$2:$H$10,4)</f>
        <v>9.1</v>
      </c>
      <c r="K4005" s="8">
        <f>financials[[#This Row],[Net Sales]]-financials[[#This Row],[COGS]]</f>
        <v>160.9</v>
      </c>
      <c r="L4005" s="15">
        <v>44750</v>
      </c>
      <c r="M4005" t="s">
        <v>700</v>
      </c>
    </row>
    <row r="4006" spans="1:13" x14ac:dyDescent="0.25">
      <c r="A4006" t="s">
        <v>86</v>
      </c>
      <c r="B4006" s="6" t="s">
        <v>276</v>
      </c>
      <c r="C4006" s="11">
        <v>101</v>
      </c>
      <c r="D4006" s="9" t="s">
        <v>90</v>
      </c>
      <c r="E4006">
        <v>20</v>
      </c>
      <c r="F4006" s="8">
        <f>VLOOKUP(financials[[#This Row],[productid]],Products!$B$2:$H$10,3)</f>
        <v>23</v>
      </c>
      <c r="G4006" s="8">
        <f>financials[[#This Row],[Units Sold]]*financials[[#This Row],[Sale Price]]</f>
        <v>460</v>
      </c>
      <c r="H4006" s="8">
        <f>IF(financials[[#This Row],[Discount Band]]="low",0.1,IF(financials[[#This Row],[Discount Band]]="medium",0.15,0.3))</f>
        <v>0.15</v>
      </c>
      <c r="I4006" s="8">
        <f>financials[[#This Row],[Gross Sales]]-financials[[#This Row],[Gross Sales]]*financials[[#This Row],[Discounts]]</f>
        <v>391</v>
      </c>
      <c r="J4006" s="8">
        <f>VLOOKUP(financials[[#This Row],[productid]],Products!$B$2:$H$10,4)</f>
        <v>9.9499999999999993</v>
      </c>
      <c r="K4006" s="8">
        <f>financials[[#This Row],[Net Sales]]-financials[[#This Row],[COGS]]</f>
        <v>381.05</v>
      </c>
      <c r="L4006" s="15">
        <v>44299</v>
      </c>
      <c r="M4006" t="s">
        <v>691</v>
      </c>
    </row>
    <row r="4007" spans="1:13" x14ac:dyDescent="0.25">
      <c r="A4007" t="s">
        <v>88</v>
      </c>
      <c r="B4007" s="6" t="s">
        <v>95</v>
      </c>
      <c r="C4007" s="13">
        <v>108</v>
      </c>
      <c r="D4007" s="14" t="s">
        <v>90</v>
      </c>
      <c r="E4007">
        <v>19</v>
      </c>
      <c r="F4007" s="8">
        <f>VLOOKUP(financials[[#This Row],[productid]],Products!$B$2:$H$10,3)</f>
        <v>5.5</v>
      </c>
      <c r="G4007" s="8">
        <f>financials[[#This Row],[Units Sold]]*financials[[#This Row],[Sale Price]]</f>
        <v>104.5</v>
      </c>
      <c r="H4007" s="8">
        <f>IF(financials[[#This Row],[Discount Band]]="low",0.1,IF(financials[[#This Row],[Discount Band]]="medium",0.15,0.3))</f>
        <v>0.15</v>
      </c>
      <c r="I4007" s="8">
        <f>financials[[#This Row],[Gross Sales]]-financials[[#This Row],[Gross Sales]]*financials[[#This Row],[Discounts]]</f>
        <v>88.825000000000003</v>
      </c>
      <c r="J4007" s="8">
        <f>VLOOKUP(financials[[#This Row],[productid]],Products!$B$2:$H$10,4)</f>
        <v>3.99</v>
      </c>
      <c r="K4007" s="8">
        <f>financials[[#This Row],[Net Sales]]-financials[[#This Row],[COGS]]</f>
        <v>84.835000000000008</v>
      </c>
      <c r="L4007" s="15">
        <v>45334</v>
      </c>
      <c r="M4007" t="s">
        <v>696</v>
      </c>
    </row>
    <row r="4008" spans="1:13" x14ac:dyDescent="0.25">
      <c r="A4008" t="s">
        <v>86</v>
      </c>
      <c r="B4008" s="6" t="s">
        <v>276</v>
      </c>
      <c r="C4008" s="13">
        <v>106</v>
      </c>
      <c r="D4008" s="14" t="s">
        <v>83</v>
      </c>
      <c r="E4008">
        <v>9</v>
      </c>
      <c r="F4008" s="8">
        <f>VLOOKUP(financials[[#This Row],[productid]],Products!$B$2:$H$10,3)</f>
        <v>25</v>
      </c>
      <c r="G4008" s="8">
        <f>financials[[#This Row],[Units Sold]]*financials[[#This Row],[Sale Price]]</f>
        <v>225</v>
      </c>
      <c r="H4008" s="8">
        <f>IF(financials[[#This Row],[Discount Band]]="low",0.1,IF(financials[[#This Row],[Discount Band]]="medium",0.15,0.3))</f>
        <v>0.3</v>
      </c>
      <c r="I4008" s="8">
        <f>financials[[#This Row],[Gross Sales]]-financials[[#This Row],[Gross Sales]]*financials[[#This Row],[Discounts]]</f>
        <v>157.5</v>
      </c>
      <c r="J4008" s="8">
        <f>VLOOKUP(financials[[#This Row],[productid]],Products!$B$2:$H$10,4)</f>
        <v>9.1</v>
      </c>
      <c r="K4008" s="8">
        <f>financials[[#This Row],[Net Sales]]-financials[[#This Row],[COGS]]</f>
        <v>148.4</v>
      </c>
      <c r="L4008" s="15">
        <v>44111</v>
      </c>
      <c r="M4008" t="s">
        <v>697</v>
      </c>
    </row>
    <row r="4009" spans="1:13" x14ac:dyDescent="0.25">
      <c r="A4009" t="s">
        <v>88</v>
      </c>
      <c r="B4009" s="6" t="s">
        <v>273</v>
      </c>
      <c r="C4009" s="13">
        <v>105</v>
      </c>
      <c r="D4009" s="14" t="s">
        <v>83</v>
      </c>
      <c r="E4009">
        <v>12</v>
      </c>
      <c r="F4009" s="8">
        <f>VLOOKUP(financials[[#This Row],[productid]],Products!$B$2:$H$10,3)</f>
        <v>15</v>
      </c>
      <c r="G4009" s="8">
        <f>financials[[#This Row],[Units Sold]]*financials[[#This Row],[Sale Price]]</f>
        <v>180</v>
      </c>
      <c r="H4009" s="8">
        <f>IF(financials[[#This Row],[Discount Band]]="low",0.1,IF(financials[[#This Row],[Discount Band]]="medium",0.15,0.3))</f>
        <v>0.3</v>
      </c>
      <c r="I4009" s="8">
        <f>financials[[#This Row],[Gross Sales]]-financials[[#This Row],[Gross Sales]]*financials[[#This Row],[Discounts]]</f>
        <v>126</v>
      </c>
      <c r="J4009" s="8">
        <f>VLOOKUP(financials[[#This Row],[productid]],Products!$B$2:$H$10,4)</f>
        <v>10</v>
      </c>
      <c r="K4009" s="8">
        <f>financials[[#This Row],[Net Sales]]-financials[[#This Row],[COGS]]</f>
        <v>116</v>
      </c>
      <c r="L4009" s="15">
        <v>44020</v>
      </c>
      <c r="M4009" t="s">
        <v>690</v>
      </c>
    </row>
    <row r="4010" spans="1:13" x14ac:dyDescent="0.25">
      <c r="A4010" t="s">
        <v>87</v>
      </c>
      <c r="B4010" s="6" t="s">
        <v>84</v>
      </c>
      <c r="C4010" s="13">
        <v>108</v>
      </c>
      <c r="D4010" s="14" t="s">
        <v>91</v>
      </c>
      <c r="E4010">
        <v>19</v>
      </c>
      <c r="F4010" s="8">
        <f>VLOOKUP(financials[[#This Row],[productid]],Products!$B$2:$H$10,3)</f>
        <v>5.5</v>
      </c>
      <c r="G4010" s="8">
        <f>financials[[#This Row],[Units Sold]]*financials[[#This Row],[Sale Price]]</f>
        <v>104.5</v>
      </c>
      <c r="H4010" s="8">
        <f>IF(financials[[#This Row],[Discount Band]]="low",0.1,IF(financials[[#This Row],[Discount Band]]="medium",0.15,0.3))</f>
        <v>0.1</v>
      </c>
      <c r="I4010" s="8">
        <f>financials[[#This Row],[Gross Sales]]-financials[[#This Row],[Gross Sales]]*financials[[#This Row],[Discounts]]</f>
        <v>94.05</v>
      </c>
      <c r="J4010" s="8">
        <f>VLOOKUP(financials[[#This Row],[productid]],Products!$B$2:$H$10,4)</f>
        <v>3.99</v>
      </c>
      <c r="K4010" s="8">
        <f>financials[[#This Row],[Net Sales]]-financials[[#This Row],[COGS]]</f>
        <v>90.06</v>
      </c>
      <c r="L4010" s="15">
        <v>43870</v>
      </c>
      <c r="M4010" t="s">
        <v>697</v>
      </c>
    </row>
    <row r="4011" spans="1:13" x14ac:dyDescent="0.25">
      <c r="A4011" t="s">
        <v>88</v>
      </c>
      <c r="B4011" s="6" t="s">
        <v>276</v>
      </c>
      <c r="C4011" s="13">
        <v>101</v>
      </c>
      <c r="D4011" s="14" t="s">
        <v>91</v>
      </c>
      <c r="E4011">
        <v>5</v>
      </c>
      <c r="F4011" s="8">
        <f>VLOOKUP(financials[[#This Row],[productid]],Products!$B$2:$H$10,3)</f>
        <v>23</v>
      </c>
      <c r="G4011" s="8">
        <f>financials[[#This Row],[Units Sold]]*financials[[#This Row],[Sale Price]]</f>
        <v>115</v>
      </c>
      <c r="H4011" s="8">
        <f>IF(financials[[#This Row],[Discount Band]]="low",0.1,IF(financials[[#This Row],[Discount Band]]="medium",0.15,0.3))</f>
        <v>0.1</v>
      </c>
      <c r="I4011" s="8">
        <f>financials[[#This Row],[Gross Sales]]-financials[[#This Row],[Gross Sales]]*financials[[#This Row],[Discounts]]</f>
        <v>103.5</v>
      </c>
      <c r="J4011" s="8">
        <f>VLOOKUP(financials[[#This Row],[productid]],Products!$B$2:$H$10,4)</f>
        <v>9.9499999999999993</v>
      </c>
      <c r="K4011" s="8">
        <f>financials[[#This Row],[Net Sales]]-financials[[#This Row],[COGS]]</f>
        <v>93.55</v>
      </c>
      <c r="L4011" s="15">
        <v>45535</v>
      </c>
      <c r="M4011" t="s">
        <v>697</v>
      </c>
    </row>
    <row r="4012" spans="1:13" x14ac:dyDescent="0.25">
      <c r="A4012" t="s">
        <v>86</v>
      </c>
      <c r="B4012" s="6" t="s">
        <v>94</v>
      </c>
      <c r="C4012" s="13">
        <v>103</v>
      </c>
      <c r="D4012" s="14" t="s">
        <v>90</v>
      </c>
      <c r="E4012">
        <v>19</v>
      </c>
      <c r="F4012" s="8">
        <f>VLOOKUP(financials[[#This Row],[productid]],Products!$B$2:$H$10,3)</f>
        <v>28</v>
      </c>
      <c r="G4012" s="8">
        <f>financials[[#This Row],[Units Sold]]*financials[[#This Row],[Sale Price]]</f>
        <v>532</v>
      </c>
      <c r="H4012" s="8">
        <f>IF(financials[[#This Row],[Discount Band]]="low",0.1,IF(financials[[#This Row],[Discount Band]]="medium",0.15,0.3))</f>
        <v>0.15</v>
      </c>
      <c r="I4012" s="8">
        <f>financials[[#This Row],[Gross Sales]]-financials[[#This Row],[Gross Sales]]*financials[[#This Row],[Discounts]]</f>
        <v>452.2</v>
      </c>
      <c r="J4012" s="8">
        <f>VLOOKUP(financials[[#This Row],[productid]],Products!$B$2:$H$10,4)</f>
        <v>15</v>
      </c>
      <c r="K4012" s="8">
        <f>financials[[#This Row],[Net Sales]]-financials[[#This Row],[COGS]]</f>
        <v>437.2</v>
      </c>
      <c r="L4012" s="15">
        <v>44323</v>
      </c>
      <c r="M4012" t="s">
        <v>691</v>
      </c>
    </row>
    <row r="4013" spans="1:13" x14ac:dyDescent="0.25">
      <c r="A4013" t="s">
        <v>86</v>
      </c>
      <c r="B4013" s="6" t="s">
        <v>94</v>
      </c>
      <c r="C4013" s="13">
        <v>103</v>
      </c>
      <c r="D4013" s="14" t="s">
        <v>83</v>
      </c>
      <c r="E4013">
        <v>9</v>
      </c>
      <c r="F4013" s="8">
        <f>VLOOKUP(financials[[#This Row],[productid]],Products!$B$2:$H$10,3)</f>
        <v>28</v>
      </c>
      <c r="G4013" s="8">
        <f>financials[[#This Row],[Units Sold]]*financials[[#This Row],[Sale Price]]</f>
        <v>252</v>
      </c>
      <c r="H4013" s="8">
        <f>IF(financials[[#This Row],[Discount Band]]="low",0.1,IF(financials[[#This Row],[Discount Band]]="medium",0.15,0.3))</f>
        <v>0.3</v>
      </c>
      <c r="I4013" s="8">
        <f>financials[[#This Row],[Gross Sales]]-financials[[#This Row],[Gross Sales]]*financials[[#This Row],[Discounts]]</f>
        <v>176.4</v>
      </c>
      <c r="J4013" s="8">
        <f>VLOOKUP(financials[[#This Row],[productid]],Products!$B$2:$H$10,4)</f>
        <v>15</v>
      </c>
      <c r="K4013" s="8">
        <f>financials[[#This Row],[Net Sales]]-financials[[#This Row],[COGS]]</f>
        <v>161.4</v>
      </c>
      <c r="L4013" s="15">
        <v>44190</v>
      </c>
      <c r="M4013" t="s">
        <v>700</v>
      </c>
    </row>
    <row r="4014" spans="1:13" x14ac:dyDescent="0.25">
      <c r="A4014" t="s">
        <v>88</v>
      </c>
      <c r="B4014" s="6" t="s">
        <v>205</v>
      </c>
      <c r="C4014" s="11">
        <v>109</v>
      </c>
      <c r="D4014" s="9" t="s">
        <v>90</v>
      </c>
      <c r="E4014">
        <v>10</v>
      </c>
      <c r="F4014" s="8">
        <f>VLOOKUP(financials[[#This Row],[productid]],Products!$B$2:$H$10,3)</f>
        <v>36</v>
      </c>
      <c r="G4014" s="8">
        <f>financials[[#This Row],[Units Sold]]*financials[[#This Row],[Sale Price]]</f>
        <v>360</v>
      </c>
      <c r="H4014" s="8">
        <f>IF(financials[[#This Row],[Discount Band]]="low",0.1,IF(financials[[#This Row],[Discount Band]]="medium",0.15,0.3))</f>
        <v>0.15</v>
      </c>
      <c r="I4014" s="8">
        <f>financials[[#This Row],[Gross Sales]]-financials[[#This Row],[Gross Sales]]*financials[[#This Row],[Discounts]]</f>
        <v>306</v>
      </c>
      <c r="J4014" s="8">
        <f>VLOOKUP(financials[[#This Row],[productid]],Products!$B$2:$H$10,4)</f>
        <v>16.8</v>
      </c>
      <c r="K4014" s="8">
        <f>financials[[#This Row],[Net Sales]]-financials[[#This Row],[COGS]]</f>
        <v>289.2</v>
      </c>
      <c r="L4014" s="15">
        <v>44631</v>
      </c>
      <c r="M4014" t="s">
        <v>697</v>
      </c>
    </row>
    <row r="4015" spans="1:13" x14ac:dyDescent="0.25">
      <c r="A4015" t="s">
        <v>87</v>
      </c>
      <c r="B4015" s="6" t="s">
        <v>84</v>
      </c>
      <c r="C4015" s="13">
        <v>109</v>
      </c>
      <c r="D4015" s="14" t="s">
        <v>90</v>
      </c>
      <c r="E4015">
        <v>7</v>
      </c>
      <c r="F4015" s="8">
        <f>VLOOKUP(financials[[#This Row],[productid]],Products!$B$2:$H$10,3)</f>
        <v>36</v>
      </c>
      <c r="G4015" s="8">
        <f>financials[[#This Row],[Units Sold]]*financials[[#This Row],[Sale Price]]</f>
        <v>252</v>
      </c>
      <c r="H4015" s="8">
        <f>IF(financials[[#This Row],[Discount Band]]="low",0.1,IF(financials[[#This Row],[Discount Band]]="medium",0.15,0.3))</f>
        <v>0.15</v>
      </c>
      <c r="I4015" s="8">
        <f>financials[[#This Row],[Gross Sales]]-financials[[#This Row],[Gross Sales]]*financials[[#This Row],[Discounts]]</f>
        <v>214.2</v>
      </c>
      <c r="J4015" s="8">
        <f>VLOOKUP(financials[[#This Row],[productid]],Products!$B$2:$H$10,4)</f>
        <v>16.8</v>
      </c>
      <c r="K4015" s="8">
        <f>financials[[#This Row],[Net Sales]]-financials[[#This Row],[COGS]]</f>
        <v>197.39999999999998</v>
      </c>
      <c r="L4015" s="15">
        <v>44610</v>
      </c>
      <c r="M4015" t="s">
        <v>700</v>
      </c>
    </row>
    <row r="4016" spans="1:13" x14ac:dyDescent="0.25">
      <c r="A4016" t="s">
        <v>86</v>
      </c>
      <c r="B4016" s="6" t="s">
        <v>198</v>
      </c>
      <c r="C4016" s="11">
        <v>103</v>
      </c>
      <c r="D4016" s="9" t="s">
        <v>91</v>
      </c>
      <c r="E4016">
        <v>9</v>
      </c>
      <c r="F4016" s="8">
        <f>VLOOKUP(financials[[#This Row],[productid]],Products!$B$2:$H$10,3)</f>
        <v>28</v>
      </c>
      <c r="G4016" s="8">
        <f>financials[[#This Row],[Units Sold]]*financials[[#This Row],[Sale Price]]</f>
        <v>252</v>
      </c>
      <c r="H4016" s="8">
        <f>IF(financials[[#This Row],[Discount Band]]="low",0.1,IF(financials[[#This Row],[Discount Band]]="medium",0.15,0.3))</f>
        <v>0.1</v>
      </c>
      <c r="I4016" s="8">
        <f>financials[[#This Row],[Gross Sales]]-financials[[#This Row],[Gross Sales]]*financials[[#This Row],[Discounts]]</f>
        <v>226.8</v>
      </c>
      <c r="J4016" s="8">
        <f>VLOOKUP(financials[[#This Row],[productid]],Products!$B$2:$H$10,4)</f>
        <v>15</v>
      </c>
      <c r="K4016" s="8">
        <f>financials[[#This Row],[Net Sales]]-financials[[#This Row],[COGS]]</f>
        <v>211.8</v>
      </c>
      <c r="L4016" s="15">
        <v>44164</v>
      </c>
      <c r="M4016" t="s">
        <v>697</v>
      </c>
    </row>
    <row r="4017" spans="1:13" x14ac:dyDescent="0.25">
      <c r="A4017" t="s">
        <v>88</v>
      </c>
      <c r="B4017" s="6" t="s">
        <v>167</v>
      </c>
      <c r="C4017" s="13">
        <v>108</v>
      </c>
      <c r="D4017" s="14" t="s">
        <v>83</v>
      </c>
      <c r="E4017">
        <v>8</v>
      </c>
      <c r="F4017" s="8">
        <f>VLOOKUP(financials[[#This Row],[productid]],Products!$B$2:$H$10,3)</f>
        <v>5.5</v>
      </c>
      <c r="G4017" s="8">
        <f>financials[[#This Row],[Units Sold]]*financials[[#This Row],[Sale Price]]</f>
        <v>44</v>
      </c>
      <c r="H4017" s="8">
        <f>IF(financials[[#This Row],[Discount Band]]="low",0.1,IF(financials[[#This Row],[Discount Band]]="medium",0.15,0.3))</f>
        <v>0.3</v>
      </c>
      <c r="I4017" s="8">
        <f>financials[[#This Row],[Gross Sales]]-financials[[#This Row],[Gross Sales]]*financials[[#This Row],[Discounts]]</f>
        <v>30.8</v>
      </c>
      <c r="J4017" s="8">
        <f>VLOOKUP(financials[[#This Row],[productid]],Products!$B$2:$H$10,4)</f>
        <v>3.99</v>
      </c>
      <c r="K4017" s="8">
        <f>financials[[#This Row],[Net Sales]]-financials[[#This Row],[COGS]]</f>
        <v>26.810000000000002</v>
      </c>
      <c r="L4017" s="15">
        <v>45011</v>
      </c>
      <c r="M4017" t="s">
        <v>690</v>
      </c>
    </row>
    <row r="4018" spans="1:13" x14ac:dyDescent="0.25">
      <c r="A4018" t="s">
        <v>87</v>
      </c>
      <c r="B4018" s="6" t="s">
        <v>159</v>
      </c>
      <c r="C4018" s="13">
        <v>107</v>
      </c>
      <c r="D4018" s="14" t="s">
        <v>91</v>
      </c>
      <c r="E4018">
        <v>12</v>
      </c>
      <c r="F4018" s="8">
        <f>VLOOKUP(financials[[#This Row],[productid]],Products!$B$2:$H$10,3)</f>
        <v>15</v>
      </c>
      <c r="G4018" s="8">
        <f>financials[[#This Row],[Units Sold]]*financials[[#This Row],[Sale Price]]</f>
        <v>180</v>
      </c>
      <c r="H4018" s="8">
        <f>IF(financials[[#This Row],[Discount Band]]="low",0.1,IF(financials[[#This Row],[Discount Band]]="medium",0.15,0.3))</f>
        <v>0.1</v>
      </c>
      <c r="I4018" s="8">
        <f>financials[[#This Row],[Gross Sales]]-financials[[#This Row],[Gross Sales]]*financials[[#This Row],[Discounts]]</f>
        <v>162</v>
      </c>
      <c r="J4018" s="8">
        <f>VLOOKUP(financials[[#This Row],[productid]],Products!$B$2:$H$10,4)</f>
        <v>5.5</v>
      </c>
      <c r="K4018" s="8">
        <f>financials[[#This Row],[Net Sales]]-financials[[#This Row],[COGS]]</f>
        <v>156.5</v>
      </c>
      <c r="L4018" s="15">
        <v>44594</v>
      </c>
      <c r="M4018" t="s">
        <v>690</v>
      </c>
    </row>
    <row r="4019" spans="1:13" x14ac:dyDescent="0.25">
      <c r="A4019" t="s">
        <v>87</v>
      </c>
      <c r="B4019" s="6" t="s">
        <v>84</v>
      </c>
      <c r="C4019" s="13">
        <v>103</v>
      </c>
      <c r="D4019" s="14" t="s">
        <v>83</v>
      </c>
      <c r="E4019">
        <v>14</v>
      </c>
      <c r="F4019" s="8">
        <f>VLOOKUP(financials[[#This Row],[productid]],Products!$B$2:$H$10,3)</f>
        <v>28</v>
      </c>
      <c r="G4019" s="8">
        <f>financials[[#This Row],[Units Sold]]*financials[[#This Row],[Sale Price]]</f>
        <v>392</v>
      </c>
      <c r="H4019" s="8">
        <f>IF(financials[[#This Row],[Discount Band]]="low",0.1,IF(financials[[#This Row],[Discount Band]]="medium",0.15,0.3))</f>
        <v>0.3</v>
      </c>
      <c r="I4019" s="8">
        <f>financials[[#This Row],[Gross Sales]]-financials[[#This Row],[Gross Sales]]*financials[[#This Row],[Discounts]]</f>
        <v>274.39999999999998</v>
      </c>
      <c r="J4019" s="8">
        <f>VLOOKUP(financials[[#This Row],[productid]],Products!$B$2:$H$10,4)</f>
        <v>15</v>
      </c>
      <c r="K4019" s="8">
        <f>financials[[#This Row],[Net Sales]]-financials[[#This Row],[COGS]]</f>
        <v>259.39999999999998</v>
      </c>
      <c r="L4019" s="15">
        <v>44047</v>
      </c>
      <c r="M4019" t="s">
        <v>700</v>
      </c>
    </row>
    <row r="4020" spans="1:13" x14ac:dyDescent="0.25">
      <c r="A4020" t="s">
        <v>86</v>
      </c>
      <c r="B4020" s="6" t="s">
        <v>276</v>
      </c>
      <c r="C4020" s="13">
        <v>104</v>
      </c>
      <c r="D4020" s="14" t="s">
        <v>83</v>
      </c>
      <c r="E4020">
        <v>19</v>
      </c>
      <c r="F4020" s="8">
        <f>VLOOKUP(financials[[#This Row],[productid]],Products!$B$2:$H$10,3)</f>
        <v>5.9</v>
      </c>
      <c r="G4020" s="8">
        <f>financials[[#This Row],[Units Sold]]*financials[[#This Row],[Sale Price]]</f>
        <v>112.10000000000001</v>
      </c>
      <c r="H4020" s="8">
        <f>IF(financials[[#This Row],[Discount Band]]="low",0.1,IF(financials[[#This Row],[Discount Band]]="medium",0.15,0.3))</f>
        <v>0.3</v>
      </c>
      <c r="I4020" s="8">
        <f>financials[[#This Row],[Gross Sales]]-financials[[#This Row],[Gross Sales]]*financials[[#This Row],[Discounts]]</f>
        <v>78.47</v>
      </c>
      <c r="J4020" s="8">
        <f>VLOOKUP(financials[[#This Row],[productid]],Products!$B$2:$H$10,4)</f>
        <v>2.9</v>
      </c>
      <c r="K4020" s="8">
        <f>financials[[#This Row],[Net Sales]]-financials[[#This Row],[COGS]]</f>
        <v>75.569999999999993</v>
      </c>
      <c r="L4020" s="15">
        <v>44704</v>
      </c>
      <c r="M4020" t="s">
        <v>700</v>
      </c>
    </row>
    <row r="4021" spans="1:13" x14ac:dyDescent="0.25">
      <c r="A4021" t="s">
        <v>86</v>
      </c>
      <c r="B4021" s="6" t="s">
        <v>268</v>
      </c>
      <c r="C4021" s="13">
        <v>105</v>
      </c>
      <c r="D4021" s="14" t="s">
        <v>90</v>
      </c>
      <c r="E4021">
        <v>18</v>
      </c>
      <c r="F4021" s="8">
        <f>VLOOKUP(financials[[#This Row],[productid]],Products!$B$2:$H$10,3)</f>
        <v>15</v>
      </c>
      <c r="G4021" s="8">
        <f>financials[[#This Row],[Units Sold]]*financials[[#This Row],[Sale Price]]</f>
        <v>270</v>
      </c>
      <c r="H4021" s="8">
        <f>IF(financials[[#This Row],[Discount Band]]="low",0.1,IF(financials[[#This Row],[Discount Band]]="medium",0.15,0.3))</f>
        <v>0.15</v>
      </c>
      <c r="I4021" s="8">
        <f>financials[[#This Row],[Gross Sales]]-financials[[#This Row],[Gross Sales]]*financials[[#This Row],[Discounts]]</f>
        <v>229.5</v>
      </c>
      <c r="J4021" s="8">
        <f>VLOOKUP(financials[[#This Row],[productid]],Products!$B$2:$H$10,4)</f>
        <v>10</v>
      </c>
      <c r="K4021" s="8">
        <f>financials[[#This Row],[Net Sales]]-financials[[#This Row],[COGS]]</f>
        <v>219.5</v>
      </c>
      <c r="L4021" s="15">
        <v>44930</v>
      </c>
      <c r="M4021" t="s">
        <v>696</v>
      </c>
    </row>
    <row r="4022" spans="1:13" x14ac:dyDescent="0.25">
      <c r="A4022" t="s">
        <v>86</v>
      </c>
      <c r="B4022" s="6" t="s">
        <v>198</v>
      </c>
      <c r="C4022" s="13">
        <v>106</v>
      </c>
      <c r="D4022" s="14" t="s">
        <v>91</v>
      </c>
      <c r="E4022">
        <v>6</v>
      </c>
      <c r="F4022" s="8">
        <f>VLOOKUP(financials[[#This Row],[productid]],Products!$B$2:$H$10,3)</f>
        <v>25</v>
      </c>
      <c r="G4022" s="8">
        <f>financials[[#This Row],[Units Sold]]*financials[[#This Row],[Sale Price]]</f>
        <v>150</v>
      </c>
      <c r="H4022" s="8">
        <f>IF(financials[[#This Row],[Discount Band]]="low",0.1,IF(financials[[#This Row],[Discount Band]]="medium",0.15,0.3))</f>
        <v>0.1</v>
      </c>
      <c r="I4022" s="8">
        <f>financials[[#This Row],[Gross Sales]]-financials[[#This Row],[Gross Sales]]*financials[[#This Row],[Discounts]]</f>
        <v>135</v>
      </c>
      <c r="J4022" s="8">
        <f>VLOOKUP(financials[[#This Row],[productid]],Products!$B$2:$H$10,4)</f>
        <v>9.1</v>
      </c>
      <c r="K4022" s="8">
        <f>financials[[#This Row],[Net Sales]]-financials[[#This Row],[COGS]]</f>
        <v>125.9</v>
      </c>
      <c r="L4022" s="15">
        <v>44518</v>
      </c>
      <c r="M4022" t="s">
        <v>696</v>
      </c>
    </row>
    <row r="4023" spans="1:13" x14ac:dyDescent="0.25">
      <c r="A4023" t="s">
        <v>86</v>
      </c>
      <c r="B4023" s="6" t="s">
        <v>198</v>
      </c>
      <c r="C4023" s="13">
        <v>106</v>
      </c>
      <c r="D4023" s="14" t="s">
        <v>83</v>
      </c>
      <c r="E4023">
        <v>9</v>
      </c>
      <c r="F4023" s="8">
        <f>VLOOKUP(financials[[#This Row],[productid]],Products!$B$2:$H$10,3)</f>
        <v>25</v>
      </c>
      <c r="G4023" s="8">
        <f>financials[[#This Row],[Units Sold]]*financials[[#This Row],[Sale Price]]</f>
        <v>225</v>
      </c>
      <c r="H4023" s="8">
        <f>IF(financials[[#This Row],[Discount Band]]="low",0.1,IF(financials[[#This Row],[Discount Band]]="medium",0.15,0.3))</f>
        <v>0.3</v>
      </c>
      <c r="I4023" s="8">
        <f>financials[[#This Row],[Gross Sales]]-financials[[#This Row],[Gross Sales]]*financials[[#This Row],[Discounts]]</f>
        <v>157.5</v>
      </c>
      <c r="J4023" s="8">
        <f>VLOOKUP(financials[[#This Row],[productid]],Products!$B$2:$H$10,4)</f>
        <v>9.1</v>
      </c>
      <c r="K4023" s="8">
        <f>financials[[#This Row],[Net Sales]]-financials[[#This Row],[COGS]]</f>
        <v>148.4</v>
      </c>
      <c r="L4023" s="15">
        <v>44470</v>
      </c>
      <c r="M4023" t="s">
        <v>690</v>
      </c>
    </row>
    <row r="4024" spans="1:13" x14ac:dyDescent="0.25">
      <c r="A4024" t="s">
        <v>88</v>
      </c>
      <c r="B4024" s="6" t="s">
        <v>205</v>
      </c>
      <c r="C4024" s="13">
        <v>108</v>
      </c>
      <c r="D4024" s="14" t="s">
        <v>83</v>
      </c>
      <c r="E4024">
        <v>8</v>
      </c>
      <c r="F4024" s="8">
        <f>VLOOKUP(financials[[#This Row],[productid]],Products!$B$2:$H$10,3)</f>
        <v>5.5</v>
      </c>
      <c r="G4024" s="8">
        <f>financials[[#This Row],[Units Sold]]*financials[[#This Row],[Sale Price]]</f>
        <v>44</v>
      </c>
      <c r="H4024" s="8">
        <f>IF(financials[[#This Row],[Discount Band]]="low",0.1,IF(financials[[#This Row],[Discount Band]]="medium",0.15,0.3))</f>
        <v>0.3</v>
      </c>
      <c r="I4024" s="8">
        <f>financials[[#This Row],[Gross Sales]]-financials[[#This Row],[Gross Sales]]*financials[[#This Row],[Discounts]]</f>
        <v>30.8</v>
      </c>
      <c r="J4024" s="8">
        <f>VLOOKUP(financials[[#This Row],[productid]],Products!$B$2:$H$10,4)</f>
        <v>3.99</v>
      </c>
      <c r="K4024" s="8">
        <f>financials[[#This Row],[Net Sales]]-financials[[#This Row],[COGS]]</f>
        <v>26.810000000000002</v>
      </c>
      <c r="L4024" s="15">
        <v>44687</v>
      </c>
      <c r="M4024" t="s">
        <v>697</v>
      </c>
    </row>
    <row r="4025" spans="1:13" x14ac:dyDescent="0.25">
      <c r="A4025" t="s">
        <v>87</v>
      </c>
      <c r="B4025" s="6" t="s">
        <v>84</v>
      </c>
      <c r="C4025" s="13">
        <v>107</v>
      </c>
      <c r="D4025" s="14" t="s">
        <v>92</v>
      </c>
      <c r="E4025">
        <v>10</v>
      </c>
      <c r="F4025" s="8">
        <f>VLOOKUP(financials[[#This Row],[productid]],Products!$B$2:$H$10,3)</f>
        <v>15</v>
      </c>
      <c r="G4025" s="8">
        <f>financials[[#This Row],[Units Sold]]*financials[[#This Row],[Sale Price]]</f>
        <v>150</v>
      </c>
      <c r="H4025" s="8">
        <f>IF(financials[[#This Row],[Discount Band]]="low",0.1,IF(financials[[#This Row],[Discount Band]]="medium",0.15,0.3))</f>
        <v>0.3</v>
      </c>
      <c r="I4025" s="8">
        <f>financials[[#This Row],[Gross Sales]]-financials[[#This Row],[Gross Sales]]*financials[[#This Row],[Discounts]]</f>
        <v>105</v>
      </c>
      <c r="J4025" s="8">
        <f>VLOOKUP(financials[[#This Row],[productid]],Products!$B$2:$H$10,4)</f>
        <v>5.5</v>
      </c>
      <c r="K4025" s="8">
        <f>financials[[#This Row],[Net Sales]]-financials[[#This Row],[COGS]]</f>
        <v>99.5</v>
      </c>
      <c r="L4025" s="15">
        <v>44168</v>
      </c>
      <c r="M4025" t="s">
        <v>690</v>
      </c>
    </row>
    <row r="4026" spans="1:13" x14ac:dyDescent="0.25">
      <c r="A4026" t="s">
        <v>88</v>
      </c>
      <c r="B4026" s="6" t="s">
        <v>276</v>
      </c>
      <c r="C4026" s="13">
        <v>104</v>
      </c>
      <c r="D4026" s="14" t="s">
        <v>83</v>
      </c>
      <c r="E4026">
        <v>12</v>
      </c>
      <c r="F4026" s="8">
        <f>VLOOKUP(financials[[#This Row],[productid]],Products!$B$2:$H$10,3)</f>
        <v>5.9</v>
      </c>
      <c r="G4026" s="8">
        <f>financials[[#This Row],[Units Sold]]*financials[[#This Row],[Sale Price]]</f>
        <v>70.800000000000011</v>
      </c>
      <c r="H4026" s="8">
        <f>IF(financials[[#This Row],[Discount Band]]="low",0.1,IF(financials[[#This Row],[Discount Band]]="medium",0.15,0.3))</f>
        <v>0.3</v>
      </c>
      <c r="I4026" s="8">
        <f>financials[[#This Row],[Gross Sales]]-financials[[#This Row],[Gross Sales]]*financials[[#This Row],[Discounts]]</f>
        <v>49.560000000000009</v>
      </c>
      <c r="J4026" s="8">
        <f>VLOOKUP(financials[[#This Row],[productid]],Products!$B$2:$H$10,4)</f>
        <v>2.9</v>
      </c>
      <c r="K4026" s="8">
        <f>financials[[#This Row],[Net Sales]]-financials[[#This Row],[COGS]]</f>
        <v>46.660000000000011</v>
      </c>
      <c r="L4026" s="15">
        <v>44691</v>
      </c>
      <c r="M4026" t="s">
        <v>690</v>
      </c>
    </row>
    <row r="4027" spans="1:13" x14ac:dyDescent="0.25">
      <c r="A4027" t="s">
        <v>86</v>
      </c>
      <c r="B4027" s="6" t="s">
        <v>268</v>
      </c>
      <c r="C4027" s="11">
        <v>109</v>
      </c>
      <c r="D4027" s="9" t="s">
        <v>90</v>
      </c>
      <c r="E4027">
        <v>10</v>
      </c>
      <c r="F4027" s="8">
        <f>VLOOKUP(financials[[#This Row],[productid]],Products!$B$2:$H$10,3)</f>
        <v>36</v>
      </c>
      <c r="G4027" s="8">
        <f>financials[[#This Row],[Units Sold]]*financials[[#This Row],[Sale Price]]</f>
        <v>360</v>
      </c>
      <c r="H4027" s="8">
        <f>IF(financials[[#This Row],[Discount Band]]="low",0.1,IF(financials[[#This Row],[Discount Band]]="medium",0.15,0.3))</f>
        <v>0.15</v>
      </c>
      <c r="I4027" s="8">
        <f>financials[[#This Row],[Gross Sales]]-financials[[#This Row],[Gross Sales]]*financials[[#This Row],[Discounts]]</f>
        <v>306</v>
      </c>
      <c r="J4027" s="8">
        <f>VLOOKUP(financials[[#This Row],[productid]],Products!$B$2:$H$10,4)</f>
        <v>16.8</v>
      </c>
      <c r="K4027" s="8">
        <f>financials[[#This Row],[Net Sales]]-financials[[#This Row],[COGS]]</f>
        <v>289.2</v>
      </c>
      <c r="L4027" s="15">
        <v>45219</v>
      </c>
      <c r="M4027" t="s">
        <v>700</v>
      </c>
    </row>
    <row r="4028" spans="1:13" x14ac:dyDescent="0.25">
      <c r="A4028" t="s">
        <v>87</v>
      </c>
      <c r="B4028" s="6" t="s">
        <v>84</v>
      </c>
      <c r="C4028" s="13">
        <v>107</v>
      </c>
      <c r="D4028" s="14" t="s">
        <v>83</v>
      </c>
      <c r="E4028">
        <v>5</v>
      </c>
      <c r="F4028" s="8">
        <f>VLOOKUP(financials[[#This Row],[productid]],Products!$B$2:$H$10,3)</f>
        <v>15</v>
      </c>
      <c r="G4028" s="8">
        <f>financials[[#This Row],[Units Sold]]*financials[[#This Row],[Sale Price]]</f>
        <v>75</v>
      </c>
      <c r="H4028" s="8">
        <f>IF(financials[[#This Row],[Discount Band]]="low",0.1,IF(financials[[#This Row],[Discount Band]]="medium",0.15,0.3))</f>
        <v>0.3</v>
      </c>
      <c r="I4028" s="8">
        <f>financials[[#This Row],[Gross Sales]]-financials[[#This Row],[Gross Sales]]*financials[[#This Row],[Discounts]]</f>
        <v>52.5</v>
      </c>
      <c r="J4028" s="8">
        <f>VLOOKUP(financials[[#This Row],[productid]],Products!$B$2:$H$10,4)</f>
        <v>5.5</v>
      </c>
      <c r="K4028" s="8">
        <f>financials[[#This Row],[Net Sales]]-financials[[#This Row],[COGS]]</f>
        <v>47</v>
      </c>
      <c r="L4028" s="15">
        <v>44446</v>
      </c>
      <c r="M4028" t="s">
        <v>696</v>
      </c>
    </row>
    <row r="4029" spans="1:13" x14ac:dyDescent="0.25">
      <c r="A4029" t="s">
        <v>86</v>
      </c>
      <c r="B4029" s="6" t="s">
        <v>167</v>
      </c>
      <c r="C4029" s="13">
        <v>105</v>
      </c>
      <c r="D4029" s="14" t="s">
        <v>83</v>
      </c>
      <c r="E4029">
        <v>9</v>
      </c>
      <c r="F4029" s="8">
        <f>VLOOKUP(financials[[#This Row],[productid]],Products!$B$2:$H$10,3)</f>
        <v>15</v>
      </c>
      <c r="G4029" s="8">
        <f>financials[[#This Row],[Units Sold]]*financials[[#This Row],[Sale Price]]</f>
        <v>135</v>
      </c>
      <c r="H4029" s="8">
        <f>IF(financials[[#This Row],[Discount Band]]="low",0.1,IF(financials[[#This Row],[Discount Band]]="medium",0.15,0.3))</f>
        <v>0.3</v>
      </c>
      <c r="I4029" s="8">
        <f>financials[[#This Row],[Gross Sales]]-financials[[#This Row],[Gross Sales]]*financials[[#This Row],[Discounts]]</f>
        <v>94.5</v>
      </c>
      <c r="J4029" s="8">
        <f>VLOOKUP(financials[[#This Row],[productid]],Products!$B$2:$H$10,4)</f>
        <v>10</v>
      </c>
      <c r="K4029" s="8">
        <f>financials[[#This Row],[Net Sales]]-financials[[#This Row],[COGS]]</f>
        <v>84.5</v>
      </c>
      <c r="L4029" s="15">
        <v>44433</v>
      </c>
      <c r="M4029" t="s">
        <v>696</v>
      </c>
    </row>
    <row r="4030" spans="1:13" x14ac:dyDescent="0.25">
      <c r="A4030" t="s">
        <v>86</v>
      </c>
      <c r="B4030" s="6" t="s">
        <v>205</v>
      </c>
      <c r="C4030" s="13">
        <v>107</v>
      </c>
      <c r="D4030" s="14" t="s">
        <v>90</v>
      </c>
      <c r="E4030">
        <v>20</v>
      </c>
      <c r="F4030" s="8">
        <f>VLOOKUP(financials[[#This Row],[productid]],Products!$B$2:$H$10,3)</f>
        <v>15</v>
      </c>
      <c r="G4030" s="8">
        <f>financials[[#This Row],[Units Sold]]*financials[[#This Row],[Sale Price]]</f>
        <v>300</v>
      </c>
      <c r="H4030" s="8">
        <f>IF(financials[[#This Row],[Discount Band]]="low",0.1,IF(financials[[#This Row],[Discount Band]]="medium",0.15,0.3))</f>
        <v>0.15</v>
      </c>
      <c r="I4030" s="8">
        <f>financials[[#This Row],[Gross Sales]]-financials[[#This Row],[Gross Sales]]*financials[[#This Row],[Discounts]]</f>
        <v>255</v>
      </c>
      <c r="J4030" s="8">
        <f>VLOOKUP(financials[[#This Row],[productid]],Products!$B$2:$H$10,4)</f>
        <v>5.5</v>
      </c>
      <c r="K4030" s="8">
        <f>financials[[#This Row],[Net Sales]]-financials[[#This Row],[COGS]]</f>
        <v>249.5</v>
      </c>
      <c r="L4030" s="15">
        <v>45141</v>
      </c>
      <c r="M4030" t="s">
        <v>697</v>
      </c>
    </row>
    <row r="4031" spans="1:13" x14ac:dyDescent="0.25">
      <c r="A4031" t="s">
        <v>88</v>
      </c>
      <c r="B4031" s="6" t="s">
        <v>198</v>
      </c>
      <c r="C4031" s="13">
        <v>108</v>
      </c>
      <c r="D4031" s="14" t="s">
        <v>91</v>
      </c>
      <c r="E4031">
        <v>10</v>
      </c>
      <c r="F4031" s="8">
        <f>VLOOKUP(financials[[#This Row],[productid]],Products!$B$2:$H$10,3)</f>
        <v>5.5</v>
      </c>
      <c r="G4031" s="8">
        <f>financials[[#This Row],[Units Sold]]*financials[[#This Row],[Sale Price]]</f>
        <v>55</v>
      </c>
      <c r="H4031" s="8">
        <f>IF(financials[[#This Row],[Discount Band]]="low",0.1,IF(financials[[#This Row],[Discount Band]]="medium",0.15,0.3))</f>
        <v>0.1</v>
      </c>
      <c r="I4031" s="8">
        <f>financials[[#This Row],[Gross Sales]]-financials[[#This Row],[Gross Sales]]*financials[[#This Row],[Discounts]]</f>
        <v>49.5</v>
      </c>
      <c r="J4031" s="8">
        <f>VLOOKUP(financials[[#This Row],[productid]],Products!$B$2:$H$10,4)</f>
        <v>3.99</v>
      </c>
      <c r="K4031" s="8">
        <f>financials[[#This Row],[Net Sales]]-financials[[#This Row],[COGS]]</f>
        <v>45.51</v>
      </c>
      <c r="L4031" s="15">
        <v>44844</v>
      </c>
      <c r="M4031" t="s">
        <v>696</v>
      </c>
    </row>
    <row r="4032" spans="1:13" x14ac:dyDescent="0.25">
      <c r="A4032" t="s">
        <v>88</v>
      </c>
      <c r="B4032" s="6" t="s">
        <v>268</v>
      </c>
      <c r="C4032" s="13">
        <v>106</v>
      </c>
      <c r="D4032" s="14" t="s">
        <v>91</v>
      </c>
      <c r="E4032">
        <v>15</v>
      </c>
      <c r="F4032" s="8">
        <f>VLOOKUP(financials[[#This Row],[productid]],Products!$B$2:$H$10,3)</f>
        <v>25</v>
      </c>
      <c r="G4032" s="8">
        <f>financials[[#This Row],[Units Sold]]*financials[[#This Row],[Sale Price]]</f>
        <v>375</v>
      </c>
      <c r="H4032" s="8">
        <f>IF(financials[[#This Row],[Discount Band]]="low",0.1,IF(financials[[#This Row],[Discount Band]]="medium",0.15,0.3))</f>
        <v>0.1</v>
      </c>
      <c r="I4032" s="8">
        <f>financials[[#This Row],[Gross Sales]]-financials[[#This Row],[Gross Sales]]*financials[[#This Row],[Discounts]]</f>
        <v>337.5</v>
      </c>
      <c r="J4032" s="8">
        <f>VLOOKUP(financials[[#This Row],[productid]],Products!$B$2:$H$10,4)</f>
        <v>9.1</v>
      </c>
      <c r="K4032" s="8">
        <f>financials[[#This Row],[Net Sales]]-financials[[#This Row],[COGS]]</f>
        <v>328.4</v>
      </c>
      <c r="L4032" s="15">
        <v>45409</v>
      </c>
      <c r="M4032" t="s">
        <v>697</v>
      </c>
    </row>
    <row r="4033" spans="1:13" x14ac:dyDescent="0.25">
      <c r="A4033" t="s">
        <v>87</v>
      </c>
      <c r="B4033" s="6" t="s">
        <v>84</v>
      </c>
      <c r="C4033" s="13">
        <v>103</v>
      </c>
      <c r="D4033" s="14" t="s">
        <v>90</v>
      </c>
      <c r="E4033">
        <v>19</v>
      </c>
      <c r="F4033" s="8">
        <f>VLOOKUP(financials[[#This Row],[productid]],Products!$B$2:$H$10,3)</f>
        <v>28</v>
      </c>
      <c r="G4033" s="8">
        <f>financials[[#This Row],[Units Sold]]*financials[[#This Row],[Sale Price]]</f>
        <v>532</v>
      </c>
      <c r="H4033" s="8">
        <f>IF(financials[[#This Row],[Discount Band]]="low",0.1,IF(financials[[#This Row],[Discount Band]]="medium",0.15,0.3))</f>
        <v>0.15</v>
      </c>
      <c r="I4033" s="8">
        <f>financials[[#This Row],[Gross Sales]]-financials[[#This Row],[Gross Sales]]*financials[[#This Row],[Discounts]]</f>
        <v>452.2</v>
      </c>
      <c r="J4033" s="8">
        <f>VLOOKUP(financials[[#This Row],[productid]],Products!$B$2:$H$10,4)</f>
        <v>15</v>
      </c>
      <c r="K4033" s="8">
        <f>financials[[#This Row],[Net Sales]]-financials[[#This Row],[COGS]]</f>
        <v>437.2</v>
      </c>
      <c r="L4033" s="15">
        <v>45479</v>
      </c>
      <c r="M4033" t="s">
        <v>691</v>
      </c>
    </row>
    <row r="4034" spans="1:13" x14ac:dyDescent="0.25">
      <c r="A4034" t="s">
        <v>87</v>
      </c>
      <c r="B4034" s="6" t="s">
        <v>84</v>
      </c>
      <c r="C4034" s="13">
        <v>104</v>
      </c>
      <c r="D4034" s="14" t="s">
        <v>90</v>
      </c>
      <c r="E4034">
        <v>17</v>
      </c>
      <c r="F4034" s="8">
        <f>VLOOKUP(financials[[#This Row],[productid]],Products!$B$2:$H$10,3)</f>
        <v>5.9</v>
      </c>
      <c r="G4034" s="8">
        <f>financials[[#This Row],[Units Sold]]*financials[[#This Row],[Sale Price]]</f>
        <v>100.30000000000001</v>
      </c>
      <c r="H4034" s="8">
        <f>IF(financials[[#This Row],[Discount Band]]="low",0.1,IF(financials[[#This Row],[Discount Band]]="medium",0.15,0.3))</f>
        <v>0.15</v>
      </c>
      <c r="I4034" s="8">
        <f>financials[[#This Row],[Gross Sales]]-financials[[#This Row],[Gross Sales]]*financials[[#This Row],[Discounts]]</f>
        <v>85.25500000000001</v>
      </c>
      <c r="J4034" s="8">
        <f>VLOOKUP(financials[[#This Row],[productid]],Products!$B$2:$H$10,4)</f>
        <v>2.9</v>
      </c>
      <c r="K4034" s="8">
        <f>financials[[#This Row],[Net Sales]]-financials[[#This Row],[COGS]]</f>
        <v>82.355000000000004</v>
      </c>
      <c r="L4034" s="15">
        <v>44252</v>
      </c>
      <c r="M4034" t="s">
        <v>696</v>
      </c>
    </row>
    <row r="4035" spans="1:13" x14ac:dyDescent="0.25">
      <c r="A4035" t="s">
        <v>87</v>
      </c>
      <c r="B4035" s="6" t="s">
        <v>159</v>
      </c>
      <c r="C4035" s="13">
        <v>101</v>
      </c>
      <c r="D4035" s="14" t="s">
        <v>91</v>
      </c>
      <c r="E4035">
        <v>15</v>
      </c>
      <c r="F4035" s="8">
        <f>VLOOKUP(financials[[#This Row],[productid]],Products!$B$2:$H$10,3)</f>
        <v>23</v>
      </c>
      <c r="G4035" s="8">
        <f>financials[[#This Row],[Units Sold]]*financials[[#This Row],[Sale Price]]</f>
        <v>345</v>
      </c>
      <c r="H4035" s="8">
        <f>IF(financials[[#This Row],[Discount Band]]="low",0.1,IF(financials[[#This Row],[Discount Band]]="medium",0.15,0.3))</f>
        <v>0.1</v>
      </c>
      <c r="I4035" s="8">
        <f>financials[[#This Row],[Gross Sales]]-financials[[#This Row],[Gross Sales]]*financials[[#This Row],[Discounts]]</f>
        <v>310.5</v>
      </c>
      <c r="J4035" s="8">
        <f>VLOOKUP(financials[[#This Row],[productid]],Products!$B$2:$H$10,4)</f>
        <v>9.9499999999999993</v>
      </c>
      <c r="K4035" s="8">
        <f>financials[[#This Row],[Net Sales]]-financials[[#This Row],[COGS]]</f>
        <v>300.55</v>
      </c>
      <c r="L4035" s="15">
        <v>45163</v>
      </c>
      <c r="M4035" t="s">
        <v>697</v>
      </c>
    </row>
    <row r="4036" spans="1:13" x14ac:dyDescent="0.25">
      <c r="A4036" t="s">
        <v>86</v>
      </c>
      <c r="B4036" s="6" t="s">
        <v>94</v>
      </c>
      <c r="C4036" s="11">
        <v>105</v>
      </c>
      <c r="D4036" s="9" t="s">
        <v>83</v>
      </c>
      <c r="E4036">
        <v>6</v>
      </c>
      <c r="F4036" s="8">
        <f>VLOOKUP(financials[[#This Row],[productid]],Products!$B$2:$H$10,3)</f>
        <v>15</v>
      </c>
      <c r="G4036" s="8">
        <f>financials[[#This Row],[Units Sold]]*financials[[#This Row],[Sale Price]]</f>
        <v>90</v>
      </c>
      <c r="H4036" s="8">
        <f>IF(financials[[#This Row],[Discount Band]]="low",0.1,IF(financials[[#This Row],[Discount Band]]="medium",0.15,0.3))</f>
        <v>0.3</v>
      </c>
      <c r="I4036" s="8">
        <f>financials[[#This Row],[Gross Sales]]-financials[[#This Row],[Gross Sales]]*financials[[#This Row],[Discounts]]</f>
        <v>63</v>
      </c>
      <c r="J4036" s="8">
        <f>VLOOKUP(financials[[#This Row],[productid]],Products!$B$2:$H$10,4)</f>
        <v>10</v>
      </c>
      <c r="K4036" s="8">
        <f>financials[[#This Row],[Net Sales]]-financials[[#This Row],[COGS]]</f>
        <v>53</v>
      </c>
      <c r="L4036" s="15">
        <v>45612</v>
      </c>
      <c r="M4036" t="s">
        <v>696</v>
      </c>
    </row>
    <row r="4037" spans="1:13" x14ac:dyDescent="0.25">
      <c r="A4037" t="s">
        <v>86</v>
      </c>
      <c r="B4037" s="6" t="s">
        <v>94</v>
      </c>
      <c r="C4037" s="13">
        <v>105</v>
      </c>
      <c r="D4037" s="14" t="s">
        <v>92</v>
      </c>
      <c r="E4037">
        <v>18</v>
      </c>
      <c r="F4037" s="8">
        <f>VLOOKUP(financials[[#This Row],[productid]],Products!$B$2:$H$10,3)</f>
        <v>15</v>
      </c>
      <c r="G4037" s="8">
        <f>financials[[#This Row],[Units Sold]]*financials[[#This Row],[Sale Price]]</f>
        <v>270</v>
      </c>
      <c r="H4037" s="8">
        <f>IF(financials[[#This Row],[Discount Band]]="low",0.1,IF(financials[[#This Row],[Discount Band]]="medium",0.15,0.3))</f>
        <v>0.3</v>
      </c>
      <c r="I4037" s="8">
        <f>financials[[#This Row],[Gross Sales]]-financials[[#This Row],[Gross Sales]]*financials[[#This Row],[Discounts]]</f>
        <v>189</v>
      </c>
      <c r="J4037" s="8">
        <f>VLOOKUP(financials[[#This Row],[productid]],Products!$B$2:$H$10,4)</f>
        <v>10</v>
      </c>
      <c r="K4037" s="8">
        <f>financials[[#This Row],[Net Sales]]-financials[[#This Row],[COGS]]</f>
        <v>179</v>
      </c>
      <c r="L4037" s="15">
        <v>44984</v>
      </c>
      <c r="M4037" t="s">
        <v>700</v>
      </c>
    </row>
    <row r="4038" spans="1:13" x14ac:dyDescent="0.25">
      <c r="A4038" t="s">
        <v>86</v>
      </c>
      <c r="B4038" s="6" t="s">
        <v>268</v>
      </c>
      <c r="C4038" s="13">
        <v>101</v>
      </c>
      <c r="D4038" s="14" t="s">
        <v>83</v>
      </c>
      <c r="E4038">
        <v>7</v>
      </c>
      <c r="F4038" s="8">
        <f>VLOOKUP(financials[[#This Row],[productid]],Products!$B$2:$H$10,3)</f>
        <v>23</v>
      </c>
      <c r="G4038" s="8">
        <f>financials[[#This Row],[Units Sold]]*financials[[#This Row],[Sale Price]]</f>
        <v>161</v>
      </c>
      <c r="H4038" s="8">
        <f>IF(financials[[#This Row],[Discount Band]]="low",0.1,IF(financials[[#This Row],[Discount Band]]="medium",0.15,0.3))</f>
        <v>0.3</v>
      </c>
      <c r="I4038" s="8">
        <f>financials[[#This Row],[Gross Sales]]-financials[[#This Row],[Gross Sales]]*financials[[#This Row],[Discounts]]</f>
        <v>112.7</v>
      </c>
      <c r="J4038" s="8">
        <f>VLOOKUP(financials[[#This Row],[productid]],Products!$B$2:$H$10,4)</f>
        <v>9.9499999999999993</v>
      </c>
      <c r="K4038" s="8">
        <f>financials[[#This Row],[Net Sales]]-financials[[#This Row],[COGS]]</f>
        <v>102.75</v>
      </c>
      <c r="L4038" s="15">
        <v>45600</v>
      </c>
      <c r="M4038" t="s">
        <v>691</v>
      </c>
    </row>
    <row r="4039" spans="1:13" x14ac:dyDescent="0.25">
      <c r="A4039" t="s">
        <v>88</v>
      </c>
      <c r="B4039" s="6" t="s">
        <v>198</v>
      </c>
      <c r="C4039" s="13">
        <v>108</v>
      </c>
      <c r="D4039" s="14" t="s">
        <v>91</v>
      </c>
      <c r="E4039">
        <v>15</v>
      </c>
      <c r="F4039" s="8">
        <f>VLOOKUP(financials[[#This Row],[productid]],Products!$B$2:$H$10,3)</f>
        <v>5.5</v>
      </c>
      <c r="G4039" s="8">
        <f>financials[[#This Row],[Units Sold]]*financials[[#This Row],[Sale Price]]</f>
        <v>82.5</v>
      </c>
      <c r="H4039" s="8">
        <f>IF(financials[[#This Row],[Discount Band]]="low",0.1,IF(financials[[#This Row],[Discount Band]]="medium",0.15,0.3))</f>
        <v>0.1</v>
      </c>
      <c r="I4039" s="8">
        <f>financials[[#This Row],[Gross Sales]]-financials[[#This Row],[Gross Sales]]*financials[[#This Row],[Discounts]]</f>
        <v>74.25</v>
      </c>
      <c r="J4039" s="8">
        <f>VLOOKUP(financials[[#This Row],[productid]],Products!$B$2:$H$10,4)</f>
        <v>3.99</v>
      </c>
      <c r="K4039" s="8">
        <f>financials[[#This Row],[Net Sales]]-financials[[#This Row],[COGS]]</f>
        <v>70.260000000000005</v>
      </c>
      <c r="L4039" s="15">
        <v>45647</v>
      </c>
      <c r="M4039" t="s">
        <v>696</v>
      </c>
    </row>
    <row r="4040" spans="1:13" x14ac:dyDescent="0.25">
      <c r="A4040" t="s">
        <v>86</v>
      </c>
      <c r="B4040" s="6" t="s">
        <v>273</v>
      </c>
      <c r="C4040" s="11">
        <v>101</v>
      </c>
      <c r="D4040" s="9" t="s">
        <v>90</v>
      </c>
      <c r="E4040">
        <v>10</v>
      </c>
      <c r="F4040" s="8">
        <f>VLOOKUP(financials[[#This Row],[productid]],Products!$B$2:$H$10,3)</f>
        <v>23</v>
      </c>
      <c r="G4040" s="8">
        <f>financials[[#This Row],[Units Sold]]*financials[[#This Row],[Sale Price]]</f>
        <v>230</v>
      </c>
      <c r="H4040" s="8">
        <f>IF(financials[[#This Row],[Discount Band]]="low",0.1,IF(financials[[#This Row],[Discount Band]]="medium",0.15,0.3))</f>
        <v>0.15</v>
      </c>
      <c r="I4040" s="8">
        <f>financials[[#This Row],[Gross Sales]]-financials[[#This Row],[Gross Sales]]*financials[[#This Row],[Discounts]]</f>
        <v>195.5</v>
      </c>
      <c r="J4040" s="8">
        <f>VLOOKUP(financials[[#This Row],[productid]],Products!$B$2:$H$10,4)</f>
        <v>9.9499999999999993</v>
      </c>
      <c r="K4040" s="8">
        <f>financials[[#This Row],[Net Sales]]-financials[[#This Row],[COGS]]</f>
        <v>185.55</v>
      </c>
      <c r="L4040" s="15">
        <v>44116</v>
      </c>
      <c r="M4040" t="s">
        <v>690</v>
      </c>
    </row>
    <row r="4041" spans="1:13" x14ac:dyDescent="0.25">
      <c r="A4041" t="s">
        <v>87</v>
      </c>
      <c r="B4041" s="6" t="s">
        <v>159</v>
      </c>
      <c r="C4041" s="13">
        <v>108</v>
      </c>
      <c r="D4041" s="14" t="s">
        <v>83</v>
      </c>
      <c r="E4041">
        <v>15</v>
      </c>
      <c r="F4041" s="8">
        <f>VLOOKUP(financials[[#This Row],[productid]],Products!$B$2:$H$10,3)</f>
        <v>5.5</v>
      </c>
      <c r="G4041" s="8">
        <f>financials[[#This Row],[Units Sold]]*financials[[#This Row],[Sale Price]]</f>
        <v>82.5</v>
      </c>
      <c r="H4041" s="8">
        <f>IF(financials[[#This Row],[Discount Band]]="low",0.1,IF(financials[[#This Row],[Discount Band]]="medium",0.15,0.3))</f>
        <v>0.3</v>
      </c>
      <c r="I4041" s="8">
        <f>financials[[#This Row],[Gross Sales]]-financials[[#This Row],[Gross Sales]]*financials[[#This Row],[Discounts]]</f>
        <v>57.75</v>
      </c>
      <c r="J4041" s="8">
        <f>VLOOKUP(financials[[#This Row],[productid]],Products!$B$2:$H$10,4)</f>
        <v>3.99</v>
      </c>
      <c r="K4041" s="8">
        <f>financials[[#This Row],[Net Sales]]-financials[[#This Row],[COGS]]</f>
        <v>53.76</v>
      </c>
      <c r="L4041" s="15">
        <v>44415</v>
      </c>
      <c r="M4041" t="s">
        <v>696</v>
      </c>
    </row>
    <row r="4042" spans="1:13" x14ac:dyDescent="0.25">
      <c r="A4042" t="s">
        <v>88</v>
      </c>
      <c r="B4042" s="6" t="s">
        <v>205</v>
      </c>
      <c r="C4042" s="13">
        <v>107</v>
      </c>
      <c r="D4042" s="14" t="s">
        <v>83</v>
      </c>
      <c r="E4042">
        <v>8</v>
      </c>
      <c r="F4042" s="8">
        <f>VLOOKUP(financials[[#This Row],[productid]],Products!$B$2:$H$10,3)</f>
        <v>15</v>
      </c>
      <c r="G4042" s="8">
        <f>financials[[#This Row],[Units Sold]]*financials[[#This Row],[Sale Price]]</f>
        <v>120</v>
      </c>
      <c r="H4042" s="8">
        <f>IF(financials[[#This Row],[Discount Band]]="low",0.1,IF(financials[[#This Row],[Discount Band]]="medium",0.15,0.3))</f>
        <v>0.3</v>
      </c>
      <c r="I4042" s="8">
        <f>financials[[#This Row],[Gross Sales]]-financials[[#This Row],[Gross Sales]]*financials[[#This Row],[Discounts]]</f>
        <v>84</v>
      </c>
      <c r="J4042" s="8">
        <f>VLOOKUP(financials[[#This Row],[productid]],Products!$B$2:$H$10,4)</f>
        <v>5.5</v>
      </c>
      <c r="K4042" s="8">
        <f>financials[[#This Row],[Net Sales]]-financials[[#This Row],[COGS]]</f>
        <v>78.5</v>
      </c>
      <c r="L4042" s="15">
        <v>44325</v>
      </c>
      <c r="M4042" t="s">
        <v>697</v>
      </c>
    </row>
    <row r="4043" spans="1:13" x14ac:dyDescent="0.25">
      <c r="A4043" t="s">
        <v>87</v>
      </c>
      <c r="B4043" s="6" t="s">
        <v>84</v>
      </c>
      <c r="C4043" s="11">
        <v>104</v>
      </c>
      <c r="D4043" s="9" t="s">
        <v>83</v>
      </c>
      <c r="E4043">
        <v>16</v>
      </c>
      <c r="F4043" s="8">
        <f>VLOOKUP(financials[[#This Row],[productid]],Products!$B$2:$H$10,3)</f>
        <v>5.9</v>
      </c>
      <c r="G4043" s="8">
        <f>financials[[#This Row],[Units Sold]]*financials[[#This Row],[Sale Price]]</f>
        <v>94.4</v>
      </c>
      <c r="H4043" s="8">
        <f>IF(financials[[#This Row],[Discount Band]]="low",0.1,IF(financials[[#This Row],[Discount Band]]="medium",0.15,0.3))</f>
        <v>0.3</v>
      </c>
      <c r="I4043" s="8">
        <f>financials[[#This Row],[Gross Sales]]-financials[[#This Row],[Gross Sales]]*financials[[#This Row],[Discounts]]</f>
        <v>66.080000000000013</v>
      </c>
      <c r="J4043" s="8">
        <f>VLOOKUP(financials[[#This Row],[productid]],Products!$B$2:$H$10,4)</f>
        <v>2.9</v>
      </c>
      <c r="K4043" s="8">
        <f>financials[[#This Row],[Net Sales]]-financials[[#This Row],[COGS]]</f>
        <v>63.180000000000014</v>
      </c>
      <c r="L4043" s="15">
        <v>43936</v>
      </c>
      <c r="M4043" t="s">
        <v>691</v>
      </c>
    </row>
    <row r="4044" spans="1:13" x14ac:dyDescent="0.25">
      <c r="A4044" t="s">
        <v>87</v>
      </c>
      <c r="B4044" s="6" t="s">
        <v>84</v>
      </c>
      <c r="C4044" s="13">
        <v>108</v>
      </c>
      <c r="D4044" s="14" t="s">
        <v>91</v>
      </c>
      <c r="E4044">
        <v>7</v>
      </c>
      <c r="F4044" s="8">
        <f>VLOOKUP(financials[[#This Row],[productid]],Products!$B$2:$H$10,3)</f>
        <v>5.5</v>
      </c>
      <c r="G4044" s="8">
        <f>financials[[#This Row],[Units Sold]]*financials[[#This Row],[Sale Price]]</f>
        <v>38.5</v>
      </c>
      <c r="H4044" s="8">
        <f>IF(financials[[#This Row],[Discount Band]]="low",0.1,IF(financials[[#This Row],[Discount Band]]="medium",0.15,0.3))</f>
        <v>0.1</v>
      </c>
      <c r="I4044" s="8">
        <f>financials[[#This Row],[Gross Sales]]-financials[[#This Row],[Gross Sales]]*financials[[#This Row],[Discounts]]</f>
        <v>34.65</v>
      </c>
      <c r="J4044" s="8">
        <f>VLOOKUP(financials[[#This Row],[productid]],Products!$B$2:$H$10,4)</f>
        <v>3.99</v>
      </c>
      <c r="K4044" s="8">
        <f>financials[[#This Row],[Net Sales]]-financials[[#This Row],[COGS]]</f>
        <v>30.659999999999997</v>
      </c>
      <c r="L4044" s="15">
        <v>44730</v>
      </c>
      <c r="M4044" t="s">
        <v>691</v>
      </c>
    </row>
    <row r="4045" spans="1:13" x14ac:dyDescent="0.25">
      <c r="A4045" t="s">
        <v>86</v>
      </c>
      <c r="B4045" s="6" t="s">
        <v>276</v>
      </c>
      <c r="C4045" s="13">
        <v>109</v>
      </c>
      <c r="D4045" s="14" t="s">
        <v>91</v>
      </c>
      <c r="E4045">
        <v>13</v>
      </c>
      <c r="F4045" s="8">
        <f>VLOOKUP(financials[[#This Row],[productid]],Products!$B$2:$H$10,3)</f>
        <v>36</v>
      </c>
      <c r="G4045" s="8">
        <f>financials[[#This Row],[Units Sold]]*financials[[#This Row],[Sale Price]]</f>
        <v>468</v>
      </c>
      <c r="H4045" s="8">
        <f>IF(financials[[#This Row],[Discount Band]]="low",0.1,IF(financials[[#This Row],[Discount Band]]="medium",0.15,0.3))</f>
        <v>0.1</v>
      </c>
      <c r="I4045" s="8">
        <f>financials[[#This Row],[Gross Sales]]-financials[[#This Row],[Gross Sales]]*financials[[#This Row],[Discounts]]</f>
        <v>421.2</v>
      </c>
      <c r="J4045" s="8">
        <f>VLOOKUP(financials[[#This Row],[productid]],Products!$B$2:$H$10,4)</f>
        <v>16.8</v>
      </c>
      <c r="K4045" s="8">
        <f>financials[[#This Row],[Net Sales]]-financials[[#This Row],[COGS]]</f>
        <v>404.4</v>
      </c>
      <c r="L4045" s="15">
        <v>44223</v>
      </c>
      <c r="M4045" t="s">
        <v>691</v>
      </c>
    </row>
    <row r="4046" spans="1:13" x14ac:dyDescent="0.25">
      <c r="A4046" t="s">
        <v>88</v>
      </c>
      <c r="B4046" s="6" t="s">
        <v>268</v>
      </c>
      <c r="C4046" s="13">
        <v>102</v>
      </c>
      <c r="D4046" s="14" t="s">
        <v>90</v>
      </c>
      <c r="E4046">
        <v>15</v>
      </c>
      <c r="F4046" s="8">
        <f>VLOOKUP(financials[[#This Row],[productid]],Products!$B$2:$H$10,3)</f>
        <v>15</v>
      </c>
      <c r="G4046" s="8">
        <f>financials[[#This Row],[Units Sold]]*financials[[#This Row],[Sale Price]]</f>
        <v>225</v>
      </c>
      <c r="H4046" s="8">
        <f>IF(financials[[#This Row],[Discount Band]]="low",0.1,IF(financials[[#This Row],[Discount Band]]="medium",0.15,0.3))</f>
        <v>0.15</v>
      </c>
      <c r="I4046" s="8">
        <f>financials[[#This Row],[Gross Sales]]-financials[[#This Row],[Gross Sales]]*financials[[#This Row],[Discounts]]</f>
        <v>191.25</v>
      </c>
      <c r="J4046" s="8">
        <f>VLOOKUP(financials[[#This Row],[productid]],Products!$B$2:$H$10,4)</f>
        <v>13.95</v>
      </c>
      <c r="K4046" s="8">
        <f>financials[[#This Row],[Net Sales]]-financials[[#This Row],[COGS]]</f>
        <v>177.3</v>
      </c>
      <c r="L4046" s="15">
        <v>44180</v>
      </c>
      <c r="M4046" t="s">
        <v>697</v>
      </c>
    </row>
    <row r="4047" spans="1:13" x14ac:dyDescent="0.25">
      <c r="A4047" t="s">
        <v>88</v>
      </c>
      <c r="B4047" s="6" t="s">
        <v>94</v>
      </c>
      <c r="C4047" s="13">
        <v>101</v>
      </c>
      <c r="D4047" s="14" t="s">
        <v>91</v>
      </c>
      <c r="E4047">
        <v>10</v>
      </c>
      <c r="F4047" s="8">
        <f>VLOOKUP(financials[[#This Row],[productid]],Products!$B$2:$H$10,3)</f>
        <v>23</v>
      </c>
      <c r="G4047" s="8">
        <f>financials[[#This Row],[Units Sold]]*financials[[#This Row],[Sale Price]]</f>
        <v>230</v>
      </c>
      <c r="H4047" s="8">
        <f>IF(financials[[#This Row],[Discount Band]]="low",0.1,IF(financials[[#This Row],[Discount Band]]="medium",0.15,0.3))</f>
        <v>0.1</v>
      </c>
      <c r="I4047" s="8">
        <f>financials[[#This Row],[Gross Sales]]-financials[[#This Row],[Gross Sales]]*financials[[#This Row],[Discounts]]</f>
        <v>207</v>
      </c>
      <c r="J4047" s="8">
        <f>VLOOKUP(financials[[#This Row],[productid]],Products!$B$2:$H$10,4)</f>
        <v>9.9499999999999993</v>
      </c>
      <c r="K4047" s="8">
        <f>financials[[#This Row],[Net Sales]]-financials[[#This Row],[COGS]]</f>
        <v>197.05</v>
      </c>
      <c r="L4047" s="15">
        <v>45036</v>
      </c>
      <c r="M4047" t="s">
        <v>696</v>
      </c>
    </row>
    <row r="4048" spans="1:13" x14ac:dyDescent="0.25">
      <c r="A4048" t="s">
        <v>86</v>
      </c>
      <c r="B4048" s="6" t="s">
        <v>94</v>
      </c>
      <c r="C4048" s="13">
        <v>105</v>
      </c>
      <c r="D4048" s="14" t="s">
        <v>83</v>
      </c>
      <c r="E4048">
        <v>19</v>
      </c>
      <c r="F4048" s="8">
        <f>VLOOKUP(financials[[#This Row],[productid]],Products!$B$2:$H$10,3)</f>
        <v>15</v>
      </c>
      <c r="G4048" s="8">
        <f>financials[[#This Row],[Units Sold]]*financials[[#This Row],[Sale Price]]</f>
        <v>285</v>
      </c>
      <c r="H4048" s="8">
        <f>IF(financials[[#This Row],[Discount Band]]="low",0.1,IF(financials[[#This Row],[Discount Band]]="medium",0.15,0.3))</f>
        <v>0.3</v>
      </c>
      <c r="I4048" s="8">
        <f>financials[[#This Row],[Gross Sales]]-financials[[#This Row],[Gross Sales]]*financials[[#This Row],[Discounts]]</f>
        <v>199.5</v>
      </c>
      <c r="J4048" s="8">
        <f>VLOOKUP(financials[[#This Row],[productid]],Products!$B$2:$H$10,4)</f>
        <v>10</v>
      </c>
      <c r="K4048" s="8">
        <f>financials[[#This Row],[Net Sales]]-financials[[#This Row],[COGS]]</f>
        <v>189.5</v>
      </c>
      <c r="L4048" s="15">
        <v>44896</v>
      </c>
      <c r="M4048" t="s">
        <v>696</v>
      </c>
    </row>
    <row r="4049" spans="1:13" x14ac:dyDescent="0.25">
      <c r="A4049" t="s">
        <v>86</v>
      </c>
      <c r="B4049" s="6" t="s">
        <v>205</v>
      </c>
      <c r="C4049" s="13">
        <v>105</v>
      </c>
      <c r="D4049" s="14" t="s">
        <v>92</v>
      </c>
      <c r="E4049">
        <v>6</v>
      </c>
      <c r="F4049" s="8">
        <f>VLOOKUP(financials[[#This Row],[productid]],Products!$B$2:$H$10,3)</f>
        <v>15</v>
      </c>
      <c r="G4049" s="8">
        <f>financials[[#This Row],[Units Sold]]*financials[[#This Row],[Sale Price]]</f>
        <v>90</v>
      </c>
      <c r="H4049" s="8">
        <f>IF(financials[[#This Row],[Discount Band]]="low",0.1,IF(financials[[#This Row],[Discount Band]]="medium",0.15,0.3))</f>
        <v>0.3</v>
      </c>
      <c r="I4049" s="8">
        <f>financials[[#This Row],[Gross Sales]]-financials[[#This Row],[Gross Sales]]*financials[[#This Row],[Discounts]]</f>
        <v>63</v>
      </c>
      <c r="J4049" s="8">
        <f>VLOOKUP(financials[[#This Row],[productid]],Products!$B$2:$H$10,4)</f>
        <v>10</v>
      </c>
      <c r="K4049" s="8">
        <f>financials[[#This Row],[Net Sales]]-financials[[#This Row],[COGS]]</f>
        <v>53</v>
      </c>
      <c r="L4049" s="15">
        <v>43842</v>
      </c>
      <c r="M4049" t="s">
        <v>691</v>
      </c>
    </row>
    <row r="4050" spans="1:13" x14ac:dyDescent="0.25">
      <c r="A4050" t="s">
        <v>87</v>
      </c>
      <c r="B4050" s="6" t="s">
        <v>159</v>
      </c>
      <c r="C4050" s="13">
        <v>106</v>
      </c>
      <c r="D4050" s="14" t="s">
        <v>92</v>
      </c>
      <c r="E4050">
        <v>14</v>
      </c>
      <c r="F4050" s="8">
        <f>VLOOKUP(financials[[#This Row],[productid]],Products!$B$2:$H$10,3)</f>
        <v>25</v>
      </c>
      <c r="G4050" s="8">
        <f>financials[[#This Row],[Units Sold]]*financials[[#This Row],[Sale Price]]</f>
        <v>350</v>
      </c>
      <c r="H4050" s="8">
        <f>IF(financials[[#This Row],[Discount Band]]="low",0.1,IF(financials[[#This Row],[Discount Band]]="medium",0.15,0.3))</f>
        <v>0.3</v>
      </c>
      <c r="I4050" s="8">
        <f>financials[[#This Row],[Gross Sales]]-financials[[#This Row],[Gross Sales]]*financials[[#This Row],[Discounts]]</f>
        <v>245</v>
      </c>
      <c r="J4050" s="8">
        <f>VLOOKUP(financials[[#This Row],[productid]],Products!$B$2:$H$10,4)</f>
        <v>9.1</v>
      </c>
      <c r="K4050" s="8">
        <f>financials[[#This Row],[Net Sales]]-financials[[#This Row],[COGS]]</f>
        <v>235.9</v>
      </c>
      <c r="L4050" s="15">
        <v>45276</v>
      </c>
      <c r="M4050" t="s">
        <v>696</v>
      </c>
    </row>
    <row r="4051" spans="1:13" x14ac:dyDescent="0.25">
      <c r="A4051" t="s">
        <v>87</v>
      </c>
      <c r="B4051" s="6" t="s">
        <v>159</v>
      </c>
      <c r="C4051" s="13">
        <v>106</v>
      </c>
      <c r="D4051" s="14" t="s">
        <v>83</v>
      </c>
      <c r="E4051">
        <v>19</v>
      </c>
      <c r="F4051" s="8">
        <f>VLOOKUP(financials[[#This Row],[productid]],Products!$B$2:$H$10,3)</f>
        <v>25</v>
      </c>
      <c r="G4051" s="8">
        <f>financials[[#This Row],[Units Sold]]*financials[[#This Row],[Sale Price]]</f>
        <v>475</v>
      </c>
      <c r="H4051" s="8">
        <f>IF(financials[[#This Row],[Discount Band]]="low",0.1,IF(financials[[#This Row],[Discount Band]]="medium",0.15,0.3))</f>
        <v>0.3</v>
      </c>
      <c r="I4051" s="8">
        <f>financials[[#This Row],[Gross Sales]]-financials[[#This Row],[Gross Sales]]*financials[[#This Row],[Discounts]]</f>
        <v>332.5</v>
      </c>
      <c r="J4051" s="8">
        <f>VLOOKUP(financials[[#This Row],[productid]],Products!$B$2:$H$10,4)</f>
        <v>9.1</v>
      </c>
      <c r="K4051" s="8">
        <f>financials[[#This Row],[Net Sales]]-financials[[#This Row],[COGS]]</f>
        <v>323.39999999999998</v>
      </c>
      <c r="L4051" s="15">
        <v>43833</v>
      </c>
      <c r="M4051" t="s">
        <v>697</v>
      </c>
    </row>
    <row r="4052" spans="1:13" x14ac:dyDescent="0.25">
      <c r="A4052" t="s">
        <v>86</v>
      </c>
      <c r="B4052" s="6" t="s">
        <v>273</v>
      </c>
      <c r="C4052" s="13">
        <v>102</v>
      </c>
      <c r="D4052" s="14" t="s">
        <v>83</v>
      </c>
      <c r="E4052">
        <v>12</v>
      </c>
      <c r="F4052" s="8">
        <f>VLOOKUP(financials[[#This Row],[productid]],Products!$B$2:$H$10,3)</f>
        <v>15</v>
      </c>
      <c r="G4052" s="8">
        <f>financials[[#This Row],[Units Sold]]*financials[[#This Row],[Sale Price]]</f>
        <v>180</v>
      </c>
      <c r="H4052" s="8">
        <f>IF(financials[[#This Row],[Discount Band]]="low",0.1,IF(financials[[#This Row],[Discount Band]]="medium",0.15,0.3))</f>
        <v>0.3</v>
      </c>
      <c r="I4052" s="8">
        <f>financials[[#This Row],[Gross Sales]]-financials[[#This Row],[Gross Sales]]*financials[[#This Row],[Discounts]]</f>
        <v>126</v>
      </c>
      <c r="J4052" s="8">
        <f>VLOOKUP(financials[[#This Row],[productid]],Products!$B$2:$H$10,4)</f>
        <v>13.95</v>
      </c>
      <c r="K4052" s="8">
        <f>financials[[#This Row],[Net Sales]]-financials[[#This Row],[COGS]]</f>
        <v>112.05</v>
      </c>
      <c r="L4052" s="15">
        <v>45634</v>
      </c>
      <c r="M4052" t="s">
        <v>697</v>
      </c>
    </row>
    <row r="4053" spans="1:13" x14ac:dyDescent="0.25">
      <c r="A4053" t="s">
        <v>87</v>
      </c>
      <c r="B4053" s="6" t="s">
        <v>84</v>
      </c>
      <c r="C4053" s="13">
        <v>104</v>
      </c>
      <c r="D4053" s="14" t="s">
        <v>90</v>
      </c>
      <c r="E4053">
        <v>7</v>
      </c>
      <c r="F4053" s="8">
        <f>VLOOKUP(financials[[#This Row],[productid]],Products!$B$2:$H$10,3)</f>
        <v>5.9</v>
      </c>
      <c r="G4053" s="8">
        <f>financials[[#This Row],[Units Sold]]*financials[[#This Row],[Sale Price]]</f>
        <v>41.300000000000004</v>
      </c>
      <c r="H4053" s="8">
        <f>IF(financials[[#This Row],[Discount Band]]="low",0.1,IF(financials[[#This Row],[Discount Band]]="medium",0.15,0.3))</f>
        <v>0.15</v>
      </c>
      <c r="I4053" s="8">
        <f>financials[[#This Row],[Gross Sales]]-financials[[#This Row],[Gross Sales]]*financials[[#This Row],[Discounts]]</f>
        <v>35.105000000000004</v>
      </c>
      <c r="J4053" s="8">
        <f>VLOOKUP(financials[[#This Row],[productid]],Products!$B$2:$H$10,4)</f>
        <v>2.9</v>
      </c>
      <c r="K4053" s="8">
        <f>financials[[#This Row],[Net Sales]]-financials[[#This Row],[COGS]]</f>
        <v>32.205000000000005</v>
      </c>
      <c r="L4053" s="15">
        <v>44179</v>
      </c>
      <c r="M4053" t="s">
        <v>697</v>
      </c>
    </row>
    <row r="4054" spans="1:13" x14ac:dyDescent="0.25">
      <c r="A4054" t="s">
        <v>87</v>
      </c>
      <c r="B4054" s="6" t="s">
        <v>159</v>
      </c>
      <c r="C4054" s="13">
        <v>102</v>
      </c>
      <c r="D4054" s="14" t="s">
        <v>83</v>
      </c>
      <c r="E4054">
        <v>8</v>
      </c>
      <c r="F4054" s="8">
        <f>VLOOKUP(financials[[#This Row],[productid]],Products!$B$2:$H$10,3)</f>
        <v>15</v>
      </c>
      <c r="G4054" s="8">
        <f>financials[[#This Row],[Units Sold]]*financials[[#This Row],[Sale Price]]</f>
        <v>120</v>
      </c>
      <c r="H4054" s="8">
        <f>IF(financials[[#This Row],[Discount Band]]="low",0.1,IF(financials[[#This Row],[Discount Band]]="medium",0.15,0.3))</f>
        <v>0.3</v>
      </c>
      <c r="I4054" s="8">
        <f>financials[[#This Row],[Gross Sales]]-financials[[#This Row],[Gross Sales]]*financials[[#This Row],[Discounts]]</f>
        <v>84</v>
      </c>
      <c r="J4054" s="8">
        <f>VLOOKUP(financials[[#This Row],[productid]],Products!$B$2:$H$10,4)</f>
        <v>13.95</v>
      </c>
      <c r="K4054" s="8">
        <f>financials[[#This Row],[Net Sales]]-financials[[#This Row],[COGS]]</f>
        <v>70.05</v>
      </c>
      <c r="L4054" s="15">
        <v>44214</v>
      </c>
      <c r="M4054" t="s">
        <v>691</v>
      </c>
    </row>
    <row r="4055" spans="1:13" x14ac:dyDescent="0.25">
      <c r="A4055" t="s">
        <v>86</v>
      </c>
      <c r="B4055" s="6" t="s">
        <v>273</v>
      </c>
      <c r="C4055" s="13">
        <v>105</v>
      </c>
      <c r="D4055" s="14" t="s">
        <v>83</v>
      </c>
      <c r="E4055">
        <v>11</v>
      </c>
      <c r="F4055" s="8">
        <f>VLOOKUP(financials[[#This Row],[productid]],Products!$B$2:$H$10,3)</f>
        <v>15</v>
      </c>
      <c r="G4055" s="8">
        <f>financials[[#This Row],[Units Sold]]*financials[[#This Row],[Sale Price]]</f>
        <v>165</v>
      </c>
      <c r="H4055" s="8">
        <f>IF(financials[[#This Row],[Discount Band]]="low",0.1,IF(financials[[#This Row],[Discount Band]]="medium",0.15,0.3))</f>
        <v>0.3</v>
      </c>
      <c r="I4055" s="8">
        <f>financials[[#This Row],[Gross Sales]]-financials[[#This Row],[Gross Sales]]*financials[[#This Row],[Discounts]]</f>
        <v>115.5</v>
      </c>
      <c r="J4055" s="8">
        <f>VLOOKUP(financials[[#This Row],[productid]],Products!$B$2:$H$10,4)</f>
        <v>10</v>
      </c>
      <c r="K4055" s="8">
        <f>financials[[#This Row],[Net Sales]]-financials[[#This Row],[COGS]]</f>
        <v>105.5</v>
      </c>
      <c r="L4055" s="15">
        <v>45632</v>
      </c>
      <c r="M4055" t="s">
        <v>696</v>
      </c>
    </row>
    <row r="4056" spans="1:13" x14ac:dyDescent="0.25">
      <c r="A4056" t="s">
        <v>88</v>
      </c>
      <c r="B4056" s="6" t="s">
        <v>167</v>
      </c>
      <c r="C4056" s="11">
        <v>107</v>
      </c>
      <c r="D4056" s="9" t="s">
        <v>90</v>
      </c>
      <c r="E4056">
        <v>7</v>
      </c>
      <c r="F4056" s="8">
        <f>VLOOKUP(financials[[#This Row],[productid]],Products!$B$2:$H$10,3)</f>
        <v>15</v>
      </c>
      <c r="G4056" s="8">
        <f>financials[[#This Row],[Units Sold]]*financials[[#This Row],[Sale Price]]</f>
        <v>105</v>
      </c>
      <c r="H4056" s="8">
        <f>IF(financials[[#This Row],[Discount Band]]="low",0.1,IF(financials[[#This Row],[Discount Band]]="medium",0.15,0.3))</f>
        <v>0.15</v>
      </c>
      <c r="I4056" s="8">
        <f>financials[[#This Row],[Gross Sales]]-financials[[#This Row],[Gross Sales]]*financials[[#This Row],[Discounts]]</f>
        <v>89.25</v>
      </c>
      <c r="J4056" s="8">
        <f>VLOOKUP(financials[[#This Row],[productid]],Products!$B$2:$H$10,4)</f>
        <v>5.5</v>
      </c>
      <c r="K4056" s="8">
        <f>financials[[#This Row],[Net Sales]]-financials[[#This Row],[COGS]]</f>
        <v>83.75</v>
      </c>
      <c r="L4056" s="15">
        <v>44640</v>
      </c>
      <c r="M4056" t="s">
        <v>697</v>
      </c>
    </row>
    <row r="4057" spans="1:13" x14ac:dyDescent="0.25">
      <c r="A4057" t="s">
        <v>88</v>
      </c>
      <c r="B4057" s="6" t="s">
        <v>94</v>
      </c>
      <c r="C4057" s="13">
        <v>101</v>
      </c>
      <c r="D4057" s="14" t="s">
        <v>91</v>
      </c>
      <c r="E4057">
        <v>14</v>
      </c>
      <c r="F4057" s="8">
        <f>VLOOKUP(financials[[#This Row],[productid]],Products!$B$2:$H$10,3)</f>
        <v>23</v>
      </c>
      <c r="G4057" s="8">
        <f>financials[[#This Row],[Units Sold]]*financials[[#This Row],[Sale Price]]</f>
        <v>322</v>
      </c>
      <c r="H4057" s="8">
        <f>IF(financials[[#This Row],[Discount Band]]="low",0.1,IF(financials[[#This Row],[Discount Band]]="medium",0.15,0.3))</f>
        <v>0.1</v>
      </c>
      <c r="I4057" s="8">
        <f>financials[[#This Row],[Gross Sales]]-financials[[#This Row],[Gross Sales]]*financials[[#This Row],[Discounts]]</f>
        <v>289.8</v>
      </c>
      <c r="J4057" s="8">
        <f>VLOOKUP(financials[[#This Row],[productid]],Products!$B$2:$H$10,4)</f>
        <v>9.9499999999999993</v>
      </c>
      <c r="K4057" s="8">
        <f>financials[[#This Row],[Net Sales]]-financials[[#This Row],[COGS]]</f>
        <v>279.85000000000002</v>
      </c>
      <c r="L4057" s="15">
        <v>44776</v>
      </c>
      <c r="M4057" t="s">
        <v>700</v>
      </c>
    </row>
    <row r="4058" spans="1:13" x14ac:dyDescent="0.25">
      <c r="A4058" t="s">
        <v>86</v>
      </c>
      <c r="B4058" s="6" t="s">
        <v>273</v>
      </c>
      <c r="C4058" s="13">
        <v>101</v>
      </c>
      <c r="D4058" s="14" t="s">
        <v>83</v>
      </c>
      <c r="E4058">
        <v>13</v>
      </c>
      <c r="F4058" s="8">
        <f>VLOOKUP(financials[[#This Row],[productid]],Products!$B$2:$H$10,3)</f>
        <v>23</v>
      </c>
      <c r="G4058" s="8">
        <f>financials[[#This Row],[Units Sold]]*financials[[#This Row],[Sale Price]]</f>
        <v>299</v>
      </c>
      <c r="H4058" s="8">
        <f>IF(financials[[#This Row],[Discount Band]]="low",0.1,IF(financials[[#This Row],[Discount Band]]="medium",0.15,0.3))</f>
        <v>0.3</v>
      </c>
      <c r="I4058" s="8">
        <f>financials[[#This Row],[Gross Sales]]-financials[[#This Row],[Gross Sales]]*financials[[#This Row],[Discounts]]</f>
        <v>209.3</v>
      </c>
      <c r="J4058" s="8">
        <f>VLOOKUP(financials[[#This Row],[productid]],Products!$B$2:$H$10,4)</f>
        <v>9.9499999999999993</v>
      </c>
      <c r="K4058" s="8">
        <f>financials[[#This Row],[Net Sales]]-financials[[#This Row],[COGS]]</f>
        <v>199.35000000000002</v>
      </c>
      <c r="L4058" s="15">
        <v>44686</v>
      </c>
      <c r="M4058" t="s">
        <v>690</v>
      </c>
    </row>
    <row r="4059" spans="1:13" x14ac:dyDescent="0.25">
      <c r="A4059" t="s">
        <v>88</v>
      </c>
      <c r="B4059" s="6" t="s">
        <v>94</v>
      </c>
      <c r="C4059" s="13">
        <v>109</v>
      </c>
      <c r="D4059" s="14" t="s">
        <v>90</v>
      </c>
      <c r="E4059">
        <v>13</v>
      </c>
      <c r="F4059" s="8">
        <f>VLOOKUP(financials[[#This Row],[productid]],Products!$B$2:$H$10,3)</f>
        <v>36</v>
      </c>
      <c r="G4059" s="8">
        <f>financials[[#This Row],[Units Sold]]*financials[[#This Row],[Sale Price]]</f>
        <v>468</v>
      </c>
      <c r="H4059" s="8">
        <f>IF(financials[[#This Row],[Discount Band]]="low",0.1,IF(financials[[#This Row],[Discount Band]]="medium",0.15,0.3))</f>
        <v>0.15</v>
      </c>
      <c r="I4059" s="8">
        <f>financials[[#This Row],[Gross Sales]]-financials[[#This Row],[Gross Sales]]*financials[[#This Row],[Discounts]]</f>
        <v>397.8</v>
      </c>
      <c r="J4059" s="8">
        <f>VLOOKUP(financials[[#This Row],[productid]],Products!$B$2:$H$10,4)</f>
        <v>16.8</v>
      </c>
      <c r="K4059" s="8">
        <f>financials[[#This Row],[Net Sales]]-financials[[#This Row],[COGS]]</f>
        <v>381</v>
      </c>
      <c r="L4059" s="15">
        <v>44297</v>
      </c>
      <c r="M4059" t="s">
        <v>697</v>
      </c>
    </row>
    <row r="4060" spans="1:13" x14ac:dyDescent="0.25">
      <c r="A4060" t="s">
        <v>88</v>
      </c>
      <c r="B4060" s="6" t="s">
        <v>273</v>
      </c>
      <c r="C4060" s="13">
        <v>105</v>
      </c>
      <c r="D4060" s="14" t="s">
        <v>83</v>
      </c>
      <c r="E4060">
        <v>6</v>
      </c>
      <c r="F4060" s="8">
        <f>VLOOKUP(financials[[#This Row],[productid]],Products!$B$2:$H$10,3)</f>
        <v>15</v>
      </c>
      <c r="G4060" s="8">
        <f>financials[[#This Row],[Units Sold]]*financials[[#This Row],[Sale Price]]</f>
        <v>90</v>
      </c>
      <c r="H4060" s="8">
        <f>IF(financials[[#This Row],[Discount Band]]="low",0.1,IF(financials[[#This Row],[Discount Band]]="medium",0.15,0.3))</f>
        <v>0.3</v>
      </c>
      <c r="I4060" s="8">
        <f>financials[[#This Row],[Gross Sales]]-financials[[#This Row],[Gross Sales]]*financials[[#This Row],[Discounts]]</f>
        <v>63</v>
      </c>
      <c r="J4060" s="8">
        <f>VLOOKUP(financials[[#This Row],[productid]],Products!$B$2:$H$10,4)</f>
        <v>10</v>
      </c>
      <c r="K4060" s="8">
        <f>financials[[#This Row],[Net Sales]]-financials[[#This Row],[COGS]]</f>
        <v>53</v>
      </c>
      <c r="L4060" s="15">
        <v>44072</v>
      </c>
      <c r="M4060" t="s">
        <v>696</v>
      </c>
    </row>
    <row r="4061" spans="1:13" x14ac:dyDescent="0.25">
      <c r="A4061" t="s">
        <v>87</v>
      </c>
      <c r="B4061" s="6" t="s">
        <v>159</v>
      </c>
      <c r="C4061" s="13">
        <v>101</v>
      </c>
      <c r="D4061" s="14" t="s">
        <v>90</v>
      </c>
      <c r="E4061">
        <v>13</v>
      </c>
      <c r="F4061" s="8">
        <f>VLOOKUP(financials[[#This Row],[productid]],Products!$B$2:$H$10,3)</f>
        <v>23</v>
      </c>
      <c r="G4061" s="8">
        <f>financials[[#This Row],[Units Sold]]*financials[[#This Row],[Sale Price]]</f>
        <v>299</v>
      </c>
      <c r="H4061" s="8">
        <f>IF(financials[[#This Row],[Discount Band]]="low",0.1,IF(financials[[#This Row],[Discount Band]]="medium",0.15,0.3))</f>
        <v>0.15</v>
      </c>
      <c r="I4061" s="8">
        <f>financials[[#This Row],[Gross Sales]]-financials[[#This Row],[Gross Sales]]*financials[[#This Row],[Discounts]]</f>
        <v>254.15</v>
      </c>
      <c r="J4061" s="8">
        <f>VLOOKUP(financials[[#This Row],[productid]],Products!$B$2:$H$10,4)</f>
        <v>9.9499999999999993</v>
      </c>
      <c r="K4061" s="8">
        <f>financials[[#This Row],[Net Sales]]-financials[[#This Row],[COGS]]</f>
        <v>244.20000000000002</v>
      </c>
      <c r="L4061" s="15">
        <v>44149</v>
      </c>
      <c r="M4061" t="s">
        <v>691</v>
      </c>
    </row>
    <row r="4062" spans="1:13" x14ac:dyDescent="0.25">
      <c r="A4062" t="s">
        <v>86</v>
      </c>
      <c r="B4062" s="6" t="s">
        <v>198</v>
      </c>
      <c r="C4062" s="13">
        <v>105</v>
      </c>
      <c r="D4062" s="14" t="s">
        <v>90</v>
      </c>
      <c r="E4062">
        <v>11</v>
      </c>
      <c r="F4062" s="8">
        <f>VLOOKUP(financials[[#This Row],[productid]],Products!$B$2:$H$10,3)</f>
        <v>15</v>
      </c>
      <c r="G4062" s="8">
        <f>financials[[#This Row],[Units Sold]]*financials[[#This Row],[Sale Price]]</f>
        <v>165</v>
      </c>
      <c r="H4062" s="8">
        <f>IF(financials[[#This Row],[Discount Band]]="low",0.1,IF(financials[[#This Row],[Discount Band]]="medium",0.15,0.3))</f>
        <v>0.15</v>
      </c>
      <c r="I4062" s="8">
        <f>financials[[#This Row],[Gross Sales]]-financials[[#This Row],[Gross Sales]]*financials[[#This Row],[Discounts]]</f>
        <v>140.25</v>
      </c>
      <c r="J4062" s="8">
        <f>VLOOKUP(financials[[#This Row],[productid]],Products!$B$2:$H$10,4)</f>
        <v>10</v>
      </c>
      <c r="K4062" s="8">
        <f>financials[[#This Row],[Net Sales]]-financials[[#This Row],[COGS]]</f>
        <v>130.25</v>
      </c>
      <c r="L4062" s="15">
        <v>45392</v>
      </c>
      <c r="M4062" t="s">
        <v>690</v>
      </c>
    </row>
    <row r="4063" spans="1:13" x14ac:dyDescent="0.25">
      <c r="A4063" t="s">
        <v>86</v>
      </c>
      <c r="B4063" s="6" t="s">
        <v>545</v>
      </c>
      <c r="C4063" s="13">
        <v>103</v>
      </c>
      <c r="D4063" s="14" t="s">
        <v>90</v>
      </c>
      <c r="E4063">
        <v>9</v>
      </c>
      <c r="F4063" s="8">
        <f>VLOOKUP(financials[[#This Row],[productid]],Products!$B$2:$H$10,3)</f>
        <v>28</v>
      </c>
      <c r="G4063" s="8">
        <f>financials[[#This Row],[Units Sold]]*financials[[#This Row],[Sale Price]]</f>
        <v>252</v>
      </c>
      <c r="H4063" s="8">
        <f>IF(financials[[#This Row],[Discount Band]]="low",0.1,IF(financials[[#This Row],[Discount Band]]="medium",0.15,0.3))</f>
        <v>0.15</v>
      </c>
      <c r="I4063" s="8">
        <f>financials[[#This Row],[Gross Sales]]-financials[[#This Row],[Gross Sales]]*financials[[#This Row],[Discounts]]</f>
        <v>214.2</v>
      </c>
      <c r="J4063" s="8">
        <f>VLOOKUP(financials[[#This Row],[productid]],Products!$B$2:$H$10,4)</f>
        <v>15</v>
      </c>
      <c r="K4063" s="8">
        <f>financials[[#This Row],[Net Sales]]-financials[[#This Row],[COGS]]</f>
        <v>199.2</v>
      </c>
      <c r="L4063" s="15">
        <v>45544</v>
      </c>
      <c r="M4063" t="s">
        <v>696</v>
      </c>
    </row>
    <row r="4064" spans="1:13" x14ac:dyDescent="0.25">
      <c r="A4064" t="s">
        <v>86</v>
      </c>
      <c r="B4064" s="6" t="s">
        <v>167</v>
      </c>
      <c r="C4064" s="13">
        <v>102</v>
      </c>
      <c r="D4064" s="14" t="s">
        <v>91</v>
      </c>
      <c r="E4064">
        <v>12</v>
      </c>
      <c r="F4064" s="8">
        <f>VLOOKUP(financials[[#This Row],[productid]],Products!$B$2:$H$10,3)</f>
        <v>15</v>
      </c>
      <c r="G4064" s="8">
        <f>financials[[#This Row],[Units Sold]]*financials[[#This Row],[Sale Price]]</f>
        <v>180</v>
      </c>
      <c r="H4064" s="8">
        <f>IF(financials[[#This Row],[Discount Band]]="low",0.1,IF(financials[[#This Row],[Discount Band]]="medium",0.15,0.3))</f>
        <v>0.1</v>
      </c>
      <c r="I4064" s="8">
        <f>financials[[#This Row],[Gross Sales]]-financials[[#This Row],[Gross Sales]]*financials[[#This Row],[Discounts]]</f>
        <v>162</v>
      </c>
      <c r="J4064" s="8">
        <f>VLOOKUP(financials[[#This Row],[productid]],Products!$B$2:$H$10,4)</f>
        <v>13.95</v>
      </c>
      <c r="K4064" s="8">
        <f>financials[[#This Row],[Net Sales]]-financials[[#This Row],[COGS]]</f>
        <v>148.05000000000001</v>
      </c>
      <c r="L4064" s="15">
        <v>45511</v>
      </c>
      <c r="M4064" t="s">
        <v>700</v>
      </c>
    </row>
    <row r="4065" spans="1:13" x14ac:dyDescent="0.25">
      <c r="A4065" t="s">
        <v>88</v>
      </c>
      <c r="B4065" s="6" t="s">
        <v>205</v>
      </c>
      <c r="C4065" s="13">
        <v>103</v>
      </c>
      <c r="D4065" s="14" t="s">
        <v>83</v>
      </c>
      <c r="E4065">
        <v>6</v>
      </c>
      <c r="F4065" s="8">
        <f>VLOOKUP(financials[[#This Row],[productid]],Products!$B$2:$H$10,3)</f>
        <v>28</v>
      </c>
      <c r="G4065" s="8">
        <f>financials[[#This Row],[Units Sold]]*financials[[#This Row],[Sale Price]]</f>
        <v>168</v>
      </c>
      <c r="H4065" s="8">
        <f>IF(financials[[#This Row],[Discount Band]]="low",0.1,IF(financials[[#This Row],[Discount Band]]="medium",0.15,0.3))</f>
        <v>0.3</v>
      </c>
      <c r="I4065" s="8">
        <f>financials[[#This Row],[Gross Sales]]-financials[[#This Row],[Gross Sales]]*financials[[#This Row],[Discounts]]</f>
        <v>117.6</v>
      </c>
      <c r="J4065" s="8">
        <f>VLOOKUP(financials[[#This Row],[productid]],Products!$B$2:$H$10,4)</f>
        <v>15</v>
      </c>
      <c r="K4065" s="8">
        <f>financials[[#This Row],[Net Sales]]-financials[[#This Row],[COGS]]</f>
        <v>102.6</v>
      </c>
      <c r="L4065" s="15">
        <v>45022</v>
      </c>
      <c r="M4065" t="s">
        <v>696</v>
      </c>
    </row>
    <row r="4066" spans="1:13" x14ac:dyDescent="0.25">
      <c r="A4066" t="s">
        <v>88</v>
      </c>
      <c r="B4066" s="6" t="s">
        <v>95</v>
      </c>
      <c r="C4066" s="13">
        <v>107</v>
      </c>
      <c r="D4066" s="14" t="s">
        <v>91</v>
      </c>
      <c r="E4066">
        <v>19</v>
      </c>
      <c r="F4066" s="8">
        <f>VLOOKUP(financials[[#This Row],[productid]],Products!$B$2:$H$10,3)</f>
        <v>15</v>
      </c>
      <c r="G4066" s="8">
        <f>financials[[#This Row],[Units Sold]]*financials[[#This Row],[Sale Price]]</f>
        <v>285</v>
      </c>
      <c r="H4066" s="8">
        <f>IF(financials[[#This Row],[Discount Band]]="low",0.1,IF(financials[[#This Row],[Discount Band]]="medium",0.15,0.3))</f>
        <v>0.1</v>
      </c>
      <c r="I4066" s="8">
        <f>financials[[#This Row],[Gross Sales]]-financials[[#This Row],[Gross Sales]]*financials[[#This Row],[Discounts]]</f>
        <v>256.5</v>
      </c>
      <c r="J4066" s="8">
        <f>VLOOKUP(financials[[#This Row],[productid]],Products!$B$2:$H$10,4)</f>
        <v>5.5</v>
      </c>
      <c r="K4066" s="8">
        <f>financials[[#This Row],[Net Sales]]-financials[[#This Row],[COGS]]</f>
        <v>251</v>
      </c>
      <c r="L4066" s="15">
        <v>44296</v>
      </c>
      <c r="M4066" t="s">
        <v>696</v>
      </c>
    </row>
    <row r="4067" spans="1:13" x14ac:dyDescent="0.25">
      <c r="A4067" t="s">
        <v>86</v>
      </c>
      <c r="B4067" s="6" t="s">
        <v>276</v>
      </c>
      <c r="C4067" s="13">
        <v>104</v>
      </c>
      <c r="D4067" s="14" t="s">
        <v>90</v>
      </c>
      <c r="E4067">
        <v>8</v>
      </c>
      <c r="F4067" s="8">
        <f>VLOOKUP(financials[[#This Row],[productid]],Products!$B$2:$H$10,3)</f>
        <v>5.9</v>
      </c>
      <c r="G4067" s="8">
        <f>financials[[#This Row],[Units Sold]]*financials[[#This Row],[Sale Price]]</f>
        <v>47.2</v>
      </c>
      <c r="H4067" s="8">
        <f>IF(financials[[#This Row],[Discount Band]]="low",0.1,IF(financials[[#This Row],[Discount Band]]="medium",0.15,0.3))</f>
        <v>0.15</v>
      </c>
      <c r="I4067" s="8">
        <f>financials[[#This Row],[Gross Sales]]-financials[[#This Row],[Gross Sales]]*financials[[#This Row],[Discounts]]</f>
        <v>40.120000000000005</v>
      </c>
      <c r="J4067" s="8">
        <f>VLOOKUP(financials[[#This Row],[productid]],Products!$B$2:$H$10,4)</f>
        <v>2.9</v>
      </c>
      <c r="K4067" s="8">
        <f>financials[[#This Row],[Net Sales]]-financials[[#This Row],[COGS]]</f>
        <v>37.220000000000006</v>
      </c>
      <c r="L4067" s="15">
        <v>45195</v>
      </c>
      <c r="M4067" t="s">
        <v>690</v>
      </c>
    </row>
    <row r="4068" spans="1:13" x14ac:dyDescent="0.25">
      <c r="A4068" t="s">
        <v>88</v>
      </c>
      <c r="B4068" s="6" t="s">
        <v>167</v>
      </c>
      <c r="C4068" s="13">
        <v>106</v>
      </c>
      <c r="D4068" s="14" t="s">
        <v>83</v>
      </c>
      <c r="E4068">
        <v>11</v>
      </c>
      <c r="F4068" s="8">
        <f>VLOOKUP(financials[[#This Row],[productid]],Products!$B$2:$H$10,3)</f>
        <v>25</v>
      </c>
      <c r="G4068" s="8">
        <f>financials[[#This Row],[Units Sold]]*financials[[#This Row],[Sale Price]]</f>
        <v>275</v>
      </c>
      <c r="H4068" s="8">
        <f>IF(financials[[#This Row],[Discount Band]]="low",0.1,IF(financials[[#This Row],[Discount Band]]="medium",0.15,0.3))</f>
        <v>0.3</v>
      </c>
      <c r="I4068" s="8">
        <f>financials[[#This Row],[Gross Sales]]-financials[[#This Row],[Gross Sales]]*financials[[#This Row],[Discounts]]</f>
        <v>192.5</v>
      </c>
      <c r="J4068" s="8">
        <f>VLOOKUP(financials[[#This Row],[productid]],Products!$B$2:$H$10,4)</f>
        <v>9.1</v>
      </c>
      <c r="K4068" s="8">
        <f>financials[[#This Row],[Net Sales]]-financials[[#This Row],[COGS]]</f>
        <v>183.4</v>
      </c>
      <c r="L4068" s="15">
        <v>45245</v>
      </c>
      <c r="M4068" t="s">
        <v>691</v>
      </c>
    </row>
    <row r="4069" spans="1:13" x14ac:dyDescent="0.25">
      <c r="A4069" t="s">
        <v>88</v>
      </c>
      <c r="B4069" s="6" t="s">
        <v>268</v>
      </c>
      <c r="C4069" s="11">
        <v>103</v>
      </c>
      <c r="D4069" s="9" t="s">
        <v>91</v>
      </c>
      <c r="E4069">
        <v>6</v>
      </c>
      <c r="F4069" s="8">
        <f>VLOOKUP(financials[[#This Row],[productid]],Products!$B$2:$H$10,3)</f>
        <v>28</v>
      </c>
      <c r="G4069" s="8">
        <f>financials[[#This Row],[Units Sold]]*financials[[#This Row],[Sale Price]]</f>
        <v>168</v>
      </c>
      <c r="H4069" s="8">
        <f>IF(financials[[#This Row],[Discount Band]]="low",0.1,IF(financials[[#This Row],[Discount Band]]="medium",0.15,0.3))</f>
        <v>0.1</v>
      </c>
      <c r="I4069" s="8">
        <f>financials[[#This Row],[Gross Sales]]-financials[[#This Row],[Gross Sales]]*financials[[#This Row],[Discounts]]</f>
        <v>151.19999999999999</v>
      </c>
      <c r="J4069" s="8">
        <f>VLOOKUP(financials[[#This Row],[productid]],Products!$B$2:$H$10,4)</f>
        <v>15</v>
      </c>
      <c r="K4069" s="8">
        <f>financials[[#This Row],[Net Sales]]-financials[[#This Row],[COGS]]</f>
        <v>136.19999999999999</v>
      </c>
      <c r="L4069" s="15">
        <v>45135</v>
      </c>
      <c r="M4069" t="s">
        <v>690</v>
      </c>
    </row>
    <row r="4070" spans="1:13" x14ac:dyDescent="0.25">
      <c r="A4070" t="s">
        <v>88</v>
      </c>
      <c r="B4070" s="6" t="s">
        <v>276</v>
      </c>
      <c r="C4070" s="13">
        <v>106</v>
      </c>
      <c r="D4070" s="14" t="s">
        <v>90</v>
      </c>
      <c r="E4070">
        <v>9</v>
      </c>
      <c r="F4070" s="8">
        <f>VLOOKUP(financials[[#This Row],[productid]],Products!$B$2:$H$10,3)</f>
        <v>25</v>
      </c>
      <c r="G4070" s="8">
        <f>financials[[#This Row],[Units Sold]]*financials[[#This Row],[Sale Price]]</f>
        <v>225</v>
      </c>
      <c r="H4070" s="8">
        <f>IF(financials[[#This Row],[Discount Band]]="low",0.1,IF(financials[[#This Row],[Discount Band]]="medium",0.15,0.3))</f>
        <v>0.15</v>
      </c>
      <c r="I4070" s="8">
        <f>financials[[#This Row],[Gross Sales]]-financials[[#This Row],[Gross Sales]]*financials[[#This Row],[Discounts]]</f>
        <v>191.25</v>
      </c>
      <c r="J4070" s="8">
        <f>VLOOKUP(financials[[#This Row],[productid]],Products!$B$2:$H$10,4)</f>
        <v>9.1</v>
      </c>
      <c r="K4070" s="8">
        <f>financials[[#This Row],[Net Sales]]-financials[[#This Row],[COGS]]</f>
        <v>182.15</v>
      </c>
      <c r="L4070" s="15">
        <v>43890</v>
      </c>
      <c r="M4070" t="s">
        <v>696</v>
      </c>
    </row>
    <row r="4071" spans="1:13" x14ac:dyDescent="0.25">
      <c r="A4071" t="s">
        <v>88</v>
      </c>
      <c r="B4071" s="6" t="s">
        <v>167</v>
      </c>
      <c r="C4071" s="13">
        <v>103</v>
      </c>
      <c r="D4071" s="14" t="s">
        <v>90</v>
      </c>
      <c r="E4071">
        <v>16</v>
      </c>
      <c r="F4071" s="8">
        <f>VLOOKUP(financials[[#This Row],[productid]],Products!$B$2:$H$10,3)</f>
        <v>28</v>
      </c>
      <c r="G4071" s="8">
        <f>financials[[#This Row],[Units Sold]]*financials[[#This Row],[Sale Price]]</f>
        <v>448</v>
      </c>
      <c r="H4071" s="8">
        <f>IF(financials[[#This Row],[Discount Band]]="low",0.1,IF(financials[[#This Row],[Discount Band]]="medium",0.15,0.3))</f>
        <v>0.15</v>
      </c>
      <c r="I4071" s="8">
        <f>financials[[#This Row],[Gross Sales]]-financials[[#This Row],[Gross Sales]]*financials[[#This Row],[Discounts]]</f>
        <v>380.8</v>
      </c>
      <c r="J4071" s="8">
        <f>VLOOKUP(financials[[#This Row],[productid]],Products!$B$2:$H$10,4)</f>
        <v>15</v>
      </c>
      <c r="K4071" s="8">
        <f>financials[[#This Row],[Net Sales]]-financials[[#This Row],[COGS]]</f>
        <v>365.8</v>
      </c>
      <c r="L4071" s="15">
        <v>44193</v>
      </c>
      <c r="M4071" t="s">
        <v>697</v>
      </c>
    </row>
    <row r="4072" spans="1:13" x14ac:dyDescent="0.25">
      <c r="A4072" t="s">
        <v>86</v>
      </c>
      <c r="B4072" s="6" t="s">
        <v>198</v>
      </c>
      <c r="C4072" s="13">
        <v>107</v>
      </c>
      <c r="D4072" s="14" t="s">
        <v>91</v>
      </c>
      <c r="E4072">
        <v>13</v>
      </c>
      <c r="F4072" s="8">
        <f>VLOOKUP(financials[[#This Row],[productid]],Products!$B$2:$H$10,3)</f>
        <v>15</v>
      </c>
      <c r="G4072" s="8">
        <f>financials[[#This Row],[Units Sold]]*financials[[#This Row],[Sale Price]]</f>
        <v>195</v>
      </c>
      <c r="H4072" s="8">
        <f>IF(financials[[#This Row],[Discount Band]]="low",0.1,IF(financials[[#This Row],[Discount Band]]="medium",0.15,0.3))</f>
        <v>0.1</v>
      </c>
      <c r="I4072" s="8">
        <f>financials[[#This Row],[Gross Sales]]-financials[[#This Row],[Gross Sales]]*financials[[#This Row],[Discounts]]</f>
        <v>175.5</v>
      </c>
      <c r="J4072" s="8">
        <f>VLOOKUP(financials[[#This Row],[productid]],Products!$B$2:$H$10,4)</f>
        <v>5.5</v>
      </c>
      <c r="K4072" s="8">
        <f>financials[[#This Row],[Net Sales]]-financials[[#This Row],[COGS]]</f>
        <v>170</v>
      </c>
      <c r="L4072" s="15">
        <v>44674</v>
      </c>
      <c r="M4072" t="s">
        <v>700</v>
      </c>
    </row>
    <row r="4073" spans="1:13" x14ac:dyDescent="0.25">
      <c r="A4073" t="s">
        <v>86</v>
      </c>
      <c r="B4073" s="6" t="s">
        <v>198</v>
      </c>
      <c r="C4073" s="13">
        <v>106</v>
      </c>
      <c r="D4073" s="14" t="s">
        <v>83</v>
      </c>
      <c r="E4073">
        <v>9</v>
      </c>
      <c r="F4073" s="8">
        <f>VLOOKUP(financials[[#This Row],[productid]],Products!$B$2:$H$10,3)</f>
        <v>25</v>
      </c>
      <c r="G4073" s="8">
        <f>financials[[#This Row],[Units Sold]]*financials[[#This Row],[Sale Price]]</f>
        <v>225</v>
      </c>
      <c r="H4073" s="8">
        <f>IF(financials[[#This Row],[Discount Band]]="low",0.1,IF(financials[[#This Row],[Discount Band]]="medium",0.15,0.3))</f>
        <v>0.3</v>
      </c>
      <c r="I4073" s="8">
        <f>financials[[#This Row],[Gross Sales]]-financials[[#This Row],[Gross Sales]]*financials[[#This Row],[Discounts]]</f>
        <v>157.5</v>
      </c>
      <c r="J4073" s="8">
        <f>VLOOKUP(financials[[#This Row],[productid]],Products!$B$2:$H$10,4)</f>
        <v>9.1</v>
      </c>
      <c r="K4073" s="8">
        <f>financials[[#This Row],[Net Sales]]-financials[[#This Row],[COGS]]</f>
        <v>148.4</v>
      </c>
      <c r="L4073" s="15">
        <v>44979</v>
      </c>
      <c r="M4073" t="s">
        <v>697</v>
      </c>
    </row>
    <row r="4074" spans="1:13" x14ac:dyDescent="0.25">
      <c r="A4074" t="s">
        <v>86</v>
      </c>
      <c r="B4074" s="6" t="s">
        <v>205</v>
      </c>
      <c r="C4074" s="11">
        <v>106</v>
      </c>
      <c r="D4074" s="9" t="s">
        <v>92</v>
      </c>
      <c r="E4074">
        <v>11</v>
      </c>
      <c r="F4074" s="8">
        <f>VLOOKUP(financials[[#This Row],[productid]],Products!$B$2:$H$10,3)</f>
        <v>25</v>
      </c>
      <c r="G4074" s="8">
        <f>financials[[#This Row],[Units Sold]]*financials[[#This Row],[Sale Price]]</f>
        <v>275</v>
      </c>
      <c r="H4074" s="8">
        <f>IF(financials[[#This Row],[Discount Band]]="low",0.1,IF(financials[[#This Row],[Discount Band]]="medium",0.15,0.3))</f>
        <v>0.3</v>
      </c>
      <c r="I4074" s="8">
        <f>financials[[#This Row],[Gross Sales]]-financials[[#This Row],[Gross Sales]]*financials[[#This Row],[Discounts]]</f>
        <v>192.5</v>
      </c>
      <c r="J4074" s="8">
        <f>VLOOKUP(financials[[#This Row],[productid]],Products!$B$2:$H$10,4)</f>
        <v>9.1</v>
      </c>
      <c r="K4074" s="8">
        <f>financials[[#This Row],[Net Sales]]-financials[[#This Row],[COGS]]</f>
        <v>183.4</v>
      </c>
      <c r="L4074" s="15">
        <v>43847</v>
      </c>
      <c r="M4074" t="s">
        <v>700</v>
      </c>
    </row>
    <row r="4075" spans="1:13" x14ac:dyDescent="0.25">
      <c r="A4075" t="s">
        <v>86</v>
      </c>
      <c r="B4075" s="6" t="s">
        <v>276</v>
      </c>
      <c r="C4075" s="13">
        <v>104</v>
      </c>
      <c r="D4075" s="14" t="s">
        <v>90</v>
      </c>
      <c r="E4075">
        <v>8</v>
      </c>
      <c r="F4075" s="8">
        <f>VLOOKUP(financials[[#This Row],[productid]],Products!$B$2:$H$10,3)</f>
        <v>5.9</v>
      </c>
      <c r="G4075" s="8">
        <f>financials[[#This Row],[Units Sold]]*financials[[#This Row],[Sale Price]]</f>
        <v>47.2</v>
      </c>
      <c r="H4075" s="8">
        <f>IF(financials[[#This Row],[Discount Band]]="low",0.1,IF(financials[[#This Row],[Discount Band]]="medium",0.15,0.3))</f>
        <v>0.15</v>
      </c>
      <c r="I4075" s="8">
        <f>financials[[#This Row],[Gross Sales]]-financials[[#This Row],[Gross Sales]]*financials[[#This Row],[Discounts]]</f>
        <v>40.120000000000005</v>
      </c>
      <c r="J4075" s="8">
        <f>VLOOKUP(financials[[#This Row],[productid]],Products!$B$2:$H$10,4)</f>
        <v>2.9</v>
      </c>
      <c r="K4075" s="8">
        <f>financials[[#This Row],[Net Sales]]-financials[[#This Row],[COGS]]</f>
        <v>37.220000000000006</v>
      </c>
      <c r="L4075" s="15">
        <v>44844</v>
      </c>
      <c r="M4075" t="s">
        <v>696</v>
      </c>
    </row>
    <row r="4076" spans="1:13" x14ac:dyDescent="0.25">
      <c r="A4076" t="s">
        <v>88</v>
      </c>
      <c r="B4076" s="6" t="s">
        <v>198</v>
      </c>
      <c r="C4076" s="13">
        <v>101</v>
      </c>
      <c r="D4076" s="14" t="s">
        <v>90</v>
      </c>
      <c r="E4076">
        <v>5</v>
      </c>
      <c r="F4076" s="8">
        <f>VLOOKUP(financials[[#This Row],[productid]],Products!$B$2:$H$10,3)</f>
        <v>23</v>
      </c>
      <c r="G4076" s="8">
        <f>financials[[#This Row],[Units Sold]]*financials[[#This Row],[Sale Price]]</f>
        <v>115</v>
      </c>
      <c r="H4076" s="8">
        <f>IF(financials[[#This Row],[Discount Band]]="low",0.1,IF(financials[[#This Row],[Discount Band]]="medium",0.15,0.3))</f>
        <v>0.15</v>
      </c>
      <c r="I4076" s="8">
        <f>financials[[#This Row],[Gross Sales]]-financials[[#This Row],[Gross Sales]]*financials[[#This Row],[Discounts]]</f>
        <v>97.75</v>
      </c>
      <c r="J4076" s="8">
        <f>VLOOKUP(financials[[#This Row],[productid]],Products!$B$2:$H$10,4)</f>
        <v>9.9499999999999993</v>
      </c>
      <c r="K4076" s="8">
        <f>financials[[#This Row],[Net Sales]]-financials[[#This Row],[COGS]]</f>
        <v>87.8</v>
      </c>
      <c r="L4076" s="15">
        <v>45051</v>
      </c>
      <c r="M4076" t="s">
        <v>690</v>
      </c>
    </row>
    <row r="4077" spans="1:13" x14ac:dyDescent="0.25">
      <c r="A4077" t="s">
        <v>87</v>
      </c>
      <c r="B4077" s="6" t="s">
        <v>84</v>
      </c>
      <c r="C4077" s="11">
        <v>107</v>
      </c>
      <c r="D4077" s="9" t="s">
        <v>90</v>
      </c>
      <c r="E4077">
        <v>18</v>
      </c>
      <c r="F4077" s="8">
        <f>VLOOKUP(financials[[#This Row],[productid]],Products!$B$2:$H$10,3)</f>
        <v>15</v>
      </c>
      <c r="G4077" s="8">
        <f>financials[[#This Row],[Units Sold]]*financials[[#This Row],[Sale Price]]</f>
        <v>270</v>
      </c>
      <c r="H4077" s="8">
        <f>IF(financials[[#This Row],[Discount Band]]="low",0.1,IF(financials[[#This Row],[Discount Band]]="medium",0.15,0.3))</f>
        <v>0.15</v>
      </c>
      <c r="I4077" s="8">
        <f>financials[[#This Row],[Gross Sales]]-financials[[#This Row],[Gross Sales]]*financials[[#This Row],[Discounts]]</f>
        <v>229.5</v>
      </c>
      <c r="J4077" s="8">
        <f>VLOOKUP(financials[[#This Row],[productid]],Products!$B$2:$H$10,4)</f>
        <v>5.5</v>
      </c>
      <c r="K4077" s="8">
        <f>financials[[#This Row],[Net Sales]]-financials[[#This Row],[COGS]]</f>
        <v>224</v>
      </c>
      <c r="L4077" s="15">
        <v>44043</v>
      </c>
      <c r="M4077" t="s">
        <v>697</v>
      </c>
    </row>
    <row r="4078" spans="1:13" x14ac:dyDescent="0.25">
      <c r="A4078" t="s">
        <v>87</v>
      </c>
      <c r="B4078" s="6" t="s">
        <v>84</v>
      </c>
      <c r="C4078" s="13">
        <v>103</v>
      </c>
      <c r="D4078" s="14" t="s">
        <v>83</v>
      </c>
      <c r="E4078">
        <v>16</v>
      </c>
      <c r="F4078" s="8">
        <f>VLOOKUP(financials[[#This Row],[productid]],Products!$B$2:$H$10,3)</f>
        <v>28</v>
      </c>
      <c r="G4078" s="8">
        <f>financials[[#This Row],[Units Sold]]*financials[[#This Row],[Sale Price]]</f>
        <v>448</v>
      </c>
      <c r="H4078" s="8">
        <f>IF(financials[[#This Row],[Discount Band]]="low",0.1,IF(financials[[#This Row],[Discount Band]]="medium",0.15,0.3))</f>
        <v>0.3</v>
      </c>
      <c r="I4078" s="8">
        <f>financials[[#This Row],[Gross Sales]]-financials[[#This Row],[Gross Sales]]*financials[[#This Row],[Discounts]]</f>
        <v>313.60000000000002</v>
      </c>
      <c r="J4078" s="8">
        <f>VLOOKUP(financials[[#This Row],[productid]],Products!$B$2:$H$10,4)</f>
        <v>15</v>
      </c>
      <c r="K4078" s="8">
        <f>financials[[#This Row],[Net Sales]]-financials[[#This Row],[COGS]]</f>
        <v>298.60000000000002</v>
      </c>
      <c r="L4078" s="15">
        <v>44526</v>
      </c>
      <c r="M4078" t="s">
        <v>691</v>
      </c>
    </row>
    <row r="4079" spans="1:13" x14ac:dyDescent="0.25">
      <c r="A4079" t="s">
        <v>88</v>
      </c>
      <c r="B4079" s="6" t="s">
        <v>273</v>
      </c>
      <c r="C4079" s="11">
        <v>103</v>
      </c>
      <c r="D4079" s="9" t="s">
        <v>90</v>
      </c>
      <c r="E4079">
        <v>11</v>
      </c>
      <c r="F4079" s="8">
        <f>VLOOKUP(financials[[#This Row],[productid]],Products!$B$2:$H$10,3)</f>
        <v>28</v>
      </c>
      <c r="G4079" s="8">
        <f>financials[[#This Row],[Units Sold]]*financials[[#This Row],[Sale Price]]</f>
        <v>308</v>
      </c>
      <c r="H4079" s="8">
        <f>IF(financials[[#This Row],[Discount Band]]="low",0.1,IF(financials[[#This Row],[Discount Band]]="medium",0.15,0.3))</f>
        <v>0.15</v>
      </c>
      <c r="I4079" s="8">
        <f>financials[[#This Row],[Gross Sales]]-financials[[#This Row],[Gross Sales]]*financials[[#This Row],[Discounts]]</f>
        <v>261.8</v>
      </c>
      <c r="J4079" s="8">
        <f>VLOOKUP(financials[[#This Row],[productid]],Products!$B$2:$H$10,4)</f>
        <v>15</v>
      </c>
      <c r="K4079" s="8">
        <f>financials[[#This Row],[Net Sales]]-financials[[#This Row],[COGS]]</f>
        <v>246.8</v>
      </c>
      <c r="L4079" s="15">
        <v>44547</v>
      </c>
      <c r="M4079" t="s">
        <v>696</v>
      </c>
    </row>
    <row r="4080" spans="1:13" x14ac:dyDescent="0.25">
      <c r="A4080" t="s">
        <v>86</v>
      </c>
      <c r="B4080" s="6" t="s">
        <v>276</v>
      </c>
      <c r="C4080" s="13">
        <v>108</v>
      </c>
      <c r="D4080" s="14" t="s">
        <v>90</v>
      </c>
      <c r="E4080">
        <v>17</v>
      </c>
      <c r="F4080" s="8">
        <f>VLOOKUP(financials[[#This Row],[productid]],Products!$B$2:$H$10,3)</f>
        <v>5.5</v>
      </c>
      <c r="G4080" s="8">
        <f>financials[[#This Row],[Units Sold]]*financials[[#This Row],[Sale Price]]</f>
        <v>93.5</v>
      </c>
      <c r="H4080" s="8">
        <f>IF(financials[[#This Row],[Discount Band]]="low",0.1,IF(financials[[#This Row],[Discount Band]]="medium",0.15,0.3))</f>
        <v>0.15</v>
      </c>
      <c r="I4080" s="8">
        <f>financials[[#This Row],[Gross Sales]]-financials[[#This Row],[Gross Sales]]*financials[[#This Row],[Discounts]]</f>
        <v>79.474999999999994</v>
      </c>
      <c r="J4080" s="8">
        <f>VLOOKUP(financials[[#This Row],[productid]],Products!$B$2:$H$10,4)</f>
        <v>3.99</v>
      </c>
      <c r="K4080" s="8">
        <f>financials[[#This Row],[Net Sales]]-financials[[#This Row],[COGS]]</f>
        <v>75.484999999999999</v>
      </c>
      <c r="L4080" s="15">
        <v>44583</v>
      </c>
      <c r="M4080" t="s">
        <v>700</v>
      </c>
    </row>
    <row r="4081" spans="1:13" x14ac:dyDescent="0.25">
      <c r="A4081" t="s">
        <v>87</v>
      </c>
      <c r="B4081" s="6" t="s">
        <v>84</v>
      </c>
      <c r="C4081" s="13">
        <v>104</v>
      </c>
      <c r="D4081" s="14" t="s">
        <v>83</v>
      </c>
      <c r="E4081">
        <v>8</v>
      </c>
      <c r="F4081" s="8">
        <f>VLOOKUP(financials[[#This Row],[productid]],Products!$B$2:$H$10,3)</f>
        <v>5.9</v>
      </c>
      <c r="G4081" s="8">
        <f>financials[[#This Row],[Units Sold]]*financials[[#This Row],[Sale Price]]</f>
        <v>47.2</v>
      </c>
      <c r="H4081" s="8">
        <f>IF(financials[[#This Row],[Discount Band]]="low",0.1,IF(financials[[#This Row],[Discount Band]]="medium",0.15,0.3))</f>
        <v>0.3</v>
      </c>
      <c r="I4081" s="8">
        <f>financials[[#This Row],[Gross Sales]]-financials[[#This Row],[Gross Sales]]*financials[[#This Row],[Discounts]]</f>
        <v>33.040000000000006</v>
      </c>
      <c r="J4081" s="8">
        <f>VLOOKUP(financials[[#This Row],[productid]],Products!$B$2:$H$10,4)</f>
        <v>2.9</v>
      </c>
      <c r="K4081" s="8">
        <f>financials[[#This Row],[Net Sales]]-financials[[#This Row],[COGS]]</f>
        <v>30.140000000000008</v>
      </c>
      <c r="L4081" s="15">
        <v>44383</v>
      </c>
      <c r="M4081" t="s">
        <v>690</v>
      </c>
    </row>
    <row r="4082" spans="1:13" x14ac:dyDescent="0.25">
      <c r="A4082" t="s">
        <v>88</v>
      </c>
      <c r="B4082" s="6" t="s">
        <v>276</v>
      </c>
      <c r="C4082" s="13">
        <v>108</v>
      </c>
      <c r="D4082" s="14" t="s">
        <v>91</v>
      </c>
      <c r="E4082">
        <v>17</v>
      </c>
      <c r="F4082" s="8">
        <f>VLOOKUP(financials[[#This Row],[productid]],Products!$B$2:$H$10,3)</f>
        <v>5.5</v>
      </c>
      <c r="G4082" s="8">
        <f>financials[[#This Row],[Units Sold]]*financials[[#This Row],[Sale Price]]</f>
        <v>93.5</v>
      </c>
      <c r="H4082" s="8">
        <f>IF(financials[[#This Row],[Discount Band]]="low",0.1,IF(financials[[#This Row],[Discount Band]]="medium",0.15,0.3))</f>
        <v>0.1</v>
      </c>
      <c r="I4082" s="8">
        <f>financials[[#This Row],[Gross Sales]]-financials[[#This Row],[Gross Sales]]*financials[[#This Row],[Discounts]]</f>
        <v>84.15</v>
      </c>
      <c r="J4082" s="8">
        <f>VLOOKUP(financials[[#This Row],[productid]],Products!$B$2:$H$10,4)</f>
        <v>3.99</v>
      </c>
      <c r="K4082" s="8">
        <f>financials[[#This Row],[Net Sales]]-financials[[#This Row],[COGS]]</f>
        <v>80.160000000000011</v>
      </c>
      <c r="L4082" s="15">
        <v>44701</v>
      </c>
      <c r="M4082" t="s">
        <v>690</v>
      </c>
    </row>
    <row r="4083" spans="1:13" x14ac:dyDescent="0.25">
      <c r="A4083" t="s">
        <v>87</v>
      </c>
      <c r="B4083" s="6" t="s">
        <v>159</v>
      </c>
      <c r="C4083" s="11">
        <v>104</v>
      </c>
      <c r="D4083" s="9" t="s">
        <v>91</v>
      </c>
      <c r="E4083">
        <v>15</v>
      </c>
      <c r="F4083" s="8">
        <f>VLOOKUP(financials[[#This Row],[productid]],Products!$B$2:$H$10,3)</f>
        <v>5.9</v>
      </c>
      <c r="G4083" s="8">
        <f>financials[[#This Row],[Units Sold]]*financials[[#This Row],[Sale Price]]</f>
        <v>88.5</v>
      </c>
      <c r="H4083" s="8">
        <f>IF(financials[[#This Row],[Discount Band]]="low",0.1,IF(financials[[#This Row],[Discount Band]]="medium",0.15,0.3))</f>
        <v>0.1</v>
      </c>
      <c r="I4083" s="8">
        <f>financials[[#This Row],[Gross Sales]]-financials[[#This Row],[Gross Sales]]*financials[[#This Row],[Discounts]]</f>
        <v>79.650000000000006</v>
      </c>
      <c r="J4083" s="8">
        <f>VLOOKUP(financials[[#This Row],[productid]],Products!$B$2:$H$10,4)</f>
        <v>2.9</v>
      </c>
      <c r="K4083" s="8">
        <f>financials[[#This Row],[Net Sales]]-financials[[#This Row],[COGS]]</f>
        <v>76.75</v>
      </c>
      <c r="L4083" s="15">
        <v>44356</v>
      </c>
      <c r="M4083" t="s">
        <v>690</v>
      </c>
    </row>
    <row r="4084" spans="1:13" x14ac:dyDescent="0.25">
      <c r="A4084" t="s">
        <v>88</v>
      </c>
      <c r="B4084" s="6" t="s">
        <v>268</v>
      </c>
      <c r="C4084" s="11">
        <v>108</v>
      </c>
      <c r="D4084" s="9" t="s">
        <v>90</v>
      </c>
      <c r="E4084">
        <v>12</v>
      </c>
      <c r="F4084" s="8">
        <f>VLOOKUP(financials[[#This Row],[productid]],Products!$B$2:$H$10,3)</f>
        <v>5.5</v>
      </c>
      <c r="G4084" s="8">
        <f>financials[[#This Row],[Units Sold]]*financials[[#This Row],[Sale Price]]</f>
        <v>66</v>
      </c>
      <c r="H4084" s="8">
        <f>IF(financials[[#This Row],[Discount Band]]="low",0.1,IF(financials[[#This Row],[Discount Band]]="medium",0.15,0.3))</f>
        <v>0.15</v>
      </c>
      <c r="I4084" s="8">
        <f>financials[[#This Row],[Gross Sales]]-financials[[#This Row],[Gross Sales]]*financials[[#This Row],[Discounts]]</f>
        <v>56.1</v>
      </c>
      <c r="J4084" s="8">
        <f>VLOOKUP(financials[[#This Row],[productid]],Products!$B$2:$H$10,4)</f>
        <v>3.99</v>
      </c>
      <c r="K4084" s="8">
        <f>financials[[#This Row],[Net Sales]]-financials[[#This Row],[COGS]]</f>
        <v>52.11</v>
      </c>
      <c r="L4084" s="15">
        <v>45022</v>
      </c>
      <c r="M4084" t="s">
        <v>691</v>
      </c>
    </row>
    <row r="4085" spans="1:13" x14ac:dyDescent="0.25">
      <c r="A4085" t="s">
        <v>88</v>
      </c>
      <c r="B4085" s="6" t="s">
        <v>94</v>
      </c>
      <c r="C4085" s="13">
        <v>102</v>
      </c>
      <c r="D4085" s="14" t="s">
        <v>90</v>
      </c>
      <c r="E4085">
        <v>8</v>
      </c>
      <c r="F4085" s="8">
        <f>VLOOKUP(financials[[#This Row],[productid]],Products!$B$2:$H$10,3)</f>
        <v>15</v>
      </c>
      <c r="G4085" s="8">
        <f>financials[[#This Row],[Units Sold]]*financials[[#This Row],[Sale Price]]</f>
        <v>120</v>
      </c>
      <c r="H4085" s="8">
        <f>IF(financials[[#This Row],[Discount Band]]="low",0.1,IF(financials[[#This Row],[Discount Band]]="medium",0.15,0.3))</f>
        <v>0.15</v>
      </c>
      <c r="I4085" s="8">
        <f>financials[[#This Row],[Gross Sales]]-financials[[#This Row],[Gross Sales]]*financials[[#This Row],[Discounts]]</f>
        <v>102</v>
      </c>
      <c r="J4085" s="8">
        <f>VLOOKUP(financials[[#This Row],[productid]],Products!$B$2:$H$10,4)</f>
        <v>13.95</v>
      </c>
      <c r="K4085" s="8">
        <f>financials[[#This Row],[Net Sales]]-financials[[#This Row],[COGS]]</f>
        <v>88.05</v>
      </c>
      <c r="L4085" s="15">
        <v>44932</v>
      </c>
      <c r="M4085" t="s">
        <v>690</v>
      </c>
    </row>
    <row r="4086" spans="1:13" x14ac:dyDescent="0.25">
      <c r="A4086" t="s">
        <v>86</v>
      </c>
      <c r="B4086" s="6" t="s">
        <v>198</v>
      </c>
      <c r="C4086" s="13">
        <v>102</v>
      </c>
      <c r="D4086" s="14" t="s">
        <v>91</v>
      </c>
      <c r="E4086">
        <v>11</v>
      </c>
      <c r="F4086" s="8">
        <f>VLOOKUP(financials[[#This Row],[productid]],Products!$B$2:$H$10,3)</f>
        <v>15</v>
      </c>
      <c r="G4086" s="8">
        <f>financials[[#This Row],[Units Sold]]*financials[[#This Row],[Sale Price]]</f>
        <v>165</v>
      </c>
      <c r="H4086" s="8">
        <f>IF(financials[[#This Row],[Discount Band]]="low",0.1,IF(financials[[#This Row],[Discount Band]]="medium",0.15,0.3))</f>
        <v>0.1</v>
      </c>
      <c r="I4086" s="8">
        <f>financials[[#This Row],[Gross Sales]]-financials[[#This Row],[Gross Sales]]*financials[[#This Row],[Discounts]]</f>
        <v>148.5</v>
      </c>
      <c r="J4086" s="8">
        <f>VLOOKUP(financials[[#This Row],[productid]],Products!$B$2:$H$10,4)</f>
        <v>13.95</v>
      </c>
      <c r="K4086" s="8">
        <f>financials[[#This Row],[Net Sales]]-financials[[#This Row],[COGS]]</f>
        <v>134.55000000000001</v>
      </c>
      <c r="L4086" s="15">
        <v>45533</v>
      </c>
      <c r="M4086" t="s">
        <v>700</v>
      </c>
    </row>
    <row r="4087" spans="1:13" x14ac:dyDescent="0.25">
      <c r="A4087" t="s">
        <v>88</v>
      </c>
      <c r="B4087" s="6" t="s">
        <v>205</v>
      </c>
      <c r="C4087" s="11">
        <v>103</v>
      </c>
      <c r="D4087" s="9" t="s">
        <v>90</v>
      </c>
      <c r="E4087">
        <v>15</v>
      </c>
      <c r="F4087" s="8">
        <f>VLOOKUP(financials[[#This Row],[productid]],Products!$B$2:$H$10,3)</f>
        <v>28</v>
      </c>
      <c r="G4087" s="8">
        <f>financials[[#This Row],[Units Sold]]*financials[[#This Row],[Sale Price]]</f>
        <v>420</v>
      </c>
      <c r="H4087" s="8">
        <f>IF(financials[[#This Row],[Discount Band]]="low",0.1,IF(financials[[#This Row],[Discount Band]]="medium",0.15,0.3))</f>
        <v>0.15</v>
      </c>
      <c r="I4087" s="8">
        <f>financials[[#This Row],[Gross Sales]]-financials[[#This Row],[Gross Sales]]*financials[[#This Row],[Discounts]]</f>
        <v>357</v>
      </c>
      <c r="J4087" s="8">
        <f>VLOOKUP(financials[[#This Row],[productid]],Products!$B$2:$H$10,4)</f>
        <v>15</v>
      </c>
      <c r="K4087" s="8">
        <f>financials[[#This Row],[Net Sales]]-financials[[#This Row],[COGS]]</f>
        <v>342</v>
      </c>
      <c r="L4087" s="15">
        <v>45347</v>
      </c>
      <c r="M4087" t="s">
        <v>690</v>
      </c>
    </row>
    <row r="4088" spans="1:13" x14ac:dyDescent="0.25">
      <c r="A4088" t="s">
        <v>86</v>
      </c>
      <c r="B4088" s="6" t="s">
        <v>273</v>
      </c>
      <c r="C4088" s="13">
        <v>108</v>
      </c>
      <c r="D4088" s="14" t="s">
        <v>83</v>
      </c>
      <c r="E4088">
        <v>5</v>
      </c>
      <c r="F4088" s="8">
        <f>VLOOKUP(financials[[#This Row],[productid]],Products!$B$2:$H$10,3)</f>
        <v>5.5</v>
      </c>
      <c r="G4088" s="8">
        <f>financials[[#This Row],[Units Sold]]*financials[[#This Row],[Sale Price]]</f>
        <v>27.5</v>
      </c>
      <c r="H4088" s="8">
        <f>IF(financials[[#This Row],[Discount Band]]="low",0.1,IF(financials[[#This Row],[Discount Band]]="medium",0.15,0.3))</f>
        <v>0.3</v>
      </c>
      <c r="I4088" s="8">
        <f>financials[[#This Row],[Gross Sales]]-financials[[#This Row],[Gross Sales]]*financials[[#This Row],[Discounts]]</f>
        <v>19.25</v>
      </c>
      <c r="J4088" s="8">
        <f>VLOOKUP(financials[[#This Row],[productid]],Products!$B$2:$H$10,4)</f>
        <v>3.99</v>
      </c>
      <c r="K4088" s="8">
        <f>financials[[#This Row],[Net Sales]]-financials[[#This Row],[COGS]]</f>
        <v>15.26</v>
      </c>
      <c r="L4088" s="15">
        <v>45448</v>
      </c>
      <c r="M4088" t="s">
        <v>696</v>
      </c>
    </row>
    <row r="4089" spans="1:13" x14ac:dyDescent="0.25">
      <c r="A4089" t="s">
        <v>86</v>
      </c>
      <c r="B4089" s="6" t="s">
        <v>205</v>
      </c>
      <c r="C4089" s="11">
        <v>109</v>
      </c>
      <c r="D4089" s="9" t="s">
        <v>90</v>
      </c>
      <c r="E4089">
        <v>14</v>
      </c>
      <c r="F4089" s="8">
        <f>VLOOKUP(financials[[#This Row],[productid]],Products!$B$2:$H$10,3)</f>
        <v>36</v>
      </c>
      <c r="G4089" s="8">
        <f>financials[[#This Row],[Units Sold]]*financials[[#This Row],[Sale Price]]</f>
        <v>504</v>
      </c>
      <c r="H4089" s="8">
        <f>IF(financials[[#This Row],[Discount Band]]="low",0.1,IF(financials[[#This Row],[Discount Band]]="medium",0.15,0.3))</f>
        <v>0.15</v>
      </c>
      <c r="I4089" s="8">
        <f>financials[[#This Row],[Gross Sales]]-financials[[#This Row],[Gross Sales]]*financials[[#This Row],[Discounts]]</f>
        <v>428.4</v>
      </c>
      <c r="J4089" s="8">
        <f>VLOOKUP(financials[[#This Row],[productid]],Products!$B$2:$H$10,4)</f>
        <v>16.8</v>
      </c>
      <c r="K4089" s="8">
        <f>financials[[#This Row],[Net Sales]]-financials[[#This Row],[COGS]]</f>
        <v>411.59999999999997</v>
      </c>
      <c r="L4089" s="15">
        <v>45033</v>
      </c>
      <c r="M4089" t="s">
        <v>690</v>
      </c>
    </row>
    <row r="4090" spans="1:13" x14ac:dyDescent="0.25">
      <c r="A4090" t="s">
        <v>88</v>
      </c>
      <c r="B4090" s="6" t="s">
        <v>198</v>
      </c>
      <c r="C4090" s="13">
        <v>107</v>
      </c>
      <c r="D4090" s="14" t="s">
        <v>90</v>
      </c>
      <c r="E4090">
        <v>19</v>
      </c>
      <c r="F4090" s="8">
        <f>VLOOKUP(financials[[#This Row],[productid]],Products!$B$2:$H$10,3)</f>
        <v>15</v>
      </c>
      <c r="G4090" s="8">
        <f>financials[[#This Row],[Units Sold]]*financials[[#This Row],[Sale Price]]</f>
        <v>285</v>
      </c>
      <c r="H4090" s="8">
        <f>IF(financials[[#This Row],[Discount Band]]="low",0.1,IF(financials[[#This Row],[Discount Band]]="medium",0.15,0.3))</f>
        <v>0.15</v>
      </c>
      <c r="I4090" s="8">
        <f>financials[[#This Row],[Gross Sales]]-financials[[#This Row],[Gross Sales]]*financials[[#This Row],[Discounts]]</f>
        <v>242.25</v>
      </c>
      <c r="J4090" s="8">
        <f>VLOOKUP(financials[[#This Row],[productid]],Products!$B$2:$H$10,4)</f>
        <v>5.5</v>
      </c>
      <c r="K4090" s="8">
        <f>financials[[#This Row],[Net Sales]]-financials[[#This Row],[COGS]]</f>
        <v>236.75</v>
      </c>
      <c r="L4090" s="15">
        <v>43847</v>
      </c>
      <c r="M4090" t="s">
        <v>700</v>
      </c>
    </row>
    <row r="4091" spans="1:13" x14ac:dyDescent="0.25">
      <c r="A4091" t="s">
        <v>88</v>
      </c>
      <c r="B4091" s="6" t="s">
        <v>205</v>
      </c>
      <c r="C4091" s="13">
        <v>108</v>
      </c>
      <c r="D4091" s="14" t="s">
        <v>83</v>
      </c>
      <c r="E4091">
        <v>9</v>
      </c>
      <c r="F4091" s="8">
        <f>VLOOKUP(financials[[#This Row],[productid]],Products!$B$2:$H$10,3)</f>
        <v>5.5</v>
      </c>
      <c r="G4091" s="8">
        <f>financials[[#This Row],[Units Sold]]*financials[[#This Row],[Sale Price]]</f>
        <v>49.5</v>
      </c>
      <c r="H4091" s="8">
        <f>IF(financials[[#This Row],[Discount Band]]="low",0.1,IF(financials[[#This Row],[Discount Band]]="medium",0.15,0.3))</f>
        <v>0.3</v>
      </c>
      <c r="I4091" s="8">
        <f>financials[[#This Row],[Gross Sales]]-financials[[#This Row],[Gross Sales]]*financials[[#This Row],[Discounts]]</f>
        <v>34.65</v>
      </c>
      <c r="J4091" s="8">
        <f>VLOOKUP(financials[[#This Row],[productid]],Products!$B$2:$H$10,4)</f>
        <v>3.99</v>
      </c>
      <c r="K4091" s="8">
        <f>financials[[#This Row],[Net Sales]]-financials[[#This Row],[COGS]]</f>
        <v>30.659999999999997</v>
      </c>
      <c r="L4091" s="15">
        <v>44798</v>
      </c>
      <c r="M4091" t="s">
        <v>690</v>
      </c>
    </row>
    <row r="4092" spans="1:13" x14ac:dyDescent="0.25">
      <c r="A4092" t="s">
        <v>88</v>
      </c>
      <c r="B4092" s="6" t="s">
        <v>273</v>
      </c>
      <c r="C4092" s="13">
        <v>108</v>
      </c>
      <c r="D4092" s="14" t="s">
        <v>90</v>
      </c>
      <c r="E4092">
        <v>7</v>
      </c>
      <c r="F4092" s="8">
        <f>VLOOKUP(financials[[#This Row],[productid]],Products!$B$2:$H$10,3)</f>
        <v>5.5</v>
      </c>
      <c r="G4092" s="8">
        <f>financials[[#This Row],[Units Sold]]*financials[[#This Row],[Sale Price]]</f>
        <v>38.5</v>
      </c>
      <c r="H4092" s="8">
        <f>IF(financials[[#This Row],[Discount Band]]="low",0.1,IF(financials[[#This Row],[Discount Band]]="medium",0.15,0.3))</f>
        <v>0.15</v>
      </c>
      <c r="I4092" s="8">
        <f>financials[[#This Row],[Gross Sales]]-financials[[#This Row],[Gross Sales]]*financials[[#This Row],[Discounts]]</f>
        <v>32.725000000000001</v>
      </c>
      <c r="J4092" s="8">
        <f>VLOOKUP(financials[[#This Row],[productid]],Products!$B$2:$H$10,4)</f>
        <v>3.99</v>
      </c>
      <c r="K4092" s="8">
        <f>financials[[#This Row],[Net Sales]]-financials[[#This Row],[COGS]]</f>
        <v>28.734999999999999</v>
      </c>
      <c r="L4092" s="15">
        <v>45166</v>
      </c>
      <c r="M4092" t="s">
        <v>700</v>
      </c>
    </row>
    <row r="4093" spans="1:13" x14ac:dyDescent="0.25">
      <c r="A4093" t="s">
        <v>88</v>
      </c>
      <c r="B4093" s="6" t="s">
        <v>167</v>
      </c>
      <c r="C4093" s="13">
        <v>103</v>
      </c>
      <c r="D4093" s="14" t="s">
        <v>91</v>
      </c>
      <c r="E4093">
        <v>13</v>
      </c>
      <c r="F4093" s="8">
        <f>VLOOKUP(financials[[#This Row],[productid]],Products!$B$2:$H$10,3)</f>
        <v>28</v>
      </c>
      <c r="G4093" s="8">
        <f>financials[[#This Row],[Units Sold]]*financials[[#This Row],[Sale Price]]</f>
        <v>364</v>
      </c>
      <c r="H4093" s="8">
        <f>IF(financials[[#This Row],[Discount Band]]="low",0.1,IF(financials[[#This Row],[Discount Band]]="medium",0.15,0.3))</f>
        <v>0.1</v>
      </c>
      <c r="I4093" s="8">
        <f>financials[[#This Row],[Gross Sales]]-financials[[#This Row],[Gross Sales]]*financials[[#This Row],[Discounts]]</f>
        <v>327.60000000000002</v>
      </c>
      <c r="J4093" s="8">
        <f>VLOOKUP(financials[[#This Row],[productid]],Products!$B$2:$H$10,4)</f>
        <v>15</v>
      </c>
      <c r="K4093" s="8">
        <f>financials[[#This Row],[Net Sales]]-financials[[#This Row],[COGS]]</f>
        <v>312.60000000000002</v>
      </c>
      <c r="L4093" s="15">
        <v>44860</v>
      </c>
      <c r="M4093" t="s">
        <v>690</v>
      </c>
    </row>
    <row r="4094" spans="1:13" x14ac:dyDescent="0.25">
      <c r="A4094" t="s">
        <v>86</v>
      </c>
      <c r="B4094" s="6" t="s">
        <v>167</v>
      </c>
      <c r="C4094" s="13">
        <v>104</v>
      </c>
      <c r="D4094" s="14" t="s">
        <v>90</v>
      </c>
      <c r="E4094">
        <v>5</v>
      </c>
      <c r="F4094" s="8">
        <f>VLOOKUP(financials[[#This Row],[productid]],Products!$B$2:$H$10,3)</f>
        <v>5.9</v>
      </c>
      <c r="G4094" s="8">
        <f>financials[[#This Row],[Units Sold]]*financials[[#This Row],[Sale Price]]</f>
        <v>29.5</v>
      </c>
      <c r="H4094" s="8">
        <f>IF(financials[[#This Row],[Discount Band]]="low",0.1,IF(financials[[#This Row],[Discount Band]]="medium",0.15,0.3))</f>
        <v>0.15</v>
      </c>
      <c r="I4094" s="8">
        <f>financials[[#This Row],[Gross Sales]]-financials[[#This Row],[Gross Sales]]*financials[[#This Row],[Discounts]]</f>
        <v>25.074999999999999</v>
      </c>
      <c r="J4094" s="8">
        <f>VLOOKUP(financials[[#This Row],[productid]],Products!$B$2:$H$10,4)</f>
        <v>2.9</v>
      </c>
      <c r="K4094" s="8">
        <f>financials[[#This Row],[Net Sales]]-financials[[#This Row],[COGS]]</f>
        <v>22.175000000000001</v>
      </c>
      <c r="L4094" s="15">
        <v>44178</v>
      </c>
      <c r="M4094" t="s">
        <v>696</v>
      </c>
    </row>
    <row r="4095" spans="1:13" x14ac:dyDescent="0.25">
      <c r="A4095" t="s">
        <v>88</v>
      </c>
      <c r="B4095" s="6" t="s">
        <v>276</v>
      </c>
      <c r="C4095" s="13">
        <v>108</v>
      </c>
      <c r="D4095" s="14" t="s">
        <v>90</v>
      </c>
      <c r="E4095">
        <v>20</v>
      </c>
      <c r="F4095" s="8">
        <f>VLOOKUP(financials[[#This Row],[productid]],Products!$B$2:$H$10,3)</f>
        <v>5.5</v>
      </c>
      <c r="G4095" s="8">
        <f>financials[[#This Row],[Units Sold]]*financials[[#This Row],[Sale Price]]</f>
        <v>110</v>
      </c>
      <c r="H4095" s="8">
        <f>IF(financials[[#This Row],[Discount Band]]="low",0.1,IF(financials[[#This Row],[Discount Band]]="medium",0.15,0.3))</f>
        <v>0.15</v>
      </c>
      <c r="I4095" s="8">
        <f>financials[[#This Row],[Gross Sales]]-financials[[#This Row],[Gross Sales]]*financials[[#This Row],[Discounts]]</f>
        <v>93.5</v>
      </c>
      <c r="J4095" s="8">
        <f>VLOOKUP(financials[[#This Row],[productid]],Products!$B$2:$H$10,4)</f>
        <v>3.99</v>
      </c>
      <c r="K4095" s="8">
        <f>financials[[#This Row],[Net Sales]]-financials[[#This Row],[COGS]]</f>
        <v>89.51</v>
      </c>
      <c r="L4095" s="15">
        <v>44271</v>
      </c>
      <c r="M4095" t="s">
        <v>690</v>
      </c>
    </row>
    <row r="4096" spans="1:13" x14ac:dyDescent="0.25">
      <c r="A4096" t="s">
        <v>87</v>
      </c>
      <c r="B4096" s="6" t="s">
        <v>84</v>
      </c>
      <c r="C4096" s="11">
        <v>108</v>
      </c>
      <c r="D4096" s="9" t="s">
        <v>90</v>
      </c>
      <c r="E4096">
        <v>20</v>
      </c>
      <c r="F4096" s="8">
        <f>VLOOKUP(financials[[#This Row],[productid]],Products!$B$2:$H$10,3)</f>
        <v>5.5</v>
      </c>
      <c r="G4096" s="8">
        <f>financials[[#This Row],[Units Sold]]*financials[[#This Row],[Sale Price]]</f>
        <v>110</v>
      </c>
      <c r="H4096" s="8">
        <f>IF(financials[[#This Row],[Discount Band]]="low",0.1,IF(financials[[#This Row],[Discount Band]]="medium",0.15,0.3))</f>
        <v>0.15</v>
      </c>
      <c r="I4096" s="8">
        <f>financials[[#This Row],[Gross Sales]]-financials[[#This Row],[Gross Sales]]*financials[[#This Row],[Discounts]]</f>
        <v>93.5</v>
      </c>
      <c r="J4096" s="8">
        <f>VLOOKUP(financials[[#This Row],[productid]],Products!$B$2:$H$10,4)</f>
        <v>3.99</v>
      </c>
      <c r="K4096" s="8">
        <f>financials[[#This Row],[Net Sales]]-financials[[#This Row],[COGS]]</f>
        <v>89.51</v>
      </c>
      <c r="L4096" s="15">
        <v>44152</v>
      </c>
      <c r="M4096" t="s">
        <v>696</v>
      </c>
    </row>
    <row r="4097" spans="1:13" x14ac:dyDescent="0.25">
      <c r="A4097" t="s">
        <v>87</v>
      </c>
      <c r="B4097" s="6" t="s">
        <v>84</v>
      </c>
      <c r="C4097" s="13">
        <v>103</v>
      </c>
      <c r="D4097" s="14" t="s">
        <v>83</v>
      </c>
      <c r="E4097">
        <v>15</v>
      </c>
      <c r="F4097" s="8">
        <f>VLOOKUP(financials[[#This Row],[productid]],Products!$B$2:$H$10,3)</f>
        <v>28</v>
      </c>
      <c r="G4097" s="8">
        <f>financials[[#This Row],[Units Sold]]*financials[[#This Row],[Sale Price]]</f>
        <v>420</v>
      </c>
      <c r="H4097" s="8">
        <f>IF(financials[[#This Row],[Discount Band]]="low",0.1,IF(financials[[#This Row],[Discount Band]]="medium",0.15,0.3))</f>
        <v>0.3</v>
      </c>
      <c r="I4097" s="8">
        <f>financials[[#This Row],[Gross Sales]]-financials[[#This Row],[Gross Sales]]*financials[[#This Row],[Discounts]]</f>
        <v>294</v>
      </c>
      <c r="J4097" s="8">
        <f>VLOOKUP(financials[[#This Row],[productid]],Products!$B$2:$H$10,4)</f>
        <v>15</v>
      </c>
      <c r="K4097" s="8">
        <f>financials[[#This Row],[Net Sales]]-financials[[#This Row],[COGS]]</f>
        <v>279</v>
      </c>
      <c r="L4097" s="15">
        <v>44906</v>
      </c>
      <c r="M4097" t="s">
        <v>696</v>
      </c>
    </row>
    <row r="4098" spans="1:13" x14ac:dyDescent="0.25">
      <c r="A4098" t="s">
        <v>86</v>
      </c>
      <c r="B4098" s="6" t="s">
        <v>198</v>
      </c>
      <c r="C4098" s="13">
        <v>102</v>
      </c>
      <c r="D4098" s="14" t="s">
        <v>90</v>
      </c>
      <c r="E4098">
        <v>10</v>
      </c>
      <c r="F4098" s="8">
        <f>VLOOKUP(financials[[#This Row],[productid]],Products!$B$2:$H$10,3)</f>
        <v>15</v>
      </c>
      <c r="G4098" s="8">
        <f>financials[[#This Row],[Units Sold]]*financials[[#This Row],[Sale Price]]</f>
        <v>150</v>
      </c>
      <c r="H4098" s="8">
        <f>IF(financials[[#This Row],[Discount Band]]="low",0.1,IF(financials[[#This Row],[Discount Band]]="medium",0.15,0.3))</f>
        <v>0.15</v>
      </c>
      <c r="I4098" s="8">
        <f>financials[[#This Row],[Gross Sales]]-financials[[#This Row],[Gross Sales]]*financials[[#This Row],[Discounts]]</f>
        <v>127.5</v>
      </c>
      <c r="J4098" s="8">
        <f>VLOOKUP(financials[[#This Row],[productid]],Products!$B$2:$H$10,4)</f>
        <v>13.95</v>
      </c>
      <c r="K4098" s="8">
        <f>financials[[#This Row],[Net Sales]]-financials[[#This Row],[COGS]]</f>
        <v>113.55</v>
      </c>
      <c r="L4098" s="15">
        <v>44949</v>
      </c>
      <c r="M4098" t="s">
        <v>696</v>
      </c>
    </row>
    <row r="4099" spans="1:13" x14ac:dyDescent="0.25">
      <c r="A4099" t="s">
        <v>87</v>
      </c>
      <c r="B4099" s="6" t="s">
        <v>84</v>
      </c>
      <c r="C4099" s="13">
        <v>108</v>
      </c>
      <c r="D4099" s="14" t="s">
        <v>91</v>
      </c>
      <c r="E4099">
        <v>14</v>
      </c>
      <c r="F4099" s="8">
        <f>VLOOKUP(financials[[#This Row],[productid]],Products!$B$2:$H$10,3)</f>
        <v>5.5</v>
      </c>
      <c r="G4099" s="8">
        <f>financials[[#This Row],[Units Sold]]*financials[[#This Row],[Sale Price]]</f>
        <v>77</v>
      </c>
      <c r="H4099" s="8">
        <f>IF(financials[[#This Row],[Discount Band]]="low",0.1,IF(financials[[#This Row],[Discount Band]]="medium",0.15,0.3))</f>
        <v>0.1</v>
      </c>
      <c r="I4099" s="8">
        <f>financials[[#This Row],[Gross Sales]]-financials[[#This Row],[Gross Sales]]*financials[[#This Row],[Discounts]]</f>
        <v>69.3</v>
      </c>
      <c r="J4099" s="8">
        <f>VLOOKUP(financials[[#This Row],[productid]],Products!$B$2:$H$10,4)</f>
        <v>3.99</v>
      </c>
      <c r="K4099" s="8">
        <f>financials[[#This Row],[Net Sales]]-financials[[#This Row],[COGS]]</f>
        <v>65.31</v>
      </c>
      <c r="L4099" s="15">
        <v>45403</v>
      </c>
      <c r="M4099" t="s">
        <v>700</v>
      </c>
    </row>
    <row r="4100" spans="1:13" x14ac:dyDescent="0.25">
      <c r="A4100" t="s">
        <v>87</v>
      </c>
      <c r="B4100" s="6" t="s">
        <v>159</v>
      </c>
      <c r="C4100" s="13">
        <v>101</v>
      </c>
      <c r="D4100" s="14" t="s">
        <v>83</v>
      </c>
      <c r="E4100">
        <v>20</v>
      </c>
      <c r="F4100" s="8">
        <f>VLOOKUP(financials[[#This Row],[productid]],Products!$B$2:$H$10,3)</f>
        <v>23</v>
      </c>
      <c r="G4100" s="8">
        <f>financials[[#This Row],[Units Sold]]*financials[[#This Row],[Sale Price]]</f>
        <v>460</v>
      </c>
      <c r="H4100" s="8">
        <f>IF(financials[[#This Row],[Discount Band]]="low",0.1,IF(financials[[#This Row],[Discount Band]]="medium",0.15,0.3))</f>
        <v>0.3</v>
      </c>
      <c r="I4100" s="8">
        <f>financials[[#This Row],[Gross Sales]]-financials[[#This Row],[Gross Sales]]*financials[[#This Row],[Discounts]]</f>
        <v>322</v>
      </c>
      <c r="J4100" s="8">
        <f>VLOOKUP(financials[[#This Row],[productid]],Products!$B$2:$H$10,4)</f>
        <v>9.9499999999999993</v>
      </c>
      <c r="K4100" s="8">
        <f>financials[[#This Row],[Net Sales]]-financials[[#This Row],[COGS]]</f>
        <v>312.05</v>
      </c>
      <c r="L4100" s="15">
        <v>44838</v>
      </c>
      <c r="M4100" t="s">
        <v>696</v>
      </c>
    </row>
    <row r="4101" spans="1:13" x14ac:dyDescent="0.25">
      <c r="A4101" t="s">
        <v>88</v>
      </c>
      <c r="B4101" s="6" t="s">
        <v>276</v>
      </c>
      <c r="C4101" s="13">
        <v>103</v>
      </c>
      <c r="D4101" s="14" t="s">
        <v>83</v>
      </c>
      <c r="E4101">
        <v>18</v>
      </c>
      <c r="F4101" s="8">
        <f>VLOOKUP(financials[[#This Row],[productid]],Products!$B$2:$H$10,3)</f>
        <v>28</v>
      </c>
      <c r="G4101" s="8">
        <f>financials[[#This Row],[Units Sold]]*financials[[#This Row],[Sale Price]]</f>
        <v>504</v>
      </c>
      <c r="H4101" s="8">
        <f>IF(financials[[#This Row],[Discount Band]]="low",0.1,IF(financials[[#This Row],[Discount Band]]="medium",0.15,0.3))</f>
        <v>0.3</v>
      </c>
      <c r="I4101" s="8">
        <f>financials[[#This Row],[Gross Sales]]-financials[[#This Row],[Gross Sales]]*financials[[#This Row],[Discounts]]</f>
        <v>352.8</v>
      </c>
      <c r="J4101" s="8">
        <f>VLOOKUP(financials[[#This Row],[productid]],Products!$B$2:$H$10,4)</f>
        <v>15</v>
      </c>
      <c r="K4101" s="8">
        <f>financials[[#This Row],[Net Sales]]-financials[[#This Row],[COGS]]</f>
        <v>337.8</v>
      </c>
      <c r="L4101" s="15">
        <v>44419</v>
      </c>
      <c r="M4101" t="s">
        <v>697</v>
      </c>
    </row>
    <row r="4102" spans="1:13" x14ac:dyDescent="0.25">
      <c r="A4102" t="s">
        <v>86</v>
      </c>
      <c r="B4102" s="6" t="s">
        <v>205</v>
      </c>
      <c r="C4102" s="13">
        <v>108</v>
      </c>
      <c r="D4102" s="14" t="s">
        <v>90</v>
      </c>
      <c r="E4102">
        <v>7</v>
      </c>
      <c r="F4102" s="8">
        <f>VLOOKUP(financials[[#This Row],[productid]],Products!$B$2:$H$10,3)</f>
        <v>5.5</v>
      </c>
      <c r="G4102" s="8">
        <f>financials[[#This Row],[Units Sold]]*financials[[#This Row],[Sale Price]]</f>
        <v>38.5</v>
      </c>
      <c r="H4102" s="8">
        <f>IF(financials[[#This Row],[Discount Band]]="low",0.1,IF(financials[[#This Row],[Discount Band]]="medium",0.15,0.3))</f>
        <v>0.15</v>
      </c>
      <c r="I4102" s="8">
        <f>financials[[#This Row],[Gross Sales]]-financials[[#This Row],[Gross Sales]]*financials[[#This Row],[Discounts]]</f>
        <v>32.725000000000001</v>
      </c>
      <c r="J4102" s="8">
        <f>VLOOKUP(financials[[#This Row],[productid]],Products!$B$2:$H$10,4)</f>
        <v>3.99</v>
      </c>
      <c r="K4102" s="8">
        <f>financials[[#This Row],[Net Sales]]-financials[[#This Row],[COGS]]</f>
        <v>28.734999999999999</v>
      </c>
      <c r="L4102" s="15">
        <v>44388</v>
      </c>
      <c r="M4102" t="s">
        <v>690</v>
      </c>
    </row>
    <row r="4103" spans="1:13" x14ac:dyDescent="0.25">
      <c r="A4103" t="s">
        <v>86</v>
      </c>
      <c r="B4103" s="6" t="s">
        <v>198</v>
      </c>
      <c r="C4103" s="13">
        <v>101</v>
      </c>
      <c r="D4103" s="14" t="s">
        <v>90</v>
      </c>
      <c r="E4103">
        <v>5</v>
      </c>
      <c r="F4103" s="8">
        <f>VLOOKUP(financials[[#This Row],[productid]],Products!$B$2:$H$10,3)</f>
        <v>23</v>
      </c>
      <c r="G4103" s="8">
        <f>financials[[#This Row],[Units Sold]]*financials[[#This Row],[Sale Price]]</f>
        <v>115</v>
      </c>
      <c r="H4103" s="8">
        <f>IF(financials[[#This Row],[Discount Band]]="low",0.1,IF(financials[[#This Row],[Discount Band]]="medium",0.15,0.3))</f>
        <v>0.15</v>
      </c>
      <c r="I4103" s="8">
        <f>financials[[#This Row],[Gross Sales]]-financials[[#This Row],[Gross Sales]]*financials[[#This Row],[Discounts]]</f>
        <v>97.75</v>
      </c>
      <c r="J4103" s="8">
        <f>VLOOKUP(financials[[#This Row],[productid]],Products!$B$2:$H$10,4)</f>
        <v>9.9499999999999993</v>
      </c>
      <c r="K4103" s="8">
        <f>financials[[#This Row],[Net Sales]]-financials[[#This Row],[COGS]]</f>
        <v>87.8</v>
      </c>
      <c r="L4103" s="15">
        <v>44275</v>
      </c>
      <c r="M4103" t="s">
        <v>696</v>
      </c>
    </row>
    <row r="4104" spans="1:13" x14ac:dyDescent="0.25">
      <c r="A4104" t="s">
        <v>88</v>
      </c>
      <c r="B4104" s="6" t="s">
        <v>198</v>
      </c>
      <c r="C4104" s="11">
        <v>102</v>
      </c>
      <c r="D4104" s="9" t="s">
        <v>91</v>
      </c>
      <c r="E4104">
        <v>6</v>
      </c>
      <c r="F4104" s="8">
        <f>VLOOKUP(financials[[#This Row],[productid]],Products!$B$2:$H$10,3)</f>
        <v>15</v>
      </c>
      <c r="G4104" s="8">
        <f>financials[[#This Row],[Units Sold]]*financials[[#This Row],[Sale Price]]</f>
        <v>90</v>
      </c>
      <c r="H4104" s="8">
        <f>IF(financials[[#This Row],[Discount Band]]="low",0.1,IF(financials[[#This Row],[Discount Band]]="medium",0.15,0.3))</f>
        <v>0.1</v>
      </c>
      <c r="I4104" s="8">
        <f>financials[[#This Row],[Gross Sales]]-financials[[#This Row],[Gross Sales]]*financials[[#This Row],[Discounts]]</f>
        <v>81</v>
      </c>
      <c r="J4104" s="8">
        <f>VLOOKUP(financials[[#This Row],[productid]],Products!$B$2:$H$10,4)</f>
        <v>13.95</v>
      </c>
      <c r="K4104" s="8">
        <f>financials[[#This Row],[Net Sales]]-financials[[#This Row],[COGS]]</f>
        <v>67.05</v>
      </c>
      <c r="L4104" s="15">
        <v>45635</v>
      </c>
      <c r="M4104" t="s">
        <v>690</v>
      </c>
    </row>
    <row r="4105" spans="1:13" x14ac:dyDescent="0.25">
      <c r="A4105" t="s">
        <v>88</v>
      </c>
      <c r="B4105" s="6" t="s">
        <v>198</v>
      </c>
      <c r="C4105" s="13">
        <v>106</v>
      </c>
      <c r="D4105" s="14" t="s">
        <v>90</v>
      </c>
      <c r="E4105">
        <v>12</v>
      </c>
      <c r="F4105" s="8">
        <f>VLOOKUP(financials[[#This Row],[productid]],Products!$B$2:$H$10,3)</f>
        <v>25</v>
      </c>
      <c r="G4105" s="8">
        <f>financials[[#This Row],[Units Sold]]*financials[[#This Row],[Sale Price]]</f>
        <v>300</v>
      </c>
      <c r="H4105" s="8">
        <f>IF(financials[[#This Row],[Discount Band]]="low",0.1,IF(financials[[#This Row],[Discount Band]]="medium",0.15,0.3))</f>
        <v>0.15</v>
      </c>
      <c r="I4105" s="8">
        <f>financials[[#This Row],[Gross Sales]]-financials[[#This Row],[Gross Sales]]*financials[[#This Row],[Discounts]]</f>
        <v>255</v>
      </c>
      <c r="J4105" s="8">
        <f>VLOOKUP(financials[[#This Row],[productid]],Products!$B$2:$H$10,4)</f>
        <v>9.1</v>
      </c>
      <c r="K4105" s="8">
        <f>financials[[#This Row],[Net Sales]]-financials[[#This Row],[COGS]]</f>
        <v>245.9</v>
      </c>
      <c r="L4105" s="15">
        <v>45605</v>
      </c>
      <c r="M4105" t="s">
        <v>691</v>
      </c>
    </row>
    <row r="4106" spans="1:13" x14ac:dyDescent="0.25">
      <c r="A4106" t="s">
        <v>88</v>
      </c>
      <c r="B4106" s="6" t="s">
        <v>276</v>
      </c>
      <c r="C4106" s="13">
        <v>101</v>
      </c>
      <c r="D4106" s="14" t="s">
        <v>90</v>
      </c>
      <c r="E4106">
        <v>17</v>
      </c>
      <c r="F4106" s="8">
        <f>VLOOKUP(financials[[#This Row],[productid]],Products!$B$2:$H$10,3)</f>
        <v>23</v>
      </c>
      <c r="G4106" s="8">
        <f>financials[[#This Row],[Units Sold]]*financials[[#This Row],[Sale Price]]</f>
        <v>391</v>
      </c>
      <c r="H4106" s="8">
        <f>IF(financials[[#This Row],[Discount Band]]="low",0.1,IF(financials[[#This Row],[Discount Band]]="medium",0.15,0.3))</f>
        <v>0.15</v>
      </c>
      <c r="I4106" s="8">
        <f>financials[[#This Row],[Gross Sales]]-financials[[#This Row],[Gross Sales]]*financials[[#This Row],[Discounts]]</f>
        <v>332.35</v>
      </c>
      <c r="J4106" s="8">
        <f>VLOOKUP(financials[[#This Row],[productid]],Products!$B$2:$H$10,4)</f>
        <v>9.9499999999999993</v>
      </c>
      <c r="K4106" s="8">
        <f>financials[[#This Row],[Net Sales]]-financials[[#This Row],[COGS]]</f>
        <v>322.40000000000003</v>
      </c>
      <c r="L4106" s="15">
        <v>44046</v>
      </c>
      <c r="M4106" t="s">
        <v>700</v>
      </c>
    </row>
    <row r="4107" spans="1:13" x14ac:dyDescent="0.25">
      <c r="A4107" t="s">
        <v>88</v>
      </c>
      <c r="B4107" s="6" t="s">
        <v>198</v>
      </c>
      <c r="C4107" s="13">
        <v>107</v>
      </c>
      <c r="D4107" s="14" t="s">
        <v>90</v>
      </c>
      <c r="E4107">
        <v>18</v>
      </c>
      <c r="F4107" s="8">
        <f>VLOOKUP(financials[[#This Row],[productid]],Products!$B$2:$H$10,3)</f>
        <v>15</v>
      </c>
      <c r="G4107" s="8">
        <f>financials[[#This Row],[Units Sold]]*financials[[#This Row],[Sale Price]]</f>
        <v>270</v>
      </c>
      <c r="H4107" s="8">
        <f>IF(financials[[#This Row],[Discount Band]]="low",0.1,IF(financials[[#This Row],[Discount Band]]="medium",0.15,0.3))</f>
        <v>0.15</v>
      </c>
      <c r="I4107" s="8">
        <f>financials[[#This Row],[Gross Sales]]-financials[[#This Row],[Gross Sales]]*financials[[#This Row],[Discounts]]</f>
        <v>229.5</v>
      </c>
      <c r="J4107" s="8">
        <f>VLOOKUP(financials[[#This Row],[productid]],Products!$B$2:$H$10,4)</f>
        <v>5.5</v>
      </c>
      <c r="K4107" s="8">
        <f>financials[[#This Row],[Net Sales]]-financials[[#This Row],[COGS]]</f>
        <v>224</v>
      </c>
      <c r="L4107" s="15">
        <v>43889</v>
      </c>
      <c r="M4107" t="s">
        <v>690</v>
      </c>
    </row>
    <row r="4108" spans="1:13" x14ac:dyDescent="0.25">
      <c r="A4108" t="s">
        <v>87</v>
      </c>
      <c r="B4108" s="6" t="s">
        <v>159</v>
      </c>
      <c r="C4108" s="13">
        <v>105</v>
      </c>
      <c r="D4108" s="14" t="s">
        <v>90</v>
      </c>
      <c r="E4108">
        <v>16</v>
      </c>
      <c r="F4108" s="8">
        <f>VLOOKUP(financials[[#This Row],[productid]],Products!$B$2:$H$10,3)</f>
        <v>15</v>
      </c>
      <c r="G4108" s="8">
        <f>financials[[#This Row],[Units Sold]]*financials[[#This Row],[Sale Price]]</f>
        <v>240</v>
      </c>
      <c r="H4108" s="8">
        <f>IF(financials[[#This Row],[Discount Band]]="low",0.1,IF(financials[[#This Row],[Discount Band]]="medium",0.15,0.3))</f>
        <v>0.15</v>
      </c>
      <c r="I4108" s="8">
        <f>financials[[#This Row],[Gross Sales]]-financials[[#This Row],[Gross Sales]]*financials[[#This Row],[Discounts]]</f>
        <v>204</v>
      </c>
      <c r="J4108" s="8">
        <f>VLOOKUP(financials[[#This Row],[productid]],Products!$B$2:$H$10,4)</f>
        <v>10</v>
      </c>
      <c r="K4108" s="8">
        <f>financials[[#This Row],[Net Sales]]-financials[[#This Row],[COGS]]</f>
        <v>194</v>
      </c>
      <c r="L4108" s="15">
        <v>43850</v>
      </c>
      <c r="M4108" t="s">
        <v>700</v>
      </c>
    </row>
    <row r="4109" spans="1:13" x14ac:dyDescent="0.25">
      <c r="A4109" t="s">
        <v>86</v>
      </c>
      <c r="B4109" s="6" t="s">
        <v>205</v>
      </c>
      <c r="C4109" s="13">
        <v>102</v>
      </c>
      <c r="D4109" s="14" t="s">
        <v>91</v>
      </c>
      <c r="E4109">
        <v>10</v>
      </c>
      <c r="F4109" s="8">
        <f>VLOOKUP(financials[[#This Row],[productid]],Products!$B$2:$H$10,3)</f>
        <v>15</v>
      </c>
      <c r="G4109" s="8">
        <f>financials[[#This Row],[Units Sold]]*financials[[#This Row],[Sale Price]]</f>
        <v>150</v>
      </c>
      <c r="H4109" s="8">
        <f>IF(financials[[#This Row],[Discount Band]]="low",0.1,IF(financials[[#This Row],[Discount Band]]="medium",0.15,0.3))</f>
        <v>0.1</v>
      </c>
      <c r="I4109" s="8">
        <f>financials[[#This Row],[Gross Sales]]-financials[[#This Row],[Gross Sales]]*financials[[#This Row],[Discounts]]</f>
        <v>135</v>
      </c>
      <c r="J4109" s="8">
        <f>VLOOKUP(financials[[#This Row],[productid]],Products!$B$2:$H$10,4)</f>
        <v>13.95</v>
      </c>
      <c r="K4109" s="8">
        <f>financials[[#This Row],[Net Sales]]-financials[[#This Row],[COGS]]</f>
        <v>121.05</v>
      </c>
      <c r="L4109" s="15">
        <v>44389</v>
      </c>
      <c r="M4109" t="s">
        <v>691</v>
      </c>
    </row>
    <row r="4110" spans="1:13" x14ac:dyDescent="0.25">
      <c r="A4110" t="s">
        <v>86</v>
      </c>
      <c r="B4110" s="6" t="s">
        <v>276</v>
      </c>
      <c r="C4110" s="13">
        <v>103</v>
      </c>
      <c r="D4110" s="14" t="s">
        <v>90</v>
      </c>
      <c r="E4110">
        <v>12</v>
      </c>
      <c r="F4110" s="8">
        <f>VLOOKUP(financials[[#This Row],[productid]],Products!$B$2:$H$10,3)</f>
        <v>28</v>
      </c>
      <c r="G4110" s="8">
        <f>financials[[#This Row],[Units Sold]]*financials[[#This Row],[Sale Price]]</f>
        <v>336</v>
      </c>
      <c r="H4110" s="8">
        <f>IF(financials[[#This Row],[Discount Band]]="low",0.1,IF(financials[[#This Row],[Discount Band]]="medium",0.15,0.3))</f>
        <v>0.15</v>
      </c>
      <c r="I4110" s="8">
        <f>financials[[#This Row],[Gross Sales]]-financials[[#This Row],[Gross Sales]]*financials[[#This Row],[Discounts]]</f>
        <v>285.60000000000002</v>
      </c>
      <c r="J4110" s="8">
        <f>VLOOKUP(financials[[#This Row],[productid]],Products!$B$2:$H$10,4)</f>
        <v>15</v>
      </c>
      <c r="K4110" s="8">
        <f>financials[[#This Row],[Net Sales]]-financials[[#This Row],[COGS]]</f>
        <v>270.60000000000002</v>
      </c>
      <c r="L4110" s="15">
        <v>45502</v>
      </c>
      <c r="M4110" t="s">
        <v>696</v>
      </c>
    </row>
    <row r="4111" spans="1:13" x14ac:dyDescent="0.25">
      <c r="A4111" t="s">
        <v>88</v>
      </c>
      <c r="B4111" s="6" t="s">
        <v>205</v>
      </c>
      <c r="C4111" s="13">
        <v>101</v>
      </c>
      <c r="D4111" s="14" t="s">
        <v>83</v>
      </c>
      <c r="E4111">
        <v>5</v>
      </c>
      <c r="F4111" s="8">
        <f>VLOOKUP(financials[[#This Row],[productid]],Products!$B$2:$H$10,3)</f>
        <v>23</v>
      </c>
      <c r="G4111" s="8">
        <f>financials[[#This Row],[Units Sold]]*financials[[#This Row],[Sale Price]]</f>
        <v>115</v>
      </c>
      <c r="H4111" s="8">
        <f>IF(financials[[#This Row],[Discount Band]]="low",0.1,IF(financials[[#This Row],[Discount Band]]="medium",0.15,0.3))</f>
        <v>0.3</v>
      </c>
      <c r="I4111" s="8">
        <f>financials[[#This Row],[Gross Sales]]-financials[[#This Row],[Gross Sales]]*financials[[#This Row],[Discounts]]</f>
        <v>80.5</v>
      </c>
      <c r="J4111" s="8">
        <f>VLOOKUP(financials[[#This Row],[productid]],Products!$B$2:$H$10,4)</f>
        <v>9.9499999999999993</v>
      </c>
      <c r="K4111" s="8">
        <f>financials[[#This Row],[Net Sales]]-financials[[#This Row],[COGS]]</f>
        <v>70.55</v>
      </c>
      <c r="L4111" s="15">
        <v>45631</v>
      </c>
      <c r="M4111" t="s">
        <v>700</v>
      </c>
    </row>
    <row r="4112" spans="1:13" x14ac:dyDescent="0.25">
      <c r="A4112" t="s">
        <v>88</v>
      </c>
      <c r="B4112" s="6" t="s">
        <v>273</v>
      </c>
      <c r="C4112" s="13">
        <v>106</v>
      </c>
      <c r="D4112" s="14" t="s">
        <v>83</v>
      </c>
      <c r="E4112">
        <v>13</v>
      </c>
      <c r="F4112" s="8">
        <f>VLOOKUP(financials[[#This Row],[productid]],Products!$B$2:$H$10,3)</f>
        <v>25</v>
      </c>
      <c r="G4112" s="8">
        <f>financials[[#This Row],[Units Sold]]*financials[[#This Row],[Sale Price]]</f>
        <v>325</v>
      </c>
      <c r="H4112" s="8">
        <f>IF(financials[[#This Row],[Discount Band]]="low",0.1,IF(financials[[#This Row],[Discount Band]]="medium",0.15,0.3))</f>
        <v>0.3</v>
      </c>
      <c r="I4112" s="8">
        <f>financials[[#This Row],[Gross Sales]]-financials[[#This Row],[Gross Sales]]*financials[[#This Row],[Discounts]]</f>
        <v>227.5</v>
      </c>
      <c r="J4112" s="8">
        <f>VLOOKUP(financials[[#This Row],[productid]],Products!$B$2:$H$10,4)</f>
        <v>9.1</v>
      </c>
      <c r="K4112" s="8">
        <f>financials[[#This Row],[Net Sales]]-financials[[#This Row],[COGS]]</f>
        <v>218.4</v>
      </c>
      <c r="L4112" s="15">
        <v>44209</v>
      </c>
      <c r="M4112" t="s">
        <v>690</v>
      </c>
    </row>
    <row r="4113" spans="1:13" x14ac:dyDescent="0.25">
      <c r="A4113" t="s">
        <v>88</v>
      </c>
      <c r="B4113" s="6" t="s">
        <v>273</v>
      </c>
      <c r="C4113" s="11">
        <v>102</v>
      </c>
      <c r="D4113" s="9" t="s">
        <v>90</v>
      </c>
      <c r="E4113">
        <v>12</v>
      </c>
      <c r="F4113" s="8">
        <f>VLOOKUP(financials[[#This Row],[productid]],Products!$B$2:$H$10,3)</f>
        <v>15</v>
      </c>
      <c r="G4113" s="8">
        <f>financials[[#This Row],[Units Sold]]*financials[[#This Row],[Sale Price]]</f>
        <v>180</v>
      </c>
      <c r="H4113" s="8">
        <f>IF(financials[[#This Row],[Discount Band]]="low",0.1,IF(financials[[#This Row],[Discount Band]]="medium",0.15,0.3))</f>
        <v>0.15</v>
      </c>
      <c r="I4113" s="8">
        <f>financials[[#This Row],[Gross Sales]]-financials[[#This Row],[Gross Sales]]*financials[[#This Row],[Discounts]]</f>
        <v>153</v>
      </c>
      <c r="J4113" s="8">
        <f>VLOOKUP(financials[[#This Row],[productid]],Products!$B$2:$H$10,4)</f>
        <v>13.95</v>
      </c>
      <c r="K4113" s="8">
        <f>financials[[#This Row],[Net Sales]]-financials[[#This Row],[COGS]]</f>
        <v>139.05000000000001</v>
      </c>
      <c r="L4113" s="15">
        <v>45219</v>
      </c>
      <c r="M4113" t="s">
        <v>700</v>
      </c>
    </row>
    <row r="4114" spans="1:13" x14ac:dyDescent="0.25">
      <c r="A4114" t="s">
        <v>88</v>
      </c>
      <c r="B4114" s="6" t="s">
        <v>205</v>
      </c>
      <c r="C4114" s="13">
        <v>108</v>
      </c>
      <c r="D4114" s="14" t="s">
        <v>91</v>
      </c>
      <c r="E4114">
        <v>17</v>
      </c>
      <c r="F4114" s="8">
        <f>VLOOKUP(financials[[#This Row],[productid]],Products!$B$2:$H$10,3)</f>
        <v>5.5</v>
      </c>
      <c r="G4114" s="8">
        <f>financials[[#This Row],[Units Sold]]*financials[[#This Row],[Sale Price]]</f>
        <v>93.5</v>
      </c>
      <c r="H4114" s="8">
        <f>IF(financials[[#This Row],[Discount Band]]="low",0.1,IF(financials[[#This Row],[Discount Band]]="medium",0.15,0.3))</f>
        <v>0.1</v>
      </c>
      <c r="I4114" s="8">
        <f>financials[[#This Row],[Gross Sales]]-financials[[#This Row],[Gross Sales]]*financials[[#This Row],[Discounts]]</f>
        <v>84.15</v>
      </c>
      <c r="J4114" s="8">
        <f>VLOOKUP(financials[[#This Row],[productid]],Products!$B$2:$H$10,4)</f>
        <v>3.99</v>
      </c>
      <c r="K4114" s="8">
        <f>financials[[#This Row],[Net Sales]]-financials[[#This Row],[COGS]]</f>
        <v>80.160000000000011</v>
      </c>
      <c r="L4114" s="15">
        <v>45617</v>
      </c>
      <c r="M4114" t="s">
        <v>700</v>
      </c>
    </row>
    <row r="4115" spans="1:13" x14ac:dyDescent="0.25">
      <c r="A4115" t="s">
        <v>88</v>
      </c>
      <c r="B4115" s="6" t="s">
        <v>276</v>
      </c>
      <c r="C4115" s="13">
        <v>106</v>
      </c>
      <c r="D4115" s="14" t="s">
        <v>91</v>
      </c>
      <c r="E4115">
        <v>6</v>
      </c>
      <c r="F4115" s="8">
        <f>VLOOKUP(financials[[#This Row],[productid]],Products!$B$2:$H$10,3)</f>
        <v>25</v>
      </c>
      <c r="G4115" s="8">
        <f>financials[[#This Row],[Units Sold]]*financials[[#This Row],[Sale Price]]</f>
        <v>150</v>
      </c>
      <c r="H4115" s="8">
        <f>IF(financials[[#This Row],[Discount Band]]="low",0.1,IF(financials[[#This Row],[Discount Band]]="medium",0.15,0.3))</f>
        <v>0.1</v>
      </c>
      <c r="I4115" s="8">
        <f>financials[[#This Row],[Gross Sales]]-financials[[#This Row],[Gross Sales]]*financials[[#This Row],[Discounts]]</f>
        <v>135</v>
      </c>
      <c r="J4115" s="8">
        <f>VLOOKUP(financials[[#This Row],[productid]],Products!$B$2:$H$10,4)</f>
        <v>9.1</v>
      </c>
      <c r="K4115" s="8">
        <f>financials[[#This Row],[Net Sales]]-financials[[#This Row],[COGS]]</f>
        <v>125.9</v>
      </c>
      <c r="L4115" s="15">
        <v>43968</v>
      </c>
      <c r="M4115" t="s">
        <v>700</v>
      </c>
    </row>
    <row r="4116" spans="1:13" x14ac:dyDescent="0.25">
      <c r="A4116" t="s">
        <v>86</v>
      </c>
      <c r="B4116" s="6" t="s">
        <v>198</v>
      </c>
      <c r="C4116" s="11">
        <v>101</v>
      </c>
      <c r="D4116" s="9" t="s">
        <v>83</v>
      </c>
      <c r="E4116">
        <v>5</v>
      </c>
      <c r="F4116" s="8">
        <f>VLOOKUP(financials[[#This Row],[productid]],Products!$B$2:$H$10,3)</f>
        <v>23</v>
      </c>
      <c r="G4116" s="8">
        <f>financials[[#This Row],[Units Sold]]*financials[[#This Row],[Sale Price]]</f>
        <v>115</v>
      </c>
      <c r="H4116" s="8">
        <f>IF(financials[[#This Row],[Discount Band]]="low",0.1,IF(financials[[#This Row],[Discount Band]]="medium",0.15,0.3))</f>
        <v>0.3</v>
      </c>
      <c r="I4116" s="8">
        <f>financials[[#This Row],[Gross Sales]]-financials[[#This Row],[Gross Sales]]*financials[[#This Row],[Discounts]]</f>
        <v>80.5</v>
      </c>
      <c r="J4116" s="8">
        <f>VLOOKUP(financials[[#This Row],[productid]],Products!$B$2:$H$10,4)</f>
        <v>9.9499999999999993</v>
      </c>
      <c r="K4116" s="8">
        <f>financials[[#This Row],[Net Sales]]-financials[[#This Row],[COGS]]</f>
        <v>70.55</v>
      </c>
      <c r="L4116" s="15">
        <v>45518</v>
      </c>
      <c r="M4116" t="s">
        <v>690</v>
      </c>
    </row>
    <row r="4117" spans="1:13" x14ac:dyDescent="0.25">
      <c r="A4117" t="s">
        <v>88</v>
      </c>
      <c r="B4117" s="6" t="s">
        <v>273</v>
      </c>
      <c r="C4117" s="13">
        <v>105</v>
      </c>
      <c r="D4117" s="14" t="s">
        <v>90</v>
      </c>
      <c r="E4117">
        <v>9</v>
      </c>
      <c r="F4117" s="8">
        <f>VLOOKUP(financials[[#This Row],[productid]],Products!$B$2:$H$10,3)</f>
        <v>15</v>
      </c>
      <c r="G4117" s="8">
        <f>financials[[#This Row],[Units Sold]]*financials[[#This Row],[Sale Price]]</f>
        <v>135</v>
      </c>
      <c r="H4117" s="8">
        <f>IF(financials[[#This Row],[Discount Band]]="low",0.1,IF(financials[[#This Row],[Discount Band]]="medium",0.15,0.3))</f>
        <v>0.15</v>
      </c>
      <c r="I4117" s="8">
        <f>financials[[#This Row],[Gross Sales]]-financials[[#This Row],[Gross Sales]]*financials[[#This Row],[Discounts]]</f>
        <v>114.75</v>
      </c>
      <c r="J4117" s="8">
        <f>VLOOKUP(financials[[#This Row],[productid]],Products!$B$2:$H$10,4)</f>
        <v>10</v>
      </c>
      <c r="K4117" s="8">
        <f>financials[[#This Row],[Net Sales]]-financials[[#This Row],[COGS]]</f>
        <v>104.75</v>
      </c>
      <c r="L4117" s="15">
        <v>45157</v>
      </c>
      <c r="M4117" t="s">
        <v>690</v>
      </c>
    </row>
    <row r="4118" spans="1:13" x14ac:dyDescent="0.25">
      <c r="A4118" t="s">
        <v>86</v>
      </c>
      <c r="B4118" s="6" t="s">
        <v>94</v>
      </c>
      <c r="C4118" s="13">
        <v>105</v>
      </c>
      <c r="D4118" s="14" t="s">
        <v>90</v>
      </c>
      <c r="E4118">
        <v>13</v>
      </c>
      <c r="F4118" s="8">
        <f>VLOOKUP(financials[[#This Row],[productid]],Products!$B$2:$H$10,3)</f>
        <v>15</v>
      </c>
      <c r="G4118" s="8">
        <f>financials[[#This Row],[Units Sold]]*financials[[#This Row],[Sale Price]]</f>
        <v>195</v>
      </c>
      <c r="H4118" s="8">
        <f>IF(financials[[#This Row],[Discount Band]]="low",0.1,IF(financials[[#This Row],[Discount Band]]="medium",0.15,0.3))</f>
        <v>0.15</v>
      </c>
      <c r="I4118" s="8">
        <f>financials[[#This Row],[Gross Sales]]-financials[[#This Row],[Gross Sales]]*financials[[#This Row],[Discounts]]</f>
        <v>165.75</v>
      </c>
      <c r="J4118" s="8">
        <f>VLOOKUP(financials[[#This Row],[productid]],Products!$B$2:$H$10,4)</f>
        <v>10</v>
      </c>
      <c r="K4118" s="8">
        <f>financials[[#This Row],[Net Sales]]-financials[[#This Row],[COGS]]</f>
        <v>155.75</v>
      </c>
      <c r="L4118" s="15">
        <v>45372</v>
      </c>
      <c r="M4118" t="s">
        <v>697</v>
      </c>
    </row>
    <row r="4119" spans="1:13" x14ac:dyDescent="0.25">
      <c r="A4119" t="s">
        <v>88</v>
      </c>
      <c r="B4119" s="6" t="s">
        <v>205</v>
      </c>
      <c r="C4119" s="11">
        <v>107</v>
      </c>
      <c r="D4119" s="9" t="s">
        <v>83</v>
      </c>
      <c r="E4119">
        <v>15</v>
      </c>
      <c r="F4119" s="8">
        <f>VLOOKUP(financials[[#This Row],[productid]],Products!$B$2:$H$10,3)</f>
        <v>15</v>
      </c>
      <c r="G4119" s="8">
        <f>financials[[#This Row],[Units Sold]]*financials[[#This Row],[Sale Price]]</f>
        <v>225</v>
      </c>
      <c r="H4119" s="8">
        <f>IF(financials[[#This Row],[Discount Band]]="low",0.1,IF(financials[[#This Row],[Discount Band]]="medium",0.15,0.3))</f>
        <v>0.3</v>
      </c>
      <c r="I4119" s="8">
        <f>financials[[#This Row],[Gross Sales]]-financials[[#This Row],[Gross Sales]]*financials[[#This Row],[Discounts]]</f>
        <v>157.5</v>
      </c>
      <c r="J4119" s="8">
        <f>VLOOKUP(financials[[#This Row],[productid]],Products!$B$2:$H$10,4)</f>
        <v>5.5</v>
      </c>
      <c r="K4119" s="8">
        <f>financials[[#This Row],[Net Sales]]-financials[[#This Row],[COGS]]</f>
        <v>152</v>
      </c>
      <c r="L4119" s="15">
        <v>44824</v>
      </c>
      <c r="M4119" t="s">
        <v>690</v>
      </c>
    </row>
    <row r="4120" spans="1:13" x14ac:dyDescent="0.25">
      <c r="A4120" t="s">
        <v>88</v>
      </c>
      <c r="B4120" s="6" t="s">
        <v>276</v>
      </c>
      <c r="C4120" s="13">
        <v>104</v>
      </c>
      <c r="D4120" s="14" t="s">
        <v>90</v>
      </c>
      <c r="E4120">
        <v>20</v>
      </c>
      <c r="F4120" s="8">
        <f>VLOOKUP(financials[[#This Row],[productid]],Products!$B$2:$H$10,3)</f>
        <v>5.9</v>
      </c>
      <c r="G4120" s="8">
        <f>financials[[#This Row],[Units Sold]]*financials[[#This Row],[Sale Price]]</f>
        <v>118</v>
      </c>
      <c r="H4120" s="8">
        <f>IF(financials[[#This Row],[Discount Band]]="low",0.1,IF(financials[[#This Row],[Discount Band]]="medium",0.15,0.3))</f>
        <v>0.15</v>
      </c>
      <c r="I4120" s="8">
        <f>financials[[#This Row],[Gross Sales]]-financials[[#This Row],[Gross Sales]]*financials[[#This Row],[Discounts]]</f>
        <v>100.3</v>
      </c>
      <c r="J4120" s="8">
        <f>VLOOKUP(financials[[#This Row],[productid]],Products!$B$2:$H$10,4)</f>
        <v>2.9</v>
      </c>
      <c r="K4120" s="8">
        <f>financials[[#This Row],[Net Sales]]-financials[[#This Row],[COGS]]</f>
        <v>97.399999999999991</v>
      </c>
      <c r="L4120" s="15">
        <v>44544</v>
      </c>
      <c r="M4120" t="s">
        <v>697</v>
      </c>
    </row>
    <row r="4121" spans="1:13" x14ac:dyDescent="0.25">
      <c r="A4121" t="s">
        <v>87</v>
      </c>
      <c r="B4121" s="6" t="s">
        <v>84</v>
      </c>
      <c r="C4121" s="13">
        <v>109</v>
      </c>
      <c r="D4121" s="14" t="s">
        <v>90</v>
      </c>
      <c r="E4121">
        <v>16</v>
      </c>
      <c r="F4121" s="8">
        <f>VLOOKUP(financials[[#This Row],[productid]],Products!$B$2:$H$10,3)</f>
        <v>36</v>
      </c>
      <c r="G4121" s="8">
        <f>financials[[#This Row],[Units Sold]]*financials[[#This Row],[Sale Price]]</f>
        <v>576</v>
      </c>
      <c r="H4121" s="8">
        <f>IF(financials[[#This Row],[Discount Band]]="low",0.1,IF(financials[[#This Row],[Discount Band]]="medium",0.15,0.3))</f>
        <v>0.15</v>
      </c>
      <c r="I4121" s="8">
        <f>financials[[#This Row],[Gross Sales]]-financials[[#This Row],[Gross Sales]]*financials[[#This Row],[Discounts]]</f>
        <v>489.6</v>
      </c>
      <c r="J4121" s="8">
        <f>VLOOKUP(financials[[#This Row],[productid]],Products!$B$2:$H$10,4)</f>
        <v>16.8</v>
      </c>
      <c r="K4121" s="8">
        <f>financials[[#This Row],[Net Sales]]-financials[[#This Row],[COGS]]</f>
        <v>472.8</v>
      </c>
      <c r="L4121" s="15">
        <v>44995</v>
      </c>
      <c r="M4121" t="s">
        <v>696</v>
      </c>
    </row>
    <row r="4122" spans="1:13" x14ac:dyDescent="0.25">
      <c r="A4122" t="s">
        <v>86</v>
      </c>
      <c r="B4122" s="6" t="s">
        <v>95</v>
      </c>
      <c r="C4122" s="13">
        <v>102</v>
      </c>
      <c r="D4122" s="14" t="s">
        <v>90</v>
      </c>
      <c r="E4122">
        <v>5</v>
      </c>
      <c r="F4122" s="8">
        <f>VLOOKUP(financials[[#This Row],[productid]],Products!$B$2:$H$10,3)</f>
        <v>15</v>
      </c>
      <c r="G4122" s="8">
        <f>financials[[#This Row],[Units Sold]]*financials[[#This Row],[Sale Price]]</f>
        <v>75</v>
      </c>
      <c r="H4122" s="8">
        <f>IF(financials[[#This Row],[Discount Band]]="low",0.1,IF(financials[[#This Row],[Discount Band]]="medium",0.15,0.3))</f>
        <v>0.15</v>
      </c>
      <c r="I4122" s="8">
        <f>financials[[#This Row],[Gross Sales]]-financials[[#This Row],[Gross Sales]]*financials[[#This Row],[Discounts]]</f>
        <v>63.75</v>
      </c>
      <c r="J4122" s="8">
        <f>VLOOKUP(financials[[#This Row],[productid]],Products!$B$2:$H$10,4)</f>
        <v>13.95</v>
      </c>
      <c r="K4122" s="8">
        <f>financials[[#This Row],[Net Sales]]-financials[[#This Row],[COGS]]</f>
        <v>49.8</v>
      </c>
      <c r="L4122" s="15">
        <v>44878</v>
      </c>
      <c r="M4122" t="s">
        <v>690</v>
      </c>
    </row>
    <row r="4123" spans="1:13" x14ac:dyDescent="0.25">
      <c r="A4123" t="s">
        <v>88</v>
      </c>
      <c r="B4123" s="6" t="s">
        <v>205</v>
      </c>
      <c r="C4123" s="13">
        <v>104</v>
      </c>
      <c r="D4123" s="14" t="s">
        <v>90</v>
      </c>
      <c r="E4123">
        <v>6</v>
      </c>
      <c r="F4123" s="8">
        <f>VLOOKUP(financials[[#This Row],[productid]],Products!$B$2:$H$10,3)</f>
        <v>5.9</v>
      </c>
      <c r="G4123" s="8">
        <f>financials[[#This Row],[Units Sold]]*financials[[#This Row],[Sale Price]]</f>
        <v>35.400000000000006</v>
      </c>
      <c r="H4123" s="8">
        <f>IF(financials[[#This Row],[Discount Band]]="low",0.1,IF(financials[[#This Row],[Discount Band]]="medium",0.15,0.3))</f>
        <v>0.15</v>
      </c>
      <c r="I4123" s="8">
        <f>financials[[#This Row],[Gross Sales]]-financials[[#This Row],[Gross Sales]]*financials[[#This Row],[Discounts]]</f>
        <v>30.090000000000003</v>
      </c>
      <c r="J4123" s="8">
        <f>VLOOKUP(financials[[#This Row],[productid]],Products!$B$2:$H$10,4)</f>
        <v>2.9</v>
      </c>
      <c r="K4123" s="8">
        <f>financials[[#This Row],[Net Sales]]-financials[[#This Row],[COGS]]</f>
        <v>27.190000000000005</v>
      </c>
      <c r="L4123" s="15">
        <v>45170</v>
      </c>
      <c r="M4123" t="s">
        <v>697</v>
      </c>
    </row>
    <row r="4124" spans="1:13" x14ac:dyDescent="0.25">
      <c r="A4124" t="s">
        <v>86</v>
      </c>
      <c r="B4124" s="6" t="s">
        <v>273</v>
      </c>
      <c r="C4124" s="11">
        <v>106</v>
      </c>
      <c r="D4124" s="9" t="s">
        <v>91</v>
      </c>
      <c r="E4124">
        <v>14</v>
      </c>
      <c r="F4124" s="8">
        <f>VLOOKUP(financials[[#This Row],[productid]],Products!$B$2:$H$10,3)</f>
        <v>25</v>
      </c>
      <c r="G4124" s="8">
        <f>financials[[#This Row],[Units Sold]]*financials[[#This Row],[Sale Price]]</f>
        <v>350</v>
      </c>
      <c r="H4124" s="8">
        <f>IF(financials[[#This Row],[Discount Band]]="low",0.1,IF(financials[[#This Row],[Discount Band]]="medium",0.15,0.3))</f>
        <v>0.1</v>
      </c>
      <c r="I4124" s="8">
        <f>financials[[#This Row],[Gross Sales]]-financials[[#This Row],[Gross Sales]]*financials[[#This Row],[Discounts]]</f>
        <v>315</v>
      </c>
      <c r="J4124" s="8">
        <f>VLOOKUP(financials[[#This Row],[productid]],Products!$B$2:$H$10,4)</f>
        <v>9.1</v>
      </c>
      <c r="K4124" s="8">
        <f>financials[[#This Row],[Net Sales]]-financials[[#This Row],[COGS]]</f>
        <v>305.89999999999998</v>
      </c>
      <c r="L4124" s="15">
        <v>44445</v>
      </c>
      <c r="M4124" t="s">
        <v>691</v>
      </c>
    </row>
    <row r="4125" spans="1:13" x14ac:dyDescent="0.25">
      <c r="A4125" t="s">
        <v>87</v>
      </c>
      <c r="B4125" s="6" t="s">
        <v>159</v>
      </c>
      <c r="C4125" s="13">
        <v>107</v>
      </c>
      <c r="D4125" s="14" t="s">
        <v>91</v>
      </c>
      <c r="E4125">
        <v>13</v>
      </c>
      <c r="F4125" s="8">
        <f>VLOOKUP(financials[[#This Row],[productid]],Products!$B$2:$H$10,3)</f>
        <v>15</v>
      </c>
      <c r="G4125" s="8">
        <f>financials[[#This Row],[Units Sold]]*financials[[#This Row],[Sale Price]]</f>
        <v>195</v>
      </c>
      <c r="H4125" s="8">
        <f>IF(financials[[#This Row],[Discount Band]]="low",0.1,IF(financials[[#This Row],[Discount Band]]="medium",0.15,0.3))</f>
        <v>0.1</v>
      </c>
      <c r="I4125" s="8">
        <f>financials[[#This Row],[Gross Sales]]-financials[[#This Row],[Gross Sales]]*financials[[#This Row],[Discounts]]</f>
        <v>175.5</v>
      </c>
      <c r="J4125" s="8">
        <f>VLOOKUP(financials[[#This Row],[productid]],Products!$B$2:$H$10,4)</f>
        <v>5.5</v>
      </c>
      <c r="K4125" s="8">
        <f>financials[[#This Row],[Net Sales]]-financials[[#This Row],[COGS]]</f>
        <v>170</v>
      </c>
      <c r="L4125" s="15">
        <v>45530</v>
      </c>
      <c r="M4125" t="s">
        <v>696</v>
      </c>
    </row>
    <row r="4126" spans="1:13" x14ac:dyDescent="0.25">
      <c r="A4126" t="s">
        <v>87</v>
      </c>
      <c r="B4126" s="6" t="s">
        <v>84</v>
      </c>
      <c r="C4126" s="13">
        <v>107</v>
      </c>
      <c r="D4126" s="14" t="s">
        <v>91</v>
      </c>
      <c r="E4126">
        <v>16</v>
      </c>
      <c r="F4126" s="8">
        <f>VLOOKUP(financials[[#This Row],[productid]],Products!$B$2:$H$10,3)</f>
        <v>15</v>
      </c>
      <c r="G4126" s="8">
        <f>financials[[#This Row],[Units Sold]]*financials[[#This Row],[Sale Price]]</f>
        <v>240</v>
      </c>
      <c r="H4126" s="8">
        <f>IF(financials[[#This Row],[Discount Band]]="low",0.1,IF(financials[[#This Row],[Discount Band]]="medium",0.15,0.3))</f>
        <v>0.1</v>
      </c>
      <c r="I4126" s="8">
        <f>financials[[#This Row],[Gross Sales]]-financials[[#This Row],[Gross Sales]]*financials[[#This Row],[Discounts]]</f>
        <v>216</v>
      </c>
      <c r="J4126" s="8">
        <f>VLOOKUP(financials[[#This Row],[productid]],Products!$B$2:$H$10,4)</f>
        <v>5.5</v>
      </c>
      <c r="K4126" s="8">
        <f>financials[[#This Row],[Net Sales]]-financials[[#This Row],[COGS]]</f>
        <v>210.5</v>
      </c>
      <c r="L4126" s="15">
        <v>44467</v>
      </c>
      <c r="M4126" t="s">
        <v>696</v>
      </c>
    </row>
    <row r="4127" spans="1:13" x14ac:dyDescent="0.25">
      <c r="A4127" t="s">
        <v>86</v>
      </c>
      <c r="B4127" s="6" t="s">
        <v>276</v>
      </c>
      <c r="C4127" s="11">
        <v>105</v>
      </c>
      <c r="D4127" s="9" t="s">
        <v>91</v>
      </c>
      <c r="E4127">
        <v>20</v>
      </c>
      <c r="F4127" s="8">
        <f>VLOOKUP(financials[[#This Row],[productid]],Products!$B$2:$H$10,3)</f>
        <v>15</v>
      </c>
      <c r="G4127" s="8">
        <f>financials[[#This Row],[Units Sold]]*financials[[#This Row],[Sale Price]]</f>
        <v>300</v>
      </c>
      <c r="H4127" s="8">
        <f>IF(financials[[#This Row],[Discount Band]]="low",0.1,IF(financials[[#This Row],[Discount Band]]="medium",0.15,0.3))</f>
        <v>0.1</v>
      </c>
      <c r="I4127" s="8">
        <f>financials[[#This Row],[Gross Sales]]-financials[[#This Row],[Gross Sales]]*financials[[#This Row],[Discounts]]</f>
        <v>270</v>
      </c>
      <c r="J4127" s="8">
        <f>VLOOKUP(financials[[#This Row],[productid]],Products!$B$2:$H$10,4)</f>
        <v>10</v>
      </c>
      <c r="K4127" s="8">
        <f>financials[[#This Row],[Net Sales]]-financials[[#This Row],[COGS]]</f>
        <v>260</v>
      </c>
      <c r="L4127" s="15">
        <v>45463</v>
      </c>
      <c r="M4127" t="s">
        <v>697</v>
      </c>
    </row>
    <row r="4128" spans="1:13" x14ac:dyDescent="0.25">
      <c r="A4128" t="s">
        <v>87</v>
      </c>
      <c r="B4128" s="6" t="s">
        <v>159</v>
      </c>
      <c r="C4128" s="13">
        <v>102</v>
      </c>
      <c r="D4128" s="14" t="s">
        <v>91</v>
      </c>
      <c r="E4128">
        <v>16</v>
      </c>
      <c r="F4128" s="8">
        <f>VLOOKUP(financials[[#This Row],[productid]],Products!$B$2:$H$10,3)</f>
        <v>15</v>
      </c>
      <c r="G4128" s="8">
        <f>financials[[#This Row],[Units Sold]]*financials[[#This Row],[Sale Price]]</f>
        <v>240</v>
      </c>
      <c r="H4128" s="8">
        <f>IF(financials[[#This Row],[Discount Band]]="low",0.1,IF(financials[[#This Row],[Discount Band]]="medium",0.15,0.3))</f>
        <v>0.1</v>
      </c>
      <c r="I4128" s="8">
        <f>financials[[#This Row],[Gross Sales]]-financials[[#This Row],[Gross Sales]]*financials[[#This Row],[Discounts]]</f>
        <v>216</v>
      </c>
      <c r="J4128" s="8">
        <f>VLOOKUP(financials[[#This Row],[productid]],Products!$B$2:$H$10,4)</f>
        <v>13.95</v>
      </c>
      <c r="K4128" s="8">
        <f>financials[[#This Row],[Net Sales]]-financials[[#This Row],[COGS]]</f>
        <v>202.05</v>
      </c>
      <c r="L4128" s="15">
        <v>45348</v>
      </c>
      <c r="M4128" t="s">
        <v>691</v>
      </c>
    </row>
    <row r="4129" spans="1:13" x14ac:dyDescent="0.25">
      <c r="A4129" t="s">
        <v>86</v>
      </c>
      <c r="B4129" s="6" t="s">
        <v>268</v>
      </c>
      <c r="C4129" s="13">
        <v>108</v>
      </c>
      <c r="D4129" s="14" t="s">
        <v>91</v>
      </c>
      <c r="E4129">
        <v>12</v>
      </c>
      <c r="F4129" s="8">
        <f>VLOOKUP(financials[[#This Row],[productid]],Products!$B$2:$H$10,3)</f>
        <v>5.5</v>
      </c>
      <c r="G4129" s="8">
        <f>financials[[#This Row],[Units Sold]]*financials[[#This Row],[Sale Price]]</f>
        <v>66</v>
      </c>
      <c r="H4129" s="8">
        <f>IF(financials[[#This Row],[Discount Band]]="low",0.1,IF(financials[[#This Row],[Discount Band]]="medium",0.15,0.3))</f>
        <v>0.1</v>
      </c>
      <c r="I4129" s="8">
        <f>financials[[#This Row],[Gross Sales]]-financials[[#This Row],[Gross Sales]]*financials[[#This Row],[Discounts]]</f>
        <v>59.4</v>
      </c>
      <c r="J4129" s="8">
        <f>VLOOKUP(financials[[#This Row],[productid]],Products!$B$2:$H$10,4)</f>
        <v>3.99</v>
      </c>
      <c r="K4129" s="8">
        <f>financials[[#This Row],[Net Sales]]-financials[[#This Row],[COGS]]</f>
        <v>55.41</v>
      </c>
      <c r="L4129" s="15">
        <v>45175</v>
      </c>
      <c r="M4129" t="s">
        <v>690</v>
      </c>
    </row>
    <row r="4130" spans="1:13" x14ac:dyDescent="0.25">
      <c r="A4130" t="s">
        <v>86</v>
      </c>
      <c r="B4130" s="6" t="s">
        <v>198</v>
      </c>
      <c r="C4130" s="13">
        <v>108</v>
      </c>
      <c r="D4130" s="14" t="s">
        <v>91</v>
      </c>
      <c r="E4130">
        <v>8</v>
      </c>
      <c r="F4130" s="8">
        <f>VLOOKUP(financials[[#This Row],[productid]],Products!$B$2:$H$10,3)</f>
        <v>5.5</v>
      </c>
      <c r="G4130" s="8">
        <f>financials[[#This Row],[Units Sold]]*financials[[#This Row],[Sale Price]]</f>
        <v>44</v>
      </c>
      <c r="H4130" s="8">
        <f>IF(financials[[#This Row],[Discount Band]]="low",0.1,IF(financials[[#This Row],[Discount Band]]="medium",0.15,0.3))</f>
        <v>0.1</v>
      </c>
      <c r="I4130" s="8">
        <f>financials[[#This Row],[Gross Sales]]-financials[[#This Row],[Gross Sales]]*financials[[#This Row],[Discounts]]</f>
        <v>39.6</v>
      </c>
      <c r="J4130" s="8">
        <f>VLOOKUP(financials[[#This Row],[productid]],Products!$B$2:$H$10,4)</f>
        <v>3.99</v>
      </c>
      <c r="K4130" s="8">
        <f>financials[[#This Row],[Net Sales]]-financials[[#This Row],[COGS]]</f>
        <v>35.61</v>
      </c>
      <c r="L4130" s="15">
        <v>43967</v>
      </c>
      <c r="M4130" t="s">
        <v>690</v>
      </c>
    </row>
    <row r="4131" spans="1:13" x14ac:dyDescent="0.25">
      <c r="A4131" t="s">
        <v>86</v>
      </c>
      <c r="B4131" s="6" t="s">
        <v>95</v>
      </c>
      <c r="C4131" s="13">
        <v>103</v>
      </c>
      <c r="D4131" s="14" t="s">
        <v>83</v>
      </c>
      <c r="E4131">
        <v>19</v>
      </c>
      <c r="F4131" s="8">
        <f>VLOOKUP(financials[[#This Row],[productid]],Products!$B$2:$H$10,3)</f>
        <v>28</v>
      </c>
      <c r="G4131" s="8">
        <f>financials[[#This Row],[Units Sold]]*financials[[#This Row],[Sale Price]]</f>
        <v>532</v>
      </c>
      <c r="H4131" s="8">
        <f>IF(financials[[#This Row],[Discount Band]]="low",0.1,IF(financials[[#This Row],[Discount Band]]="medium",0.15,0.3))</f>
        <v>0.3</v>
      </c>
      <c r="I4131" s="8">
        <f>financials[[#This Row],[Gross Sales]]-financials[[#This Row],[Gross Sales]]*financials[[#This Row],[Discounts]]</f>
        <v>372.4</v>
      </c>
      <c r="J4131" s="8">
        <f>VLOOKUP(financials[[#This Row],[productid]],Products!$B$2:$H$10,4)</f>
        <v>15</v>
      </c>
      <c r="K4131" s="8">
        <f>financials[[#This Row],[Net Sales]]-financials[[#This Row],[COGS]]</f>
        <v>357.4</v>
      </c>
      <c r="L4131" s="15">
        <v>44120</v>
      </c>
      <c r="M4131" t="s">
        <v>697</v>
      </c>
    </row>
    <row r="4132" spans="1:13" x14ac:dyDescent="0.25">
      <c r="A4132" t="s">
        <v>87</v>
      </c>
      <c r="B4132" s="6" t="s">
        <v>84</v>
      </c>
      <c r="C4132" s="13">
        <v>102</v>
      </c>
      <c r="D4132" s="14" t="s">
        <v>83</v>
      </c>
      <c r="E4132">
        <v>11</v>
      </c>
      <c r="F4132" s="8">
        <f>VLOOKUP(financials[[#This Row],[productid]],Products!$B$2:$H$10,3)</f>
        <v>15</v>
      </c>
      <c r="G4132" s="8">
        <f>financials[[#This Row],[Units Sold]]*financials[[#This Row],[Sale Price]]</f>
        <v>165</v>
      </c>
      <c r="H4132" s="8">
        <f>IF(financials[[#This Row],[Discount Band]]="low",0.1,IF(financials[[#This Row],[Discount Band]]="medium",0.15,0.3))</f>
        <v>0.3</v>
      </c>
      <c r="I4132" s="8">
        <f>financials[[#This Row],[Gross Sales]]-financials[[#This Row],[Gross Sales]]*financials[[#This Row],[Discounts]]</f>
        <v>115.5</v>
      </c>
      <c r="J4132" s="8">
        <f>VLOOKUP(financials[[#This Row],[productid]],Products!$B$2:$H$10,4)</f>
        <v>13.95</v>
      </c>
      <c r="K4132" s="8">
        <f>financials[[#This Row],[Net Sales]]-financials[[#This Row],[COGS]]</f>
        <v>101.55</v>
      </c>
      <c r="L4132" s="15">
        <v>44016</v>
      </c>
      <c r="M4132" t="s">
        <v>697</v>
      </c>
    </row>
    <row r="4133" spans="1:13" x14ac:dyDescent="0.25">
      <c r="A4133" t="s">
        <v>88</v>
      </c>
      <c r="B4133" s="6" t="s">
        <v>276</v>
      </c>
      <c r="C4133" s="13">
        <v>106</v>
      </c>
      <c r="D4133" s="14" t="s">
        <v>83</v>
      </c>
      <c r="E4133">
        <v>8</v>
      </c>
      <c r="F4133" s="8">
        <f>VLOOKUP(financials[[#This Row],[productid]],Products!$B$2:$H$10,3)</f>
        <v>25</v>
      </c>
      <c r="G4133" s="8">
        <f>financials[[#This Row],[Units Sold]]*financials[[#This Row],[Sale Price]]</f>
        <v>200</v>
      </c>
      <c r="H4133" s="8">
        <f>IF(financials[[#This Row],[Discount Band]]="low",0.1,IF(financials[[#This Row],[Discount Band]]="medium",0.15,0.3))</f>
        <v>0.3</v>
      </c>
      <c r="I4133" s="8">
        <f>financials[[#This Row],[Gross Sales]]-financials[[#This Row],[Gross Sales]]*financials[[#This Row],[Discounts]]</f>
        <v>140</v>
      </c>
      <c r="J4133" s="8">
        <f>VLOOKUP(financials[[#This Row],[productid]],Products!$B$2:$H$10,4)</f>
        <v>9.1</v>
      </c>
      <c r="K4133" s="8">
        <f>financials[[#This Row],[Net Sales]]-financials[[#This Row],[COGS]]</f>
        <v>130.9</v>
      </c>
      <c r="L4133" s="15">
        <v>44437</v>
      </c>
      <c r="M4133" t="s">
        <v>696</v>
      </c>
    </row>
    <row r="4134" spans="1:13" x14ac:dyDescent="0.25">
      <c r="A4134" t="s">
        <v>86</v>
      </c>
      <c r="B4134" s="6" t="s">
        <v>268</v>
      </c>
      <c r="C4134" s="13">
        <v>103</v>
      </c>
      <c r="D4134" s="14" t="s">
        <v>90</v>
      </c>
      <c r="E4134">
        <v>20</v>
      </c>
      <c r="F4134" s="8">
        <f>VLOOKUP(financials[[#This Row],[productid]],Products!$B$2:$H$10,3)</f>
        <v>28</v>
      </c>
      <c r="G4134" s="8">
        <f>financials[[#This Row],[Units Sold]]*financials[[#This Row],[Sale Price]]</f>
        <v>560</v>
      </c>
      <c r="H4134" s="8">
        <f>IF(financials[[#This Row],[Discount Band]]="low",0.1,IF(financials[[#This Row],[Discount Band]]="medium",0.15,0.3))</f>
        <v>0.15</v>
      </c>
      <c r="I4134" s="8">
        <f>financials[[#This Row],[Gross Sales]]-financials[[#This Row],[Gross Sales]]*financials[[#This Row],[Discounts]]</f>
        <v>476</v>
      </c>
      <c r="J4134" s="8">
        <f>VLOOKUP(financials[[#This Row],[productid]],Products!$B$2:$H$10,4)</f>
        <v>15</v>
      </c>
      <c r="K4134" s="8">
        <f>financials[[#This Row],[Net Sales]]-financials[[#This Row],[COGS]]</f>
        <v>461</v>
      </c>
      <c r="L4134" s="15">
        <v>44122</v>
      </c>
      <c r="M4134" t="s">
        <v>697</v>
      </c>
    </row>
    <row r="4135" spans="1:13" x14ac:dyDescent="0.25">
      <c r="A4135" t="s">
        <v>86</v>
      </c>
      <c r="B4135" s="6" t="s">
        <v>95</v>
      </c>
      <c r="C4135" s="13">
        <v>108</v>
      </c>
      <c r="D4135" s="14" t="s">
        <v>83</v>
      </c>
      <c r="E4135">
        <v>11</v>
      </c>
      <c r="F4135" s="8">
        <f>VLOOKUP(financials[[#This Row],[productid]],Products!$B$2:$H$10,3)</f>
        <v>5.5</v>
      </c>
      <c r="G4135" s="8">
        <f>financials[[#This Row],[Units Sold]]*financials[[#This Row],[Sale Price]]</f>
        <v>60.5</v>
      </c>
      <c r="H4135" s="8">
        <f>IF(financials[[#This Row],[Discount Band]]="low",0.1,IF(financials[[#This Row],[Discount Band]]="medium",0.15,0.3))</f>
        <v>0.3</v>
      </c>
      <c r="I4135" s="8">
        <f>financials[[#This Row],[Gross Sales]]-financials[[#This Row],[Gross Sales]]*financials[[#This Row],[Discounts]]</f>
        <v>42.35</v>
      </c>
      <c r="J4135" s="8">
        <f>VLOOKUP(financials[[#This Row],[productid]],Products!$B$2:$H$10,4)</f>
        <v>3.99</v>
      </c>
      <c r="K4135" s="8">
        <f>financials[[#This Row],[Net Sales]]-financials[[#This Row],[COGS]]</f>
        <v>38.36</v>
      </c>
      <c r="L4135" s="15">
        <v>44483</v>
      </c>
      <c r="M4135" t="s">
        <v>697</v>
      </c>
    </row>
    <row r="4136" spans="1:13" x14ac:dyDescent="0.25">
      <c r="A4136" t="s">
        <v>86</v>
      </c>
      <c r="B4136" s="6" t="s">
        <v>167</v>
      </c>
      <c r="C4136" s="13">
        <v>103</v>
      </c>
      <c r="D4136" s="14" t="s">
        <v>83</v>
      </c>
      <c r="E4136">
        <v>12</v>
      </c>
      <c r="F4136" s="8">
        <f>VLOOKUP(financials[[#This Row],[productid]],Products!$B$2:$H$10,3)</f>
        <v>28</v>
      </c>
      <c r="G4136" s="8">
        <f>financials[[#This Row],[Units Sold]]*financials[[#This Row],[Sale Price]]</f>
        <v>336</v>
      </c>
      <c r="H4136" s="8">
        <f>IF(financials[[#This Row],[Discount Band]]="low",0.1,IF(financials[[#This Row],[Discount Band]]="medium",0.15,0.3))</f>
        <v>0.3</v>
      </c>
      <c r="I4136" s="8">
        <f>financials[[#This Row],[Gross Sales]]-financials[[#This Row],[Gross Sales]]*financials[[#This Row],[Discounts]]</f>
        <v>235.2</v>
      </c>
      <c r="J4136" s="8">
        <f>VLOOKUP(financials[[#This Row],[productid]],Products!$B$2:$H$10,4)</f>
        <v>15</v>
      </c>
      <c r="K4136" s="8">
        <f>financials[[#This Row],[Net Sales]]-financials[[#This Row],[COGS]]</f>
        <v>220.2</v>
      </c>
      <c r="L4136" s="15">
        <v>45325</v>
      </c>
      <c r="M4136" t="s">
        <v>700</v>
      </c>
    </row>
    <row r="4137" spans="1:13" x14ac:dyDescent="0.25">
      <c r="A4137" t="s">
        <v>88</v>
      </c>
      <c r="B4137" s="6" t="s">
        <v>273</v>
      </c>
      <c r="C4137" s="13">
        <v>102</v>
      </c>
      <c r="D4137" s="14" t="s">
        <v>90</v>
      </c>
      <c r="E4137">
        <v>7</v>
      </c>
      <c r="F4137" s="8">
        <f>VLOOKUP(financials[[#This Row],[productid]],Products!$B$2:$H$10,3)</f>
        <v>15</v>
      </c>
      <c r="G4137" s="8">
        <f>financials[[#This Row],[Units Sold]]*financials[[#This Row],[Sale Price]]</f>
        <v>105</v>
      </c>
      <c r="H4137" s="8">
        <f>IF(financials[[#This Row],[Discount Band]]="low",0.1,IF(financials[[#This Row],[Discount Band]]="medium",0.15,0.3))</f>
        <v>0.15</v>
      </c>
      <c r="I4137" s="8">
        <f>financials[[#This Row],[Gross Sales]]-financials[[#This Row],[Gross Sales]]*financials[[#This Row],[Discounts]]</f>
        <v>89.25</v>
      </c>
      <c r="J4137" s="8">
        <f>VLOOKUP(financials[[#This Row],[productid]],Products!$B$2:$H$10,4)</f>
        <v>13.95</v>
      </c>
      <c r="K4137" s="8">
        <f>financials[[#This Row],[Net Sales]]-financials[[#This Row],[COGS]]</f>
        <v>75.3</v>
      </c>
      <c r="L4137" s="15">
        <v>44312</v>
      </c>
      <c r="M4137" t="s">
        <v>696</v>
      </c>
    </row>
    <row r="4138" spans="1:13" x14ac:dyDescent="0.25">
      <c r="A4138" t="s">
        <v>88</v>
      </c>
      <c r="B4138" s="6" t="s">
        <v>273</v>
      </c>
      <c r="C4138" s="13">
        <v>107</v>
      </c>
      <c r="D4138" s="14" t="s">
        <v>91</v>
      </c>
      <c r="E4138">
        <v>20</v>
      </c>
      <c r="F4138" s="8">
        <f>VLOOKUP(financials[[#This Row],[productid]],Products!$B$2:$H$10,3)</f>
        <v>15</v>
      </c>
      <c r="G4138" s="8">
        <f>financials[[#This Row],[Units Sold]]*financials[[#This Row],[Sale Price]]</f>
        <v>300</v>
      </c>
      <c r="H4138" s="8">
        <f>IF(financials[[#This Row],[Discount Band]]="low",0.1,IF(financials[[#This Row],[Discount Band]]="medium",0.15,0.3))</f>
        <v>0.1</v>
      </c>
      <c r="I4138" s="8">
        <f>financials[[#This Row],[Gross Sales]]-financials[[#This Row],[Gross Sales]]*financials[[#This Row],[Discounts]]</f>
        <v>270</v>
      </c>
      <c r="J4138" s="8">
        <f>VLOOKUP(financials[[#This Row],[productid]],Products!$B$2:$H$10,4)</f>
        <v>5.5</v>
      </c>
      <c r="K4138" s="8">
        <f>financials[[#This Row],[Net Sales]]-financials[[#This Row],[COGS]]</f>
        <v>264.5</v>
      </c>
      <c r="L4138" s="15">
        <v>45454</v>
      </c>
      <c r="M4138" t="s">
        <v>697</v>
      </c>
    </row>
    <row r="4139" spans="1:13" x14ac:dyDescent="0.25">
      <c r="A4139" t="s">
        <v>86</v>
      </c>
      <c r="B4139" s="6" t="s">
        <v>167</v>
      </c>
      <c r="C4139" s="13">
        <v>109</v>
      </c>
      <c r="D4139" s="14" t="s">
        <v>92</v>
      </c>
      <c r="E4139">
        <v>13</v>
      </c>
      <c r="F4139" s="8">
        <f>VLOOKUP(financials[[#This Row],[productid]],Products!$B$2:$H$10,3)</f>
        <v>36</v>
      </c>
      <c r="G4139" s="8">
        <f>financials[[#This Row],[Units Sold]]*financials[[#This Row],[Sale Price]]</f>
        <v>468</v>
      </c>
      <c r="H4139" s="8">
        <f>IF(financials[[#This Row],[Discount Band]]="low",0.1,IF(financials[[#This Row],[Discount Band]]="medium",0.15,0.3))</f>
        <v>0.3</v>
      </c>
      <c r="I4139" s="8">
        <f>financials[[#This Row],[Gross Sales]]-financials[[#This Row],[Gross Sales]]*financials[[#This Row],[Discounts]]</f>
        <v>327.60000000000002</v>
      </c>
      <c r="J4139" s="8">
        <f>VLOOKUP(financials[[#This Row],[productid]],Products!$B$2:$H$10,4)</f>
        <v>16.8</v>
      </c>
      <c r="K4139" s="8">
        <f>financials[[#This Row],[Net Sales]]-financials[[#This Row],[COGS]]</f>
        <v>310.8</v>
      </c>
      <c r="L4139" s="15">
        <v>44137</v>
      </c>
      <c r="M4139" t="s">
        <v>696</v>
      </c>
    </row>
    <row r="4140" spans="1:13" x14ac:dyDescent="0.25">
      <c r="A4140" t="s">
        <v>88</v>
      </c>
      <c r="B4140" s="6" t="s">
        <v>198</v>
      </c>
      <c r="C4140" s="13">
        <v>106</v>
      </c>
      <c r="D4140" s="14" t="s">
        <v>83</v>
      </c>
      <c r="E4140">
        <v>7</v>
      </c>
      <c r="F4140" s="8">
        <f>VLOOKUP(financials[[#This Row],[productid]],Products!$B$2:$H$10,3)</f>
        <v>25</v>
      </c>
      <c r="G4140" s="8">
        <f>financials[[#This Row],[Units Sold]]*financials[[#This Row],[Sale Price]]</f>
        <v>175</v>
      </c>
      <c r="H4140" s="8">
        <f>IF(financials[[#This Row],[Discount Band]]="low",0.1,IF(financials[[#This Row],[Discount Band]]="medium",0.15,0.3))</f>
        <v>0.3</v>
      </c>
      <c r="I4140" s="8">
        <f>financials[[#This Row],[Gross Sales]]-financials[[#This Row],[Gross Sales]]*financials[[#This Row],[Discounts]]</f>
        <v>122.5</v>
      </c>
      <c r="J4140" s="8">
        <f>VLOOKUP(financials[[#This Row],[productid]],Products!$B$2:$H$10,4)</f>
        <v>9.1</v>
      </c>
      <c r="K4140" s="8">
        <f>financials[[#This Row],[Net Sales]]-financials[[#This Row],[COGS]]</f>
        <v>113.4</v>
      </c>
      <c r="L4140" s="15">
        <v>45109</v>
      </c>
      <c r="M4140" t="s">
        <v>700</v>
      </c>
    </row>
    <row r="4141" spans="1:13" x14ac:dyDescent="0.25">
      <c r="A4141" t="s">
        <v>86</v>
      </c>
      <c r="B4141" s="6" t="s">
        <v>167</v>
      </c>
      <c r="C4141" s="13">
        <v>107</v>
      </c>
      <c r="D4141" s="14" t="s">
        <v>90</v>
      </c>
      <c r="E4141">
        <v>8</v>
      </c>
      <c r="F4141" s="8">
        <f>VLOOKUP(financials[[#This Row],[productid]],Products!$B$2:$H$10,3)</f>
        <v>15</v>
      </c>
      <c r="G4141" s="8">
        <f>financials[[#This Row],[Units Sold]]*financials[[#This Row],[Sale Price]]</f>
        <v>120</v>
      </c>
      <c r="H4141" s="8">
        <f>IF(financials[[#This Row],[Discount Band]]="low",0.1,IF(financials[[#This Row],[Discount Band]]="medium",0.15,0.3))</f>
        <v>0.15</v>
      </c>
      <c r="I4141" s="8">
        <f>financials[[#This Row],[Gross Sales]]-financials[[#This Row],[Gross Sales]]*financials[[#This Row],[Discounts]]</f>
        <v>102</v>
      </c>
      <c r="J4141" s="8">
        <f>VLOOKUP(financials[[#This Row],[productid]],Products!$B$2:$H$10,4)</f>
        <v>5.5</v>
      </c>
      <c r="K4141" s="8">
        <f>financials[[#This Row],[Net Sales]]-financials[[#This Row],[COGS]]</f>
        <v>96.5</v>
      </c>
      <c r="L4141" s="15">
        <v>45096</v>
      </c>
      <c r="M4141" t="s">
        <v>700</v>
      </c>
    </row>
    <row r="4142" spans="1:13" x14ac:dyDescent="0.25">
      <c r="A4142" t="s">
        <v>87</v>
      </c>
      <c r="B4142" s="6" t="s">
        <v>84</v>
      </c>
      <c r="C4142" s="13">
        <v>101</v>
      </c>
      <c r="D4142" s="14" t="s">
        <v>90</v>
      </c>
      <c r="E4142">
        <v>10</v>
      </c>
      <c r="F4142" s="8">
        <f>VLOOKUP(financials[[#This Row],[productid]],Products!$B$2:$H$10,3)</f>
        <v>23</v>
      </c>
      <c r="G4142" s="8">
        <f>financials[[#This Row],[Units Sold]]*financials[[#This Row],[Sale Price]]</f>
        <v>230</v>
      </c>
      <c r="H4142" s="8">
        <f>IF(financials[[#This Row],[Discount Band]]="low",0.1,IF(financials[[#This Row],[Discount Band]]="medium",0.15,0.3))</f>
        <v>0.15</v>
      </c>
      <c r="I4142" s="8">
        <f>financials[[#This Row],[Gross Sales]]-financials[[#This Row],[Gross Sales]]*financials[[#This Row],[Discounts]]</f>
        <v>195.5</v>
      </c>
      <c r="J4142" s="8">
        <f>VLOOKUP(financials[[#This Row],[productid]],Products!$B$2:$H$10,4)</f>
        <v>9.9499999999999993</v>
      </c>
      <c r="K4142" s="8">
        <f>financials[[#This Row],[Net Sales]]-financials[[#This Row],[COGS]]</f>
        <v>185.55</v>
      </c>
      <c r="L4142" s="15">
        <v>43944</v>
      </c>
      <c r="M4142" t="s">
        <v>691</v>
      </c>
    </row>
    <row r="4143" spans="1:13" x14ac:dyDescent="0.25">
      <c r="A4143" t="s">
        <v>86</v>
      </c>
      <c r="B4143" s="6" t="s">
        <v>268</v>
      </c>
      <c r="C4143" s="13">
        <v>105</v>
      </c>
      <c r="D4143" s="14" t="s">
        <v>83</v>
      </c>
      <c r="E4143">
        <v>7</v>
      </c>
      <c r="F4143" s="8">
        <f>VLOOKUP(financials[[#This Row],[productid]],Products!$B$2:$H$10,3)</f>
        <v>15</v>
      </c>
      <c r="G4143" s="8">
        <f>financials[[#This Row],[Units Sold]]*financials[[#This Row],[Sale Price]]</f>
        <v>105</v>
      </c>
      <c r="H4143" s="8">
        <f>IF(financials[[#This Row],[Discount Band]]="low",0.1,IF(financials[[#This Row],[Discount Band]]="medium",0.15,0.3))</f>
        <v>0.3</v>
      </c>
      <c r="I4143" s="8">
        <f>financials[[#This Row],[Gross Sales]]-financials[[#This Row],[Gross Sales]]*financials[[#This Row],[Discounts]]</f>
        <v>73.5</v>
      </c>
      <c r="J4143" s="8">
        <f>VLOOKUP(financials[[#This Row],[productid]],Products!$B$2:$H$10,4)</f>
        <v>10</v>
      </c>
      <c r="K4143" s="8">
        <f>financials[[#This Row],[Net Sales]]-financials[[#This Row],[COGS]]</f>
        <v>63.5</v>
      </c>
      <c r="L4143" s="15">
        <v>45636</v>
      </c>
      <c r="M4143" t="s">
        <v>700</v>
      </c>
    </row>
    <row r="4144" spans="1:13" x14ac:dyDescent="0.25">
      <c r="A4144" t="s">
        <v>86</v>
      </c>
      <c r="B4144" s="6" t="s">
        <v>273</v>
      </c>
      <c r="C4144" s="13">
        <v>105</v>
      </c>
      <c r="D4144" s="14" t="s">
        <v>91</v>
      </c>
      <c r="E4144">
        <v>14</v>
      </c>
      <c r="F4144" s="8">
        <f>VLOOKUP(financials[[#This Row],[productid]],Products!$B$2:$H$10,3)</f>
        <v>15</v>
      </c>
      <c r="G4144" s="8">
        <f>financials[[#This Row],[Units Sold]]*financials[[#This Row],[Sale Price]]</f>
        <v>210</v>
      </c>
      <c r="H4144" s="8">
        <f>IF(financials[[#This Row],[Discount Band]]="low",0.1,IF(financials[[#This Row],[Discount Band]]="medium",0.15,0.3))</f>
        <v>0.1</v>
      </c>
      <c r="I4144" s="8">
        <f>financials[[#This Row],[Gross Sales]]-financials[[#This Row],[Gross Sales]]*financials[[#This Row],[Discounts]]</f>
        <v>189</v>
      </c>
      <c r="J4144" s="8">
        <f>VLOOKUP(financials[[#This Row],[productid]],Products!$B$2:$H$10,4)</f>
        <v>10</v>
      </c>
      <c r="K4144" s="8">
        <f>financials[[#This Row],[Net Sales]]-financials[[#This Row],[COGS]]</f>
        <v>179</v>
      </c>
      <c r="L4144" s="15">
        <v>45090</v>
      </c>
      <c r="M4144" t="s">
        <v>697</v>
      </c>
    </row>
    <row r="4145" spans="1:13" x14ac:dyDescent="0.25">
      <c r="A4145" t="s">
        <v>87</v>
      </c>
      <c r="B4145" s="6" t="s">
        <v>84</v>
      </c>
      <c r="C4145" s="13">
        <v>105</v>
      </c>
      <c r="D4145" s="14" t="s">
        <v>83</v>
      </c>
      <c r="E4145">
        <v>14</v>
      </c>
      <c r="F4145" s="8">
        <f>VLOOKUP(financials[[#This Row],[productid]],Products!$B$2:$H$10,3)</f>
        <v>15</v>
      </c>
      <c r="G4145" s="8">
        <f>financials[[#This Row],[Units Sold]]*financials[[#This Row],[Sale Price]]</f>
        <v>210</v>
      </c>
      <c r="H4145" s="8">
        <f>IF(financials[[#This Row],[Discount Band]]="low",0.1,IF(financials[[#This Row],[Discount Band]]="medium",0.15,0.3))</f>
        <v>0.3</v>
      </c>
      <c r="I4145" s="8">
        <f>financials[[#This Row],[Gross Sales]]-financials[[#This Row],[Gross Sales]]*financials[[#This Row],[Discounts]]</f>
        <v>147</v>
      </c>
      <c r="J4145" s="8">
        <f>VLOOKUP(financials[[#This Row],[productid]],Products!$B$2:$H$10,4)</f>
        <v>10</v>
      </c>
      <c r="K4145" s="8">
        <f>financials[[#This Row],[Net Sales]]-financials[[#This Row],[COGS]]</f>
        <v>137</v>
      </c>
      <c r="L4145" s="15">
        <v>44639</v>
      </c>
      <c r="M4145" t="s">
        <v>697</v>
      </c>
    </row>
    <row r="4146" spans="1:13" x14ac:dyDescent="0.25">
      <c r="A4146" t="s">
        <v>88</v>
      </c>
      <c r="B4146" s="6" t="s">
        <v>198</v>
      </c>
      <c r="C4146" s="13">
        <v>104</v>
      </c>
      <c r="D4146" s="14" t="s">
        <v>83</v>
      </c>
      <c r="E4146">
        <v>14</v>
      </c>
      <c r="F4146" s="8">
        <f>VLOOKUP(financials[[#This Row],[productid]],Products!$B$2:$H$10,3)</f>
        <v>5.9</v>
      </c>
      <c r="G4146" s="8">
        <f>financials[[#This Row],[Units Sold]]*financials[[#This Row],[Sale Price]]</f>
        <v>82.600000000000009</v>
      </c>
      <c r="H4146" s="8">
        <f>IF(financials[[#This Row],[Discount Band]]="low",0.1,IF(financials[[#This Row],[Discount Band]]="medium",0.15,0.3))</f>
        <v>0.3</v>
      </c>
      <c r="I4146" s="8">
        <f>financials[[#This Row],[Gross Sales]]-financials[[#This Row],[Gross Sales]]*financials[[#This Row],[Discounts]]</f>
        <v>57.820000000000007</v>
      </c>
      <c r="J4146" s="8">
        <f>VLOOKUP(financials[[#This Row],[productid]],Products!$B$2:$H$10,4)</f>
        <v>2.9</v>
      </c>
      <c r="K4146" s="8">
        <f>financials[[#This Row],[Net Sales]]-financials[[#This Row],[COGS]]</f>
        <v>54.920000000000009</v>
      </c>
      <c r="L4146" s="15">
        <v>44855</v>
      </c>
      <c r="M4146" t="s">
        <v>690</v>
      </c>
    </row>
    <row r="4147" spans="1:13" x14ac:dyDescent="0.25">
      <c r="A4147" t="s">
        <v>88</v>
      </c>
      <c r="B4147" s="6" t="s">
        <v>276</v>
      </c>
      <c r="C4147" s="13">
        <v>105</v>
      </c>
      <c r="D4147" s="14" t="s">
        <v>91</v>
      </c>
      <c r="E4147">
        <v>13</v>
      </c>
      <c r="F4147" s="8">
        <f>VLOOKUP(financials[[#This Row],[productid]],Products!$B$2:$H$10,3)</f>
        <v>15</v>
      </c>
      <c r="G4147" s="8">
        <f>financials[[#This Row],[Units Sold]]*financials[[#This Row],[Sale Price]]</f>
        <v>195</v>
      </c>
      <c r="H4147" s="8">
        <f>IF(financials[[#This Row],[Discount Band]]="low",0.1,IF(financials[[#This Row],[Discount Band]]="medium",0.15,0.3))</f>
        <v>0.1</v>
      </c>
      <c r="I4147" s="8">
        <f>financials[[#This Row],[Gross Sales]]-financials[[#This Row],[Gross Sales]]*financials[[#This Row],[Discounts]]</f>
        <v>175.5</v>
      </c>
      <c r="J4147" s="8">
        <f>VLOOKUP(financials[[#This Row],[productid]],Products!$B$2:$H$10,4)</f>
        <v>10</v>
      </c>
      <c r="K4147" s="8">
        <f>financials[[#This Row],[Net Sales]]-financials[[#This Row],[COGS]]</f>
        <v>165.5</v>
      </c>
      <c r="L4147" s="15">
        <v>44312</v>
      </c>
      <c r="M4147" t="s">
        <v>691</v>
      </c>
    </row>
    <row r="4148" spans="1:13" x14ac:dyDescent="0.25">
      <c r="A4148" t="s">
        <v>86</v>
      </c>
      <c r="B4148" s="6" t="s">
        <v>276</v>
      </c>
      <c r="C4148" s="13">
        <v>101</v>
      </c>
      <c r="D4148" s="14" t="s">
        <v>83</v>
      </c>
      <c r="E4148">
        <v>14</v>
      </c>
      <c r="F4148" s="8">
        <f>VLOOKUP(financials[[#This Row],[productid]],Products!$B$2:$H$10,3)</f>
        <v>23</v>
      </c>
      <c r="G4148" s="8">
        <f>financials[[#This Row],[Units Sold]]*financials[[#This Row],[Sale Price]]</f>
        <v>322</v>
      </c>
      <c r="H4148" s="8">
        <f>IF(financials[[#This Row],[Discount Band]]="low",0.1,IF(financials[[#This Row],[Discount Band]]="medium",0.15,0.3))</f>
        <v>0.3</v>
      </c>
      <c r="I4148" s="8">
        <f>financials[[#This Row],[Gross Sales]]-financials[[#This Row],[Gross Sales]]*financials[[#This Row],[Discounts]]</f>
        <v>225.4</v>
      </c>
      <c r="J4148" s="8">
        <f>VLOOKUP(financials[[#This Row],[productid]],Products!$B$2:$H$10,4)</f>
        <v>9.9499999999999993</v>
      </c>
      <c r="K4148" s="8">
        <f>financials[[#This Row],[Net Sales]]-financials[[#This Row],[COGS]]</f>
        <v>215.45000000000002</v>
      </c>
      <c r="L4148" s="15">
        <v>45232</v>
      </c>
      <c r="M4148" t="s">
        <v>690</v>
      </c>
    </row>
    <row r="4149" spans="1:13" x14ac:dyDescent="0.25">
      <c r="A4149" t="s">
        <v>86</v>
      </c>
      <c r="B4149" s="6" t="s">
        <v>205</v>
      </c>
      <c r="C4149" s="13">
        <v>102</v>
      </c>
      <c r="D4149" s="14" t="s">
        <v>92</v>
      </c>
      <c r="E4149">
        <v>10</v>
      </c>
      <c r="F4149" s="8">
        <f>VLOOKUP(financials[[#This Row],[productid]],Products!$B$2:$H$10,3)</f>
        <v>15</v>
      </c>
      <c r="G4149" s="8">
        <f>financials[[#This Row],[Units Sold]]*financials[[#This Row],[Sale Price]]</f>
        <v>150</v>
      </c>
      <c r="H4149" s="8">
        <f>IF(financials[[#This Row],[Discount Band]]="low",0.1,IF(financials[[#This Row],[Discount Band]]="medium",0.15,0.3))</f>
        <v>0.3</v>
      </c>
      <c r="I4149" s="8">
        <f>financials[[#This Row],[Gross Sales]]-financials[[#This Row],[Gross Sales]]*financials[[#This Row],[Discounts]]</f>
        <v>105</v>
      </c>
      <c r="J4149" s="8">
        <f>VLOOKUP(financials[[#This Row],[productid]],Products!$B$2:$H$10,4)</f>
        <v>13.95</v>
      </c>
      <c r="K4149" s="8">
        <f>financials[[#This Row],[Net Sales]]-financials[[#This Row],[COGS]]</f>
        <v>91.05</v>
      </c>
      <c r="L4149" s="15">
        <v>44491</v>
      </c>
      <c r="M4149" t="s">
        <v>696</v>
      </c>
    </row>
    <row r="4150" spans="1:13" x14ac:dyDescent="0.25">
      <c r="A4150" t="s">
        <v>88</v>
      </c>
      <c r="B4150" s="6" t="s">
        <v>276</v>
      </c>
      <c r="C4150" s="13">
        <v>102</v>
      </c>
      <c r="D4150" s="14" t="s">
        <v>92</v>
      </c>
      <c r="E4150">
        <v>19</v>
      </c>
      <c r="F4150" s="8">
        <f>VLOOKUP(financials[[#This Row],[productid]],Products!$B$2:$H$10,3)</f>
        <v>15</v>
      </c>
      <c r="G4150" s="8">
        <f>financials[[#This Row],[Units Sold]]*financials[[#This Row],[Sale Price]]</f>
        <v>285</v>
      </c>
      <c r="H4150" s="8">
        <f>IF(financials[[#This Row],[Discount Band]]="low",0.1,IF(financials[[#This Row],[Discount Band]]="medium",0.15,0.3))</f>
        <v>0.3</v>
      </c>
      <c r="I4150" s="8">
        <f>financials[[#This Row],[Gross Sales]]-financials[[#This Row],[Gross Sales]]*financials[[#This Row],[Discounts]]</f>
        <v>199.5</v>
      </c>
      <c r="J4150" s="8">
        <f>VLOOKUP(financials[[#This Row],[productid]],Products!$B$2:$H$10,4)</f>
        <v>13.95</v>
      </c>
      <c r="K4150" s="8">
        <f>financials[[#This Row],[Net Sales]]-financials[[#This Row],[COGS]]</f>
        <v>185.55</v>
      </c>
      <c r="L4150" s="15">
        <v>43902</v>
      </c>
      <c r="M4150" t="s">
        <v>696</v>
      </c>
    </row>
    <row r="4151" spans="1:13" x14ac:dyDescent="0.25">
      <c r="A4151" t="s">
        <v>87</v>
      </c>
      <c r="B4151" s="6" t="s">
        <v>84</v>
      </c>
      <c r="C4151" s="13">
        <v>106</v>
      </c>
      <c r="D4151" s="14" t="s">
        <v>91</v>
      </c>
      <c r="E4151">
        <v>10</v>
      </c>
      <c r="F4151" s="8">
        <f>VLOOKUP(financials[[#This Row],[productid]],Products!$B$2:$H$10,3)</f>
        <v>25</v>
      </c>
      <c r="G4151" s="8">
        <f>financials[[#This Row],[Units Sold]]*financials[[#This Row],[Sale Price]]</f>
        <v>250</v>
      </c>
      <c r="H4151" s="8">
        <f>IF(financials[[#This Row],[Discount Band]]="low",0.1,IF(financials[[#This Row],[Discount Band]]="medium",0.15,0.3))</f>
        <v>0.1</v>
      </c>
      <c r="I4151" s="8">
        <f>financials[[#This Row],[Gross Sales]]-financials[[#This Row],[Gross Sales]]*financials[[#This Row],[Discounts]]</f>
        <v>225</v>
      </c>
      <c r="J4151" s="8">
        <f>VLOOKUP(financials[[#This Row],[productid]],Products!$B$2:$H$10,4)</f>
        <v>9.1</v>
      </c>
      <c r="K4151" s="8">
        <f>financials[[#This Row],[Net Sales]]-financials[[#This Row],[COGS]]</f>
        <v>215.9</v>
      </c>
      <c r="L4151" s="15">
        <v>44214</v>
      </c>
      <c r="M4151" t="s">
        <v>696</v>
      </c>
    </row>
    <row r="4152" spans="1:13" x14ac:dyDescent="0.25">
      <c r="A4152" t="s">
        <v>86</v>
      </c>
      <c r="B4152" s="6" t="s">
        <v>268</v>
      </c>
      <c r="C4152" s="13">
        <v>107</v>
      </c>
      <c r="D4152" s="14" t="s">
        <v>91</v>
      </c>
      <c r="E4152">
        <v>10</v>
      </c>
      <c r="F4152" s="8">
        <f>VLOOKUP(financials[[#This Row],[productid]],Products!$B$2:$H$10,3)</f>
        <v>15</v>
      </c>
      <c r="G4152" s="8">
        <f>financials[[#This Row],[Units Sold]]*financials[[#This Row],[Sale Price]]</f>
        <v>150</v>
      </c>
      <c r="H4152" s="8">
        <f>IF(financials[[#This Row],[Discount Band]]="low",0.1,IF(financials[[#This Row],[Discount Band]]="medium",0.15,0.3))</f>
        <v>0.1</v>
      </c>
      <c r="I4152" s="8">
        <f>financials[[#This Row],[Gross Sales]]-financials[[#This Row],[Gross Sales]]*financials[[#This Row],[Discounts]]</f>
        <v>135</v>
      </c>
      <c r="J4152" s="8">
        <f>VLOOKUP(financials[[#This Row],[productid]],Products!$B$2:$H$10,4)</f>
        <v>5.5</v>
      </c>
      <c r="K4152" s="8">
        <f>financials[[#This Row],[Net Sales]]-financials[[#This Row],[COGS]]</f>
        <v>129.5</v>
      </c>
      <c r="L4152" s="15">
        <v>45345</v>
      </c>
      <c r="M4152" t="s">
        <v>691</v>
      </c>
    </row>
    <row r="4153" spans="1:13" x14ac:dyDescent="0.25">
      <c r="A4153" t="s">
        <v>88</v>
      </c>
      <c r="B4153" s="6" t="s">
        <v>276</v>
      </c>
      <c r="C4153" s="13">
        <v>108</v>
      </c>
      <c r="D4153" s="14" t="s">
        <v>91</v>
      </c>
      <c r="E4153">
        <v>7</v>
      </c>
      <c r="F4153" s="8">
        <f>VLOOKUP(financials[[#This Row],[productid]],Products!$B$2:$H$10,3)</f>
        <v>5.5</v>
      </c>
      <c r="G4153" s="8">
        <f>financials[[#This Row],[Units Sold]]*financials[[#This Row],[Sale Price]]</f>
        <v>38.5</v>
      </c>
      <c r="H4153" s="8">
        <f>IF(financials[[#This Row],[Discount Band]]="low",0.1,IF(financials[[#This Row],[Discount Band]]="medium",0.15,0.3))</f>
        <v>0.1</v>
      </c>
      <c r="I4153" s="8">
        <f>financials[[#This Row],[Gross Sales]]-financials[[#This Row],[Gross Sales]]*financials[[#This Row],[Discounts]]</f>
        <v>34.65</v>
      </c>
      <c r="J4153" s="8">
        <f>VLOOKUP(financials[[#This Row],[productid]],Products!$B$2:$H$10,4)</f>
        <v>3.99</v>
      </c>
      <c r="K4153" s="8">
        <f>financials[[#This Row],[Net Sales]]-financials[[#This Row],[COGS]]</f>
        <v>30.659999999999997</v>
      </c>
      <c r="L4153" s="15">
        <v>44539</v>
      </c>
      <c r="M4153" t="s">
        <v>691</v>
      </c>
    </row>
    <row r="4154" spans="1:13" x14ac:dyDescent="0.25">
      <c r="A4154" t="s">
        <v>87</v>
      </c>
      <c r="B4154" s="6" t="s">
        <v>84</v>
      </c>
      <c r="C4154" s="13">
        <v>103</v>
      </c>
      <c r="D4154" s="14" t="s">
        <v>90</v>
      </c>
      <c r="E4154">
        <v>16</v>
      </c>
      <c r="F4154" s="8">
        <f>VLOOKUP(financials[[#This Row],[productid]],Products!$B$2:$H$10,3)</f>
        <v>28</v>
      </c>
      <c r="G4154" s="8">
        <f>financials[[#This Row],[Units Sold]]*financials[[#This Row],[Sale Price]]</f>
        <v>448</v>
      </c>
      <c r="H4154" s="8">
        <f>IF(financials[[#This Row],[Discount Band]]="low",0.1,IF(financials[[#This Row],[Discount Band]]="medium",0.15,0.3))</f>
        <v>0.15</v>
      </c>
      <c r="I4154" s="8">
        <f>financials[[#This Row],[Gross Sales]]-financials[[#This Row],[Gross Sales]]*financials[[#This Row],[Discounts]]</f>
        <v>380.8</v>
      </c>
      <c r="J4154" s="8">
        <f>VLOOKUP(financials[[#This Row],[productid]],Products!$B$2:$H$10,4)</f>
        <v>15</v>
      </c>
      <c r="K4154" s="8">
        <f>financials[[#This Row],[Net Sales]]-financials[[#This Row],[COGS]]</f>
        <v>365.8</v>
      </c>
      <c r="L4154" s="15">
        <v>45571</v>
      </c>
      <c r="M4154" t="s">
        <v>696</v>
      </c>
    </row>
    <row r="4155" spans="1:13" x14ac:dyDescent="0.25">
      <c r="A4155" t="s">
        <v>88</v>
      </c>
      <c r="B4155" s="6" t="s">
        <v>198</v>
      </c>
      <c r="C4155" s="13">
        <v>102</v>
      </c>
      <c r="D4155" s="14" t="s">
        <v>90</v>
      </c>
      <c r="E4155">
        <v>20</v>
      </c>
      <c r="F4155" s="8">
        <f>VLOOKUP(financials[[#This Row],[productid]],Products!$B$2:$H$10,3)</f>
        <v>15</v>
      </c>
      <c r="G4155" s="8">
        <f>financials[[#This Row],[Units Sold]]*financials[[#This Row],[Sale Price]]</f>
        <v>300</v>
      </c>
      <c r="H4155" s="8">
        <f>IF(financials[[#This Row],[Discount Band]]="low",0.1,IF(financials[[#This Row],[Discount Band]]="medium",0.15,0.3))</f>
        <v>0.15</v>
      </c>
      <c r="I4155" s="8">
        <f>financials[[#This Row],[Gross Sales]]-financials[[#This Row],[Gross Sales]]*financials[[#This Row],[Discounts]]</f>
        <v>255</v>
      </c>
      <c r="J4155" s="8">
        <f>VLOOKUP(financials[[#This Row],[productid]],Products!$B$2:$H$10,4)</f>
        <v>13.95</v>
      </c>
      <c r="K4155" s="8">
        <f>financials[[#This Row],[Net Sales]]-financials[[#This Row],[COGS]]</f>
        <v>241.05</v>
      </c>
      <c r="L4155" s="15">
        <v>44570</v>
      </c>
      <c r="M4155" t="s">
        <v>691</v>
      </c>
    </row>
    <row r="4156" spans="1:13" x14ac:dyDescent="0.25">
      <c r="A4156" t="s">
        <v>86</v>
      </c>
      <c r="B4156" s="6" t="s">
        <v>167</v>
      </c>
      <c r="C4156" s="13">
        <v>103</v>
      </c>
      <c r="D4156" s="14" t="s">
        <v>90</v>
      </c>
      <c r="E4156">
        <v>6</v>
      </c>
      <c r="F4156" s="8">
        <f>VLOOKUP(financials[[#This Row],[productid]],Products!$B$2:$H$10,3)</f>
        <v>28</v>
      </c>
      <c r="G4156" s="8">
        <f>financials[[#This Row],[Units Sold]]*financials[[#This Row],[Sale Price]]</f>
        <v>168</v>
      </c>
      <c r="H4156" s="8">
        <f>IF(financials[[#This Row],[Discount Band]]="low",0.1,IF(financials[[#This Row],[Discount Band]]="medium",0.15,0.3))</f>
        <v>0.15</v>
      </c>
      <c r="I4156" s="8">
        <f>financials[[#This Row],[Gross Sales]]-financials[[#This Row],[Gross Sales]]*financials[[#This Row],[Discounts]]</f>
        <v>142.80000000000001</v>
      </c>
      <c r="J4156" s="8">
        <f>VLOOKUP(financials[[#This Row],[productid]],Products!$B$2:$H$10,4)</f>
        <v>15</v>
      </c>
      <c r="K4156" s="8">
        <f>financials[[#This Row],[Net Sales]]-financials[[#This Row],[COGS]]</f>
        <v>127.80000000000001</v>
      </c>
      <c r="L4156" s="15">
        <v>43833</v>
      </c>
      <c r="M4156" t="s">
        <v>696</v>
      </c>
    </row>
    <row r="4157" spans="1:13" x14ac:dyDescent="0.25">
      <c r="A4157" t="s">
        <v>86</v>
      </c>
      <c r="B4157" s="6" t="s">
        <v>167</v>
      </c>
      <c r="C4157" s="13">
        <v>107</v>
      </c>
      <c r="D4157" s="14" t="s">
        <v>90</v>
      </c>
      <c r="E4157">
        <v>6</v>
      </c>
      <c r="F4157" s="8">
        <f>VLOOKUP(financials[[#This Row],[productid]],Products!$B$2:$H$10,3)</f>
        <v>15</v>
      </c>
      <c r="G4157" s="8">
        <f>financials[[#This Row],[Units Sold]]*financials[[#This Row],[Sale Price]]</f>
        <v>90</v>
      </c>
      <c r="H4157" s="8">
        <f>IF(financials[[#This Row],[Discount Band]]="low",0.1,IF(financials[[#This Row],[Discount Band]]="medium",0.15,0.3))</f>
        <v>0.15</v>
      </c>
      <c r="I4157" s="8">
        <f>financials[[#This Row],[Gross Sales]]-financials[[#This Row],[Gross Sales]]*financials[[#This Row],[Discounts]]</f>
        <v>76.5</v>
      </c>
      <c r="J4157" s="8">
        <f>VLOOKUP(financials[[#This Row],[productid]],Products!$B$2:$H$10,4)</f>
        <v>5.5</v>
      </c>
      <c r="K4157" s="8">
        <f>financials[[#This Row],[Net Sales]]-financials[[#This Row],[COGS]]</f>
        <v>71</v>
      </c>
      <c r="L4157" s="15">
        <v>43905</v>
      </c>
      <c r="M4157" t="s">
        <v>690</v>
      </c>
    </row>
    <row r="4158" spans="1:13" x14ac:dyDescent="0.25">
      <c r="A4158" t="s">
        <v>87</v>
      </c>
      <c r="B4158" s="6" t="s">
        <v>159</v>
      </c>
      <c r="C4158" s="13">
        <v>109</v>
      </c>
      <c r="D4158" s="14" t="s">
        <v>90</v>
      </c>
      <c r="E4158">
        <v>7</v>
      </c>
      <c r="F4158" s="8">
        <f>VLOOKUP(financials[[#This Row],[productid]],Products!$B$2:$H$10,3)</f>
        <v>36</v>
      </c>
      <c r="G4158" s="8">
        <f>financials[[#This Row],[Units Sold]]*financials[[#This Row],[Sale Price]]</f>
        <v>252</v>
      </c>
      <c r="H4158" s="8">
        <f>IF(financials[[#This Row],[Discount Band]]="low",0.1,IF(financials[[#This Row],[Discount Band]]="medium",0.15,0.3))</f>
        <v>0.15</v>
      </c>
      <c r="I4158" s="8">
        <f>financials[[#This Row],[Gross Sales]]-financials[[#This Row],[Gross Sales]]*financials[[#This Row],[Discounts]]</f>
        <v>214.2</v>
      </c>
      <c r="J4158" s="8">
        <f>VLOOKUP(financials[[#This Row],[productid]],Products!$B$2:$H$10,4)</f>
        <v>16.8</v>
      </c>
      <c r="K4158" s="8">
        <f>financials[[#This Row],[Net Sales]]-financials[[#This Row],[COGS]]</f>
        <v>197.39999999999998</v>
      </c>
      <c r="L4158" s="15">
        <v>44028</v>
      </c>
      <c r="M4158" t="s">
        <v>697</v>
      </c>
    </row>
    <row r="4159" spans="1:13" x14ac:dyDescent="0.25">
      <c r="A4159" t="s">
        <v>87</v>
      </c>
      <c r="B4159" s="6" t="s">
        <v>84</v>
      </c>
      <c r="C4159" s="13">
        <v>106</v>
      </c>
      <c r="D4159" s="14" t="s">
        <v>91</v>
      </c>
      <c r="E4159">
        <v>8</v>
      </c>
      <c r="F4159" s="8">
        <f>VLOOKUP(financials[[#This Row],[productid]],Products!$B$2:$H$10,3)</f>
        <v>25</v>
      </c>
      <c r="G4159" s="8">
        <f>financials[[#This Row],[Units Sold]]*financials[[#This Row],[Sale Price]]</f>
        <v>200</v>
      </c>
      <c r="H4159" s="8">
        <f>IF(financials[[#This Row],[Discount Band]]="low",0.1,IF(financials[[#This Row],[Discount Band]]="medium",0.15,0.3))</f>
        <v>0.1</v>
      </c>
      <c r="I4159" s="8">
        <f>financials[[#This Row],[Gross Sales]]-financials[[#This Row],[Gross Sales]]*financials[[#This Row],[Discounts]]</f>
        <v>180</v>
      </c>
      <c r="J4159" s="8">
        <f>VLOOKUP(financials[[#This Row],[productid]],Products!$B$2:$H$10,4)</f>
        <v>9.1</v>
      </c>
      <c r="K4159" s="8">
        <f>financials[[#This Row],[Net Sales]]-financials[[#This Row],[COGS]]</f>
        <v>170.9</v>
      </c>
      <c r="L4159" s="15">
        <v>45609</v>
      </c>
      <c r="M4159" t="s">
        <v>697</v>
      </c>
    </row>
    <row r="4160" spans="1:13" x14ac:dyDescent="0.25">
      <c r="A4160" t="s">
        <v>86</v>
      </c>
      <c r="B4160" s="6" t="s">
        <v>205</v>
      </c>
      <c r="C4160" s="13">
        <v>108</v>
      </c>
      <c r="D4160" s="14" t="s">
        <v>92</v>
      </c>
      <c r="E4160">
        <v>9</v>
      </c>
      <c r="F4160" s="8">
        <f>VLOOKUP(financials[[#This Row],[productid]],Products!$B$2:$H$10,3)</f>
        <v>5.5</v>
      </c>
      <c r="G4160" s="8">
        <f>financials[[#This Row],[Units Sold]]*financials[[#This Row],[Sale Price]]</f>
        <v>49.5</v>
      </c>
      <c r="H4160" s="8">
        <f>IF(financials[[#This Row],[Discount Band]]="low",0.1,IF(financials[[#This Row],[Discount Band]]="medium",0.15,0.3))</f>
        <v>0.3</v>
      </c>
      <c r="I4160" s="8">
        <f>financials[[#This Row],[Gross Sales]]-financials[[#This Row],[Gross Sales]]*financials[[#This Row],[Discounts]]</f>
        <v>34.65</v>
      </c>
      <c r="J4160" s="8">
        <f>VLOOKUP(financials[[#This Row],[productid]],Products!$B$2:$H$10,4)</f>
        <v>3.99</v>
      </c>
      <c r="K4160" s="8">
        <f>financials[[#This Row],[Net Sales]]-financials[[#This Row],[COGS]]</f>
        <v>30.659999999999997</v>
      </c>
      <c r="L4160" s="15">
        <v>44499</v>
      </c>
      <c r="M4160" t="s">
        <v>696</v>
      </c>
    </row>
    <row r="4161" spans="1:13" x14ac:dyDescent="0.25">
      <c r="A4161" t="s">
        <v>88</v>
      </c>
      <c r="B4161" s="6" t="s">
        <v>198</v>
      </c>
      <c r="C4161" s="13">
        <v>101</v>
      </c>
      <c r="D4161" s="14" t="s">
        <v>83</v>
      </c>
      <c r="E4161">
        <v>6</v>
      </c>
      <c r="F4161" s="8">
        <f>VLOOKUP(financials[[#This Row],[productid]],Products!$B$2:$H$10,3)</f>
        <v>23</v>
      </c>
      <c r="G4161" s="8">
        <f>financials[[#This Row],[Units Sold]]*financials[[#This Row],[Sale Price]]</f>
        <v>138</v>
      </c>
      <c r="H4161" s="8">
        <f>IF(financials[[#This Row],[Discount Band]]="low",0.1,IF(financials[[#This Row],[Discount Band]]="medium",0.15,0.3))</f>
        <v>0.3</v>
      </c>
      <c r="I4161" s="8">
        <f>financials[[#This Row],[Gross Sales]]-financials[[#This Row],[Gross Sales]]*financials[[#This Row],[Discounts]]</f>
        <v>96.6</v>
      </c>
      <c r="J4161" s="8">
        <f>VLOOKUP(financials[[#This Row],[productid]],Products!$B$2:$H$10,4)</f>
        <v>9.9499999999999993</v>
      </c>
      <c r="K4161" s="8">
        <f>financials[[#This Row],[Net Sales]]-financials[[#This Row],[COGS]]</f>
        <v>86.649999999999991</v>
      </c>
      <c r="L4161" s="15">
        <v>45643</v>
      </c>
      <c r="M4161" t="s">
        <v>697</v>
      </c>
    </row>
    <row r="4162" spans="1:13" x14ac:dyDescent="0.25">
      <c r="A4162" t="s">
        <v>86</v>
      </c>
      <c r="B4162" s="6" t="s">
        <v>273</v>
      </c>
      <c r="C4162" s="13">
        <v>105</v>
      </c>
      <c r="D4162" s="14" t="s">
        <v>83</v>
      </c>
      <c r="E4162">
        <v>20</v>
      </c>
      <c r="F4162" s="8">
        <f>VLOOKUP(financials[[#This Row],[productid]],Products!$B$2:$H$10,3)</f>
        <v>15</v>
      </c>
      <c r="G4162" s="8">
        <f>financials[[#This Row],[Units Sold]]*financials[[#This Row],[Sale Price]]</f>
        <v>300</v>
      </c>
      <c r="H4162" s="8">
        <f>IF(financials[[#This Row],[Discount Band]]="low",0.1,IF(financials[[#This Row],[Discount Band]]="medium",0.15,0.3))</f>
        <v>0.3</v>
      </c>
      <c r="I4162" s="8">
        <f>financials[[#This Row],[Gross Sales]]-financials[[#This Row],[Gross Sales]]*financials[[#This Row],[Discounts]]</f>
        <v>210</v>
      </c>
      <c r="J4162" s="8">
        <f>VLOOKUP(financials[[#This Row],[productid]],Products!$B$2:$H$10,4)</f>
        <v>10</v>
      </c>
      <c r="K4162" s="8">
        <f>financials[[#This Row],[Net Sales]]-financials[[#This Row],[COGS]]</f>
        <v>200</v>
      </c>
      <c r="L4162" s="15">
        <v>43935</v>
      </c>
      <c r="M4162" t="s">
        <v>696</v>
      </c>
    </row>
    <row r="4163" spans="1:13" x14ac:dyDescent="0.25">
      <c r="A4163" t="s">
        <v>87</v>
      </c>
      <c r="B4163" s="6" t="s">
        <v>84</v>
      </c>
      <c r="C4163" s="11">
        <v>101</v>
      </c>
      <c r="D4163" s="9" t="s">
        <v>83</v>
      </c>
      <c r="E4163">
        <v>12</v>
      </c>
      <c r="F4163" s="8">
        <f>VLOOKUP(financials[[#This Row],[productid]],Products!$B$2:$H$10,3)</f>
        <v>23</v>
      </c>
      <c r="G4163" s="8">
        <f>financials[[#This Row],[Units Sold]]*financials[[#This Row],[Sale Price]]</f>
        <v>276</v>
      </c>
      <c r="H4163" s="8">
        <f>IF(financials[[#This Row],[Discount Band]]="low",0.1,IF(financials[[#This Row],[Discount Band]]="medium",0.15,0.3))</f>
        <v>0.3</v>
      </c>
      <c r="I4163" s="8">
        <f>financials[[#This Row],[Gross Sales]]-financials[[#This Row],[Gross Sales]]*financials[[#This Row],[Discounts]]</f>
        <v>193.2</v>
      </c>
      <c r="J4163" s="8">
        <f>VLOOKUP(financials[[#This Row],[productid]],Products!$B$2:$H$10,4)</f>
        <v>9.9499999999999993</v>
      </c>
      <c r="K4163" s="8">
        <f>financials[[#This Row],[Net Sales]]-financials[[#This Row],[COGS]]</f>
        <v>183.25</v>
      </c>
      <c r="L4163" s="15">
        <v>44079</v>
      </c>
      <c r="M4163" t="s">
        <v>691</v>
      </c>
    </row>
    <row r="4164" spans="1:13" x14ac:dyDescent="0.25">
      <c r="A4164" t="s">
        <v>87</v>
      </c>
      <c r="B4164" s="6" t="s">
        <v>159</v>
      </c>
      <c r="C4164" s="11">
        <v>101</v>
      </c>
      <c r="D4164" s="9" t="s">
        <v>83</v>
      </c>
      <c r="E4164">
        <v>6</v>
      </c>
      <c r="F4164" s="8">
        <f>VLOOKUP(financials[[#This Row],[productid]],Products!$B$2:$H$10,3)</f>
        <v>23</v>
      </c>
      <c r="G4164" s="8">
        <f>financials[[#This Row],[Units Sold]]*financials[[#This Row],[Sale Price]]</f>
        <v>138</v>
      </c>
      <c r="H4164" s="8">
        <f>IF(financials[[#This Row],[Discount Band]]="low",0.1,IF(financials[[#This Row],[Discount Band]]="medium",0.15,0.3))</f>
        <v>0.3</v>
      </c>
      <c r="I4164" s="8">
        <f>financials[[#This Row],[Gross Sales]]-financials[[#This Row],[Gross Sales]]*financials[[#This Row],[Discounts]]</f>
        <v>96.6</v>
      </c>
      <c r="J4164" s="8">
        <f>VLOOKUP(financials[[#This Row],[productid]],Products!$B$2:$H$10,4)</f>
        <v>9.9499999999999993</v>
      </c>
      <c r="K4164" s="8">
        <f>financials[[#This Row],[Net Sales]]-financials[[#This Row],[COGS]]</f>
        <v>86.649999999999991</v>
      </c>
      <c r="L4164" s="15">
        <v>44703</v>
      </c>
      <c r="M4164" t="s">
        <v>697</v>
      </c>
    </row>
    <row r="4165" spans="1:13" x14ac:dyDescent="0.25">
      <c r="A4165" t="s">
        <v>87</v>
      </c>
      <c r="B4165" s="6" t="s">
        <v>84</v>
      </c>
      <c r="C4165" s="13">
        <v>109</v>
      </c>
      <c r="D4165" s="14" t="s">
        <v>91</v>
      </c>
      <c r="E4165">
        <v>5</v>
      </c>
      <c r="F4165" s="8">
        <f>VLOOKUP(financials[[#This Row],[productid]],Products!$B$2:$H$10,3)</f>
        <v>36</v>
      </c>
      <c r="G4165" s="8">
        <f>financials[[#This Row],[Units Sold]]*financials[[#This Row],[Sale Price]]</f>
        <v>180</v>
      </c>
      <c r="H4165" s="8">
        <f>IF(financials[[#This Row],[Discount Band]]="low",0.1,IF(financials[[#This Row],[Discount Band]]="medium",0.15,0.3))</f>
        <v>0.1</v>
      </c>
      <c r="I4165" s="8">
        <f>financials[[#This Row],[Gross Sales]]-financials[[#This Row],[Gross Sales]]*financials[[#This Row],[Discounts]]</f>
        <v>162</v>
      </c>
      <c r="J4165" s="8">
        <f>VLOOKUP(financials[[#This Row],[productid]],Products!$B$2:$H$10,4)</f>
        <v>16.8</v>
      </c>
      <c r="K4165" s="8">
        <f>financials[[#This Row],[Net Sales]]-financials[[#This Row],[COGS]]</f>
        <v>145.19999999999999</v>
      </c>
      <c r="L4165" s="15">
        <v>45027</v>
      </c>
      <c r="M4165" t="s">
        <v>691</v>
      </c>
    </row>
    <row r="4166" spans="1:13" x14ac:dyDescent="0.25">
      <c r="A4166" t="s">
        <v>88</v>
      </c>
      <c r="B4166" s="6" t="s">
        <v>205</v>
      </c>
      <c r="C4166" s="13">
        <v>107</v>
      </c>
      <c r="D4166" s="14" t="s">
        <v>83</v>
      </c>
      <c r="E4166">
        <v>16</v>
      </c>
      <c r="F4166" s="8">
        <f>VLOOKUP(financials[[#This Row],[productid]],Products!$B$2:$H$10,3)</f>
        <v>15</v>
      </c>
      <c r="G4166" s="8">
        <f>financials[[#This Row],[Units Sold]]*financials[[#This Row],[Sale Price]]</f>
        <v>240</v>
      </c>
      <c r="H4166" s="8">
        <f>IF(financials[[#This Row],[Discount Band]]="low",0.1,IF(financials[[#This Row],[Discount Band]]="medium",0.15,0.3))</f>
        <v>0.3</v>
      </c>
      <c r="I4166" s="8">
        <f>financials[[#This Row],[Gross Sales]]-financials[[#This Row],[Gross Sales]]*financials[[#This Row],[Discounts]]</f>
        <v>168</v>
      </c>
      <c r="J4166" s="8">
        <f>VLOOKUP(financials[[#This Row],[productid]],Products!$B$2:$H$10,4)</f>
        <v>5.5</v>
      </c>
      <c r="K4166" s="8">
        <f>financials[[#This Row],[Net Sales]]-financials[[#This Row],[COGS]]</f>
        <v>162.5</v>
      </c>
      <c r="L4166" s="15">
        <v>45601</v>
      </c>
      <c r="M4166" t="s">
        <v>700</v>
      </c>
    </row>
    <row r="4167" spans="1:13" x14ac:dyDescent="0.25">
      <c r="A4167" t="s">
        <v>86</v>
      </c>
      <c r="B4167" s="6" t="s">
        <v>94</v>
      </c>
      <c r="C4167" s="13">
        <v>107</v>
      </c>
      <c r="D4167" s="14" t="s">
        <v>83</v>
      </c>
      <c r="E4167">
        <v>12</v>
      </c>
      <c r="F4167" s="8">
        <f>VLOOKUP(financials[[#This Row],[productid]],Products!$B$2:$H$10,3)</f>
        <v>15</v>
      </c>
      <c r="G4167" s="8">
        <f>financials[[#This Row],[Units Sold]]*financials[[#This Row],[Sale Price]]</f>
        <v>180</v>
      </c>
      <c r="H4167" s="8">
        <f>IF(financials[[#This Row],[Discount Band]]="low",0.1,IF(financials[[#This Row],[Discount Band]]="medium",0.15,0.3))</f>
        <v>0.3</v>
      </c>
      <c r="I4167" s="8">
        <f>financials[[#This Row],[Gross Sales]]-financials[[#This Row],[Gross Sales]]*financials[[#This Row],[Discounts]]</f>
        <v>126</v>
      </c>
      <c r="J4167" s="8">
        <f>VLOOKUP(financials[[#This Row],[productid]],Products!$B$2:$H$10,4)</f>
        <v>5.5</v>
      </c>
      <c r="K4167" s="8">
        <f>financials[[#This Row],[Net Sales]]-financials[[#This Row],[COGS]]</f>
        <v>120.5</v>
      </c>
      <c r="L4167" s="15">
        <v>43844</v>
      </c>
      <c r="M4167" t="s">
        <v>696</v>
      </c>
    </row>
    <row r="4168" spans="1:13" x14ac:dyDescent="0.25">
      <c r="A4168" t="s">
        <v>86</v>
      </c>
      <c r="B4168" s="6" t="s">
        <v>95</v>
      </c>
      <c r="C4168" s="13">
        <v>102</v>
      </c>
      <c r="D4168" s="14" t="s">
        <v>91</v>
      </c>
      <c r="E4168">
        <v>15</v>
      </c>
      <c r="F4168" s="8">
        <f>VLOOKUP(financials[[#This Row],[productid]],Products!$B$2:$H$10,3)</f>
        <v>15</v>
      </c>
      <c r="G4168" s="8">
        <f>financials[[#This Row],[Units Sold]]*financials[[#This Row],[Sale Price]]</f>
        <v>225</v>
      </c>
      <c r="H4168" s="8">
        <f>IF(financials[[#This Row],[Discount Band]]="low",0.1,IF(financials[[#This Row],[Discount Band]]="medium",0.15,0.3))</f>
        <v>0.1</v>
      </c>
      <c r="I4168" s="8">
        <f>financials[[#This Row],[Gross Sales]]-financials[[#This Row],[Gross Sales]]*financials[[#This Row],[Discounts]]</f>
        <v>202.5</v>
      </c>
      <c r="J4168" s="8">
        <f>VLOOKUP(financials[[#This Row],[productid]],Products!$B$2:$H$10,4)</f>
        <v>13.95</v>
      </c>
      <c r="K4168" s="8">
        <f>financials[[#This Row],[Net Sales]]-financials[[#This Row],[COGS]]</f>
        <v>188.55</v>
      </c>
      <c r="L4168" s="15">
        <v>44849</v>
      </c>
      <c r="M4168" t="s">
        <v>700</v>
      </c>
    </row>
    <row r="4169" spans="1:13" x14ac:dyDescent="0.25">
      <c r="A4169" t="s">
        <v>88</v>
      </c>
      <c r="B4169" s="6" t="s">
        <v>205</v>
      </c>
      <c r="C4169" s="13">
        <v>109</v>
      </c>
      <c r="D4169" s="14" t="s">
        <v>90</v>
      </c>
      <c r="E4169">
        <v>14</v>
      </c>
      <c r="F4169" s="8">
        <f>VLOOKUP(financials[[#This Row],[productid]],Products!$B$2:$H$10,3)</f>
        <v>36</v>
      </c>
      <c r="G4169" s="8">
        <f>financials[[#This Row],[Units Sold]]*financials[[#This Row],[Sale Price]]</f>
        <v>504</v>
      </c>
      <c r="H4169" s="8">
        <f>IF(financials[[#This Row],[Discount Band]]="low",0.1,IF(financials[[#This Row],[Discount Band]]="medium",0.15,0.3))</f>
        <v>0.15</v>
      </c>
      <c r="I4169" s="8">
        <f>financials[[#This Row],[Gross Sales]]-financials[[#This Row],[Gross Sales]]*financials[[#This Row],[Discounts]]</f>
        <v>428.4</v>
      </c>
      <c r="J4169" s="8">
        <f>VLOOKUP(financials[[#This Row],[productid]],Products!$B$2:$H$10,4)</f>
        <v>16.8</v>
      </c>
      <c r="K4169" s="8">
        <f>financials[[#This Row],[Net Sales]]-financials[[#This Row],[COGS]]</f>
        <v>411.59999999999997</v>
      </c>
      <c r="L4169" s="15">
        <v>44050</v>
      </c>
      <c r="M4169" t="s">
        <v>697</v>
      </c>
    </row>
    <row r="4170" spans="1:13" x14ac:dyDescent="0.25">
      <c r="A4170" t="s">
        <v>86</v>
      </c>
      <c r="B4170" s="6" t="s">
        <v>276</v>
      </c>
      <c r="C4170" s="13">
        <v>108</v>
      </c>
      <c r="D4170" s="14" t="s">
        <v>90</v>
      </c>
      <c r="E4170">
        <v>18</v>
      </c>
      <c r="F4170" s="8">
        <f>VLOOKUP(financials[[#This Row],[productid]],Products!$B$2:$H$10,3)</f>
        <v>5.5</v>
      </c>
      <c r="G4170" s="8">
        <f>financials[[#This Row],[Units Sold]]*financials[[#This Row],[Sale Price]]</f>
        <v>99</v>
      </c>
      <c r="H4170" s="8">
        <f>IF(financials[[#This Row],[Discount Band]]="low",0.1,IF(financials[[#This Row],[Discount Band]]="medium",0.15,0.3))</f>
        <v>0.15</v>
      </c>
      <c r="I4170" s="8">
        <f>financials[[#This Row],[Gross Sales]]-financials[[#This Row],[Gross Sales]]*financials[[#This Row],[Discounts]]</f>
        <v>84.15</v>
      </c>
      <c r="J4170" s="8">
        <f>VLOOKUP(financials[[#This Row],[productid]],Products!$B$2:$H$10,4)</f>
        <v>3.99</v>
      </c>
      <c r="K4170" s="8">
        <f>financials[[#This Row],[Net Sales]]-financials[[#This Row],[COGS]]</f>
        <v>80.160000000000011</v>
      </c>
      <c r="L4170" s="15">
        <v>45200</v>
      </c>
      <c r="M4170" t="s">
        <v>696</v>
      </c>
    </row>
    <row r="4171" spans="1:13" x14ac:dyDescent="0.25">
      <c r="A4171" t="s">
        <v>88</v>
      </c>
      <c r="B4171" s="6" t="s">
        <v>276</v>
      </c>
      <c r="C4171" s="11">
        <v>103</v>
      </c>
      <c r="D4171" s="9" t="s">
        <v>90</v>
      </c>
      <c r="E4171">
        <v>19</v>
      </c>
      <c r="F4171" s="8">
        <f>VLOOKUP(financials[[#This Row],[productid]],Products!$B$2:$H$10,3)</f>
        <v>28</v>
      </c>
      <c r="G4171" s="8">
        <f>financials[[#This Row],[Units Sold]]*financials[[#This Row],[Sale Price]]</f>
        <v>532</v>
      </c>
      <c r="H4171" s="8">
        <f>IF(financials[[#This Row],[Discount Band]]="low",0.1,IF(financials[[#This Row],[Discount Band]]="medium",0.15,0.3))</f>
        <v>0.15</v>
      </c>
      <c r="I4171" s="8">
        <f>financials[[#This Row],[Gross Sales]]-financials[[#This Row],[Gross Sales]]*financials[[#This Row],[Discounts]]</f>
        <v>452.2</v>
      </c>
      <c r="J4171" s="8">
        <f>VLOOKUP(financials[[#This Row],[productid]],Products!$B$2:$H$10,4)</f>
        <v>15</v>
      </c>
      <c r="K4171" s="8">
        <f>financials[[#This Row],[Net Sales]]-financials[[#This Row],[COGS]]</f>
        <v>437.2</v>
      </c>
      <c r="L4171" s="15">
        <v>44843</v>
      </c>
      <c r="M4171" t="s">
        <v>690</v>
      </c>
    </row>
    <row r="4172" spans="1:13" x14ac:dyDescent="0.25">
      <c r="A4172" t="s">
        <v>88</v>
      </c>
      <c r="B4172" s="6" t="s">
        <v>198</v>
      </c>
      <c r="C4172" s="13">
        <v>107</v>
      </c>
      <c r="D4172" s="14" t="s">
        <v>83</v>
      </c>
      <c r="E4172">
        <v>7</v>
      </c>
      <c r="F4172" s="8">
        <f>VLOOKUP(financials[[#This Row],[productid]],Products!$B$2:$H$10,3)</f>
        <v>15</v>
      </c>
      <c r="G4172" s="8">
        <f>financials[[#This Row],[Units Sold]]*financials[[#This Row],[Sale Price]]</f>
        <v>105</v>
      </c>
      <c r="H4172" s="8">
        <f>IF(financials[[#This Row],[Discount Band]]="low",0.1,IF(financials[[#This Row],[Discount Band]]="medium",0.15,0.3))</f>
        <v>0.3</v>
      </c>
      <c r="I4172" s="8">
        <f>financials[[#This Row],[Gross Sales]]-financials[[#This Row],[Gross Sales]]*financials[[#This Row],[Discounts]]</f>
        <v>73.5</v>
      </c>
      <c r="J4172" s="8">
        <f>VLOOKUP(financials[[#This Row],[productid]],Products!$B$2:$H$10,4)</f>
        <v>5.5</v>
      </c>
      <c r="K4172" s="8">
        <f>financials[[#This Row],[Net Sales]]-financials[[#This Row],[COGS]]</f>
        <v>68</v>
      </c>
      <c r="L4172" s="15">
        <v>45506</v>
      </c>
      <c r="M4172" t="s">
        <v>691</v>
      </c>
    </row>
    <row r="4173" spans="1:13" x14ac:dyDescent="0.25">
      <c r="A4173" t="s">
        <v>87</v>
      </c>
      <c r="B4173" s="6" t="s">
        <v>84</v>
      </c>
      <c r="C4173" s="13">
        <v>108</v>
      </c>
      <c r="D4173" s="14" t="s">
        <v>91</v>
      </c>
      <c r="E4173">
        <v>8</v>
      </c>
      <c r="F4173" s="8">
        <f>VLOOKUP(financials[[#This Row],[productid]],Products!$B$2:$H$10,3)</f>
        <v>5.5</v>
      </c>
      <c r="G4173" s="8">
        <f>financials[[#This Row],[Units Sold]]*financials[[#This Row],[Sale Price]]</f>
        <v>44</v>
      </c>
      <c r="H4173" s="8">
        <f>IF(financials[[#This Row],[Discount Band]]="low",0.1,IF(financials[[#This Row],[Discount Band]]="medium",0.15,0.3))</f>
        <v>0.1</v>
      </c>
      <c r="I4173" s="8">
        <f>financials[[#This Row],[Gross Sales]]-financials[[#This Row],[Gross Sales]]*financials[[#This Row],[Discounts]]</f>
        <v>39.6</v>
      </c>
      <c r="J4173" s="8">
        <f>VLOOKUP(financials[[#This Row],[productid]],Products!$B$2:$H$10,4)</f>
        <v>3.99</v>
      </c>
      <c r="K4173" s="8">
        <f>financials[[#This Row],[Net Sales]]-financials[[#This Row],[COGS]]</f>
        <v>35.61</v>
      </c>
      <c r="L4173" s="15">
        <v>44726</v>
      </c>
      <c r="M4173" t="s">
        <v>690</v>
      </c>
    </row>
    <row r="4174" spans="1:13" x14ac:dyDescent="0.25">
      <c r="A4174" t="s">
        <v>87</v>
      </c>
      <c r="B4174" s="6" t="s">
        <v>84</v>
      </c>
      <c r="C4174" s="13">
        <v>106</v>
      </c>
      <c r="D4174" s="14" t="s">
        <v>91</v>
      </c>
      <c r="E4174">
        <v>19</v>
      </c>
      <c r="F4174" s="8">
        <f>VLOOKUP(financials[[#This Row],[productid]],Products!$B$2:$H$10,3)</f>
        <v>25</v>
      </c>
      <c r="G4174" s="8">
        <f>financials[[#This Row],[Units Sold]]*financials[[#This Row],[Sale Price]]</f>
        <v>475</v>
      </c>
      <c r="H4174" s="8">
        <f>IF(financials[[#This Row],[Discount Band]]="low",0.1,IF(financials[[#This Row],[Discount Band]]="medium",0.15,0.3))</f>
        <v>0.1</v>
      </c>
      <c r="I4174" s="8">
        <f>financials[[#This Row],[Gross Sales]]-financials[[#This Row],[Gross Sales]]*financials[[#This Row],[Discounts]]</f>
        <v>427.5</v>
      </c>
      <c r="J4174" s="8">
        <f>VLOOKUP(financials[[#This Row],[productid]],Products!$B$2:$H$10,4)</f>
        <v>9.1</v>
      </c>
      <c r="K4174" s="8">
        <f>financials[[#This Row],[Net Sales]]-financials[[#This Row],[COGS]]</f>
        <v>418.4</v>
      </c>
      <c r="L4174" s="15">
        <v>45067</v>
      </c>
      <c r="M4174" t="s">
        <v>700</v>
      </c>
    </row>
    <row r="4175" spans="1:13" x14ac:dyDescent="0.25">
      <c r="A4175" t="s">
        <v>88</v>
      </c>
      <c r="B4175" s="6" t="s">
        <v>205</v>
      </c>
      <c r="C4175" s="13">
        <v>102</v>
      </c>
      <c r="D4175" s="14" t="s">
        <v>91</v>
      </c>
      <c r="E4175">
        <v>6</v>
      </c>
      <c r="F4175" s="8">
        <f>VLOOKUP(financials[[#This Row],[productid]],Products!$B$2:$H$10,3)</f>
        <v>15</v>
      </c>
      <c r="G4175" s="8">
        <f>financials[[#This Row],[Units Sold]]*financials[[#This Row],[Sale Price]]</f>
        <v>90</v>
      </c>
      <c r="H4175" s="8">
        <f>IF(financials[[#This Row],[Discount Band]]="low",0.1,IF(financials[[#This Row],[Discount Band]]="medium",0.15,0.3))</f>
        <v>0.1</v>
      </c>
      <c r="I4175" s="8">
        <f>financials[[#This Row],[Gross Sales]]-financials[[#This Row],[Gross Sales]]*financials[[#This Row],[Discounts]]</f>
        <v>81</v>
      </c>
      <c r="J4175" s="8">
        <f>VLOOKUP(financials[[#This Row],[productid]],Products!$B$2:$H$10,4)</f>
        <v>13.95</v>
      </c>
      <c r="K4175" s="8">
        <f>financials[[#This Row],[Net Sales]]-financials[[#This Row],[COGS]]</f>
        <v>67.05</v>
      </c>
      <c r="L4175" s="15">
        <v>45346</v>
      </c>
      <c r="M4175" t="s">
        <v>700</v>
      </c>
    </row>
    <row r="4176" spans="1:13" x14ac:dyDescent="0.25">
      <c r="A4176" t="s">
        <v>86</v>
      </c>
      <c r="B4176" s="6" t="s">
        <v>167</v>
      </c>
      <c r="C4176" s="13">
        <v>102</v>
      </c>
      <c r="D4176" s="14" t="s">
        <v>83</v>
      </c>
      <c r="E4176">
        <v>10</v>
      </c>
      <c r="F4176" s="8">
        <f>VLOOKUP(financials[[#This Row],[productid]],Products!$B$2:$H$10,3)</f>
        <v>15</v>
      </c>
      <c r="G4176" s="8">
        <f>financials[[#This Row],[Units Sold]]*financials[[#This Row],[Sale Price]]</f>
        <v>150</v>
      </c>
      <c r="H4176" s="8">
        <f>IF(financials[[#This Row],[Discount Band]]="low",0.1,IF(financials[[#This Row],[Discount Band]]="medium",0.15,0.3))</f>
        <v>0.3</v>
      </c>
      <c r="I4176" s="8">
        <f>financials[[#This Row],[Gross Sales]]-financials[[#This Row],[Gross Sales]]*financials[[#This Row],[Discounts]]</f>
        <v>105</v>
      </c>
      <c r="J4176" s="8">
        <f>VLOOKUP(financials[[#This Row],[productid]],Products!$B$2:$H$10,4)</f>
        <v>13.95</v>
      </c>
      <c r="K4176" s="8">
        <f>financials[[#This Row],[Net Sales]]-financials[[#This Row],[COGS]]</f>
        <v>91.05</v>
      </c>
      <c r="L4176" s="15">
        <v>45568</v>
      </c>
      <c r="M4176" t="s">
        <v>700</v>
      </c>
    </row>
    <row r="4177" spans="1:13" x14ac:dyDescent="0.25">
      <c r="A4177" t="s">
        <v>86</v>
      </c>
      <c r="B4177" s="6" t="s">
        <v>167</v>
      </c>
      <c r="C4177" s="11">
        <v>101</v>
      </c>
      <c r="D4177" s="9" t="s">
        <v>91</v>
      </c>
      <c r="E4177">
        <v>19</v>
      </c>
      <c r="F4177" s="8">
        <f>VLOOKUP(financials[[#This Row],[productid]],Products!$B$2:$H$10,3)</f>
        <v>23</v>
      </c>
      <c r="G4177" s="8">
        <f>financials[[#This Row],[Units Sold]]*financials[[#This Row],[Sale Price]]</f>
        <v>437</v>
      </c>
      <c r="H4177" s="8">
        <f>IF(financials[[#This Row],[Discount Band]]="low",0.1,IF(financials[[#This Row],[Discount Band]]="medium",0.15,0.3))</f>
        <v>0.1</v>
      </c>
      <c r="I4177" s="8">
        <f>financials[[#This Row],[Gross Sales]]-financials[[#This Row],[Gross Sales]]*financials[[#This Row],[Discounts]]</f>
        <v>393.3</v>
      </c>
      <c r="J4177" s="8">
        <f>VLOOKUP(financials[[#This Row],[productid]],Products!$B$2:$H$10,4)</f>
        <v>9.9499999999999993</v>
      </c>
      <c r="K4177" s="8">
        <f>financials[[#This Row],[Net Sales]]-financials[[#This Row],[COGS]]</f>
        <v>383.35</v>
      </c>
      <c r="L4177" s="15">
        <v>45230</v>
      </c>
      <c r="M4177" t="s">
        <v>697</v>
      </c>
    </row>
    <row r="4178" spans="1:13" x14ac:dyDescent="0.25">
      <c r="A4178" t="s">
        <v>87</v>
      </c>
      <c r="B4178" s="6" t="s">
        <v>84</v>
      </c>
      <c r="C4178" s="13">
        <v>101</v>
      </c>
      <c r="D4178" s="14" t="s">
        <v>90</v>
      </c>
      <c r="E4178">
        <v>15</v>
      </c>
      <c r="F4178" s="8">
        <f>VLOOKUP(financials[[#This Row],[productid]],Products!$B$2:$H$10,3)</f>
        <v>23</v>
      </c>
      <c r="G4178" s="8">
        <f>financials[[#This Row],[Units Sold]]*financials[[#This Row],[Sale Price]]</f>
        <v>345</v>
      </c>
      <c r="H4178" s="8">
        <f>IF(financials[[#This Row],[Discount Band]]="low",0.1,IF(financials[[#This Row],[Discount Band]]="medium",0.15,0.3))</f>
        <v>0.15</v>
      </c>
      <c r="I4178" s="8">
        <f>financials[[#This Row],[Gross Sales]]-financials[[#This Row],[Gross Sales]]*financials[[#This Row],[Discounts]]</f>
        <v>293.25</v>
      </c>
      <c r="J4178" s="8">
        <f>VLOOKUP(financials[[#This Row],[productid]],Products!$B$2:$H$10,4)</f>
        <v>9.9499999999999993</v>
      </c>
      <c r="K4178" s="8">
        <f>financials[[#This Row],[Net Sales]]-financials[[#This Row],[COGS]]</f>
        <v>283.3</v>
      </c>
      <c r="L4178" s="15">
        <v>44781</v>
      </c>
      <c r="M4178" t="s">
        <v>690</v>
      </c>
    </row>
    <row r="4179" spans="1:13" x14ac:dyDescent="0.25">
      <c r="A4179" t="s">
        <v>86</v>
      </c>
      <c r="B4179" s="6" t="s">
        <v>94</v>
      </c>
      <c r="C4179" s="13">
        <v>108</v>
      </c>
      <c r="D4179" s="14" t="s">
        <v>90</v>
      </c>
      <c r="E4179">
        <v>5</v>
      </c>
      <c r="F4179" s="8">
        <f>VLOOKUP(financials[[#This Row],[productid]],Products!$B$2:$H$10,3)</f>
        <v>5.5</v>
      </c>
      <c r="G4179" s="8">
        <f>financials[[#This Row],[Units Sold]]*financials[[#This Row],[Sale Price]]</f>
        <v>27.5</v>
      </c>
      <c r="H4179" s="8">
        <f>IF(financials[[#This Row],[Discount Band]]="low",0.1,IF(financials[[#This Row],[Discount Band]]="medium",0.15,0.3))</f>
        <v>0.15</v>
      </c>
      <c r="I4179" s="8">
        <f>financials[[#This Row],[Gross Sales]]-financials[[#This Row],[Gross Sales]]*financials[[#This Row],[Discounts]]</f>
        <v>23.375</v>
      </c>
      <c r="J4179" s="8">
        <f>VLOOKUP(financials[[#This Row],[productid]],Products!$B$2:$H$10,4)</f>
        <v>3.99</v>
      </c>
      <c r="K4179" s="8">
        <f>financials[[#This Row],[Net Sales]]-financials[[#This Row],[COGS]]</f>
        <v>19.384999999999998</v>
      </c>
      <c r="L4179" s="15">
        <v>44413</v>
      </c>
      <c r="M4179" t="s">
        <v>697</v>
      </c>
    </row>
    <row r="4180" spans="1:13" x14ac:dyDescent="0.25">
      <c r="A4180" t="s">
        <v>86</v>
      </c>
      <c r="B4180" s="6" t="s">
        <v>205</v>
      </c>
      <c r="C4180" s="13">
        <v>105</v>
      </c>
      <c r="D4180" s="14" t="s">
        <v>90</v>
      </c>
      <c r="E4180">
        <v>20</v>
      </c>
      <c r="F4180" s="8">
        <f>VLOOKUP(financials[[#This Row],[productid]],Products!$B$2:$H$10,3)</f>
        <v>15</v>
      </c>
      <c r="G4180" s="8">
        <f>financials[[#This Row],[Units Sold]]*financials[[#This Row],[Sale Price]]</f>
        <v>300</v>
      </c>
      <c r="H4180" s="8">
        <f>IF(financials[[#This Row],[Discount Band]]="low",0.1,IF(financials[[#This Row],[Discount Band]]="medium",0.15,0.3))</f>
        <v>0.15</v>
      </c>
      <c r="I4180" s="8">
        <f>financials[[#This Row],[Gross Sales]]-financials[[#This Row],[Gross Sales]]*financials[[#This Row],[Discounts]]</f>
        <v>255</v>
      </c>
      <c r="J4180" s="8">
        <f>VLOOKUP(financials[[#This Row],[productid]],Products!$B$2:$H$10,4)</f>
        <v>10</v>
      </c>
      <c r="K4180" s="8">
        <f>financials[[#This Row],[Net Sales]]-financials[[#This Row],[COGS]]</f>
        <v>245</v>
      </c>
      <c r="L4180" s="15">
        <v>45034</v>
      </c>
      <c r="M4180" t="s">
        <v>691</v>
      </c>
    </row>
    <row r="4181" spans="1:13" x14ac:dyDescent="0.25">
      <c r="A4181" t="s">
        <v>88</v>
      </c>
      <c r="B4181" s="6" t="s">
        <v>198</v>
      </c>
      <c r="C4181" s="13">
        <v>104</v>
      </c>
      <c r="D4181" s="14" t="s">
        <v>90</v>
      </c>
      <c r="E4181">
        <v>5</v>
      </c>
      <c r="F4181" s="8">
        <f>VLOOKUP(financials[[#This Row],[productid]],Products!$B$2:$H$10,3)</f>
        <v>5.9</v>
      </c>
      <c r="G4181" s="8">
        <f>financials[[#This Row],[Units Sold]]*financials[[#This Row],[Sale Price]]</f>
        <v>29.5</v>
      </c>
      <c r="H4181" s="8">
        <f>IF(financials[[#This Row],[Discount Band]]="low",0.1,IF(financials[[#This Row],[Discount Band]]="medium",0.15,0.3))</f>
        <v>0.15</v>
      </c>
      <c r="I4181" s="8">
        <f>financials[[#This Row],[Gross Sales]]-financials[[#This Row],[Gross Sales]]*financials[[#This Row],[Discounts]]</f>
        <v>25.074999999999999</v>
      </c>
      <c r="J4181" s="8">
        <f>VLOOKUP(financials[[#This Row],[productid]],Products!$B$2:$H$10,4)</f>
        <v>2.9</v>
      </c>
      <c r="K4181" s="8">
        <f>financials[[#This Row],[Net Sales]]-financials[[#This Row],[COGS]]</f>
        <v>22.175000000000001</v>
      </c>
      <c r="L4181" s="15">
        <v>45555</v>
      </c>
      <c r="M4181" t="s">
        <v>696</v>
      </c>
    </row>
    <row r="4182" spans="1:13" x14ac:dyDescent="0.25">
      <c r="A4182" t="s">
        <v>87</v>
      </c>
      <c r="B4182" s="6" t="s">
        <v>159</v>
      </c>
      <c r="C4182" s="13">
        <v>108</v>
      </c>
      <c r="D4182" s="14" t="s">
        <v>90</v>
      </c>
      <c r="E4182">
        <v>18</v>
      </c>
      <c r="F4182" s="8">
        <f>VLOOKUP(financials[[#This Row],[productid]],Products!$B$2:$H$10,3)</f>
        <v>5.5</v>
      </c>
      <c r="G4182" s="8">
        <f>financials[[#This Row],[Units Sold]]*financials[[#This Row],[Sale Price]]</f>
        <v>99</v>
      </c>
      <c r="H4182" s="8">
        <f>IF(financials[[#This Row],[Discount Band]]="low",0.1,IF(financials[[#This Row],[Discount Band]]="medium",0.15,0.3))</f>
        <v>0.15</v>
      </c>
      <c r="I4182" s="8">
        <f>financials[[#This Row],[Gross Sales]]-financials[[#This Row],[Gross Sales]]*financials[[#This Row],[Discounts]]</f>
        <v>84.15</v>
      </c>
      <c r="J4182" s="8">
        <f>VLOOKUP(financials[[#This Row],[productid]],Products!$B$2:$H$10,4)</f>
        <v>3.99</v>
      </c>
      <c r="K4182" s="8">
        <f>financials[[#This Row],[Net Sales]]-financials[[#This Row],[COGS]]</f>
        <v>80.160000000000011</v>
      </c>
      <c r="L4182" s="15">
        <v>45565</v>
      </c>
      <c r="M4182" t="s">
        <v>700</v>
      </c>
    </row>
    <row r="4183" spans="1:13" x14ac:dyDescent="0.25">
      <c r="A4183" t="s">
        <v>86</v>
      </c>
      <c r="B4183" s="6" t="s">
        <v>205</v>
      </c>
      <c r="C4183" s="13">
        <v>102</v>
      </c>
      <c r="D4183" s="14" t="s">
        <v>83</v>
      </c>
      <c r="E4183">
        <v>8</v>
      </c>
      <c r="F4183" s="8">
        <f>VLOOKUP(financials[[#This Row],[productid]],Products!$B$2:$H$10,3)</f>
        <v>15</v>
      </c>
      <c r="G4183" s="8">
        <f>financials[[#This Row],[Units Sold]]*financials[[#This Row],[Sale Price]]</f>
        <v>120</v>
      </c>
      <c r="H4183" s="8">
        <f>IF(financials[[#This Row],[Discount Band]]="low",0.1,IF(financials[[#This Row],[Discount Band]]="medium",0.15,0.3))</f>
        <v>0.3</v>
      </c>
      <c r="I4183" s="8">
        <f>financials[[#This Row],[Gross Sales]]-financials[[#This Row],[Gross Sales]]*financials[[#This Row],[Discounts]]</f>
        <v>84</v>
      </c>
      <c r="J4183" s="8">
        <f>VLOOKUP(financials[[#This Row],[productid]],Products!$B$2:$H$10,4)</f>
        <v>13.95</v>
      </c>
      <c r="K4183" s="8">
        <f>financials[[#This Row],[Net Sales]]-financials[[#This Row],[COGS]]</f>
        <v>70.05</v>
      </c>
      <c r="L4183" s="15">
        <v>45242</v>
      </c>
      <c r="M4183" t="s">
        <v>697</v>
      </c>
    </row>
    <row r="4184" spans="1:13" x14ac:dyDescent="0.25">
      <c r="A4184" t="s">
        <v>86</v>
      </c>
      <c r="B4184" s="6" t="s">
        <v>276</v>
      </c>
      <c r="C4184" s="13">
        <v>108</v>
      </c>
      <c r="D4184" s="14" t="s">
        <v>83</v>
      </c>
      <c r="E4184">
        <v>16</v>
      </c>
      <c r="F4184" s="8">
        <f>VLOOKUP(financials[[#This Row],[productid]],Products!$B$2:$H$10,3)</f>
        <v>5.5</v>
      </c>
      <c r="G4184" s="8">
        <f>financials[[#This Row],[Units Sold]]*financials[[#This Row],[Sale Price]]</f>
        <v>88</v>
      </c>
      <c r="H4184" s="8">
        <f>IF(financials[[#This Row],[Discount Band]]="low",0.1,IF(financials[[#This Row],[Discount Band]]="medium",0.15,0.3))</f>
        <v>0.3</v>
      </c>
      <c r="I4184" s="8">
        <f>financials[[#This Row],[Gross Sales]]-financials[[#This Row],[Gross Sales]]*financials[[#This Row],[Discounts]]</f>
        <v>61.6</v>
      </c>
      <c r="J4184" s="8">
        <f>VLOOKUP(financials[[#This Row],[productid]],Products!$B$2:$H$10,4)</f>
        <v>3.99</v>
      </c>
      <c r="K4184" s="8">
        <f>financials[[#This Row],[Net Sales]]-financials[[#This Row],[COGS]]</f>
        <v>57.61</v>
      </c>
      <c r="L4184" s="15">
        <v>44888</v>
      </c>
      <c r="M4184" t="s">
        <v>700</v>
      </c>
    </row>
    <row r="4185" spans="1:13" x14ac:dyDescent="0.25">
      <c r="A4185" t="s">
        <v>86</v>
      </c>
      <c r="B4185" s="6" t="s">
        <v>205</v>
      </c>
      <c r="C4185" s="13">
        <v>101</v>
      </c>
      <c r="D4185" s="14" t="s">
        <v>83</v>
      </c>
      <c r="E4185">
        <v>19</v>
      </c>
      <c r="F4185" s="8">
        <f>VLOOKUP(financials[[#This Row],[productid]],Products!$B$2:$H$10,3)</f>
        <v>23</v>
      </c>
      <c r="G4185" s="8">
        <f>financials[[#This Row],[Units Sold]]*financials[[#This Row],[Sale Price]]</f>
        <v>437</v>
      </c>
      <c r="H4185" s="8">
        <f>IF(financials[[#This Row],[Discount Band]]="low",0.1,IF(financials[[#This Row],[Discount Band]]="medium",0.15,0.3))</f>
        <v>0.3</v>
      </c>
      <c r="I4185" s="8">
        <f>financials[[#This Row],[Gross Sales]]-financials[[#This Row],[Gross Sales]]*financials[[#This Row],[Discounts]]</f>
        <v>305.89999999999998</v>
      </c>
      <c r="J4185" s="8">
        <f>VLOOKUP(financials[[#This Row],[productid]],Products!$B$2:$H$10,4)</f>
        <v>9.9499999999999993</v>
      </c>
      <c r="K4185" s="8">
        <f>financials[[#This Row],[Net Sales]]-financials[[#This Row],[COGS]]</f>
        <v>295.95</v>
      </c>
      <c r="L4185" s="15">
        <v>45629</v>
      </c>
      <c r="M4185" t="s">
        <v>700</v>
      </c>
    </row>
    <row r="4186" spans="1:13" x14ac:dyDescent="0.25">
      <c r="A4186" t="s">
        <v>87</v>
      </c>
      <c r="B4186" s="6" t="s">
        <v>159</v>
      </c>
      <c r="C4186" s="13">
        <v>102</v>
      </c>
      <c r="D4186" s="14" t="s">
        <v>90</v>
      </c>
      <c r="E4186">
        <v>19</v>
      </c>
      <c r="F4186" s="8">
        <f>VLOOKUP(financials[[#This Row],[productid]],Products!$B$2:$H$10,3)</f>
        <v>15</v>
      </c>
      <c r="G4186" s="8">
        <f>financials[[#This Row],[Units Sold]]*financials[[#This Row],[Sale Price]]</f>
        <v>285</v>
      </c>
      <c r="H4186" s="8">
        <f>IF(financials[[#This Row],[Discount Band]]="low",0.1,IF(financials[[#This Row],[Discount Band]]="medium",0.15,0.3))</f>
        <v>0.15</v>
      </c>
      <c r="I4186" s="8">
        <f>financials[[#This Row],[Gross Sales]]-financials[[#This Row],[Gross Sales]]*financials[[#This Row],[Discounts]]</f>
        <v>242.25</v>
      </c>
      <c r="J4186" s="8">
        <f>VLOOKUP(financials[[#This Row],[productid]],Products!$B$2:$H$10,4)</f>
        <v>13.95</v>
      </c>
      <c r="K4186" s="8">
        <f>financials[[#This Row],[Net Sales]]-financials[[#This Row],[COGS]]</f>
        <v>228.3</v>
      </c>
      <c r="L4186" s="15">
        <v>45498</v>
      </c>
      <c r="M4186" t="s">
        <v>700</v>
      </c>
    </row>
    <row r="4187" spans="1:13" x14ac:dyDescent="0.25">
      <c r="A4187" t="s">
        <v>86</v>
      </c>
      <c r="B4187" s="6" t="s">
        <v>273</v>
      </c>
      <c r="C4187" s="13">
        <v>108</v>
      </c>
      <c r="D4187" s="14" t="s">
        <v>91</v>
      </c>
      <c r="E4187">
        <v>5</v>
      </c>
      <c r="F4187" s="8">
        <f>VLOOKUP(financials[[#This Row],[productid]],Products!$B$2:$H$10,3)</f>
        <v>5.5</v>
      </c>
      <c r="G4187" s="8">
        <f>financials[[#This Row],[Units Sold]]*financials[[#This Row],[Sale Price]]</f>
        <v>27.5</v>
      </c>
      <c r="H4187" s="8">
        <f>IF(financials[[#This Row],[Discount Band]]="low",0.1,IF(financials[[#This Row],[Discount Band]]="medium",0.15,0.3))</f>
        <v>0.1</v>
      </c>
      <c r="I4187" s="8">
        <f>financials[[#This Row],[Gross Sales]]-financials[[#This Row],[Gross Sales]]*financials[[#This Row],[Discounts]]</f>
        <v>24.75</v>
      </c>
      <c r="J4187" s="8">
        <f>VLOOKUP(financials[[#This Row],[productid]],Products!$B$2:$H$10,4)</f>
        <v>3.99</v>
      </c>
      <c r="K4187" s="8">
        <f>financials[[#This Row],[Net Sales]]-financials[[#This Row],[COGS]]</f>
        <v>20.759999999999998</v>
      </c>
      <c r="L4187" s="15">
        <v>44259</v>
      </c>
      <c r="M4187" t="s">
        <v>700</v>
      </c>
    </row>
    <row r="4188" spans="1:13" x14ac:dyDescent="0.25">
      <c r="A4188" t="s">
        <v>87</v>
      </c>
      <c r="B4188" s="6" t="s">
        <v>159</v>
      </c>
      <c r="C4188" s="13">
        <v>106</v>
      </c>
      <c r="D4188" s="14" t="s">
        <v>83</v>
      </c>
      <c r="E4188">
        <v>20</v>
      </c>
      <c r="F4188" s="8">
        <f>VLOOKUP(financials[[#This Row],[productid]],Products!$B$2:$H$10,3)</f>
        <v>25</v>
      </c>
      <c r="G4188" s="8">
        <f>financials[[#This Row],[Units Sold]]*financials[[#This Row],[Sale Price]]</f>
        <v>500</v>
      </c>
      <c r="H4188" s="8">
        <f>IF(financials[[#This Row],[Discount Band]]="low",0.1,IF(financials[[#This Row],[Discount Band]]="medium",0.15,0.3))</f>
        <v>0.3</v>
      </c>
      <c r="I4188" s="8">
        <f>financials[[#This Row],[Gross Sales]]-financials[[#This Row],[Gross Sales]]*financials[[#This Row],[Discounts]]</f>
        <v>350</v>
      </c>
      <c r="J4188" s="8">
        <f>VLOOKUP(financials[[#This Row],[productid]],Products!$B$2:$H$10,4)</f>
        <v>9.1</v>
      </c>
      <c r="K4188" s="8">
        <f>financials[[#This Row],[Net Sales]]-financials[[#This Row],[COGS]]</f>
        <v>340.9</v>
      </c>
      <c r="L4188" s="15">
        <v>44217</v>
      </c>
      <c r="M4188" t="s">
        <v>690</v>
      </c>
    </row>
    <row r="4189" spans="1:13" x14ac:dyDescent="0.25">
      <c r="A4189" t="s">
        <v>86</v>
      </c>
      <c r="B4189" s="6" t="s">
        <v>205</v>
      </c>
      <c r="C4189" s="13">
        <v>107</v>
      </c>
      <c r="D4189" s="14" t="s">
        <v>91</v>
      </c>
      <c r="E4189">
        <v>11</v>
      </c>
      <c r="F4189" s="8">
        <f>VLOOKUP(financials[[#This Row],[productid]],Products!$B$2:$H$10,3)</f>
        <v>15</v>
      </c>
      <c r="G4189" s="8">
        <f>financials[[#This Row],[Units Sold]]*financials[[#This Row],[Sale Price]]</f>
        <v>165</v>
      </c>
      <c r="H4189" s="8">
        <f>IF(financials[[#This Row],[Discount Band]]="low",0.1,IF(financials[[#This Row],[Discount Band]]="medium",0.15,0.3))</f>
        <v>0.1</v>
      </c>
      <c r="I4189" s="8">
        <f>financials[[#This Row],[Gross Sales]]-financials[[#This Row],[Gross Sales]]*financials[[#This Row],[Discounts]]</f>
        <v>148.5</v>
      </c>
      <c r="J4189" s="8">
        <f>VLOOKUP(financials[[#This Row],[productid]],Products!$B$2:$H$10,4)</f>
        <v>5.5</v>
      </c>
      <c r="K4189" s="8">
        <f>financials[[#This Row],[Net Sales]]-financials[[#This Row],[COGS]]</f>
        <v>143</v>
      </c>
      <c r="L4189" s="15">
        <v>44174</v>
      </c>
      <c r="M4189" t="s">
        <v>700</v>
      </c>
    </row>
    <row r="4190" spans="1:13" x14ac:dyDescent="0.25">
      <c r="A4190" t="s">
        <v>86</v>
      </c>
      <c r="B4190" s="6" t="s">
        <v>198</v>
      </c>
      <c r="C4190" s="13">
        <v>104</v>
      </c>
      <c r="D4190" s="14" t="s">
        <v>83</v>
      </c>
      <c r="E4190">
        <v>12</v>
      </c>
      <c r="F4190" s="8">
        <f>VLOOKUP(financials[[#This Row],[productid]],Products!$B$2:$H$10,3)</f>
        <v>5.9</v>
      </c>
      <c r="G4190" s="8">
        <f>financials[[#This Row],[Units Sold]]*financials[[#This Row],[Sale Price]]</f>
        <v>70.800000000000011</v>
      </c>
      <c r="H4190" s="8">
        <f>IF(financials[[#This Row],[Discount Band]]="low",0.1,IF(financials[[#This Row],[Discount Band]]="medium",0.15,0.3))</f>
        <v>0.3</v>
      </c>
      <c r="I4190" s="8">
        <f>financials[[#This Row],[Gross Sales]]-financials[[#This Row],[Gross Sales]]*financials[[#This Row],[Discounts]]</f>
        <v>49.560000000000009</v>
      </c>
      <c r="J4190" s="8">
        <f>VLOOKUP(financials[[#This Row],[productid]],Products!$B$2:$H$10,4)</f>
        <v>2.9</v>
      </c>
      <c r="K4190" s="8">
        <f>financials[[#This Row],[Net Sales]]-financials[[#This Row],[COGS]]</f>
        <v>46.660000000000011</v>
      </c>
      <c r="L4190" s="15">
        <v>44605</v>
      </c>
      <c r="M4190" t="s">
        <v>690</v>
      </c>
    </row>
    <row r="4191" spans="1:13" x14ac:dyDescent="0.25">
      <c r="A4191" t="s">
        <v>88</v>
      </c>
      <c r="B4191" s="6" t="s">
        <v>205</v>
      </c>
      <c r="C4191" s="13">
        <v>101</v>
      </c>
      <c r="D4191" s="14" t="s">
        <v>83</v>
      </c>
      <c r="E4191">
        <v>9</v>
      </c>
      <c r="F4191" s="8">
        <f>VLOOKUP(financials[[#This Row],[productid]],Products!$B$2:$H$10,3)</f>
        <v>23</v>
      </c>
      <c r="G4191" s="8">
        <f>financials[[#This Row],[Units Sold]]*financials[[#This Row],[Sale Price]]</f>
        <v>207</v>
      </c>
      <c r="H4191" s="8">
        <f>IF(financials[[#This Row],[Discount Band]]="low",0.1,IF(financials[[#This Row],[Discount Band]]="medium",0.15,0.3))</f>
        <v>0.3</v>
      </c>
      <c r="I4191" s="8">
        <f>financials[[#This Row],[Gross Sales]]-financials[[#This Row],[Gross Sales]]*financials[[#This Row],[Discounts]]</f>
        <v>144.9</v>
      </c>
      <c r="J4191" s="8">
        <f>VLOOKUP(financials[[#This Row],[productid]],Products!$B$2:$H$10,4)</f>
        <v>9.9499999999999993</v>
      </c>
      <c r="K4191" s="8">
        <f>financials[[#This Row],[Net Sales]]-financials[[#This Row],[COGS]]</f>
        <v>134.95000000000002</v>
      </c>
      <c r="L4191" s="15">
        <v>44491</v>
      </c>
      <c r="M4191" t="s">
        <v>691</v>
      </c>
    </row>
    <row r="4192" spans="1:13" x14ac:dyDescent="0.25">
      <c r="A4192" t="s">
        <v>86</v>
      </c>
      <c r="B4192" s="6" t="s">
        <v>205</v>
      </c>
      <c r="C4192" s="13">
        <v>106</v>
      </c>
      <c r="D4192" s="14" t="s">
        <v>92</v>
      </c>
      <c r="E4192">
        <v>19</v>
      </c>
      <c r="F4192" s="8">
        <f>VLOOKUP(financials[[#This Row],[productid]],Products!$B$2:$H$10,3)</f>
        <v>25</v>
      </c>
      <c r="G4192" s="8">
        <f>financials[[#This Row],[Units Sold]]*financials[[#This Row],[Sale Price]]</f>
        <v>475</v>
      </c>
      <c r="H4192" s="8">
        <f>IF(financials[[#This Row],[Discount Band]]="low",0.1,IF(financials[[#This Row],[Discount Band]]="medium",0.15,0.3))</f>
        <v>0.3</v>
      </c>
      <c r="I4192" s="8">
        <f>financials[[#This Row],[Gross Sales]]-financials[[#This Row],[Gross Sales]]*financials[[#This Row],[Discounts]]</f>
        <v>332.5</v>
      </c>
      <c r="J4192" s="8">
        <f>VLOOKUP(financials[[#This Row],[productid]],Products!$B$2:$H$10,4)</f>
        <v>9.1</v>
      </c>
      <c r="K4192" s="8">
        <f>financials[[#This Row],[Net Sales]]-financials[[#This Row],[COGS]]</f>
        <v>323.39999999999998</v>
      </c>
      <c r="L4192" s="15">
        <v>45605</v>
      </c>
      <c r="M4192" t="s">
        <v>690</v>
      </c>
    </row>
    <row r="4193" spans="1:13" x14ac:dyDescent="0.25">
      <c r="A4193" t="s">
        <v>87</v>
      </c>
      <c r="B4193" s="6" t="s">
        <v>159</v>
      </c>
      <c r="C4193" s="13">
        <v>107</v>
      </c>
      <c r="D4193" s="14" t="s">
        <v>90</v>
      </c>
      <c r="E4193">
        <v>14</v>
      </c>
      <c r="F4193" s="8">
        <f>VLOOKUP(financials[[#This Row],[productid]],Products!$B$2:$H$10,3)</f>
        <v>15</v>
      </c>
      <c r="G4193" s="8">
        <f>financials[[#This Row],[Units Sold]]*financials[[#This Row],[Sale Price]]</f>
        <v>210</v>
      </c>
      <c r="H4193" s="8">
        <f>IF(financials[[#This Row],[Discount Band]]="low",0.1,IF(financials[[#This Row],[Discount Band]]="medium",0.15,0.3))</f>
        <v>0.15</v>
      </c>
      <c r="I4193" s="8">
        <f>financials[[#This Row],[Gross Sales]]-financials[[#This Row],[Gross Sales]]*financials[[#This Row],[Discounts]]</f>
        <v>178.5</v>
      </c>
      <c r="J4193" s="8">
        <f>VLOOKUP(financials[[#This Row],[productid]],Products!$B$2:$H$10,4)</f>
        <v>5.5</v>
      </c>
      <c r="K4193" s="8">
        <f>financials[[#This Row],[Net Sales]]-financials[[#This Row],[COGS]]</f>
        <v>173</v>
      </c>
      <c r="L4193" s="15">
        <v>45552</v>
      </c>
      <c r="M4193" t="s">
        <v>700</v>
      </c>
    </row>
    <row r="4194" spans="1:13" x14ac:dyDescent="0.25">
      <c r="A4194" t="s">
        <v>87</v>
      </c>
      <c r="B4194" s="6" t="s">
        <v>84</v>
      </c>
      <c r="C4194" s="13">
        <v>105</v>
      </c>
      <c r="D4194" s="14" t="s">
        <v>90</v>
      </c>
      <c r="E4194">
        <v>8</v>
      </c>
      <c r="F4194" s="8">
        <f>VLOOKUP(financials[[#This Row],[productid]],Products!$B$2:$H$10,3)</f>
        <v>15</v>
      </c>
      <c r="G4194" s="8">
        <f>financials[[#This Row],[Units Sold]]*financials[[#This Row],[Sale Price]]</f>
        <v>120</v>
      </c>
      <c r="H4194" s="8">
        <f>IF(financials[[#This Row],[Discount Band]]="low",0.1,IF(financials[[#This Row],[Discount Band]]="medium",0.15,0.3))</f>
        <v>0.15</v>
      </c>
      <c r="I4194" s="8">
        <f>financials[[#This Row],[Gross Sales]]-financials[[#This Row],[Gross Sales]]*financials[[#This Row],[Discounts]]</f>
        <v>102</v>
      </c>
      <c r="J4194" s="8">
        <f>VLOOKUP(financials[[#This Row],[productid]],Products!$B$2:$H$10,4)</f>
        <v>10</v>
      </c>
      <c r="K4194" s="8">
        <f>financials[[#This Row],[Net Sales]]-financials[[#This Row],[COGS]]</f>
        <v>92</v>
      </c>
      <c r="L4194" s="15">
        <v>44168</v>
      </c>
      <c r="M4194" t="s">
        <v>696</v>
      </c>
    </row>
    <row r="4195" spans="1:13" x14ac:dyDescent="0.25">
      <c r="A4195" t="s">
        <v>87</v>
      </c>
      <c r="B4195" s="6" t="s">
        <v>84</v>
      </c>
      <c r="C4195" s="13">
        <v>108</v>
      </c>
      <c r="D4195" s="14" t="s">
        <v>83</v>
      </c>
      <c r="E4195">
        <v>13</v>
      </c>
      <c r="F4195" s="8">
        <f>VLOOKUP(financials[[#This Row],[productid]],Products!$B$2:$H$10,3)</f>
        <v>5.5</v>
      </c>
      <c r="G4195" s="8">
        <f>financials[[#This Row],[Units Sold]]*financials[[#This Row],[Sale Price]]</f>
        <v>71.5</v>
      </c>
      <c r="H4195" s="8">
        <f>IF(financials[[#This Row],[Discount Band]]="low",0.1,IF(financials[[#This Row],[Discount Band]]="medium",0.15,0.3))</f>
        <v>0.3</v>
      </c>
      <c r="I4195" s="8">
        <f>financials[[#This Row],[Gross Sales]]-financials[[#This Row],[Gross Sales]]*financials[[#This Row],[Discounts]]</f>
        <v>50.05</v>
      </c>
      <c r="J4195" s="8">
        <f>VLOOKUP(financials[[#This Row],[productid]],Products!$B$2:$H$10,4)</f>
        <v>3.99</v>
      </c>
      <c r="K4195" s="8">
        <f>financials[[#This Row],[Net Sales]]-financials[[#This Row],[COGS]]</f>
        <v>46.059999999999995</v>
      </c>
      <c r="L4195" s="15">
        <v>45302</v>
      </c>
      <c r="M4195" t="s">
        <v>690</v>
      </c>
    </row>
    <row r="4196" spans="1:13" x14ac:dyDescent="0.25">
      <c r="A4196" t="s">
        <v>86</v>
      </c>
      <c r="B4196" s="6" t="s">
        <v>273</v>
      </c>
      <c r="C4196" s="13">
        <v>102</v>
      </c>
      <c r="D4196" s="14" t="s">
        <v>83</v>
      </c>
      <c r="E4196">
        <v>11</v>
      </c>
      <c r="F4196" s="8">
        <f>VLOOKUP(financials[[#This Row],[productid]],Products!$B$2:$H$10,3)</f>
        <v>15</v>
      </c>
      <c r="G4196" s="8">
        <f>financials[[#This Row],[Units Sold]]*financials[[#This Row],[Sale Price]]</f>
        <v>165</v>
      </c>
      <c r="H4196" s="8">
        <f>IF(financials[[#This Row],[Discount Band]]="low",0.1,IF(financials[[#This Row],[Discount Band]]="medium",0.15,0.3))</f>
        <v>0.3</v>
      </c>
      <c r="I4196" s="8">
        <f>financials[[#This Row],[Gross Sales]]-financials[[#This Row],[Gross Sales]]*financials[[#This Row],[Discounts]]</f>
        <v>115.5</v>
      </c>
      <c r="J4196" s="8">
        <f>VLOOKUP(financials[[#This Row],[productid]],Products!$B$2:$H$10,4)</f>
        <v>13.95</v>
      </c>
      <c r="K4196" s="8">
        <f>financials[[#This Row],[Net Sales]]-financials[[#This Row],[COGS]]</f>
        <v>101.55</v>
      </c>
      <c r="L4196" s="15">
        <v>43887</v>
      </c>
      <c r="M4196" t="s">
        <v>700</v>
      </c>
    </row>
    <row r="4197" spans="1:13" x14ac:dyDescent="0.25">
      <c r="A4197" t="s">
        <v>86</v>
      </c>
      <c r="B4197" s="6" t="s">
        <v>276</v>
      </c>
      <c r="C4197" s="13">
        <v>105</v>
      </c>
      <c r="D4197" s="14" t="s">
        <v>90</v>
      </c>
      <c r="E4197">
        <v>13</v>
      </c>
      <c r="F4197" s="8">
        <f>VLOOKUP(financials[[#This Row],[productid]],Products!$B$2:$H$10,3)</f>
        <v>15</v>
      </c>
      <c r="G4197" s="8">
        <f>financials[[#This Row],[Units Sold]]*financials[[#This Row],[Sale Price]]</f>
        <v>195</v>
      </c>
      <c r="H4197" s="8">
        <f>IF(financials[[#This Row],[Discount Band]]="low",0.1,IF(financials[[#This Row],[Discount Band]]="medium",0.15,0.3))</f>
        <v>0.15</v>
      </c>
      <c r="I4197" s="8">
        <f>financials[[#This Row],[Gross Sales]]-financials[[#This Row],[Gross Sales]]*financials[[#This Row],[Discounts]]</f>
        <v>165.75</v>
      </c>
      <c r="J4197" s="8">
        <f>VLOOKUP(financials[[#This Row],[productid]],Products!$B$2:$H$10,4)</f>
        <v>10</v>
      </c>
      <c r="K4197" s="8">
        <f>financials[[#This Row],[Net Sales]]-financials[[#This Row],[COGS]]</f>
        <v>155.75</v>
      </c>
      <c r="L4197" s="15">
        <v>44454</v>
      </c>
      <c r="M4197" t="s">
        <v>697</v>
      </c>
    </row>
    <row r="4198" spans="1:13" x14ac:dyDescent="0.25">
      <c r="A4198" t="s">
        <v>87</v>
      </c>
      <c r="B4198" s="6" t="s">
        <v>84</v>
      </c>
      <c r="C4198" s="11">
        <v>104</v>
      </c>
      <c r="D4198" s="9" t="s">
        <v>83</v>
      </c>
      <c r="E4198">
        <v>12</v>
      </c>
      <c r="F4198" s="8">
        <f>VLOOKUP(financials[[#This Row],[productid]],Products!$B$2:$H$10,3)</f>
        <v>5.9</v>
      </c>
      <c r="G4198" s="8">
        <f>financials[[#This Row],[Units Sold]]*financials[[#This Row],[Sale Price]]</f>
        <v>70.800000000000011</v>
      </c>
      <c r="H4198" s="8">
        <f>IF(financials[[#This Row],[Discount Band]]="low",0.1,IF(financials[[#This Row],[Discount Band]]="medium",0.15,0.3))</f>
        <v>0.3</v>
      </c>
      <c r="I4198" s="8">
        <f>financials[[#This Row],[Gross Sales]]-financials[[#This Row],[Gross Sales]]*financials[[#This Row],[Discounts]]</f>
        <v>49.560000000000009</v>
      </c>
      <c r="J4198" s="8">
        <f>VLOOKUP(financials[[#This Row],[productid]],Products!$B$2:$H$10,4)</f>
        <v>2.9</v>
      </c>
      <c r="K4198" s="8">
        <f>financials[[#This Row],[Net Sales]]-financials[[#This Row],[COGS]]</f>
        <v>46.660000000000011</v>
      </c>
      <c r="L4198" s="15">
        <v>44477</v>
      </c>
      <c r="M4198" t="s">
        <v>691</v>
      </c>
    </row>
    <row r="4199" spans="1:13" x14ac:dyDescent="0.25">
      <c r="A4199" t="s">
        <v>87</v>
      </c>
      <c r="B4199" s="6" t="s">
        <v>84</v>
      </c>
      <c r="C4199" s="13">
        <v>107</v>
      </c>
      <c r="D4199" s="14" t="s">
        <v>91</v>
      </c>
      <c r="E4199">
        <v>16</v>
      </c>
      <c r="F4199" s="8">
        <f>VLOOKUP(financials[[#This Row],[productid]],Products!$B$2:$H$10,3)</f>
        <v>15</v>
      </c>
      <c r="G4199" s="8">
        <f>financials[[#This Row],[Units Sold]]*financials[[#This Row],[Sale Price]]</f>
        <v>240</v>
      </c>
      <c r="H4199" s="8">
        <f>IF(financials[[#This Row],[Discount Band]]="low",0.1,IF(financials[[#This Row],[Discount Band]]="medium",0.15,0.3))</f>
        <v>0.1</v>
      </c>
      <c r="I4199" s="8">
        <f>financials[[#This Row],[Gross Sales]]-financials[[#This Row],[Gross Sales]]*financials[[#This Row],[Discounts]]</f>
        <v>216</v>
      </c>
      <c r="J4199" s="8">
        <f>VLOOKUP(financials[[#This Row],[productid]],Products!$B$2:$H$10,4)</f>
        <v>5.5</v>
      </c>
      <c r="K4199" s="8">
        <f>financials[[#This Row],[Net Sales]]-financials[[#This Row],[COGS]]</f>
        <v>210.5</v>
      </c>
      <c r="L4199" s="15">
        <v>44527</v>
      </c>
      <c r="M4199" t="s">
        <v>697</v>
      </c>
    </row>
    <row r="4200" spans="1:13" x14ac:dyDescent="0.25">
      <c r="A4200" t="s">
        <v>87</v>
      </c>
      <c r="B4200" s="6" t="s">
        <v>84</v>
      </c>
      <c r="C4200" s="13">
        <v>107</v>
      </c>
      <c r="D4200" s="14" t="s">
        <v>83</v>
      </c>
      <c r="E4200">
        <v>14</v>
      </c>
      <c r="F4200" s="8">
        <f>VLOOKUP(financials[[#This Row],[productid]],Products!$B$2:$H$10,3)</f>
        <v>15</v>
      </c>
      <c r="G4200" s="8">
        <f>financials[[#This Row],[Units Sold]]*financials[[#This Row],[Sale Price]]</f>
        <v>210</v>
      </c>
      <c r="H4200" s="8">
        <f>IF(financials[[#This Row],[Discount Band]]="low",0.1,IF(financials[[#This Row],[Discount Band]]="medium",0.15,0.3))</f>
        <v>0.3</v>
      </c>
      <c r="I4200" s="8">
        <f>financials[[#This Row],[Gross Sales]]-financials[[#This Row],[Gross Sales]]*financials[[#This Row],[Discounts]]</f>
        <v>147</v>
      </c>
      <c r="J4200" s="8">
        <f>VLOOKUP(financials[[#This Row],[productid]],Products!$B$2:$H$10,4)</f>
        <v>5.5</v>
      </c>
      <c r="K4200" s="8">
        <f>financials[[#This Row],[Net Sales]]-financials[[#This Row],[COGS]]</f>
        <v>141.5</v>
      </c>
      <c r="L4200" s="15">
        <v>44254</v>
      </c>
      <c r="M4200" t="s">
        <v>696</v>
      </c>
    </row>
    <row r="4201" spans="1:13" x14ac:dyDescent="0.25">
      <c r="A4201" t="s">
        <v>87</v>
      </c>
      <c r="B4201" s="6" t="s">
        <v>159</v>
      </c>
      <c r="C4201" s="13">
        <v>104</v>
      </c>
      <c r="D4201" s="14" t="s">
        <v>83</v>
      </c>
      <c r="E4201">
        <v>11</v>
      </c>
      <c r="F4201" s="8">
        <f>VLOOKUP(financials[[#This Row],[productid]],Products!$B$2:$H$10,3)</f>
        <v>5.9</v>
      </c>
      <c r="G4201" s="8">
        <f>financials[[#This Row],[Units Sold]]*financials[[#This Row],[Sale Price]]</f>
        <v>64.900000000000006</v>
      </c>
      <c r="H4201" s="8">
        <f>IF(financials[[#This Row],[Discount Band]]="low",0.1,IF(financials[[#This Row],[Discount Band]]="medium",0.15,0.3))</f>
        <v>0.3</v>
      </c>
      <c r="I4201" s="8">
        <f>financials[[#This Row],[Gross Sales]]-financials[[#This Row],[Gross Sales]]*financials[[#This Row],[Discounts]]</f>
        <v>45.430000000000007</v>
      </c>
      <c r="J4201" s="8">
        <f>VLOOKUP(financials[[#This Row],[productid]],Products!$B$2:$H$10,4)</f>
        <v>2.9</v>
      </c>
      <c r="K4201" s="8">
        <f>financials[[#This Row],[Net Sales]]-financials[[#This Row],[COGS]]</f>
        <v>42.530000000000008</v>
      </c>
      <c r="L4201" s="15">
        <v>45179</v>
      </c>
      <c r="M4201" t="s">
        <v>696</v>
      </c>
    </row>
    <row r="4202" spans="1:13" x14ac:dyDescent="0.25">
      <c r="A4202" t="s">
        <v>87</v>
      </c>
      <c r="B4202" s="6" t="s">
        <v>84</v>
      </c>
      <c r="C4202" s="13">
        <v>107</v>
      </c>
      <c r="D4202" s="14" t="s">
        <v>91</v>
      </c>
      <c r="E4202">
        <v>9</v>
      </c>
      <c r="F4202" s="8">
        <f>VLOOKUP(financials[[#This Row],[productid]],Products!$B$2:$H$10,3)</f>
        <v>15</v>
      </c>
      <c r="G4202" s="8">
        <f>financials[[#This Row],[Units Sold]]*financials[[#This Row],[Sale Price]]</f>
        <v>135</v>
      </c>
      <c r="H4202" s="8">
        <f>IF(financials[[#This Row],[Discount Band]]="low",0.1,IF(financials[[#This Row],[Discount Band]]="medium",0.15,0.3))</f>
        <v>0.1</v>
      </c>
      <c r="I4202" s="8">
        <f>financials[[#This Row],[Gross Sales]]-financials[[#This Row],[Gross Sales]]*financials[[#This Row],[Discounts]]</f>
        <v>121.5</v>
      </c>
      <c r="J4202" s="8">
        <f>VLOOKUP(financials[[#This Row],[productid]],Products!$B$2:$H$10,4)</f>
        <v>5.5</v>
      </c>
      <c r="K4202" s="8">
        <f>financials[[#This Row],[Net Sales]]-financials[[#This Row],[COGS]]</f>
        <v>116</v>
      </c>
      <c r="L4202" s="15">
        <v>45621</v>
      </c>
      <c r="M4202" t="s">
        <v>691</v>
      </c>
    </row>
    <row r="4203" spans="1:13" x14ac:dyDescent="0.25">
      <c r="A4203" t="s">
        <v>87</v>
      </c>
      <c r="B4203" s="6" t="s">
        <v>84</v>
      </c>
      <c r="C4203" s="13">
        <v>107</v>
      </c>
      <c r="D4203" s="14" t="s">
        <v>83</v>
      </c>
      <c r="E4203">
        <v>5</v>
      </c>
      <c r="F4203" s="8">
        <f>VLOOKUP(financials[[#This Row],[productid]],Products!$B$2:$H$10,3)</f>
        <v>15</v>
      </c>
      <c r="G4203" s="8">
        <f>financials[[#This Row],[Units Sold]]*financials[[#This Row],[Sale Price]]</f>
        <v>75</v>
      </c>
      <c r="H4203" s="8">
        <f>IF(financials[[#This Row],[Discount Band]]="low",0.1,IF(financials[[#This Row],[Discount Band]]="medium",0.15,0.3))</f>
        <v>0.3</v>
      </c>
      <c r="I4203" s="8">
        <f>financials[[#This Row],[Gross Sales]]-financials[[#This Row],[Gross Sales]]*financials[[#This Row],[Discounts]]</f>
        <v>52.5</v>
      </c>
      <c r="J4203" s="8">
        <f>VLOOKUP(financials[[#This Row],[productid]],Products!$B$2:$H$10,4)</f>
        <v>5.5</v>
      </c>
      <c r="K4203" s="8">
        <f>financials[[#This Row],[Net Sales]]-financials[[#This Row],[COGS]]</f>
        <v>47</v>
      </c>
      <c r="L4203" s="15">
        <v>45429</v>
      </c>
      <c r="M4203" t="s">
        <v>691</v>
      </c>
    </row>
    <row r="4204" spans="1:13" x14ac:dyDescent="0.25">
      <c r="A4204" t="s">
        <v>86</v>
      </c>
      <c r="B4204" s="6" t="s">
        <v>276</v>
      </c>
      <c r="C4204" s="13">
        <v>109</v>
      </c>
      <c r="D4204" s="14" t="s">
        <v>90</v>
      </c>
      <c r="E4204">
        <v>18</v>
      </c>
      <c r="F4204" s="8">
        <f>VLOOKUP(financials[[#This Row],[productid]],Products!$B$2:$H$10,3)</f>
        <v>36</v>
      </c>
      <c r="G4204" s="8">
        <f>financials[[#This Row],[Units Sold]]*financials[[#This Row],[Sale Price]]</f>
        <v>648</v>
      </c>
      <c r="H4204" s="8">
        <f>IF(financials[[#This Row],[Discount Band]]="low",0.1,IF(financials[[#This Row],[Discount Band]]="medium",0.15,0.3))</f>
        <v>0.15</v>
      </c>
      <c r="I4204" s="8">
        <f>financials[[#This Row],[Gross Sales]]-financials[[#This Row],[Gross Sales]]*financials[[#This Row],[Discounts]]</f>
        <v>550.79999999999995</v>
      </c>
      <c r="J4204" s="8">
        <f>VLOOKUP(financials[[#This Row],[productid]],Products!$B$2:$H$10,4)</f>
        <v>16.8</v>
      </c>
      <c r="K4204" s="8">
        <f>financials[[#This Row],[Net Sales]]-financials[[#This Row],[COGS]]</f>
        <v>534</v>
      </c>
      <c r="L4204" s="15">
        <v>43852</v>
      </c>
      <c r="M4204" t="s">
        <v>690</v>
      </c>
    </row>
    <row r="4205" spans="1:13" x14ac:dyDescent="0.25">
      <c r="A4205" t="s">
        <v>87</v>
      </c>
      <c r="B4205" s="6" t="s">
        <v>84</v>
      </c>
      <c r="C4205" s="13">
        <v>108</v>
      </c>
      <c r="D4205" s="14" t="s">
        <v>92</v>
      </c>
      <c r="E4205">
        <v>5</v>
      </c>
      <c r="F4205" s="8">
        <f>VLOOKUP(financials[[#This Row],[productid]],Products!$B$2:$H$10,3)</f>
        <v>5.5</v>
      </c>
      <c r="G4205" s="8">
        <f>financials[[#This Row],[Units Sold]]*financials[[#This Row],[Sale Price]]</f>
        <v>27.5</v>
      </c>
      <c r="H4205" s="8">
        <f>IF(financials[[#This Row],[Discount Band]]="low",0.1,IF(financials[[#This Row],[Discount Band]]="medium",0.15,0.3))</f>
        <v>0.3</v>
      </c>
      <c r="I4205" s="8">
        <f>financials[[#This Row],[Gross Sales]]-financials[[#This Row],[Gross Sales]]*financials[[#This Row],[Discounts]]</f>
        <v>19.25</v>
      </c>
      <c r="J4205" s="8">
        <f>VLOOKUP(financials[[#This Row],[productid]],Products!$B$2:$H$10,4)</f>
        <v>3.99</v>
      </c>
      <c r="K4205" s="8">
        <f>financials[[#This Row],[Net Sales]]-financials[[#This Row],[COGS]]</f>
        <v>15.26</v>
      </c>
      <c r="L4205" s="15">
        <v>45290</v>
      </c>
      <c r="M4205" t="s">
        <v>691</v>
      </c>
    </row>
    <row r="4206" spans="1:13" x14ac:dyDescent="0.25">
      <c r="A4206" t="s">
        <v>87</v>
      </c>
      <c r="B4206" s="6" t="s">
        <v>159</v>
      </c>
      <c r="C4206" s="13">
        <v>105</v>
      </c>
      <c r="D4206" s="14" t="s">
        <v>83</v>
      </c>
      <c r="E4206">
        <v>18</v>
      </c>
      <c r="F4206" s="8">
        <f>VLOOKUP(financials[[#This Row],[productid]],Products!$B$2:$H$10,3)</f>
        <v>15</v>
      </c>
      <c r="G4206" s="8">
        <f>financials[[#This Row],[Units Sold]]*financials[[#This Row],[Sale Price]]</f>
        <v>270</v>
      </c>
      <c r="H4206" s="8">
        <f>IF(financials[[#This Row],[Discount Band]]="low",0.1,IF(financials[[#This Row],[Discount Band]]="medium",0.15,0.3))</f>
        <v>0.3</v>
      </c>
      <c r="I4206" s="8">
        <f>financials[[#This Row],[Gross Sales]]-financials[[#This Row],[Gross Sales]]*financials[[#This Row],[Discounts]]</f>
        <v>189</v>
      </c>
      <c r="J4206" s="8">
        <f>VLOOKUP(financials[[#This Row],[productid]],Products!$B$2:$H$10,4)</f>
        <v>10</v>
      </c>
      <c r="K4206" s="8">
        <f>financials[[#This Row],[Net Sales]]-financials[[#This Row],[COGS]]</f>
        <v>179</v>
      </c>
      <c r="L4206" s="15">
        <v>45531</v>
      </c>
      <c r="M4206" t="s">
        <v>696</v>
      </c>
    </row>
    <row r="4207" spans="1:13" x14ac:dyDescent="0.25">
      <c r="A4207" t="s">
        <v>86</v>
      </c>
      <c r="B4207" s="6" t="s">
        <v>276</v>
      </c>
      <c r="C4207" s="13">
        <v>109</v>
      </c>
      <c r="D4207" s="14" t="s">
        <v>91</v>
      </c>
      <c r="E4207">
        <v>19</v>
      </c>
      <c r="F4207" s="8">
        <f>VLOOKUP(financials[[#This Row],[productid]],Products!$B$2:$H$10,3)</f>
        <v>36</v>
      </c>
      <c r="G4207" s="8">
        <f>financials[[#This Row],[Units Sold]]*financials[[#This Row],[Sale Price]]</f>
        <v>684</v>
      </c>
      <c r="H4207" s="8">
        <f>IF(financials[[#This Row],[Discount Band]]="low",0.1,IF(financials[[#This Row],[Discount Band]]="medium",0.15,0.3))</f>
        <v>0.1</v>
      </c>
      <c r="I4207" s="8">
        <f>financials[[#This Row],[Gross Sales]]-financials[[#This Row],[Gross Sales]]*financials[[#This Row],[Discounts]]</f>
        <v>615.6</v>
      </c>
      <c r="J4207" s="8">
        <f>VLOOKUP(financials[[#This Row],[productid]],Products!$B$2:$H$10,4)</f>
        <v>16.8</v>
      </c>
      <c r="K4207" s="8">
        <f>financials[[#This Row],[Net Sales]]-financials[[#This Row],[COGS]]</f>
        <v>598.80000000000007</v>
      </c>
      <c r="L4207" s="15">
        <v>44729</v>
      </c>
      <c r="M4207" t="s">
        <v>691</v>
      </c>
    </row>
    <row r="4208" spans="1:13" x14ac:dyDescent="0.25">
      <c r="A4208" t="s">
        <v>86</v>
      </c>
      <c r="B4208" s="6" t="s">
        <v>276</v>
      </c>
      <c r="C4208" s="13">
        <v>101</v>
      </c>
      <c r="D4208" s="14" t="s">
        <v>83</v>
      </c>
      <c r="E4208">
        <v>16</v>
      </c>
      <c r="F4208" s="8">
        <f>VLOOKUP(financials[[#This Row],[productid]],Products!$B$2:$H$10,3)</f>
        <v>23</v>
      </c>
      <c r="G4208" s="8">
        <f>financials[[#This Row],[Units Sold]]*financials[[#This Row],[Sale Price]]</f>
        <v>368</v>
      </c>
      <c r="H4208" s="8">
        <f>IF(financials[[#This Row],[Discount Band]]="low",0.1,IF(financials[[#This Row],[Discount Band]]="medium",0.15,0.3))</f>
        <v>0.3</v>
      </c>
      <c r="I4208" s="8">
        <f>financials[[#This Row],[Gross Sales]]-financials[[#This Row],[Gross Sales]]*financials[[#This Row],[Discounts]]</f>
        <v>257.60000000000002</v>
      </c>
      <c r="J4208" s="8">
        <f>VLOOKUP(financials[[#This Row],[productid]],Products!$B$2:$H$10,4)</f>
        <v>9.9499999999999993</v>
      </c>
      <c r="K4208" s="8">
        <f>financials[[#This Row],[Net Sales]]-financials[[#This Row],[COGS]]</f>
        <v>247.65000000000003</v>
      </c>
      <c r="L4208" s="15">
        <v>44790</v>
      </c>
      <c r="M4208" t="s">
        <v>691</v>
      </c>
    </row>
    <row r="4209" spans="1:13" x14ac:dyDescent="0.25">
      <c r="A4209" t="s">
        <v>87</v>
      </c>
      <c r="B4209" s="6" t="s">
        <v>84</v>
      </c>
      <c r="C4209" s="13">
        <v>107</v>
      </c>
      <c r="D4209" s="14" t="s">
        <v>91</v>
      </c>
      <c r="E4209">
        <v>15</v>
      </c>
      <c r="F4209" s="8">
        <f>VLOOKUP(financials[[#This Row],[productid]],Products!$B$2:$H$10,3)</f>
        <v>15</v>
      </c>
      <c r="G4209" s="8">
        <f>financials[[#This Row],[Units Sold]]*financials[[#This Row],[Sale Price]]</f>
        <v>225</v>
      </c>
      <c r="H4209" s="8">
        <f>IF(financials[[#This Row],[Discount Band]]="low",0.1,IF(financials[[#This Row],[Discount Band]]="medium",0.15,0.3))</f>
        <v>0.1</v>
      </c>
      <c r="I4209" s="8">
        <f>financials[[#This Row],[Gross Sales]]-financials[[#This Row],[Gross Sales]]*financials[[#This Row],[Discounts]]</f>
        <v>202.5</v>
      </c>
      <c r="J4209" s="8">
        <f>VLOOKUP(financials[[#This Row],[productid]],Products!$B$2:$H$10,4)</f>
        <v>5.5</v>
      </c>
      <c r="K4209" s="8">
        <f>financials[[#This Row],[Net Sales]]-financials[[#This Row],[COGS]]</f>
        <v>197</v>
      </c>
      <c r="L4209" s="15">
        <v>45114</v>
      </c>
      <c r="M4209" t="s">
        <v>700</v>
      </c>
    </row>
    <row r="4210" spans="1:13" x14ac:dyDescent="0.25">
      <c r="A4210" t="s">
        <v>87</v>
      </c>
      <c r="B4210" s="6" t="s">
        <v>124</v>
      </c>
      <c r="C4210" s="13">
        <v>107</v>
      </c>
      <c r="D4210" s="14" t="s">
        <v>90</v>
      </c>
      <c r="E4210">
        <v>19</v>
      </c>
      <c r="F4210" s="8">
        <f>VLOOKUP(financials[[#This Row],[productid]],Products!$B$2:$H$10,3)</f>
        <v>15</v>
      </c>
      <c r="G4210" s="8">
        <f>financials[[#This Row],[Units Sold]]*financials[[#This Row],[Sale Price]]</f>
        <v>285</v>
      </c>
      <c r="H4210" s="8">
        <f>IF(financials[[#This Row],[Discount Band]]="low",0.1,IF(financials[[#This Row],[Discount Band]]="medium",0.15,0.3))</f>
        <v>0.15</v>
      </c>
      <c r="I4210" s="8">
        <f>financials[[#This Row],[Gross Sales]]-financials[[#This Row],[Gross Sales]]*financials[[#This Row],[Discounts]]</f>
        <v>242.25</v>
      </c>
      <c r="J4210" s="8">
        <f>VLOOKUP(financials[[#This Row],[productid]],Products!$B$2:$H$10,4)</f>
        <v>5.5</v>
      </c>
      <c r="K4210" s="8">
        <f>financials[[#This Row],[Net Sales]]-financials[[#This Row],[COGS]]</f>
        <v>236.75</v>
      </c>
      <c r="L4210" s="15">
        <v>45119</v>
      </c>
      <c r="M4210" t="s">
        <v>691</v>
      </c>
    </row>
    <row r="4211" spans="1:13" x14ac:dyDescent="0.25">
      <c r="A4211" t="s">
        <v>87</v>
      </c>
      <c r="B4211" s="6" t="s">
        <v>159</v>
      </c>
      <c r="C4211" s="11">
        <v>109</v>
      </c>
      <c r="D4211" s="9" t="s">
        <v>83</v>
      </c>
      <c r="E4211">
        <v>15</v>
      </c>
      <c r="F4211" s="8">
        <f>VLOOKUP(financials[[#This Row],[productid]],Products!$B$2:$H$10,3)</f>
        <v>36</v>
      </c>
      <c r="G4211" s="8">
        <f>financials[[#This Row],[Units Sold]]*financials[[#This Row],[Sale Price]]</f>
        <v>540</v>
      </c>
      <c r="H4211" s="8">
        <f>IF(financials[[#This Row],[Discount Band]]="low",0.1,IF(financials[[#This Row],[Discount Band]]="medium",0.15,0.3))</f>
        <v>0.3</v>
      </c>
      <c r="I4211" s="8">
        <f>financials[[#This Row],[Gross Sales]]-financials[[#This Row],[Gross Sales]]*financials[[#This Row],[Discounts]]</f>
        <v>378</v>
      </c>
      <c r="J4211" s="8">
        <f>VLOOKUP(financials[[#This Row],[productid]],Products!$B$2:$H$10,4)</f>
        <v>16.8</v>
      </c>
      <c r="K4211" s="8">
        <f>financials[[#This Row],[Net Sales]]-financials[[#This Row],[COGS]]</f>
        <v>361.2</v>
      </c>
      <c r="L4211" s="15">
        <v>44866</v>
      </c>
      <c r="M4211" t="s">
        <v>696</v>
      </c>
    </row>
    <row r="4212" spans="1:13" x14ac:dyDescent="0.25">
      <c r="A4212" t="s">
        <v>87</v>
      </c>
      <c r="B4212" s="6" t="s">
        <v>84</v>
      </c>
      <c r="C4212" s="13">
        <v>105</v>
      </c>
      <c r="D4212" s="14" t="s">
        <v>91</v>
      </c>
      <c r="E4212">
        <v>13</v>
      </c>
      <c r="F4212" s="8">
        <f>VLOOKUP(financials[[#This Row],[productid]],Products!$B$2:$H$10,3)</f>
        <v>15</v>
      </c>
      <c r="G4212" s="8">
        <f>financials[[#This Row],[Units Sold]]*financials[[#This Row],[Sale Price]]</f>
        <v>195</v>
      </c>
      <c r="H4212" s="8">
        <f>IF(financials[[#This Row],[Discount Band]]="low",0.1,IF(financials[[#This Row],[Discount Band]]="medium",0.15,0.3))</f>
        <v>0.1</v>
      </c>
      <c r="I4212" s="8">
        <f>financials[[#This Row],[Gross Sales]]-financials[[#This Row],[Gross Sales]]*financials[[#This Row],[Discounts]]</f>
        <v>175.5</v>
      </c>
      <c r="J4212" s="8">
        <f>VLOOKUP(financials[[#This Row],[productid]],Products!$B$2:$H$10,4)</f>
        <v>10</v>
      </c>
      <c r="K4212" s="8">
        <f>financials[[#This Row],[Net Sales]]-financials[[#This Row],[COGS]]</f>
        <v>165.5</v>
      </c>
      <c r="L4212" s="15">
        <v>45363</v>
      </c>
      <c r="M4212" t="s">
        <v>691</v>
      </c>
    </row>
    <row r="4213" spans="1:13" x14ac:dyDescent="0.25">
      <c r="A4213" t="s">
        <v>86</v>
      </c>
      <c r="B4213" s="6" t="s">
        <v>205</v>
      </c>
      <c r="C4213" s="13">
        <v>109</v>
      </c>
      <c r="D4213" s="14" t="s">
        <v>91</v>
      </c>
      <c r="E4213">
        <v>10</v>
      </c>
      <c r="F4213" s="8">
        <f>VLOOKUP(financials[[#This Row],[productid]],Products!$B$2:$H$10,3)</f>
        <v>36</v>
      </c>
      <c r="G4213" s="8">
        <f>financials[[#This Row],[Units Sold]]*financials[[#This Row],[Sale Price]]</f>
        <v>360</v>
      </c>
      <c r="H4213" s="8">
        <f>IF(financials[[#This Row],[Discount Band]]="low",0.1,IF(financials[[#This Row],[Discount Band]]="medium",0.15,0.3))</f>
        <v>0.1</v>
      </c>
      <c r="I4213" s="8">
        <f>financials[[#This Row],[Gross Sales]]-financials[[#This Row],[Gross Sales]]*financials[[#This Row],[Discounts]]</f>
        <v>324</v>
      </c>
      <c r="J4213" s="8">
        <f>VLOOKUP(financials[[#This Row],[productid]],Products!$B$2:$H$10,4)</f>
        <v>16.8</v>
      </c>
      <c r="K4213" s="8">
        <f>financials[[#This Row],[Net Sales]]-financials[[#This Row],[COGS]]</f>
        <v>307.2</v>
      </c>
      <c r="L4213" s="15">
        <v>45316</v>
      </c>
      <c r="M4213" t="s">
        <v>700</v>
      </c>
    </row>
    <row r="4214" spans="1:13" x14ac:dyDescent="0.25">
      <c r="A4214" t="s">
        <v>87</v>
      </c>
      <c r="B4214" s="6" t="s">
        <v>84</v>
      </c>
      <c r="C4214" s="13">
        <v>108</v>
      </c>
      <c r="D4214" s="14" t="s">
        <v>91</v>
      </c>
      <c r="E4214">
        <v>18</v>
      </c>
      <c r="F4214" s="8">
        <f>VLOOKUP(financials[[#This Row],[productid]],Products!$B$2:$H$10,3)</f>
        <v>5.5</v>
      </c>
      <c r="G4214" s="8">
        <f>financials[[#This Row],[Units Sold]]*financials[[#This Row],[Sale Price]]</f>
        <v>99</v>
      </c>
      <c r="H4214" s="8">
        <f>IF(financials[[#This Row],[Discount Band]]="low",0.1,IF(financials[[#This Row],[Discount Band]]="medium",0.15,0.3))</f>
        <v>0.1</v>
      </c>
      <c r="I4214" s="8">
        <f>financials[[#This Row],[Gross Sales]]-financials[[#This Row],[Gross Sales]]*financials[[#This Row],[Discounts]]</f>
        <v>89.1</v>
      </c>
      <c r="J4214" s="8">
        <f>VLOOKUP(financials[[#This Row],[productid]],Products!$B$2:$H$10,4)</f>
        <v>3.99</v>
      </c>
      <c r="K4214" s="8">
        <f>financials[[#This Row],[Net Sales]]-financials[[#This Row],[COGS]]</f>
        <v>85.11</v>
      </c>
      <c r="L4214" s="15">
        <v>44994</v>
      </c>
      <c r="M4214" t="s">
        <v>700</v>
      </c>
    </row>
    <row r="4215" spans="1:13" x14ac:dyDescent="0.25">
      <c r="A4215" t="s">
        <v>87</v>
      </c>
      <c r="B4215" s="6" t="s">
        <v>84</v>
      </c>
      <c r="C4215" s="13">
        <v>102</v>
      </c>
      <c r="D4215" s="14" t="s">
        <v>83</v>
      </c>
      <c r="E4215">
        <v>18</v>
      </c>
      <c r="F4215" s="8">
        <f>VLOOKUP(financials[[#This Row],[productid]],Products!$B$2:$H$10,3)</f>
        <v>15</v>
      </c>
      <c r="G4215" s="8">
        <f>financials[[#This Row],[Units Sold]]*financials[[#This Row],[Sale Price]]</f>
        <v>270</v>
      </c>
      <c r="H4215" s="8">
        <f>IF(financials[[#This Row],[Discount Band]]="low",0.1,IF(financials[[#This Row],[Discount Band]]="medium",0.15,0.3))</f>
        <v>0.3</v>
      </c>
      <c r="I4215" s="8">
        <f>financials[[#This Row],[Gross Sales]]-financials[[#This Row],[Gross Sales]]*financials[[#This Row],[Discounts]]</f>
        <v>189</v>
      </c>
      <c r="J4215" s="8">
        <f>VLOOKUP(financials[[#This Row],[productid]],Products!$B$2:$H$10,4)</f>
        <v>13.95</v>
      </c>
      <c r="K4215" s="8">
        <f>financials[[#This Row],[Net Sales]]-financials[[#This Row],[COGS]]</f>
        <v>175.05</v>
      </c>
      <c r="L4215" s="15">
        <v>44209</v>
      </c>
      <c r="M4215" t="s">
        <v>691</v>
      </c>
    </row>
    <row r="4216" spans="1:13" x14ac:dyDescent="0.25">
      <c r="A4216" t="s">
        <v>88</v>
      </c>
      <c r="B4216" s="6" t="s">
        <v>205</v>
      </c>
      <c r="C4216" s="13">
        <v>105</v>
      </c>
      <c r="D4216" s="14" t="s">
        <v>90</v>
      </c>
      <c r="E4216">
        <v>5</v>
      </c>
      <c r="F4216" s="8">
        <f>VLOOKUP(financials[[#This Row],[productid]],Products!$B$2:$H$10,3)</f>
        <v>15</v>
      </c>
      <c r="G4216" s="8">
        <f>financials[[#This Row],[Units Sold]]*financials[[#This Row],[Sale Price]]</f>
        <v>75</v>
      </c>
      <c r="H4216" s="8">
        <f>IF(financials[[#This Row],[Discount Band]]="low",0.1,IF(financials[[#This Row],[Discount Band]]="medium",0.15,0.3))</f>
        <v>0.15</v>
      </c>
      <c r="I4216" s="8">
        <f>financials[[#This Row],[Gross Sales]]-financials[[#This Row],[Gross Sales]]*financials[[#This Row],[Discounts]]</f>
        <v>63.75</v>
      </c>
      <c r="J4216" s="8">
        <f>VLOOKUP(financials[[#This Row],[productid]],Products!$B$2:$H$10,4)</f>
        <v>10</v>
      </c>
      <c r="K4216" s="8">
        <f>financials[[#This Row],[Net Sales]]-financials[[#This Row],[COGS]]</f>
        <v>53.75</v>
      </c>
      <c r="L4216" s="15">
        <v>45504</v>
      </c>
      <c r="M4216" t="s">
        <v>700</v>
      </c>
    </row>
    <row r="4217" spans="1:13" x14ac:dyDescent="0.25">
      <c r="A4217" t="s">
        <v>86</v>
      </c>
      <c r="B4217" s="6" t="s">
        <v>198</v>
      </c>
      <c r="C4217" s="13">
        <v>108</v>
      </c>
      <c r="D4217" s="14" t="s">
        <v>91</v>
      </c>
      <c r="E4217">
        <v>5</v>
      </c>
      <c r="F4217" s="8">
        <f>VLOOKUP(financials[[#This Row],[productid]],Products!$B$2:$H$10,3)</f>
        <v>5.5</v>
      </c>
      <c r="G4217" s="8">
        <f>financials[[#This Row],[Units Sold]]*financials[[#This Row],[Sale Price]]</f>
        <v>27.5</v>
      </c>
      <c r="H4217" s="8">
        <f>IF(financials[[#This Row],[Discount Band]]="low",0.1,IF(financials[[#This Row],[Discount Band]]="medium",0.15,0.3))</f>
        <v>0.1</v>
      </c>
      <c r="I4217" s="8">
        <f>financials[[#This Row],[Gross Sales]]-financials[[#This Row],[Gross Sales]]*financials[[#This Row],[Discounts]]</f>
        <v>24.75</v>
      </c>
      <c r="J4217" s="8">
        <f>VLOOKUP(financials[[#This Row],[productid]],Products!$B$2:$H$10,4)</f>
        <v>3.99</v>
      </c>
      <c r="K4217" s="8">
        <f>financials[[#This Row],[Net Sales]]-financials[[#This Row],[COGS]]</f>
        <v>20.759999999999998</v>
      </c>
      <c r="L4217" s="15">
        <v>45324</v>
      </c>
      <c r="M4217" t="s">
        <v>697</v>
      </c>
    </row>
    <row r="4218" spans="1:13" x14ac:dyDescent="0.25">
      <c r="A4218" t="s">
        <v>87</v>
      </c>
      <c r="B4218" s="6" t="s">
        <v>159</v>
      </c>
      <c r="C4218" s="13">
        <v>105</v>
      </c>
      <c r="D4218" s="14" t="s">
        <v>83</v>
      </c>
      <c r="E4218">
        <v>13</v>
      </c>
      <c r="F4218" s="8">
        <f>VLOOKUP(financials[[#This Row],[productid]],Products!$B$2:$H$10,3)</f>
        <v>15</v>
      </c>
      <c r="G4218" s="8">
        <f>financials[[#This Row],[Units Sold]]*financials[[#This Row],[Sale Price]]</f>
        <v>195</v>
      </c>
      <c r="H4218" s="8">
        <f>IF(financials[[#This Row],[Discount Band]]="low",0.1,IF(financials[[#This Row],[Discount Band]]="medium",0.15,0.3))</f>
        <v>0.3</v>
      </c>
      <c r="I4218" s="8">
        <f>financials[[#This Row],[Gross Sales]]-financials[[#This Row],[Gross Sales]]*financials[[#This Row],[Discounts]]</f>
        <v>136.5</v>
      </c>
      <c r="J4218" s="8">
        <f>VLOOKUP(financials[[#This Row],[productid]],Products!$B$2:$H$10,4)</f>
        <v>10</v>
      </c>
      <c r="K4218" s="8">
        <f>financials[[#This Row],[Net Sales]]-financials[[#This Row],[COGS]]</f>
        <v>126.5</v>
      </c>
      <c r="L4218" s="15">
        <v>43939</v>
      </c>
      <c r="M4218" t="s">
        <v>696</v>
      </c>
    </row>
    <row r="4219" spans="1:13" x14ac:dyDescent="0.25">
      <c r="A4219" t="s">
        <v>87</v>
      </c>
      <c r="B4219" s="6" t="s">
        <v>159</v>
      </c>
      <c r="C4219" s="13">
        <v>101</v>
      </c>
      <c r="D4219" s="14" t="s">
        <v>91</v>
      </c>
      <c r="E4219">
        <v>6</v>
      </c>
      <c r="F4219" s="8">
        <f>VLOOKUP(financials[[#This Row],[productid]],Products!$B$2:$H$10,3)</f>
        <v>23</v>
      </c>
      <c r="G4219" s="8">
        <f>financials[[#This Row],[Units Sold]]*financials[[#This Row],[Sale Price]]</f>
        <v>138</v>
      </c>
      <c r="H4219" s="8">
        <f>IF(financials[[#This Row],[Discount Band]]="low",0.1,IF(financials[[#This Row],[Discount Band]]="medium",0.15,0.3))</f>
        <v>0.1</v>
      </c>
      <c r="I4219" s="8">
        <f>financials[[#This Row],[Gross Sales]]-financials[[#This Row],[Gross Sales]]*financials[[#This Row],[Discounts]]</f>
        <v>124.2</v>
      </c>
      <c r="J4219" s="8">
        <f>VLOOKUP(financials[[#This Row],[productid]],Products!$B$2:$H$10,4)</f>
        <v>9.9499999999999993</v>
      </c>
      <c r="K4219" s="8">
        <f>financials[[#This Row],[Net Sales]]-financials[[#This Row],[COGS]]</f>
        <v>114.25</v>
      </c>
      <c r="L4219" s="15">
        <v>44702</v>
      </c>
      <c r="M4219" t="s">
        <v>697</v>
      </c>
    </row>
    <row r="4220" spans="1:13" x14ac:dyDescent="0.25">
      <c r="A4220" t="s">
        <v>87</v>
      </c>
      <c r="B4220" s="6" t="s">
        <v>84</v>
      </c>
      <c r="C4220" s="13">
        <v>101</v>
      </c>
      <c r="D4220" s="14" t="s">
        <v>91</v>
      </c>
      <c r="E4220">
        <v>14</v>
      </c>
      <c r="F4220" s="8">
        <f>VLOOKUP(financials[[#This Row],[productid]],Products!$B$2:$H$10,3)</f>
        <v>23</v>
      </c>
      <c r="G4220" s="8">
        <f>financials[[#This Row],[Units Sold]]*financials[[#This Row],[Sale Price]]</f>
        <v>322</v>
      </c>
      <c r="H4220" s="8">
        <f>IF(financials[[#This Row],[Discount Band]]="low",0.1,IF(financials[[#This Row],[Discount Band]]="medium",0.15,0.3))</f>
        <v>0.1</v>
      </c>
      <c r="I4220" s="8">
        <f>financials[[#This Row],[Gross Sales]]-financials[[#This Row],[Gross Sales]]*financials[[#This Row],[Discounts]]</f>
        <v>289.8</v>
      </c>
      <c r="J4220" s="8">
        <f>VLOOKUP(financials[[#This Row],[productid]],Products!$B$2:$H$10,4)</f>
        <v>9.9499999999999993</v>
      </c>
      <c r="K4220" s="8">
        <f>financials[[#This Row],[Net Sales]]-financials[[#This Row],[COGS]]</f>
        <v>279.85000000000002</v>
      </c>
      <c r="L4220" s="15">
        <v>44690</v>
      </c>
      <c r="M4220" t="s">
        <v>690</v>
      </c>
    </row>
    <row r="4221" spans="1:13" x14ac:dyDescent="0.25">
      <c r="A4221" t="s">
        <v>87</v>
      </c>
      <c r="B4221" s="6" t="s">
        <v>84</v>
      </c>
      <c r="C4221" s="13">
        <v>102</v>
      </c>
      <c r="D4221" s="14" t="s">
        <v>91</v>
      </c>
      <c r="E4221">
        <v>16</v>
      </c>
      <c r="F4221" s="8">
        <f>VLOOKUP(financials[[#This Row],[productid]],Products!$B$2:$H$10,3)</f>
        <v>15</v>
      </c>
      <c r="G4221" s="8">
        <f>financials[[#This Row],[Units Sold]]*financials[[#This Row],[Sale Price]]</f>
        <v>240</v>
      </c>
      <c r="H4221" s="8">
        <f>IF(financials[[#This Row],[Discount Band]]="low",0.1,IF(financials[[#This Row],[Discount Band]]="medium",0.15,0.3))</f>
        <v>0.1</v>
      </c>
      <c r="I4221" s="8">
        <f>financials[[#This Row],[Gross Sales]]-financials[[#This Row],[Gross Sales]]*financials[[#This Row],[Discounts]]</f>
        <v>216</v>
      </c>
      <c r="J4221" s="8">
        <f>VLOOKUP(financials[[#This Row],[productid]],Products!$B$2:$H$10,4)</f>
        <v>13.95</v>
      </c>
      <c r="K4221" s="8">
        <f>financials[[#This Row],[Net Sales]]-financials[[#This Row],[COGS]]</f>
        <v>202.05</v>
      </c>
      <c r="L4221" s="15">
        <v>44933</v>
      </c>
      <c r="M4221" t="s">
        <v>696</v>
      </c>
    </row>
    <row r="4222" spans="1:13" x14ac:dyDescent="0.25">
      <c r="A4222" t="s">
        <v>86</v>
      </c>
      <c r="B4222" s="6" t="s">
        <v>198</v>
      </c>
      <c r="C4222" s="13">
        <v>103</v>
      </c>
      <c r="D4222" s="14" t="s">
        <v>91</v>
      </c>
      <c r="E4222">
        <v>8</v>
      </c>
      <c r="F4222" s="8">
        <f>VLOOKUP(financials[[#This Row],[productid]],Products!$B$2:$H$10,3)</f>
        <v>28</v>
      </c>
      <c r="G4222" s="8">
        <f>financials[[#This Row],[Units Sold]]*financials[[#This Row],[Sale Price]]</f>
        <v>224</v>
      </c>
      <c r="H4222" s="8">
        <f>IF(financials[[#This Row],[Discount Band]]="low",0.1,IF(financials[[#This Row],[Discount Band]]="medium",0.15,0.3))</f>
        <v>0.1</v>
      </c>
      <c r="I4222" s="8">
        <f>financials[[#This Row],[Gross Sales]]-financials[[#This Row],[Gross Sales]]*financials[[#This Row],[Discounts]]</f>
        <v>201.6</v>
      </c>
      <c r="J4222" s="8">
        <f>VLOOKUP(financials[[#This Row],[productid]],Products!$B$2:$H$10,4)</f>
        <v>15</v>
      </c>
      <c r="K4222" s="8">
        <f>financials[[#This Row],[Net Sales]]-financials[[#This Row],[COGS]]</f>
        <v>186.6</v>
      </c>
      <c r="L4222" s="15">
        <v>45532</v>
      </c>
      <c r="M4222" t="s">
        <v>690</v>
      </c>
    </row>
    <row r="4223" spans="1:13" x14ac:dyDescent="0.25">
      <c r="A4223" t="s">
        <v>87</v>
      </c>
      <c r="B4223" s="6" t="s">
        <v>84</v>
      </c>
      <c r="C4223" s="11">
        <v>105</v>
      </c>
      <c r="D4223" s="9" t="s">
        <v>91</v>
      </c>
      <c r="E4223">
        <v>14</v>
      </c>
      <c r="F4223" s="8">
        <f>VLOOKUP(financials[[#This Row],[productid]],Products!$B$2:$H$10,3)</f>
        <v>15</v>
      </c>
      <c r="G4223" s="8">
        <f>financials[[#This Row],[Units Sold]]*financials[[#This Row],[Sale Price]]</f>
        <v>210</v>
      </c>
      <c r="H4223" s="8">
        <f>IF(financials[[#This Row],[Discount Band]]="low",0.1,IF(financials[[#This Row],[Discount Band]]="medium",0.15,0.3))</f>
        <v>0.1</v>
      </c>
      <c r="I4223" s="8">
        <f>financials[[#This Row],[Gross Sales]]-financials[[#This Row],[Gross Sales]]*financials[[#This Row],[Discounts]]</f>
        <v>189</v>
      </c>
      <c r="J4223" s="8">
        <f>VLOOKUP(financials[[#This Row],[productid]],Products!$B$2:$H$10,4)</f>
        <v>10</v>
      </c>
      <c r="K4223" s="8">
        <f>financials[[#This Row],[Net Sales]]-financials[[#This Row],[COGS]]</f>
        <v>179</v>
      </c>
      <c r="L4223" s="15">
        <v>45302</v>
      </c>
      <c r="M4223" t="s">
        <v>697</v>
      </c>
    </row>
    <row r="4224" spans="1:13" x14ac:dyDescent="0.25">
      <c r="A4224" t="s">
        <v>87</v>
      </c>
      <c r="B4224" s="6" t="s">
        <v>84</v>
      </c>
      <c r="C4224" s="13">
        <v>104</v>
      </c>
      <c r="D4224" s="14" t="s">
        <v>83</v>
      </c>
      <c r="E4224">
        <v>8</v>
      </c>
      <c r="F4224" s="8">
        <f>VLOOKUP(financials[[#This Row],[productid]],Products!$B$2:$H$10,3)</f>
        <v>5.9</v>
      </c>
      <c r="G4224" s="8">
        <f>financials[[#This Row],[Units Sold]]*financials[[#This Row],[Sale Price]]</f>
        <v>47.2</v>
      </c>
      <c r="H4224" s="8">
        <f>IF(financials[[#This Row],[Discount Band]]="low",0.1,IF(financials[[#This Row],[Discount Band]]="medium",0.15,0.3))</f>
        <v>0.3</v>
      </c>
      <c r="I4224" s="8">
        <f>financials[[#This Row],[Gross Sales]]-financials[[#This Row],[Gross Sales]]*financials[[#This Row],[Discounts]]</f>
        <v>33.040000000000006</v>
      </c>
      <c r="J4224" s="8">
        <f>VLOOKUP(financials[[#This Row],[productid]],Products!$B$2:$H$10,4)</f>
        <v>2.9</v>
      </c>
      <c r="K4224" s="8">
        <f>financials[[#This Row],[Net Sales]]-financials[[#This Row],[COGS]]</f>
        <v>30.140000000000008</v>
      </c>
      <c r="L4224" s="15">
        <v>45338</v>
      </c>
      <c r="M4224" t="s">
        <v>690</v>
      </c>
    </row>
    <row r="4225" spans="1:13" x14ac:dyDescent="0.25">
      <c r="A4225" t="s">
        <v>87</v>
      </c>
      <c r="B4225" s="6" t="s">
        <v>84</v>
      </c>
      <c r="C4225" s="13">
        <v>109</v>
      </c>
      <c r="D4225" s="14" t="s">
        <v>91</v>
      </c>
      <c r="E4225">
        <v>15</v>
      </c>
      <c r="F4225" s="8">
        <f>VLOOKUP(financials[[#This Row],[productid]],Products!$B$2:$H$10,3)</f>
        <v>36</v>
      </c>
      <c r="G4225" s="8">
        <f>financials[[#This Row],[Units Sold]]*financials[[#This Row],[Sale Price]]</f>
        <v>540</v>
      </c>
      <c r="H4225" s="8">
        <f>IF(financials[[#This Row],[Discount Band]]="low",0.1,IF(financials[[#This Row],[Discount Band]]="medium",0.15,0.3))</f>
        <v>0.1</v>
      </c>
      <c r="I4225" s="8">
        <f>financials[[#This Row],[Gross Sales]]-financials[[#This Row],[Gross Sales]]*financials[[#This Row],[Discounts]]</f>
        <v>486</v>
      </c>
      <c r="J4225" s="8">
        <f>VLOOKUP(financials[[#This Row],[productid]],Products!$B$2:$H$10,4)</f>
        <v>16.8</v>
      </c>
      <c r="K4225" s="8">
        <f>financials[[#This Row],[Net Sales]]-financials[[#This Row],[COGS]]</f>
        <v>469.2</v>
      </c>
      <c r="L4225" s="15">
        <v>45295</v>
      </c>
      <c r="M4225" t="s">
        <v>690</v>
      </c>
    </row>
    <row r="4226" spans="1:13" x14ac:dyDescent="0.25">
      <c r="A4226" t="s">
        <v>86</v>
      </c>
      <c r="B4226" s="6" t="s">
        <v>198</v>
      </c>
      <c r="C4226" s="13">
        <v>106</v>
      </c>
      <c r="D4226" s="14" t="s">
        <v>90</v>
      </c>
      <c r="E4226">
        <v>13</v>
      </c>
      <c r="F4226" s="8">
        <f>VLOOKUP(financials[[#This Row],[productid]],Products!$B$2:$H$10,3)</f>
        <v>25</v>
      </c>
      <c r="G4226" s="8">
        <f>financials[[#This Row],[Units Sold]]*financials[[#This Row],[Sale Price]]</f>
        <v>325</v>
      </c>
      <c r="H4226" s="8">
        <f>IF(financials[[#This Row],[Discount Band]]="low",0.1,IF(financials[[#This Row],[Discount Band]]="medium",0.15,0.3))</f>
        <v>0.15</v>
      </c>
      <c r="I4226" s="8">
        <f>financials[[#This Row],[Gross Sales]]-financials[[#This Row],[Gross Sales]]*financials[[#This Row],[Discounts]]</f>
        <v>276.25</v>
      </c>
      <c r="J4226" s="8">
        <f>VLOOKUP(financials[[#This Row],[productid]],Products!$B$2:$H$10,4)</f>
        <v>9.1</v>
      </c>
      <c r="K4226" s="8">
        <f>financials[[#This Row],[Net Sales]]-financials[[#This Row],[COGS]]</f>
        <v>267.14999999999998</v>
      </c>
      <c r="L4226" s="15">
        <v>45185</v>
      </c>
      <c r="M4226" t="s">
        <v>696</v>
      </c>
    </row>
    <row r="4227" spans="1:13" x14ac:dyDescent="0.25">
      <c r="A4227" t="s">
        <v>87</v>
      </c>
      <c r="B4227" s="6" t="s">
        <v>124</v>
      </c>
      <c r="C4227" s="13">
        <v>102</v>
      </c>
      <c r="D4227" s="14" t="s">
        <v>91</v>
      </c>
      <c r="E4227">
        <v>14</v>
      </c>
      <c r="F4227" s="8">
        <f>VLOOKUP(financials[[#This Row],[productid]],Products!$B$2:$H$10,3)</f>
        <v>15</v>
      </c>
      <c r="G4227" s="8">
        <f>financials[[#This Row],[Units Sold]]*financials[[#This Row],[Sale Price]]</f>
        <v>210</v>
      </c>
      <c r="H4227" s="8">
        <f>IF(financials[[#This Row],[Discount Band]]="low",0.1,IF(financials[[#This Row],[Discount Band]]="medium",0.15,0.3))</f>
        <v>0.1</v>
      </c>
      <c r="I4227" s="8">
        <f>financials[[#This Row],[Gross Sales]]-financials[[#This Row],[Gross Sales]]*financials[[#This Row],[Discounts]]</f>
        <v>189</v>
      </c>
      <c r="J4227" s="8">
        <f>VLOOKUP(financials[[#This Row],[productid]],Products!$B$2:$H$10,4)</f>
        <v>13.95</v>
      </c>
      <c r="K4227" s="8">
        <f>financials[[#This Row],[Net Sales]]-financials[[#This Row],[COGS]]</f>
        <v>175.05</v>
      </c>
      <c r="L4227" s="15">
        <v>44265</v>
      </c>
      <c r="M4227" t="s">
        <v>700</v>
      </c>
    </row>
    <row r="4228" spans="1:13" x14ac:dyDescent="0.25">
      <c r="A4228" t="s">
        <v>86</v>
      </c>
      <c r="B4228" s="6" t="s">
        <v>276</v>
      </c>
      <c r="C4228" s="13">
        <v>108</v>
      </c>
      <c r="D4228" s="14" t="s">
        <v>83</v>
      </c>
      <c r="E4228">
        <v>11</v>
      </c>
      <c r="F4228" s="8">
        <f>VLOOKUP(financials[[#This Row],[productid]],Products!$B$2:$H$10,3)</f>
        <v>5.5</v>
      </c>
      <c r="G4228" s="8">
        <f>financials[[#This Row],[Units Sold]]*financials[[#This Row],[Sale Price]]</f>
        <v>60.5</v>
      </c>
      <c r="H4228" s="8">
        <f>IF(financials[[#This Row],[Discount Band]]="low",0.1,IF(financials[[#This Row],[Discount Band]]="medium",0.15,0.3))</f>
        <v>0.3</v>
      </c>
      <c r="I4228" s="8">
        <f>financials[[#This Row],[Gross Sales]]-financials[[#This Row],[Gross Sales]]*financials[[#This Row],[Discounts]]</f>
        <v>42.35</v>
      </c>
      <c r="J4228" s="8">
        <f>VLOOKUP(financials[[#This Row],[productid]],Products!$B$2:$H$10,4)</f>
        <v>3.99</v>
      </c>
      <c r="K4228" s="8">
        <f>financials[[#This Row],[Net Sales]]-financials[[#This Row],[COGS]]</f>
        <v>38.36</v>
      </c>
      <c r="L4228" s="15">
        <v>45037</v>
      </c>
      <c r="M4228" t="s">
        <v>700</v>
      </c>
    </row>
    <row r="4229" spans="1:13" x14ac:dyDescent="0.25">
      <c r="A4229" t="s">
        <v>87</v>
      </c>
      <c r="B4229" s="6" t="s">
        <v>84</v>
      </c>
      <c r="C4229" s="13">
        <v>101</v>
      </c>
      <c r="D4229" s="14" t="s">
        <v>83</v>
      </c>
      <c r="E4229">
        <v>15</v>
      </c>
      <c r="F4229" s="8">
        <f>VLOOKUP(financials[[#This Row],[productid]],Products!$B$2:$H$10,3)</f>
        <v>23</v>
      </c>
      <c r="G4229" s="8">
        <f>financials[[#This Row],[Units Sold]]*financials[[#This Row],[Sale Price]]</f>
        <v>345</v>
      </c>
      <c r="H4229" s="8">
        <f>IF(financials[[#This Row],[Discount Band]]="low",0.1,IF(financials[[#This Row],[Discount Band]]="medium",0.15,0.3))</f>
        <v>0.3</v>
      </c>
      <c r="I4229" s="8">
        <f>financials[[#This Row],[Gross Sales]]-financials[[#This Row],[Gross Sales]]*financials[[#This Row],[Discounts]]</f>
        <v>241.5</v>
      </c>
      <c r="J4229" s="8">
        <f>VLOOKUP(financials[[#This Row],[productid]],Products!$B$2:$H$10,4)</f>
        <v>9.9499999999999993</v>
      </c>
      <c r="K4229" s="8">
        <f>financials[[#This Row],[Net Sales]]-financials[[#This Row],[COGS]]</f>
        <v>231.55</v>
      </c>
      <c r="L4229" s="15">
        <v>44058</v>
      </c>
      <c r="M4229" t="s">
        <v>700</v>
      </c>
    </row>
    <row r="4230" spans="1:13" x14ac:dyDescent="0.25">
      <c r="A4230" t="s">
        <v>87</v>
      </c>
      <c r="B4230" s="6" t="s">
        <v>84</v>
      </c>
      <c r="C4230" s="13">
        <v>104</v>
      </c>
      <c r="D4230" s="14" t="s">
        <v>91</v>
      </c>
      <c r="E4230">
        <v>16</v>
      </c>
      <c r="F4230" s="8">
        <f>VLOOKUP(financials[[#This Row],[productid]],Products!$B$2:$H$10,3)</f>
        <v>5.9</v>
      </c>
      <c r="G4230" s="8">
        <f>financials[[#This Row],[Units Sold]]*financials[[#This Row],[Sale Price]]</f>
        <v>94.4</v>
      </c>
      <c r="H4230" s="8">
        <f>IF(financials[[#This Row],[Discount Band]]="low",0.1,IF(financials[[#This Row],[Discount Band]]="medium",0.15,0.3))</f>
        <v>0.1</v>
      </c>
      <c r="I4230" s="8">
        <f>financials[[#This Row],[Gross Sales]]-financials[[#This Row],[Gross Sales]]*financials[[#This Row],[Discounts]]</f>
        <v>84.960000000000008</v>
      </c>
      <c r="J4230" s="8">
        <f>VLOOKUP(financials[[#This Row],[productid]],Products!$B$2:$H$10,4)</f>
        <v>2.9</v>
      </c>
      <c r="K4230" s="8">
        <f>financials[[#This Row],[Net Sales]]-financials[[#This Row],[COGS]]</f>
        <v>82.06</v>
      </c>
      <c r="L4230" s="15">
        <v>44651</v>
      </c>
      <c r="M4230" t="s">
        <v>697</v>
      </c>
    </row>
    <row r="4231" spans="1:13" x14ac:dyDescent="0.25">
      <c r="A4231" t="s">
        <v>87</v>
      </c>
      <c r="B4231" s="6" t="s">
        <v>159</v>
      </c>
      <c r="C4231" s="13">
        <v>104</v>
      </c>
      <c r="D4231" s="14" t="s">
        <v>91</v>
      </c>
      <c r="E4231">
        <v>12</v>
      </c>
      <c r="F4231" s="8">
        <f>VLOOKUP(financials[[#This Row],[productid]],Products!$B$2:$H$10,3)</f>
        <v>5.9</v>
      </c>
      <c r="G4231" s="8">
        <f>financials[[#This Row],[Units Sold]]*financials[[#This Row],[Sale Price]]</f>
        <v>70.800000000000011</v>
      </c>
      <c r="H4231" s="8">
        <f>IF(financials[[#This Row],[Discount Band]]="low",0.1,IF(financials[[#This Row],[Discount Band]]="medium",0.15,0.3))</f>
        <v>0.1</v>
      </c>
      <c r="I4231" s="8">
        <f>financials[[#This Row],[Gross Sales]]-financials[[#This Row],[Gross Sales]]*financials[[#This Row],[Discounts]]</f>
        <v>63.720000000000013</v>
      </c>
      <c r="J4231" s="8">
        <f>VLOOKUP(financials[[#This Row],[productid]],Products!$B$2:$H$10,4)</f>
        <v>2.9</v>
      </c>
      <c r="K4231" s="8">
        <f>financials[[#This Row],[Net Sales]]-financials[[#This Row],[COGS]]</f>
        <v>60.820000000000014</v>
      </c>
      <c r="L4231" s="15">
        <v>45491</v>
      </c>
      <c r="M4231" t="s">
        <v>696</v>
      </c>
    </row>
    <row r="4232" spans="1:13" x14ac:dyDescent="0.25">
      <c r="A4232" t="s">
        <v>87</v>
      </c>
      <c r="B4232" s="6" t="s">
        <v>84</v>
      </c>
      <c r="C4232" s="11">
        <v>109</v>
      </c>
      <c r="D4232" s="9" t="s">
        <v>92</v>
      </c>
      <c r="E4232">
        <v>14</v>
      </c>
      <c r="F4232" s="8">
        <f>VLOOKUP(financials[[#This Row],[productid]],Products!$B$2:$H$10,3)</f>
        <v>36</v>
      </c>
      <c r="G4232" s="8">
        <f>financials[[#This Row],[Units Sold]]*financials[[#This Row],[Sale Price]]</f>
        <v>504</v>
      </c>
      <c r="H4232" s="8">
        <f>IF(financials[[#This Row],[Discount Band]]="low",0.1,IF(financials[[#This Row],[Discount Band]]="medium",0.15,0.3))</f>
        <v>0.3</v>
      </c>
      <c r="I4232" s="8">
        <f>financials[[#This Row],[Gross Sales]]-financials[[#This Row],[Gross Sales]]*financials[[#This Row],[Discounts]]</f>
        <v>352.8</v>
      </c>
      <c r="J4232" s="8">
        <f>VLOOKUP(financials[[#This Row],[productid]],Products!$B$2:$H$10,4)</f>
        <v>16.8</v>
      </c>
      <c r="K4232" s="8">
        <f>financials[[#This Row],[Net Sales]]-financials[[#This Row],[COGS]]</f>
        <v>336</v>
      </c>
      <c r="L4232" s="15">
        <v>45067</v>
      </c>
      <c r="M4232" t="s">
        <v>691</v>
      </c>
    </row>
    <row r="4233" spans="1:13" x14ac:dyDescent="0.25">
      <c r="A4233" t="s">
        <v>87</v>
      </c>
      <c r="B4233" s="6" t="s">
        <v>84</v>
      </c>
      <c r="C4233" s="13">
        <v>102</v>
      </c>
      <c r="D4233" s="14" t="s">
        <v>90</v>
      </c>
      <c r="E4233">
        <v>12</v>
      </c>
      <c r="F4233" s="8">
        <f>VLOOKUP(financials[[#This Row],[productid]],Products!$B$2:$H$10,3)</f>
        <v>15</v>
      </c>
      <c r="G4233" s="8">
        <f>financials[[#This Row],[Units Sold]]*financials[[#This Row],[Sale Price]]</f>
        <v>180</v>
      </c>
      <c r="H4233" s="8">
        <f>IF(financials[[#This Row],[Discount Band]]="low",0.1,IF(financials[[#This Row],[Discount Band]]="medium",0.15,0.3))</f>
        <v>0.15</v>
      </c>
      <c r="I4233" s="8">
        <f>financials[[#This Row],[Gross Sales]]-financials[[#This Row],[Gross Sales]]*financials[[#This Row],[Discounts]]</f>
        <v>153</v>
      </c>
      <c r="J4233" s="8">
        <f>VLOOKUP(financials[[#This Row],[productid]],Products!$B$2:$H$10,4)</f>
        <v>13.95</v>
      </c>
      <c r="K4233" s="8">
        <f>financials[[#This Row],[Net Sales]]-financials[[#This Row],[COGS]]</f>
        <v>139.05000000000001</v>
      </c>
      <c r="L4233" s="15">
        <v>44927</v>
      </c>
      <c r="M4233" t="s">
        <v>691</v>
      </c>
    </row>
    <row r="4234" spans="1:13" x14ac:dyDescent="0.25">
      <c r="A4234" t="s">
        <v>87</v>
      </c>
      <c r="B4234" s="6" t="s">
        <v>84</v>
      </c>
      <c r="C4234" s="11">
        <v>105</v>
      </c>
      <c r="D4234" s="9" t="s">
        <v>91</v>
      </c>
      <c r="E4234">
        <v>19</v>
      </c>
      <c r="F4234" s="8">
        <f>VLOOKUP(financials[[#This Row],[productid]],Products!$B$2:$H$10,3)</f>
        <v>15</v>
      </c>
      <c r="G4234" s="8">
        <f>financials[[#This Row],[Units Sold]]*financials[[#This Row],[Sale Price]]</f>
        <v>285</v>
      </c>
      <c r="H4234" s="8">
        <f>IF(financials[[#This Row],[Discount Band]]="low",0.1,IF(financials[[#This Row],[Discount Band]]="medium",0.15,0.3))</f>
        <v>0.1</v>
      </c>
      <c r="I4234" s="8">
        <f>financials[[#This Row],[Gross Sales]]-financials[[#This Row],[Gross Sales]]*financials[[#This Row],[Discounts]]</f>
        <v>256.5</v>
      </c>
      <c r="J4234" s="8">
        <f>VLOOKUP(financials[[#This Row],[productid]],Products!$B$2:$H$10,4)</f>
        <v>10</v>
      </c>
      <c r="K4234" s="8">
        <f>financials[[#This Row],[Net Sales]]-financials[[#This Row],[COGS]]</f>
        <v>246.5</v>
      </c>
      <c r="L4234" s="15">
        <v>44707</v>
      </c>
      <c r="M4234" t="s">
        <v>691</v>
      </c>
    </row>
    <row r="4235" spans="1:13" x14ac:dyDescent="0.25">
      <c r="A4235" t="s">
        <v>86</v>
      </c>
      <c r="B4235" s="6" t="s">
        <v>198</v>
      </c>
      <c r="C4235" s="13">
        <v>101</v>
      </c>
      <c r="D4235" s="14" t="s">
        <v>90</v>
      </c>
      <c r="E4235">
        <v>12</v>
      </c>
      <c r="F4235" s="8">
        <f>VLOOKUP(financials[[#This Row],[productid]],Products!$B$2:$H$10,3)</f>
        <v>23</v>
      </c>
      <c r="G4235" s="8">
        <f>financials[[#This Row],[Units Sold]]*financials[[#This Row],[Sale Price]]</f>
        <v>276</v>
      </c>
      <c r="H4235" s="8">
        <f>IF(financials[[#This Row],[Discount Band]]="low",0.1,IF(financials[[#This Row],[Discount Band]]="medium",0.15,0.3))</f>
        <v>0.15</v>
      </c>
      <c r="I4235" s="8">
        <f>financials[[#This Row],[Gross Sales]]-financials[[#This Row],[Gross Sales]]*financials[[#This Row],[Discounts]]</f>
        <v>234.6</v>
      </c>
      <c r="J4235" s="8">
        <f>VLOOKUP(financials[[#This Row],[productid]],Products!$B$2:$H$10,4)</f>
        <v>9.9499999999999993</v>
      </c>
      <c r="K4235" s="8">
        <f>financials[[#This Row],[Net Sales]]-financials[[#This Row],[COGS]]</f>
        <v>224.65</v>
      </c>
      <c r="L4235" s="15">
        <v>44804</v>
      </c>
      <c r="M4235" t="s">
        <v>691</v>
      </c>
    </row>
    <row r="4236" spans="1:13" x14ac:dyDescent="0.25">
      <c r="A4236" t="s">
        <v>88</v>
      </c>
      <c r="B4236" s="6" t="s">
        <v>205</v>
      </c>
      <c r="C4236" s="13">
        <v>108</v>
      </c>
      <c r="D4236" s="14" t="s">
        <v>83</v>
      </c>
      <c r="E4236">
        <v>20</v>
      </c>
      <c r="F4236" s="8">
        <f>VLOOKUP(financials[[#This Row],[productid]],Products!$B$2:$H$10,3)</f>
        <v>5.5</v>
      </c>
      <c r="G4236" s="8">
        <f>financials[[#This Row],[Units Sold]]*financials[[#This Row],[Sale Price]]</f>
        <v>110</v>
      </c>
      <c r="H4236" s="8">
        <f>IF(financials[[#This Row],[Discount Band]]="low",0.1,IF(financials[[#This Row],[Discount Band]]="medium",0.15,0.3))</f>
        <v>0.3</v>
      </c>
      <c r="I4236" s="8">
        <f>financials[[#This Row],[Gross Sales]]-financials[[#This Row],[Gross Sales]]*financials[[#This Row],[Discounts]]</f>
        <v>77</v>
      </c>
      <c r="J4236" s="8">
        <f>VLOOKUP(financials[[#This Row],[productid]],Products!$B$2:$H$10,4)</f>
        <v>3.99</v>
      </c>
      <c r="K4236" s="8">
        <f>financials[[#This Row],[Net Sales]]-financials[[#This Row],[COGS]]</f>
        <v>73.010000000000005</v>
      </c>
      <c r="L4236" s="15">
        <v>44294</v>
      </c>
      <c r="M4236" t="s">
        <v>696</v>
      </c>
    </row>
    <row r="4237" spans="1:13" x14ac:dyDescent="0.25">
      <c r="A4237" t="s">
        <v>86</v>
      </c>
      <c r="B4237" s="6" t="s">
        <v>198</v>
      </c>
      <c r="C4237" s="11">
        <v>104</v>
      </c>
      <c r="D4237" s="9" t="s">
        <v>83</v>
      </c>
      <c r="E4237">
        <v>8</v>
      </c>
      <c r="F4237" s="8">
        <f>VLOOKUP(financials[[#This Row],[productid]],Products!$B$2:$H$10,3)</f>
        <v>5.9</v>
      </c>
      <c r="G4237" s="8">
        <f>financials[[#This Row],[Units Sold]]*financials[[#This Row],[Sale Price]]</f>
        <v>47.2</v>
      </c>
      <c r="H4237" s="8">
        <f>IF(financials[[#This Row],[Discount Band]]="low",0.1,IF(financials[[#This Row],[Discount Band]]="medium",0.15,0.3))</f>
        <v>0.3</v>
      </c>
      <c r="I4237" s="8">
        <f>financials[[#This Row],[Gross Sales]]-financials[[#This Row],[Gross Sales]]*financials[[#This Row],[Discounts]]</f>
        <v>33.040000000000006</v>
      </c>
      <c r="J4237" s="8">
        <f>VLOOKUP(financials[[#This Row],[productid]],Products!$B$2:$H$10,4)</f>
        <v>2.9</v>
      </c>
      <c r="K4237" s="8">
        <f>financials[[#This Row],[Net Sales]]-financials[[#This Row],[COGS]]</f>
        <v>30.140000000000008</v>
      </c>
      <c r="L4237" s="15">
        <v>45585</v>
      </c>
      <c r="M4237" t="s">
        <v>690</v>
      </c>
    </row>
    <row r="4238" spans="1:13" x14ac:dyDescent="0.25">
      <c r="A4238" t="s">
        <v>87</v>
      </c>
      <c r="B4238" s="6" t="s">
        <v>124</v>
      </c>
      <c r="C4238" s="13">
        <v>105</v>
      </c>
      <c r="D4238" s="14" t="s">
        <v>83</v>
      </c>
      <c r="E4238">
        <v>5</v>
      </c>
      <c r="F4238" s="8">
        <f>VLOOKUP(financials[[#This Row],[productid]],Products!$B$2:$H$10,3)</f>
        <v>15</v>
      </c>
      <c r="G4238" s="8">
        <f>financials[[#This Row],[Units Sold]]*financials[[#This Row],[Sale Price]]</f>
        <v>75</v>
      </c>
      <c r="H4238" s="8">
        <f>IF(financials[[#This Row],[Discount Band]]="low",0.1,IF(financials[[#This Row],[Discount Band]]="medium",0.15,0.3))</f>
        <v>0.3</v>
      </c>
      <c r="I4238" s="8">
        <f>financials[[#This Row],[Gross Sales]]-financials[[#This Row],[Gross Sales]]*financials[[#This Row],[Discounts]]</f>
        <v>52.5</v>
      </c>
      <c r="J4238" s="8">
        <f>VLOOKUP(financials[[#This Row],[productid]],Products!$B$2:$H$10,4)</f>
        <v>10</v>
      </c>
      <c r="K4238" s="8">
        <f>financials[[#This Row],[Net Sales]]-financials[[#This Row],[COGS]]</f>
        <v>42.5</v>
      </c>
      <c r="L4238" s="15">
        <v>45037</v>
      </c>
      <c r="M4238" t="s">
        <v>700</v>
      </c>
    </row>
    <row r="4239" spans="1:13" x14ac:dyDescent="0.25">
      <c r="A4239" t="s">
        <v>87</v>
      </c>
      <c r="B4239" s="6" t="s">
        <v>124</v>
      </c>
      <c r="C4239" s="13">
        <v>103</v>
      </c>
      <c r="D4239" s="14" t="s">
        <v>91</v>
      </c>
      <c r="E4239">
        <v>20</v>
      </c>
      <c r="F4239" s="8">
        <f>VLOOKUP(financials[[#This Row],[productid]],Products!$B$2:$H$10,3)</f>
        <v>28</v>
      </c>
      <c r="G4239" s="8">
        <f>financials[[#This Row],[Units Sold]]*financials[[#This Row],[Sale Price]]</f>
        <v>560</v>
      </c>
      <c r="H4239" s="8">
        <f>IF(financials[[#This Row],[Discount Band]]="low",0.1,IF(financials[[#This Row],[Discount Band]]="medium",0.15,0.3))</f>
        <v>0.1</v>
      </c>
      <c r="I4239" s="8">
        <f>financials[[#This Row],[Gross Sales]]-financials[[#This Row],[Gross Sales]]*financials[[#This Row],[Discounts]]</f>
        <v>504</v>
      </c>
      <c r="J4239" s="8">
        <f>VLOOKUP(financials[[#This Row],[productid]],Products!$B$2:$H$10,4)</f>
        <v>15</v>
      </c>
      <c r="K4239" s="8">
        <f>financials[[#This Row],[Net Sales]]-financials[[#This Row],[COGS]]</f>
        <v>489</v>
      </c>
      <c r="L4239" s="15">
        <v>44911</v>
      </c>
      <c r="M4239" t="s">
        <v>690</v>
      </c>
    </row>
    <row r="4240" spans="1:13" x14ac:dyDescent="0.25">
      <c r="A4240" t="s">
        <v>87</v>
      </c>
      <c r="B4240" s="6" t="s">
        <v>159</v>
      </c>
      <c r="C4240" s="13">
        <v>104</v>
      </c>
      <c r="D4240" s="14" t="s">
        <v>83</v>
      </c>
      <c r="E4240">
        <v>15</v>
      </c>
      <c r="F4240" s="8">
        <f>VLOOKUP(financials[[#This Row],[productid]],Products!$B$2:$H$10,3)</f>
        <v>5.9</v>
      </c>
      <c r="G4240" s="8">
        <f>financials[[#This Row],[Units Sold]]*financials[[#This Row],[Sale Price]]</f>
        <v>88.5</v>
      </c>
      <c r="H4240" s="8">
        <f>IF(financials[[#This Row],[Discount Band]]="low",0.1,IF(financials[[#This Row],[Discount Band]]="medium",0.15,0.3))</f>
        <v>0.3</v>
      </c>
      <c r="I4240" s="8">
        <f>financials[[#This Row],[Gross Sales]]-financials[[#This Row],[Gross Sales]]*financials[[#This Row],[Discounts]]</f>
        <v>61.95</v>
      </c>
      <c r="J4240" s="8">
        <f>VLOOKUP(financials[[#This Row],[productid]],Products!$B$2:$H$10,4)</f>
        <v>2.9</v>
      </c>
      <c r="K4240" s="8">
        <f>financials[[#This Row],[Net Sales]]-financials[[#This Row],[COGS]]</f>
        <v>59.050000000000004</v>
      </c>
      <c r="L4240" s="15">
        <v>45517</v>
      </c>
      <c r="M4240" t="s">
        <v>700</v>
      </c>
    </row>
    <row r="4241" spans="1:13" x14ac:dyDescent="0.25">
      <c r="A4241" t="s">
        <v>87</v>
      </c>
      <c r="B4241" s="6" t="s">
        <v>124</v>
      </c>
      <c r="C4241" s="13">
        <v>103</v>
      </c>
      <c r="D4241" s="14" t="s">
        <v>83</v>
      </c>
      <c r="E4241">
        <v>9</v>
      </c>
      <c r="F4241" s="8">
        <f>VLOOKUP(financials[[#This Row],[productid]],Products!$B$2:$H$10,3)</f>
        <v>28</v>
      </c>
      <c r="G4241" s="8">
        <f>financials[[#This Row],[Units Sold]]*financials[[#This Row],[Sale Price]]</f>
        <v>252</v>
      </c>
      <c r="H4241" s="8">
        <f>IF(financials[[#This Row],[Discount Band]]="low",0.1,IF(financials[[#This Row],[Discount Band]]="medium",0.15,0.3))</f>
        <v>0.3</v>
      </c>
      <c r="I4241" s="8">
        <f>financials[[#This Row],[Gross Sales]]-financials[[#This Row],[Gross Sales]]*financials[[#This Row],[Discounts]]</f>
        <v>176.4</v>
      </c>
      <c r="J4241" s="8">
        <f>VLOOKUP(financials[[#This Row],[productid]],Products!$B$2:$H$10,4)</f>
        <v>15</v>
      </c>
      <c r="K4241" s="8">
        <f>financials[[#This Row],[Net Sales]]-financials[[#This Row],[COGS]]</f>
        <v>161.4</v>
      </c>
      <c r="L4241" s="15">
        <v>44839</v>
      </c>
      <c r="M4241" t="s">
        <v>697</v>
      </c>
    </row>
    <row r="4242" spans="1:13" x14ac:dyDescent="0.25">
      <c r="A4242" t="s">
        <v>88</v>
      </c>
      <c r="B4242" s="6" t="s">
        <v>205</v>
      </c>
      <c r="C4242" s="13">
        <v>106</v>
      </c>
      <c r="D4242" s="14" t="s">
        <v>83</v>
      </c>
      <c r="E4242">
        <v>11</v>
      </c>
      <c r="F4242" s="8">
        <f>VLOOKUP(financials[[#This Row],[productid]],Products!$B$2:$H$10,3)</f>
        <v>25</v>
      </c>
      <c r="G4242" s="8">
        <f>financials[[#This Row],[Units Sold]]*financials[[#This Row],[Sale Price]]</f>
        <v>275</v>
      </c>
      <c r="H4242" s="8">
        <f>IF(financials[[#This Row],[Discount Band]]="low",0.1,IF(financials[[#This Row],[Discount Band]]="medium",0.15,0.3))</f>
        <v>0.3</v>
      </c>
      <c r="I4242" s="8">
        <f>financials[[#This Row],[Gross Sales]]-financials[[#This Row],[Gross Sales]]*financials[[#This Row],[Discounts]]</f>
        <v>192.5</v>
      </c>
      <c r="J4242" s="8">
        <f>VLOOKUP(financials[[#This Row],[productid]],Products!$B$2:$H$10,4)</f>
        <v>9.1</v>
      </c>
      <c r="K4242" s="8">
        <f>financials[[#This Row],[Net Sales]]-financials[[#This Row],[COGS]]</f>
        <v>183.4</v>
      </c>
      <c r="L4242" s="15">
        <v>44587</v>
      </c>
      <c r="M4242" t="s">
        <v>697</v>
      </c>
    </row>
    <row r="4243" spans="1:13" x14ac:dyDescent="0.25">
      <c r="A4243" t="s">
        <v>87</v>
      </c>
      <c r="B4243" s="6" t="s">
        <v>124</v>
      </c>
      <c r="C4243" s="11">
        <v>109</v>
      </c>
      <c r="D4243" s="9" t="s">
        <v>90</v>
      </c>
      <c r="E4243">
        <v>16</v>
      </c>
      <c r="F4243" s="8">
        <f>VLOOKUP(financials[[#This Row],[productid]],Products!$B$2:$H$10,3)</f>
        <v>36</v>
      </c>
      <c r="G4243" s="8">
        <f>financials[[#This Row],[Units Sold]]*financials[[#This Row],[Sale Price]]</f>
        <v>576</v>
      </c>
      <c r="H4243" s="8">
        <f>IF(financials[[#This Row],[Discount Band]]="low",0.1,IF(financials[[#This Row],[Discount Band]]="medium",0.15,0.3))</f>
        <v>0.15</v>
      </c>
      <c r="I4243" s="8">
        <f>financials[[#This Row],[Gross Sales]]-financials[[#This Row],[Gross Sales]]*financials[[#This Row],[Discounts]]</f>
        <v>489.6</v>
      </c>
      <c r="J4243" s="8">
        <f>VLOOKUP(financials[[#This Row],[productid]],Products!$B$2:$H$10,4)</f>
        <v>16.8</v>
      </c>
      <c r="K4243" s="8">
        <f>financials[[#This Row],[Net Sales]]-financials[[#This Row],[COGS]]</f>
        <v>472.8</v>
      </c>
      <c r="L4243" s="15">
        <v>44771</v>
      </c>
      <c r="M4243" t="s">
        <v>697</v>
      </c>
    </row>
    <row r="4244" spans="1:13" x14ac:dyDescent="0.25">
      <c r="A4244" t="s">
        <v>86</v>
      </c>
      <c r="B4244" s="6" t="s">
        <v>276</v>
      </c>
      <c r="C4244" s="13">
        <v>106</v>
      </c>
      <c r="D4244" s="14" t="s">
        <v>92</v>
      </c>
      <c r="E4244">
        <v>15</v>
      </c>
      <c r="F4244" s="8">
        <f>VLOOKUP(financials[[#This Row],[productid]],Products!$B$2:$H$10,3)</f>
        <v>25</v>
      </c>
      <c r="G4244" s="8">
        <f>financials[[#This Row],[Units Sold]]*financials[[#This Row],[Sale Price]]</f>
        <v>375</v>
      </c>
      <c r="H4244" s="8">
        <f>IF(financials[[#This Row],[Discount Band]]="low",0.1,IF(financials[[#This Row],[Discount Band]]="medium",0.15,0.3))</f>
        <v>0.3</v>
      </c>
      <c r="I4244" s="8">
        <f>financials[[#This Row],[Gross Sales]]-financials[[#This Row],[Gross Sales]]*financials[[#This Row],[Discounts]]</f>
        <v>262.5</v>
      </c>
      <c r="J4244" s="8">
        <f>VLOOKUP(financials[[#This Row],[productid]],Products!$B$2:$H$10,4)</f>
        <v>9.1</v>
      </c>
      <c r="K4244" s="8">
        <f>financials[[#This Row],[Net Sales]]-financials[[#This Row],[COGS]]</f>
        <v>253.4</v>
      </c>
      <c r="L4244" s="15">
        <v>45478</v>
      </c>
      <c r="M4244" t="s">
        <v>697</v>
      </c>
    </row>
    <row r="4245" spans="1:13" x14ac:dyDescent="0.25">
      <c r="A4245" t="s">
        <v>87</v>
      </c>
      <c r="B4245" s="6" t="s">
        <v>84</v>
      </c>
      <c r="C4245" s="13">
        <v>104</v>
      </c>
      <c r="D4245" s="14" t="s">
        <v>91</v>
      </c>
      <c r="E4245">
        <v>6</v>
      </c>
      <c r="F4245" s="8">
        <f>VLOOKUP(financials[[#This Row],[productid]],Products!$B$2:$H$10,3)</f>
        <v>5.9</v>
      </c>
      <c r="G4245" s="8">
        <f>financials[[#This Row],[Units Sold]]*financials[[#This Row],[Sale Price]]</f>
        <v>35.400000000000006</v>
      </c>
      <c r="H4245" s="8">
        <f>IF(financials[[#This Row],[Discount Band]]="low",0.1,IF(financials[[#This Row],[Discount Band]]="medium",0.15,0.3))</f>
        <v>0.1</v>
      </c>
      <c r="I4245" s="8">
        <f>financials[[#This Row],[Gross Sales]]-financials[[#This Row],[Gross Sales]]*financials[[#This Row],[Discounts]]</f>
        <v>31.860000000000007</v>
      </c>
      <c r="J4245" s="8">
        <f>VLOOKUP(financials[[#This Row],[productid]],Products!$B$2:$H$10,4)</f>
        <v>2.9</v>
      </c>
      <c r="K4245" s="8">
        <f>financials[[#This Row],[Net Sales]]-financials[[#This Row],[COGS]]</f>
        <v>28.960000000000008</v>
      </c>
      <c r="L4245" s="15">
        <v>44316</v>
      </c>
      <c r="M4245" t="s">
        <v>700</v>
      </c>
    </row>
    <row r="4246" spans="1:13" x14ac:dyDescent="0.25">
      <c r="A4246" t="s">
        <v>87</v>
      </c>
      <c r="B4246" s="6" t="s">
        <v>84</v>
      </c>
      <c r="C4246" s="13">
        <v>106</v>
      </c>
      <c r="D4246" s="14" t="s">
        <v>83</v>
      </c>
      <c r="E4246">
        <v>10</v>
      </c>
      <c r="F4246" s="8">
        <f>VLOOKUP(financials[[#This Row],[productid]],Products!$B$2:$H$10,3)</f>
        <v>25</v>
      </c>
      <c r="G4246" s="8">
        <f>financials[[#This Row],[Units Sold]]*financials[[#This Row],[Sale Price]]</f>
        <v>250</v>
      </c>
      <c r="H4246" s="8">
        <f>IF(financials[[#This Row],[Discount Band]]="low",0.1,IF(financials[[#This Row],[Discount Band]]="medium",0.15,0.3))</f>
        <v>0.3</v>
      </c>
      <c r="I4246" s="8">
        <f>financials[[#This Row],[Gross Sales]]-financials[[#This Row],[Gross Sales]]*financials[[#This Row],[Discounts]]</f>
        <v>175</v>
      </c>
      <c r="J4246" s="8">
        <f>VLOOKUP(financials[[#This Row],[productid]],Products!$B$2:$H$10,4)</f>
        <v>9.1</v>
      </c>
      <c r="K4246" s="8">
        <f>financials[[#This Row],[Net Sales]]-financials[[#This Row],[COGS]]</f>
        <v>165.9</v>
      </c>
      <c r="L4246" s="15">
        <v>44573</v>
      </c>
      <c r="M4246" t="s">
        <v>697</v>
      </c>
    </row>
    <row r="4247" spans="1:13" x14ac:dyDescent="0.25">
      <c r="A4247" t="s">
        <v>87</v>
      </c>
      <c r="B4247" s="6" t="s">
        <v>124</v>
      </c>
      <c r="C4247" s="13">
        <v>105</v>
      </c>
      <c r="D4247" s="14" t="s">
        <v>91</v>
      </c>
      <c r="E4247">
        <v>8</v>
      </c>
      <c r="F4247" s="8">
        <f>VLOOKUP(financials[[#This Row],[productid]],Products!$B$2:$H$10,3)</f>
        <v>15</v>
      </c>
      <c r="G4247" s="8">
        <f>financials[[#This Row],[Units Sold]]*financials[[#This Row],[Sale Price]]</f>
        <v>120</v>
      </c>
      <c r="H4247" s="8">
        <f>IF(financials[[#This Row],[Discount Band]]="low",0.1,IF(financials[[#This Row],[Discount Band]]="medium",0.15,0.3))</f>
        <v>0.1</v>
      </c>
      <c r="I4247" s="8">
        <f>financials[[#This Row],[Gross Sales]]-financials[[#This Row],[Gross Sales]]*financials[[#This Row],[Discounts]]</f>
        <v>108</v>
      </c>
      <c r="J4247" s="8">
        <f>VLOOKUP(financials[[#This Row],[productid]],Products!$B$2:$H$10,4)</f>
        <v>10</v>
      </c>
      <c r="K4247" s="8">
        <f>financials[[#This Row],[Net Sales]]-financials[[#This Row],[COGS]]</f>
        <v>98</v>
      </c>
      <c r="L4247" s="15">
        <v>44912</v>
      </c>
      <c r="M4247" t="s">
        <v>690</v>
      </c>
    </row>
    <row r="4248" spans="1:13" x14ac:dyDescent="0.25">
      <c r="A4248" t="s">
        <v>87</v>
      </c>
      <c r="B4248" s="6" t="s">
        <v>124</v>
      </c>
      <c r="C4248" s="13">
        <v>105</v>
      </c>
      <c r="D4248" s="14" t="s">
        <v>90</v>
      </c>
      <c r="E4248">
        <v>5</v>
      </c>
      <c r="F4248" s="8">
        <f>VLOOKUP(financials[[#This Row],[productid]],Products!$B$2:$H$10,3)</f>
        <v>15</v>
      </c>
      <c r="G4248" s="8">
        <f>financials[[#This Row],[Units Sold]]*financials[[#This Row],[Sale Price]]</f>
        <v>75</v>
      </c>
      <c r="H4248" s="8">
        <f>IF(financials[[#This Row],[Discount Band]]="low",0.1,IF(financials[[#This Row],[Discount Band]]="medium",0.15,0.3))</f>
        <v>0.15</v>
      </c>
      <c r="I4248" s="8">
        <f>financials[[#This Row],[Gross Sales]]-financials[[#This Row],[Gross Sales]]*financials[[#This Row],[Discounts]]</f>
        <v>63.75</v>
      </c>
      <c r="J4248" s="8">
        <f>VLOOKUP(financials[[#This Row],[productid]],Products!$B$2:$H$10,4)</f>
        <v>10</v>
      </c>
      <c r="K4248" s="8">
        <f>financials[[#This Row],[Net Sales]]-financials[[#This Row],[COGS]]</f>
        <v>53.75</v>
      </c>
      <c r="L4248" s="15">
        <v>44973</v>
      </c>
      <c r="M4248" t="s">
        <v>697</v>
      </c>
    </row>
    <row r="4249" spans="1:13" x14ac:dyDescent="0.25">
      <c r="A4249" t="s">
        <v>87</v>
      </c>
      <c r="B4249" s="6" t="s">
        <v>159</v>
      </c>
      <c r="C4249" s="13">
        <v>106</v>
      </c>
      <c r="D4249" s="14" t="s">
        <v>90</v>
      </c>
      <c r="E4249">
        <v>6</v>
      </c>
      <c r="F4249" s="8">
        <f>VLOOKUP(financials[[#This Row],[productid]],Products!$B$2:$H$10,3)</f>
        <v>25</v>
      </c>
      <c r="G4249" s="8">
        <f>financials[[#This Row],[Units Sold]]*financials[[#This Row],[Sale Price]]</f>
        <v>150</v>
      </c>
      <c r="H4249" s="8">
        <f>IF(financials[[#This Row],[Discount Band]]="low",0.1,IF(financials[[#This Row],[Discount Band]]="medium",0.15,0.3))</f>
        <v>0.15</v>
      </c>
      <c r="I4249" s="8">
        <f>financials[[#This Row],[Gross Sales]]-financials[[#This Row],[Gross Sales]]*financials[[#This Row],[Discounts]]</f>
        <v>127.5</v>
      </c>
      <c r="J4249" s="8">
        <f>VLOOKUP(financials[[#This Row],[productid]],Products!$B$2:$H$10,4)</f>
        <v>9.1</v>
      </c>
      <c r="K4249" s="8">
        <f>financials[[#This Row],[Net Sales]]-financials[[#This Row],[COGS]]</f>
        <v>118.4</v>
      </c>
      <c r="L4249" s="15">
        <v>44729</v>
      </c>
      <c r="M4249" t="s">
        <v>690</v>
      </c>
    </row>
    <row r="4250" spans="1:13" x14ac:dyDescent="0.25">
      <c r="A4250" t="s">
        <v>87</v>
      </c>
      <c r="B4250" s="6" t="s">
        <v>84</v>
      </c>
      <c r="C4250" s="13">
        <v>107</v>
      </c>
      <c r="D4250" s="14" t="s">
        <v>83</v>
      </c>
      <c r="E4250">
        <v>8</v>
      </c>
      <c r="F4250" s="8">
        <f>VLOOKUP(financials[[#This Row],[productid]],Products!$B$2:$H$10,3)</f>
        <v>15</v>
      </c>
      <c r="G4250" s="8">
        <f>financials[[#This Row],[Units Sold]]*financials[[#This Row],[Sale Price]]</f>
        <v>120</v>
      </c>
      <c r="H4250" s="8">
        <f>IF(financials[[#This Row],[Discount Band]]="low",0.1,IF(financials[[#This Row],[Discount Band]]="medium",0.15,0.3))</f>
        <v>0.3</v>
      </c>
      <c r="I4250" s="8">
        <f>financials[[#This Row],[Gross Sales]]-financials[[#This Row],[Gross Sales]]*financials[[#This Row],[Discounts]]</f>
        <v>84</v>
      </c>
      <c r="J4250" s="8">
        <f>VLOOKUP(financials[[#This Row],[productid]],Products!$B$2:$H$10,4)</f>
        <v>5.5</v>
      </c>
      <c r="K4250" s="8">
        <f>financials[[#This Row],[Net Sales]]-financials[[#This Row],[COGS]]</f>
        <v>78.5</v>
      </c>
      <c r="L4250" s="15">
        <v>44537</v>
      </c>
      <c r="M4250" t="s">
        <v>690</v>
      </c>
    </row>
    <row r="4251" spans="1:13" x14ac:dyDescent="0.25">
      <c r="A4251" t="s">
        <v>87</v>
      </c>
      <c r="B4251" s="6" t="s">
        <v>159</v>
      </c>
      <c r="C4251" s="13">
        <v>105</v>
      </c>
      <c r="D4251" s="14" t="s">
        <v>90</v>
      </c>
      <c r="E4251">
        <v>12</v>
      </c>
      <c r="F4251" s="8">
        <f>VLOOKUP(financials[[#This Row],[productid]],Products!$B$2:$H$10,3)</f>
        <v>15</v>
      </c>
      <c r="G4251" s="8">
        <f>financials[[#This Row],[Units Sold]]*financials[[#This Row],[Sale Price]]</f>
        <v>180</v>
      </c>
      <c r="H4251" s="8">
        <f>IF(financials[[#This Row],[Discount Band]]="low",0.1,IF(financials[[#This Row],[Discount Band]]="medium",0.15,0.3))</f>
        <v>0.15</v>
      </c>
      <c r="I4251" s="8">
        <f>financials[[#This Row],[Gross Sales]]-financials[[#This Row],[Gross Sales]]*financials[[#This Row],[Discounts]]</f>
        <v>153</v>
      </c>
      <c r="J4251" s="8">
        <f>VLOOKUP(financials[[#This Row],[productid]],Products!$B$2:$H$10,4)</f>
        <v>10</v>
      </c>
      <c r="K4251" s="8">
        <f>financials[[#This Row],[Net Sales]]-financials[[#This Row],[COGS]]</f>
        <v>143</v>
      </c>
      <c r="L4251" s="15">
        <v>44901</v>
      </c>
      <c r="M4251" t="s">
        <v>700</v>
      </c>
    </row>
    <row r="4252" spans="1:13" x14ac:dyDescent="0.25">
      <c r="A4252" t="s">
        <v>87</v>
      </c>
      <c r="B4252" s="6" t="s">
        <v>159</v>
      </c>
      <c r="C4252" s="13">
        <v>107</v>
      </c>
      <c r="D4252" s="14" t="s">
        <v>90</v>
      </c>
      <c r="E4252">
        <v>16</v>
      </c>
      <c r="F4252" s="8">
        <f>VLOOKUP(financials[[#This Row],[productid]],Products!$B$2:$H$10,3)</f>
        <v>15</v>
      </c>
      <c r="G4252" s="8">
        <f>financials[[#This Row],[Units Sold]]*financials[[#This Row],[Sale Price]]</f>
        <v>240</v>
      </c>
      <c r="H4252" s="8">
        <f>IF(financials[[#This Row],[Discount Band]]="low",0.1,IF(financials[[#This Row],[Discount Band]]="medium",0.15,0.3))</f>
        <v>0.15</v>
      </c>
      <c r="I4252" s="8">
        <f>financials[[#This Row],[Gross Sales]]-financials[[#This Row],[Gross Sales]]*financials[[#This Row],[Discounts]]</f>
        <v>204</v>
      </c>
      <c r="J4252" s="8">
        <f>VLOOKUP(financials[[#This Row],[productid]],Products!$B$2:$H$10,4)</f>
        <v>5.5</v>
      </c>
      <c r="K4252" s="8">
        <f>financials[[#This Row],[Net Sales]]-financials[[#This Row],[COGS]]</f>
        <v>198.5</v>
      </c>
      <c r="L4252" s="15">
        <v>45253</v>
      </c>
      <c r="M4252" t="s">
        <v>697</v>
      </c>
    </row>
    <row r="4253" spans="1:13" x14ac:dyDescent="0.25">
      <c r="A4253" t="s">
        <v>87</v>
      </c>
      <c r="B4253" s="6" t="s">
        <v>159</v>
      </c>
      <c r="C4253" s="13">
        <v>101</v>
      </c>
      <c r="D4253" s="14" t="s">
        <v>83</v>
      </c>
      <c r="E4253">
        <v>14</v>
      </c>
      <c r="F4253" s="8">
        <f>VLOOKUP(financials[[#This Row],[productid]],Products!$B$2:$H$10,3)</f>
        <v>23</v>
      </c>
      <c r="G4253" s="8">
        <f>financials[[#This Row],[Units Sold]]*financials[[#This Row],[Sale Price]]</f>
        <v>322</v>
      </c>
      <c r="H4253" s="8">
        <f>IF(financials[[#This Row],[Discount Band]]="low",0.1,IF(financials[[#This Row],[Discount Band]]="medium",0.15,0.3))</f>
        <v>0.3</v>
      </c>
      <c r="I4253" s="8">
        <f>financials[[#This Row],[Gross Sales]]-financials[[#This Row],[Gross Sales]]*financials[[#This Row],[Discounts]]</f>
        <v>225.4</v>
      </c>
      <c r="J4253" s="8">
        <f>VLOOKUP(financials[[#This Row],[productid]],Products!$B$2:$H$10,4)</f>
        <v>9.9499999999999993</v>
      </c>
      <c r="K4253" s="8">
        <f>financials[[#This Row],[Net Sales]]-financials[[#This Row],[COGS]]</f>
        <v>215.45000000000002</v>
      </c>
      <c r="L4253" s="15">
        <v>44136</v>
      </c>
      <c r="M4253" t="s">
        <v>696</v>
      </c>
    </row>
    <row r="4254" spans="1:13" x14ac:dyDescent="0.25">
      <c r="A4254" t="s">
        <v>87</v>
      </c>
      <c r="B4254" s="6" t="s">
        <v>84</v>
      </c>
      <c r="C4254" s="11">
        <v>107</v>
      </c>
      <c r="D4254" s="9" t="s">
        <v>83</v>
      </c>
      <c r="E4254">
        <v>16</v>
      </c>
      <c r="F4254" s="8">
        <f>VLOOKUP(financials[[#This Row],[productid]],Products!$B$2:$H$10,3)</f>
        <v>15</v>
      </c>
      <c r="G4254" s="8">
        <f>financials[[#This Row],[Units Sold]]*financials[[#This Row],[Sale Price]]</f>
        <v>240</v>
      </c>
      <c r="H4254" s="8">
        <f>IF(financials[[#This Row],[Discount Band]]="low",0.1,IF(financials[[#This Row],[Discount Band]]="medium",0.15,0.3))</f>
        <v>0.3</v>
      </c>
      <c r="I4254" s="8">
        <f>financials[[#This Row],[Gross Sales]]-financials[[#This Row],[Gross Sales]]*financials[[#This Row],[Discounts]]</f>
        <v>168</v>
      </c>
      <c r="J4254" s="8">
        <f>VLOOKUP(financials[[#This Row],[productid]],Products!$B$2:$H$10,4)</f>
        <v>5.5</v>
      </c>
      <c r="K4254" s="8">
        <f>financials[[#This Row],[Net Sales]]-financials[[#This Row],[COGS]]</f>
        <v>162.5</v>
      </c>
      <c r="L4254" s="15">
        <v>45568</v>
      </c>
      <c r="M4254" t="s">
        <v>697</v>
      </c>
    </row>
    <row r="4255" spans="1:13" x14ac:dyDescent="0.25">
      <c r="A4255" t="s">
        <v>87</v>
      </c>
      <c r="B4255" s="6" t="s">
        <v>159</v>
      </c>
      <c r="C4255" s="13">
        <v>103</v>
      </c>
      <c r="D4255" s="14" t="s">
        <v>91</v>
      </c>
      <c r="E4255">
        <v>7</v>
      </c>
      <c r="F4255" s="8">
        <f>VLOOKUP(financials[[#This Row],[productid]],Products!$B$2:$H$10,3)</f>
        <v>28</v>
      </c>
      <c r="G4255" s="8">
        <f>financials[[#This Row],[Units Sold]]*financials[[#This Row],[Sale Price]]</f>
        <v>196</v>
      </c>
      <c r="H4255" s="8">
        <f>IF(financials[[#This Row],[Discount Band]]="low",0.1,IF(financials[[#This Row],[Discount Band]]="medium",0.15,0.3))</f>
        <v>0.1</v>
      </c>
      <c r="I4255" s="8">
        <f>financials[[#This Row],[Gross Sales]]-financials[[#This Row],[Gross Sales]]*financials[[#This Row],[Discounts]]</f>
        <v>176.4</v>
      </c>
      <c r="J4255" s="8">
        <f>VLOOKUP(financials[[#This Row],[productid]],Products!$B$2:$H$10,4)</f>
        <v>15</v>
      </c>
      <c r="K4255" s="8">
        <f>financials[[#This Row],[Net Sales]]-financials[[#This Row],[COGS]]</f>
        <v>161.4</v>
      </c>
      <c r="L4255" s="15">
        <v>43963</v>
      </c>
      <c r="M4255" t="s">
        <v>696</v>
      </c>
    </row>
    <row r="4256" spans="1:13" x14ac:dyDescent="0.25">
      <c r="A4256" t="s">
        <v>87</v>
      </c>
      <c r="B4256" s="6" t="s">
        <v>84</v>
      </c>
      <c r="C4256" s="13">
        <v>104</v>
      </c>
      <c r="D4256" s="14" t="s">
        <v>90</v>
      </c>
      <c r="E4256">
        <v>16</v>
      </c>
      <c r="F4256" s="8">
        <f>VLOOKUP(financials[[#This Row],[productid]],Products!$B$2:$H$10,3)</f>
        <v>5.9</v>
      </c>
      <c r="G4256" s="8">
        <f>financials[[#This Row],[Units Sold]]*financials[[#This Row],[Sale Price]]</f>
        <v>94.4</v>
      </c>
      <c r="H4256" s="8">
        <f>IF(financials[[#This Row],[Discount Band]]="low",0.1,IF(financials[[#This Row],[Discount Band]]="medium",0.15,0.3))</f>
        <v>0.15</v>
      </c>
      <c r="I4256" s="8">
        <f>financials[[#This Row],[Gross Sales]]-financials[[#This Row],[Gross Sales]]*financials[[#This Row],[Discounts]]</f>
        <v>80.240000000000009</v>
      </c>
      <c r="J4256" s="8">
        <f>VLOOKUP(financials[[#This Row],[productid]],Products!$B$2:$H$10,4)</f>
        <v>2.9</v>
      </c>
      <c r="K4256" s="8">
        <f>financials[[#This Row],[Net Sales]]-financials[[#This Row],[COGS]]</f>
        <v>77.34</v>
      </c>
      <c r="L4256" s="15">
        <v>44103</v>
      </c>
      <c r="M4256" t="s">
        <v>691</v>
      </c>
    </row>
    <row r="4257" spans="1:13" x14ac:dyDescent="0.25">
      <c r="A4257" t="s">
        <v>87</v>
      </c>
      <c r="B4257" s="6" t="s">
        <v>84</v>
      </c>
      <c r="C4257" s="13">
        <v>106</v>
      </c>
      <c r="D4257" s="14" t="s">
        <v>91</v>
      </c>
      <c r="E4257">
        <v>19</v>
      </c>
      <c r="F4257" s="8">
        <f>VLOOKUP(financials[[#This Row],[productid]],Products!$B$2:$H$10,3)</f>
        <v>25</v>
      </c>
      <c r="G4257" s="8">
        <f>financials[[#This Row],[Units Sold]]*financials[[#This Row],[Sale Price]]</f>
        <v>475</v>
      </c>
      <c r="H4257" s="8">
        <f>IF(financials[[#This Row],[Discount Band]]="low",0.1,IF(financials[[#This Row],[Discount Band]]="medium",0.15,0.3))</f>
        <v>0.1</v>
      </c>
      <c r="I4257" s="8">
        <f>financials[[#This Row],[Gross Sales]]-financials[[#This Row],[Gross Sales]]*financials[[#This Row],[Discounts]]</f>
        <v>427.5</v>
      </c>
      <c r="J4257" s="8">
        <f>VLOOKUP(financials[[#This Row],[productid]],Products!$B$2:$H$10,4)</f>
        <v>9.1</v>
      </c>
      <c r="K4257" s="8">
        <f>financials[[#This Row],[Net Sales]]-financials[[#This Row],[COGS]]</f>
        <v>418.4</v>
      </c>
      <c r="L4257" s="15">
        <v>44467</v>
      </c>
      <c r="M4257" t="s">
        <v>690</v>
      </c>
    </row>
    <row r="4258" spans="1:13" x14ac:dyDescent="0.25">
      <c r="A4258" t="s">
        <v>87</v>
      </c>
      <c r="B4258" s="6" t="s">
        <v>84</v>
      </c>
      <c r="C4258" s="13">
        <v>107</v>
      </c>
      <c r="D4258" s="14" t="s">
        <v>83</v>
      </c>
      <c r="E4258">
        <v>10</v>
      </c>
      <c r="F4258" s="8">
        <f>VLOOKUP(financials[[#This Row],[productid]],Products!$B$2:$H$10,3)</f>
        <v>15</v>
      </c>
      <c r="G4258" s="8">
        <f>financials[[#This Row],[Units Sold]]*financials[[#This Row],[Sale Price]]</f>
        <v>150</v>
      </c>
      <c r="H4258" s="8">
        <f>IF(financials[[#This Row],[Discount Band]]="low",0.1,IF(financials[[#This Row],[Discount Band]]="medium",0.15,0.3))</f>
        <v>0.3</v>
      </c>
      <c r="I4258" s="8">
        <f>financials[[#This Row],[Gross Sales]]-financials[[#This Row],[Gross Sales]]*financials[[#This Row],[Discounts]]</f>
        <v>105</v>
      </c>
      <c r="J4258" s="8">
        <f>VLOOKUP(financials[[#This Row],[productid]],Products!$B$2:$H$10,4)</f>
        <v>5.5</v>
      </c>
      <c r="K4258" s="8">
        <f>financials[[#This Row],[Net Sales]]-financials[[#This Row],[COGS]]</f>
        <v>99.5</v>
      </c>
      <c r="L4258" s="15">
        <v>44301</v>
      </c>
      <c r="M4258" t="s">
        <v>700</v>
      </c>
    </row>
    <row r="4259" spans="1:13" x14ac:dyDescent="0.25">
      <c r="A4259" t="s">
        <v>87</v>
      </c>
      <c r="B4259" s="6" t="s">
        <v>84</v>
      </c>
      <c r="C4259" s="13">
        <v>101</v>
      </c>
      <c r="D4259" s="14" t="s">
        <v>91</v>
      </c>
      <c r="E4259">
        <v>19</v>
      </c>
      <c r="F4259" s="8">
        <f>VLOOKUP(financials[[#This Row],[productid]],Products!$B$2:$H$10,3)</f>
        <v>23</v>
      </c>
      <c r="G4259" s="8">
        <f>financials[[#This Row],[Units Sold]]*financials[[#This Row],[Sale Price]]</f>
        <v>437</v>
      </c>
      <c r="H4259" s="8">
        <f>IF(financials[[#This Row],[Discount Band]]="low",0.1,IF(financials[[#This Row],[Discount Band]]="medium",0.15,0.3))</f>
        <v>0.1</v>
      </c>
      <c r="I4259" s="8">
        <f>financials[[#This Row],[Gross Sales]]-financials[[#This Row],[Gross Sales]]*financials[[#This Row],[Discounts]]</f>
        <v>393.3</v>
      </c>
      <c r="J4259" s="8">
        <f>VLOOKUP(financials[[#This Row],[productid]],Products!$B$2:$H$10,4)</f>
        <v>9.9499999999999993</v>
      </c>
      <c r="K4259" s="8">
        <f>financials[[#This Row],[Net Sales]]-financials[[#This Row],[COGS]]</f>
        <v>383.35</v>
      </c>
      <c r="L4259" s="15">
        <v>45583</v>
      </c>
      <c r="M4259" t="s">
        <v>700</v>
      </c>
    </row>
    <row r="4260" spans="1:13" x14ac:dyDescent="0.25">
      <c r="A4260" t="s">
        <v>87</v>
      </c>
      <c r="B4260" s="6" t="s">
        <v>159</v>
      </c>
      <c r="C4260" s="11">
        <v>104</v>
      </c>
      <c r="D4260" s="9" t="s">
        <v>91</v>
      </c>
      <c r="E4260">
        <v>17</v>
      </c>
      <c r="F4260" s="8">
        <f>VLOOKUP(financials[[#This Row],[productid]],Products!$B$2:$H$10,3)</f>
        <v>5.9</v>
      </c>
      <c r="G4260" s="8">
        <f>financials[[#This Row],[Units Sold]]*financials[[#This Row],[Sale Price]]</f>
        <v>100.30000000000001</v>
      </c>
      <c r="H4260" s="8">
        <f>IF(financials[[#This Row],[Discount Band]]="low",0.1,IF(financials[[#This Row],[Discount Band]]="medium",0.15,0.3))</f>
        <v>0.1</v>
      </c>
      <c r="I4260" s="8">
        <f>financials[[#This Row],[Gross Sales]]-financials[[#This Row],[Gross Sales]]*financials[[#This Row],[Discounts]]</f>
        <v>90.27000000000001</v>
      </c>
      <c r="J4260" s="8">
        <f>VLOOKUP(financials[[#This Row],[productid]],Products!$B$2:$H$10,4)</f>
        <v>2.9</v>
      </c>
      <c r="K4260" s="8">
        <f>financials[[#This Row],[Net Sales]]-financials[[#This Row],[COGS]]</f>
        <v>87.37</v>
      </c>
      <c r="L4260" s="15">
        <v>44835</v>
      </c>
      <c r="M4260" t="s">
        <v>690</v>
      </c>
    </row>
    <row r="4261" spans="1:13" x14ac:dyDescent="0.25">
      <c r="A4261" t="s">
        <v>87</v>
      </c>
      <c r="B4261" s="6" t="s">
        <v>84</v>
      </c>
      <c r="C4261" s="13">
        <v>104</v>
      </c>
      <c r="D4261" s="14" t="s">
        <v>90</v>
      </c>
      <c r="E4261">
        <v>9</v>
      </c>
      <c r="F4261" s="8">
        <f>VLOOKUP(financials[[#This Row],[productid]],Products!$B$2:$H$10,3)</f>
        <v>5.9</v>
      </c>
      <c r="G4261" s="8">
        <f>financials[[#This Row],[Units Sold]]*financials[[#This Row],[Sale Price]]</f>
        <v>53.1</v>
      </c>
      <c r="H4261" s="8">
        <f>IF(financials[[#This Row],[Discount Band]]="low",0.1,IF(financials[[#This Row],[Discount Band]]="medium",0.15,0.3))</f>
        <v>0.15</v>
      </c>
      <c r="I4261" s="8">
        <f>financials[[#This Row],[Gross Sales]]-financials[[#This Row],[Gross Sales]]*financials[[#This Row],[Discounts]]</f>
        <v>45.135000000000005</v>
      </c>
      <c r="J4261" s="8">
        <f>VLOOKUP(financials[[#This Row],[productid]],Products!$B$2:$H$10,4)</f>
        <v>2.9</v>
      </c>
      <c r="K4261" s="8">
        <f>financials[[#This Row],[Net Sales]]-financials[[#This Row],[COGS]]</f>
        <v>42.235000000000007</v>
      </c>
      <c r="L4261" s="15">
        <v>44104</v>
      </c>
      <c r="M4261" t="s">
        <v>696</v>
      </c>
    </row>
    <row r="4262" spans="1:13" x14ac:dyDescent="0.25">
      <c r="A4262" t="s">
        <v>87</v>
      </c>
      <c r="B4262" s="6" t="s">
        <v>84</v>
      </c>
      <c r="C4262" s="11">
        <v>102</v>
      </c>
      <c r="D4262" s="9" t="s">
        <v>90</v>
      </c>
      <c r="E4262">
        <v>6</v>
      </c>
      <c r="F4262" s="8">
        <f>VLOOKUP(financials[[#This Row],[productid]],Products!$B$2:$H$10,3)</f>
        <v>15</v>
      </c>
      <c r="G4262" s="8">
        <f>financials[[#This Row],[Units Sold]]*financials[[#This Row],[Sale Price]]</f>
        <v>90</v>
      </c>
      <c r="H4262" s="8">
        <f>IF(financials[[#This Row],[Discount Band]]="low",0.1,IF(financials[[#This Row],[Discount Band]]="medium",0.15,0.3))</f>
        <v>0.15</v>
      </c>
      <c r="I4262" s="8">
        <f>financials[[#This Row],[Gross Sales]]-financials[[#This Row],[Gross Sales]]*financials[[#This Row],[Discounts]]</f>
        <v>76.5</v>
      </c>
      <c r="J4262" s="8">
        <f>VLOOKUP(financials[[#This Row],[productid]],Products!$B$2:$H$10,4)</f>
        <v>13.95</v>
      </c>
      <c r="K4262" s="8">
        <f>financials[[#This Row],[Net Sales]]-financials[[#This Row],[COGS]]</f>
        <v>62.55</v>
      </c>
      <c r="L4262" s="15">
        <v>45571</v>
      </c>
      <c r="M4262" t="s">
        <v>700</v>
      </c>
    </row>
    <row r="4263" spans="1:13" x14ac:dyDescent="0.25">
      <c r="A4263" t="s">
        <v>87</v>
      </c>
      <c r="B4263" s="6" t="s">
        <v>159</v>
      </c>
      <c r="C4263" s="13">
        <v>107</v>
      </c>
      <c r="D4263" s="14" t="s">
        <v>91</v>
      </c>
      <c r="E4263">
        <v>15</v>
      </c>
      <c r="F4263" s="8">
        <f>VLOOKUP(financials[[#This Row],[productid]],Products!$B$2:$H$10,3)</f>
        <v>15</v>
      </c>
      <c r="G4263" s="8">
        <f>financials[[#This Row],[Units Sold]]*financials[[#This Row],[Sale Price]]</f>
        <v>225</v>
      </c>
      <c r="H4263" s="8">
        <f>IF(financials[[#This Row],[Discount Band]]="low",0.1,IF(financials[[#This Row],[Discount Band]]="medium",0.15,0.3))</f>
        <v>0.1</v>
      </c>
      <c r="I4263" s="8">
        <f>financials[[#This Row],[Gross Sales]]-financials[[#This Row],[Gross Sales]]*financials[[#This Row],[Discounts]]</f>
        <v>202.5</v>
      </c>
      <c r="J4263" s="8">
        <f>VLOOKUP(financials[[#This Row],[productid]],Products!$B$2:$H$10,4)</f>
        <v>5.5</v>
      </c>
      <c r="K4263" s="8">
        <f>financials[[#This Row],[Net Sales]]-financials[[#This Row],[COGS]]</f>
        <v>197</v>
      </c>
      <c r="L4263" s="15">
        <v>44801</v>
      </c>
      <c r="M4263" t="s">
        <v>697</v>
      </c>
    </row>
    <row r="4264" spans="1:13" x14ac:dyDescent="0.25">
      <c r="A4264" t="s">
        <v>87</v>
      </c>
      <c r="B4264" s="6" t="s">
        <v>84</v>
      </c>
      <c r="C4264" s="13">
        <v>105</v>
      </c>
      <c r="D4264" s="14" t="s">
        <v>91</v>
      </c>
      <c r="E4264">
        <v>17</v>
      </c>
      <c r="F4264" s="8">
        <f>VLOOKUP(financials[[#This Row],[productid]],Products!$B$2:$H$10,3)</f>
        <v>15</v>
      </c>
      <c r="G4264" s="8">
        <f>financials[[#This Row],[Units Sold]]*financials[[#This Row],[Sale Price]]</f>
        <v>255</v>
      </c>
      <c r="H4264" s="8">
        <f>IF(financials[[#This Row],[Discount Band]]="low",0.1,IF(financials[[#This Row],[Discount Band]]="medium",0.15,0.3))</f>
        <v>0.1</v>
      </c>
      <c r="I4264" s="8">
        <f>financials[[#This Row],[Gross Sales]]-financials[[#This Row],[Gross Sales]]*financials[[#This Row],[Discounts]]</f>
        <v>229.5</v>
      </c>
      <c r="J4264" s="8">
        <f>VLOOKUP(financials[[#This Row],[productid]],Products!$B$2:$H$10,4)</f>
        <v>10</v>
      </c>
      <c r="K4264" s="8">
        <f>financials[[#This Row],[Net Sales]]-financials[[#This Row],[COGS]]</f>
        <v>219.5</v>
      </c>
      <c r="L4264" s="15">
        <v>44427</v>
      </c>
      <c r="M4264" t="s">
        <v>696</v>
      </c>
    </row>
    <row r="4265" spans="1:13" x14ac:dyDescent="0.25">
      <c r="A4265" t="s">
        <v>87</v>
      </c>
      <c r="B4265" s="6" t="s">
        <v>84</v>
      </c>
      <c r="C4265" s="13">
        <v>106</v>
      </c>
      <c r="D4265" s="14" t="s">
        <v>83</v>
      </c>
      <c r="E4265">
        <v>15</v>
      </c>
      <c r="F4265" s="8">
        <f>VLOOKUP(financials[[#This Row],[productid]],Products!$B$2:$H$10,3)</f>
        <v>25</v>
      </c>
      <c r="G4265" s="8">
        <f>financials[[#This Row],[Units Sold]]*financials[[#This Row],[Sale Price]]</f>
        <v>375</v>
      </c>
      <c r="H4265" s="8">
        <f>IF(financials[[#This Row],[Discount Band]]="low",0.1,IF(financials[[#This Row],[Discount Band]]="medium",0.15,0.3))</f>
        <v>0.3</v>
      </c>
      <c r="I4265" s="8">
        <f>financials[[#This Row],[Gross Sales]]-financials[[#This Row],[Gross Sales]]*financials[[#This Row],[Discounts]]</f>
        <v>262.5</v>
      </c>
      <c r="J4265" s="8">
        <f>VLOOKUP(financials[[#This Row],[productid]],Products!$B$2:$H$10,4)</f>
        <v>9.1</v>
      </c>
      <c r="K4265" s="8">
        <f>financials[[#This Row],[Net Sales]]-financials[[#This Row],[COGS]]</f>
        <v>253.4</v>
      </c>
      <c r="L4265" s="15">
        <v>44889</v>
      </c>
      <c r="M4265" t="s">
        <v>696</v>
      </c>
    </row>
    <row r="4266" spans="1:13" x14ac:dyDescent="0.25">
      <c r="A4266" t="s">
        <v>87</v>
      </c>
      <c r="B4266" s="6" t="s">
        <v>159</v>
      </c>
      <c r="C4266" s="13">
        <v>107</v>
      </c>
      <c r="D4266" s="14" t="s">
        <v>90</v>
      </c>
      <c r="E4266">
        <v>19</v>
      </c>
      <c r="F4266" s="8">
        <f>VLOOKUP(financials[[#This Row],[productid]],Products!$B$2:$H$10,3)</f>
        <v>15</v>
      </c>
      <c r="G4266" s="8">
        <f>financials[[#This Row],[Units Sold]]*financials[[#This Row],[Sale Price]]</f>
        <v>285</v>
      </c>
      <c r="H4266" s="8">
        <f>IF(financials[[#This Row],[Discount Band]]="low",0.1,IF(financials[[#This Row],[Discount Band]]="medium",0.15,0.3))</f>
        <v>0.15</v>
      </c>
      <c r="I4266" s="8">
        <f>financials[[#This Row],[Gross Sales]]-financials[[#This Row],[Gross Sales]]*financials[[#This Row],[Discounts]]</f>
        <v>242.25</v>
      </c>
      <c r="J4266" s="8">
        <f>VLOOKUP(financials[[#This Row],[productid]],Products!$B$2:$H$10,4)</f>
        <v>5.5</v>
      </c>
      <c r="K4266" s="8">
        <f>financials[[#This Row],[Net Sales]]-financials[[#This Row],[COGS]]</f>
        <v>236.75</v>
      </c>
      <c r="L4266" s="15">
        <v>45144</v>
      </c>
      <c r="M4266" t="s">
        <v>691</v>
      </c>
    </row>
    <row r="4267" spans="1:13" x14ac:dyDescent="0.25">
      <c r="A4267" t="s">
        <v>87</v>
      </c>
      <c r="B4267" s="6" t="s">
        <v>159</v>
      </c>
      <c r="C4267" s="11">
        <v>101</v>
      </c>
      <c r="D4267" s="9" t="s">
        <v>91</v>
      </c>
      <c r="E4267">
        <v>18</v>
      </c>
      <c r="F4267" s="8">
        <f>VLOOKUP(financials[[#This Row],[productid]],Products!$B$2:$H$10,3)</f>
        <v>23</v>
      </c>
      <c r="G4267" s="8">
        <f>financials[[#This Row],[Units Sold]]*financials[[#This Row],[Sale Price]]</f>
        <v>414</v>
      </c>
      <c r="H4267" s="8">
        <f>IF(financials[[#This Row],[Discount Band]]="low",0.1,IF(financials[[#This Row],[Discount Band]]="medium",0.15,0.3))</f>
        <v>0.1</v>
      </c>
      <c r="I4267" s="8">
        <f>financials[[#This Row],[Gross Sales]]-financials[[#This Row],[Gross Sales]]*financials[[#This Row],[Discounts]]</f>
        <v>372.6</v>
      </c>
      <c r="J4267" s="8">
        <f>VLOOKUP(financials[[#This Row],[productid]],Products!$B$2:$H$10,4)</f>
        <v>9.9499999999999993</v>
      </c>
      <c r="K4267" s="8">
        <f>financials[[#This Row],[Net Sales]]-financials[[#This Row],[COGS]]</f>
        <v>362.65000000000003</v>
      </c>
      <c r="L4267" s="15">
        <v>44948</v>
      </c>
      <c r="M4267" t="s">
        <v>691</v>
      </c>
    </row>
    <row r="4268" spans="1:13" x14ac:dyDescent="0.25">
      <c r="A4268" t="s">
        <v>87</v>
      </c>
      <c r="B4268" s="6" t="s">
        <v>159</v>
      </c>
      <c r="C4268" s="13">
        <v>102</v>
      </c>
      <c r="D4268" s="14" t="s">
        <v>91</v>
      </c>
      <c r="E4268">
        <v>12</v>
      </c>
      <c r="F4268" s="8">
        <f>VLOOKUP(financials[[#This Row],[productid]],Products!$B$2:$H$10,3)</f>
        <v>15</v>
      </c>
      <c r="G4268" s="8">
        <f>financials[[#This Row],[Units Sold]]*financials[[#This Row],[Sale Price]]</f>
        <v>180</v>
      </c>
      <c r="H4268" s="8">
        <f>IF(financials[[#This Row],[Discount Band]]="low",0.1,IF(financials[[#This Row],[Discount Band]]="medium",0.15,0.3))</f>
        <v>0.1</v>
      </c>
      <c r="I4268" s="8">
        <f>financials[[#This Row],[Gross Sales]]-financials[[#This Row],[Gross Sales]]*financials[[#This Row],[Discounts]]</f>
        <v>162</v>
      </c>
      <c r="J4268" s="8">
        <f>VLOOKUP(financials[[#This Row],[productid]],Products!$B$2:$H$10,4)</f>
        <v>13.95</v>
      </c>
      <c r="K4268" s="8">
        <f>financials[[#This Row],[Net Sales]]-financials[[#This Row],[COGS]]</f>
        <v>148.05000000000001</v>
      </c>
      <c r="L4268" s="15">
        <v>44552</v>
      </c>
      <c r="M4268" t="s">
        <v>696</v>
      </c>
    </row>
    <row r="4269" spans="1:13" x14ac:dyDescent="0.25">
      <c r="A4269" t="s">
        <v>87</v>
      </c>
      <c r="B4269" s="6" t="s">
        <v>124</v>
      </c>
      <c r="C4269" s="11">
        <v>108</v>
      </c>
      <c r="D4269" s="9" t="s">
        <v>91</v>
      </c>
      <c r="E4269">
        <v>6</v>
      </c>
      <c r="F4269" s="8">
        <f>VLOOKUP(financials[[#This Row],[productid]],Products!$B$2:$H$10,3)</f>
        <v>5.5</v>
      </c>
      <c r="G4269" s="8">
        <f>financials[[#This Row],[Units Sold]]*financials[[#This Row],[Sale Price]]</f>
        <v>33</v>
      </c>
      <c r="H4269" s="8">
        <f>IF(financials[[#This Row],[Discount Band]]="low",0.1,IF(financials[[#This Row],[Discount Band]]="medium",0.15,0.3))</f>
        <v>0.1</v>
      </c>
      <c r="I4269" s="8">
        <f>financials[[#This Row],[Gross Sales]]-financials[[#This Row],[Gross Sales]]*financials[[#This Row],[Discounts]]</f>
        <v>29.7</v>
      </c>
      <c r="J4269" s="8">
        <f>VLOOKUP(financials[[#This Row],[productid]],Products!$B$2:$H$10,4)</f>
        <v>3.99</v>
      </c>
      <c r="K4269" s="8">
        <f>financials[[#This Row],[Net Sales]]-financials[[#This Row],[COGS]]</f>
        <v>25.71</v>
      </c>
      <c r="L4269" s="15">
        <v>45063</v>
      </c>
      <c r="M4269" t="s">
        <v>690</v>
      </c>
    </row>
    <row r="4270" spans="1:13" x14ac:dyDescent="0.25">
      <c r="A4270" t="s">
        <v>87</v>
      </c>
      <c r="B4270" s="6" t="s">
        <v>84</v>
      </c>
      <c r="C4270" s="13">
        <v>106</v>
      </c>
      <c r="D4270" s="14" t="s">
        <v>91</v>
      </c>
      <c r="E4270">
        <v>7</v>
      </c>
      <c r="F4270" s="8">
        <f>VLOOKUP(financials[[#This Row],[productid]],Products!$B$2:$H$10,3)</f>
        <v>25</v>
      </c>
      <c r="G4270" s="8">
        <f>financials[[#This Row],[Units Sold]]*financials[[#This Row],[Sale Price]]</f>
        <v>175</v>
      </c>
      <c r="H4270" s="8">
        <f>IF(financials[[#This Row],[Discount Band]]="low",0.1,IF(financials[[#This Row],[Discount Band]]="medium",0.15,0.3))</f>
        <v>0.1</v>
      </c>
      <c r="I4270" s="8">
        <f>financials[[#This Row],[Gross Sales]]-financials[[#This Row],[Gross Sales]]*financials[[#This Row],[Discounts]]</f>
        <v>157.5</v>
      </c>
      <c r="J4270" s="8">
        <f>VLOOKUP(financials[[#This Row],[productid]],Products!$B$2:$H$10,4)</f>
        <v>9.1</v>
      </c>
      <c r="K4270" s="8">
        <f>financials[[#This Row],[Net Sales]]-financials[[#This Row],[COGS]]</f>
        <v>148.4</v>
      </c>
      <c r="L4270" s="15">
        <v>45603</v>
      </c>
      <c r="M4270" t="s">
        <v>697</v>
      </c>
    </row>
    <row r="4271" spans="1:13" x14ac:dyDescent="0.25">
      <c r="A4271" t="s">
        <v>87</v>
      </c>
      <c r="B4271" s="6" t="s">
        <v>124</v>
      </c>
      <c r="C4271" s="13">
        <v>106</v>
      </c>
      <c r="D4271" s="14" t="s">
        <v>91</v>
      </c>
      <c r="E4271">
        <v>12</v>
      </c>
      <c r="F4271" s="8">
        <f>VLOOKUP(financials[[#This Row],[productid]],Products!$B$2:$H$10,3)</f>
        <v>25</v>
      </c>
      <c r="G4271" s="8">
        <f>financials[[#This Row],[Units Sold]]*financials[[#This Row],[Sale Price]]</f>
        <v>300</v>
      </c>
      <c r="H4271" s="8">
        <f>IF(financials[[#This Row],[Discount Band]]="low",0.1,IF(financials[[#This Row],[Discount Band]]="medium",0.15,0.3))</f>
        <v>0.1</v>
      </c>
      <c r="I4271" s="8">
        <f>financials[[#This Row],[Gross Sales]]-financials[[#This Row],[Gross Sales]]*financials[[#This Row],[Discounts]]</f>
        <v>270</v>
      </c>
      <c r="J4271" s="8">
        <f>VLOOKUP(financials[[#This Row],[productid]],Products!$B$2:$H$10,4)</f>
        <v>9.1</v>
      </c>
      <c r="K4271" s="8">
        <f>financials[[#This Row],[Net Sales]]-financials[[#This Row],[COGS]]</f>
        <v>260.89999999999998</v>
      </c>
      <c r="L4271" s="15">
        <v>45186</v>
      </c>
      <c r="M4271" t="s">
        <v>691</v>
      </c>
    </row>
    <row r="4272" spans="1:13" x14ac:dyDescent="0.25">
      <c r="A4272" t="s">
        <v>87</v>
      </c>
      <c r="B4272" s="6" t="s">
        <v>84</v>
      </c>
      <c r="C4272" s="13">
        <v>109</v>
      </c>
      <c r="D4272" s="14" t="s">
        <v>90</v>
      </c>
      <c r="E4272">
        <v>11</v>
      </c>
      <c r="F4272" s="8">
        <f>VLOOKUP(financials[[#This Row],[productid]],Products!$B$2:$H$10,3)</f>
        <v>36</v>
      </c>
      <c r="G4272" s="8">
        <f>financials[[#This Row],[Units Sold]]*financials[[#This Row],[Sale Price]]</f>
        <v>396</v>
      </c>
      <c r="H4272" s="8">
        <f>IF(financials[[#This Row],[Discount Band]]="low",0.1,IF(financials[[#This Row],[Discount Band]]="medium",0.15,0.3))</f>
        <v>0.15</v>
      </c>
      <c r="I4272" s="8">
        <f>financials[[#This Row],[Gross Sales]]-financials[[#This Row],[Gross Sales]]*financials[[#This Row],[Discounts]]</f>
        <v>336.6</v>
      </c>
      <c r="J4272" s="8">
        <f>VLOOKUP(financials[[#This Row],[productid]],Products!$B$2:$H$10,4)</f>
        <v>16.8</v>
      </c>
      <c r="K4272" s="8">
        <f>financials[[#This Row],[Net Sales]]-financials[[#This Row],[COGS]]</f>
        <v>319.8</v>
      </c>
      <c r="L4272" s="15">
        <v>43939</v>
      </c>
      <c r="M4272" t="s">
        <v>690</v>
      </c>
    </row>
    <row r="4273" spans="1:13" x14ac:dyDescent="0.25">
      <c r="A4273" t="s">
        <v>86</v>
      </c>
      <c r="B4273" s="6" t="s">
        <v>205</v>
      </c>
      <c r="C4273" s="13">
        <v>107</v>
      </c>
      <c r="D4273" s="14" t="s">
        <v>91</v>
      </c>
      <c r="E4273">
        <v>17</v>
      </c>
      <c r="F4273" s="8">
        <f>VLOOKUP(financials[[#This Row],[productid]],Products!$B$2:$H$10,3)</f>
        <v>15</v>
      </c>
      <c r="G4273" s="8">
        <f>financials[[#This Row],[Units Sold]]*financials[[#This Row],[Sale Price]]</f>
        <v>255</v>
      </c>
      <c r="H4273" s="8">
        <f>IF(financials[[#This Row],[Discount Band]]="low",0.1,IF(financials[[#This Row],[Discount Band]]="medium",0.15,0.3))</f>
        <v>0.1</v>
      </c>
      <c r="I4273" s="8">
        <f>financials[[#This Row],[Gross Sales]]-financials[[#This Row],[Gross Sales]]*financials[[#This Row],[Discounts]]</f>
        <v>229.5</v>
      </c>
      <c r="J4273" s="8">
        <f>VLOOKUP(financials[[#This Row],[productid]],Products!$B$2:$H$10,4)</f>
        <v>5.5</v>
      </c>
      <c r="K4273" s="8">
        <f>financials[[#This Row],[Net Sales]]-financials[[#This Row],[COGS]]</f>
        <v>224</v>
      </c>
      <c r="L4273" s="15">
        <v>43863</v>
      </c>
      <c r="M4273" t="s">
        <v>690</v>
      </c>
    </row>
    <row r="4274" spans="1:13" x14ac:dyDescent="0.25">
      <c r="A4274" t="s">
        <v>87</v>
      </c>
      <c r="B4274" s="6" t="s">
        <v>84</v>
      </c>
      <c r="C4274" s="13">
        <v>105</v>
      </c>
      <c r="D4274" s="14" t="s">
        <v>90</v>
      </c>
      <c r="E4274">
        <v>17</v>
      </c>
      <c r="F4274" s="8">
        <f>VLOOKUP(financials[[#This Row],[productid]],Products!$B$2:$H$10,3)</f>
        <v>15</v>
      </c>
      <c r="G4274" s="8">
        <f>financials[[#This Row],[Units Sold]]*financials[[#This Row],[Sale Price]]</f>
        <v>255</v>
      </c>
      <c r="H4274" s="8">
        <f>IF(financials[[#This Row],[Discount Band]]="low",0.1,IF(financials[[#This Row],[Discount Band]]="medium",0.15,0.3))</f>
        <v>0.15</v>
      </c>
      <c r="I4274" s="8">
        <f>financials[[#This Row],[Gross Sales]]-financials[[#This Row],[Gross Sales]]*financials[[#This Row],[Discounts]]</f>
        <v>216.75</v>
      </c>
      <c r="J4274" s="8">
        <f>VLOOKUP(financials[[#This Row],[productid]],Products!$B$2:$H$10,4)</f>
        <v>10</v>
      </c>
      <c r="K4274" s="8">
        <f>financials[[#This Row],[Net Sales]]-financials[[#This Row],[COGS]]</f>
        <v>206.75</v>
      </c>
      <c r="L4274" s="15">
        <v>45044</v>
      </c>
      <c r="M4274" t="s">
        <v>697</v>
      </c>
    </row>
    <row r="4275" spans="1:13" x14ac:dyDescent="0.25">
      <c r="A4275" t="s">
        <v>87</v>
      </c>
      <c r="B4275" s="6" t="s">
        <v>124</v>
      </c>
      <c r="C4275" s="13">
        <v>102</v>
      </c>
      <c r="D4275" s="14" t="s">
        <v>83</v>
      </c>
      <c r="E4275">
        <v>14</v>
      </c>
      <c r="F4275" s="8">
        <f>VLOOKUP(financials[[#This Row],[productid]],Products!$B$2:$H$10,3)</f>
        <v>15</v>
      </c>
      <c r="G4275" s="8">
        <f>financials[[#This Row],[Units Sold]]*financials[[#This Row],[Sale Price]]</f>
        <v>210</v>
      </c>
      <c r="H4275" s="8">
        <f>IF(financials[[#This Row],[Discount Band]]="low",0.1,IF(financials[[#This Row],[Discount Band]]="medium",0.15,0.3))</f>
        <v>0.3</v>
      </c>
      <c r="I4275" s="8">
        <f>financials[[#This Row],[Gross Sales]]-financials[[#This Row],[Gross Sales]]*financials[[#This Row],[Discounts]]</f>
        <v>147</v>
      </c>
      <c r="J4275" s="8">
        <f>VLOOKUP(financials[[#This Row],[productid]],Products!$B$2:$H$10,4)</f>
        <v>13.95</v>
      </c>
      <c r="K4275" s="8">
        <f>financials[[#This Row],[Net Sales]]-financials[[#This Row],[COGS]]</f>
        <v>133.05000000000001</v>
      </c>
      <c r="L4275" s="15">
        <v>44858</v>
      </c>
      <c r="M4275" t="s">
        <v>691</v>
      </c>
    </row>
    <row r="4276" spans="1:13" x14ac:dyDescent="0.25">
      <c r="A4276" t="s">
        <v>87</v>
      </c>
      <c r="B4276" s="6" t="s">
        <v>84</v>
      </c>
      <c r="C4276" s="13">
        <v>109</v>
      </c>
      <c r="D4276" s="14" t="s">
        <v>83</v>
      </c>
      <c r="E4276">
        <v>7</v>
      </c>
      <c r="F4276" s="8">
        <f>VLOOKUP(financials[[#This Row],[productid]],Products!$B$2:$H$10,3)</f>
        <v>36</v>
      </c>
      <c r="G4276" s="8">
        <f>financials[[#This Row],[Units Sold]]*financials[[#This Row],[Sale Price]]</f>
        <v>252</v>
      </c>
      <c r="H4276" s="8">
        <f>IF(financials[[#This Row],[Discount Band]]="low",0.1,IF(financials[[#This Row],[Discount Band]]="medium",0.15,0.3))</f>
        <v>0.3</v>
      </c>
      <c r="I4276" s="8">
        <f>financials[[#This Row],[Gross Sales]]-financials[[#This Row],[Gross Sales]]*financials[[#This Row],[Discounts]]</f>
        <v>176.4</v>
      </c>
      <c r="J4276" s="8">
        <f>VLOOKUP(financials[[#This Row],[productid]],Products!$B$2:$H$10,4)</f>
        <v>16.8</v>
      </c>
      <c r="K4276" s="8">
        <f>financials[[#This Row],[Net Sales]]-financials[[#This Row],[COGS]]</f>
        <v>159.6</v>
      </c>
      <c r="L4276" s="15">
        <v>44322</v>
      </c>
      <c r="M4276" t="s">
        <v>697</v>
      </c>
    </row>
    <row r="4277" spans="1:13" x14ac:dyDescent="0.25">
      <c r="A4277" t="s">
        <v>87</v>
      </c>
      <c r="B4277" s="6" t="s">
        <v>84</v>
      </c>
      <c r="C4277" s="13">
        <v>103</v>
      </c>
      <c r="D4277" s="14" t="s">
        <v>90</v>
      </c>
      <c r="E4277">
        <v>14</v>
      </c>
      <c r="F4277" s="8">
        <f>VLOOKUP(financials[[#This Row],[productid]],Products!$B$2:$H$10,3)</f>
        <v>28</v>
      </c>
      <c r="G4277" s="8">
        <f>financials[[#This Row],[Units Sold]]*financials[[#This Row],[Sale Price]]</f>
        <v>392</v>
      </c>
      <c r="H4277" s="8">
        <f>IF(financials[[#This Row],[Discount Band]]="low",0.1,IF(financials[[#This Row],[Discount Band]]="medium",0.15,0.3))</f>
        <v>0.15</v>
      </c>
      <c r="I4277" s="8">
        <f>financials[[#This Row],[Gross Sales]]-financials[[#This Row],[Gross Sales]]*financials[[#This Row],[Discounts]]</f>
        <v>333.2</v>
      </c>
      <c r="J4277" s="8">
        <f>VLOOKUP(financials[[#This Row],[productid]],Products!$B$2:$H$10,4)</f>
        <v>15</v>
      </c>
      <c r="K4277" s="8">
        <f>financials[[#This Row],[Net Sales]]-financials[[#This Row],[COGS]]</f>
        <v>318.2</v>
      </c>
      <c r="L4277" s="15">
        <v>43863</v>
      </c>
      <c r="M4277" t="s">
        <v>696</v>
      </c>
    </row>
    <row r="4278" spans="1:13" x14ac:dyDescent="0.25">
      <c r="A4278" t="s">
        <v>87</v>
      </c>
      <c r="B4278" s="6" t="s">
        <v>84</v>
      </c>
      <c r="C4278" s="13">
        <v>103</v>
      </c>
      <c r="D4278" s="14" t="s">
        <v>91</v>
      </c>
      <c r="E4278">
        <v>14</v>
      </c>
      <c r="F4278" s="8">
        <f>VLOOKUP(financials[[#This Row],[productid]],Products!$B$2:$H$10,3)</f>
        <v>28</v>
      </c>
      <c r="G4278" s="8">
        <f>financials[[#This Row],[Units Sold]]*financials[[#This Row],[Sale Price]]</f>
        <v>392</v>
      </c>
      <c r="H4278" s="8">
        <f>IF(financials[[#This Row],[Discount Band]]="low",0.1,IF(financials[[#This Row],[Discount Band]]="medium",0.15,0.3))</f>
        <v>0.1</v>
      </c>
      <c r="I4278" s="8">
        <f>financials[[#This Row],[Gross Sales]]-financials[[#This Row],[Gross Sales]]*financials[[#This Row],[Discounts]]</f>
        <v>352.8</v>
      </c>
      <c r="J4278" s="8">
        <f>VLOOKUP(financials[[#This Row],[productid]],Products!$B$2:$H$10,4)</f>
        <v>15</v>
      </c>
      <c r="K4278" s="8">
        <f>financials[[#This Row],[Net Sales]]-financials[[#This Row],[COGS]]</f>
        <v>337.8</v>
      </c>
      <c r="L4278" s="15">
        <v>44007</v>
      </c>
      <c r="M4278" t="s">
        <v>700</v>
      </c>
    </row>
    <row r="4279" spans="1:13" x14ac:dyDescent="0.25">
      <c r="A4279" t="s">
        <v>87</v>
      </c>
      <c r="B4279" s="6" t="s">
        <v>124</v>
      </c>
      <c r="C4279" s="13">
        <v>109</v>
      </c>
      <c r="D4279" s="14" t="s">
        <v>91</v>
      </c>
      <c r="E4279">
        <v>5</v>
      </c>
      <c r="F4279" s="8">
        <f>VLOOKUP(financials[[#This Row],[productid]],Products!$B$2:$H$10,3)</f>
        <v>36</v>
      </c>
      <c r="G4279" s="8">
        <f>financials[[#This Row],[Units Sold]]*financials[[#This Row],[Sale Price]]</f>
        <v>180</v>
      </c>
      <c r="H4279" s="8">
        <f>IF(financials[[#This Row],[Discount Band]]="low",0.1,IF(financials[[#This Row],[Discount Band]]="medium",0.15,0.3))</f>
        <v>0.1</v>
      </c>
      <c r="I4279" s="8">
        <f>financials[[#This Row],[Gross Sales]]-financials[[#This Row],[Gross Sales]]*financials[[#This Row],[Discounts]]</f>
        <v>162</v>
      </c>
      <c r="J4279" s="8">
        <f>VLOOKUP(financials[[#This Row],[productid]],Products!$B$2:$H$10,4)</f>
        <v>16.8</v>
      </c>
      <c r="K4279" s="8">
        <f>financials[[#This Row],[Net Sales]]-financials[[#This Row],[COGS]]</f>
        <v>145.19999999999999</v>
      </c>
      <c r="L4279" s="15">
        <v>44872</v>
      </c>
      <c r="M4279" t="s">
        <v>700</v>
      </c>
    </row>
    <row r="4280" spans="1:13" x14ac:dyDescent="0.25">
      <c r="A4280" t="s">
        <v>87</v>
      </c>
      <c r="B4280" s="6" t="s">
        <v>124</v>
      </c>
      <c r="C4280" s="13">
        <v>103</v>
      </c>
      <c r="D4280" s="14" t="s">
        <v>83</v>
      </c>
      <c r="E4280">
        <v>5</v>
      </c>
      <c r="F4280" s="8">
        <f>VLOOKUP(financials[[#This Row],[productid]],Products!$B$2:$H$10,3)</f>
        <v>28</v>
      </c>
      <c r="G4280" s="8">
        <f>financials[[#This Row],[Units Sold]]*financials[[#This Row],[Sale Price]]</f>
        <v>140</v>
      </c>
      <c r="H4280" s="8">
        <f>IF(financials[[#This Row],[Discount Band]]="low",0.1,IF(financials[[#This Row],[Discount Band]]="medium",0.15,0.3))</f>
        <v>0.3</v>
      </c>
      <c r="I4280" s="8">
        <f>financials[[#This Row],[Gross Sales]]-financials[[#This Row],[Gross Sales]]*financials[[#This Row],[Discounts]]</f>
        <v>98</v>
      </c>
      <c r="J4280" s="8">
        <f>VLOOKUP(financials[[#This Row],[productid]],Products!$B$2:$H$10,4)</f>
        <v>15</v>
      </c>
      <c r="K4280" s="8">
        <f>financials[[#This Row],[Net Sales]]-financials[[#This Row],[COGS]]</f>
        <v>83</v>
      </c>
      <c r="L4280" s="15">
        <v>44655</v>
      </c>
      <c r="M4280" t="s">
        <v>700</v>
      </c>
    </row>
    <row r="4281" spans="1:13" x14ac:dyDescent="0.25">
      <c r="A4281" t="s">
        <v>87</v>
      </c>
      <c r="B4281" s="6" t="s">
        <v>124</v>
      </c>
      <c r="C4281" s="11">
        <v>102</v>
      </c>
      <c r="D4281" s="9" t="s">
        <v>91</v>
      </c>
      <c r="E4281">
        <v>11</v>
      </c>
      <c r="F4281" s="8">
        <f>VLOOKUP(financials[[#This Row],[productid]],Products!$B$2:$H$10,3)</f>
        <v>15</v>
      </c>
      <c r="G4281" s="8">
        <f>financials[[#This Row],[Units Sold]]*financials[[#This Row],[Sale Price]]</f>
        <v>165</v>
      </c>
      <c r="H4281" s="8">
        <f>IF(financials[[#This Row],[Discount Band]]="low",0.1,IF(financials[[#This Row],[Discount Band]]="medium",0.15,0.3))</f>
        <v>0.1</v>
      </c>
      <c r="I4281" s="8">
        <f>financials[[#This Row],[Gross Sales]]-financials[[#This Row],[Gross Sales]]*financials[[#This Row],[Discounts]]</f>
        <v>148.5</v>
      </c>
      <c r="J4281" s="8">
        <f>VLOOKUP(financials[[#This Row],[productid]],Products!$B$2:$H$10,4)</f>
        <v>13.95</v>
      </c>
      <c r="K4281" s="8">
        <f>financials[[#This Row],[Net Sales]]-financials[[#This Row],[COGS]]</f>
        <v>134.55000000000001</v>
      </c>
      <c r="L4281" s="15">
        <v>45573</v>
      </c>
      <c r="M4281" t="s">
        <v>697</v>
      </c>
    </row>
    <row r="4282" spans="1:13" x14ac:dyDescent="0.25">
      <c r="A4282" t="s">
        <v>87</v>
      </c>
      <c r="B4282" s="6" t="s">
        <v>159</v>
      </c>
      <c r="C4282" s="13">
        <v>107</v>
      </c>
      <c r="D4282" s="14" t="s">
        <v>83</v>
      </c>
      <c r="E4282">
        <v>18</v>
      </c>
      <c r="F4282" s="8">
        <f>VLOOKUP(financials[[#This Row],[productid]],Products!$B$2:$H$10,3)</f>
        <v>15</v>
      </c>
      <c r="G4282" s="8">
        <f>financials[[#This Row],[Units Sold]]*financials[[#This Row],[Sale Price]]</f>
        <v>270</v>
      </c>
      <c r="H4282" s="8">
        <f>IF(financials[[#This Row],[Discount Band]]="low",0.1,IF(financials[[#This Row],[Discount Band]]="medium",0.15,0.3))</f>
        <v>0.3</v>
      </c>
      <c r="I4282" s="8">
        <f>financials[[#This Row],[Gross Sales]]-financials[[#This Row],[Gross Sales]]*financials[[#This Row],[Discounts]]</f>
        <v>189</v>
      </c>
      <c r="J4282" s="8">
        <f>VLOOKUP(financials[[#This Row],[productid]],Products!$B$2:$H$10,4)</f>
        <v>5.5</v>
      </c>
      <c r="K4282" s="8">
        <f>financials[[#This Row],[Net Sales]]-financials[[#This Row],[COGS]]</f>
        <v>183.5</v>
      </c>
      <c r="L4282" s="15">
        <v>45295</v>
      </c>
      <c r="M4282" t="s">
        <v>690</v>
      </c>
    </row>
    <row r="4283" spans="1:13" x14ac:dyDescent="0.25">
      <c r="A4283" t="s">
        <v>87</v>
      </c>
      <c r="B4283" s="6" t="s">
        <v>124</v>
      </c>
      <c r="C4283" s="13">
        <v>101</v>
      </c>
      <c r="D4283" s="14" t="s">
        <v>91</v>
      </c>
      <c r="E4283">
        <v>8</v>
      </c>
      <c r="F4283" s="8">
        <f>VLOOKUP(financials[[#This Row],[productid]],Products!$B$2:$H$10,3)</f>
        <v>23</v>
      </c>
      <c r="G4283" s="8">
        <f>financials[[#This Row],[Units Sold]]*financials[[#This Row],[Sale Price]]</f>
        <v>184</v>
      </c>
      <c r="H4283" s="8">
        <f>IF(financials[[#This Row],[Discount Band]]="low",0.1,IF(financials[[#This Row],[Discount Band]]="medium",0.15,0.3))</f>
        <v>0.1</v>
      </c>
      <c r="I4283" s="8">
        <f>financials[[#This Row],[Gross Sales]]-financials[[#This Row],[Gross Sales]]*financials[[#This Row],[Discounts]]</f>
        <v>165.6</v>
      </c>
      <c r="J4283" s="8">
        <f>VLOOKUP(financials[[#This Row],[productid]],Products!$B$2:$H$10,4)</f>
        <v>9.9499999999999993</v>
      </c>
      <c r="K4283" s="8">
        <f>financials[[#This Row],[Net Sales]]-financials[[#This Row],[COGS]]</f>
        <v>155.65</v>
      </c>
      <c r="L4283" s="15">
        <v>45294</v>
      </c>
      <c r="M4283" t="s">
        <v>700</v>
      </c>
    </row>
    <row r="4284" spans="1:13" x14ac:dyDescent="0.25">
      <c r="A4284" t="s">
        <v>87</v>
      </c>
      <c r="B4284" s="6" t="s">
        <v>124</v>
      </c>
      <c r="C4284" s="13">
        <v>107</v>
      </c>
      <c r="D4284" s="14" t="s">
        <v>91</v>
      </c>
      <c r="E4284">
        <v>9</v>
      </c>
      <c r="F4284" s="8">
        <f>VLOOKUP(financials[[#This Row],[productid]],Products!$B$2:$H$10,3)</f>
        <v>15</v>
      </c>
      <c r="G4284" s="8">
        <f>financials[[#This Row],[Units Sold]]*financials[[#This Row],[Sale Price]]</f>
        <v>135</v>
      </c>
      <c r="H4284" s="8">
        <f>IF(financials[[#This Row],[Discount Band]]="low",0.1,IF(financials[[#This Row],[Discount Band]]="medium",0.15,0.3))</f>
        <v>0.1</v>
      </c>
      <c r="I4284" s="8">
        <f>financials[[#This Row],[Gross Sales]]-financials[[#This Row],[Gross Sales]]*financials[[#This Row],[Discounts]]</f>
        <v>121.5</v>
      </c>
      <c r="J4284" s="8">
        <f>VLOOKUP(financials[[#This Row],[productid]],Products!$B$2:$H$10,4)</f>
        <v>5.5</v>
      </c>
      <c r="K4284" s="8">
        <f>financials[[#This Row],[Net Sales]]-financials[[#This Row],[COGS]]</f>
        <v>116</v>
      </c>
      <c r="L4284" s="15">
        <v>44445</v>
      </c>
      <c r="M4284" t="s">
        <v>700</v>
      </c>
    </row>
    <row r="4285" spans="1:13" x14ac:dyDescent="0.25">
      <c r="A4285" t="s">
        <v>87</v>
      </c>
      <c r="B4285" s="6" t="s">
        <v>124</v>
      </c>
      <c r="C4285" s="13">
        <v>108</v>
      </c>
      <c r="D4285" s="14" t="s">
        <v>91</v>
      </c>
      <c r="E4285">
        <v>20</v>
      </c>
      <c r="F4285" s="8">
        <f>VLOOKUP(financials[[#This Row],[productid]],Products!$B$2:$H$10,3)</f>
        <v>5.5</v>
      </c>
      <c r="G4285" s="8">
        <f>financials[[#This Row],[Units Sold]]*financials[[#This Row],[Sale Price]]</f>
        <v>110</v>
      </c>
      <c r="H4285" s="8">
        <f>IF(financials[[#This Row],[Discount Band]]="low",0.1,IF(financials[[#This Row],[Discount Band]]="medium",0.15,0.3))</f>
        <v>0.1</v>
      </c>
      <c r="I4285" s="8">
        <f>financials[[#This Row],[Gross Sales]]-financials[[#This Row],[Gross Sales]]*financials[[#This Row],[Discounts]]</f>
        <v>99</v>
      </c>
      <c r="J4285" s="8">
        <f>VLOOKUP(financials[[#This Row],[productid]],Products!$B$2:$H$10,4)</f>
        <v>3.99</v>
      </c>
      <c r="K4285" s="8">
        <f>financials[[#This Row],[Net Sales]]-financials[[#This Row],[COGS]]</f>
        <v>95.01</v>
      </c>
      <c r="L4285" s="15">
        <v>44314</v>
      </c>
      <c r="M4285" t="s">
        <v>697</v>
      </c>
    </row>
    <row r="4286" spans="1:13" x14ac:dyDescent="0.25">
      <c r="A4286" t="s">
        <v>87</v>
      </c>
      <c r="B4286" s="6" t="s">
        <v>159</v>
      </c>
      <c r="C4286" s="13">
        <v>103</v>
      </c>
      <c r="D4286" s="14" t="s">
        <v>91</v>
      </c>
      <c r="E4286">
        <v>7</v>
      </c>
      <c r="F4286" s="8">
        <f>VLOOKUP(financials[[#This Row],[productid]],Products!$B$2:$H$10,3)</f>
        <v>28</v>
      </c>
      <c r="G4286" s="8">
        <f>financials[[#This Row],[Units Sold]]*financials[[#This Row],[Sale Price]]</f>
        <v>196</v>
      </c>
      <c r="H4286" s="8">
        <f>IF(financials[[#This Row],[Discount Band]]="low",0.1,IF(financials[[#This Row],[Discount Band]]="medium",0.15,0.3))</f>
        <v>0.1</v>
      </c>
      <c r="I4286" s="8">
        <f>financials[[#This Row],[Gross Sales]]-financials[[#This Row],[Gross Sales]]*financials[[#This Row],[Discounts]]</f>
        <v>176.4</v>
      </c>
      <c r="J4286" s="8">
        <f>VLOOKUP(financials[[#This Row],[productid]],Products!$B$2:$H$10,4)</f>
        <v>15</v>
      </c>
      <c r="K4286" s="8">
        <f>financials[[#This Row],[Net Sales]]-financials[[#This Row],[COGS]]</f>
        <v>161.4</v>
      </c>
      <c r="L4286" s="15">
        <v>45329</v>
      </c>
      <c r="M4286" t="s">
        <v>696</v>
      </c>
    </row>
    <row r="4287" spans="1:13" x14ac:dyDescent="0.25">
      <c r="A4287" t="s">
        <v>87</v>
      </c>
      <c r="B4287" s="6" t="s">
        <v>159</v>
      </c>
      <c r="C4287" s="13">
        <v>106</v>
      </c>
      <c r="D4287" s="14" t="s">
        <v>91</v>
      </c>
      <c r="E4287">
        <v>20</v>
      </c>
      <c r="F4287" s="8">
        <f>VLOOKUP(financials[[#This Row],[productid]],Products!$B$2:$H$10,3)</f>
        <v>25</v>
      </c>
      <c r="G4287" s="8">
        <f>financials[[#This Row],[Units Sold]]*financials[[#This Row],[Sale Price]]</f>
        <v>500</v>
      </c>
      <c r="H4287" s="8">
        <f>IF(financials[[#This Row],[Discount Band]]="low",0.1,IF(financials[[#This Row],[Discount Band]]="medium",0.15,0.3))</f>
        <v>0.1</v>
      </c>
      <c r="I4287" s="8">
        <f>financials[[#This Row],[Gross Sales]]-financials[[#This Row],[Gross Sales]]*financials[[#This Row],[Discounts]]</f>
        <v>450</v>
      </c>
      <c r="J4287" s="8">
        <f>VLOOKUP(financials[[#This Row],[productid]],Products!$B$2:$H$10,4)</f>
        <v>9.1</v>
      </c>
      <c r="K4287" s="8">
        <f>financials[[#This Row],[Net Sales]]-financials[[#This Row],[COGS]]</f>
        <v>440.9</v>
      </c>
      <c r="L4287" s="15">
        <v>44979</v>
      </c>
      <c r="M4287" t="s">
        <v>700</v>
      </c>
    </row>
    <row r="4288" spans="1:13" x14ac:dyDescent="0.25">
      <c r="A4288" t="s">
        <v>87</v>
      </c>
      <c r="B4288" s="6" t="s">
        <v>124</v>
      </c>
      <c r="C4288" s="13">
        <v>103</v>
      </c>
      <c r="D4288" s="14" t="s">
        <v>91</v>
      </c>
      <c r="E4288">
        <v>13</v>
      </c>
      <c r="F4288" s="8">
        <f>VLOOKUP(financials[[#This Row],[productid]],Products!$B$2:$H$10,3)</f>
        <v>28</v>
      </c>
      <c r="G4288" s="8">
        <f>financials[[#This Row],[Units Sold]]*financials[[#This Row],[Sale Price]]</f>
        <v>364</v>
      </c>
      <c r="H4288" s="8">
        <f>IF(financials[[#This Row],[Discount Band]]="low",0.1,IF(financials[[#This Row],[Discount Band]]="medium",0.15,0.3))</f>
        <v>0.1</v>
      </c>
      <c r="I4288" s="8">
        <f>financials[[#This Row],[Gross Sales]]-financials[[#This Row],[Gross Sales]]*financials[[#This Row],[Discounts]]</f>
        <v>327.60000000000002</v>
      </c>
      <c r="J4288" s="8">
        <f>VLOOKUP(financials[[#This Row],[productid]],Products!$B$2:$H$10,4)</f>
        <v>15</v>
      </c>
      <c r="K4288" s="8">
        <f>financials[[#This Row],[Net Sales]]-financials[[#This Row],[COGS]]</f>
        <v>312.60000000000002</v>
      </c>
      <c r="L4288" s="15">
        <v>44823</v>
      </c>
      <c r="M4288" t="s">
        <v>700</v>
      </c>
    </row>
    <row r="4289" spans="1:13" x14ac:dyDescent="0.25">
      <c r="A4289" t="s">
        <v>87</v>
      </c>
      <c r="B4289" s="6" t="s">
        <v>159</v>
      </c>
      <c r="C4289" s="11">
        <v>108</v>
      </c>
      <c r="D4289" s="9" t="s">
        <v>83</v>
      </c>
      <c r="E4289">
        <v>18</v>
      </c>
      <c r="F4289" s="8">
        <f>VLOOKUP(financials[[#This Row],[productid]],Products!$B$2:$H$10,3)</f>
        <v>5.5</v>
      </c>
      <c r="G4289" s="8">
        <f>financials[[#This Row],[Units Sold]]*financials[[#This Row],[Sale Price]]</f>
        <v>99</v>
      </c>
      <c r="H4289" s="8">
        <f>IF(financials[[#This Row],[Discount Band]]="low",0.1,IF(financials[[#This Row],[Discount Band]]="medium",0.15,0.3))</f>
        <v>0.3</v>
      </c>
      <c r="I4289" s="8">
        <f>financials[[#This Row],[Gross Sales]]-financials[[#This Row],[Gross Sales]]*financials[[#This Row],[Discounts]]</f>
        <v>69.3</v>
      </c>
      <c r="J4289" s="8">
        <f>VLOOKUP(financials[[#This Row],[productid]],Products!$B$2:$H$10,4)</f>
        <v>3.99</v>
      </c>
      <c r="K4289" s="8">
        <f>financials[[#This Row],[Net Sales]]-financials[[#This Row],[COGS]]</f>
        <v>65.31</v>
      </c>
      <c r="L4289" s="15">
        <v>44468</v>
      </c>
      <c r="M4289" t="s">
        <v>691</v>
      </c>
    </row>
    <row r="4290" spans="1:13" x14ac:dyDescent="0.25">
      <c r="A4290" t="s">
        <v>87</v>
      </c>
      <c r="B4290" s="6" t="s">
        <v>124</v>
      </c>
      <c r="C4290" s="13">
        <v>106</v>
      </c>
      <c r="D4290" s="14" t="s">
        <v>90</v>
      </c>
      <c r="E4290">
        <v>11</v>
      </c>
      <c r="F4290" s="8">
        <f>VLOOKUP(financials[[#This Row],[productid]],Products!$B$2:$H$10,3)</f>
        <v>25</v>
      </c>
      <c r="G4290" s="8">
        <f>financials[[#This Row],[Units Sold]]*financials[[#This Row],[Sale Price]]</f>
        <v>275</v>
      </c>
      <c r="H4290" s="8">
        <f>IF(financials[[#This Row],[Discount Band]]="low",0.1,IF(financials[[#This Row],[Discount Band]]="medium",0.15,0.3))</f>
        <v>0.15</v>
      </c>
      <c r="I4290" s="8">
        <f>financials[[#This Row],[Gross Sales]]-financials[[#This Row],[Gross Sales]]*financials[[#This Row],[Discounts]]</f>
        <v>233.75</v>
      </c>
      <c r="J4290" s="8">
        <f>VLOOKUP(financials[[#This Row],[productid]],Products!$B$2:$H$10,4)</f>
        <v>9.1</v>
      </c>
      <c r="K4290" s="8">
        <f>financials[[#This Row],[Net Sales]]-financials[[#This Row],[COGS]]</f>
        <v>224.65</v>
      </c>
      <c r="L4290" s="15">
        <v>45602</v>
      </c>
      <c r="M4290" t="s">
        <v>696</v>
      </c>
    </row>
    <row r="4291" spans="1:13" x14ac:dyDescent="0.25">
      <c r="A4291" t="s">
        <v>87</v>
      </c>
      <c r="B4291" s="6" t="s">
        <v>124</v>
      </c>
      <c r="C4291" s="13">
        <v>104</v>
      </c>
      <c r="D4291" s="14" t="s">
        <v>91</v>
      </c>
      <c r="E4291">
        <v>16</v>
      </c>
      <c r="F4291" s="8">
        <f>VLOOKUP(financials[[#This Row],[productid]],Products!$B$2:$H$10,3)</f>
        <v>5.9</v>
      </c>
      <c r="G4291" s="8">
        <f>financials[[#This Row],[Units Sold]]*financials[[#This Row],[Sale Price]]</f>
        <v>94.4</v>
      </c>
      <c r="H4291" s="8">
        <f>IF(financials[[#This Row],[Discount Band]]="low",0.1,IF(financials[[#This Row],[Discount Band]]="medium",0.15,0.3))</f>
        <v>0.1</v>
      </c>
      <c r="I4291" s="8">
        <f>financials[[#This Row],[Gross Sales]]-financials[[#This Row],[Gross Sales]]*financials[[#This Row],[Discounts]]</f>
        <v>84.960000000000008</v>
      </c>
      <c r="J4291" s="8">
        <f>VLOOKUP(financials[[#This Row],[productid]],Products!$B$2:$H$10,4)</f>
        <v>2.9</v>
      </c>
      <c r="K4291" s="8">
        <f>financials[[#This Row],[Net Sales]]-financials[[#This Row],[COGS]]</f>
        <v>82.06</v>
      </c>
      <c r="L4291" s="15">
        <v>45158</v>
      </c>
      <c r="M4291" t="s">
        <v>690</v>
      </c>
    </row>
    <row r="4292" spans="1:13" x14ac:dyDescent="0.25">
      <c r="A4292" t="s">
        <v>87</v>
      </c>
      <c r="B4292" s="6" t="s">
        <v>159</v>
      </c>
      <c r="C4292" s="13">
        <v>106</v>
      </c>
      <c r="D4292" s="14" t="s">
        <v>91</v>
      </c>
      <c r="E4292">
        <v>17</v>
      </c>
      <c r="F4292" s="8">
        <f>VLOOKUP(financials[[#This Row],[productid]],Products!$B$2:$H$10,3)</f>
        <v>25</v>
      </c>
      <c r="G4292" s="8">
        <f>financials[[#This Row],[Units Sold]]*financials[[#This Row],[Sale Price]]</f>
        <v>425</v>
      </c>
      <c r="H4292" s="8">
        <f>IF(financials[[#This Row],[Discount Band]]="low",0.1,IF(financials[[#This Row],[Discount Band]]="medium",0.15,0.3))</f>
        <v>0.1</v>
      </c>
      <c r="I4292" s="8">
        <f>financials[[#This Row],[Gross Sales]]-financials[[#This Row],[Gross Sales]]*financials[[#This Row],[Discounts]]</f>
        <v>382.5</v>
      </c>
      <c r="J4292" s="8">
        <f>VLOOKUP(financials[[#This Row],[productid]],Products!$B$2:$H$10,4)</f>
        <v>9.1</v>
      </c>
      <c r="K4292" s="8">
        <f>financials[[#This Row],[Net Sales]]-financials[[#This Row],[COGS]]</f>
        <v>373.4</v>
      </c>
      <c r="L4292" s="15">
        <v>44079</v>
      </c>
      <c r="M4292" t="s">
        <v>700</v>
      </c>
    </row>
    <row r="4293" spans="1:13" x14ac:dyDescent="0.25">
      <c r="A4293" t="s">
        <v>87</v>
      </c>
      <c r="B4293" s="6" t="s">
        <v>159</v>
      </c>
      <c r="C4293" s="13">
        <v>103</v>
      </c>
      <c r="D4293" s="14" t="s">
        <v>91</v>
      </c>
      <c r="E4293">
        <v>9</v>
      </c>
      <c r="F4293" s="8">
        <f>VLOOKUP(financials[[#This Row],[productid]],Products!$B$2:$H$10,3)</f>
        <v>28</v>
      </c>
      <c r="G4293" s="8">
        <f>financials[[#This Row],[Units Sold]]*financials[[#This Row],[Sale Price]]</f>
        <v>252</v>
      </c>
      <c r="H4293" s="8">
        <f>IF(financials[[#This Row],[Discount Band]]="low",0.1,IF(financials[[#This Row],[Discount Band]]="medium",0.15,0.3))</f>
        <v>0.1</v>
      </c>
      <c r="I4293" s="8">
        <f>financials[[#This Row],[Gross Sales]]-financials[[#This Row],[Gross Sales]]*financials[[#This Row],[Discounts]]</f>
        <v>226.8</v>
      </c>
      <c r="J4293" s="8">
        <f>VLOOKUP(financials[[#This Row],[productid]],Products!$B$2:$H$10,4)</f>
        <v>15</v>
      </c>
      <c r="K4293" s="8">
        <f>financials[[#This Row],[Net Sales]]-financials[[#This Row],[COGS]]</f>
        <v>211.8</v>
      </c>
      <c r="L4293" s="15">
        <v>45012</v>
      </c>
      <c r="M4293" t="s">
        <v>697</v>
      </c>
    </row>
    <row r="4294" spans="1:13" x14ac:dyDescent="0.25">
      <c r="A4294" t="s">
        <v>87</v>
      </c>
      <c r="B4294" s="6" t="s">
        <v>124</v>
      </c>
      <c r="C4294" s="13">
        <v>102</v>
      </c>
      <c r="D4294" s="14" t="s">
        <v>91</v>
      </c>
      <c r="E4294">
        <v>7</v>
      </c>
      <c r="F4294" s="8">
        <f>VLOOKUP(financials[[#This Row],[productid]],Products!$B$2:$H$10,3)</f>
        <v>15</v>
      </c>
      <c r="G4294" s="8">
        <f>financials[[#This Row],[Units Sold]]*financials[[#This Row],[Sale Price]]</f>
        <v>105</v>
      </c>
      <c r="H4294" s="8">
        <f>IF(financials[[#This Row],[Discount Band]]="low",0.1,IF(financials[[#This Row],[Discount Band]]="medium",0.15,0.3))</f>
        <v>0.1</v>
      </c>
      <c r="I4294" s="8">
        <f>financials[[#This Row],[Gross Sales]]-financials[[#This Row],[Gross Sales]]*financials[[#This Row],[Discounts]]</f>
        <v>94.5</v>
      </c>
      <c r="J4294" s="8">
        <f>VLOOKUP(financials[[#This Row],[productid]],Products!$B$2:$H$10,4)</f>
        <v>13.95</v>
      </c>
      <c r="K4294" s="8">
        <f>financials[[#This Row],[Net Sales]]-financials[[#This Row],[COGS]]</f>
        <v>80.55</v>
      </c>
      <c r="L4294" s="15">
        <v>44261</v>
      </c>
      <c r="M4294" t="s">
        <v>696</v>
      </c>
    </row>
    <row r="4295" spans="1:13" x14ac:dyDescent="0.25">
      <c r="A4295" t="s">
        <v>87</v>
      </c>
      <c r="B4295" s="6" t="s">
        <v>124</v>
      </c>
      <c r="C4295" s="11">
        <v>101</v>
      </c>
      <c r="D4295" s="9" t="s">
        <v>90</v>
      </c>
      <c r="E4295">
        <v>8</v>
      </c>
      <c r="F4295" s="8">
        <f>VLOOKUP(financials[[#This Row],[productid]],Products!$B$2:$H$10,3)</f>
        <v>23</v>
      </c>
      <c r="G4295" s="8">
        <f>financials[[#This Row],[Units Sold]]*financials[[#This Row],[Sale Price]]</f>
        <v>184</v>
      </c>
      <c r="H4295" s="8">
        <f>IF(financials[[#This Row],[Discount Band]]="low",0.1,IF(financials[[#This Row],[Discount Band]]="medium",0.15,0.3))</f>
        <v>0.15</v>
      </c>
      <c r="I4295" s="8">
        <f>financials[[#This Row],[Gross Sales]]-financials[[#This Row],[Gross Sales]]*financials[[#This Row],[Discounts]]</f>
        <v>156.4</v>
      </c>
      <c r="J4295" s="8">
        <f>VLOOKUP(financials[[#This Row],[productid]],Products!$B$2:$H$10,4)</f>
        <v>9.9499999999999993</v>
      </c>
      <c r="K4295" s="8">
        <f>financials[[#This Row],[Net Sales]]-financials[[#This Row],[COGS]]</f>
        <v>146.45000000000002</v>
      </c>
      <c r="L4295" s="15">
        <v>45532</v>
      </c>
      <c r="M4295" t="s">
        <v>696</v>
      </c>
    </row>
    <row r="4296" spans="1:13" x14ac:dyDescent="0.25">
      <c r="A4296" t="s">
        <v>87</v>
      </c>
      <c r="B4296" s="6" t="s">
        <v>159</v>
      </c>
      <c r="C4296" s="13">
        <v>103</v>
      </c>
      <c r="D4296" s="14" t="s">
        <v>83</v>
      </c>
      <c r="E4296">
        <v>11</v>
      </c>
      <c r="F4296" s="8">
        <f>VLOOKUP(financials[[#This Row],[productid]],Products!$B$2:$H$10,3)</f>
        <v>28</v>
      </c>
      <c r="G4296" s="8">
        <f>financials[[#This Row],[Units Sold]]*financials[[#This Row],[Sale Price]]</f>
        <v>308</v>
      </c>
      <c r="H4296" s="8">
        <f>IF(financials[[#This Row],[Discount Band]]="low",0.1,IF(financials[[#This Row],[Discount Band]]="medium",0.15,0.3))</f>
        <v>0.3</v>
      </c>
      <c r="I4296" s="8">
        <f>financials[[#This Row],[Gross Sales]]-financials[[#This Row],[Gross Sales]]*financials[[#This Row],[Discounts]]</f>
        <v>215.60000000000002</v>
      </c>
      <c r="J4296" s="8">
        <f>VLOOKUP(financials[[#This Row],[productid]],Products!$B$2:$H$10,4)</f>
        <v>15</v>
      </c>
      <c r="K4296" s="8">
        <f>financials[[#This Row],[Net Sales]]-financials[[#This Row],[COGS]]</f>
        <v>200.60000000000002</v>
      </c>
      <c r="L4296" s="15">
        <v>45456</v>
      </c>
      <c r="M4296" t="s">
        <v>696</v>
      </c>
    </row>
    <row r="4297" spans="1:13" x14ac:dyDescent="0.25">
      <c r="A4297" t="s">
        <v>87</v>
      </c>
      <c r="B4297" s="6" t="s">
        <v>159</v>
      </c>
      <c r="C4297" s="13">
        <v>109</v>
      </c>
      <c r="D4297" s="14" t="s">
        <v>91</v>
      </c>
      <c r="E4297">
        <v>11</v>
      </c>
      <c r="F4297" s="8">
        <f>VLOOKUP(financials[[#This Row],[productid]],Products!$B$2:$H$10,3)</f>
        <v>36</v>
      </c>
      <c r="G4297" s="8">
        <f>financials[[#This Row],[Units Sold]]*financials[[#This Row],[Sale Price]]</f>
        <v>396</v>
      </c>
      <c r="H4297" s="8">
        <f>IF(financials[[#This Row],[Discount Band]]="low",0.1,IF(financials[[#This Row],[Discount Band]]="medium",0.15,0.3))</f>
        <v>0.1</v>
      </c>
      <c r="I4297" s="8">
        <f>financials[[#This Row],[Gross Sales]]-financials[[#This Row],[Gross Sales]]*financials[[#This Row],[Discounts]]</f>
        <v>356.4</v>
      </c>
      <c r="J4297" s="8">
        <f>VLOOKUP(financials[[#This Row],[productid]],Products!$B$2:$H$10,4)</f>
        <v>16.8</v>
      </c>
      <c r="K4297" s="8">
        <f>financials[[#This Row],[Net Sales]]-financials[[#This Row],[COGS]]</f>
        <v>339.59999999999997</v>
      </c>
      <c r="L4297" s="15">
        <v>44701</v>
      </c>
      <c r="M4297" t="s">
        <v>700</v>
      </c>
    </row>
    <row r="4298" spans="1:13" x14ac:dyDescent="0.25">
      <c r="A4298" t="s">
        <v>87</v>
      </c>
      <c r="B4298" s="6" t="s">
        <v>159</v>
      </c>
      <c r="C4298" s="13">
        <v>106</v>
      </c>
      <c r="D4298" s="14" t="s">
        <v>92</v>
      </c>
      <c r="E4298">
        <v>11</v>
      </c>
      <c r="F4298" s="8">
        <f>VLOOKUP(financials[[#This Row],[productid]],Products!$B$2:$H$10,3)</f>
        <v>25</v>
      </c>
      <c r="G4298" s="8">
        <f>financials[[#This Row],[Units Sold]]*financials[[#This Row],[Sale Price]]</f>
        <v>275</v>
      </c>
      <c r="H4298" s="8">
        <f>IF(financials[[#This Row],[Discount Band]]="low",0.1,IF(financials[[#This Row],[Discount Band]]="medium",0.15,0.3))</f>
        <v>0.3</v>
      </c>
      <c r="I4298" s="8">
        <f>financials[[#This Row],[Gross Sales]]-financials[[#This Row],[Gross Sales]]*financials[[#This Row],[Discounts]]</f>
        <v>192.5</v>
      </c>
      <c r="J4298" s="8">
        <f>VLOOKUP(financials[[#This Row],[productid]],Products!$B$2:$H$10,4)</f>
        <v>9.1</v>
      </c>
      <c r="K4298" s="8">
        <f>financials[[#This Row],[Net Sales]]-financials[[#This Row],[COGS]]</f>
        <v>183.4</v>
      </c>
      <c r="L4298" s="15">
        <v>45301</v>
      </c>
      <c r="M4298" t="s">
        <v>696</v>
      </c>
    </row>
    <row r="4299" spans="1:13" x14ac:dyDescent="0.25">
      <c r="A4299" t="s">
        <v>87</v>
      </c>
      <c r="B4299" s="6" t="s">
        <v>124</v>
      </c>
      <c r="C4299" s="13">
        <v>103</v>
      </c>
      <c r="D4299" s="14" t="s">
        <v>91</v>
      </c>
      <c r="E4299">
        <v>15</v>
      </c>
      <c r="F4299" s="8">
        <f>VLOOKUP(financials[[#This Row],[productid]],Products!$B$2:$H$10,3)</f>
        <v>28</v>
      </c>
      <c r="G4299" s="8">
        <f>financials[[#This Row],[Units Sold]]*financials[[#This Row],[Sale Price]]</f>
        <v>420</v>
      </c>
      <c r="H4299" s="8">
        <f>IF(financials[[#This Row],[Discount Band]]="low",0.1,IF(financials[[#This Row],[Discount Band]]="medium",0.15,0.3))</f>
        <v>0.1</v>
      </c>
      <c r="I4299" s="8">
        <f>financials[[#This Row],[Gross Sales]]-financials[[#This Row],[Gross Sales]]*financials[[#This Row],[Discounts]]</f>
        <v>378</v>
      </c>
      <c r="J4299" s="8">
        <f>VLOOKUP(financials[[#This Row],[productid]],Products!$B$2:$H$10,4)</f>
        <v>15</v>
      </c>
      <c r="K4299" s="8">
        <f>financials[[#This Row],[Net Sales]]-financials[[#This Row],[COGS]]</f>
        <v>363</v>
      </c>
      <c r="L4299" s="15">
        <v>44623</v>
      </c>
      <c r="M4299" t="s">
        <v>690</v>
      </c>
    </row>
    <row r="4300" spans="1:13" x14ac:dyDescent="0.25">
      <c r="A4300" t="s">
        <v>87</v>
      </c>
      <c r="B4300" s="6" t="s">
        <v>159</v>
      </c>
      <c r="C4300" s="13">
        <v>107</v>
      </c>
      <c r="D4300" s="14" t="s">
        <v>91</v>
      </c>
      <c r="E4300">
        <v>14</v>
      </c>
      <c r="F4300" s="8">
        <f>VLOOKUP(financials[[#This Row],[productid]],Products!$B$2:$H$10,3)</f>
        <v>15</v>
      </c>
      <c r="G4300" s="8">
        <f>financials[[#This Row],[Units Sold]]*financials[[#This Row],[Sale Price]]</f>
        <v>210</v>
      </c>
      <c r="H4300" s="8">
        <f>IF(financials[[#This Row],[Discount Band]]="low",0.1,IF(financials[[#This Row],[Discount Band]]="medium",0.15,0.3))</f>
        <v>0.1</v>
      </c>
      <c r="I4300" s="8">
        <f>financials[[#This Row],[Gross Sales]]-financials[[#This Row],[Gross Sales]]*financials[[#This Row],[Discounts]]</f>
        <v>189</v>
      </c>
      <c r="J4300" s="8">
        <f>VLOOKUP(financials[[#This Row],[productid]],Products!$B$2:$H$10,4)</f>
        <v>5.5</v>
      </c>
      <c r="K4300" s="8">
        <f>financials[[#This Row],[Net Sales]]-financials[[#This Row],[COGS]]</f>
        <v>183.5</v>
      </c>
      <c r="L4300" s="15">
        <v>45409</v>
      </c>
      <c r="M4300" t="s">
        <v>690</v>
      </c>
    </row>
    <row r="4301" spans="1:13" x14ac:dyDescent="0.25">
      <c r="A4301" t="s">
        <v>87</v>
      </c>
      <c r="B4301" s="6" t="s">
        <v>159</v>
      </c>
      <c r="C4301" s="11">
        <v>103</v>
      </c>
      <c r="D4301" s="9" t="s">
        <v>91</v>
      </c>
      <c r="E4301">
        <v>17</v>
      </c>
      <c r="F4301" s="8">
        <f>VLOOKUP(financials[[#This Row],[productid]],Products!$B$2:$H$10,3)</f>
        <v>28</v>
      </c>
      <c r="G4301" s="8">
        <f>financials[[#This Row],[Units Sold]]*financials[[#This Row],[Sale Price]]</f>
        <v>476</v>
      </c>
      <c r="H4301" s="8">
        <f>IF(financials[[#This Row],[Discount Band]]="low",0.1,IF(financials[[#This Row],[Discount Band]]="medium",0.15,0.3))</f>
        <v>0.1</v>
      </c>
      <c r="I4301" s="8">
        <f>financials[[#This Row],[Gross Sales]]-financials[[#This Row],[Gross Sales]]*financials[[#This Row],[Discounts]]</f>
        <v>428.4</v>
      </c>
      <c r="J4301" s="8">
        <f>VLOOKUP(financials[[#This Row],[productid]],Products!$B$2:$H$10,4)</f>
        <v>15</v>
      </c>
      <c r="K4301" s="8">
        <f>financials[[#This Row],[Net Sales]]-financials[[#This Row],[COGS]]</f>
        <v>413.4</v>
      </c>
      <c r="L4301" s="15">
        <v>45246</v>
      </c>
      <c r="M4301" t="s">
        <v>696</v>
      </c>
    </row>
    <row r="4302" spans="1:13" x14ac:dyDescent="0.25">
      <c r="A4302" t="s">
        <v>87</v>
      </c>
      <c r="B4302" s="6" t="s">
        <v>159</v>
      </c>
      <c r="C4302" s="13">
        <v>104</v>
      </c>
      <c r="D4302" s="14" t="s">
        <v>91</v>
      </c>
      <c r="E4302">
        <v>10</v>
      </c>
      <c r="F4302" s="8">
        <f>VLOOKUP(financials[[#This Row],[productid]],Products!$B$2:$H$10,3)</f>
        <v>5.9</v>
      </c>
      <c r="G4302" s="8">
        <f>financials[[#This Row],[Units Sold]]*financials[[#This Row],[Sale Price]]</f>
        <v>59</v>
      </c>
      <c r="H4302" s="8">
        <f>IF(financials[[#This Row],[Discount Band]]="low",0.1,IF(financials[[#This Row],[Discount Band]]="medium",0.15,0.3))</f>
        <v>0.1</v>
      </c>
      <c r="I4302" s="8">
        <f>financials[[#This Row],[Gross Sales]]-financials[[#This Row],[Gross Sales]]*financials[[#This Row],[Discounts]]</f>
        <v>53.1</v>
      </c>
      <c r="J4302" s="8">
        <f>VLOOKUP(financials[[#This Row],[productid]],Products!$B$2:$H$10,4)</f>
        <v>2.9</v>
      </c>
      <c r="K4302" s="8">
        <f>financials[[#This Row],[Net Sales]]-financials[[#This Row],[COGS]]</f>
        <v>50.2</v>
      </c>
      <c r="L4302" s="15">
        <v>44402</v>
      </c>
      <c r="M4302" t="s">
        <v>700</v>
      </c>
    </row>
    <row r="4303" spans="1:13" x14ac:dyDescent="0.25">
      <c r="A4303" t="s">
        <v>87</v>
      </c>
      <c r="B4303" s="6" t="s">
        <v>124</v>
      </c>
      <c r="C4303" s="13">
        <v>106</v>
      </c>
      <c r="D4303" s="14" t="s">
        <v>91</v>
      </c>
      <c r="E4303">
        <v>11</v>
      </c>
      <c r="F4303" s="8">
        <f>VLOOKUP(financials[[#This Row],[productid]],Products!$B$2:$H$10,3)</f>
        <v>25</v>
      </c>
      <c r="G4303" s="8">
        <f>financials[[#This Row],[Units Sold]]*financials[[#This Row],[Sale Price]]</f>
        <v>275</v>
      </c>
      <c r="H4303" s="8">
        <f>IF(financials[[#This Row],[Discount Band]]="low",0.1,IF(financials[[#This Row],[Discount Band]]="medium",0.15,0.3))</f>
        <v>0.1</v>
      </c>
      <c r="I4303" s="8">
        <f>financials[[#This Row],[Gross Sales]]-financials[[#This Row],[Gross Sales]]*financials[[#This Row],[Discounts]]</f>
        <v>247.5</v>
      </c>
      <c r="J4303" s="8">
        <f>VLOOKUP(financials[[#This Row],[productid]],Products!$B$2:$H$10,4)</f>
        <v>9.1</v>
      </c>
      <c r="K4303" s="8">
        <f>financials[[#This Row],[Net Sales]]-financials[[#This Row],[COGS]]</f>
        <v>238.4</v>
      </c>
      <c r="L4303" s="15">
        <v>43858</v>
      </c>
      <c r="M4303" t="s">
        <v>700</v>
      </c>
    </row>
    <row r="4304" spans="1:13" x14ac:dyDescent="0.25">
      <c r="A4304" t="s">
        <v>87</v>
      </c>
      <c r="B4304" s="6" t="s">
        <v>124</v>
      </c>
      <c r="C4304" s="13">
        <v>108</v>
      </c>
      <c r="D4304" s="14" t="s">
        <v>83</v>
      </c>
      <c r="E4304">
        <v>9</v>
      </c>
      <c r="F4304" s="8">
        <f>VLOOKUP(financials[[#This Row],[productid]],Products!$B$2:$H$10,3)</f>
        <v>5.5</v>
      </c>
      <c r="G4304" s="8">
        <f>financials[[#This Row],[Units Sold]]*financials[[#This Row],[Sale Price]]</f>
        <v>49.5</v>
      </c>
      <c r="H4304" s="8">
        <f>IF(financials[[#This Row],[Discount Band]]="low",0.1,IF(financials[[#This Row],[Discount Band]]="medium",0.15,0.3))</f>
        <v>0.3</v>
      </c>
      <c r="I4304" s="8">
        <f>financials[[#This Row],[Gross Sales]]-financials[[#This Row],[Gross Sales]]*financials[[#This Row],[Discounts]]</f>
        <v>34.65</v>
      </c>
      <c r="J4304" s="8">
        <f>VLOOKUP(financials[[#This Row],[productid]],Products!$B$2:$H$10,4)</f>
        <v>3.99</v>
      </c>
      <c r="K4304" s="8">
        <f>financials[[#This Row],[Net Sales]]-financials[[#This Row],[COGS]]</f>
        <v>30.659999999999997</v>
      </c>
      <c r="L4304" s="15">
        <v>44084</v>
      </c>
      <c r="M4304" t="s">
        <v>700</v>
      </c>
    </row>
    <row r="4305" spans="1:13" x14ac:dyDescent="0.25">
      <c r="A4305" t="s">
        <v>88</v>
      </c>
      <c r="B4305" s="6" t="s">
        <v>159</v>
      </c>
      <c r="C4305" s="13">
        <v>101</v>
      </c>
      <c r="D4305" s="14" t="s">
        <v>91</v>
      </c>
      <c r="E4305">
        <v>17</v>
      </c>
      <c r="F4305" s="8">
        <f>VLOOKUP(financials[[#This Row],[productid]],Products!$B$2:$H$10,3)</f>
        <v>23</v>
      </c>
      <c r="G4305" s="8">
        <f>financials[[#This Row],[Units Sold]]*financials[[#This Row],[Sale Price]]</f>
        <v>391</v>
      </c>
      <c r="H4305" s="8">
        <f>IF(financials[[#This Row],[Discount Band]]="low",0.1,IF(financials[[#This Row],[Discount Band]]="medium",0.15,0.3))</f>
        <v>0.1</v>
      </c>
      <c r="I4305" s="8">
        <f>financials[[#This Row],[Gross Sales]]-financials[[#This Row],[Gross Sales]]*financials[[#This Row],[Discounts]]</f>
        <v>351.9</v>
      </c>
      <c r="J4305" s="8">
        <f>VLOOKUP(financials[[#This Row],[productid]],Products!$B$2:$H$10,4)</f>
        <v>9.9499999999999993</v>
      </c>
      <c r="K4305" s="8">
        <f>financials[[#This Row],[Net Sales]]-financials[[#This Row],[COGS]]</f>
        <v>341.95</v>
      </c>
      <c r="L4305" s="15">
        <v>45002</v>
      </c>
      <c r="M4305" t="s">
        <v>691</v>
      </c>
    </row>
    <row r="4306" spans="1:13" x14ac:dyDescent="0.25">
      <c r="A4306" t="s">
        <v>87</v>
      </c>
      <c r="B4306" s="6" t="s">
        <v>124</v>
      </c>
      <c r="C4306" s="13">
        <v>108</v>
      </c>
      <c r="D4306" s="14" t="s">
        <v>91</v>
      </c>
      <c r="E4306">
        <v>17</v>
      </c>
      <c r="F4306" s="8">
        <f>VLOOKUP(financials[[#This Row],[productid]],Products!$B$2:$H$10,3)</f>
        <v>5.5</v>
      </c>
      <c r="G4306" s="8">
        <f>financials[[#This Row],[Units Sold]]*financials[[#This Row],[Sale Price]]</f>
        <v>93.5</v>
      </c>
      <c r="H4306" s="8">
        <f>IF(financials[[#This Row],[Discount Band]]="low",0.1,IF(financials[[#This Row],[Discount Band]]="medium",0.15,0.3))</f>
        <v>0.1</v>
      </c>
      <c r="I4306" s="8">
        <f>financials[[#This Row],[Gross Sales]]-financials[[#This Row],[Gross Sales]]*financials[[#This Row],[Discounts]]</f>
        <v>84.15</v>
      </c>
      <c r="J4306" s="8">
        <f>VLOOKUP(financials[[#This Row],[productid]],Products!$B$2:$H$10,4)</f>
        <v>3.99</v>
      </c>
      <c r="K4306" s="8">
        <f>financials[[#This Row],[Net Sales]]-financials[[#This Row],[COGS]]</f>
        <v>80.160000000000011</v>
      </c>
      <c r="L4306" s="15">
        <v>45554</v>
      </c>
      <c r="M4306" t="s">
        <v>691</v>
      </c>
    </row>
    <row r="4307" spans="1:13" x14ac:dyDescent="0.25">
      <c r="A4307" t="s">
        <v>88</v>
      </c>
      <c r="B4307" s="6" t="s">
        <v>84</v>
      </c>
      <c r="C4307" s="13">
        <v>109</v>
      </c>
      <c r="D4307" s="14" t="s">
        <v>90</v>
      </c>
      <c r="E4307">
        <v>15</v>
      </c>
      <c r="F4307" s="8">
        <f>VLOOKUP(financials[[#This Row],[productid]],Products!$B$2:$H$10,3)</f>
        <v>36</v>
      </c>
      <c r="G4307" s="8">
        <f>financials[[#This Row],[Units Sold]]*financials[[#This Row],[Sale Price]]</f>
        <v>540</v>
      </c>
      <c r="H4307" s="8">
        <f>IF(financials[[#This Row],[Discount Band]]="low",0.1,IF(financials[[#This Row],[Discount Band]]="medium",0.15,0.3))</f>
        <v>0.15</v>
      </c>
      <c r="I4307" s="8">
        <f>financials[[#This Row],[Gross Sales]]-financials[[#This Row],[Gross Sales]]*financials[[#This Row],[Discounts]]</f>
        <v>459</v>
      </c>
      <c r="J4307" s="8">
        <f>VLOOKUP(financials[[#This Row],[productid]],Products!$B$2:$H$10,4)</f>
        <v>16.8</v>
      </c>
      <c r="K4307" s="8">
        <f>financials[[#This Row],[Net Sales]]-financials[[#This Row],[COGS]]</f>
        <v>442.2</v>
      </c>
      <c r="L4307" s="15">
        <v>44443</v>
      </c>
      <c r="M4307" t="s">
        <v>700</v>
      </c>
    </row>
    <row r="4308" spans="1:13" x14ac:dyDescent="0.25">
      <c r="A4308" t="s">
        <v>88</v>
      </c>
      <c r="B4308" s="6" t="s">
        <v>159</v>
      </c>
      <c r="C4308" s="13">
        <v>105</v>
      </c>
      <c r="D4308" s="14" t="s">
        <v>90</v>
      </c>
      <c r="E4308">
        <v>6</v>
      </c>
      <c r="F4308" s="8">
        <f>VLOOKUP(financials[[#This Row],[productid]],Products!$B$2:$H$10,3)</f>
        <v>15</v>
      </c>
      <c r="G4308" s="8">
        <f>financials[[#This Row],[Units Sold]]*financials[[#This Row],[Sale Price]]</f>
        <v>90</v>
      </c>
      <c r="H4308" s="8">
        <f>IF(financials[[#This Row],[Discount Band]]="low",0.1,IF(financials[[#This Row],[Discount Band]]="medium",0.15,0.3))</f>
        <v>0.15</v>
      </c>
      <c r="I4308" s="8">
        <f>financials[[#This Row],[Gross Sales]]-financials[[#This Row],[Gross Sales]]*financials[[#This Row],[Discounts]]</f>
        <v>76.5</v>
      </c>
      <c r="J4308" s="8">
        <f>VLOOKUP(financials[[#This Row],[productid]],Products!$B$2:$H$10,4)</f>
        <v>10</v>
      </c>
      <c r="K4308" s="8">
        <f>financials[[#This Row],[Net Sales]]-financials[[#This Row],[COGS]]</f>
        <v>66.5</v>
      </c>
      <c r="L4308" s="15">
        <v>45543</v>
      </c>
      <c r="M4308" t="s">
        <v>697</v>
      </c>
    </row>
    <row r="4309" spans="1:13" x14ac:dyDescent="0.25">
      <c r="A4309" t="s">
        <v>87</v>
      </c>
      <c r="B4309" s="6" t="s">
        <v>159</v>
      </c>
      <c r="C4309" s="13">
        <v>107</v>
      </c>
      <c r="D4309" s="14" t="s">
        <v>91</v>
      </c>
      <c r="E4309">
        <v>19</v>
      </c>
      <c r="F4309" s="8">
        <f>VLOOKUP(financials[[#This Row],[productid]],Products!$B$2:$H$10,3)</f>
        <v>15</v>
      </c>
      <c r="G4309" s="8">
        <f>financials[[#This Row],[Units Sold]]*financials[[#This Row],[Sale Price]]</f>
        <v>285</v>
      </c>
      <c r="H4309" s="8">
        <f>IF(financials[[#This Row],[Discount Band]]="low",0.1,IF(financials[[#This Row],[Discount Band]]="medium",0.15,0.3))</f>
        <v>0.1</v>
      </c>
      <c r="I4309" s="8">
        <f>financials[[#This Row],[Gross Sales]]-financials[[#This Row],[Gross Sales]]*financials[[#This Row],[Discounts]]</f>
        <v>256.5</v>
      </c>
      <c r="J4309" s="8">
        <f>VLOOKUP(financials[[#This Row],[productid]],Products!$B$2:$H$10,4)</f>
        <v>5.5</v>
      </c>
      <c r="K4309" s="8">
        <f>financials[[#This Row],[Net Sales]]-financials[[#This Row],[COGS]]</f>
        <v>251</v>
      </c>
      <c r="L4309" s="15">
        <v>44193</v>
      </c>
      <c r="M4309" t="s">
        <v>691</v>
      </c>
    </row>
    <row r="4310" spans="1:13" x14ac:dyDescent="0.25">
      <c r="A4310" t="s">
        <v>87</v>
      </c>
      <c r="B4310" s="6" t="s">
        <v>159</v>
      </c>
      <c r="C4310" s="13">
        <v>103</v>
      </c>
      <c r="D4310" s="14" t="s">
        <v>90</v>
      </c>
      <c r="E4310">
        <v>7</v>
      </c>
      <c r="F4310" s="8">
        <f>VLOOKUP(financials[[#This Row],[productid]],Products!$B$2:$H$10,3)</f>
        <v>28</v>
      </c>
      <c r="G4310" s="8">
        <f>financials[[#This Row],[Units Sold]]*financials[[#This Row],[Sale Price]]</f>
        <v>196</v>
      </c>
      <c r="H4310" s="8">
        <f>IF(financials[[#This Row],[Discount Band]]="low",0.1,IF(financials[[#This Row],[Discount Band]]="medium",0.15,0.3))</f>
        <v>0.15</v>
      </c>
      <c r="I4310" s="8">
        <f>financials[[#This Row],[Gross Sales]]-financials[[#This Row],[Gross Sales]]*financials[[#This Row],[Discounts]]</f>
        <v>166.6</v>
      </c>
      <c r="J4310" s="8">
        <f>VLOOKUP(financials[[#This Row],[productid]],Products!$B$2:$H$10,4)</f>
        <v>15</v>
      </c>
      <c r="K4310" s="8">
        <f>financials[[#This Row],[Net Sales]]-financials[[#This Row],[COGS]]</f>
        <v>151.6</v>
      </c>
      <c r="L4310" s="15">
        <v>45097</v>
      </c>
      <c r="M4310" t="s">
        <v>697</v>
      </c>
    </row>
    <row r="4311" spans="1:13" x14ac:dyDescent="0.25">
      <c r="A4311" t="s">
        <v>87</v>
      </c>
      <c r="B4311" s="6" t="s">
        <v>124</v>
      </c>
      <c r="C4311" s="11">
        <v>101</v>
      </c>
      <c r="D4311" s="9" t="s">
        <v>83</v>
      </c>
      <c r="E4311">
        <v>18</v>
      </c>
      <c r="F4311" s="8">
        <f>VLOOKUP(financials[[#This Row],[productid]],Products!$B$2:$H$10,3)</f>
        <v>23</v>
      </c>
      <c r="G4311" s="8">
        <f>financials[[#This Row],[Units Sold]]*financials[[#This Row],[Sale Price]]</f>
        <v>414</v>
      </c>
      <c r="H4311" s="8">
        <f>IF(financials[[#This Row],[Discount Band]]="low",0.1,IF(financials[[#This Row],[Discount Band]]="medium",0.15,0.3))</f>
        <v>0.3</v>
      </c>
      <c r="I4311" s="8">
        <f>financials[[#This Row],[Gross Sales]]-financials[[#This Row],[Gross Sales]]*financials[[#This Row],[Discounts]]</f>
        <v>289.8</v>
      </c>
      <c r="J4311" s="8">
        <f>VLOOKUP(financials[[#This Row],[productid]],Products!$B$2:$H$10,4)</f>
        <v>9.9499999999999993</v>
      </c>
      <c r="K4311" s="8">
        <f>financials[[#This Row],[Net Sales]]-financials[[#This Row],[COGS]]</f>
        <v>279.85000000000002</v>
      </c>
      <c r="L4311" s="15">
        <v>44299</v>
      </c>
      <c r="M4311" t="s">
        <v>690</v>
      </c>
    </row>
    <row r="4312" spans="1:13" x14ac:dyDescent="0.25">
      <c r="A4312" t="s">
        <v>88</v>
      </c>
      <c r="B4312" s="6" t="s">
        <v>84</v>
      </c>
      <c r="C4312" s="13">
        <v>105</v>
      </c>
      <c r="D4312" s="14" t="s">
        <v>90</v>
      </c>
      <c r="E4312">
        <v>19</v>
      </c>
      <c r="F4312" s="8">
        <f>VLOOKUP(financials[[#This Row],[productid]],Products!$B$2:$H$10,3)</f>
        <v>15</v>
      </c>
      <c r="G4312" s="8">
        <f>financials[[#This Row],[Units Sold]]*financials[[#This Row],[Sale Price]]</f>
        <v>285</v>
      </c>
      <c r="H4312" s="8">
        <f>IF(financials[[#This Row],[Discount Band]]="low",0.1,IF(financials[[#This Row],[Discount Band]]="medium",0.15,0.3))</f>
        <v>0.15</v>
      </c>
      <c r="I4312" s="8">
        <f>financials[[#This Row],[Gross Sales]]-financials[[#This Row],[Gross Sales]]*financials[[#This Row],[Discounts]]</f>
        <v>242.25</v>
      </c>
      <c r="J4312" s="8">
        <f>VLOOKUP(financials[[#This Row],[productid]],Products!$B$2:$H$10,4)</f>
        <v>10</v>
      </c>
      <c r="K4312" s="8">
        <f>financials[[#This Row],[Net Sales]]-financials[[#This Row],[COGS]]</f>
        <v>232.25</v>
      </c>
      <c r="L4312" s="15">
        <v>44162</v>
      </c>
      <c r="M4312" t="s">
        <v>700</v>
      </c>
    </row>
    <row r="4313" spans="1:13" x14ac:dyDescent="0.25">
      <c r="A4313" t="s">
        <v>88</v>
      </c>
      <c r="B4313" s="6" t="s">
        <v>84</v>
      </c>
      <c r="C4313" s="11">
        <v>105</v>
      </c>
      <c r="D4313" s="9" t="s">
        <v>91</v>
      </c>
      <c r="E4313">
        <v>19</v>
      </c>
      <c r="F4313" s="8">
        <f>VLOOKUP(financials[[#This Row],[productid]],Products!$B$2:$H$10,3)</f>
        <v>15</v>
      </c>
      <c r="G4313" s="8">
        <f>financials[[#This Row],[Units Sold]]*financials[[#This Row],[Sale Price]]</f>
        <v>285</v>
      </c>
      <c r="H4313" s="8">
        <f>IF(financials[[#This Row],[Discount Band]]="low",0.1,IF(financials[[#This Row],[Discount Band]]="medium",0.15,0.3))</f>
        <v>0.1</v>
      </c>
      <c r="I4313" s="8">
        <f>financials[[#This Row],[Gross Sales]]-financials[[#This Row],[Gross Sales]]*financials[[#This Row],[Discounts]]</f>
        <v>256.5</v>
      </c>
      <c r="J4313" s="8">
        <f>VLOOKUP(financials[[#This Row],[productid]],Products!$B$2:$H$10,4)</f>
        <v>10</v>
      </c>
      <c r="K4313" s="8">
        <f>financials[[#This Row],[Net Sales]]-financials[[#This Row],[COGS]]</f>
        <v>246.5</v>
      </c>
      <c r="L4313" s="15">
        <v>44201</v>
      </c>
      <c r="M4313" t="s">
        <v>697</v>
      </c>
    </row>
    <row r="4314" spans="1:13" x14ac:dyDescent="0.25">
      <c r="A4314" t="s">
        <v>88</v>
      </c>
      <c r="B4314" s="6" t="s">
        <v>84</v>
      </c>
      <c r="C4314" s="13">
        <v>107</v>
      </c>
      <c r="D4314" s="14" t="s">
        <v>90</v>
      </c>
      <c r="E4314">
        <v>5</v>
      </c>
      <c r="F4314" s="8">
        <f>VLOOKUP(financials[[#This Row],[productid]],Products!$B$2:$H$10,3)</f>
        <v>15</v>
      </c>
      <c r="G4314" s="8">
        <f>financials[[#This Row],[Units Sold]]*financials[[#This Row],[Sale Price]]</f>
        <v>75</v>
      </c>
      <c r="H4314" s="8">
        <f>IF(financials[[#This Row],[Discount Band]]="low",0.1,IF(financials[[#This Row],[Discount Band]]="medium",0.15,0.3))</f>
        <v>0.15</v>
      </c>
      <c r="I4314" s="8">
        <f>financials[[#This Row],[Gross Sales]]-financials[[#This Row],[Gross Sales]]*financials[[#This Row],[Discounts]]</f>
        <v>63.75</v>
      </c>
      <c r="J4314" s="8">
        <f>VLOOKUP(financials[[#This Row],[productid]],Products!$B$2:$H$10,4)</f>
        <v>5.5</v>
      </c>
      <c r="K4314" s="8">
        <f>financials[[#This Row],[Net Sales]]-financials[[#This Row],[COGS]]</f>
        <v>58.25</v>
      </c>
      <c r="L4314" s="15">
        <v>44272</v>
      </c>
      <c r="M4314" t="s">
        <v>700</v>
      </c>
    </row>
    <row r="4315" spans="1:13" x14ac:dyDescent="0.25">
      <c r="A4315" t="s">
        <v>87</v>
      </c>
      <c r="B4315" s="6" t="s">
        <v>124</v>
      </c>
      <c r="C4315" s="13">
        <v>103</v>
      </c>
      <c r="D4315" s="14" t="s">
        <v>83</v>
      </c>
      <c r="E4315">
        <v>6</v>
      </c>
      <c r="F4315" s="8">
        <f>VLOOKUP(financials[[#This Row],[productid]],Products!$B$2:$H$10,3)</f>
        <v>28</v>
      </c>
      <c r="G4315" s="8">
        <f>financials[[#This Row],[Units Sold]]*financials[[#This Row],[Sale Price]]</f>
        <v>168</v>
      </c>
      <c r="H4315" s="8">
        <f>IF(financials[[#This Row],[Discount Band]]="low",0.1,IF(financials[[#This Row],[Discount Band]]="medium",0.15,0.3))</f>
        <v>0.3</v>
      </c>
      <c r="I4315" s="8">
        <f>financials[[#This Row],[Gross Sales]]-financials[[#This Row],[Gross Sales]]*financials[[#This Row],[Discounts]]</f>
        <v>117.6</v>
      </c>
      <c r="J4315" s="8">
        <f>VLOOKUP(financials[[#This Row],[productid]],Products!$B$2:$H$10,4)</f>
        <v>15</v>
      </c>
      <c r="K4315" s="8">
        <f>financials[[#This Row],[Net Sales]]-financials[[#This Row],[COGS]]</f>
        <v>102.6</v>
      </c>
      <c r="L4315" s="15">
        <v>44168</v>
      </c>
      <c r="M4315" t="s">
        <v>691</v>
      </c>
    </row>
    <row r="4316" spans="1:13" x14ac:dyDescent="0.25">
      <c r="A4316" t="s">
        <v>87</v>
      </c>
      <c r="B4316" s="6" t="s">
        <v>124</v>
      </c>
      <c r="C4316" s="13">
        <v>107</v>
      </c>
      <c r="D4316" s="14" t="s">
        <v>91</v>
      </c>
      <c r="E4316">
        <v>7</v>
      </c>
      <c r="F4316" s="8">
        <f>VLOOKUP(financials[[#This Row],[productid]],Products!$B$2:$H$10,3)</f>
        <v>15</v>
      </c>
      <c r="G4316" s="8">
        <f>financials[[#This Row],[Units Sold]]*financials[[#This Row],[Sale Price]]</f>
        <v>105</v>
      </c>
      <c r="H4316" s="8">
        <f>IF(financials[[#This Row],[Discount Band]]="low",0.1,IF(financials[[#This Row],[Discount Band]]="medium",0.15,0.3))</f>
        <v>0.1</v>
      </c>
      <c r="I4316" s="8">
        <f>financials[[#This Row],[Gross Sales]]-financials[[#This Row],[Gross Sales]]*financials[[#This Row],[Discounts]]</f>
        <v>94.5</v>
      </c>
      <c r="J4316" s="8">
        <f>VLOOKUP(financials[[#This Row],[productid]],Products!$B$2:$H$10,4)</f>
        <v>5.5</v>
      </c>
      <c r="K4316" s="8">
        <f>financials[[#This Row],[Net Sales]]-financials[[#This Row],[COGS]]</f>
        <v>89</v>
      </c>
      <c r="L4316" s="15">
        <v>44958</v>
      </c>
      <c r="M4316" t="s">
        <v>697</v>
      </c>
    </row>
    <row r="4317" spans="1:13" x14ac:dyDescent="0.25">
      <c r="A4317" t="s">
        <v>88</v>
      </c>
      <c r="B4317" s="6" t="s">
        <v>159</v>
      </c>
      <c r="C4317" s="13">
        <v>102</v>
      </c>
      <c r="D4317" s="14" t="s">
        <v>83</v>
      </c>
      <c r="E4317">
        <v>7</v>
      </c>
      <c r="F4317" s="8">
        <f>VLOOKUP(financials[[#This Row],[productid]],Products!$B$2:$H$10,3)</f>
        <v>15</v>
      </c>
      <c r="G4317" s="8">
        <f>financials[[#This Row],[Units Sold]]*financials[[#This Row],[Sale Price]]</f>
        <v>105</v>
      </c>
      <c r="H4317" s="8">
        <f>IF(financials[[#This Row],[Discount Band]]="low",0.1,IF(financials[[#This Row],[Discount Band]]="medium",0.15,0.3))</f>
        <v>0.3</v>
      </c>
      <c r="I4317" s="8">
        <f>financials[[#This Row],[Gross Sales]]-financials[[#This Row],[Gross Sales]]*financials[[#This Row],[Discounts]]</f>
        <v>73.5</v>
      </c>
      <c r="J4317" s="8">
        <f>VLOOKUP(financials[[#This Row],[productid]],Products!$B$2:$H$10,4)</f>
        <v>13.95</v>
      </c>
      <c r="K4317" s="8">
        <f>financials[[#This Row],[Net Sales]]-financials[[#This Row],[COGS]]</f>
        <v>59.55</v>
      </c>
      <c r="L4317" s="15">
        <v>45134</v>
      </c>
      <c r="M4317" t="s">
        <v>697</v>
      </c>
    </row>
    <row r="4318" spans="1:13" x14ac:dyDescent="0.25">
      <c r="A4318" t="s">
        <v>87</v>
      </c>
      <c r="B4318" s="6" t="s">
        <v>159</v>
      </c>
      <c r="C4318" s="13">
        <v>109</v>
      </c>
      <c r="D4318" s="14" t="s">
        <v>83</v>
      </c>
      <c r="E4318">
        <v>18</v>
      </c>
      <c r="F4318" s="8">
        <f>VLOOKUP(financials[[#This Row],[productid]],Products!$B$2:$H$10,3)</f>
        <v>36</v>
      </c>
      <c r="G4318" s="8">
        <f>financials[[#This Row],[Units Sold]]*financials[[#This Row],[Sale Price]]</f>
        <v>648</v>
      </c>
      <c r="H4318" s="8">
        <f>IF(financials[[#This Row],[Discount Band]]="low",0.1,IF(financials[[#This Row],[Discount Band]]="medium",0.15,0.3))</f>
        <v>0.3</v>
      </c>
      <c r="I4318" s="8">
        <f>financials[[#This Row],[Gross Sales]]-financials[[#This Row],[Gross Sales]]*financials[[#This Row],[Discounts]]</f>
        <v>453.6</v>
      </c>
      <c r="J4318" s="8">
        <f>VLOOKUP(financials[[#This Row],[productid]],Products!$B$2:$H$10,4)</f>
        <v>16.8</v>
      </c>
      <c r="K4318" s="8">
        <f>financials[[#This Row],[Net Sales]]-financials[[#This Row],[COGS]]</f>
        <v>436.8</v>
      </c>
      <c r="L4318" s="15">
        <v>44182</v>
      </c>
      <c r="M4318" t="s">
        <v>691</v>
      </c>
    </row>
    <row r="4319" spans="1:13" x14ac:dyDescent="0.25">
      <c r="A4319" t="s">
        <v>88</v>
      </c>
      <c r="B4319" s="6" t="s">
        <v>84</v>
      </c>
      <c r="C4319" s="13">
        <v>101</v>
      </c>
      <c r="D4319" s="14" t="s">
        <v>91</v>
      </c>
      <c r="E4319">
        <v>19</v>
      </c>
      <c r="F4319" s="8">
        <f>VLOOKUP(financials[[#This Row],[productid]],Products!$B$2:$H$10,3)</f>
        <v>23</v>
      </c>
      <c r="G4319" s="8">
        <f>financials[[#This Row],[Units Sold]]*financials[[#This Row],[Sale Price]]</f>
        <v>437</v>
      </c>
      <c r="H4319" s="8">
        <f>IF(financials[[#This Row],[Discount Band]]="low",0.1,IF(financials[[#This Row],[Discount Band]]="medium",0.15,0.3))</f>
        <v>0.1</v>
      </c>
      <c r="I4319" s="8">
        <f>financials[[#This Row],[Gross Sales]]-financials[[#This Row],[Gross Sales]]*financials[[#This Row],[Discounts]]</f>
        <v>393.3</v>
      </c>
      <c r="J4319" s="8">
        <f>VLOOKUP(financials[[#This Row],[productid]],Products!$B$2:$H$10,4)</f>
        <v>9.9499999999999993</v>
      </c>
      <c r="K4319" s="8">
        <f>financials[[#This Row],[Net Sales]]-financials[[#This Row],[COGS]]</f>
        <v>383.35</v>
      </c>
      <c r="L4319" s="15">
        <v>44417</v>
      </c>
      <c r="M4319" t="s">
        <v>697</v>
      </c>
    </row>
    <row r="4320" spans="1:13" x14ac:dyDescent="0.25">
      <c r="A4320" t="s">
        <v>88</v>
      </c>
      <c r="B4320" s="6" t="s">
        <v>159</v>
      </c>
      <c r="C4320" s="13">
        <v>107</v>
      </c>
      <c r="D4320" s="14" t="s">
        <v>83</v>
      </c>
      <c r="E4320">
        <v>12</v>
      </c>
      <c r="F4320" s="8">
        <f>VLOOKUP(financials[[#This Row],[productid]],Products!$B$2:$H$10,3)</f>
        <v>15</v>
      </c>
      <c r="G4320" s="8">
        <f>financials[[#This Row],[Units Sold]]*financials[[#This Row],[Sale Price]]</f>
        <v>180</v>
      </c>
      <c r="H4320" s="8">
        <f>IF(financials[[#This Row],[Discount Band]]="low",0.1,IF(financials[[#This Row],[Discount Band]]="medium",0.15,0.3))</f>
        <v>0.3</v>
      </c>
      <c r="I4320" s="8">
        <f>financials[[#This Row],[Gross Sales]]-financials[[#This Row],[Gross Sales]]*financials[[#This Row],[Discounts]]</f>
        <v>126</v>
      </c>
      <c r="J4320" s="8">
        <f>VLOOKUP(financials[[#This Row],[productid]],Products!$B$2:$H$10,4)</f>
        <v>5.5</v>
      </c>
      <c r="K4320" s="8">
        <f>financials[[#This Row],[Net Sales]]-financials[[#This Row],[COGS]]</f>
        <v>120.5</v>
      </c>
      <c r="L4320" s="15">
        <v>43923</v>
      </c>
      <c r="M4320" t="s">
        <v>690</v>
      </c>
    </row>
    <row r="4321" spans="1:13" x14ac:dyDescent="0.25">
      <c r="A4321" t="s">
        <v>88</v>
      </c>
      <c r="B4321" s="6" t="s">
        <v>84</v>
      </c>
      <c r="C4321" s="13">
        <v>107</v>
      </c>
      <c r="D4321" s="14" t="s">
        <v>83</v>
      </c>
      <c r="E4321">
        <v>5</v>
      </c>
      <c r="F4321" s="8">
        <f>VLOOKUP(financials[[#This Row],[productid]],Products!$B$2:$H$10,3)</f>
        <v>15</v>
      </c>
      <c r="G4321" s="8">
        <f>financials[[#This Row],[Units Sold]]*financials[[#This Row],[Sale Price]]</f>
        <v>75</v>
      </c>
      <c r="H4321" s="8">
        <f>IF(financials[[#This Row],[Discount Band]]="low",0.1,IF(financials[[#This Row],[Discount Band]]="medium",0.15,0.3))</f>
        <v>0.3</v>
      </c>
      <c r="I4321" s="8">
        <f>financials[[#This Row],[Gross Sales]]-financials[[#This Row],[Gross Sales]]*financials[[#This Row],[Discounts]]</f>
        <v>52.5</v>
      </c>
      <c r="J4321" s="8">
        <f>VLOOKUP(financials[[#This Row],[productid]],Products!$B$2:$H$10,4)</f>
        <v>5.5</v>
      </c>
      <c r="K4321" s="8">
        <f>financials[[#This Row],[Net Sales]]-financials[[#This Row],[COGS]]</f>
        <v>47</v>
      </c>
      <c r="L4321" s="15">
        <v>45518</v>
      </c>
      <c r="M4321" t="s">
        <v>691</v>
      </c>
    </row>
    <row r="4322" spans="1:13" x14ac:dyDescent="0.25">
      <c r="A4322" t="s">
        <v>87</v>
      </c>
      <c r="B4322" s="6" t="s">
        <v>159</v>
      </c>
      <c r="C4322" s="13">
        <v>106</v>
      </c>
      <c r="D4322" s="14" t="s">
        <v>90</v>
      </c>
      <c r="E4322">
        <v>11</v>
      </c>
      <c r="F4322" s="8">
        <f>VLOOKUP(financials[[#This Row],[productid]],Products!$B$2:$H$10,3)</f>
        <v>25</v>
      </c>
      <c r="G4322" s="8">
        <f>financials[[#This Row],[Units Sold]]*financials[[#This Row],[Sale Price]]</f>
        <v>275</v>
      </c>
      <c r="H4322" s="8">
        <f>IF(financials[[#This Row],[Discount Band]]="low",0.1,IF(financials[[#This Row],[Discount Band]]="medium",0.15,0.3))</f>
        <v>0.15</v>
      </c>
      <c r="I4322" s="8">
        <f>financials[[#This Row],[Gross Sales]]-financials[[#This Row],[Gross Sales]]*financials[[#This Row],[Discounts]]</f>
        <v>233.75</v>
      </c>
      <c r="J4322" s="8">
        <f>VLOOKUP(financials[[#This Row],[productid]],Products!$B$2:$H$10,4)</f>
        <v>9.1</v>
      </c>
      <c r="K4322" s="8">
        <f>financials[[#This Row],[Net Sales]]-financials[[#This Row],[COGS]]</f>
        <v>224.65</v>
      </c>
      <c r="L4322" s="15">
        <v>44730</v>
      </c>
      <c r="M4322" t="s">
        <v>691</v>
      </c>
    </row>
    <row r="4323" spans="1:13" x14ac:dyDescent="0.25">
      <c r="A4323" t="s">
        <v>88</v>
      </c>
      <c r="B4323" s="6" t="s">
        <v>84</v>
      </c>
      <c r="C4323" s="13">
        <v>104</v>
      </c>
      <c r="D4323" s="14" t="s">
        <v>83</v>
      </c>
      <c r="E4323">
        <v>20</v>
      </c>
      <c r="F4323" s="8">
        <f>VLOOKUP(financials[[#This Row],[productid]],Products!$B$2:$H$10,3)</f>
        <v>5.9</v>
      </c>
      <c r="G4323" s="8">
        <f>financials[[#This Row],[Units Sold]]*financials[[#This Row],[Sale Price]]</f>
        <v>118</v>
      </c>
      <c r="H4323" s="8">
        <f>IF(financials[[#This Row],[Discount Band]]="low",0.1,IF(financials[[#This Row],[Discount Band]]="medium",0.15,0.3))</f>
        <v>0.3</v>
      </c>
      <c r="I4323" s="8">
        <f>financials[[#This Row],[Gross Sales]]-financials[[#This Row],[Gross Sales]]*financials[[#This Row],[Discounts]]</f>
        <v>82.6</v>
      </c>
      <c r="J4323" s="8">
        <f>VLOOKUP(financials[[#This Row],[productid]],Products!$B$2:$H$10,4)</f>
        <v>2.9</v>
      </c>
      <c r="K4323" s="8">
        <f>financials[[#This Row],[Net Sales]]-financials[[#This Row],[COGS]]</f>
        <v>79.699999999999989</v>
      </c>
      <c r="L4323" s="15">
        <v>43876</v>
      </c>
      <c r="M4323" t="s">
        <v>700</v>
      </c>
    </row>
    <row r="4324" spans="1:13" x14ac:dyDescent="0.25">
      <c r="A4324" t="s">
        <v>88</v>
      </c>
      <c r="B4324" s="6" t="s">
        <v>84</v>
      </c>
      <c r="C4324" s="13">
        <v>103</v>
      </c>
      <c r="D4324" s="14" t="s">
        <v>83</v>
      </c>
      <c r="E4324">
        <v>5</v>
      </c>
      <c r="F4324" s="8">
        <f>VLOOKUP(financials[[#This Row],[productid]],Products!$B$2:$H$10,3)</f>
        <v>28</v>
      </c>
      <c r="G4324" s="8">
        <f>financials[[#This Row],[Units Sold]]*financials[[#This Row],[Sale Price]]</f>
        <v>140</v>
      </c>
      <c r="H4324" s="8">
        <f>IF(financials[[#This Row],[Discount Band]]="low",0.1,IF(financials[[#This Row],[Discount Band]]="medium",0.15,0.3))</f>
        <v>0.3</v>
      </c>
      <c r="I4324" s="8">
        <f>financials[[#This Row],[Gross Sales]]-financials[[#This Row],[Gross Sales]]*financials[[#This Row],[Discounts]]</f>
        <v>98</v>
      </c>
      <c r="J4324" s="8">
        <f>VLOOKUP(financials[[#This Row],[productid]],Products!$B$2:$H$10,4)</f>
        <v>15</v>
      </c>
      <c r="K4324" s="8">
        <f>financials[[#This Row],[Net Sales]]-financials[[#This Row],[COGS]]</f>
        <v>83</v>
      </c>
      <c r="L4324" s="15">
        <v>44862</v>
      </c>
      <c r="M4324" t="s">
        <v>696</v>
      </c>
    </row>
    <row r="4325" spans="1:13" x14ac:dyDescent="0.25">
      <c r="A4325" t="s">
        <v>87</v>
      </c>
      <c r="B4325" s="6" t="s">
        <v>124</v>
      </c>
      <c r="C4325" s="13">
        <v>105</v>
      </c>
      <c r="D4325" s="14" t="s">
        <v>83</v>
      </c>
      <c r="E4325">
        <v>8</v>
      </c>
      <c r="F4325" s="8">
        <f>VLOOKUP(financials[[#This Row],[productid]],Products!$B$2:$H$10,3)</f>
        <v>15</v>
      </c>
      <c r="G4325" s="8">
        <f>financials[[#This Row],[Units Sold]]*financials[[#This Row],[Sale Price]]</f>
        <v>120</v>
      </c>
      <c r="H4325" s="8">
        <f>IF(financials[[#This Row],[Discount Band]]="low",0.1,IF(financials[[#This Row],[Discount Band]]="medium",0.15,0.3))</f>
        <v>0.3</v>
      </c>
      <c r="I4325" s="8">
        <f>financials[[#This Row],[Gross Sales]]-financials[[#This Row],[Gross Sales]]*financials[[#This Row],[Discounts]]</f>
        <v>84</v>
      </c>
      <c r="J4325" s="8">
        <f>VLOOKUP(financials[[#This Row],[productid]],Products!$B$2:$H$10,4)</f>
        <v>10</v>
      </c>
      <c r="K4325" s="8">
        <f>financials[[#This Row],[Net Sales]]-financials[[#This Row],[COGS]]</f>
        <v>74</v>
      </c>
      <c r="L4325" s="15">
        <v>43956</v>
      </c>
      <c r="M4325" t="s">
        <v>696</v>
      </c>
    </row>
    <row r="4326" spans="1:13" x14ac:dyDescent="0.25">
      <c r="A4326" t="s">
        <v>88</v>
      </c>
      <c r="B4326" s="6" t="s">
        <v>84</v>
      </c>
      <c r="C4326" s="13">
        <v>106</v>
      </c>
      <c r="D4326" s="14" t="s">
        <v>83</v>
      </c>
      <c r="E4326">
        <v>18</v>
      </c>
      <c r="F4326" s="8">
        <f>VLOOKUP(financials[[#This Row],[productid]],Products!$B$2:$H$10,3)</f>
        <v>25</v>
      </c>
      <c r="G4326" s="8">
        <f>financials[[#This Row],[Units Sold]]*financials[[#This Row],[Sale Price]]</f>
        <v>450</v>
      </c>
      <c r="H4326" s="8">
        <f>IF(financials[[#This Row],[Discount Band]]="low",0.1,IF(financials[[#This Row],[Discount Band]]="medium",0.15,0.3))</f>
        <v>0.3</v>
      </c>
      <c r="I4326" s="8">
        <f>financials[[#This Row],[Gross Sales]]-financials[[#This Row],[Gross Sales]]*financials[[#This Row],[Discounts]]</f>
        <v>315</v>
      </c>
      <c r="J4326" s="8">
        <f>VLOOKUP(financials[[#This Row],[productid]],Products!$B$2:$H$10,4)</f>
        <v>9.1</v>
      </c>
      <c r="K4326" s="8">
        <f>financials[[#This Row],[Net Sales]]-financials[[#This Row],[COGS]]</f>
        <v>305.89999999999998</v>
      </c>
      <c r="L4326" s="15">
        <v>44119</v>
      </c>
      <c r="M4326" t="s">
        <v>691</v>
      </c>
    </row>
    <row r="4327" spans="1:13" x14ac:dyDescent="0.25">
      <c r="A4327" t="s">
        <v>88</v>
      </c>
      <c r="B4327" s="6" t="s">
        <v>159</v>
      </c>
      <c r="C4327" s="11">
        <v>107</v>
      </c>
      <c r="D4327" s="9" t="s">
        <v>83</v>
      </c>
      <c r="E4327">
        <v>12</v>
      </c>
      <c r="F4327" s="8">
        <f>VLOOKUP(financials[[#This Row],[productid]],Products!$B$2:$H$10,3)</f>
        <v>15</v>
      </c>
      <c r="G4327" s="8">
        <f>financials[[#This Row],[Units Sold]]*financials[[#This Row],[Sale Price]]</f>
        <v>180</v>
      </c>
      <c r="H4327" s="8">
        <f>IF(financials[[#This Row],[Discount Band]]="low",0.1,IF(financials[[#This Row],[Discount Band]]="medium",0.15,0.3))</f>
        <v>0.3</v>
      </c>
      <c r="I4327" s="8">
        <f>financials[[#This Row],[Gross Sales]]-financials[[#This Row],[Gross Sales]]*financials[[#This Row],[Discounts]]</f>
        <v>126</v>
      </c>
      <c r="J4327" s="8">
        <f>VLOOKUP(financials[[#This Row],[productid]],Products!$B$2:$H$10,4)</f>
        <v>5.5</v>
      </c>
      <c r="K4327" s="8">
        <f>financials[[#This Row],[Net Sales]]-financials[[#This Row],[COGS]]</f>
        <v>120.5</v>
      </c>
      <c r="L4327" s="15">
        <v>45210</v>
      </c>
      <c r="M4327" t="s">
        <v>696</v>
      </c>
    </row>
    <row r="4328" spans="1:13" x14ac:dyDescent="0.25">
      <c r="A4328" t="s">
        <v>88</v>
      </c>
      <c r="B4328" s="6" t="s">
        <v>84</v>
      </c>
      <c r="C4328" s="13">
        <v>104</v>
      </c>
      <c r="D4328" s="14" t="s">
        <v>91</v>
      </c>
      <c r="E4328">
        <v>16</v>
      </c>
      <c r="F4328" s="8">
        <f>VLOOKUP(financials[[#This Row],[productid]],Products!$B$2:$H$10,3)</f>
        <v>5.9</v>
      </c>
      <c r="G4328" s="8">
        <f>financials[[#This Row],[Units Sold]]*financials[[#This Row],[Sale Price]]</f>
        <v>94.4</v>
      </c>
      <c r="H4328" s="8">
        <f>IF(financials[[#This Row],[Discount Band]]="low",0.1,IF(financials[[#This Row],[Discount Band]]="medium",0.15,0.3))</f>
        <v>0.1</v>
      </c>
      <c r="I4328" s="8">
        <f>financials[[#This Row],[Gross Sales]]-financials[[#This Row],[Gross Sales]]*financials[[#This Row],[Discounts]]</f>
        <v>84.960000000000008</v>
      </c>
      <c r="J4328" s="8">
        <f>VLOOKUP(financials[[#This Row],[productid]],Products!$B$2:$H$10,4)</f>
        <v>2.9</v>
      </c>
      <c r="K4328" s="8">
        <f>financials[[#This Row],[Net Sales]]-financials[[#This Row],[COGS]]</f>
        <v>82.06</v>
      </c>
      <c r="L4328" s="15">
        <v>43931</v>
      </c>
      <c r="M4328" t="s">
        <v>690</v>
      </c>
    </row>
    <row r="4329" spans="1:13" x14ac:dyDescent="0.25">
      <c r="A4329" t="s">
        <v>88</v>
      </c>
      <c r="B4329" s="6" t="s">
        <v>84</v>
      </c>
      <c r="C4329" s="11">
        <v>109</v>
      </c>
      <c r="D4329" s="9" t="s">
        <v>91</v>
      </c>
      <c r="E4329">
        <v>5</v>
      </c>
      <c r="F4329" s="8">
        <f>VLOOKUP(financials[[#This Row],[productid]],Products!$B$2:$H$10,3)</f>
        <v>36</v>
      </c>
      <c r="G4329" s="8">
        <f>financials[[#This Row],[Units Sold]]*financials[[#This Row],[Sale Price]]</f>
        <v>180</v>
      </c>
      <c r="H4329" s="8">
        <f>IF(financials[[#This Row],[Discount Band]]="low",0.1,IF(financials[[#This Row],[Discount Band]]="medium",0.15,0.3))</f>
        <v>0.1</v>
      </c>
      <c r="I4329" s="8">
        <f>financials[[#This Row],[Gross Sales]]-financials[[#This Row],[Gross Sales]]*financials[[#This Row],[Discounts]]</f>
        <v>162</v>
      </c>
      <c r="J4329" s="8">
        <f>VLOOKUP(financials[[#This Row],[productid]],Products!$B$2:$H$10,4)</f>
        <v>16.8</v>
      </c>
      <c r="K4329" s="8">
        <f>financials[[#This Row],[Net Sales]]-financials[[#This Row],[COGS]]</f>
        <v>145.19999999999999</v>
      </c>
      <c r="L4329" s="15">
        <v>44469</v>
      </c>
      <c r="M4329" t="s">
        <v>691</v>
      </c>
    </row>
    <row r="4330" spans="1:13" x14ac:dyDescent="0.25">
      <c r="A4330" t="s">
        <v>88</v>
      </c>
      <c r="B4330" s="6" t="s">
        <v>159</v>
      </c>
      <c r="C4330" s="13">
        <v>102</v>
      </c>
      <c r="D4330" s="14" t="s">
        <v>91</v>
      </c>
      <c r="E4330">
        <v>7</v>
      </c>
      <c r="F4330" s="8">
        <f>VLOOKUP(financials[[#This Row],[productid]],Products!$B$2:$H$10,3)</f>
        <v>15</v>
      </c>
      <c r="G4330" s="8">
        <f>financials[[#This Row],[Units Sold]]*financials[[#This Row],[Sale Price]]</f>
        <v>105</v>
      </c>
      <c r="H4330" s="8">
        <f>IF(financials[[#This Row],[Discount Band]]="low",0.1,IF(financials[[#This Row],[Discount Band]]="medium",0.15,0.3))</f>
        <v>0.1</v>
      </c>
      <c r="I4330" s="8">
        <f>financials[[#This Row],[Gross Sales]]-financials[[#This Row],[Gross Sales]]*financials[[#This Row],[Discounts]]</f>
        <v>94.5</v>
      </c>
      <c r="J4330" s="8">
        <f>VLOOKUP(financials[[#This Row],[productid]],Products!$B$2:$H$10,4)</f>
        <v>13.95</v>
      </c>
      <c r="K4330" s="8">
        <f>financials[[#This Row],[Net Sales]]-financials[[#This Row],[COGS]]</f>
        <v>80.55</v>
      </c>
      <c r="L4330" s="15">
        <v>43920</v>
      </c>
      <c r="M4330" t="s">
        <v>691</v>
      </c>
    </row>
    <row r="4331" spans="1:13" x14ac:dyDescent="0.25">
      <c r="A4331" t="s">
        <v>87</v>
      </c>
      <c r="B4331" s="6" t="s">
        <v>124</v>
      </c>
      <c r="C4331" s="13">
        <v>103</v>
      </c>
      <c r="D4331" s="14" t="s">
        <v>83</v>
      </c>
      <c r="E4331">
        <v>12</v>
      </c>
      <c r="F4331" s="8">
        <f>VLOOKUP(financials[[#This Row],[productid]],Products!$B$2:$H$10,3)</f>
        <v>28</v>
      </c>
      <c r="G4331" s="8">
        <f>financials[[#This Row],[Units Sold]]*financials[[#This Row],[Sale Price]]</f>
        <v>336</v>
      </c>
      <c r="H4331" s="8">
        <f>IF(financials[[#This Row],[Discount Band]]="low",0.1,IF(financials[[#This Row],[Discount Band]]="medium",0.15,0.3))</f>
        <v>0.3</v>
      </c>
      <c r="I4331" s="8">
        <f>financials[[#This Row],[Gross Sales]]-financials[[#This Row],[Gross Sales]]*financials[[#This Row],[Discounts]]</f>
        <v>235.2</v>
      </c>
      <c r="J4331" s="8">
        <f>VLOOKUP(financials[[#This Row],[productid]],Products!$B$2:$H$10,4)</f>
        <v>15</v>
      </c>
      <c r="K4331" s="8">
        <f>financials[[#This Row],[Net Sales]]-financials[[#This Row],[COGS]]</f>
        <v>220.2</v>
      </c>
      <c r="L4331" s="15">
        <v>45081</v>
      </c>
      <c r="M4331" t="s">
        <v>690</v>
      </c>
    </row>
    <row r="4332" spans="1:13" x14ac:dyDescent="0.25">
      <c r="A4332" t="s">
        <v>88</v>
      </c>
      <c r="B4332" s="6" t="s">
        <v>159</v>
      </c>
      <c r="C4332" s="13">
        <v>105</v>
      </c>
      <c r="D4332" s="14" t="s">
        <v>91</v>
      </c>
      <c r="E4332">
        <v>8</v>
      </c>
      <c r="F4332" s="8">
        <f>VLOOKUP(financials[[#This Row],[productid]],Products!$B$2:$H$10,3)</f>
        <v>15</v>
      </c>
      <c r="G4332" s="8">
        <f>financials[[#This Row],[Units Sold]]*financials[[#This Row],[Sale Price]]</f>
        <v>120</v>
      </c>
      <c r="H4332" s="8">
        <f>IF(financials[[#This Row],[Discount Band]]="low",0.1,IF(financials[[#This Row],[Discount Band]]="medium",0.15,0.3))</f>
        <v>0.1</v>
      </c>
      <c r="I4332" s="8">
        <f>financials[[#This Row],[Gross Sales]]-financials[[#This Row],[Gross Sales]]*financials[[#This Row],[Discounts]]</f>
        <v>108</v>
      </c>
      <c r="J4332" s="8">
        <f>VLOOKUP(financials[[#This Row],[productid]],Products!$B$2:$H$10,4)</f>
        <v>10</v>
      </c>
      <c r="K4332" s="8">
        <f>financials[[#This Row],[Net Sales]]-financials[[#This Row],[COGS]]</f>
        <v>98</v>
      </c>
      <c r="L4332" s="15">
        <v>44404</v>
      </c>
      <c r="M4332" t="s">
        <v>697</v>
      </c>
    </row>
    <row r="4333" spans="1:13" x14ac:dyDescent="0.25">
      <c r="A4333" t="s">
        <v>88</v>
      </c>
      <c r="B4333" s="6" t="s">
        <v>84</v>
      </c>
      <c r="C4333" s="13">
        <v>107</v>
      </c>
      <c r="D4333" s="14" t="s">
        <v>90</v>
      </c>
      <c r="E4333">
        <v>14</v>
      </c>
      <c r="F4333" s="8">
        <f>VLOOKUP(financials[[#This Row],[productid]],Products!$B$2:$H$10,3)</f>
        <v>15</v>
      </c>
      <c r="G4333" s="8">
        <f>financials[[#This Row],[Units Sold]]*financials[[#This Row],[Sale Price]]</f>
        <v>210</v>
      </c>
      <c r="H4333" s="8">
        <f>IF(financials[[#This Row],[Discount Band]]="low",0.1,IF(financials[[#This Row],[Discount Band]]="medium",0.15,0.3))</f>
        <v>0.15</v>
      </c>
      <c r="I4333" s="8">
        <f>financials[[#This Row],[Gross Sales]]-financials[[#This Row],[Gross Sales]]*financials[[#This Row],[Discounts]]</f>
        <v>178.5</v>
      </c>
      <c r="J4333" s="8">
        <f>VLOOKUP(financials[[#This Row],[productid]],Products!$B$2:$H$10,4)</f>
        <v>5.5</v>
      </c>
      <c r="K4333" s="8">
        <f>financials[[#This Row],[Net Sales]]-financials[[#This Row],[COGS]]</f>
        <v>173</v>
      </c>
      <c r="L4333" s="15">
        <v>44200</v>
      </c>
      <c r="M4333" t="s">
        <v>697</v>
      </c>
    </row>
    <row r="4334" spans="1:13" x14ac:dyDescent="0.25">
      <c r="A4334" t="s">
        <v>88</v>
      </c>
      <c r="B4334" s="6" t="s">
        <v>84</v>
      </c>
      <c r="C4334" s="13">
        <v>103</v>
      </c>
      <c r="D4334" s="14" t="s">
        <v>91</v>
      </c>
      <c r="E4334">
        <v>9</v>
      </c>
      <c r="F4334" s="8">
        <f>VLOOKUP(financials[[#This Row],[productid]],Products!$B$2:$H$10,3)</f>
        <v>28</v>
      </c>
      <c r="G4334" s="8">
        <f>financials[[#This Row],[Units Sold]]*financials[[#This Row],[Sale Price]]</f>
        <v>252</v>
      </c>
      <c r="H4334" s="8">
        <f>IF(financials[[#This Row],[Discount Band]]="low",0.1,IF(financials[[#This Row],[Discount Band]]="medium",0.15,0.3))</f>
        <v>0.1</v>
      </c>
      <c r="I4334" s="8">
        <f>financials[[#This Row],[Gross Sales]]-financials[[#This Row],[Gross Sales]]*financials[[#This Row],[Discounts]]</f>
        <v>226.8</v>
      </c>
      <c r="J4334" s="8">
        <f>VLOOKUP(financials[[#This Row],[productid]],Products!$B$2:$H$10,4)</f>
        <v>15</v>
      </c>
      <c r="K4334" s="8">
        <f>financials[[#This Row],[Net Sales]]-financials[[#This Row],[COGS]]</f>
        <v>211.8</v>
      </c>
      <c r="L4334" s="15">
        <v>44890</v>
      </c>
      <c r="M4334" t="s">
        <v>700</v>
      </c>
    </row>
    <row r="4335" spans="1:13" x14ac:dyDescent="0.25">
      <c r="A4335" t="s">
        <v>88</v>
      </c>
      <c r="B4335" s="6" t="s">
        <v>84</v>
      </c>
      <c r="C4335" s="13">
        <v>105</v>
      </c>
      <c r="D4335" s="14" t="s">
        <v>90</v>
      </c>
      <c r="E4335">
        <v>10</v>
      </c>
      <c r="F4335" s="8">
        <f>VLOOKUP(financials[[#This Row],[productid]],Products!$B$2:$H$10,3)</f>
        <v>15</v>
      </c>
      <c r="G4335" s="8">
        <f>financials[[#This Row],[Units Sold]]*financials[[#This Row],[Sale Price]]</f>
        <v>150</v>
      </c>
      <c r="H4335" s="8">
        <f>IF(financials[[#This Row],[Discount Band]]="low",0.1,IF(financials[[#This Row],[Discount Band]]="medium",0.15,0.3))</f>
        <v>0.15</v>
      </c>
      <c r="I4335" s="8">
        <f>financials[[#This Row],[Gross Sales]]-financials[[#This Row],[Gross Sales]]*financials[[#This Row],[Discounts]]</f>
        <v>127.5</v>
      </c>
      <c r="J4335" s="8">
        <f>VLOOKUP(financials[[#This Row],[productid]],Products!$B$2:$H$10,4)</f>
        <v>10</v>
      </c>
      <c r="K4335" s="8">
        <f>financials[[#This Row],[Net Sales]]-financials[[#This Row],[COGS]]</f>
        <v>117.5</v>
      </c>
      <c r="L4335" s="15">
        <v>44742</v>
      </c>
      <c r="M4335" t="s">
        <v>697</v>
      </c>
    </row>
    <row r="4336" spans="1:13" x14ac:dyDescent="0.25">
      <c r="A4336" t="s">
        <v>88</v>
      </c>
      <c r="B4336" s="6" t="s">
        <v>159</v>
      </c>
      <c r="C4336" s="13">
        <v>107</v>
      </c>
      <c r="D4336" s="14" t="s">
        <v>90</v>
      </c>
      <c r="E4336">
        <v>16</v>
      </c>
      <c r="F4336" s="8">
        <f>VLOOKUP(financials[[#This Row],[productid]],Products!$B$2:$H$10,3)</f>
        <v>15</v>
      </c>
      <c r="G4336" s="8">
        <f>financials[[#This Row],[Units Sold]]*financials[[#This Row],[Sale Price]]</f>
        <v>240</v>
      </c>
      <c r="H4336" s="8">
        <f>IF(financials[[#This Row],[Discount Band]]="low",0.1,IF(financials[[#This Row],[Discount Band]]="medium",0.15,0.3))</f>
        <v>0.15</v>
      </c>
      <c r="I4336" s="8">
        <f>financials[[#This Row],[Gross Sales]]-financials[[#This Row],[Gross Sales]]*financials[[#This Row],[Discounts]]</f>
        <v>204</v>
      </c>
      <c r="J4336" s="8">
        <f>VLOOKUP(financials[[#This Row],[productid]],Products!$B$2:$H$10,4)</f>
        <v>5.5</v>
      </c>
      <c r="K4336" s="8">
        <f>financials[[#This Row],[Net Sales]]-financials[[#This Row],[COGS]]</f>
        <v>198.5</v>
      </c>
      <c r="L4336" s="15">
        <v>45155</v>
      </c>
      <c r="M4336" t="s">
        <v>696</v>
      </c>
    </row>
    <row r="4337" spans="1:13" x14ac:dyDescent="0.25">
      <c r="A4337" t="s">
        <v>87</v>
      </c>
      <c r="B4337" s="6" t="s">
        <v>159</v>
      </c>
      <c r="C4337" s="13">
        <v>104</v>
      </c>
      <c r="D4337" s="14" t="s">
        <v>83</v>
      </c>
      <c r="E4337">
        <v>17</v>
      </c>
      <c r="F4337" s="8">
        <f>VLOOKUP(financials[[#This Row],[productid]],Products!$B$2:$H$10,3)</f>
        <v>5.9</v>
      </c>
      <c r="G4337" s="8">
        <f>financials[[#This Row],[Units Sold]]*financials[[#This Row],[Sale Price]]</f>
        <v>100.30000000000001</v>
      </c>
      <c r="H4337" s="8">
        <f>IF(financials[[#This Row],[Discount Band]]="low",0.1,IF(financials[[#This Row],[Discount Band]]="medium",0.15,0.3))</f>
        <v>0.3</v>
      </c>
      <c r="I4337" s="8">
        <f>financials[[#This Row],[Gross Sales]]-financials[[#This Row],[Gross Sales]]*financials[[#This Row],[Discounts]]</f>
        <v>70.210000000000008</v>
      </c>
      <c r="J4337" s="8">
        <f>VLOOKUP(financials[[#This Row],[productid]],Products!$B$2:$H$10,4)</f>
        <v>2.9</v>
      </c>
      <c r="K4337" s="8">
        <f>financials[[#This Row],[Net Sales]]-financials[[#This Row],[COGS]]</f>
        <v>67.31</v>
      </c>
      <c r="L4337" s="15">
        <v>45430</v>
      </c>
      <c r="M4337" t="s">
        <v>700</v>
      </c>
    </row>
    <row r="4338" spans="1:13" x14ac:dyDescent="0.25">
      <c r="A4338" t="s">
        <v>87</v>
      </c>
      <c r="B4338" s="6" t="s">
        <v>124</v>
      </c>
      <c r="C4338" s="13">
        <v>108</v>
      </c>
      <c r="D4338" s="14" t="s">
        <v>90</v>
      </c>
      <c r="E4338">
        <v>7</v>
      </c>
      <c r="F4338" s="8">
        <f>VLOOKUP(financials[[#This Row],[productid]],Products!$B$2:$H$10,3)</f>
        <v>5.5</v>
      </c>
      <c r="G4338" s="8">
        <f>financials[[#This Row],[Units Sold]]*financials[[#This Row],[Sale Price]]</f>
        <v>38.5</v>
      </c>
      <c r="H4338" s="8">
        <f>IF(financials[[#This Row],[Discount Band]]="low",0.1,IF(financials[[#This Row],[Discount Band]]="medium",0.15,0.3))</f>
        <v>0.15</v>
      </c>
      <c r="I4338" s="8">
        <f>financials[[#This Row],[Gross Sales]]-financials[[#This Row],[Gross Sales]]*financials[[#This Row],[Discounts]]</f>
        <v>32.725000000000001</v>
      </c>
      <c r="J4338" s="8">
        <f>VLOOKUP(financials[[#This Row],[productid]],Products!$B$2:$H$10,4)</f>
        <v>3.99</v>
      </c>
      <c r="K4338" s="8">
        <f>financials[[#This Row],[Net Sales]]-financials[[#This Row],[COGS]]</f>
        <v>28.734999999999999</v>
      </c>
      <c r="L4338" s="15">
        <v>45365</v>
      </c>
      <c r="M4338" t="s">
        <v>697</v>
      </c>
    </row>
    <row r="4339" spans="1:13" x14ac:dyDescent="0.25">
      <c r="A4339" t="s">
        <v>87</v>
      </c>
      <c r="B4339" s="6" t="s">
        <v>159</v>
      </c>
      <c r="C4339" s="13">
        <v>102</v>
      </c>
      <c r="D4339" s="14" t="s">
        <v>90</v>
      </c>
      <c r="E4339">
        <v>19</v>
      </c>
      <c r="F4339" s="8">
        <f>VLOOKUP(financials[[#This Row],[productid]],Products!$B$2:$H$10,3)</f>
        <v>15</v>
      </c>
      <c r="G4339" s="8">
        <f>financials[[#This Row],[Units Sold]]*financials[[#This Row],[Sale Price]]</f>
        <v>285</v>
      </c>
      <c r="H4339" s="8">
        <f>IF(financials[[#This Row],[Discount Band]]="low",0.1,IF(financials[[#This Row],[Discount Band]]="medium",0.15,0.3))</f>
        <v>0.15</v>
      </c>
      <c r="I4339" s="8">
        <f>financials[[#This Row],[Gross Sales]]-financials[[#This Row],[Gross Sales]]*financials[[#This Row],[Discounts]]</f>
        <v>242.25</v>
      </c>
      <c r="J4339" s="8">
        <f>VLOOKUP(financials[[#This Row],[productid]],Products!$B$2:$H$10,4)</f>
        <v>13.95</v>
      </c>
      <c r="K4339" s="8">
        <f>financials[[#This Row],[Net Sales]]-financials[[#This Row],[COGS]]</f>
        <v>228.3</v>
      </c>
      <c r="L4339" s="15">
        <v>44725</v>
      </c>
      <c r="M4339" t="s">
        <v>697</v>
      </c>
    </row>
    <row r="4340" spans="1:13" x14ac:dyDescent="0.25">
      <c r="A4340" t="s">
        <v>88</v>
      </c>
      <c r="B4340" s="6" t="s">
        <v>159</v>
      </c>
      <c r="C4340" s="11">
        <v>106</v>
      </c>
      <c r="D4340" s="9" t="s">
        <v>83</v>
      </c>
      <c r="E4340">
        <v>17</v>
      </c>
      <c r="F4340" s="8">
        <f>VLOOKUP(financials[[#This Row],[productid]],Products!$B$2:$H$10,3)</f>
        <v>25</v>
      </c>
      <c r="G4340" s="8">
        <f>financials[[#This Row],[Units Sold]]*financials[[#This Row],[Sale Price]]</f>
        <v>425</v>
      </c>
      <c r="H4340" s="8">
        <f>IF(financials[[#This Row],[Discount Band]]="low",0.1,IF(financials[[#This Row],[Discount Band]]="medium",0.15,0.3))</f>
        <v>0.3</v>
      </c>
      <c r="I4340" s="8">
        <f>financials[[#This Row],[Gross Sales]]-financials[[#This Row],[Gross Sales]]*financials[[#This Row],[Discounts]]</f>
        <v>297.5</v>
      </c>
      <c r="J4340" s="8">
        <f>VLOOKUP(financials[[#This Row],[productid]],Products!$B$2:$H$10,4)</f>
        <v>9.1</v>
      </c>
      <c r="K4340" s="8">
        <f>financials[[#This Row],[Net Sales]]-financials[[#This Row],[COGS]]</f>
        <v>288.39999999999998</v>
      </c>
      <c r="L4340" s="15">
        <v>44623</v>
      </c>
      <c r="M4340" t="s">
        <v>690</v>
      </c>
    </row>
    <row r="4341" spans="1:13" x14ac:dyDescent="0.25">
      <c r="A4341" t="s">
        <v>86</v>
      </c>
      <c r="B4341" s="6" t="s">
        <v>159</v>
      </c>
      <c r="C4341" s="13">
        <v>109</v>
      </c>
      <c r="D4341" s="14" t="s">
        <v>83</v>
      </c>
      <c r="E4341">
        <v>17</v>
      </c>
      <c r="F4341" s="8">
        <f>VLOOKUP(financials[[#This Row],[productid]],Products!$B$2:$H$10,3)</f>
        <v>36</v>
      </c>
      <c r="G4341" s="8">
        <f>financials[[#This Row],[Units Sold]]*financials[[#This Row],[Sale Price]]</f>
        <v>612</v>
      </c>
      <c r="H4341" s="8">
        <f>IF(financials[[#This Row],[Discount Band]]="low",0.1,IF(financials[[#This Row],[Discount Band]]="medium",0.15,0.3))</f>
        <v>0.3</v>
      </c>
      <c r="I4341" s="8">
        <f>financials[[#This Row],[Gross Sales]]-financials[[#This Row],[Gross Sales]]*financials[[#This Row],[Discounts]]</f>
        <v>428.4</v>
      </c>
      <c r="J4341" s="8">
        <f>VLOOKUP(financials[[#This Row],[productid]],Products!$B$2:$H$10,4)</f>
        <v>16.8</v>
      </c>
      <c r="K4341" s="8">
        <f>financials[[#This Row],[Net Sales]]-financials[[#This Row],[COGS]]</f>
        <v>411.59999999999997</v>
      </c>
      <c r="L4341" s="15">
        <v>44683</v>
      </c>
      <c r="M4341" t="s">
        <v>690</v>
      </c>
    </row>
    <row r="4342" spans="1:13" x14ac:dyDescent="0.25">
      <c r="A4342" t="s">
        <v>86</v>
      </c>
      <c r="B4342" s="6" t="s">
        <v>84</v>
      </c>
      <c r="C4342" s="13">
        <v>102</v>
      </c>
      <c r="D4342" s="14" t="s">
        <v>91</v>
      </c>
      <c r="E4342">
        <v>18</v>
      </c>
      <c r="F4342" s="8">
        <f>VLOOKUP(financials[[#This Row],[productid]],Products!$B$2:$H$10,3)</f>
        <v>15</v>
      </c>
      <c r="G4342" s="8">
        <f>financials[[#This Row],[Units Sold]]*financials[[#This Row],[Sale Price]]</f>
        <v>270</v>
      </c>
      <c r="H4342" s="8">
        <f>IF(financials[[#This Row],[Discount Band]]="low",0.1,IF(financials[[#This Row],[Discount Band]]="medium",0.15,0.3))</f>
        <v>0.1</v>
      </c>
      <c r="I4342" s="8">
        <f>financials[[#This Row],[Gross Sales]]-financials[[#This Row],[Gross Sales]]*financials[[#This Row],[Discounts]]</f>
        <v>243</v>
      </c>
      <c r="J4342" s="8">
        <f>VLOOKUP(financials[[#This Row],[productid]],Products!$B$2:$H$10,4)</f>
        <v>13.95</v>
      </c>
      <c r="K4342" s="8">
        <f>financials[[#This Row],[Net Sales]]-financials[[#This Row],[COGS]]</f>
        <v>229.05</v>
      </c>
      <c r="L4342" s="15">
        <v>44827</v>
      </c>
      <c r="M4342" t="s">
        <v>691</v>
      </c>
    </row>
    <row r="4343" spans="1:13" x14ac:dyDescent="0.25">
      <c r="A4343" t="s">
        <v>88</v>
      </c>
      <c r="B4343" s="6" t="s">
        <v>84</v>
      </c>
      <c r="C4343" s="13">
        <v>106</v>
      </c>
      <c r="D4343" s="14" t="s">
        <v>91</v>
      </c>
      <c r="E4343">
        <v>12</v>
      </c>
      <c r="F4343" s="8">
        <f>VLOOKUP(financials[[#This Row],[productid]],Products!$B$2:$H$10,3)</f>
        <v>25</v>
      </c>
      <c r="G4343" s="8">
        <f>financials[[#This Row],[Units Sold]]*financials[[#This Row],[Sale Price]]</f>
        <v>300</v>
      </c>
      <c r="H4343" s="8">
        <f>IF(financials[[#This Row],[Discount Band]]="low",0.1,IF(financials[[#This Row],[Discount Band]]="medium",0.15,0.3))</f>
        <v>0.1</v>
      </c>
      <c r="I4343" s="8">
        <f>financials[[#This Row],[Gross Sales]]-financials[[#This Row],[Gross Sales]]*financials[[#This Row],[Discounts]]</f>
        <v>270</v>
      </c>
      <c r="J4343" s="8">
        <f>VLOOKUP(financials[[#This Row],[productid]],Products!$B$2:$H$10,4)</f>
        <v>9.1</v>
      </c>
      <c r="K4343" s="8">
        <f>financials[[#This Row],[Net Sales]]-financials[[#This Row],[COGS]]</f>
        <v>260.89999999999998</v>
      </c>
      <c r="L4343" s="15">
        <v>44505</v>
      </c>
      <c r="M4343" t="s">
        <v>696</v>
      </c>
    </row>
    <row r="4344" spans="1:13" x14ac:dyDescent="0.25">
      <c r="A4344" t="s">
        <v>87</v>
      </c>
      <c r="B4344" s="6" t="s">
        <v>159</v>
      </c>
      <c r="C4344" s="13">
        <v>107</v>
      </c>
      <c r="D4344" s="14" t="s">
        <v>83</v>
      </c>
      <c r="E4344">
        <v>6</v>
      </c>
      <c r="F4344" s="8">
        <f>VLOOKUP(financials[[#This Row],[productid]],Products!$B$2:$H$10,3)</f>
        <v>15</v>
      </c>
      <c r="G4344" s="8">
        <f>financials[[#This Row],[Units Sold]]*financials[[#This Row],[Sale Price]]</f>
        <v>90</v>
      </c>
      <c r="H4344" s="8">
        <f>IF(financials[[#This Row],[Discount Band]]="low",0.1,IF(financials[[#This Row],[Discount Band]]="medium",0.15,0.3))</f>
        <v>0.3</v>
      </c>
      <c r="I4344" s="8">
        <f>financials[[#This Row],[Gross Sales]]-financials[[#This Row],[Gross Sales]]*financials[[#This Row],[Discounts]]</f>
        <v>63</v>
      </c>
      <c r="J4344" s="8">
        <f>VLOOKUP(financials[[#This Row],[productid]],Products!$B$2:$H$10,4)</f>
        <v>5.5</v>
      </c>
      <c r="K4344" s="8">
        <f>financials[[#This Row],[Net Sales]]-financials[[#This Row],[COGS]]</f>
        <v>57.5</v>
      </c>
      <c r="L4344" s="15">
        <v>43999</v>
      </c>
      <c r="M4344" t="s">
        <v>697</v>
      </c>
    </row>
    <row r="4345" spans="1:13" x14ac:dyDescent="0.25">
      <c r="A4345" t="s">
        <v>87</v>
      </c>
      <c r="B4345" s="6" t="s">
        <v>124</v>
      </c>
      <c r="C4345" s="13">
        <v>103</v>
      </c>
      <c r="D4345" s="14" t="s">
        <v>91</v>
      </c>
      <c r="E4345">
        <v>11</v>
      </c>
      <c r="F4345" s="8">
        <f>VLOOKUP(financials[[#This Row],[productid]],Products!$B$2:$H$10,3)</f>
        <v>28</v>
      </c>
      <c r="G4345" s="8">
        <f>financials[[#This Row],[Units Sold]]*financials[[#This Row],[Sale Price]]</f>
        <v>308</v>
      </c>
      <c r="H4345" s="8">
        <f>IF(financials[[#This Row],[Discount Band]]="low",0.1,IF(financials[[#This Row],[Discount Band]]="medium",0.15,0.3))</f>
        <v>0.1</v>
      </c>
      <c r="I4345" s="8">
        <f>financials[[#This Row],[Gross Sales]]-financials[[#This Row],[Gross Sales]]*financials[[#This Row],[Discounts]]</f>
        <v>277.2</v>
      </c>
      <c r="J4345" s="8">
        <f>VLOOKUP(financials[[#This Row],[productid]],Products!$B$2:$H$10,4)</f>
        <v>15</v>
      </c>
      <c r="K4345" s="8">
        <f>financials[[#This Row],[Net Sales]]-financials[[#This Row],[COGS]]</f>
        <v>262.2</v>
      </c>
      <c r="L4345" s="15">
        <v>45647</v>
      </c>
      <c r="M4345" t="s">
        <v>700</v>
      </c>
    </row>
    <row r="4346" spans="1:13" x14ac:dyDescent="0.25">
      <c r="A4346" t="s">
        <v>88</v>
      </c>
      <c r="B4346" s="6" t="s">
        <v>84</v>
      </c>
      <c r="C4346" s="13">
        <v>103</v>
      </c>
      <c r="D4346" s="14" t="s">
        <v>83</v>
      </c>
      <c r="E4346">
        <v>12</v>
      </c>
      <c r="F4346" s="8">
        <f>VLOOKUP(financials[[#This Row],[productid]],Products!$B$2:$H$10,3)</f>
        <v>28</v>
      </c>
      <c r="G4346" s="8">
        <f>financials[[#This Row],[Units Sold]]*financials[[#This Row],[Sale Price]]</f>
        <v>336</v>
      </c>
      <c r="H4346" s="8">
        <f>IF(financials[[#This Row],[Discount Band]]="low",0.1,IF(financials[[#This Row],[Discount Band]]="medium",0.15,0.3))</f>
        <v>0.3</v>
      </c>
      <c r="I4346" s="8">
        <f>financials[[#This Row],[Gross Sales]]-financials[[#This Row],[Gross Sales]]*financials[[#This Row],[Discounts]]</f>
        <v>235.2</v>
      </c>
      <c r="J4346" s="8">
        <f>VLOOKUP(financials[[#This Row],[productid]],Products!$B$2:$H$10,4)</f>
        <v>15</v>
      </c>
      <c r="K4346" s="8">
        <f>financials[[#This Row],[Net Sales]]-financials[[#This Row],[COGS]]</f>
        <v>220.2</v>
      </c>
      <c r="L4346" s="15">
        <v>45175</v>
      </c>
      <c r="M4346" t="s">
        <v>697</v>
      </c>
    </row>
    <row r="4347" spans="1:13" x14ac:dyDescent="0.25">
      <c r="A4347" t="s">
        <v>88</v>
      </c>
      <c r="B4347" s="6" t="s">
        <v>84</v>
      </c>
      <c r="C4347" s="13">
        <v>103</v>
      </c>
      <c r="D4347" s="14" t="s">
        <v>91</v>
      </c>
      <c r="E4347">
        <v>10</v>
      </c>
      <c r="F4347" s="8">
        <f>VLOOKUP(financials[[#This Row],[productid]],Products!$B$2:$H$10,3)</f>
        <v>28</v>
      </c>
      <c r="G4347" s="8">
        <f>financials[[#This Row],[Units Sold]]*financials[[#This Row],[Sale Price]]</f>
        <v>280</v>
      </c>
      <c r="H4347" s="8">
        <f>IF(financials[[#This Row],[Discount Band]]="low",0.1,IF(financials[[#This Row],[Discount Band]]="medium",0.15,0.3))</f>
        <v>0.1</v>
      </c>
      <c r="I4347" s="8">
        <f>financials[[#This Row],[Gross Sales]]-financials[[#This Row],[Gross Sales]]*financials[[#This Row],[Discounts]]</f>
        <v>252</v>
      </c>
      <c r="J4347" s="8">
        <f>VLOOKUP(financials[[#This Row],[productid]],Products!$B$2:$H$10,4)</f>
        <v>15</v>
      </c>
      <c r="K4347" s="8">
        <f>financials[[#This Row],[Net Sales]]-financials[[#This Row],[COGS]]</f>
        <v>237</v>
      </c>
      <c r="L4347" s="15">
        <v>45214</v>
      </c>
      <c r="M4347" t="s">
        <v>700</v>
      </c>
    </row>
    <row r="4348" spans="1:13" x14ac:dyDescent="0.25">
      <c r="A4348" t="s">
        <v>88</v>
      </c>
      <c r="B4348" s="6" t="s">
        <v>84</v>
      </c>
      <c r="C4348" s="13">
        <v>109</v>
      </c>
      <c r="D4348" s="14" t="s">
        <v>91</v>
      </c>
      <c r="E4348">
        <v>5</v>
      </c>
      <c r="F4348" s="8">
        <f>VLOOKUP(financials[[#This Row],[productid]],Products!$B$2:$H$10,3)</f>
        <v>36</v>
      </c>
      <c r="G4348" s="8">
        <f>financials[[#This Row],[Units Sold]]*financials[[#This Row],[Sale Price]]</f>
        <v>180</v>
      </c>
      <c r="H4348" s="8">
        <f>IF(financials[[#This Row],[Discount Band]]="low",0.1,IF(financials[[#This Row],[Discount Band]]="medium",0.15,0.3))</f>
        <v>0.1</v>
      </c>
      <c r="I4348" s="8">
        <f>financials[[#This Row],[Gross Sales]]-financials[[#This Row],[Gross Sales]]*financials[[#This Row],[Discounts]]</f>
        <v>162</v>
      </c>
      <c r="J4348" s="8">
        <f>VLOOKUP(financials[[#This Row],[productid]],Products!$B$2:$H$10,4)</f>
        <v>16.8</v>
      </c>
      <c r="K4348" s="8">
        <f>financials[[#This Row],[Net Sales]]-financials[[#This Row],[COGS]]</f>
        <v>145.19999999999999</v>
      </c>
      <c r="L4348" s="15">
        <v>44562</v>
      </c>
      <c r="M4348" t="s">
        <v>690</v>
      </c>
    </row>
    <row r="4349" spans="1:13" x14ac:dyDescent="0.25">
      <c r="A4349" t="s">
        <v>88</v>
      </c>
      <c r="B4349" s="6" t="s">
        <v>84</v>
      </c>
      <c r="C4349" s="13">
        <v>108</v>
      </c>
      <c r="D4349" s="14" t="s">
        <v>90</v>
      </c>
      <c r="E4349">
        <v>5</v>
      </c>
      <c r="F4349" s="8">
        <f>VLOOKUP(financials[[#This Row],[productid]],Products!$B$2:$H$10,3)</f>
        <v>5.5</v>
      </c>
      <c r="G4349" s="8">
        <f>financials[[#This Row],[Units Sold]]*financials[[#This Row],[Sale Price]]</f>
        <v>27.5</v>
      </c>
      <c r="H4349" s="8">
        <f>IF(financials[[#This Row],[Discount Band]]="low",0.1,IF(financials[[#This Row],[Discount Band]]="medium",0.15,0.3))</f>
        <v>0.15</v>
      </c>
      <c r="I4349" s="8">
        <f>financials[[#This Row],[Gross Sales]]-financials[[#This Row],[Gross Sales]]*financials[[#This Row],[Discounts]]</f>
        <v>23.375</v>
      </c>
      <c r="J4349" s="8">
        <f>VLOOKUP(financials[[#This Row],[productid]],Products!$B$2:$H$10,4)</f>
        <v>3.99</v>
      </c>
      <c r="K4349" s="8">
        <f>financials[[#This Row],[Net Sales]]-financials[[#This Row],[COGS]]</f>
        <v>19.384999999999998</v>
      </c>
      <c r="L4349" s="15">
        <v>44915</v>
      </c>
      <c r="M4349" t="s">
        <v>697</v>
      </c>
    </row>
    <row r="4350" spans="1:13" x14ac:dyDescent="0.25">
      <c r="A4350" t="s">
        <v>86</v>
      </c>
      <c r="B4350" s="6" t="s">
        <v>159</v>
      </c>
      <c r="C4350" s="11">
        <v>103</v>
      </c>
      <c r="D4350" s="9" t="s">
        <v>91</v>
      </c>
      <c r="E4350">
        <v>12</v>
      </c>
      <c r="F4350" s="8">
        <f>VLOOKUP(financials[[#This Row],[productid]],Products!$B$2:$H$10,3)</f>
        <v>28</v>
      </c>
      <c r="G4350" s="8">
        <f>financials[[#This Row],[Units Sold]]*financials[[#This Row],[Sale Price]]</f>
        <v>336</v>
      </c>
      <c r="H4350" s="8">
        <f>IF(financials[[#This Row],[Discount Band]]="low",0.1,IF(financials[[#This Row],[Discount Band]]="medium",0.15,0.3))</f>
        <v>0.1</v>
      </c>
      <c r="I4350" s="8">
        <f>financials[[#This Row],[Gross Sales]]-financials[[#This Row],[Gross Sales]]*financials[[#This Row],[Discounts]]</f>
        <v>302.39999999999998</v>
      </c>
      <c r="J4350" s="8">
        <f>VLOOKUP(financials[[#This Row],[productid]],Products!$B$2:$H$10,4)</f>
        <v>15</v>
      </c>
      <c r="K4350" s="8">
        <f>financials[[#This Row],[Net Sales]]-financials[[#This Row],[COGS]]</f>
        <v>287.39999999999998</v>
      </c>
      <c r="L4350" s="15">
        <v>45397</v>
      </c>
      <c r="M4350" t="s">
        <v>691</v>
      </c>
    </row>
    <row r="4351" spans="1:13" x14ac:dyDescent="0.25">
      <c r="A4351" t="s">
        <v>87</v>
      </c>
      <c r="B4351" s="6" t="s">
        <v>124</v>
      </c>
      <c r="C4351" s="13">
        <v>108</v>
      </c>
      <c r="D4351" s="14" t="s">
        <v>90</v>
      </c>
      <c r="E4351">
        <v>10</v>
      </c>
      <c r="F4351" s="8">
        <f>VLOOKUP(financials[[#This Row],[productid]],Products!$B$2:$H$10,3)</f>
        <v>5.5</v>
      </c>
      <c r="G4351" s="8">
        <f>financials[[#This Row],[Units Sold]]*financials[[#This Row],[Sale Price]]</f>
        <v>55</v>
      </c>
      <c r="H4351" s="8">
        <f>IF(financials[[#This Row],[Discount Band]]="low",0.1,IF(financials[[#This Row],[Discount Band]]="medium",0.15,0.3))</f>
        <v>0.15</v>
      </c>
      <c r="I4351" s="8">
        <f>financials[[#This Row],[Gross Sales]]-financials[[#This Row],[Gross Sales]]*financials[[#This Row],[Discounts]]</f>
        <v>46.75</v>
      </c>
      <c r="J4351" s="8">
        <f>VLOOKUP(financials[[#This Row],[productid]],Products!$B$2:$H$10,4)</f>
        <v>3.99</v>
      </c>
      <c r="K4351" s="8">
        <f>financials[[#This Row],[Net Sales]]-financials[[#This Row],[COGS]]</f>
        <v>42.76</v>
      </c>
      <c r="L4351" s="15">
        <v>44974</v>
      </c>
      <c r="M4351" t="s">
        <v>690</v>
      </c>
    </row>
    <row r="4352" spans="1:13" x14ac:dyDescent="0.25">
      <c r="A4352" t="s">
        <v>87</v>
      </c>
      <c r="B4352" s="6" t="s">
        <v>124</v>
      </c>
      <c r="C4352" s="13">
        <v>103</v>
      </c>
      <c r="D4352" s="14" t="s">
        <v>90</v>
      </c>
      <c r="E4352">
        <v>10</v>
      </c>
      <c r="F4352" s="8">
        <f>VLOOKUP(financials[[#This Row],[productid]],Products!$B$2:$H$10,3)</f>
        <v>28</v>
      </c>
      <c r="G4352" s="8">
        <f>financials[[#This Row],[Units Sold]]*financials[[#This Row],[Sale Price]]</f>
        <v>280</v>
      </c>
      <c r="H4352" s="8">
        <f>IF(financials[[#This Row],[Discount Band]]="low",0.1,IF(financials[[#This Row],[Discount Band]]="medium",0.15,0.3))</f>
        <v>0.15</v>
      </c>
      <c r="I4352" s="8">
        <f>financials[[#This Row],[Gross Sales]]-financials[[#This Row],[Gross Sales]]*financials[[#This Row],[Discounts]]</f>
        <v>238</v>
      </c>
      <c r="J4352" s="8">
        <f>VLOOKUP(financials[[#This Row],[productid]],Products!$B$2:$H$10,4)</f>
        <v>15</v>
      </c>
      <c r="K4352" s="8">
        <f>financials[[#This Row],[Net Sales]]-financials[[#This Row],[COGS]]</f>
        <v>223</v>
      </c>
      <c r="L4352" s="15">
        <v>45466</v>
      </c>
      <c r="M4352" t="s">
        <v>697</v>
      </c>
    </row>
    <row r="4353" spans="1:13" x14ac:dyDescent="0.25">
      <c r="A4353" t="s">
        <v>87</v>
      </c>
      <c r="B4353" s="6" t="s">
        <v>124</v>
      </c>
      <c r="C4353" s="13">
        <v>105</v>
      </c>
      <c r="D4353" s="14" t="s">
        <v>91</v>
      </c>
      <c r="E4353">
        <v>16</v>
      </c>
      <c r="F4353" s="8">
        <f>VLOOKUP(financials[[#This Row],[productid]],Products!$B$2:$H$10,3)</f>
        <v>15</v>
      </c>
      <c r="G4353" s="8">
        <f>financials[[#This Row],[Units Sold]]*financials[[#This Row],[Sale Price]]</f>
        <v>240</v>
      </c>
      <c r="H4353" s="8">
        <f>IF(financials[[#This Row],[Discount Band]]="low",0.1,IF(financials[[#This Row],[Discount Band]]="medium",0.15,0.3))</f>
        <v>0.1</v>
      </c>
      <c r="I4353" s="8">
        <f>financials[[#This Row],[Gross Sales]]-financials[[#This Row],[Gross Sales]]*financials[[#This Row],[Discounts]]</f>
        <v>216</v>
      </c>
      <c r="J4353" s="8">
        <f>VLOOKUP(financials[[#This Row],[productid]],Products!$B$2:$H$10,4)</f>
        <v>10</v>
      </c>
      <c r="K4353" s="8">
        <f>financials[[#This Row],[Net Sales]]-financials[[#This Row],[COGS]]</f>
        <v>206</v>
      </c>
      <c r="L4353" s="15">
        <v>44879</v>
      </c>
      <c r="M4353" t="s">
        <v>690</v>
      </c>
    </row>
    <row r="4354" spans="1:13" x14ac:dyDescent="0.25">
      <c r="A4354" t="s">
        <v>87</v>
      </c>
      <c r="B4354" s="6" t="s">
        <v>124</v>
      </c>
      <c r="C4354" s="13">
        <v>109</v>
      </c>
      <c r="D4354" s="14" t="s">
        <v>83</v>
      </c>
      <c r="E4354">
        <v>12</v>
      </c>
      <c r="F4354" s="8">
        <f>VLOOKUP(financials[[#This Row],[productid]],Products!$B$2:$H$10,3)</f>
        <v>36</v>
      </c>
      <c r="G4354" s="8">
        <f>financials[[#This Row],[Units Sold]]*financials[[#This Row],[Sale Price]]</f>
        <v>432</v>
      </c>
      <c r="H4354" s="8">
        <f>IF(financials[[#This Row],[Discount Band]]="low",0.1,IF(financials[[#This Row],[Discount Band]]="medium",0.15,0.3))</f>
        <v>0.3</v>
      </c>
      <c r="I4354" s="8">
        <f>financials[[#This Row],[Gross Sales]]-financials[[#This Row],[Gross Sales]]*financials[[#This Row],[Discounts]]</f>
        <v>302.39999999999998</v>
      </c>
      <c r="J4354" s="8">
        <f>VLOOKUP(financials[[#This Row],[productid]],Products!$B$2:$H$10,4)</f>
        <v>16.8</v>
      </c>
      <c r="K4354" s="8">
        <f>financials[[#This Row],[Net Sales]]-financials[[#This Row],[COGS]]</f>
        <v>285.59999999999997</v>
      </c>
      <c r="L4354" s="15">
        <v>43861</v>
      </c>
      <c r="M4354" t="s">
        <v>700</v>
      </c>
    </row>
    <row r="4355" spans="1:13" x14ac:dyDescent="0.25">
      <c r="A4355" t="s">
        <v>88</v>
      </c>
      <c r="B4355" s="6" t="s">
        <v>159</v>
      </c>
      <c r="C4355" s="13">
        <v>104</v>
      </c>
      <c r="D4355" s="14" t="s">
        <v>90</v>
      </c>
      <c r="E4355">
        <v>7</v>
      </c>
      <c r="F4355" s="8">
        <f>VLOOKUP(financials[[#This Row],[productid]],Products!$B$2:$H$10,3)</f>
        <v>5.9</v>
      </c>
      <c r="G4355" s="8">
        <f>financials[[#This Row],[Units Sold]]*financials[[#This Row],[Sale Price]]</f>
        <v>41.300000000000004</v>
      </c>
      <c r="H4355" s="8">
        <f>IF(financials[[#This Row],[Discount Band]]="low",0.1,IF(financials[[#This Row],[Discount Band]]="medium",0.15,0.3))</f>
        <v>0.15</v>
      </c>
      <c r="I4355" s="8">
        <f>financials[[#This Row],[Gross Sales]]-financials[[#This Row],[Gross Sales]]*financials[[#This Row],[Discounts]]</f>
        <v>35.105000000000004</v>
      </c>
      <c r="J4355" s="8">
        <f>VLOOKUP(financials[[#This Row],[productid]],Products!$B$2:$H$10,4)</f>
        <v>2.9</v>
      </c>
      <c r="K4355" s="8">
        <f>financials[[#This Row],[Net Sales]]-financials[[#This Row],[COGS]]</f>
        <v>32.205000000000005</v>
      </c>
      <c r="L4355" s="15">
        <v>43860</v>
      </c>
      <c r="M4355" t="s">
        <v>697</v>
      </c>
    </row>
    <row r="4356" spans="1:13" x14ac:dyDescent="0.25">
      <c r="A4356" t="s">
        <v>86</v>
      </c>
      <c r="B4356" s="6" t="s">
        <v>159</v>
      </c>
      <c r="C4356" s="13">
        <v>105</v>
      </c>
      <c r="D4356" s="14" t="s">
        <v>90</v>
      </c>
      <c r="E4356">
        <v>8</v>
      </c>
      <c r="F4356" s="8">
        <f>VLOOKUP(financials[[#This Row],[productid]],Products!$B$2:$H$10,3)</f>
        <v>15</v>
      </c>
      <c r="G4356" s="8">
        <f>financials[[#This Row],[Units Sold]]*financials[[#This Row],[Sale Price]]</f>
        <v>120</v>
      </c>
      <c r="H4356" s="8">
        <f>IF(financials[[#This Row],[Discount Band]]="low",0.1,IF(financials[[#This Row],[Discount Band]]="medium",0.15,0.3))</f>
        <v>0.15</v>
      </c>
      <c r="I4356" s="8">
        <f>financials[[#This Row],[Gross Sales]]-financials[[#This Row],[Gross Sales]]*financials[[#This Row],[Discounts]]</f>
        <v>102</v>
      </c>
      <c r="J4356" s="8">
        <f>VLOOKUP(financials[[#This Row],[productid]],Products!$B$2:$H$10,4)</f>
        <v>10</v>
      </c>
      <c r="K4356" s="8">
        <f>financials[[#This Row],[Net Sales]]-financials[[#This Row],[COGS]]</f>
        <v>92</v>
      </c>
      <c r="L4356" s="15">
        <v>44678</v>
      </c>
      <c r="M4356" t="s">
        <v>696</v>
      </c>
    </row>
    <row r="4357" spans="1:13" x14ac:dyDescent="0.25">
      <c r="A4357" t="s">
        <v>86</v>
      </c>
      <c r="B4357" s="6" t="s">
        <v>84</v>
      </c>
      <c r="C4357" s="13">
        <v>106</v>
      </c>
      <c r="D4357" s="14" t="s">
        <v>83</v>
      </c>
      <c r="E4357">
        <v>17</v>
      </c>
      <c r="F4357" s="8">
        <f>VLOOKUP(financials[[#This Row],[productid]],Products!$B$2:$H$10,3)</f>
        <v>25</v>
      </c>
      <c r="G4357" s="8">
        <f>financials[[#This Row],[Units Sold]]*financials[[#This Row],[Sale Price]]</f>
        <v>425</v>
      </c>
      <c r="H4357" s="8">
        <f>IF(financials[[#This Row],[Discount Band]]="low",0.1,IF(financials[[#This Row],[Discount Band]]="medium",0.15,0.3))</f>
        <v>0.3</v>
      </c>
      <c r="I4357" s="8">
        <f>financials[[#This Row],[Gross Sales]]-financials[[#This Row],[Gross Sales]]*financials[[#This Row],[Discounts]]</f>
        <v>297.5</v>
      </c>
      <c r="J4357" s="8">
        <f>VLOOKUP(financials[[#This Row],[productid]],Products!$B$2:$H$10,4)</f>
        <v>9.1</v>
      </c>
      <c r="K4357" s="8">
        <f>financials[[#This Row],[Net Sales]]-financials[[#This Row],[COGS]]</f>
        <v>288.39999999999998</v>
      </c>
      <c r="L4357" s="15">
        <v>45509</v>
      </c>
      <c r="M4357" t="s">
        <v>690</v>
      </c>
    </row>
    <row r="4358" spans="1:13" x14ac:dyDescent="0.25">
      <c r="A4358" t="s">
        <v>88</v>
      </c>
      <c r="B4358" s="6" t="s">
        <v>84</v>
      </c>
      <c r="C4358" s="13">
        <v>104</v>
      </c>
      <c r="D4358" s="14" t="s">
        <v>90</v>
      </c>
      <c r="E4358">
        <v>10</v>
      </c>
      <c r="F4358" s="8">
        <f>VLOOKUP(financials[[#This Row],[productid]],Products!$B$2:$H$10,3)</f>
        <v>5.9</v>
      </c>
      <c r="G4358" s="8">
        <f>financials[[#This Row],[Units Sold]]*financials[[#This Row],[Sale Price]]</f>
        <v>59</v>
      </c>
      <c r="H4358" s="8">
        <f>IF(financials[[#This Row],[Discount Band]]="low",0.1,IF(financials[[#This Row],[Discount Band]]="medium",0.15,0.3))</f>
        <v>0.15</v>
      </c>
      <c r="I4358" s="8">
        <f>financials[[#This Row],[Gross Sales]]-financials[[#This Row],[Gross Sales]]*financials[[#This Row],[Discounts]]</f>
        <v>50.15</v>
      </c>
      <c r="J4358" s="8">
        <f>VLOOKUP(financials[[#This Row],[productid]],Products!$B$2:$H$10,4)</f>
        <v>2.9</v>
      </c>
      <c r="K4358" s="8">
        <f>financials[[#This Row],[Net Sales]]-financials[[#This Row],[COGS]]</f>
        <v>47.25</v>
      </c>
      <c r="L4358" s="15">
        <v>44815</v>
      </c>
      <c r="M4358" t="s">
        <v>700</v>
      </c>
    </row>
    <row r="4359" spans="1:13" x14ac:dyDescent="0.25">
      <c r="A4359" t="s">
        <v>88</v>
      </c>
      <c r="B4359" s="6" t="s">
        <v>84</v>
      </c>
      <c r="C4359" s="13">
        <v>102</v>
      </c>
      <c r="D4359" s="14" t="s">
        <v>91</v>
      </c>
      <c r="E4359">
        <v>5</v>
      </c>
      <c r="F4359" s="8">
        <f>VLOOKUP(financials[[#This Row],[productid]],Products!$B$2:$H$10,3)</f>
        <v>15</v>
      </c>
      <c r="G4359" s="8">
        <f>financials[[#This Row],[Units Sold]]*financials[[#This Row],[Sale Price]]</f>
        <v>75</v>
      </c>
      <c r="H4359" s="8">
        <f>IF(financials[[#This Row],[Discount Band]]="low",0.1,IF(financials[[#This Row],[Discount Band]]="medium",0.15,0.3))</f>
        <v>0.1</v>
      </c>
      <c r="I4359" s="8">
        <f>financials[[#This Row],[Gross Sales]]-financials[[#This Row],[Gross Sales]]*financials[[#This Row],[Discounts]]</f>
        <v>67.5</v>
      </c>
      <c r="J4359" s="8">
        <f>VLOOKUP(financials[[#This Row],[productid]],Products!$B$2:$H$10,4)</f>
        <v>13.95</v>
      </c>
      <c r="K4359" s="8">
        <f>financials[[#This Row],[Net Sales]]-financials[[#This Row],[COGS]]</f>
        <v>53.55</v>
      </c>
      <c r="L4359" s="15">
        <v>44784</v>
      </c>
      <c r="M4359" t="s">
        <v>697</v>
      </c>
    </row>
    <row r="4360" spans="1:13" x14ac:dyDescent="0.25">
      <c r="A4360" t="s">
        <v>86</v>
      </c>
      <c r="B4360" s="6" t="s">
        <v>84</v>
      </c>
      <c r="C4360" s="13">
        <v>103</v>
      </c>
      <c r="D4360" s="14" t="s">
        <v>90</v>
      </c>
      <c r="E4360">
        <v>15</v>
      </c>
      <c r="F4360" s="8">
        <f>VLOOKUP(financials[[#This Row],[productid]],Products!$B$2:$H$10,3)</f>
        <v>28</v>
      </c>
      <c r="G4360" s="8">
        <f>financials[[#This Row],[Units Sold]]*financials[[#This Row],[Sale Price]]</f>
        <v>420</v>
      </c>
      <c r="H4360" s="8">
        <f>IF(financials[[#This Row],[Discount Band]]="low",0.1,IF(financials[[#This Row],[Discount Band]]="medium",0.15,0.3))</f>
        <v>0.15</v>
      </c>
      <c r="I4360" s="8">
        <f>financials[[#This Row],[Gross Sales]]-financials[[#This Row],[Gross Sales]]*financials[[#This Row],[Discounts]]</f>
        <v>357</v>
      </c>
      <c r="J4360" s="8">
        <f>VLOOKUP(financials[[#This Row],[productid]],Products!$B$2:$H$10,4)</f>
        <v>15</v>
      </c>
      <c r="K4360" s="8">
        <f>financials[[#This Row],[Net Sales]]-financials[[#This Row],[COGS]]</f>
        <v>342</v>
      </c>
      <c r="L4360" s="15">
        <v>45510</v>
      </c>
      <c r="M4360" t="s">
        <v>700</v>
      </c>
    </row>
    <row r="4361" spans="1:13" x14ac:dyDescent="0.25">
      <c r="A4361" t="s">
        <v>88</v>
      </c>
      <c r="B4361" s="6" t="s">
        <v>84</v>
      </c>
      <c r="C4361" s="13">
        <v>106</v>
      </c>
      <c r="D4361" s="14" t="s">
        <v>83</v>
      </c>
      <c r="E4361">
        <v>8</v>
      </c>
      <c r="F4361" s="8">
        <f>VLOOKUP(financials[[#This Row],[productid]],Products!$B$2:$H$10,3)</f>
        <v>25</v>
      </c>
      <c r="G4361" s="8">
        <f>financials[[#This Row],[Units Sold]]*financials[[#This Row],[Sale Price]]</f>
        <v>200</v>
      </c>
      <c r="H4361" s="8">
        <f>IF(financials[[#This Row],[Discount Band]]="low",0.1,IF(financials[[#This Row],[Discount Band]]="medium",0.15,0.3))</f>
        <v>0.3</v>
      </c>
      <c r="I4361" s="8">
        <f>financials[[#This Row],[Gross Sales]]-financials[[#This Row],[Gross Sales]]*financials[[#This Row],[Discounts]]</f>
        <v>140</v>
      </c>
      <c r="J4361" s="8">
        <f>VLOOKUP(financials[[#This Row],[productid]],Products!$B$2:$H$10,4)</f>
        <v>9.1</v>
      </c>
      <c r="K4361" s="8">
        <f>financials[[#This Row],[Net Sales]]-financials[[#This Row],[COGS]]</f>
        <v>130.9</v>
      </c>
      <c r="L4361" s="15">
        <v>43984</v>
      </c>
      <c r="M4361" t="s">
        <v>696</v>
      </c>
    </row>
    <row r="4362" spans="1:13" x14ac:dyDescent="0.25">
      <c r="A4362" t="s">
        <v>86</v>
      </c>
      <c r="B4362" s="6" t="s">
        <v>84</v>
      </c>
      <c r="C4362" s="13">
        <v>106</v>
      </c>
      <c r="D4362" s="14" t="s">
        <v>90</v>
      </c>
      <c r="E4362">
        <v>14</v>
      </c>
      <c r="F4362" s="8">
        <f>VLOOKUP(financials[[#This Row],[productid]],Products!$B$2:$H$10,3)</f>
        <v>25</v>
      </c>
      <c r="G4362" s="8">
        <f>financials[[#This Row],[Units Sold]]*financials[[#This Row],[Sale Price]]</f>
        <v>350</v>
      </c>
      <c r="H4362" s="8">
        <f>IF(financials[[#This Row],[Discount Band]]="low",0.1,IF(financials[[#This Row],[Discount Band]]="medium",0.15,0.3))</f>
        <v>0.15</v>
      </c>
      <c r="I4362" s="8">
        <f>financials[[#This Row],[Gross Sales]]-financials[[#This Row],[Gross Sales]]*financials[[#This Row],[Discounts]]</f>
        <v>297.5</v>
      </c>
      <c r="J4362" s="8">
        <f>VLOOKUP(financials[[#This Row],[productid]],Products!$B$2:$H$10,4)</f>
        <v>9.1</v>
      </c>
      <c r="K4362" s="8">
        <f>financials[[#This Row],[Net Sales]]-financials[[#This Row],[COGS]]</f>
        <v>288.39999999999998</v>
      </c>
      <c r="L4362" s="15">
        <v>44125</v>
      </c>
      <c r="M4362" t="s">
        <v>700</v>
      </c>
    </row>
    <row r="4363" spans="1:13" x14ac:dyDescent="0.25">
      <c r="A4363" t="s">
        <v>87</v>
      </c>
      <c r="B4363" s="6" t="s">
        <v>124</v>
      </c>
      <c r="C4363" s="13">
        <v>107</v>
      </c>
      <c r="D4363" s="14" t="s">
        <v>92</v>
      </c>
      <c r="E4363">
        <v>10</v>
      </c>
      <c r="F4363" s="8">
        <f>VLOOKUP(financials[[#This Row],[productid]],Products!$B$2:$H$10,3)</f>
        <v>15</v>
      </c>
      <c r="G4363" s="8">
        <f>financials[[#This Row],[Units Sold]]*financials[[#This Row],[Sale Price]]</f>
        <v>150</v>
      </c>
      <c r="H4363" s="8">
        <f>IF(financials[[#This Row],[Discount Band]]="low",0.1,IF(financials[[#This Row],[Discount Band]]="medium",0.15,0.3))</f>
        <v>0.3</v>
      </c>
      <c r="I4363" s="8">
        <f>financials[[#This Row],[Gross Sales]]-financials[[#This Row],[Gross Sales]]*financials[[#This Row],[Discounts]]</f>
        <v>105</v>
      </c>
      <c r="J4363" s="8">
        <f>VLOOKUP(financials[[#This Row],[productid]],Products!$B$2:$H$10,4)</f>
        <v>5.5</v>
      </c>
      <c r="K4363" s="8">
        <f>financials[[#This Row],[Net Sales]]-financials[[#This Row],[COGS]]</f>
        <v>99.5</v>
      </c>
      <c r="L4363" s="15">
        <v>44684</v>
      </c>
      <c r="M4363" t="s">
        <v>697</v>
      </c>
    </row>
    <row r="4364" spans="1:13" x14ac:dyDescent="0.25">
      <c r="A4364" t="s">
        <v>87</v>
      </c>
      <c r="B4364" s="6" t="s">
        <v>159</v>
      </c>
      <c r="C4364" s="13">
        <v>102</v>
      </c>
      <c r="D4364" s="14" t="s">
        <v>91</v>
      </c>
      <c r="E4364">
        <v>12</v>
      </c>
      <c r="F4364" s="8">
        <f>VLOOKUP(financials[[#This Row],[productid]],Products!$B$2:$H$10,3)</f>
        <v>15</v>
      </c>
      <c r="G4364" s="8">
        <f>financials[[#This Row],[Units Sold]]*financials[[#This Row],[Sale Price]]</f>
        <v>180</v>
      </c>
      <c r="H4364" s="8">
        <f>IF(financials[[#This Row],[Discount Band]]="low",0.1,IF(financials[[#This Row],[Discount Band]]="medium",0.15,0.3))</f>
        <v>0.1</v>
      </c>
      <c r="I4364" s="8">
        <f>financials[[#This Row],[Gross Sales]]-financials[[#This Row],[Gross Sales]]*financials[[#This Row],[Discounts]]</f>
        <v>162</v>
      </c>
      <c r="J4364" s="8">
        <f>VLOOKUP(financials[[#This Row],[productid]],Products!$B$2:$H$10,4)</f>
        <v>13.95</v>
      </c>
      <c r="K4364" s="8">
        <f>financials[[#This Row],[Net Sales]]-financials[[#This Row],[COGS]]</f>
        <v>148.05000000000001</v>
      </c>
      <c r="L4364" s="15">
        <v>44432</v>
      </c>
      <c r="M4364" t="s">
        <v>700</v>
      </c>
    </row>
    <row r="4365" spans="1:13" x14ac:dyDescent="0.25">
      <c r="A4365" t="s">
        <v>87</v>
      </c>
      <c r="B4365" s="6" t="s">
        <v>159</v>
      </c>
      <c r="C4365" s="13">
        <v>104</v>
      </c>
      <c r="D4365" s="14" t="s">
        <v>90</v>
      </c>
      <c r="E4365">
        <v>8</v>
      </c>
      <c r="F4365" s="8">
        <f>VLOOKUP(financials[[#This Row],[productid]],Products!$B$2:$H$10,3)</f>
        <v>5.9</v>
      </c>
      <c r="G4365" s="8">
        <f>financials[[#This Row],[Units Sold]]*financials[[#This Row],[Sale Price]]</f>
        <v>47.2</v>
      </c>
      <c r="H4365" s="8">
        <f>IF(financials[[#This Row],[Discount Band]]="low",0.1,IF(financials[[#This Row],[Discount Band]]="medium",0.15,0.3))</f>
        <v>0.15</v>
      </c>
      <c r="I4365" s="8">
        <f>financials[[#This Row],[Gross Sales]]-financials[[#This Row],[Gross Sales]]*financials[[#This Row],[Discounts]]</f>
        <v>40.120000000000005</v>
      </c>
      <c r="J4365" s="8">
        <f>VLOOKUP(financials[[#This Row],[productid]],Products!$B$2:$H$10,4)</f>
        <v>2.9</v>
      </c>
      <c r="K4365" s="8">
        <f>financials[[#This Row],[Net Sales]]-financials[[#This Row],[COGS]]</f>
        <v>37.220000000000006</v>
      </c>
      <c r="L4365" s="15">
        <v>44366</v>
      </c>
      <c r="M4365" t="s">
        <v>690</v>
      </c>
    </row>
    <row r="4366" spans="1:13" x14ac:dyDescent="0.25">
      <c r="A4366" t="s">
        <v>88</v>
      </c>
      <c r="B4366" s="6" t="s">
        <v>84</v>
      </c>
      <c r="C4366" s="13">
        <v>102</v>
      </c>
      <c r="D4366" s="14" t="s">
        <v>90</v>
      </c>
      <c r="E4366">
        <v>17</v>
      </c>
      <c r="F4366" s="8">
        <f>VLOOKUP(financials[[#This Row],[productid]],Products!$B$2:$H$10,3)</f>
        <v>15</v>
      </c>
      <c r="G4366" s="8">
        <f>financials[[#This Row],[Units Sold]]*financials[[#This Row],[Sale Price]]</f>
        <v>255</v>
      </c>
      <c r="H4366" s="8">
        <f>IF(financials[[#This Row],[Discount Band]]="low",0.1,IF(financials[[#This Row],[Discount Band]]="medium",0.15,0.3))</f>
        <v>0.15</v>
      </c>
      <c r="I4366" s="8">
        <f>financials[[#This Row],[Gross Sales]]-financials[[#This Row],[Gross Sales]]*financials[[#This Row],[Discounts]]</f>
        <v>216.75</v>
      </c>
      <c r="J4366" s="8">
        <f>VLOOKUP(financials[[#This Row],[productid]],Products!$B$2:$H$10,4)</f>
        <v>13.95</v>
      </c>
      <c r="K4366" s="8">
        <f>financials[[#This Row],[Net Sales]]-financials[[#This Row],[COGS]]</f>
        <v>202.8</v>
      </c>
      <c r="L4366" s="15">
        <v>45399</v>
      </c>
      <c r="M4366" t="s">
        <v>696</v>
      </c>
    </row>
    <row r="4367" spans="1:13" x14ac:dyDescent="0.25">
      <c r="A4367" t="s">
        <v>87</v>
      </c>
      <c r="B4367" s="6" t="s">
        <v>159</v>
      </c>
      <c r="C4367" s="13">
        <v>106</v>
      </c>
      <c r="D4367" s="14" t="s">
        <v>90</v>
      </c>
      <c r="E4367">
        <v>12</v>
      </c>
      <c r="F4367" s="8">
        <f>VLOOKUP(financials[[#This Row],[productid]],Products!$B$2:$H$10,3)</f>
        <v>25</v>
      </c>
      <c r="G4367" s="8">
        <f>financials[[#This Row],[Units Sold]]*financials[[#This Row],[Sale Price]]</f>
        <v>300</v>
      </c>
      <c r="H4367" s="8">
        <f>IF(financials[[#This Row],[Discount Band]]="low",0.1,IF(financials[[#This Row],[Discount Band]]="medium",0.15,0.3))</f>
        <v>0.15</v>
      </c>
      <c r="I4367" s="8">
        <f>financials[[#This Row],[Gross Sales]]-financials[[#This Row],[Gross Sales]]*financials[[#This Row],[Discounts]]</f>
        <v>255</v>
      </c>
      <c r="J4367" s="8">
        <f>VLOOKUP(financials[[#This Row],[productid]],Products!$B$2:$H$10,4)</f>
        <v>9.1</v>
      </c>
      <c r="K4367" s="8">
        <f>financials[[#This Row],[Net Sales]]-financials[[#This Row],[COGS]]</f>
        <v>245.9</v>
      </c>
      <c r="L4367" s="15">
        <v>44765</v>
      </c>
      <c r="M4367" t="s">
        <v>690</v>
      </c>
    </row>
    <row r="4368" spans="1:13" x14ac:dyDescent="0.25">
      <c r="A4368" t="s">
        <v>88</v>
      </c>
      <c r="B4368" s="6" t="s">
        <v>84</v>
      </c>
      <c r="C4368" s="13">
        <v>109</v>
      </c>
      <c r="D4368" s="14" t="s">
        <v>83</v>
      </c>
      <c r="E4368">
        <v>10</v>
      </c>
      <c r="F4368" s="8">
        <f>VLOOKUP(financials[[#This Row],[productid]],Products!$B$2:$H$10,3)</f>
        <v>36</v>
      </c>
      <c r="G4368" s="8">
        <f>financials[[#This Row],[Units Sold]]*financials[[#This Row],[Sale Price]]</f>
        <v>360</v>
      </c>
      <c r="H4368" s="8">
        <f>IF(financials[[#This Row],[Discount Band]]="low",0.1,IF(financials[[#This Row],[Discount Band]]="medium",0.15,0.3))</f>
        <v>0.3</v>
      </c>
      <c r="I4368" s="8">
        <f>financials[[#This Row],[Gross Sales]]-financials[[#This Row],[Gross Sales]]*financials[[#This Row],[Discounts]]</f>
        <v>252</v>
      </c>
      <c r="J4368" s="8">
        <f>VLOOKUP(financials[[#This Row],[productid]],Products!$B$2:$H$10,4)</f>
        <v>16.8</v>
      </c>
      <c r="K4368" s="8">
        <f>financials[[#This Row],[Net Sales]]-financials[[#This Row],[COGS]]</f>
        <v>235.2</v>
      </c>
      <c r="L4368" s="15">
        <v>44380</v>
      </c>
      <c r="M4368" t="s">
        <v>691</v>
      </c>
    </row>
    <row r="4369" spans="1:13" x14ac:dyDescent="0.25">
      <c r="A4369" t="s">
        <v>87</v>
      </c>
      <c r="B4369" s="6" t="s">
        <v>159</v>
      </c>
      <c r="C4369" s="13">
        <v>109</v>
      </c>
      <c r="D4369" s="14" t="s">
        <v>90</v>
      </c>
      <c r="E4369">
        <v>8</v>
      </c>
      <c r="F4369" s="8">
        <f>VLOOKUP(financials[[#This Row],[productid]],Products!$B$2:$H$10,3)</f>
        <v>36</v>
      </c>
      <c r="G4369" s="8">
        <f>financials[[#This Row],[Units Sold]]*financials[[#This Row],[Sale Price]]</f>
        <v>288</v>
      </c>
      <c r="H4369" s="8">
        <f>IF(financials[[#This Row],[Discount Band]]="low",0.1,IF(financials[[#This Row],[Discount Band]]="medium",0.15,0.3))</f>
        <v>0.15</v>
      </c>
      <c r="I4369" s="8">
        <f>financials[[#This Row],[Gross Sales]]-financials[[#This Row],[Gross Sales]]*financials[[#This Row],[Discounts]]</f>
        <v>244.8</v>
      </c>
      <c r="J4369" s="8">
        <f>VLOOKUP(financials[[#This Row],[productid]],Products!$B$2:$H$10,4)</f>
        <v>16.8</v>
      </c>
      <c r="K4369" s="8">
        <f>financials[[#This Row],[Net Sales]]-financials[[#This Row],[COGS]]</f>
        <v>228</v>
      </c>
      <c r="L4369" s="15">
        <v>45552</v>
      </c>
      <c r="M4369" t="s">
        <v>691</v>
      </c>
    </row>
    <row r="4370" spans="1:13" x14ac:dyDescent="0.25">
      <c r="A4370" t="s">
        <v>88</v>
      </c>
      <c r="B4370" s="6" t="s">
        <v>84</v>
      </c>
      <c r="C4370" s="13">
        <v>108</v>
      </c>
      <c r="D4370" s="14" t="s">
        <v>83</v>
      </c>
      <c r="E4370">
        <v>16</v>
      </c>
      <c r="F4370" s="8">
        <f>VLOOKUP(financials[[#This Row],[productid]],Products!$B$2:$H$10,3)</f>
        <v>5.5</v>
      </c>
      <c r="G4370" s="8">
        <f>financials[[#This Row],[Units Sold]]*financials[[#This Row],[Sale Price]]</f>
        <v>88</v>
      </c>
      <c r="H4370" s="8">
        <f>IF(financials[[#This Row],[Discount Band]]="low",0.1,IF(financials[[#This Row],[Discount Band]]="medium",0.15,0.3))</f>
        <v>0.3</v>
      </c>
      <c r="I4370" s="8">
        <f>financials[[#This Row],[Gross Sales]]-financials[[#This Row],[Gross Sales]]*financials[[#This Row],[Discounts]]</f>
        <v>61.6</v>
      </c>
      <c r="J4370" s="8">
        <f>VLOOKUP(financials[[#This Row],[productid]],Products!$B$2:$H$10,4)</f>
        <v>3.99</v>
      </c>
      <c r="K4370" s="8">
        <f>financials[[#This Row],[Net Sales]]-financials[[#This Row],[COGS]]</f>
        <v>57.61</v>
      </c>
      <c r="L4370" s="15">
        <v>45465</v>
      </c>
      <c r="M4370" t="s">
        <v>690</v>
      </c>
    </row>
    <row r="4371" spans="1:13" x14ac:dyDescent="0.25">
      <c r="A4371" t="s">
        <v>87</v>
      </c>
      <c r="B4371" s="6" t="s">
        <v>159</v>
      </c>
      <c r="C4371" s="11">
        <v>104</v>
      </c>
      <c r="D4371" s="9" t="s">
        <v>91</v>
      </c>
      <c r="E4371">
        <v>19</v>
      </c>
      <c r="F4371" s="8">
        <f>VLOOKUP(financials[[#This Row],[productid]],Products!$B$2:$H$10,3)</f>
        <v>5.9</v>
      </c>
      <c r="G4371" s="8">
        <f>financials[[#This Row],[Units Sold]]*financials[[#This Row],[Sale Price]]</f>
        <v>112.10000000000001</v>
      </c>
      <c r="H4371" s="8">
        <f>IF(financials[[#This Row],[Discount Band]]="low",0.1,IF(financials[[#This Row],[Discount Band]]="medium",0.15,0.3))</f>
        <v>0.1</v>
      </c>
      <c r="I4371" s="8">
        <f>financials[[#This Row],[Gross Sales]]-financials[[#This Row],[Gross Sales]]*financials[[#This Row],[Discounts]]</f>
        <v>100.89000000000001</v>
      </c>
      <c r="J4371" s="8">
        <f>VLOOKUP(financials[[#This Row],[productid]],Products!$B$2:$H$10,4)</f>
        <v>2.9</v>
      </c>
      <c r="K4371" s="8">
        <f>financials[[#This Row],[Net Sales]]-financials[[#This Row],[COGS]]</f>
        <v>97.990000000000009</v>
      </c>
      <c r="L4371" s="15">
        <v>44939</v>
      </c>
      <c r="M4371" t="s">
        <v>697</v>
      </c>
    </row>
    <row r="4372" spans="1:13" x14ac:dyDescent="0.25">
      <c r="A4372" t="s">
        <v>87</v>
      </c>
      <c r="B4372" s="6" t="s">
        <v>159</v>
      </c>
      <c r="C4372" s="13">
        <v>107</v>
      </c>
      <c r="D4372" s="14" t="s">
        <v>90</v>
      </c>
      <c r="E4372">
        <v>16</v>
      </c>
      <c r="F4372" s="8">
        <f>VLOOKUP(financials[[#This Row],[productid]],Products!$B$2:$H$10,3)</f>
        <v>15</v>
      </c>
      <c r="G4372" s="8">
        <f>financials[[#This Row],[Units Sold]]*financials[[#This Row],[Sale Price]]</f>
        <v>240</v>
      </c>
      <c r="H4372" s="8">
        <f>IF(financials[[#This Row],[Discount Band]]="low",0.1,IF(financials[[#This Row],[Discount Band]]="medium",0.15,0.3))</f>
        <v>0.15</v>
      </c>
      <c r="I4372" s="8">
        <f>financials[[#This Row],[Gross Sales]]-financials[[#This Row],[Gross Sales]]*financials[[#This Row],[Discounts]]</f>
        <v>204</v>
      </c>
      <c r="J4372" s="8">
        <f>VLOOKUP(financials[[#This Row],[productid]],Products!$B$2:$H$10,4)</f>
        <v>5.5</v>
      </c>
      <c r="K4372" s="8">
        <f>financials[[#This Row],[Net Sales]]-financials[[#This Row],[COGS]]</f>
        <v>198.5</v>
      </c>
      <c r="L4372" s="15">
        <v>44513</v>
      </c>
      <c r="M4372" t="s">
        <v>697</v>
      </c>
    </row>
    <row r="4373" spans="1:13" x14ac:dyDescent="0.25">
      <c r="A4373" t="s">
        <v>87</v>
      </c>
      <c r="B4373" s="6" t="s">
        <v>124</v>
      </c>
      <c r="C4373" s="13">
        <v>108</v>
      </c>
      <c r="D4373" s="14" t="s">
        <v>83</v>
      </c>
      <c r="E4373">
        <v>17</v>
      </c>
      <c r="F4373" s="8">
        <f>VLOOKUP(financials[[#This Row],[productid]],Products!$B$2:$H$10,3)</f>
        <v>5.5</v>
      </c>
      <c r="G4373" s="8">
        <f>financials[[#This Row],[Units Sold]]*financials[[#This Row],[Sale Price]]</f>
        <v>93.5</v>
      </c>
      <c r="H4373" s="8">
        <f>IF(financials[[#This Row],[Discount Band]]="low",0.1,IF(financials[[#This Row],[Discount Band]]="medium",0.15,0.3))</f>
        <v>0.3</v>
      </c>
      <c r="I4373" s="8">
        <f>financials[[#This Row],[Gross Sales]]-financials[[#This Row],[Gross Sales]]*financials[[#This Row],[Discounts]]</f>
        <v>65.45</v>
      </c>
      <c r="J4373" s="8">
        <f>VLOOKUP(financials[[#This Row],[productid]],Products!$B$2:$H$10,4)</f>
        <v>3.99</v>
      </c>
      <c r="K4373" s="8">
        <f>financials[[#This Row],[Net Sales]]-financials[[#This Row],[COGS]]</f>
        <v>61.46</v>
      </c>
      <c r="L4373" s="15">
        <v>44015</v>
      </c>
      <c r="M4373" t="s">
        <v>696</v>
      </c>
    </row>
    <row r="4374" spans="1:13" x14ac:dyDescent="0.25">
      <c r="A4374" t="s">
        <v>88</v>
      </c>
      <c r="B4374" s="6" t="s">
        <v>84</v>
      </c>
      <c r="C4374" s="13">
        <v>108</v>
      </c>
      <c r="D4374" s="14" t="s">
        <v>83</v>
      </c>
      <c r="E4374">
        <v>15</v>
      </c>
      <c r="F4374" s="8">
        <f>VLOOKUP(financials[[#This Row],[productid]],Products!$B$2:$H$10,3)</f>
        <v>5.5</v>
      </c>
      <c r="G4374" s="8">
        <f>financials[[#This Row],[Units Sold]]*financials[[#This Row],[Sale Price]]</f>
        <v>82.5</v>
      </c>
      <c r="H4374" s="8">
        <f>IF(financials[[#This Row],[Discount Band]]="low",0.1,IF(financials[[#This Row],[Discount Band]]="medium",0.15,0.3))</f>
        <v>0.3</v>
      </c>
      <c r="I4374" s="8">
        <f>financials[[#This Row],[Gross Sales]]-financials[[#This Row],[Gross Sales]]*financials[[#This Row],[Discounts]]</f>
        <v>57.75</v>
      </c>
      <c r="J4374" s="8">
        <f>VLOOKUP(financials[[#This Row],[productid]],Products!$B$2:$H$10,4)</f>
        <v>3.99</v>
      </c>
      <c r="K4374" s="8">
        <f>financials[[#This Row],[Net Sales]]-financials[[#This Row],[COGS]]</f>
        <v>53.76</v>
      </c>
      <c r="L4374" s="15">
        <v>44898</v>
      </c>
      <c r="M4374" t="s">
        <v>697</v>
      </c>
    </row>
    <row r="4375" spans="1:13" x14ac:dyDescent="0.25">
      <c r="A4375" t="s">
        <v>88</v>
      </c>
      <c r="B4375" s="6" t="s">
        <v>84</v>
      </c>
      <c r="C4375" s="13">
        <v>103</v>
      </c>
      <c r="D4375" s="14" t="s">
        <v>91</v>
      </c>
      <c r="E4375">
        <v>13</v>
      </c>
      <c r="F4375" s="8">
        <f>VLOOKUP(financials[[#This Row],[productid]],Products!$B$2:$H$10,3)</f>
        <v>28</v>
      </c>
      <c r="G4375" s="8">
        <f>financials[[#This Row],[Units Sold]]*financials[[#This Row],[Sale Price]]</f>
        <v>364</v>
      </c>
      <c r="H4375" s="8">
        <f>IF(financials[[#This Row],[Discount Band]]="low",0.1,IF(financials[[#This Row],[Discount Band]]="medium",0.15,0.3))</f>
        <v>0.1</v>
      </c>
      <c r="I4375" s="8">
        <f>financials[[#This Row],[Gross Sales]]-financials[[#This Row],[Gross Sales]]*financials[[#This Row],[Discounts]]</f>
        <v>327.60000000000002</v>
      </c>
      <c r="J4375" s="8">
        <f>VLOOKUP(financials[[#This Row],[productid]],Products!$B$2:$H$10,4)</f>
        <v>15</v>
      </c>
      <c r="K4375" s="8">
        <f>financials[[#This Row],[Net Sales]]-financials[[#This Row],[COGS]]</f>
        <v>312.60000000000002</v>
      </c>
      <c r="L4375" s="15">
        <v>45484</v>
      </c>
      <c r="M4375" t="s">
        <v>697</v>
      </c>
    </row>
    <row r="4376" spans="1:13" x14ac:dyDescent="0.25">
      <c r="A4376" t="s">
        <v>86</v>
      </c>
      <c r="B4376" s="6" t="s">
        <v>84</v>
      </c>
      <c r="C4376" s="13">
        <v>108</v>
      </c>
      <c r="D4376" s="14" t="s">
        <v>91</v>
      </c>
      <c r="E4376">
        <v>18</v>
      </c>
      <c r="F4376" s="8">
        <f>VLOOKUP(financials[[#This Row],[productid]],Products!$B$2:$H$10,3)</f>
        <v>5.5</v>
      </c>
      <c r="G4376" s="8">
        <f>financials[[#This Row],[Units Sold]]*financials[[#This Row],[Sale Price]]</f>
        <v>99</v>
      </c>
      <c r="H4376" s="8">
        <f>IF(financials[[#This Row],[Discount Band]]="low",0.1,IF(financials[[#This Row],[Discount Band]]="medium",0.15,0.3))</f>
        <v>0.1</v>
      </c>
      <c r="I4376" s="8">
        <f>financials[[#This Row],[Gross Sales]]-financials[[#This Row],[Gross Sales]]*financials[[#This Row],[Discounts]]</f>
        <v>89.1</v>
      </c>
      <c r="J4376" s="8">
        <f>VLOOKUP(financials[[#This Row],[productid]],Products!$B$2:$H$10,4)</f>
        <v>3.99</v>
      </c>
      <c r="K4376" s="8">
        <f>financials[[#This Row],[Net Sales]]-financials[[#This Row],[COGS]]</f>
        <v>85.11</v>
      </c>
      <c r="L4376" s="15">
        <v>45255</v>
      </c>
      <c r="M4376" t="s">
        <v>696</v>
      </c>
    </row>
    <row r="4377" spans="1:13" x14ac:dyDescent="0.25">
      <c r="A4377" t="s">
        <v>88</v>
      </c>
      <c r="B4377" s="6" t="s">
        <v>84</v>
      </c>
      <c r="C4377" s="11">
        <v>109</v>
      </c>
      <c r="D4377" s="9" t="s">
        <v>90</v>
      </c>
      <c r="E4377">
        <v>9</v>
      </c>
      <c r="F4377" s="8">
        <f>VLOOKUP(financials[[#This Row],[productid]],Products!$B$2:$H$10,3)</f>
        <v>36</v>
      </c>
      <c r="G4377" s="8">
        <f>financials[[#This Row],[Units Sold]]*financials[[#This Row],[Sale Price]]</f>
        <v>324</v>
      </c>
      <c r="H4377" s="8">
        <f>IF(financials[[#This Row],[Discount Band]]="low",0.1,IF(financials[[#This Row],[Discount Band]]="medium",0.15,0.3))</f>
        <v>0.15</v>
      </c>
      <c r="I4377" s="8">
        <f>financials[[#This Row],[Gross Sales]]-financials[[#This Row],[Gross Sales]]*financials[[#This Row],[Discounts]]</f>
        <v>275.39999999999998</v>
      </c>
      <c r="J4377" s="8">
        <f>VLOOKUP(financials[[#This Row],[productid]],Products!$B$2:$H$10,4)</f>
        <v>16.8</v>
      </c>
      <c r="K4377" s="8">
        <f>financials[[#This Row],[Net Sales]]-financials[[#This Row],[COGS]]</f>
        <v>258.59999999999997</v>
      </c>
      <c r="L4377" s="15">
        <v>45322</v>
      </c>
      <c r="M4377" t="s">
        <v>696</v>
      </c>
    </row>
    <row r="4378" spans="1:13" x14ac:dyDescent="0.25">
      <c r="A4378" t="s">
        <v>87</v>
      </c>
      <c r="B4378" s="6" t="s">
        <v>159</v>
      </c>
      <c r="C4378" s="11">
        <v>108</v>
      </c>
      <c r="D4378" s="9" t="s">
        <v>91</v>
      </c>
      <c r="E4378">
        <v>18</v>
      </c>
      <c r="F4378" s="8">
        <f>VLOOKUP(financials[[#This Row],[productid]],Products!$B$2:$H$10,3)</f>
        <v>5.5</v>
      </c>
      <c r="G4378" s="8">
        <f>financials[[#This Row],[Units Sold]]*financials[[#This Row],[Sale Price]]</f>
        <v>99</v>
      </c>
      <c r="H4378" s="8">
        <f>IF(financials[[#This Row],[Discount Band]]="low",0.1,IF(financials[[#This Row],[Discount Band]]="medium",0.15,0.3))</f>
        <v>0.1</v>
      </c>
      <c r="I4378" s="8">
        <f>financials[[#This Row],[Gross Sales]]-financials[[#This Row],[Gross Sales]]*financials[[#This Row],[Discounts]]</f>
        <v>89.1</v>
      </c>
      <c r="J4378" s="8">
        <f>VLOOKUP(financials[[#This Row],[productid]],Products!$B$2:$H$10,4)</f>
        <v>3.99</v>
      </c>
      <c r="K4378" s="8">
        <f>financials[[#This Row],[Net Sales]]-financials[[#This Row],[COGS]]</f>
        <v>85.11</v>
      </c>
      <c r="L4378" s="15">
        <v>45424</v>
      </c>
      <c r="M4378" t="s">
        <v>690</v>
      </c>
    </row>
    <row r="4379" spans="1:13" x14ac:dyDescent="0.25">
      <c r="A4379" t="s">
        <v>87</v>
      </c>
      <c r="B4379" s="6" t="s">
        <v>159</v>
      </c>
      <c r="C4379" s="13">
        <v>109</v>
      </c>
      <c r="D4379" s="14" t="s">
        <v>90</v>
      </c>
      <c r="E4379">
        <v>18</v>
      </c>
      <c r="F4379" s="8">
        <f>VLOOKUP(financials[[#This Row],[productid]],Products!$B$2:$H$10,3)</f>
        <v>36</v>
      </c>
      <c r="G4379" s="8">
        <f>financials[[#This Row],[Units Sold]]*financials[[#This Row],[Sale Price]]</f>
        <v>648</v>
      </c>
      <c r="H4379" s="8">
        <f>IF(financials[[#This Row],[Discount Band]]="low",0.1,IF(financials[[#This Row],[Discount Band]]="medium",0.15,0.3))</f>
        <v>0.15</v>
      </c>
      <c r="I4379" s="8">
        <f>financials[[#This Row],[Gross Sales]]-financials[[#This Row],[Gross Sales]]*financials[[#This Row],[Discounts]]</f>
        <v>550.79999999999995</v>
      </c>
      <c r="J4379" s="8">
        <f>VLOOKUP(financials[[#This Row],[productid]],Products!$B$2:$H$10,4)</f>
        <v>16.8</v>
      </c>
      <c r="K4379" s="8">
        <f>financials[[#This Row],[Net Sales]]-financials[[#This Row],[COGS]]</f>
        <v>534</v>
      </c>
      <c r="L4379" s="15">
        <v>44796</v>
      </c>
      <c r="M4379" t="s">
        <v>697</v>
      </c>
    </row>
    <row r="4380" spans="1:13" x14ac:dyDescent="0.25">
      <c r="A4380" t="s">
        <v>86</v>
      </c>
      <c r="B4380" s="6" t="s">
        <v>84</v>
      </c>
      <c r="C4380" s="13">
        <v>106</v>
      </c>
      <c r="D4380" s="14" t="s">
        <v>90</v>
      </c>
      <c r="E4380">
        <v>9</v>
      </c>
      <c r="F4380" s="8">
        <f>VLOOKUP(financials[[#This Row],[productid]],Products!$B$2:$H$10,3)</f>
        <v>25</v>
      </c>
      <c r="G4380" s="8">
        <f>financials[[#This Row],[Units Sold]]*financials[[#This Row],[Sale Price]]</f>
        <v>225</v>
      </c>
      <c r="H4380" s="8">
        <f>IF(financials[[#This Row],[Discount Band]]="low",0.1,IF(financials[[#This Row],[Discount Band]]="medium",0.15,0.3))</f>
        <v>0.15</v>
      </c>
      <c r="I4380" s="8">
        <f>financials[[#This Row],[Gross Sales]]-financials[[#This Row],[Gross Sales]]*financials[[#This Row],[Discounts]]</f>
        <v>191.25</v>
      </c>
      <c r="J4380" s="8">
        <f>VLOOKUP(financials[[#This Row],[productid]],Products!$B$2:$H$10,4)</f>
        <v>9.1</v>
      </c>
      <c r="K4380" s="8">
        <f>financials[[#This Row],[Net Sales]]-financials[[#This Row],[COGS]]</f>
        <v>182.15</v>
      </c>
      <c r="L4380" s="15">
        <v>45522</v>
      </c>
      <c r="M4380" t="s">
        <v>700</v>
      </c>
    </row>
    <row r="4381" spans="1:13" x14ac:dyDescent="0.25">
      <c r="A4381" t="s">
        <v>87</v>
      </c>
      <c r="B4381" s="6" t="s">
        <v>159</v>
      </c>
      <c r="C4381" s="13">
        <v>109</v>
      </c>
      <c r="D4381" s="14" t="s">
        <v>90</v>
      </c>
      <c r="E4381">
        <v>7</v>
      </c>
      <c r="F4381" s="8">
        <f>VLOOKUP(financials[[#This Row],[productid]],Products!$B$2:$H$10,3)</f>
        <v>36</v>
      </c>
      <c r="G4381" s="8">
        <f>financials[[#This Row],[Units Sold]]*financials[[#This Row],[Sale Price]]</f>
        <v>252</v>
      </c>
      <c r="H4381" s="8">
        <f>IF(financials[[#This Row],[Discount Band]]="low",0.1,IF(financials[[#This Row],[Discount Band]]="medium",0.15,0.3))</f>
        <v>0.15</v>
      </c>
      <c r="I4381" s="8">
        <f>financials[[#This Row],[Gross Sales]]-financials[[#This Row],[Gross Sales]]*financials[[#This Row],[Discounts]]</f>
        <v>214.2</v>
      </c>
      <c r="J4381" s="8">
        <f>VLOOKUP(financials[[#This Row],[productid]],Products!$B$2:$H$10,4)</f>
        <v>16.8</v>
      </c>
      <c r="K4381" s="8">
        <f>financials[[#This Row],[Net Sales]]-financials[[#This Row],[COGS]]</f>
        <v>197.39999999999998</v>
      </c>
      <c r="L4381" s="15">
        <v>44044</v>
      </c>
      <c r="M4381" t="s">
        <v>690</v>
      </c>
    </row>
    <row r="4382" spans="1:13" x14ac:dyDescent="0.25">
      <c r="A4382" t="s">
        <v>87</v>
      </c>
      <c r="B4382" s="6" t="s">
        <v>159</v>
      </c>
      <c r="C4382" s="11">
        <v>107</v>
      </c>
      <c r="D4382" s="9" t="s">
        <v>83</v>
      </c>
      <c r="E4382">
        <v>10</v>
      </c>
      <c r="F4382" s="8">
        <f>VLOOKUP(financials[[#This Row],[productid]],Products!$B$2:$H$10,3)</f>
        <v>15</v>
      </c>
      <c r="G4382" s="8">
        <f>financials[[#This Row],[Units Sold]]*financials[[#This Row],[Sale Price]]</f>
        <v>150</v>
      </c>
      <c r="H4382" s="8">
        <f>IF(financials[[#This Row],[Discount Band]]="low",0.1,IF(financials[[#This Row],[Discount Band]]="medium",0.15,0.3))</f>
        <v>0.3</v>
      </c>
      <c r="I4382" s="8">
        <f>financials[[#This Row],[Gross Sales]]-financials[[#This Row],[Gross Sales]]*financials[[#This Row],[Discounts]]</f>
        <v>105</v>
      </c>
      <c r="J4382" s="8">
        <f>VLOOKUP(financials[[#This Row],[productid]],Products!$B$2:$H$10,4)</f>
        <v>5.5</v>
      </c>
      <c r="K4382" s="8">
        <f>financials[[#This Row],[Net Sales]]-financials[[#This Row],[COGS]]</f>
        <v>99.5</v>
      </c>
      <c r="L4382" s="15">
        <v>45192</v>
      </c>
      <c r="M4382" t="s">
        <v>690</v>
      </c>
    </row>
    <row r="4383" spans="1:13" x14ac:dyDescent="0.25">
      <c r="A4383" t="s">
        <v>87</v>
      </c>
      <c r="B4383" s="6" t="s">
        <v>159</v>
      </c>
      <c r="C4383" s="13">
        <v>109</v>
      </c>
      <c r="D4383" s="14" t="s">
        <v>90</v>
      </c>
      <c r="E4383">
        <v>14</v>
      </c>
      <c r="F4383" s="8">
        <f>VLOOKUP(financials[[#This Row],[productid]],Products!$B$2:$H$10,3)</f>
        <v>36</v>
      </c>
      <c r="G4383" s="8">
        <f>financials[[#This Row],[Units Sold]]*financials[[#This Row],[Sale Price]]</f>
        <v>504</v>
      </c>
      <c r="H4383" s="8">
        <f>IF(financials[[#This Row],[Discount Band]]="low",0.1,IF(financials[[#This Row],[Discount Band]]="medium",0.15,0.3))</f>
        <v>0.15</v>
      </c>
      <c r="I4383" s="8">
        <f>financials[[#This Row],[Gross Sales]]-financials[[#This Row],[Gross Sales]]*financials[[#This Row],[Discounts]]</f>
        <v>428.4</v>
      </c>
      <c r="J4383" s="8">
        <f>VLOOKUP(financials[[#This Row],[productid]],Products!$B$2:$H$10,4)</f>
        <v>16.8</v>
      </c>
      <c r="K4383" s="8">
        <f>financials[[#This Row],[Net Sales]]-financials[[#This Row],[COGS]]</f>
        <v>411.59999999999997</v>
      </c>
      <c r="L4383" s="15">
        <v>44297</v>
      </c>
      <c r="M4383" t="s">
        <v>690</v>
      </c>
    </row>
    <row r="4384" spans="1:13" x14ac:dyDescent="0.25">
      <c r="A4384" t="s">
        <v>88</v>
      </c>
      <c r="B4384" s="6" t="s">
        <v>84</v>
      </c>
      <c r="C4384" s="13">
        <v>108</v>
      </c>
      <c r="D4384" s="14" t="s">
        <v>91</v>
      </c>
      <c r="E4384">
        <v>6</v>
      </c>
      <c r="F4384" s="8">
        <f>VLOOKUP(financials[[#This Row],[productid]],Products!$B$2:$H$10,3)</f>
        <v>5.5</v>
      </c>
      <c r="G4384" s="8">
        <f>financials[[#This Row],[Units Sold]]*financials[[#This Row],[Sale Price]]</f>
        <v>33</v>
      </c>
      <c r="H4384" s="8">
        <f>IF(financials[[#This Row],[Discount Band]]="low",0.1,IF(financials[[#This Row],[Discount Band]]="medium",0.15,0.3))</f>
        <v>0.1</v>
      </c>
      <c r="I4384" s="8">
        <f>financials[[#This Row],[Gross Sales]]-financials[[#This Row],[Gross Sales]]*financials[[#This Row],[Discounts]]</f>
        <v>29.7</v>
      </c>
      <c r="J4384" s="8">
        <f>VLOOKUP(financials[[#This Row],[productid]],Products!$B$2:$H$10,4)</f>
        <v>3.99</v>
      </c>
      <c r="K4384" s="8">
        <f>financials[[#This Row],[Net Sales]]-financials[[#This Row],[COGS]]</f>
        <v>25.71</v>
      </c>
      <c r="L4384" s="15">
        <v>44517</v>
      </c>
      <c r="M4384" t="s">
        <v>690</v>
      </c>
    </row>
    <row r="4385" spans="1:13" x14ac:dyDescent="0.25">
      <c r="A4385" t="s">
        <v>88</v>
      </c>
      <c r="B4385" s="6" t="s">
        <v>84</v>
      </c>
      <c r="C4385" s="13">
        <v>109</v>
      </c>
      <c r="D4385" s="14" t="s">
        <v>90</v>
      </c>
      <c r="E4385">
        <v>10</v>
      </c>
      <c r="F4385" s="8">
        <f>VLOOKUP(financials[[#This Row],[productid]],Products!$B$2:$H$10,3)</f>
        <v>36</v>
      </c>
      <c r="G4385" s="8">
        <f>financials[[#This Row],[Units Sold]]*financials[[#This Row],[Sale Price]]</f>
        <v>360</v>
      </c>
      <c r="H4385" s="8">
        <f>IF(financials[[#This Row],[Discount Band]]="low",0.1,IF(financials[[#This Row],[Discount Band]]="medium",0.15,0.3))</f>
        <v>0.15</v>
      </c>
      <c r="I4385" s="8">
        <f>financials[[#This Row],[Gross Sales]]-financials[[#This Row],[Gross Sales]]*financials[[#This Row],[Discounts]]</f>
        <v>306</v>
      </c>
      <c r="J4385" s="8">
        <f>VLOOKUP(financials[[#This Row],[productid]],Products!$B$2:$H$10,4)</f>
        <v>16.8</v>
      </c>
      <c r="K4385" s="8">
        <f>financials[[#This Row],[Net Sales]]-financials[[#This Row],[COGS]]</f>
        <v>289.2</v>
      </c>
      <c r="L4385" s="15">
        <v>44741</v>
      </c>
      <c r="M4385" t="s">
        <v>696</v>
      </c>
    </row>
    <row r="4386" spans="1:13" x14ac:dyDescent="0.25">
      <c r="A4386" t="s">
        <v>88</v>
      </c>
      <c r="B4386" s="6" t="s">
        <v>84</v>
      </c>
      <c r="C4386" s="13">
        <v>105</v>
      </c>
      <c r="D4386" s="14" t="s">
        <v>91</v>
      </c>
      <c r="E4386">
        <v>16</v>
      </c>
      <c r="F4386" s="8">
        <f>VLOOKUP(financials[[#This Row],[productid]],Products!$B$2:$H$10,3)</f>
        <v>15</v>
      </c>
      <c r="G4386" s="8">
        <f>financials[[#This Row],[Units Sold]]*financials[[#This Row],[Sale Price]]</f>
        <v>240</v>
      </c>
      <c r="H4386" s="8">
        <f>IF(financials[[#This Row],[Discount Band]]="low",0.1,IF(financials[[#This Row],[Discount Band]]="medium",0.15,0.3))</f>
        <v>0.1</v>
      </c>
      <c r="I4386" s="8">
        <f>financials[[#This Row],[Gross Sales]]-financials[[#This Row],[Gross Sales]]*financials[[#This Row],[Discounts]]</f>
        <v>216</v>
      </c>
      <c r="J4386" s="8">
        <f>VLOOKUP(financials[[#This Row],[productid]],Products!$B$2:$H$10,4)</f>
        <v>10</v>
      </c>
      <c r="K4386" s="8">
        <f>financials[[#This Row],[Net Sales]]-financials[[#This Row],[COGS]]</f>
        <v>206</v>
      </c>
      <c r="L4386" s="15">
        <v>44128</v>
      </c>
      <c r="M4386" t="s">
        <v>690</v>
      </c>
    </row>
    <row r="4387" spans="1:13" x14ac:dyDescent="0.25">
      <c r="A4387" t="s">
        <v>87</v>
      </c>
      <c r="B4387" s="6" t="s">
        <v>124</v>
      </c>
      <c r="C4387" s="13">
        <v>106</v>
      </c>
      <c r="D4387" s="14" t="s">
        <v>90</v>
      </c>
      <c r="E4387">
        <v>12</v>
      </c>
      <c r="F4387" s="8">
        <f>VLOOKUP(financials[[#This Row],[productid]],Products!$B$2:$H$10,3)</f>
        <v>25</v>
      </c>
      <c r="G4387" s="8">
        <f>financials[[#This Row],[Units Sold]]*financials[[#This Row],[Sale Price]]</f>
        <v>300</v>
      </c>
      <c r="H4387" s="8">
        <f>IF(financials[[#This Row],[Discount Band]]="low",0.1,IF(financials[[#This Row],[Discount Band]]="medium",0.15,0.3))</f>
        <v>0.15</v>
      </c>
      <c r="I4387" s="8">
        <f>financials[[#This Row],[Gross Sales]]-financials[[#This Row],[Gross Sales]]*financials[[#This Row],[Discounts]]</f>
        <v>255</v>
      </c>
      <c r="J4387" s="8">
        <f>VLOOKUP(financials[[#This Row],[productid]],Products!$B$2:$H$10,4)</f>
        <v>9.1</v>
      </c>
      <c r="K4387" s="8">
        <f>financials[[#This Row],[Net Sales]]-financials[[#This Row],[COGS]]</f>
        <v>245.9</v>
      </c>
      <c r="L4387" s="15">
        <v>43879</v>
      </c>
      <c r="M4387" t="s">
        <v>700</v>
      </c>
    </row>
    <row r="4388" spans="1:13" x14ac:dyDescent="0.25">
      <c r="A4388" t="s">
        <v>86</v>
      </c>
      <c r="B4388" s="6" t="s">
        <v>84</v>
      </c>
      <c r="C4388" s="13">
        <v>104</v>
      </c>
      <c r="D4388" s="14" t="s">
        <v>83</v>
      </c>
      <c r="E4388">
        <v>18</v>
      </c>
      <c r="F4388" s="8">
        <f>VLOOKUP(financials[[#This Row],[productid]],Products!$B$2:$H$10,3)</f>
        <v>5.9</v>
      </c>
      <c r="G4388" s="8">
        <f>financials[[#This Row],[Units Sold]]*financials[[#This Row],[Sale Price]]</f>
        <v>106.2</v>
      </c>
      <c r="H4388" s="8">
        <f>IF(financials[[#This Row],[Discount Band]]="low",0.1,IF(financials[[#This Row],[Discount Band]]="medium",0.15,0.3))</f>
        <v>0.3</v>
      </c>
      <c r="I4388" s="8">
        <f>financials[[#This Row],[Gross Sales]]-financials[[#This Row],[Gross Sales]]*financials[[#This Row],[Discounts]]</f>
        <v>74.34</v>
      </c>
      <c r="J4388" s="8">
        <f>VLOOKUP(financials[[#This Row],[productid]],Products!$B$2:$H$10,4)</f>
        <v>2.9</v>
      </c>
      <c r="K4388" s="8">
        <f>financials[[#This Row],[Net Sales]]-financials[[#This Row],[COGS]]</f>
        <v>71.44</v>
      </c>
      <c r="L4388" s="15">
        <v>45008</v>
      </c>
      <c r="M4388" t="s">
        <v>700</v>
      </c>
    </row>
    <row r="4389" spans="1:13" x14ac:dyDescent="0.25">
      <c r="A4389" t="s">
        <v>86</v>
      </c>
      <c r="B4389" s="6" t="s">
        <v>159</v>
      </c>
      <c r="C4389" s="11">
        <v>101</v>
      </c>
      <c r="D4389" s="9" t="s">
        <v>83</v>
      </c>
      <c r="E4389">
        <v>5</v>
      </c>
      <c r="F4389" s="8">
        <f>VLOOKUP(financials[[#This Row],[productid]],Products!$B$2:$H$10,3)</f>
        <v>23</v>
      </c>
      <c r="G4389" s="8">
        <f>financials[[#This Row],[Units Sold]]*financials[[#This Row],[Sale Price]]</f>
        <v>115</v>
      </c>
      <c r="H4389" s="8">
        <f>IF(financials[[#This Row],[Discount Band]]="low",0.1,IF(financials[[#This Row],[Discount Band]]="medium",0.15,0.3))</f>
        <v>0.3</v>
      </c>
      <c r="I4389" s="8">
        <f>financials[[#This Row],[Gross Sales]]-financials[[#This Row],[Gross Sales]]*financials[[#This Row],[Discounts]]</f>
        <v>80.5</v>
      </c>
      <c r="J4389" s="8">
        <f>VLOOKUP(financials[[#This Row],[productid]],Products!$B$2:$H$10,4)</f>
        <v>9.9499999999999993</v>
      </c>
      <c r="K4389" s="8">
        <f>financials[[#This Row],[Net Sales]]-financials[[#This Row],[COGS]]</f>
        <v>70.55</v>
      </c>
      <c r="L4389" s="15">
        <v>44756</v>
      </c>
      <c r="M4389" t="s">
        <v>697</v>
      </c>
    </row>
    <row r="4390" spans="1:13" x14ac:dyDescent="0.25">
      <c r="A4390" t="s">
        <v>87</v>
      </c>
      <c r="B4390" s="6" t="s">
        <v>124</v>
      </c>
      <c r="C4390" s="13">
        <v>107</v>
      </c>
      <c r="D4390" s="14" t="s">
        <v>83</v>
      </c>
      <c r="E4390">
        <v>11</v>
      </c>
      <c r="F4390" s="8">
        <f>VLOOKUP(financials[[#This Row],[productid]],Products!$B$2:$H$10,3)</f>
        <v>15</v>
      </c>
      <c r="G4390" s="8">
        <f>financials[[#This Row],[Units Sold]]*financials[[#This Row],[Sale Price]]</f>
        <v>165</v>
      </c>
      <c r="H4390" s="8">
        <f>IF(financials[[#This Row],[Discount Band]]="low",0.1,IF(financials[[#This Row],[Discount Band]]="medium",0.15,0.3))</f>
        <v>0.3</v>
      </c>
      <c r="I4390" s="8">
        <f>financials[[#This Row],[Gross Sales]]-financials[[#This Row],[Gross Sales]]*financials[[#This Row],[Discounts]]</f>
        <v>115.5</v>
      </c>
      <c r="J4390" s="8">
        <f>VLOOKUP(financials[[#This Row],[productid]],Products!$B$2:$H$10,4)</f>
        <v>5.5</v>
      </c>
      <c r="K4390" s="8">
        <f>financials[[#This Row],[Net Sales]]-financials[[#This Row],[COGS]]</f>
        <v>110</v>
      </c>
      <c r="L4390" s="15">
        <v>44759</v>
      </c>
      <c r="M4390" t="s">
        <v>691</v>
      </c>
    </row>
    <row r="4391" spans="1:13" x14ac:dyDescent="0.25">
      <c r="A4391" t="s">
        <v>87</v>
      </c>
      <c r="B4391" s="6" t="s">
        <v>159</v>
      </c>
      <c r="C4391" s="13">
        <v>105</v>
      </c>
      <c r="D4391" s="14" t="s">
        <v>91</v>
      </c>
      <c r="E4391">
        <v>11</v>
      </c>
      <c r="F4391" s="8">
        <f>VLOOKUP(financials[[#This Row],[productid]],Products!$B$2:$H$10,3)</f>
        <v>15</v>
      </c>
      <c r="G4391" s="8">
        <f>financials[[#This Row],[Units Sold]]*financials[[#This Row],[Sale Price]]</f>
        <v>165</v>
      </c>
      <c r="H4391" s="8">
        <f>IF(financials[[#This Row],[Discount Band]]="low",0.1,IF(financials[[#This Row],[Discount Band]]="medium",0.15,0.3))</f>
        <v>0.1</v>
      </c>
      <c r="I4391" s="8">
        <f>financials[[#This Row],[Gross Sales]]-financials[[#This Row],[Gross Sales]]*financials[[#This Row],[Discounts]]</f>
        <v>148.5</v>
      </c>
      <c r="J4391" s="8">
        <f>VLOOKUP(financials[[#This Row],[productid]],Products!$B$2:$H$10,4)</f>
        <v>10</v>
      </c>
      <c r="K4391" s="8">
        <f>financials[[#This Row],[Net Sales]]-financials[[#This Row],[COGS]]</f>
        <v>138.5</v>
      </c>
      <c r="L4391" s="15">
        <v>44995</v>
      </c>
      <c r="M4391" t="s">
        <v>691</v>
      </c>
    </row>
    <row r="4392" spans="1:13" x14ac:dyDescent="0.25">
      <c r="A4392" t="s">
        <v>86</v>
      </c>
      <c r="B4392" s="6" t="s">
        <v>84</v>
      </c>
      <c r="C4392" s="13">
        <v>108</v>
      </c>
      <c r="D4392" s="14" t="s">
        <v>90</v>
      </c>
      <c r="E4392">
        <v>7</v>
      </c>
      <c r="F4392" s="8">
        <f>VLOOKUP(financials[[#This Row],[productid]],Products!$B$2:$H$10,3)</f>
        <v>5.5</v>
      </c>
      <c r="G4392" s="8">
        <f>financials[[#This Row],[Units Sold]]*financials[[#This Row],[Sale Price]]</f>
        <v>38.5</v>
      </c>
      <c r="H4392" s="8">
        <f>IF(financials[[#This Row],[Discount Band]]="low",0.1,IF(financials[[#This Row],[Discount Band]]="medium",0.15,0.3))</f>
        <v>0.15</v>
      </c>
      <c r="I4392" s="8">
        <f>financials[[#This Row],[Gross Sales]]-financials[[#This Row],[Gross Sales]]*financials[[#This Row],[Discounts]]</f>
        <v>32.725000000000001</v>
      </c>
      <c r="J4392" s="8">
        <f>VLOOKUP(financials[[#This Row],[productid]],Products!$B$2:$H$10,4)</f>
        <v>3.99</v>
      </c>
      <c r="K4392" s="8">
        <f>financials[[#This Row],[Net Sales]]-financials[[#This Row],[COGS]]</f>
        <v>28.734999999999999</v>
      </c>
      <c r="L4392" s="15">
        <v>43849</v>
      </c>
      <c r="M4392" t="s">
        <v>696</v>
      </c>
    </row>
    <row r="4393" spans="1:13" x14ac:dyDescent="0.25">
      <c r="A4393" t="s">
        <v>87</v>
      </c>
      <c r="B4393" s="6" t="s">
        <v>124</v>
      </c>
      <c r="C4393" s="13">
        <v>106</v>
      </c>
      <c r="D4393" s="14" t="s">
        <v>83</v>
      </c>
      <c r="E4393">
        <v>9</v>
      </c>
      <c r="F4393" s="8">
        <f>VLOOKUP(financials[[#This Row],[productid]],Products!$B$2:$H$10,3)</f>
        <v>25</v>
      </c>
      <c r="G4393" s="8">
        <f>financials[[#This Row],[Units Sold]]*financials[[#This Row],[Sale Price]]</f>
        <v>225</v>
      </c>
      <c r="H4393" s="8">
        <f>IF(financials[[#This Row],[Discount Band]]="low",0.1,IF(financials[[#This Row],[Discount Band]]="medium",0.15,0.3))</f>
        <v>0.3</v>
      </c>
      <c r="I4393" s="8">
        <f>financials[[#This Row],[Gross Sales]]-financials[[#This Row],[Gross Sales]]*financials[[#This Row],[Discounts]]</f>
        <v>157.5</v>
      </c>
      <c r="J4393" s="8">
        <f>VLOOKUP(financials[[#This Row],[productid]],Products!$B$2:$H$10,4)</f>
        <v>9.1</v>
      </c>
      <c r="K4393" s="8">
        <f>financials[[#This Row],[Net Sales]]-financials[[#This Row],[COGS]]</f>
        <v>148.4</v>
      </c>
      <c r="L4393" s="15">
        <v>43998</v>
      </c>
      <c r="M4393" t="s">
        <v>697</v>
      </c>
    </row>
    <row r="4394" spans="1:13" x14ac:dyDescent="0.25">
      <c r="A4394" t="s">
        <v>87</v>
      </c>
      <c r="B4394" s="6" t="s">
        <v>159</v>
      </c>
      <c r="C4394" s="13">
        <v>102</v>
      </c>
      <c r="D4394" s="14" t="s">
        <v>91</v>
      </c>
      <c r="E4394">
        <v>9</v>
      </c>
      <c r="F4394" s="8">
        <f>VLOOKUP(financials[[#This Row],[productid]],Products!$B$2:$H$10,3)</f>
        <v>15</v>
      </c>
      <c r="G4394" s="8">
        <f>financials[[#This Row],[Units Sold]]*financials[[#This Row],[Sale Price]]</f>
        <v>135</v>
      </c>
      <c r="H4394" s="8">
        <f>IF(financials[[#This Row],[Discount Band]]="low",0.1,IF(financials[[#This Row],[Discount Band]]="medium",0.15,0.3))</f>
        <v>0.1</v>
      </c>
      <c r="I4394" s="8">
        <f>financials[[#This Row],[Gross Sales]]-financials[[#This Row],[Gross Sales]]*financials[[#This Row],[Discounts]]</f>
        <v>121.5</v>
      </c>
      <c r="J4394" s="8">
        <f>VLOOKUP(financials[[#This Row],[productid]],Products!$B$2:$H$10,4)</f>
        <v>13.95</v>
      </c>
      <c r="K4394" s="8">
        <f>financials[[#This Row],[Net Sales]]-financials[[#This Row],[COGS]]</f>
        <v>107.55</v>
      </c>
      <c r="L4394" s="15">
        <v>44312</v>
      </c>
      <c r="M4394" t="s">
        <v>691</v>
      </c>
    </row>
    <row r="4395" spans="1:13" x14ac:dyDescent="0.25">
      <c r="A4395" t="s">
        <v>86</v>
      </c>
      <c r="B4395" s="6" t="s">
        <v>84</v>
      </c>
      <c r="C4395" s="13">
        <v>107</v>
      </c>
      <c r="D4395" s="14" t="s">
        <v>91</v>
      </c>
      <c r="E4395">
        <v>20</v>
      </c>
      <c r="F4395" s="8">
        <f>VLOOKUP(financials[[#This Row],[productid]],Products!$B$2:$H$10,3)</f>
        <v>15</v>
      </c>
      <c r="G4395" s="8">
        <f>financials[[#This Row],[Units Sold]]*financials[[#This Row],[Sale Price]]</f>
        <v>300</v>
      </c>
      <c r="H4395" s="8">
        <f>IF(financials[[#This Row],[Discount Band]]="low",0.1,IF(financials[[#This Row],[Discount Band]]="medium",0.15,0.3))</f>
        <v>0.1</v>
      </c>
      <c r="I4395" s="8">
        <f>financials[[#This Row],[Gross Sales]]-financials[[#This Row],[Gross Sales]]*financials[[#This Row],[Discounts]]</f>
        <v>270</v>
      </c>
      <c r="J4395" s="8">
        <f>VLOOKUP(financials[[#This Row],[productid]],Products!$B$2:$H$10,4)</f>
        <v>5.5</v>
      </c>
      <c r="K4395" s="8">
        <f>financials[[#This Row],[Net Sales]]-financials[[#This Row],[COGS]]</f>
        <v>264.5</v>
      </c>
      <c r="L4395" s="15">
        <v>45145</v>
      </c>
      <c r="M4395" t="s">
        <v>691</v>
      </c>
    </row>
    <row r="4396" spans="1:13" x14ac:dyDescent="0.25">
      <c r="A4396" t="s">
        <v>88</v>
      </c>
      <c r="B4396" s="6" t="s">
        <v>84</v>
      </c>
      <c r="C4396" s="13">
        <v>103</v>
      </c>
      <c r="D4396" s="14" t="s">
        <v>92</v>
      </c>
      <c r="E4396">
        <v>5</v>
      </c>
      <c r="F4396" s="8">
        <f>VLOOKUP(financials[[#This Row],[productid]],Products!$B$2:$H$10,3)</f>
        <v>28</v>
      </c>
      <c r="G4396" s="8">
        <f>financials[[#This Row],[Units Sold]]*financials[[#This Row],[Sale Price]]</f>
        <v>140</v>
      </c>
      <c r="H4396" s="8">
        <f>IF(financials[[#This Row],[Discount Band]]="low",0.1,IF(financials[[#This Row],[Discount Band]]="medium",0.15,0.3))</f>
        <v>0.3</v>
      </c>
      <c r="I4396" s="8">
        <f>financials[[#This Row],[Gross Sales]]-financials[[#This Row],[Gross Sales]]*financials[[#This Row],[Discounts]]</f>
        <v>98</v>
      </c>
      <c r="J4396" s="8">
        <f>VLOOKUP(financials[[#This Row],[productid]],Products!$B$2:$H$10,4)</f>
        <v>15</v>
      </c>
      <c r="K4396" s="8">
        <f>financials[[#This Row],[Net Sales]]-financials[[#This Row],[COGS]]</f>
        <v>83</v>
      </c>
      <c r="L4396" s="15">
        <v>44295</v>
      </c>
      <c r="M4396" t="s">
        <v>691</v>
      </c>
    </row>
    <row r="4397" spans="1:13" x14ac:dyDescent="0.25">
      <c r="A4397" t="s">
        <v>86</v>
      </c>
      <c r="B4397" s="6" t="s">
        <v>84</v>
      </c>
      <c r="C4397" s="13">
        <v>103</v>
      </c>
      <c r="D4397" s="14" t="s">
        <v>91</v>
      </c>
      <c r="E4397">
        <v>5</v>
      </c>
      <c r="F4397" s="8">
        <f>VLOOKUP(financials[[#This Row],[productid]],Products!$B$2:$H$10,3)</f>
        <v>28</v>
      </c>
      <c r="G4397" s="8">
        <f>financials[[#This Row],[Units Sold]]*financials[[#This Row],[Sale Price]]</f>
        <v>140</v>
      </c>
      <c r="H4397" s="8">
        <f>IF(financials[[#This Row],[Discount Band]]="low",0.1,IF(financials[[#This Row],[Discount Band]]="medium",0.15,0.3))</f>
        <v>0.1</v>
      </c>
      <c r="I4397" s="8">
        <f>financials[[#This Row],[Gross Sales]]-financials[[#This Row],[Gross Sales]]*financials[[#This Row],[Discounts]]</f>
        <v>126</v>
      </c>
      <c r="J4397" s="8">
        <f>VLOOKUP(financials[[#This Row],[productid]],Products!$B$2:$H$10,4)</f>
        <v>15</v>
      </c>
      <c r="K4397" s="8">
        <f>financials[[#This Row],[Net Sales]]-financials[[#This Row],[COGS]]</f>
        <v>111</v>
      </c>
      <c r="L4397" s="15">
        <v>45162</v>
      </c>
      <c r="M4397" t="s">
        <v>691</v>
      </c>
    </row>
    <row r="4398" spans="1:13" x14ac:dyDescent="0.25">
      <c r="A4398" t="s">
        <v>87</v>
      </c>
      <c r="B4398" s="6" t="s">
        <v>159</v>
      </c>
      <c r="C4398" s="13">
        <v>104</v>
      </c>
      <c r="D4398" s="14" t="s">
        <v>90</v>
      </c>
      <c r="E4398">
        <v>7</v>
      </c>
      <c r="F4398" s="8">
        <f>VLOOKUP(financials[[#This Row],[productid]],Products!$B$2:$H$10,3)</f>
        <v>5.9</v>
      </c>
      <c r="G4398" s="8">
        <f>financials[[#This Row],[Units Sold]]*financials[[#This Row],[Sale Price]]</f>
        <v>41.300000000000004</v>
      </c>
      <c r="H4398" s="8">
        <f>IF(financials[[#This Row],[Discount Band]]="low",0.1,IF(financials[[#This Row],[Discount Band]]="medium",0.15,0.3))</f>
        <v>0.15</v>
      </c>
      <c r="I4398" s="8">
        <f>financials[[#This Row],[Gross Sales]]-financials[[#This Row],[Gross Sales]]*financials[[#This Row],[Discounts]]</f>
        <v>35.105000000000004</v>
      </c>
      <c r="J4398" s="8">
        <f>VLOOKUP(financials[[#This Row],[productid]],Products!$B$2:$H$10,4)</f>
        <v>2.9</v>
      </c>
      <c r="K4398" s="8">
        <f>financials[[#This Row],[Net Sales]]-financials[[#This Row],[COGS]]</f>
        <v>32.205000000000005</v>
      </c>
      <c r="L4398" s="15">
        <v>45308</v>
      </c>
      <c r="M4398" t="s">
        <v>690</v>
      </c>
    </row>
    <row r="4399" spans="1:13" x14ac:dyDescent="0.25">
      <c r="A4399" t="s">
        <v>88</v>
      </c>
      <c r="B4399" s="6" t="s">
        <v>84</v>
      </c>
      <c r="C4399" s="13">
        <v>102</v>
      </c>
      <c r="D4399" s="14" t="s">
        <v>91</v>
      </c>
      <c r="E4399">
        <v>6</v>
      </c>
      <c r="F4399" s="8">
        <f>VLOOKUP(financials[[#This Row],[productid]],Products!$B$2:$H$10,3)</f>
        <v>15</v>
      </c>
      <c r="G4399" s="8">
        <f>financials[[#This Row],[Units Sold]]*financials[[#This Row],[Sale Price]]</f>
        <v>90</v>
      </c>
      <c r="H4399" s="8">
        <f>IF(financials[[#This Row],[Discount Band]]="low",0.1,IF(financials[[#This Row],[Discount Band]]="medium",0.15,0.3))</f>
        <v>0.1</v>
      </c>
      <c r="I4399" s="8">
        <f>financials[[#This Row],[Gross Sales]]-financials[[#This Row],[Gross Sales]]*financials[[#This Row],[Discounts]]</f>
        <v>81</v>
      </c>
      <c r="J4399" s="8">
        <f>VLOOKUP(financials[[#This Row],[productid]],Products!$B$2:$H$10,4)</f>
        <v>13.95</v>
      </c>
      <c r="K4399" s="8">
        <f>financials[[#This Row],[Net Sales]]-financials[[#This Row],[COGS]]</f>
        <v>67.05</v>
      </c>
      <c r="L4399" s="15">
        <v>45618</v>
      </c>
      <c r="M4399" t="s">
        <v>690</v>
      </c>
    </row>
    <row r="4400" spans="1:13" x14ac:dyDescent="0.25">
      <c r="A4400" t="s">
        <v>87</v>
      </c>
      <c r="B4400" s="6" t="s">
        <v>159</v>
      </c>
      <c r="C4400" s="13">
        <v>103</v>
      </c>
      <c r="D4400" s="14" t="s">
        <v>92</v>
      </c>
      <c r="E4400">
        <v>11</v>
      </c>
      <c r="F4400" s="8">
        <f>VLOOKUP(financials[[#This Row],[productid]],Products!$B$2:$H$10,3)</f>
        <v>28</v>
      </c>
      <c r="G4400" s="8">
        <f>financials[[#This Row],[Units Sold]]*financials[[#This Row],[Sale Price]]</f>
        <v>308</v>
      </c>
      <c r="H4400" s="8">
        <f>IF(financials[[#This Row],[Discount Band]]="low",0.1,IF(financials[[#This Row],[Discount Band]]="medium",0.15,0.3))</f>
        <v>0.3</v>
      </c>
      <c r="I4400" s="8">
        <f>financials[[#This Row],[Gross Sales]]-financials[[#This Row],[Gross Sales]]*financials[[#This Row],[Discounts]]</f>
        <v>215.60000000000002</v>
      </c>
      <c r="J4400" s="8">
        <f>VLOOKUP(financials[[#This Row],[productid]],Products!$B$2:$H$10,4)</f>
        <v>15</v>
      </c>
      <c r="K4400" s="8">
        <f>financials[[#This Row],[Net Sales]]-financials[[#This Row],[COGS]]</f>
        <v>200.60000000000002</v>
      </c>
      <c r="L4400" s="15">
        <v>45638</v>
      </c>
      <c r="M4400" t="s">
        <v>691</v>
      </c>
    </row>
    <row r="4401" spans="1:13" x14ac:dyDescent="0.25">
      <c r="A4401" t="s">
        <v>86</v>
      </c>
      <c r="B4401" s="6" t="s">
        <v>84</v>
      </c>
      <c r="C4401" s="13">
        <v>108</v>
      </c>
      <c r="D4401" s="14" t="s">
        <v>90</v>
      </c>
      <c r="E4401">
        <v>6</v>
      </c>
      <c r="F4401" s="8">
        <f>VLOOKUP(financials[[#This Row],[productid]],Products!$B$2:$H$10,3)</f>
        <v>5.5</v>
      </c>
      <c r="G4401" s="8">
        <f>financials[[#This Row],[Units Sold]]*financials[[#This Row],[Sale Price]]</f>
        <v>33</v>
      </c>
      <c r="H4401" s="8">
        <f>IF(financials[[#This Row],[Discount Band]]="low",0.1,IF(financials[[#This Row],[Discount Band]]="medium",0.15,0.3))</f>
        <v>0.15</v>
      </c>
      <c r="I4401" s="8">
        <f>financials[[#This Row],[Gross Sales]]-financials[[#This Row],[Gross Sales]]*financials[[#This Row],[Discounts]]</f>
        <v>28.05</v>
      </c>
      <c r="J4401" s="8">
        <f>VLOOKUP(financials[[#This Row],[productid]],Products!$B$2:$H$10,4)</f>
        <v>3.99</v>
      </c>
      <c r="K4401" s="8">
        <f>financials[[#This Row],[Net Sales]]-financials[[#This Row],[COGS]]</f>
        <v>24.060000000000002</v>
      </c>
      <c r="L4401" s="15">
        <v>45294</v>
      </c>
      <c r="M4401" t="s">
        <v>696</v>
      </c>
    </row>
    <row r="4402" spans="1:13" x14ac:dyDescent="0.25">
      <c r="A4402" t="s">
        <v>88</v>
      </c>
      <c r="B4402" s="6" t="s">
        <v>159</v>
      </c>
      <c r="C4402" s="13">
        <v>109</v>
      </c>
      <c r="D4402" s="14" t="s">
        <v>83</v>
      </c>
      <c r="E4402">
        <v>5</v>
      </c>
      <c r="F4402" s="8">
        <f>VLOOKUP(financials[[#This Row],[productid]],Products!$B$2:$H$10,3)</f>
        <v>36</v>
      </c>
      <c r="G4402" s="8">
        <f>financials[[#This Row],[Units Sold]]*financials[[#This Row],[Sale Price]]</f>
        <v>180</v>
      </c>
      <c r="H4402" s="8">
        <f>IF(financials[[#This Row],[Discount Band]]="low",0.1,IF(financials[[#This Row],[Discount Band]]="medium",0.15,0.3))</f>
        <v>0.3</v>
      </c>
      <c r="I4402" s="8">
        <f>financials[[#This Row],[Gross Sales]]-financials[[#This Row],[Gross Sales]]*financials[[#This Row],[Discounts]]</f>
        <v>126</v>
      </c>
      <c r="J4402" s="8">
        <f>VLOOKUP(financials[[#This Row],[productid]],Products!$B$2:$H$10,4)</f>
        <v>16.8</v>
      </c>
      <c r="K4402" s="8">
        <f>financials[[#This Row],[Net Sales]]-financials[[#This Row],[COGS]]</f>
        <v>109.2</v>
      </c>
      <c r="L4402" s="15">
        <v>43867</v>
      </c>
      <c r="M4402" t="s">
        <v>691</v>
      </c>
    </row>
    <row r="4403" spans="1:13" x14ac:dyDescent="0.25">
      <c r="A4403" t="s">
        <v>88</v>
      </c>
      <c r="B4403" s="6" t="s">
        <v>159</v>
      </c>
      <c r="C4403" s="13">
        <v>105</v>
      </c>
      <c r="D4403" s="14" t="s">
        <v>90</v>
      </c>
      <c r="E4403">
        <v>20</v>
      </c>
      <c r="F4403" s="8">
        <f>VLOOKUP(financials[[#This Row],[productid]],Products!$B$2:$H$10,3)</f>
        <v>15</v>
      </c>
      <c r="G4403" s="8">
        <f>financials[[#This Row],[Units Sold]]*financials[[#This Row],[Sale Price]]</f>
        <v>300</v>
      </c>
      <c r="H4403" s="8">
        <f>IF(financials[[#This Row],[Discount Band]]="low",0.1,IF(financials[[#This Row],[Discount Band]]="medium",0.15,0.3))</f>
        <v>0.15</v>
      </c>
      <c r="I4403" s="8">
        <f>financials[[#This Row],[Gross Sales]]-financials[[#This Row],[Gross Sales]]*financials[[#This Row],[Discounts]]</f>
        <v>255</v>
      </c>
      <c r="J4403" s="8">
        <f>VLOOKUP(financials[[#This Row],[productid]],Products!$B$2:$H$10,4)</f>
        <v>10</v>
      </c>
      <c r="K4403" s="8">
        <f>financials[[#This Row],[Net Sales]]-financials[[#This Row],[COGS]]</f>
        <v>245</v>
      </c>
      <c r="L4403" s="15">
        <v>44494</v>
      </c>
      <c r="M4403" t="s">
        <v>691</v>
      </c>
    </row>
    <row r="4404" spans="1:13" x14ac:dyDescent="0.25">
      <c r="A4404" t="s">
        <v>88</v>
      </c>
      <c r="B4404" s="6" t="s">
        <v>84</v>
      </c>
      <c r="C4404" s="13">
        <v>108</v>
      </c>
      <c r="D4404" s="14" t="s">
        <v>91</v>
      </c>
      <c r="E4404">
        <v>13</v>
      </c>
      <c r="F4404" s="8">
        <f>VLOOKUP(financials[[#This Row],[productid]],Products!$B$2:$H$10,3)</f>
        <v>5.5</v>
      </c>
      <c r="G4404" s="8">
        <f>financials[[#This Row],[Units Sold]]*financials[[#This Row],[Sale Price]]</f>
        <v>71.5</v>
      </c>
      <c r="H4404" s="8">
        <f>IF(financials[[#This Row],[Discount Band]]="low",0.1,IF(financials[[#This Row],[Discount Band]]="medium",0.15,0.3))</f>
        <v>0.1</v>
      </c>
      <c r="I4404" s="8">
        <f>financials[[#This Row],[Gross Sales]]-financials[[#This Row],[Gross Sales]]*financials[[#This Row],[Discounts]]</f>
        <v>64.349999999999994</v>
      </c>
      <c r="J4404" s="8">
        <f>VLOOKUP(financials[[#This Row],[productid]],Products!$B$2:$H$10,4)</f>
        <v>3.99</v>
      </c>
      <c r="K4404" s="8">
        <f>financials[[#This Row],[Net Sales]]-financials[[#This Row],[COGS]]</f>
        <v>60.359999999999992</v>
      </c>
      <c r="L4404" s="15">
        <v>44644</v>
      </c>
      <c r="M4404" t="s">
        <v>690</v>
      </c>
    </row>
    <row r="4405" spans="1:13" x14ac:dyDescent="0.25">
      <c r="A4405" t="s">
        <v>86</v>
      </c>
      <c r="B4405" s="6" t="s">
        <v>84</v>
      </c>
      <c r="C4405" s="13">
        <v>109</v>
      </c>
      <c r="D4405" s="14" t="s">
        <v>83</v>
      </c>
      <c r="E4405">
        <v>14</v>
      </c>
      <c r="F4405" s="8">
        <f>VLOOKUP(financials[[#This Row],[productid]],Products!$B$2:$H$10,3)</f>
        <v>36</v>
      </c>
      <c r="G4405" s="8">
        <f>financials[[#This Row],[Units Sold]]*financials[[#This Row],[Sale Price]]</f>
        <v>504</v>
      </c>
      <c r="H4405" s="8">
        <f>IF(financials[[#This Row],[Discount Band]]="low",0.1,IF(financials[[#This Row],[Discount Band]]="medium",0.15,0.3))</f>
        <v>0.3</v>
      </c>
      <c r="I4405" s="8">
        <f>financials[[#This Row],[Gross Sales]]-financials[[#This Row],[Gross Sales]]*financials[[#This Row],[Discounts]]</f>
        <v>352.8</v>
      </c>
      <c r="J4405" s="8">
        <f>VLOOKUP(financials[[#This Row],[productid]],Products!$B$2:$H$10,4)</f>
        <v>16.8</v>
      </c>
      <c r="K4405" s="8">
        <f>financials[[#This Row],[Net Sales]]-financials[[#This Row],[COGS]]</f>
        <v>336</v>
      </c>
      <c r="L4405" s="15">
        <v>44387</v>
      </c>
      <c r="M4405" t="s">
        <v>697</v>
      </c>
    </row>
    <row r="4406" spans="1:13" x14ac:dyDescent="0.25">
      <c r="A4406" t="s">
        <v>88</v>
      </c>
      <c r="B4406" s="6" t="s">
        <v>159</v>
      </c>
      <c r="C4406" s="13">
        <v>102</v>
      </c>
      <c r="D4406" s="14" t="s">
        <v>91</v>
      </c>
      <c r="E4406">
        <v>6</v>
      </c>
      <c r="F4406" s="8">
        <f>VLOOKUP(financials[[#This Row],[productid]],Products!$B$2:$H$10,3)</f>
        <v>15</v>
      </c>
      <c r="G4406" s="8">
        <f>financials[[#This Row],[Units Sold]]*financials[[#This Row],[Sale Price]]</f>
        <v>90</v>
      </c>
      <c r="H4406" s="8">
        <f>IF(financials[[#This Row],[Discount Band]]="low",0.1,IF(financials[[#This Row],[Discount Band]]="medium",0.15,0.3))</f>
        <v>0.1</v>
      </c>
      <c r="I4406" s="8">
        <f>financials[[#This Row],[Gross Sales]]-financials[[#This Row],[Gross Sales]]*financials[[#This Row],[Discounts]]</f>
        <v>81</v>
      </c>
      <c r="J4406" s="8">
        <f>VLOOKUP(financials[[#This Row],[productid]],Products!$B$2:$H$10,4)</f>
        <v>13.95</v>
      </c>
      <c r="K4406" s="8">
        <f>financials[[#This Row],[Net Sales]]-financials[[#This Row],[COGS]]</f>
        <v>67.05</v>
      </c>
      <c r="L4406" s="15">
        <v>44774</v>
      </c>
      <c r="M4406" t="s">
        <v>690</v>
      </c>
    </row>
    <row r="4407" spans="1:13" x14ac:dyDescent="0.25">
      <c r="A4407" t="s">
        <v>87</v>
      </c>
      <c r="B4407" s="6" t="s">
        <v>124</v>
      </c>
      <c r="C4407" s="13">
        <v>106</v>
      </c>
      <c r="D4407" s="14" t="s">
        <v>90</v>
      </c>
      <c r="E4407">
        <v>15</v>
      </c>
      <c r="F4407" s="8">
        <f>VLOOKUP(financials[[#This Row],[productid]],Products!$B$2:$H$10,3)</f>
        <v>25</v>
      </c>
      <c r="G4407" s="8">
        <f>financials[[#This Row],[Units Sold]]*financials[[#This Row],[Sale Price]]</f>
        <v>375</v>
      </c>
      <c r="H4407" s="8">
        <f>IF(financials[[#This Row],[Discount Band]]="low",0.1,IF(financials[[#This Row],[Discount Band]]="medium",0.15,0.3))</f>
        <v>0.15</v>
      </c>
      <c r="I4407" s="8">
        <f>financials[[#This Row],[Gross Sales]]-financials[[#This Row],[Gross Sales]]*financials[[#This Row],[Discounts]]</f>
        <v>318.75</v>
      </c>
      <c r="J4407" s="8">
        <f>VLOOKUP(financials[[#This Row],[productid]],Products!$B$2:$H$10,4)</f>
        <v>9.1</v>
      </c>
      <c r="K4407" s="8">
        <f>financials[[#This Row],[Net Sales]]-financials[[#This Row],[COGS]]</f>
        <v>309.64999999999998</v>
      </c>
      <c r="L4407" s="15">
        <v>45083</v>
      </c>
      <c r="M4407" t="s">
        <v>696</v>
      </c>
    </row>
    <row r="4408" spans="1:13" x14ac:dyDescent="0.25">
      <c r="A4408" t="s">
        <v>88</v>
      </c>
      <c r="B4408" s="6" t="s">
        <v>159</v>
      </c>
      <c r="C4408" s="13">
        <v>105</v>
      </c>
      <c r="D4408" s="14" t="s">
        <v>91</v>
      </c>
      <c r="E4408">
        <v>16</v>
      </c>
      <c r="F4408" s="8">
        <f>VLOOKUP(financials[[#This Row],[productid]],Products!$B$2:$H$10,3)</f>
        <v>15</v>
      </c>
      <c r="G4408" s="8">
        <f>financials[[#This Row],[Units Sold]]*financials[[#This Row],[Sale Price]]</f>
        <v>240</v>
      </c>
      <c r="H4408" s="8">
        <f>IF(financials[[#This Row],[Discount Band]]="low",0.1,IF(financials[[#This Row],[Discount Band]]="medium",0.15,0.3))</f>
        <v>0.1</v>
      </c>
      <c r="I4408" s="8">
        <f>financials[[#This Row],[Gross Sales]]-financials[[#This Row],[Gross Sales]]*financials[[#This Row],[Discounts]]</f>
        <v>216</v>
      </c>
      <c r="J4408" s="8">
        <f>VLOOKUP(financials[[#This Row],[productid]],Products!$B$2:$H$10,4)</f>
        <v>10</v>
      </c>
      <c r="K4408" s="8">
        <f>financials[[#This Row],[Net Sales]]-financials[[#This Row],[COGS]]</f>
        <v>206</v>
      </c>
      <c r="L4408" s="15">
        <v>45405</v>
      </c>
      <c r="M4408" t="s">
        <v>696</v>
      </c>
    </row>
    <row r="4409" spans="1:13" x14ac:dyDescent="0.25">
      <c r="A4409" t="s">
        <v>88</v>
      </c>
      <c r="B4409" s="6" t="s">
        <v>159</v>
      </c>
      <c r="C4409" s="13">
        <v>107</v>
      </c>
      <c r="D4409" s="14" t="s">
        <v>92</v>
      </c>
      <c r="E4409">
        <v>7</v>
      </c>
      <c r="F4409" s="8">
        <f>VLOOKUP(financials[[#This Row],[productid]],Products!$B$2:$H$10,3)</f>
        <v>15</v>
      </c>
      <c r="G4409" s="8">
        <f>financials[[#This Row],[Units Sold]]*financials[[#This Row],[Sale Price]]</f>
        <v>105</v>
      </c>
      <c r="H4409" s="8">
        <f>IF(financials[[#This Row],[Discount Band]]="low",0.1,IF(financials[[#This Row],[Discount Band]]="medium",0.15,0.3))</f>
        <v>0.3</v>
      </c>
      <c r="I4409" s="8">
        <f>financials[[#This Row],[Gross Sales]]-financials[[#This Row],[Gross Sales]]*financials[[#This Row],[Discounts]]</f>
        <v>73.5</v>
      </c>
      <c r="J4409" s="8">
        <f>VLOOKUP(financials[[#This Row],[productid]],Products!$B$2:$H$10,4)</f>
        <v>5.5</v>
      </c>
      <c r="K4409" s="8">
        <f>financials[[#This Row],[Net Sales]]-financials[[#This Row],[COGS]]</f>
        <v>68</v>
      </c>
      <c r="L4409" s="15">
        <v>44621</v>
      </c>
      <c r="M4409" t="s">
        <v>697</v>
      </c>
    </row>
    <row r="4410" spans="1:13" x14ac:dyDescent="0.25">
      <c r="A4410" t="s">
        <v>88</v>
      </c>
      <c r="B4410" s="6" t="s">
        <v>159</v>
      </c>
      <c r="C4410" s="13">
        <v>107</v>
      </c>
      <c r="D4410" s="14" t="s">
        <v>91</v>
      </c>
      <c r="E4410">
        <v>13</v>
      </c>
      <c r="F4410" s="8">
        <f>VLOOKUP(financials[[#This Row],[productid]],Products!$B$2:$H$10,3)</f>
        <v>15</v>
      </c>
      <c r="G4410" s="8">
        <f>financials[[#This Row],[Units Sold]]*financials[[#This Row],[Sale Price]]</f>
        <v>195</v>
      </c>
      <c r="H4410" s="8">
        <f>IF(financials[[#This Row],[Discount Band]]="low",0.1,IF(financials[[#This Row],[Discount Band]]="medium",0.15,0.3))</f>
        <v>0.1</v>
      </c>
      <c r="I4410" s="8">
        <f>financials[[#This Row],[Gross Sales]]-financials[[#This Row],[Gross Sales]]*financials[[#This Row],[Discounts]]</f>
        <v>175.5</v>
      </c>
      <c r="J4410" s="8">
        <f>VLOOKUP(financials[[#This Row],[productid]],Products!$B$2:$H$10,4)</f>
        <v>5.5</v>
      </c>
      <c r="K4410" s="8">
        <f>financials[[#This Row],[Net Sales]]-financials[[#This Row],[COGS]]</f>
        <v>170</v>
      </c>
      <c r="L4410" s="15">
        <v>44387</v>
      </c>
      <c r="M4410" t="s">
        <v>697</v>
      </c>
    </row>
    <row r="4411" spans="1:13" x14ac:dyDescent="0.25">
      <c r="A4411" t="s">
        <v>87</v>
      </c>
      <c r="B4411" s="6" t="s">
        <v>159</v>
      </c>
      <c r="C4411" s="13">
        <v>108</v>
      </c>
      <c r="D4411" s="14" t="s">
        <v>91</v>
      </c>
      <c r="E4411">
        <v>20</v>
      </c>
      <c r="F4411" s="8">
        <f>VLOOKUP(financials[[#This Row],[productid]],Products!$B$2:$H$10,3)</f>
        <v>5.5</v>
      </c>
      <c r="G4411" s="8">
        <f>financials[[#This Row],[Units Sold]]*financials[[#This Row],[Sale Price]]</f>
        <v>110</v>
      </c>
      <c r="H4411" s="8">
        <f>IF(financials[[#This Row],[Discount Band]]="low",0.1,IF(financials[[#This Row],[Discount Band]]="medium",0.15,0.3))</f>
        <v>0.1</v>
      </c>
      <c r="I4411" s="8">
        <f>financials[[#This Row],[Gross Sales]]-financials[[#This Row],[Gross Sales]]*financials[[#This Row],[Discounts]]</f>
        <v>99</v>
      </c>
      <c r="J4411" s="8">
        <f>VLOOKUP(financials[[#This Row],[productid]],Products!$B$2:$H$10,4)</f>
        <v>3.99</v>
      </c>
      <c r="K4411" s="8">
        <f>financials[[#This Row],[Net Sales]]-financials[[#This Row],[COGS]]</f>
        <v>95.01</v>
      </c>
      <c r="L4411" s="15">
        <v>43945</v>
      </c>
      <c r="M4411" t="s">
        <v>696</v>
      </c>
    </row>
    <row r="4412" spans="1:13" x14ac:dyDescent="0.25">
      <c r="A4412" t="s">
        <v>86</v>
      </c>
      <c r="B4412" s="6" t="s">
        <v>159</v>
      </c>
      <c r="C4412" s="11">
        <v>109</v>
      </c>
      <c r="D4412" s="9" t="s">
        <v>90</v>
      </c>
      <c r="E4412">
        <v>5</v>
      </c>
      <c r="F4412" s="8">
        <f>VLOOKUP(financials[[#This Row],[productid]],Products!$B$2:$H$10,3)</f>
        <v>36</v>
      </c>
      <c r="G4412" s="8">
        <f>financials[[#This Row],[Units Sold]]*financials[[#This Row],[Sale Price]]</f>
        <v>180</v>
      </c>
      <c r="H4412" s="8">
        <f>IF(financials[[#This Row],[Discount Band]]="low",0.1,IF(financials[[#This Row],[Discount Band]]="medium",0.15,0.3))</f>
        <v>0.15</v>
      </c>
      <c r="I4412" s="8">
        <f>financials[[#This Row],[Gross Sales]]-financials[[#This Row],[Gross Sales]]*financials[[#This Row],[Discounts]]</f>
        <v>153</v>
      </c>
      <c r="J4412" s="8">
        <f>VLOOKUP(financials[[#This Row],[productid]],Products!$B$2:$H$10,4)</f>
        <v>16.8</v>
      </c>
      <c r="K4412" s="8">
        <f>financials[[#This Row],[Net Sales]]-financials[[#This Row],[COGS]]</f>
        <v>136.19999999999999</v>
      </c>
      <c r="L4412" s="15">
        <v>44387</v>
      </c>
      <c r="M4412" t="s">
        <v>696</v>
      </c>
    </row>
    <row r="4413" spans="1:13" x14ac:dyDescent="0.25">
      <c r="A4413" t="s">
        <v>87</v>
      </c>
      <c r="B4413" s="6" t="s">
        <v>159</v>
      </c>
      <c r="C4413" s="13">
        <v>106</v>
      </c>
      <c r="D4413" s="14" t="s">
        <v>90</v>
      </c>
      <c r="E4413">
        <v>18</v>
      </c>
      <c r="F4413" s="8">
        <f>VLOOKUP(financials[[#This Row],[productid]],Products!$B$2:$H$10,3)</f>
        <v>25</v>
      </c>
      <c r="G4413" s="8">
        <f>financials[[#This Row],[Units Sold]]*financials[[#This Row],[Sale Price]]</f>
        <v>450</v>
      </c>
      <c r="H4413" s="8">
        <f>IF(financials[[#This Row],[Discount Band]]="low",0.1,IF(financials[[#This Row],[Discount Band]]="medium",0.15,0.3))</f>
        <v>0.15</v>
      </c>
      <c r="I4413" s="8">
        <f>financials[[#This Row],[Gross Sales]]-financials[[#This Row],[Gross Sales]]*financials[[#This Row],[Discounts]]</f>
        <v>382.5</v>
      </c>
      <c r="J4413" s="8">
        <f>VLOOKUP(financials[[#This Row],[productid]],Products!$B$2:$H$10,4)</f>
        <v>9.1</v>
      </c>
      <c r="K4413" s="8">
        <f>financials[[#This Row],[Net Sales]]-financials[[#This Row],[COGS]]</f>
        <v>373.4</v>
      </c>
      <c r="L4413" s="15">
        <v>45296</v>
      </c>
      <c r="M4413" t="s">
        <v>697</v>
      </c>
    </row>
    <row r="4414" spans="1:13" x14ac:dyDescent="0.25">
      <c r="A4414" t="s">
        <v>87</v>
      </c>
      <c r="B4414" s="6" t="s">
        <v>159</v>
      </c>
      <c r="C4414" s="13">
        <v>106</v>
      </c>
      <c r="D4414" s="14" t="s">
        <v>92</v>
      </c>
      <c r="E4414">
        <v>14</v>
      </c>
      <c r="F4414" s="8">
        <f>VLOOKUP(financials[[#This Row],[productid]],Products!$B$2:$H$10,3)</f>
        <v>25</v>
      </c>
      <c r="G4414" s="8">
        <f>financials[[#This Row],[Units Sold]]*financials[[#This Row],[Sale Price]]</f>
        <v>350</v>
      </c>
      <c r="H4414" s="8">
        <f>IF(financials[[#This Row],[Discount Band]]="low",0.1,IF(financials[[#This Row],[Discount Band]]="medium",0.15,0.3))</f>
        <v>0.3</v>
      </c>
      <c r="I4414" s="8">
        <f>financials[[#This Row],[Gross Sales]]-financials[[#This Row],[Gross Sales]]*financials[[#This Row],[Discounts]]</f>
        <v>245</v>
      </c>
      <c r="J4414" s="8">
        <f>VLOOKUP(financials[[#This Row],[productid]],Products!$B$2:$H$10,4)</f>
        <v>9.1</v>
      </c>
      <c r="K4414" s="8">
        <f>financials[[#This Row],[Net Sales]]-financials[[#This Row],[COGS]]</f>
        <v>235.9</v>
      </c>
      <c r="L4414" s="15">
        <v>44181</v>
      </c>
      <c r="M4414" t="s">
        <v>700</v>
      </c>
    </row>
    <row r="4415" spans="1:13" x14ac:dyDescent="0.25">
      <c r="A4415" t="s">
        <v>88</v>
      </c>
      <c r="B4415" s="6" t="s">
        <v>84</v>
      </c>
      <c r="C4415" s="13">
        <v>107</v>
      </c>
      <c r="D4415" s="14" t="s">
        <v>90</v>
      </c>
      <c r="E4415">
        <v>8</v>
      </c>
      <c r="F4415" s="8">
        <f>VLOOKUP(financials[[#This Row],[productid]],Products!$B$2:$H$10,3)</f>
        <v>15</v>
      </c>
      <c r="G4415" s="8">
        <f>financials[[#This Row],[Units Sold]]*financials[[#This Row],[Sale Price]]</f>
        <v>120</v>
      </c>
      <c r="H4415" s="8">
        <f>IF(financials[[#This Row],[Discount Band]]="low",0.1,IF(financials[[#This Row],[Discount Band]]="medium",0.15,0.3))</f>
        <v>0.15</v>
      </c>
      <c r="I4415" s="8">
        <f>financials[[#This Row],[Gross Sales]]-financials[[#This Row],[Gross Sales]]*financials[[#This Row],[Discounts]]</f>
        <v>102</v>
      </c>
      <c r="J4415" s="8">
        <f>VLOOKUP(financials[[#This Row],[productid]],Products!$B$2:$H$10,4)</f>
        <v>5.5</v>
      </c>
      <c r="K4415" s="8">
        <f>financials[[#This Row],[Net Sales]]-financials[[#This Row],[COGS]]</f>
        <v>96.5</v>
      </c>
      <c r="L4415" s="15">
        <v>44406</v>
      </c>
      <c r="M4415" t="s">
        <v>697</v>
      </c>
    </row>
    <row r="4416" spans="1:13" x14ac:dyDescent="0.25">
      <c r="A4416" t="s">
        <v>88</v>
      </c>
      <c r="B4416" s="6" t="s">
        <v>84</v>
      </c>
      <c r="C4416" s="13">
        <v>101</v>
      </c>
      <c r="D4416" s="14" t="s">
        <v>90</v>
      </c>
      <c r="E4416">
        <v>15</v>
      </c>
      <c r="F4416" s="8">
        <f>VLOOKUP(financials[[#This Row],[productid]],Products!$B$2:$H$10,3)</f>
        <v>23</v>
      </c>
      <c r="G4416" s="8">
        <f>financials[[#This Row],[Units Sold]]*financials[[#This Row],[Sale Price]]</f>
        <v>345</v>
      </c>
      <c r="H4416" s="8">
        <f>IF(financials[[#This Row],[Discount Band]]="low",0.1,IF(financials[[#This Row],[Discount Band]]="medium",0.15,0.3))</f>
        <v>0.15</v>
      </c>
      <c r="I4416" s="8">
        <f>financials[[#This Row],[Gross Sales]]-financials[[#This Row],[Gross Sales]]*financials[[#This Row],[Discounts]]</f>
        <v>293.25</v>
      </c>
      <c r="J4416" s="8">
        <f>VLOOKUP(financials[[#This Row],[productid]],Products!$B$2:$H$10,4)</f>
        <v>9.9499999999999993</v>
      </c>
      <c r="K4416" s="8">
        <f>financials[[#This Row],[Net Sales]]-financials[[#This Row],[COGS]]</f>
        <v>283.3</v>
      </c>
      <c r="L4416" s="15">
        <v>44538</v>
      </c>
      <c r="M4416" t="s">
        <v>700</v>
      </c>
    </row>
    <row r="4417" spans="1:13" x14ac:dyDescent="0.25">
      <c r="A4417" t="s">
        <v>88</v>
      </c>
      <c r="B4417" s="6" t="s">
        <v>84</v>
      </c>
      <c r="C4417" s="13">
        <v>105</v>
      </c>
      <c r="D4417" s="14" t="s">
        <v>83</v>
      </c>
      <c r="E4417">
        <v>13</v>
      </c>
      <c r="F4417" s="8">
        <f>VLOOKUP(financials[[#This Row],[productid]],Products!$B$2:$H$10,3)</f>
        <v>15</v>
      </c>
      <c r="G4417" s="8">
        <f>financials[[#This Row],[Units Sold]]*financials[[#This Row],[Sale Price]]</f>
        <v>195</v>
      </c>
      <c r="H4417" s="8">
        <f>IF(financials[[#This Row],[Discount Band]]="low",0.1,IF(financials[[#This Row],[Discount Band]]="medium",0.15,0.3))</f>
        <v>0.3</v>
      </c>
      <c r="I4417" s="8">
        <f>financials[[#This Row],[Gross Sales]]-financials[[#This Row],[Gross Sales]]*financials[[#This Row],[Discounts]]</f>
        <v>136.5</v>
      </c>
      <c r="J4417" s="8">
        <f>VLOOKUP(financials[[#This Row],[productid]],Products!$B$2:$H$10,4)</f>
        <v>10</v>
      </c>
      <c r="K4417" s="8">
        <f>financials[[#This Row],[Net Sales]]-financials[[#This Row],[COGS]]</f>
        <v>126.5</v>
      </c>
      <c r="L4417" s="15">
        <v>44951</v>
      </c>
      <c r="M4417" t="s">
        <v>690</v>
      </c>
    </row>
    <row r="4418" spans="1:13" x14ac:dyDescent="0.25">
      <c r="A4418" t="s">
        <v>86</v>
      </c>
      <c r="B4418" s="6" t="s">
        <v>84</v>
      </c>
      <c r="C4418" s="13">
        <v>104</v>
      </c>
      <c r="D4418" s="14" t="s">
        <v>83</v>
      </c>
      <c r="E4418">
        <v>18</v>
      </c>
      <c r="F4418" s="8">
        <f>VLOOKUP(financials[[#This Row],[productid]],Products!$B$2:$H$10,3)</f>
        <v>5.9</v>
      </c>
      <c r="G4418" s="8">
        <f>financials[[#This Row],[Units Sold]]*financials[[#This Row],[Sale Price]]</f>
        <v>106.2</v>
      </c>
      <c r="H4418" s="8">
        <f>IF(financials[[#This Row],[Discount Band]]="low",0.1,IF(financials[[#This Row],[Discount Band]]="medium",0.15,0.3))</f>
        <v>0.3</v>
      </c>
      <c r="I4418" s="8">
        <f>financials[[#This Row],[Gross Sales]]-financials[[#This Row],[Gross Sales]]*financials[[#This Row],[Discounts]]</f>
        <v>74.34</v>
      </c>
      <c r="J4418" s="8">
        <f>VLOOKUP(financials[[#This Row],[productid]],Products!$B$2:$H$10,4)</f>
        <v>2.9</v>
      </c>
      <c r="K4418" s="8">
        <f>financials[[#This Row],[Net Sales]]-financials[[#This Row],[COGS]]</f>
        <v>71.44</v>
      </c>
      <c r="L4418" s="15">
        <v>45063</v>
      </c>
      <c r="M4418" t="s">
        <v>691</v>
      </c>
    </row>
    <row r="4419" spans="1:13" x14ac:dyDescent="0.25">
      <c r="A4419" t="s">
        <v>88</v>
      </c>
      <c r="B4419" s="6" t="s">
        <v>84</v>
      </c>
      <c r="C4419" s="13">
        <v>107</v>
      </c>
      <c r="D4419" s="14" t="s">
        <v>90</v>
      </c>
      <c r="E4419">
        <v>19</v>
      </c>
      <c r="F4419" s="8">
        <f>VLOOKUP(financials[[#This Row],[productid]],Products!$B$2:$H$10,3)</f>
        <v>15</v>
      </c>
      <c r="G4419" s="8">
        <f>financials[[#This Row],[Units Sold]]*financials[[#This Row],[Sale Price]]</f>
        <v>285</v>
      </c>
      <c r="H4419" s="8">
        <f>IF(financials[[#This Row],[Discount Band]]="low",0.1,IF(financials[[#This Row],[Discount Band]]="medium",0.15,0.3))</f>
        <v>0.15</v>
      </c>
      <c r="I4419" s="8">
        <f>financials[[#This Row],[Gross Sales]]-financials[[#This Row],[Gross Sales]]*financials[[#This Row],[Discounts]]</f>
        <v>242.25</v>
      </c>
      <c r="J4419" s="8">
        <f>VLOOKUP(financials[[#This Row],[productid]],Products!$B$2:$H$10,4)</f>
        <v>5.5</v>
      </c>
      <c r="K4419" s="8">
        <f>financials[[#This Row],[Net Sales]]-financials[[#This Row],[COGS]]</f>
        <v>236.75</v>
      </c>
      <c r="L4419" s="15">
        <v>44950</v>
      </c>
      <c r="M4419" t="s">
        <v>700</v>
      </c>
    </row>
    <row r="4420" spans="1:13" x14ac:dyDescent="0.25">
      <c r="A4420" t="s">
        <v>87</v>
      </c>
      <c r="B4420" s="6" t="s">
        <v>159</v>
      </c>
      <c r="C4420" s="11">
        <v>105</v>
      </c>
      <c r="D4420" s="9" t="s">
        <v>90</v>
      </c>
      <c r="E4420">
        <v>9</v>
      </c>
      <c r="F4420" s="8">
        <f>VLOOKUP(financials[[#This Row],[productid]],Products!$B$2:$H$10,3)</f>
        <v>15</v>
      </c>
      <c r="G4420" s="8">
        <f>financials[[#This Row],[Units Sold]]*financials[[#This Row],[Sale Price]]</f>
        <v>135</v>
      </c>
      <c r="H4420" s="8">
        <f>IF(financials[[#This Row],[Discount Band]]="low",0.1,IF(financials[[#This Row],[Discount Band]]="medium",0.15,0.3))</f>
        <v>0.15</v>
      </c>
      <c r="I4420" s="8">
        <f>financials[[#This Row],[Gross Sales]]-financials[[#This Row],[Gross Sales]]*financials[[#This Row],[Discounts]]</f>
        <v>114.75</v>
      </c>
      <c r="J4420" s="8">
        <f>VLOOKUP(financials[[#This Row],[productid]],Products!$B$2:$H$10,4)</f>
        <v>10</v>
      </c>
      <c r="K4420" s="8">
        <f>financials[[#This Row],[Net Sales]]-financials[[#This Row],[COGS]]</f>
        <v>104.75</v>
      </c>
      <c r="L4420" s="15">
        <v>45226</v>
      </c>
      <c r="M4420" t="s">
        <v>690</v>
      </c>
    </row>
    <row r="4421" spans="1:13" x14ac:dyDescent="0.25">
      <c r="A4421" t="s">
        <v>86</v>
      </c>
      <c r="B4421" s="6" t="s">
        <v>84</v>
      </c>
      <c r="C4421" s="13">
        <v>104</v>
      </c>
      <c r="D4421" s="14" t="s">
        <v>91</v>
      </c>
      <c r="E4421">
        <v>5</v>
      </c>
      <c r="F4421" s="8">
        <f>VLOOKUP(financials[[#This Row],[productid]],Products!$B$2:$H$10,3)</f>
        <v>5.9</v>
      </c>
      <c r="G4421" s="8">
        <f>financials[[#This Row],[Units Sold]]*financials[[#This Row],[Sale Price]]</f>
        <v>29.5</v>
      </c>
      <c r="H4421" s="8">
        <f>IF(financials[[#This Row],[Discount Band]]="low",0.1,IF(financials[[#This Row],[Discount Band]]="medium",0.15,0.3))</f>
        <v>0.1</v>
      </c>
      <c r="I4421" s="8">
        <f>financials[[#This Row],[Gross Sales]]-financials[[#This Row],[Gross Sales]]*financials[[#This Row],[Discounts]]</f>
        <v>26.55</v>
      </c>
      <c r="J4421" s="8">
        <f>VLOOKUP(financials[[#This Row],[productid]],Products!$B$2:$H$10,4)</f>
        <v>2.9</v>
      </c>
      <c r="K4421" s="8">
        <f>financials[[#This Row],[Net Sales]]-financials[[#This Row],[COGS]]</f>
        <v>23.650000000000002</v>
      </c>
      <c r="L4421" s="15">
        <v>45391</v>
      </c>
      <c r="M4421" t="s">
        <v>696</v>
      </c>
    </row>
    <row r="4422" spans="1:13" x14ac:dyDescent="0.25">
      <c r="A4422" t="s">
        <v>87</v>
      </c>
      <c r="B4422" s="6" t="s">
        <v>159</v>
      </c>
      <c r="C4422" s="13">
        <v>101</v>
      </c>
      <c r="D4422" s="14" t="s">
        <v>90</v>
      </c>
      <c r="E4422">
        <v>9</v>
      </c>
      <c r="F4422" s="8">
        <f>VLOOKUP(financials[[#This Row],[productid]],Products!$B$2:$H$10,3)</f>
        <v>23</v>
      </c>
      <c r="G4422" s="8">
        <f>financials[[#This Row],[Units Sold]]*financials[[#This Row],[Sale Price]]</f>
        <v>207</v>
      </c>
      <c r="H4422" s="8">
        <f>IF(financials[[#This Row],[Discount Band]]="low",0.1,IF(financials[[#This Row],[Discount Band]]="medium",0.15,0.3))</f>
        <v>0.15</v>
      </c>
      <c r="I4422" s="8">
        <f>financials[[#This Row],[Gross Sales]]-financials[[#This Row],[Gross Sales]]*financials[[#This Row],[Discounts]]</f>
        <v>175.95</v>
      </c>
      <c r="J4422" s="8">
        <f>VLOOKUP(financials[[#This Row],[productid]],Products!$B$2:$H$10,4)</f>
        <v>9.9499999999999993</v>
      </c>
      <c r="K4422" s="8">
        <f>financials[[#This Row],[Net Sales]]-financials[[#This Row],[COGS]]</f>
        <v>166</v>
      </c>
      <c r="L4422" s="15">
        <v>45104</v>
      </c>
      <c r="M4422" t="s">
        <v>691</v>
      </c>
    </row>
    <row r="4423" spans="1:13" x14ac:dyDescent="0.25">
      <c r="A4423" t="s">
        <v>87</v>
      </c>
      <c r="B4423" s="6" t="s">
        <v>124</v>
      </c>
      <c r="C4423" s="13">
        <v>103</v>
      </c>
      <c r="D4423" s="14" t="s">
        <v>83</v>
      </c>
      <c r="E4423">
        <v>11</v>
      </c>
      <c r="F4423" s="8">
        <f>VLOOKUP(financials[[#This Row],[productid]],Products!$B$2:$H$10,3)</f>
        <v>28</v>
      </c>
      <c r="G4423" s="8">
        <f>financials[[#This Row],[Units Sold]]*financials[[#This Row],[Sale Price]]</f>
        <v>308</v>
      </c>
      <c r="H4423" s="8">
        <f>IF(financials[[#This Row],[Discount Band]]="low",0.1,IF(financials[[#This Row],[Discount Band]]="medium",0.15,0.3))</f>
        <v>0.3</v>
      </c>
      <c r="I4423" s="8">
        <f>financials[[#This Row],[Gross Sales]]-financials[[#This Row],[Gross Sales]]*financials[[#This Row],[Discounts]]</f>
        <v>215.60000000000002</v>
      </c>
      <c r="J4423" s="8">
        <f>VLOOKUP(financials[[#This Row],[productid]],Products!$B$2:$H$10,4)</f>
        <v>15</v>
      </c>
      <c r="K4423" s="8">
        <f>financials[[#This Row],[Net Sales]]-financials[[#This Row],[COGS]]</f>
        <v>200.60000000000002</v>
      </c>
      <c r="L4423" s="15">
        <v>43881</v>
      </c>
      <c r="M4423" t="s">
        <v>691</v>
      </c>
    </row>
    <row r="4424" spans="1:13" x14ac:dyDescent="0.25">
      <c r="A4424" t="s">
        <v>86</v>
      </c>
      <c r="B4424" s="6" t="s">
        <v>84</v>
      </c>
      <c r="C4424" s="11">
        <v>105</v>
      </c>
      <c r="D4424" s="9" t="s">
        <v>91</v>
      </c>
      <c r="E4424">
        <v>16</v>
      </c>
      <c r="F4424" s="8">
        <f>VLOOKUP(financials[[#This Row],[productid]],Products!$B$2:$H$10,3)</f>
        <v>15</v>
      </c>
      <c r="G4424" s="8">
        <f>financials[[#This Row],[Units Sold]]*financials[[#This Row],[Sale Price]]</f>
        <v>240</v>
      </c>
      <c r="H4424" s="8">
        <f>IF(financials[[#This Row],[Discount Band]]="low",0.1,IF(financials[[#This Row],[Discount Band]]="medium",0.15,0.3))</f>
        <v>0.1</v>
      </c>
      <c r="I4424" s="8">
        <f>financials[[#This Row],[Gross Sales]]-financials[[#This Row],[Gross Sales]]*financials[[#This Row],[Discounts]]</f>
        <v>216</v>
      </c>
      <c r="J4424" s="8">
        <f>VLOOKUP(financials[[#This Row],[productid]],Products!$B$2:$H$10,4)</f>
        <v>10</v>
      </c>
      <c r="K4424" s="8">
        <f>financials[[#This Row],[Net Sales]]-financials[[#This Row],[COGS]]</f>
        <v>206</v>
      </c>
      <c r="L4424" s="15">
        <v>45108</v>
      </c>
      <c r="M4424" t="s">
        <v>690</v>
      </c>
    </row>
    <row r="4425" spans="1:13" x14ac:dyDescent="0.25">
      <c r="A4425" t="s">
        <v>86</v>
      </c>
      <c r="B4425" s="6" t="s">
        <v>84</v>
      </c>
      <c r="C4425" s="13">
        <v>103</v>
      </c>
      <c r="D4425" s="14" t="s">
        <v>91</v>
      </c>
      <c r="E4425">
        <v>14</v>
      </c>
      <c r="F4425" s="8">
        <f>VLOOKUP(financials[[#This Row],[productid]],Products!$B$2:$H$10,3)</f>
        <v>28</v>
      </c>
      <c r="G4425" s="8">
        <f>financials[[#This Row],[Units Sold]]*financials[[#This Row],[Sale Price]]</f>
        <v>392</v>
      </c>
      <c r="H4425" s="8">
        <f>IF(financials[[#This Row],[Discount Band]]="low",0.1,IF(financials[[#This Row],[Discount Band]]="medium",0.15,0.3))</f>
        <v>0.1</v>
      </c>
      <c r="I4425" s="8">
        <f>financials[[#This Row],[Gross Sales]]-financials[[#This Row],[Gross Sales]]*financials[[#This Row],[Discounts]]</f>
        <v>352.8</v>
      </c>
      <c r="J4425" s="8">
        <f>VLOOKUP(financials[[#This Row],[productid]],Products!$B$2:$H$10,4)</f>
        <v>15</v>
      </c>
      <c r="K4425" s="8">
        <f>financials[[#This Row],[Net Sales]]-financials[[#This Row],[COGS]]</f>
        <v>337.8</v>
      </c>
      <c r="L4425" s="15">
        <v>45068</v>
      </c>
      <c r="M4425" t="s">
        <v>697</v>
      </c>
    </row>
    <row r="4426" spans="1:13" x14ac:dyDescent="0.25">
      <c r="A4426" t="s">
        <v>86</v>
      </c>
      <c r="B4426" s="6" t="s">
        <v>84</v>
      </c>
      <c r="C4426" s="13">
        <v>101</v>
      </c>
      <c r="D4426" s="14" t="s">
        <v>83</v>
      </c>
      <c r="E4426">
        <v>18</v>
      </c>
      <c r="F4426" s="8">
        <f>VLOOKUP(financials[[#This Row],[productid]],Products!$B$2:$H$10,3)</f>
        <v>23</v>
      </c>
      <c r="G4426" s="8">
        <f>financials[[#This Row],[Units Sold]]*financials[[#This Row],[Sale Price]]</f>
        <v>414</v>
      </c>
      <c r="H4426" s="8">
        <f>IF(financials[[#This Row],[Discount Band]]="low",0.1,IF(financials[[#This Row],[Discount Band]]="medium",0.15,0.3))</f>
        <v>0.3</v>
      </c>
      <c r="I4426" s="8">
        <f>financials[[#This Row],[Gross Sales]]-financials[[#This Row],[Gross Sales]]*financials[[#This Row],[Discounts]]</f>
        <v>289.8</v>
      </c>
      <c r="J4426" s="8">
        <f>VLOOKUP(financials[[#This Row],[productid]],Products!$B$2:$H$10,4)</f>
        <v>9.9499999999999993</v>
      </c>
      <c r="K4426" s="8">
        <f>financials[[#This Row],[Net Sales]]-financials[[#This Row],[COGS]]</f>
        <v>279.85000000000002</v>
      </c>
      <c r="L4426" s="15">
        <v>44103</v>
      </c>
      <c r="M4426" t="s">
        <v>697</v>
      </c>
    </row>
    <row r="4427" spans="1:13" x14ac:dyDescent="0.25">
      <c r="A4427" t="s">
        <v>87</v>
      </c>
      <c r="B4427" s="6" t="s">
        <v>159</v>
      </c>
      <c r="C4427" s="13">
        <v>101</v>
      </c>
      <c r="D4427" s="14" t="s">
        <v>90</v>
      </c>
      <c r="E4427">
        <v>17</v>
      </c>
      <c r="F4427" s="8">
        <f>VLOOKUP(financials[[#This Row],[productid]],Products!$B$2:$H$10,3)</f>
        <v>23</v>
      </c>
      <c r="G4427" s="8">
        <f>financials[[#This Row],[Units Sold]]*financials[[#This Row],[Sale Price]]</f>
        <v>391</v>
      </c>
      <c r="H4427" s="8">
        <f>IF(financials[[#This Row],[Discount Band]]="low",0.1,IF(financials[[#This Row],[Discount Band]]="medium",0.15,0.3))</f>
        <v>0.15</v>
      </c>
      <c r="I4427" s="8">
        <f>financials[[#This Row],[Gross Sales]]-financials[[#This Row],[Gross Sales]]*financials[[#This Row],[Discounts]]</f>
        <v>332.35</v>
      </c>
      <c r="J4427" s="8">
        <f>VLOOKUP(financials[[#This Row],[productid]],Products!$B$2:$H$10,4)</f>
        <v>9.9499999999999993</v>
      </c>
      <c r="K4427" s="8">
        <f>financials[[#This Row],[Net Sales]]-financials[[#This Row],[COGS]]</f>
        <v>322.40000000000003</v>
      </c>
      <c r="L4427" s="15">
        <v>44933</v>
      </c>
      <c r="M4427" t="s">
        <v>697</v>
      </c>
    </row>
    <row r="4428" spans="1:13" x14ac:dyDescent="0.25">
      <c r="A4428" t="s">
        <v>88</v>
      </c>
      <c r="B4428" s="6" t="s">
        <v>84</v>
      </c>
      <c r="C4428" s="13">
        <v>105</v>
      </c>
      <c r="D4428" s="14" t="s">
        <v>90</v>
      </c>
      <c r="E4428">
        <v>6</v>
      </c>
      <c r="F4428" s="8">
        <f>VLOOKUP(financials[[#This Row],[productid]],Products!$B$2:$H$10,3)</f>
        <v>15</v>
      </c>
      <c r="G4428" s="8">
        <f>financials[[#This Row],[Units Sold]]*financials[[#This Row],[Sale Price]]</f>
        <v>90</v>
      </c>
      <c r="H4428" s="8">
        <f>IF(financials[[#This Row],[Discount Band]]="low",0.1,IF(financials[[#This Row],[Discount Band]]="medium",0.15,0.3))</f>
        <v>0.15</v>
      </c>
      <c r="I4428" s="8">
        <f>financials[[#This Row],[Gross Sales]]-financials[[#This Row],[Gross Sales]]*financials[[#This Row],[Discounts]]</f>
        <v>76.5</v>
      </c>
      <c r="J4428" s="8">
        <f>VLOOKUP(financials[[#This Row],[productid]],Products!$B$2:$H$10,4)</f>
        <v>10</v>
      </c>
      <c r="K4428" s="8">
        <f>financials[[#This Row],[Net Sales]]-financials[[#This Row],[COGS]]</f>
        <v>66.5</v>
      </c>
      <c r="L4428" s="15">
        <v>44383</v>
      </c>
      <c r="M4428" t="s">
        <v>697</v>
      </c>
    </row>
    <row r="4429" spans="1:13" x14ac:dyDescent="0.25">
      <c r="A4429" t="s">
        <v>88</v>
      </c>
      <c r="B4429" s="6" t="s">
        <v>159</v>
      </c>
      <c r="C4429" s="13">
        <v>105</v>
      </c>
      <c r="D4429" s="14" t="s">
        <v>90</v>
      </c>
      <c r="E4429">
        <v>11</v>
      </c>
      <c r="F4429" s="8">
        <f>VLOOKUP(financials[[#This Row],[productid]],Products!$B$2:$H$10,3)</f>
        <v>15</v>
      </c>
      <c r="G4429" s="8">
        <f>financials[[#This Row],[Units Sold]]*financials[[#This Row],[Sale Price]]</f>
        <v>165</v>
      </c>
      <c r="H4429" s="8">
        <f>IF(financials[[#This Row],[Discount Band]]="low",0.1,IF(financials[[#This Row],[Discount Band]]="medium",0.15,0.3))</f>
        <v>0.15</v>
      </c>
      <c r="I4429" s="8">
        <f>financials[[#This Row],[Gross Sales]]-financials[[#This Row],[Gross Sales]]*financials[[#This Row],[Discounts]]</f>
        <v>140.25</v>
      </c>
      <c r="J4429" s="8">
        <f>VLOOKUP(financials[[#This Row],[productid]],Products!$B$2:$H$10,4)</f>
        <v>10</v>
      </c>
      <c r="K4429" s="8">
        <f>financials[[#This Row],[Net Sales]]-financials[[#This Row],[COGS]]</f>
        <v>130.25</v>
      </c>
      <c r="L4429" s="15">
        <v>45182</v>
      </c>
      <c r="M4429" t="s">
        <v>690</v>
      </c>
    </row>
    <row r="4430" spans="1:13" x14ac:dyDescent="0.25">
      <c r="A4430" t="s">
        <v>86</v>
      </c>
      <c r="B4430" s="6" t="s">
        <v>84</v>
      </c>
      <c r="C4430" s="11">
        <v>104</v>
      </c>
      <c r="D4430" s="9" t="s">
        <v>91</v>
      </c>
      <c r="E4430">
        <v>13</v>
      </c>
      <c r="F4430" s="8">
        <f>VLOOKUP(financials[[#This Row],[productid]],Products!$B$2:$H$10,3)</f>
        <v>5.9</v>
      </c>
      <c r="G4430" s="8">
        <f>financials[[#This Row],[Units Sold]]*financials[[#This Row],[Sale Price]]</f>
        <v>76.7</v>
      </c>
      <c r="H4430" s="8">
        <f>IF(financials[[#This Row],[Discount Band]]="low",0.1,IF(financials[[#This Row],[Discount Band]]="medium",0.15,0.3))</f>
        <v>0.1</v>
      </c>
      <c r="I4430" s="8">
        <f>financials[[#This Row],[Gross Sales]]-financials[[#This Row],[Gross Sales]]*financials[[#This Row],[Discounts]]</f>
        <v>69.03</v>
      </c>
      <c r="J4430" s="8">
        <f>VLOOKUP(financials[[#This Row],[productid]],Products!$B$2:$H$10,4)</f>
        <v>2.9</v>
      </c>
      <c r="K4430" s="8">
        <f>financials[[#This Row],[Net Sales]]-financials[[#This Row],[COGS]]</f>
        <v>66.13</v>
      </c>
      <c r="L4430" s="15">
        <v>44715</v>
      </c>
      <c r="M4430" t="s">
        <v>690</v>
      </c>
    </row>
    <row r="4431" spans="1:13" x14ac:dyDescent="0.25">
      <c r="A4431" t="s">
        <v>86</v>
      </c>
      <c r="B4431" s="6" t="s">
        <v>159</v>
      </c>
      <c r="C4431" s="13">
        <v>108</v>
      </c>
      <c r="D4431" s="14" t="s">
        <v>92</v>
      </c>
      <c r="E4431">
        <v>12</v>
      </c>
      <c r="F4431" s="8">
        <f>VLOOKUP(financials[[#This Row],[productid]],Products!$B$2:$H$10,3)</f>
        <v>5.5</v>
      </c>
      <c r="G4431" s="8">
        <f>financials[[#This Row],[Units Sold]]*financials[[#This Row],[Sale Price]]</f>
        <v>66</v>
      </c>
      <c r="H4431" s="8">
        <f>IF(financials[[#This Row],[Discount Band]]="low",0.1,IF(financials[[#This Row],[Discount Band]]="medium",0.15,0.3))</f>
        <v>0.3</v>
      </c>
      <c r="I4431" s="8">
        <f>financials[[#This Row],[Gross Sales]]-financials[[#This Row],[Gross Sales]]*financials[[#This Row],[Discounts]]</f>
        <v>46.2</v>
      </c>
      <c r="J4431" s="8">
        <f>VLOOKUP(financials[[#This Row],[productid]],Products!$B$2:$H$10,4)</f>
        <v>3.99</v>
      </c>
      <c r="K4431" s="8">
        <f>financials[[#This Row],[Net Sales]]-financials[[#This Row],[COGS]]</f>
        <v>42.21</v>
      </c>
      <c r="L4431" s="15">
        <v>44648</v>
      </c>
      <c r="M4431" t="s">
        <v>700</v>
      </c>
    </row>
    <row r="4432" spans="1:13" x14ac:dyDescent="0.25">
      <c r="A4432" t="s">
        <v>87</v>
      </c>
      <c r="B4432" s="6" t="s">
        <v>159</v>
      </c>
      <c r="C4432" s="11">
        <v>106</v>
      </c>
      <c r="D4432" s="9" t="s">
        <v>91</v>
      </c>
      <c r="E4432">
        <v>17</v>
      </c>
      <c r="F4432" s="8">
        <f>VLOOKUP(financials[[#This Row],[productid]],Products!$B$2:$H$10,3)</f>
        <v>25</v>
      </c>
      <c r="G4432" s="8">
        <f>financials[[#This Row],[Units Sold]]*financials[[#This Row],[Sale Price]]</f>
        <v>425</v>
      </c>
      <c r="H4432" s="8">
        <f>IF(financials[[#This Row],[Discount Band]]="low",0.1,IF(financials[[#This Row],[Discount Band]]="medium",0.15,0.3))</f>
        <v>0.1</v>
      </c>
      <c r="I4432" s="8">
        <f>financials[[#This Row],[Gross Sales]]-financials[[#This Row],[Gross Sales]]*financials[[#This Row],[Discounts]]</f>
        <v>382.5</v>
      </c>
      <c r="J4432" s="8">
        <f>VLOOKUP(financials[[#This Row],[productid]],Products!$B$2:$H$10,4)</f>
        <v>9.1</v>
      </c>
      <c r="K4432" s="8">
        <f>financials[[#This Row],[Net Sales]]-financials[[#This Row],[COGS]]</f>
        <v>373.4</v>
      </c>
      <c r="L4432" s="15">
        <v>43914</v>
      </c>
      <c r="M4432" t="s">
        <v>700</v>
      </c>
    </row>
    <row r="4433" spans="1:13" x14ac:dyDescent="0.25">
      <c r="A4433" t="s">
        <v>87</v>
      </c>
      <c r="B4433" s="6" t="s">
        <v>124</v>
      </c>
      <c r="C4433" s="11">
        <v>106</v>
      </c>
      <c r="D4433" s="9" t="s">
        <v>91</v>
      </c>
      <c r="E4433">
        <v>10</v>
      </c>
      <c r="F4433" s="8">
        <f>VLOOKUP(financials[[#This Row],[productid]],Products!$B$2:$H$10,3)</f>
        <v>25</v>
      </c>
      <c r="G4433" s="8">
        <f>financials[[#This Row],[Units Sold]]*financials[[#This Row],[Sale Price]]</f>
        <v>250</v>
      </c>
      <c r="H4433" s="8">
        <f>IF(financials[[#This Row],[Discount Band]]="low",0.1,IF(financials[[#This Row],[Discount Band]]="medium",0.15,0.3))</f>
        <v>0.1</v>
      </c>
      <c r="I4433" s="8">
        <f>financials[[#This Row],[Gross Sales]]-financials[[#This Row],[Gross Sales]]*financials[[#This Row],[Discounts]]</f>
        <v>225</v>
      </c>
      <c r="J4433" s="8">
        <f>VLOOKUP(financials[[#This Row],[productid]],Products!$B$2:$H$10,4)</f>
        <v>9.1</v>
      </c>
      <c r="K4433" s="8">
        <f>financials[[#This Row],[Net Sales]]-financials[[#This Row],[COGS]]</f>
        <v>215.9</v>
      </c>
      <c r="L4433" s="15">
        <v>45456</v>
      </c>
      <c r="M4433" t="s">
        <v>691</v>
      </c>
    </row>
    <row r="4434" spans="1:13" x14ac:dyDescent="0.25">
      <c r="A4434" t="s">
        <v>87</v>
      </c>
      <c r="B4434" s="6" t="s">
        <v>124</v>
      </c>
      <c r="C4434" s="11">
        <v>102</v>
      </c>
      <c r="D4434" s="9" t="s">
        <v>90</v>
      </c>
      <c r="E4434">
        <v>11</v>
      </c>
      <c r="F4434" s="8">
        <f>VLOOKUP(financials[[#This Row],[productid]],Products!$B$2:$H$10,3)</f>
        <v>15</v>
      </c>
      <c r="G4434" s="8">
        <f>financials[[#This Row],[Units Sold]]*financials[[#This Row],[Sale Price]]</f>
        <v>165</v>
      </c>
      <c r="H4434" s="8">
        <f>IF(financials[[#This Row],[Discount Band]]="low",0.1,IF(financials[[#This Row],[Discount Band]]="medium",0.15,0.3))</f>
        <v>0.15</v>
      </c>
      <c r="I4434" s="8">
        <f>financials[[#This Row],[Gross Sales]]-financials[[#This Row],[Gross Sales]]*financials[[#This Row],[Discounts]]</f>
        <v>140.25</v>
      </c>
      <c r="J4434" s="8">
        <f>VLOOKUP(financials[[#This Row],[productid]],Products!$B$2:$H$10,4)</f>
        <v>13.95</v>
      </c>
      <c r="K4434" s="8">
        <f>financials[[#This Row],[Net Sales]]-financials[[#This Row],[COGS]]</f>
        <v>126.3</v>
      </c>
      <c r="L4434" s="15">
        <v>45357</v>
      </c>
      <c r="M4434" t="s">
        <v>690</v>
      </c>
    </row>
    <row r="4435" spans="1:13" x14ac:dyDescent="0.25">
      <c r="A4435" t="s">
        <v>87</v>
      </c>
      <c r="B4435" s="6" t="s">
        <v>124</v>
      </c>
      <c r="C4435" s="13">
        <v>102</v>
      </c>
      <c r="D4435" s="14" t="s">
        <v>92</v>
      </c>
      <c r="E4435">
        <v>13</v>
      </c>
      <c r="F4435" s="8">
        <f>VLOOKUP(financials[[#This Row],[productid]],Products!$B$2:$H$10,3)</f>
        <v>15</v>
      </c>
      <c r="G4435" s="8">
        <f>financials[[#This Row],[Units Sold]]*financials[[#This Row],[Sale Price]]</f>
        <v>195</v>
      </c>
      <c r="H4435" s="8">
        <f>IF(financials[[#This Row],[Discount Band]]="low",0.1,IF(financials[[#This Row],[Discount Band]]="medium",0.15,0.3))</f>
        <v>0.3</v>
      </c>
      <c r="I4435" s="8">
        <f>financials[[#This Row],[Gross Sales]]-financials[[#This Row],[Gross Sales]]*financials[[#This Row],[Discounts]]</f>
        <v>136.5</v>
      </c>
      <c r="J4435" s="8">
        <f>VLOOKUP(financials[[#This Row],[productid]],Products!$B$2:$H$10,4)</f>
        <v>13.95</v>
      </c>
      <c r="K4435" s="8">
        <f>financials[[#This Row],[Net Sales]]-financials[[#This Row],[COGS]]</f>
        <v>122.55</v>
      </c>
      <c r="L4435" s="15">
        <v>44655</v>
      </c>
      <c r="M4435" t="s">
        <v>690</v>
      </c>
    </row>
    <row r="4436" spans="1:13" x14ac:dyDescent="0.25">
      <c r="A4436" t="s">
        <v>87</v>
      </c>
      <c r="B4436" s="6" t="s">
        <v>124</v>
      </c>
      <c r="C4436" s="13">
        <v>105</v>
      </c>
      <c r="D4436" s="14" t="s">
        <v>83</v>
      </c>
      <c r="E4436">
        <v>7</v>
      </c>
      <c r="F4436" s="8">
        <f>VLOOKUP(financials[[#This Row],[productid]],Products!$B$2:$H$10,3)</f>
        <v>15</v>
      </c>
      <c r="G4436" s="8">
        <f>financials[[#This Row],[Units Sold]]*financials[[#This Row],[Sale Price]]</f>
        <v>105</v>
      </c>
      <c r="H4436" s="8">
        <f>IF(financials[[#This Row],[Discount Band]]="low",0.1,IF(financials[[#This Row],[Discount Band]]="medium",0.15,0.3))</f>
        <v>0.3</v>
      </c>
      <c r="I4436" s="8">
        <f>financials[[#This Row],[Gross Sales]]-financials[[#This Row],[Gross Sales]]*financials[[#This Row],[Discounts]]</f>
        <v>73.5</v>
      </c>
      <c r="J4436" s="8">
        <f>VLOOKUP(financials[[#This Row],[productid]],Products!$B$2:$H$10,4)</f>
        <v>10</v>
      </c>
      <c r="K4436" s="8">
        <f>financials[[#This Row],[Net Sales]]-financials[[#This Row],[COGS]]</f>
        <v>63.5</v>
      </c>
      <c r="L4436" s="15">
        <v>44584</v>
      </c>
      <c r="M4436" t="s">
        <v>696</v>
      </c>
    </row>
    <row r="4437" spans="1:13" x14ac:dyDescent="0.25">
      <c r="A4437" t="s">
        <v>86</v>
      </c>
      <c r="B4437" s="6" t="s">
        <v>84</v>
      </c>
      <c r="C4437" s="11">
        <v>106</v>
      </c>
      <c r="D4437" s="9" t="s">
        <v>90</v>
      </c>
      <c r="E4437">
        <v>11</v>
      </c>
      <c r="F4437" s="8">
        <f>VLOOKUP(financials[[#This Row],[productid]],Products!$B$2:$H$10,3)</f>
        <v>25</v>
      </c>
      <c r="G4437" s="8">
        <f>financials[[#This Row],[Units Sold]]*financials[[#This Row],[Sale Price]]</f>
        <v>275</v>
      </c>
      <c r="H4437" s="8">
        <f>IF(financials[[#This Row],[Discount Band]]="low",0.1,IF(financials[[#This Row],[Discount Band]]="medium",0.15,0.3))</f>
        <v>0.15</v>
      </c>
      <c r="I4437" s="8">
        <f>financials[[#This Row],[Gross Sales]]-financials[[#This Row],[Gross Sales]]*financials[[#This Row],[Discounts]]</f>
        <v>233.75</v>
      </c>
      <c r="J4437" s="8">
        <f>VLOOKUP(financials[[#This Row],[productid]],Products!$B$2:$H$10,4)</f>
        <v>9.1</v>
      </c>
      <c r="K4437" s="8">
        <f>financials[[#This Row],[Net Sales]]-financials[[#This Row],[COGS]]</f>
        <v>224.65</v>
      </c>
      <c r="L4437" s="15">
        <v>44264</v>
      </c>
      <c r="M4437" t="s">
        <v>690</v>
      </c>
    </row>
    <row r="4438" spans="1:13" x14ac:dyDescent="0.25">
      <c r="A4438" t="s">
        <v>87</v>
      </c>
      <c r="B4438" s="6" t="s">
        <v>159</v>
      </c>
      <c r="C4438" s="13">
        <v>109</v>
      </c>
      <c r="D4438" s="14" t="s">
        <v>91</v>
      </c>
      <c r="E4438">
        <v>20</v>
      </c>
      <c r="F4438" s="8">
        <f>VLOOKUP(financials[[#This Row],[productid]],Products!$B$2:$H$10,3)</f>
        <v>36</v>
      </c>
      <c r="G4438" s="8">
        <f>financials[[#This Row],[Units Sold]]*financials[[#This Row],[Sale Price]]</f>
        <v>720</v>
      </c>
      <c r="H4438" s="8">
        <f>IF(financials[[#This Row],[Discount Band]]="low",0.1,IF(financials[[#This Row],[Discount Band]]="medium",0.15,0.3))</f>
        <v>0.1</v>
      </c>
      <c r="I4438" s="8">
        <f>financials[[#This Row],[Gross Sales]]-financials[[#This Row],[Gross Sales]]*financials[[#This Row],[Discounts]]</f>
        <v>648</v>
      </c>
      <c r="J4438" s="8">
        <f>VLOOKUP(financials[[#This Row],[productid]],Products!$B$2:$H$10,4)</f>
        <v>16.8</v>
      </c>
      <c r="K4438" s="8">
        <f>financials[[#This Row],[Net Sales]]-financials[[#This Row],[COGS]]</f>
        <v>631.20000000000005</v>
      </c>
      <c r="L4438" s="15">
        <v>45079</v>
      </c>
      <c r="M4438" t="s">
        <v>690</v>
      </c>
    </row>
    <row r="4439" spans="1:13" x14ac:dyDescent="0.25">
      <c r="A4439" t="s">
        <v>87</v>
      </c>
      <c r="B4439" s="6" t="s">
        <v>124</v>
      </c>
      <c r="C4439" s="13">
        <v>108</v>
      </c>
      <c r="D4439" s="14" t="s">
        <v>91</v>
      </c>
      <c r="E4439">
        <v>20</v>
      </c>
      <c r="F4439" s="8">
        <f>VLOOKUP(financials[[#This Row],[productid]],Products!$B$2:$H$10,3)</f>
        <v>5.5</v>
      </c>
      <c r="G4439" s="8">
        <f>financials[[#This Row],[Units Sold]]*financials[[#This Row],[Sale Price]]</f>
        <v>110</v>
      </c>
      <c r="H4439" s="8">
        <f>IF(financials[[#This Row],[Discount Band]]="low",0.1,IF(financials[[#This Row],[Discount Band]]="medium",0.15,0.3))</f>
        <v>0.1</v>
      </c>
      <c r="I4439" s="8">
        <f>financials[[#This Row],[Gross Sales]]-financials[[#This Row],[Gross Sales]]*financials[[#This Row],[Discounts]]</f>
        <v>99</v>
      </c>
      <c r="J4439" s="8">
        <f>VLOOKUP(financials[[#This Row],[productid]],Products!$B$2:$H$10,4)</f>
        <v>3.99</v>
      </c>
      <c r="K4439" s="8">
        <f>financials[[#This Row],[Net Sales]]-financials[[#This Row],[COGS]]</f>
        <v>95.01</v>
      </c>
      <c r="L4439" s="15">
        <v>45233</v>
      </c>
      <c r="M4439" t="s">
        <v>690</v>
      </c>
    </row>
    <row r="4440" spans="1:13" x14ac:dyDescent="0.25">
      <c r="A4440" t="s">
        <v>88</v>
      </c>
      <c r="B4440" s="6" t="s">
        <v>84</v>
      </c>
      <c r="C4440" s="13">
        <v>105</v>
      </c>
      <c r="D4440" s="14" t="s">
        <v>90</v>
      </c>
      <c r="E4440">
        <v>12</v>
      </c>
      <c r="F4440" s="8">
        <f>VLOOKUP(financials[[#This Row],[productid]],Products!$B$2:$H$10,3)</f>
        <v>15</v>
      </c>
      <c r="G4440" s="8">
        <f>financials[[#This Row],[Units Sold]]*financials[[#This Row],[Sale Price]]</f>
        <v>180</v>
      </c>
      <c r="H4440" s="8">
        <f>IF(financials[[#This Row],[Discount Band]]="low",0.1,IF(financials[[#This Row],[Discount Band]]="medium",0.15,0.3))</f>
        <v>0.15</v>
      </c>
      <c r="I4440" s="8">
        <f>financials[[#This Row],[Gross Sales]]-financials[[#This Row],[Gross Sales]]*financials[[#This Row],[Discounts]]</f>
        <v>153</v>
      </c>
      <c r="J4440" s="8">
        <f>VLOOKUP(financials[[#This Row],[productid]],Products!$B$2:$H$10,4)</f>
        <v>10</v>
      </c>
      <c r="K4440" s="8">
        <f>financials[[#This Row],[Net Sales]]-financials[[#This Row],[COGS]]</f>
        <v>143</v>
      </c>
      <c r="L4440" s="15">
        <v>45185</v>
      </c>
      <c r="M4440" t="s">
        <v>697</v>
      </c>
    </row>
    <row r="4441" spans="1:13" x14ac:dyDescent="0.25">
      <c r="A4441" t="s">
        <v>88</v>
      </c>
      <c r="B4441" s="6" t="s">
        <v>84</v>
      </c>
      <c r="C4441" s="11">
        <v>105</v>
      </c>
      <c r="D4441" s="9" t="s">
        <v>83</v>
      </c>
      <c r="E4441">
        <v>9</v>
      </c>
      <c r="F4441" s="8">
        <f>VLOOKUP(financials[[#This Row],[productid]],Products!$B$2:$H$10,3)</f>
        <v>15</v>
      </c>
      <c r="G4441" s="8">
        <f>financials[[#This Row],[Units Sold]]*financials[[#This Row],[Sale Price]]</f>
        <v>135</v>
      </c>
      <c r="H4441" s="8">
        <f>IF(financials[[#This Row],[Discount Band]]="low",0.1,IF(financials[[#This Row],[Discount Band]]="medium",0.15,0.3))</f>
        <v>0.3</v>
      </c>
      <c r="I4441" s="8">
        <f>financials[[#This Row],[Gross Sales]]-financials[[#This Row],[Gross Sales]]*financials[[#This Row],[Discounts]]</f>
        <v>94.5</v>
      </c>
      <c r="J4441" s="8">
        <f>VLOOKUP(financials[[#This Row],[productid]],Products!$B$2:$H$10,4)</f>
        <v>10</v>
      </c>
      <c r="K4441" s="8">
        <f>financials[[#This Row],[Net Sales]]-financials[[#This Row],[COGS]]</f>
        <v>84.5</v>
      </c>
      <c r="L4441" s="15">
        <v>44661</v>
      </c>
      <c r="M4441" t="s">
        <v>691</v>
      </c>
    </row>
    <row r="4442" spans="1:13" x14ac:dyDescent="0.25">
      <c r="A4442" t="s">
        <v>88</v>
      </c>
      <c r="B4442" s="6" t="s">
        <v>159</v>
      </c>
      <c r="C4442" s="13">
        <v>101</v>
      </c>
      <c r="D4442" s="14" t="s">
        <v>92</v>
      </c>
      <c r="E4442">
        <v>6</v>
      </c>
      <c r="F4442" s="8">
        <f>VLOOKUP(financials[[#This Row],[productid]],Products!$B$2:$H$10,3)</f>
        <v>23</v>
      </c>
      <c r="G4442" s="8">
        <f>financials[[#This Row],[Units Sold]]*financials[[#This Row],[Sale Price]]</f>
        <v>138</v>
      </c>
      <c r="H4442" s="8">
        <f>IF(financials[[#This Row],[Discount Band]]="low",0.1,IF(financials[[#This Row],[Discount Band]]="medium",0.15,0.3))</f>
        <v>0.3</v>
      </c>
      <c r="I4442" s="8">
        <f>financials[[#This Row],[Gross Sales]]-financials[[#This Row],[Gross Sales]]*financials[[#This Row],[Discounts]]</f>
        <v>96.6</v>
      </c>
      <c r="J4442" s="8">
        <f>VLOOKUP(financials[[#This Row],[productid]],Products!$B$2:$H$10,4)</f>
        <v>9.9499999999999993</v>
      </c>
      <c r="K4442" s="8">
        <f>financials[[#This Row],[Net Sales]]-financials[[#This Row],[COGS]]</f>
        <v>86.649999999999991</v>
      </c>
      <c r="L4442" s="15">
        <v>45628</v>
      </c>
      <c r="M4442" t="s">
        <v>697</v>
      </c>
    </row>
    <row r="4443" spans="1:13" x14ac:dyDescent="0.25">
      <c r="A4443" t="s">
        <v>87</v>
      </c>
      <c r="B4443" s="6" t="s">
        <v>124</v>
      </c>
      <c r="C4443" s="13">
        <v>102</v>
      </c>
      <c r="D4443" s="14" t="s">
        <v>90</v>
      </c>
      <c r="E4443">
        <v>18</v>
      </c>
      <c r="F4443" s="8">
        <f>VLOOKUP(financials[[#This Row],[productid]],Products!$B$2:$H$10,3)</f>
        <v>15</v>
      </c>
      <c r="G4443" s="8">
        <f>financials[[#This Row],[Units Sold]]*financials[[#This Row],[Sale Price]]</f>
        <v>270</v>
      </c>
      <c r="H4443" s="8">
        <f>IF(financials[[#This Row],[Discount Band]]="low",0.1,IF(financials[[#This Row],[Discount Band]]="medium",0.15,0.3))</f>
        <v>0.15</v>
      </c>
      <c r="I4443" s="8">
        <f>financials[[#This Row],[Gross Sales]]-financials[[#This Row],[Gross Sales]]*financials[[#This Row],[Discounts]]</f>
        <v>229.5</v>
      </c>
      <c r="J4443" s="8">
        <f>VLOOKUP(financials[[#This Row],[productid]],Products!$B$2:$H$10,4)</f>
        <v>13.95</v>
      </c>
      <c r="K4443" s="8">
        <f>financials[[#This Row],[Net Sales]]-financials[[#This Row],[COGS]]</f>
        <v>215.55</v>
      </c>
      <c r="L4443" s="15">
        <v>45376</v>
      </c>
      <c r="M4443" t="s">
        <v>697</v>
      </c>
    </row>
    <row r="4444" spans="1:13" x14ac:dyDescent="0.25">
      <c r="A4444" t="s">
        <v>87</v>
      </c>
      <c r="B4444" s="6" t="s">
        <v>124</v>
      </c>
      <c r="C4444" s="13">
        <v>106</v>
      </c>
      <c r="D4444" s="14" t="s">
        <v>83</v>
      </c>
      <c r="E4444">
        <v>10</v>
      </c>
      <c r="F4444" s="8">
        <f>VLOOKUP(financials[[#This Row],[productid]],Products!$B$2:$H$10,3)</f>
        <v>25</v>
      </c>
      <c r="G4444" s="8">
        <f>financials[[#This Row],[Units Sold]]*financials[[#This Row],[Sale Price]]</f>
        <v>250</v>
      </c>
      <c r="H4444" s="8">
        <f>IF(financials[[#This Row],[Discount Band]]="low",0.1,IF(financials[[#This Row],[Discount Band]]="medium",0.15,0.3))</f>
        <v>0.3</v>
      </c>
      <c r="I4444" s="8">
        <f>financials[[#This Row],[Gross Sales]]-financials[[#This Row],[Gross Sales]]*financials[[#This Row],[Discounts]]</f>
        <v>175</v>
      </c>
      <c r="J4444" s="8">
        <f>VLOOKUP(financials[[#This Row],[productid]],Products!$B$2:$H$10,4)</f>
        <v>9.1</v>
      </c>
      <c r="K4444" s="8">
        <f>financials[[#This Row],[Net Sales]]-financials[[#This Row],[COGS]]</f>
        <v>165.9</v>
      </c>
      <c r="L4444" s="15">
        <v>44125</v>
      </c>
      <c r="M4444" t="s">
        <v>690</v>
      </c>
    </row>
    <row r="4445" spans="1:13" x14ac:dyDescent="0.25">
      <c r="A4445" t="s">
        <v>87</v>
      </c>
      <c r="B4445" s="6" t="s">
        <v>159</v>
      </c>
      <c r="C4445" s="13">
        <v>108</v>
      </c>
      <c r="D4445" s="14" t="s">
        <v>92</v>
      </c>
      <c r="E4445">
        <v>8</v>
      </c>
      <c r="F4445" s="8">
        <f>VLOOKUP(financials[[#This Row],[productid]],Products!$B$2:$H$10,3)</f>
        <v>5.5</v>
      </c>
      <c r="G4445" s="8">
        <f>financials[[#This Row],[Units Sold]]*financials[[#This Row],[Sale Price]]</f>
        <v>44</v>
      </c>
      <c r="H4445" s="8">
        <f>IF(financials[[#This Row],[Discount Band]]="low",0.1,IF(financials[[#This Row],[Discount Band]]="medium",0.15,0.3))</f>
        <v>0.3</v>
      </c>
      <c r="I4445" s="8">
        <f>financials[[#This Row],[Gross Sales]]-financials[[#This Row],[Gross Sales]]*financials[[#This Row],[Discounts]]</f>
        <v>30.8</v>
      </c>
      <c r="J4445" s="8">
        <f>VLOOKUP(financials[[#This Row],[productid]],Products!$B$2:$H$10,4)</f>
        <v>3.99</v>
      </c>
      <c r="K4445" s="8">
        <f>financials[[#This Row],[Net Sales]]-financials[[#This Row],[COGS]]</f>
        <v>26.810000000000002</v>
      </c>
      <c r="L4445" s="15">
        <v>45249</v>
      </c>
      <c r="M4445" t="s">
        <v>696</v>
      </c>
    </row>
    <row r="4446" spans="1:13" x14ac:dyDescent="0.25">
      <c r="A4446" t="s">
        <v>86</v>
      </c>
      <c r="B4446" s="6" t="s">
        <v>84</v>
      </c>
      <c r="C4446" s="13">
        <v>102</v>
      </c>
      <c r="D4446" s="14" t="s">
        <v>83</v>
      </c>
      <c r="E4446">
        <v>6</v>
      </c>
      <c r="F4446" s="8">
        <f>VLOOKUP(financials[[#This Row],[productid]],Products!$B$2:$H$10,3)</f>
        <v>15</v>
      </c>
      <c r="G4446" s="8">
        <f>financials[[#This Row],[Units Sold]]*financials[[#This Row],[Sale Price]]</f>
        <v>90</v>
      </c>
      <c r="H4446" s="8">
        <f>IF(financials[[#This Row],[Discount Band]]="low",0.1,IF(financials[[#This Row],[Discount Band]]="medium",0.15,0.3))</f>
        <v>0.3</v>
      </c>
      <c r="I4446" s="8">
        <f>financials[[#This Row],[Gross Sales]]-financials[[#This Row],[Gross Sales]]*financials[[#This Row],[Discounts]]</f>
        <v>63</v>
      </c>
      <c r="J4446" s="8">
        <f>VLOOKUP(financials[[#This Row],[productid]],Products!$B$2:$H$10,4)</f>
        <v>13.95</v>
      </c>
      <c r="K4446" s="8">
        <f>financials[[#This Row],[Net Sales]]-financials[[#This Row],[COGS]]</f>
        <v>49.05</v>
      </c>
      <c r="L4446" s="15">
        <v>45191</v>
      </c>
      <c r="M4446" t="s">
        <v>700</v>
      </c>
    </row>
    <row r="4447" spans="1:13" x14ac:dyDescent="0.25">
      <c r="A4447" t="s">
        <v>86</v>
      </c>
      <c r="B4447" s="6" t="s">
        <v>84</v>
      </c>
      <c r="C4447" s="13">
        <v>101</v>
      </c>
      <c r="D4447" s="14" t="s">
        <v>90</v>
      </c>
      <c r="E4447">
        <v>15</v>
      </c>
      <c r="F4447" s="8">
        <f>VLOOKUP(financials[[#This Row],[productid]],Products!$B$2:$H$10,3)</f>
        <v>23</v>
      </c>
      <c r="G4447" s="8">
        <f>financials[[#This Row],[Units Sold]]*financials[[#This Row],[Sale Price]]</f>
        <v>345</v>
      </c>
      <c r="H4447" s="8">
        <f>IF(financials[[#This Row],[Discount Band]]="low",0.1,IF(financials[[#This Row],[Discount Band]]="medium",0.15,0.3))</f>
        <v>0.15</v>
      </c>
      <c r="I4447" s="8">
        <f>financials[[#This Row],[Gross Sales]]-financials[[#This Row],[Gross Sales]]*financials[[#This Row],[Discounts]]</f>
        <v>293.25</v>
      </c>
      <c r="J4447" s="8">
        <f>VLOOKUP(financials[[#This Row],[productid]],Products!$B$2:$H$10,4)</f>
        <v>9.9499999999999993</v>
      </c>
      <c r="K4447" s="8">
        <f>financials[[#This Row],[Net Sales]]-financials[[#This Row],[COGS]]</f>
        <v>283.3</v>
      </c>
      <c r="L4447" s="15">
        <v>45337</v>
      </c>
      <c r="M4447" t="s">
        <v>690</v>
      </c>
    </row>
    <row r="4448" spans="1:13" x14ac:dyDescent="0.25">
      <c r="A4448" t="s">
        <v>87</v>
      </c>
      <c r="B4448" s="6" t="s">
        <v>124</v>
      </c>
      <c r="C4448" s="11">
        <v>107</v>
      </c>
      <c r="D4448" s="9" t="s">
        <v>91</v>
      </c>
      <c r="E4448">
        <v>10</v>
      </c>
      <c r="F4448" s="8">
        <f>VLOOKUP(financials[[#This Row],[productid]],Products!$B$2:$H$10,3)</f>
        <v>15</v>
      </c>
      <c r="G4448" s="8">
        <f>financials[[#This Row],[Units Sold]]*financials[[#This Row],[Sale Price]]</f>
        <v>150</v>
      </c>
      <c r="H4448" s="8">
        <f>IF(financials[[#This Row],[Discount Band]]="low",0.1,IF(financials[[#This Row],[Discount Band]]="medium",0.15,0.3))</f>
        <v>0.1</v>
      </c>
      <c r="I4448" s="8">
        <f>financials[[#This Row],[Gross Sales]]-financials[[#This Row],[Gross Sales]]*financials[[#This Row],[Discounts]]</f>
        <v>135</v>
      </c>
      <c r="J4448" s="8">
        <f>VLOOKUP(financials[[#This Row],[productid]],Products!$B$2:$H$10,4)</f>
        <v>5.5</v>
      </c>
      <c r="K4448" s="8">
        <f>financials[[#This Row],[Net Sales]]-financials[[#This Row],[COGS]]</f>
        <v>129.5</v>
      </c>
      <c r="L4448" s="15">
        <v>43970</v>
      </c>
      <c r="M4448" t="s">
        <v>691</v>
      </c>
    </row>
    <row r="4449" spans="1:13" x14ac:dyDescent="0.25">
      <c r="A4449" t="s">
        <v>87</v>
      </c>
      <c r="B4449" s="6" t="s">
        <v>124</v>
      </c>
      <c r="C4449" s="11">
        <v>101</v>
      </c>
      <c r="D4449" s="9" t="s">
        <v>91</v>
      </c>
      <c r="E4449">
        <v>16</v>
      </c>
      <c r="F4449" s="8">
        <f>VLOOKUP(financials[[#This Row],[productid]],Products!$B$2:$H$10,3)</f>
        <v>23</v>
      </c>
      <c r="G4449" s="8">
        <f>financials[[#This Row],[Units Sold]]*financials[[#This Row],[Sale Price]]</f>
        <v>368</v>
      </c>
      <c r="H4449" s="8">
        <f>IF(financials[[#This Row],[Discount Band]]="low",0.1,IF(financials[[#This Row],[Discount Band]]="medium",0.15,0.3))</f>
        <v>0.1</v>
      </c>
      <c r="I4449" s="8">
        <f>financials[[#This Row],[Gross Sales]]-financials[[#This Row],[Gross Sales]]*financials[[#This Row],[Discounts]]</f>
        <v>331.2</v>
      </c>
      <c r="J4449" s="8">
        <f>VLOOKUP(financials[[#This Row],[productid]],Products!$B$2:$H$10,4)</f>
        <v>9.9499999999999993</v>
      </c>
      <c r="K4449" s="8">
        <f>financials[[#This Row],[Net Sales]]-financials[[#This Row],[COGS]]</f>
        <v>321.25</v>
      </c>
      <c r="L4449" s="15">
        <v>44342</v>
      </c>
      <c r="M4449" t="s">
        <v>697</v>
      </c>
    </row>
    <row r="4450" spans="1:13" x14ac:dyDescent="0.25">
      <c r="A4450" t="s">
        <v>87</v>
      </c>
      <c r="B4450" s="6" t="s">
        <v>159</v>
      </c>
      <c r="C4450" s="13">
        <v>103</v>
      </c>
      <c r="D4450" s="14" t="s">
        <v>91</v>
      </c>
      <c r="E4450">
        <v>9</v>
      </c>
      <c r="F4450" s="8">
        <f>VLOOKUP(financials[[#This Row],[productid]],Products!$B$2:$H$10,3)</f>
        <v>28</v>
      </c>
      <c r="G4450" s="8">
        <f>financials[[#This Row],[Units Sold]]*financials[[#This Row],[Sale Price]]</f>
        <v>252</v>
      </c>
      <c r="H4450" s="8">
        <f>IF(financials[[#This Row],[Discount Band]]="low",0.1,IF(financials[[#This Row],[Discount Band]]="medium",0.15,0.3))</f>
        <v>0.1</v>
      </c>
      <c r="I4450" s="8">
        <f>financials[[#This Row],[Gross Sales]]-financials[[#This Row],[Gross Sales]]*financials[[#This Row],[Discounts]]</f>
        <v>226.8</v>
      </c>
      <c r="J4450" s="8">
        <f>VLOOKUP(financials[[#This Row],[productid]],Products!$B$2:$H$10,4)</f>
        <v>15</v>
      </c>
      <c r="K4450" s="8">
        <f>financials[[#This Row],[Net Sales]]-financials[[#This Row],[COGS]]</f>
        <v>211.8</v>
      </c>
      <c r="L4450" s="15">
        <v>44657</v>
      </c>
      <c r="M4450" t="s">
        <v>691</v>
      </c>
    </row>
    <row r="4451" spans="1:13" x14ac:dyDescent="0.25">
      <c r="A4451" t="s">
        <v>86</v>
      </c>
      <c r="B4451" s="6" t="s">
        <v>159</v>
      </c>
      <c r="C4451" s="13">
        <v>102</v>
      </c>
      <c r="D4451" s="14" t="s">
        <v>92</v>
      </c>
      <c r="E4451">
        <v>6</v>
      </c>
      <c r="F4451" s="8">
        <f>VLOOKUP(financials[[#This Row],[productid]],Products!$B$2:$H$10,3)</f>
        <v>15</v>
      </c>
      <c r="G4451" s="8">
        <f>financials[[#This Row],[Units Sold]]*financials[[#This Row],[Sale Price]]</f>
        <v>90</v>
      </c>
      <c r="H4451" s="8">
        <f>IF(financials[[#This Row],[Discount Band]]="low",0.1,IF(financials[[#This Row],[Discount Band]]="medium",0.15,0.3))</f>
        <v>0.3</v>
      </c>
      <c r="I4451" s="8">
        <f>financials[[#This Row],[Gross Sales]]-financials[[#This Row],[Gross Sales]]*financials[[#This Row],[Discounts]]</f>
        <v>63</v>
      </c>
      <c r="J4451" s="8">
        <f>VLOOKUP(financials[[#This Row],[productid]],Products!$B$2:$H$10,4)</f>
        <v>13.95</v>
      </c>
      <c r="K4451" s="8">
        <f>financials[[#This Row],[Net Sales]]-financials[[#This Row],[COGS]]</f>
        <v>49.05</v>
      </c>
      <c r="L4451" s="15">
        <v>44192</v>
      </c>
      <c r="M4451" t="s">
        <v>700</v>
      </c>
    </row>
    <row r="4452" spans="1:13" x14ac:dyDescent="0.25">
      <c r="A4452" t="s">
        <v>86</v>
      </c>
      <c r="B4452" s="6" t="s">
        <v>84</v>
      </c>
      <c r="C4452" s="13">
        <v>109</v>
      </c>
      <c r="D4452" s="14" t="s">
        <v>91</v>
      </c>
      <c r="E4452">
        <v>13</v>
      </c>
      <c r="F4452" s="8">
        <f>VLOOKUP(financials[[#This Row],[productid]],Products!$B$2:$H$10,3)</f>
        <v>36</v>
      </c>
      <c r="G4452" s="8">
        <f>financials[[#This Row],[Units Sold]]*financials[[#This Row],[Sale Price]]</f>
        <v>468</v>
      </c>
      <c r="H4452" s="8">
        <f>IF(financials[[#This Row],[Discount Band]]="low",0.1,IF(financials[[#This Row],[Discount Band]]="medium",0.15,0.3))</f>
        <v>0.1</v>
      </c>
      <c r="I4452" s="8">
        <f>financials[[#This Row],[Gross Sales]]-financials[[#This Row],[Gross Sales]]*financials[[#This Row],[Discounts]]</f>
        <v>421.2</v>
      </c>
      <c r="J4452" s="8">
        <f>VLOOKUP(financials[[#This Row],[productid]],Products!$B$2:$H$10,4)</f>
        <v>16.8</v>
      </c>
      <c r="K4452" s="8">
        <f>financials[[#This Row],[Net Sales]]-financials[[#This Row],[COGS]]</f>
        <v>404.4</v>
      </c>
      <c r="L4452" s="15">
        <v>44601</v>
      </c>
      <c r="M4452" t="s">
        <v>697</v>
      </c>
    </row>
    <row r="4453" spans="1:13" x14ac:dyDescent="0.25">
      <c r="A4453" t="s">
        <v>87</v>
      </c>
      <c r="B4453" s="6" t="s">
        <v>159</v>
      </c>
      <c r="C4453" s="11">
        <v>108</v>
      </c>
      <c r="D4453" s="9" t="s">
        <v>83</v>
      </c>
      <c r="E4453">
        <v>10</v>
      </c>
      <c r="F4453" s="8">
        <f>VLOOKUP(financials[[#This Row],[productid]],Products!$B$2:$H$10,3)</f>
        <v>5.5</v>
      </c>
      <c r="G4453" s="8">
        <f>financials[[#This Row],[Units Sold]]*financials[[#This Row],[Sale Price]]</f>
        <v>55</v>
      </c>
      <c r="H4453" s="8">
        <f>IF(financials[[#This Row],[Discount Band]]="low",0.1,IF(financials[[#This Row],[Discount Band]]="medium",0.15,0.3))</f>
        <v>0.3</v>
      </c>
      <c r="I4453" s="8">
        <f>financials[[#This Row],[Gross Sales]]-financials[[#This Row],[Gross Sales]]*financials[[#This Row],[Discounts]]</f>
        <v>38.5</v>
      </c>
      <c r="J4453" s="8">
        <f>VLOOKUP(financials[[#This Row],[productid]],Products!$B$2:$H$10,4)</f>
        <v>3.99</v>
      </c>
      <c r="K4453" s="8">
        <f>financials[[#This Row],[Net Sales]]-financials[[#This Row],[COGS]]</f>
        <v>34.51</v>
      </c>
      <c r="L4453" s="15">
        <v>44494</v>
      </c>
      <c r="M4453" t="s">
        <v>690</v>
      </c>
    </row>
    <row r="4454" spans="1:13" x14ac:dyDescent="0.25">
      <c r="A4454" t="s">
        <v>88</v>
      </c>
      <c r="B4454" s="6" t="s">
        <v>84</v>
      </c>
      <c r="C4454" s="11">
        <v>107</v>
      </c>
      <c r="D4454" s="9" t="s">
        <v>83</v>
      </c>
      <c r="E4454">
        <v>6</v>
      </c>
      <c r="F4454" s="8">
        <f>VLOOKUP(financials[[#This Row],[productid]],Products!$B$2:$H$10,3)</f>
        <v>15</v>
      </c>
      <c r="G4454" s="8">
        <f>financials[[#This Row],[Units Sold]]*financials[[#This Row],[Sale Price]]</f>
        <v>90</v>
      </c>
      <c r="H4454" s="8">
        <f>IF(financials[[#This Row],[Discount Band]]="low",0.1,IF(financials[[#This Row],[Discount Band]]="medium",0.15,0.3))</f>
        <v>0.3</v>
      </c>
      <c r="I4454" s="8">
        <f>financials[[#This Row],[Gross Sales]]-financials[[#This Row],[Gross Sales]]*financials[[#This Row],[Discounts]]</f>
        <v>63</v>
      </c>
      <c r="J4454" s="8">
        <f>VLOOKUP(financials[[#This Row],[productid]],Products!$B$2:$H$10,4)</f>
        <v>5.5</v>
      </c>
      <c r="K4454" s="8">
        <f>financials[[#This Row],[Net Sales]]-financials[[#This Row],[COGS]]</f>
        <v>57.5</v>
      </c>
      <c r="L4454" s="15">
        <v>44513</v>
      </c>
      <c r="M4454" t="s">
        <v>697</v>
      </c>
    </row>
    <row r="4455" spans="1:13" x14ac:dyDescent="0.25">
      <c r="A4455" t="s">
        <v>88</v>
      </c>
      <c r="B4455" s="6" t="s">
        <v>159</v>
      </c>
      <c r="C4455" s="13">
        <v>104</v>
      </c>
      <c r="D4455" s="14" t="s">
        <v>90</v>
      </c>
      <c r="E4455">
        <v>15</v>
      </c>
      <c r="F4455" s="8">
        <f>VLOOKUP(financials[[#This Row],[productid]],Products!$B$2:$H$10,3)</f>
        <v>5.9</v>
      </c>
      <c r="G4455" s="8">
        <f>financials[[#This Row],[Units Sold]]*financials[[#This Row],[Sale Price]]</f>
        <v>88.5</v>
      </c>
      <c r="H4455" s="8">
        <f>IF(financials[[#This Row],[Discount Band]]="low",0.1,IF(financials[[#This Row],[Discount Band]]="medium",0.15,0.3))</f>
        <v>0.15</v>
      </c>
      <c r="I4455" s="8">
        <f>financials[[#This Row],[Gross Sales]]-financials[[#This Row],[Gross Sales]]*financials[[#This Row],[Discounts]]</f>
        <v>75.224999999999994</v>
      </c>
      <c r="J4455" s="8">
        <f>VLOOKUP(financials[[#This Row],[productid]],Products!$B$2:$H$10,4)</f>
        <v>2.9</v>
      </c>
      <c r="K4455" s="8">
        <f>financials[[#This Row],[Net Sales]]-financials[[#This Row],[COGS]]</f>
        <v>72.324999999999989</v>
      </c>
      <c r="L4455" s="15">
        <v>45408</v>
      </c>
      <c r="M4455" t="s">
        <v>691</v>
      </c>
    </row>
    <row r="4456" spans="1:13" x14ac:dyDescent="0.25">
      <c r="A4456" t="s">
        <v>88</v>
      </c>
      <c r="B4456" s="6" t="s">
        <v>84</v>
      </c>
      <c r="C4456" s="13">
        <v>102</v>
      </c>
      <c r="D4456" s="14" t="s">
        <v>83</v>
      </c>
      <c r="E4456">
        <v>13</v>
      </c>
      <c r="F4456" s="8">
        <f>VLOOKUP(financials[[#This Row],[productid]],Products!$B$2:$H$10,3)</f>
        <v>15</v>
      </c>
      <c r="G4456" s="8">
        <f>financials[[#This Row],[Units Sold]]*financials[[#This Row],[Sale Price]]</f>
        <v>195</v>
      </c>
      <c r="H4456" s="8">
        <f>IF(financials[[#This Row],[Discount Band]]="low",0.1,IF(financials[[#This Row],[Discount Band]]="medium",0.15,0.3))</f>
        <v>0.3</v>
      </c>
      <c r="I4456" s="8">
        <f>financials[[#This Row],[Gross Sales]]-financials[[#This Row],[Gross Sales]]*financials[[#This Row],[Discounts]]</f>
        <v>136.5</v>
      </c>
      <c r="J4456" s="8">
        <f>VLOOKUP(financials[[#This Row],[productid]],Products!$B$2:$H$10,4)</f>
        <v>13.95</v>
      </c>
      <c r="K4456" s="8">
        <f>financials[[#This Row],[Net Sales]]-financials[[#This Row],[COGS]]</f>
        <v>122.55</v>
      </c>
      <c r="L4456" s="15">
        <v>43914</v>
      </c>
      <c r="M4456" t="s">
        <v>700</v>
      </c>
    </row>
    <row r="4457" spans="1:13" x14ac:dyDescent="0.25">
      <c r="A4457" t="s">
        <v>88</v>
      </c>
      <c r="B4457" s="6" t="s">
        <v>124</v>
      </c>
      <c r="C4457" s="13">
        <v>104</v>
      </c>
      <c r="D4457" s="14" t="s">
        <v>83</v>
      </c>
      <c r="E4457">
        <v>5</v>
      </c>
      <c r="F4457" s="8">
        <f>VLOOKUP(financials[[#This Row],[productid]],Products!$B$2:$H$10,3)</f>
        <v>5.9</v>
      </c>
      <c r="G4457" s="8">
        <f>financials[[#This Row],[Units Sold]]*financials[[#This Row],[Sale Price]]</f>
        <v>29.5</v>
      </c>
      <c r="H4457" s="8">
        <f>IF(financials[[#This Row],[Discount Band]]="low",0.1,IF(financials[[#This Row],[Discount Band]]="medium",0.15,0.3))</f>
        <v>0.3</v>
      </c>
      <c r="I4457" s="8">
        <f>financials[[#This Row],[Gross Sales]]-financials[[#This Row],[Gross Sales]]*financials[[#This Row],[Discounts]]</f>
        <v>20.65</v>
      </c>
      <c r="J4457" s="8">
        <f>VLOOKUP(financials[[#This Row],[productid]],Products!$B$2:$H$10,4)</f>
        <v>2.9</v>
      </c>
      <c r="K4457" s="8">
        <f>financials[[#This Row],[Net Sales]]-financials[[#This Row],[COGS]]</f>
        <v>17.75</v>
      </c>
      <c r="L4457" s="15">
        <v>44674</v>
      </c>
      <c r="M4457" t="s">
        <v>691</v>
      </c>
    </row>
    <row r="4458" spans="1:13" x14ac:dyDescent="0.25">
      <c r="A4458" t="s">
        <v>88</v>
      </c>
      <c r="B4458" s="6" t="s">
        <v>159</v>
      </c>
      <c r="C4458" s="13">
        <v>109</v>
      </c>
      <c r="D4458" s="14" t="s">
        <v>83</v>
      </c>
      <c r="E4458">
        <v>7</v>
      </c>
      <c r="F4458" s="8">
        <f>VLOOKUP(financials[[#This Row],[productid]],Products!$B$2:$H$10,3)</f>
        <v>36</v>
      </c>
      <c r="G4458" s="8">
        <f>financials[[#This Row],[Units Sold]]*financials[[#This Row],[Sale Price]]</f>
        <v>252</v>
      </c>
      <c r="H4458" s="8">
        <f>IF(financials[[#This Row],[Discount Band]]="low",0.1,IF(financials[[#This Row],[Discount Band]]="medium",0.15,0.3))</f>
        <v>0.3</v>
      </c>
      <c r="I4458" s="8">
        <f>financials[[#This Row],[Gross Sales]]-financials[[#This Row],[Gross Sales]]*financials[[#This Row],[Discounts]]</f>
        <v>176.4</v>
      </c>
      <c r="J4458" s="8">
        <f>VLOOKUP(financials[[#This Row],[productid]],Products!$B$2:$H$10,4)</f>
        <v>16.8</v>
      </c>
      <c r="K4458" s="8">
        <f>financials[[#This Row],[Net Sales]]-financials[[#This Row],[COGS]]</f>
        <v>159.6</v>
      </c>
      <c r="L4458" s="15">
        <v>44723</v>
      </c>
      <c r="M4458" t="s">
        <v>690</v>
      </c>
    </row>
    <row r="4459" spans="1:13" x14ac:dyDescent="0.25">
      <c r="A4459" t="s">
        <v>87</v>
      </c>
      <c r="B4459" s="6" t="s">
        <v>124</v>
      </c>
      <c r="C4459" s="13">
        <v>103</v>
      </c>
      <c r="D4459" s="14" t="s">
        <v>83</v>
      </c>
      <c r="E4459">
        <v>17</v>
      </c>
      <c r="F4459" s="8">
        <f>VLOOKUP(financials[[#This Row],[productid]],Products!$B$2:$H$10,3)</f>
        <v>28</v>
      </c>
      <c r="G4459" s="8">
        <f>financials[[#This Row],[Units Sold]]*financials[[#This Row],[Sale Price]]</f>
        <v>476</v>
      </c>
      <c r="H4459" s="8">
        <f>IF(financials[[#This Row],[Discount Band]]="low",0.1,IF(financials[[#This Row],[Discount Band]]="medium",0.15,0.3))</f>
        <v>0.3</v>
      </c>
      <c r="I4459" s="8">
        <f>financials[[#This Row],[Gross Sales]]-financials[[#This Row],[Gross Sales]]*financials[[#This Row],[Discounts]]</f>
        <v>333.20000000000005</v>
      </c>
      <c r="J4459" s="8">
        <f>VLOOKUP(financials[[#This Row],[productid]],Products!$B$2:$H$10,4)</f>
        <v>15</v>
      </c>
      <c r="K4459" s="8">
        <f>financials[[#This Row],[Net Sales]]-financials[[#This Row],[COGS]]</f>
        <v>318.20000000000005</v>
      </c>
      <c r="L4459" s="15">
        <v>43933</v>
      </c>
      <c r="M4459" t="s">
        <v>697</v>
      </c>
    </row>
    <row r="4460" spans="1:13" x14ac:dyDescent="0.25">
      <c r="A4460" t="s">
        <v>87</v>
      </c>
      <c r="B4460" s="6" t="s">
        <v>159</v>
      </c>
      <c r="C4460" s="13">
        <v>107</v>
      </c>
      <c r="D4460" s="14" t="s">
        <v>83</v>
      </c>
      <c r="E4460">
        <v>12</v>
      </c>
      <c r="F4460" s="8">
        <f>VLOOKUP(financials[[#This Row],[productid]],Products!$B$2:$H$10,3)</f>
        <v>15</v>
      </c>
      <c r="G4460" s="8">
        <f>financials[[#This Row],[Units Sold]]*financials[[#This Row],[Sale Price]]</f>
        <v>180</v>
      </c>
      <c r="H4460" s="8">
        <f>IF(financials[[#This Row],[Discount Band]]="low",0.1,IF(financials[[#This Row],[Discount Band]]="medium",0.15,0.3))</f>
        <v>0.3</v>
      </c>
      <c r="I4460" s="8">
        <f>financials[[#This Row],[Gross Sales]]-financials[[#This Row],[Gross Sales]]*financials[[#This Row],[Discounts]]</f>
        <v>126</v>
      </c>
      <c r="J4460" s="8">
        <f>VLOOKUP(financials[[#This Row],[productid]],Products!$B$2:$H$10,4)</f>
        <v>5.5</v>
      </c>
      <c r="K4460" s="8">
        <f>financials[[#This Row],[Net Sales]]-financials[[#This Row],[COGS]]</f>
        <v>120.5</v>
      </c>
      <c r="L4460" s="15">
        <v>45400</v>
      </c>
      <c r="M4460" t="s">
        <v>697</v>
      </c>
    </row>
    <row r="4461" spans="1:13" x14ac:dyDescent="0.25">
      <c r="A4461" t="s">
        <v>86</v>
      </c>
      <c r="B4461" s="6" t="s">
        <v>84</v>
      </c>
      <c r="C4461" s="13">
        <v>102</v>
      </c>
      <c r="D4461" s="14" t="s">
        <v>90</v>
      </c>
      <c r="E4461">
        <v>13</v>
      </c>
      <c r="F4461" s="8">
        <f>VLOOKUP(financials[[#This Row],[productid]],Products!$B$2:$H$10,3)</f>
        <v>15</v>
      </c>
      <c r="G4461" s="8">
        <f>financials[[#This Row],[Units Sold]]*financials[[#This Row],[Sale Price]]</f>
        <v>195</v>
      </c>
      <c r="H4461" s="8">
        <f>IF(financials[[#This Row],[Discount Band]]="low",0.1,IF(financials[[#This Row],[Discount Band]]="medium",0.15,0.3))</f>
        <v>0.15</v>
      </c>
      <c r="I4461" s="8">
        <f>financials[[#This Row],[Gross Sales]]-financials[[#This Row],[Gross Sales]]*financials[[#This Row],[Discounts]]</f>
        <v>165.75</v>
      </c>
      <c r="J4461" s="8">
        <f>VLOOKUP(financials[[#This Row],[productid]],Products!$B$2:$H$10,4)</f>
        <v>13.95</v>
      </c>
      <c r="K4461" s="8">
        <f>financials[[#This Row],[Net Sales]]-financials[[#This Row],[COGS]]</f>
        <v>151.80000000000001</v>
      </c>
      <c r="L4461" s="15">
        <v>44489</v>
      </c>
      <c r="M4461" t="s">
        <v>690</v>
      </c>
    </row>
    <row r="4462" spans="1:13" x14ac:dyDescent="0.25">
      <c r="A4462" t="s">
        <v>86</v>
      </c>
      <c r="B4462" s="6" t="s">
        <v>84</v>
      </c>
      <c r="C4462" s="13">
        <v>107</v>
      </c>
      <c r="D4462" s="14" t="s">
        <v>83</v>
      </c>
      <c r="E4462">
        <v>13</v>
      </c>
      <c r="F4462" s="8">
        <f>VLOOKUP(financials[[#This Row],[productid]],Products!$B$2:$H$10,3)</f>
        <v>15</v>
      </c>
      <c r="G4462" s="8">
        <f>financials[[#This Row],[Units Sold]]*financials[[#This Row],[Sale Price]]</f>
        <v>195</v>
      </c>
      <c r="H4462" s="8">
        <f>IF(financials[[#This Row],[Discount Band]]="low",0.1,IF(financials[[#This Row],[Discount Band]]="medium",0.15,0.3))</f>
        <v>0.3</v>
      </c>
      <c r="I4462" s="8">
        <f>financials[[#This Row],[Gross Sales]]-financials[[#This Row],[Gross Sales]]*financials[[#This Row],[Discounts]]</f>
        <v>136.5</v>
      </c>
      <c r="J4462" s="8">
        <f>VLOOKUP(financials[[#This Row],[productid]],Products!$B$2:$H$10,4)</f>
        <v>5.5</v>
      </c>
      <c r="K4462" s="8">
        <f>financials[[#This Row],[Net Sales]]-financials[[#This Row],[COGS]]</f>
        <v>131</v>
      </c>
      <c r="L4462" s="15">
        <v>45342</v>
      </c>
      <c r="M4462" t="s">
        <v>696</v>
      </c>
    </row>
    <row r="4463" spans="1:13" x14ac:dyDescent="0.25">
      <c r="A4463" t="s">
        <v>87</v>
      </c>
      <c r="B4463" s="6" t="s">
        <v>159</v>
      </c>
      <c r="C4463" s="13">
        <v>105</v>
      </c>
      <c r="D4463" s="14" t="s">
        <v>83</v>
      </c>
      <c r="E4463">
        <v>19</v>
      </c>
      <c r="F4463" s="8">
        <f>VLOOKUP(financials[[#This Row],[productid]],Products!$B$2:$H$10,3)</f>
        <v>15</v>
      </c>
      <c r="G4463" s="8">
        <f>financials[[#This Row],[Units Sold]]*financials[[#This Row],[Sale Price]]</f>
        <v>285</v>
      </c>
      <c r="H4463" s="8">
        <f>IF(financials[[#This Row],[Discount Band]]="low",0.1,IF(financials[[#This Row],[Discount Band]]="medium",0.15,0.3))</f>
        <v>0.3</v>
      </c>
      <c r="I4463" s="8">
        <f>financials[[#This Row],[Gross Sales]]-financials[[#This Row],[Gross Sales]]*financials[[#This Row],[Discounts]]</f>
        <v>199.5</v>
      </c>
      <c r="J4463" s="8">
        <f>VLOOKUP(financials[[#This Row],[productid]],Products!$B$2:$H$10,4)</f>
        <v>10</v>
      </c>
      <c r="K4463" s="8">
        <f>financials[[#This Row],[Net Sales]]-financials[[#This Row],[COGS]]</f>
        <v>189.5</v>
      </c>
      <c r="L4463" s="15">
        <v>44872</v>
      </c>
      <c r="M4463" t="s">
        <v>691</v>
      </c>
    </row>
    <row r="4464" spans="1:13" x14ac:dyDescent="0.25">
      <c r="A4464" t="s">
        <v>86</v>
      </c>
      <c r="B4464" s="6" t="s">
        <v>84</v>
      </c>
      <c r="C4464" s="13">
        <v>105</v>
      </c>
      <c r="D4464" s="14" t="s">
        <v>90</v>
      </c>
      <c r="E4464">
        <v>20</v>
      </c>
      <c r="F4464" s="8">
        <f>VLOOKUP(financials[[#This Row],[productid]],Products!$B$2:$H$10,3)</f>
        <v>15</v>
      </c>
      <c r="G4464" s="8">
        <f>financials[[#This Row],[Units Sold]]*financials[[#This Row],[Sale Price]]</f>
        <v>300</v>
      </c>
      <c r="H4464" s="8">
        <f>IF(financials[[#This Row],[Discount Band]]="low",0.1,IF(financials[[#This Row],[Discount Band]]="medium",0.15,0.3))</f>
        <v>0.15</v>
      </c>
      <c r="I4464" s="8">
        <f>financials[[#This Row],[Gross Sales]]-financials[[#This Row],[Gross Sales]]*financials[[#This Row],[Discounts]]</f>
        <v>255</v>
      </c>
      <c r="J4464" s="8">
        <f>VLOOKUP(financials[[#This Row],[productid]],Products!$B$2:$H$10,4)</f>
        <v>10</v>
      </c>
      <c r="K4464" s="8">
        <f>financials[[#This Row],[Net Sales]]-financials[[#This Row],[COGS]]</f>
        <v>245</v>
      </c>
      <c r="L4464" s="15">
        <v>44402</v>
      </c>
      <c r="M4464" t="s">
        <v>696</v>
      </c>
    </row>
    <row r="4465" spans="1:13" x14ac:dyDescent="0.25">
      <c r="A4465" t="s">
        <v>88</v>
      </c>
      <c r="B4465" s="6" t="s">
        <v>84</v>
      </c>
      <c r="C4465" s="13">
        <v>103</v>
      </c>
      <c r="D4465" s="14" t="s">
        <v>83</v>
      </c>
      <c r="E4465">
        <v>15</v>
      </c>
      <c r="F4465" s="8">
        <f>VLOOKUP(financials[[#This Row],[productid]],Products!$B$2:$H$10,3)</f>
        <v>28</v>
      </c>
      <c r="G4465" s="8">
        <f>financials[[#This Row],[Units Sold]]*financials[[#This Row],[Sale Price]]</f>
        <v>420</v>
      </c>
      <c r="H4465" s="8">
        <f>IF(financials[[#This Row],[Discount Band]]="low",0.1,IF(financials[[#This Row],[Discount Band]]="medium",0.15,0.3))</f>
        <v>0.3</v>
      </c>
      <c r="I4465" s="8">
        <f>financials[[#This Row],[Gross Sales]]-financials[[#This Row],[Gross Sales]]*financials[[#This Row],[Discounts]]</f>
        <v>294</v>
      </c>
      <c r="J4465" s="8">
        <f>VLOOKUP(financials[[#This Row],[productid]],Products!$B$2:$H$10,4)</f>
        <v>15</v>
      </c>
      <c r="K4465" s="8">
        <f>financials[[#This Row],[Net Sales]]-financials[[#This Row],[COGS]]</f>
        <v>279</v>
      </c>
      <c r="L4465" s="15">
        <v>43835</v>
      </c>
      <c r="M4465" t="s">
        <v>696</v>
      </c>
    </row>
    <row r="4466" spans="1:13" x14ac:dyDescent="0.25">
      <c r="A4466" t="s">
        <v>88</v>
      </c>
      <c r="B4466" s="6" t="s">
        <v>159</v>
      </c>
      <c r="C4466" s="13">
        <v>104</v>
      </c>
      <c r="D4466" s="14" t="s">
        <v>92</v>
      </c>
      <c r="E4466">
        <v>14</v>
      </c>
      <c r="F4466" s="8">
        <f>VLOOKUP(financials[[#This Row],[productid]],Products!$B$2:$H$10,3)</f>
        <v>5.9</v>
      </c>
      <c r="G4466" s="8">
        <f>financials[[#This Row],[Units Sold]]*financials[[#This Row],[Sale Price]]</f>
        <v>82.600000000000009</v>
      </c>
      <c r="H4466" s="8">
        <f>IF(financials[[#This Row],[Discount Band]]="low",0.1,IF(financials[[#This Row],[Discount Band]]="medium",0.15,0.3))</f>
        <v>0.3</v>
      </c>
      <c r="I4466" s="8">
        <f>financials[[#This Row],[Gross Sales]]-financials[[#This Row],[Gross Sales]]*financials[[#This Row],[Discounts]]</f>
        <v>57.820000000000007</v>
      </c>
      <c r="J4466" s="8">
        <f>VLOOKUP(financials[[#This Row],[productid]],Products!$B$2:$H$10,4)</f>
        <v>2.9</v>
      </c>
      <c r="K4466" s="8">
        <f>financials[[#This Row],[Net Sales]]-financials[[#This Row],[COGS]]</f>
        <v>54.920000000000009</v>
      </c>
      <c r="L4466" s="15">
        <v>44229</v>
      </c>
      <c r="M4466" t="s">
        <v>696</v>
      </c>
    </row>
    <row r="4467" spans="1:13" x14ac:dyDescent="0.25">
      <c r="A4467" t="s">
        <v>88</v>
      </c>
      <c r="B4467" s="6" t="s">
        <v>84</v>
      </c>
      <c r="C4467" s="11">
        <v>103</v>
      </c>
      <c r="D4467" s="9" t="s">
        <v>90</v>
      </c>
      <c r="E4467">
        <v>16</v>
      </c>
      <c r="F4467" s="8">
        <f>VLOOKUP(financials[[#This Row],[productid]],Products!$B$2:$H$10,3)</f>
        <v>28</v>
      </c>
      <c r="G4467" s="8">
        <f>financials[[#This Row],[Units Sold]]*financials[[#This Row],[Sale Price]]</f>
        <v>448</v>
      </c>
      <c r="H4467" s="8">
        <f>IF(financials[[#This Row],[Discount Band]]="low",0.1,IF(financials[[#This Row],[Discount Band]]="medium",0.15,0.3))</f>
        <v>0.15</v>
      </c>
      <c r="I4467" s="8">
        <f>financials[[#This Row],[Gross Sales]]-financials[[#This Row],[Gross Sales]]*financials[[#This Row],[Discounts]]</f>
        <v>380.8</v>
      </c>
      <c r="J4467" s="8">
        <f>VLOOKUP(financials[[#This Row],[productid]],Products!$B$2:$H$10,4)</f>
        <v>15</v>
      </c>
      <c r="K4467" s="8">
        <f>financials[[#This Row],[Net Sales]]-financials[[#This Row],[COGS]]</f>
        <v>365.8</v>
      </c>
      <c r="L4467" s="15">
        <v>44861</v>
      </c>
      <c r="M4467" t="s">
        <v>696</v>
      </c>
    </row>
    <row r="4468" spans="1:13" x14ac:dyDescent="0.25">
      <c r="A4468" t="s">
        <v>87</v>
      </c>
      <c r="B4468" s="6" t="s">
        <v>159</v>
      </c>
      <c r="C4468" s="13">
        <v>109</v>
      </c>
      <c r="D4468" s="14" t="s">
        <v>90</v>
      </c>
      <c r="E4468">
        <v>14</v>
      </c>
      <c r="F4468" s="8">
        <f>VLOOKUP(financials[[#This Row],[productid]],Products!$B$2:$H$10,3)</f>
        <v>36</v>
      </c>
      <c r="G4468" s="8">
        <f>financials[[#This Row],[Units Sold]]*financials[[#This Row],[Sale Price]]</f>
        <v>504</v>
      </c>
      <c r="H4468" s="8">
        <f>IF(financials[[#This Row],[Discount Band]]="low",0.1,IF(financials[[#This Row],[Discount Band]]="medium",0.15,0.3))</f>
        <v>0.15</v>
      </c>
      <c r="I4468" s="8">
        <f>financials[[#This Row],[Gross Sales]]-financials[[#This Row],[Gross Sales]]*financials[[#This Row],[Discounts]]</f>
        <v>428.4</v>
      </c>
      <c r="J4468" s="8">
        <f>VLOOKUP(financials[[#This Row],[productid]],Products!$B$2:$H$10,4)</f>
        <v>16.8</v>
      </c>
      <c r="K4468" s="8">
        <f>financials[[#This Row],[Net Sales]]-financials[[#This Row],[COGS]]</f>
        <v>411.59999999999997</v>
      </c>
      <c r="L4468" s="15">
        <v>45398</v>
      </c>
      <c r="M4468" t="s">
        <v>696</v>
      </c>
    </row>
    <row r="4469" spans="1:13" x14ac:dyDescent="0.25">
      <c r="A4469" t="s">
        <v>87</v>
      </c>
      <c r="B4469" s="6" t="s">
        <v>159</v>
      </c>
      <c r="C4469" s="13">
        <v>105</v>
      </c>
      <c r="D4469" s="14" t="s">
        <v>91</v>
      </c>
      <c r="E4469">
        <v>15</v>
      </c>
      <c r="F4469" s="8">
        <f>VLOOKUP(financials[[#This Row],[productid]],Products!$B$2:$H$10,3)</f>
        <v>15</v>
      </c>
      <c r="G4469" s="8">
        <f>financials[[#This Row],[Units Sold]]*financials[[#This Row],[Sale Price]]</f>
        <v>225</v>
      </c>
      <c r="H4469" s="8">
        <f>IF(financials[[#This Row],[Discount Band]]="low",0.1,IF(financials[[#This Row],[Discount Band]]="medium",0.15,0.3))</f>
        <v>0.1</v>
      </c>
      <c r="I4469" s="8">
        <f>financials[[#This Row],[Gross Sales]]-financials[[#This Row],[Gross Sales]]*financials[[#This Row],[Discounts]]</f>
        <v>202.5</v>
      </c>
      <c r="J4469" s="8">
        <f>VLOOKUP(financials[[#This Row],[productid]],Products!$B$2:$H$10,4)</f>
        <v>10</v>
      </c>
      <c r="K4469" s="8">
        <f>financials[[#This Row],[Net Sales]]-financials[[#This Row],[COGS]]</f>
        <v>192.5</v>
      </c>
      <c r="L4469" s="15">
        <v>44680</v>
      </c>
      <c r="M4469" t="s">
        <v>700</v>
      </c>
    </row>
    <row r="4470" spans="1:13" x14ac:dyDescent="0.25">
      <c r="A4470" t="s">
        <v>88</v>
      </c>
      <c r="B4470" s="6" t="s">
        <v>84</v>
      </c>
      <c r="C4470" s="11">
        <v>106</v>
      </c>
      <c r="D4470" s="9" t="s">
        <v>83</v>
      </c>
      <c r="E4470">
        <v>14</v>
      </c>
      <c r="F4470" s="8">
        <f>VLOOKUP(financials[[#This Row],[productid]],Products!$B$2:$H$10,3)</f>
        <v>25</v>
      </c>
      <c r="G4470" s="8">
        <f>financials[[#This Row],[Units Sold]]*financials[[#This Row],[Sale Price]]</f>
        <v>350</v>
      </c>
      <c r="H4470" s="8">
        <f>IF(financials[[#This Row],[Discount Band]]="low",0.1,IF(financials[[#This Row],[Discount Band]]="medium",0.15,0.3))</f>
        <v>0.3</v>
      </c>
      <c r="I4470" s="8">
        <f>financials[[#This Row],[Gross Sales]]-financials[[#This Row],[Gross Sales]]*financials[[#This Row],[Discounts]]</f>
        <v>245</v>
      </c>
      <c r="J4470" s="8">
        <f>VLOOKUP(financials[[#This Row],[productid]],Products!$B$2:$H$10,4)</f>
        <v>9.1</v>
      </c>
      <c r="K4470" s="8">
        <f>financials[[#This Row],[Net Sales]]-financials[[#This Row],[COGS]]</f>
        <v>235.9</v>
      </c>
      <c r="L4470" s="15">
        <v>44178</v>
      </c>
      <c r="M4470" t="s">
        <v>691</v>
      </c>
    </row>
    <row r="4471" spans="1:13" x14ac:dyDescent="0.25">
      <c r="A4471" t="s">
        <v>88</v>
      </c>
      <c r="B4471" s="6" t="s">
        <v>159</v>
      </c>
      <c r="C4471" s="13">
        <v>101</v>
      </c>
      <c r="D4471" s="14" t="s">
        <v>91</v>
      </c>
      <c r="E4471">
        <v>12</v>
      </c>
      <c r="F4471" s="8">
        <f>VLOOKUP(financials[[#This Row],[productid]],Products!$B$2:$H$10,3)</f>
        <v>23</v>
      </c>
      <c r="G4471" s="8">
        <f>financials[[#This Row],[Units Sold]]*financials[[#This Row],[Sale Price]]</f>
        <v>276</v>
      </c>
      <c r="H4471" s="8">
        <f>IF(financials[[#This Row],[Discount Band]]="low",0.1,IF(financials[[#This Row],[Discount Band]]="medium",0.15,0.3))</f>
        <v>0.1</v>
      </c>
      <c r="I4471" s="8">
        <f>financials[[#This Row],[Gross Sales]]-financials[[#This Row],[Gross Sales]]*financials[[#This Row],[Discounts]]</f>
        <v>248.4</v>
      </c>
      <c r="J4471" s="8">
        <f>VLOOKUP(financials[[#This Row],[productid]],Products!$B$2:$H$10,4)</f>
        <v>9.9499999999999993</v>
      </c>
      <c r="K4471" s="8">
        <f>financials[[#This Row],[Net Sales]]-financials[[#This Row],[COGS]]</f>
        <v>238.45000000000002</v>
      </c>
      <c r="L4471" s="15">
        <v>44480</v>
      </c>
      <c r="M4471" t="s">
        <v>690</v>
      </c>
    </row>
    <row r="4472" spans="1:13" x14ac:dyDescent="0.25">
      <c r="A4472" t="s">
        <v>88</v>
      </c>
      <c r="B4472" s="6" t="s">
        <v>124</v>
      </c>
      <c r="C4472" s="13">
        <v>107</v>
      </c>
      <c r="D4472" s="14" t="s">
        <v>90</v>
      </c>
      <c r="E4472">
        <v>7</v>
      </c>
      <c r="F4472" s="8">
        <f>VLOOKUP(financials[[#This Row],[productid]],Products!$B$2:$H$10,3)</f>
        <v>15</v>
      </c>
      <c r="G4472" s="8">
        <f>financials[[#This Row],[Units Sold]]*financials[[#This Row],[Sale Price]]</f>
        <v>105</v>
      </c>
      <c r="H4472" s="8">
        <f>IF(financials[[#This Row],[Discount Band]]="low",0.1,IF(financials[[#This Row],[Discount Band]]="medium",0.15,0.3))</f>
        <v>0.15</v>
      </c>
      <c r="I4472" s="8">
        <f>financials[[#This Row],[Gross Sales]]-financials[[#This Row],[Gross Sales]]*financials[[#This Row],[Discounts]]</f>
        <v>89.25</v>
      </c>
      <c r="J4472" s="8">
        <f>VLOOKUP(financials[[#This Row],[productid]],Products!$B$2:$H$10,4)</f>
        <v>5.5</v>
      </c>
      <c r="K4472" s="8">
        <f>financials[[#This Row],[Net Sales]]-financials[[#This Row],[COGS]]</f>
        <v>83.75</v>
      </c>
      <c r="L4472" s="15">
        <v>45198</v>
      </c>
      <c r="M4472" t="s">
        <v>691</v>
      </c>
    </row>
    <row r="4473" spans="1:13" x14ac:dyDescent="0.25">
      <c r="A4473" t="s">
        <v>86</v>
      </c>
      <c r="B4473" s="6" t="s">
        <v>84</v>
      </c>
      <c r="C4473" s="13">
        <v>101</v>
      </c>
      <c r="D4473" s="14" t="s">
        <v>91</v>
      </c>
      <c r="E4473">
        <v>12</v>
      </c>
      <c r="F4473" s="8">
        <f>VLOOKUP(financials[[#This Row],[productid]],Products!$B$2:$H$10,3)</f>
        <v>23</v>
      </c>
      <c r="G4473" s="8">
        <f>financials[[#This Row],[Units Sold]]*financials[[#This Row],[Sale Price]]</f>
        <v>276</v>
      </c>
      <c r="H4473" s="8">
        <f>IF(financials[[#This Row],[Discount Band]]="low",0.1,IF(financials[[#This Row],[Discount Band]]="medium",0.15,0.3))</f>
        <v>0.1</v>
      </c>
      <c r="I4473" s="8">
        <f>financials[[#This Row],[Gross Sales]]-financials[[#This Row],[Gross Sales]]*financials[[#This Row],[Discounts]]</f>
        <v>248.4</v>
      </c>
      <c r="J4473" s="8">
        <f>VLOOKUP(financials[[#This Row],[productid]],Products!$B$2:$H$10,4)</f>
        <v>9.9499999999999993</v>
      </c>
      <c r="K4473" s="8">
        <f>financials[[#This Row],[Net Sales]]-financials[[#This Row],[COGS]]</f>
        <v>238.45000000000002</v>
      </c>
      <c r="L4473" s="15">
        <v>44860</v>
      </c>
      <c r="M4473" t="s">
        <v>690</v>
      </c>
    </row>
    <row r="4474" spans="1:13" x14ac:dyDescent="0.25">
      <c r="A4474" t="s">
        <v>87</v>
      </c>
      <c r="B4474" s="6" t="s">
        <v>159</v>
      </c>
      <c r="C4474" s="13">
        <v>107</v>
      </c>
      <c r="D4474" s="14" t="s">
        <v>83</v>
      </c>
      <c r="E4474">
        <v>19</v>
      </c>
      <c r="F4474" s="8">
        <f>VLOOKUP(financials[[#This Row],[productid]],Products!$B$2:$H$10,3)</f>
        <v>15</v>
      </c>
      <c r="G4474" s="8">
        <f>financials[[#This Row],[Units Sold]]*financials[[#This Row],[Sale Price]]</f>
        <v>285</v>
      </c>
      <c r="H4474" s="8">
        <f>IF(financials[[#This Row],[Discount Band]]="low",0.1,IF(financials[[#This Row],[Discount Band]]="medium",0.15,0.3))</f>
        <v>0.3</v>
      </c>
      <c r="I4474" s="8">
        <f>financials[[#This Row],[Gross Sales]]-financials[[#This Row],[Gross Sales]]*financials[[#This Row],[Discounts]]</f>
        <v>199.5</v>
      </c>
      <c r="J4474" s="8">
        <f>VLOOKUP(financials[[#This Row],[productid]],Products!$B$2:$H$10,4)</f>
        <v>5.5</v>
      </c>
      <c r="K4474" s="8">
        <f>financials[[#This Row],[Net Sales]]-financials[[#This Row],[COGS]]</f>
        <v>194</v>
      </c>
      <c r="L4474" s="15">
        <v>44610</v>
      </c>
      <c r="M4474" t="s">
        <v>700</v>
      </c>
    </row>
    <row r="4475" spans="1:13" x14ac:dyDescent="0.25">
      <c r="A4475" t="s">
        <v>87</v>
      </c>
      <c r="B4475" s="6" t="s">
        <v>124</v>
      </c>
      <c r="C4475" s="13">
        <v>108</v>
      </c>
      <c r="D4475" s="14" t="s">
        <v>83</v>
      </c>
      <c r="E4475">
        <v>19</v>
      </c>
      <c r="F4475" s="8">
        <f>VLOOKUP(financials[[#This Row],[productid]],Products!$B$2:$H$10,3)</f>
        <v>5.5</v>
      </c>
      <c r="G4475" s="8">
        <f>financials[[#This Row],[Units Sold]]*financials[[#This Row],[Sale Price]]</f>
        <v>104.5</v>
      </c>
      <c r="H4475" s="8">
        <f>IF(financials[[#This Row],[Discount Band]]="low",0.1,IF(financials[[#This Row],[Discount Band]]="medium",0.15,0.3))</f>
        <v>0.3</v>
      </c>
      <c r="I4475" s="8">
        <f>financials[[#This Row],[Gross Sales]]-financials[[#This Row],[Gross Sales]]*financials[[#This Row],[Discounts]]</f>
        <v>73.150000000000006</v>
      </c>
      <c r="J4475" s="8">
        <f>VLOOKUP(financials[[#This Row],[productid]],Products!$B$2:$H$10,4)</f>
        <v>3.99</v>
      </c>
      <c r="K4475" s="8">
        <f>financials[[#This Row],[Net Sales]]-financials[[#This Row],[COGS]]</f>
        <v>69.160000000000011</v>
      </c>
      <c r="L4475" s="15">
        <v>45418</v>
      </c>
      <c r="M4475" t="s">
        <v>696</v>
      </c>
    </row>
    <row r="4476" spans="1:13" x14ac:dyDescent="0.25">
      <c r="A4476" t="s">
        <v>87</v>
      </c>
      <c r="B4476" s="6" t="s">
        <v>159</v>
      </c>
      <c r="C4476" s="13">
        <v>106</v>
      </c>
      <c r="D4476" s="14" t="s">
        <v>83</v>
      </c>
      <c r="E4476">
        <v>13</v>
      </c>
      <c r="F4476" s="8">
        <f>VLOOKUP(financials[[#This Row],[productid]],Products!$B$2:$H$10,3)</f>
        <v>25</v>
      </c>
      <c r="G4476" s="8">
        <f>financials[[#This Row],[Units Sold]]*financials[[#This Row],[Sale Price]]</f>
        <v>325</v>
      </c>
      <c r="H4476" s="8">
        <f>IF(financials[[#This Row],[Discount Band]]="low",0.1,IF(financials[[#This Row],[Discount Band]]="medium",0.15,0.3))</f>
        <v>0.3</v>
      </c>
      <c r="I4476" s="8">
        <f>financials[[#This Row],[Gross Sales]]-financials[[#This Row],[Gross Sales]]*financials[[#This Row],[Discounts]]</f>
        <v>227.5</v>
      </c>
      <c r="J4476" s="8">
        <f>VLOOKUP(financials[[#This Row],[productid]],Products!$B$2:$H$10,4)</f>
        <v>9.1</v>
      </c>
      <c r="K4476" s="8">
        <f>financials[[#This Row],[Net Sales]]-financials[[#This Row],[COGS]]</f>
        <v>218.4</v>
      </c>
      <c r="L4476" s="15">
        <v>44514</v>
      </c>
      <c r="M4476" t="s">
        <v>697</v>
      </c>
    </row>
    <row r="4477" spans="1:13" x14ac:dyDescent="0.25">
      <c r="A4477" t="s">
        <v>88</v>
      </c>
      <c r="B4477" s="6" t="s">
        <v>159</v>
      </c>
      <c r="C4477" s="13">
        <v>106</v>
      </c>
      <c r="D4477" s="14" t="s">
        <v>90</v>
      </c>
      <c r="E4477">
        <v>20</v>
      </c>
      <c r="F4477" s="8">
        <f>VLOOKUP(financials[[#This Row],[productid]],Products!$B$2:$H$10,3)</f>
        <v>25</v>
      </c>
      <c r="G4477" s="8">
        <f>financials[[#This Row],[Units Sold]]*financials[[#This Row],[Sale Price]]</f>
        <v>500</v>
      </c>
      <c r="H4477" s="8">
        <f>IF(financials[[#This Row],[Discount Band]]="low",0.1,IF(financials[[#This Row],[Discount Band]]="medium",0.15,0.3))</f>
        <v>0.15</v>
      </c>
      <c r="I4477" s="8">
        <f>financials[[#This Row],[Gross Sales]]-financials[[#This Row],[Gross Sales]]*financials[[#This Row],[Discounts]]</f>
        <v>425</v>
      </c>
      <c r="J4477" s="8">
        <f>VLOOKUP(financials[[#This Row],[productid]],Products!$B$2:$H$10,4)</f>
        <v>9.1</v>
      </c>
      <c r="K4477" s="8">
        <f>financials[[#This Row],[Net Sales]]-financials[[#This Row],[COGS]]</f>
        <v>415.9</v>
      </c>
      <c r="L4477" s="15">
        <v>45053</v>
      </c>
      <c r="M4477" t="s">
        <v>700</v>
      </c>
    </row>
    <row r="4478" spans="1:13" x14ac:dyDescent="0.25">
      <c r="A4478" t="s">
        <v>87</v>
      </c>
      <c r="B4478" s="6" t="s">
        <v>159</v>
      </c>
      <c r="C4478" s="11">
        <v>108</v>
      </c>
      <c r="D4478" s="9" t="s">
        <v>90</v>
      </c>
      <c r="E4478">
        <v>12</v>
      </c>
      <c r="F4478" s="8">
        <f>VLOOKUP(financials[[#This Row],[productid]],Products!$B$2:$H$10,3)</f>
        <v>5.5</v>
      </c>
      <c r="G4478" s="8">
        <f>financials[[#This Row],[Units Sold]]*financials[[#This Row],[Sale Price]]</f>
        <v>66</v>
      </c>
      <c r="H4478" s="8">
        <f>IF(financials[[#This Row],[Discount Band]]="low",0.1,IF(financials[[#This Row],[Discount Band]]="medium",0.15,0.3))</f>
        <v>0.15</v>
      </c>
      <c r="I4478" s="8">
        <f>financials[[#This Row],[Gross Sales]]-financials[[#This Row],[Gross Sales]]*financials[[#This Row],[Discounts]]</f>
        <v>56.1</v>
      </c>
      <c r="J4478" s="8">
        <f>VLOOKUP(financials[[#This Row],[productid]],Products!$B$2:$H$10,4)</f>
        <v>3.99</v>
      </c>
      <c r="K4478" s="8">
        <f>financials[[#This Row],[Net Sales]]-financials[[#This Row],[COGS]]</f>
        <v>52.11</v>
      </c>
      <c r="L4478" s="15">
        <v>44915</v>
      </c>
      <c r="M4478" t="s">
        <v>691</v>
      </c>
    </row>
    <row r="4479" spans="1:13" x14ac:dyDescent="0.25">
      <c r="A4479" t="s">
        <v>87</v>
      </c>
      <c r="B4479" s="6" t="s">
        <v>159</v>
      </c>
      <c r="C4479" s="13">
        <v>102</v>
      </c>
      <c r="D4479" s="14" t="s">
        <v>90</v>
      </c>
      <c r="E4479">
        <v>7</v>
      </c>
      <c r="F4479" s="8">
        <f>VLOOKUP(financials[[#This Row],[productid]],Products!$B$2:$H$10,3)</f>
        <v>15</v>
      </c>
      <c r="G4479" s="8">
        <f>financials[[#This Row],[Units Sold]]*financials[[#This Row],[Sale Price]]</f>
        <v>105</v>
      </c>
      <c r="H4479" s="8">
        <f>IF(financials[[#This Row],[Discount Band]]="low",0.1,IF(financials[[#This Row],[Discount Band]]="medium",0.15,0.3))</f>
        <v>0.15</v>
      </c>
      <c r="I4479" s="8">
        <f>financials[[#This Row],[Gross Sales]]-financials[[#This Row],[Gross Sales]]*financials[[#This Row],[Discounts]]</f>
        <v>89.25</v>
      </c>
      <c r="J4479" s="8">
        <f>VLOOKUP(financials[[#This Row],[productid]],Products!$B$2:$H$10,4)</f>
        <v>13.95</v>
      </c>
      <c r="K4479" s="8">
        <f>financials[[#This Row],[Net Sales]]-financials[[#This Row],[COGS]]</f>
        <v>75.3</v>
      </c>
      <c r="L4479" s="15">
        <v>44462</v>
      </c>
      <c r="M4479" t="s">
        <v>696</v>
      </c>
    </row>
    <row r="4480" spans="1:13" x14ac:dyDescent="0.25">
      <c r="A4480" t="s">
        <v>87</v>
      </c>
      <c r="B4480" s="6" t="s">
        <v>159</v>
      </c>
      <c r="C4480" s="13">
        <v>103</v>
      </c>
      <c r="D4480" s="14" t="s">
        <v>91</v>
      </c>
      <c r="E4480">
        <v>11</v>
      </c>
      <c r="F4480" s="8">
        <f>VLOOKUP(financials[[#This Row],[productid]],Products!$B$2:$H$10,3)</f>
        <v>28</v>
      </c>
      <c r="G4480" s="8">
        <f>financials[[#This Row],[Units Sold]]*financials[[#This Row],[Sale Price]]</f>
        <v>308</v>
      </c>
      <c r="H4480" s="8">
        <f>IF(financials[[#This Row],[Discount Band]]="low",0.1,IF(financials[[#This Row],[Discount Band]]="medium",0.15,0.3))</f>
        <v>0.1</v>
      </c>
      <c r="I4480" s="8">
        <f>financials[[#This Row],[Gross Sales]]-financials[[#This Row],[Gross Sales]]*financials[[#This Row],[Discounts]]</f>
        <v>277.2</v>
      </c>
      <c r="J4480" s="8">
        <f>VLOOKUP(financials[[#This Row],[productid]],Products!$B$2:$H$10,4)</f>
        <v>15</v>
      </c>
      <c r="K4480" s="8">
        <f>financials[[#This Row],[Net Sales]]-financials[[#This Row],[COGS]]</f>
        <v>262.2</v>
      </c>
      <c r="L4480" s="15">
        <v>44812</v>
      </c>
      <c r="M4480" t="s">
        <v>697</v>
      </c>
    </row>
    <row r="4481" spans="1:13" x14ac:dyDescent="0.25">
      <c r="A4481" t="s">
        <v>86</v>
      </c>
      <c r="B4481" s="6" t="s">
        <v>84</v>
      </c>
      <c r="C4481" s="11">
        <v>104</v>
      </c>
      <c r="D4481" s="9" t="s">
        <v>90</v>
      </c>
      <c r="E4481">
        <v>6</v>
      </c>
      <c r="F4481" s="8">
        <f>VLOOKUP(financials[[#This Row],[productid]],Products!$B$2:$H$10,3)</f>
        <v>5.9</v>
      </c>
      <c r="G4481" s="8">
        <f>financials[[#This Row],[Units Sold]]*financials[[#This Row],[Sale Price]]</f>
        <v>35.400000000000006</v>
      </c>
      <c r="H4481" s="8">
        <f>IF(financials[[#This Row],[Discount Band]]="low",0.1,IF(financials[[#This Row],[Discount Band]]="medium",0.15,0.3))</f>
        <v>0.15</v>
      </c>
      <c r="I4481" s="8">
        <f>financials[[#This Row],[Gross Sales]]-financials[[#This Row],[Gross Sales]]*financials[[#This Row],[Discounts]]</f>
        <v>30.090000000000003</v>
      </c>
      <c r="J4481" s="8">
        <f>VLOOKUP(financials[[#This Row],[productid]],Products!$B$2:$H$10,4)</f>
        <v>2.9</v>
      </c>
      <c r="K4481" s="8">
        <f>financials[[#This Row],[Net Sales]]-financials[[#This Row],[COGS]]</f>
        <v>27.190000000000005</v>
      </c>
      <c r="L4481" s="15">
        <v>44659</v>
      </c>
      <c r="M4481" t="s">
        <v>700</v>
      </c>
    </row>
    <row r="4482" spans="1:13" x14ac:dyDescent="0.25">
      <c r="A4482" t="s">
        <v>88</v>
      </c>
      <c r="B4482" s="6" t="s">
        <v>84</v>
      </c>
      <c r="C4482" s="13">
        <v>105</v>
      </c>
      <c r="D4482" s="14" t="s">
        <v>83</v>
      </c>
      <c r="E4482">
        <v>12</v>
      </c>
      <c r="F4482" s="8">
        <f>VLOOKUP(financials[[#This Row],[productid]],Products!$B$2:$H$10,3)</f>
        <v>15</v>
      </c>
      <c r="G4482" s="8">
        <f>financials[[#This Row],[Units Sold]]*financials[[#This Row],[Sale Price]]</f>
        <v>180</v>
      </c>
      <c r="H4482" s="8">
        <f>IF(financials[[#This Row],[Discount Band]]="low",0.1,IF(financials[[#This Row],[Discount Band]]="medium",0.15,0.3))</f>
        <v>0.3</v>
      </c>
      <c r="I4482" s="8">
        <f>financials[[#This Row],[Gross Sales]]-financials[[#This Row],[Gross Sales]]*financials[[#This Row],[Discounts]]</f>
        <v>126</v>
      </c>
      <c r="J4482" s="8">
        <f>VLOOKUP(financials[[#This Row],[productid]],Products!$B$2:$H$10,4)</f>
        <v>10</v>
      </c>
      <c r="K4482" s="8">
        <f>financials[[#This Row],[Net Sales]]-financials[[#This Row],[COGS]]</f>
        <v>116</v>
      </c>
      <c r="L4482" s="15">
        <v>45656</v>
      </c>
      <c r="M4482" t="s">
        <v>700</v>
      </c>
    </row>
    <row r="4483" spans="1:13" x14ac:dyDescent="0.25">
      <c r="A4483" t="s">
        <v>86</v>
      </c>
      <c r="B4483" s="6" t="s">
        <v>84</v>
      </c>
      <c r="C4483" s="13">
        <v>109</v>
      </c>
      <c r="D4483" s="14" t="s">
        <v>91</v>
      </c>
      <c r="E4483">
        <v>13</v>
      </c>
      <c r="F4483" s="8">
        <f>VLOOKUP(financials[[#This Row],[productid]],Products!$B$2:$H$10,3)</f>
        <v>36</v>
      </c>
      <c r="G4483" s="8">
        <f>financials[[#This Row],[Units Sold]]*financials[[#This Row],[Sale Price]]</f>
        <v>468</v>
      </c>
      <c r="H4483" s="8">
        <f>IF(financials[[#This Row],[Discount Band]]="low",0.1,IF(financials[[#This Row],[Discount Band]]="medium",0.15,0.3))</f>
        <v>0.1</v>
      </c>
      <c r="I4483" s="8">
        <f>financials[[#This Row],[Gross Sales]]-financials[[#This Row],[Gross Sales]]*financials[[#This Row],[Discounts]]</f>
        <v>421.2</v>
      </c>
      <c r="J4483" s="8">
        <f>VLOOKUP(financials[[#This Row],[productid]],Products!$B$2:$H$10,4)</f>
        <v>16.8</v>
      </c>
      <c r="K4483" s="8">
        <f>financials[[#This Row],[Net Sales]]-financials[[#This Row],[COGS]]</f>
        <v>404.4</v>
      </c>
      <c r="L4483" s="15">
        <v>44136</v>
      </c>
      <c r="M4483" t="s">
        <v>696</v>
      </c>
    </row>
    <row r="4484" spans="1:13" x14ac:dyDescent="0.25">
      <c r="A4484" t="s">
        <v>88</v>
      </c>
      <c r="B4484" s="6" t="s">
        <v>84</v>
      </c>
      <c r="C4484" s="13">
        <v>103</v>
      </c>
      <c r="D4484" s="14" t="s">
        <v>90</v>
      </c>
      <c r="E4484">
        <v>17</v>
      </c>
      <c r="F4484" s="8">
        <f>VLOOKUP(financials[[#This Row],[productid]],Products!$B$2:$H$10,3)</f>
        <v>28</v>
      </c>
      <c r="G4484" s="8">
        <f>financials[[#This Row],[Units Sold]]*financials[[#This Row],[Sale Price]]</f>
        <v>476</v>
      </c>
      <c r="H4484" s="8">
        <f>IF(financials[[#This Row],[Discount Band]]="low",0.1,IF(financials[[#This Row],[Discount Band]]="medium",0.15,0.3))</f>
        <v>0.15</v>
      </c>
      <c r="I4484" s="8">
        <f>financials[[#This Row],[Gross Sales]]-financials[[#This Row],[Gross Sales]]*financials[[#This Row],[Discounts]]</f>
        <v>404.6</v>
      </c>
      <c r="J4484" s="8">
        <f>VLOOKUP(financials[[#This Row],[productid]],Products!$B$2:$H$10,4)</f>
        <v>15</v>
      </c>
      <c r="K4484" s="8">
        <f>financials[[#This Row],[Net Sales]]-financials[[#This Row],[COGS]]</f>
        <v>389.6</v>
      </c>
      <c r="L4484" s="15">
        <v>44464</v>
      </c>
      <c r="M4484" t="s">
        <v>691</v>
      </c>
    </row>
    <row r="4485" spans="1:13" x14ac:dyDescent="0.25">
      <c r="A4485" t="s">
        <v>86</v>
      </c>
      <c r="B4485" s="6" t="s">
        <v>84</v>
      </c>
      <c r="C4485" s="11">
        <v>106</v>
      </c>
      <c r="D4485" s="9" t="s">
        <v>90</v>
      </c>
      <c r="E4485">
        <v>10</v>
      </c>
      <c r="F4485" s="8">
        <f>VLOOKUP(financials[[#This Row],[productid]],Products!$B$2:$H$10,3)</f>
        <v>25</v>
      </c>
      <c r="G4485" s="8">
        <f>financials[[#This Row],[Units Sold]]*financials[[#This Row],[Sale Price]]</f>
        <v>250</v>
      </c>
      <c r="H4485" s="8">
        <f>IF(financials[[#This Row],[Discount Band]]="low",0.1,IF(financials[[#This Row],[Discount Band]]="medium",0.15,0.3))</f>
        <v>0.15</v>
      </c>
      <c r="I4485" s="8">
        <f>financials[[#This Row],[Gross Sales]]-financials[[#This Row],[Gross Sales]]*financials[[#This Row],[Discounts]]</f>
        <v>212.5</v>
      </c>
      <c r="J4485" s="8">
        <f>VLOOKUP(financials[[#This Row],[productid]],Products!$B$2:$H$10,4)</f>
        <v>9.1</v>
      </c>
      <c r="K4485" s="8">
        <f>financials[[#This Row],[Net Sales]]-financials[[#This Row],[COGS]]</f>
        <v>203.4</v>
      </c>
      <c r="L4485" s="15">
        <v>45345</v>
      </c>
      <c r="M4485" t="s">
        <v>691</v>
      </c>
    </row>
    <row r="4486" spans="1:13" x14ac:dyDescent="0.25">
      <c r="A4486" t="s">
        <v>86</v>
      </c>
      <c r="B4486" s="6" t="s">
        <v>159</v>
      </c>
      <c r="C4486" s="13">
        <v>104</v>
      </c>
      <c r="D4486" s="14" t="s">
        <v>83</v>
      </c>
      <c r="E4486">
        <v>17</v>
      </c>
      <c r="F4486" s="8">
        <f>VLOOKUP(financials[[#This Row],[productid]],Products!$B$2:$H$10,3)</f>
        <v>5.9</v>
      </c>
      <c r="G4486" s="8">
        <f>financials[[#This Row],[Units Sold]]*financials[[#This Row],[Sale Price]]</f>
        <v>100.30000000000001</v>
      </c>
      <c r="H4486" s="8">
        <f>IF(financials[[#This Row],[Discount Band]]="low",0.1,IF(financials[[#This Row],[Discount Band]]="medium",0.15,0.3))</f>
        <v>0.3</v>
      </c>
      <c r="I4486" s="8">
        <f>financials[[#This Row],[Gross Sales]]-financials[[#This Row],[Gross Sales]]*financials[[#This Row],[Discounts]]</f>
        <v>70.210000000000008</v>
      </c>
      <c r="J4486" s="8">
        <f>VLOOKUP(financials[[#This Row],[productid]],Products!$B$2:$H$10,4)</f>
        <v>2.9</v>
      </c>
      <c r="K4486" s="8">
        <f>financials[[#This Row],[Net Sales]]-financials[[#This Row],[COGS]]</f>
        <v>67.31</v>
      </c>
      <c r="L4486" s="15">
        <v>44966</v>
      </c>
      <c r="M4486" t="s">
        <v>697</v>
      </c>
    </row>
    <row r="4487" spans="1:13" x14ac:dyDescent="0.25">
      <c r="A4487" t="s">
        <v>88</v>
      </c>
      <c r="B4487" s="6" t="s">
        <v>159</v>
      </c>
      <c r="C4487" s="13">
        <v>109</v>
      </c>
      <c r="D4487" s="14" t="s">
        <v>83</v>
      </c>
      <c r="E4487">
        <v>13</v>
      </c>
      <c r="F4487" s="8">
        <f>VLOOKUP(financials[[#This Row],[productid]],Products!$B$2:$H$10,3)</f>
        <v>36</v>
      </c>
      <c r="G4487" s="8">
        <f>financials[[#This Row],[Units Sold]]*financials[[#This Row],[Sale Price]]</f>
        <v>468</v>
      </c>
      <c r="H4487" s="8">
        <f>IF(financials[[#This Row],[Discount Band]]="low",0.1,IF(financials[[#This Row],[Discount Band]]="medium",0.15,0.3))</f>
        <v>0.3</v>
      </c>
      <c r="I4487" s="8">
        <f>financials[[#This Row],[Gross Sales]]-financials[[#This Row],[Gross Sales]]*financials[[#This Row],[Discounts]]</f>
        <v>327.60000000000002</v>
      </c>
      <c r="J4487" s="8">
        <f>VLOOKUP(financials[[#This Row],[productid]],Products!$B$2:$H$10,4)</f>
        <v>16.8</v>
      </c>
      <c r="K4487" s="8">
        <f>financials[[#This Row],[Net Sales]]-financials[[#This Row],[COGS]]</f>
        <v>310.8</v>
      </c>
      <c r="L4487" s="15">
        <v>45653</v>
      </c>
      <c r="M4487" t="s">
        <v>697</v>
      </c>
    </row>
    <row r="4488" spans="1:13" x14ac:dyDescent="0.25">
      <c r="A4488" t="s">
        <v>88</v>
      </c>
      <c r="B4488" s="6" t="s">
        <v>84</v>
      </c>
      <c r="C4488" s="13">
        <v>107</v>
      </c>
      <c r="D4488" s="14" t="s">
        <v>91</v>
      </c>
      <c r="E4488">
        <v>5</v>
      </c>
      <c r="F4488" s="8">
        <f>VLOOKUP(financials[[#This Row],[productid]],Products!$B$2:$H$10,3)</f>
        <v>15</v>
      </c>
      <c r="G4488" s="8">
        <f>financials[[#This Row],[Units Sold]]*financials[[#This Row],[Sale Price]]</f>
        <v>75</v>
      </c>
      <c r="H4488" s="8">
        <f>IF(financials[[#This Row],[Discount Band]]="low",0.1,IF(financials[[#This Row],[Discount Band]]="medium",0.15,0.3))</f>
        <v>0.1</v>
      </c>
      <c r="I4488" s="8">
        <f>financials[[#This Row],[Gross Sales]]-financials[[#This Row],[Gross Sales]]*financials[[#This Row],[Discounts]]</f>
        <v>67.5</v>
      </c>
      <c r="J4488" s="8">
        <f>VLOOKUP(financials[[#This Row],[productid]],Products!$B$2:$H$10,4)</f>
        <v>5.5</v>
      </c>
      <c r="K4488" s="8">
        <f>financials[[#This Row],[Net Sales]]-financials[[#This Row],[COGS]]</f>
        <v>62</v>
      </c>
      <c r="L4488" s="15">
        <v>44052</v>
      </c>
      <c r="M4488" t="s">
        <v>690</v>
      </c>
    </row>
    <row r="4489" spans="1:13" x14ac:dyDescent="0.25">
      <c r="A4489" t="s">
        <v>88</v>
      </c>
      <c r="B4489" s="6" t="s">
        <v>84</v>
      </c>
      <c r="C4489" s="13">
        <v>103</v>
      </c>
      <c r="D4489" s="14" t="s">
        <v>83</v>
      </c>
      <c r="E4489">
        <v>12</v>
      </c>
      <c r="F4489" s="8">
        <f>VLOOKUP(financials[[#This Row],[productid]],Products!$B$2:$H$10,3)</f>
        <v>28</v>
      </c>
      <c r="G4489" s="8">
        <f>financials[[#This Row],[Units Sold]]*financials[[#This Row],[Sale Price]]</f>
        <v>336</v>
      </c>
      <c r="H4489" s="8">
        <f>IF(financials[[#This Row],[Discount Band]]="low",0.1,IF(financials[[#This Row],[Discount Band]]="medium",0.15,0.3))</f>
        <v>0.3</v>
      </c>
      <c r="I4489" s="8">
        <f>financials[[#This Row],[Gross Sales]]-financials[[#This Row],[Gross Sales]]*financials[[#This Row],[Discounts]]</f>
        <v>235.2</v>
      </c>
      <c r="J4489" s="8">
        <f>VLOOKUP(financials[[#This Row],[productid]],Products!$B$2:$H$10,4)</f>
        <v>15</v>
      </c>
      <c r="K4489" s="8">
        <f>financials[[#This Row],[Net Sales]]-financials[[#This Row],[COGS]]</f>
        <v>220.2</v>
      </c>
      <c r="L4489" s="15">
        <v>44304</v>
      </c>
      <c r="M4489" t="s">
        <v>696</v>
      </c>
    </row>
    <row r="4490" spans="1:13" x14ac:dyDescent="0.25">
      <c r="A4490" t="s">
        <v>86</v>
      </c>
      <c r="B4490" s="6" t="s">
        <v>84</v>
      </c>
      <c r="C4490" s="13">
        <v>102</v>
      </c>
      <c r="D4490" s="14" t="s">
        <v>92</v>
      </c>
      <c r="E4490">
        <v>18</v>
      </c>
      <c r="F4490" s="8">
        <f>VLOOKUP(financials[[#This Row],[productid]],Products!$B$2:$H$10,3)</f>
        <v>15</v>
      </c>
      <c r="G4490" s="8">
        <f>financials[[#This Row],[Units Sold]]*financials[[#This Row],[Sale Price]]</f>
        <v>270</v>
      </c>
      <c r="H4490" s="8">
        <f>IF(financials[[#This Row],[Discount Band]]="low",0.1,IF(financials[[#This Row],[Discount Band]]="medium",0.15,0.3))</f>
        <v>0.3</v>
      </c>
      <c r="I4490" s="8">
        <f>financials[[#This Row],[Gross Sales]]-financials[[#This Row],[Gross Sales]]*financials[[#This Row],[Discounts]]</f>
        <v>189</v>
      </c>
      <c r="J4490" s="8">
        <f>VLOOKUP(financials[[#This Row],[productid]],Products!$B$2:$H$10,4)</f>
        <v>13.95</v>
      </c>
      <c r="K4490" s="8">
        <f>financials[[#This Row],[Net Sales]]-financials[[#This Row],[COGS]]</f>
        <v>175.05</v>
      </c>
      <c r="L4490" s="15">
        <v>44531</v>
      </c>
      <c r="M4490" t="s">
        <v>697</v>
      </c>
    </row>
    <row r="4491" spans="1:13" x14ac:dyDescent="0.25">
      <c r="A4491" t="s">
        <v>87</v>
      </c>
      <c r="B4491" s="6" t="s">
        <v>124</v>
      </c>
      <c r="C4491" s="13">
        <v>107</v>
      </c>
      <c r="D4491" s="14" t="s">
        <v>91</v>
      </c>
      <c r="E4491">
        <v>14</v>
      </c>
      <c r="F4491" s="8">
        <f>VLOOKUP(financials[[#This Row],[productid]],Products!$B$2:$H$10,3)</f>
        <v>15</v>
      </c>
      <c r="G4491" s="8">
        <f>financials[[#This Row],[Units Sold]]*financials[[#This Row],[Sale Price]]</f>
        <v>210</v>
      </c>
      <c r="H4491" s="8">
        <f>IF(financials[[#This Row],[Discount Band]]="low",0.1,IF(financials[[#This Row],[Discount Band]]="medium",0.15,0.3))</f>
        <v>0.1</v>
      </c>
      <c r="I4491" s="8">
        <f>financials[[#This Row],[Gross Sales]]-financials[[#This Row],[Gross Sales]]*financials[[#This Row],[Discounts]]</f>
        <v>189</v>
      </c>
      <c r="J4491" s="8">
        <f>VLOOKUP(financials[[#This Row],[productid]],Products!$B$2:$H$10,4)</f>
        <v>5.5</v>
      </c>
      <c r="K4491" s="8">
        <f>financials[[#This Row],[Net Sales]]-financials[[#This Row],[COGS]]</f>
        <v>183.5</v>
      </c>
      <c r="L4491" s="15">
        <v>44239</v>
      </c>
      <c r="M4491" t="s">
        <v>697</v>
      </c>
    </row>
    <row r="4492" spans="1:13" x14ac:dyDescent="0.25">
      <c r="A4492" t="s">
        <v>87</v>
      </c>
      <c r="B4492" s="6" t="s">
        <v>159</v>
      </c>
      <c r="C4492" s="13">
        <v>101</v>
      </c>
      <c r="D4492" s="14" t="s">
        <v>83</v>
      </c>
      <c r="E4492">
        <v>12</v>
      </c>
      <c r="F4492" s="8">
        <f>VLOOKUP(financials[[#This Row],[productid]],Products!$B$2:$H$10,3)</f>
        <v>23</v>
      </c>
      <c r="G4492" s="8">
        <f>financials[[#This Row],[Units Sold]]*financials[[#This Row],[Sale Price]]</f>
        <v>276</v>
      </c>
      <c r="H4492" s="8">
        <f>IF(financials[[#This Row],[Discount Band]]="low",0.1,IF(financials[[#This Row],[Discount Band]]="medium",0.15,0.3))</f>
        <v>0.3</v>
      </c>
      <c r="I4492" s="8">
        <f>financials[[#This Row],[Gross Sales]]-financials[[#This Row],[Gross Sales]]*financials[[#This Row],[Discounts]]</f>
        <v>193.2</v>
      </c>
      <c r="J4492" s="8">
        <f>VLOOKUP(financials[[#This Row],[productid]],Products!$B$2:$H$10,4)</f>
        <v>9.9499999999999993</v>
      </c>
      <c r="K4492" s="8">
        <f>financials[[#This Row],[Net Sales]]-financials[[#This Row],[COGS]]</f>
        <v>183.25</v>
      </c>
      <c r="L4492" s="15">
        <v>44953</v>
      </c>
      <c r="M4492" t="s">
        <v>700</v>
      </c>
    </row>
    <row r="4493" spans="1:13" x14ac:dyDescent="0.25">
      <c r="A4493" t="s">
        <v>86</v>
      </c>
      <c r="B4493" s="6" t="s">
        <v>84</v>
      </c>
      <c r="C4493" s="13">
        <v>105</v>
      </c>
      <c r="D4493" s="14" t="s">
        <v>90</v>
      </c>
      <c r="E4493">
        <v>17</v>
      </c>
      <c r="F4493" s="8">
        <f>VLOOKUP(financials[[#This Row],[productid]],Products!$B$2:$H$10,3)</f>
        <v>15</v>
      </c>
      <c r="G4493" s="8">
        <f>financials[[#This Row],[Units Sold]]*financials[[#This Row],[Sale Price]]</f>
        <v>255</v>
      </c>
      <c r="H4493" s="8">
        <f>IF(financials[[#This Row],[Discount Band]]="low",0.1,IF(financials[[#This Row],[Discount Band]]="medium",0.15,0.3))</f>
        <v>0.15</v>
      </c>
      <c r="I4493" s="8">
        <f>financials[[#This Row],[Gross Sales]]-financials[[#This Row],[Gross Sales]]*financials[[#This Row],[Discounts]]</f>
        <v>216.75</v>
      </c>
      <c r="J4493" s="8">
        <f>VLOOKUP(financials[[#This Row],[productid]],Products!$B$2:$H$10,4)</f>
        <v>10</v>
      </c>
      <c r="K4493" s="8">
        <f>financials[[#This Row],[Net Sales]]-financials[[#This Row],[COGS]]</f>
        <v>206.75</v>
      </c>
      <c r="L4493" s="15">
        <v>44941</v>
      </c>
      <c r="M4493" t="s">
        <v>691</v>
      </c>
    </row>
    <row r="4494" spans="1:13" x14ac:dyDescent="0.25">
      <c r="A4494" t="s">
        <v>87</v>
      </c>
      <c r="B4494" s="6" t="s">
        <v>159</v>
      </c>
      <c r="C4494" s="13">
        <v>108</v>
      </c>
      <c r="D4494" s="14" t="s">
        <v>91</v>
      </c>
      <c r="E4494">
        <v>20</v>
      </c>
      <c r="F4494" s="8">
        <f>VLOOKUP(financials[[#This Row],[productid]],Products!$B$2:$H$10,3)</f>
        <v>5.5</v>
      </c>
      <c r="G4494" s="8">
        <f>financials[[#This Row],[Units Sold]]*financials[[#This Row],[Sale Price]]</f>
        <v>110</v>
      </c>
      <c r="H4494" s="8">
        <f>IF(financials[[#This Row],[Discount Band]]="low",0.1,IF(financials[[#This Row],[Discount Band]]="medium",0.15,0.3))</f>
        <v>0.1</v>
      </c>
      <c r="I4494" s="8">
        <f>financials[[#This Row],[Gross Sales]]-financials[[#This Row],[Gross Sales]]*financials[[#This Row],[Discounts]]</f>
        <v>99</v>
      </c>
      <c r="J4494" s="8">
        <f>VLOOKUP(financials[[#This Row],[productid]],Products!$B$2:$H$10,4)</f>
        <v>3.99</v>
      </c>
      <c r="K4494" s="8">
        <f>financials[[#This Row],[Net Sales]]-financials[[#This Row],[COGS]]</f>
        <v>95.01</v>
      </c>
      <c r="L4494" s="15">
        <v>44297</v>
      </c>
      <c r="M4494" t="s">
        <v>690</v>
      </c>
    </row>
    <row r="4495" spans="1:13" x14ac:dyDescent="0.25">
      <c r="A4495" t="s">
        <v>87</v>
      </c>
      <c r="B4495" s="6" t="s">
        <v>159</v>
      </c>
      <c r="C4495" s="13">
        <v>102</v>
      </c>
      <c r="D4495" s="14" t="s">
        <v>91</v>
      </c>
      <c r="E4495">
        <v>12</v>
      </c>
      <c r="F4495" s="8">
        <f>VLOOKUP(financials[[#This Row],[productid]],Products!$B$2:$H$10,3)</f>
        <v>15</v>
      </c>
      <c r="G4495" s="8">
        <f>financials[[#This Row],[Units Sold]]*financials[[#This Row],[Sale Price]]</f>
        <v>180</v>
      </c>
      <c r="H4495" s="8">
        <f>IF(financials[[#This Row],[Discount Band]]="low",0.1,IF(financials[[#This Row],[Discount Band]]="medium",0.15,0.3))</f>
        <v>0.1</v>
      </c>
      <c r="I4495" s="8">
        <f>financials[[#This Row],[Gross Sales]]-financials[[#This Row],[Gross Sales]]*financials[[#This Row],[Discounts]]</f>
        <v>162</v>
      </c>
      <c r="J4495" s="8">
        <f>VLOOKUP(financials[[#This Row],[productid]],Products!$B$2:$H$10,4)</f>
        <v>13.95</v>
      </c>
      <c r="K4495" s="8">
        <f>financials[[#This Row],[Net Sales]]-financials[[#This Row],[COGS]]</f>
        <v>148.05000000000001</v>
      </c>
      <c r="L4495" s="15">
        <v>44495</v>
      </c>
      <c r="M4495" t="s">
        <v>690</v>
      </c>
    </row>
    <row r="4496" spans="1:13" x14ac:dyDescent="0.25">
      <c r="A4496" t="s">
        <v>86</v>
      </c>
      <c r="B4496" s="6" t="s">
        <v>84</v>
      </c>
      <c r="C4496" s="13">
        <v>103</v>
      </c>
      <c r="D4496" s="14" t="s">
        <v>91</v>
      </c>
      <c r="E4496">
        <v>6</v>
      </c>
      <c r="F4496" s="8">
        <f>VLOOKUP(financials[[#This Row],[productid]],Products!$B$2:$H$10,3)</f>
        <v>28</v>
      </c>
      <c r="G4496" s="8">
        <f>financials[[#This Row],[Units Sold]]*financials[[#This Row],[Sale Price]]</f>
        <v>168</v>
      </c>
      <c r="H4496" s="8">
        <f>IF(financials[[#This Row],[Discount Band]]="low",0.1,IF(financials[[#This Row],[Discount Band]]="medium",0.15,0.3))</f>
        <v>0.1</v>
      </c>
      <c r="I4496" s="8">
        <f>financials[[#This Row],[Gross Sales]]-financials[[#This Row],[Gross Sales]]*financials[[#This Row],[Discounts]]</f>
        <v>151.19999999999999</v>
      </c>
      <c r="J4496" s="8">
        <f>VLOOKUP(financials[[#This Row],[productid]],Products!$B$2:$H$10,4)</f>
        <v>15</v>
      </c>
      <c r="K4496" s="8">
        <f>financials[[#This Row],[Net Sales]]-financials[[#This Row],[COGS]]</f>
        <v>136.19999999999999</v>
      </c>
      <c r="L4496" s="15">
        <v>44131</v>
      </c>
      <c r="M4496" t="s">
        <v>691</v>
      </c>
    </row>
    <row r="4497" spans="1:13" x14ac:dyDescent="0.25">
      <c r="A4497" t="s">
        <v>87</v>
      </c>
      <c r="B4497" s="6" t="s">
        <v>124</v>
      </c>
      <c r="C4497" s="13">
        <v>105</v>
      </c>
      <c r="D4497" s="14" t="s">
        <v>90</v>
      </c>
      <c r="E4497">
        <v>19</v>
      </c>
      <c r="F4497" s="8">
        <f>VLOOKUP(financials[[#This Row],[productid]],Products!$B$2:$H$10,3)</f>
        <v>15</v>
      </c>
      <c r="G4497" s="8">
        <f>financials[[#This Row],[Units Sold]]*financials[[#This Row],[Sale Price]]</f>
        <v>285</v>
      </c>
      <c r="H4497" s="8">
        <f>IF(financials[[#This Row],[Discount Band]]="low",0.1,IF(financials[[#This Row],[Discount Band]]="medium",0.15,0.3))</f>
        <v>0.15</v>
      </c>
      <c r="I4497" s="8">
        <f>financials[[#This Row],[Gross Sales]]-financials[[#This Row],[Gross Sales]]*financials[[#This Row],[Discounts]]</f>
        <v>242.25</v>
      </c>
      <c r="J4497" s="8">
        <f>VLOOKUP(financials[[#This Row],[productid]],Products!$B$2:$H$10,4)</f>
        <v>10</v>
      </c>
      <c r="K4497" s="8">
        <f>financials[[#This Row],[Net Sales]]-financials[[#This Row],[COGS]]</f>
        <v>232.25</v>
      </c>
      <c r="L4497" s="15">
        <v>44929</v>
      </c>
      <c r="M4497" t="s">
        <v>700</v>
      </c>
    </row>
    <row r="4498" spans="1:13" x14ac:dyDescent="0.25">
      <c r="A4498" t="s">
        <v>87</v>
      </c>
      <c r="B4498" s="6" t="s">
        <v>159</v>
      </c>
      <c r="C4498" s="13">
        <v>109</v>
      </c>
      <c r="D4498" s="14" t="s">
        <v>90</v>
      </c>
      <c r="E4498">
        <v>7</v>
      </c>
      <c r="F4498" s="8">
        <f>VLOOKUP(financials[[#This Row],[productid]],Products!$B$2:$H$10,3)</f>
        <v>36</v>
      </c>
      <c r="G4498" s="8">
        <f>financials[[#This Row],[Units Sold]]*financials[[#This Row],[Sale Price]]</f>
        <v>252</v>
      </c>
      <c r="H4498" s="8">
        <f>IF(financials[[#This Row],[Discount Band]]="low",0.1,IF(financials[[#This Row],[Discount Band]]="medium",0.15,0.3))</f>
        <v>0.15</v>
      </c>
      <c r="I4498" s="8">
        <f>financials[[#This Row],[Gross Sales]]-financials[[#This Row],[Gross Sales]]*financials[[#This Row],[Discounts]]</f>
        <v>214.2</v>
      </c>
      <c r="J4498" s="8">
        <f>VLOOKUP(financials[[#This Row],[productid]],Products!$B$2:$H$10,4)</f>
        <v>16.8</v>
      </c>
      <c r="K4498" s="8">
        <f>financials[[#This Row],[Net Sales]]-financials[[#This Row],[COGS]]</f>
        <v>197.39999999999998</v>
      </c>
      <c r="L4498" s="15">
        <v>45163</v>
      </c>
      <c r="M4498" t="s">
        <v>690</v>
      </c>
    </row>
    <row r="4499" spans="1:13" x14ac:dyDescent="0.25">
      <c r="A4499" t="s">
        <v>88</v>
      </c>
      <c r="B4499" s="6" t="s">
        <v>124</v>
      </c>
      <c r="C4499" s="13">
        <v>103</v>
      </c>
      <c r="D4499" s="14" t="s">
        <v>91</v>
      </c>
      <c r="E4499">
        <v>15</v>
      </c>
      <c r="F4499" s="8">
        <f>VLOOKUP(financials[[#This Row],[productid]],Products!$B$2:$H$10,3)</f>
        <v>28</v>
      </c>
      <c r="G4499" s="8">
        <f>financials[[#This Row],[Units Sold]]*financials[[#This Row],[Sale Price]]</f>
        <v>420</v>
      </c>
      <c r="H4499" s="8">
        <f>IF(financials[[#This Row],[Discount Band]]="low",0.1,IF(financials[[#This Row],[Discount Band]]="medium",0.15,0.3))</f>
        <v>0.1</v>
      </c>
      <c r="I4499" s="8">
        <f>financials[[#This Row],[Gross Sales]]-financials[[#This Row],[Gross Sales]]*financials[[#This Row],[Discounts]]</f>
        <v>378</v>
      </c>
      <c r="J4499" s="8">
        <f>VLOOKUP(financials[[#This Row],[productid]],Products!$B$2:$H$10,4)</f>
        <v>15</v>
      </c>
      <c r="K4499" s="8">
        <f>financials[[#This Row],[Net Sales]]-financials[[#This Row],[COGS]]</f>
        <v>363</v>
      </c>
      <c r="L4499" s="15">
        <v>44096</v>
      </c>
      <c r="M4499" t="s">
        <v>691</v>
      </c>
    </row>
    <row r="4500" spans="1:13" x14ac:dyDescent="0.25">
      <c r="A4500" t="s">
        <v>88</v>
      </c>
      <c r="B4500" s="6" t="s">
        <v>84</v>
      </c>
      <c r="C4500" s="11">
        <v>107</v>
      </c>
      <c r="D4500" s="9" t="s">
        <v>90</v>
      </c>
      <c r="E4500">
        <v>7</v>
      </c>
      <c r="F4500" s="8">
        <f>VLOOKUP(financials[[#This Row],[productid]],Products!$B$2:$H$10,3)</f>
        <v>15</v>
      </c>
      <c r="G4500" s="8">
        <f>financials[[#This Row],[Units Sold]]*financials[[#This Row],[Sale Price]]</f>
        <v>105</v>
      </c>
      <c r="H4500" s="8">
        <f>IF(financials[[#This Row],[Discount Band]]="low",0.1,IF(financials[[#This Row],[Discount Band]]="medium",0.15,0.3))</f>
        <v>0.15</v>
      </c>
      <c r="I4500" s="8">
        <f>financials[[#This Row],[Gross Sales]]-financials[[#This Row],[Gross Sales]]*financials[[#This Row],[Discounts]]</f>
        <v>89.25</v>
      </c>
      <c r="J4500" s="8">
        <f>VLOOKUP(financials[[#This Row],[productid]],Products!$B$2:$H$10,4)</f>
        <v>5.5</v>
      </c>
      <c r="K4500" s="8">
        <f>financials[[#This Row],[Net Sales]]-financials[[#This Row],[COGS]]</f>
        <v>83.75</v>
      </c>
      <c r="L4500" s="15">
        <v>44153</v>
      </c>
      <c r="M4500" t="s">
        <v>690</v>
      </c>
    </row>
    <row r="4501" spans="1:13" x14ac:dyDescent="0.25">
      <c r="A4501" t="s">
        <v>88</v>
      </c>
      <c r="B4501" s="6" t="s">
        <v>84</v>
      </c>
      <c r="C4501" s="13">
        <v>104</v>
      </c>
      <c r="D4501" s="14" t="s">
        <v>90</v>
      </c>
      <c r="E4501">
        <v>18</v>
      </c>
      <c r="F4501" s="8">
        <f>VLOOKUP(financials[[#This Row],[productid]],Products!$B$2:$H$10,3)</f>
        <v>5.9</v>
      </c>
      <c r="G4501" s="8">
        <f>financials[[#This Row],[Units Sold]]*financials[[#This Row],[Sale Price]]</f>
        <v>106.2</v>
      </c>
      <c r="H4501" s="8">
        <f>IF(financials[[#This Row],[Discount Band]]="low",0.1,IF(financials[[#This Row],[Discount Band]]="medium",0.15,0.3))</f>
        <v>0.15</v>
      </c>
      <c r="I4501" s="8">
        <f>financials[[#This Row],[Gross Sales]]-financials[[#This Row],[Gross Sales]]*financials[[#This Row],[Discounts]]</f>
        <v>90.27000000000001</v>
      </c>
      <c r="J4501" s="8">
        <f>VLOOKUP(financials[[#This Row],[productid]],Products!$B$2:$H$10,4)</f>
        <v>2.9</v>
      </c>
      <c r="K4501" s="8">
        <f>financials[[#This Row],[Net Sales]]-financials[[#This Row],[COGS]]</f>
        <v>87.37</v>
      </c>
      <c r="L4501" s="15">
        <v>44348</v>
      </c>
      <c r="M4501" t="s">
        <v>700</v>
      </c>
    </row>
    <row r="4502" spans="1:13" x14ac:dyDescent="0.25">
      <c r="A4502" t="s">
        <v>86</v>
      </c>
      <c r="B4502" s="6" t="s">
        <v>159</v>
      </c>
      <c r="C4502" s="13">
        <v>108</v>
      </c>
      <c r="D4502" s="14" t="s">
        <v>91</v>
      </c>
      <c r="E4502">
        <v>10</v>
      </c>
      <c r="F4502" s="8">
        <f>VLOOKUP(financials[[#This Row],[productid]],Products!$B$2:$H$10,3)</f>
        <v>5.5</v>
      </c>
      <c r="G4502" s="8">
        <f>financials[[#This Row],[Units Sold]]*financials[[#This Row],[Sale Price]]</f>
        <v>55</v>
      </c>
      <c r="H4502" s="8">
        <f>IF(financials[[#This Row],[Discount Band]]="low",0.1,IF(financials[[#This Row],[Discount Band]]="medium",0.15,0.3))</f>
        <v>0.1</v>
      </c>
      <c r="I4502" s="8">
        <f>financials[[#This Row],[Gross Sales]]-financials[[#This Row],[Gross Sales]]*financials[[#This Row],[Discounts]]</f>
        <v>49.5</v>
      </c>
      <c r="J4502" s="8">
        <f>VLOOKUP(financials[[#This Row],[productid]],Products!$B$2:$H$10,4)</f>
        <v>3.99</v>
      </c>
      <c r="K4502" s="8">
        <f>financials[[#This Row],[Net Sales]]-financials[[#This Row],[COGS]]</f>
        <v>45.51</v>
      </c>
      <c r="L4502" s="15">
        <v>44403</v>
      </c>
      <c r="M4502" t="s">
        <v>700</v>
      </c>
    </row>
    <row r="4503" spans="1:13" x14ac:dyDescent="0.25">
      <c r="A4503" t="s">
        <v>86</v>
      </c>
      <c r="B4503" s="6" t="s">
        <v>84</v>
      </c>
      <c r="C4503" s="13">
        <v>106</v>
      </c>
      <c r="D4503" s="14" t="s">
        <v>90</v>
      </c>
      <c r="E4503">
        <v>6</v>
      </c>
      <c r="F4503" s="8">
        <f>VLOOKUP(financials[[#This Row],[productid]],Products!$B$2:$H$10,3)</f>
        <v>25</v>
      </c>
      <c r="G4503" s="8">
        <f>financials[[#This Row],[Units Sold]]*financials[[#This Row],[Sale Price]]</f>
        <v>150</v>
      </c>
      <c r="H4503" s="8">
        <f>IF(financials[[#This Row],[Discount Band]]="low",0.1,IF(financials[[#This Row],[Discount Band]]="medium",0.15,0.3))</f>
        <v>0.15</v>
      </c>
      <c r="I4503" s="8">
        <f>financials[[#This Row],[Gross Sales]]-financials[[#This Row],[Gross Sales]]*financials[[#This Row],[Discounts]]</f>
        <v>127.5</v>
      </c>
      <c r="J4503" s="8">
        <f>VLOOKUP(financials[[#This Row],[productid]],Products!$B$2:$H$10,4)</f>
        <v>9.1</v>
      </c>
      <c r="K4503" s="8">
        <f>financials[[#This Row],[Net Sales]]-financials[[#This Row],[COGS]]</f>
        <v>118.4</v>
      </c>
      <c r="L4503" s="15">
        <v>44316</v>
      </c>
      <c r="M4503" t="s">
        <v>690</v>
      </c>
    </row>
    <row r="4504" spans="1:13" x14ac:dyDescent="0.25">
      <c r="A4504" t="s">
        <v>87</v>
      </c>
      <c r="B4504" s="6" t="s">
        <v>159</v>
      </c>
      <c r="C4504" s="13">
        <v>106</v>
      </c>
      <c r="D4504" s="14" t="s">
        <v>83</v>
      </c>
      <c r="E4504">
        <v>6</v>
      </c>
      <c r="F4504" s="8">
        <f>VLOOKUP(financials[[#This Row],[productid]],Products!$B$2:$H$10,3)</f>
        <v>25</v>
      </c>
      <c r="G4504" s="8">
        <f>financials[[#This Row],[Units Sold]]*financials[[#This Row],[Sale Price]]</f>
        <v>150</v>
      </c>
      <c r="H4504" s="8">
        <f>IF(financials[[#This Row],[Discount Band]]="low",0.1,IF(financials[[#This Row],[Discount Band]]="medium",0.15,0.3))</f>
        <v>0.3</v>
      </c>
      <c r="I4504" s="8">
        <f>financials[[#This Row],[Gross Sales]]-financials[[#This Row],[Gross Sales]]*financials[[#This Row],[Discounts]]</f>
        <v>105</v>
      </c>
      <c r="J4504" s="8">
        <f>VLOOKUP(financials[[#This Row],[productid]],Products!$B$2:$H$10,4)</f>
        <v>9.1</v>
      </c>
      <c r="K4504" s="8">
        <f>financials[[#This Row],[Net Sales]]-financials[[#This Row],[COGS]]</f>
        <v>95.9</v>
      </c>
      <c r="L4504" s="15">
        <v>44610</v>
      </c>
      <c r="M4504" t="s">
        <v>690</v>
      </c>
    </row>
    <row r="4505" spans="1:13" x14ac:dyDescent="0.25">
      <c r="A4505" t="s">
        <v>87</v>
      </c>
      <c r="B4505" s="6" t="s">
        <v>159</v>
      </c>
      <c r="C4505" s="13">
        <v>101</v>
      </c>
      <c r="D4505" s="14" t="s">
        <v>91</v>
      </c>
      <c r="E4505">
        <v>8</v>
      </c>
      <c r="F4505" s="8">
        <f>VLOOKUP(financials[[#This Row],[productid]],Products!$B$2:$H$10,3)</f>
        <v>23</v>
      </c>
      <c r="G4505" s="8">
        <f>financials[[#This Row],[Units Sold]]*financials[[#This Row],[Sale Price]]</f>
        <v>184</v>
      </c>
      <c r="H4505" s="8">
        <f>IF(financials[[#This Row],[Discount Band]]="low",0.1,IF(financials[[#This Row],[Discount Band]]="medium",0.15,0.3))</f>
        <v>0.1</v>
      </c>
      <c r="I4505" s="8">
        <f>financials[[#This Row],[Gross Sales]]-financials[[#This Row],[Gross Sales]]*financials[[#This Row],[Discounts]]</f>
        <v>165.6</v>
      </c>
      <c r="J4505" s="8">
        <f>VLOOKUP(financials[[#This Row],[productid]],Products!$B$2:$H$10,4)</f>
        <v>9.9499999999999993</v>
      </c>
      <c r="K4505" s="8">
        <f>financials[[#This Row],[Net Sales]]-financials[[#This Row],[COGS]]</f>
        <v>155.65</v>
      </c>
      <c r="L4505" s="15">
        <v>43934</v>
      </c>
      <c r="M4505" t="s">
        <v>700</v>
      </c>
    </row>
    <row r="4506" spans="1:13" x14ac:dyDescent="0.25">
      <c r="A4506" t="s">
        <v>86</v>
      </c>
      <c r="B4506" s="6" t="s">
        <v>84</v>
      </c>
      <c r="C4506" s="13">
        <v>109</v>
      </c>
      <c r="D4506" s="14" t="s">
        <v>83</v>
      </c>
      <c r="E4506">
        <v>17</v>
      </c>
      <c r="F4506" s="8">
        <f>VLOOKUP(financials[[#This Row],[productid]],Products!$B$2:$H$10,3)</f>
        <v>36</v>
      </c>
      <c r="G4506" s="8">
        <f>financials[[#This Row],[Units Sold]]*financials[[#This Row],[Sale Price]]</f>
        <v>612</v>
      </c>
      <c r="H4506" s="8">
        <f>IF(financials[[#This Row],[Discount Band]]="low",0.1,IF(financials[[#This Row],[Discount Band]]="medium",0.15,0.3))</f>
        <v>0.3</v>
      </c>
      <c r="I4506" s="8">
        <f>financials[[#This Row],[Gross Sales]]-financials[[#This Row],[Gross Sales]]*financials[[#This Row],[Discounts]]</f>
        <v>428.4</v>
      </c>
      <c r="J4506" s="8">
        <f>VLOOKUP(financials[[#This Row],[productid]],Products!$B$2:$H$10,4)</f>
        <v>16.8</v>
      </c>
      <c r="K4506" s="8">
        <f>financials[[#This Row],[Net Sales]]-financials[[#This Row],[COGS]]</f>
        <v>411.59999999999997</v>
      </c>
      <c r="L4506" s="15">
        <v>45186</v>
      </c>
      <c r="M4506" t="s">
        <v>697</v>
      </c>
    </row>
    <row r="4507" spans="1:13" x14ac:dyDescent="0.25">
      <c r="A4507" t="s">
        <v>87</v>
      </c>
      <c r="B4507" s="6" t="s">
        <v>159</v>
      </c>
      <c r="C4507" s="11">
        <v>105</v>
      </c>
      <c r="D4507" s="9" t="s">
        <v>91</v>
      </c>
      <c r="E4507">
        <v>5</v>
      </c>
      <c r="F4507" s="8">
        <f>VLOOKUP(financials[[#This Row],[productid]],Products!$B$2:$H$10,3)</f>
        <v>15</v>
      </c>
      <c r="G4507" s="8">
        <f>financials[[#This Row],[Units Sold]]*financials[[#This Row],[Sale Price]]</f>
        <v>75</v>
      </c>
      <c r="H4507" s="8">
        <f>IF(financials[[#This Row],[Discount Band]]="low",0.1,IF(financials[[#This Row],[Discount Band]]="medium",0.15,0.3))</f>
        <v>0.1</v>
      </c>
      <c r="I4507" s="8">
        <f>financials[[#This Row],[Gross Sales]]-financials[[#This Row],[Gross Sales]]*financials[[#This Row],[Discounts]]</f>
        <v>67.5</v>
      </c>
      <c r="J4507" s="8">
        <f>VLOOKUP(financials[[#This Row],[productid]],Products!$B$2:$H$10,4)</f>
        <v>10</v>
      </c>
      <c r="K4507" s="8">
        <f>financials[[#This Row],[Net Sales]]-financials[[#This Row],[COGS]]</f>
        <v>57.5</v>
      </c>
      <c r="L4507" s="15">
        <v>44025</v>
      </c>
      <c r="M4507" t="s">
        <v>700</v>
      </c>
    </row>
    <row r="4508" spans="1:13" x14ac:dyDescent="0.25">
      <c r="A4508" t="s">
        <v>88</v>
      </c>
      <c r="B4508" s="6" t="s">
        <v>124</v>
      </c>
      <c r="C4508" s="13">
        <v>102</v>
      </c>
      <c r="D4508" s="14" t="s">
        <v>83</v>
      </c>
      <c r="E4508">
        <v>7</v>
      </c>
      <c r="F4508" s="8">
        <f>VLOOKUP(financials[[#This Row],[productid]],Products!$B$2:$H$10,3)</f>
        <v>15</v>
      </c>
      <c r="G4508" s="8">
        <f>financials[[#This Row],[Units Sold]]*financials[[#This Row],[Sale Price]]</f>
        <v>105</v>
      </c>
      <c r="H4508" s="8">
        <f>IF(financials[[#This Row],[Discount Band]]="low",0.1,IF(financials[[#This Row],[Discount Band]]="medium",0.15,0.3))</f>
        <v>0.3</v>
      </c>
      <c r="I4508" s="8">
        <f>financials[[#This Row],[Gross Sales]]-financials[[#This Row],[Gross Sales]]*financials[[#This Row],[Discounts]]</f>
        <v>73.5</v>
      </c>
      <c r="J4508" s="8">
        <f>VLOOKUP(financials[[#This Row],[productid]],Products!$B$2:$H$10,4)</f>
        <v>13.95</v>
      </c>
      <c r="K4508" s="8">
        <f>financials[[#This Row],[Net Sales]]-financials[[#This Row],[COGS]]</f>
        <v>59.55</v>
      </c>
      <c r="L4508" s="15">
        <v>45211</v>
      </c>
      <c r="M4508" t="s">
        <v>697</v>
      </c>
    </row>
    <row r="4509" spans="1:13" x14ac:dyDescent="0.25">
      <c r="A4509" t="s">
        <v>88</v>
      </c>
      <c r="B4509" s="6" t="s">
        <v>84</v>
      </c>
      <c r="C4509" s="13">
        <v>109</v>
      </c>
      <c r="D4509" s="14" t="s">
        <v>83</v>
      </c>
      <c r="E4509">
        <v>15</v>
      </c>
      <c r="F4509" s="8">
        <f>VLOOKUP(financials[[#This Row],[productid]],Products!$B$2:$H$10,3)</f>
        <v>36</v>
      </c>
      <c r="G4509" s="8">
        <f>financials[[#This Row],[Units Sold]]*financials[[#This Row],[Sale Price]]</f>
        <v>540</v>
      </c>
      <c r="H4509" s="8">
        <f>IF(financials[[#This Row],[Discount Band]]="low",0.1,IF(financials[[#This Row],[Discount Band]]="medium",0.15,0.3))</f>
        <v>0.3</v>
      </c>
      <c r="I4509" s="8">
        <f>financials[[#This Row],[Gross Sales]]-financials[[#This Row],[Gross Sales]]*financials[[#This Row],[Discounts]]</f>
        <v>378</v>
      </c>
      <c r="J4509" s="8">
        <f>VLOOKUP(financials[[#This Row],[productid]],Products!$B$2:$H$10,4)</f>
        <v>16.8</v>
      </c>
      <c r="K4509" s="8">
        <f>financials[[#This Row],[Net Sales]]-financials[[#This Row],[COGS]]</f>
        <v>361.2</v>
      </c>
      <c r="L4509" s="15">
        <v>44628</v>
      </c>
      <c r="M4509" t="s">
        <v>696</v>
      </c>
    </row>
    <row r="4510" spans="1:13" x14ac:dyDescent="0.25">
      <c r="A4510" t="s">
        <v>86</v>
      </c>
      <c r="B4510" s="6" t="s">
        <v>159</v>
      </c>
      <c r="C4510" s="13">
        <v>104</v>
      </c>
      <c r="D4510" s="14" t="s">
        <v>90</v>
      </c>
      <c r="E4510">
        <v>12</v>
      </c>
      <c r="F4510" s="8">
        <f>VLOOKUP(financials[[#This Row],[productid]],Products!$B$2:$H$10,3)</f>
        <v>5.9</v>
      </c>
      <c r="G4510" s="8">
        <f>financials[[#This Row],[Units Sold]]*financials[[#This Row],[Sale Price]]</f>
        <v>70.800000000000011</v>
      </c>
      <c r="H4510" s="8">
        <f>IF(financials[[#This Row],[Discount Band]]="low",0.1,IF(financials[[#This Row],[Discount Band]]="medium",0.15,0.3))</f>
        <v>0.15</v>
      </c>
      <c r="I4510" s="8">
        <f>financials[[#This Row],[Gross Sales]]-financials[[#This Row],[Gross Sales]]*financials[[#This Row],[Discounts]]</f>
        <v>60.180000000000007</v>
      </c>
      <c r="J4510" s="8">
        <f>VLOOKUP(financials[[#This Row],[productid]],Products!$B$2:$H$10,4)</f>
        <v>2.9</v>
      </c>
      <c r="K4510" s="8">
        <f>financials[[#This Row],[Net Sales]]-financials[[#This Row],[COGS]]</f>
        <v>57.280000000000008</v>
      </c>
      <c r="L4510" s="15">
        <v>44538</v>
      </c>
      <c r="M4510" t="s">
        <v>691</v>
      </c>
    </row>
    <row r="4511" spans="1:13" x14ac:dyDescent="0.25">
      <c r="A4511" t="s">
        <v>88</v>
      </c>
      <c r="B4511" s="6" t="s">
        <v>159</v>
      </c>
      <c r="C4511" s="13">
        <v>104</v>
      </c>
      <c r="D4511" s="14" t="s">
        <v>90</v>
      </c>
      <c r="E4511">
        <v>8</v>
      </c>
      <c r="F4511" s="8">
        <f>VLOOKUP(financials[[#This Row],[productid]],Products!$B$2:$H$10,3)</f>
        <v>5.9</v>
      </c>
      <c r="G4511" s="8">
        <f>financials[[#This Row],[Units Sold]]*financials[[#This Row],[Sale Price]]</f>
        <v>47.2</v>
      </c>
      <c r="H4511" s="8">
        <f>IF(financials[[#This Row],[Discount Band]]="low",0.1,IF(financials[[#This Row],[Discount Band]]="medium",0.15,0.3))</f>
        <v>0.15</v>
      </c>
      <c r="I4511" s="8">
        <f>financials[[#This Row],[Gross Sales]]-financials[[#This Row],[Gross Sales]]*financials[[#This Row],[Discounts]]</f>
        <v>40.120000000000005</v>
      </c>
      <c r="J4511" s="8">
        <f>VLOOKUP(financials[[#This Row],[productid]],Products!$B$2:$H$10,4)</f>
        <v>2.9</v>
      </c>
      <c r="K4511" s="8">
        <f>financials[[#This Row],[Net Sales]]-financials[[#This Row],[COGS]]</f>
        <v>37.220000000000006</v>
      </c>
      <c r="L4511" s="15">
        <v>44857</v>
      </c>
      <c r="M4511" t="s">
        <v>690</v>
      </c>
    </row>
    <row r="4512" spans="1:13" x14ac:dyDescent="0.25">
      <c r="A4512" t="s">
        <v>88</v>
      </c>
      <c r="B4512" s="6" t="s">
        <v>84</v>
      </c>
      <c r="C4512" s="11">
        <v>103</v>
      </c>
      <c r="D4512" s="9" t="s">
        <v>90</v>
      </c>
      <c r="E4512">
        <v>6</v>
      </c>
      <c r="F4512" s="8">
        <f>VLOOKUP(financials[[#This Row],[productid]],Products!$B$2:$H$10,3)</f>
        <v>28</v>
      </c>
      <c r="G4512" s="8">
        <f>financials[[#This Row],[Units Sold]]*financials[[#This Row],[Sale Price]]</f>
        <v>168</v>
      </c>
      <c r="H4512" s="8">
        <f>IF(financials[[#This Row],[Discount Band]]="low",0.1,IF(financials[[#This Row],[Discount Band]]="medium",0.15,0.3))</f>
        <v>0.15</v>
      </c>
      <c r="I4512" s="8">
        <f>financials[[#This Row],[Gross Sales]]-financials[[#This Row],[Gross Sales]]*financials[[#This Row],[Discounts]]</f>
        <v>142.80000000000001</v>
      </c>
      <c r="J4512" s="8">
        <f>VLOOKUP(financials[[#This Row],[productid]],Products!$B$2:$H$10,4)</f>
        <v>15</v>
      </c>
      <c r="K4512" s="8">
        <f>financials[[#This Row],[Net Sales]]-financials[[#This Row],[COGS]]</f>
        <v>127.80000000000001</v>
      </c>
      <c r="L4512" s="15">
        <v>45646</v>
      </c>
      <c r="M4512" t="s">
        <v>690</v>
      </c>
    </row>
    <row r="4513" spans="1:13" x14ac:dyDescent="0.25">
      <c r="A4513" t="s">
        <v>88</v>
      </c>
      <c r="B4513" s="6" t="s">
        <v>84</v>
      </c>
      <c r="C4513" s="13">
        <v>102</v>
      </c>
      <c r="D4513" s="14" t="s">
        <v>91</v>
      </c>
      <c r="E4513">
        <v>16</v>
      </c>
      <c r="F4513" s="8">
        <f>VLOOKUP(financials[[#This Row],[productid]],Products!$B$2:$H$10,3)</f>
        <v>15</v>
      </c>
      <c r="G4513" s="8">
        <f>financials[[#This Row],[Units Sold]]*financials[[#This Row],[Sale Price]]</f>
        <v>240</v>
      </c>
      <c r="H4513" s="8">
        <f>IF(financials[[#This Row],[Discount Band]]="low",0.1,IF(financials[[#This Row],[Discount Band]]="medium",0.15,0.3))</f>
        <v>0.1</v>
      </c>
      <c r="I4513" s="8">
        <f>financials[[#This Row],[Gross Sales]]-financials[[#This Row],[Gross Sales]]*financials[[#This Row],[Discounts]]</f>
        <v>216</v>
      </c>
      <c r="J4513" s="8">
        <f>VLOOKUP(financials[[#This Row],[productid]],Products!$B$2:$H$10,4)</f>
        <v>13.95</v>
      </c>
      <c r="K4513" s="8">
        <f>financials[[#This Row],[Net Sales]]-financials[[#This Row],[COGS]]</f>
        <v>202.05</v>
      </c>
      <c r="L4513" s="15">
        <v>44122</v>
      </c>
      <c r="M4513" t="s">
        <v>697</v>
      </c>
    </row>
    <row r="4514" spans="1:13" x14ac:dyDescent="0.25">
      <c r="A4514" t="s">
        <v>88</v>
      </c>
      <c r="B4514" s="6" t="s">
        <v>84</v>
      </c>
      <c r="C4514" s="13">
        <v>107</v>
      </c>
      <c r="D4514" s="14" t="s">
        <v>90</v>
      </c>
      <c r="E4514">
        <v>10</v>
      </c>
      <c r="F4514" s="8">
        <f>VLOOKUP(financials[[#This Row],[productid]],Products!$B$2:$H$10,3)</f>
        <v>15</v>
      </c>
      <c r="G4514" s="8">
        <f>financials[[#This Row],[Units Sold]]*financials[[#This Row],[Sale Price]]</f>
        <v>150</v>
      </c>
      <c r="H4514" s="8">
        <f>IF(financials[[#This Row],[Discount Band]]="low",0.1,IF(financials[[#This Row],[Discount Band]]="medium",0.15,0.3))</f>
        <v>0.15</v>
      </c>
      <c r="I4514" s="8">
        <f>financials[[#This Row],[Gross Sales]]-financials[[#This Row],[Gross Sales]]*financials[[#This Row],[Discounts]]</f>
        <v>127.5</v>
      </c>
      <c r="J4514" s="8">
        <f>VLOOKUP(financials[[#This Row],[productid]],Products!$B$2:$H$10,4)</f>
        <v>5.5</v>
      </c>
      <c r="K4514" s="8">
        <f>financials[[#This Row],[Net Sales]]-financials[[#This Row],[COGS]]</f>
        <v>122</v>
      </c>
      <c r="L4514" s="15">
        <v>44601</v>
      </c>
      <c r="M4514" t="s">
        <v>700</v>
      </c>
    </row>
    <row r="4515" spans="1:13" x14ac:dyDescent="0.25">
      <c r="A4515" t="s">
        <v>86</v>
      </c>
      <c r="B4515" s="6" t="s">
        <v>159</v>
      </c>
      <c r="C4515" s="13">
        <v>105</v>
      </c>
      <c r="D4515" s="14" t="s">
        <v>90</v>
      </c>
      <c r="E4515">
        <v>18</v>
      </c>
      <c r="F4515" s="8">
        <f>VLOOKUP(financials[[#This Row],[productid]],Products!$B$2:$H$10,3)</f>
        <v>15</v>
      </c>
      <c r="G4515" s="8">
        <f>financials[[#This Row],[Units Sold]]*financials[[#This Row],[Sale Price]]</f>
        <v>270</v>
      </c>
      <c r="H4515" s="8">
        <f>IF(financials[[#This Row],[Discount Band]]="low",0.1,IF(financials[[#This Row],[Discount Band]]="medium",0.15,0.3))</f>
        <v>0.15</v>
      </c>
      <c r="I4515" s="8">
        <f>financials[[#This Row],[Gross Sales]]-financials[[#This Row],[Gross Sales]]*financials[[#This Row],[Discounts]]</f>
        <v>229.5</v>
      </c>
      <c r="J4515" s="8">
        <f>VLOOKUP(financials[[#This Row],[productid]],Products!$B$2:$H$10,4)</f>
        <v>10</v>
      </c>
      <c r="K4515" s="8">
        <f>financials[[#This Row],[Net Sales]]-financials[[#This Row],[COGS]]</f>
        <v>219.5</v>
      </c>
      <c r="L4515" s="15">
        <v>45649</v>
      </c>
      <c r="M4515" t="s">
        <v>700</v>
      </c>
    </row>
    <row r="4516" spans="1:13" x14ac:dyDescent="0.25">
      <c r="A4516" t="s">
        <v>87</v>
      </c>
      <c r="B4516" s="6" t="s">
        <v>124</v>
      </c>
      <c r="C4516" s="13">
        <v>102</v>
      </c>
      <c r="D4516" s="14" t="s">
        <v>83</v>
      </c>
      <c r="E4516">
        <v>14</v>
      </c>
      <c r="F4516" s="8">
        <f>VLOOKUP(financials[[#This Row],[productid]],Products!$B$2:$H$10,3)</f>
        <v>15</v>
      </c>
      <c r="G4516" s="8">
        <f>financials[[#This Row],[Units Sold]]*financials[[#This Row],[Sale Price]]</f>
        <v>210</v>
      </c>
      <c r="H4516" s="8">
        <f>IF(financials[[#This Row],[Discount Band]]="low",0.1,IF(financials[[#This Row],[Discount Band]]="medium",0.15,0.3))</f>
        <v>0.3</v>
      </c>
      <c r="I4516" s="8">
        <f>financials[[#This Row],[Gross Sales]]-financials[[#This Row],[Gross Sales]]*financials[[#This Row],[Discounts]]</f>
        <v>147</v>
      </c>
      <c r="J4516" s="8">
        <f>VLOOKUP(financials[[#This Row],[productid]],Products!$B$2:$H$10,4)</f>
        <v>13.95</v>
      </c>
      <c r="K4516" s="8">
        <f>financials[[#This Row],[Net Sales]]-financials[[#This Row],[COGS]]</f>
        <v>133.05000000000001</v>
      </c>
      <c r="L4516" s="15">
        <v>44976</v>
      </c>
      <c r="M4516" t="s">
        <v>700</v>
      </c>
    </row>
    <row r="4517" spans="1:13" x14ac:dyDescent="0.25">
      <c r="A4517" t="s">
        <v>88</v>
      </c>
      <c r="B4517" s="6" t="s">
        <v>84</v>
      </c>
      <c r="C4517" s="13">
        <v>102</v>
      </c>
      <c r="D4517" s="14" t="s">
        <v>91</v>
      </c>
      <c r="E4517">
        <v>10</v>
      </c>
      <c r="F4517" s="8">
        <f>VLOOKUP(financials[[#This Row],[productid]],Products!$B$2:$H$10,3)</f>
        <v>15</v>
      </c>
      <c r="G4517" s="8">
        <f>financials[[#This Row],[Units Sold]]*financials[[#This Row],[Sale Price]]</f>
        <v>150</v>
      </c>
      <c r="H4517" s="8">
        <f>IF(financials[[#This Row],[Discount Band]]="low",0.1,IF(financials[[#This Row],[Discount Band]]="medium",0.15,0.3))</f>
        <v>0.1</v>
      </c>
      <c r="I4517" s="8">
        <f>financials[[#This Row],[Gross Sales]]-financials[[#This Row],[Gross Sales]]*financials[[#This Row],[Discounts]]</f>
        <v>135</v>
      </c>
      <c r="J4517" s="8">
        <f>VLOOKUP(financials[[#This Row],[productid]],Products!$B$2:$H$10,4)</f>
        <v>13.95</v>
      </c>
      <c r="K4517" s="8">
        <f>financials[[#This Row],[Net Sales]]-financials[[#This Row],[COGS]]</f>
        <v>121.05</v>
      </c>
      <c r="L4517" s="15">
        <v>44481</v>
      </c>
      <c r="M4517" t="s">
        <v>700</v>
      </c>
    </row>
    <row r="4518" spans="1:13" x14ac:dyDescent="0.25">
      <c r="A4518" t="s">
        <v>86</v>
      </c>
      <c r="B4518" s="6" t="s">
        <v>84</v>
      </c>
      <c r="C4518" s="13">
        <v>108</v>
      </c>
      <c r="D4518" s="14" t="s">
        <v>90</v>
      </c>
      <c r="E4518">
        <v>15</v>
      </c>
      <c r="F4518" s="8">
        <f>VLOOKUP(financials[[#This Row],[productid]],Products!$B$2:$H$10,3)</f>
        <v>5.5</v>
      </c>
      <c r="G4518" s="8">
        <f>financials[[#This Row],[Units Sold]]*financials[[#This Row],[Sale Price]]</f>
        <v>82.5</v>
      </c>
      <c r="H4518" s="8">
        <f>IF(financials[[#This Row],[Discount Band]]="low",0.1,IF(financials[[#This Row],[Discount Band]]="medium",0.15,0.3))</f>
        <v>0.15</v>
      </c>
      <c r="I4518" s="8">
        <f>financials[[#This Row],[Gross Sales]]-financials[[#This Row],[Gross Sales]]*financials[[#This Row],[Discounts]]</f>
        <v>70.125</v>
      </c>
      <c r="J4518" s="8">
        <f>VLOOKUP(financials[[#This Row],[productid]],Products!$B$2:$H$10,4)</f>
        <v>3.99</v>
      </c>
      <c r="K4518" s="8">
        <f>financials[[#This Row],[Net Sales]]-financials[[#This Row],[COGS]]</f>
        <v>66.135000000000005</v>
      </c>
      <c r="L4518" s="15">
        <v>44680</v>
      </c>
      <c r="M4518" t="s">
        <v>690</v>
      </c>
    </row>
    <row r="4519" spans="1:13" x14ac:dyDescent="0.25">
      <c r="A4519" t="s">
        <v>87</v>
      </c>
      <c r="B4519" s="6" t="s">
        <v>124</v>
      </c>
      <c r="C4519" s="13">
        <v>104</v>
      </c>
      <c r="D4519" s="14" t="s">
        <v>91</v>
      </c>
      <c r="E4519">
        <v>16</v>
      </c>
      <c r="F4519" s="8">
        <f>VLOOKUP(financials[[#This Row],[productid]],Products!$B$2:$H$10,3)</f>
        <v>5.9</v>
      </c>
      <c r="G4519" s="8">
        <f>financials[[#This Row],[Units Sold]]*financials[[#This Row],[Sale Price]]</f>
        <v>94.4</v>
      </c>
      <c r="H4519" s="8">
        <f>IF(financials[[#This Row],[Discount Band]]="low",0.1,IF(financials[[#This Row],[Discount Band]]="medium",0.15,0.3))</f>
        <v>0.1</v>
      </c>
      <c r="I4519" s="8">
        <f>financials[[#This Row],[Gross Sales]]-financials[[#This Row],[Gross Sales]]*financials[[#This Row],[Discounts]]</f>
        <v>84.960000000000008</v>
      </c>
      <c r="J4519" s="8">
        <f>VLOOKUP(financials[[#This Row],[productid]],Products!$B$2:$H$10,4)</f>
        <v>2.9</v>
      </c>
      <c r="K4519" s="8">
        <f>financials[[#This Row],[Net Sales]]-financials[[#This Row],[COGS]]</f>
        <v>82.06</v>
      </c>
      <c r="L4519" s="15">
        <v>44847</v>
      </c>
      <c r="M4519" t="s">
        <v>697</v>
      </c>
    </row>
    <row r="4520" spans="1:13" x14ac:dyDescent="0.25">
      <c r="A4520" t="s">
        <v>87</v>
      </c>
      <c r="B4520" s="6" t="s">
        <v>124</v>
      </c>
      <c r="C4520" s="13">
        <v>103</v>
      </c>
      <c r="D4520" s="14" t="s">
        <v>83</v>
      </c>
      <c r="E4520">
        <v>20</v>
      </c>
      <c r="F4520" s="8">
        <f>VLOOKUP(financials[[#This Row],[productid]],Products!$B$2:$H$10,3)</f>
        <v>28</v>
      </c>
      <c r="G4520" s="8">
        <f>financials[[#This Row],[Units Sold]]*financials[[#This Row],[Sale Price]]</f>
        <v>560</v>
      </c>
      <c r="H4520" s="8">
        <f>IF(financials[[#This Row],[Discount Band]]="low",0.1,IF(financials[[#This Row],[Discount Band]]="medium",0.15,0.3))</f>
        <v>0.3</v>
      </c>
      <c r="I4520" s="8">
        <f>financials[[#This Row],[Gross Sales]]-financials[[#This Row],[Gross Sales]]*financials[[#This Row],[Discounts]]</f>
        <v>392</v>
      </c>
      <c r="J4520" s="8">
        <f>VLOOKUP(financials[[#This Row],[productid]],Products!$B$2:$H$10,4)</f>
        <v>15</v>
      </c>
      <c r="K4520" s="8">
        <f>financials[[#This Row],[Net Sales]]-financials[[#This Row],[COGS]]</f>
        <v>377</v>
      </c>
      <c r="L4520" s="15">
        <v>45317</v>
      </c>
      <c r="M4520" t="s">
        <v>691</v>
      </c>
    </row>
    <row r="4521" spans="1:13" x14ac:dyDescent="0.25">
      <c r="A4521" t="s">
        <v>87</v>
      </c>
      <c r="B4521" s="6" t="s">
        <v>124</v>
      </c>
      <c r="C4521" s="13">
        <v>109</v>
      </c>
      <c r="D4521" s="14" t="s">
        <v>90</v>
      </c>
      <c r="E4521">
        <v>14</v>
      </c>
      <c r="F4521" s="8">
        <f>VLOOKUP(financials[[#This Row],[productid]],Products!$B$2:$H$10,3)</f>
        <v>36</v>
      </c>
      <c r="G4521" s="8">
        <f>financials[[#This Row],[Units Sold]]*financials[[#This Row],[Sale Price]]</f>
        <v>504</v>
      </c>
      <c r="H4521" s="8">
        <f>IF(financials[[#This Row],[Discount Band]]="low",0.1,IF(financials[[#This Row],[Discount Band]]="medium",0.15,0.3))</f>
        <v>0.15</v>
      </c>
      <c r="I4521" s="8">
        <f>financials[[#This Row],[Gross Sales]]-financials[[#This Row],[Gross Sales]]*financials[[#This Row],[Discounts]]</f>
        <v>428.4</v>
      </c>
      <c r="J4521" s="8">
        <f>VLOOKUP(financials[[#This Row],[productid]],Products!$B$2:$H$10,4)</f>
        <v>16.8</v>
      </c>
      <c r="K4521" s="8">
        <f>financials[[#This Row],[Net Sales]]-financials[[#This Row],[COGS]]</f>
        <v>411.59999999999997</v>
      </c>
      <c r="L4521" s="15">
        <v>45413</v>
      </c>
      <c r="M4521" t="s">
        <v>700</v>
      </c>
    </row>
    <row r="4522" spans="1:13" x14ac:dyDescent="0.25">
      <c r="A4522" t="s">
        <v>86</v>
      </c>
      <c r="B4522" s="6" t="s">
        <v>84</v>
      </c>
      <c r="C4522" s="11">
        <v>108</v>
      </c>
      <c r="D4522" s="9" t="s">
        <v>83</v>
      </c>
      <c r="E4522">
        <v>12</v>
      </c>
      <c r="F4522" s="8">
        <f>VLOOKUP(financials[[#This Row],[productid]],Products!$B$2:$H$10,3)</f>
        <v>5.5</v>
      </c>
      <c r="G4522" s="8">
        <f>financials[[#This Row],[Units Sold]]*financials[[#This Row],[Sale Price]]</f>
        <v>66</v>
      </c>
      <c r="H4522" s="8">
        <f>IF(financials[[#This Row],[Discount Band]]="low",0.1,IF(financials[[#This Row],[Discount Band]]="medium",0.15,0.3))</f>
        <v>0.3</v>
      </c>
      <c r="I4522" s="8">
        <f>financials[[#This Row],[Gross Sales]]-financials[[#This Row],[Gross Sales]]*financials[[#This Row],[Discounts]]</f>
        <v>46.2</v>
      </c>
      <c r="J4522" s="8">
        <f>VLOOKUP(financials[[#This Row],[productid]],Products!$B$2:$H$10,4)</f>
        <v>3.99</v>
      </c>
      <c r="K4522" s="8">
        <f>financials[[#This Row],[Net Sales]]-financials[[#This Row],[COGS]]</f>
        <v>42.21</v>
      </c>
      <c r="L4522" s="15">
        <v>43888</v>
      </c>
      <c r="M4522" t="s">
        <v>696</v>
      </c>
    </row>
    <row r="4523" spans="1:13" x14ac:dyDescent="0.25">
      <c r="A4523" t="s">
        <v>87</v>
      </c>
      <c r="B4523" s="6" t="s">
        <v>124</v>
      </c>
      <c r="C4523" s="13">
        <v>106</v>
      </c>
      <c r="D4523" s="14" t="s">
        <v>91</v>
      </c>
      <c r="E4523">
        <v>20</v>
      </c>
      <c r="F4523" s="8">
        <f>VLOOKUP(financials[[#This Row],[productid]],Products!$B$2:$H$10,3)</f>
        <v>25</v>
      </c>
      <c r="G4523" s="8">
        <f>financials[[#This Row],[Units Sold]]*financials[[#This Row],[Sale Price]]</f>
        <v>500</v>
      </c>
      <c r="H4523" s="8">
        <f>IF(financials[[#This Row],[Discount Band]]="low",0.1,IF(financials[[#This Row],[Discount Band]]="medium",0.15,0.3))</f>
        <v>0.1</v>
      </c>
      <c r="I4523" s="8">
        <f>financials[[#This Row],[Gross Sales]]-financials[[#This Row],[Gross Sales]]*financials[[#This Row],[Discounts]]</f>
        <v>450</v>
      </c>
      <c r="J4523" s="8">
        <f>VLOOKUP(financials[[#This Row],[productid]],Products!$B$2:$H$10,4)</f>
        <v>9.1</v>
      </c>
      <c r="K4523" s="8">
        <f>financials[[#This Row],[Net Sales]]-financials[[#This Row],[COGS]]</f>
        <v>440.9</v>
      </c>
      <c r="L4523" s="15">
        <v>44660</v>
      </c>
      <c r="M4523" t="s">
        <v>696</v>
      </c>
    </row>
    <row r="4524" spans="1:13" x14ac:dyDescent="0.25">
      <c r="A4524" t="s">
        <v>88</v>
      </c>
      <c r="B4524" s="6" t="s">
        <v>84</v>
      </c>
      <c r="C4524" s="13">
        <v>104</v>
      </c>
      <c r="D4524" s="14" t="s">
        <v>90</v>
      </c>
      <c r="E4524">
        <v>14</v>
      </c>
      <c r="F4524" s="8">
        <f>VLOOKUP(financials[[#This Row],[productid]],Products!$B$2:$H$10,3)</f>
        <v>5.9</v>
      </c>
      <c r="G4524" s="8">
        <f>financials[[#This Row],[Units Sold]]*financials[[#This Row],[Sale Price]]</f>
        <v>82.600000000000009</v>
      </c>
      <c r="H4524" s="8">
        <f>IF(financials[[#This Row],[Discount Band]]="low",0.1,IF(financials[[#This Row],[Discount Band]]="medium",0.15,0.3))</f>
        <v>0.15</v>
      </c>
      <c r="I4524" s="8">
        <f>financials[[#This Row],[Gross Sales]]-financials[[#This Row],[Gross Sales]]*financials[[#This Row],[Discounts]]</f>
        <v>70.210000000000008</v>
      </c>
      <c r="J4524" s="8">
        <f>VLOOKUP(financials[[#This Row],[productid]],Products!$B$2:$H$10,4)</f>
        <v>2.9</v>
      </c>
      <c r="K4524" s="8">
        <f>financials[[#This Row],[Net Sales]]-financials[[#This Row],[COGS]]</f>
        <v>67.31</v>
      </c>
      <c r="L4524" s="15">
        <v>45550</v>
      </c>
      <c r="M4524" t="s">
        <v>696</v>
      </c>
    </row>
    <row r="4525" spans="1:13" x14ac:dyDescent="0.25">
      <c r="A4525" t="s">
        <v>87</v>
      </c>
      <c r="B4525" s="6" t="s">
        <v>124</v>
      </c>
      <c r="C4525" s="13">
        <v>108</v>
      </c>
      <c r="D4525" s="14" t="s">
        <v>83</v>
      </c>
      <c r="E4525">
        <v>12</v>
      </c>
      <c r="F4525" s="8">
        <f>VLOOKUP(financials[[#This Row],[productid]],Products!$B$2:$H$10,3)</f>
        <v>5.5</v>
      </c>
      <c r="G4525" s="8">
        <f>financials[[#This Row],[Units Sold]]*financials[[#This Row],[Sale Price]]</f>
        <v>66</v>
      </c>
      <c r="H4525" s="8">
        <f>IF(financials[[#This Row],[Discount Band]]="low",0.1,IF(financials[[#This Row],[Discount Band]]="medium",0.15,0.3))</f>
        <v>0.3</v>
      </c>
      <c r="I4525" s="8">
        <f>financials[[#This Row],[Gross Sales]]-financials[[#This Row],[Gross Sales]]*financials[[#This Row],[Discounts]]</f>
        <v>46.2</v>
      </c>
      <c r="J4525" s="8">
        <f>VLOOKUP(financials[[#This Row],[productid]],Products!$B$2:$H$10,4)</f>
        <v>3.99</v>
      </c>
      <c r="K4525" s="8">
        <f>financials[[#This Row],[Net Sales]]-financials[[#This Row],[COGS]]</f>
        <v>42.21</v>
      </c>
      <c r="L4525" s="15">
        <v>45273</v>
      </c>
      <c r="M4525" t="s">
        <v>696</v>
      </c>
    </row>
    <row r="4526" spans="1:13" x14ac:dyDescent="0.25">
      <c r="A4526" t="s">
        <v>88</v>
      </c>
      <c r="B4526" s="6" t="s">
        <v>159</v>
      </c>
      <c r="C4526" s="13">
        <v>103</v>
      </c>
      <c r="D4526" s="14" t="s">
        <v>91</v>
      </c>
      <c r="E4526">
        <v>12</v>
      </c>
      <c r="F4526" s="8">
        <f>VLOOKUP(financials[[#This Row],[productid]],Products!$B$2:$H$10,3)</f>
        <v>28</v>
      </c>
      <c r="G4526" s="8">
        <f>financials[[#This Row],[Units Sold]]*financials[[#This Row],[Sale Price]]</f>
        <v>336</v>
      </c>
      <c r="H4526" s="8">
        <f>IF(financials[[#This Row],[Discount Band]]="low",0.1,IF(financials[[#This Row],[Discount Band]]="medium",0.15,0.3))</f>
        <v>0.1</v>
      </c>
      <c r="I4526" s="8">
        <f>financials[[#This Row],[Gross Sales]]-financials[[#This Row],[Gross Sales]]*financials[[#This Row],[Discounts]]</f>
        <v>302.39999999999998</v>
      </c>
      <c r="J4526" s="8">
        <f>VLOOKUP(financials[[#This Row],[productid]],Products!$B$2:$H$10,4)</f>
        <v>15</v>
      </c>
      <c r="K4526" s="8">
        <f>financials[[#This Row],[Net Sales]]-financials[[#This Row],[COGS]]</f>
        <v>287.39999999999998</v>
      </c>
      <c r="L4526" s="15">
        <v>44257</v>
      </c>
      <c r="M4526" t="s">
        <v>700</v>
      </c>
    </row>
    <row r="4527" spans="1:13" x14ac:dyDescent="0.25">
      <c r="A4527" t="s">
        <v>86</v>
      </c>
      <c r="B4527" s="6" t="s">
        <v>84</v>
      </c>
      <c r="C4527" s="13">
        <v>106</v>
      </c>
      <c r="D4527" s="14" t="s">
        <v>90</v>
      </c>
      <c r="E4527">
        <v>12</v>
      </c>
      <c r="F4527" s="8">
        <f>VLOOKUP(financials[[#This Row],[productid]],Products!$B$2:$H$10,3)</f>
        <v>25</v>
      </c>
      <c r="G4527" s="8">
        <f>financials[[#This Row],[Units Sold]]*financials[[#This Row],[Sale Price]]</f>
        <v>300</v>
      </c>
      <c r="H4527" s="8">
        <f>IF(financials[[#This Row],[Discount Band]]="low",0.1,IF(financials[[#This Row],[Discount Band]]="medium",0.15,0.3))</f>
        <v>0.15</v>
      </c>
      <c r="I4527" s="8">
        <f>financials[[#This Row],[Gross Sales]]-financials[[#This Row],[Gross Sales]]*financials[[#This Row],[Discounts]]</f>
        <v>255</v>
      </c>
      <c r="J4527" s="8">
        <f>VLOOKUP(financials[[#This Row],[productid]],Products!$B$2:$H$10,4)</f>
        <v>9.1</v>
      </c>
      <c r="K4527" s="8">
        <f>financials[[#This Row],[Net Sales]]-financials[[#This Row],[COGS]]</f>
        <v>245.9</v>
      </c>
      <c r="L4527" s="15">
        <v>45183</v>
      </c>
      <c r="M4527" t="s">
        <v>696</v>
      </c>
    </row>
    <row r="4528" spans="1:13" x14ac:dyDescent="0.25">
      <c r="A4528" t="s">
        <v>88</v>
      </c>
      <c r="B4528" s="6" t="s">
        <v>84</v>
      </c>
      <c r="C4528" s="11">
        <v>102</v>
      </c>
      <c r="D4528" s="9" t="s">
        <v>91</v>
      </c>
      <c r="E4528">
        <v>9</v>
      </c>
      <c r="F4528" s="8">
        <f>VLOOKUP(financials[[#This Row],[productid]],Products!$B$2:$H$10,3)</f>
        <v>15</v>
      </c>
      <c r="G4528" s="8">
        <f>financials[[#This Row],[Units Sold]]*financials[[#This Row],[Sale Price]]</f>
        <v>135</v>
      </c>
      <c r="H4528" s="8">
        <f>IF(financials[[#This Row],[Discount Band]]="low",0.1,IF(financials[[#This Row],[Discount Band]]="medium",0.15,0.3))</f>
        <v>0.1</v>
      </c>
      <c r="I4528" s="8">
        <f>financials[[#This Row],[Gross Sales]]-financials[[#This Row],[Gross Sales]]*financials[[#This Row],[Discounts]]</f>
        <v>121.5</v>
      </c>
      <c r="J4528" s="8">
        <f>VLOOKUP(financials[[#This Row],[productid]],Products!$B$2:$H$10,4)</f>
        <v>13.95</v>
      </c>
      <c r="K4528" s="8">
        <f>financials[[#This Row],[Net Sales]]-financials[[#This Row],[COGS]]</f>
        <v>107.55</v>
      </c>
      <c r="L4528" s="15">
        <v>45657</v>
      </c>
      <c r="M4528" t="s">
        <v>700</v>
      </c>
    </row>
    <row r="4529" spans="1:13" x14ac:dyDescent="0.25">
      <c r="A4529" t="s">
        <v>86</v>
      </c>
      <c r="B4529" s="6" t="s">
        <v>84</v>
      </c>
      <c r="C4529" s="13">
        <v>109</v>
      </c>
      <c r="D4529" s="14" t="s">
        <v>90</v>
      </c>
      <c r="E4529">
        <v>14</v>
      </c>
      <c r="F4529" s="8">
        <f>VLOOKUP(financials[[#This Row],[productid]],Products!$B$2:$H$10,3)</f>
        <v>36</v>
      </c>
      <c r="G4529" s="8">
        <f>financials[[#This Row],[Units Sold]]*financials[[#This Row],[Sale Price]]</f>
        <v>504</v>
      </c>
      <c r="H4529" s="8">
        <f>IF(financials[[#This Row],[Discount Band]]="low",0.1,IF(financials[[#This Row],[Discount Band]]="medium",0.15,0.3))</f>
        <v>0.15</v>
      </c>
      <c r="I4529" s="8">
        <f>financials[[#This Row],[Gross Sales]]-financials[[#This Row],[Gross Sales]]*financials[[#This Row],[Discounts]]</f>
        <v>428.4</v>
      </c>
      <c r="J4529" s="8">
        <f>VLOOKUP(financials[[#This Row],[productid]],Products!$B$2:$H$10,4)</f>
        <v>16.8</v>
      </c>
      <c r="K4529" s="8">
        <f>financials[[#This Row],[Net Sales]]-financials[[#This Row],[COGS]]</f>
        <v>411.59999999999997</v>
      </c>
      <c r="L4529" s="15">
        <v>44039</v>
      </c>
      <c r="M4529" t="s">
        <v>700</v>
      </c>
    </row>
    <row r="4530" spans="1:13" x14ac:dyDescent="0.25">
      <c r="A4530" t="s">
        <v>86</v>
      </c>
      <c r="B4530" s="6" t="s">
        <v>159</v>
      </c>
      <c r="C4530" s="11">
        <v>109</v>
      </c>
      <c r="D4530" s="9" t="s">
        <v>90</v>
      </c>
      <c r="E4530">
        <v>16</v>
      </c>
      <c r="F4530" s="8">
        <f>VLOOKUP(financials[[#This Row],[productid]],Products!$B$2:$H$10,3)</f>
        <v>36</v>
      </c>
      <c r="G4530" s="8">
        <f>financials[[#This Row],[Units Sold]]*financials[[#This Row],[Sale Price]]</f>
        <v>576</v>
      </c>
      <c r="H4530" s="8">
        <f>IF(financials[[#This Row],[Discount Band]]="low",0.1,IF(financials[[#This Row],[Discount Band]]="medium",0.15,0.3))</f>
        <v>0.15</v>
      </c>
      <c r="I4530" s="8">
        <f>financials[[#This Row],[Gross Sales]]-financials[[#This Row],[Gross Sales]]*financials[[#This Row],[Discounts]]</f>
        <v>489.6</v>
      </c>
      <c r="J4530" s="8">
        <f>VLOOKUP(financials[[#This Row],[productid]],Products!$B$2:$H$10,4)</f>
        <v>16.8</v>
      </c>
      <c r="K4530" s="8">
        <f>financials[[#This Row],[Net Sales]]-financials[[#This Row],[COGS]]</f>
        <v>472.8</v>
      </c>
      <c r="L4530" s="15">
        <v>43915</v>
      </c>
      <c r="M4530" t="s">
        <v>697</v>
      </c>
    </row>
    <row r="4531" spans="1:13" x14ac:dyDescent="0.25">
      <c r="A4531" t="s">
        <v>86</v>
      </c>
      <c r="B4531" s="6" t="s">
        <v>84</v>
      </c>
      <c r="C4531" s="13">
        <v>105</v>
      </c>
      <c r="D4531" s="14" t="s">
        <v>83</v>
      </c>
      <c r="E4531">
        <v>20</v>
      </c>
      <c r="F4531" s="8">
        <f>VLOOKUP(financials[[#This Row],[productid]],Products!$B$2:$H$10,3)</f>
        <v>15</v>
      </c>
      <c r="G4531" s="8">
        <f>financials[[#This Row],[Units Sold]]*financials[[#This Row],[Sale Price]]</f>
        <v>300</v>
      </c>
      <c r="H4531" s="8">
        <f>IF(financials[[#This Row],[Discount Band]]="low",0.1,IF(financials[[#This Row],[Discount Band]]="medium",0.15,0.3))</f>
        <v>0.3</v>
      </c>
      <c r="I4531" s="8">
        <f>financials[[#This Row],[Gross Sales]]-financials[[#This Row],[Gross Sales]]*financials[[#This Row],[Discounts]]</f>
        <v>210</v>
      </c>
      <c r="J4531" s="8">
        <f>VLOOKUP(financials[[#This Row],[productid]],Products!$B$2:$H$10,4)</f>
        <v>10</v>
      </c>
      <c r="K4531" s="8">
        <f>financials[[#This Row],[Net Sales]]-financials[[#This Row],[COGS]]</f>
        <v>200</v>
      </c>
      <c r="L4531" s="15">
        <v>45309</v>
      </c>
      <c r="M4531" t="s">
        <v>697</v>
      </c>
    </row>
    <row r="4532" spans="1:13" x14ac:dyDescent="0.25">
      <c r="A4532" t="s">
        <v>86</v>
      </c>
      <c r="B4532" s="6" t="s">
        <v>84</v>
      </c>
      <c r="C4532" s="13">
        <v>101</v>
      </c>
      <c r="D4532" s="14" t="s">
        <v>91</v>
      </c>
      <c r="E4532">
        <v>19</v>
      </c>
      <c r="F4532" s="8">
        <f>VLOOKUP(financials[[#This Row],[productid]],Products!$B$2:$H$10,3)</f>
        <v>23</v>
      </c>
      <c r="G4532" s="8">
        <f>financials[[#This Row],[Units Sold]]*financials[[#This Row],[Sale Price]]</f>
        <v>437</v>
      </c>
      <c r="H4532" s="8">
        <f>IF(financials[[#This Row],[Discount Band]]="low",0.1,IF(financials[[#This Row],[Discount Band]]="medium",0.15,0.3))</f>
        <v>0.1</v>
      </c>
      <c r="I4532" s="8">
        <f>financials[[#This Row],[Gross Sales]]-financials[[#This Row],[Gross Sales]]*financials[[#This Row],[Discounts]]</f>
        <v>393.3</v>
      </c>
      <c r="J4532" s="8">
        <f>VLOOKUP(financials[[#This Row],[productid]],Products!$B$2:$H$10,4)</f>
        <v>9.9499999999999993</v>
      </c>
      <c r="K4532" s="8">
        <f>financials[[#This Row],[Net Sales]]-financials[[#This Row],[COGS]]</f>
        <v>383.35</v>
      </c>
      <c r="L4532" s="15">
        <v>44692</v>
      </c>
      <c r="M4532" t="s">
        <v>691</v>
      </c>
    </row>
    <row r="4533" spans="1:13" x14ac:dyDescent="0.25">
      <c r="A4533" t="s">
        <v>87</v>
      </c>
      <c r="B4533" s="6" t="s">
        <v>124</v>
      </c>
      <c r="C4533" s="13">
        <v>104</v>
      </c>
      <c r="D4533" s="14" t="s">
        <v>91</v>
      </c>
      <c r="E4533">
        <v>14</v>
      </c>
      <c r="F4533" s="8">
        <f>VLOOKUP(financials[[#This Row],[productid]],Products!$B$2:$H$10,3)</f>
        <v>5.9</v>
      </c>
      <c r="G4533" s="8">
        <f>financials[[#This Row],[Units Sold]]*financials[[#This Row],[Sale Price]]</f>
        <v>82.600000000000009</v>
      </c>
      <c r="H4533" s="8">
        <f>IF(financials[[#This Row],[Discount Band]]="low",0.1,IF(financials[[#This Row],[Discount Band]]="medium",0.15,0.3))</f>
        <v>0.1</v>
      </c>
      <c r="I4533" s="8">
        <f>financials[[#This Row],[Gross Sales]]-financials[[#This Row],[Gross Sales]]*financials[[#This Row],[Discounts]]</f>
        <v>74.34</v>
      </c>
      <c r="J4533" s="8">
        <f>VLOOKUP(financials[[#This Row],[productid]],Products!$B$2:$H$10,4)</f>
        <v>2.9</v>
      </c>
      <c r="K4533" s="8">
        <f>financials[[#This Row],[Net Sales]]-financials[[#This Row],[COGS]]</f>
        <v>71.44</v>
      </c>
      <c r="L4533" s="15">
        <v>44062</v>
      </c>
      <c r="M4533" t="s">
        <v>697</v>
      </c>
    </row>
    <row r="4534" spans="1:13" x14ac:dyDescent="0.25">
      <c r="A4534" t="s">
        <v>88</v>
      </c>
      <c r="B4534" s="6" t="s">
        <v>124</v>
      </c>
      <c r="C4534" s="13">
        <v>102</v>
      </c>
      <c r="D4534" s="14" t="s">
        <v>91</v>
      </c>
      <c r="E4534">
        <v>15</v>
      </c>
      <c r="F4534" s="8">
        <f>VLOOKUP(financials[[#This Row],[productid]],Products!$B$2:$H$10,3)</f>
        <v>15</v>
      </c>
      <c r="G4534" s="8">
        <f>financials[[#This Row],[Units Sold]]*financials[[#This Row],[Sale Price]]</f>
        <v>225</v>
      </c>
      <c r="H4534" s="8">
        <f>IF(financials[[#This Row],[Discount Band]]="low",0.1,IF(financials[[#This Row],[Discount Band]]="medium",0.15,0.3))</f>
        <v>0.1</v>
      </c>
      <c r="I4534" s="8">
        <f>financials[[#This Row],[Gross Sales]]-financials[[#This Row],[Gross Sales]]*financials[[#This Row],[Discounts]]</f>
        <v>202.5</v>
      </c>
      <c r="J4534" s="8">
        <f>VLOOKUP(financials[[#This Row],[productid]],Products!$B$2:$H$10,4)</f>
        <v>13.95</v>
      </c>
      <c r="K4534" s="8">
        <f>financials[[#This Row],[Net Sales]]-financials[[#This Row],[COGS]]</f>
        <v>188.55</v>
      </c>
      <c r="L4534" s="15">
        <v>44953</v>
      </c>
      <c r="M4534" t="s">
        <v>690</v>
      </c>
    </row>
    <row r="4535" spans="1:13" x14ac:dyDescent="0.25">
      <c r="A4535" t="s">
        <v>88</v>
      </c>
      <c r="B4535" s="6" t="s">
        <v>84</v>
      </c>
      <c r="C4535" s="13">
        <v>101</v>
      </c>
      <c r="D4535" s="14" t="s">
        <v>83</v>
      </c>
      <c r="E4535">
        <v>19</v>
      </c>
      <c r="F4535" s="8">
        <f>VLOOKUP(financials[[#This Row],[productid]],Products!$B$2:$H$10,3)</f>
        <v>23</v>
      </c>
      <c r="G4535" s="8">
        <f>financials[[#This Row],[Units Sold]]*financials[[#This Row],[Sale Price]]</f>
        <v>437</v>
      </c>
      <c r="H4535" s="8">
        <f>IF(financials[[#This Row],[Discount Band]]="low",0.1,IF(financials[[#This Row],[Discount Band]]="medium",0.15,0.3))</f>
        <v>0.3</v>
      </c>
      <c r="I4535" s="8">
        <f>financials[[#This Row],[Gross Sales]]-financials[[#This Row],[Gross Sales]]*financials[[#This Row],[Discounts]]</f>
        <v>305.89999999999998</v>
      </c>
      <c r="J4535" s="8">
        <f>VLOOKUP(financials[[#This Row],[productid]],Products!$B$2:$H$10,4)</f>
        <v>9.9499999999999993</v>
      </c>
      <c r="K4535" s="8">
        <f>financials[[#This Row],[Net Sales]]-financials[[#This Row],[COGS]]</f>
        <v>295.95</v>
      </c>
      <c r="L4535" s="15">
        <v>44467</v>
      </c>
      <c r="M4535" t="s">
        <v>697</v>
      </c>
    </row>
    <row r="4536" spans="1:13" x14ac:dyDescent="0.25">
      <c r="A4536" t="s">
        <v>86</v>
      </c>
      <c r="B4536" s="6" t="s">
        <v>159</v>
      </c>
      <c r="C4536" s="13">
        <v>108</v>
      </c>
      <c r="D4536" s="14" t="s">
        <v>92</v>
      </c>
      <c r="E4536">
        <v>6</v>
      </c>
      <c r="F4536" s="8">
        <f>VLOOKUP(financials[[#This Row],[productid]],Products!$B$2:$H$10,3)</f>
        <v>5.5</v>
      </c>
      <c r="G4536" s="8">
        <f>financials[[#This Row],[Units Sold]]*financials[[#This Row],[Sale Price]]</f>
        <v>33</v>
      </c>
      <c r="H4536" s="8">
        <f>IF(financials[[#This Row],[Discount Band]]="low",0.1,IF(financials[[#This Row],[Discount Band]]="medium",0.15,0.3))</f>
        <v>0.3</v>
      </c>
      <c r="I4536" s="8">
        <f>financials[[#This Row],[Gross Sales]]-financials[[#This Row],[Gross Sales]]*financials[[#This Row],[Discounts]]</f>
        <v>23.1</v>
      </c>
      <c r="J4536" s="8">
        <f>VLOOKUP(financials[[#This Row],[productid]],Products!$B$2:$H$10,4)</f>
        <v>3.99</v>
      </c>
      <c r="K4536" s="8">
        <f>financials[[#This Row],[Net Sales]]-financials[[#This Row],[COGS]]</f>
        <v>19.11</v>
      </c>
      <c r="L4536" s="15">
        <v>45344</v>
      </c>
      <c r="M4536" t="s">
        <v>700</v>
      </c>
    </row>
    <row r="4537" spans="1:13" x14ac:dyDescent="0.25">
      <c r="A4537" t="s">
        <v>88</v>
      </c>
      <c r="B4537" s="6" t="s">
        <v>159</v>
      </c>
      <c r="C4537" s="13">
        <v>108</v>
      </c>
      <c r="D4537" s="14" t="s">
        <v>83</v>
      </c>
      <c r="E4537">
        <v>8</v>
      </c>
      <c r="F4537" s="8">
        <f>VLOOKUP(financials[[#This Row],[productid]],Products!$B$2:$H$10,3)</f>
        <v>5.5</v>
      </c>
      <c r="G4537" s="8">
        <f>financials[[#This Row],[Units Sold]]*financials[[#This Row],[Sale Price]]</f>
        <v>44</v>
      </c>
      <c r="H4537" s="8">
        <f>IF(financials[[#This Row],[Discount Band]]="low",0.1,IF(financials[[#This Row],[Discount Band]]="medium",0.15,0.3))</f>
        <v>0.3</v>
      </c>
      <c r="I4537" s="8">
        <f>financials[[#This Row],[Gross Sales]]-financials[[#This Row],[Gross Sales]]*financials[[#This Row],[Discounts]]</f>
        <v>30.8</v>
      </c>
      <c r="J4537" s="8">
        <f>VLOOKUP(financials[[#This Row],[productid]],Products!$B$2:$H$10,4)</f>
        <v>3.99</v>
      </c>
      <c r="K4537" s="8">
        <f>financials[[#This Row],[Net Sales]]-financials[[#This Row],[COGS]]</f>
        <v>26.810000000000002</v>
      </c>
      <c r="L4537" s="15">
        <v>44541</v>
      </c>
      <c r="M4537" t="s">
        <v>691</v>
      </c>
    </row>
    <row r="4538" spans="1:13" x14ac:dyDescent="0.25">
      <c r="A4538" t="s">
        <v>88</v>
      </c>
      <c r="B4538" s="6" t="s">
        <v>124</v>
      </c>
      <c r="C4538" s="13">
        <v>105</v>
      </c>
      <c r="D4538" s="14" t="s">
        <v>92</v>
      </c>
      <c r="E4538">
        <v>16</v>
      </c>
      <c r="F4538" s="8">
        <f>VLOOKUP(financials[[#This Row],[productid]],Products!$B$2:$H$10,3)</f>
        <v>15</v>
      </c>
      <c r="G4538" s="8">
        <f>financials[[#This Row],[Units Sold]]*financials[[#This Row],[Sale Price]]</f>
        <v>240</v>
      </c>
      <c r="H4538" s="8">
        <f>IF(financials[[#This Row],[Discount Band]]="low",0.1,IF(financials[[#This Row],[Discount Band]]="medium",0.15,0.3))</f>
        <v>0.3</v>
      </c>
      <c r="I4538" s="8">
        <f>financials[[#This Row],[Gross Sales]]-financials[[#This Row],[Gross Sales]]*financials[[#This Row],[Discounts]]</f>
        <v>168</v>
      </c>
      <c r="J4538" s="8">
        <f>VLOOKUP(financials[[#This Row],[productid]],Products!$B$2:$H$10,4)</f>
        <v>10</v>
      </c>
      <c r="K4538" s="8">
        <f>financials[[#This Row],[Net Sales]]-financials[[#This Row],[COGS]]</f>
        <v>158</v>
      </c>
      <c r="L4538" s="15">
        <v>44680</v>
      </c>
      <c r="M4538" t="s">
        <v>697</v>
      </c>
    </row>
    <row r="4539" spans="1:13" x14ac:dyDescent="0.25">
      <c r="A4539" t="s">
        <v>86</v>
      </c>
      <c r="B4539" s="6" t="s">
        <v>159</v>
      </c>
      <c r="C4539" s="11">
        <v>105</v>
      </c>
      <c r="D4539" s="9" t="s">
        <v>83</v>
      </c>
      <c r="E4539">
        <v>15</v>
      </c>
      <c r="F4539" s="8">
        <f>VLOOKUP(financials[[#This Row],[productid]],Products!$B$2:$H$10,3)</f>
        <v>15</v>
      </c>
      <c r="G4539" s="8">
        <f>financials[[#This Row],[Units Sold]]*financials[[#This Row],[Sale Price]]</f>
        <v>225</v>
      </c>
      <c r="H4539" s="8">
        <f>IF(financials[[#This Row],[Discount Band]]="low",0.1,IF(financials[[#This Row],[Discount Band]]="medium",0.15,0.3))</f>
        <v>0.3</v>
      </c>
      <c r="I4539" s="8">
        <f>financials[[#This Row],[Gross Sales]]-financials[[#This Row],[Gross Sales]]*financials[[#This Row],[Discounts]]</f>
        <v>157.5</v>
      </c>
      <c r="J4539" s="8">
        <f>VLOOKUP(financials[[#This Row],[productid]],Products!$B$2:$H$10,4)</f>
        <v>10</v>
      </c>
      <c r="K4539" s="8">
        <f>financials[[#This Row],[Net Sales]]-financials[[#This Row],[COGS]]</f>
        <v>147.5</v>
      </c>
      <c r="L4539" s="15">
        <v>45082</v>
      </c>
      <c r="M4539" t="s">
        <v>691</v>
      </c>
    </row>
    <row r="4540" spans="1:13" x14ac:dyDescent="0.25">
      <c r="A4540" t="s">
        <v>87</v>
      </c>
      <c r="B4540" s="6" t="s">
        <v>124</v>
      </c>
      <c r="C4540" s="13">
        <v>108</v>
      </c>
      <c r="D4540" s="14" t="s">
        <v>90</v>
      </c>
      <c r="E4540">
        <v>14</v>
      </c>
      <c r="F4540" s="8">
        <f>VLOOKUP(financials[[#This Row],[productid]],Products!$B$2:$H$10,3)</f>
        <v>5.5</v>
      </c>
      <c r="G4540" s="8">
        <f>financials[[#This Row],[Units Sold]]*financials[[#This Row],[Sale Price]]</f>
        <v>77</v>
      </c>
      <c r="H4540" s="8">
        <f>IF(financials[[#This Row],[Discount Band]]="low",0.1,IF(financials[[#This Row],[Discount Band]]="medium",0.15,0.3))</f>
        <v>0.15</v>
      </c>
      <c r="I4540" s="8">
        <f>financials[[#This Row],[Gross Sales]]-financials[[#This Row],[Gross Sales]]*financials[[#This Row],[Discounts]]</f>
        <v>65.45</v>
      </c>
      <c r="J4540" s="8">
        <f>VLOOKUP(financials[[#This Row],[productid]],Products!$B$2:$H$10,4)</f>
        <v>3.99</v>
      </c>
      <c r="K4540" s="8">
        <f>financials[[#This Row],[Net Sales]]-financials[[#This Row],[COGS]]</f>
        <v>61.46</v>
      </c>
      <c r="L4540" s="15">
        <v>44882</v>
      </c>
      <c r="M4540" t="s">
        <v>697</v>
      </c>
    </row>
    <row r="4541" spans="1:13" x14ac:dyDescent="0.25">
      <c r="A4541" t="s">
        <v>88</v>
      </c>
      <c r="B4541" s="6" t="s">
        <v>124</v>
      </c>
      <c r="C4541" s="11">
        <v>103</v>
      </c>
      <c r="D4541" s="9" t="s">
        <v>90</v>
      </c>
      <c r="E4541">
        <v>16</v>
      </c>
      <c r="F4541" s="8">
        <f>VLOOKUP(financials[[#This Row],[productid]],Products!$B$2:$H$10,3)</f>
        <v>28</v>
      </c>
      <c r="G4541" s="8">
        <f>financials[[#This Row],[Units Sold]]*financials[[#This Row],[Sale Price]]</f>
        <v>448</v>
      </c>
      <c r="H4541" s="8">
        <f>IF(financials[[#This Row],[Discount Band]]="low",0.1,IF(financials[[#This Row],[Discount Band]]="medium",0.15,0.3))</f>
        <v>0.15</v>
      </c>
      <c r="I4541" s="8">
        <f>financials[[#This Row],[Gross Sales]]-financials[[#This Row],[Gross Sales]]*financials[[#This Row],[Discounts]]</f>
        <v>380.8</v>
      </c>
      <c r="J4541" s="8">
        <f>VLOOKUP(financials[[#This Row],[productid]],Products!$B$2:$H$10,4)</f>
        <v>15</v>
      </c>
      <c r="K4541" s="8">
        <f>financials[[#This Row],[Net Sales]]-financials[[#This Row],[COGS]]</f>
        <v>365.8</v>
      </c>
      <c r="L4541" s="15">
        <v>45638</v>
      </c>
      <c r="M4541" t="s">
        <v>696</v>
      </c>
    </row>
    <row r="4542" spans="1:13" x14ac:dyDescent="0.25">
      <c r="A4542" t="s">
        <v>88</v>
      </c>
      <c r="B4542" s="6" t="s">
        <v>84</v>
      </c>
      <c r="C4542" s="13">
        <v>106</v>
      </c>
      <c r="D4542" s="14" t="s">
        <v>91</v>
      </c>
      <c r="E4542">
        <v>13</v>
      </c>
      <c r="F4542" s="8">
        <f>VLOOKUP(financials[[#This Row],[productid]],Products!$B$2:$H$10,3)</f>
        <v>25</v>
      </c>
      <c r="G4542" s="8">
        <f>financials[[#This Row],[Units Sold]]*financials[[#This Row],[Sale Price]]</f>
        <v>325</v>
      </c>
      <c r="H4542" s="8">
        <f>IF(financials[[#This Row],[Discount Band]]="low",0.1,IF(financials[[#This Row],[Discount Band]]="medium",0.15,0.3))</f>
        <v>0.1</v>
      </c>
      <c r="I4542" s="8">
        <f>financials[[#This Row],[Gross Sales]]-financials[[#This Row],[Gross Sales]]*financials[[#This Row],[Discounts]]</f>
        <v>292.5</v>
      </c>
      <c r="J4542" s="8">
        <f>VLOOKUP(financials[[#This Row],[productid]],Products!$B$2:$H$10,4)</f>
        <v>9.1</v>
      </c>
      <c r="K4542" s="8">
        <f>financials[[#This Row],[Net Sales]]-financials[[#This Row],[COGS]]</f>
        <v>283.39999999999998</v>
      </c>
      <c r="L4542" s="15">
        <v>44140</v>
      </c>
      <c r="M4542" t="s">
        <v>691</v>
      </c>
    </row>
    <row r="4543" spans="1:13" x14ac:dyDescent="0.25">
      <c r="A4543" t="s">
        <v>88</v>
      </c>
      <c r="B4543" s="6" t="s">
        <v>84</v>
      </c>
      <c r="C4543" s="13">
        <v>109</v>
      </c>
      <c r="D4543" s="14" t="s">
        <v>91</v>
      </c>
      <c r="E4543">
        <v>16</v>
      </c>
      <c r="F4543" s="8">
        <f>VLOOKUP(financials[[#This Row],[productid]],Products!$B$2:$H$10,3)</f>
        <v>36</v>
      </c>
      <c r="G4543" s="8">
        <f>financials[[#This Row],[Units Sold]]*financials[[#This Row],[Sale Price]]</f>
        <v>576</v>
      </c>
      <c r="H4543" s="8">
        <f>IF(financials[[#This Row],[Discount Band]]="low",0.1,IF(financials[[#This Row],[Discount Band]]="medium",0.15,0.3))</f>
        <v>0.1</v>
      </c>
      <c r="I4543" s="8">
        <f>financials[[#This Row],[Gross Sales]]-financials[[#This Row],[Gross Sales]]*financials[[#This Row],[Discounts]]</f>
        <v>518.4</v>
      </c>
      <c r="J4543" s="8">
        <f>VLOOKUP(financials[[#This Row],[productid]],Products!$B$2:$H$10,4)</f>
        <v>16.8</v>
      </c>
      <c r="K4543" s="8">
        <f>financials[[#This Row],[Net Sales]]-financials[[#This Row],[COGS]]</f>
        <v>501.59999999999997</v>
      </c>
      <c r="L4543" s="15">
        <v>44355</v>
      </c>
      <c r="M4543" t="s">
        <v>697</v>
      </c>
    </row>
    <row r="4544" spans="1:13" x14ac:dyDescent="0.25">
      <c r="A4544" t="s">
        <v>88</v>
      </c>
      <c r="B4544" s="6" t="s">
        <v>84</v>
      </c>
      <c r="C4544" s="13">
        <v>109</v>
      </c>
      <c r="D4544" s="14" t="s">
        <v>90</v>
      </c>
      <c r="E4544">
        <v>19</v>
      </c>
      <c r="F4544" s="8">
        <f>VLOOKUP(financials[[#This Row],[productid]],Products!$B$2:$H$10,3)</f>
        <v>36</v>
      </c>
      <c r="G4544" s="8">
        <f>financials[[#This Row],[Units Sold]]*financials[[#This Row],[Sale Price]]</f>
        <v>684</v>
      </c>
      <c r="H4544" s="8">
        <f>IF(financials[[#This Row],[Discount Band]]="low",0.1,IF(financials[[#This Row],[Discount Band]]="medium",0.15,0.3))</f>
        <v>0.15</v>
      </c>
      <c r="I4544" s="8">
        <f>financials[[#This Row],[Gross Sales]]-financials[[#This Row],[Gross Sales]]*financials[[#This Row],[Discounts]]</f>
        <v>581.4</v>
      </c>
      <c r="J4544" s="8">
        <f>VLOOKUP(financials[[#This Row],[productid]],Products!$B$2:$H$10,4)</f>
        <v>16.8</v>
      </c>
      <c r="K4544" s="8">
        <f>financials[[#This Row],[Net Sales]]-financials[[#This Row],[COGS]]</f>
        <v>564.6</v>
      </c>
      <c r="L4544" s="15">
        <v>44048</v>
      </c>
      <c r="M4544" t="s">
        <v>696</v>
      </c>
    </row>
    <row r="4545" spans="1:13" x14ac:dyDescent="0.25">
      <c r="A4545" t="s">
        <v>88</v>
      </c>
      <c r="B4545" s="6" t="s">
        <v>159</v>
      </c>
      <c r="C4545" s="13">
        <v>101</v>
      </c>
      <c r="D4545" s="14" t="s">
        <v>83</v>
      </c>
      <c r="E4545">
        <v>12</v>
      </c>
      <c r="F4545" s="8">
        <f>VLOOKUP(financials[[#This Row],[productid]],Products!$B$2:$H$10,3)</f>
        <v>23</v>
      </c>
      <c r="G4545" s="8">
        <f>financials[[#This Row],[Units Sold]]*financials[[#This Row],[Sale Price]]</f>
        <v>276</v>
      </c>
      <c r="H4545" s="8">
        <f>IF(financials[[#This Row],[Discount Band]]="low",0.1,IF(financials[[#This Row],[Discount Band]]="medium",0.15,0.3))</f>
        <v>0.3</v>
      </c>
      <c r="I4545" s="8">
        <f>financials[[#This Row],[Gross Sales]]-financials[[#This Row],[Gross Sales]]*financials[[#This Row],[Discounts]]</f>
        <v>193.2</v>
      </c>
      <c r="J4545" s="8">
        <f>VLOOKUP(financials[[#This Row],[productid]],Products!$B$2:$H$10,4)</f>
        <v>9.9499999999999993</v>
      </c>
      <c r="K4545" s="8">
        <f>financials[[#This Row],[Net Sales]]-financials[[#This Row],[COGS]]</f>
        <v>183.25</v>
      </c>
      <c r="L4545" s="15">
        <v>44008</v>
      </c>
      <c r="M4545" t="s">
        <v>691</v>
      </c>
    </row>
    <row r="4546" spans="1:13" x14ac:dyDescent="0.25">
      <c r="A4546" t="s">
        <v>88</v>
      </c>
      <c r="B4546" s="6" t="s">
        <v>84</v>
      </c>
      <c r="C4546" s="13">
        <v>101</v>
      </c>
      <c r="D4546" s="14" t="s">
        <v>91</v>
      </c>
      <c r="E4546">
        <v>12</v>
      </c>
      <c r="F4546" s="8">
        <f>VLOOKUP(financials[[#This Row],[productid]],Products!$B$2:$H$10,3)</f>
        <v>23</v>
      </c>
      <c r="G4546" s="8">
        <f>financials[[#This Row],[Units Sold]]*financials[[#This Row],[Sale Price]]</f>
        <v>276</v>
      </c>
      <c r="H4546" s="8">
        <f>IF(financials[[#This Row],[Discount Band]]="low",0.1,IF(financials[[#This Row],[Discount Band]]="medium",0.15,0.3))</f>
        <v>0.1</v>
      </c>
      <c r="I4546" s="8">
        <f>financials[[#This Row],[Gross Sales]]-financials[[#This Row],[Gross Sales]]*financials[[#This Row],[Discounts]]</f>
        <v>248.4</v>
      </c>
      <c r="J4546" s="8">
        <f>VLOOKUP(financials[[#This Row],[productid]],Products!$B$2:$H$10,4)</f>
        <v>9.9499999999999993</v>
      </c>
      <c r="K4546" s="8">
        <f>financials[[#This Row],[Net Sales]]-financials[[#This Row],[COGS]]</f>
        <v>238.45000000000002</v>
      </c>
      <c r="L4546" s="15">
        <v>44891</v>
      </c>
      <c r="M4546" t="s">
        <v>697</v>
      </c>
    </row>
    <row r="4547" spans="1:13" x14ac:dyDescent="0.25">
      <c r="A4547" t="s">
        <v>88</v>
      </c>
      <c r="B4547" s="6" t="s">
        <v>84</v>
      </c>
      <c r="C4547" s="13">
        <v>108</v>
      </c>
      <c r="D4547" s="14" t="s">
        <v>83</v>
      </c>
      <c r="E4547">
        <v>6</v>
      </c>
      <c r="F4547" s="8">
        <f>VLOOKUP(financials[[#This Row],[productid]],Products!$B$2:$H$10,3)</f>
        <v>5.5</v>
      </c>
      <c r="G4547" s="8">
        <f>financials[[#This Row],[Units Sold]]*financials[[#This Row],[Sale Price]]</f>
        <v>33</v>
      </c>
      <c r="H4547" s="8">
        <f>IF(financials[[#This Row],[Discount Band]]="low",0.1,IF(financials[[#This Row],[Discount Band]]="medium",0.15,0.3))</f>
        <v>0.3</v>
      </c>
      <c r="I4547" s="8">
        <f>financials[[#This Row],[Gross Sales]]-financials[[#This Row],[Gross Sales]]*financials[[#This Row],[Discounts]]</f>
        <v>23.1</v>
      </c>
      <c r="J4547" s="8">
        <f>VLOOKUP(financials[[#This Row],[productid]],Products!$B$2:$H$10,4)</f>
        <v>3.99</v>
      </c>
      <c r="K4547" s="8">
        <f>financials[[#This Row],[Net Sales]]-financials[[#This Row],[COGS]]</f>
        <v>19.11</v>
      </c>
      <c r="L4547" s="15">
        <v>45396</v>
      </c>
      <c r="M4547" t="s">
        <v>691</v>
      </c>
    </row>
    <row r="4548" spans="1:13" x14ac:dyDescent="0.25">
      <c r="A4548" t="s">
        <v>86</v>
      </c>
      <c r="B4548" s="6" t="s">
        <v>84</v>
      </c>
      <c r="C4548" s="13">
        <v>108</v>
      </c>
      <c r="D4548" s="14" t="s">
        <v>83</v>
      </c>
      <c r="E4548">
        <v>12</v>
      </c>
      <c r="F4548" s="8">
        <f>VLOOKUP(financials[[#This Row],[productid]],Products!$B$2:$H$10,3)</f>
        <v>5.5</v>
      </c>
      <c r="G4548" s="8">
        <f>financials[[#This Row],[Units Sold]]*financials[[#This Row],[Sale Price]]</f>
        <v>66</v>
      </c>
      <c r="H4548" s="8">
        <f>IF(financials[[#This Row],[Discount Band]]="low",0.1,IF(financials[[#This Row],[Discount Band]]="medium",0.15,0.3))</f>
        <v>0.3</v>
      </c>
      <c r="I4548" s="8">
        <f>financials[[#This Row],[Gross Sales]]-financials[[#This Row],[Gross Sales]]*financials[[#This Row],[Discounts]]</f>
        <v>46.2</v>
      </c>
      <c r="J4548" s="8">
        <f>VLOOKUP(financials[[#This Row],[productid]],Products!$B$2:$H$10,4)</f>
        <v>3.99</v>
      </c>
      <c r="K4548" s="8">
        <f>financials[[#This Row],[Net Sales]]-financials[[#This Row],[COGS]]</f>
        <v>42.21</v>
      </c>
      <c r="L4548" s="15">
        <v>43834</v>
      </c>
      <c r="M4548" t="s">
        <v>691</v>
      </c>
    </row>
    <row r="4549" spans="1:13" x14ac:dyDescent="0.25">
      <c r="A4549" t="s">
        <v>86</v>
      </c>
      <c r="B4549" s="6" t="s">
        <v>84</v>
      </c>
      <c r="C4549" s="13">
        <v>102</v>
      </c>
      <c r="D4549" s="14" t="s">
        <v>91</v>
      </c>
      <c r="E4549">
        <v>20</v>
      </c>
      <c r="F4549" s="8">
        <f>VLOOKUP(financials[[#This Row],[productid]],Products!$B$2:$H$10,3)</f>
        <v>15</v>
      </c>
      <c r="G4549" s="8">
        <f>financials[[#This Row],[Units Sold]]*financials[[#This Row],[Sale Price]]</f>
        <v>300</v>
      </c>
      <c r="H4549" s="8">
        <f>IF(financials[[#This Row],[Discount Band]]="low",0.1,IF(financials[[#This Row],[Discount Band]]="medium",0.15,0.3))</f>
        <v>0.1</v>
      </c>
      <c r="I4549" s="8">
        <f>financials[[#This Row],[Gross Sales]]-financials[[#This Row],[Gross Sales]]*financials[[#This Row],[Discounts]]</f>
        <v>270</v>
      </c>
      <c r="J4549" s="8">
        <f>VLOOKUP(financials[[#This Row],[productid]],Products!$B$2:$H$10,4)</f>
        <v>13.95</v>
      </c>
      <c r="K4549" s="8">
        <f>financials[[#This Row],[Net Sales]]-financials[[#This Row],[COGS]]</f>
        <v>256.05</v>
      </c>
      <c r="L4549" s="15">
        <v>45113</v>
      </c>
      <c r="M4549" t="s">
        <v>691</v>
      </c>
    </row>
    <row r="4550" spans="1:13" x14ac:dyDescent="0.25">
      <c r="A4550" t="s">
        <v>86</v>
      </c>
      <c r="B4550" s="6" t="s">
        <v>84</v>
      </c>
      <c r="C4550" s="13">
        <v>108</v>
      </c>
      <c r="D4550" s="14" t="s">
        <v>91</v>
      </c>
      <c r="E4550">
        <v>18</v>
      </c>
      <c r="F4550" s="8">
        <f>VLOOKUP(financials[[#This Row],[productid]],Products!$B$2:$H$10,3)</f>
        <v>5.5</v>
      </c>
      <c r="G4550" s="8">
        <f>financials[[#This Row],[Units Sold]]*financials[[#This Row],[Sale Price]]</f>
        <v>99</v>
      </c>
      <c r="H4550" s="8">
        <f>IF(financials[[#This Row],[Discount Band]]="low",0.1,IF(financials[[#This Row],[Discount Band]]="medium",0.15,0.3))</f>
        <v>0.1</v>
      </c>
      <c r="I4550" s="8">
        <f>financials[[#This Row],[Gross Sales]]-financials[[#This Row],[Gross Sales]]*financials[[#This Row],[Discounts]]</f>
        <v>89.1</v>
      </c>
      <c r="J4550" s="8">
        <f>VLOOKUP(financials[[#This Row],[productid]],Products!$B$2:$H$10,4)</f>
        <v>3.99</v>
      </c>
      <c r="K4550" s="8">
        <f>financials[[#This Row],[Net Sales]]-financials[[#This Row],[COGS]]</f>
        <v>85.11</v>
      </c>
      <c r="L4550" s="15">
        <v>44932</v>
      </c>
      <c r="M4550" t="s">
        <v>690</v>
      </c>
    </row>
    <row r="4551" spans="1:13" x14ac:dyDescent="0.25">
      <c r="A4551" t="s">
        <v>86</v>
      </c>
      <c r="B4551" s="6" t="s">
        <v>124</v>
      </c>
      <c r="C4551" s="13">
        <v>101</v>
      </c>
      <c r="D4551" s="14" t="s">
        <v>90</v>
      </c>
      <c r="E4551">
        <v>20</v>
      </c>
      <c r="F4551" s="8">
        <f>VLOOKUP(financials[[#This Row],[productid]],Products!$B$2:$H$10,3)</f>
        <v>23</v>
      </c>
      <c r="G4551" s="8">
        <f>financials[[#This Row],[Units Sold]]*financials[[#This Row],[Sale Price]]</f>
        <v>460</v>
      </c>
      <c r="H4551" s="8">
        <f>IF(financials[[#This Row],[Discount Band]]="low",0.1,IF(financials[[#This Row],[Discount Band]]="medium",0.15,0.3))</f>
        <v>0.15</v>
      </c>
      <c r="I4551" s="8">
        <f>financials[[#This Row],[Gross Sales]]-financials[[#This Row],[Gross Sales]]*financials[[#This Row],[Discounts]]</f>
        <v>391</v>
      </c>
      <c r="J4551" s="8">
        <f>VLOOKUP(financials[[#This Row],[productid]],Products!$B$2:$H$10,4)</f>
        <v>9.9499999999999993</v>
      </c>
      <c r="K4551" s="8">
        <f>financials[[#This Row],[Net Sales]]-financials[[#This Row],[COGS]]</f>
        <v>381.05</v>
      </c>
      <c r="L4551" s="15">
        <v>45117</v>
      </c>
      <c r="M4551" t="s">
        <v>697</v>
      </c>
    </row>
    <row r="4552" spans="1:13" x14ac:dyDescent="0.25">
      <c r="A4552" t="s">
        <v>86</v>
      </c>
      <c r="B4552" s="6" t="s">
        <v>159</v>
      </c>
      <c r="C4552" s="13">
        <v>104</v>
      </c>
      <c r="D4552" s="14" t="s">
        <v>90</v>
      </c>
      <c r="E4552">
        <v>7</v>
      </c>
      <c r="F4552" s="8">
        <f>VLOOKUP(financials[[#This Row],[productid]],Products!$B$2:$H$10,3)</f>
        <v>5.9</v>
      </c>
      <c r="G4552" s="8">
        <f>financials[[#This Row],[Units Sold]]*financials[[#This Row],[Sale Price]]</f>
        <v>41.300000000000004</v>
      </c>
      <c r="H4552" s="8">
        <f>IF(financials[[#This Row],[Discount Band]]="low",0.1,IF(financials[[#This Row],[Discount Band]]="medium",0.15,0.3))</f>
        <v>0.15</v>
      </c>
      <c r="I4552" s="8">
        <f>financials[[#This Row],[Gross Sales]]-financials[[#This Row],[Gross Sales]]*financials[[#This Row],[Discounts]]</f>
        <v>35.105000000000004</v>
      </c>
      <c r="J4552" s="8">
        <f>VLOOKUP(financials[[#This Row],[productid]],Products!$B$2:$H$10,4)</f>
        <v>2.9</v>
      </c>
      <c r="K4552" s="8">
        <f>financials[[#This Row],[Net Sales]]-financials[[#This Row],[COGS]]</f>
        <v>32.205000000000005</v>
      </c>
      <c r="L4552" s="15">
        <v>45268</v>
      </c>
      <c r="M4552" t="s">
        <v>691</v>
      </c>
    </row>
    <row r="4553" spans="1:13" x14ac:dyDescent="0.25">
      <c r="A4553" t="s">
        <v>86</v>
      </c>
      <c r="B4553" s="6" t="s">
        <v>159</v>
      </c>
      <c r="C4553" s="13">
        <v>102</v>
      </c>
      <c r="D4553" s="14" t="s">
        <v>91</v>
      </c>
      <c r="E4553">
        <v>16</v>
      </c>
      <c r="F4553" s="8">
        <f>VLOOKUP(financials[[#This Row],[productid]],Products!$B$2:$H$10,3)</f>
        <v>15</v>
      </c>
      <c r="G4553" s="8">
        <f>financials[[#This Row],[Units Sold]]*financials[[#This Row],[Sale Price]]</f>
        <v>240</v>
      </c>
      <c r="H4553" s="8">
        <f>IF(financials[[#This Row],[Discount Band]]="low",0.1,IF(financials[[#This Row],[Discount Band]]="medium",0.15,0.3))</f>
        <v>0.1</v>
      </c>
      <c r="I4553" s="8">
        <f>financials[[#This Row],[Gross Sales]]-financials[[#This Row],[Gross Sales]]*financials[[#This Row],[Discounts]]</f>
        <v>216</v>
      </c>
      <c r="J4553" s="8">
        <f>VLOOKUP(financials[[#This Row],[productid]],Products!$B$2:$H$10,4)</f>
        <v>13.95</v>
      </c>
      <c r="K4553" s="8">
        <f>financials[[#This Row],[Net Sales]]-financials[[#This Row],[COGS]]</f>
        <v>202.05</v>
      </c>
      <c r="L4553" s="15">
        <v>44250</v>
      </c>
      <c r="M4553" t="s">
        <v>697</v>
      </c>
    </row>
    <row r="4554" spans="1:13" x14ac:dyDescent="0.25">
      <c r="A4554" t="s">
        <v>87</v>
      </c>
      <c r="B4554" s="6" t="s">
        <v>124</v>
      </c>
      <c r="C4554" s="13">
        <v>104</v>
      </c>
      <c r="D4554" s="14" t="s">
        <v>83</v>
      </c>
      <c r="E4554">
        <v>5</v>
      </c>
      <c r="F4554" s="8">
        <f>VLOOKUP(financials[[#This Row],[productid]],Products!$B$2:$H$10,3)</f>
        <v>5.9</v>
      </c>
      <c r="G4554" s="8">
        <f>financials[[#This Row],[Units Sold]]*financials[[#This Row],[Sale Price]]</f>
        <v>29.5</v>
      </c>
      <c r="H4554" s="8">
        <f>IF(financials[[#This Row],[Discount Band]]="low",0.1,IF(financials[[#This Row],[Discount Band]]="medium",0.15,0.3))</f>
        <v>0.3</v>
      </c>
      <c r="I4554" s="8">
        <f>financials[[#This Row],[Gross Sales]]-financials[[#This Row],[Gross Sales]]*financials[[#This Row],[Discounts]]</f>
        <v>20.65</v>
      </c>
      <c r="J4554" s="8">
        <f>VLOOKUP(financials[[#This Row],[productid]],Products!$B$2:$H$10,4)</f>
        <v>2.9</v>
      </c>
      <c r="K4554" s="8">
        <f>financials[[#This Row],[Net Sales]]-financials[[#This Row],[COGS]]</f>
        <v>17.75</v>
      </c>
      <c r="L4554" s="15">
        <v>44599</v>
      </c>
      <c r="M4554" t="s">
        <v>691</v>
      </c>
    </row>
    <row r="4555" spans="1:13" x14ac:dyDescent="0.25">
      <c r="A4555" t="s">
        <v>86</v>
      </c>
      <c r="B4555" s="6" t="s">
        <v>84</v>
      </c>
      <c r="C4555" s="13">
        <v>107</v>
      </c>
      <c r="D4555" s="14" t="s">
        <v>92</v>
      </c>
      <c r="E4555">
        <v>7</v>
      </c>
      <c r="F4555" s="8">
        <f>VLOOKUP(financials[[#This Row],[productid]],Products!$B$2:$H$10,3)</f>
        <v>15</v>
      </c>
      <c r="G4555" s="8">
        <f>financials[[#This Row],[Units Sold]]*financials[[#This Row],[Sale Price]]</f>
        <v>105</v>
      </c>
      <c r="H4555" s="8">
        <f>IF(financials[[#This Row],[Discount Band]]="low",0.1,IF(financials[[#This Row],[Discount Band]]="medium",0.15,0.3))</f>
        <v>0.3</v>
      </c>
      <c r="I4555" s="8">
        <f>financials[[#This Row],[Gross Sales]]-financials[[#This Row],[Gross Sales]]*financials[[#This Row],[Discounts]]</f>
        <v>73.5</v>
      </c>
      <c r="J4555" s="8">
        <f>VLOOKUP(financials[[#This Row],[productid]],Products!$B$2:$H$10,4)</f>
        <v>5.5</v>
      </c>
      <c r="K4555" s="8">
        <f>financials[[#This Row],[Net Sales]]-financials[[#This Row],[COGS]]</f>
        <v>68</v>
      </c>
      <c r="L4555" s="15">
        <v>45395</v>
      </c>
      <c r="M4555" t="s">
        <v>697</v>
      </c>
    </row>
    <row r="4556" spans="1:13" x14ac:dyDescent="0.25">
      <c r="A4556" t="s">
        <v>87</v>
      </c>
      <c r="B4556" s="6" t="s">
        <v>124</v>
      </c>
      <c r="C4556" s="13">
        <v>102</v>
      </c>
      <c r="D4556" s="14" t="s">
        <v>90</v>
      </c>
      <c r="E4556">
        <v>19</v>
      </c>
      <c r="F4556" s="8">
        <f>VLOOKUP(financials[[#This Row],[productid]],Products!$B$2:$H$10,3)</f>
        <v>15</v>
      </c>
      <c r="G4556" s="8">
        <f>financials[[#This Row],[Units Sold]]*financials[[#This Row],[Sale Price]]</f>
        <v>285</v>
      </c>
      <c r="H4556" s="8">
        <f>IF(financials[[#This Row],[Discount Band]]="low",0.1,IF(financials[[#This Row],[Discount Band]]="medium",0.15,0.3))</f>
        <v>0.15</v>
      </c>
      <c r="I4556" s="8">
        <f>financials[[#This Row],[Gross Sales]]-financials[[#This Row],[Gross Sales]]*financials[[#This Row],[Discounts]]</f>
        <v>242.25</v>
      </c>
      <c r="J4556" s="8">
        <f>VLOOKUP(financials[[#This Row],[productid]],Products!$B$2:$H$10,4)</f>
        <v>13.95</v>
      </c>
      <c r="K4556" s="8">
        <f>financials[[#This Row],[Net Sales]]-financials[[#This Row],[COGS]]</f>
        <v>228.3</v>
      </c>
      <c r="L4556" s="15">
        <v>44763</v>
      </c>
      <c r="M4556" t="s">
        <v>691</v>
      </c>
    </row>
    <row r="4557" spans="1:13" x14ac:dyDescent="0.25">
      <c r="A4557" t="s">
        <v>86</v>
      </c>
      <c r="B4557" s="6" t="s">
        <v>84</v>
      </c>
      <c r="C4557" s="13">
        <v>102</v>
      </c>
      <c r="D4557" s="14" t="s">
        <v>90</v>
      </c>
      <c r="E4557">
        <v>11</v>
      </c>
      <c r="F4557" s="8">
        <f>VLOOKUP(financials[[#This Row],[productid]],Products!$B$2:$H$10,3)</f>
        <v>15</v>
      </c>
      <c r="G4557" s="8">
        <f>financials[[#This Row],[Units Sold]]*financials[[#This Row],[Sale Price]]</f>
        <v>165</v>
      </c>
      <c r="H4557" s="8">
        <f>IF(financials[[#This Row],[Discount Band]]="low",0.1,IF(financials[[#This Row],[Discount Band]]="medium",0.15,0.3))</f>
        <v>0.15</v>
      </c>
      <c r="I4557" s="8">
        <f>financials[[#This Row],[Gross Sales]]-financials[[#This Row],[Gross Sales]]*financials[[#This Row],[Discounts]]</f>
        <v>140.25</v>
      </c>
      <c r="J4557" s="8">
        <f>VLOOKUP(financials[[#This Row],[productid]],Products!$B$2:$H$10,4)</f>
        <v>13.95</v>
      </c>
      <c r="K4557" s="8">
        <f>financials[[#This Row],[Net Sales]]-financials[[#This Row],[COGS]]</f>
        <v>126.3</v>
      </c>
      <c r="L4557" s="15">
        <v>44488</v>
      </c>
      <c r="M4557" t="s">
        <v>690</v>
      </c>
    </row>
    <row r="4558" spans="1:13" x14ac:dyDescent="0.25">
      <c r="A4558" t="s">
        <v>88</v>
      </c>
      <c r="B4558" s="6" t="s">
        <v>124</v>
      </c>
      <c r="C4558" s="13">
        <v>102</v>
      </c>
      <c r="D4558" s="14" t="s">
        <v>92</v>
      </c>
      <c r="E4558">
        <v>18</v>
      </c>
      <c r="F4558" s="8">
        <f>VLOOKUP(financials[[#This Row],[productid]],Products!$B$2:$H$10,3)</f>
        <v>15</v>
      </c>
      <c r="G4558" s="8">
        <f>financials[[#This Row],[Units Sold]]*financials[[#This Row],[Sale Price]]</f>
        <v>270</v>
      </c>
      <c r="H4558" s="8">
        <f>IF(financials[[#This Row],[Discount Band]]="low",0.1,IF(financials[[#This Row],[Discount Band]]="medium",0.15,0.3))</f>
        <v>0.3</v>
      </c>
      <c r="I4558" s="8">
        <f>financials[[#This Row],[Gross Sales]]-financials[[#This Row],[Gross Sales]]*financials[[#This Row],[Discounts]]</f>
        <v>189</v>
      </c>
      <c r="J4558" s="8">
        <f>VLOOKUP(financials[[#This Row],[productid]],Products!$B$2:$H$10,4)</f>
        <v>13.95</v>
      </c>
      <c r="K4558" s="8">
        <f>financials[[#This Row],[Net Sales]]-financials[[#This Row],[COGS]]</f>
        <v>175.05</v>
      </c>
      <c r="L4558" s="15">
        <v>45186</v>
      </c>
      <c r="M4558" t="s">
        <v>690</v>
      </c>
    </row>
    <row r="4559" spans="1:13" x14ac:dyDescent="0.25">
      <c r="A4559" t="s">
        <v>88</v>
      </c>
      <c r="B4559" s="6" t="s">
        <v>124</v>
      </c>
      <c r="C4559" s="11">
        <v>106</v>
      </c>
      <c r="D4559" s="9" t="s">
        <v>90</v>
      </c>
      <c r="E4559">
        <v>7</v>
      </c>
      <c r="F4559" s="8">
        <f>VLOOKUP(financials[[#This Row],[productid]],Products!$B$2:$H$10,3)</f>
        <v>25</v>
      </c>
      <c r="G4559" s="8">
        <f>financials[[#This Row],[Units Sold]]*financials[[#This Row],[Sale Price]]</f>
        <v>175</v>
      </c>
      <c r="H4559" s="8">
        <f>IF(financials[[#This Row],[Discount Band]]="low",0.1,IF(financials[[#This Row],[Discount Band]]="medium",0.15,0.3))</f>
        <v>0.15</v>
      </c>
      <c r="I4559" s="8">
        <f>financials[[#This Row],[Gross Sales]]-financials[[#This Row],[Gross Sales]]*financials[[#This Row],[Discounts]]</f>
        <v>148.75</v>
      </c>
      <c r="J4559" s="8">
        <f>VLOOKUP(financials[[#This Row],[productid]],Products!$B$2:$H$10,4)</f>
        <v>9.1</v>
      </c>
      <c r="K4559" s="8">
        <f>financials[[#This Row],[Net Sales]]-financials[[#This Row],[COGS]]</f>
        <v>139.65</v>
      </c>
      <c r="L4559" s="15">
        <v>44086</v>
      </c>
      <c r="M4559" t="s">
        <v>691</v>
      </c>
    </row>
    <row r="4560" spans="1:13" x14ac:dyDescent="0.25">
      <c r="A4560" t="s">
        <v>87</v>
      </c>
      <c r="B4560" s="6" t="s">
        <v>124</v>
      </c>
      <c r="C4560" s="13">
        <v>102</v>
      </c>
      <c r="D4560" s="14" t="s">
        <v>83</v>
      </c>
      <c r="E4560">
        <v>19</v>
      </c>
      <c r="F4560" s="8">
        <f>VLOOKUP(financials[[#This Row],[productid]],Products!$B$2:$H$10,3)</f>
        <v>15</v>
      </c>
      <c r="G4560" s="8">
        <f>financials[[#This Row],[Units Sold]]*financials[[#This Row],[Sale Price]]</f>
        <v>285</v>
      </c>
      <c r="H4560" s="8">
        <f>IF(financials[[#This Row],[Discount Band]]="low",0.1,IF(financials[[#This Row],[Discount Band]]="medium",0.15,0.3))</f>
        <v>0.3</v>
      </c>
      <c r="I4560" s="8">
        <f>financials[[#This Row],[Gross Sales]]-financials[[#This Row],[Gross Sales]]*financials[[#This Row],[Discounts]]</f>
        <v>199.5</v>
      </c>
      <c r="J4560" s="8">
        <f>VLOOKUP(financials[[#This Row],[productid]],Products!$B$2:$H$10,4)</f>
        <v>13.95</v>
      </c>
      <c r="K4560" s="8">
        <f>financials[[#This Row],[Net Sales]]-financials[[#This Row],[COGS]]</f>
        <v>185.55</v>
      </c>
      <c r="L4560" s="15">
        <v>43888</v>
      </c>
      <c r="M4560" t="s">
        <v>690</v>
      </c>
    </row>
    <row r="4561" spans="1:13" x14ac:dyDescent="0.25">
      <c r="A4561" t="s">
        <v>88</v>
      </c>
      <c r="B4561" s="6" t="s">
        <v>124</v>
      </c>
      <c r="C4561" s="13">
        <v>102</v>
      </c>
      <c r="D4561" s="14" t="s">
        <v>90</v>
      </c>
      <c r="E4561">
        <v>9</v>
      </c>
      <c r="F4561" s="8">
        <f>VLOOKUP(financials[[#This Row],[productid]],Products!$B$2:$H$10,3)</f>
        <v>15</v>
      </c>
      <c r="G4561" s="8">
        <f>financials[[#This Row],[Units Sold]]*financials[[#This Row],[Sale Price]]</f>
        <v>135</v>
      </c>
      <c r="H4561" s="8">
        <f>IF(financials[[#This Row],[Discount Band]]="low",0.1,IF(financials[[#This Row],[Discount Band]]="medium",0.15,0.3))</f>
        <v>0.15</v>
      </c>
      <c r="I4561" s="8">
        <f>financials[[#This Row],[Gross Sales]]-financials[[#This Row],[Gross Sales]]*financials[[#This Row],[Discounts]]</f>
        <v>114.75</v>
      </c>
      <c r="J4561" s="8">
        <f>VLOOKUP(financials[[#This Row],[productid]],Products!$B$2:$H$10,4)</f>
        <v>13.95</v>
      </c>
      <c r="K4561" s="8">
        <f>financials[[#This Row],[Net Sales]]-financials[[#This Row],[COGS]]</f>
        <v>100.8</v>
      </c>
      <c r="L4561" s="15">
        <v>45063</v>
      </c>
      <c r="M4561" t="s">
        <v>700</v>
      </c>
    </row>
    <row r="4562" spans="1:13" x14ac:dyDescent="0.25">
      <c r="A4562" t="s">
        <v>86</v>
      </c>
      <c r="B4562" s="6" t="s">
        <v>84</v>
      </c>
      <c r="C4562" s="11">
        <v>108</v>
      </c>
      <c r="D4562" s="9" t="s">
        <v>90</v>
      </c>
      <c r="E4562">
        <v>19</v>
      </c>
      <c r="F4562" s="8">
        <f>VLOOKUP(financials[[#This Row],[productid]],Products!$B$2:$H$10,3)</f>
        <v>5.5</v>
      </c>
      <c r="G4562" s="8">
        <f>financials[[#This Row],[Units Sold]]*financials[[#This Row],[Sale Price]]</f>
        <v>104.5</v>
      </c>
      <c r="H4562" s="8">
        <f>IF(financials[[#This Row],[Discount Band]]="low",0.1,IF(financials[[#This Row],[Discount Band]]="medium",0.15,0.3))</f>
        <v>0.15</v>
      </c>
      <c r="I4562" s="8">
        <f>financials[[#This Row],[Gross Sales]]-financials[[#This Row],[Gross Sales]]*financials[[#This Row],[Discounts]]</f>
        <v>88.825000000000003</v>
      </c>
      <c r="J4562" s="8">
        <f>VLOOKUP(financials[[#This Row],[productid]],Products!$B$2:$H$10,4)</f>
        <v>3.99</v>
      </c>
      <c r="K4562" s="8">
        <f>financials[[#This Row],[Net Sales]]-financials[[#This Row],[COGS]]</f>
        <v>84.835000000000008</v>
      </c>
      <c r="L4562" s="15">
        <v>44567</v>
      </c>
      <c r="M4562" t="s">
        <v>696</v>
      </c>
    </row>
    <row r="4563" spans="1:13" x14ac:dyDescent="0.25">
      <c r="A4563" t="s">
        <v>86</v>
      </c>
      <c r="B4563" s="6" t="s">
        <v>84</v>
      </c>
      <c r="C4563" s="13">
        <v>105</v>
      </c>
      <c r="D4563" s="14" t="s">
        <v>92</v>
      </c>
      <c r="E4563">
        <v>14</v>
      </c>
      <c r="F4563" s="8">
        <f>VLOOKUP(financials[[#This Row],[productid]],Products!$B$2:$H$10,3)</f>
        <v>15</v>
      </c>
      <c r="G4563" s="8">
        <f>financials[[#This Row],[Units Sold]]*financials[[#This Row],[Sale Price]]</f>
        <v>210</v>
      </c>
      <c r="H4563" s="8">
        <f>IF(financials[[#This Row],[Discount Band]]="low",0.1,IF(financials[[#This Row],[Discount Band]]="medium",0.15,0.3))</f>
        <v>0.3</v>
      </c>
      <c r="I4563" s="8">
        <f>financials[[#This Row],[Gross Sales]]-financials[[#This Row],[Gross Sales]]*financials[[#This Row],[Discounts]]</f>
        <v>147</v>
      </c>
      <c r="J4563" s="8">
        <f>VLOOKUP(financials[[#This Row],[productid]],Products!$B$2:$H$10,4)</f>
        <v>10</v>
      </c>
      <c r="K4563" s="8">
        <f>financials[[#This Row],[Net Sales]]-financials[[#This Row],[COGS]]</f>
        <v>137</v>
      </c>
      <c r="L4563" s="15">
        <v>44781</v>
      </c>
      <c r="M4563" t="s">
        <v>690</v>
      </c>
    </row>
    <row r="4564" spans="1:13" x14ac:dyDescent="0.25">
      <c r="A4564" t="s">
        <v>86</v>
      </c>
      <c r="B4564" s="6" t="s">
        <v>84</v>
      </c>
      <c r="C4564" s="13">
        <v>102</v>
      </c>
      <c r="D4564" s="14" t="s">
        <v>83</v>
      </c>
      <c r="E4564">
        <v>9</v>
      </c>
      <c r="F4564" s="8">
        <f>VLOOKUP(financials[[#This Row],[productid]],Products!$B$2:$H$10,3)</f>
        <v>15</v>
      </c>
      <c r="G4564" s="8">
        <f>financials[[#This Row],[Units Sold]]*financials[[#This Row],[Sale Price]]</f>
        <v>135</v>
      </c>
      <c r="H4564" s="8">
        <f>IF(financials[[#This Row],[Discount Band]]="low",0.1,IF(financials[[#This Row],[Discount Band]]="medium",0.15,0.3))</f>
        <v>0.3</v>
      </c>
      <c r="I4564" s="8">
        <f>financials[[#This Row],[Gross Sales]]-financials[[#This Row],[Gross Sales]]*financials[[#This Row],[Discounts]]</f>
        <v>94.5</v>
      </c>
      <c r="J4564" s="8">
        <f>VLOOKUP(financials[[#This Row],[productid]],Products!$B$2:$H$10,4)</f>
        <v>13.95</v>
      </c>
      <c r="K4564" s="8">
        <f>financials[[#This Row],[Net Sales]]-financials[[#This Row],[COGS]]</f>
        <v>80.55</v>
      </c>
      <c r="L4564" s="15">
        <v>44706</v>
      </c>
      <c r="M4564" t="s">
        <v>700</v>
      </c>
    </row>
    <row r="4565" spans="1:13" x14ac:dyDescent="0.25">
      <c r="A4565" t="s">
        <v>86</v>
      </c>
      <c r="B4565" s="6" t="s">
        <v>84</v>
      </c>
      <c r="C4565" s="13">
        <v>104</v>
      </c>
      <c r="D4565" s="14" t="s">
        <v>83</v>
      </c>
      <c r="E4565">
        <v>16</v>
      </c>
      <c r="F4565" s="8">
        <f>VLOOKUP(financials[[#This Row],[productid]],Products!$B$2:$H$10,3)</f>
        <v>5.9</v>
      </c>
      <c r="G4565" s="8">
        <f>financials[[#This Row],[Units Sold]]*financials[[#This Row],[Sale Price]]</f>
        <v>94.4</v>
      </c>
      <c r="H4565" s="8">
        <f>IF(financials[[#This Row],[Discount Band]]="low",0.1,IF(financials[[#This Row],[Discount Band]]="medium",0.15,0.3))</f>
        <v>0.3</v>
      </c>
      <c r="I4565" s="8">
        <f>financials[[#This Row],[Gross Sales]]-financials[[#This Row],[Gross Sales]]*financials[[#This Row],[Discounts]]</f>
        <v>66.080000000000013</v>
      </c>
      <c r="J4565" s="8">
        <f>VLOOKUP(financials[[#This Row],[productid]],Products!$B$2:$H$10,4)</f>
        <v>2.9</v>
      </c>
      <c r="K4565" s="8">
        <f>financials[[#This Row],[Net Sales]]-financials[[#This Row],[COGS]]</f>
        <v>63.180000000000014</v>
      </c>
      <c r="L4565" s="15">
        <v>45460</v>
      </c>
      <c r="M4565" t="s">
        <v>690</v>
      </c>
    </row>
    <row r="4566" spans="1:13" x14ac:dyDescent="0.25">
      <c r="A4566" t="s">
        <v>88</v>
      </c>
      <c r="B4566" s="6" t="s">
        <v>84</v>
      </c>
      <c r="C4566" s="13">
        <v>105</v>
      </c>
      <c r="D4566" s="14" t="s">
        <v>91</v>
      </c>
      <c r="E4566">
        <v>9</v>
      </c>
      <c r="F4566" s="8">
        <f>VLOOKUP(financials[[#This Row],[productid]],Products!$B$2:$H$10,3)</f>
        <v>15</v>
      </c>
      <c r="G4566" s="8">
        <f>financials[[#This Row],[Units Sold]]*financials[[#This Row],[Sale Price]]</f>
        <v>135</v>
      </c>
      <c r="H4566" s="8">
        <f>IF(financials[[#This Row],[Discount Band]]="low",0.1,IF(financials[[#This Row],[Discount Band]]="medium",0.15,0.3))</f>
        <v>0.1</v>
      </c>
      <c r="I4566" s="8">
        <f>financials[[#This Row],[Gross Sales]]-financials[[#This Row],[Gross Sales]]*financials[[#This Row],[Discounts]]</f>
        <v>121.5</v>
      </c>
      <c r="J4566" s="8">
        <f>VLOOKUP(financials[[#This Row],[productid]],Products!$B$2:$H$10,4)</f>
        <v>10</v>
      </c>
      <c r="K4566" s="8">
        <f>financials[[#This Row],[Net Sales]]-financials[[#This Row],[COGS]]</f>
        <v>111.5</v>
      </c>
      <c r="L4566" s="15">
        <v>45488</v>
      </c>
      <c r="M4566" t="s">
        <v>700</v>
      </c>
    </row>
    <row r="4567" spans="1:13" x14ac:dyDescent="0.25">
      <c r="A4567" t="s">
        <v>87</v>
      </c>
      <c r="B4567" s="6" t="s">
        <v>124</v>
      </c>
      <c r="C4567" s="11">
        <v>103</v>
      </c>
      <c r="D4567" s="9" t="s">
        <v>83</v>
      </c>
      <c r="E4567">
        <v>9</v>
      </c>
      <c r="F4567" s="8">
        <f>VLOOKUP(financials[[#This Row],[productid]],Products!$B$2:$H$10,3)</f>
        <v>28</v>
      </c>
      <c r="G4567" s="8">
        <f>financials[[#This Row],[Units Sold]]*financials[[#This Row],[Sale Price]]</f>
        <v>252</v>
      </c>
      <c r="H4567" s="8">
        <f>IF(financials[[#This Row],[Discount Band]]="low",0.1,IF(financials[[#This Row],[Discount Band]]="medium",0.15,0.3))</f>
        <v>0.3</v>
      </c>
      <c r="I4567" s="8">
        <f>financials[[#This Row],[Gross Sales]]-financials[[#This Row],[Gross Sales]]*financials[[#This Row],[Discounts]]</f>
        <v>176.4</v>
      </c>
      <c r="J4567" s="8">
        <f>VLOOKUP(financials[[#This Row],[productid]],Products!$B$2:$H$10,4)</f>
        <v>15</v>
      </c>
      <c r="K4567" s="8">
        <f>financials[[#This Row],[Net Sales]]-financials[[#This Row],[COGS]]</f>
        <v>161.4</v>
      </c>
      <c r="L4567" s="15">
        <v>43920</v>
      </c>
      <c r="M4567" t="s">
        <v>697</v>
      </c>
    </row>
    <row r="4568" spans="1:13" x14ac:dyDescent="0.25">
      <c r="A4568" t="s">
        <v>88</v>
      </c>
      <c r="B4568" s="6" t="s">
        <v>124</v>
      </c>
      <c r="C4568" s="13">
        <v>109</v>
      </c>
      <c r="D4568" s="14" t="s">
        <v>83</v>
      </c>
      <c r="E4568">
        <v>10</v>
      </c>
      <c r="F4568" s="8">
        <f>VLOOKUP(financials[[#This Row],[productid]],Products!$B$2:$H$10,3)</f>
        <v>36</v>
      </c>
      <c r="G4568" s="8">
        <f>financials[[#This Row],[Units Sold]]*financials[[#This Row],[Sale Price]]</f>
        <v>360</v>
      </c>
      <c r="H4568" s="8">
        <f>IF(financials[[#This Row],[Discount Band]]="low",0.1,IF(financials[[#This Row],[Discount Band]]="medium",0.15,0.3))</f>
        <v>0.3</v>
      </c>
      <c r="I4568" s="8">
        <f>financials[[#This Row],[Gross Sales]]-financials[[#This Row],[Gross Sales]]*financials[[#This Row],[Discounts]]</f>
        <v>252</v>
      </c>
      <c r="J4568" s="8">
        <f>VLOOKUP(financials[[#This Row],[productid]],Products!$B$2:$H$10,4)</f>
        <v>16.8</v>
      </c>
      <c r="K4568" s="8">
        <f>financials[[#This Row],[Net Sales]]-financials[[#This Row],[COGS]]</f>
        <v>235.2</v>
      </c>
      <c r="L4568" s="15">
        <v>44586</v>
      </c>
      <c r="M4568" t="s">
        <v>690</v>
      </c>
    </row>
    <row r="4569" spans="1:13" x14ac:dyDescent="0.25">
      <c r="A4569" t="s">
        <v>88</v>
      </c>
      <c r="B4569" s="6" t="s">
        <v>124</v>
      </c>
      <c r="C4569" s="13">
        <v>102</v>
      </c>
      <c r="D4569" s="14" t="s">
        <v>83</v>
      </c>
      <c r="E4569">
        <v>15</v>
      </c>
      <c r="F4569" s="8">
        <f>VLOOKUP(financials[[#This Row],[productid]],Products!$B$2:$H$10,3)</f>
        <v>15</v>
      </c>
      <c r="G4569" s="8">
        <f>financials[[#This Row],[Units Sold]]*financials[[#This Row],[Sale Price]]</f>
        <v>225</v>
      </c>
      <c r="H4569" s="8">
        <f>IF(financials[[#This Row],[Discount Band]]="low",0.1,IF(financials[[#This Row],[Discount Band]]="medium",0.15,0.3))</f>
        <v>0.3</v>
      </c>
      <c r="I4569" s="8">
        <f>financials[[#This Row],[Gross Sales]]-financials[[#This Row],[Gross Sales]]*financials[[#This Row],[Discounts]]</f>
        <v>157.5</v>
      </c>
      <c r="J4569" s="8">
        <f>VLOOKUP(financials[[#This Row],[productid]],Products!$B$2:$H$10,4)</f>
        <v>13.95</v>
      </c>
      <c r="K4569" s="8">
        <f>financials[[#This Row],[Net Sales]]-financials[[#This Row],[COGS]]</f>
        <v>143.55000000000001</v>
      </c>
      <c r="L4569" s="15">
        <v>44698</v>
      </c>
      <c r="M4569" t="s">
        <v>697</v>
      </c>
    </row>
    <row r="4570" spans="1:13" x14ac:dyDescent="0.25">
      <c r="A4570" t="s">
        <v>87</v>
      </c>
      <c r="B4570" s="6" t="s">
        <v>124</v>
      </c>
      <c r="C4570" s="13">
        <v>101</v>
      </c>
      <c r="D4570" s="14" t="s">
        <v>90</v>
      </c>
      <c r="E4570">
        <v>20</v>
      </c>
      <c r="F4570" s="8">
        <f>VLOOKUP(financials[[#This Row],[productid]],Products!$B$2:$H$10,3)</f>
        <v>23</v>
      </c>
      <c r="G4570" s="8">
        <f>financials[[#This Row],[Units Sold]]*financials[[#This Row],[Sale Price]]</f>
        <v>460</v>
      </c>
      <c r="H4570" s="8">
        <f>IF(financials[[#This Row],[Discount Band]]="low",0.1,IF(financials[[#This Row],[Discount Band]]="medium",0.15,0.3))</f>
        <v>0.15</v>
      </c>
      <c r="I4570" s="8">
        <f>financials[[#This Row],[Gross Sales]]-financials[[#This Row],[Gross Sales]]*financials[[#This Row],[Discounts]]</f>
        <v>391</v>
      </c>
      <c r="J4570" s="8">
        <f>VLOOKUP(financials[[#This Row],[productid]],Products!$B$2:$H$10,4)</f>
        <v>9.9499999999999993</v>
      </c>
      <c r="K4570" s="8">
        <f>financials[[#This Row],[Net Sales]]-financials[[#This Row],[COGS]]</f>
        <v>381.05</v>
      </c>
      <c r="L4570" s="15">
        <v>45313</v>
      </c>
      <c r="M4570" t="s">
        <v>696</v>
      </c>
    </row>
    <row r="4571" spans="1:13" x14ac:dyDescent="0.25">
      <c r="A4571" t="s">
        <v>86</v>
      </c>
      <c r="B4571" s="6" t="s">
        <v>124</v>
      </c>
      <c r="C4571" s="13">
        <v>101</v>
      </c>
      <c r="D4571" s="14" t="s">
        <v>83</v>
      </c>
      <c r="E4571">
        <v>11</v>
      </c>
      <c r="F4571" s="8">
        <f>VLOOKUP(financials[[#This Row],[productid]],Products!$B$2:$H$10,3)</f>
        <v>23</v>
      </c>
      <c r="G4571" s="8">
        <f>financials[[#This Row],[Units Sold]]*financials[[#This Row],[Sale Price]]</f>
        <v>253</v>
      </c>
      <c r="H4571" s="8">
        <f>IF(financials[[#This Row],[Discount Band]]="low",0.1,IF(financials[[#This Row],[Discount Band]]="medium",0.15,0.3))</f>
        <v>0.3</v>
      </c>
      <c r="I4571" s="8">
        <f>financials[[#This Row],[Gross Sales]]-financials[[#This Row],[Gross Sales]]*financials[[#This Row],[Discounts]]</f>
        <v>177.10000000000002</v>
      </c>
      <c r="J4571" s="8">
        <f>VLOOKUP(financials[[#This Row],[productid]],Products!$B$2:$H$10,4)</f>
        <v>9.9499999999999993</v>
      </c>
      <c r="K4571" s="8">
        <f>financials[[#This Row],[Net Sales]]-financials[[#This Row],[COGS]]</f>
        <v>167.15000000000003</v>
      </c>
      <c r="L4571" s="15">
        <v>45180</v>
      </c>
      <c r="M4571" t="s">
        <v>690</v>
      </c>
    </row>
    <row r="4572" spans="1:13" x14ac:dyDescent="0.25">
      <c r="A4572" t="s">
        <v>86</v>
      </c>
      <c r="B4572" s="6" t="s">
        <v>84</v>
      </c>
      <c r="C4572" s="13">
        <v>102</v>
      </c>
      <c r="D4572" s="14" t="s">
        <v>91</v>
      </c>
      <c r="E4572">
        <v>7</v>
      </c>
      <c r="F4572" s="8">
        <f>VLOOKUP(financials[[#This Row],[productid]],Products!$B$2:$H$10,3)</f>
        <v>15</v>
      </c>
      <c r="G4572" s="8">
        <f>financials[[#This Row],[Units Sold]]*financials[[#This Row],[Sale Price]]</f>
        <v>105</v>
      </c>
      <c r="H4572" s="8">
        <f>IF(financials[[#This Row],[Discount Band]]="low",0.1,IF(financials[[#This Row],[Discount Band]]="medium",0.15,0.3))</f>
        <v>0.1</v>
      </c>
      <c r="I4572" s="8">
        <f>financials[[#This Row],[Gross Sales]]-financials[[#This Row],[Gross Sales]]*financials[[#This Row],[Discounts]]</f>
        <v>94.5</v>
      </c>
      <c r="J4572" s="8">
        <f>VLOOKUP(financials[[#This Row],[productid]],Products!$B$2:$H$10,4)</f>
        <v>13.95</v>
      </c>
      <c r="K4572" s="8">
        <f>financials[[#This Row],[Net Sales]]-financials[[#This Row],[COGS]]</f>
        <v>80.55</v>
      </c>
      <c r="L4572" s="15">
        <v>43905</v>
      </c>
      <c r="M4572" t="s">
        <v>697</v>
      </c>
    </row>
    <row r="4573" spans="1:13" x14ac:dyDescent="0.25">
      <c r="A4573" t="s">
        <v>88</v>
      </c>
      <c r="B4573" s="6" t="s">
        <v>159</v>
      </c>
      <c r="C4573" s="13">
        <v>108</v>
      </c>
      <c r="D4573" s="14" t="s">
        <v>83</v>
      </c>
      <c r="E4573">
        <v>6</v>
      </c>
      <c r="F4573" s="8">
        <f>VLOOKUP(financials[[#This Row],[productid]],Products!$B$2:$H$10,3)</f>
        <v>5.5</v>
      </c>
      <c r="G4573" s="8">
        <f>financials[[#This Row],[Units Sold]]*financials[[#This Row],[Sale Price]]</f>
        <v>33</v>
      </c>
      <c r="H4573" s="8">
        <f>IF(financials[[#This Row],[Discount Band]]="low",0.1,IF(financials[[#This Row],[Discount Band]]="medium",0.15,0.3))</f>
        <v>0.3</v>
      </c>
      <c r="I4573" s="8">
        <f>financials[[#This Row],[Gross Sales]]-financials[[#This Row],[Gross Sales]]*financials[[#This Row],[Discounts]]</f>
        <v>23.1</v>
      </c>
      <c r="J4573" s="8">
        <f>VLOOKUP(financials[[#This Row],[productid]],Products!$B$2:$H$10,4)</f>
        <v>3.99</v>
      </c>
      <c r="K4573" s="8">
        <f>financials[[#This Row],[Net Sales]]-financials[[#This Row],[COGS]]</f>
        <v>19.11</v>
      </c>
      <c r="L4573" s="15">
        <v>44012</v>
      </c>
      <c r="M4573" t="s">
        <v>696</v>
      </c>
    </row>
    <row r="4574" spans="1:13" x14ac:dyDescent="0.25">
      <c r="A4574" t="s">
        <v>88</v>
      </c>
      <c r="B4574" s="6" t="s">
        <v>84</v>
      </c>
      <c r="C4574" s="11">
        <v>106</v>
      </c>
      <c r="D4574" s="9" t="s">
        <v>83</v>
      </c>
      <c r="E4574">
        <v>9</v>
      </c>
      <c r="F4574" s="8">
        <f>VLOOKUP(financials[[#This Row],[productid]],Products!$B$2:$H$10,3)</f>
        <v>25</v>
      </c>
      <c r="G4574" s="8">
        <f>financials[[#This Row],[Units Sold]]*financials[[#This Row],[Sale Price]]</f>
        <v>225</v>
      </c>
      <c r="H4574" s="8">
        <f>IF(financials[[#This Row],[Discount Band]]="low",0.1,IF(financials[[#This Row],[Discount Band]]="medium",0.15,0.3))</f>
        <v>0.3</v>
      </c>
      <c r="I4574" s="8">
        <f>financials[[#This Row],[Gross Sales]]-financials[[#This Row],[Gross Sales]]*financials[[#This Row],[Discounts]]</f>
        <v>157.5</v>
      </c>
      <c r="J4574" s="8">
        <f>VLOOKUP(financials[[#This Row],[productid]],Products!$B$2:$H$10,4)</f>
        <v>9.1</v>
      </c>
      <c r="K4574" s="8">
        <f>financials[[#This Row],[Net Sales]]-financials[[#This Row],[COGS]]</f>
        <v>148.4</v>
      </c>
      <c r="L4574" s="15">
        <v>44196</v>
      </c>
      <c r="M4574" t="s">
        <v>690</v>
      </c>
    </row>
    <row r="4575" spans="1:13" x14ac:dyDescent="0.25">
      <c r="A4575" t="s">
        <v>86</v>
      </c>
      <c r="B4575" s="6" t="s">
        <v>159</v>
      </c>
      <c r="C4575" s="13">
        <v>107</v>
      </c>
      <c r="D4575" s="14" t="s">
        <v>83</v>
      </c>
      <c r="E4575">
        <v>20</v>
      </c>
      <c r="F4575" s="8">
        <f>VLOOKUP(financials[[#This Row],[productid]],Products!$B$2:$H$10,3)</f>
        <v>15</v>
      </c>
      <c r="G4575" s="8">
        <f>financials[[#This Row],[Units Sold]]*financials[[#This Row],[Sale Price]]</f>
        <v>300</v>
      </c>
      <c r="H4575" s="8">
        <f>IF(financials[[#This Row],[Discount Band]]="low",0.1,IF(financials[[#This Row],[Discount Band]]="medium",0.15,0.3))</f>
        <v>0.3</v>
      </c>
      <c r="I4575" s="8">
        <f>financials[[#This Row],[Gross Sales]]-financials[[#This Row],[Gross Sales]]*financials[[#This Row],[Discounts]]</f>
        <v>210</v>
      </c>
      <c r="J4575" s="8">
        <f>VLOOKUP(financials[[#This Row],[productid]],Products!$B$2:$H$10,4)</f>
        <v>5.5</v>
      </c>
      <c r="K4575" s="8">
        <f>financials[[#This Row],[Net Sales]]-financials[[#This Row],[COGS]]</f>
        <v>204.5</v>
      </c>
      <c r="L4575" s="15">
        <v>44959</v>
      </c>
      <c r="M4575" t="s">
        <v>690</v>
      </c>
    </row>
    <row r="4576" spans="1:13" x14ac:dyDescent="0.25">
      <c r="A4576" t="s">
        <v>88</v>
      </c>
      <c r="B4576" s="6" t="s">
        <v>84</v>
      </c>
      <c r="C4576" s="11">
        <v>107</v>
      </c>
      <c r="D4576" s="9" t="s">
        <v>90</v>
      </c>
      <c r="E4576">
        <v>14</v>
      </c>
      <c r="F4576" s="8">
        <f>VLOOKUP(financials[[#This Row],[productid]],Products!$B$2:$H$10,3)</f>
        <v>15</v>
      </c>
      <c r="G4576" s="8">
        <f>financials[[#This Row],[Units Sold]]*financials[[#This Row],[Sale Price]]</f>
        <v>210</v>
      </c>
      <c r="H4576" s="8">
        <f>IF(financials[[#This Row],[Discount Band]]="low",0.1,IF(financials[[#This Row],[Discount Band]]="medium",0.15,0.3))</f>
        <v>0.15</v>
      </c>
      <c r="I4576" s="8">
        <f>financials[[#This Row],[Gross Sales]]-financials[[#This Row],[Gross Sales]]*financials[[#This Row],[Discounts]]</f>
        <v>178.5</v>
      </c>
      <c r="J4576" s="8">
        <f>VLOOKUP(financials[[#This Row],[productid]],Products!$B$2:$H$10,4)</f>
        <v>5.5</v>
      </c>
      <c r="K4576" s="8">
        <f>financials[[#This Row],[Net Sales]]-financials[[#This Row],[COGS]]</f>
        <v>173</v>
      </c>
      <c r="L4576" s="15">
        <v>43873</v>
      </c>
      <c r="M4576" t="s">
        <v>696</v>
      </c>
    </row>
    <row r="4577" spans="1:13" x14ac:dyDescent="0.25">
      <c r="A4577" t="s">
        <v>88</v>
      </c>
      <c r="B4577" s="6" t="s">
        <v>124</v>
      </c>
      <c r="C4577" s="13">
        <v>104</v>
      </c>
      <c r="D4577" s="14" t="s">
        <v>91</v>
      </c>
      <c r="E4577">
        <v>10</v>
      </c>
      <c r="F4577" s="8">
        <f>VLOOKUP(financials[[#This Row],[productid]],Products!$B$2:$H$10,3)</f>
        <v>5.9</v>
      </c>
      <c r="G4577" s="8">
        <f>financials[[#This Row],[Units Sold]]*financials[[#This Row],[Sale Price]]</f>
        <v>59</v>
      </c>
      <c r="H4577" s="8">
        <f>IF(financials[[#This Row],[Discount Band]]="low",0.1,IF(financials[[#This Row],[Discount Band]]="medium",0.15,0.3))</f>
        <v>0.1</v>
      </c>
      <c r="I4577" s="8">
        <f>financials[[#This Row],[Gross Sales]]-financials[[#This Row],[Gross Sales]]*financials[[#This Row],[Discounts]]</f>
        <v>53.1</v>
      </c>
      <c r="J4577" s="8">
        <f>VLOOKUP(financials[[#This Row],[productid]],Products!$B$2:$H$10,4)</f>
        <v>2.9</v>
      </c>
      <c r="K4577" s="8">
        <f>financials[[#This Row],[Net Sales]]-financials[[#This Row],[COGS]]</f>
        <v>50.2</v>
      </c>
      <c r="L4577" s="15">
        <v>44138</v>
      </c>
      <c r="M4577" t="s">
        <v>691</v>
      </c>
    </row>
    <row r="4578" spans="1:13" x14ac:dyDescent="0.25">
      <c r="A4578" t="s">
        <v>87</v>
      </c>
      <c r="B4578" s="6" t="s">
        <v>124</v>
      </c>
      <c r="C4578" s="13">
        <v>104</v>
      </c>
      <c r="D4578" s="14" t="s">
        <v>90</v>
      </c>
      <c r="E4578">
        <v>7</v>
      </c>
      <c r="F4578" s="8">
        <f>VLOOKUP(financials[[#This Row],[productid]],Products!$B$2:$H$10,3)</f>
        <v>5.9</v>
      </c>
      <c r="G4578" s="8">
        <f>financials[[#This Row],[Units Sold]]*financials[[#This Row],[Sale Price]]</f>
        <v>41.300000000000004</v>
      </c>
      <c r="H4578" s="8">
        <f>IF(financials[[#This Row],[Discount Band]]="low",0.1,IF(financials[[#This Row],[Discount Band]]="medium",0.15,0.3))</f>
        <v>0.15</v>
      </c>
      <c r="I4578" s="8">
        <f>financials[[#This Row],[Gross Sales]]-financials[[#This Row],[Gross Sales]]*financials[[#This Row],[Discounts]]</f>
        <v>35.105000000000004</v>
      </c>
      <c r="J4578" s="8">
        <f>VLOOKUP(financials[[#This Row],[productid]],Products!$B$2:$H$10,4)</f>
        <v>2.9</v>
      </c>
      <c r="K4578" s="8">
        <f>financials[[#This Row],[Net Sales]]-financials[[#This Row],[COGS]]</f>
        <v>32.205000000000005</v>
      </c>
      <c r="L4578" s="15">
        <v>45392</v>
      </c>
      <c r="M4578" t="s">
        <v>690</v>
      </c>
    </row>
    <row r="4579" spans="1:13" x14ac:dyDescent="0.25">
      <c r="A4579" t="s">
        <v>88</v>
      </c>
      <c r="B4579" s="6" t="s">
        <v>159</v>
      </c>
      <c r="C4579" s="13">
        <v>101</v>
      </c>
      <c r="D4579" s="14" t="s">
        <v>83</v>
      </c>
      <c r="E4579">
        <v>5</v>
      </c>
      <c r="F4579" s="8">
        <f>VLOOKUP(financials[[#This Row],[productid]],Products!$B$2:$H$10,3)</f>
        <v>23</v>
      </c>
      <c r="G4579" s="8">
        <f>financials[[#This Row],[Units Sold]]*financials[[#This Row],[Sale Price]]</f>
        <v>115</v>
      </c>
      <c r="H4579" s="8">
        <f>IF(financials[[#This Row],[Discount Band]]="low",0.1,IF(financials[[#This Row],[Discount Band]]="medium",0.15,0.3))</f>
        <v>0.3</v>
      </c>
      <c r="I4579" s="8">
        <f>financials[[#This Row],[Gross Sales]]-financials[[#This Row],[Gross Sales]]*financials[[#This Row],[Discounts]]</f>
        <v>80.5</v>
      </c>
      <c r="J4579" s="8">
        <f>VLOOKUP(financials[[#This Row],[productid]],Products!$B$2:$H$10,4)</f>
        <v>9.9499999999999993</v>
      </c>
      <c r="K4579" s="8">
        <f>financials[[#This Row],[Net Sales]]-financials[[#This Row],[COGS]]</f>
        <v>70.55</v>
      </c>
      <c r="L4579" s="15">
        <v>44236</v>
      </c>
      <c r="M4579" t="s">
        <v>690</v>
      </c>
    </row>
    <row r="4580" spans="1:13" x14ac:dyDescent="0.25">
      <c r="A4580" t="s">
        <v>87</v>
      </c>
      <c r="B4580" s="6" t="s">
        <v>124</v>
      </c>
      <c r="C4580" s="13">
        <v>108</v>
      </c>
      <c r="D4580" s="14" t="s">
        <v>90</v>
      </c>
      <c r="E4580">
        <v>10</v>
      </c>
      <c r="F4580" s="8">
        <f>VLOOKUP(financials[[#This Row],[productid]],Products!$B$2:$H$10,3)</f>
        <v>5.5</v>
      </c>
      <c r="G4580" s="8">
        <f>financials[[#This Row],[Units Sold]]*financials[[#This Row],[Sale Price]]</f>
        <v>55</v>
      </c>
      <c r="H4580" s="8">
        <f>IF(financials[[#This Row],[Discount Band]]="low",0.1,IF(financials[[#This Row],[Discount Band]]="medium",0.15,0.3))</f>
        <v>0.15</v>
      </c>
      <c r="I4580" s="8">
        <f>financials[[#This Row],[Gross Sales]]-financials[[#This Row],[Gross Sales]]*financials[[#This Row],[Discounts]]</f>
        <v>46.75</v>
      </c>
      <c r="J4580" s="8">
        <f>VLOOKUP(financials[[#This Row],[productid]],Products!$B$2:$H$10,4)</f>
        <v>3.99</v>
      </c>
      <c r="K4580" s="8">
        <f>financials[[#This Row],[Net Sales]]-financials[[#This Row],[COGS]]</f>
        <v>42.76</v>
      </c>
      <c r="L4580" s="15">
        <v>43867</v>
      </c>
      <c r="M4580" t="s">
        <v>691</v>
      </c>
    </row>
    <row r="4581" spans="1:13" x14ac:dyDescent="0.25">
      <c r="A4581" t="s">
        <v>88</v>
      </c>
      <c r="B4581" s="6" t="s">
        <v>84</v>
      </c>
      <c r="C4581" s="13">
        <v>109</v>
      </c>
      <c r="D4581" s="14" t="s">
        <v>83</v>
      </c>
      <c r="E4581">
        <v>20</v>
      </c>
      <c r="F4581" s="8">
        <f>VLOOKUP(financials[[#This Row],[productid]],Products!$B$2:$H$10,3)</f>
        <v>36</v>
      </c>
      <c r="G4581" s="8">
        <f>financials[[#This Row],[Units Sold]]*financials[[#This Row],[Sale Price]]</f>
        <v>720</v>
      </c>
      <c r="H4581" s="8">
        <f>IF(financials[[#This Row],[Discount Band]]="low",0.1,IF(financials[[#This Row],[Discount Band]]="medium",0.15,0.3))</f>
        <v>0.3</v>
      </c>
      <c r="I4581" s="8">
        <f>financials[[#This Row],[Gross Sales]]-financials[[#This Row],[Gross Sales]]*financials[[#This Row],[Discounts]]</f>
        <v>504</v>
      </c>
      <c r="J4581" s="8">
        <f>VLOOKUP(financials[[#This Row],[productid]],Products!$B$2:$H$10,4)</f>
        <v>16.8</v>
      </c>
      <c r="K4581" s="8">
        <f>financials[[#This Row],[Net Sales]]-financials[[#This Row],[COGS]]</f>
        <v>487.2</v>
      </c>
      <c r="L4581" s="15">
        <v>45434</v>
      </c>
      <c r="M4581" t="s">
        <v>700</v>
      </c>
    </row>
    <row r="4582" spans="1:13" x14ac:dyDescent="0.25">
      <c r="A4582" t="s">
        <v>87</v>
      </c>
      <c r="B4582" s="6" t="s">
        <v>124</v>
      </c>
      <c r="C4582" s="13">
        <v>105</v>
      </c>
      <c r="D4582" s="14" t="s">
        <v>83</v>
      </c>
      <c r="E4582">
        <v>19</v>
      </c>
      <c r="F4582" s="8">
        <f>VLOOKUP(financials[[#This Row],[productid]],Products!$B$2:$H$10,3)</f>
        <v>15</v>
      </c>
      <c r="G4582" s="8">
        <f>financials[[#This Row],[Units Sold]]*financials[[#This Row],[Sale Price]]</f>
        <v>285</v>
      </c>
      <c r="H4582" s="8">
        <f>IF(financials[[#This Row],[Discount Band]]="low",0.1,IF(financials[[#This Row],[Discount Band]]="medium",0.15,0.3))</f>
        <v>0.3</v>
      </c>
      <c r="I4582" s="8">
        <f>financials[[#This Row],[Gross Sales]]-financials[[#This Row],[Gross Sales]]*financials[[#This Row],[Discounts]]</f>
        <v>199.5</v>
      </c>
      <c r="J4582" s="8">
        <f>VLOOKUP(financials[[#This Row],[productid]],Products!$B$2:$H$10,4)</f>
        <v>10</v>
      </c>
      <c r="K4582" s="8">
        <f>financials[[#This Row],[Net Sales]]-financials[[#This Row],[COGS]]</f>
        <v>189.5</v>
      </c>
      <c r="L4582" s="15">
        <v>44933</v>
      </c>
      <c r="M4582" t="s">
        <v>697</v>
      </c>
    </row>
    <row r="4583" spans="1:13" x14ac:dyDescent="0.25">
      <c r="A4583" t="s">
        <v>87</v>
      </c>
      <c r="B4583" s="6" t="s">
        <v>124</v>
      </c>
      <c r="C4583" s="13">
        <v>107</v>
      </c>
      <c r="D4583" s="14" t="s">
        <v>90</v>
      </c>
      <c r="E4583">
        <v>12</v>
      </c>
      <c r="F4583" s="8">
        <f>VLOOKUP(financials[[#This Row],[productid]],Products!$B$2:$H$10,3)</f>
        <v>15</v>
      </c>
      <c r="G4583" s="8">
        <f>financials[[#This Row],[Units Sold]]*financials[[#This Row],[Sale Price]]</f>
        <v>180</v>
      </c>
      <c r="H4583" s="8">
        <f>IF(financials[[#This Row],[Discount Band]]="low",0.1,IF(financials[[#This Row],[Discount Band]]="medium",0.15,0.3))</f>
        <v>0.15</v>
      </c>
      <c r="I4583" s="8">
        <f>financials[[#This Row],[Gross Sales]]-financials[[#This Row],[Gross Sales]]*financials[[#This Row],[Discounts]]</f>
        <v>153</v>
      </c>
      <c r="J4583" s="8">
        <f>VLOOKUP(financials[[#This Row],[productid]],Products!$B$2:$H$10,4)</f>
        <v>5.5</v>
      </c>
      <c r="K4583" s="8">
        <f>financials[[#This Row],[Net Sales]]-financials[[#This Row],[COGS]]</f>
        <v>147.5</v>
      </c>
      <c r="L4583" s="15">
        <v>45099</v>
      </c>
      <c r="M4583" t="s">
        <v>691</v>
      </c>
    </row>
    <row r="4584" spans="1:13" x14ac:dyDescent="0.25">
      <c r="A4584" t="s">
        <v>87</v>
      </c>
      <c r="B4584" s="6" t="s">
        <v>124</v>
      </c>
      <c r="C4584" s="13">
        <v>105</v>
      </c>
      <c r="D4584" s="14" t="s">
        <v>83</v>
      </c>
      <c r="E4584">
        <v>9</v>
      </c>
      <c r="F4584" s="8">
        <f>VLOOKUP(financials[[#This Row],[productid]],Products!$B$2:$H$10,3)</f>
        <v>15</v>
      </c>
      <c r="G4584" s="8">
        <f>financials[[#This Row],[Units Sold]]*financials[[#This Row],[Sale Price]]</f>
        <v>135</v>
      </c>
      <c r="H4584" s="8">
        <f>IF(financials[[#This Row],[Discount Band]]="low",0.1,IF(financials[[#This Row],[Discount Band]]="medium",0.15,0.3))</f>
        <v>0.3</v>
      </c>
      <c r="I4584" s="8">
        <f>financials[[#This Row],[Gross Sales]]-financials[[#This Row],[Gross Sales]]*financials[[#This Row],[Discounts]]</f>
        <v>94.5</v>
      </c>
      <c r="J4584" s="8">
        <f>VLOOKUP(financials[[#This Row],[productid]],Products!$B$2:$H$10,4)</f>
        <v>10</v>
      </c>
      <c r="K4584" s="8">
        <f>financials[[#This Row],[Net Sales]]-financials[[#This Row],[COGS]]</f>
        <v>84.5</v>
      </c>
      <c r="L4584" s="15">
        <v>44158</v>
      </c>
      <c r="M4584" t="s">
        <v>697</v>
      </c>
    </row>
    <row r="4585" spans="1:13" x14ac:dyDescent="0.25">
      <c r="A4585" t="s">
        <v>88</v>
      </c>
      <c r="B4585" s="6" t="s">
        <v>159</v>
      </c>
      <c r="C4585" s="13">
        <v>102</v>
      </c>
      <c r="D4585" s="14" t="s">
        <v>90</v>
      </c>
      <c r="E4585">
        <v>10</v>
      </c>
      <c r="F4585" s="8">
        <f>VLOOKUP(financials[[#This Row],[productid]],Products!$B$2:$H$10,3)</f>
        <v>15</v>
      </c>
      <c r="G4585" s="8">
        <f>financials[[#This Row],[Units Sold]]*financials[[#This Row],[Sale Price]]</f>
        <v>150</v>
      </c>
      <c r="H4585" s="8">
        <f>IF(financials[[#This Row],[Discount Band]]="low",0.1,IF(financials[[#This Row],[Discount Band]]="medium",0.15,0.3))</f>
        <v>0.15</v>
      </c>
      <c r="I4585" s="8">
        <f>financials[[#This Row],[Gross Sales]]-financials[[#This Row],[Gross Sales]]*financials[[#This Row],[Discounts]]</f>
        <v>127.5</v>
      </c>
      <c r="J4585" s="8">
        <f>VLOOKUP(financials[[#This Row],[productid]],Products!$B$2:$H$10,4)</f>
        <v>13.95</v>
      </c>
      <c r="K4585" s="8">
        <f>financials[[#This Row],[Net Sales]]-financials[[#This Row],[COGS]]</f>
        <v>113.55</v>
      </c>
      <c r="L4585" s="15">
        <v>45175</v>
      </c>
      <c r="M4585" t="s">
        <v>690</v>
      </c>
    </row>
    <row r="4586" spans="1:13" x14ac:dyDescent="0.25">
      <c r="A4586" t="s">
        <v>86</v>
      </c>
      <c r="B4586" s="6" t="s">
        <v>84</v>
      </c>
      <c r="C4586" s="13">
        <v>105</v>
      </c>
      <c r="D4586" s="14" t="s">
        <v>90</v>
      </c>
      <c r="E4586">
        <v>8</v>
      </c>
      <c r="F4586" s="8">
        <f>VLOOKUP(financials[[#This Row],[productid]],Products!$B$2:$H$10,3)</f>
        <v>15</v>
      </c>
      <c r="G4586" s="8">
        <f>financials[[#This Row],[Units Sold]]*financials[[#This Row],[Sale Price]]</f>
        <v>120</v>
      </c>
      <c r="H4586" s="8">
        <f>IF(financials[[#This Row],[Discount Band]]="low",0.1,IF(financials[[#This Row],[Discount Band]]="medium",0.15,0.3))</f>
        <v>0.15</v>
      </c>
      <c r="I4586" s="8">
        <f>financials[[#This Row],[Gross Sales]]-financials[[#This Row],[Gross Sales]]*financials[[#This Row],[Discounts]]</f>
        <v>102</v>
      </c>
      <c r="J4586" s="8">
        <f>VLOOKUP(financials[[#This Row],[productid]],Products!$B$2:$H$10,4)</f>
        <v>10</v>
      </c>
      <c r="K4586" s="8">
        <f>financials[[#This Row],[Net Sales]]-financials[[#This Row],[COGS]]</f>
        <v>92</v>
      </c>
      <c r="L4586" s="15">
        <v>45191</v>
      </c>
      <c r="M4586" t="s">
        <v>700</v>
      </c>
    </row>
    <row r="4587" spans="1:13" x14ac:dyDescent="0.25">
      <c r="A4587" t="s">
        <v>86</v>
      </c>
      <c r="B4587" s="6" t="s">
        <v>84</v>
      </c>
      <c r="C4587" s="13">
        <v>102</v>
      </c>
      <c r="D4587" s="14" t="s">
        <v>91</v>
      </c>
      <c r="E4587">
        <v>7</v>
      </c>
      <c r="F4587" s="8">
        <f>VLOOKUP(financials[[#This Row],[productid]],Products!$B$2:$H$10,3)</f>
        <v>15</v>
      </c>
      <c r="G4587" s="8">
        <f>financials[[#This Row],[Units Sold]]*financials[[#This Row],[Sale Price]]</f>
        <v>105</v>
      </c>
      <c r="H4587" s="8">
        <f>IF(financials[[#This Row],[Discount Band]]="low",0.1,IF(financials[[#This Row],[Discount Band]]="medium",0.15,0.3))</f>
        <v>0.1</v>
      </c>
      <c r="I4587" s="8">
        <f>financials[[#This Row],[Gross Sales]]-financials[[#This Row],[Gross Sales]]*financials[[#This Row],[Discounts]]</f>
        <v>94.5</v>
      </c>
      <c r="J4587" s="8">
        <f>VLOOKUP(financials[[#This Row],[productid]],Products!$B$2:$H$10,4)</f>
        <v>13.95</v>
      </c>
      <c r="K4587" s="8">
        <f>financials[[#This Row],[Net Sales]]-financials[[#This Row],[COGS]]</f>
        <v>80.55</v>
      </c>
      <c r="L4587" s="15">
        <v>45309</v>
      </c>
      <c r="M4587" t="s">
        <v>690</v>
      </c>
    </row>
    <row r="4588" spans="1:13" x14ac:dyDescent="0.25">
      <c r="A4588" t="s">
        <v>87</v>
      </c>
      <c r="B4588" s="6" t="s">
        <v>124</v>
      </c>
      <c r="C4588" s="13">
        <v>106</v>
      </c>
      <c r="D4588" s="14" t="s">
        <v>83</v>
      </c>
      <c r="E4588">
        <v>11</v>
      </c>
      <c r="F4588" s="8">
        <f>VLOOKUP(financials[[#This Row],[productid]],Products!$B$2:$H$10,3)</f>
        <v>25</v>
      </c>
      <c r="G4588" s="8">
        <f>financials[[#This Row],[Units Sold]]*financials[[#This Row],[Sale Price]]</f>
        <v>275</v>
      </c>
      <c r="H4588" s="8">
        <f>IF(financials[[#This Row],[Discount Band]]="low",0.1,IF(financials[[#This Row],[Discount Band]]="medium",0.15,0.3))</f>
        <v>0.3</v>
      </c>
      <c r="I4588" s="8">
        <f>financials[[#This Row],[Gross Sales]]-financials[[#This Row],[Gross Sales]]*financials[[#This Row],[Discounts]]</f>
        <v>192.5</v>
      </c>
      <c r="J4588" s="8">
        <f>VLOOKUP(financials[[#This Row],[productid]],Products!$B$2:$H$10,4)</f>
        <v>9.1</v>
      </c>
      <c r="K4588" s="8">
        <f>financials[[#This Row],[Net Sales]]-financials[[#This Row],[COGS]]</f>
        <v>183.4</v>
      </c>
      <c r="L4588" s="15">
        <v>44632</v>
      </c>
      <c r="M4588" t="s">
        <v>691</v>
      </c>
    </row>
    <row r="4589" spans="1:13" x14ac:dyDescent="0.25">
      <c r="A4589" t="s">
        <v>86</v>
      </c>
      <c r="B4589" s="6" t="s">
        <v>84</v>
      </c>
      <c r="C4589" s="13">
        <v>109</v>
      </c>
      <c r="D4589" s="14" t="s">
        <v>90</v>
      </c>
      <c r="E4589">
        <v>20</v>
      </c>
      <c r="F4589" s="8">
        <f>VLOOKUP(financials[[#This Row],[productid]],Products!$B$2:$H$10,3)</f>
        <v>36</v>
      </c>
      <c r="G4589" s="8">
        <f>financials[[#This Row],[Units Sold]]*financials[[#This Row],[Sale Price]]</f>
        <v>720</v>
      </c>
      <c r="H4589" s="8">
        <f>IF(financials[[#This Row],[Discount Band]]="low",0.1,IF(financials[[#This Row],[Discount Band]]="medium",0.15,0.3))</f>
        <v>0.15</v>
      </c>
      <c r="I4589" s="8">
        <f>financials[[#This Row],[Gross Sales]]-financials[[#This Row],[Gross Sales]]*financials[[#This Row],[Discounts]]</f>
        <v>612</v>
      </c>
      <c r="J4589" s="8">
        <f>VLOOKUP(financials[[#This Row],[productid]],Products!$B$2:$H$10,4)</f>
        <v>16.8</v>
      </c>
      <c r="K4589" s="8">
        <f>financials[[#This Row],[Net Sales]]-financials[[#This Row],[COGS]]</f>
        <v>595.20000000000005</v>
      </c>
      <c r="L4589" s="15">
        <v>44942</v>
      </c>
      <c r="M4589" t="s">
        <v>700</v>
      </c>
    </row>
    <row r="4590" spans="1:13" x14ac:dyDescent="0.25">
      <c r="A4590" t="s">
        <v>87</v>
      </c>
      <c r="B4590" s="6" t="s">
        <v>124</v>
      </c>
      <c r="C4590" s="13">
        <v>107</v>
      </c>
      <c r="D4590" s="14" t="s">
        <v>90</v>
      </c>
      <c r="E4590">
        <v>5</v>
      </c>
      <c r="F4590" s="8">
        <f>VLOOKUP(financials[[#This Row],[productid]],Products!$B$2:$H$10,3)</f>
        <v>15</v>
      </c>
      <c r="G4590" s="8">
        <f>financials[[#This Row],[Units Sold]]*financials[[#This Row],[Sale Price]]</f>
        <v>75</v>
      </c>
      <c r="H4590" s="8">
        <f>IF(financials[[#This Row],[Discount Band]]="low",0.1,IF(financials[[#This Row],[Discount Band]]="medium",0.15,0.3))</f>
        <v>0.15</v>
      </c>
      <c r="I4590" s="8">
        <f>financials[[#This Row],[Gross Sales]]-financials[[#This Row],[Gross Sales]]*financials[[#This Row],[Discounts]]</f>
        <v>63.75</v>
      </c>
      <c r="J4590" s="8">
        <f>VLOOKUP(financials[[#This Row],[productid]],Products!$B$2:$H$10,4)</f>
        <v>5.5</v>
      </c>
      <c r="K4590" s="8">
        <f>financials[[#This Row],[Net Sales]]-financials[[#This Row],[COGS]]</f>
        <v>58.25</v>
      </c>
      <c r="L4590" s="15">
        <v>44767</v>
      </c>
      <c r="M4590" t="s">
        <v>691</v>
      </c>
    </row>
    <row r="4591" spans="1:13" x14ac:dyDescent="0.25">
      <c r="A4591" t="s">
        <v>88</v>
      </c>
      <c r="B4591" s="6" t="s">
        <v>84</v>
      </c>
      <c r="C4591" s="13">
        <v>105</v>
      </c>
      <c r="D4591" s="14" t="s">
        <v>83</v>
      </c>
      <c r="E4591">
        <v>19</v>
      </c>
      <c r="F4591" s="8">
        <f>VLOOKUP(financials[[#This Row],[productid]],Products!$B$2:$H$10,3)</f>
        <v>15</v>
      </c>
      <c r="G4591" s="8">
        <f>financials[[#This Row],[Units Sold]]*financials[[#This Row],[Sale Price]]</f>
        <v>285</v>
      </c>
      <c r="H4591" s="8">
        <f>IF(financials[[#This Row],[Discount Band]]="low",0.1,IF(financials[[#This Row],[Discount Band]]="medium",0.15,0.3))</f>
        <v>0.3</v>
      </c>
      <c r="I4591" s="8">
        <f>financials[[#This Row],[Gross Sales]]-financials[[#This Row],[Gross Sales]]*financials[[#This Row],[Discounts]]</f>
        <v>199.5</v>
      </c>
      <c r="J4591" s="8">
        <f>VLOOKUP(financials[[#This Row],[productid]],Products!$B$2:$H$10,4)</f>
        <v>10</v>
      </c>
      <c r="K4591" s="8">
        <f>financials[[#This Row],[Net Sales]]-financials[[#This Row],[COGS]]</f>
        <v>189.5</v>
      </c>
      <c r="L4591" s="15">
        <v>44927</v>
      </c>
      <c r="M4591" t="s">
        <v>696</v>
      </c>
    </row>
    <row r="4592" spans="1:13" x14ac:dyDescent="0.25">
      <c r="A4592" t="s">
        <v>88</v>
      </c>
      <c r="B4592" s="6" t="s">
        <v>84</v>
      </c>
      <c r="C4592" s="13">
        <v>109</v>
      </c>
      <c r="D4592" s="14" t="s">
        <v>90</v>
      </c>
      <c r="E4592">
        <v>5</v>
      </c>
      <c r="F4592" s="8">
        <f>VLOOKUP(financials[[#This Row],[productid]],Products!$B$2:$H$10,3)</f>
        <v>36</v>
      </c>
      <c r="G4592" s="8">
        <f>financials[[#This Row],[Units Sold]]*financials[[#This Row],[Sale Price]]</f>
        <v>180</v>
      </c>
      <c r="H4592" s="8">
        <f>IF(financials[[#This Row],[Discount Band]]="low",0.1,IF(financials[[#This Row],[Discount Band]]="medium",0.15,0.3))</f>
        <v>0.15</v>
      </c>
      <c r="I4592" s="8">
        <f>financials[[#This Row],[Gross Sales]]-financials[[#This Row],[Gross Sales]]*financials[[#This Row],[Discounts]]</f>
        <v>153</v>
      </c>
      <c r="J4592" s="8">
        <f>VLOOKUP(financials[[#This Row],[productid]],Products!$B$2:$H$10,4)</f>
        <v>16.8</v>
      </c>
      <c r="K4592" s="8">
        <f>financials[[#This Row],[Net Sales]]-financials[[#This Row],[COGS]]</f>
        <v>136.19999999999999</v>
      </c>
      <c r="L4592" s="15">
        <v>45020</v>
      </c>
      <c r="M4592" t="s">
        <v>700</v>
      </c>
    </row>
    <row r="4593" spans="1:13" x14ac:dyDescent="0.25">
      <c r="A4593" t="s">
        <v>88</v>
      </c>
      <c r="B4593" s="6" t="s">
        <v>159</v>
      </c>
      <c r="C4593" s="13">
        <v>106</v>
      </c>
      <c r="D4593" s="14" t="s">
        <v>91</v>
      </c>
      <c r="E4593">
        <v>19</v>
      </c>
      <c r="F4593" s="8">
        <f>VLOOKUP(financials[[#This Row],[productid]],Products!$B$2:$H$10,3)</f>
        <v>25</v>
      </c>
      <c r="G4593" s="8">
        <f>financials[[#This Row],[Units Sold]]*financials[[#This Row],[Sale Price]]</f>
        <v>475</v>
      </c>
      <c r="H4593" s="8">
        <f>IF(financials[[#This Row],[Discount Band]]="low",0.1,IF(financials[[#This Row],[Discount Band]]="medium",0.15,0.3))</f>
        <v>0.1</v>
      </c>
      <c r="I4593" s="8">
        <f>financials[[#This Row],[Gross Sales]]-financials[[#This Row],[Gross Sales]]*financials[[#This Row],[Discounts]]</f>
        <v>427.5</v>
      </c>
      <c r="J4593" s="8">
        <f>VLOOKUP(financials[[#This Row],[productid]],Products!$B$2:$H$10,4)</f>
        <v>9.1</v>
      </c>
      <c r="K4593" s="8">
        <f>financials[[#This Row],[Net Sales]]-financials[[#This Row],[COGS]]</f>
        <v>418.4</v>
      </c>
      <c r="L4593" s="15">
        <v>44283</v>
      </c>
      <c r="M4593" t="s">
        <v>696</v>
      </c>
    </row>
    <row r="4594" spans="1:13" x14ac:dyDescent="0.25">
      <c r="A4594" t="s">
        <v>86</v>
      </c>
      <c r="B4594" s="6" t="s">
        <v>84</v>
      </c>
      <c r="C4594" s="13">
        <v>104</v>
      </c>
      <c r="D4594" s="14" t="s">
        <v>83</v>
      </c>
      <c r="E4594">
        <v>10</v>
      </c>
      <c r="F4594" s="8">
        <f>VLOOKUP(financials[[#This Row],[productid]],Products!$B$2:$H$10,3)</f>
        <v>5.9</v>
      </c>
      <c r="G4594" s="8">
        <f>financials[[#This Row],[Units Sold]]*financials[[#This Row],[Sale Price]]</f>
        <v>59</v>
      </c>
      <c r="H4594" s="8">
        <f>IF(financials[[#This Row],[Discount Band]]="low",0.1,IF(financials[[#This Row],[Discount Band]]="medium",0.15,0.3))</f>
        <v>0.3</v>
      </c>
      <c r="I4594" s="8">
        <f>financials[[#This Row],[Gross Sales]]-financials[[#This Row],[Gross Sales]]*financials[[#This Row],[Discounts]]</f>
        <v>41.3</v>
      </c>
      <c r="J4594" s="8">
        <f>VLOOKUP(financials[[#This Row],[productid]],Products!$B$2:$H$10,4)</f>
        <v>2.9</v>
      </c>
      <c r="K4594" s="8">
        <f>financials[[#This Row],[Net Sales]]-financials[[#This Row],[COGS]]</f>
        <v>38.4</v>
      </c>
      <c r="L4594" s="15">
        <v>44764</v>
      </c>
      <c r="M4594" t="s">
        <v>691</v>
      </c>
    </row>
    <row r="4595" spans="1:13" x14ac:dyDescent="0.25">
      <c r="A4595" t="s">
        <v>86</v>
      </c>
      <c r="B4595" s="6" t="s">
        <v>159</v>
      </c>
      <c r="C4595" s="13">
        <v>101</v>
      </c>
      <c r="D4595" s="14" t="s">
        <v>83</v>
      </c>
      <c r="E4595">
        <v>18</v>
      </c>
      <c r="F4595" s="8">
        <f>VLOOKUP(financials[[#This Row],[productid]],Products!$B$2:$H$10,3)</f>
        <v>23</v>
      </c>
      <c r="G4595" s="8">
        <f>financials[[#This Row],[Units Sold]]*financials[[#This Row],[Sale Price]]</f>
        <v>414</v>
      </c>
      <c r="H4595" s="8">
        <f>IF(financials[[#This Row],[Discount Band]]="low",0.1,IF(financials[[#This Row],[Discount Band]]="medium",0.15,0.3))</f>
        <v>0.3</v>
      </c>
      <c r="I4595" s="8">
        <f>financials[[#This Row],[Gross Sales]]-financials[[#This Row],[Gross Sales]]*financials[[#This Row],[Discounts]]</f>
        <v>289.8</v>
      </c>
      <c r="J4595" s="8">
        <f>VLOOKUP(financials[[#This Row],[productid]],Products!$B$2:$H$10,4)</f>
        <v>9.9499999999999993</v>
      </c>
      <c r="K4595" s="8">
        <f>financials[[#This Row],[Net Sales]]-financials[[#This Row],[COGS]]</f>
        <v>279.85000000000002</v>
      </c>
      <c r="L4595" s="15">
        <v>45394</v>
      </c>
      <c r="M4595" t="s">
        <v>697</v>
      </c>
    </row>
    <row r="4596" spans="1:13" x14ac:dyDescent="0.25">
      <c r="A4596" t="s">
        <v>88</v>
      </c>
      <c r="B4596" s="6" t="s">
        <v>159</v>
      </c>
      <c r="C4596" s="13">
        <v>101</v>
      </c>
      <c r="D4596" s="14" t="s">
        <v>83</v>
      </c>
      <c r="E4596">
        <v>18</v>
      </c>
      <c r="F4596" s="8">
        <f>VLOOKUP(financials[[#This Row],[productid]],Products!$B$2:$H$10,3)</f>
        <v>23</v>
      </c>
      <c r="G4596" s="8">
        <f>financials[[#This Row],[Units Sold]]*financials[[#This Row],[Sale Price]]</f>
        <v>414</v>
      </c>
      <c r="H4596" s="8">
        <f>IF(financials[[#This Row],[Discount Band]]="low",0.1,IF(financials[[#This Row],[Discount Band]]="medium",0.15,0.3))</f>
        <v>0.3</v>
      </c>
      <c r="I4596" s="8">
        <f>financials[[#This Row],[Gross Sales]]-financials[[#This Row],[Gross Sales]]*financials[[#This Row],[Discounts]]</f>
        <v>289.8</v>
      </c>
      <c r="J4596" s="8">
        <f>VLOOKUP(financials[[#This Row],[productid]],Products!$B$2:$H$10,4)</f>
        <v>9.9499999999999993</v>
      </c>
      <c r="K4596" s="8">
        <f>financials[[#This Row],[Net Sales]]-financials[[#This Row],[COGS]]</f>
        <v>279.85000000000002</v>
      </c>
      <c r="L4596" s="15">
        <v>45150</v>
      </c>
      <c r="M4596" t="s">
        <v>691</v>
      </c>
    </row>
    <row r="4597" spans="1:13" x14ac:dyDescent="0.25">
      <c r="A4597" t="s">
        <v>86</v>
      </c>
      <c r="B4597" s="6" t="s">
        <v>159</v>
      </c>
      <c r="C4597" s="13">
        <v>102</v>
      </c>
      <c r="D4597" s="14" t="s">
        <v>83</v>
      </c>
      <c r="E4597">
        <v>13</v>
      </c>
      <c r="F4597" s="8">
        <f>VLOOKUP(financials[[#This Row],[productid]],Products!$B$2:$H$10,3)</f>
        <v>15</v>
      </c>
      <c r="G4597" s="8">
        <f>financials[[#This Row],[Units Sold]]*financials[[#This Row],[Sale Price]]</f>
        <v>195</v>
      </c>
      <c r="H4597" s="8">
        <f>IF(financials[[#This Row],[Discount Band]]="low",0.1,IF(financials[[#This Row],[Discount Band]]="medium",0.15,0.3))</f>
        <v>0.3</v>
      </c>
      <c r="I4597" s="8">
        <f>financials[[#This Row],[Gross Sales]]-financials[[#This Row],[Gross Sales]]*financials[[#This Row],[Discounts]]</f>
        <v>136.5</v>
      </c>
      <c r="J4597" s="8">
        <f>VLOOKUP(financials[[#This Row],[productid]],Products!$B$2:$H$10,4)</f>
        <v>13.95</v>
      </c>
      <c r="K4597" s="8">
        <f>financials[[#This Row],[Net Sales]]-financials[[#This Row],[COGS]]</f>
        <v>122.55</v>
      </c>
      <c r="L4597" s="15">
        <v>43922</v>
      </c>
      <c r="M4597" t="s">
        <v>691</v>
      </c>
    </row>
    <row r="4598" spans="1:13" x14ac:dyDescent="0.25">
      <c r="A4598" t="s">
        <v>87</v>
      </c>
      <c r="B4598" s="6" t="s">
        <v>124</v>
      </c>
      <c r="C4598" s="13">
        <v>109</v>
      </c>
      <c r="D4598" s="14" t="s">
        <v>90</v>
      </c>
      <c r="E4598">
        <v>20</v>
      </c>
      <c r="F4598" s="8">
        <f>VLOOKUP(financials[[#This Row],[productid]],Products!$B$2:$H$10,3)</f>
        <v>36</v>
      </c>
      <c r="G4598" s="8">
        <f>financials[[#This Row],[Units Sold]]*financials[[#This Row],[Sale Price]]</f>
        <v>720</v>
      </c>
      <c r="H4598" s="8">
        <f>IF(financials[[#This Row],[Discount Band]]="low",0.1,IF(financials[[#This Row],[Discount Band]]="medium",0.15,0.3))</f>
        <v>0.15</v>
      </c>
      <c r="I4598" s="8">
        <f>financials[[#This Row],[Gross Sales]]-financials[[#This Row],[Gross Sales]]*financials[[#This Row],[Discounts]]</f>
        <v>612</v>
      </c>
      <c r="J4598" s="8">
        <f>VLOOKUP(financials[[#This Row],[productid]],Products!$B$2:$H$10,4)</f>
        <v>16.8</v>
      </c>
      <c r="K4598" s="8">
        <f>financials[[#This Row],[Net Sales]]-financials[[#This Row],[COGS]]</f>
        <v>595.20000000000005</v>
      </c>
      <c r="L4598" s="15">
        <v>44999</v>
      </c>
      <c r="M4598" t="s">
        <v>700</v>
      </c>
    </row>
    <row r="4599" spans="1:13" x14ac:dyDescent="0.25">
      <c r="A4599" t="s">
        <v>88</v>
      </c>
      <c r="B4599" s="6" t="s">
        <v>84</v>
      </c>
      <c r="C4599" s="13">
        <v>107</v>
      </c>
      <c r="D4599" s="14" t="s">
        <v>83</v>
      </c>
      <c r="E4599">
        <v>5</v>
      </c>
      <c r="F4599" s="8">
        <f>VLOOKUP(financials[[#This Row],[productid]],Products!$B$2:$H$10,3)</f>
        <v>15</v>
      </c>
      <c r="G4599" s="8">
        <f>financials[[#This Row],[Units Sold]]*financials[[#This Row],[Sale Price]]</f>
        <v>75</v>
      </c>
      <c r="H4599" s="8">
        <f>IF(financials[[#This Row],[Discount Band]]="low",0.1,IF(financials[[#This Row],[Discount Band]]="medium",0.15,0.3))</f>
        <v>0.3</v>
      </c>
      <c r="I4599" s="8">
        <f>financials[[#This Row],[Gross Sales]]-financials[[#This Row],[Gross Sales]]*financials[[#This Row],[Discounts]]</f>
        <v>52.5</v>
      </c>
      <c r="J4599" s="8">
        <f>VLOOKUP(financials[[#This Row],[productid]],Products!$B$2:$H$10,4)</f>
        <v>5.5</v>
      </c>
      <c r="K4599" s="8">
        <f>financials[[#This Row],[Net Sales]]-financials[[#This Row],[COGS]]</f>
        <v>47</v>
      </c>
      <c r="L4599" s="15">
        <v>45590</v>
      </c>
      <c r="M4599" t="s">
        <v>700</v>
      </c>
    </row>
    <row r="4600" spans="1:13" x14ac:dyDescent="0.25">
      <c r="A4600" t="s">
        <v>86</v>
      </c>
      <c r="B4600" s="6" t="s">
        <v>84</v>
      </c>
      <c r="C4600" s="13">
        <v>108</v>
      </c>
      <c r="D4600" s="14" t="s">
        <v>90</v>
      </c>
      <c r="E4600">
        <v>8</v>
      </c>
      <c r="F4600" s="8">
        <f>VLOOKUP(financials[[#This Row],[productid]],Products!$B$2:$H$10,3)</f>
        <v>5.5</v>
      </c>
      <c r="G4600" s="8">
        <f>financials[[#This Row],[Units Sold]]*financials[[#This Row],[Sale Price]]</f>
        <v>44</v>
      </c>
      <c r="H4600" s="8">
        <f>IF(financials[[#This Row],[Discount Band]]="low",0.1,IF(financials[[#This Row],[Discount Band]]="medium",0.15,0.3))</f>
        <v>0.15</v>
      </c>
      <c r="I4600" s="8">
        <f>financials[[#This Row],[Gross Sales]]-financials[[#This Row],[Gross Sales]]*financials[[#This Row],[Discounts]]</f>
        <v>37.4</v>
      </c>
      <c r="J4600" s="8">
        <f>VLOOKUP(financials[[#This Row],[productid]],Products!$B$2:$H$10,4)</f>
        <v>3.99</v>
      </c>
      <c r="K4600" s="8">
        <f>financials[[#This Row],[Net Sales]]-financials[[#This Row],[COGS]]</f>
        <v>33.409999999999997</v>
      </c>
      <c r="L4600" s="15">
        <v>45094</v>
      </c>
      <c r="M4600" t="s">
        <v>690</v>
      </c>
    </row>
    <row r="4601" spans="1:13" x14ac:dyDescent="0.25">
      <c r="A4601" t="s">
        <v>86</v>
      </c>
      <c r="B4601" s="6" t="s">
        <v>124</v>
      </c>
      <c r="C4601" s="13">
        <v>103</v>
      </c>
      <c r="D4601" s="14" t="s">
        <v>92</v>
      </c>
      <c r="E4601">
        <v>5</v>
      </c>
      <c r="F4601" s="8">
        <f>VLOOKUP(financials[[#This Row],[productid]],Products!$B$2:$H$10,3)</f>
        <v>28</v>
      </c>
      <c r="G4601" s="8">
        <f>financials[[#This Row],[Units Sold]]*financials[[#This Row],[Sale Price]]</f>
        <v>140</v>
      </c>
      <c r="H4601" s="8">
        <f>IF(financials[[#This Row],[Discount Band]]="low",0.1,IF(financials[[#This Row],[Discount Band]]="medium",0.15,0.3))</f>
        <v>0.3</v>
      </c>
      <c r="I4601" s="8">
        <f>financials[[#This Row],[Gross Sales]]-financials[[#This Row],[Gross Sales]]*financials[[#This Row],[Discounts]]</f>
        <v>98</v>
      </c>
      <c r="J4601" s="8">
        <f>VLOOKUP(financials[[#This Row],[productid]],Products!$B$2:$H$10,4)</f>
        <v>15</v>
      </c>
      <c r="K4601" s="8">
        <f>financials[[#This Row],[Net Sales]]-financials[[#This Row],[COGS]]</f>
        <v>83</v>
      </c>
      <c r="L4601" s="15">
        <v>45429</v>
      </c>
      <c r="M4601" t="s">
        <v>691</v>
      </c>
    </row>
    <row r="4602" spans="1:13" x14ac:dyDescent="0.25">
      <c r="A4602" t="s">
        <v>86</v>
      </c>
      <c r="B4602" s="6" t="s">
        <v>124</v>
      </c>
      <c r="C4602" s="13">
        <v>108</v>
      </c>
      <c r="D4602" s="14" t="s">
        <v>83</v>
      </c>
      <c r="E4602">
        <v>16</v>
      </c>
      <c r="F4602" s="8">
        <f>VLOOKUP(financials[[#This Row],[productid]],Products!$B$2:$H$10,3)</f>
        <v>5.5</v>
      </c>
      <c r="G4602" s="8">
        <f>financials[[#This Row],[Units Sold]]*financials[[#This Row],[Sale Price]]</f>
        <v>88</v>
      </c>
      <c r="H4602" s="8">
        <f>IF(financials[[#This Row],[Discount Band]]="low",0.1,IF(financials[[#This Row],[Discount Band]]="medium",0.15,0.3))</f>
        <v>0.3</v>
      </c>
      <c r="I4602" s="8">
        <f>financials[[#This Row],[Gross Sales]]-financials[[#This Row],[Gross Sales]]*financials[[#This Row],[Discounts]]</f>
        <v>61.6</v>
      </c>
      <c r="J4602" s="8">
        <f>VLOOKUP(financials[[#This Row],[productid]],Products!$B$2:$H$10,4)</f>
        <v>3.99</v>
      </c>
      <c r="K4602" s="8">
        <f>financials[[#This Row],[Net Sales]]-financials[[#This Row],[COGS]]</f>
        <v>57.61</v>
      </c>
      <c r="L4602" s="15">
        <v>45259</v>
      </c>
      <c r="M4602" t="s">
        <v>690</v>
      </c>
    </row>
    <row r="4603" spans="1:13" x14ac:dyDescent="0.25">
      <c r="A4603" t="s">
        <v>86</v>
      </c>
      <c r="B4603" s="6" t="s">
        <v>84</v>
      </c>
      <c r="C4603" s="13">
        <v>108</v>
      </c>
      <c r="D4603" s="14" t="s">
        <v>91</v>
      </c>
      <c r="E4603">
        <v>19</v>
      </c>
      <c r="F4603" s="8">
        <f>VLOOKUP(financials[[#This Row],[productid]],Products!$B$2:$H$10,3)</f>
        <v>5.5</v>
      </c>
      <c r="G4603" s="8">
        <f>financials[[#This Row],[Units Sold]]*financials[[#This Row],[Sale Price]]</f>
        <v>104.5</v>
      </c>
      <c r="H4603" s="8">
        <f>IF(financials[[#This Row],[Discount Band]]="low",0.1,IF(financials[[#This Row],[Discount Band]]="medium",0.15,0.3))</f>
        <v>0.1</v>
      </c>
      <c r="I4603" s="8">
        <f>financials[[#This Row],[Gross Sales]]-financials[[#This Row],[Gross Sales]]*financials[[#This Row],[Discounts]]</f>
        <v>94.05</v>
      </c>
      <c r="J4603" s="8">
        <f>VLOOKUP(financials[[#This Row],[productid]],Products!$B$2:$H$10,4)</f>
        <v>3.99</v>
      </c>
      <c r="K4603" s="8">
        <f>financials[[#This Row],[Net Sales]]-financials[[#This Row],[COGS]]</f>
        <v>90.06</v>
      </c>
      <c r="L4603" s="15">
        <v>44607</v>
      </c>
      <c r="M4603" t="s">
        <v>696</v>
      </c>
    </row>
    <row r="4604" spans="1:13" x14ac:dyDescent="0.25">
      <c r="A4604" t="s">
        <v>86</v>
      </c>
      <c r="B4604" s="6" t="s">
        <v>159</v>
      </c>
      <c r="C4604" s="13">
        <v>109</v>
      </c>
      <c r="D4604" s="14" t="s">
        <v>91</v>
      </c>
      <c r="E4604">
        <v>8</v>
      </c>
      <c r="F4604" s="8">
        <f>VLOOKUP(financials[[#This Row],[productid]],Products!$B$2:$H$10,3)</f>
        <v>36</v>
      </c>
      <c r="G4604" s="8">
        <f>financials[[#This Row],[Units Sold]]*financials[[#This Row],[Sale Price]]</f>
        <v>288</v>
      </c>
      <c r="H4604" s="8">
        <f>IF(financials[[#This Row],[Discount Band]]="low",0.1,IF(financials[[#This Row],[Discount Band]]="medium",0.15,0.3))</f>
        <v>0.1</v>
      </c>
      <c r="I4604" s="8">
        <f>financials[[#This Row],[Gross Sales]]-financials[[#This Row],[Gross Sales]]*financials[[#This Row],[Discounts]]</f>
        <v>259.2</v>
      </c>
      <c r="J4604" s="8">
        <f>VLOOKUP(financials[[#This Row],[productid]],Products!$B$2:$H$10,4)</f>
        <v>16.8</v>
      </c>
      <c r="K4604" s="8">
        <f>financials[[#This Row],[Net Sales]]-financials[[#This Row],[COGS]]</f>
        <v>242.39999999999998</v>
      </c>
      <c r="L4604" s="15">
        <v>43955</v>
      </c>
      <c r="M4604" t="s">
        <v>697</v>
      </c>
    </row>
    <row r="4605" spans="1:13" x14ac:dyDescent="0.25">
      <c r="A4605" t="s">
        <v>86</v>
      </c>
      <c r="B4605" s="6" t="s">
        <v>159</v>
      </c>
      <c r="C4605" s="13">
        <v>106</v>
      </c>
      <c r="D4605" s="14" t="s">
        <v>90</v>
      </c>
      <c r="E4605">
        <v>13</v>
      </c>
      <c r="F4605" s="8">
        <f>VLOOKUP(financials[[#This Row],[productid]],Products!$B$2:$H$10,3)</f>
        <v>25</v>
      </c>
      <c r="G4605" s="8">
        <f>financials[[#This Row],[Units Sold]]*financials[[#This Row],[Sale Price]]</f>
        <v>325</v>
      </c>
      <c r="H4605" s="8">
        <f>IF(financials[[#This Row],[Discount Band]]="low",0.1,IF(financials[[#This Row],[Discount Band]]="medium",0.15,0.3))</f>
        <v>0.15</v>
      </c>
      <c r="I4605" s="8">
        <f>financials[[#This Row],[Gross Sales]]-financials[[#This Row],[Gross Sales]]*financials[[#This Row],[Discounts]]</f>
        <v>276.25</v>
      </c>
      <c r="J4605" s="8">
        <f>VLOOKUP(financials[[#This Row],[productid]],Products!$B$2:$H$10,4)</f>
        <v>9.1</v>
      </c>
      <c r="K4605" s="8">
        <f>financials[[#This Row],[Net Sales]]-financials[[#This Row],[COGS]]</f>
        <v>267.14999999999998</v>
      </c>
      <c r="L4605" s="15">
        <v>44068</v>
      </c>
      <c r="M4605" t="s">
        <v>690</v>
      </c>
    </row>
    <row r="4606" spans="1:13" x14ac:dyDescent="0.25">
      <c r="A4606" t="s">
        <v>87</v>
      </c>
      <c r="B4606" s="6" t="s">
        <v>124</v>
      </c>
      <c r="C4606" s="13">
        <v>102</v>
      </c>
      <c r="D4606" s="14" t="s">
        <v>91</v>
      </c>
      <c r="E4606">
        <v>7</v>
      </c>
      <c r="F4606" s="8">
        <f>VLOOKUP(financials[[#This Row],[productid]],Products!$B$2:$H$10,3)</f>
        <v>15</v>
      </c>
      <c r="G4606" s="8">
        <f>financials[[#This Row],[Units Sold]]*financials[[#This Row],[Sale Price]]</f>
        <v>105</v>
      </c>
      <c r="H4606" s="8">
        <f>IF(financials[[#This Row],[Discount Band]]="low",0.1,IF(financials[[#This Row],[Discount Band]]="medium",0.15,0.3))</f>
        <v>0.1</v>
      </c>
      <c r="I4606" s="8">
        <f>financials[[#This Row],[Gross Sales]]-financials[[#This Row],[Gross Sales]]*financials[[#This Row],[Discounts]]</f>
        <v>94.5</v>
      </c>
      <c r="J4606" s="8">
        <f>VLOOKUP(financials[[#This Row],[productid]],Products!$B$2:$H$10,4)</f>
        <v>13.95</v>
      </c>
      <c r="K4606" s="8">
        <f>financials[[#This Row],[Net Sales]]-financials[[#This Row],[COGS]]</f>
        <v>80.55</v>
      </c>
      <c r="L4606" s="15">
        <v>45263</v>
      </c>
      <c r="M4606" t="s">
        <v>696</v>
      </c>
    </row>
    <row r="4607" spans="1:13" x14ac:dyDescent="0.25">
      <c r="A4607" t="s">
        <v>86</v>
      </c>
      <c r="B4607" s="6" t="s">
        <v>84</v>
      </c>
      <c r="C4607" s="13">
        <v>107</v>
      </c>
      <c r="D4607" s="14" t="s">
        <v>90</v>
      </c>
      <c r="E4607">
        <v>15</v>
      </c>
      <c r="F4607" s="8">
        <f>VLOOKUP(financials[[#This Row],[productid]],Products!$B$2:$H$10,3)</f>
        <v>15</v>
      </c>
      <c r="G4607" s="8">
        <f>financials[[#This Row],[Units Sold]]*financials[[#This Row],[Sale Price]]</f>
        <v>225</v>
      </c>
      <c r="H4607" s="8">
        <f>IF(financials[[#This Row],[Discount Band]]="low",0.1,IF(financials[[#This Row],[Discount Band]]="medium",0.15,0.3))</f>
        <v>0.15</v>
      </c>
      <c r="I4607" s="8">
        <f>financials[[#This Row],[Gross Sales]]-financials[[#This Row],[Gross Sales]]*financials[[#This Row],[Discounts]]</f>
        <v>191.25</v>
      </c>
      <c r="J4607" s="8">
        <f>VLOOKUP(financials[[#This Row],[productid]],Products!$B$2:$H$10,4)</f>
        <v>5.5</v>
      </c>
      <c r="K4607" s="8">
        <f>financials[[#This Row],[Net Sales]]-financials[[#This Row],[COGS]]</f>
        <v>185.75</v>
      </c>
      <c r="L4607" s="15">
        <v>44030</v>
      </c>
      <c r="M4607" t="s">
        <v>691</v>
      </c>
    </row>
    <row r="4608" spans="1:13" x14ac:dyDescent="0.25">
      <c r="A4608" t="s">
        <v>86</v>
      </c>
      <c r="B4608" s="6" t="s">
        <v>124</v>
      </c>
      <c r="C4608" s="13">
        <v>101</v>
      </c>
      <c r="D4608" s="14" t="s">
        <v>90</v>
      </c>
      <c r="E4608">
        <v>19</v>
      </c>
      <c r="F4608" s="8">
        <f>VLOOKUP(financials[[#This Row],[productid]],Products!$B$2:$H$10,3)</f>
        <v>23</v>
      </c>
      <c r="G4608" s="8">
        <f>financials[[#This Row],[Units Sold]]*financials[[#This Row],[Sale Price]]</f>
        <v>437</v>
      </c>
      <c r="H4608" s="8">
        <f>IF(financials[[#This Row],[Discount Band]]="low",0.1,IF(financials[[#This Row],[Discount Band]]="medium",0.15,0.3))</f>
        <v>0.15</v>
      </c>
      <c r="I4608" s="8">
        <f>financials[[#This Row],[Gross Sales]]-financials[[#This Row],[Gross Sales]]*financials[[#This Row],[Discounts]]</f>
        <v>371.45</v>
      </c>
      <c r="J4608" s="8">
        <f>VLOOKUP(financials[[#This Row],[productid]],Products!$B$2:$H$10,4)</f>
        <v>9.9499999999999993</v>
      </c>
      <c r="K4608" s="8">
        <f>financials[[#This Row],[Net Sales]]-financials[[#This Row],[COGS]]</f>
        <v>361.5</v>
      </c>
      <c r="L4608" s="15">
        <v>45427</v>
      </c>
      <c r="M4608" t="s">
        <v>690</v>
      </c>
    </row>
    <row r="4609" spans="1:13" x14ac:dyDescent="0.25">
      <c r="A4609" t="s">
        <v>87</v>
      </c>
      <c r="B4609" s="6" t="s">
        <v>124</v>
      </c>
      <c r="C4609" s="13">
        <v>106</v>
      </c>
      <c r="D4609" s="14" t="s">
        <v>91</v>
      </c>
      <c r="E4609">
        <v>6</v>
      </c>
      <c r="F4609" s="8">
        <f>VLOOKUP(financials[[#This Row],[productid]],Products!$B$2:$H$10,3)</f>
        <v>25</v>
      </c>
      <c r="G4609" s="8">
        <f>financials[[#This Row],[Units Sold]]*financials[[#This Row],[Sale Price]]</f>
        <v>150</v>
      </c>
      <c r="H4609" s="8">
        <f>IF(financials[[#This Row],[Discount Band]]="low",0.1,IF(financials[[#This Row],[Discount Band]]="medium",0.15,0.3))</f>
        <v>0.1</v>
      </c>
      <c r="I4609" s="8">
        <f>financials[[#This Row],[Gross Sales]]-financials[[#This Row],[Gross Sales]]*financials[[#This Row],[Discounts]]</f>
        <v>135</v>
      </c>
      <c r="J4609" s="8">
        <f>VLOOKUP(financials[[#This Row],[productid]],Products!$B$2:$H$10,4)</f>
        <v>9.1</v>
      </c>
      <c r="K4609" s="8">
        <f>financials[[#This Row],[Net Sales]]-financials[[#This Row],[COGS]]</f>
        <v>125.9</v>
      </c>
      <c r="L4609" s="15">
        <v>44158</v>
      </c>
      <c r="M4609" t="s">
        <v>700</v>
      </c>
    </row>
    <row r="4610" spans="1:13" x14ac:dyDescent="0.25">
      <c r="A4610" t="s">
        <v>88</v>
      </c>
      <c r="B4610" s="6" t="s">
        <v>84</v>
      </c>
      <c r="C4610" s="13">
        <v>103</v>
      </c>
      <c r="D4610" s="14" t="s">
        <v>91</v>
      </c>
      <c r="E4610">
        <v>18</v>
      </c>
      <c r="F4610" s="8">
        <f>VLOOKUP(financials[[#This Row],[productid]],Products!$B$2:$H$10,3)</f>
        <v>28</v>
      </c>
      <c r="G4610" s="8">
        <f>financials[[#This Row],[Units Sold]]*financials[[#This Row],[Sale Price]]</f>
        <v>504</v>
      </c>
      <c r="H4610" s="8">
        <f>IF(financials[[#This Row],[Discount Band]]="low",0.1,IF(financials[[#This Row],[Discount Band]]="medium",0.15,0.3))</f>
        <v>0.1</v>
      </c>
      <c r="I4610" s="8">
        <f>financials[[#This Row],[Gross Sales]]-financials[[#This Row],[Gross Sales]]*financials[[#This Row],[Discounts]]</f>
        <v>453.6</v>
      </c>
      <c r="J4610" s="8">
        <f>VLOOKUP(financials[[#This Row],[productid]],Products!$B$2:$H$10,4)</f>
        <v>15</v>
      </c>
      <c r="K4610" s="8">
        <f>financials[[#This Row],[Net Sales]]-financials[[#This Row],[COGS]]</f>
        <v>438.6</v>
      </c>
      <c r="L4610" s="15">
        <v>45317</v>
      </c>
      <c r="M4610" t="s">
        <v>700</v>
      </c>
    </row>
    <row r="4611" spans="1:13" x14ac:dyDescent="0.25">
      <c r="A4611" t="s">
        <v>88</v>
      </c>
      <c r="B4611" s="6" t="s">
        <v>159</v>
      </c>
      <c r="C4611" s="11">
        <v>102</v>
      </c>
      <c r="D4611" s="9" t="s">
        <v>90</v>
      </c>
      <c r="E4611">
        <v>18</v>
      </c>
      <c r="F4611" s="8">
        <f>VLOOKUP(financials[[#This Row],[productid]],Products!$B$2:$H$10,3)</f>
        <v>15</v>
      </c>
      <c r="G4611" s="8">
        <f>financials[[#This Row],[Units Sold]]*financials[[#This Row],[Sale Price]]</f>
        <v>270</v>
      </c>
      <c r="H4611" s="8">
        <f>IF(financials[[#This Row],[Discount Band]]="low",0.1,IF(financials[[#This Row],[Discount Band]]="medium",0.15,0.3))</f>
        <v>0.15</v>
      </c>
      <c r="I4611" s="8">
        <f>financials[[#This Row],[Gross Sales]]-financials[[#This Row],[Gross Sales]]*financials[[#This Row],[Discounts]]</f>
        <v>229.5</v>
      </c>
      <c r="J4611" s="8">
        <f>VLOOKUP(financials[[#This Row],[productid]],Products!$B$2:$H$10,4)</f>
        <v>13.95</v>
      </c>
      <c r="K4611" s="8">
        <f>financials[[#This Row],[Net Sales]]-financials[[#This Row],[COGS]]</f>
        <v>215.55</v>
      </c>
      <c r="L4611" s="15">
        <v>44167</v>
      </c>
      <c r="M4611" t="s">
        <v>696</v>
      </c>
    </row>
    <row r="4612" spans="1:13" x14ac:dyDescent="0.25">
      <c r="A4612" t="s">
        <v>87</v>
      </c>
      <c r="B4612" s="6" t="s">
        <v>124</v>
      </c>
      <c r="C4612" s="13">
        <v>105</v>
      </c>
      <c r="D4612" s="14" t="s">
        <v>91</v>
      </c>
      <c r="E4612">
        <v>8</v>
      </c>
      <c r="F4612" s="8">
        <f>VLOOKUP(financials[[#This Row],[productid]],Products!$B$2:$H$10,3)</f>
        <v>15</v>
      </c>
      <c r="G4612" s="8">
        <f>financials[[#This Row],[Units Sold]]*financials[[#This Row],[Sale Price]]</f>
        <v>120</v>
      </c>
      <c r="H4612" s="8">
        <f>IF(financials[[#This Row],[Discount Band]]="low",0.1,IF(financials[[#This Row],[Discount Band]]="medium",0.15,0.3))</f>
        <v>0.1</v>
      </c>
      <c r="I4612" s="8">
        <f>financials[[#This Row],[Gross Sales]]-financials[[#This Row],[Gross Sales]]*financials[[#This Row],[Discounts]]</f>
        <v>108</v>
      </c>
      <c r="J4612" s="8">
        <f>VLOOKUP(financials[[#This Row],[productid]],Products!$B$2:$H$10,4)</f>
        <v>10</v>
      </c>
      <c r="K4612" s="8">
        <f>financials[[#This Row],[Net Sales]]-financials[[#This Row],[COGS]]</f>
        <v>98</v>
      </c>
      <c r="L4612" s="15">
        <v>45112</v>
      </c>
      <c r="M4612" t="s">
        <v>690</v>
      </c>
    </row>
    <row r="4613" spans="1:13" x14ac:dyDescent="0.25">
      <c r="A4613" t="s">
        <v>86</v>
      </c>
      <c r="B4613" s="6" t="s">
        <v>84</v>
      </c>
      <c r="C4613" s="13">
        <v>108</v>
      </c>
      <c r="D4613" s="14" t="s">
        <v>90</v>
      </c>
      <c r="E4613">
        <v>11</v>
      </c>
      <c r="F4613" s="8">
        <f>VLOOKUP(financials[[#This Row],[productid]],Products!$B$2:$H$10,3)</f>
        <v>5.5</v>
      </c>
      <c r="G4613" s="8">
        <f>financials[[#This Row],[Units Sold]]*financials[[#This Row],[Sale Price]]</f>
        <v>60.5</v>
      </c>
      <c r="H4613" s="8">
        <f>IF(financials[[#This Row],[Discount Band]]="low",0.1,IF(financials[[#This Row],[Discount Band]]="medium",0.15,0.3))</f>
        <v>0.15</v>
      </c>
      <c r="I4613" s="8">
        <f>financials[[#This Row],[Gross Sales]]-financials[[#This Row],[Gross Sales]]*financials[[#This Row],[Discounts]]</f>
        <v>51.424999999999997</v>
      </c>
      <c r="J4613" s="8">
        <f>VLOOKUP(financials[[#This Row],[productid]],Products!$B$2:$H$10,4)</f>
        <v>3.99</v>
      </c>
      <c r="K4613" s="8">
        <f>financials[[#This Row],[Net Sales]]-financials[[#This Row],[COGS]]</f>
        <v>47.434999999999995</v>
      </c>
      <c r="L4613" s="15">
        <v>45500</v>
      </c>
      <c r="M4613" t="s">
        <v>696</v>
      </c>
    </row>
    <row r="4614" spans="1:13" x14ac:dyDescent="0.25">
      <c r="A4614" t="s">
        <v>86</v>
      </c>
      <c r="B4614" s="6" t="s">
        <v>84</v>
      </c>
      <c r="C4614" s="13">
        <v>103</v>
      </c>
      <c r="D4614" s="14" t="s">
        <v>90</v>
      </c>
      <c r="E4614">
        <v>13</v>
      </c>
      <c r="F4614" s="8">
        <f>VLOOKUP(financials[[#This Row],[productid]],Products!$B$2:$H$10,3)</f>
        <v>28</v>
      </c>
      <c r="G4614" s="8">
        <f>financials[[#This Row],[Units Sold]]*financials[[#This Row],[Sale Price]]</f>
        <v>364</v>
      </c>
      <c r="H4614" s="8">
        <f>IF(financials[[#This Row],[Discount Band]]="low",0.1,IF(financials[[#This Row],[Discount Band]]="medium",0.15,0.3))</f>
        <v>0.15</v>
      </c>
      <c r="I4614" s="8">
        <f>financials[[#This Row],[Gross Sales]]-financials[[#This Row],[Gross Sales]]*financials[[#This Row],[Discounts]]</f>
        <v>309.39999999999998</v>
      </c>
      <c r="J4614" s="8">
        <f>VLOOKUP(financials[[#This Row],[productid]],Products!$B$2:$H$10,4)</f>
        <v>15</v>
      </c>
      <c r="K4614" s="8">
        <f>financials[[#This Row],[Net Sales]]-financials[[#This Row],[COGS]]</f>
        <v>294.39999999999998</v>
      </c>
      <c r="L4614" s="15">
        <v>43852</v>
      </c>
      <c r="M4614" t="s">
        <v>697</v>
      </c>
    </row>
    <row r="4615" spans="1:13" x14ac:dyDescent="0.25">
      <c r="A4615" t="s">
        <v>86</v>
      </c>
      <c r="B4615" s="6" t="s">
        <v>84</v>
      </c>
      <c r="C4615" s="13">
        <v>106</v>
      </c>
      <c r="D4615" s="14" t="s">
        <v>90</v>
      </c>
      <c r="E4615">
        <v>5</v>
      </c>
      <c r="F4615" s="8">
        <f>VLOOKUP(financials[[#This Row],[productid]],Products!$B$2:$H$10,3)</f>
        <v>25</v>
      </c>
      <c r="G4615" s="8">
        <f>financials[[#This Row],[Units Sold]]*financials[[#This Row],[Sale Price]]</f>
        <v>125</v>
      </c>
      <c r="H4615" s="8">
        <f>IF(financials[[#This Row],[Discount Band]]="low",0.1,IF(financials[[#This Row],[Discount Band]]="medium",0.15,0.3))</f>
        <v>0.15</v>
      </c>
      <c r="I4615" s="8">
        <f>financials[[#This Row],[Gross Sales]]-financials[[#This Row],[Gross Sales]]*financials[[#This Row],[Discounts]]</f>
        <v>106.25</v>
      </c>
      <c r="J4615" s="8">
        <f>VLOOKUP(financials[[#This Row],[productid]],Products!$B$2:$H$10,4)</f>
        <v>9.1</v>
      </c>
      <c r="K4615" s="8">
        <f>financials[[#This Row],[Net Sales]]-financials[[#This Row],[COGS]]</f>
        <v>97.15</v>
      </c>
      <c r="L4615" s="15">
        <v>44921</v>
      </c>
      <c r="M4615" t="s">
        <v>696</v>
      </c>
    </row>
    <row r="4616" spans="1:13" x14ac:dyDescent="0.25">
      <c r="A4616" t="s">
        <v>86</v>
      </c>
      <c r="B4616" s="6" t="s">
        <v>124</v>
      </c>
      <c r="C4616" s="13">
        <v>106</v>
      </c>
      <c r="D4616" s="14" t="s">
        <v>83</v>
      </c>
      <c r="E4616">
        <v>9</v>
      </c>
      <c r="F4616" s="8">
        <f>VLOOKUP(financials[[#This Row],[productid]],Products!$B$2:$H$10,3)</f>
        <v>25</v>
      </c>
      <c r="G4616" s="8">
        <f>financials[[#This Row],[Units Sold]]*financials[[#This Row],[Sale Price]]</f>
        <v>225</v>
      </c>
      <c r="H4616" s="8">
        <f>IF(financials[[#This Row],[Discount Band]]="low",0.1,IF(financials[[#This Row],[Discount Band]]="medium",0.15,0.3))</f>
        <v>0.3</v>
      </c>
      <c r="I4616" s="8">
        <f>financials[[#This Row],[Gross Sales]]-financials[[#This Row],[Gross Sales]]*financials[[#This Row],[Discounts]]</f>
        <v>157.5</v>
      </c>
      <c r="J4616" s="8">
        <f>VLOOKUP(financials[[#This Row],[productid]],Products!$B$2:$H$10,4)</f>
        <v>9.1</v>
      </c>
      <c r="K4616" s="8">
        <f>financials[[#This Row],[Net Sales]]-financials[[#This Row],[COGS]]</f>
        <v>148.4</v>
      </c>
      <c r="L4616" s="15">
        <v>44034</v>
      </c>
      <c r="M4616" t="s">
        <v>690</v>
      </c>
    </row>
    <row r="4617" spans="1:13" x14ac:dyDescent="0.25">
      <c r="A4617" t="s">
        <v>88</v>
      </c>
      <c r="B4617" s="6" t="s">
        <v>84</v>
      </c>
      <c r="C4617" s="13">
        <v>101</v>
      </c>
      <c r="D4617" s="14" t="s">
        <v>83</v>
      </c>
      <c r="E4617">
        <v>15</v>
      </c>
      <c r="F4617" s="8">
        <f>VLOOKUP(financials[[#This Row],[productid]],Products!$B$2:$H$10,3)</f>
        <v>23</v>
      </c>
      <c r="G4617" s="8">
        <f>financials[[#This Row],[Units Sold]]*financials[[#This Row],[Sale Price]]</f>
        <v>345</v>
      </c>
      <c r="H4617" s="8">
        <f>IF(financials[[#This Row],[Discount Band]]="low",0.1,IF(financials[[#This Row],[Discount Band]]="medium",0.15,0.3))</f>
        <v>0.3</v>
      </c>
      <c r="I4617" s="8">
        <f>financials[[#This Row],[Gross Sales]]-financials[[#This Row],[Gross Sales]]*financials[[#This Row],[Discounts]]</f>
        <v>241.5</v>
      </c>
      <c r="J4617" s="8">
        <f>VLOOKUP(financials[[#This Row],[productid]],Products!$B$2:$H$10,4)</f>
        <v>9.9499999999999993</v>
      </c>
      <c r="K4617" s="8">
        <f>financials[[#This Row],[Net Sales]]-financials[[#This Row],[COGS]]</f>
        <v>231.55</v>
      </c>
      <c r="L4617" s="15">
        <v>44103</v>
      </c>
      <c r="M4617" t="s">
        <v>690</v>
      </c>
    </row>
    <row r="4618" spans="1:13" x14ac:dyDescent="0.25">
      <c r="A4618" t="s">
        <v>86</v>
      </c>
      <c r="B4618" s="6" t="s">
        <v>124</v>
      </c>
      <c r="C4618" s="13">
        <v>109</v>
      </c>
      <c r="D4618" s="14" t="s">
        <v>91</v>
      </c>
      <c r="E4618">
        <v>8</v>
      </c>
      <c r="F4618" s="8">
        <f>VLOOKUP(financials[[#This Row],[productid]],Products!$B$2:$H$10,3)</f>
        <v>36</v>
      </c>
      <c r="G4618" s="8">
        <f>financials[[#This Row],[Units Sold]]*financials[[#This Row],[Sale Price]]</f>
        <v>288</v>
      </c>
      <c r="H4618" s="8">
        <f>IF(financials[[#This Row],[Discount Band]]="low",0.1,IF(financials[[#This Row],[Discount Band]]="medium",0.15,0.3))</f>
        <v>0.1</v>
      </c>
      <c r="I4618" s="8">
        <f>financials[[#This Row],[Gross Sales]]-financials[[#This Row],[Gross Sales]]*financials[[#This Row],[Discounts]]</f>
        <v>259.2</v>
      </c>
      <c r="J4618" s="8">
        <f>VLOOKUP(financials[[#This Row],[productid]],Products!$B$2:$H$10,4)</f>
        <v>16.8</v>
      </c>
      <c r="K4618" s="8">
        <f>financials[[#This Row],[Net Sales]]-financials[[#This Row],[COGS]]</f>
        <v>242.39999999999998</v>
      </c>
      <c r="L4618" s="15">
        <v>45118</v>
      </c>
      <c r="M4618" t="s">
        <v>700</v>
      </c>
    </row>
    <row r="4619" spans="1:13" x14ac:dyDescent="0.25">
      <c r="A4619" t="s">
        <v>88</v>
      </c>
      <c r="B4619" s="6" t="s">
        <v>124</v>
      </c>
      <c r="C4619" s="13">
        <v>104</v>
      </c>
      <c r="D4619" s="14" t="s">
        <v>90</v>
      </c>
      <c r="E4619">
        <v>14</v>
      </c>
      <c r="F4619" s="8">
        <f>VLOOKUP(financials[[#This Row],[productid]],Products!$B$2:$H$10,3)</f>
        <v>5.9</v>
      </c>
      <c r="G4619" s="8">
        <f>financials[[#This Row],[Units Sold]]*financials[[#This Row],[Sale Price]]</f>
        <v>82.600000000000009</v>
      </c>
      <c r="H4619" s="8">
        <f>IF(financials[[#This Row],[Discount Band]]="low",0.1,IF(financials[[#This Row],[Discount Band]]="medium",0.15,0.3))</f>
        <v>0.15</v>
      </c>
      <c r="I4619" s="8">
        <f>financials[[#This Row],[Gross Sales]]-financials[[#This Row],[Gross Sales]]*financials[[#This Row],[Discounts]]</f>
        <v>70.210000000000008</v>
      </c>
      <c r="J4619" s="8">
        <f>VLOOKUP(financials[[#This Row],[productid]],Products!$B$2:$H$10,4)</f>
        <v>2.9</v>
      </c>
      <c r="K4619" s="8">
        <f>financials[[#This Row],[Net Sales]]-financials[[#This Row],[COGS]]</f>
        <v>67.31</v>
      </c>
      <c r="L4619" s="15">
        <v>44473</v>
      </c>
      <c r="M4619" t="s">
        <v>700</v>
      </c>
    </row>
    <row r="4620" spans="1:13" x14ac:dyDescent="0.25">
      <c r="A4620" t="s">
        <v>86</v>
      </c>
      <c r="B4620" s="6" t="s">
        <v>84</v>
      </c>
      <c r="C4620" s="13">
        <v>102</v>
      </c>
      <c r="D4620" s="14" t="s">
        <v>83</v>
      </c>
      <c r="E4620">
        <v>7</v>
      </c>
      <c r="F4620" s="8">
        <f>VLOOKUP(financials[[#This Row],[productid]],Products!$B$2:$H$10,3)</f>
        <v>15</v>
      </c>
      <c r="G4620" s="8">
        <f>financials[[#This Row],[Units Sold]]*financials[[#This Row],[Sale Price]]</f>
        <v>105</v>
      </c>
      <c r="H4620" s="8">
        <f>IF(financials[[#This Row],[Discount Band]]="low",0.1,IF(financials[[#This Row],[Discount Band]]="medium",0.15,0.3))</f>
        <v>0.3</v>
      </c>
      <c r="I4620" s="8">
        <f>financials[[#This Row],[Gross Sales]]-financials[[#This Row],[Gross Sales]]*financials[[#This Row],[Discounts]]</f>
        <v>73.5</v>
      </c>
      <c r="J4620" s="8">
        <f>VLOOKUP(financials[[#This Row],[productid]],Products!$B$2:$H$10,4)</f>
        <v>13.95</v>
      </c>
      <c r="K4620" s="8">
        <f>financials[[#This Row],[Net Sales]]-financials[[#This Row],[COGS]]</f>
        <v>59.55</v>
      </c>
      <c r="L4620" s="15">
        <v>44630</v>
      </c>
      <c r="M4620" t="s">
        <v>696</v>
      </c>
    </row>
    <row r="4621" spans="1:13" x14ac:dyDescent="0.25">
      <c r="A4621" t="s">
        <v>88</v>
      </c>
      <c r="B4621" s="6" t="s">
        <v>84</v>
      </c>
      <c r="C4621" s="13">
        <v>107</v>
      </c>
      <c r="D4621" s="14" t="s">
        <v>90</v>
      </c>
      <c r="E4621">
        <v>9</v>
      </c>
      <c r="F4621" s="8">
        <f>VLOOKUP(financials[[#This Row],[productid]],Products!$B$2:$H$10,3)</f>
        <v>15</v>
      </c>
      <c r="G4621" s="8">
        <f>financials[[#This Row],[Units Sold]]*financials[[#This Row],[Sale Price]]</f>
        <v>135</v>
      </c>
      <c r="H4621" s="8">
        <f>IF(financials[[#This Row],[Discount Band]]="low",0.1,IF(financials[[#This Row],[Discount Band]]="medium",0.15,0.3))</f>
        <v>0.15</v>
      </c>
      <c r="I4621" s="8">
        <f>financials[[#This Row],[Gross Sales]]-financials[[#This Row],[Gross Sales]]*financials[[#This Row],[Discounts]]</f>
        <v>114.75</v>
      </c>
      <c r="J4621" s="8">
        <f>VLOOKUP(financials[[#This Row],[productid]],Products!$B$2:$H$10,4)</f>
        <v>5.5</v>
      </c>
      <c r="K4621" s="8">
        <f>financials[[#This Row],[Net Sales]]-financials[[#This Row],[COGS]]</f>
        <v>109.25</v>
      </c>
      <c r="L4621" s="15">
        <v>44137</v>
      </c>
      <c r="M4621" t="s">
        <v>700</v>
      </c>
    </row>
    <row r="4622" spans="1:13" x14ac:dyDescent="0.25">
      <c r="A4622" t="s">
        <v>86</v>
      </c>
      <c r="B4622" s="6" t="s">
        <v>84</v>
      </c>
      <c r="C4622" s="11">
        <v>101</v>
      </c>
      <c r="D4622" s="9" t="s">
        <v>90</v>
      </c>
      <c r="E4622">
        <v>16</v>
      </c>
      <c r="F4622" s="8">
        <f>VLOOKUP(financials[[#This Row],[productid]],Products!$B$2:$H$10,3)</f>
        <v>23</v>
      </c>
      <c r="G4622" s="8">
        <f>financials[[#This Row],[Units Sold]]*financials[[#This Row],[Sale Price]]</f>
        <v>368</v>
      </c>
      <c r="H4622" s="8">
        <f>IF(financials[[#This Row],[Discount Band]]="low",0.1,IF(financials[[#This Row],[Discount Band]]="medium",0.15,0.3))</f>
        <v>0.15</v>
      </c>
      <c r="I4622" s="8">
        <f>financials[[#This Row],[Gross Sales]]-financials[[#This Row],[Gross Sales]]*financials[[#This Row],[Discounts]]</f>
        <v>312.8</v>
      </c>
      <c r="J4622" s="8">
        <f>VLOOKUP(financials[[#This Row],[productid]],Products!$B$2:$H$10,4)</f>
        <v>9.9499999999999993</v>
      </c>
      <c r="K4622" s="8">
        <f>financials[[#This Row],[Net Sales]]-financials[[#This Row],[COGS]]</f>
        <v>302.85000000000002</v>
      </c>
      <c r="L4622" s="15">
        <v>44791</v>
      </c>
      <c r="M4622" t="s">
        <v>691</v>
      </c>
    </row>
    <row r="4623" spans="1:13" x14ac:dyDescent="0.25">
      <c r="A4623" t="s">
        <v>86</v>
      </c>
      <c r="B4623" s="6" t="s">
        <v>124</v>
      </c>
      <c r="C4623" s="13">
        <v>107</v>
      </c>
      <c r="D4623" s="14" t="s">
        <v>90</v>
      </c>
      <c r="E4623">
        <v>11</v>
      </c>
      <c r="F4623" s="8">
        <f>VLOOKUP(financials[[#This Row],[productid]],Products!$B$2:$H$10,3)</f>
        <v>15</v>
      </c>
      <c r="G4623" s="8">
        <f>financials[[#This Row],[Units Sold]]*financials[[#This Row],[Sale Price]]</f>
        <v>165</v>
      </c>
      <c r="H4623" s="8">
        <f>IF(financials[[#This Row],[Discount Band]]="low",0.1,IF(financials[[#This Row],[Discount Band]]="medium",0.15,0.3))</f>
        <v>0.15</v>
      </c>
      <c r="I4623" s="8">
        <f>financials[[#This Row],[Gross Sales]]-financials[[#This Row],[Gross Sales]]*financials[[#This Row],[Discounts]]</f>
        <v>140.25</v>
      </c>
      <c r="J4623" s="8">
        <f>VLOOKUP(financials[[#This Row],[productid]],Products!$B$2:$H$10,4)</f>
        <v>5.5</v>
      </c>
      <c r="K4623" s="8">
        <f>financials[[#This Row],[Net Sales]]-financials[[#This Row],[COGS]]</f>
        <v>134.75</v>
      </c>
      <c r="L4623" s="15">
        <v>45551</v>
      </c>
      <c r="M4623" t="s">
        <v>690</v>
      </c>
    </row>
    <row r="4624" spans="1:13" x14ac:dyDescent="0.25">
      <c r="A4624" t="s">
        <v>88</v>
      </c>
      <c r="B4624" s="6" t="s">
        <v>84</v>
      </c>
      <c r="C4624" s="13">
        <v>108</v>
      </c>
      <c r="D4624" s="14" t="s">
        <v>90</v>
      </c>
      <c r="E4624">
        <v>16</v>
      </c>
      <c r="F4624" s="8">
        <f>VLOOKUP(financials[[#This Row],[productid]],Products!$B$2:$H$10,3)</f>
        <v>5.5</v>
      </c>
      <c r="G4624" s="8">
        <f>financials[[#This Row],[Units Sold]]*financials[[#This Row],[Sale Price]]</f>
        <v>88</v>
      </c>
      <c r="H4624" s="8">
        <f>IF(financials[[#This Row],[Discount Band]]="low",0.1,IF(financials[[#This Row],[Discount Band]]="medium",0.15,0.3))</f>
        <v>0.15</v>
      </c>
      <c r="I4624" s="8">
        <f>financials[[#This Row],[Gross Sales]]-financials[[#This Row],[Gross Sales]]*financials[[#This Row],[Discounts]]</f>
        <v>74.8</v>
      </c>
      <c r="J4624" s="8">
        <f>VLOOKUP(financials[[#This Row],[productid]],Products!$B$2:$H$10,4)</f>
        <v>3.99</v>
      </c>
      <c r="K4624" s="8">
        <f>financials[[#This Row],[Net Sales]]-financials[[#This Row],[COGS]]</f>
        <v>70.81</v>
      </c>
      <c r="L4624" s="15">
        <v>44057</v>
      </c>
      <c r="M4624" t="s">
        <v>700</v>
      </c>
    </row>
    <row r="4625" spans="1:13" x14ac:dyDescent="0.25">
      <c r="A4625" t="s">
        <v>86</v>
      </c>
      <c r="B4625" s="6" t="s">
        <v>159</v>
      </c>
      <c r="C4625" s="11">
        <v>103</v>
      </c>
      <c r="D4625" s="9" t="s">
        <v>92</v>
      </c>
      <c r="E4625">
        <v>11</v>
      </c>
      <c r="F4625" s="8">
        <f>VLOOKUP(financials[[#This Row],[productid]],Products!$B$2:$H$10,3)</f>
        <v>28</v>
      </c>
      <c r="G4625" s="8">
        <f>financials[[#This Row],[Units Sold]]*financials[[#This Row],[Sale Price]]</f>
        <v>308</v>
      </c>
      <c r="H4625" s="8">
        <f>IF(financials[[#This Row],[Discount Band]]="low",0.1,IF(financials[[#This Row],[Discount Band]]="medium",0.15,0.3))</f>
        <v>0.3</v>
      </c>
      <c r="I4625" s="8">
        <f>financials[[#This Row],[Gross Sales]]-financials[[#This Row],[Gross Sales]]*financials[[#This Row],[Discounts]]</f>
        <v>215.60000000000002</v>
      </c>
      <c r="J4625" s="8">
        <f>VLOOKUP(financials[[#This Row],[productid]],Products!$B$2:$H$10,4)</f>
        <v>15</v>
      </c>
      <c r="K4625" s="8">
        <f>financials[[#This Row],[Net Sales]]-financials[[#This Row],[COGS]]</f>
        <v>200.60000000000002</v>
      </c>
      <c r="L4625" s="15">
        <v>44006</v>
      </c>
      <c r="M4625" t="s">
        <v>691</v>
      </c>
    </row>
    <row r="4626" spans="1:13" x14ac:dyDescent="0.25">
      <c r="A4626" t="s">
        <v>86</v>
      </c>
      <c r="B4626" s="6" t="s">
        <v>124</v>
      </c>
      <c r="C4626" s="13">
        <v>105</v>
      </c>
      <c r="D4626" s="14" t="s">
        <v>83</v>
      </c>
      <c r="E4626">
        <v>12</v>
      </c>
      <c r="F4626" s="8">
        <f>VLOOKUP(financials[[#This Row],[productid]],Products!$B$2:$H$10,3)</f>
        <v>15</v>
      </c>
      <c r="G4626" s="8">
        <f>financials[[#This Row],[Units Sold]]*financials[[#This Row],[Sale Price]]</f>
        <v>180</v>
      </c>
      <c r="H4626" s="8">
        <f>IF(financials[[#This Row],[Discount Band]]="low",0.1,IF(financials[[#This Row],[Discount Band]]="medium",0.15,0.3))</f>
        <v>0.3</v>
      </c>
      <c r="I4626" s="8">
        <f>financials[[#This Row],[Gross Sales]]-financials[[#This Row],[Gross Sales]]*financials[[#This Row],[Discounts]]</f>
        <v>126</v>
      </c>
      <c r="J4626" s="8">
        <f>VLOOKUP(financials[[#This Row],[productid]],Products!$B$2:$H$10,4)</f>
        <v>10</v>
      </c>
      <c r="K4626" s="8">
        <f>financials[[#This Row],[Net Sales]]-financials[[#This Row],[COGS]]</f>
        <v>116</v>
      </c>
      <c r="L4626" s="15">
        <v>44792</v>
      </c>
      <c r="M4626" t="s">
        <v>697</v>
      </c>
    </row>
    <row r="4627" spans="1:13" x14ac:dyDescent="0.25">
      <c r="A4627" t="s">
        <v>86</v>
      </c>
      <c r="B4627" s="6" t="s">
        <v>84</v>
      </c>
      <c r="C4627" s="13">
        <v>101</v>
      </c>
      <c r="D4627" s="14" t="s">
        <v>91</v>
      </c>
      <c r="E4627">
        <v>14</v>
      </c>
      <c r="F4627" s="8">
        <f>VLOOKUP(financials[[#This Row],[productid]],Products!$B$2:$H$10,3)</f>
        <v>23</v>
      </c>
      <c r="G4627" s="8">
        <f>financials[[#This Row],[Units Sold]]*financials[[#This Row],[Sale Price]]</f>
        <v>322</v>
      </c>
      <c r="H4627" s="8">
        <f>IF(financials[[#This Row],[Discount Band]]="low",0.1,IF(financials[[#This Row],[Discount Band]]="medium",0.15,0.3))</f>
        <v>0.1</v>
      </c>
      <c r="I4627" s="8">
        <f>financials[[#This Row],[Gross Sales]]-financials[[#This Row],[Gross Sales]]*financials[[#This Row],[Discounts]]</f>
        <v>289.8</v>
      </c>
      <c r="J4627" s="8">
        <f>VLOOKUP(financials[[#This Row],[productid]],Products!$B$2:$H$10,4)</f>
        <v>9.9499999999999993</v>
      </c>
      <c r="K4627" s="8">
        <f>financials[[#This Row],[Net Sales]]-financials[[#This Row],[COGS]]</f>
        <v>279.85000000000002</v>
      </c>
      <c r="L4627" s="15">
        <v>44020</v>
      </c>
      <c r="M4627" t="s">
        <v>696</v>
      </c>
    </row>
    <row r="4628" spans="1:13" x14ac:dyDescent="0.25">
      <c r="A4628" t="s">
        <v>86</v>
      </c>
      <c r="B4628" s="6" t="s">
        <v>84</v>
      </c>
      <c r="C4628" s="13">
        <v>103</v>
      </c>
      <c r="D4628" s="14" t="s">
        <v>90</v>
      </c>
      <c r="E4628">
        <v>14</v>
      </c>
      <c r="F4628" s="8">
        <f>VLOOKUP(financials[[#This Row],[productid]],Products!$B$2:$H$10,3)</f>
        <v>28</v>
      </c>
      <c r="G4628" s="8">
        <f>financials[[#This Row],[Units Sold]]*financials[[#This Row],[Sale Price]]</f>
        <v>392</v>
      </c>
      <c r="H4628" s="8">
        <f>IF(financials[[#This Row],[Discount Band]]="low",0.1,IF(financials[[#This Row],[Discount Band]]="medium",0.15,0.3))</f>
        <v>0.15</v>
      </c>
      <c r="I4628" s="8">
        <f>financials[[#This Row],[Gross Sales]]-financials[[#This Row],[Gross Sales]]*financials[[#This Row],[Discounts]]</f>
        <v>333.2</v>
      </c>
      <c r="J4628" s="8">
        <f>VLOOKUP(financials[[#This Row],[productid]],Products!$B$2:$H$10,4)</f>
        <v>15</v>
      </c>
      <c r="K4628" s="8">
        <f>financials[[#This Row],[Net Sales]]-financials[[#This Row],[COGS]]</f>
        <v>318.2</v>
      </c>
      <c r="L4628" s="15">
        <v>45451</v>
      </c>
      <c r="M4628" t="s">
        <v>691</v>
      </c>
    </row>
    <row r="4629" spans="1:13" x14ac:dyDescent="0.25">
      <c r="A4629" t="s">
        <v>86</v>
      </c>
      <c r="B4629" s="6" t="s">
        <v>124</v>
      </c>
      <c r="C4629" s="13">
        <v>107</v>
      </c>
      <c r="D4629" s="14" t="s">
        <v>83</v>
      </c>
      <c r="E4629">
        <v>5</v>
      </c>
      <c r="F4629" s="8">
        <f>VLOOKUP(financials[[#This Row],[productid]],Products!$B$2:$H$10,3)</f>
        <v>15</v>
      </c>
      <c r="G4629" s="8">
        <f>financials[[#This Row],[Units Sold]]*financials[[#This Row],[Sale Price]]</f>
        <v>75</v>
      </c>
      <c r="H4629" s="8">
        <f>IF(financials[[#This Row],[Discount Band]]="low",0.1,IF(financials[[#This Row],[Discount Band]]="medium",0.15,0.3))</f>
        <v>0.3</v>
      </c>
      <c r="I4629" s="8">
        <f>financials[[#This Row],[Gross Sales]]-financials[[#This Row],[Gross Sales]]*financials[[#This Row],[Discounts]]</f>
        <v>52.5</v>
      </c>
      <c r="J4629" s="8">
        <f>VLOOKUP(financials[[#This Row],[productid]],Products!$B$2:$H$10,4)</f>
        <v>5.5</v>
      </c>
      <c r="K4629" s="8">
        <f>financials[[#This Row],[Net Sales]]-financials[[#This Row],[COGS]]</f>
        <v>47</v>
      </c>
      <c r="L4629" s="15">
        <v>44801</v>
      </c>
      <c r="M4629" t="s">
        <v>696</v>
      </c>
    </row>
    <row r="4630" spans="1:13" x14ac:dyDescent="0.25">
      <c r="A4630" t="s">
        <v>88</v>
      </c>
      <c r="B4630" s="6" t="s">
        <v>124</v>
      </c>
      <c r="C4630" s="11">
        <v>101</v>
      </c>
      <c r="D4630" s="9" t="s">
        <v>90</v>
      </c>
      <c r="E4630">
        <v>11</v>
      </c>
      <c r="F4630" s="8">
        <f>VLOOKUP(financials[[#This Row],[productid]],Products!$B$2:$H$10,3)</f>
        <v>23</v>
      </c>
      <c r="G4630" s="8">
        <f>financials[[#This Row],[Units Sold]]*financials[[#This Row],[Sale Price]]</f>
        <v>253</v>
      </c>
      <c r="H4630" s="8">
        <f>IF(financials[[#This Row],[Discount Band]]="low",0.1,IF(financials[[#This Row],[Discount Band]]="medium",0.15,0.3))</f>
        <v>0.15</v>
      </c>
      <c r="I4630" s="8">
        <f>financials[[#This Row],[Gross Sales]]-financials[[#This Row],[Gross Sales]]*financials[[#This Row],[Discounts]]</f>
        <v>215.05</v>
      </c>
      <c r="J4630" s="8">
        <f>VLOOKUP(financials[[#This Row],[productid]],Products!$B$2:$H$10,4)</f>
        <v>9.9499999999999993</v>
      </c>
      <c r="K4630" s="8">
        <f>financials[[#This Row],[Net Sales]]-financials[[#This Row],[COGS]]</f>
        <v>205.10000000000002</v>
      </c>
      <c r="L4630" s="15">
        <v>44631</v>
      </c>
      <c r="M4630" t="s">
        <v>697</v>
      </c>
    </row>
    <row r="4631" spans="1:13" x14ac:dyDescent="0.25">
      <c r="A4631" t="s">
        <v>86</v>
      </c>
      <c r="B4631" s="6" t="s">
        <v>159</v>
      </c>
      <c r="C4631" s="13">
        <v>103</v>
      </c>
      <c r="D4631" s="14" t="s">
        <v>83</v>
      </c>
      <c r="E4631">
        <v>16</v>
      </c>
      <c r="F4631" s="8">
        <f>VLOOKUP(financials[[#This Row],[productid]],Products!$B$2:$H$10,3)</f>
        <v>28</v>
      </c>
      <c r="G4631" s="8">
        <f>financials[[#This Row],[Units Sold]]*financials[[#This Row],[Sale Price]]</f>
        <v>448</v>
      </c>
      <c r="H4631" s="8">
        <f>IF(financials[[#This Row],[Discount Band]]="low",0.1,IF(financials[[#This Row],[Discount Band]]="medium",0.15,0.3))</f>
        <v>0.3</v>
      </c>
      <c r="I4631" s="8">
        <f>financials[[#This Row],[Gross Sales]]-financials[[#This Row],[Gross Sales]]*financials[[#This Row],[Discounts]]</f>
        <v>313.60000000000002</v>
      </c>
      <c r="J4631" s="8">
        <f>VLOOKUP(financials[[#This Row],[productid]],Products!$B$2:$H$10,4)</f>
        <v>15</v>
      </c>
      <c r="K4631" s="8">
        <f>financials[[#This Row],[Net Sales]]-financials[[#This Row],[COGS]]</f>
        <v>298.60000000000002</v>
      </c>
      <c r="L4631" s="15">
        <v>45496</v>
      </c>
      <c r="M4631" t="s">
        <v>690</v>
      </c>
    </row>
    <row r="4632" spans="1:13" x14ac:dyDescent="0.25">
      <c r="A4632" t="s">
        <v>88</v>
      </c>
      <c r="B4632" s="6" t="s">
        <v>159</v>
      </c>
      <c r="C4632" s="13">
        <v>106</v>
      </c>
      <c r="D4632" s="14" t="s">
        <v>90</v>
      </c>
      <c r="E4632">
        <v>5</v>
      </c>
      <c r="F4632" s="8">
        <f>VLOOKUP(financials[[#This Row],[productid]],Products!$B$2:$H$10,3)</f>
        <v>25</v>
      </c>
      <c r="G4632" s="8">
        <f>financials[[#This Row],[Units Sold]]*financials[[#This Row],[Sale Price]]</f>
        <v>125</v>
      </c>
      <c r="H4632" s="8">
        <f>IF(financials[[#This Row],[Discount Band]]="low",0.1,IF(financials[[#This Row],[Discount Band]]="medium",0.15,0.3))</f>
        <v>0.15</v>
      </c>
      <c r="I4632" s="8">
        <f>financials[[#This Row],[Gross Sales]]-financials[[#This Row],[Gross Sales]]*financials[[#This Row],[Discounts]]</f>
        <v>106.25</v>
      </c>
      <c r="J4632" s="8">
        <f>VLOOKUP(financials[[#This Row],[productid]],Products!$B$2:$H$10,4)</f>
        <v>9.1</v>
      </c>
      <c r="K4632" s="8">
        <f>financials[[#This Row],[Net Sales]]-financials[[#This Row],[COGS]]</f>
        <v>97.15</v>
      </c>
      <c r="L4632" s="15">
        <v>45335</v>
      </c>
      <c r="M4632" t="s">
        <v>700</v>
      </c>
    </row>
    <row r="4633" spans="1:13" x14ac:dyDescent="0.25">
      <c r="A4633" t="s">
        <v>87</v>
      </c>
      <c r="B4633" s="6" t="s">
        <v>124</v>
      </c>
      <c r="C4633" s="13">
        <v>106</v>
      </c>
      <c r="D4633" s="14" t="s">
        <v>90</v>
      </c>
      <c r="E4633">
        <v>11</v>
      </c>
      <c r="F4633" s="8">
        <f>VLOOKUP(financials[[#This Row],[productid]],Products!$B$2:$H$10,3)</f>
        <v>25</v>
      </c>
      <c r="G4633" s="8">
        <f>financials[[#This Row],[Units Sold]]*financials[[#This Row],[Sale Price]]</f>
        <v>275</v>
      </c>
      <c r="H4633" s="8">
        <f>IF(financials[[#This Row],[Discount Band]]="low",0.1,IF(financials[[#This Row],[Discount Band]]="medium",0.15,0.3))</f>
        <v>0.15</v>
      </c>
      <c r="I4633" s="8">
        <f>financials[[#This Row],[Gross Sales]]-financials[[#This Row],[Gross Sales]]*financials[[#This Row],[Discounts]]</f>
        <v>233.75</v>
      </c>
      <c r="J4633" s="8">
        <f>VLOOKUP(financials[[#This Row],[productid]],Products!$B$2:$H$10,4)</f>
        <v>9.1</v>
      </c>
      <c r="K4633" s="8">
        <f>financials[[#This Row],[Net Sales]]-financials[[#This Row],[COGS]]</f>
        <v>224.65</v>
      </c>
      <c r="L4633" s="15">
        <v>44470</v>
      </c>
      <c r="M4633" t="s">
        <v>697</v>
      </c>
    </row>
    <row r="4634" spans="1:13" x14ac:dyDescent="0.25">
      <c r="A4634" t="s">
        <v>86</v>
      </c>
      <c r="B4634" s="6" t="s">
        <v>84</v>
      </c>
      <c r="C4634" s="13">
        <v>104</v>
      </c>
      <c r="D4634" s="14" t="s">
        <v>91</v>
      </c>
      <c r="E4634">
        <v>15</v>
      </c>
      <c r="F4634" s="8">
        <f>VLOOKUP(financials[[#This Row],[productid]],Products!$B$2:$H$10,3)</f>
        <v>5.9</v>
      </c>
      <c r="G4634" s="8">
        <f>financials[[#This Row],[Units Sold]]*financials[[#This Row],[Sale Price]]</f>
        <v>88.5</v>
      </c>
      <c r="H4634" s="8">
        <f>IF(financials[[#This Row],[Discount Band]]="low",0.1,IF(financials[[#This Row],[Discount Band]]="medium",0.15,0.3))</f>
        <v>0.1</v>
      </c>
      <c r="I4634" s="8">
        <f>financials[[#This Row],[Gross Sales]]-financials[[#This Row],[Gross Sales]]*financials[[#This Row],[Discounts]]</f>
        <v>79.650000000000006</v>
      </c>
      <c r="J4634" s="8">
        <f>VLOOKUP(financials[[#This Row],[productid]],Products!$B$2:$H$10,4)</f>
        <v>2.9</v>
      </c>
      <c r="K4634" s="8">
        <f>financials[[#This Row],[Net Sales]]-financials[[#This Row],[COGS]]</f>
        <v>76.75</v>
      </c>
      <c r="L4634" s="15">
        <v>45616</v>
      </c>
      <c r="M4634" t="s">
        <v>697</v>
      </c>
    </row>
    <row r="4635" spans="1:13" x14ac:dyDescent="0.25">
      <c r="A4635" t="s">
        <v>88</v>
      </c>
      <c r="B4635" s="6" t="s">
        <v>159</v>
      </c>
      <c r="C4635" s="11">
        <v>104</v>
      </c>
      <c r="D4635" s="9" t="s">
        <v>83</v>
      </c>
      <c r="E4635">
        <v>20</v>
      </c>
      <c r="F4635" s="8">
        <f>VLOOKUP(financials[[#This Row],[productid]],Products!$B$2:$H$10,3)</f>
        <v>5.9</v>
      </c>
      <c r="G4635" s="8">
        <f>financials[[#This Row],[Units Sold]]*financials[[#This Row],[Sale Price]]</f>
        <v>118</v>
      </c>
      <c r="H4635" s="8">
        <f>IF(financials[[#This Row],[Discount Band]]="low",0.1,IF(financials[[#This Row],[Discount Band]]="medium",0.15,0.3))</f>
        <v>0.3</v>
      </c>
      <c r="I4635" s="8">
        <f>financials[[#This Row],[Gross Sales]]-financials[[#This Row],[Gross Sales]]*financials[[#This Row],[Discounts]]</f>
        <v>82.6</v>
      </c>
      <c r="J4635" s="8">
        <f>VLOOKUP(financials[[#This Row],[productid]],Products!$B$2:$H$10,4)</f>
        <v>2.9</v>
      </c>
      <c r="K4635" s="8">
        <f>financials[[#This Row],[Net Sales]]-financials[[#This Row],[COGS]]</f>
        <v>79.699999999999989</v>
      </c>
      <c r="L4635" s="15">
        <v>45427</v>
      </c>
      <c r="M4635" t="s">
        <v>690</v>
      </c>
    </row>
    <row r="4636" spans="1:13" x14ac:dyDescent="0.25">
      <c r="A4636" t="s">
        <v>87</v>
      </c>
      <c r="B4636" s="6" t="s">
        <v>124</v>
      </c>
      <c r="C4636" s="13">
        <v>103</v>
      </c>
      <c r="D4636" s="14" t="s">
        <v>83</v>
      </c>
      <c r="E4636">
        <v>13</v>
      </c>
      <c r="F4636" s="8">
        <f>VLOOKUP(financials[[#This Row],[productid]],Products!$B$2:$H$10,3)</f>
        <v>28</v>
      </c>
      <c r="G4636" s="8">
        <f>financials[[#This Row],[Units Sold]]*financials[[#This Row],[Sale Price]]</f>
        <v>364</v>
      </c>
      <c r="H4636" s="8">
        <f>IF(financials[[#This Row],[Discount Band]]="low",0.1,IF(financials[[#This Row],[Discount Band]]="medium",0.15,0.3))</f>
        <v>0.3</v>
      </c>
      <c r="I4636" s="8">
        <f>financials[[#This Row],[Gross Sales]]-financials[[#This Row],[Gross Sales]]*financials[[#This Row],[Discounts]]</f>
        <v>254.8</v>
      </c>
      <c r="J4636" s="8">
        <f>VLOOKUP(financials[[#This Row],[productid]],Products!$B$2:$H$10,4)</f>
        <v>15</v>
      </c>
      <c r="K4636" s="8">
        <f>financials[[#This Row],[Net Sales]]-financials[[#This Row],[COGS]]</f>
        <v>239.8</v>
      </c>
      <c r="L4636" s="15">
        <v>45229</v>
      </c>
      <c r="M4636" t="s">
        <v>690</v>
      </c>
    </row>
    <row r="4637" spans="1:13" x14ac:dyDescent="0.25">
      <c r="A4637" t="s">
        <v>87</v>
      </c>
      <c r="B4637" s="6" t="s">
        <v>124</v>
      </c>
      <c r="C4637" s="13">
        <v>103</v>
      </c>
      <c r="D4637" s="14" t="s">
        <v>90</v>
      </c>
      <c r="E4637">
        <v>18</v>
      </c>
      <c r="F4637" s="8">
        <f>VLOOKUP(financials[[#This Row],[productid]],Products!$B$2:$H$10,3)</f>
        <v>28</v>
      </c>
      <c r="G4637" s="8">
        <f>financials[[#This Row],[Units Sold]]*financials[[#This Row],[Sale Price]]</f>
        <v>504</v>
      </c>
      <c r="H4637" s="8">
        <f>IF(financials[[#This Row],[Discount Band]]="low",0.1,IF(financials[[#This Row],[Discount Band]]="medium",0.15,0.3))</f>
        <v>0.15</v>
      </c>
      <c r="I4637" s="8">
        <f>financials[[#This Row],[Gross Sales]]-financials[[#This Row],[Gross Sales]]*financials[[#This Row],[Discounts]]</f>
        <v>428.4</v>
      </c>
      <c r="J4637" s="8">
        <f>VLOOKUP(financials[[#This Row],[productid]],Products!$B$2:$H$10,4)</f>
        <v>15</v>
      </c>
      <c r="K4637" s="8">
        <f>financials[[#This Row],[Net Sales]]-financials[[#This Row],[COGS]]</f>
        <v>413.4</v>
      </c>
      <c r="L4637" s="15">
        <v>44874</v>
      </c>
      <c r="M4637" t="s">
        <v>696</v>
      </c>
    </row>
    <row r="4638" spans="1:13" x14ac:dyDescent="0.25">
      <c r="A4638" t="s">
        <v>88</v>
      </c>
      <c r="B4638" s="6" t="s">
        <v>159</v>
      </c>
      <c r="C4638" s="13">
        <v>104</v>
      </c>
      <c r="D4638" s="14" t="s">
        <v>91</v>
      </c>
      <c r="E4638">
        <v>10</v>
      </c>
      <c r="F4638" s="8">
        <f>VLOOKUP(financials[[#This Row],[productid]],Products!$B$2:$H$10,3)</f>
        <v>5.9</v>
      </c>
      <c r="G4638" s="8">
        <f>financials[[#This Row],[Units Sold]]*financials[[#This Row],[Sale Price]]</f>
        <v>59</v>
      </c>
      <c r="H4638" s="8">
        <f>IF(financials[[#This Row],[Discount Band]]="low",0.1,IF(financials[[#This Row],[Discount Band]]="medium",0.15,0.3))</f>
        <v>0.1</v>
      </c>
      <c r="I4638" s="8">
        <f>financials[[#This Row],[Gross Sales]]-financials[[#This Row],[Gross Sales]]*financials[[#This Row],[Discounts]]</f>
        <v>53.1</v>
      </c>
      <c r="J4638" s="8">
        <f>VLOOKUP(financials[[#This Row],[productid]],Products!$B$2:$H$10,4)</f>
        <v>2.9</v>
      </c>
      <c r="K4638" s="8">
        <f>financials[[#This Row],[Net Sales]]-financials[[#This Row],[COGS]]</f>
        <v>50.2</v>
      </c>
      <c r="L4638" s="15">
        <v>44234</v>
      </c>
      <c r="M4638" t="s">
        <v>700</v>
      </c>
    </row>
    <row r="4639" spans="1:13" x14ac:dyDescent="0.25">
      <c r="A4639" t="s">
        <v>88</v>
      </c>
      <c r="B4639" s="6" t="s">
        <v>124</v>
      </c>
      <c r="C4639" s="13">
        <v>108</v>
      </c>
      <c r="D4639" s="14" t="s">
        <v>90</v>
      </c>
      <c r="E4639">
        <v>11</v>
      </c>
      <c r="F4639" s="8">
        <f>VLOOKUP(financials[[#This Row],[productid]],Products!$B$2:$H$10,3)</f>
        <v>5.5</v>
      </c>
      <c r="G4639" s="8">
        <f>financials[[#This Row],[Units Sold]]*financials[[#This Row],[Sale Price]]</f>
        <v>60.5</v>
      </c>
      <c r="H4639" s="8">
        <f>IF(financials[[#This Row],[Discount Band]]="low",0.1,IF(financials[[#This Row],[Discount Band]]="medium",0.15,0.3))</f>
        <v>0.15</v>
      </c>
      <c r="I4639" s="8">
        <f>financials[[#This Row],[Gross Sales]]-financials[[#This Row],[Gross Sales]]*financials[[#This Row],[Discounts]]</f>
        <v>51.424999999999997</v>
      </c>
      <c r="J4639" s="8">
        <f>VLOOKUP(financials[[#This Row],[productid]],Products!$B$2:$H$10,4)</f>
        <v>3.99</v>
      </c>
      <c r="K4639" s="8">
        <f>financials[[#This Row],[Net Sales]]-financials[[#This Row],[COGS]]</f>
        <v>47.434999999999995</v>
      </c>
      <c r="L4639" s="15">
        <v>44394</v>
      </c>
      <c r="M4639" t="s">
        <v>700</v>
      </c>
    </row>
    <row r="4640" spans="1:13" x14ac:dyDescent="0.25">
      <c r="A4640" t="s">
        <v>87</v>
      </c>
      <c r="B4640" s="6" t="s">
        <v>124</v>
      </c>
      <c r="C4640" s="13">
        <v>108</v>
      </c>
      <c r="D4640" s="14" t="s">
        <v>90</v>
      </c>
      <c r="E4640">
        <v>7</v>
      </c>
      <c r="F4640" s="8">
        <f>VLOOKUP(financials[[#This Row],[productid]],Products!$B$2:$H$10,3)</f>
        <v>5.5</v>
      </c>
      <c r="G4640" s="8">
        <f>financials[[#This Row],[Units Sold]]*financials[[#This Row],[Sale Price]]</f>
        <v>38.5</v>
      </c>
      <c r="H4640" s="8">
        <f>IF(financials[[#This Row],[Discount Band]]="low",0.1,IF(financials[[#This Row],[Discount Band]]="medium",0.15,0.3))</f>
        <v>0.15</v>
      </c>
      <c r="I4640" s="8">
        <f>financials[[#This Row],[Gross Sales]]-financials[[#This Row],[Gross Sales]]*financials[[#This Row],[Discounts]]</f>
        <v>32.725000000000001</v>
      </c>
      <c r="J4640" s="8">
        <f>VLOOKUP(financials[[#This Row],[productid]],Products!$B$2:$H$10,4)</f>
        <v>3.99</v>
      </c>
      <c r="K4640" s="8">
        <f>financials[[#This Row],[Net Sales]]-financials[[#This Row],[COGS]]</f>
        <v>28.734999999999999</v>
      </c>
      <c r="L4640" s="15">
        <v>44913</v>
      </c>
      <c r="M4640" t="s">
        <v>691</v>
      </c>
    </row>
    <row r="4641" spans="1:13" x14ac:dyDescent="0.25">
      <c r="A4641" t="s">
        <v>86</v>
      </c>
      <c r="B4641" s="6" t="s">
        <v>84</v>
      </c>
      <c r="C4641" s="13">
        <v>107</v>
      </c>
      <c r="D4641" s="14" t="s">
        <v>92</v>
      </c>
      <c r="E4641">
        <v>10</v>
      </c>
      <c r="F4641" s="8">
        <f>VLOOKUP(financials[[#This Row],[productid]],Products!$B$2:$H$10,3)</f>
        <v>15</v>
      </c>
      <c r="G4641" s="8">
        <f>financials[[#This Row],[Units Sold]]*financials[[#This Row],[Sale Price]]</f>
        <v>150</v>
      </c>
      <c r="H4641" s="8">
        <f>IF(financials[[#This Row],[Discount Band]]="low",0.1,IF(financials[[#This Row],[Discount Band]]="medium",0.15,0.3))</f>
        <v>0.3</v>
      </c>
      <c r="I4641" s="8">
        <f>financials[[#This Row],[Gross Sales]]-financials[[#This Row],[Gross Sales]]*financials[[#This Row],[Discounts]]</f>
        <v>105</v>
      </c>
      <c r="J4641" s="8">
        <f>VLOOKUP(financials[[#This Row],[productid]],Products!$B$2:$H$10,4)</f>
        <v>5.5</v>
      </c>
      <c r="K4641" s="8">
        <f>financials[[#This Row],[Net Sales]]-financials[[#This Row],[COGS]]</f>
        <v>99.5</v>
      </c>
      <c r="L4641" s="15">
        <v>44369</v>
      </c>
      <c r="M4641" t="s">
        <v>696</v>
      </c>
    </row>
    <row r="4642" spans="1:13" x14ac:dyDescent="0.25">
      <c r="A4642" t="s">
        <v>88</v>
      </c>
      <c r="B4642" s="6" t="s">
        <v>124</v>
      </c>
      <c r="C4642" s="13">
        <v>108</v>
      </c>
      <c r="D4642" s="14" t="s">
        <v>90</v>
      </c>
      <c r="E4642">
        <v>14</v>
      </c>
      <c r="F4642" s="8">
        <f>VLOOKUP(financials[[#This Row],[productid]],Products!$B$2:$H$10,3)</f>
        <v>5.5</v>
      </c>
      <c r="G4642" s="8">
        <f>financials[[#This Row],[Units Sold]]*financials[[#This Row],[Sale Price]]</f>
        <v>77</v>
      </c>
      <c r="H4642" s="8">
        <f>IF(financials[[#This Row],[Discount Band]]="low",0.1,IF(financials[[#This Row],[Discount Band]]="medium",0.15,0.3))</f>
        <v>0.15</v>
      </c>
      <c r="I4642" s="8">
        <f>financials[[#This Row],[Gross Sales]]-financials[[#This Row],[Gross Sales]]*financials[[#This Row],[Discounts]]</f>
        <v>65.45</v>
      </c>
      <c r="J4642" s="8">
        <f>VLOOKUP(financials[[#This Row],[productid]],Products!$B$2:$H$10,4)</f>
        <v>3.99</v>
      </c>
      <c r="K4642" s="8">
        <f>financials[[#This Row],[Net Sales]]-financials[[#This Row],[COGS]]</f>
        <v>61.46</v>
      </c>
      <c r="L4642" s="15">
        <v>45620</v>
      </c>
      <c r="M4642" t="s">
        <v>691</v>
      </c>
    </row>
    <row r="4643" spans="1:13" x14ac:dyDescent="0.25">
      <c r="A4643" t="s">
        <v>88</v>
      </c>
      <c r="B4643" s="6" t="s">
        <v>124</v>
      </c>
      <c r="C4643" s="13">
        <v>102</v>
      </c>
      <c r="D4643" s="14" t="s">
        <v>90</v>
      </c>
      <c r="E4643">
        <v>16</v>
      </c>
      <c r="F4643" s="8">
        <f>VLOOKUP(financials[[#This Row],[productid]],Products!$B$2:$H$10,3)</f>
        <v>15</v>
      </c>
      <c r="G4643" s="8">
        <f>financials[[#This Row],[Units Sold]]*financials[[#This Row],[Sale Price]]</f>
        <v>240</v>
      </c>
      <c r="H4643" s="8">
        <f>IF(financials[[#This Row],[Discount Band]]="low",0.1,IF(financials[[#This Row],[Discount Band]]="medium",0.15,0.3))</f>
        <v>0.15</v>
      </c>
      <c r="I4643" s="8">
        <f>financials[[#This Row],[Gross Sales]]-financials[[#This Row],[Gross Sales]]*financials[[#This Row],[Discounts]]</f>
        <v>204</v>
      </c>
      <c r="J4643" s="8">
        <f>VLOOKUP(financials[[#This Row],[productid]],Products!$B$2:$H$10,4)</f>
        <v>13.95</v>
      </c>
      <c r="K4643" s="8">
        <f>financials[[#This Row],[Net Sales]]-financials[[#This Row],[COGS]]</f>
        <v>190.05</v>
      </c>
      <c r="L4643" s="15">
        <v>44857</v>
      </c>
      <c r="M4643" t="s">
        <v>691</v>
      </c>
    </row>
    <row r="4644" spans="1:13" x14ac:dyDescent="0.25">
      <c r="A4644" t="s">
        <v>88</v>
      </c>
      <c r="B4644" s="6" t="s">
        <v>124</v>
      </c>
      <c r="C4644" s="13">
        <v>102</v>
      </c>
      <c r="D4644" s="14" t="s">
        <v>83</v>
      </c>
      <c r="E4644">
        <v>20</v>
      </c>
      <c r="F4644" s="8">
        <f>VLOOKUP(financials[[#This Row],[productid]],Products!$B$2:$H$10,3)</f>
        <v>15</v>
      </c>
      <c r="G4644" s="8">
        <f>financials[[#This Row],[Units Sold]]*financials[[#This Row],[Sale Price]]</f>
        <v>300</v>
      </c>
      <c r="H4644" s="8">
        <f>IF(financials[[#This Row],[Discount Band]]="low",0.1,IF(financials[[#This Row],[Discount Band]]="medium",0.15,0.3))</f>
        <v>0.3</v>
      </c>
      <c r="I4644" s="8">
        <f>financials[[#This Row],[Gross Sales]]-financials[[#This Row],[Gross Sales]]*financials[[#This Row],[Discounts]]</f>
        <v>210</v>
      </c>
      <c r="J4644" s="8">
        <f>VLOOKUP(financials[[#This Row],[productid]],Products!$B$2:$H$10,4)</f>
        <v>13.95</v>
      </c>
      <c r="K4644" s="8">
        <f>financials[[#This Row],[Net Sales]]-financials[[#This Row],[COGS]]</f>
        <v>196.05</v>
      </c>
      <c r="L4644" s="15">
        <v>44070</v>
      </c>
      <c r="M4644" t="s">
        <v>691</v>
      </c>
    </row>
    <row r="4645" spans="1:13" x14ac:dyDescent="0.25">
      <c r="A4645" t="s">
        <v>86</v>
      </c>
      <c r="B4645" s="6" t="s">
        <v>159</v>
      </c>
      <c r="C4645" s="13">
        <v>108</v>
      </c>
      <c r="D4645" s="14" t="s">
        <v>91</v>
      </c>
      <c r="E4645">
        <v>10</v>
      </c>
      <c r="F4645" s="8">
        <f>VLOOKUP(financials[[#This Row],[productid]],Products!$B$2:$H$10,3)</f>
        <v>5.5</v>
      </c>
      <c r="G4645" s="8">
        <f>financials[[#This Row],[Units Sold]]*financials[[#This Row],[Sale Price]]</f>
        <v>55</v>
      </c>
      <c r="H4645" s="8">
        <f>IF(financials[[#This Row],[Discount Band]]="low",0.1,IF(financials[[#This Row],[Discount Band]]="medium",0.15,0.3))</f>
        <v>0.1</v>
      </c>
      <c r="I4645" s="8">
        <f>financials[[#This Row],[Gross Sales]]-financials[[#This Row],[Gross Sales]]*financials[[#This Row],[Discounts]]</f>
        <v>49.5</v>
      </c>
      <c r="J4645" s="8">
        <f>VLOOKUP(financials[[#This Row],[productid]],Products!$B$2:$H$10,4)</f>
        <v>3.99</v>
      </c>
      <c r="K4645" s="8">
        <f>financials[[#This Row],[Net Sales]]-financials[[#This Row],[COGS]]</f>
        <v>45.51</v>
      </c>
      <c r="L4645" s="15">
        <v>43929</v>
      </c>
      <c r="M4645" t="s">
        <v>696</v>
      </c>
    </row>
    <row r="4646" spans="1:13" x14ac:dyDescent="0.25">
      <c r="A4646" t="s">
        <v>88</v>
      </c>
      <c r="B4646" s="6" t="s">
        <v>124</v>
      </c>
      <c r="C4646" s="11">
        <v>107</v>
      </c>
      <c r="D4646" s="9" t="s">
        <v>90</v>
      </c>
      <c r="E4646">
        <v>8</v>
      </c>
      <c r="F4646" s="8">
        <f>VLOOKUP(financials[[#This Row],[productid]],Products!$B$2:$H$10,3)</f>
        <v>15</v>
      </c>
      <c r="G4646" s="8">
        <f>financials[[#This Row],[Units Sold]]*financials[[#This Row],[Sale Price]]</f>
        <v>120</v>
      </c>
      <c r="H4646" s="8">
        <f>IF(financials[[#This Row],[Discount Band]]="low",0.1,IF(financials[[#This Row],[Discount Band]]="medium",0.15,0.3))</f>
        <v>0.15</v>
      </c>
      <c r="I4646" s="8">
        <f>financials[[#This Row],[Gross Sales]]-financials[[#This Row],[Gross Sales]]*financials[[#This Row],[Discounts]]</f>
        <v>102</v>
      </c>
      <c r="J4646" s="8">
        <f>VLOOKUP(financials[[#This Row],[productid]],Products!$B$2:$H$10,4)</f>
        <v>5.5</v>
      </c>
      <c r="K4646" s="8">
        <f>financials[[#This Row],[Net Sales]]-financials[[#This Row],[COGS]]</f>
        <v>96.5</v>
      </c>
      <c r="L4646" s="15">
        <v>44322</v>
      </c>
      <c r="M4646" t="s">
        <v>697</v>
      </c>
    </row>
    <row r="4647" spans="1:13" x14ac:dyDescent="0.25">
      <c r="A4647" t="s">
        <v>86</v>
      </c>
      <c r="B4647" s="6" t="s">
        <v>124</v>
      </c>
      <c r="C4647" s="13">
        <v>102</v>
      </c>
      <c r="D4647" s="14" t="s">
        <v>90</v>
      </c>
      <c r="E4647">
        <v>5</v>
      </c>
      <c r="F4647" s="8">
        <f>VLOOKUP(financials[[#This Row],[productid]],Products!$B$2:$H$10,3)</f>
        <v>15</v>
      </c>
      <c r="G4647" s="8">
        <f>financials[[#This Row],[Units Sold]]*financials[[#This Row],[Sale Price]]</f>
        <v>75</v>
      </c>
      <c r="H4647" s="8">
        <f>IF(financials[[#This Row],[Discount Band]]="low",0.1,IF(financials[[#This Row],[Discount Band]]="medium",0.15,0.3))</f>
        <v>0.15</v>
      </c>
      <c r="I4647" s="8">
        <f>financials[[#This Row],[Gross Sales]]-financials[[#This Row],[Gross Sales]]*financials[[#This Row],[Discounts]]</f>
        <v>63.75</v>
      </c>
      <c r="J4647" s="8">
        <f>VLOOKUP(financials[[#This Row],[productid]],Products!$B$2:$H$10,4)</f>
        <v>13.95</v>
      </c>
      <c r="K4647" s="8">
        <f>financials[[#This Row],[Net Sales]]-financials[[#This Row],[COGS]]</f>
        <v>49.8</v>
      </c>
      <c r="L4647" s="15">
        <v>44437</v>
      </c>
      <c r="M4647" t="s">
        <v>691</v>
      </c>
    </row>
    <row r="4648" spans="1:13" x14ac:dyDescent="0.25">
      <c r="A4648" t="s">
        <v>86</v>
      </c>
      <c r="B4648" s="6" t="s">
        <v>84</v>
      </c>
      <c r="C4648" s="11">
        <v>107</v>
      </c>
      <c r="D4648" s="9" t="s">
        <v>83</v>
      </c>
      <c r="E4648">
        <v>15</v>
      </c>
      <c r="F4648" s="8">
        <f>VLOOKUP(financials[[#This Row],[productid]],Products!$B$2:$H$10,3)</f>
        <v>15</v>
      </c>
      <c r="G4648" s="8">
        <f>financials[[#This Row],[Units Sold]]*financials[[#This Row],[Sale Price]]</f>
        <v>225</v>
      </c>
      <c r="H4648" s="8">
        <f>IF(financials[[#This Row],[Discount Band]]="low",0.1,IF(financials[[#This Row],[Discount Band]]="medium",0.15,0.3))</f>
        <v>0.3</v>
      </c>
      <c r="I4648" s="8">
        <f>financials[[#This Row],[Gross Sales]]-financials[[#This Row],[Gross Sales]]*financials[[#This Row],[Discounts]]</f>
        <v>157.5</v>
      </c>
      <c r="J4648" s="8">
        <f>VLOOKUP(financials[[#This Row],[productid]],Products!$B$2:$H$10,4)</f>
        <v>5.5</v>
      </c>
      <c r="K4648" s="8">
        <f>financials[[#This Row],[Net Sales]]-financials[[#This Row],[COGS]]</f>
        <v>152</v>
      </c>
      <c r="L4648" s="15">
        <v>44751</v>
      </c>
      <c r="M4648" t="s">
        <v>690</v>
      </c>
    </row>
    <row r="4649" spans="1:13" x14ac:dyDescent="0.25">
      <c r="A4649" t="s">
        <v>86</v>
      </c>
      <c r="B4649" s="6" t="s">
        <v>84</v>
      </c>
      <c r="C4649" s="13">
        <v>107</v>
      </c>
      <c r="D4649" s="14" t="s">
        <v>91</v>
      </c>
      <c r="E4649">
        <v>8</v>
      </c>
      <c r="F4649" s="8">
        <f>VLOOKUP(financials[[#This Row],[productid]],Products!$B$2:$H$10,3)</f>
        <v>15</v>
      </c>
      <c r="G4649" s="8">
        <f>financials[[#This Row],[Units Sold]]*financials[[#This Row],[Sale Price]]</f>
        <v>120</v>
      </c>
      <c r="H4649" s="8">
        <f>IF(financials[[#This Row],[Discount Band]]="low",0.1,IF(financials[[#This Row],[Discount Band]]="medium",0.15,0.3))</f>
        <v>0.1</v>
      </c>
      <c r="I4649" s="8">
        <f>financials[[#This Row],[Gross Sales]]-financials[[#This Row],[Gross Sales]]*financials[[#This Row],[Discounts]]</f>
        <v>108</v>
      </c>
      <c r="J4649" s="8">
        <f>VLOOKUP(financials[[#This Row],[productid]],Products!$B$2:$H$10,4)</f>
        <v>5.5</v>
      </c>
      <c r="K4649" s="8">
        <f>financials[[#This Row],[Net Sales]]-financials[[#This Row],[COGS]]</f>
        <v>102.5</v>
      </c>
      <c r="L4649" s="15">
        <v>44341</v>
      </c>
      <c r="M4649" t="s">
        <v>700</v>
      </c>
    </row>
    <row r="4650" spans="1:13" x14ac:dyDescent="0.25">
      <c r="A4650" t="s">
        <v>86</v>
      </c>
      <c r="B4650" s="6" t="s">
        <v>124</v>
      </c>
      <c r="C4650" s="13">
        <v>103</v>
      </c>
      <c r="D4650" s="14" t="s">
        <v>90</v>
      </c>
      <c r="E4650">
        <v>8</v>
      </c>
      <c r="F4650" s="8">
        <f>VLOOKUP(financials[[#This Row],[productid]],Products!$B$2:$H$10,3)</f>
        <v>28</v>
      </c>
      <c r="G4650" s="8">
        <f>financials[[#This Row],[Units Sold]]*financials[[#This Row],[Sale Price]]</f>
        <v>224</v>
      </c>
      <c r="H4650" s="8">
        <f>IF(financials[[#This Row],[Discount Band]]="low",0.1,IF(financials[[#This Row],[Discount Band]]="medium",0.15,0.3))</f>
        <v>0.15</v>
      </c>
      <c r="I4650" s="8">
        <f>financials[[#This Row],[Gross Sales]]-financials[[#This Row],[Gross Sales]]*financials[[#This Row],[Discounts]]</f>
        <v>190.4</v>
      </c>
      <c r="J4650" s="8">
        <f>VLOOKUP(financials[[#This Row],[productid]],Products!$B$2:$H$10,4)</f>
        <v>15</v>
      </c>
      <c r="K4650" s="8">
        <f>financials[[#This Row],[Net Sales]]-financials[[#This Row],[COGS]]</f>
        <v>175.4</v>
      </c>
      <c r="L4650" s="15">
        <v>44846</v>
      </c>
      <c r="M4650" t="s">
        <v>696</v>
      </c>
    </row>
    <row r="4651" spans="1:13" x14ac:dyDescent="0.25">
      <c r="A4651" t="s">
        <v>86</v>
      </c>
      <c r="B4651" s="6" t="s">
        <v>84</v>
      </c>
      <c r="C4651" s="13">
        <v>105</v>
      </c>
      <c r="D4651" s="14" t="s">
        <v>91</v>
      </c>
      <c r="E4651">
        <v>19</v>
      </c>
      <c r="F4651" s="8">
        <f>VLOOKUP(financials[[#This Row],[productid]],Products!$B$2:$H$10,3)</f>
        <v>15</v>
      </c>
      <c r="G4651" s="8">
        <f>financials[[#This Row],[Units Sold]]*financials[[#This Row],[Sale Price]]</f>
        <v>285</v>
      </c>
      <c r="H4651" s="8">
        <f>IF(financials[[#This Row],[Discount Band]]="low",0.1,IF(financials[[#This Row],[Discount Band]]="medium",0.15,0.3))</f>
        <v>0.1</v>
      </c>
      <c r="I4651" s="8">
        <f>financials[[#This Row],[Gross Sales]]-financials[[#This Row],[Gross Sales]]*financials[[#This Row],[Discounts]]</f>
        <v>256.5</v>
      </c>
      <c r="J4651" s="8">
        <f>VLOOKUP(financials[[#This Row],[productid]],Products!$B$2:$H$10,4)</f>
        <v>10</v>
      </c>
      <c r="K4651" s="8">
        <f>financials[[#This Row],[Net Sales]]-financials[[#This Row],[COGS]]</f>
        <v>246.5</v>
      </c>
      <c r="L4651" s="15">
        <v>45316</v>
      </c>
      <c r="M4651" t="s">
        <v>690</v>
      </c>
    </row>
    <row r="4652" spans="1:13" x14ac:dyDescent="0.25">
      <c r="A4652" t="s">
        <v>86</v>
      </c>
      <c r="B4652" s="6" t="s">
        <v>84</v>
      </c>
      <c r="C4652" s="13">
        <v>101</v>
      </c>
      <c r="D4652" s="14" t="s">
        <v>90</v>
      </c>
      <c r="E4652">
        <v>20</v>
      </c>
      <c r="F4652" s="8">
        <f>VLOOKUP(financials[[#This Row],[productid]],Products!$B$2:$H$10,3)</f>
        <v>23</v>
      </c>
      <c r="G4652" s="8">
        <f>financials[[#This Row],[Units Sold]]*financials[[#This Row],[Sale Price]]</f>
        <v>460</v>
      </c>
      <c r="H4652" s="8">
        <f>IF(financials[[#This Row],[Discount Band]]="low",0.1,IF(financials[[#This Row],[Discount Band]]="medium",0.15,0.3))</f>
        <v>0.15</v>
      </c>
      <c r="I4652" s="8">
        <f>financials[[#This Row],[Gross Sales]]-financials[[#This Row],[Gross Sales]]*financials[[#This Row],[Discounts]]</f>
        <v>391</v>
      </c>
      <c r="J4652" s="8">
        <f>VLOOKUP(financials[[#This Row],[productid]],Products!$B$2:$H$10,4)</f>
        <v>9.9499999999999993</v>
      </c>
      <c r="K4652" s="8">
        <f>financials[[#This Row],[Net Sales]]-financials[[#This Row],[COGS]]</f>
        <v>381.05</v>
      </c>
      <c r="L4652" s="15">
        <v>44517</v>
      </c>
      <c r="M4652" t="s">
        <v>696</v>
      </c>
    </row>
    <row r="4653" spans="1:13" x14ac:dyDescent="0.25">
      <c r="A4653" t="s">
        <v>86</v>
      </c>
      <c r="B4653" s="6" t="s">
        <v>84</v>
      </c>
      <c r="C4653" s="13">
        <v>103</v>
      </c>
      <c r="D4653" s="14" t="s">
        <v>92</v>
      </c>
      <c r="E4653">
        <v>7</v>
      </c>
      <c r="F4653" s="8">
        <f>VLOOKUP(financials[[#This Row],[productid]],Products!$B$2:$H$10,3)</f>
        <v>28</v>
      </c>
      <c r="G4653" s="8">
        <f>financials[[#This Row],[Units Sold]]*financials[[#This Row],[Sale Price]]</f>
        <v>196</v>
      </c>
      <c r="H4653" s="8">
        <f>IF(financials[[#This Row],[Discount Band]]="low",0.1,IF(financials[[#This Row],[Discount Band]]="medium",0.15,0.3))</f>
        <v>0.3</v>
      </c>
      <c r="I4653" s="8">
        <f>financials[[#This Row],[Gross Sales]]-financials[[#This Row],[Gross Sales]]*financials[[#This Row],[Discounts]]</f>
        <v>137.19999999999999</v>
      </c>
      <c r="J4653" s="8">
        <f>VLOOKUP(financials[[#This Row],[productid]],Products!$B$2:$H$10,4)</f>
        <v>15</v>
      </c>
      <c r="K4653" s="8">
        <f>financials[[#This Row],[Net Sales]]-financials[[#This Row],[COGS]]</f>
        <v>122.19999999999999</v>
      </c>
      <c r="L4653" s="15">
        <v>44641</v>
      </c>
      <c r="M4653" t="s">
        <v>700</v>
      </c>
    </row>
    <row r="4654" spans="1:13" x14ac:dyDescent="0.25">
      <c r="A4654" t="s">
        <v>88</v>
      </c>
      <c r="B4654" s="6" t="s">
        <v>124</v>
      </c>
      <c r="C4654" s="13">
        <v>104</v>
      </c>
      <c r="D4654" s="14" t="s">
        <v>83</v>
      </c>
      <c r="E4654">
        <v>18</v>
      </c>
      <c r="F4654" s="8">
        <f>VLOOKUP(financials[[#This Row],[productid]],Products!$B$2:$H$10,3)</f>
        <v>5.9</v>
      </c>
      <c r="G4654" s="8">
        <f>financials[[#This Row],[Units Sold]]*financials[[#This Row],[Sale Price]]</f>
        <v>106.2</v>
      </c>
      <c r="H4654" s="8">
        <f>IF(financials[[#This Row],[Discount Band]]="low",0.1,IF(financials[[#This Row],[Discount Band]]="medium",0.15,0.3))</f>
        <v>0.3</v>
      </c>
      <c r="I4654" s="8">
        <f>financials[[#This Row],[Gross Sales]]-financials[[#This Row],[Gross Sales]]*financials[[#This Row],[Discounts]]</f>
        <v>74.34</v>
      </c>
      <c r="J4654" s="8">
        <f>VLOOKUP(financials[[#This Row],[productid]],Products!$B$2:$H$10,4)</f>
        <v>2.9</v>
      </c>
      <c r="K4654" s="8">
        <f>financials[[#This Row],[Net Sales]]-financials[[#This Row],[COGS]]</f>
        <v>71.44</v>
      </c>
      <c r="L4654" s="15">
        <v>45165</v>
      </c>
      <c r="M4654" t="s">
        <v>690</v>
      </c>
    </row>
    <row r="4655" spans="1:13" x14ac:dyDescent="0.25">
      <c r="A4655" t="s">
        <v>86</v>
      </c>
      <c r="B4655" s="6" t="s">
        <v>84</v>
      </c>
      <c r="C4655" s="11">
        <v>109</v>
      </c>
      <c r="D4655" s="9" t="s">
        <v>83</v>
      </c>
      <c r="E4655">
        <v>7</v>
      </c>
      <c r="F4655" s="8">
        <f>VLOOKUP(financials[[#This Row],[productid]],Products!$B$2:$H$10,3)</f>
        <v>36</v>
      </c>
      <c r="G4655" s="8">
        <f>financials[[#This Row],[Units Sold]]*financials[[#This Row],[Sale Price]]</f>
        <v>252</v>
      </c>
      <c r="H4655" s="8">
        <f>IF(financials[[#This Row],[Discount Band]]="low",0.1,IF(financials[[#This Row],[Discount Band]]="medium",0.15,0.3))</f>
        <v>0.3</v>
      </c>
      <c r="I4655" s="8">
        <f>financials[[#This Row],[Gross Sales]]-financials[[#This Row],[Gross Sales]]*financials[[#This Row],[Discounts]]</f>
        <v>176.4</v>
      </c>
      <c r="J4655" s="8">
        <f>VLOOKUP(financials[[#This Row],[productid]],Products!$B$2:$H$10,4)</f>
        <v>16.8</v>
      </c>
      <c r="K4655" s="8">
        <f>financials[[#This Row],[Net Sales]]-financials[[#This Row],[COGS]]</f>
        <v>159.6</v>
      </c>
      <c r="L4655" s="15">
        <v>44101</v>
      </c>
      <c r="M4655" t="s">
        <v>696</v>
      </c>
    </row>
    <row r="4656" spans="1:13" x14ac:dyDescent="0.25">
      <c r="A4656" t="s">
        <v>86</v>
      </c>
      <c r="B4656" s="6" t="s">
        <v>159</v>
      </c>
      <c r="C4656" s="13">
        <v>106</v>
      </c>
      <c r="D4656" s="14" t="s">
        <v>83</v>
      </c>
      <c r="E4656">
        <v>18</v>
      </c>
      <c r="F4656" s="8">
        <f>VLOOKUP(financials[[#This Row],[productid]],Products!$B$2:$H$10,3)</f>
        <v>25</v>
      </c>
      <c r="G4656" s="8">
        <f>financials[[#This Row],[Units Sold]]*financials[[#This Row],[Sale Price]]</f>
        <v>450</v>
      </c>
      <c r="H4656" s="8">
        <f>IF(financials[[#This Row],[Discount Band]]="low",0.1,IF(financials[[#This Row],[Discount Band]]="medium",0.15,0.3))</f>
        <v>0.3</v>
      </c>
      <c r="I4656" s="8">
        <f>financials[[#This Row],[Gross Sales]]-financials[[#This Row],[Gross Sales]]*financials[[#This Row],[Discounts]]</f>
        <v>315</v>
      </c>
      <c r="J4656" s="8">
        <f>VLOOKUP(financials[[#This Row],[productid]],Products!$B$2:$H$10,4)</f>
        <v>9.1</v>
      </c>
      <c r="K4656" s="8">
        <f>financials[[#This Row],[Net Sales]]-financials[[#This Row],[COGS]]</f>
        <v>305.89999999999998</v>
      </c>
      <c r="L4656" s="15">
        <v>44122</v>
      </c>
      <c r="M4656" t="s">
        <v>696</v>
      </c>
    </row>
    <row r="4657" spans="1:13" x14ac:dyDescent="0.25">
      <c r="A4657" t="s">
        <v>86</v>
      </c>
      <c r="B4657" s="6" t="s">
        <v>159</v>
      </c>
      <c r="C4657" s="13">
        <v>104</v>
      </c>
      <c r="D4657" s="14" t="s">
        <v>90</v>
      </c>
      <c r="E4657">
        <v>5</v>
      </c>
      <c r="F4657" s="8">
        <f>VLOOKUP(financials[[#This Row],[productid]],Products!$B$2:$H$10,3)</f>
        <v>5.9</v>
      </c>
      <c r="G4657" s="8">
        <f>financials[[#This Row],[Units Sold]]*financials[[#This Row],[Sale Price]]</f>
        <v>29.5</v>
      </c>
      <c r="H4657" s="8">
        <f>IF(financials[[#This Row],[Discount Band]]="low",0.1,IF(financials[[#This Row],[Discount Band]]="medium",0.15,0.3))</f>
        <v>0.15</v>
      </c>
      <c r="I4657" s="8">
        <f>financials[[#This Row],[Gross Sales]]-financials[[#This Row],[Gross Sales]]*financials[[#This Row],[Discounts]]</f>
        <v>25.074999999999999</v>
      </c>
      <c r="J4657" s="8">
        <f>VLOOKUP(financials[[#This Row],[productid]],Products!$B$2:$H$10,4)</f>
        <v>2.9</v>
      </c>
      <c r="K4657" s="8">
        <f>financials[[#This Row],[Net Sales]]-financials[[#This Row],[COGS]]</f>
        <v>22.175000000000001</v>
      </c>
      <c r="L4657" s="15">
        <v>45504</v>
      </c>
      <c r="M4657" t="s">
        <v>690</v>
      </c>
    </row>
    <row r="4658" spans="1:13" x14ac:dyDescent="0.25">
      <c r="A4658" t="s">
        <v>86</v>
      </c>
      <c r="B4658" s="6" t="s">
        <v>84</v>
      </c>
      <c r="C4658" s="13">
        <v>101</v>
      </c>
      <c r="D4658" s="14" t="s">
        <v>83</v>
      </c>
      <c r="E4658">
        <v>15</v>
      </c>
      <c r="F4658" s="8">
        <f>VLOOKUP(financials[[#This Row],[productid]],Products!$B$2:$H$10,3)</f>
        <v>23</v>
      </c>
      <c r="G4658" s="8">
        <f>financials[[#This Row],[Units Sold]]*financials[[#This Row],[Sale Price]]</f>
        <v>345</v>
      </c>
      <c r="H4658" s="8">
        <f>IF(financials[[#This Row],[Discount Band]]="low",0.1,IF(financials[[#This Row],[Discount Band]]="medium",0.15,0.3))</f>
        <v>0.3</v>
      </c>
      <c r="I4658" s="8">
        <f>financials[[#This Row],[Gross Sales]]-financials[[#This Row],[Gross Sales]]*financials[[#This Row],[Discounts]]</f>
        <v>241.5</v>
      </c>
      <c r="J4658" s="8">
        <f>VLOOKUP(financials[[#This Row],[productid]],Products!$B$2:$H$10,4)</f>
        <v>9.9499999999999993</v>
      </c>
      <c r="K4658" s="8">
        <f>financials[[#This Row],[Net Sales]]-financials[[#This Row],[COGS]]</f>
        <v>231.55</v>
      </c>
      <c r="L4658" s="15">
        <v>44706</v>
      </c>
      <c r="M4658" t="s">
        <v>696</v>
      </c>
    </row>
    <row r="4659" spans="1:13" x14ac:dyDescent="0.25">
      <c r="A4659" t="s">
        <v>86</v>
      </c>
      <c r="B4659" s="6" t="s">
        <v>84</v>
      </c>
      <c r="C4659" s="13">
        <v>105</v>
      </c>
      <c r="D4659" s="14" t="s">
        <v>83</v>
      </c>
      <c r="E4659">
        <v>13</v>
      </c>
      <c r="F4659" s="8">
        <f>VLOOKUP(financials[[#This Row],[productid]],Products!$B$2:$H$10,3)</f>
        <v>15</v>
      </c>
      <c r="G4659" s="8">
        <f>financials[[#This Row],[Units Sold]]*financials[[#This Row],[Sale Price]]</f>
        <v>195</v>
      </c>
      <c r="H4659" s="8">
        <f>IF(financials[[#This Row],[Discount Band]]="low",0.1,IF(financials[[#This Row],[Discount Band]]="medium",0.15,0.3))</f>
        <v>0.3</v>
      </c>
      <c r="I4659" s="8">
        <f>financials[[#This Row],[Gross Sales]]-financials[[#This Row],[Gross Sales]]*financials[[#This Row],[Discounts]]</f>
        <v>136.5</v>
      </c>
      <c r="J4659" s="8">
        <f>VLOOKUP(financials[[#This Row],[productid]],Products!$B$2:$H$10,4)</f>
        <v>10</v>
      </c>
      <c r="K4659" s="8">
        <f>financials[[#This Row],[Net Sales]]-financials[[#This Row],[COGS]]</f>
        <v>126.5</v>
      </c>
      <c r="L4659" s="15">
        <v>44739</v>
      </c>
      <c r="M4659" t="s">
        <v>690</v>
      </c>
    </row>
    <row r="4660" spans="1:13" x14ac:dyDescent="0.25">
      <c r="A4660" t="s">
        <v>86</v>
      </c>
      <c r="B4660" s="6" t="s">
        <v>84</v>
      </c>
      <c r="C4660" s="13">
        <v>102</v>
      </c>
      <c r="D4660" s="14" t="s">
        <v>83</v>
      </c>
      <c r="E4660">
        <v>16</v>
      </c>
      <c r="F4660" s="8">
        <f>VLOOKUP(financials[[#This Row],[productid]],Products!$B$2:$H$10,3)</f>
        <v>15</v>
      </c>
      <c r="G4660" s="8">
        <f>financials[[#This Row],[Units Sold]]*financials[[#This Row],[Sale Price]]</f>
        <v>240</v>
      </c>
      <c r="H4660" s="8">
        <f>IF(financials[[#This Row],[Discount Band]]="low",0.1,IF(financials[[#This Row],[Discount Band]]="medium",0.15,0.3))</f>
        <v>0.3</v>
      </c>
      <c r="I4660" s="8">
        <f>financials[[#This Row],[Gross Sales]]-financials[[#This Row],[Gross Sales]]*financials[[#This Row],[Discounts]]</f>
        <v>168</v>
      </c>
      <c r="J4660" s="8">
        <f>VLOOKUP(financials[[#This Row],[productid]],Products!$B$2:$H$10,4)</f>
        <v>13.95</v>
      </c>
      <c r="K4660" s="8">
        <f>financials[[#This Row],[Net Sales]]-financials[[#This Row],[COGS]]</f>
        <v>154.05000000000001</v>
      </c>
      <c r="L4660" s="15">
        <v>44884</v>
      </c>
      <c r="M4660" t="s">
        <v>690</v>
      </c>
    </row>
    <row r="4661" spans="1:13" x14ac:dyDescent="0.25">
      <c r="A4661" t="s">
        <v>87</v>
      </c>
      <c r="B4661" s="6" t="s">
        <v>124</v>
      </c>
      <c r="C4661" s="13">
        <v>102</v>
      </c>
      <c r="D4661" s="14" t="s">
        <v>83</v>
      </c>
      <c r="E4661">
        <v>8</v>
      </c>
      <c r="F4661" s="8">
        <f>VLOOKUP(financials[[#This Row],[productid]],Products!$B$2:$H$10,3)</f>
        <v>15</v>
      </c>
      <c r="G4661" s="8">
        <f>financials[[#This Row],[Units Sold]]*financials[[#This Row],[Sale Price]]</f>
        <v>120</v>
      </c>
      <c r="H4661" s="8">
        <f>IF(financials[[#This Row],[Discount Band]]="low",0.1,IF(financials[[#This Row],[Discount Band]]="medium",0.15,0.3))</f>
        <v>0.3</v>
      </c>
      <c r="I4661" s="8">
        <f>financials[[#This Row],[Gross Sales]]-financials[[#This Row],[Gross Sales]]*financials[[#This Row],[Discounts]]</f>
        <v>84</v>
      </c>
      <c r="J4661" s="8">
        <f>VLOOKUP(financials[[#This Row],[productid]],Products!$B$2:$H$10,4)</f>
        <v>13.95</v>
      </c>
      <c r="K4661" s="8">
        <f>financials[[#This Row],[Net Sales]]-financials[[#This Row],[COGS]]</f>
        <v>70.05</v>
      </c>
      <c r="L4661" s="15">
        <v>44204</v>
      </c>
      <c r="M4661" t="s">
        <v>697</v>
      </c>
    </row>
    <row r="4662" spans="1:13" x14ac:dyDescent="0.25">
      <c r="A4662" t="s">
        <v>87</v>
      </c>
      <c r="B4662" s="6" t="s">
        <v>84</v>
      </c>
      <c r="C4662" s="13">
        <v>102</v>
      </c>
      <c r="D4662" s="14" t="s">
        <v>91</v>
      </c>
      <c r="E4662">
        <v>7</v>
      </c>
      <c r="F4662" s="8">
        <f>VLOOKUP(financials[[#This Row],[productid]],Products!$B$2:$H$10,3)</f>
        <v>15</v>
      </c>
      <c r="G4662" s="8">
        <f>financials[[#This Row],[Units Sold]]*financials[[#This Row],[Sale Price]]</f>
        <v>105</v>
      </c>
      <c r="H4662" s="8">
        <f>IF(financials[[#This Row],[Discount Band]]="low",0.1,IF(financials[[#This Row],[Discount Band]]="medium",0.15,0.3))</f>
        <v>0.1</v>
      </c>
      <c r="I4662" s="8">
        <f>financials[[#This Row],[Gross Sales]]-financials[[#This Row],[Gross Sales]]*financials[[#This Row],[Discounts]]</f>
        <v>94.5</v>
      </c>
      <c r="J4662" s="8">
        <f>VLOOKUP(financials[[#This Row],[productid]],Products!$B$2:$H$10,4)</f>
        <v>13.95</v>
      </c>
      <c r="K4662" s="8">
        <f>financials[[#This Row],[Net Sales]]-financials[[#This Row],[COGS]]</f>
        <v>80.55</v>
      </c>
      <c r="L4662" s="15">
        <v>44046</v>
      </c>
      <c r="M4662" t="s">
        <v>691</v>
      </c>
    </row>
    <row r="4663" spans="1:13" x14ac:dyDescent="0.25">
      <c r="A4663" t="s">
        <v>87</v>
      </c>
      <c r="B4663" s="6" t="s">
        <v>84</v>
      </c>
      <c r="C4663" s="13">
        <v>109</v>
      </c>
      <c r="D4663" s="14" t="s">
        <v>83</v>
      </c>
      <c r="E4663">
        <v>13</v>
      </c>
      <c r="F4663" s="8">
        <f>VLOOKUP(financials[[#This Row],[productid]],Products!$B$2:$H$10,3)</f>
        <v>36</v>
      </c>
      <c r="G4663" s="8">
        <f>financials[[#This Row],[Units Sold]]*financials[[#This Row],[Sale Price]]</f>
        <v>468</v>
      </c>
      <c r="H4663" s="8">
        <f>IF(financials[[#This Row],[Discount Band]]="low",0.1,IF(financials[[#This Row],[Discount Band]]="medium",0.15,0.3))</f>
        <v>0.3</v>
      </c>
      <c r="I4663" s="8">
        <f>financials[[#This Row],[Gross Sales]]-financials[[#This Row],[Gross Sales]]*financials[[#This Row],[Discounts]]</f>
        <v>327.60000000000002</v>
      </c>
      <c r="J4663" s="8">
        <f>VLOOKUP(financials[[#This Row],[productid]],Products!$B$2:$H$10,4)</f>
        <v>16.8</v>
      </c>
      <c r="K4663" s="8">
        <f>financials[[#This Row],[Net Sales]]-financials[[#This Row],[COGS]]</f>
        <v>310.8</v>
      </c>
      <c r="L4663" s="15">
        <v>45389</v>
      </c>
      <c r="M4663" t="s">
        <v>691</v>
      </c>
    </row>
    <row r="4664" spans="1:13" x14ac:dyDescent="0.25">
      <c r="A4664" t="s">
        <v>86</v>
      </c>
      <c r="B4664" s="6" t="s">
        <v>84</v>
      </c>
      <c r="C4664" s="13">
        <v>106</v>
      </c>
      <c r="D4664" s="14" t="s">
        <v>83</v>
      </c>
      <c r="E4664">
        <v>18</v>
      </c>
      <c r="F4664" s="8">
        <f>VLOOKUP(financials[[#This Row],[productid]],Products!$B$2:$H$10,3)</f>
        <v>25</v>
      </c>
      <c r="G4664" s="8">
        <f>financials[[#This Row],[Units Sold]]*financials[[#This Row],[Sale Price]]</f>
        <v>450</v>
      </c>
      <c r="H4664" s="8">
        <f>IF(financials[[#This Row],[Discount Band]]="low",0.1,IF(financials[[#This Row],[Discount Band]]="medium",0.15,0.3))</f>
        <v>0.3</v>
      </c>
      <c r="I4664" s="8">
        <f>financials[[#This Row],[Gross Sales]]-financials[[#This Row],[Gross Sales]]*financials[[#This Row],[Discounts]]</f>
        <v>315</v>
      </c>
      <c r="J4664" s="8">
        <f>VLOOKUP(financials[[#This Row],[productid]],Products!$B$2:$H$10,4)</f>
        <v>9.1</v>
      </c>
      <c r="K4664" s="8">
        <f>financials[[#This Row],[Net Sales]]-financials[[#This Row],[COGS]]</f>
        <v>305.89999999999998</v>
      </c>
      <c r="L4664" s="15">
        <v>44492</v>
      </c>
      <c r="M4664" t="s">
        <v>700</v>
      </c>
    </row>
    <row r="4665" spans="1:13" x14ac:dyDescent="0.25">
      <c r="A4665" t="s">
        <v>85</v>
      </c>
      <c r="B4665" s="6" t="s">
        <v>159</v>
      </c>
      <c r="C4665" s="13">
        <v>101</v>
      </c>
      <c r="D4665" s="14" t="s">
        <v>90</v>
      </c>
      <c r="E4665">
        <v>18</v>
      </c>
      <c r="F4665" s="8">
        <f>VLOOKUP(financials[[#This Row],[productid]],Products!$B$2:$H$10,3)</f>
        <v>23</v>
      </c>
      <c r="G4665" s="8">
        <f>financials[[#This Row],[Units Sold]]*financials[[#This Row],[Sale Price]]</f>
        <v>414</v>
      </c>
      <c r="H4665" s="8">
        <f>IF(financials[[#This Row],[Discount Band]]="low",0.1,IF(financials[[#This Row],[Discount Band]]="medium",0.15,0.3))</f>
        <v>0.15</v>
      </c>
      <c r="I4665" s="8">
        <f>financials[[#This Row],[Gross Sales]]-financials[[#This Row],[Gross Sales]]*financials[[#This Row],[Discounts]]</f>
        <v>351.9</v>
      </c>
      <c r="J4665" s="8">
        <f>VLOOKUP(financials[[#This Row],[productid]],Products!$B$2:$H$10,4)</f>
        <v>9.9499999999999993</v>
      </c>
      <c r="K4665" s="8">
        <f>financials[[#This Row],[Net Sales]]-financials[[#This Row],[COGS]]</f>
        <v>341.95</v>
      </c>
      <c r="L4665" s="15">
        <v>45555</v>
      </c>
      <c r="M4665" t="s">
        <v>691</v>
      </c>
    </row>
    <row r="4666" spans="1:13" x14ac:dyDescent="0.25">
      <c r="A4666" t="s">
        <v>85</v>
      </c>
      <c r="B4666" s="6" t="s">
        <v>124</v>
      </c>
      <c r="C4666" s="13">
        <v>102</v>
      </c>
      <c r="D4666" s="14" t="s">
        <v>92</v>
      </c>
      <c r="E4666">
        <v>5</v>
      </c>
      <c r="F4666" s="8">
        <f>VLOOKUP(financials[[#This Row],[productid]],Products!$B$2:$H$10,3)</f>
        <v>15</v>
      </c>
      <c r="G4666" s="8">
        <f>financials[[#This Row],[Units Sold]]*financials[[#This Row],[Sale Price]]</f>
        <v>75</v>
      </c>
      <c r="H4666" s="8">
        <f>IF(financials[[#This Row],[Discount Band]]="low",0.1,IF(financials[[#This Row],[Discount Band]]="medium",0.15,0.3))</f>
        <v>0.3</v>
      </c>
      <c r="I4666" s="8">
        <f>financials[[#This Row],[Gross Sales]]-financials[[#This Row],[Gross Sales]]*financials[[#This Row],[Discounts]]</f>
        <v>52.5</v>
      </c>
      <c r="J4666" s="8">
        <f>VLOOKUP(financials[[#This Row],[productid]],Products!$B$2:$H$10,4)</f>
        <v>13.95</v>
      </c>
      <c r="K4666" s="8">
        <f>financials[[#This Row],[Net Sales]]-financials[[#This Row],[COGS]]</f>
        <v>38.549999999999997</v>
      </c>
      <c r="L4666" s="15">
        <v>45535</v>
      </c>
      <c r="M4666" t="s">
        <v>697</v>
      </c>
    </row>
    <row r="4667" spans="1:13" x14ac:dyDescent="0.25">
      <c r="A4667" t="s">
        <v>85</v>
      </c>
      <c r="B4667" s="6" t="s">
        <v>159</v>
      </c>
      <c r="C4667" s="13">
        <v>105</v>
      </c>
      <c r="D4667" s="14" t="s">
        <v>83</v>
      </c>
      <c r="E4667">
        <v>9</v>
      </c>
      <c r="F4667" s="8">
        <f>VLOOKUP(financials[[#This Row],[productid]],Products!$B$2:$H$10,3)</f>
        <v>15</v>
      </c>
      <c r="G4667" s="8">
        <f>financials[[#This Row],[Units Sold]]*financials[[#This Row],[Sale Price]]</f>
        <v>135</v>
      </c>
      <c r="H4667" s="8">
        <f>IF(financials[[#This Row],[Discount Band]]="low",0.1,IF(financials[[#This Row],[Discount Band]]="medium",0.15,0.3))</f>
        <v>0.3</v>
      </c>
      <c r="I4667" s="8">
        <f>financials[[#This Row],[Gross Sales]]-financials[[#This Row],[Gross Sales]]*financials[[#This Row],[Discounts]]</f>
        <v>94.5</v>
      </c>
      <c r="J4667" s="8">
        <f>VLOOKUP(financials[[#This Row],[productid]],Products!$B$2:$H$10,4)</f>
        <v>10</v>
      </c>
      <c r="K4667" s="8">
        <f>financials[[#This Row],[Net Sales]]-financials[[#This Row],[COGS]]</f>
        <v>84.5</v>
      </c>
      <c r="L4667" s="15">
        <v>44724</v>
      </c>
      <c r="M4667" t="s">
        <v>690</v>
      </c>
    </row>
    <row r="4668" spans="1:13" x14ac:dyDescent="0.25">
      <c r="A4668" t="s">
        <v>87</v>
      </c>
      <c r="B4668" s="6" t="s">
        <v>159</v>
      </c>
      <c r="C4668" s="13">
        <v>101</v>
      </c>
      <c r="D4668" s="14" t="s">
        <v>90</v>
      </c>
      <c r="E4668">
        <v>18</v>
      </c>
      <c r="F4668" s="8">
        <f>VLOOKUP(financials[[#This Row],[productid]],Products!$B$2:$H$10,3)</f>
        <v>23</v>
      </c>
      <c r="G4668" s="8">
        <f>financials[[#This Row],[Units Sold]]*financials[[#This Row],[Sale Price]]</f>
        <v>414</v>
      </c>
      <c r="H4668" s="8">
        <f>IF(financials[[#This Row],[Discount Band]]="low",0.1,IF(financials[[#This Row],[Discount Band]]="medium",0.15,0.3))</f>
        <v>0.15</v>
      </c>
      <c r="I4668" s="8">
        <f>financials[[#This Row],[Gross Sales]]-financials[[#This Row],[Gross Sales]]*financials[[#This Row],[Discounts]]</f>
        <v>351.9</v>
      </c>
      <c r="J4668" s="8">
        <f>VLOOKUP(financials[[#This Row],[productid]],Products!$B$2:$H$10,4)</f>
        <v>9.9499999999999993</v>
      </c>
      <c r="K4668" s="8">
        <f>financials[[#This Row],[Net Sales]]-financials[[#This Row],[COGS]]</f>
        <v>341.95</v>
      </c>
      <c r="L4668" s="15">
        <v>44664</v>
      </c>
      <c r="M4668" t="s">
        <v>690</v>
      </c>
    </row>
    <row r="4669" spans="1:13" x14ac:dyDescent="0.25">
      <c r="A4669" t="s">
        <v>86</v>
      </c>
      <c r="B4669" s="6" t="s">
        <v>124</v>
      </c>
      <c r="C4669" s="13">
        <v>109</v>
      </c>
      <c r="D4669" s="14" t="s">
        <v>91</v>
      </c>
      <c r="E4669">
        <v>6</v>
      </c>
      <c r="F4669" s="8">
        <f>VLOOKUP(financials[[#This Row],[productid]],Products!$B$2:$H$10,3)</f>
        <v>36</v>
      </c>
      <c r="G4669" s="8">
        <f>financials[[#This Row],[Units Sold]]*financials[[#This Row],[Sale Price]]</f>
        <v>216</v>
      </c>
      <c r="H4669" s="8">
        <f>IF(financials[[#This Row],[Discount Band]]="low",0.1,IF(financials[[#This Row],[Discount Band]]="medium",0.15,0.3))</f>
        <v>0.1</v>
      </c>
      <c r="I4669" s="8">
        <f>financials[[#This Row],[Gross Sales]]-financials[[#This Row],[Gross Sales]]*financials[[#This Row],[Discounts]]</f>
        <v>194.4</v>
      </c>
      <c r="J4669" s="8">
        <f>VLOOKUP(financials[[#This Row],[productid]],Products!$B$2:$H$10,4)</f>
        <v>16.8</v>
      </c>
      <c r="K4669" s="8">
        <f>financials[[#This Row],[Net Sales]]-financials[[#This Row],[COGS]]</f>
        <v>177.6</v>
      </c>
      <c r="L4669" s="15">
        <v>45285</v>
      </c>
      <c r="M4669" t="s">
        <v>700</v>
      </c>
    </row>
    <row r="4670" spans="1:13" x14ac:dyDescent="0.25">
      <c r="A4670" t="s">
        <v>87</v>
      </c>
      <c r="B4670" s="6" t="s">
        <v>124</v>
      </c>
      <c r="C4670" s="13">
        <v>103</v>
      </c>
      <c r="D4670" s="14" t="s">
        <v>90</v>
      </c>
      <c r="E4670">
        <v>13</v>
      </c>
      <c r="F4670" s="8">
        <f>VLOOKUP(financials[[#This Row],[productid]],Products!$B$2:$H$10,3)</f>
        <v>28</v>
      </c>
      <c r="G4670" s="8">
        <f>financials[[#This Row],[Units Sold]]*financials[[#This Row],[Sale Price]]</f>
        <v>364</v>
      </c>
      <c r="H4670" s="8">
        <f>IF(financials[[#This Row],[Discount Band]]="low",0.1,IF(financials[[#This Row],[Discount Band]]="medium",0.15,0.3))</f>
        <v>0.15</v>
      </c>
      <c r="I4670" s="8">
        <f>financials[[#This Row],[Gross Sales]]-financials[[#This Row],[Gross Sales]]*financials[[#This Row],[Discounts]]</f>
        <v>309.39999999999998</v>
      </c>
      <c r="J4670" s="8">
        <f>VLOOKUP(financials[[#This Row],[productid]],Products!$B$2:$H$10,4)</f>
        <v>15</v>
      </c>
      <c r="K4670" s="8">
        <f>financials[[#This Row],[Net Sales]]-financials[[#This Row],[COGS]]</f>
        <v>294.39999999999998</v>
      </c>
      <c r="L4670" s="15">
        <v>44851</v>
      </c>
      <c r="M4670" t="s">
        <v>700</v>
      </c>
    </row>
    <row r="4671" spans="1:13" x14ac:dyDescent="0.25">
      <c r="A4671" t="s">
        <v>86</v>
      </c>
      <c r="B4671" s="6" t="s">
        <v>84</v>
      </c>
      <c r="C4671" s="13">
        <v>101</v>
      </c>
      <c r="D4671" s="14" t="s">
        <v>90</v>
      </c>
      <c r="E4671">
        <v>6</v>
      </c>
      <c r="F4671" s="8">
        <f>VLOOKUP(financials[[#This Row],[productid]],Products!$B$2:$H$10,3)</f>
        <v>23</v>
      </c>
      <c r="G4671" s="8">
        <f>financials[[#This Row],[Units Sold]]*financials[[#This Row],[Sale Price]]</f>
        <v>138</v>
      </c>
      <c r="H4671" s="8">
        <f>IF(financials[[#This Row],[Discount Band]]="low",0.1,IF(financials[[#This Row],[Discount Band]]="medium",0.15,0.3))</f>
        <v>0.15</v>
      </c>
      <c r="I4671" s="8">
        <f>financials[[#This Row],[Gross Sales]]-financials[[#This Row],[Gross Sales]]*financials[[#This Row],[Discounts]]</f>
        <v>117.3</v>
      </c>
      <c r="J4671" s="8">
        <f>VLOOKUP(financials[[#This Row],[productid]],Products!$B$2:$H$10,4)</f>
        <v>9.9499999999999993</v>
      </c>
      <c r="K4671" s="8">
        <f>financials[[#This Row],[Net Sales]]-financials[[#This Row],[COGS]]</f>
        <v>107.35</v>
      </c>
      <c r="L4671" s="15">
        <v>45192</v>
      </c>
      <c r="M4671" t="s">
        <v>690</v>
      </c>
    </row>
    <row r="4672" spans="1:13" x14ac:dyDescent="0.25">
      <c r="A4672" t="s">
        <v>85</v>
      </c>
      <c r="B4672" s="6" t="s">
        <v>124</v>
      </c>
      <c r="C4672" s="13">
        <v>103</v>
      </c>
      <c r="D4672" s="14" t="s">
        <v>90</v>
      </c>
      <c r="E4672">
        <v>13</v>
      </c>
      <c r="F4672" s="8">
        <f>VLOOKUP(financials[[#This Row],[productid]],Products!$B$2:$H$10,3)</f>
        <v>28</v>
      </c>
      <c r="G4672" s="8">
        <f>financials[[#This Row],[Units Sold]]*financials[[#This Row],[Sale Price]]</f>
        <v>364</v>
      </c>
      <c r="H4672" s="8">
        <f>IF(financials[[#This Row],[Discount Band]]="low",0.1,IF(financials[[#This Row],[Discount Band]]="medium",0.15,0.3))</f>
        <v>0.15</v>
      </c>
      <c r="I4672" s="8">
        <f>financials[[#This Row],[Gross Sales]]-financials[[#This Row],[Gross Sales]]*financials[[#This Row],[Discounts]]</f>
        <v>309.39999999999998</v>
      </c>
      <c r="J4672" s="8">
        <f>VLOOKUP(financials[[#This Row],[productid]],Products!$B$2:$H$10,4)</f>
        <v>15</v>
      </c>
      <c r="K4672" s="8">
        <f>financials[[#This Row],[Net Sales]]-financials[[#This Row],[COGS]]</f>
        <v>294.39999999999998</v>
      </c>
      <c r="L4672" s="15">
        <v>44309</v>
      </c>
      <c r="M4672" t="s">
        <v>691</v>
      </c>
    </row>
    <row r="4673" spans="1:13" x14ac:dyDescent="0.25">
      <c r="A4673" t="s">
        <v>87</v>
      </c>
      <c r="B4673" s="6" t="s">
        <v>124</v>
      </c>
      <c r="C4673" s="13">
        <v>103</v>
      </c>
      <c r="D4673" s="14" t="s">
        <v>90</v>
      </c>
      <c r="E4673">
        <v>14</v>
      </c>
      <c r="F4673" s="8">
        <f>VLOOKUP(financials[[#This Row],[productid]],Products!$B$2:$H$10,3)</f>
        <v>28</v>
      </c>
      <c r="G4673" s="8">
        <f>financials[[#This Row],[Units Sold]]*financials[[#This Row],[Sale Price]]</f>
        <v>392</v>
      </c>
      <c r="H4673" s="8">
        <f>IF(financials[[#This Row],[Discount Band]]="low",0.1,IF(financials[[#This Row],[Discount Band]]="medium",0.15,0.3))</f>
        <v>0.15</v>
      </c>
      <c r="I4673" s="8">
        <f>financials[[#This Row],[Gross Sales]]-financials[[#This Row],[Gross Sales]]*financials[[#This Row],[Discounts]]</f>
        <v>333.2</v>
      </c>
      <c r="J4673" s="8">
        <f>VLOOKUP(financials[[#This Row],[productid]],Products!$B$2:$H$10,4)</f>
        <v>15</v>
      </c>
      <c r="K4673" s="8">
        <f>financials[[#This Row],[Net Sales]]-financials[[#This Row],[COGS]]</f>
        <v>318.2</v>
      </c>
      <c r="L4673" s="15">
        <v>44836</v>
      </c>
      <c r="M4673" t="s">
        <v>696</v>
      </c>
    </row>
    <row r="4674" spans="1:13" x14ac:dyDescent="0.25">
      <c r="A4674" t="s">
        <v>85</v>
      </c>
      <c r="B4674" s="6" t="s">
        <v>124</v>
      </c>
      <c r="C4674" s="13">
        <v>105</v>
      </c>
      <c r="D4674" s="14" t="s">
        <v>83</v>
      </c>
      <c r="E4674">
        <v>9</v>
      </c>
      <c r="F4674" s="8">
        <f>VLOOKUP(financials[[#This Row],[productid]],Products!$B$2:$H$10,3)</f>
        <v>15</v>
      </c>
      <c r="G4674" s="8">
        <f>financials[[#This Row],[Units Sold]]*financials[[#This Row],[Sale Price]]</f>
        <v>135</v>
      </c>
      <c r="H4674" s="8">
        <f>IF(financials[[#This Row],[Discount Band]]="low",0.1,IF(financials[[#This Row],[Discount Band]]="medium",0.15,0.3))</f>
        <v>0.3</v>
      </c>
      <c r="I4674" s="8">
        <f>financials[[#This Row],[Gross Sales]]-financials[[#This Row],[Gross Sales]]*financials[[#This Row],[Discounts]]</f>
        <v>94.5</v>
      </c>
      <c r="J4674" s="8">
        <f>VLOOKUP(financials[[#This Row],[productid]],Products!$B$2:$H$10,4)</f>
        <v>10</v>
      </c>
      <c r="K4674" s="8">
        <f>financials[[#This Row],[Net Sales]]-financials[[#This Row],[COGS]]</f>
        <v>84.5</v>
      </c>
      <c r="L4674" s="15">
        <v>45192</v>
      </c>
      <c r="M4674" t="s">
        <v>696</v>
      </c>
    </row>
    <row r="4675" spans="1:13" x14ac:dyDescent="0.25">
      <c r="A4675" t="s">
        <v>86</v>
      </c>
      <c r="B4675" s="6" t="s">
        <v>159</v>
      </c>
      <c r="C4675" s="11">
        <v>104</v>
      </c>
      <c r="D4675" s="9" t="s">
        <v>91</v>
      </c>
      <c r="E4675">
        <v>6</v>
      </c>
      <c r="F4675" s="8">
        <f>VLOOKUP(financials[[#This Row],[productid]],Products!$B$2:$H$10,3)</f>
        <v>5.9</v>
      </c>
      <c r="G4675" s="8">
        <f>financials[[#This Row],[Units Sold]]*financials[[#This Row],[Sale Price]]</f>
        <v>35.400000000000006</v>
      </c>
      <c r="H4675" s="8">
        <f>IF(financials[[#This Row],[Discount Band]]="low",0.1,IF(financials[[#This Row],[Discount Band]]="medium",0.15,0.3))</f>
        <v>0.1</v>
      </c>
      <c r="I4675" s="8">
        <f>financials[[#This Row],[Gross Sales]]-financials[[#This Row],[Gross Sales]]*financials[[#This Row],[Discounts]]</f>
        <v>31.860000000000007</v>
      </c>
      <c r="J4675" s="8">
        <f>VLOOKUP(financials[[#This Row],[productid]],Products!$B$2:$H$10,4)</f>
        <v>2.9</v>
      </c>
      <c r="K4675" s="8">
        <f>financials[[#This Row],[Net Sales]]-financials[[#This Row],[COGS]]</f>
        <v>28.960000000000008</v>
      </c>
      <c r="L4675" s="15">
        <v>45133</v>
      </c>
      <c r="M4675" t="s">
        <v>697</v>
      </c>
    </row>
    <row r="4676" spans="1:13" x14ac:dyDescent="0.25">
      <c r="A4676" t="s">
        <v>86</v>
      </c>
      <c r="B4676" s="6" t="s">
        <v>159</v>
      </c>
      <c r="C4676" s="11">
        <v>109</v>
      </c>
      <c r="D4676" s="9" t="s">
        <v>90</v>
      </c>
      <c r="E4676">
        <v>10</v>
      </c>
      <c r="F4676" s="8">
        <f>VLOOKUP(financials[[#This Row],[productid]],Products!$B$2:$H$10,3)</f>
        <v>36</v>
      </c>
      <c r="G4676" s="8">
        <f>financials[[#This Row],[Units Sold]]*financials[[#This Row],[Sale Price]]</f>
        <v>360</v>
      </c>
      <c r="H4676" s="8">
        <f>IF(financials[[#This Row],[Discount Band]]="low",0.1,IF(financials[[#This Row],[Discount Band]]="medium",0.15,0.3))</f>
        <v>0.15</v>
      </c>
      <c r="I4676" s="8">
        <f>financials[[#This Row],[Gross Sales]]-financials[[#This Row],[Gross Sales]]*financials[[#This Row],[Discounts]]</f>
        <v>306</v>
      </c>
      <c r="J4676" s="8">
        <f>VLOOKUP(financials[[#This Row],[productid]],Products!$B$2:$H$10,4)</f>
        <v>16.8</v>
      </c>
      <c r="K4676" s="8">
        <f>financials[[#This Row],[Net Sales]]-financials[[#This Row],[COGS]]</f>
        <v>289.2</v>
      </c>
      <c r="L4676" s="15">
        <v>44924</v>
      </c>
      <c r="M4676" t="s">
        <v>700</v>
      </c>
    </row>
    <row r="4677" spans="1:13" x14ac:dyDescent="0.25">
      <c r="A4677" t="s">
        <v>87</v>
      </c>
      <c r="B4677" s="6" t="s">
        <v>124</v>
      </c>
      <c r="C4677" s="13">
        <v>109</v>
      </c>
      <c r="D4677" s="14" t="s">
        <v>83</v>
      </c>
      <c r="E4677">
        <v>6</v>
      </c>
      <c r="F4677" s="8">
        <f>VLOOKUP(financials[[#This Row],[productid]],Products!$B$2:$H$10,3)</f>
        <v>36</v>
      </c>
      <c r="G4677" s="8">
        <f>financials[[#This Row],[Units Sold]]*financials[[#This Row],[Sale Price]]</f>
        <v>216</v>
      </c>
      <c r="H4677" s="8">
        <f>IF(financials[[#This Row],[Discount Band]]="low",0.1,IF(financials[[#This Row],[Discount Band]]="medium",0.15,0.3))</f>
        <v>0.3</v>
      </c>
      <c r="I4677" s="8">
        <f>financials[[#This Row],[Gross Sales]]-financials[[#This Row],[Gross Sales]]*financials[[#This Row],[Discounts]]</f>
        <v>151.19999999999999</v>
      </c>
      <c r="J4677" s="8">
        <f>VLOOKUP(financials[[#This Row],[productid]],Products!$B$2:$H$10,4)</f>
        <v>16.8</v>
      </c>
      <c r="K4677" s="8">
        <f>financials[[#This Row],[Net Sales]]-financials[[#This Row],[COGS]]</f>
        <v>134.39999999999998</v>
      </c>
      <c r="L4677" s="15">
        <v>45003</v>
      </c>
      <c r="M4677" t="s">
        <v>696</v>
      </c>
    </row>
    <row r="4678" spans="1:13" x14ac:dyDescent="0.25">
      <c r="A4678" t="s">
        <v>86</v>
      </c>
      <c r="B4678" s="6" t="s">
        <v>159</v>
      </c>
      <c r="C4678" s="13">
        <v>107</v>
      </c>
      <c r="D4678" s="14" t="s">
        <v>91</v>
      </c>
      <c r="E4678">
        <v>18</v>
      </c>
      <c r="F4678" s="8">
        <f>VLOOKUP(financials[[#This Row],[productid]],Products!$B$2:$H$10,3)</f>
        <v>15</v>
      </c>
      <c r="G4678" s="8">
        <f>financials[[#This Row],[Units Sold]]*financials[[#This Row],[Sale Price]]</f>
        <v>270</v>
      </c>
      <c r="H4678" s="8">
        <f>IF(financials[[#This Row],[Discount Band]]="low",0.1,IF(financials[[#This Row],[Discount Band]]="medium",0.15,0.3))</f>
        <v>0.1</v>
      </c>
      <c r="I4678" s="8">
        <f>financials[[#This Row],[Gross Sales]]-financials[[#This Row],[Gross Sales]]*financials[[#This Row],[Discounts]]</f>
        <v>243</v>
      </c>
      <c r="J4678" s="8">
        <f>VLOOKUP(financials[[#This Row],[productid]],Products!$B$2:$H$10,4)</f>
        <v>5.5</v>
      </c>
      <c r="K4678" s="8">
        <f>financials[[#This Row],[Net Sales]]-financials[[#This Row],[COGS]]</f>
        <v>237.5</v>
      </c>
      <c r="L4678" s="15">
        <v>45134</v>
      </c>
      <c r="M4678" t="s">
        <v>690</v>
      </c>
    </row>
    <row r="4679" spans="1:13" x14ac:dyDescent="0.25">
      <c r="A4679" t="s">
        <v>87</v>
      </c>
      <c r="B4679" s="6" t="s">
        <v>159</v>
      </c>
      <c r="C4679" s="13">
        <v>104</v>
      </c>
      <c r="D4679" s="14" t="s">
        <v>83</v>
      </c>
      <c r="E4679">
        <v>12</v>
      </c>
      <c r="F4679" s="8">
        <f>VLOOKUP(financials[[#This Row],[productid]],Products!$B$2:$H$10,3)</f>
        <v>5.9</v>
      </c>
      <c r="G4679" s="8">
        <f>financials[[#This Row],[Units Sold]]*financials[[#This Row],[Sale Price]]</f>
        <v>70.800000000000011</v>
      </c>
      <c r="H4679" s="8">
        <f>IF(financials[[#This Row],[Discount Band]]="low",0.1,IF(financials[[#This Row],[Discount Band]]="medium",0.15,0.3))</f>
        <v>0.3</v>
      </c>
      <c r="I4679" s="8">
        <f>financials[[#This Row],[Gross Sales]]-financials[[#This Row],[Gross Sales]]*financials[[#This Row],[Discounts]]</f>
        <v>49.560000000000009</v>
      </c>
      <c r="J4679" s="8">
        <f>VLOOKUP(financials[[#This Row],[productid]],Products!$B$2:$H$10,4)</f>
        <v>2.9</v>
      </c>
      <c r="K4679" s="8">
        <f>financials[[#This Row],[Net Sales]]-financials[[#This Row],[COGS]]</f>
        <v>46.660000000000011</v>
      </c>
      <c r="L4679" s="15">
        <v>44372</v>
      </c>
      <c r="M4679" t="s">
        <v>690</v>
      </c>
    </row>
    <row r="4680" spans="1:13" x14ac:dyDescent="0.25">
      <c r="A4680" t="s">
        <v>87</v>
      </c>
      <c r="B4680" s="6" t="s">
        <v>159</v>
      </c>
      <c r="C4680" s="11">
        <v>103</v>
      </c>
      <c r="D4680" s="9" t="s">
        <v>83</v>
      </c>
      <c r="E4680">
        <v>14</v>
      </c>
      <c r="F4680" s="8">
        <f>VLOOKUP(financials[[#This Row],[productid]],Products!$B$2:$H$10,3)</f>
        <v>28</v>
      </c>
      <c r="G4680" s="8">
        <f>financials[[#This Row],[Units Sold]]*financials[[#This Row],[Sale Price]]</f>
        <v>392</v>
      </c>
      <c r="H4680" s="8">
        <f>IF(financials[[#This Row],[Discount Band]]="low",0.1,IF(financials[[#This Row],[Discount Band]]="medium",0.15,0.3))</f>
        <v>0.3</v>
      </c>
      <c r="I4680" s="8">
        <f>financials[[#This Row],[Gross Sales]]-financials[[#This Row],[Gross Sales]]*financials[[#This Row],[Discounts]]</f>
        <v>274.39999999999998</v>
      </c>
      <c r="J4680" s="8">
        <f>VLOOKUP(financials[[#This Row],[productid]],Products!$B$2:$H$10,4)</f>
        <v>15</v>
      </c>
      <c r="K4680" s="8">
        <f>financials[[#This Row],[Net Sales]]-financials[[#This Row],[COGS]]</f>
        <v>259.39999999999998</v>
      </c>
      <c r="L4680" s="15">
        <v>45647</v>
      </c>
      <c r="M4680" t="s">
        <v>690</v>
      </c>
    </row>
    <row r="4681" spans="1:13" x14ac:dyDescent="0.25">
      <c r="A4681" t="s">
        <v>86</v>
      </c>
      <c r="B4681" s="6" t="s">
        <v>124</v>
      </c>
      <c r="C4681" s="13">
        <v>106</v>
      </c>
      <c r="D4681" s="14" t="s">
        <v>90</v>
      </c>
      <c r="E4681">
        <v>11</v>
      </c>
      <c r="F4681" s="8">
        <f>VLOOKUP(financials[[#This Row],[productid]],Products!$B$2:$H$10,3)</f>
        <v>25</v>
      </c>
      <c r="G4681" s="8">
        <f>financials[[#This Row],[Units Sold]]*financials[[#This Row],[Sale Price]]</f>
        <v>275</v>
      </c>
      <c r="H4681" s="8">
        <f>IF(financials[[#This Row],[Discount Band]]="low",0.1,IF(financials[[#This Row],[Discount Band]]="medium",0.15,0.3))</f>
        <v>0.15</v>
      </c>
      <c r="I4681" s="8">
        <f>financials[[#This Row],[Gross Sales]]-financials[[#This Row],[Gross Sales]]*financials[[#This Row],[Discounts]]</f>
        <v>233.75</v>
      </c>
      <c r="J4681" s="8">
        <f>VLOOKUP(financials[[#This Row],[productid]],Products!$B$2:$H$10,4)</f>
        <v>9.1</v>
      </c>
      <c r="K4681" s="8">
        <f>financials[[#This Row],[Net Sales]]-financials[[#This Row],[COGS]]</f>
        <v>224.65</v>
      </c>
      <c r="L4681" s="15">
        <v>45240</v>
      </c>
      <c r="M4681" t="s">
        <v>700</v>
      </c>
    </row>
    <row r="4682" spans="1:13" x14ac:dyDescent="0.25">
      <c r="A4682" t="s">
        <v>87</v>
      </c>
      <c r="B4682" s="6" t="s">
        <v>124</v>
      </c>
      <c r="C4682" s="13">
        <v>107</v>
      </c>
      <c r="D4682" s="14" t="s">
        <v>91</v>
      </c>
      <c r="E4682">
        <v>17</v>
      </c>
      <c r="F4682" s="8">
        <f>VLOOKUP(financials[[#This Row],[productid]],Products!$B$2:$H$10,3)</f>
        <v>15</v>
      </c>
      <c r="G4682" s="8">
        <f>financials[[#This Row],[Units Sold]]*financials[[#This Row],[Sale Price]]</f>
        <v>255</v>
      </c>
      <c r="H4682" s="8">
        <f>IF(financials[[#This Row],[Discount Band]]="low",0.1,IF(financials[[#This Row],[Discount Band]]="medium",0.15,0.3))</f>
        <v>0.1</v>
      </c>
      <c r="I4682" s="8">
        <f>financials[[#This Row],[Gross Sales]]-financials[[#This Row],[Gross Sales]]*financials[[#This Row],[Discounts]]</f>
        <v>229.5</v>
      </c>
      <c r="J4682" s="8">
        <f>VLOOKUP(financials[[#This Row],[productid]],Products!$B$2:$H$10,4)</f>
        <v>5.5</v>
      </c>
      <c r="K4682" s="8">
        <f>financials[[#This Row],[Net Sales]]-financials[[#This Row],[COGS]]</f>
        <v>224</v>
      </c>
      <c r="L4682" s="15">
        <v>44916</v>
      </c>
      <c r="M4682" t="s">
        <v>696</v>
      </c>
    </row>
    <row r="4683" spans="1:13" x14ac:dyDescent="0.25">
      <c r="A4683" t="s">
        <v>86</v>
      </c>
      <c r="B4683" s="6" t="s">
        <v>159</v>
      </c>
      <c r="C4683" s="13">
        <v>103</v>
      </c>
      <c r="D4683" s="14" t="s">
        <v>91</v>
      </c>
      <c r="E4683">
        <v>7</v>
      </c>
      <c r="F4683" s="8">
        <f>VLOOKUP(financials[[#This Row],[productid]],Products!$B$2:$H$10,3)</f>
        <v>28</v>
      </c>
      <c r="G4683" s="8">
        <f>financials[[#This Row],[Units Sold]]*financials[[#This Row],[Sale Price]]</f>
        <v>196</v>
      </c>
      <c r="H4683" s="8">
        <f>IF(financials[[#This Row],[Discount Band]]="low",0.1,IF(financials[[#This Row],[Discount Band]]="medium",0.15,0.3))</f>
        <v>0.1</v>
      </c>
      <c r="I4683" s="8">
        <f>financials[[#This Row],[Gross Sales]]-financials[[#This Row],[Gross Sales]]*financials[[#This Row],[Discounts]]</f>
        <v>176.4</v>
      </c>
      <c r="J4683" s="8">
        <f>VLOOKUP(financials[[#This Row],[productid]],Products!$B$2:$H$10,4)</f>
        <v>15</v>
      </c>
      <c r="K4683" s="8">
        <f>financials[[#This Row],[Net Sales]]-financials[[#This Row],[COGS]]</f>
        <v>161.4</v>
      </c>
      <c r="L4683" s="15">
        <v>45138</v>
      </c>
      <c r="M4683" t="s">
        <v>697</v>
      </c>
    </row>
    <row r="4684" spans="1:13" x14ac:dyDescent="0.25">
      <c r="A4684" t="s">
        <v>86</v>
      </c>
      <c r="B4684" s="6" t="s">
        <v>124</v>
      </c>
      <c r="C4684" s="13">
        <v>103</v>
      </c>
      <c r="D4684" s="14" t="s">
        <v>90</v>
      </c>
      <c r="E4684">
        <v>9</v>
      </c>
      <c r="F4684" s="8">
        <f>VLOOKUP(financials[[#This Row],[productid]],Products!$B$2:$H$10,3)</f>
        <v>28</v>
      </c>
      <c r="G4684" s="8">
        <f>financials[[#This Row],[Units Sold]]*financials[[#This Row],[Sale Price]]</f>
        <v>252</v>
      </c>
      <c r="H4684" s="8">
        <f>IF(financials[[#This Row],[Discount Band]]="low",0.1,IF(financials[[#This Row],[Discount Band]]="medium",0.15,0.3))</f>
        <v>0.15</v>
      </c>
      <c r="I4684" s="8">
        <f>financials[[#This Row],[Gross Sales]]-financials[[#This Row],[Gross Sales]]*financials[[#This Row],[Discounts]]</f>
        <v>214.2</v>
      </c>
      <c r="J4684" s="8">
        <f>VLOOKUP(financials[[#This Row],[productid]],Products!$B$2:$H$10,4)</f>
        <v>15</v>
      </c>
      <c r="K4684" s="8">
        <f>financials[[#This Row],[Net Sales]]-financials[[#This Row],[COGS]]</f>
        <v>199.2</v>
      </c>
      <c r="L4684" s="15">
        <v>44067</v>
      </c>
      <c r="M4684" t="s">
        <v>691</v>
      </c>
    </row>
    <row r="4685" spans="1:13" x14ac:dyDescent="0.25">
      <c r="A4685" t="s">
        <v>87</v>
      </c>
      <c r="B4685" s="6" t="s">
        <v>159</v>
      </c>
      <c r="C4685" s="13">
        <v>103</v>
      </c>
      <c r="D4685" s="14" t="s">
        <v>83</v>
      </c>
      <c r="E4685">
        <v>20</v>
      </c>
      <c r="F4685" s="8">
        <f>VLOOKUP(financials[[#This Row],[productid]],Products!$B$2:$H$10,3)</f>
        <v>28</v>
      </c>
      <c r="G4685" s="8">
        <f>financials[[#This Row],[Units Sold]]*financials[[#This Row],[Sale Price]]</f>
        <v>560</v>
      </c>
      <c r="H4685" s="8">
        <f>IF(financials[[#This Row],[Discount Band]]="low",0.1,IF(financials[[#This Row],[Discount Band]]="medium",0.15,0.3))</f>
        <v>0.3</v>
      </c>
      <c r="I4685" s="8">
        <f>financials[[#This Row],[Gross Sales]]-financials[[#This Row],[Gross Sales]]*financials[[#This Row],[Discounts]]</f>
        <v>392</v>
      </c>
      <c r="J4685" s="8">
        <f>VLOOKUP(financials[[#This Row],[productid]],Products!$B$2:$H$10,4)</f>
        <v>15</v>
      </c>
      <c r="K4685" s="8">
        <f>financials[[#This Row],[Net Sales]]-financials[[#This Row],[COGS]]</f>
        <v>377</v>
      </c>
      <c r="L4685" s="15">
        <v>44138</v>
      </c>
      <c r="M4685" t="s">
        <v>690</v>
      </c>
    </row>
    <row r="4686" spans="1:13" x14ac:dyDescent="0.25">
      <c r="A4686" t="s">
        <v>87</v>
      </c>
      <c r="B4686" s="6" t="s">
        <v>159</v>
      </c>
      <c r="C4686" s="13">
        <v>103</v>
      </c>
      <c r="D4686" s="14" t="s">
        <v>91</v>
      </c>
      <c r="E4686">
        <v>9</v>
      </c>
      <c r="F4686" s="8">
        <f>VLOOKUP(financials[[#This Row],[productid]],Products!$B$2:$H$10,3)</f>
        <v>28</v>
      </c>
      <c r="G4686" s="8">
        <f>financials[[#This Row],[Units Sold]]*financials[[#This Row],[Sale Price]]</f>
        <v>252</v>
      </c>
      <c r="H4686" s="8">
        <f>IF(financials[[#This Row],[Discount Band]]="low",0.1,IF(financials[[#This Row],[Discount Band]]="medium",0.15,0.3))</f>
        <v>0.1</v>
      </c>
      <c r="I4686" s="8">
        <f>financials[[#This Row],[Gross Sales]]-financials[[#This Row],[Gross Sales]]*financials[[#This Row],[Discounts]]</f>
        <v>226.8</v>
      </c>
      <c r="J4686" s="8">
        <f>VLOOKUP(financials[[#This Row],[productid]],Products!$B$2:$H$10,4)</f>
        <v>15</v>
      </c>
      <c r="K4686" s="8">
        <f>financials[[#This Row],[Net Sales]]-financials[[#This Row],[COGS]]</f>
        <v>211.8</v>
      </c>
      <c r="L4686" s="15">
        <v>45383</v>
      </c>
      <c r="M4686" t="s">
        <v>700</v>
      </c>
    </row>
    <row r="4687" spans="1:13" x14ac:dyDescent="0.25">
      <c r="A4687" t="s">
        <v>85</v>
      </c>
      <c r="B4687" s="6" t="s">
        <v>159</v>
      </c>
      <c r="C4687" s="11">
        <v>108</v>
      </c>
      <c r="D4687" s="9" t="s">
        <v>91</v>
      </c>
      <c r="E4687">
        <v>18</v>
      </c>
      <c r="F4687" s="8">
        <f>VLOOKUP(financials[[#This Row],[productid]],Products!$B$2:$H$10,3)</f>
        <v>5.5</v>
      </c>
      <c r="G4687" s="8">
        <f>financials[[#This Row],[Units Sold]]*financials[[#This Row],[Sale Price]]</f>
        <v>99</v>
      </c>
      <c r="H4687" s="8">
        <f>IF(financials[[#This Row],[Discount Band]]="low",0.1,IF(financials[[#This Row],[Discount Band]]="medium",0.15,0.3))</f>
        <v>0.1</v>
      </c>
      <c r="I4687" s="8">
        <f>financials[[#This Row],[Gross Sales]]-financials[[#This Row],[Gross Sales]]*financials[[#This Row],[Discounts]]</f>
        <v>89.1</v>
      </c>
      <c r="J4687" s="8">
        <f>VLOOKUP(financials[[#This Row],[productid]],Products!$B$2:$H$10,4)</f>
        <v>3.99</v>
      </c>
      <c r="K4687" s="8">
        <f>financials[[#This Row],[Net Sales]]-financials[[#This Row],[COGS]]</f>
        <v>85.11</v>
      </c>
      <c r="L4687" s="15">
        <v>44388</v>
      </c>
      <c r="M4687" t="s">
        <v>690</v>
      </c>
    </row>
    <row r="4688" spans="1:13" x14ac:dyDescent="0.25">
      <c r="A4688" t="s">
        <v>87</v>
      </c>
      <c r="B4688" s="6" t="s">
        <v>159</v>
      </c>
      <c r="C4688" s="13">
        <v>102</v>
      </c>
      <c r="D4688" s="14" t="s">
        <v>91</v>
      </c>
      <c r="E4688">
        <v>13</v>
      </c>
      <c r="F4688" s="8">
        <f>VLOOKUP(financials[[#This Row],[productid]],Products!$B$2:$H$10,3)</f>
        <v>15</v>
      </c>
      <c r="G4688" s="8">
        <f>financials[[#This Row],[Units Sold]]*financials[[#This Row],[Sale Price]]</f>
        <v>195</v>
      </c>
      <c r="H4688" s="8">
        <f>IF(financials[[#This Row],[Discount Band]]="low",0.1,IF(financials[[#This Row],[Discount Band]]="medium",0.15,0.3))</f>
        <v>0.1</v>
      </c>
      <c r="I4688" s="8">
        <f>financials[[#This Row],[Gross Sales]]-financials[[#This Row],[Gross Sales]]*financials[[#This Row],[Discounts]]</f>
        <v>175.5</v>
      </c>
      <c r="J4688" s="8">
        <f>VLOOKUP(financials[[#This Row],[productid]],Products!$B$2:$H$10,4)</f>
        <v>13.95</v>
      </c>
      <c r="K4688" s="8">
        <f>financials[[#This Row],[Net Sales]]-financials[[#This Row],[COGS]]</f>
        <v>161.55000000000001</v>
      </c>
      <c r="L4688" s="15">
        <v>45248</v>
      </c>
      <c r="M4688" t="s">
        <v>690</v>
      </c>
    </row>
    <row r="4689" spans="1:13" x14ac:dyDescent="0.25">
      <c r="A4689" t="s">
        <v>86</v>
      </c>
      <c r="B4689" s="6" t="s">
        <v>124</v>
      </c>
      <c r="C4689" s="13">
        <v>106</v>
      </c>
      <c r="D4689" s="14" t="s">
        <v>90</v>
      </c>
      <c r="E4689">
        <v>19</v>
      </c>
      <c r="F4689" s="8">
        <f>VLOOKUP(financials[[#This Row],[productid]],Products!$B$2:$H$10,3)</f>
        <v>25</v>
      </c>
      <c r="G4689" s="8">
        <f>financials[[#This Row],[Units Sold]]*financials[[#This Row],[Sale Price]]</f>
        <v>475</v>
      </c>
      <c r="H4689" s="8">
        <f>IF(financials[[#This Row],[Discount Band]]="low",0.1,IF(financials[[#This Row],[Discount Band]]="medium",0.15,0.3))</f>
        <v>0.15</v>
      </c>
      <c r="I4689" s="8">
        <f>financials[[#This Row],[Gross Sales]]-financials[[#This Row],[Gross Sales]]*financials[[#This Row],[Discounts]]</f>
        <v>403.75</v>
      </c>
      <c r="J4689" s="8">
        <f>VLOOKUP(financials[[#This Row],[productid]],Products!$B$2:$H$10,4)</f>
        <v>9.1</v>
      </c>
      <c r="K4689" s="8">
        <f>financials[[#This Row],[Net Sales]]-financials[[#This Row],[COGS]]</f>
        <v>394.65</v>
      </c>
      <c r="L4689" s="15">
        <v>43839</v>
      </c>
      <c r="M4689" t="s">
        <v>696</v>
      </c>
    </row>
    <row r="4690" spans="1:13" x14ac:dyDescent="0.25">
      <c r="A4690" t="s">
        <v>86</v>
      </c>
      <c r="B4690" s="6" t="s">
        <v>124</v>
      </c>
      <c r="C4690" s="13">
        <v>102</v>
      </c>
      <c r="D4690" s="14" t="s">
        <v>90</v>
      </c>
      <c r="E4690">
        <v>17</v>
      </c>
      <c r="F4690" s="8">
        <f>VLOOKUP(financials[[#This Row],[productid]],Products!$B$2:$H$10,3)</f>
        <v>15</v>
      </c>
      <c r="G4690" s="8">
        <f>financials[[#This Row],[Units Sold]]*financials[[#This Row],[Sale Price]]</f>
        <v>255</v>
      </c>
      <c r="H4690" s="8">
        <f>IF(financials[[#This Row],[Discount Band]]="low",0.1,IF(financials[[#This Row],[Discount Band]]="medium",0.15,0.3))</f>
        <v>0.15</v>
      </c>
      <c r="I4690" s="8">
        <f>financials[[#This Row],[Gross Sales]]-financials[[#This Row],[Gross Sales]]*financials[[#This Row],[Discounts]]</f>
        <v>216.75</v>
      </c>
      <c r="J4690" s="8">
        <f>VLOOKUP(financials[[#This Row],[productid]],Products!$B$2:$H$10,4)</f>
        <v>13.95</v>
      </c>
      <c r="K4690" s="8">
        <f>financials[[#This Row],[Net Sales]]-financials[[#This Row],[COGS]]</f>
        <v>202.8</v>
      </c>
      <c r="L4690" s="15">
        <v>44418</v>
      </c>
      <c r="M4690" t="s">
        <v>697</v>
      </c>
    </row>
    <row r="4691" spans="1:13" x14ac:dyDescent="0.25">
      <c r="A4691" t="s">
        <v>86</v>
      </c>
      <c r="B4691" s="6" t="s">
        <v>124</v>
      </c>
      <c r="C4691" s="13">
        <v>106</v>
      </c>
      <c r="D4691" s="14" t="s">
        <v>83</v>
      </c>
      <c r="E4691">
        <v>16</v>
      </c>
      <c r="F4691" s="8">
        <f>VLOOKUP(financials[[#This Row],[productid]],Products!$B$2:$H$10,3)</f>
        <v>25</v>
      </c>
      <c r="G4691" s="8">
        <f>financials[[#This Row],[Units Sold]]*financials[[#This Row],[Sale Price]]</f>
        <v>400</v>
      </c>
      <c r="H4691" s="8">
        <f>IF(financials[[#This Row],[Discount Band]]="low",0.1,IF(financials[[#This Row],[Discount Band]]="medium",0.15,0.3))</f>
        <v>0.3</v>
      </c>
      <c r="I4691" s="8">
        <f>financials[[#This Row],[Gross Sales]]-financials[[#This Row],[Gross Sales]]*financials[[#This Row],[Discounts]]</f>
        <v>280</v>
      </c>
      <c r="J4691" s="8">
        <f>VLOOKUP(financials[[#This Row],[productid]],Products!$B$2:$H$10,4)</f>
        <v>9.1</v>
      </c>
      <c r="K4691" s="8">
        <f>financials[[#This Row],[Net Sales]]-financials[[#This Row],[COGS]]</f>
        <v>270.89999999999998</v>
      </c>
      <c r="L4691" s="15">
        <v>45239</v>
      </c>
      <c r="M4691" t="s">
        <v>700</v>
      </c>
    </row>
    <row r="4692" spans="1:13" x14ac:dyDescent="0.25">
      <c r="A4692" t="s">
        <v>85</v>
      </c>
      <c r="B4692" s="6" t="s">
        <v>124</v>
      </c>
      <c r="C4692" s="13">
        <v>101</v>
      </c>
      <c r="D4692" s="14" t="s">
        <v>83</v>
      </c>
      <c r="E4692">
        <v>12</v>
      </c>
      <c r="F4692" s="8">
        <f>VLOOKUP(financials[[#This Row],[productid]],Products!$B$2:$H$10,3)</f>
        <v>23</v>
      </c>
      <c r="G4692" s="8">
        <f>financials[[#This Row],[Units Sold]]*financials[[#This Row],[Sale Price]]</f>
        <v>276</v>
      </c>
      <c r="H4692" s="8">
        <f>IF(financials[[#This Row],[Discount Band]]="low",0.1,IF(financials[[#This Row],[Discount Band]]="medium",0.15,0.3))</f>
        <v>0.3</v>
      </c>
      <c r="I4692" s="8">
        <f>financials[[#This Row],[Gross Sales]]-financials[[#This Row],[Gross Sales]]*financials[[#This Row],[Discounts]]</f>
        <v>193.2</v>
      </c>
      <c r="J4692" s="8">
        <f>VLOOKUP(financials[[#This Row],[productid]],Products!$B$2:$H$10,4)</f>
        <v>9.9499999999999993</v>
      </c>
      <c r="K4692" s="8">
        <f>financials[[#This Row],[Net Sales]]-financials[[#This Row],[COGS]]</f>
        <v>183.25</v>
      </c>
      <c r="L4692" s="15">
        <v>44032</v>
      </c>
      <c r="M4692" t="s">
        <v>696</v>
      </c>
    </row>
    <row r="4693" spans="1:13" x14ac:dyDescent="0.25">
      <c r="A4693" t="s">
        <v>85</v>
      </c>
      <c r="B4693" s="6" t="s">
        <v>124</v>
      </c>
      <c r="C4693" s="13">
        <v>105</v>
      </c>
      <c r="D4693" s="14" t="s">
        <v>91</v>
      </c>
      <c r="E4693">
        <v>6</v>
      </c>
      <c r="F4693" s="8">
        <f>VLOOKUP(financials[[#This Row],[productid]],Products!$B$2:$H$10,3)</f>
        <v>15</v>
      </c>
      <c r="G4693" s="8">
        <f>financials[[#This Row],[Units Sold]]*financials[[#This Row],[Sale Price]]</f>
        <v>90</v>
      </c>
      <c r="H4693" s="8">
        <f>IF(financials[[#This Row],[Discount Band]]="low",0.1,IF(financials[[#This Row],[Discount Band]]="medium",0.15,0.3))</f>
        <v>0.1</v>
      </c>
      <c r="I4693" s="8">
        <f>financials[[#This Row],[Gross Sales]]-financials[[#This Row],[Gross Sales]]*financials[[#This Row],[Discounts]]</f>
        <v>81</v>
      </c>
      <c r="J4693" s="8">
        <f>VLOOKUP(financials[[#This Row],[productid]],Products!$B$2:$H$10,4)</f>
        <v>10</v>
      </c>
      <c r="K4693" s="8">
        <f>financials[[#This Row],[Net Sales]]-financials[[#This Row],[COGS]]</f>
        <v>71</v>
      </c>
      <c r="L4693" s="15">
        <v>44684</v>
      </c>
      <c r="M4693" t="s">
        <v>697</v>
      </c>
    </row>
    <row r="4694" spans="1:13" x14ac:dyDescent="0.25">
      <c r="A4694" t="s">
        <v>85</v>
      </c>
      <c r="B4694" s="6" t="s">
        <v>124</v>
      </c>
      <c r="C4694" s="13">
        <v>108</v>
      </c>
      <c r="D4694" s="14" t="s">
        <v>91</v>
      </c>
      <c r="E4694">
        <v>17</v>
      </c>
      <c r="F4694" s="8">
        <f>VLOOKUP(financials[[#This Row],[productid]],Products!$B$2:$H$10,3)</f>
        <v>5.5</v>
      </c>
      <c r="G4694" s="8">
        <f>financials[[#This Row],[Units Sold]]*financials[[#This Row],[Sale Price]]</f>
        <v>93.5</v>
      </c>
      <c r="H4694" s="8">
        <f>IF(financials[[#This Row],[Discount Band]]="low",0.1,IF(financials[[#This Row],[Discount Band]]="medium",0.15,0.3))</f>
        <v>0.1</v>
      </c>
      <c r="I4694" s="8">
        <f>financials[[#This Row],[Gross Sales]]-financials[[#This Row],[Gross Sales]]*financials[[#This Row],[Discounts]]</f>
        <v>84.15</v>
      </c>
      <c r="J4694" s="8">
        <f>VLOOKUP(financials[[#This Row],[productid]],Products!$B$2:$H$10,4)</f>
        <v>3.99</v>
      </c>
      <c r="K4694" s="8">
        <f>financials[[#This Row],[Net Sales]]-financials[[#This Row],[COGS]]</f>
        <v>80.160000000000011</v>
      </c>
      <c r="L4694" s="15">
        <v>45017</v>
      </c>
      <c r="M4694" t="s">
        <v>697</v>
      </c>
    </row>
    <row r="4695" spans="1:13" x14ac:dyDescent="0.25">
      <c r="A4695" t="s">
        <v>86</v>
      </c>
      <c r="B4695" s="6" t="s">
        <v>159</v>
      </c>
      <c r="C4695" s="13">
        <v>106</v>
      </c>
      <c r="D4695" s="14" t="s">
        <v>83</v>
      </c>
      <c r="E4695">
        <v>15</v>
      </c>
      <c r="F4695" s="8">
        <f>VLOOKUP(financials[[#This Row],[productid]],Products!$B$2:$H$10,3)</f>
        <v>25</v>
      </c>
      <c r="G4695" s="8">
        <f>financials[[#This Row],[Units Sold]]*financials[[#This Row],[Sale Price]]</f>
        <v>375</v>
      </c>
      <c r="H4695" s="8">
        <f>IF(financials[[#This Row],[Discount Band]]="low",0.1,IF(financials[[#This Row],[Discount Band]]="medium",0.15,0.3))</f>
        <v>0.3</v>
      </c>
      <c r="I4695" s="8">
        <f>financials[[#This Row],[Gross Sales]]-financials[[#This Row],[Gross Sales]]*financials[[#This Row],[Discounts]]</f>
        <v>262.5</v>
      </c>
      <c r="J4695" s="8">
        <f>VLOOKUP(financials[[#This Row],[productid]],Products!$B$2:$H$10,4)</f>
        <v>9.1</v>
      </c>
      <c r="K4695" s="8">
        <f>financials[[#This Row],[Net Sales]]-financials[[#This Row],[COGS]]</f>
        <v>253.4</v>
      </c>
      <c r="L4695" s="15">
        <v>45275</v>
      </c>
      <c r="M4695" t="s">
        <v>690</v>
      </c>
    </row>
    <row r="4696" spans="1:13" x14ac:dyDescent="0.25">
      <c r="A4696" t="s">
        <v>87</v>
      </c>
      <c r="B4696" s="6" t="s">
        <v>124</v>
      </c>
      <c r="C4696" s="13">
        <v>107</v>
      </c>
      <c r="D4696" s="14" t="s">
        <v>90</v>
      </c>
      <c r="E4696">
        <v>7</v>
      </c>
      <c r="F4696" s="8">
        <f>VLOOKUP(financials[[#This Row],[productid]],Products!$B$2:$H$10,3)</f>
        <v>15</v>
      </c>
      <c r="G4696" s="8">
        <f>financials[[#This Row],[Units Sold]]*financials[[#This Row],[Sale Price]]</f>
        <v>105</v>
      </c>
      <c r="H4696" s="8">
        <f>IF(financials[[#This Row],[Discount Band]]="low",0.1,IF(financials[[#This Row],[Discount Band]]="medium",0.15,0.3))</f>
        <v>0.15</v>
      </c>
      <c r="I4696" s="8">
        <f>financials[[#This Row],[Gross Sales]]-financials[[#This Row],[Gross Sales]]*financials[[#This Row],[Discounts]]</f>
        <v>89.25</v>
      </c>
      <c r="J4696" s="8">
        <f>VLOOKUP(financials[[#This Row],[productid]],Products!$B$2:$H$10,4)</f>
        <v>5.5</v>
      </c>
      <c r="K4696" s="8">
        <f>financials[[#This Row],[Net Sales]]-financials[[#This Row],[COGS]]</f>
        <v>83.75</v>
      </c>
      <c r="L4696" s="15">
        <v>45435</v>
      </c>
      <c r="M4696" t="s">
        <v>696</v>
      </c>
    </row>
    <row r="4697" spans="1:13" x14ac:dyDescent="0.25">
      <c r="A4697" t="s">
        <v>87</v>
      </c>
      <c r="B4697" s="6" t="s">
        <v>159</v>
      </c>
      <c r="C4697" s="13">
        <v>103</v>
      </c>
      <c r="D4697" s="14" t="s">
        <v>91</v>
      </c>
      <c r="E4697">
        <v>16</v>
      </c>
      <c r="F4697" s="8">
        <f>VLOOKUP(financials[[#This Row],[productid]],Products!$B$2:$H$10,3)</f>
        <v>28</v>
      </c>
      <c r="G4697" s="8">
        <f>financials[[#This Row],[Units Sold]]*financials[[#This Row],[Sale Price]]</f>
        <v>448</v>
      </c>
      <c r="H4697" s="8">
        <f>IF(financials[[#This Row],[Discount Band]]="low",0.1,IF(financials[[#This Row],[Discount Band]]="medium",0.15,0.3))</f>
        <v>0.1</v>
      </c>
      <c r="I4697" s="8">
        <f>financials[[#This Row],[Gross Sales]]-financials[[#This Row],[Gross Sales]]*financials[[#This Row],[Discounts]]</f>
        <v>403.2</v>
      </c>
      <c r="J4697" s="8">
        <f>VLOOKUP(financials[[#This Row],[productid]],Products!$B$2:$H$10,4)</f>
        <v>15</v>
      </c>
      <c r="K4697" s="8">
        <f>financials[[#This Row],[Net Sales]]-financials[[#This Row],[COGS]]</f>
        <v>388.2</v>
      </c>
      <c r="L4697" s="15">
        <v>44084</v>
      </c>
      <c r="M4697" t="s">
        <v>690</v>
      </c>
    </row>
    <row r="4698" spans="1:13" x14ac:dyDescent="0.25">
      <c r="A4698" t="s">
        <v>86</v>
      </c>
      <c r="B4698" s="6" t="s">
        <v>159</v>
      </c>
      <c r="C4698" s="13">
        <v>102</v>
      </c>
      <c r="D4698" s="14" t="s">
        <v>83</v>
      </c>
      <c r="E4698">
        <v>11</v>
      </c>
      <c r="F4698" s="8">
        <f>VLOOKUP(financials[[#This Row],[productid]],Products!$B$2:$H$10,3)</f>
        <v>15</v>
      </c>
      <c r="G4698" s="8">
        <f>financials[[#This Row],[Units Sold]]*financials[[#This Row],[Sale Price]]</f>
        <v>165</v>
      </c>
      <c r="H4698" s="8">
        <f>IF(financials[[#This Row],[Discount Band]]="low",0.1,IF(financials[[#This Row],[Discount Band]]="medium",0.15,0.3))</f>
        <v>0.3</v>
      </c>
      <c r="I4698" s="8">
        <f>financials[[#This Row],[Gross Sales]]-financials[[#This Row],[Gross Sales]]*financials[[#This Row],[Discounts]]</f>
        <v>115.5</v>
      </c>
      <c r="J4698" s="8">
        <f>VLOOKUP(financials[[#This Row],[productid]],Products!$B$2:$H$10,4)</f>
        <v>13.95</v>
      </c>
      <c r="K4698" s="8">
        <f>financials[[#This Row],[Net Sales]]-financials[[#This Row],[COGS]]</f>
        <v>101.55</v>
      </c>
      <c r="L4698" s="15">
        <v>44681</v>
      </c>
      <c r="M4698" t="s">
        <v>690</v>
      </c>
    </row>
    <row r="4699" spans="1:13" x14ac:dyDescent="0.25">
      <c r="A4699" t="s">
        <v>85</v>
      </c>
      <c r="B4699" s="6" t="s">
        <v>124</v>
      </c>
      <c r="C4699" s="13">
        <v>101</v>
      </c>
      <c r="D4699" s="14" t="s">
        <v>83</v>
      </c>
      <c r="E4699">
        <v>9</v>
      </c>
      <c r="F4699" s="8">
        <f>VLOOKUP(financials[[#This Row],[productid]],Products!$B$2:$H$10,3)</f>
        <v>23</v>
      </c>
      <c r="G4699" s="8">
        <f>financials[[#This Row],[Units Sold]]*financials[[#This Row],[Sale Price]]</f>
        <v>207</v>
      </c>
      <c r="H4699" s="8">
        <f>IF(financials[[#This Row],[Discount Band]]="low",0.1,IF(financials[[#This Row],[Discount Band]]="medium",0.15,0.3))</f>
        <v>0.3</v>
      </c>
      <c r="I4699" s="8">
        <f>financials[[#This Row],[Gross Sales]]-financials[[#This Row],[Gross Sales]]*financials[[#This Row],[Discounts]]</f>
        <v>144.9</v>
      </c>
      <c r="J4699" s="8">
        <f>VLOOKUP(financials[[#This Row],[productid]],Products!$B$2:$H$10,4)</f>
        <v>9.9499999999999993</v>
      </c>
      <c r="K4699" s="8">
        <f>financials[[#This Row],[Net Sales]]-financials[[#This Row],[COGS]]</f>
        <v>134.95000000000002</v>
      </c>
      <c r="L4699" s="15">
        <v>44541</v>
      </c>
      <c r="M4699" t="s">
        <v>697</v>
      </c>
    </row>
    <row r="4700" spans="1:13" x14ac:dyDescent="0.25">
      <c r="A4700" t="s">
        <v>87</v>
      </c>
      <c r="B4700" s="6" t="s">
        <v>124</v>
      </c>
      <c r="C4700" s="13">
        <v>102</v>
      </c>
      <c r="D4700" s="14" t="s">
        <v>90</v>
      </c>
      <c r="E4700">
        <v>19</v>
      </c>
      <c r="F4700" s="8">
        <f>VLOOKUP(financials[[#This Row],[productid]],Products!$B$2:$H$10,3)</f>
        <v>15</v>
      </c>
      <c r="G4700" s="8">
        <f>financials[[#This Row],[Units Sold]]*financials[[#This Row],[Sale Price]]</f>
        <v>285</v>
      </c>
      <c r="H4700" s="8">
        <f>IF(financials[[#This Row],[Discount Band]]="low",0.1,IF(financials[[#This Row],[Discount Band]]="medium",0.15,0.3))</f>
        <v>0.15</v>
      </c>
      <c r="I4700" s="8">
        <f>financials[[#This Row],[Gross Sales]]-financials[[#This Row],[Gross Sales]]*financials[[#This Row],[Discounts]]</f>
        <v>242.25</v>
      </c>
      <c r="J4700" s="8">
        <f>VLOOKUP(financials[[#This Row],[productid]],Products!$B$2:$H$10,4)</f>
        <v>13.95</v>
      </c>
      <c r="K4700" s="8">
        <f>financials[[#This Row],[Net Sales]]-financials[[#This Row],[COGS]]</f>
        <v>228.3</v>
      </c>
      <c r="L4700" s="15">
        <v>44389</v>
      </c>
      <c r="M4700" t="s">
        <v>690</v>
      </c>
    </row>
    <row r="4701" spans="1:13" x14ac:dyDescent="0.25">
      <c r="A4701" t="s">
        <v>86</v>
      </c>
      <c r="B4701" s="6" t="s">
        <v>159</v>
      </c>
      <c r="C4701" s="13">
        <v>106</v>
      </c>
      <c r="D4701" s="14" t="s">
        <v>83</v>
      </c>
      <c r="E4701">
        <v>15</v>
      </c>
      <c r="F4701" s="8">
        <f>VLOOKUP(financials[[#This Row],[productid]],Products!$B$2:$H$10,3)</f>
        <v>25</v>
      </c>
      <c r="G4701" s="8">
        <f>financials[[#This Row],[Units Sold]]*financials[[#This Row],[Sale Price]]</f>
        <v>375</v>
      </c>
      <c r="H4701" s="8">
        <f>IF(financials[[#This Row],[Discount Band]]="low",0.1,IF(financials[[#This Row],[Discount Band]]="medium",0.15,0.3))</f>
        <v>0.3</v>
      </c>
      <c r="I4701" s="8">
        <f>financials[[#This Row],[Gross Sales]]-financials[[#This Row],[Gross Sales]]*financials[[#This Row],[Discounts]]</f>
        <v>262.5</v>
      </c>
      <c r="J4701" s="8">
        <f>VLOOKUP(financials[[#This Row],[productid]],Products!$B$2:$H$10,4)</f>
        <v>9.1</v>
      </c>
      <c r="K4701" s="8">
        <f>financials[[#This Row],[Net Sales]]-financials[[#This Row],[COGS]]</f>
        <v>253.4</v>
      </c>
      <c r="L4701" s="15">
        <v>44757</v>
      </c>
      <c r="M4701" t="s">
        <v>700</v>
      </c>
    </row>
    <row r="4702" spans="1:13" x14ac:dyDescent="0.25">
      <c r="A4702" t="s">
        <v>86</v>
      </c>
      <c r="B4702" s="6" t="s">
        <v>159</v>
      </c>
      <c r="C4702" s="13">
        <v>107</v>
      </c>
      <c r="D4702" s="14" t="s">
        <v>83</v>
      </c>
      <c r="E4702">
        <v>13</v>
      </c>
      <c r="F4702" s="8">
        <f>VLOOKUP(financials[[#This Row],[productid]],Products!$B$2:$H$10,3)</f>
        <v>15</v>
      </c>
      <c r="G4702" s="8">
        <f>financials[[#This Row],[Units Sold]]*financials[[#This Row],[Sale Price]]</f>
        <v>195</v>
      </c>
      <c r="H4702" s="8">
        <f>IF(financials[[#This Row],[Discount Band]]="low",0.1,IF(financials[[#This Row],[Discount Band]]="medium",0.15,0.3))</f>
        <v>0.3</v>
      </c>
      <c r="I4702" s="8">
        <f>financials[[#This Row],[Gross Sales]]-financials[[#This Row],[Gross Sales]]*financials[[#This Row],[Discounts]]</f>
        <v>136.5</v>
      </c>
      <c r="J4702" s="8">
        <f>VLOOKUP(financials[[#This Row],[productid]],Products!$B$2:$H$10,4)</f>
        <v>5.5</v>
      </c>
      <c r="K4702" s="8">
        <f>financials[[#This Row],[Net Sales]]-financials[[#This Row],[COGS]]</f>
        <v>131</v>
      </c>
      <c r="L4702" s="15">
        <v>44278</v>
      </c>
      <c r="M4702" t="s">
        <v>691</v>
      </c>
    </row>
    <row r="4703" spans="1:13" x14ac:dyDescent="0.25">
      <c r="A4703" t="s">
        <v>86</v>
      </c>
      <c r="B4703" s="6" t="s">
        <v>159</v>
      </c>
      <c r="C4703" s="13">
        <v>108</v>
      </c>
      <c r="D4703" s="14" t="s">
        <v>90</v>
      </c>
      <c r="E4703">
        <v>19</v>
      </c>
      <c r="F4703" s="8">
        <f>VLOOKUP(financials[[#This Row],[productid]],Products!$B$2:$H$10,3)</f>
        <v>5.5</v>
      </c>
      <c r="G4703" s="8">
        <f>financials[[#This Row],[Units Sold]]*financials[[#This Row],[Sale Price]]</f>
        <v>104.5</v>
      </c>
      <c r="H4703" s="8">
        <f>IF(financials[[#This Row],[Discount Band]]="low",0.1,IF(financials[[#This Row],[Discount Band]]="medium",0.15,0.3))</f>
        <v>0.15</v>
      </c>
      <c r="I4703" s="8">
        <f>financials[[#This Row],[Gross Sales]]-financials[[#This Row],[Gross Sales]]*financials[[#This Row],[Discounts]]</f>
        <v>88.825000000000003</v>
      </c>
      <c r="J4703" s="8">
        <f>VLOOKUP(financials[[#This Row],[productid]],Products!$B$2:$H$10,4)</f>
        <v>3.99</v>
      </c>
      <c r="K4703" s="8">
        <f>financials[[#This Row],[Net Sales]]-financials[[#This Row],[COGS]]</f>
        <v>84.835000000000008</v>
      </c>
      <c r="L4703" s="15">
        <v>45647</v>
      </c>
      <c r="M4703" t="s">
        <v>700</v>
      </c>
    </row>
    <row r="4704" spans="1:13" x14ac:dyDescent="0.25">
      <c r="A4704" t="s">
        <v>85</v>
      </c>
      <c r="B4704" s="6" t="s">
        <v>159</v>
      </c>
      <c r="C4704" s="13">
        <v>104</v>
      </c>
      <c r="D4704" s="14" t="s">
        <v>90</v>
      </c>
      <c r="E4704">
        <v>6</v>
      </c>
      <c r="F4704" s="8">
        <f>VLOOKUP(financials[[#This Row],[productid]],Products!$B$2:$H$10,3)</f>
        <v>5.9</v>
      </c>
      <c r="G4704" s="8">
        <f>financials[[#This Row],[Units Sold]]*financials[[#This Row],[Sale Price]]</f>
        <v>35.400000000000006</v>
      </c>
      <c r="H4704" s="8">
        <f>IF(financials[[#This Row],[Discount Band]]="low",0.1,IF(financials[[#This Row],[Discount Band]]="medium",0.15,0.3))</f>
        <v>0.15</v>
      </c>
      <c r="I4704" s="8">
        <f>financials[[#This Row],[Gross Sales]]-financials[[#This Row],[Gross Sales]]*financials[[#This Row],[Discounts]]</f>
        <v>30.090000000000003</v>
      </c>
      <c r="J4704" s="8">
        <f>VLOOKUP(financials[[#This Row],[productid]],Products!$B$2:$H$10,4)</f>
        <v>2.9</v>
      </c>
      <c r="K4704" s="8">
        <f>financials[[#This Row],[Net Sales]]-financials[[#This Row],[COGS]]</f>
        <v>27.190000000000005</v>
      </c>
      <c r="L4704" s="15">
        <v>44993</v>
      </c>
      <c r="M4704" t="s">
        <v>690</v>
      </c>
    </row>
    <row r="4705" spans="1:13" x14ac:dyDescent="0.25">
      <c r="A4705" t="s">
        <v>87</v>
      </c>
      <c r="B4705" s="6" t="s">
        <v>159</v>
      </c>
      <c r="C4705" s="13">
        <v>101</v>
      </c>
      <c r="D4705" s="14" t="s">
        <v>90</v>
      </c>
      <c r="E4705">
        <v>9</v>
      </c>
      <c r="F4705" s="8">
        <f>VLOOKUP(financials[[#This Row],[productid]],Products!$B$2:$H$10,3)</f>
        <v>23</v>
      </c>
      <c r="G4705" s="8">
        <f>financials[[#This Row],[Units Sold]]*financials[[#This Row],[Sale Price]]</f>
        <v>207</v>
      </c>
      <c r="H4705" s="8">
        <f>IF(financials[[#This Row],[Discount Band]]="low",0.1,IF(financials[[#This Row],[Discount Band]]="medium",0.15,0.3))</f>
        <v>0.15</v>
      </c>
      <c r="I4705" s="8">
        <f>financials[[#This Row],[Gross Sales]]-financials[[#This Row],[Gross Sales]]*financials[[#This Row],[Discounts]]</f>
        <v>175.95</v>
      </c>
      <c r="J4705" s="8">
        <f>VLOOKUP(financials[[#This Row],[productid]],Products!$B$2:$H$10,4)</f>
        <v>9.9499999999999993</v>
      </c>
      <c r="K4705" s="8">
        <f>financials[[#This Row],[Net Sales]]-financials[[#This Row],[COGS]]</f>
        <v>166</v>
      </c>
      <c r="L4705" s="15">
        <v>45063</v>
      </c>
      <c r="M4705" t="s">
        <v>696</v>
      </c>
    </row>
    <row r="4706" spans="1:13" x14ac:dyDescent="0.25">
      <c r="A4706" t="s">
        <v>87</v>
      </c>
      <c r="B4706" s="6" t="s">
        <v>159</v>
      </c>
      <c r="C4706" s="11">
        <v>107</v>
      </c>
      <c r="D4706" s="9" t="s">
        <v>91</v>
      </c>
      <c r="E4706">
        <v>20</v>
      </c>
      <c r="F4706" s="8">
        <f>VLOOKUP(financials[[#This Row],[productid]],Products!$B$2:$H$10,3)</f>
        <v>15</v>
      </c>
      <c r="G4706" s="8">
        <f>financials[[#This Row],[Units Sold]]*financials[[#This Row],[Sale Price]]</f>
        <v>300</v>
      </c>
      <c r="H4706" s="8">
        <f>IF(financials[[#This Row],[Discount Band]]="low",0.1,IF(financials[[#This Row],[Discount Band]]="medium",0.15,0.3))</f>
        <v>0.1</v>
      </c>
      <c r="I4706" s="8">
        <f>financials[[#This Row],[Gross Sales]]-financials[[#This Row],[Gross Sales]]*financials[[#This Row],[Discounts]]</f>
        <v>270</v>
      </c>
      <c r="J4706" s="8">
        <f>VLOOKUP(financials[[#This Row],[productid]],Products!$B$2:$H$10,4)</f>
        <v>5.5</v>
      </c>
      <c r="K4706" s="8">
        <f>financials[[#This Row],[Net Sales]]-financials[[#This Row],[COGS]]</f>
        <v>264.5</v>
      </c>
      <c r="L4706" s="15">
        <v>44728</v>
      </c>
      <c r="M4706" t="s">
        <v>700</v>
      </c>
    </row>
    <row r="4707" spans="1:13" x14ac:dyDescent="0.25">
      <c r="A4707" t="s">
        <v>87</v>
      </c>
      <c r="B4707" s="6" t="s">
        <v>159</v>
      </c>
      <c r="C4707" s="13">
        <v>105</v>
      </c>
      <c r="D4707" s="14" t="s">
        <v>91</v>
      </c>
      <c r="E4707">
        <v>10</v>
      </c>
      <c r="F4707" s="8">
        <f>VLOOKUP(financials[[#This Row],[productid]],Products!$B$2:$H$10,3)</f>
        <v>15</v>
      </c>
      <c r="G4707" s="8">
        <f>financials[[#This Row],[Units Sold]]*financials[[#This Row],[Sale Price]]</f>
        <v>150</v>
      </c>
      <c r="H4707" s="8">
        <f>IF(financials[[#This Row],[Discount Band]]="low",0.1,IF(financials[[#This Row],[Discount Band]]="medium",0.15,0.3))</f>
        <v>0.1</v>
      </c>
      <c r="I4707" s="8">
        <f>financials[[#This Row],[Gross Sales]]-financials[[#This Row],[Gross Sales]]*financials[[#This Row],[Discounts]]</f>
        <v>135</v>
      </c>
      <c r="J4707" s="8">
        <f>VLOOKUP(financials[[#This Row],[productid]],Products!$B$2:$H$10,4)</f>
        <v>10</v>
      </c>
      <c r="K4707" s="8">
        <f>financials[[#This Row],[Net Sales]]-financials[[#This Row],[COGS]]</f>
        <v>125</v>
      </c>
      <c r="L4707" s="15">
        <v>45084</v>
      </c>
      <c r="M4707" t="s">
        <v>697</v>
      </c>
    </row>
    <row r="4708" spans="1:13" x14ac:dyDescent="0.25">
      <c r="A4708" t="s">
        <v>85</v>
      </c>
      <c r="B4708" s="6" t="s">
        <v>159</v>
      </c>
      <c r="C4708" s="11">
        <v>101</v>
      </c>
      <c r="D4708" s="9" t="s">
        <v>90</v>
      </c>
      <c r="E4708">
        <v>15</v>
      </c>
      <c r="F4708" s="8">
        <f>VLOOKUP(financials[[#This Row],[productid]],Products!$B$2:$H$10,3)</f>
        <v>23</v>
      </c>
      <c r="G4708" s="8">
        <f>financials[[#This Row],[Units Sold]]*financials[[#This Row],[Sale Price]]</f>
        <v>345</v>
      </c>
      <c r="H4708" s="8">
        <f>IF(financials[[#This Row],[Discount Band]]="low",0.1,IF(financials[[#This Row],[Discount Band]]="medium",0.15,0.3))</f>
        <v>0.15</v>
      </c>
      <c r="I4708" s="8">
        <f>financials[[#This Row],[Gross Sales]]-financials[[#This Row],[Gross Sales]]*financials[[#This Row],[Discounts]]</f>
        <v>293.25</v>
      </c>
      <c r="J4708" s="8">
        <f>VLOOKUP(financials[[#This Row],[productid]],Products!$B$2:$H$10,4)</f>
        <v>9.9499999999999993</v>
      </c>
      <c r="K4708" s="8">
        <f>financials[[#This Row],[Net Sales]]-financials[[#This Row],[COGS]]</f>
        <v>283.3</v>
      </c>
      <c r="L4708" s="15">
        <v>45472</v>
      </c>
      <c r="M4708" t="s">
        <v>697</v>
      </c>
    </row>
    <row r="4709" spans="1:13" x14ac:dyDescent="0.25">
      <c r="A4709" t="s">
        <v>87</v>
      </c>
      <c r="B4709" s="6" t="s">
        <v>124</v>
      </c>
      <c r="C4709" s="13">
        <v>107</v>
      </c>
      <c r="D4709" s="14" t="s">
        <v>91</v>
      </c>
      <c r="E4709">
        <v>10</v>
      </c>
      <c r="F4709" s="8">
        <f>VLOOKUP(financials[[#This Row],[productid]],Products!$B$2:$H$10,3)</f>
        <v>15</v>
      </c>
      <c r="G4709" s="8">
        <f>financials[[#This Row],[Units Sold]]*financials[[#This Row],[Sale Price]]</f>
        <v>150</v>
      </c>
      <c r="H4709" s="8">
        <f>IF(financials[[#This Row],[Discount Band]]="low",0.1,IF(financials[[#This Row],[Discount Band]]="medium",0.15,0.3))</f>
        <v>0.1</v>
      </c>
      <c r="I4709" s="8">
        <f>financials[[#This Row],[Gross Sales]]-financials[[#This Row],[Gross Sales]]*financials[[#This Row],[Discounts]]</f>
        <v>135</v>
      </c>
      <c r="J4709" s="8">
        <f>VLOOKUP(financials[[#This Row],[productid]],Products!$B$2:$H$10,4)</f>
        <v>5.5</v>
      </c>
      <c r="K4709" s="8">
        <f>financials[[#This Row],[Net Sales]]-financials[[#This Row],[COGS]]</f>
        <v>129.5</v>
      </c>
      <c r="L4709" s="15">
        <v>43954</v>
      </c>
      <c r="M4709" t="s">
        <v>696</v>
      </c>
    </row>
    <row r="4710" spans="1:13" x14ac:dyDescent="0.25">
      <c r="A4710" t="s">
        <v>87</v>
      </c>
      <c r="B4710" s="6" t="s">
        <v>124</v>
      </c>
      <c r="C4710" s="13">
        <v>102</v>
      </c>
      <c r="D4710" s="14" t="s">
        <v>90</v>
      </c>
      <c r="E4710">
        <v>12</v>
      </c>
      <c r="F4710" s="8">
        <f>VLOOKUP(financials[[#This Row],[productid]],Products!$B$2:$H$10,3)</f>
        <v>15</v>
      </c>
      <c r="G4710" s="8">
        <f>financials[[#This Row],[Units Sold]]*financials[[#This Row],[Sale Price]]</f>
        <v>180</v>
      </c>
      <c r="H4710" s="8">
        <f>IF(financials[[#This Row],[Discount Band]]="low",0.1,IF(financials[[#This Row],[Discount Band]]="medium",0.15,0.3))</f>
        <v>0.15</v>
      </c>
      <c r="I4710" s="8">
        <f>financials[[#This Row],[Gross Sales]]-financials[[#This Row],[Gross Sales]]*financials[[#This Row],[Discounts]]</f>
        <v>153</v>
      </c>
      <c r="J4710" s="8">
        <f>VLOOKUP(financials[[#This Row],[productid]],Products!$B$2:$H$10,4)</f>
        <v>13.95</v>
      </c>
      <c r="K4710" s="8">
        <f>financials[[#This Row],[Net Sales]]-financials[[#This Row],[COGS]]</f>
        <v>139.05000000000001</v>
      </c>
      <c r="L4710" s="15">
        <v>44604</v>
      </c>
      <c r="M4710" t="s">
        <v>697</v>
      </c>
    </row>
    <row r="4711" spans="1:13" x14ac:dyDescent="0.25">
      <c r="A4711" t="s">
        <v>87</v>
      </c>
      <c r="B4711" s="6" t="s">
        <v>124</v>
      </c>
      <c r="C4711" s="13">
        <v>107</v>
      </c>
      <c r="D4711" s="14" t="s">
        <v>90</v>
      </c>
      <c r="E4711">
        <v>13</v>
      </c>
      <c r="F4711" s="8">
        <f>VLOOKUP(financials[[#This Row],[productid]],Products!$B$2:$H$10,3)</f>
        <v>15</v>
      </c>
      <c r="G4711" s="8">
        <f>financials[[#This Row],[Units Sold]]*financials[[#This Row],[Sale Price]]</f>
        <v>195</v>
      </c>
      <c r="H4711" s="8">
        <f>IF(financials[[#This Row],[Discount Band]]="low",0.1,IF(financials[[#This Row],[Discount Band]]="medium",0.15,0.3))</f>
        <v>0.15</v>
      </c>
      <c r="I4711" s="8">
        <f>financials[[#This Row],[Gross Sales]]-financials[[#This Row],[Gross Sales]]*financials[[#This Row],[Discounts]]</f>
        <v>165.75</v>
      </c>
      <c r="J4711" s="8">
        <f>VLOOKUP(financials[[#This Row],[productid]],Products!$B$2:$H$10,4)</f>
        <v>5.5</v>
      </c>
      <c r="K4711" s="8">
        <f>financials[[#This Row],[Net Sales]]-financials[[#This Row],[COGS]]</f>
        <v>160.25</v>
      </c>
      <c r="L4711" s="15">
        <v>45135</v>
      </c>
      <c r="M4711" t="s">
        <v>691</v>
      </c>
    </row>
    <row r="4712" spans="1:13" x14ac:dyDescent="0.25">
      <c r="A4712" t="s">
        <v>87</v>
      </c>
      <c r="B4712" s="6" t="s">
        <v>159</v>
      </c>
      <c r="C4712" s="13">
        <v>108</v>
      </c>
      <c r="D4712" s="14" t="s">
        <v>91</v>
      </c>
      <c r="E4712">
        <v>18</v>
      </c>
      <c r="F4712" s="8">
        <f>VLOOKUP(financials[[#This Row],[productid]],Products!$B$2:$H$10,3)</f>
        <v>5.5</v>
      </c>
      <c r="G4712" s="8">
        <f>financials[[#This Row],[Units Sold]]*financials[[#This Row],[Sale Price]]</f>
        <v>99</v>
      </c>
      <c r="H4712" s="8">
        <f>IF(financials[[#This Row],[Discount Band]]="low",0.1,IF(financials[[#This Row],[Discount Band]]="medium",0.15,0.3))</f>
        <v>0.1</v>
      </c>
      <c r="I4712" s="8">
        <f>financials[[#This Row],[Gross Sales]]-financials[[#This Row],[Gross Sales]]*financials[[#This Row],[Discounts]]</f>
        <v>89.1</v>
      </c>
      <c r="J4712" s="8">
        <f>VLOOKUP(financials[[#This Row],[productid]],Products!$B$2:$H$10,4)</f>
        <v>3.99</v>
      </c>
      <c r="K4712" s="8">
        <f>financials[[#This Row],[Net Sales]]-financials[[#This Row],[COGS]]</f>
        <v>85.11</v>
      </c>
      <c r="L4712" s="15">
        <v>45442</v>
      </c>
      <c r="M4712" t="s">
        <v>691</v>
      </c>
    </row>
    <row r="4713" spans="1:13" x14ac:dyDescent="0.25">
      <c r="A4713" t="s">
        <v>86</v>
      </c>
      <c r="B4713" s="6" t="s">
        <v>124</v>
      </c>
      <c r="C4713" s="11">
        <v>105</v>
      </c>
      <c r="D4713" s="9" t="s">
        <v>91</v>
      </c>
      <c r="E4713">
        <v>19</v>
      </c>
      <c r="F4713" s="8">
        <f>VLOOKUP(financials[[#This Row],[productid]],Products!$B$2:$H$10,3)</f>
        <v>15</v>
      </c>
      <c r="G4713" s="8">
        <f>financials[[#This Row],[Units Sold]]*financials[[#This Row],[Sale Price]]</f>
        <v>285</v>
      </c>
      <c r="H4713" s="8">
        <f>IF(financials[[#This Row],[Discount Band]]="low",0.1,IF(financials[[#This Row],[Discount Band]]="medium",0.15,0.3))</f>
        <v>0.1</v>
      </c>
      <c r="I4713" s="8">
        <f>financials[[#This Row],[Gross Sales]]-financials[[#This Row],[Gross Sales]]*financials[[#This Row],[Discounts]]</f>
        <v>256.5</v>
      </c>
      <c r="J4713" s="8">
        <f>VLOOKUP(financials[[#This Row],[productid]],Products!$B$2:$H$10,4)</f>
        <v>10</v>
      </c>
      <c r="K4713" s="8">
        <f>financials[[#This Row],[Net Sales]]-financials[[#This Row],[COGS]]</f>
        <v>246.5</v>
      </c>
      <c r="L4713" s="15">
        <v>44291</v>
      </c>
      <c r="M4713" t="s">
        <v>691</v>
      </c>
    </row>
    <row r="4714" spans="1:13" x14ac:dyDescent="0.25">
      <c r="A4714" t="s">
        <v>85</v>
      </c>
      <c r="B4714" s="6" t="s">
        <v>159</v>
      </c>
      <c r="C4714" s="13">
        <v>104</v>
      </c>
      <c r="D4714" s="14" t="s">
        <v>83</v>
      </c>
      <c r="E4714">
        <v>12</v>
      </c>
      <c r="F4714" s="8">
        <f>VLOOKUP(financials[[#This Row],[productid]],Products!$B$2:$H$10,3)</f>
        <v>5.9</v>
      </c>
      <c r="G4714" s="8">
        <f>financials[[#This Row],[Units Sold]]*financials[[#This Row],[Sale Price]]</f>
        <v>70.800000000000011</v>
      </c>
      <c r="H4714" s="8">
        <f>IF(financials[[#This Row],[Discount Band]]="low",0.1,IF(financials[[#This Row],[Discount Band]]="medium",0.15,0.3))</f>
        <v>0.3</v>
      </c>
      <c r="I4714" s="8">
        <f>financials[[#This Row],[Gross Sales]]-financials[[#This Row],[Gross Sales]]*financials[[#This Row],[Discounts]]</f>
        <v>49.560000000000009</v>
      </c>
      <c r="J4714" s="8">
        <f>VLOOKUP(financials[[#This Row],[productid]],Products!$B$2:$H$10,4)</f>
        <v>2.9</v>
      </c>
      <c r="K4714" s="8">
        <f>financials[[#This Row],[Net Sales]]-financials[[#This Row],[COGS]]</f>
        <v>46.660000000000011</v>
      </c>
      <c r="L4714" s="15">
        <v>45519</v>
      </c>
      <c r="M4714" t="s">
        <v>700</v>
      </c>
    </row>
    <row r="4715" spans="1:13" x14ac:dyDescent="0.25">
      <c r="A4715" t="s">
        <v>86</v>
      </c>
      <c r="B4715" s="6" t="s">
        <v>159</v>
      </c>
      <c r="C4715" s="13">
        <v>106</v>
      </c>
      <c r="D4715" s="14" t="s">
        <v>90</v>
      </c>
      <c r="E4715">
        <v>15</v>
      </c>
      <c r="F4715" s="8">
        <f>VLOOKUP(financials[[#This Row],[productid]],Products!$B$2:$H$10,3)</f>
        <v>25</v>
      </c>
      <c r="G4715" s="8">
        <f>financials[[#This Row],[Units Sold]]*financials[[#This Row],[Sale Price]]</f>
        <v>375</v>
      </c>
      <c r="H4715" s="8">
        <f>IF(financials[[#This Row],[Discount Band]]="low",0.1,IF(financials[[#This Row],[Discount Band]]="medium",0.15,0.3))</f>
        <v>0.15</v>
      </c>
      <c r="I4715" s="8">
        <f>financials[[#This Row],[Gross Sales]]-financials[[#This Row],[Gross Sales]]*financials[[#This Row],[Discounts]]</f>
        <v>318.75</v>
      </c>
      <c r="J4715" s="8">
        <f>VLOOKUP(financials[[#This Row],[productid]],Products!$B$2:$H$10,4)</f>
        <v>9.1</v>
      </c>
      <c r="K4715" s="8">
        <f>financials[[#This Row],[Net Sales]]-financials[[#This Row],[COGS]]</f>
        <v>309.64999999999998</v>
      </c>
      <c r="L4715" s="15">
        <v>43896</v>
      </c>
      <c r="M4715" t="s">
        <v>690</v>
      </c>
    </row>
    <row r="4716" spans="1:13" x14ac:dyDescent="0.25">
      <c r="A4716" t="s">
        <v>85</v>
      </c>
      <c r="B4716" s="6" t="s">
        <v>159</v>
      </c>
      <c r="C4716" s="11">
        <v>105</v>
      </c>
      <c r="D4716" s="9" t="s">
        <v>83</v>
      </c>
      <c r="E4716">
        <v>12</v>
      </c>
      <c r="F4716" s="8">
        <f>VLOOKUP(financials[[#This Row],[productid]],Products!$B$2:$H$10,3)</f>
        <v>15</v>
      </c>
      <c r="G4716" s="8">
        <f>financials[[#This Row],[Units Sold]]*financials[[#This Row],[Sale Price]]</f>
        <v>180</v>
      </c>
      <c r="H4716" s="8">
        <f>IF(financials[[#This Row],[Discount Band]]="low",0.1,IF(financials[[#This Row],[Discount Band]]="medium",0.15,0.3))</f>
        <v>0.3</v>
      </c>
      <c r="I4716" s="8">
        <f>financials[[#This Row],[Gross Sales]]-financials[[#This Row],[Gross Sales]]*financials[[#This Row],[Discounts]]</f>
        <v>126</v>
      </c>
      <c r="J4716" s="8">
        <f>VLOOKUP(financials[[#This Row],[productid]],Products!$B$2:$H$10,4)</f>
        <v>10</v>
      </c>
      <c r="K4716" s="8">
        <f>financials[[#This Row],[Net Sales]]-financials[[#This Row],[COGS]]</f>
        <v>116</v>
      </c>
      <c r="L4716" s="15">
        <v>44602</v>
      </c>
      <c r="M4716" t="s">
        <v>691</v>
      </c>
    </row>
    <row r="4717" spans="1:13" x14ac:dyDescent="0.25">
      <c r="A4717" t="s">
        <v>86</v>
      </c>
      <c r="B4717" s="6" t="s">
        <v>159</v>
      </c>
      <c r="C4717" s="13">
        <v>108</v>
      </c>
      <c r="D4717" s="14" t="s">
        <v>91</v>
      </c>
      <c r="E4717">
        <v>6</v>
      </c>
      <c r="F4717" s="8">
        <f>VLOOKUP(financials[[#This Row],[productid]],Products!$B$2:$H$10,3)</f>
        <v>5.5</v>
      </c>
      <c r="G4717" s="8">
        <f>financials[[#This Row],[Units Sold]]*financials[[#This Row],[Sale Price]]</f>
        <v>33</v>
      </c>
      <c r="H4717" s="8">
        <f>IF(financials[[#This Row],[Discount Band]]="low",0.1,IF(financials[[#This Row],[Discount Band]]="medium",0.15,0.3))</f>
        <v>0.1</v>
      </c>
      <c r="I4717" s="8">
        <f>financials[[#This Row],[Gross Sales]]-financials[[#This Row],[Gross Sales]]*financials[[#This Row],[Discounts]]</f>
        <v>29.7</v>
      </c>
      <c r="J4717" s="8">
        <f>VLOOKUP(financials[[#This Row],[productid]],Products!$B$2:$H$10,4)</f>
        <v>3.99</v>
      </c>
      <c r="K4717" s="8">
        <f>financials[[#This Row],[Net Sales]]-financials[[#This Row],[COGS]]</f>
        <v>25.71</v>
      </c>
      <c r="L4717" s="15">
        <v>45523</v>
      </c>
      <c r="M4717" t="s">
        <v>696</v>
      </c>
    </row>
    <row r="4718" spans="1:13" x14ac:dyDescent="0.25">
      <c r="A4718" t="s">
        <v>86</v>
      </c>
      <c r="B4718" s="6" t="s">
        <v>124</v>
      </c>
      <c r="C4718" s="13">
        <v>105</v>
      </c>
      <c r="D4718" s="14" t="s">
        <v>90</v>
      </c>
      <c r="E4718">
        <v>6</v>
      </c>
      <c r="F4718" s="8">
        <f>VLOOKUP(financials[[#This Row],[productid]],Products!$B$2:$H$10,3)</f>
        <v>15</v>
      </c>
      <c r="G4718" s="8">
        <f>financials[[#This Row],[Units Sold]]*financials[[#This Row],[Sale Price]]</f>
        <v>90</v>
      </c>
      <c r="H4718" s="8">
        <f>IF(financials[[#This Row],[Discount Band]]="low",0.1,IF(financials[[#This Row],[Discount Band]]="medium",0.15,0.3))</f>
        <v>0.15</v>
      </c>
      <c r="I4718" s="8">
        <f>financials[[#This Row],[Gross Sales]]-financials[[#This Row],[Gross Sales]]*financials[[#This Row],[Discounts]]</f>
        <v>76.5</v>
      </c>
      <c r="J4718" s="8">
        <f>VLOOKUP(financials[[#This Row],[productid]],Products!$B$2:$H$10,4)</f>
        <v>10</v>
      </c>
      <c r="K4718" s="8">
        <f>financials[[#This Row],[Net Sales]]-financials[[#This Row],[COGS]]</f>
        <v>66.5</v>
      </c>
      <c r="L4718" s="15">
        <v>45561</v>
      </c>
      <c r="M4718" t="s">
        <v>697</v>
      </c>
    </row>
    <row r="4719" spans="1:13" x14ac:dyDescent="0.25">
      <c r="A4719" t="s">
        <v>86</v>
      </c>
      <c r="B4719" s="6" t="s">
        <v>124</v>
      </c>
      <c r="C4719" s="13">
        <v>107</v>
      </c>
      <c r="D4719" s="14" t="s">
        <v>91</v>
      </c>
      <c r="E4719">
        <v>7</v>
      </c>
      <c r="F4719" s="8">
        <f>VLOOKUP(financials[[#This Row],[productid]],Products!$B$2:$H$10,3)</f>
        <v>15</v>
      </c>
      <c r="G4719" s="8">
        <f>financials[[#This Row],[Units Sold]]*financials[[#This Row],[Sale Price]]</f>
        <v>105</v>
      </c>
      <c r="H4719" s="8">
        <f>IF(financials[[#This Row],[Discount Band]]="low",0.1,IF(financials[[#This Row],[Discount Band]]="medium",0.15,0.3))</f>
        <v>0.1</v>
      </c>
      <c r="I4719" s="8">
        <f>financials[[#This Row],[Gross Sales]]-financials[[#This Row],[Gross Sales]]*financials[[#This Row],[Discounts]]</f>
        <v>94.5</v>
      </c>
      <c r="J4719" s="8">
        <f>VLOOKUP(financials[[#This Row],[productid]],Products!$B$2:$H$10,4)</f>
        <v>5.5</v>
      </c>
      <c r="K4719" s="8">
        <f>financials[[#This Row],[Net Sales]]-financials[[#This Row],[COGS]]</f>
        <v>89</v>
      </c>
      <c r="L4719" s="15">
        <v>44922</v>
      </c>
      <c r="M4719" t="s">
        <v>691</v>
      </c>
    </row>
    <row r="4720" spans="1:13" x14ac:dyDescent="0.25">
      <c r="A4720" t="s">
        <v>87</v>
      </c>
      <c r="B4720" s="6" t="s">
        <v>124</v>
      </c>
      <c r="C4720" s="13">
        <v>105</v>
      </c>
      <c r="D4720" s="14" t="s">
        <v>90</v>
      </c>
      <c r="E4720">
        <v>7</v>
      </c>
      <c r="F4720" s="8">
        <f>VLOOKUP(financials[[#This Row],[productid]],Products!$B$2:$H$10,3)</f>
        <v>15</v>
      </c>
      <c r="G4720" s="8">
        <f>financials[[#This Row],[Units Sold]]*financials[[#This Row],[Sale Price]]</f>
        <v>105</v>
      </c>
      <c r="H4720" s="8">
        <f>IF(financials[[#This Row],[Discount Band]]="low",0.1,IF(financials[[#This Row],[Discount Band]]="medium",0.15,0.3))</f>
        <v>0.15</v>
      </c>
      <c r="I4720" s="8">
        <f>financials[[#This Row],[Gross Sales]]-financials[[#This Row],[Gross Sales]]*financials[[#This Row],[Discounts]]</f>
        <v>89.25</v>
      </c>
      <c r="J4720" s="8">
        <f>VLOOKUP(financials[[#This Row],[productid]],Products!$B$2:$H$10,4)</f>
        <v>10</v>
      </c>
      <c r="K4720" s="8">
        <f>financials[[#This Row],[Net Sales]]-financials[[#This Row],[COGS]]</f>
        <v>79.25</v>
      </c>
      <c r="L4720" s="15">
        <v>44415</v>
      </c>
      <c r="M4720" t="s">
        <v>696</v>
      </c>
    </row>
    <row r="4721" spans="1:13" x14ac:dyDescent="0.25">
      <c r="A4721" t="s">
        <v>87</v>
      </c>
      <c r="B4721" s="6" t="s">
        <v>124</v>
      </c>
      <c r="C4721" s="13">
        <v>102</v>
      </c>
      <c r="D4721" s="14" t="s">
        <v>91</v>
      </c>
      <c r="E4721">
        <v>13</v>
      </c>
      <c r="F4721" s="8">
        <f>VLOOKUP(financials[[#This Row],[productid]],Products!$B$2:$H$10,3)</f>
        <v>15</v>
      </c>
      <c r="G4721" s="8">
        <f>financials[[#This Row],[Units Sold]]*financials[[#This Row],[Sale Price]]</f>
        <v>195</v>
      </c>
      <c r="H4721" s="8">
        <f>IF(financials[[#This Row],[Discount Band]]="low",0.1,IF(financials[[#This Row],[Discount Band]]="medium",0.15,0.3))</f>
        <v>0.1</v>
      </c>
      <c r="I4721" s="8">
        <f>financials[[#This Row],[Gross Sales]]-financials[[#This Row],[Gross Sales]]*financials[[#This Row],[Discounts]]</f>
        <v>175.5</v>
      </c>
      <c r="J4721" s="8">
        <f>VLOOKUP(financials[[#This Row],[productid]],Products!$B$2:$H$10,4)</f>
        <v>13.95</v>
      </c>
      <c r="K4721" s="8">
        <f>financials[[#This Row],[Net Sales]]-financials[[#This Row],[COGS]]</f>
        <v>161.55000000000001</v>
      </c>
      <c r="L4721" s="15">
        <v>44504</v>
      </c>
      <c r="M4721" t="s">
        <v>697</v>
      </c>
    </row>
    <row r="4722" spans="1:13" x14ac:dyDescent="0.25">
      <c r="A4722" t="s">
        <v>85</v>
      </c>
      <c r="B4722" s="6" t="s">
        <v>124</v>
      </c>
      <c r="C4722" s="13">
        <v>103</v>
      </c>
      <c r="D4722" s="14" t="s">
        <v>90</v>
      </c>
      <c r="E4722">
        <v>7</v>
      </c>
      <c r="F4722" s="8">
        <f>VLOOKUP(financials[[#This Row],[productid]],Products!$B$2:$H$10,3)</f>
        <v>28</v>
      </c>
      <c r="G4722" s="8">
        <f>financials[[#This Row],[Units Sold]]*financials[[#This Row],[Sale Price]]</f>
        <v>196</v>
      </c>
      <c r="H4722" s="8">
        <f>IF(financials[[#This Row],[Discount Band]]="low",0.1,IF(financials[[#This Row],[Discount Band]]="medium",0.15,0.3))</f>
        <v>0.15</v>
      </c>
      <c r="I4722" s="8">
        <f>financials[[#This Row],[Gross Sales]]-financials[[#This Row],[Gross Sales]]*financials[[#This Row],[Discounts]]</f>
        <v>166.6</v>
      </c>
      <c r="J4722" s="8">
        <f>VLOOKUP(financials[[#This Row],[productid]],Products!$B$2:$H$10,4)</f>
        <v>15</v>
      </c>
      <c r="K4722" s="8">
        <f>financials[[#This Row],[Net Sales]]-financials[[#This Row],[COGS]]</f>
        <v>151.6</v>
      </c>
      <c r="L4722" s="15">
        <v>44153</v>
      </c>
      <c r="M4722" t="s">
        <v>690</v>
      </c>
    </row>
    <row r="4723" spans="1:13" x14ac:dyDescent="0.25">
      <c r="A4723" t="s">
        <v>85</v>
      </c>
      <c r="B4723" s="6" t="s">
        <v>159</v>
      </c>
      <c r="C4723" s="13">
        <v>109</v>
      </c>
      <c r="D4723" s="14" t="s">
        <v>83</v>
      </c>
      <c r="E4723">
        <v>6</v>
      </c>
      <c r="F4723" s="8">
        <f>VLOOKUP(financials[[#This Row],[productid]],Products!$B$2:$H$10,3)</f>
        <v>36</v>
      </c>
      <c r="G4723" s="8">
        <f>financials[[#This Row],[Units Sold]]*financials[[#This Row],[Sale Price]]</f>
        <v>216</v>
      </c>
      <c r="H4723" s="8">
        <f>IF(financials[[#This Row],[Discount Band]]="low",0.1,IF(financials[[#This Row],[Discount Band]]="medium",0.15,0.3))</f>
        <v>0.3</v>
      </c>
      <c r="I4723" s="8">
        <f>financials[[#This Row],[Gross Sales]]-financials[[#This Row],[Gross Sales]]*financials[[#This Row],[Discounts]]</f>
        <v>151.19999999999999</v>
      </c>
      <c r="J4723" s="8">
        <f>VLOOKUP(financials[[#This Row],[productid]],Products!$B$2:$H$10,4)</f>
        <v>16.8</v>
      </c>
      <c r="K4723" s="8">
        <f>financials[[#This Row],[Net Sales]]-financials[[#This Row],[COGS]]</f>
        <v>134.39999999999998</v>
      </c>
      <c r="L4723" s="15">
        <v>43944</v>
      </c>
      <c r="M4723" t="s">
        <v>697</v>
      </c>
    </row>
    <row r="4724" spans="1:13" x14ac:dyDescent="0.25">
      <c r="A4724" t="s">
        <v>86</v>
      </c>
      <c r="B4724" s="6" t="s">
        <v>124</v>
      </c>
      <c r="C4724" s="13">
        <v>109</v>
      </c>
      <c r="D4724" s="14" t="s">
        <v>90</v>
      </c>
      <c r="E4724">
        <v>12</v>
      </c>
      <c r="F4724" s="8">
        <f>VLOOKUP(financials[[#This Row],[productid]],Products!$B$2:$H$10,3)</f>
        <v>36</v>
      </c>
      <c r="G4724" s="8">
        <f>financials[[#This Row],[Units Sold]]*financials[[#This Row],[Sale Price]]</f>
        <v>432</v>
      </c>
      <c r="H4724" s="8">
        <f>IF(financials[[#This Row],[Discount Band]]="low",0.1,IF(financials[[#This Row],[Discount Band]]="medium",0.15,0.3))</f>
        <v>0.15</v>
      </c>
      <c r="I4724" s="8">
        <f>financials[[#This Row],[Gross Sales]]-financials[[#This Row],[Gross Sales]]*financials[[#This Row],[Discounts]]</f>
        <v>367.2</v>
      </c>
      <c r="J4724" s="8">
        <f>VLOOKUP(financials[[#This Row],[productid]],Products!$B$2:$H$10,4)</f>
        <v>16.8</v>
      </c>
      <c r="K4724" s="8">
        <f>financials[[#This Row],[Net Sales]]-financials[[#This Row],[COGS]]</f>
        <v>350.4</v>
      </c>
      <c r="L4724" s="15">
        <v>44811</v>
      </c>
      <c r="M4724" t="s">
        <v>690</v>
      </c>
    </row>
    <row r="4725" spans="1:13" x14ac:dyDescent="0.25">
      <c r="A4725" t="s">
        <v>87</v>
      </c>
      <c r="B4725" s="6" t="s">
        <v>159</v>
      </c>
      <c r="C4725" s="13">
        <v>105</v>
      </c>
      <c r="D4725" s="14" t="s">
        <v>83</v>
      </c>
      <c r="E4725">
        <v>18</v>
      </c>
      <c r="F4725" s="8">
        <f>VLOOKUP(financials[[#This Row],[productid]],Products!$B$2:$H$10,3)</f>
        <v>15</v>
      </c>
      <c r="G4725" s="8">
        <f>financials[[#This Row],[Units Sold]]*financials[[#This Row],[Sale Price]]</f>
        <v>270</v>
      </c>
      <c r="H4725" s="8">
        <f>IF(financials[[#This Row],[Discount Band]]="low",0.1,IF(financials[[#This Row],[Discount Band]]="medium",0.15,0.3))</f>
        <v>0.3</v>
      </c>
      <c r="I4725" s="8">
        <f>financials[[#This Row],[Gross Sales]]-financials[[#This Row],[Gross Sales]]*financials[[#This Row],[Discounts]]</f>
        <v>189</v>
      </c>
      <c r="J4725" s="8">
        <f>VLOOKUP(financials[[#This Row],[productid]],Products!$B$2:$H$10,4)</f>
        <v>10</v>
      </c>
      <c r="K4725" s="8">
        <f>financials[[#This Row],[Net Sales]]-financials[[#This Row],[COGS]]</f>
        <v>179</v>
      </c>
      <c r="L4725" s="15">
        <v>44500</v>
      </c>
      <c r="M4725" t="s">
        <v>691</v>
      </c>
    </row>
    <row r="4726" spans="1:13" x14ac:dyDescent="0.25">
      <c r="A4726" t="s">
        <v>85</v>
      </c>
      <c r="B4726" s="6" t="s">
        <v>159</v>
      </c>
      <c r="C4726" s="13">
        <v>108</v>
      </c>
      <c r="D4726" s="14" t="s">
        <v>83</v>
      </c>
      <c r="E4726">
        <v>12</v>
      </c>
      <c r="F4726" s="8">
        <f>VLOOKUP(financials[[#This Row],[productid]],Products!$B$2:$H$10,3)</f>
        <v>5.5</v>
      </c>
      <c r="G4726" s="8">
        <f>financials[[#This Row],[Units Sold]]*financials[[#This Row],[Sale Price]]</f>
        <v>66</v>
      </c>
      <c r="H4726" s="8">
        <f>IF(financials[[#This Row],[Discount Band]]="low",0.1,IF(financials[[#This Row],[Discount Band]]="medium",0.15,0.3))</f>
        <v>0.3</v>
      </c>
      <c r="I4726" s="8">
        <f>financials[[#This Row],[Gross Sales]]-financials[[#This Row],[Gross Sales]]*financials[[#This Row],[Discounts]]</f>
        <v>46.2</v>
      </c>
      <c r="J4726" s="8">
        <f>VLOOKUP(financials[[#This Row],[productid]],Products!$B$2:$H$10,4)</f>
        <v>3.99</v>
      </c>
      <c r="K4726" s="8">
        <f>financials[[#This Row],[Net Sales]]-financials[[#This Row],[COGS]]</f>
        <v>42.21</v>
      </c>
      <c r="L4726" s="15">
        <v>44821</v>
      </c>
      <c r="M4726" t="s">
        <v>697</v>
      </c>
    </row>
    <row r="4727" spans="1:13" x14ac:dyDescent="0.25">
      <c r="A4727" t="s">
        <v>86</v>
      </c>
      <c r="B4727" s="6" t="s">
        <v>159</v>
      </c>
      <c r="C4727" s="13">
        <v>102</v>
      </c>
      <c r="D4727" s="14" t="s">
        <v>91</v>
      </c>
      <c r="E4727">
        <v>8</v>
      </c>
      <c r="F4727" s="8">
        <f>VLOOKUP(financials[[#This Row],[productid]],Products!$B$2:$H$10,3)</f>
        <v>15</v>
      </c>
      <c r="G4727" s="8">
        <f>financials[[#This Row],[Units Sold]]*financials[[#This Row],[Sale Price]]</f>
        <v>120</v>
      </c>
      <c r="H4727" s="8">
        <f>IF(financials[[#This Row],[Discount Band]]="low",0.1,IF(financials[[#This Row],[Discount Band]]="medium",0.15,0.3))</f>
        <v>0.1</v>
      </c>
      <c r="I4727" s="8">
        <f>financials[[#This Row],[Gross Sales]]-financials[[#This Row],[Gross Sales]]*financials[[#This Row],[Discounts]]</f>
        <v>108</v>
      </c>
      <c r="J4727" s="8">
        <f>VLOOKUP(financials[[#This Row],[productid]],Products!$B$2:$H$10,4)</f>
        <v>13.95</v>
      </c>
      <c r="K4727" s="8">
        <f>financials[[#This Row],[Net Sales]]-financials[[#This Row],[COGS]]</f>
        <v>94.05</v>
      </c>
      <c r="L4727" s="15">
        <v>45426</v>
      </c>
      <c r="M4727" t="s">
        <v>690</v>
      </c>
    </row>
    <row r="4728" spans="1:13" x14ac:dyDescent="0.25">
      <c r="A4728" t="s">
        <v>85</v>
      </c>
      <c r="B4728" s="6" t="s">
        <v>124</v>
      </c>
      <c r="C4728" s="13">
        <v>106</v>
      </c>
      <c r="D4728" s="14" t="s">
        <v>83</v>
      </c>
      <c r="E4728">
        <v>14</v>
      </c>
      <c r="F4728" s="8">
        <f>VLOOKUP(financials[[#This Row],[productid]],Products!$B$2:$H$10,3)</f>
        <v>25</v>
      </c>
      <c r="G4728" s="8">
        <f>financials[[#This Row],[Units Sold]]*financials[[#This Row],[Sale Price]]</f>
        <v>350</v>
      </c>
      <c r="H4728" s="8">
        <f>IF(financials[[#This Row],[Discount Band]]="low",0.1,IF(financials[[#This Row],[Discount Band]]="medium",0.15,0.3))</f>
        <v>0.3</v>
      </c>
      <c r="I4728" s="8">
        <f>financials[[#This Row],[Gross Sales]]-financials[[#This Row],[Gross Sales]]*financials[[#This Row],[Discounts]]</f>
        <v>245</v>
      </c>
      <c r="J4728" s="8">
        <f>VLOOKUP(financials[[#This Row],[productid]],Products!$B$2:$H$10,4)</f>
        <v>9.1</v>
      </c>
      <c r="K4728" s="8">
        <f>financials[[#This Row],[Net Sales]]-financials[[#This Row],[COGS]]</f>
        <v>235.9</v>
      </c>
      <c r="L4728" s="15">
        <v>44315</v>
      </c>
      <c r="M4728" t="s">
        <v>691</v>
      </c>
    </row>
    <row r="4729" spans="1:13" x14ac:dyDescent="0.25">
      <c r="A4729" t="s">
        <v>86</v>
      </c>
      <c r="B4729" s="6" t="s">
        <v>124</v>
      </c>
      <c r="C4729" s="13">
        <v>107</v>
      </c>
      <c r="D4729" s="14" t="s">
        <v>83</v>
      </c>
      <c r="E4729">
        <v>12</v>
      </c>
      <c r="F4729" s="8">
        <f>VLOOKUP(financials[[#This Row],[productid]],Products!$B$2:$H$10,3)</f>
        <v>15</v>
      </c>
      <c r="G4729" s="8">
        <f>financials[[#This Row],[Units Sold]]*financials[[#This Row],[Sale Price]]</f>
        <v>180</v>
      </c>
      <c r="H4729" s="8">
        <f>IF(financials[[#This Row],[Discount Band]]="low",0.1,IF(financials[[#This Row],[Discount Band]]="medium",0.15,0.3))</f>
        <v>0.3</v>
      </c>
      <c r="I4729" s="8">
        <f>financials[[#This Row],[Gross Sales]]-financials[[#This Row],[Gross Sales]]*financials[[#This Row],[Discounts]]</f>
        <v>126</v>
      </c>
      <c r="J4729" s="8">
        <f>VLOOKUP(financials[[#This Row],[productid]],Products!$B$2:$H$10,4)</f>
        <v>5.5</v>
      </c>
      <c r="K4729" s="8">
        <f>financials[[#This Row],[Net Sales]]-financials[[#This Row],[COGS]]</f>
        <v>120.5</v>
      </c>
      <c r="L4729" s="15">
        <v>45441</v>
      </c>
      <c r="M4729" t="s">
        <v>700</v>
      </c>
    </row>
    <row r="4730" spans="1:13" x14ac:dyDescent="0.25">
      <c r="A4730" t="s">
        <v>85</v>
      </c>
      <c r="B4730" s="6" t="s">
        <v>159</v>
      </c>
      <c r="C4730" s="13">
        <v>108</v>
      </c>
      <c r="D4730" s="14" t="s">
        <v>83</v>
      </c>
      <c r="E4730">
        <v>5</v>
      </c>
      <c r="F4730" s="8">
        <f>VLOOKUP(financials[[#This Row],[productid]],Products!$B$2:$H$10,3)</f>
        <v>5.5</v>
      </c>
      <c r="G4730" s="8">
        <f>financials[[#This Row],[Units Sold]]*financials[[#This Row],[Sale Price]]</f>
        <v>27.5</v>
      </c>
      <c r="H4730" s="8">
        <f>IF(financials[[#This Row],[Discount Band]]="low",0.1,IF(financials[[#This Row],[Discount Band]]="medium",0.15,0.3))</f>
        <v>0.3</v>
      </c>
      <c r="I4730" s="8">
        <f>financials[[#This Row],[Gross Sales]]-financials[[#This Row],[Gross Sales]]*financials[[#This Row],[Discounts]]</f>
        <v>19.25</v>
      </c>
      <c r="J4730" s="8">
        <f>VLOOKUP(financials[[#This Row],[productid]],Products!$B$2:$H$10,4)</f>
        <v>3.99</v>
      </c>
      <c r="K4730" s="8">
        <f>financials[[#This Row],[Net Sales]]-financials[[#This Row],[COGS]]</f>
        <v>15.26</v>
      </c>
      <c r="L4730" s="15">
        <v>44518</v>
      </c>
      <c r="M4730" t="s">
        <v>697</v>
      </c>
    </row>
    <row r="4731" spans="1:13" x14ac:dyDescent="0.25">
      <c r="A4731" t="s">
        <v>85</v>
      </c>
      <c r="B4731" s="6" t="s">
        <v>124</v>
      </c>
      <c r="C4731" s="13">
        <v>102</v>
      </c>
      <c r="D4731" s="14" t="s">
        <v>83</v>
      </c>
      <c r="E4731">
        <v>17</v>
      </c>
      <c r="F4731" s="8">
        <f>VLOOKUP(financials[[#This Row],[productid]],Products!$B$2:$H$10,3)</f>
        <v>15</v>
      </c>
      <c r="G4731" s="8">
        <f>financials[[#This Row],[Units Sold]]*financials[[#This Row],[Sale Price]]</f>
        <v>255</v>
      </c>
      <c r="H4731" s="8">
        <f>IF(financials[[#This Row],[Discount Band]]="low",0.1,IF(financials[[#This Row],[Discount Band]]="medium",0.15,0.3))</f>
        <v>0.3</v>
      </c>
      <c r="I4731" s="8">
        <f>financials[[#This Row],[Gross Sales]]-financials[[#This Row],[Gross Sales]]*financials[[#This Row],[Discounts]]</f>
        <v>178.5</v>
      </c>
      <c r="J4731" s="8">
        <f>VLOOKUP(financials[[#This Row],[productid]],Products!$B$2:$H$10,4)</f>
        <v>13.95</v>
      </c>
      <c r="K4731" s="8">
        <f>financials[[#This Row],[Net Sales]]-financials[[#This Row],[COGS]]</f>
        <v>164.55</v>
      </c>
      <c r="L4731" s="15">
        <v>44276</v>
      </c>
      <c r="M4731" t="s">
        <v>691</v>
      </c>
    </row>
    <row r="4732" spans="1:13" x14ac:dyDescent="0.25">
      <c r="A4732" t="s">
        <v>85</v>
      </c>
      <c r="B4732" s="6" t="s">
        <v>159</v>
      </c>
      <c r="C4732" s="13">
        <v>107</v>
      </c>
      <c r="D4732" s="14" t="s">
        <v>92</v>
      </c>
      <c r="E4732">
        <v>17</v>
      </c>
      <c r="F4732" s="8">
        <f>VLOOKUP(financials[[#This Row],[productid]],Products!$B$2:$H$10,3)</f>
        <v>15</v>
      </c>
      <c r="G4732" s="8">
        <f>financials[[#This Row],[Units Sold]]*financials[[#This Row],[Sale Price]]</f>
        <v>255</v>
      </c>
      <c r="H4732" s="8">
        <f>IF(financials[[#This Row],[Discount Band]]="low",0.1,IF(financials[[#This Row],[Discount Band]]="medium",0.15,0.3))</f>
        <v>0.3</v>
      </c>
      <c r="I4732" s="8">
        <f>financials[[#This Row],[Gross Sales]]-financials[[#This Row],[Gross Sales]]*financials[[#This Row],[Discounts]]</f>
        <v>178.5</v>
      </c>
      <c r="J4732" s="8">
        <f>VLOOKUP(financials[[#This Row],[productid]],Products!$B$2:$H$10,4)</f>
        <v>5.5</v>
      </c>
      <c r="K4732" s="8">
        <f>financials[[#This Row],[Net Sales]]-financials[[#This Row],[COGS]]</f>
        <v>173</v>
      </c>
      <c r="L4732" s="15">
        <v>44993</v>
      </c>
      <c r="M4732" t="s">
        <v>697</v>
      </c>
    </row>
    <row r="4733" spans="1:13" x14ac:dyDescent="0.25">
      <c r="A4733" t="s">
        <v>85</v>
      </c>
      <c r="B4733" s="6" t="s">
        <v>159</v>
      </c>
      <c r="C4733" s="13">
        <v>105</v>
      </c>
      <c r="D4733" s="14" t="s">
        <v>91</v>
      </c>
      <c r="E4733">
        <v>16</v>
      </c>
      <c r="F4733" s="8">
        <f>VLOOKUP(financials[[#This Row],[productid]],Products!$B$2:$H$10,3)</f>
        <v>15</v>
      </c>
      <c r="G4733" s="8">
        <f>financials[[#This Row],[Units Sold]]*financials[[#This Row],[Sale Price]]</f>
        <v>240</v>
      </c>
      <c r="H4733" s="8">
        <f>IF(financials[[#This Row],[Discount Band]]="low",0.1,IF(financials[[#This Row],[Discount Band]]="medium",0.15,0.3))</f>
        <v>0.1</v>
      </c>
      <c r="I4733" s="8">
        <f>financials[[#This Row],[Gross Sales]]-financials[[#This Row],[Gross Sales]]*financials[[#This Row],[Discounts]]</f>
        <v>216</v>
      </c>
      <c r="J4733" s="8">
        <f>VLOOKUP(financials[[#This Row],[productid]],Products!$B$2:$H$10,4)</f>
        <v>10</v>
      </c>
      <c r="K4733" s="8">
        <f>financials[[#This Row],[Net Sales]]-financials[[#This Row],[COGS]]</f>
        <v>206</v>
      </c>
      <c r="L4733" s="15">
        <v>45517</v>
      </c>
      <c r="M4733" t="s">
        <v>696</v>
      </c>
    </row>
    <row r="4734" spans="1:13" x14ac:dyDescent="0.25">
      <c r="A4734" t="s">
        <v>87</v>
      </c>
      <c r="B4734" s="6" t="s">
        <v>159</v>
      </c>
      <c r="C4734" s="11">
        <v>101</v>
      </c>
      <c r="D4734" s="9" t="s">
        <v>83</v>
      </c>
      <c r="E4734">
        <v>10</v>
      </c>
      <c r="F4734" s="8">
        <f>VLOOKUP(financials[[#This Row],[productid]],Products!$B$2:$H$10,3)</f>
        <v>23</v>
      </c>
      <c r="G4734" s="8">
        <f>financials[[#This Row],[Units Sold]]*financials[[#This Row],[Sale Price]]</f>
        <v>230</v>
      </c>
      <c r="H4734" s="8">
        <f>IF(financials[[#This Row],[Discount Band]]="low",0.1,IF(financials[[#This Row],[Discount Band]]="medium",0.15,0.3))</f>
        <v>0.3</v>
      </c>
      <c r="I4734" s="8">
        <f>financials[[#This Row],[Gross Sales]]-financials[[#This Row],[Gross Sales]]*financials[[#This Row],[Discounts]]</f>
        <v>161</v>
      </c>
      <c r="J4734" s="8">
        <f>VLOOKUP(financials[[#This Row],[productid]],Products!$B$2:$H$10,4)</f>
        <v>9.9499999999999993</v>
      </c>
      <c r="K4734" s="8">
        <f>financials[[#This Row],[Net Sales]]-financials[[#This Row],[COGS]]</f>
        <v>151.05000000000001</v>
      </c>
      <c r="L4734" s="15">
        <v>44480</v>
      </c>
      <c r="M4734" t="s">
        <v>690</v>
      </c>
    </row>
    <row r="4735" spans="1:13" x14ac:dyDescent="0.25">
      <c r="A4735" t="s">
        <v>87</v>
      </c>
      <c r="B4735" s="6" t="s">
        <v>124</v>
      </c>
      <c r="C4735" s="13">
        <v>105</v>
      </c>
      <c r="D4735" s="14" t="s">
        <v>90</v>
      </c>
      <c r="E4735">
        <v>10</v>
      </c>
      <c r="F4735" s="8">
        <f>VLOOKUP(financials[[#This Row],[productid]],Products!$B$2:$H$10,3)</f>
        <v>15</v>
      </c>
      <c r="G4735" s="8">
        <f>financials[[#This Row],[Units Sold]]*financials[[#This Row],[Sale Price]]</f>
        <v>150</v>
      </c>
      <c r="H4735" s="8">
        <f>IF(financials[[#This Row],[Discount Band]]="low",0.1,IF(financials[[#This Row],[Discount Band]]="medium",0.15,0.3))</f>
        <v>0.15</v>
      </c>
      <c r="I4735" s="8">
        <f>financials[[#This Row],[Gross Sales]]-financials[[#This Row],[Gross Sales]]*financials[[#This Row],[Discounts]]</f>
        <v>127.5</v>
      </c>
      <c r="J4735" s="8">
        <f>VLOOKUP(financials[[#This Row],[productid]],Products!$B$2:$H$10,4)</f>
        <v>10</v>
      </c>
      <c r="K4735" s="8">
        <f>financials[[#This Row],[Net Sales]]-financials[[#This Row],[COGS]]</f>
        <v>117.5</v>
      </c>
      <c r="L4735" s="15">
        <v>45038</v>
      </c>
      <c r="M4735" t="s">
        <v>700</v>
      </c>
    </row>
    <row r="4736" spans="1:13" x14ac:dyDescent="0.25">
      <c r="A4736" t="s">
        <v>85</v>
      </c>
      <c r="B4736" s="6" t="s">
        <v>124</v>
      </c>
      <c r="C4736" s="13">
        <v>106</v>
      </c>
      <c r="D4736" s="14" t="s">
        <v>90</v>
      </c>
      <c r="E4736">
        <v>7</v>
      </c>
      <c r="F4736" s="8">
        <f>VLOOKUP(financials[[#This Row],[productid]],Products!$B$2:$H$10,3)</f>
        <v>25</v>
      </c>
      <c r="G4736" s="8">
        <f>financials[[#This Row],[Units Sold]]*financials[[#This Row],[Sale Price]]</f>
        <v>175</v>
      </c>
      <c r="H4736" s="8">
        <f>IF(financials[[#This Row],[Discount Band]]="low",0.1,IF(financials[[#This Row],[Discount Band]]="medium",0.15,0.3))</f>
        <v>0.15</v>
      </c>
      <c r="I4736" s="8">
        <f>financials[[#This Row],[Gross Sales]]-financials[[#This Row],[Gross Sales]]*financials[[#This Row],[Discounts]]</f>
        <v>148.75</v>
      </c>
      <c r="J4736" s="8">
        <f>VLOOKUP(financials[[#This Row],[productid]],Products!$B$2:$H$10,4)</f>
        <v>9.1</v>
      </c>
      <c r="K4736" s="8">
        <f>financials[[#This Row],[Net Sales]]-financials[[#This Row],[COGS]]</f>
        <v>139.65</v>
      </c>
      <c r="L4736" s="15">
        <v>44485</v>
      </c>
      <c r="M4736" t="s">
        <v>696</v>
      </c>
    </row>
    <row r="4737" spans="1:13" x14ac:dyDescent="0.25">
      <c r="A4737" t="s">
        <v>85</v>
      </c>
      <c r="B4737" s="6" t="s">
        <v>159</v>
      </c>
      <c r="C4737" s="13">
        <v>107</v>
      </c>
      <c r="D4737" s="14" t="s">
        <v>90</v>
      </c>
      <c r="E4737">
        <v>15</v>
      </c>
      <c r="F4737" s="8">
        <f>VLOOKUP(financials[[#This Row],[productid]],Products!$B$2:$H$10,3)</f>
        <v>15</v>
      </c>
      <c r="G4737" s="8">
        <f>financials[[#This Row],[Units Sold]]*financials[[#This Row],[Sale Price]]</f>
        <v>225</v>
      </c>
      <c r="H4737" s="8">
        <f>IF(financials[[#This Row],[Discount Band]]="low",0.1,IF(financials[[#This Row],[Discount Band]]="medium",0.15,0.3))</f>
        <v>0.15</v>
      </c>
      <c r="I4737" s="8">
        <f>financials[[#This Row],[Gross Sales]]-financials[[#This Row],[Gross Sales]]*financials[[#This Row],[Discounts]]</f>
        <v>191.25</v>
      </c>
      <c r="J4737" s="8">
        <f>VLOOKUP(financials[[#This Row],[productid]],Products!$B$2:$H$10,4)</f>
        <v>5.5</v>
      </c>
      <c r="K4737" s="8">
        <f>financials[[#This Row],[Net Sales]]-financials[[#This Row],[COGS]]</f>
        <v>185.75</v>
      </c>
      <c r="L4737" s="15">
        <v>44680</v>
      </c>
      <c r="M4737" t="s">
        <v>696</v>
      </c>
    </row>
    <row r="4738" spans="1:13" x14ac:dyDescent="0.25">
      <c r="A4738" t="s">
        <v>85</v>
      </c>
      <c r="B4738" s="6" t="s">
        <v>124</v>
      </c>
      <c r="C4738" s="13">
        <v>107</v>
      </c>
      <c r="D4738" s="14" t="s">
        <v>90</v>
      </c>
      <c r="E4738">
        <v>20</v>
      </c>
      <c r="F4738" s="8">
        <f>VLOOKUP(financials[[#This Row],[productid]],Products!$B$2:$H$10,3)</f>
        <v>15</v>
      </c>
      <c r="G4738" s="8">
        <f>financials[[#This Row],[Units Sold]]*financials[[#This Row],[Sale Price]]</f>
        <v>300</v>
      </c>
      <c r="H4738" s="8">
        <f>IF(financials[[#This Row],[Discount Band]]="low",0.1,IF(financials[[#This Row],[Discount Band]]="medium",0.15,0.3))</f>
        <v>0.15</v>
      </c>
      <c r="I4738" s="8">
        <f>financials[[#This Row],[Gross Sales]]-financials[[#This Row],[Gross Sales]]*financials[[#This Row],[Discounts]]</f>
        <v>255</v>
      </c>
      <c r="J4738" s="8">
        <f>VLOOKUP(financials[[#This Row],[productid]],Products!$B$2:$H$10,4)</f>
        <v>5.5</v>
      </c>
      <c r="K4738" s="8">
        <f>financials[[#This Row],[Net Sales]]-financials[[#This Row],[COGS]]</f>
        <v>249.5</v>
      </c>
      <c r="L4738" s="15">
        <v>44212</v>
      </c>
      <c r="M4738" t="s">
        <v>691</v>
      </c>
    </row>
    <row r="4739" spans="1:13" x14ac:dyDescent="0.25">
      <c r="A4739" t="s">
        <v>86</v>
      </c>
      <c r="B4739" s="6" t="s">
        <v>159</v>
      </c>
      <c r="C4739" s="13">
        <v>102</v>
      </c>
      <c r="D4739" s="14" t="s">
        <v>90</v>
      </c>
      <c r="E4739">
        <v>17</v>
      </c>
      <c r="F4739" s="8">
        <f>VLOOKUP(financials[[#This Row],[productid]],Products!$B$2:$H$10,3)</f>
        <v>15</v>
      </c>
      <c r="G4739" s="8">
        <f>financials[[#This Row],[Units Sold]]*financials[[#This Row],[Sale Price]]</f>
        <v>255</v>
      </c>
      <c r="H4739" s="8">
        <f>IF(financials[[#This Row],[Discount Band]]="low",0.1,IF(financials[[#This Row],[Discount Band]]="medium",0.15,0.3))</f>
        <v>0.15</v>
      </c>
      <c r="I4739" s="8">
        <f>financials[[#This Row],[Gross Sales]]-financials[[#This Row],[Gross Sales]]*financials[[#This Row],[Discounts]]</f>
        <v>216.75</v>
      </c>
      <c r="J4739" s="8">
        <f>VLOOKUP(financials[[#This Row],[productid]],Products!$B$2:$H$10,4)</f>
        <v>13.95</v>
      </c>
      <c r="K4739" s="8">
        <f>financials[[#This Row],[Net Sales]]-financials[[#This Row],[COGS]]</f>
        <v>202.8</v>
      </c>
      <c r="L4739" s="15">
        <v>44975</v>
      </c>
      <c r="M4739" t="s">
        <v>690</v>
      </c>
    </row>
    <row r="4740" spans="1:13" x14ac:dyDescent="0.25">
      <c r="A4740" t="s">
        <v>87</v>
      </c>
      <c r="B4740" s="6" t="s">
        <v>124</v>
      </c>
      <c r="C4740" s="13">
        <v>108</v>
      </c>
      <c r="D4740" s="14" t="s">
        <v>90</v>
      </c>
      <c r="E4740">
        <v>13</v>
      </c>
      <c r="F4740" s="8">
        <f>VLOOKUP(financials[[#This Row],[productid]],Products!$B$2:$H$10,3)</f>
        <v>5.5</v>
      </c>
      <c r="G4740" s="8">
        <f>financials[[#This Row],[Units Sold]]*financials[[#This Row],[Sale Price]]</f>
        <v>71.5</v>
      </c>
      <c r="H4740" s="8">
        <f>IF(financials[[#This Row],[Discount Band]]="low",0.1,IF(financials[[#This Row],[Discount Band]]="medium",0.15,0.3))</f>
        <v>0.15</v>
      </c>
      <c r="I4740" s="8">
        <f>financials[[#This Row],[Gross Sales]]-financials[[#This Row],[Gross Sales]]*financials[[#This Row],[Discounts]]</f>
        <v>60.774999999999999</v>
      </c>
      <c r="J4740" s="8">
        <f>VLOOKUP(financials[[#This Row],[productid]],Products!$B$2:$H$10,4)</f>
        <v>3.99</v>
      </c>
      <c r="K4740" s="8">
        <f>financials[[#This Row],[Net Sales]]-financials[[#This Row],[COGS]]</f>
        <v>56.784999999999997</v>
      </c>
      <c r="L4740" s="15">
        <v>44358</v>
      </c>
      <c r="M4740" t="s">
        <v>691</v>
      </c>
    </row>
    <row r="4741" spans="1:13" x14ac:dyDescent="0.25">
      <c r="A4741" t="s">
        <v>85</v>
      </c>
      <c r="B4741" s="6" t="s">
        <v>159</v>
      </c>
      <c r="C4741" s="13">
        <v>109</v>
      </c>
      <c r="D4741" s="14" t="s">
        <v>83</v>
      </c>
      <c r="E4741">
        <v>11</v>
      </c>
      <c r="F4741" s="8">
        <f>VLOOKUP(financials[[#This Row],[productid]],Products!$B$2:$H$10,3)</f>
        <v>36</v>
      </c>
      <c r="G4741" s="8">
        <f>financials[[#This Row],[Units Sold]]*financials[[#This Row],[Sale Price]]</f>
        <v>396</v>
      </c>
      <c r="H4741" s="8">
        <f>IF(financials[[#This Row],[Discount Band]]="low",0.1,IF(financials[[#This Row],[Discount Band]]="medium",0.15,0.3))</f>
        <v>0.3</v>
      </c>
      <c r="I4741" s="8">
        <f>financials[[#This Row],[Gross Sales]]-financials[[#This Row],[Gross Sales]]*financials[[#This Row],[Discounts]]</f>
        <v>277.2</v>
      </c>
      <c r="J4741" s="8">
        <f>VLOOKUP(financials[[#This Row],[productid]],Products!$B$2:$H$10,4)</f>
        <v>16.8</v>
      </c>
      <c r="K4741" s="8">
        <f>financials[[#This Row],[Net Sales]]-financials[[#This Row],[COGS]]</f>
        <v>260.39999999999998</v>
      </c>
      <c r="L4741" s="15">
        <v>45553</v>
      </c>
      <c r="M4741" t="s">
        <v>697</v>
      </c>
    </row>
    <row r="4742" spans="1:13" x14ac:dyDescent="0.25">
      <c r="A4742" t="s">
        <v>87</v>
      </c>
      <c r="B4742" s="6" t="s">
        <v>159</v>
      </c>
      <c r="C4742" s="13">
        <v>106</v>
      </c>
      <c r="D4742" s="14" t="s">
        <v>83</v>
      </c>
      <c r="E4742">
        <v>19</v>
      </c>
      <c r="F4742" s="8">
        <f>VLOOKUP(financials[[#This Row],[productid]],Products!$B$2:$H$10,3)</f>
        <v>25</v>
      </c>
      <c r="G4742" s="8">
        <f>financials[[#This Row],[Units Sold]]*financials[[#This Row],[Sale Price]]</f>
        <v>475</v>
      </c>
      <c r="H4742" s="8">
        <f>IF(financials[[#This Row],[Discount Band]]="low",0.1,IF(financials[[#This Row],[Discount Band]]="medium",0.15,0.3))</f>
        <v>0.3</v>
      </c>
      <c r="I4742" s="8">
        <f>financials[[#This Row],[Gross Sales]]-financials[[#This Row],[Gross Sales]]*financials[[#This Row],[Discounts]]</f>
        <v>332.5</v>
      </c>
      <c r="J4742" s="8">
        <f>VLOOKUP(financials[[#This Row],[productid]],Products!$B$2:$H$10,4)</f>
        <v>9.1</v>
      </c>
      <c r="K4742" s="8">
        <f>financials[[#This Row],[Net Sales]]-financials[[#This Row],[COGS]]</f>
        <v>323.39999999999998</v>
      </c>
      <c r="L4742" s="15">
        <v>44647</v>
      </c>
      <c r="M4742" t="s">
        <v>696</v>
      </c>
    </row>
    <row r="4743" spans="1:13" x14ac:dyDescent="0.25">
      <c r="A4743" t="s">
        <v>85</v>
      </c>
      <c r="B4743" s="6" t="s">
        <v>159</v>
      </c>
      <c r="C4743" s="13">
        <v>102</v>
      </c>
      <c r="D4743" s="14" t="s">
        <v>91</v>
      </c>
      <c r="E4743">
        <v>8</v>
      </c>
      <c r="F4743" s="8">
        <f>VLOOKUP(financials[[#This Row],[productid]],Products!$B$2:$H$10,3)</f>
        <v>15</v>
      </c>
      <c r="G4743" s="8">
        <f>financials[[#This Row],[Units Sold]]*financials[[#This Row],[Sale Price]]</f>
        <v>120</v>
      </c>
      <c r="H4743" s="8">
        <f>IF(financials[[#This Row],[Discount Band]]="low",0.1,IF(financials[[#This Row],[Discount Band]]="medium",0.15,0.3))</f>
        <v>0.1</v>
      </c>
      <c r="I4743" s="8">
        <f>financials[[#This Row],[Gross Sales]]-financials[[#This Row],[Gross Sales]]*financials[[#This Row],[Discounts]]</f>
        <v>108</v>
      </c>
      <c r="J4743" s="8">
        <f>VLOOKUP(financials[[#This Row],[productid]],Products!$B$2:$H$10,4)</f>
        <v>13.95</v>
      </c>
      <c r="K4743" s="8">
        <f>financials[[#This Row],[Net Sales]]-financials[[#This Row],[COGS]]</f>
        <v>94.05</v>
      </c>
      <c r="L4743" s="15">
        <v>44810</v>
      </c>
      <c r="M4743" t="s">
        <v>691</v>
      </c>
    </row>
    <row r="4744" spans="1:13" x14ac:dyDescent="0.25">
      <c r="A4744" t="s">
        <v>86</v>
      </c>
      <c r="B4744" s="6" t="s">
        <v>124</v>
      </c>
      <c r="C4744" s="13">
        <v>102</v>
      </c>
      <c r="D4744" s="14" t="s">
        <v>90</v>
      </c>
      <c r="E4744">
        <v>15</v>
      </c>
      <c r="F4744" s="8">
        <f>VLOOKUP(financials[[#This Row],[productid]],Products!$B$2:$H$10,3)</f>
        <v>15</v>
      </c>
      <c r="G4744" s="8">
        <f>financials[[#This Row],[Units Sold]]*financials[[#This Row],[Sale Price]]</f>
        <v>225</v>
      </c>
      <c r="H4744" s="8">
        <f>IF(financials[[#This Row],[Discount Band]]="low",0.1,IF(financials[[#This Row],[Discount Band]]="medium",0.15,0.3))</f>
        <v>0.15</v>
      </c>
      <c r="I4744" s="8">
        <f>financials[[#This Row],[Gross Sales]]-financials[[#This Row],[Gross Sales]]*financials[[#This Row],[Discounts]]</f>
        <v>191.25</v>
      </c>
      <c r="J4744" s="8">
        <f>VLOOKUP(financials[[#This Row],[productid]],Products!$B$2:$H$10,4)</f>
        <v>13.95</v>
      </c>
      <c r="K4744" s="8">
        <f>financials[[#This Row],[Net Sales]]-financials[[#This Row],[COGS]]</f>
        <v>177.3</v>
      </c>
      <c r="L4744" s="15">
        <v>45402</v>
      </c>
      <c r="M4744" t="s">
        <v>696</v>
      </c>
    </row>
    <row r="4745" spans="1:13" x14ac:dyDescent="0.25">
      <c r="A4745" t="s">
        <v>87</v>
      </c>
      <c r="B4745" s="6" t="s">
        <v>159</v>
      </c>
      <c r="C4745" s="13">
        <v>101</v>
      </c>
      <c r="D4745" s="14" t="s">
        <v>83</v>
      </c>
      <c r="E4745">
        <v>14</v>
      </c>
      <c r="F4745" s="8">
        <f>VLOOKUP(financials[[#This Row],[productid]],Products!$B$2:$H$10,3)</f>
        <v>23</v>
      </c>
      <c r="G4745" s="8">
        <f>financials[[#This Row],[Units Sold]]*financials[[#This Row],[Sale Price]]</f>
        <v>322</v>
      </c>
      <c r="H4745" s="8">
        <f>IF(financials[[#This Row],[Discount Band]]="low",0.1,IF(financials[[#This Row],[Discount Band]]="medium",0.15,0.3))</f>
        <v>0.3</v>
      </c>
      <c r="I4745" s="8">
        <f>financials[[#This Row],[Gross Sales]]-financials[[#This Row],[Gross Sales]]*financials[[#This Row],[Discounts]]</f>
        <v>225.4</v>
      </c>
      <c r="J4745" s="8">
        <f>VLOOKUP(financials[[#This Row],[productid]],Products!$B$2:$H$10,4)</f>
        <v>9.9499999999999993</v>
      </c>
      <c r="K4745" s="8">
        <f>financials[[#This Row],[Net Sales]]-financials[[#This Row],[COGS]]</f>
        <v>215.45000000000002</v>
      </c>
      <c r="L4745" s="15">
        <v>44318</v>
      </c>
      <c r="M4745" t="s">
        <v>691</v>
      </c>
    </row>
    <row r="4746" spans="1:13" x14ac:dyDescent="0.25">
      <c r="A4746" t="s">
        <v>85</v>
      </c>
      <c r="B4746" s="6" t="s">
        <v>124</v>
      </c>
      <c r="C4746" s="13">
        <v>109</v>
      </c>
      <c r="D4746" s="14" t="s">
        <v>83</v>
      </c>
      <c r="E4746">
        <v>10</v>
      </c>
      <c r="F4746" s="8">
        <f>VLOOKUP(financials[[#This Row],[productid]],Products!$B$2:$H$10,3)</f>
        <v>36</v>
      </c>
      <c r="G4746" s="8">
        <f>financials[[#This Row],[Units Sold]]*financials[[#This Row],[Sale Price]]</f>
        <v>360</v>
      </c>
      <c r="H4746" s="8">
        <f>IF(financials[[#This Row],[Discount Band]]="low",0.1,IF(financials[[#This Row],[Discount Band]]="medium",0.15,0.3))</f>
        <v>0.3</v>
      </c>
      <c r="I4746" s="8">
        <f>financials[[#This Row],[Gross Sales]]-financials[[#This Row],[Gross Sales]]*financials[[#This Row],[Discounts]]</f>
        <v>252</v>
      </c>
      <c r="J4746" s="8">
        <f>VLOOKUP(financials[[#This Row],[productid]],Products!$B$2:$H$10,4)</f>
        <v>16.8</v>
      </c>
      <c r="K4746" s="8">
        <f>financials[[#This Row],[Net Sales]]-financials[[#This Row],[COGS]]</f>
        <v>235.2</v>
      </c>
      <c r="L4746" s="15">
        <v>44925</v>
      </c>
      <c r="M4746" t="s">
        <v>697</v>
      </c>
    </row>
    <row r="4747" spans="1:13" x14ac:dyDescent="0.25">
      <c r="A4747" t="s">
        <v>85</v>
      </c>
      <c r="B4747" s="6" t="s">
        <v>124</v>
      </c>
      <c r="C4747" s="13">
        <v>102</v>
      </c>
      <c r="D4747" s="14" t="s">
        <v>83</v>
      </c>
      <c r="E4747">
        <v>8</v>
      </c>
      <c r="F4747" s="8">
        <f>VLOOKUP(financials[[#This Row],[productid]],Products!$B$2:$H$10,3)</f>
        <v>15</v>
      </c>
      <c r="G4747" s="8">
        <f>financials[[#This Row],[Units Sold]]*financials[[#This Row],[Sale Price]]</f>
        <v>120</v>
      </c>
      <c r="H4747" s="8">
        <f>IF(financials[[#This Row],[Discount Band]]="low",0.1,IF(financials[[#This Row],[Discount Band]]="medium",0.15,0.3))</f>
        <v>0.3</v>
      </c>
      <c r="I4747" s="8">
        <f>financials[[#This Row],[Gross Sales]]-financials[[#This Row],[Gross Sales]]*financials[[#This Row],[Discounts]]</f>
        <v>84</v>
      </c>
      <c r="J4747" s="8">
        <f>VLOOKUP(financials[[#This Row],[productid]],Products!$B$2:$H$10,4)</f>
        <v>13.95</v>
      </c>
      <c r="K4747" s="8">
        <f>financials[[#This Row],[Net Sales]]-financials[[#This Row],[COGS]]</f>
        <v>70.05</v>
      </c>
      <c r="L4747" s="15">
        <v>44591</v>
      </c>
      <c r="M4747" t="s">
        <v>696</v>
      </c>
    </row>
    <row r="4748" spans="1:13" x14ac:dyDescent="0.25">
      <c r="A4748" t="s">
        <v>86</v>
      </c>
      <c r="B4748" s="6" t="s">
        <v>124</v>
      </c>
      <c r="C4748" s="13">
        <v>102</v>
      </c>
      <c r="D4748" s="14" t="s">
        <v>83</v>
      </c>
      <c r="E4748">
        <v>10</v>
      </c>
      <c r="F4748" s="8">
        <f>VLOOKUP(financials[[#This Row],[productid]],Products!$B$2:$H$10,3)</f>
        <v>15</v>
      </c>
      <c r="G4748" s="8">
        <f>financials[[#This Row],[Units Sold]]*financials[[#This Row],[Sale Price]]</f>
        <v>150</v>
      </c>
      <c r="H4748" s="8">
        <f>IF(financials[[#This Row],[Discount Band]]="low",0.1,IF(financials[[#This Row],[Discount Band]]="medium",0.15,0.3))</f>
        <v>0.3</v>
      </c>
      <c r="I4748" s="8">
        <f>financials[[#This Row],[Gross Sales]]-financials[[#This Row],[Gross Sales]]*financials[[#This Row],[Discounts]]</f>
        <v>105</v>
      </c>
      <c r="J4748" s="8">
        <f>VLOOKUP(financials[[#This Row],[productid]],Products!$B$2:$H$10,4)</f>
        <v>13.95</v>
      </c>
      <c r="K4748" s="8">
        <f>financials[[#This Row],[Net Sales]]-financials[[#This Row],[COGS]]</f>
        <v>91.05</v>
      </c>
      <c r="L4748" s="15">
        <v>44239</v>
      </c>
      <c r="M4748" t="s">
        <v>700</v>
      </c>
    </row>
    <row r="4749" spans="1:13" x14ac:dyDescent="0.25">
      <c r="A4749" t="s">
        <v>86</v>
      </c>
      <c r="B4749" s="6" t="s">
        <v>159</v>
      </c>
      <c r="C4749" s="13">
        <v>108</v>
      </c>
      <c r="D4749" s="14" t="s">
        <v>90</v>
      </c>
      <c r="E4749">
        <v>18</v>
      </c>
      <c r="F4749" s="8">
        <f>VLOOKUP(financials[[#This Row],[productid]],Products!$B$2:$H$10,3)</f>
        <v>5.5</v>
      </c>
      <c r="G4749" s="8">
        <f>financials[[#This Row],[Units Sold]]*financials[[#This Row],[Sale Price]]</f>
        <v>99</v>
      </c>
      <c r="H4749" s="8">
        <f>IF(financials[[#This Row],[Discount Band]]="low",0.1,IF(financials[[#This Row],[Discount Band]]="medium",0.15,0.3))</f>
        <v>0.15</v>
      </c>
      <c r="I4749" s="8">
        <f>financials[[#This Row],[Gross Sales]]-financials[[#This Row],[Gross Sales]]*financials[[#This Row],[Discounts]]</f>
        <v>84.15</v>
      </c>
      <c r="J4749" s="8">
        <f>VLOOKUP(financials[[#This Row],[productid]],Products!$B$2:$H$10,4)</f>
        <v>3.99</v>
      </c>
      <c r="K4749" s="8">
        <f>financials[[#This Row],[Net Sales]]-financials[[#This Row],[COGS]]</f>
        <v>80.160000000000011</v>
      </c>
      <c r="L4749" s="15">
        <v>44944</v>
      </c>
      <c r="M4749" t="s">
        <v>691</v>
      </c>
    </row>
    <row r="4750" spans="1:13" x14ac:dyDescent="0.25">
      <c r="A4750" t="s">
        <v>85</v>
      </c>
      <c r="B4750" s="6" t="s">
        <v>159</v>
      </c>
      <c r="C4750" s="13">
        <v>106</v>
      </c>
      <c r="D4750" s="14" t="s">
        <v>83</v>
      </c>
      <c r="E4750">
        <v>16</v>
      </c>
      <c r="F4750" s="8">
        <f>VLOOKUP(financials[[#This Row],[productid]],Products!$B$2:$H$10,3)</f>
        <v>25</v>
      </c>
      <c r="G4750" s="8">
        <f>financials[[#This Row],[Units Sold]]*financials[[#This Row],[Sale Price]]</f>
        <v>400</v>
      </c>
      <c r="H4750" s="8">
        <f>IF(financials[[#This Row],[Discount Band]]="low",0.1,IF(financials[[#This Row],[Discount Band]]="medium",0.15,0.3))</f>
        <v>0.3</v>
      </c>
      <c r="I4750" s="8">
        <f>financials[[#This Row],[Gross Sales]]-financials[[#This Row],[Gross Sales]]*financials[[#This Row],[Discounts]]</f>
        <v>280</v>
      </c>
      <c r="J4750" s="8">
        <f>VLOOKUP(financials[[#This Row],[productid]],Products!$B$2:$H$10,4)</f>
        <v>9.1</v>
      </c>
      <c r="K4750" s="8">
        <f>financials[[#This Row],[Net Sales]]-financials[[#This Row],[COGS]]</f>
        <v>270.89999999999998</v>
      </c>
      <c r="L4750" s="15">
        <v>44552</v>
      </c>
      <c r="M4750" t="s">
        <v>690</v>
      </c>
    </row>
    <row r="4751" spans="1:13" x14ac:dyDescent="0.25">
      <c r="A4751" t="s">
        <v>85</v>
      </c>
      <c r="B4751" s="6" t="s">
        <v>159</v>
      </c>
      <c r="C4751" s="11">
        <v>104</v>
      </c>
      <c r="D4751" s="9" t="s">
        <v>83</v>
      </c>
      <c r="E4751">
        <v>8</v>
      </c>
      <c r="F4751" s="8">
        <f>VLOOKUP(financials[[#This Row],[productid]],Products!$B$2:$H$10,3)</f>
        <v>5.9</v>
      </c>
      <c r="G4751" s="8">
        <f>financials[[#This Row],[Units Sold]]*financials[[#This Row],[Sale Price]]</f>
        <v>47.2</v>
      </c>
      <c r="H4751" s="8">
        <f>IF(financials[[#This Row],[Discount Band]]="low",0.1,IF(financials[[#This Row],[Discount Band]]="medium",0.15,0.3))</f>
        <v>0.3</v>
      </c>
      <c r="I4751" s="8">
        <f>financials[[#This Row],[Gross Sales]]-financials[[#This Row],[Gross Sales]]*financials[[#This Row],[Discounts]]</f>
        <v>33.040000000000006</v>
      </c>
      <c r="J4751" s="8">
        <f>VLOOKUP(financials[[#This Row],[productid]],Products!$B$2:$H$10,4)</f>
        <v>2.9</v>
      </c>
      <c r="K4751" s="8">
        <f>financials[[#This Row],[Net Sales]]-financials[[#This Row],[COGS]]</f>
        <v>30.140000000000008</v>
      </c>
      <c r="L4751" s="15">
        <v>44641</v>
      </c>
      <c r="M4751" t="s">
        <v>697</v>
      </c>
    </row>
    <row r="4752" spans="1:13" x14ac:dyDescent="0.25">
      <c r="A4752" t="s">
        <v>87</v>
      </c>
      <c r="B4752" s="6" t="s">
        <v>159</v>
      </c>
      <c r="C4752" s="13">
        <v>104</v>
      </c>
      <c r="D4752" s="14" t="s">
        <v>83</v>
      </c>
      <c r="E4752">
        <v>12</v>
      </c>
      <c r="F4752" s="8">
        <f>VLOOKUP(financials[[#This Row],[productid]],Products!$B$2:$H$10,3)</f>
        <v>5.9</v>
      </c>
      <c r="G4752" s="8">
        <f>financials[[#This Row],[Units Sold]]*financials[[#This Row],[Sale Price]]</f>
        <v>70.800000000000011</v>
      </c>
      <c r="H4752" s="8">
        <f>IF(financials[[#This Row],[Discount Band]]="low",0.1,IF(financials[[#This Row],[Discount Band]]="medium",0.15,0.3))</f>
        <v>0.3</v>
      </c>
      <c r="I4752" s="8">
        <f>financials[[#This Row],[Gross Sales]]-financials[[#This Row],[Gross Sales]]*financials[[#This Row],[Discounts]]</f>
        <v>49.560000000000009</v>
      </c>
      <c r="J4752" s="8">
        <f>VLOOKUP(financials[[#This Row],[productid]],Products!$B$2:$H$10,4)</f>
        <v>2.9</v>
      </c>
      <c r="K4752" s="8">
        <f>financials[[#This Row],[Net Sales]]-financials[[#This Row],[COGS]]</f>
        <v>46.660000000000011</v>
      </c>
      <c r="L4752" s="15">
        <v>45307</v>
      </c>
      <c r="M4752" t="s">
        <v>696</v>
      </c>
    </row>
    <row r="4753" spans="1:13" x14ac:dyDescent="0.25">
      <c r="A4753" t="s">
        <v>87</v>
      </c>
      <c r="B4753" s="6" t="s">
        <v>159</v>
      </c>
      <c r="C4753" s="13">
        <v>105</v>
      </c>
      <c r="D4753" s="14" t="s">
        <v>83</v>
      </c>
      <c r="E4753">
        <v>10</v>
      </c>
      <c r="F4753" s="8">
        <f>VLOOKUP(financials[[#This Row],[productid]],Products!$B$2:$H$10,3)</f>
        <v>15</v>
      </c>
      <c r="G4753" s="8">
        <f>financials[[#This Row],[Units Sold]]*financials[[#This Row],[Sale Price]]</f>
        <v>150</v>
      </c>
      <c r="H4753" s="8">
        <f>IF(financials[[#This Row],[Discount Band]]="low",0.1,IF(financials[[#This Row],[Discount Band]]="medium",0.15,0.3))</f>
        <v>0.3</v>
      </c>
      <c r="I4753" s="8">
        <f>financials[[#This Row],[Gross Sales]]-financials[[#This Row],[Gross Sales]]*financials[[#This Row],[Discounts]]</f>
        <v>105</v>
      </c>
      <c r="J4753" s="8">
        <f>VLOOKUP(financials[[#This Row],[productid]],Products!$B$2:$H$10,4)</f>
        <v>10</v>
      </c>
      <c r="K4753" s="8">
        <f>financials[[#This Row],[Net Sales]]-financials[[#This Row],[COGS]]</f>
        <v>95</v>
      </c>
      <c r="L4753" s="15">
        <v>44759</v>
      </c>
      <c r="M4753" t="s">
        <v>697</v>
      </c>
    </row>
    <row r="4754" spans="1:13" x14ac:dyDescent="0.25">
      <c r="A4754" t="s">
        <v>87</v>
      </c>
      <c r="B4754" s="6" t="s">
        <v>124</v>
      </c>
      <c r="C4754" s="11">
        <v>106</v>
      </c>
      <c r="D4754" s="9" t="s">
        <v>83</v>
      </c>
      <c r="E4754">
        <v>15</v>
      </c>
      <c r="F4754" s="8">
        <f>VLOOKUP(financials[[#This Row],[productid]],Products!$B$2:$H$10,3)</f>
        <v>25</v>
      </c>
      <c r="G4754" s="8">
        <f>financials[[#This Row],[Units Sold]]*financials[[#This Row],[Sale Price]]</f>
        <v>375</v>
      </c>
      <c r="H4754" s="8">
        <f>IF(financials[[#This Row],[Discount Band]]="low",0.1,IF(financials[[#This Row],[Discount Band]]="medium",0.15,0.3))</f>
        <v>0.3</v>
      </c>
      <c r="I4754" s="8">
        <f>financials[[#This Row],[Gross Sales]]-financials[[#This Row],[Gross Sales]]*financials[[#This Row],[Discounts]]</f>
        <v>262.5</v>
      </c>
      <c r="J4754" s="8">
        <f>VLOOKUP(financials[[#This Row],[productid]],Products!$B$2:$H$10,4)</f>
        <v>9.1</v>
      </c>
      <c r="K4754" s="8">
        <f>financials[[#This Row],[Net Sales]]-financials[[#This Row],[COGS]]</f>
        <v>253.4</v>
      </c>
      <c r="L4754" s="15">
        <v>44434</v>
      </c>
      <c r="M4754" t="s">
        <v>691</v>
      </c>
    </row>
    <row r="4755" spans="1:13" x14ac:dyDescent="0.25">
      <c r="A4755" t="s">
        <v>85</v>
      </c>
      <c r="B4755" s="6" t="s">
        <v>159</v>
      </c>
      <c r="C4755" s="13">
        <v>108</v>
      </c>
      <c r="D4755" s="14" t="s">
        <v>83</v>
      </c>
      <c r="E4755">
        <v>19</v>
      </c>
      <c r="F4755" s="8">
        <f>VLOOKUP(financials[[#This Row],[productid]],Products!$B$2:$H$10,3)</f>
        <v>5.5</v>
      </c>
      <c r="G4755" s="8">
        <f>financials[[#This Row],[Units Sold]]*financials[[#This Row],[Sale Price]]</f>
        <v>104.5</v>
      </c>
      <c r="H4755" s="8">
        <f>IF(financials[[#This Row],[Discount Band]]="low",0.1,IF(financials[[#This Row],[Discount Band]]="medium",0.15,0.3))</f>
        <v>0.3</v>
      </c>
      <c r="I4755" s="8">
        <f>financials[[#This Row],[Gross Sales]]-financials[[#This Row],[Gross Sales]]*financials[[#This Row],[Discounts]]</f>
        <v>73.150000000000006</v>
      </c>
      <c r="J4755" s="8">
        <f>VLOOKUP(financials[[#This Row],[productid]],Products!$B$2:$H$10,4)</f>
        <v>3.99</v>
      </c>
      <c r="K4755" s="8">
        <f>financials[[#This Row],[Net Sales]]-financials[[#This Row],[COGS]]</f>
        <v>69.160000000000011</v>
      </c>
      <c r="L4755" s="15">
        <v>43965</v>
      </c>
      <c r="M4755" t="s">
        <v>697</v>
      </c>
    </row>
    <row r="4756" spans="1:13" x14ac:dyDescent="0.25">
      <c r="A4756" t="s">
        <v>87</v>
      </c>
      <c r="B4756" s="6" t="s">
        <v>124</v>
      </c>
      <c r="C4756" s="13">
        <v>109</v>
      </c>
      <c r="D4756" s="14" t="s">
        <v>90</v>
      </c>
      <c r="E4756">
        <v>20</v>
      </c>
      <c r="F4756" s="8">
        <f>VLOOKUP(financials[[#This Row],[productid]],Products!$B$2:$H$10,3)</f>
        <v>36</v>
      </c>
      <c r="G4756" s="8">
        <f>financials[[#This Row],[Units Sold]]*financials[[#This Row],[Sale Price]]</f>
        <v>720</v>
      </c>
      <c r="H4756" s="8">
        <f>IF(financials[[#This Row],[Discount Band]]="low",0.1,IF(financials[[#This Row],[Discount Band]]="medium",0.15,0.3))</f>
        <v>0.15</v>
      </c>
      <c r="I4756" s="8">
        <f>financials[[#This Row],[Gross Sales]]-financials[[#This Row],[Gross Sales]]*financials[[#This Row],[Discounts]]</f>
        <v>612</v>
      </c>
      <c r="J4756" s="8">
        <f>VLOOKUP(financials[[#This Row],[productid]],Products!$B$2:$H$10,4)</f>
        <v>16.8</v>
      </c>
      <c r="K4756" s="8">
        <f>financials[[#This Row],[Net Sales]]-financials[[#This Row],[COGS]]</f>
        <v>595.20000000000005</v>
      </c>
      <c r="L4756" s="15">
        <v>45380</v>
      </c>
      <c r="M4756" t="s">
        <v>697</v>
      </c>
    </row>
    <row r="4757" spans="1:13" x14ac:dyDescent="0.25">
      <c r="A4757" t="s">
        <v>85</v>
      </c>
      <c r="B4757" s="6" t="s">
        <v>124</v>
      </c>
      <c r="C4757" s="13">
        <v>103</v>
      </c>
      <c r="D4757" s="14" t="s">
        <v>90</v>
      </c>
      <c r="E4757">
        <v>20</v>
      </c>
      <c r="F4757" s="8">
        <f>VLOOKUP(financials[[#This Row],[productid]],Products!$B$2:$H$10,3)</f>
        <v>28</v>
      </c>
      <c r="G4757" s="8">
        <f>financials[[#This Row],[Units Sold]]*financials[[#This Row],[Sale Price]]</f>
        <v>560</v>
      </c>
      <c r="H4757" s="8">
        <f>IF(financials[[#This Row],[Discount Band]]="low",0.1,IF(financials[[#This Row],[Discount Band]]="medium",0.15,0.3))</f>
        <v>0.15</v>
      </c>
      <c r="I4757" s="8">
        <f>financials[[#This Row],[Gross Sales]]-financials[[#This Row],[Gross Sales]]*financials[[#This Row],[Discounts]]</f>
        <v>476</v>
      </c>
      <c r="J4757" s="8">
        <f>VLOOKUP(financials[[#This Row],[productid]],Products!$B$2:$H$10,4)</f>
        <v>15</v>
      </c>
      <c r="K4757" s="8">
        <f>financials[[#This Row],[Net Sales]]-financials[[#This Row],[COGS]]</f>
        <v>461</v>
      </c>
      <c r="L4757" s="15">
        <v>43940</v>
      </c>
      <c r="M4757" t="s">
        <v>690</v>
      </c>
    </row>
    <row r="4758" spans="1:13" x14ac:dyDescent="0.25">
      <c r="A4758" t="s">
        <v>86</v>
      </c>
      <c r="B4758" s="6" t="s">
        <v>124</v>
      </c>
      <c r="C4758" s="13">
        <v>102</v>
      </c>
      <c r="D4758" s="14" t="s">
        <v>92</v>
      </c>
      <c r="E4758">
        <v>19</v>
      </c>
      <c r="F4758" s="8">
        <f>VLOOKUP(financials[[#This Row],[productid]],Products!$B$2:$H$10,3)</f>
        <v>15</v>
      </c>
      <c r="G4758" s="8">
        <f>financials[[#This Row],[Units Sold]]*financials[[#This Row],[Sale Price]]</f>
        <v>285</v>
      </c>
      <c r="H4758" s="8">
        <f>IF(financials[[#This Row],[Discount Band]]="low",0.1,IF(financials[[#This Row],[Discount Band]]="medium",0.15,0.3))</f>
        <v>0.3</v>
      </c>
      <c r="I4758" s="8">
        <f>financials[[#This Row],[Gross Sales]]-financials[[#This Row],[Gross Sales]]*financials[[#This Row],[Discounts]]</f>
        <v>199.5</v>
      </c>
      <c r="J4758" s="8">
        <f>VLOOKUP(financials[[#This Row],[productid]],Products!$B$2:$H$10,4)</f>
        <v>13.95</v>
      </c>
      <c r="K4758" s="8">
        <f>financials[[#This Row],[Net Sales]]-financials[[#This Row],[COGS]]</f>
        <v>185.55</v>
      </c>
      <c r="L4758" s="15">
        <v>44932</v>
      </c>
      <c r="M4758" t="s">
        <v>697</v>
      </c>
    </row>
    <row r="4759" spans="1:13" x14ac:dyDescent="0.25">
      <c r="A4759" t="s">
        <v>87</v>
      </c>
      <c r="B4759" s="6" t="s">
        <v>124</v>
      </c>
      <c r="C4759" s="13">
        <v>104</v>
      </c>
      <c r="D4759" s="14" t="s">
        <v>83</v>
      </c>
      <c r="E4759">
        <v>10</v>
      </c>
      <c r="F4759" s="8">
        <f>VLOOKUP(financials[[#This Row],[productid]],Products!$B$2:$H$10,3)</f>
        <v>5.9</v>
      </c>
      <c r="G4759" s="8">
        <f>financials[[#This Row],[Units Sold]]*financials[[#This Row],[Sale Price]]</f>
        <v>59</v>
      </c>
      <c r="H4759" s="8">
        <f>IF(financials[[#This Row],[Discount Band]]="low",0.1,IF(financials[[#This Row],[Discount Band]]="medium",0.15,0.3))</f>
        <v>0.3</v>
      </c>
      <c r="I4759" s="8">
        <f>financials[[#This Row],[Gross Sales]]-financials[[#This Row],[Gross Sales]]*financials[[#This Row],[Discounts]]</f>
        <v>41.3</v>
      </c>
      <c r="J4759" s="8">
        <f>VLOOKUP(financials[[#This Row],[productid]],Products!$B$2:$H$10,4)</f>
        <v>2.9</v>
      </c>
      <c r="K4759" s="8">
        <f>financials[[#This Row],[Net Sales]]-financials[[#This Row],[COGS]]</f>
        <v>38.4</v>
      </c>
      <c r="L4759" s="15">
        <v>44292</v>
      </c>
      <c r="M4759" t="s">
        <v>697</v>
      </c>
    </row>
    <row r="4760" spans="1:13" x14ac:dyDescent="0.25">
      <c r="A4760" t="s">
        <v>85</v>
      </c>
      <c r="B4760" s="6" t="s">
        <v>124</v>
      </c>
      <c r="C4760" s="11">
        <v>104</v>
      </c>
      <c r="D4760" s="9" t="s">
        <v>83</v>
      </c>
      <c r="E4760">
        <v>17</v>
      </c>
      <c r="F4760" s="8">
        <f>VLOOKUP(financials[[#This Row],[productid]],Products!$B$2:$H$10,3)</f>
        <v>5.9</v>
      </c>
      <c r="G4760" s="8">
        <f>financials[[#This Row],[Units Sold]]*financials[[#This Row],[Sale Price]]</f>
        <v>100.30000000000001</v>
      </c>
      <c r="H4760" s="8">
        <f>IF(financials[[#This Row],[Discount Band]]="low",0.1,IF(financials[[#This Row],[Discount Band]]="medium",0.15,0.3))</f>
        <v>0.3</v>
      </c>
      <c r="I4760" s="8">
        <f>financials[[#This Row],[Gross Sales]]-financials[[#This Row],[Gross Sales]]*financials[[#This Row],[Discounts]]</f>
        <v>70.210000000000008</v>
      </c>
      <c r="J4760" s="8">
        <f>VLOOKUP(financials[[#This Row],[productid]],Products!$B$2:$H$10,4)</f>
        <v>2.9</v>
      </c>
      <c r="K4760" s="8">
        <f>financials[[#This Row],[Net Sales]]-financials[[#This Row],[COGS]]</f>
        <v>67.31</v>
      </c>
      <c r="L4760" s="15">
        <v>44069</v>
      </c>
      <c r="M4760" t="s">
        <v>690</v>
      </c>
    </row>
    <row r="4761" spans="1:13" x14ac:dyDescent="0.25">
      <c r="A4761" t="s">
        <v>85</v>
      </c>
      <c r="B4761" s="6" t="s">
        <v>159</v>
      </c>
      <c r="C4761" s="13">
        <v>102</v>
      </c>
      <c r="D4761" s="14" t="s">
        <v>90</v>
      </c>
      <c r="E4761">
        <v>5</v>
      </c>
      <c r="F4761" s="8">
        <f>VLOOKUP(financials[[#This Row],[productid]],Products!$B$2:$H$10,3)</f>
        <v>15</v>
      </c>
      <c r="G4761" s="8">
        <f>financials[[#This Row],[Units Sold]]*financials[[#This Row],[Sale Price]]</f>
        <v>75</v>
      </c>
      <c r="H4761" s="8">
        <f>IF(financials[[#This Row],[Discount Band]]="low",0.1,IF(financials[[#This Row],[Discount Band]]="medium",0.15,0.3))</f>
        <v>0.15</v>
      </c>
      <c r="I4761" s="8">
        <f>financials[[#This Row],[Gross Sales]]-financials[[#This Row],[Gross Sales]]*financials[[#This Row],[Discounts]]</f>
        <v>63.75</v>
      </c>
      <c r="J4761" s="8">
        <f>VLOOKUP(financials[[#This Row],[productid]],Products!$B$2:$H$10,4)</f>
        <v>13.95</v>
      </c>
      <c r="K4761" s="8">
        <f>financials[[#This Row],[Net Sales]]-financials[[#This Row],[COGS]]</f>
        <v>49.8</v>
      </c>
      <c r="L4761" s="15">
        <v>45354</v>
      </c>
      <c r="M4761" t="s">
        <v>690</v>
      </c>
    </row>
    <row r="4762" spans="1:13" x14ac:dyDescent="0.25">
      <c r="A4762" t="s">
        <v>87</v>
      </c>
      <c r="B4762" s="6" t="s">
        <v>124</v>
      </c>
      <c r="C4762" s="13">
        <v>104</v>
      </c>
      <c r="D4762" s="14" t="s">
        <v>90</v>
      </c>
      <c r="E4762">
        <v>16</v>
      </c>
      <c r="F4762" s="8">
        <f>VLOOKUP(financials[[#This Row],[productid]],Products!$B$2:$H$10,3)</f>
        <v>5.9</v>
      </c>
      <c r="G4762" s="8">
        <f>financials[[#This Row],[Units Sold]]*financials[[#This Row],[Sale Price]]</f>
        <v>94.4</v>
      </c>
      <c r="H4762" s="8">
        <f>IF(financials[[#This Row],[Discount Band]]="low",0.1,IF(financials[[#This Row],[Discount Band]]="medium",0.15,0.3))</f>
        <v>0.15</v>
      </c>
      <c r="I4762" s="8">
        <f>financials[[#This Row],[Gross Sales]]-financials[[#This Row],[Gross Sales]]*financials[[#This Row],[Discounts]]</f>
        <v>80.240000000000009</v>
      </c>
      <c r="J4762" s="8">
        <f>VLOOKUP(financials[[#This Row],[productid]],Products!$B$2:$H$10,4)</f>
        <v>2.9</v>
      </c>
      <c r="K4762" s="8">
        <f>financials[[#This Row],[Net Sales]]-financials[[#This Row],[COGS]]</f>
        <v>77.34</v>
      </c>
      <c r="L4762" s="15">
        <v>45396</v>
      </c>
      <c r="M4762" t="s">
        <v>697</v>
      </c>
    </row>
    <row r="4763" spans="1:13" x14ac:dyDescent="0.25">
      <c r="A4763" t="s">
        <v>85</v>
      </c>
      <c r="B4763" s="6" t="s">
        <v>159</v>
      </c>
      <c r="C4763" s="13">
        <v>101</v>
      </c>
      <c r="D4763" s="14" t="s">
        <v>83</v>
      </c>
      <c r="E4763">
        <v>6</v>
      </c>
      <c r="F4763" s="8">
        <f>VLOOKUP(financials[[#This Row],[productid]],Products!$B$2:$H$10,3)</f>
        <v>23</v>
      </c>
      <c r="G4763" s="8">
        <f>financials[[#This Row],[Units Sold]]*financials[[#This Row],[Sale Price]]</f>
        <v>138</v>
      </c>
      <c r="H4763" s="8">
        <f>IF(financials[[#This Row],[Discount Band]]="low",0.1,IF(financials[[#This Row],[Discount Band]]="medium",0.15,0.3))</f>
        <v>0.3</v>
      </c>
      <c r="I4763" s="8">
        <f>financials[[#This Row],[Gross Sales]]-financials[[#This Row],[Gross Sales]]*financials[[#This Row],[Discounts]]</f>
        <v>96.6</v>
      </c>
      <c r="J4763" s="8">
        <f>VLOOKUP(financials[[#This Row],[productid]],Products!$B$2:$H$10,4)</f>
        <v>9.9499999999999993</v>
      </c>
      <c r="K4763" s="8">
        <f>financials[[#This Row],[Net Sales]]-financials[[#This Row],[COGS]]</f>
        <v>86.649999999999991</v>
      </c>
      <c r="L4763" s="15">
        <v>44879</v>
      </c>
      <c r="M4763" t="s">
        <v>696</v>
      </c>
    </row>
    <row r="4764" spans="1:13" x14ac:dyDescent="0.25">
      <c r="A4764" t="s">
        <v>86</v>
      </c>
      <c r="B4764" s="6" t="s">
        <v>124</v>
      </c>
      <c r="C4764" s="13">
        <v>103</v>
      </c>
      <c r="D4764" s="14" t="s">
        <v>90</v>
      </c>
      <c r="E4764">
        <v>16</v>
      </c>
      <c r="F4764" s="8">
        <f>VLOOKUP(financials[[#This Row],[productid]],Products!$B$2:$H$10,3)</f>
        <v>28</v>
      </c>
      <c r="G4764" s="8">
        <f>financials[[#This Row],[Units Sold]]*financials[[#This Row],[Sale Price]]</f>
        <v>448</v>
      </c>
      <c r="H4764" s="8">
        <f>IF(financials[[#This Row],[Discount Band]]="low",0.1,IF(financials[[#This Row],[Discount Band]]="medium",0.15,0.3))</f>
        <v>0.15</v>
      </c>
      <c r="I4764" s="8">
        <f>financials[[#This Row],[Gross Sales]]-financials[[#This Row],[Gross Sales]]*financials[[#This Row],[Discounts]]</f>
        <v>380.8</v>
      </c>
      <c r="J4764" s="8">
        <f>VLOOKUP(financials[[#This Row],[productid]],Products!$B$2:$H$10,4)</f>
        <v>15</v>
      </c>
      <c r="K4764" s="8">
        <f>financials[[#This Row],[Net Sales]]-financials[[#This Row],[COGS]]</f>
        <v>365.8</v>
      </c>
      <c r="L4764" s="15">
        <v>45599</v>
      </c>
      <c r="M4764" t="s">
        <v>696</v>
      </c>
    </row>
    <row r="4765" spans="1:13" x14ac:dyDescent="0.25">
      <c r="A4765" t="s">
        <v>85</v>
      </c>
      <c r="B4765" s="6" t="s">
        <v>124</v>
      </c>
      <c r="C4765" s="13">
        <v>102</v>
      </c>
      <c r="D4765" s="14" t="s">
        <v>83</v>
      </c>
      <c r="E4765">
        <v>6</v>
      </c>
      <c r="F4765" s="8">
        <f>VLOOKUP(financials[[#This Row],[productid]],Products!$B$2:$H$10,3)</f>
        <v>15</v>
      </c>
      <c r="G4765" s="8">
        <f>financials[[#This Row],[Units Sold]]*financials[[#This Row],[Sale Price]]</f>
        <v>90</v>
      </c>
      <c r="H4765" s="8">
        <f>IF(financials[[#This Row],[Discount Band]]="low",0.1,IF(financials[[#This Row],[Discount Band]]="medium",0.15,0.3))</f>
        <v>0.3</v>
      </c>
      <c r="I4765" s="8">
        <f>financials[[#This Row],[Gross Sales]]-financials[[#This Row],[Gross Sales]]*financials[[#This Row],[Discounts]]</f>
        <v>63</v>
      </c>
      <c r="J4765" s="8">
        <f>VLOOKUP(financials[[#This Row],[productid]],Products!$B$2:$H$10,4)</f>
        <v>13.95</v>
      </c>
      <c r="K4765" s="8">
        <f>financials[[#This Row],[Net Sales]]-financials[[#This Row],[COGS]]</f>
        <v>49.05</v>
      </c>
      <c r="L4765" s="15">
        <v>43937</v>
      </c>
      <c r="M4765" t="s">
        <v>696</v>
      </c>
    </row>
    <row r="4766" spans="1:13" x14ac:dyDescent="0.25">
      <c r="A4766" t="s">
        <v>85</v>
      </c>
      <c r="B4766" s="6" t="s">
        <v>124</v>
      </c>
      <c r="C4766" s="11">
        <v>105</v>
      </c>
      <c r="D4766" s="9" t="s">
        <v>91</v>
      </c>
      <c r="E4766">
        <v>13</v>
      </c>
      <c r="F4766" s="8">
        <f>VLOOKUP(financials[[#This Row],[productid]],Products!$B$2:$H$10,3)</f>
        <v>15</v>
      </c>
      <c r="G4766" s="8">
        <f>financials[[#This Row],[Units Sold]]*financials[[#This Row],[Sale Price]]</f>
        <v>195</v>
      </c>
      <c r="H4766" s="8">
        <f>IF(financials[[#This Row],[Discount Band]]="low",0.1,IF(financials[[#This Row],[Discount Band]]="medium",0.15,0.3))</f>
        <v>0.1</v>
      </c>
      <c r="I4766" s="8">
        <f>financials[[#This Row],[Gross Sales]]-financials[[#This Row],[Gross Sales]]*financials[[#This Row],[Discounts]]</f>
        <v>175.5</v>
      </c>
      <c r="J4766" s="8">
        <f>VLOOKUP(financials[[#This Row],[productid]],Products!$B$2:$H$10,4)</f>
        <v>10</v>
      </c>
      <c r="K4766" s="8">
        <f>financials[[#This Row],[Net Sales]]-financials[[#This Row],[COGS]]</f>
        <v>165.5</v>
      </c>
      <c r="L4766" s="15">
        <v>44306</v>
      </c>
      <c r="M4766" t="s">
        <v>696</v>
      </c>
    </row>
    <row r="4767" spans="1:13" x14ac:dyDescent="0.25">
      <c r="A4767" t="s">
        <v>87</v>
      </c>
      <c r="B4767" s="6" t="s">
        <v>159</v>
      </c>
      <c r="C4767" s="11">
        <v>107</v>
      </c>
      <c r="D4767" s="9" t="s">
        <v>83</v>
      </c>
      <c r="E4767">
        <v>18</v>
      </c>
      <c r="F4767" s="8">
        <f>VLOOKUP(financials[[#This Row],[productid]],Products!$B$2:$H$10,3)</f>
        <v>15</v>
      </c>
      <c r="G4767" s="8">
        <f>financials[[#This Row],[Units Sold]]*financials[[#This Row],[Sale Price]]</f>
        <v>270</v>
      </c>
      <c r="H4767" s="8">
        <f>IF(financials[[#This Row],[Discount Band]]="low",0.1,IF(financials[[#This Row],[Discount Band]]="medium",0.15,0.3))</f>
        <v>0.3</v>
      </c>
      <c r="I4767" s="8">
        <f>financials[[#This Row],[Gross Sales]]-financials[[#This Row],[Gross Sales]]*financials[[#This Row],[Discounts]]</f>
        <v>189</v>
      </c>
      <c r="J4767" s="8">
        <f>VLOOKUP(financials[[#This Row],[productid]],Products!$B$2:$H$10,4)</f>
        <v>5.5</v>
      </c>
      <c r="K4767" s="8">
        <f>financials[[#This Row],[Net Sales]]-financials[[#This Row],[COGS]]</f>
        <v>183.5</v>
      </c>
      <c r="L4767" s="15">
        <v>44810</v>
      </c>
      <c r="M4767" t="s">
        <v>700</v>
      </c>
    </row>
    <row r="4768" spans="1:13" x14ac:dyDescent="0.25">
      <c r="A4768" t="s">
        <v>87</v>
      </c>
      <c r="B4768" s="6" t="s">
        <v>124</v>
      </c>
      <c r="C4768" s="13">
        <v>105</v>
      </c>
      <c r="D4768" s="14" t="s">
        <v>90</v>
      </c>
      <c r="E4768">
        <v>17</v>
      </c>
      <c r="F4768" s="8">
        <f>VLOOKUP(financials[[#This Row],[productid]],Products!$B$2:$H$10,3)</f>
        <v>15</v>
      </c>
      <c r="G4768" s="8">
        <f>financials[[#This Row],[Units Sold]]*financials[[#This Row],[Sale Price]]</f>
        <v>255</v>
      </c>
      <c r="H4768" s="8">
        <f>IF(financials[[#This Row],[Discount Band]]="low",0.1,IF(financials[[#This Row],[Discount Band]]="medium",0.15,0.3))</f>
        <v>0.15</v>
      </c>
      <c r="I4768" s="8">
        <f>financials[[#This Row],[Gross Sales]]-financials[[#This Row],[Gross Sales]]*financials[[#This Row],[Discounts]]</f>
        <v>216.75</v>
      </c>
      <c r="J4768" s="8">
        <f>VLOOKUP(financials[[#This Row],[productid]],Products!$B$2:$H$10,4)</f>
        <v>10</v>
      </c>
      <c r="K4768" s="8">
        <f>financials[[#This Row],[Net Sales]]-financials[[#This Row],[COGS]]</f>
        <v>206.75</v>
      </c>
      <c r="L4768" s="15">
        <v>44872</v>
      </c>
      <c r="M4768" t="s">
        <v>696</v>
      </c>
    </row>
    <row r="4769" spans="1:13" x14ac:dyDescent="0.25">
      <c r="A4769" t="s">
        <v>87</v>
      </c>
      <c r="B4769" s="6" t="s">
        <v>159</v>
      </c>
      <c r="C4769" s="13">
        <v>108</v>
      </c>
      <c r="D4769" s="14" t="s">
        <v>90</v>
      </c>
      <c r="E4769">
        <v>13</v>
      </c>
      <c r="F4769" s="8">
        <f>VLOOKUP(financials[[#This Row],[productid]],Products!$B$2:$H$10,3)</f>
        <v>5.5</v>
      </c>
      <c r="G4769" s="8">
        <f>financials[[#This Row],[Units Sold]]*financials[[#This Row],[Sale Price]]</f>
        <v>71.5</v>
      </c>
      <c r="H4769" s="8">
        <f>IF(financials[[#This Row],[Discount Band]]="low",0.1,IF(financials[[#This Row],[Discount Band]]="medium",0.15,0.3))</f>
        <v>0.15</v>
      </c>
      <c r="I4769" s="8">
        <f>financials[[#This Row],[Gross Sales]]-financials[[#This Row],[Gross Sales]]*financials[[#This Row],[Discounts]]</f>
        <v>60.774999999999999</v>
      </c>
      <c r="J4769" s="8">
        <f>VLOOKUP(financials[[#This Row],[productid]],Products!$B$2:$H$10,4)</f>
        <v>3.99</v>
      </c>
      <c r="K4769" s="8">
        <f>financials[[#This Row],[Net Sales]]-financials[[#This Row],[COGS]]</f>
        <v>56.784999999999997</v>
      </c>
      <c r="L4769" s="15">
        <v>44470</v>
      </c>
      <c r="M4769" t="s">
        <v>697</v>
      </c>
    </row>
    <row r="4770" spans="1:13" x14ac:dyDescent="0.25">
      <c r="A4770" t="s">
        <v>85</v>
      </c>
      <c r="B4770" s="6" t="s">
        <v>159</v>
      </c>
      <c r="C4770" s="11">
        <v>101</v>
      </c>
      <c r="D4770" s="9" t="s">
        <v>92</v>
      </c>
      <c r="E4770">
        <v>18</v>
      </c>
      <c r="F4770" s="8">
        <f>VLOOKUP(financials[[#This Row],[productid]],Products!$B$2:$H$10,3)</f>
        <v>23</v>
      </c>
      <c r="G4770" s="8">
        <f>financials[[#This Row],[Units Sold]]*financials[[#This Row],[Sale Price]]</f>
        <v>414</v>
      </c>
      <c r="H4770" s="8">
        <f>IF(financials[[#This Row],[Discount Band]]="low",0.1,IF(financials[[#This Row],[Discount Band]]="medium",0.15,0.3))</f>
        <v>0.3</v>
      </c>
      <c r="I4770" s="8">
        <f>financials[[#This Row],[Gross Sales]]-financials[[#This Row],[Gross Sales]]*financials[[#This Row],[Discounts]]</f>
        <v>289.8</v>
      </c>
      <c r="J4770" s="8">
        <f>VLOOKUP(financials[[#This Row],[productid]],Products!$B$2:$H$10,4)</f>
        <v>9.9499999999999993</v>
      </c>
      <c r="K4770" s="8">
        <f>financials[[#This Row],[Net Sales]]-financials[[#This Row],[COGS]]</f>
        <v>279.85000000000002</v>
      </c>
      <c r="L4770" s="15">
        <v>45530</v>
      </c>
      <c r="M4770" t="s">
        <v>691</v>
      </c>
    </row>
    <row r="4771" spans="1:13" x14ac:dyDescent="0.25">
      <c r="A4771" t="s">
        <v>87</v>
      </c>
      <c r="B4771" s="6" t="s">
        <v>159</v>
      </c>
      <c r="C4771" s="13">
        <v>102</v>
      </c>
      <c r="D4771" s="14" t="s">
        <v>83</v>
      </c>
      <c r="E4771">
        <v>6</v>
      </c>
      <c r="F4771" s="8">
        <f>VLOOKUP(financials[[#This Row],[productid]],Products!$B$2:$H$10,3)</f>
        <v>15</v>
      </c>
      <c r="G4771" s="8">
        <f>financials[[#This Row],[Units Sold]]*financials[[#This Row],[Sale Price]]</f>
        <v>90</v>
      </c>
      <c r="H4771" s="8">
        <f>IF(financials[[#This Row],[Discount Band]]="low",0.1,IF(financials[[#This Row],[Discount Band]]="medium",0.15,0.3))</f>
        <v>0.3</v>
      </c>
      <c r="I4771" s="8">
        <f>financials[[#This Row],[Gross Sales]]-financials[[#This Row],[Gross Sales]]*financials[[#This Row],[Discounts]]</f>
        <v>63</v>
      </c>
      <c r="J4771" s="8">
        <f>VLOOKUP(financials[[#This Row],[productid]],Products!$B$2:$H$10,4)</f>
        <v>13.95</v>
      </c>
      <c r="K4771" s="8">
        <f>financials[[#This Row],[Net Sales]]-financials[[#This Row],[COGS]]</f>
        <v>49.05</v>
      </c>
      <c r="L4771" s="15">
        <v>45248</v>
      </c>
      <c r="M4771" t="s">
        <v>696</v>
      </c>
    </row>
    <row r="4772" spans="1:13" x14ac:dyDescent="0.25">
      <c r="A4772" t="s">
        <v>87</v>
      </c>
      <c r="B4772" s="6" t="s">
        <v>124</v>
      </c>
      <c r="C4772" s="11">
        <v>103</v>
      </c>
      <c r="D4772" s="9" t="s">
        <v>92</v>
      </c>
      <c r="E4772">
        <v>8</v>
      </c>
      <c r="F4772" s="8">
        <f>VLOOKUP(financials[[#This Row],[productid]],Products!$B$2:$H$10,3)</f>
        <v>28</v>
      </c>
      <c r="G4772" s="8">
        <f>financials[[#This Row],[Units Sold]]*financials[[#This Row],[Sale Price]]</f>
        <v>224</v>
      </c>
      <c r="H4772" s="8">
        <f>IF(financials[[#This Row],[Discount Band]]="low",0.1,IF(financials[[#This Row],[Discount Band]]="medium",0.15,0.3))</f>
        <v>0.3</v>
      </c>
      <c r="I4772" s="8">
        <f>financials[[#This Row],[Gross Sales]]-financials[[#This Row],[Gross Sales]]*financials[[#This Row],[Discounts]]</f>
        <v>156.80000000000001</v>
      </c>
      <c r="J4772" s="8">
        <f>VLOOKUP(financials[[#This Row],[productid]],Products!$B$2:$H$10,4)</f>
        <v>15</v>
      </c>
      <c r="K4772" s="8">
        <f>financials[[#This Row],[Net Sales]]-financials[[#This Row],[COGS]]</f>
        <v>141.80000000000001</v>
      </c>
      <c r="L4772" s="15">
        <v>44825</v>
      </c>
      <c r="M4772" t="s">
        <v>700</v>
      </c>
    </row>
    <row r="4773" spans="1:13" x14ac:dyDescent="0.25">
      <c r="A4773" t="s">
        <v>87</v>
      </c>
      <c r="B4773" s="6" t="s">
        <v>124</v>
      </c>
      <c r="C4773" s="13">
        <v>109</v>
      </c>
      <c r="D4773" s="14" t="s">
        <v>83</v>
      </c>
      <c r="E4773">
        <v>7</v>
      </c>
      <c r="F4773" s="8">
        <f>VLOOKUP(financials[[#This Row],[productid]],Products!$B$2:$H$10,3)</f>
        <v>36</v>
      </c>
      <c r="G4773" s="8">
        <f>financials[[#This Row],[Units Sold]]*financials[[#This Row],[Sale Price]]</f>
        <v>252</v>
      </c>
      <c r="H4773" s="8">
        <f>IF(financials[[#This Row],[Discount Band]]="low",0.1,IF(financials[[#This Row],[Discount Band]]="medium",0.15,0.3))</f>
        <v>0.3</v>
      </c>
      <c r="I4773" s="8">
        <f>financials[[#This Row],[Gross Sales]]-financials[[#This Row],[Gross Sales]]*financials[[#This Row],[Discounts]]</f>
        <v>176.4</v>
      </c>
      <c r="J4773" s="8">
        <f>VLOOKUP(financials[[#This Row],[productid]],Products!$B$2:$H$10,4)</f>
        <v>16.8</v>
      </c>
      <c r="K4773" s="8">
        <f>financials[[#This Row],[Net Sales]]-financials[[#This Row],[COGS]]</f>
        <v>159.6</v>
      </c>
      <c r="L4773" s="15">
        <v>43871</v>
      </c>
      <c r="M4773" t="s">
        <v>697</v>
      </c>
    </row>
    <row r="4774" spans="1:13" x14ac:dyDescent="0.25">
      <c r="A4774" t="s">
        <v>86</v>
      </c>
      <c r="B4774" s="6" t="s">
        <v>159</v>
      </c>
      <c r="C4774" s="13">
        <v>103</v>
      </c>
      <c r="D4774" s="14" t="s">
        <v>90</v>
      </c>
      <c r="E4774">
        <v>12</v>
      </c>
      <c r="F4774" s="8">
        <f>VLOOKUP(financials[[#This Row],[productid]],Products!$B$2:$H$10,3)</f>
        <v>28</v>
      </c>
      <c r="G4774" s="8">
        <f>financials[[#This Row],[Units Sold]]*financials[[#This Row],[Sale Price]]</f>
        <v>336</v>
      </c>
      <c r="H4774" s="8">
        <f>IF(financials[[#This Row],[Discount Band]]="low",0.1,IF(financials[[#This Row],[Discount Band]]="medium",0.15,0.3))</f>
        <v>0.15</v>
      </c>
      <c r="I4774" s="8">
        <f>financials[[#This Row],[Gross Sales]]-financials[[#This Row],[Gross Sales]]*financials[[#This Row],[Discounts]]</f>
        <v>285.60000000000002</v>
      </c>
      <c r="J4774" s="8">
        <f>VLOOKUP(financials[[#This Row],[productid]],Products!$B$2:$H$10,4)</f>
        <v>15</v>
      </c>
      <c r="K4774" s="8">
        <f>financials[[#This Row],[Net Sales]]-financials[[#This Row],[COGS]]</f>
        <v>270.60000000000002</v>
      </c>
      <c r="L4774" s="15">
        <v>43907</v>
      </c>
      <c r="M4774" t="s">
        <v>700</v>
      </c>
    </row>
    <row r="4775" spans="1:13" x14ac:dyDescent="0.25">
      <c r="A4775" t="s">
        <v>86</v>
      </c>
      <c r="B4775" s="6" t="s">
        <v>159</v>
      </c>
      <c r="C4775" s="13">
        <v>108</v>
      </c>
      <c r="D4775" s="14" t="s">
        <v>92</v>
      </c>
      <c r="E4775">
        <v>5</v>
      </c>
      <c r="F4775" s="8">
        <f>VLOOKUP(financials[[#This Row],[productid]],Products!$B$2:$H$10,3)</f>
        <v>5.5</v>
      </c>
      <c r="G4775" s="8">
        <f>financials[[#This Row],[Units Sold]]*financials[[#This Row],[Sale Price]]</f>
        <v>27.5</v>
      </c>
      <c r="H4775" s="8">
        <f>IF(financials[[#This Row],[Discount Band]]="low",0.1,IF(financials[[#This Row],[Discount Band]]="medium",0.15,0.3))</f>
        <v>0.3</v>
      </c>
      <c r="I4775" s="8">
        <f>financials[[#This Row],[Gross Sales]]-financials[[#This Row],[Gross Sales]]*financials[[#This Row],[Discounts]]</f>
        <v>19.25</v>
      </c>
      <c r="J4775" s="8">
        <f>VLOOKUP(financials[[#This Row],[productid]],Products!$B$2:$H$10,4)</f>
        <v>3.99</v>
      </c>
      <c r="K4775" s="8">
        <f>financials[[#This Row],[Net Sales]]-financials[[#This Row],[COGS]]</f>
        <v>15.26</v>
      </c>
      <c r="L4775" s="15">
        <v>44085</v>
      </c>
      <c r="M4775" t="s">
        <v>700</v>
      </c>
    </row>
    <row r="4776" spans="1:13" x14ac:dyDescent="0.25">
      <c r="A4776" t="s">
        <v>85</v>
      </c>
      <c r="B4776" s="6" t="s">
        <v>124</v>
      </c>
      <c r="C4776" s="13">
        <v>107</v>
      </c>
      <c r="D4776" s="14" t="s">
        <v>83</v>
      </c>
      <c r="E4776">
        <v>6</v>
      </c>
      <c r="F4776" s="8">
        <f>VLOOKUP(financials[[#This Row],[productid]],Products!$B$2:$H$10,3)</f>
        <v>15</v>
      </c>
      <c r="G4776" s="8">
        <f>financials[[#This Row],[Units Sold]]*financials[[#This Row],[Sale Price]]</f>
        <v>90</v>
      </c>
      <c r="H4776" s="8">
        <f>IF(financials[[#This Row],[Discount Band]]="low",0.1,IF(financials[[#This Row],[Discount Band]]="medium",0.15,0.3))</f>
        <v>0.3</v>
      </c>
      <c r="I4776" s="8">
        <f>financials[[#This Row],[Gross Sales]]-financials[[#This Row],[Gross Sales]]*financials[[#This Row],[Discounts]]</f>
        <v>63</v>
      </c>
      <c r="J4776" s="8">
        <f>VLOOKUP(financials[[#This Row],[productid]],Products!$B$2:$H$10,4)</f>
        <v>5.5</v>
      </c>
      <c r="K4776" s="8">
        <f>financials[[#This Row],[Net Sales]]-financials[[#This Row],[COGS]]</f>
        <v>57.5</v>
      </c>
      <c r="L4776" s="15">
        <v>44060</v>
      </c>
      <c r="M4776" t="s">
        <v>690</v>
      </c>
    </row>
    <row r="4777" spans="1:13" x14ac:dyDescent="0.25">
      <c r="A4777" t="s">
        <v>86</v>
      </c>
      <c r="B4777" s="6" t="s">
        <v>124</v>
      </c>
      <c r="C4777" s="13">
        <v>102</v>
      </c>
      <c r="D4777" s="14" t="s">
        <v>90</v>
      </c>
      <c r="E4777">
        <v>6</v>
      </c>
      <c r="F4777" s="8">
        <f>VLOOKUP(financials[[#This Row],[productid]],Products!$B$2:$H$10,3)</f>
        <v>15</v>
      </c>
      <c r="G4777" s="8">
        <f>financials[[#This Row],[Units Sold]]*financials[[#This Row],[Sale Price]]</f>
        <v>90</v>
      </c>
      <c r="H4777" s="8">
        <f>IF(financials[[#This Row],[Discount Band]]="low",0.1,IF(financials[[#This Row],[Discount Band]]="medium",0.15,0.3))</f>
        <v>0.15</v>
      </c>
      <c r="I4777" s="8">
        <f>financials[[#This Row],[Gross Sales]]-financials[[#This Row],[Gross Sales]]*financials[[#This Row],[Discounts]]</f>
        <v>76.5</v>
      </c>
      <c r="J4777" s="8">
        <f>VLOOKUP(financials[[#This Row],[productid]],Products!$B$2:$H$10,4)</f>
        <v>13.95</v>
      </c>
      <c r="K4777" s="8">
        <f>financials[[#This Row],[Net Sales]]-financials[[#This Row],[COGS]]</f>
        <v>62.55</v>
      </c>
      <c r="L4777" s="15">
        <v>44044</v>
      </c>
      <c r="M4777" t="s">
        <v>700</v>
      </c>
    </row>
    <row r="4778" spans="1:13" x14ac:dyDescent="0.25">
      <c r="A4778" t="s">
        <v>87</v>
      </c>
      <c r="B4778" s="6" t="s">
        <v>159</v>
      </c>
      <c r="C4778" s="13">
        <v>106</v>
      </c>
      <c r="D4778" s="14" t="s">
        <v>91</v>
      </c>
      <c r="E4778">
        <v>8</v>
      </c>
      <c r="F4778" s="8">
        <f>VLOOKUP(financials[[#This Row],[productid]],Products!$B$2:$H$10,3)</f>
        <v>25</v>
      </c>
      <c r="G4778" s="8">
        <f>financials[[#This Row],[Units Sold]]*financials[[#This Row],[Sale Price]]</f>
        <v>200</v>
      </c>
      <c r="H4778" s="8">
        <f>IF(financials[[#This Row],[Discount Band]]="low",0.1,IF(financials[[#This Row],[Discount Band]]="medium",0.15,0.3))</f>
        <v>0.1</v>
      </c>
      <c r="I4778" s="8">
        <f>financials[[#This Row],[Gross Sales]]-financials[[#This Row],[Gross Sales]]*financials[[#This Row],[Discounts]]</f>
        <v>180</v>
      </c>
      <c r="J4778" s="8">
        <f>VLOOKUP(financials[[#This Row],[productid]],Products!$B$2:$H$10,4)</f>
        <v>9.1</v>
      </c>
      <c r="K4778" s="8">
        <f>financials[[#This Row],[Net Sales]]-financials[[#This Row],[COGS]]</f>
        <v>170.9</v>
      </c>
      <c r="L4778" s="15">
        <v>44577</v>
      </c>
      <c r="M4778" t="s">
        <v>691</v>
      </c>
    </row>
    <row r="4779" spans="1:13" x14ac:dyDescent="0.25">
      <c r="A4779" t="s">
        <v>87</v>
      </c>
      <c r="B4779" s="6" t="s">
        <v>159</v>
      </c>
      <c r="C4779" s="13">
        <v>106</v>
      </c>
      <c r="D4779" s="14" t="s">
        <v>90</v>
      </c>
      <c r="E4779">
        <v>18</v>
      </c>
      <c r="F4779" s="8">
        <f>VLOOKUP(financials[[#This Row],[productid]],Products!$B$2:$H$10,3)</f>
        <v>25</v>
      </c>
      <c r="G4779" s="8">
        <f>financials[[#This Row],[Units Sold]]*financials[[#This Row],[Sale Price]]</f>
        <v>450</v>
      </c>
      <c r="H4779" s="8">
        <f>IF(financials[[#This Row],[Discount Band]]="low",0.1,IF(financials[[#This Row],[Discount Band]]="medium",0.15,0.3))</f>
        <v>0.15</v>
      </c>
      <c r="I4779" s="8">
        <f>financials[[#This Row],[Gross Sales]]-financials[[#This Row],[Gross Sales]]*financials[[#This Row],[Discounts]]</f>
        <v>382.5</v>
      </c>
      <c r="J4779" s="8">
        <f>VLOOKUP(financials[[#This Row],[productid]],Products!$B$2:$H$10,4)</f>
        <v>9.1</v>
      </c>
      <c r="K4779" s="8">
        <f>financials[[#This Row],[Net Sales]]-financials[[#This Row],[COGS]]</f>
        <v>373.4</v>
      </c>
      <c r="L4779" s="15">
        <v>45640</v>
      </c>
      <c r="M4779" t="s">
        <v>691</v>
      </c>
    </row>
    <row r="4780" spans="1:13" x14ac:dyDescent="0.25">
      <c r="A4780" t="s">
        <v>87</v>
      </c>
      <c r="B4780" s="6" t="s">
        <v>159</v>
      </c>
      <c r="C4780" s="13">
        <v>108</v>
      </c>
      <c r="D4780" s="14" t="s">
        <v>90</v>
      </c>
      <c r="E4780">
        <v>17</v>
      </c>
      <c r="F4780" s="8">
        <f>VLOOKUP(financials[[#This Row],[productid]],Products!$B$2:$H$10,3)</f>
        <v>5.5</v>
      </c>
      <c r="G4780" s="8">
        <f>financials[[#This Row],[Units Sold]]*financials[[#This Row],[Sale Price]]</f>
        <v>93.5</v>
      </c>
      <c r="H4780" s="8">
        <f>IF(financials[[#This Row],[Discount Band]]="low",0.1,IF(financials[[#This Row],[Discount Band]]="medium",0.15,0.3))</f>
        <v>0.15</v>
      </c>
      <c r="I4780" s="8">
        <f>financials[[#This Row],[Gross Sales]]-financials[[#This Row],[Gross Sales]]*financials[[#This Row],[Discounts]]</f>
        <v>79.474999999999994</v>
      </c>
      <c r="J4780" s="8">
        <f>VLOOKUP(financials[[#This Row],[productid]],Products!$B$2:$H$10,4)</f>
        <v>3.99</v>
      </c>
      <c r="K4780" s="8">
        <f>financials[[#This Row],[Net Sales]]-financials[[#This Row],[COGS]]</f>
        <v>75.484999999999999</v>
      </c>
      <c r="L4780" s="15">
        <v>44491</v>
      </c>
      <c r="M4780" t="s">
        <v>697</v>
      </c>
    </row>
    <row r="4781" spans="1:13" x14ac:dyDescent="0.25">
      <c r="A4781" t="s">
        <v>85</v>
      </c>
      <c r="B4781" s="6" t="s">
        <v>159</v>
      </c>
      <c r="C4781" s="13">
        <v>109</v>
      </c>
      <c r="D4781" s="14" t="s">
        <v>90</v>
      </c>
      <c r="E4781">
        <v>14</v>
      </c>
      <c r="F4781" s="8">
        <f>VLOOKUP(financials[[#This Row],[productid]],Products!$B$2:$H$10,3)</f>
        <v>36</v>
      </c>
      <c r="G4781" s="8">
        <f>financials[[#This Row],[Units Sold]]*financials[[#This Row],[Sale Price]]</f>
        <v>504</v>
      </c>
      <c r="H4781" s="8">
        <f>IF(financials[[#This Row],[Discount Band]]="low",0.1,IF(financials[[#This Row],[Discount Band]]="medium",0.15,0.3))</f>
        <v>0.15</v>
      </c>
      <c r="I4781" s="8">
        <f>financials[[#This Row],[Gross Sales]]-financials[[#This Row],[Gross Sales]]*financials[[#This Row],[Discounts]]</f>
        <v>428.4</v>
      </c>
      <c r="J4781" s="8">
        <f>VLOOKUP(financials[[#This Row],[productid]],Products!$B$2:$H$10,4)</f>
        <v>16.8</v>
      </c>
      <c r="K4781" s="8">
        <f>financials[[#This Row],[Net Sales]]-financials[[#This Row],[COGS]]</f>
        <v>411.59999999999997</v>
      </c>
      <c r="L4781" s="15">
        <v>45048</v>
      </c>
      <c r="M4781" t="s">
        <v>696</v>
      </c>
    </row>
    <row r="4782" spans="1:13" x14ac:dyDescent="0.25">
      <c r="A4782" t="s">
        <v>85</v>
      </c>
      <c r="B4782" s="6" t="s">
        <v>159</v>
      </c>
      <c r="C4782" s="13">
        <v>101</v>
      </c>
      <c r="D4782" s="14" t="s">
        <v>91</v>
      </c>
      <c r="E4782">
        <v>16</v>
      </c>
      <c r="F4782" s="8">
        <f>VLOOKUP(financials[[#This Row],[productid]],Products!$B$2:$H$10,3)</f>
        <v>23</v>
      </c>
      <c r="G4782" s="8">
        <f>financials[[#This Row],[Units Sold]]*financials[[#This Row],[Sale Price]]</f>
        <v>368</v>
      </c>
      <c r="H4782" s="8">
        <f>IF(financials[[#This Row],[Discount Band]]="low",0.1,IF(financials[[#This Row],[Discount Band]]="medium",0.15,0.3))</f>
        <v>0.1</v>
      </c>
      <c r="I4782" s="8">
        <f>financials[[#This Row],[Gross Sales]]-financials[[#This Row],[Gross Sales]]*financials[[#This Row],[Discounts]]</f>
        <v>331.2</v>
      </c>
      <c r="J4782" s="8">
        <f>VLOOKUP(financials[[#This Row],[productid]],Products!$B$2:$H$10,4)</f>
        <v>9.9499999999999993</v>
      </c>
      <c r="K4782" s="8">
        <f>financials[[#This Row],[Net Sales]]-financials[[#This Row],[COGS]]</f>
        <v>321.25</v>
      </c>
      <c r="L4782" s="15">
        <v>44448</v>
      </c>
      <c r="M4782" t="s">
        <v>697</v>
      </c>
    </row>
    <row r="4783" spans="1:13" x14ac:dyDescent="0.25">
      <c r="A4783" t="s">
        <v>85</v>
      </c>
      <c r="B4783" s="6" t="s">
        <v>159</v>
      </c>
      <c r="C4783" s="13">
        <v>106</v>
      </c>
      <c r="D4783" s="14" t="s">
        <v>83</v>
      </c>
      <c r="E4783">
        <v>12</v>
      </c>
      <c r="F4783" s="8">
        <f>VLOOKUP(financials[[#This Row],[productid]],Products!$B$2:$H$10,3)</f>
        <v>25</v>
      </c>
      <c r="G4783" s="8">
        <f>financials[[#This Row],[Units Sold]]*financials[[#This Row],[Sale Price]]</f>
        <v>300</v>
      </c>
      <c r="H4783" s="8">
        <f>IF(financials[[#This Row],[Discount Band]]="low",0.1,IF(financials[[#This Row],[Discount Band]]="medium",0.15,0.3))</f>
        <v>0.3</v>
      </c>
      <c r="I4783" s="8">
        <f>financials[[#This Row],[Gross Sales]]-financials[[#This Row],[Gross Sales]]*financials[[#This Row],[Discounts]]</f>
        <v>210</v>
      </c>
      <c r="J4783" s="8">
        <f>VLOOKUP(financials[[#This Row],[productid]],Products!$B$2:$H$10,4)</f>
        <v>9.1</v>
      </c>
      <c r="K4783" s="8">
        <f>financials[[#This Row],[Net Sales]]-financials[[#This Row],[COGS]]</f>
        <v>200.9</v>
      </c>
      <c r="L4783" s="15">
        <v>45341</v>
      </c>
      <c r="M4783" t="s">
        <v>696</v>
      </c>
    </row>
    <row r="4784" spans="1:13" x14ac:dyDescent="0.25">
      <c r="A4784" t="s">
        <v>87</v>
      </c>
      <c r="B4784" s="6" t="s">
        <v>159</v>
      </c>
      <c r="C4784" s="13">
        <v>106</v>
      </c>
      <c r="D4784" s="14" t="s">
        <v>90</v>
      </c>
      <c r="E4784">
        <v>9</v>
      </c>
      <c r="F4784" s="8">
        <f>VLOOKUP(financials[[#This Row],[productid]],Products!$B$2:$H$10,3)</f>
        <v>25</v>
      </c>
      <c r="G4784" s="8">
        <f>financials[[#This Row],[Units Sold]]*financials[[#This Row],[Sale Price]]</f>
        <v>225</v>
      </c>
      <c r="H4784" s="8">
        <f>IF(financials[[#This Row],[Discount Band]]="low",0.1,IF(financials[[#This Row],[Discount Band]]="medium",0.15,0.3))</f>
        <v>0.15</v>
      </c>
      <c r="I4784" s="8">
        <f>financials[[#This Row],[Gross Sales]]-financials[[#This Row],[Gross Sales]]*financials[[#This Row],[Discounts]]</f>
        <v>191.25</v>
      </c>
      <c r="J4784" s="8">
        <f>VLOOKUP(financials[[#This Row],[productid]],Products!$B$2:$H$10,4)</f>
        <v>9.1</v>
      </c>
      <c r="K4784" s="8">
        <f>financials[[#This Row],[Net Sales]]-financials[[#This Row],[COGS]]</f>
        <v>182.15</v>
      </c>
      <c r="L4784" s="15">
        <v>45491</v>
      </c>
      <c r="M4784" t="s">
        <v>700</v>
      </c>
    </row>
    <row r="4785" spans="1:13" x14ac:dyDescent="0.25">
      <c r="A4785" t="s">
        <v>87</v>
      </c>
      <c r="B4785" s="6" t="s">
        <v>159</v>
      </c>
      <c r="C4785" s="13">
        <v>109</v>
      </c>
      <c r="D4785" s="14" t="s">
        <v>91</v>
      </c>
      <c r="E4785">
        <v>15</v>
      </c>
      <c r="F4785" s="8">
        <f>VLOOKUP(financials[[#This Row],[productid]],Products!$B$2:$H$10,3)</f>
        <v>36</v>
      </c>
      <c r="G4785" s="8">
        <f>financials[[#This Row],[Units Sold]]*financials[[#This Row],[Sale Price]]</f>
        <v>540</v>
      </c>
      <c r="H4785" s="8">
        <f>IF(financials[[#This Row],[Discount Band]]="low",0.1,IF(financials[[#This Row],[Discount Band]]="medium",0.15,0.3))</f>
        <v>0.1</v>
      </c>
      <c r="I4785" s="8">
        <f>financials[[#This Row],[Gross Sales]]-financials[[#This Row],[Gross Sales]]*financials[[#This Row],[Discounts]]</f>
        <v>486</v>
      </c>
      <c r="J4785" s="8">
        <f>VLOOKUP(financials[[#This Row],[productid]],Products!$B$2:$H$10,4)</f>
        <v>16.8</v>
      </c>
      <c r="K4785" s="8">
        <f>financials[[#This Row],[Net Sales]]-financials[[#This Row],[COGS]]</f>
        <v>469.2</v>
      </c>
      <c r="L4785" s="15">
        <v>45419</v>
      </c>
      <c r="M4785" t="s">
        <v>696</v>
      </c>
    </row>
    <row r="4786" spans="1:13" x14ac:dyDescent="0.25">
      <c r="A4786" t="s">
        <v>85</v>
      </c>
      <c r="B4786" s="6" t="s">
        <v>124</v>
      </c>
      <c r="C4786" s="13">
        <v>102</v>
      </c>
      <c r="D4786" s="14" t="s">
        <v>91</v>
      </c>
      <c r="E4786">
        <v>13</v>
      </c>
      <c r="F4786" s="8">
        <f>VLOOKUP(financials[[#This Row],[productid]],Products!$B$2:$H$10,3)</f>
        <v>15</v>
      </c>
      <c r="G4786" s="8">
        <f>financials[[#This Row],[Units Sold]]*financials[[#This Row],[Sale Price]]</f>
        <v>195</v>
      </c>
      <c r="H4786" s="8">
        <f>IF(financials[[#This Row],[Discount Band]]="low",0.1,IF(financials[[#This Row],[Discount Band]]="medium",0.15,0.3))</f>
        <v>0.1</v>
      </c>
      <c r="I4786" s="8">
        <f>financials[[#This Row],[Gross Sales]]-financials[[#This Row],[Gross Sales]]*financials[[#This Row],[Discounts]]</f>
        <v>175.5</v>
      </c>
      <c r="J4786" s="8">
        <f>VLOOKUP(financials[[#This Row],[productid]],Products!$B$2:$H$10,4)</f>
        <v>13.95</v>
      </c>
      <c r="K4786" s="8">
        <f>financials[[#This Row],[Net Sales]]-financials[[#This Row],[COGS]]</f>
        <v>161.55000000000001</v>
      </c>
      <c r="L4786" s="15">
        <v>43903</v>
      </c>
      <c r="M4786" t="s">
        <v>697</v>
      </c>
    </row>
    <row r="4787" spans="1:13" x14ac:dyDescent="0.25">
      <c r="A4787" t="s">
        <v>85</v>
      </c>
      <c r="B4787" s="6" t="s">
        <v>159</v>
      </c>
      <c r="C4787" s="13">
        <v>108</v>
      </c>
      <c r="D4787" s="14" t="s">
        <v>83</v>
      </c>
      <c r="E4787">
        <v>17</v>
      </c>
      <c r="F4787" s="8">
        <f>VLOOKUP(financials[[#This Row],[productid]],Products!$B$2:$H$10,3)</f>
        <v>5.5</v>
      </c>
      <c r="G4787" s="8">
        <f>financials[[#This Row],[Units Sold]]*financials[[#This Row],[Sale Price]]</f>
        <v>93.5</v>
      </c>
      <c r="H4787" s="8">
        <f>IF(financials[[#This Row],[Discount Band]]="low",0.1,IF(financials[[#This Row],[Discount Band]]="medium",0.15,0.3))</f>
        <v>0.3</v>
      </c>
      <c r="I4787" s="8">
        <f>financials[[#This Row],[Gross Sales]]-financials[[#This Row],[Gross Sales]]*financials[[#This Row],[Discounts]]</f>
        <v>65.45</v>
      </c>
      <c r="J4787" s="8">
        <f>VLOOKUP(financials[[#This Row],[productid]],Products!$B$2:$H$10,4)</f>
        <v>3.99</v>
      </c>
      <c r="K4787" s="8">
        <f>financials[[#This Row],[Net Sales]]-financials[[#This Row],[COGS]]</f>
        <v>61.46</v>
      </c>
      <c r="L4787" s="15">
        <v>44706</v>
      </c>
      <c r="M4787" t="s">
        <v>697</v>
      </c>
    </row>
    <row r="4788" spans="1:13" x14ac:dyDescent="0.25">
      <c r="A4788" t="s">
        <v>85</v>
      </c>
      <c r="B4788" s="6" t="s">
        <v>124</v>
      </c>
      <c r="C4788" s="13">
        <v>109</v>
      </c>
      <c r="D4788" s="14" t="s">
        <v>90</v>
      </c>
      <c r="E4788">
        <v>18</v>
      </c>
      <c r="F4788" s="8">
        <f>VLOOKUP(financials[[#This Row],[productid]],Products!$B$2:$H$10,3)</f>
        <v>36</v>
      </c>
      <c r="G4788" s="8">
        <f>financials[[#This Row],[Units Sold]]*financials[[#This Row],[Sale Price]]</f>
        <v>648</v>
      </c>
      <c r="H4788" s="8">
        <f>IF(financials[[#This Row],[Discount Band]]="low",0.1,IF(financials[[#This Row],[Discount Band]]="medium",0.15,0.3))</f>
        <v>0.15</v>
      </c>
      <c r="I4788" s="8">
        <f>financials[[#This Row],[Gross Sales]]-financials[[#This Row],[Gross Sales]]*financials[[#This Row],[Discounts]]</f>
        <v>550.79999999999995</v>
      </c>
      <c r="J4788" s="8">
        <f>VLOOKUP(financials[[#This Row],[productid]],Products!$B$2:$H$10,4)</f>
        <v>16.8</v>
      </c>
      <c r="K4788" s="8">
        <f>financials[[#This Row],[Net Sales]]-financials[[#This Row],[COGS]]</f>
        <v>534</v>
      </c>
      <c r="L4788" s="15">
        <v>45604</v>
      </c>
      <c r="M4788" t="s">
        <v>697</v>
      </c>
    </row>
    <row r="4789" spans="1:13" x14ac:dyDescent="0.25">
      <c r="A4789" t="s">
        <v>85</v>
      </c>
      <c r="B4789" s="6" t="s">
        <v>159</v>
      </c>
      <c r="C4789" s="13">
        <v>101</v>
      </c>
      <c r="D4789" s="14" t="s">
        <v>92</v>
      </c>
      <c r="E4789">
        <v>17</v>
      </c>
      <c r="F4789" s="8">
        <f>VLOOKUP(financials[[#This Row],[productid]],Products!$B$2:$H$10,3)</f>
        <v>23</v>
      </c>
      <c r="G4789" s="8">
        <f>financials[[#This Row],[Units Sold]]*financials[[#This Row],[Sale Price]]</f>
        <v>391</v>
      </c>
      <c r="H4789" s="8">
        <f>IF(financials[[#This Row],[Discount Band]]="low",0.1,IF(financials[[#This Row],[Discount Band]]="medium",0.15,0.3))</f>
        <v>0.3</v>
      </c>
      <c r="I4789" s="8">
        <f>financials[[#This Row],[Gross Sales]]-financials[[#This Row],[Gross Sales]]*financials[[#This Row],[Discounts]]</f>
        <v>273.7</v>
      </c>
      <c r="J4789" s="8">
        <f>VLOOKUP(financials[[#This Row],[productid]],Products!$B$2:$H$10,4)</f>
        <v>9.9499999999999993</v>
      </c>
      <c r="K4789" s="8">
        <f>financials[[#This Row],[Net Sales]]-financials[[#This Row],[COGS]]</f>
        <v>263.75</v>
      </c>
      <c r="L4789" s="15">
        <v>43982</v>
      </c>
      <c r="M4789" t="s">
        <v>697</v>
      </c>
    </row>
    <row r="4790" spans="1:13" x14ac:dyDescent="0.25">
      <c r="A4790" t="s">
        <v>87</v>
      </c>
      <c r="B4790" s="6" t="s">
        <v>124</v>
      </c>
      <c r="C4790" s="13">
        <v>103</v>
      </c>
      <c r="D4790" s="14" t="s">
        <v>91</v>
      </c>
      <c r="E4790">
        <v>20</v>
      </c>
      <c r="F4790" s="8">
        <f>VLOOKUP(financials[[#This Row],[productid]],Products!$B$2:$H$10,3)</f>
        <v>28</v>
      </c>
      <c r="G4790" s="8">
        <f>financials[[#This Row],[Units Sold]]*financials[[#This Row],[Sale Price]]</f>
        <v>560</v>
      </c>
      <c r="H4790" s="8">
        <f>IF(financials[[#This Row],[Discount Band]]="low",0.1,IF(financials[[#This Row],[Discount Band]]="medium",0.15,0.3))</f>
        <v>0.1</v>
      </c>
      <c r="I4790" s="8">
        <f>financials[[#This Row],[Gross Sales]]-financials[[#This Row],[Gross Sales]]*financials[[#This Row],[Discounts]]</f>
        <v>504</v>
      </c>
      <c r="J4790" s="8">
        <f>VLOOKUP(financials[[#This Row],[productid]],Products!$B$2:$H$10,4)</f>
        <v>15</v>
      </c>
      <c r="K4790" s="8">
        <f>financials[[#This Row],[Net Sales]]-financials[[#This Row],[COGS]]</f>
        <v>489</v>
      </c>
      <c r="L4790" s="15">
        <v>45010</v>
      </c>
      <c r="M4790" t="s">
        <v>690</v>
      </c>
    </row>
    <row r="4791" spans="1:13" x14ac:dyDescent="0.25">
      <c r="A4791" t="s">
        <v>85</v>
      </c>
      <c r="B4791" s="6" t="s">
        <v>159</v>
      </c>
      <c r="C4791" s="11">
        <v>105</v>
      </c>
      <c r="D4791" s="9" t="s">
        <v>83</v>
      </c>
      <c r="E4791">
        <v>9</v>
      </c>
      <c r="F4791" s="8">
        <f>VLOOKUP(financials[[#This Row],[productid]],Products!$B$2:$H$10,3)</f>
        <v>15</v>
      </c>
      <c r="G4791" s="8">
        <f>financials[[#This Row],[Units Sold]]*financials[[#This Row],[Sale Price]]</f>
        <v>135</v>
      </c>
      <c r="H4791" s="8">
        <f>IF(financials[[#This Row],[Discount Band]]="low",0.1,IF(financials[[#This Row],[Discount Band]]="medium",0.15,0.3))</f>
        <v>0.3</v>
      </c>
      <c r="I4791" s="8">
        <f>financials[[#This Row],[Gross Sales]]-financials[[#This Row],[Gross Sales]]*financials[[#This Row],[Discounts]]</f>
        <v>94.5</v>
      </c>
      <c r="J4791" s="8">
        <f>VLOOKUP(financials[[#This Row],[productid]],Products!$B$2:$H$10,4)</f>
        <v>10</v>
      </c>
      <c r="K4791" s="8">
        <f>financials[[#This Row],[Net Sales]]-financials[[#This Row],[COGS]]</f>
        <v>84.5</v>
      </c>
      <c r="L4791" s="15">
        <v>45336</v>
      </c>
      <c r="M4791" t="s">
        <v>697</v>
      </c>
    </row>
    <row r="4792" spans="1:13" x14ac:dyDescent="0.25">
      <c r="A4792" t="s">
        <v>87</v>
      </c>
      <c r="B4792" s="6" t="s">
        <v>159</v>
      </c>
      <c r="C4792" s="13">
        <v>102</v>
      </c>
      <c r="D4792" s="14" t="s">
        <v>90</v>
      </c>
      <c r="E4792">
        <v>11</v>
      </c>
      <c r="F4792" s="8">
        <f>VLOOKUP(financials[[#This Row],[productid]],Products!$B$2:$H$10,3)</f>
        <v>15</v>
      </c>
      <c r="G4792" s="8">
        <f>financials[[#This Row],[Units Sold]]*financials[[#This Row],[Sale Price]]</f>
        <v>165</v>
      </c>
      <c r="H4792" s="8">
        <f>IF(financials[[#This Row],[Discount Band]]="low",0.1,IF(financials[[#This Row],[Discount Band]]="medium",0.15,0.3))</f>
        <v>0.15</v>
      </c>
      <c r="I4792" s="8">
        <f>financials[[#This Row],[Gross Sales]]-financials[[#This Row],[Gross Sales]]*financials[[#This Row],[Discounts]]</f>
        <v>140.25</v>
      </c>
      <c r="J4792" s="8">
        <f>VLOOKUP(financials[[#This Row],[productid]],Products!$B$2:$H$10,4)</f>
        <v>13.95</v>
      </c>
      <c r="K4792" s="8">
        <f>financials[[#This Row],[Net Sales]]-financials[[#This Row],[COGS]]</f>
        <v>126.3</v>
      </c>
      <c r="L4792" s="15">
        <v>45350</v>
      </c>
      <c r="M4792" t="s">
        <v>697</v>
      </c>
    </row>
    <row r="4793" spans="1:13" x14ac:dyDescent="0.25">
      <c r="A4793" t="s">
        <v>85</v>
      </c>
      <c r="B4793" s="6" t="s">
        <v>124</v>
      </c>
      <c r="C4793" s="13">
        <v>102</v>
      </c>
      <c r="D4793" s="14" t="s">
        <v>90</v>
      </c>
      <c r="E4793">
        <v>12</v>
      </c>
      <c r="F4793" s="8">
        <f>VLOOKUP(financials[[#This Row],[productid]],Products!$B$2:$H$10,3)</f>
        <v>15</v>
      </c>
      <c r="G4793" s="8">
        <f>financials[[#This Row],[Units Sold]]*financials[[#This Row],[Sale Price]]</f>
        <v>180</v>
      </c>
      <c r="H4793" s="8">
        <f>IF(financials[[#This Row],[Discount Band]]="low",0.1,IF(financials[[#This Row],[Discount Band]]="medium",0.15,0.3))</f>
        <v>0.15</v>
      </c>
      <c r="I4793" s="8">
        <f>financials[[#This Row],[Gross Sales]]-financials[[#This Row],[Gross Sales]]*financials[[#This Row],[Discounts]]</f>
        <v>153</v>
      </c>
      <c r="J4793" s="8">
        <f>VLOOKUP(financials[[#This Row],[productid]],Products!$B$2:$H$10,4)</f>
        <v>13.95</v>
      </c>
      <c r="K4793" s="8">
        <f>financials[[#This Row],[Net Sales]]-financials[[#This Row],[COGS]]</f>
        <v>139.05000000000001</v>
      </c>
      <c r="L4793" s="15">
        <v>45461</v>
      </c>
      <c r="M4793" t="s">
        <v>697</v>
      </c>
    </row>
    <row r="4794" spans="1:13" x14ac:dyDescent="0.25">
      <c r="A4794" t="s">
        <v>87</v>
      </c>
      <c r="B4794" s="6" t="s">
        <v>159</v>
      </c>
      <c r="C4794" s="13">
        <v>106</v>
      </c>
      <c r="D4794" s="14" t="s">
        <v>90</v>
      </c>
      <c r="E4794">
        <v>12</v>
      </c>
      <c r="F4794" s="8">
        <f>VLOOKUP(financials[[#This Row],[productid]],Products!$B$2:$H$10,3)</f>
        <v>25</v>
      </c>
      <c r="G4794" s="8">
        <f>financials[[#This Row],[Units Sold]]*financials[[#This Row],[Sale Price]]</f>
        <v>300</v>
      </c>
      <c r="H4794" s="8">
        <f>IF(financials[[#This Row],[Discount Band]]="low",0.1,IF(financials[[#This Row],[Discount Band]]="medium",0.15,0.3))</f>
        <v>0.15</v>
      </c>
      <c r="I4794" s="8">
        <f>financials[[#This Row],[Gross Sales]]-financials[[#This Row],[Gross Sales]]*financials[[#This Row],[Discounts]]</f>
        <v>255</v>
      </c>
      <c r="J4794" s="8">
        <f>VLOOKUP(financials[[#This Row],[productid]],Products!$B$2:$H$10,4)</f>
        <v>9.1</v>
      </c>
      <c r="K4794" s="8">
        <f>financials[[#This Row],[Net Sales]]-financials[[#This Row],[COGS]]</f>
        <v>245.9</v>
      </c>
      <c r="L4794" s="15">
        <v>45421</v>
      </c>
      <c r="M4794" t="s">
        <v>700</v>
      </c>
    </row>
    <row r="4795" spans="1:13" x14ac:dyDescent="0.25">
      <c r="A4795" t="s">
        <v>85</v>
      </c>
      <c r="B4795" s="6" t="s">
        <v>124</v>
      </c>
      <c r="C4795" s="13">
        <v>106</v>
      </c>
      <c r="D4795" s="14" t="s">
        <v>83</v>
      </c>
      <c r="E4795">
        <v>15</v>
      </c>
      <c r="F4795" s="8">
        <f>VLOOKUP(financials[[#This Row],[productid]],Products!$B$2:$H$10,3)</f>
        <v>25</v>
      </c>
      <c r="G4795" s="8">
        <f>financials[[#This Row],[Units Sold]]*financials[[#This Row],[Sale Price]]</f>
        <v>375</v>
      </c>
      <c r="H4795" s="8">
        <f>IF(financials[[#This Row],[Discount Band]]="low",0.1,IF(financials[[#This Row],[Discount Band]]="medium",0.15,0.3))</f>
        <v>0.3</v>
      </c>
      <c r="I4795" s="8">
        <f>financials[[#This Row],[Gross Sales]]-financials[[#This Row],[Gross Sales]]*financials[[#This Row],[Discounts]]</f>
        <v>262.5</v>
      </c>
      <c r="J4795" s="8">
        <f>VLOOKUP(financials[[#This Row],[productid]],Products!$B$2:$H$10,4)</f>
        <v>9.1</v>
      </c>
      <c r="K4795" s="8">
        <f>financials[[#This Row],[Net Sales]]-financials[[#This Row],[COGS]]</f>
        <v>253.4</v>
      </c>
      <c r="L4795" s="15">
        <v>45474</v>
      </c>
      <c r="M4795" t="s">
        <v>690</v>
      </c>
    </row>
    <row r="4796" spans="1:13" x14ac:dyDescent="0.25">
      <c r="A4796" t="s">
        <v>87</v>
      </c>
      <c r="B4796" s="6" t="s">
        <v>159</v>
      </c>
      <c r="C4796" s="13">
        <v>101</v>
      </c>
      <c r="D4796" s="14" t="s">
        <v>90</v>
      </c>
      <c r="E4796">
        <v>9</v>
      </c>
      <c r="F4796" s="8">
        <f>VLOOKUP(financials[[#This Row],[productid]],Products!$B$2:$H$10,3)</f>
        <v>23</v>
      </c>
      <c r="G4796" s="8">
        <f>financials[[#This Row],[Units Sold]]*financials[[#This Row],[Sale Price]]</f>
        <v>207</v>
      </c>
      <c r="H4796" s="8">
        <f>IF(financials[[#This Row],[Discount Band]]="low",0.1,IF(financials[[#This Row],[Discount Band]]="medium",0.15,0.3))</f>
        <v>0.15</v>
      </c>
      <c r="I4796" s="8">
        <f>financials[[#This Row],[Gross Sales]]-financials[[#This Row],[Gross Sales]]*financials[[#This Row],[Discounts]]</f>
        <v>175.95</v>
      </c>
      <c r="J4796" s="8">
        <f>VLOOKUP(financials[[#This Row],[productid]],Products!$B$2:$H$10,4)</f>
        <v>9.9499999999999993</v>
      </c>
      <c r="K4796" s="8">
        <f>financials[[#This Row],[Net Sales]]-financials[[#This Row],[COGS]]</f>
        <v>166</v>
      </c>
      <c r="L4796" s="15">
        <v>45586</v>
      </c>
      <c r="M4796" t="s">
        <v>696</v>
      </c>
    </row>
    <row r="4797" spans="1:13" x14ac:dyDescent="0.25">
      <c r="A4797" t="s">
        <v>86</v>
      </c>
      <c r="B4797" s="6" t="s">
        <v>124</v>
      </c>
      <c r="C4797" s="13">
        <v>108</v>
      </c>
      <c r="D4797" s="14" t="s">
        <v>83</v>
      </c>
      <c r="E4797">
        <v>6</v>
      </c>
      <c r="F4797" s="8">
        <f>VLOOKUP(financials[[#This Row],[productid]],Products!$B$2:$H$10,3)</f>
        <v>5.5</v>
      </c>
      <c r="G4797" s="8">
        <f>financials[[#This Row],[Units Sold]]*financials[[#This Row],[Sale Price]]</f>
        <v>33</v>
      </c>
      <c r="H4797" s="8">
        <f>IF(financials[[#This Row],[Discount Band]]="low",0.1,IF(financials[[#This Row],[Discount Band]]="medium",0.15,0.3))</f>
        <v>0.3</v>
      </c>
      <c r="I4797" s="8">
        <f>financials[[#This Row],[Gross Sales]]-financials[[#This Row],[Gross Sales]]*financials[[#This Row],[Discounts]]</f>
        <v>23.1</v>
      </c>
      <c r="J4797" s="8">
        <f>VLOOKUP(financials[[#This Row],[productid]],Products!$B$2:$H$10,4)</f>
        <v>3.99</v>
      </c>
      <c r="K4797" s="8">
        <f>financials[[#This Row],[Net Sales]]-financials[[#This Row],[COGS]]</f>
        <v>19.11</v>
      </c>
      <c r="L4797" s="15">
        <v>43901</v>
      </c>
      <c r="M4797" t="s">
        <v>697</v>
      </c>
    </row>
    <row r="4798" spans="1:13" x14ac:dyDescent="0.25">
      <c r="A4798" t="s">
        <v>86</v>
      </c>
      <c r="B4798" s="6" t="s">
        <v>159</v>
      </c>
      <c r="C4798" s="13">
        <v>101</v>
      </c>
      <c r="D4798" s="14" t="s">
        <v>90</v>
      </c>
      <c r="E4798">
        <v>18</v>
      </c>
      <c r="F4798" s="8">
        <f>VLOOKUP(financials[[#This Row],[productid]],Products!$B$2:$H$10,3)</f>
        <v>23</v>
      </c>
      <c r="G4798" s="8">
        <f>financials[[#This Row],[Units Sold]]*financials[[#This Row],[Sale Price]]</f>
        <v>414</v>
      </c>
      <c r="H4798" s="8">
        <f>IF(financials[[#This Row],[Discount Band]]="low",0.1,IF(financials[[#This Row],[Discount Band]]="medium",0.15,0.3))</f>
        <v>0.15</v>
      </c>
      <c r="I4798" s="8">
        <f>financials[[#This Row],[Gross Sales]]-financials[[#This Row],[Gross Sales]]*financials[[#This Row],[Discounts]]</f>
        <v>351.9</v>
      </c>
      <c r="J4798" s="8">
        <f>VLOOKUP(financials[[#This Row],[productid]],Products!$B$2:$H$10,4)</f>
        <v>9.9499999999999993</v>
      </c>
      <c r="K4798" s="8">
        <f>financials[[#This Row],[Net Sales]]-financials[[#This Row],[COGS]]</f>
        <v>341.95</v>
      </c>
      <c r="L4798" s="15">
        <v>44152</v>
      </c>
      <c r="M4798" t="s">
        <v>700</v>
      </c>
    </row>
    <row r="4799" spans="1:13" x14ac:dyDescent="0.25">
      <c r="A4799" t="s">
        <v>85</v>
      </c>
      <c r="B4799" s="6" t="s">
        <v>159</v>
      </c>
      <c r="C4799" s="13">
        <v>105</v>
      </c>
      <c r="D4799" s="14" t="s">
        <v>83</v>
      </c>
      <c r="E4799">
        <v>17</v>
      </c>
      <c r="F4799" s="8">
        <f>VLOOKUP(financials[[#This Row],[productid]],Products!$B$2:$H$10,3)</f>
        <v>15</v>
      </c>
      <c r="G4799" s="8">
        <f>financials[[#This Row],[Units Sold]]*financials[[#This Row],[Sale Price]]</f>
        <v>255</v>
      </c>
      <c r="H4799" s="8">
        <f>IF(financials[[#This Row],[Discount Band]]="low",0.1,IF(financials[[#This Row],[Discount Band]]="medium",0.15,0.3))</f>
        <v>0.3</v>
      </c>
      <c r="I4799" s="8">
        <f>financials[[#This Row],[Gross Sales]]-financials[[#This Row],[Gross Sales]]*financials[[#This Row],[Discounts]]</f>
        <v>178.5</v>
      </c>
      <c r="J4799" s="8">
        <f>VLOOKUP(financials[[#This Row],[productid]],Products!$B$2:$H$10,4)</f>
        <v>10</v>
      </c>
      <c r="K4799" s="8">
        <f>financials[[#This Row],[Net Sales]]-financials[[#This Row],[COGS]]</f>
        <v>168.5</v>
      </c>
      <c r="L4799" s="15">
        <v>44613</v>
      </c>
      <c r="M4799" t="s">
        <v>690</v>
      </c>
    </row>
    <row r="4800" spans="1:13" x14ac:dyDescent="0.25">
      <c r="A4800" t="s">
        <v>87</v>
      </c>
      <c r="B4800" s="6" t="s">
        <v>124</v>
      </c>
      <c r="C4800" s="11">
        <v>105</v>
      </c>
      <c r="D4800" s="9" t="s">
        <v>83</v>
      </c>
      <c r="E4800">
        <v>5</v>
      </c>
      <c r="F4800" s="8">
        <f>VLOOKUP(financials[[#This Row],[productid]],Products!$B$2:$H$10,3)</f>
        <v>15</v>
      </c>
      <c r="G4800" s="8">
        <f>financials[[#This Row],[Units Sold]]*financials[[#This Row],[Sale Price]]</f>
        <v>75</v>
      </c>
      <c r="H4800" s="8">
        <f>IF(financials[[#This Row],[Discount Band]]="low",0.1,IF(financials[[#This Row],[Discount Band]]="medium",0.15,0.3))</f>
        <v>0.3</v>
      </c>
      <c r="I4800" s="8">
        <f>financials[[#This Row],[Gross Sales]]-financials[[#This Row],[Gross Sales]]*financials[[#This Row],[Discounts]]</f>
        <v>52.5</v>
      </c>
      <c r="J4800" s="8">
        <f>VLOOKUP(financials[[#This Row],[productid]],Products!$B$2:$H$10,4)</f>
        <v>10</v>
      </c>
      <c r="K4800" s="8">
        <f>financials[[#This Row],[Net Sales]]-financials[[#This Row],[COGS]]</f>
        <v>42.5</v>
      </c>
      <c r="L4800" s="15">
        <v>45057</v>
      </c>
      <c r="M4800" t="s">
        <v>691</v>
      </c>
    </row>
    <row r="4801" spans="1:13" x14ac:dyDescent="0.25">
      <c r="A4801" t="s">
        <v>86</v>
      </c>
      <c r="B4801" s="6" t="s">
        <v>159</v>
      </c>
      <c r="C4801" s="13">
        <v>108</v>
      </c>
      <c r="D4801" s="14" t="s">
        <v>90</v>
      </c>
      <c r="E4801">
        <v>19</v>
      </c>
      <c r="F4801" s="8">
        <f>VLOOKUP(financials[[#This Row],[productid]],Products!$B$2:$H$10,3)</f>
        <v>5.5</v>
      </c>
      <c r="G4801" s="8">
        <f>financials[[#This Row],[Units Sold]]*financials[[#This Row],[Sale Price]]</f>
        <v>104.5</v>
      </c>
      <c r="H4801" s="8">
        <f>IF(financials[[#This Row],[Discount Band]]="low",0.1,IF(financials[[#This Row],[Discount Band]]="medium",0.15,0.3))</f>
        <v>0.15</v>
      </c>
      <c r="I4801" s="8">
        <f>financials[[#This Row],[Gross Sales]]-financials[[#This Row],[Gross Sales]]*financials[[#This Row],[Discounts]]</f>
        <v>88.825000000000003</v>
      </c>
      <c r="J4801" s="8">
        <f>VLOOKUP(financials[[#This Row],[productid]],Products!$B$2:$H$10,4)</f>
        <v>3.99</v>
      </c>
      <c r="K4801" s="8">
        <f>financials[[#This Row],[Net Sales]]-financials[[#This Row],[COGS]]</f>
        <v>84.835000000000008</v>
      </c>
      <c r="L4801" s="15">
        <v>44773</v>
      </c>
      <c r="M4801" t="s">
        <v>696</v>
      </c>
    </row>
    <row r="4802" spans="1:13" x14ac:dyDescent="0.25">
      <c r="A4802" t="s">
        <v>86</v>
      </c>
      <c r="B4802" s="6" t="s">
        <v>159</v>
      </c>
      <c r="C4802" s="11">
        <v>109</v>
      </c>
      <c r="D4802" s="9" t="s">
        <v>91</v>
      </c>
      <c r="E4802">
        <v>18</v>
      </c>
      <c r="F4802" s="8">
        <f>VLOOKUP(financials[[#This Row],[productid]],Products!$B$2:$H$10,3)</f>
        <v>36</v>
      </c>
      <c r="G4802" s="8">
        <f>financials[[#This Row],[Units Sold]]*financials[[#This Row],[Sale Price]]</f>
        <v>648</v>
      </c>
      <c r="H4802" s="8">
        <f>IF(financials[[#This Row],[Discount Band]]="low",0.1,IF(financials[[#This Row],[Discount Band]]="medium",0.15,0.3))</f>
        <v>0.1</v>
      </c>
      <c r="I4802" s="8">
        <f>financials[[#This Row],[Gross Sales]]-financials[[#This Row],[Gross Sales]]*financials[[#This Row],[Discounts]]</f>
        <v>583.20000000000005</v>
      </c>
      <c r="J4802" s="8">
        <f>VLOOKUP(financials[[#This Row],[productid]],Products!$B$2:$H$10,4)</f>
        <v>16.8</v>
      </c>
      <c r="K4802" s="8">
        <f>financials[[#This Row],[Net Sales]]-financials[[#This Row],[COGS]]</f>
        <v>566.40000000000009</v>
      </c>
      <c r="L4802" s="15">
        <v>44393</v>
      </c>
      <c r="M4802" t="s">
        <v>691</v>
      </c>
    </row>
    <row r="4803" spans="1:13" x14ac:dyDescent="0.25">
      <c r="A4803" t="s">
        <v>86</v>
      </c>
      <c r="B4803" s="6" t="s">
        <v>159</v>
      </c>
      <c r="C4803" s="13">
        <v>108</v>
      </c>
      <c r="D4803" s="14" t="s">
        <v>90</v>
      </c>
      <c r="E4803">
        <v>13</v>
      </c>
      <c r="F4803" s="8">
        <f>VLOOKUP(financials[[#This Row],[productid]],Products!$B$2:$H$10,3)</f>
        <v>5.5</v>
      </c>
      <c r="G4803" s="8">
        <f>financials[[#This Row],[Units Sold]]*financials[[#This Row],[Sale Price]]</f>
        <v>71.5</v>
      </c>
      <c r="H4803" s="8">
        <f>IF(financials[[#This Row],[Discount Band]]="low",0.1,IF(financials[[#This Row],[Discount Band]]="medium",0.15,0.3))</f>
        <v>0.15</v>
      </c>
      <c r="I4803" s="8">
        <f>financials[[#This Row],[Gross Sales]]-financials[[#This Row],[Gross Sales]]*financials[[#This Row],[Discounts]]</f>
        <v>60.774999999999999</v>
      </c>
      <c r="J4803" s="8">
        <f>VLOOKUP(financials[[#This Row],[productid]],Products!$B$2:$H$10,4)</f>
        <v>3.99</v>
      </c>
      <c r="K4803" s="8">
        <f>financials[[#This Row],[Net Sales]]-financials[[#This Row],[COGS]]</f>
        <v>56.784999999999997</v>
      </c>
      <c r="L4803" s="15">
        <v>44012</v>
      </c>
      <c r="M4803" t="s">
        <v>696</v>
      </c>
    </row>
    <row r="4804" spans="1:13" x14ac:dyDescent="0.25">
      <c r="A4804" t="s">
        <v>85</v>
      </c>
      <c r="B4804" s="6" t="s">
        <v>159</v>
      </c>
      <c r="C4804" s="11">
        <v>101</v>
      </c>
      <c r="D4804" s="9" t="s">
        <v>92</v>
      </c>
      <c r="E4804">
        <v>19</v>
      </c>
      <c r="F4804" s="8">
        <f>VLOOKUP(financials[[#This Row],[productid]],Products!$B$2:$H$10,3)</f>
        <v>23</v>
      </c>
      <c r="G4804" s="8">
        <f>financials[[#This Row],[Units Sold]]*financials[[#This Row],[Sale Price]]</f>
        <v>437</v>
      </c>
      <c r="H4804" s="8">
        <f>IF(financials[[#This Row],[Discount Band]]="low",0.1,IF(financials[[#This Row],[Discount Band]]="medium",0.15,0.3))</f>
        <v>0.3</v>
      </c>
      <c r="I4804" s="8">
        <f>financials[[#This Row],[Gross Sales]]-financials[[#This Row],[Gross Sales]]*financials[[#This Row],[Discounts]]</f>
        <v>305.89999999999998</v>
      </c>
      <c r="J4804" s="8">
        <f>VLOOKUP(financials[[#This Row],[productid]],Products!$B$2:$H$10,4)</f>
        <v>9.9499999999999993</v>
      </c>
      <c r="K4804" s="8">
        <f>financials[[#This Row],[Net Sales]]-financials[[#This Row],[COGS]]</f>
        <v>295.95</v>
      </c>
      <c r="L4804" s="15">
        <v>44784</v>
      </c>
      <c r="M4804" t="s">
        <v>697</v>
      </c>
    </row>
    <row r="4805" spans="1:13" x14ac:dyDescent="0.25">
      <c r="A4805" t="s">
        <v>87</v>
      </c>
      <c r="B4805" s="6" t="s">
        <v>124</v>
      </c>
      <c r="C4805" s="13">
        <v>107</v>
      </c>
      <c r="D4805" s="14" t="s">
        <v>91</v>
      </c>
      <c r="E4805">
        <v>12</v>
      </c>
      <c r="F4805" s="8">
        <f>VLOOKUP(financials[[#This Row],[productid]],Products!$B$2:$H$10,3)</f>
        <v>15</v>
      </c>
      <c r="G4805" s="8">
        <f>financials[[#This Row],[Units Sold]]*financials[[#This Row],[Sale Price]]</f>
        <v>180</v>
      </c>
      <c r="H4805" s="8">
        <f>IF(financials[[#This Row],[Discount Band]]="low",0.1,IF(financials[[#This Row],[Discount Band]]="medium",0.15,0.3))</f>
        <v>0.1</v>
      </c>
      <c r="I4805" s="8">
        <f>financials[[#This Row],[Gross Sales]]-financials[[#This Row],[Gross Sales]]*financials[[#This Row],[Discounts]]</f>
        <v>162</v>
      </c>
      <c r="J4805" s="8">
        <f>VLOOKUP(financials[[#This Row],[productid]],Products!$B$2:$H$10,4)</f>
        <v>5.5</v>
      </c>
      <c r="K4805" s="8">
        <f>financials[[#This Row],[Net Sales]]-financials[[#This Row],[COGS]]</f>
        <v>156.5</v>
      </c>
      <c r="L4805" s="15">
        <v>45655</v>
      </c>
      <c r="M4805" t="s">
        <v>691</v>
      </c>
    </row>
    <row r="4806" spans="1:13" x14ac:dyDescent="0.25">
      <c r="A4806" t="s">
        <v>85</v>
      </c>
      <c r="B4806" s="6" t="s">
        <v>159</v>
      </c>
      <c r="C4806" s="13">
        <v>109</v>
      </c>
      <c r="D4806" s="14" t="s">
        <v>90</v>
      </c>
      <c r="E4806">
        <v>8</v>
      </c>
      <c r="F4806" s="8">
        <f>VLOOKUP(financials[[#This Row],[productid]],Products!$B$2:$H$10,3)</f>
        <v>36</v>
      </c>
      <c r="G4806" s="8">
        <f>financials[[#This Row],[Units Sold]]*financials[[#This Row],[Sale Price]]</f>
        <v>288</v>
      </c>
      <c r="H4806" s="8">
        <f>IF(financials[[#This Row],[Discount Band]]="low",0.1,IF(financials[[#This Row],[Discount Band]]="medium",0.15,0.3))</f>
        <v>0.15</v>
      </c>
      <c r="I4806" s="8">
        <f>financials[[#This Row],[Gross Sales]]-financials[[#This Row],[Gross Sales]]*financials[[#This Row],[Discounts]]</f>
        <v>244.8</v>
      </c>
      <c r="J4806" s="8">
        <f>VLOOKUP(financials[[#This Row],[productid]],Products!$B$2:$H$10,4)</f>
        <v>16.8</v>
      </c>
      <c r="K4806" s="8">
        <f>financials[[#This Row],[Net Sales]]-financials[[#This Row],[COGS]]</f>
        <v>228</v>
      </c>
      <c r="L4806" s="15">
        <v>45162</v>
      </c>
      <c r="M4806" t="s">
        <v>696</v>
      </c>
    </row>
    <row r="4807" spans="1:13" x14ac:dyDescent="0.25">
      <c r="A4807" t="s">
        <v>87</v>
      </c>
      <c r="B4807" s="6" t="s">
        <v>159</v>
      </c>
      <c r="C4807" s="13">
        <v>108</v>
      </c>
      <c r="D4807" s="14" t="s">
        <v>90</v>
      </c>
      <c r="E4807">
        <v>6</v>
      </c>
      <c r="F4807" s="8">
        <f>VLOOKUP(financials[[#This Row],[productid]],Products!$B$2:$H$10,3)</f>
        <v>5.5</v>
      </c>
      <c r="G4807" s="8">
        <f>financials[[#This Row],[Units Sold]]*financials[[#This Row],[Sale Price]]</f>
        <v>33</v>
      </c>
      <c r="H4807" s="8">
        <f>IF(financials[[#This Row],[Discount Band]]="low",0.1,IF(financials[[#This Row],[Discount Band]]="medium",0.15,0.3))</f>
        <v>0.15</v>
      </c>
      <c r="I4807" s="8">
        <f>financials[[#This Row],[Gross Sales]]-financials[[#This Row],[Gross Sales]]*financials[[#This Row],[Discounts]]</f>
        <v>28.05</v>
      </c>
      <c r="J4807" s="8">
        <f>VLOOKUP(financials[[#This Row],[productid]],Products!$B$2:$H$10,4)</f>
        <v>3.99</v>
      </c>
      <c r="K4807" s="8">
        <f>financials[[#This Row],[Net Sales]]-financials[[#This Row],[COGS]]</f>
        <v>24.060000000000002</v>
      </c>
      <c r="L4807" s="15">
        <v>45003</v>
      </c>
      <c r="M4807" t="s">
        <v>691</v>
      </c>
    </row>
    <row r="4808" spans="1:13" x14ac:dyDescent="0.25">
      <c r="A4808" t="s">
        <v>86</v>
      </c>
      <c r="B4808" s="6" t="s">
        <v>159</v>
      </c>
      <c r="C4808" s="11">
        <v>109</v>
      </c>
      <c r="D4808" s="9" t="s">
        <v>83</v>
      </c>
      <c r="E4808">
        <v>17</v>
      </c>
      <c r="F4808" s="8">
        <f>VLOOKUP(financials[[#This Row],[productid]],Products!$B$2:$H$10,3)</f>
        <v>36</v>
      </c>
      <c r="G4808" s="8">
        <f>financials[[#This Row],[Units Sold]]*financials[[#This Row],[Sale Price]]</f>
        <v>612</v>
      </c>
      <c r="H4808" s="8">
        <f>IF(financials[[#This Row],[Discount Band]]="low",0.1,IF(financials[[#This Row],[Discount Band]]="medium",0.15,0.3))</f>
        <v>0.3</v>
      </c>
      <c r="I4808" s="8">
        <f>financials[[#This Row],[Gross Sales]]-financials[[#This Row],[Gross Sales]]*financials[[#This Row],[Discounts]]</f>
        <v>428.4</v>
      </c>
      <c r="J4808" s="8">
        <f>VLOOKUP(financials[[#This Row],[productid]],Products!$B$2:$H$10,4)</f>
        <v>16.8</v>
      </c>
      <c r="K4808" s="8">
        <f>financials[[#This Row],[Net Sales]]-financials[[#This Row],[COGS]]</f>
        <v>411.59999999999997</v>
      </c>
      <c r="L4808" s="15">
        <v>44471</v>
      </c>
      <c r="M4808" t="s">
        <v>691</v>
      </c>
    </row>
    <row r="4809" spans="1:13" x14ac:dyDescent="0.25">
      <c r="A4809" t="s">
        <v>85</v>
      </c>
      <c r="B4809" s="6" t="s">
        <v>124</v>
      </c>
      <c r="C4809" s="13">
        <v>101</v>
      </c>
      <c r="D4809" s="14" t="s">
        <v>90</v>
      </c>
      <c r="E4809">
        <v>8</v>
      </c>
      <c r="F4809" s="8">
        <f>VLOOKUP(financials[[#This Row],[productid]],Products!$B$2:$H$10,3)</f>
        <v>23</v>
      </c>
      <c r="G4809" s="8">
        <f>financials[[#This Row],[Units Sold]]*financials[[#This Row],[Sale Price]]</f>
        <v>184</v>
      </c>
      <c r="H4809" s="8">
        <f>IF(financials[[#This Row],[Discount Band]]="low",0.1,IF(financials[[#This Row],[Discount Band]]="medium",0.15,0.3))</f>
        <v>0.15</v>
      </c>
      <c r="I4809" s="8">
        <f>financials[[#This Row],[Gross Sales]]-financials[[#This Row],[Gross Sales]]*financials[[#This Row],[Discounts]]</f>
        <v>156.4</v>
      </c>
      <c r="J4809" s="8">
        <f>VLOOKUP(financials[[#This Row],[productid]],Products!$B$2:$H$10,4)</f>
        <v>9.9499999999999993</v>
      </c>
      <c r="K4809" s="8">
        <f>financials[[#This Row],[Net Sales]]-financials[[#This Row],[COGS]]</f>
        <v>146.45000000000002</v>
      </c>
      <c r="L4809" s="15">
        <v>45573</v>
      </c>
      <c r="M4809" t="s">
        <v>697</v>
      </c>
    </row>
    <row r="4810" spans="1:13" x14ac:dyDescent="0.25">
      <c r="A4810" t="s">
        <v>87</v>
      </c>
      <c r="B4810" s="6" t="s">
        <v>124</v>
      </c>
      <c r="C4810" s="11">
        <v>104</v>
      </c>
      <c r="D4810" s="9" t="s">
        <v>83</v>
      </c>
      <c r="E4810">
        <v>8</v>
      </c>
      <c r="F4810" s="8">
        <f>VLOOKUP(financials[[#This Row],[productid]],Products!$B$2:$H$10,3)</f>
        <v>5.9</v>
      </c>
      <c r="G4810" s="8">
        <f>financials[[#This Row],[Units Sold]]*financials[[#This Row],[Sale Price]]</f>
        <v>47.2</v>
      </c>
      <c r="H4810" s="8">
        <f>IF(financials[[#This Row],[Discount Band]]="low",0.1,IF(financials[[#This Row],[Discount Band]]="medium",0.15,0.3))</f>
        <v>0.3</v>
      </c>
      <c r="I4810" s="8">
        <f>financials[[#This Row],[Gross Sales]]-financials[[#This Row],[Gross Sales]]*financials[[#This Row],[Discounts]]</f>
        <v>33.040000000000006</v>
      </c>
      <c r="J4810" s="8">
        <f>VLOOKUP(financials[[#This Row],[productid]],Products!$B$2:$H$10,4)</f>
        <v>2.9</v>
      </c>
      <c r="K4810" s="8">
        <f>financials[[#This Row],[Net Sales]]-financials[[#This Row],[COGS]]</f>
        <v>30.140000000000008</v>
      </c>
      <c r="L4810" s="15">
        <v>45090</v>
      </c>
      <c r="M4810" t="s">
        <v>697</v>
      </c>
    </row>
    <row r="4811" spans="1:13" x14ac:dyDescent="0.25">
      <c r="A4811" t="s">
        <v>86</v>
      </c>
      <c r="B4811" s="6" t="s">
        <v>124</v>
      </c>
      <c r="C4811" s="11">
        <v>108</v>
      </c>
      <c r="D4811" s="9" t="s">
        <v>83</v>
      </c>
      <c r="E4811">
        <v>7</v>
      </c>
      <c r="F4811" s="8">
        <f>VLOOKUP(financials[[#This Row],[productid]],Products!$B$2:$H$10,3)</f>
        <v>5.5</v>
      </c>
      <c r="G4811" s="8">
        <f>financials[[#This Row],[Units Sold]]*financials[[#This Row],[Sale Price]]</f>
        <v>38.5</v>
      </c>
      <c r="H4811" s="8">
        <f>IF(financials[[#This Row],[Discount Band]]="low",0.1,IF(financials[[#This Row],[Discount Band]]="medium",0.15,0.3))</f>
        <v>0.3</v>
      </c>
      <c r="I4811" s="8">
        <f>financials[[#This Row],[Gross Sales]]-financials[[#This Row],[Gross Sales]]*financials[[#This Row],[Discounts]]</f>
        <v>26.950000000000003</v>
      </c>
      <c r="J4811" s="8">
        <f>VLOOKUP(financials[[#This Row],[productid]],Products!$B$2:$H$10,4)</f>
        <v>3.99</v>
      </c>
      <c r="K4811" s="8">
        <f>financials[[#This Row],[Net Sales]]-financials[[#This Row],[COGS]]</f>
        <v>22.96</v>
      </c>
      <c r="L4811" s="15">
        <v>45441</v>
      </c>
      <c r="M4811" t="s">
        <v>700</v>
      </c>
    </row>
    <row r="4812" spans="1:13" x14ac:dyDescent="0.25">
      <c r="A4812" t="s">
        <v>85</v>
      </c>
      <c r="B4812" s="6" t="s">
        <v>124</v>
      </c>
      <c r="C4812" s="13">
        <v>108</v>
      </c>
      <c r="D4812" s="14" t="s">
        <v>83</v>
      </c>
      <c r="E4812">
        <v>19</v>
      </c>
      <c r="F4812" s="8">
        <f>VLOOKUP(financials[[#This Row],[productid]],Products!$B$2:$H$10,3)</f>
        <v>5.5</v>
      </c>
      <c r="G4812" s="8">
        <f>financials[[#This Row],[Units Sold]]*financials[[#This Row],[Sale Price]]</f>
        <v>104.5</v>
      </c>
      <c r="H4812" s="8">
        <f>IF(financials[[#This Row],[Discount Band]]="low",0.1,IF(financials[[#This Row],[Discount Band]]="medium",0.15,0.3))</f>
        <v>0.3</v>
      </c>
      <c r="I4812" s="8">
        <f>financials[[#This Row],[Gross Sales]]-financials[[#This Row],[Gross Sales]]*financials[[#This Row],[Discounts]]</f>
        <v>73.150000000000006</v>
      </c>
      <c r="J4812" s="8">
        <f>VLOOKUP(financials[[#This Row],[productid]],Products!$B$2:$H$10,4)</f>
        <v>3.99</v>
      </c>
      <c r="K4812" s="8">
        <f>financials[[#This Row],[Net Sales]]-financials[[#This Row],[COGS]]</f>
        <v>69.160000000000011</v>
      </c>
      <c r="L4812" s="15">
        <v>45617</v>
      </c>
      <c r="M4812" t="s">
        <v>700</v>
      </c>
    </row>
    <row r="4813" spans="1:13" x14ac:dyDescent="0.25">
      <c r="A4813" t="s">
        <v>87</v>
      </c>
      <c r="B4813" s="6" t="s">
        <v>159</v>
      </c>
      <c r="C4813" s="13">
        <v>106</v>
      </c>
      <c r="D4813" s="14" t="s">
        <v>83</v>
      </c>
      <c r="E4813">
        <v>7</v>
      </c>
      <c r="F4813" s="8">
        <f>VLOOKUP(financials[[#This Row],[productid]],Products!$B$2:$H$10,3)</f>
        <v>25</v>
      </c>
      <c r="G4813" s="8">
        <f>financials[[#This Row],[Units Sold]]*financials[[#This Row],[Sale Price]]</f>
        <v>175</v>
      </c>
      <c r="H4813" s="8">
        <f>IF(financials[[#This Row],[Discount Band]]="low",0.1,IF(financials[[#This Row],[Discount Band]]="medium",0.15,0.3))</f>
        <v>0.3</v>
      </c>
      <c r="I4813" s="8">
        <f>financials[[#This Row],[Gross Sales]]-financials[[#This Row],[Gross Sales]]*financials[[#This Row],[Discounts]]</f>
        <v>122.5</v>
      </c>
      <c r="J4813" s="8">
        <f>VLOOKUP(financials[[#This Row],[productid]],Products!$B$2:$H$10,4)</f>
        <v>9.1</v>
      </c>
      <c r="K4813" s="8">
        <f>financials[[#This Row],[Net Sales]]-financials[[#This Row],[COGS]]</f>
        <v>113.4</v>
      </c>
      <c r="L4813" s="15">
        <v>43955</v>
      </c>
      <c r="M4813" t="s">
        <v>700</v>
      </c>
    </row>
    <row r="4814" spans="1:13" x14ac:dyDescent="0.25">
      <c r="A4814" t="s">
        <v>87</v>
      </c>
      <c r="B4814" s="6" t="s">
        <v>159</v>
      </c>
      <c r="C4814" s="13">
        <v>103</v>
      </c>
      <c r="D4814" s="14" t="s">
        <v>83</v>
      </c>
      <c r="E4814">
        <v>9</v>
      </c>
      <c r="F4814" s="8">
        <f>VLOOKUP(financials[[#This Row],[productid]],Products!$B$2:$H$10,3)</f>
        <v>28</v>
      </c>
      <c r="G4814" s="8">
        <f>financials[[#This Row],[Units Sold]]*financials[[#This Row],[Sale Price]]</f>
        <v>252</v>
      </c>
      <c r="H4814" s="8">
        <f>IF(financials[[#This Row],[Discount Band]]="low",0.1,IF(financials[[#This Row],[Discount Band]]="medium",0.15,0.3))</f>
        <v>0.3</v>
      </c>
      <c r="I4814" s="8">
        <f>financials[[#This Row],[Gross Sales]]-financials[[#This Row],[Gross Sales]]*financials[[#This Row],[Discounts]]</f>
        <v>176.4</v>
      </c>
      <c r="J4814" s="8">
        <f>VLOOKUP(financials[[#This Row],[productid]],Products!$B$2:$H$10,4)</f>
        <v>15</v>
      </c>
      <c r="K4814" s="8">
        <f>financials[[#This Row],[Net Sales]]-financials[[#This Row],[COGS]]</f>
        <v>161.4</v>
      </c>
      <c r="L4814" s="15">
        <v>44921</v>
      </c>
      <c r="M4814" t="s">
        <v>697</v>
      </c>
    </row>
    <row r="4815" spans="1:13" x14ac:dyDescent="0.25">
      <c r="A4815" t="s">
        <v>86</v>
      </c>
      <c r="B4815" s="6" t="s">
        <v>159</v>
      </c>
      <c r="C4815" s="13">
        <v>102</v>
      </c>
      <c r="D4815" s="14" t="s">
        <v>90</v>
      </c>
      <c r="E4815">
        <v>10</v>
      </c>
      <c r="F4815" s="8">
        <f>VLOOKUP(financials[[#This Row],[productid]],Products!$B$2:$H$10,3)</f>
        <v>15</v>
      </c>
      <c r="G4815" s="8">
        <f>financials[[#This Row],[Units Sold]]*financials[[#This Row],[Sale Price]]</f>
        <v>150</v>
      </c>
      <c r="H4815" s="8">
        <f>IF(financials[[#This Row],[Discount Band]]="low",0.1,IF(financials[[#This Row],[Discount Band]]="medium",0.15,0.3))</f>
        <v>0.15</v>
      </c>
      <c r="I4815" s="8">
        <f>financials[[#This Row],[Gross Sales]]-financials[[#This Row],[Gross Sales]]*financials[[#This Row],[Discounts]]</f>
        <v>127.5</v>
      </c>
      <c r="J4815" s="8">
        <f>VLOOKUP(financials[[#This Row],[productid]],Products!$B$2:$H$10,4)</f>
        <v>13.95</v>
      </c>
      <c r="K4815" s="8">
        <f>financials[[#This Row],[Net Sales]]-financials[[#This Row],[COGS]]</f>
        <v>113.55</v>
      </c>
      <c r="L4815" s="15">
        <v>44763</v>
      </c>
      <c r="M4815" t="s">
        <v>691</v>
      </c>
    </row>
    <row r="4816" spans="1:13" x14ac:dyDescent="0.25">
      <c r="A4816" t="s">
        <v>86</v>
      </c>
      <c r="B4816" s="6" t="s">
        <v>159</v>
      </c>
      <c r="C4816" s="11">
        <v>101</v>
      </c>
      <c r="D4816" s="9" t="s">
        <v>90</v>
      </c>
      <c r="E4816">
        <v>8</v>
      </c>
      <c r="F4816" s="8">
        <f>VLOOKUP(financials[[#This Row],[productid]],Products!$B$2:$H$10,3)</f>
        <v>23</v>
      </c>
      <c r="G4816" s="8">
        <f>financials[[#This Row],[Units Sold]]*financials[[#This Row],[Sale Price]]</f>
        <v>184</v>
      </c>
      <c r="H4816" s="8">
        <f>IF(financials[[#This Row],[Discount Band]]="low",0.1,IF(financials[[#This Row],[Discount Band]]="medium",0.15,0.3))</f>
        <v>0.15</v>
      </c>
      <c r="I4816" s="8">
        <f>financials[[#This Row],[Gross Sales]]-financials[[#This Row],[Gross Sales]]*financials[[#This Row],[Discounts]]</f>
        <v>156.4</v>
      </c>
      <c r="J4816" s="8">
        <f>VLOOKUP(financials[[#This Row],[productid]],Products!$B$2:$H$10,4)</f>
        <v>9.9499999999999993</v>
      </c>
      <c r="K4816" s="8">
        <f>financials[[#This Row],[Net Sales]]-financials[[#This Row],[COGS]]</f>
        <v>146.45000000000002</v>
      </c>
      <c r="L4816" s="15">
        <v>44042</v>
      </c>
      <c r="M4816" t="s">
        <v>700</v>
      </c>
    </row>
    <row r="4817" spans="1:13" x14ac:dyDescent="0.25">
      <c r="A4817" t="s">
        <v>86</v>
      </c>
      <c r="B4817" s="6" t="s">
        <v>159</v>
      </c>
      <c r="C4817" s="13">
        <v>107</v>
      </c>
      <c r="D4817" s="14" t="s">
        <v>90</v>
      </c>
      <c r="E4817">
        <v>8</v>
      </c>
      <c r="F4817" s="8">
        <f>VLOOKUP(financials[[#This Row],[productid]],Products!$B$2:$H$10,3)</f>
        <v>15</v>
      </c>
      <c r="G4817" s="8">
        <f>financials[[#This Row],[Units Sold]]*financials[[#This Row],[Sale Price]]</f>
        <v>120</v>
      </c>
      <c r="H4817" s="8">
        <f>IF(financials[[#This Row],[Discount Band]]="low",0.1,IF(financials[[#This Row],[Discount Band]]="medium",0.15,0.3))</f>
        <v>0.15</v>
      </c>
      <c r="I4817" s="8">
        <f>financials[[#This Row],[Gross Sales]]-financials[[#This Row],[Gross Sales]]*financials[[#This Row],[Discounts]]</f>
        <v>102</v>
      </c>
      <c r="J4817" s="8">
        <f>VLOOKUP(financials[[#This Row],[productid]],Products!$B$2:$H$10,4)</f>
        <v>5.5</v>
      </c>
      <c r="K4817" s="8">
        <f>financials[[#This Row],[Net Sales]]-financials[[#This Row],[COGS]]</f>
        <v>96.5</v>
      </c>
      <c r="L4817" s="15">
        <v>44993</v>
      </c>
      <c r="M4817" t="s">
        <v>697</v>
      </c>
    </row>
    <row r="4818" spans="1:13" x14ac:dyDescent="0.25">
      <c r="A4818" t="s">
        <v>86</v>
      </c>
      <c r="B4818" s="6" t="s">
        <v>124</v>
      </c>
      <c r="C4818" s="13">
        <v>104</v>
      </c>
      <c r="D4818" s="14" t="s">
        <v>90</v>
      </c>
      <c r="E4818">
        <v>12</v>
      </c>
      <c r="F4818" s="8">
        <f>VLOOKUP(financials[[#This Row],[productid]],Products!$B$2:$H$10,3)</f>
        <v>5.9</v>
      </c>
      <c r="G4818" s="8">
        <f>financials[[#This Row],[Units Sold]]*financials[[#This Row],[Sale Price]]</f>
        <v>70.800000000000011</v>
      </c>
      <c r="H4818" s="8">
        <f>IF(financials[[#This Row],[Discount Band]]="low",0.1,IF(financials[[#This Row],[Discount Band]]="medium",0.15,0.3))</f>
        <v>0.15</v>
      </c>
      <c r="I4818" s="8">
        <f>financials[[#This Row],[Gross Sales]]-financials[[#This Row],[Gross Sales]]*financials[[#This Row],[Discounts]]</f>
        <v>60.180000000000007</v>
      </c>
      <c r="J4818" s="8">
        <f>VLOOKUP(financials[[#This Row],[productid]],Products!$B$2:$H$10,4)</f>
        <v>2.9</v>
      </c>
      <c r="K4818" s="8">
        <f>financials[[#This Row],[Net Sales]]-financials[[#This Row],[COGS]]</f>
        <v>57.280000000000008</v>
      </c>
      <c r="L4818" s="15">
        <v>45221</v>
      </c>
      <c r="M4818" t="s">
        <v>697</v>
      </c>
    </row>
    <row r="4819" spans="1:13" x14ac:dyDescent="0.25">
      <c r="A4819" t="s">
        <v>85</v>
      </c>
      <c r="B4819" s="6" t="s">
        <v>159</v>
      </c>
      <c r="C4819" s="13">
        <v>104</v>
      </c>
      <c r="D4819" s="14" t="s">
        <v>83</v>
      </c>
      <c r="E4819">
        <v>11</v>
      </c>
      <c r="F4819" s="8">
        <f>VLOOKUP(financials[[#This Row],[productid]],Products!$B$2:$H$10,3)</f>
        <v>5.9</v>
      </c>
      <c r="G4819" s="8">
        <f>financials[[#This Row],[Units Sold]]*financials[[#This Row],[Sale Price]]</f>
        <v>64.900000000000006</v>
      </c>
      <c r="H4819" s="8">
        <f>IF(financials[[#This Row],[Discount Band]]="low",0.1,IF(financials[[#This Row],[Discount Band]]="medium",0.15,0.3))</f>
        <v>0.3</v>
      </c>
      <c r="I4819" s="8">
        <f>financials[[#This Row],[Gross Sales]]-financials[[#This Row],[Gross Sales]]*financials[[#This Row],[Discounts]]</f>
        <v>45.430000000000007</v>
      </c>
      <c r="J4819" s="8">
        <f>VLOOKUP(financials[[#This Row],[productid]],Products!$B$2:$H$10,4)</f>
        <v>2.9</v>
      </c>
      <c r="K4819" s="8">
        <f>financials[[#This Row],[Net Sales]]-financials[[#This Row],[COGS]]</f>
        <v>42.530000000000008</v>
      </c>
      <c r="L4819" s="15">
        <v>45316</v>
      </c>
      <c r="M4819" t="s">
        <v>690</v>
      </c>
    </row>
    <row r="4820" spans="1:13" x14ac:dyDescent="0.25">
      <c r="A4820" t="s">
        <v>85</v>
      </c>
      <c r="B4820" s="6" t="s">
        <v>124</v>
      </c>
      <c r="C4820" s="11">
        <v>103</v>
      </c>
      <c r="D4820" s="9" t="s">
        <v>91</v>
      </c>
      <c r="E4820">
        <v>18</v>
      </c>
      <c r="F4820" s="8">
        <f>VLOOKUP(financials[[#This Row],[productid]],Products!$B$2:$H$10,3)</f>
        <v>28</v>
      </c>
      <c r="G4820" s="8">
        <f>financials[[#This Row],[Units Sold]]*financials[[#This Row],[Sale Price]]</f>
        <v>504</v>
      </c>
      <c r="H4820" s="8">
        <f>IF(financials[[#This Row],[Discount Band]]="low",0.1,IF(financials[[#This Row],[Discount Band]]="medium",0.15,0.3))</f>
        <v>0.1</v>
      </c>
      <c r="I4820" s="8">
        <f>financials[[#This Row],[Gross Sales]]-financials[[#This Row],[Gross Sales]]*financials[[#This Row],[Discounts]]</f>
        <v>453.6</v>
      </c>
      <c r="J4820" s="8">
        <f>VLOOKUP(financials[[#This Row],[productid]],Products!$B$2:$H$10,4)</f>
        <v>15</v>
      </c>
      <c r="K4820" s="8">
        <f>financials[[#This Row],[Net Sales]]-financials[[#This Row],[COGS]]</f>
        <v>438.6</v>
      </c>
      <c r="L4820" s="15">
        <v>44927</v>
      </c>
      <c r="M4820" t="s">
        <v>690</v>
      </c>
    </row>
    <row r="4821" spans="1:13" x14ac:dyDescent="0.25">
      <c r="A4821" t="s">
        <v>87</v>
      </c>
      <c r="B4821" s="6" t="s">
        <v>124</v>
      </c>
      <c r="C4821" s="13">
        <v>106</v>
      </c>
      <c r="D4821" s="14" t="s">
        <v>83</v>
      </c>
      <c r="E4821">
        <v>14</v>
      </c>
      <c r="F4821" s="8">
        <f>VLOOKUP(financials[[#This Row],[productid]],Products!$B$2:$H$10,3)</f>
        <v>25</v>
      </c>
      <c r="G4821" s="8">
        <f>financials[[#This Row],[Units Sold]]*financials[[#This Row],[Sale Price]]</f>
        <v>350</v>
      </c>
      <c r="H4821" s="8">
        <f>IF(financials[[#This Row],[Discount Band]]="low",0.1,IF(financials[[#This Row],[Discount Band]]="medium",0.15,0.3))</f>
        <v>0.3</v>
      </c>
      <c r="I4821" s="8">
        <f>financials[[#This Row],[Gross Sales]]-financials[[#This Row],[Gross Sales]]*financials[[#This Row],[Discounts]]</f>
        <v>245</v>
      </c>
      <c r="J4821" s="8">
        <f>VLOOKUP(financials[[#This Row],[productid]],Products!$B$2:$H$10,4)</f>
        <v>9.1</v>
      </c>
      <c r="K4821" s="8">
        <f>financials[[#This Row],[Net Sales]]-financials[[#This Row],[COGS]]</f>
        <v>235.9</v>
      </c>
      <c r="L4821" s="15">
        <v>45204</v>
      </c>
      <c r="M4821" t="s">
        <v>696</v>
      </c>
    </row>
    <row r="4822" spans="1:13" x14ac:dyDescent="0.25">
      <c r="A4822" t="s">
        <v>87</v>
      </c>
      <c r="B4822" s="6" t="s">
        <v>159</v>
      </c>
      <c r="C4822" s="13">
        <v>105</v>
      </c>
      <c r="D4822" s="14" t="s">
        <v>83</v>
      </c>
      <c r="E4822">
        <v>20</v>
      </c>
      <c r="F4822" s="8">
        <f>VLOOKUP(financials[[#This Row],[productid]],Products!$B$2:$H$10,3)</f>
        <v>15</v>
      </c>
      <c r="G4822" s="8">
        <f>financials[[#This Row],[Units Sold]]*financials[[#This Row],[Sale Price]]</f>
        <v>300</v>
      </c>
      <c r="H4822" s="8">
        <f>IF(financials[[#This Row],[Discount Band]]="low",0.1,IF(financials[[#This Row],[Discount Band]]="medium",0.15,0.3))</f>
        <v>0.3</v>
      </c>
      <c r="I4822" s="8">
        <f>financials[[#This Row],[Gross Sales]]-financials[[#This Row],[Gross Sales]]*financials[[#This Row],[Discounts]]</f>
        <v>210</v>
      </c>
      <c r="J4822" s="8">
        <f>VLOOKUP(financials[[#This Row],[productid]],Products!$B$2:$H$10,4)</f>
        <v>10</v>
      </c>
      <c r="K4822" s="8">
        <f>financials[[#This Row],[Net Sales]]-financials[[#This Row],[COGS]]</f>
        <v>200</v>
      </c>
      <c r="L4822" s="15">
        <v>45267</v>
      </c>
      <c r="M4822" t="s">
        <v>697</v>
      </c>
    </row>
    <row r="4823" spans="1:13" x14ac:dyDescent="0.25">
      <c r="A4823" t="s">
        <v>87</v>
      </c>
      <c r="B4823" s="6" t="s">
        <v>159</v>
      </c>
      <c r="C4823" s="13">
        <v>101</v>
      </c>
      <c r="D4823" s="14" t="s">
        <v>91</v>
      </c>
      <c r="E4823">
        <v>10</v>
      </c>
      <c r="F4823" s="8">
        <f>VLOOKUP(financials[[#This Row],[productid]],Products!$B$2:$H$10,3)</f>
        <v>23</v>
      </c>
      <c r="G4823" s="8">
        <f>financials[[#This Row],[Units Sold]]*financials[[#This Row],[Sale Price]]</f>
        <v>230</v>
      </c>
      <c r="H4823" s="8">
        <f>IF(financials[[#This Row],[Discount Band]]="low",0.1,IF(financials[[#This Row],[Discount Band]]="medium",0.15,0.3))</f>
        <v>0.1</v>
      </c>
      <c r="I4823" s="8">
        <f>financials[[#This Row],[Gross Sales]]-financials[[#This Row],[Gross Sales]]*financials[[#This Row],[Discounts]]</f>
        <v>207</v>
      </c>
      <c r="J4823" s="8">
        <f>VLOOKUP(financials[[#This Row],[productid]],Products!$B$2:$H$10,4)</f>
        <v>9.9499999999999993</v>
      </c>
      <c r="K4823" s="8">
        <f>financials[[#This Row],[Net Sales]]-financials[[#This Row],[COGS]]</f>
        <v>197.05</v>
      </c>
      <c r="L4823" s="15">
        <v>44604</v>
      </c>
      <c r="M4823" t="s">
        <v>690</v>
      </c>
    </row>
    <row r="4824" spans="1:13" x14ac:dyDescent="0.25">
      <c r="A4824" t="s">
        <v>86</v>
      </c>
      <c r="B4824" s="6" t="s">
        <v>124</v>
      </c>
      <c r="C4824" s="13">
        <v>106</v>
      </c>
      <c r="D4824" s="14" t="s">
        <v>83</v>
      </c>
      <c r="E4824">
        <v>7</v>
      </c>
      <c r="F4824" s="8">
        <f>VLOOKUP(financials[[#This Row],[productid]],Products!$B$2:$H$10,3)</f>
        <v>25</v>
      </c>
      <c r="G4824" s="8">
        <f>financials[[#This Row],[Units Sold]]*financials[[#This Row],[Sale Price]]</f>
        <v>175</v>
      </c>
      <c r="H4824" s="8">
        <f>IF(financials[[#This Row],[Discount Band]]="low",0.1,IF(financials[[#This Row],[Discount Band]]="medium",0.15,0.3))</f>
        <v>0.3</v>
      </c>
      <c r="I4824" s="8">
        <f>financials[[#This Row],[Gross Sales]]-financials[[#This Row],[Gross Sales]]*financials[[#This Row],[Discounts]]</f>
        <v>122.5</v>
      </c>
      <c r="J4824" s="8">
        <f>VLOOKUP(financials[[#This Row],[productid]],Products!$B$2:$H$10,4)</f>
        <v>9.1</v>
      </c>
      <c r="K4824" s="8">
        <f>financials[[#This Row],[Net Sales]]-financials[[#This Row],[COGS]]</f>
        <v>113.4</v>
      </c>
      <c r="L4824" s="15">
        <v>44644</v>
      </c>
      <c r="M4824" t="s">
        <v>690</v>
      </c>
    </row>
    <row r="4825" spans="1:13" x14ac:dyDescent="0.25">
      <c r="A4825" t="s">
        <v>86</v>
      </c>
      <c r="B4825" s="6" t="s">
        <v>124</v>
      </c>
      <c r="C4825" s="13">
        <v>106</v>
      </c>
      <c r="D4825" s="14" t="s">
        <v>90</v>
      </c>
      <c r="E4825">
        <v>6</v>
      </c>
      <c r="F4825" s="8">
        <f>VLOOKUP(financials[[#This Row],[productid]],Products!$B$2:$H$10,3)</f>
        <v>25</v>
      </c>
      <c r="G4825" s="8">
        <f>financials[[#This Row],[Units Sold]]*financials[[#This Row],[Sale Price]]</f>
        <v>150</v>
      </c>
      <c r="H4825" s="8">
        <f>IF(financials[[#This Row],[Discount Band]]="low",0.1,IF(financials[[#This Row],[Discount Band]]="medium",0.15,0.3))</f>
        <v>0.15</v>
      </c>
      <c r="I4825" s="8">
        <f>financials[[#This Row],[Gross Sales]]-financials[[#This Row],[Gross Sales]]*financials[[#This Row],[Discounts]]</f>
        <v>127.5</v>
      </c>
      <c r="J4825" s="8">
        <f>VLOOKUP(financials[[#This Row],[productid]],Products!$B$2:$H$10,4)</f>
        <v>9.1</v>
      </c>
      <c r="K4825" s="8">
        <f>financials[[#This Row],[Net Sales]]-financials[[#This Row],[COGS]]</f>
        <v>118.4</v>
      </c>
      <c r="L4825" s="15">
        <v>44292</v>
      </c>
      <c r="M4825" t="s">
        <v>691</v>
      </c>
    </row>
    <row r="4826" spans="1:13" x14ac:dyDescent="0.25">
      <c r="A4826" t="s">
        <v>87</v>
      </c>
      <c r="B4826" s="6" t="s">
        <v>159</v>
      </c>
      <c r="C4826" s="13">
        <v>101</v>
      </c>
      <c r="D4826" s="14" t="s">
        <v>91</v>
      </c>
      <c r="E4826">
        <v>17</v>
      </c>
      <c r="F4826" s="8">
        <f>VLOOKUP(financials[[#This Row],[productid]],Products!$B$2:$H$10,3)</f>
        <v>23</v>
      </c>
      <c r="G4826" s="8">
        <f>financials[[#This Row],[Units Sold]]*financials[[#This Row],[Sale Price]]</f>
        <v>391</v>
      </c>
      <c r="H4826" s="8">
        <f>IF(financials[[#This Row],[Discount Band]]="low",0.1,IF(financials[[#This Row],[Discount Band]]="medium",0.15,0.3))</f>
        <v>0.1</v>
      </c>
      <c r="I4826" s="8">
        <f>financials[[#This Row],[Gross Sales]]-financials[[#This Row],[Gross Sales]]*financials[[#This Row],[Discounts]]</f>
        <v>351.9</v>
      </c>
      <c r="J4826" s="8">
        <f>VLOOKUP(financials[[#This Row],[productid]],Products!$B$2:$H$10,4)</f>
        <v>9.9499999999999993</v>
      </c>
      <c r="K4826" s="8">
        <f>financials[[#This Row],[Net Sales]]-financials[[#This Row],[COGS]]</f>
        <v>341.95</v>
      </c>
      <c r="L4826" s="15">
        <v>44304</v>
      </c>
      <c r="M4826" t="s">
        <v>696</v>
      </c>
    </row>
    <row r="4827" spans="1:13" x14ac:dyDescent="0.25">
      <c r="A4827" t="s">
        <v>86</v>
      </c>
      <c r="B4827" s="6" t="s">
        <v>159</v>
      </c>
      <c r="C4827" s="13">
        <v>108</v>
      </c>
      <c r="D4827" s="14" t="s">
        <v>91</v>
      </c>
      <c r="E4827">
        <v>8</v>
      </c>
      <c r="F4827" s="8">
        <f>VLOOKUP(financials[[#This Row],[productid]],Products!$B$2:$H$10,3)</f>
        <v>5.5</v>
      </c>
      <c r="G4827" s="8">
        <f>financials[[#This Row],[Units Sold]]*financials[[#This Row],[Sale Price]]</f>
        <v>44</v>
      </c>
      <c r="H4827" s="8">
        <f>IF(financials[[#This Row],[Discount Band]]="low",0.1,IF(financials[[#This Row],[Discount Band]]="medium",0.15,0.3))</f>
        <v>0.1</v>
      </c>
      <c r="I4827" s="8">
        <f>financials[[#This Row],[Gross Sales]]-financials[[#This Row],[Gross Sales]]*financials[[#This Row],[Discounts]]</f>
        <v>39.6</v>
      </c>
      <c r="J4827" s="8">
        <f>VLOOKUP(financials[[#This Row],[productid]],Products!$B$2:$H$10,4)</f>
        <v>3.99</v>
      </c>
      <c r="K4827" s="8">
        <f>financials[[#This Row],[Net Sales]]-financials[[#This Row],[COGS]]</f>
        <v>35.61</v>
      </c>
      <c r="L4827" s="15">
        <v>45207</v>
      </c>
      <c r="M4827" t="s">
        <v>690</v>
      </c>
    </row>
    <row r="4828" spans="1:13" x14ac:dyDescent="0.25">
      <c r="A4828" t="s">
        <v>85</v>
      </c>
      <c r="B4828" s="6" t="s">
        <v>124</v>
      </c>
      <c r="C4828" s="11">
        <v>103</v>
      </c>
      <c r="D4828" s="9" t="s">
        <v>83</v>
      </c>
      <c r="E4828">
        <v>19</v>
      </c>
      <c r="F4828" s="8">
        <f>VLOOKUP(financials[[#This Row],[productid]],Products!$B$2:$H$10,3)</f>
        <v>28</v>
      </c>
      <c r="G4828" s="8">
        <f>financials[[#This Row],[Units Sold]]*financials[[#This Row],[Sale Price]]</f>
        <v>532</v>
      </c>
      <c r="H4828" s="8">
        <f>IF(financials[[#This Row],[Discount Band]]="low",0.1,IF(financials[[#This Row],[Discount Band]]="medium",0.15,0.3))</f>
        <v>0.3</v>
      </c>
      <c r="I4828" s="8">
        <f>financials[[#This Row],[Gross Sales]]-financials[[#This Row],[Gross Sales]]*financials[[#This Row],[Discounts]]</f>
        <v>372.4</v>
      </c>
      <c r="J4828" s="8">
        <f>VLOOKUP(financials[[#This Row],[productid]],Products!$B$2:$H$10,4)</f>
        <v>15</v>
      </c>
      <c r="K4828" s="8">
        <f>financials[[#This Row],[Net Sales]]-financials[[#This Row],[COGS]]</f>
        <v>357.4</v>
      </c>
      <c r="L4828" s="15">
        <v>45635</v>
      </c>
      <c r="M4828" t="s">
        <v>696</v>
      </c>
    </row>
    <row r="4829" spans="1:13" x14ac:dyDescent="0.25">
      <c r="A4829" t="s">
        <v>87</v>
      </c>
      <c r="B4829" s="6" t="s">
        <v>159</v>
      </c>
      <c r="C4829" s="13">
        <v>109</v>
      </c>
      <c r="D4829" s="14" t="s">
        <v>90</v>
      </c>
      <c r="E4829">
        <v>12</v>
      </c>
      <c r="F4829" s="8">
        <f>VLOOKUP(financials[[#This Row],[productid]],Products!$B$2:$H$10,3)</f>
        <v>36</v>
      </c>
      <c r="G4829" s="8">
        <f>financials[[#This Row],[Units Sold]]*financials[[#This Row],[Sale Price]]</f>
        <v>432</v>
      </c>
      <c r="H4829" s="8">
        <f>IF(financials[[#This Row],[Discount Band]]="low",0.1,IF(financials[[#This Row],[Discount Band]]="medium",0.15,0.3))</f>
        <v>0.15</v>
      </c>
      <c r="I4829" s="8">
        <f>financials[[#This Row],[Gross Sales]]-financials[[#This Row],[Gross Sales]]*financials[[#This Row],[Discounts]]</f>
        <v>367.2</v>
      </c>
      <c r="J4829" s="8">
        <f>VLOOKUP(financials[[#This Row],[productid]],Products!$B$2:$H$10,4)</f>
        <v>16.8</v>
      </c>
      <c r="K4829" s="8">
        <f>financials[[#This Row],[Net Sales]]-financials[[#This Row],[COGS]]</f>
        <v>350.4</v>
      </c>
      <c r="L4829" s="15">
        <v>45379</v>
      </c>
      <c r="M4829" t="s">
        <v>697</v>
      </c>
    </row>
    <row r="4830" spans="1:13" x14ac:dyDescent="0.25">
      <c r="A4830" t="s">
        <v>87</v>
      </c>
      <c r="B4830" s="6" t="s">
        <v>124</v>
      </c>
      <c r="C4830" s="13">
        <v>104</v>
      </c>
      <c r="D4830" s="14" t="s">
        <v>91</v>
      </c>
      <c r="E4830">
        <v>9</v>
      </c>
      <c r="F4830" s="8">
        <f>VLOOKUP(financials[[#This Row],[productid]],Products!$B$2:$H$10,3)</f>
        <v>5.9</v>
      </c>
      <c r="G4830" s="8">
        <f>financials[[#This Row],[Units Sold]]*financials[[#This Row],[Sale Price]]</f>
        <v>53.1</v>
      </c>
      <c r="H4830" s="8">
        <f>IF(financials[[#This Row],[Discount Band]]="low",0.1,IF(financials[[#This Row],[Discount Band]]="medium",0.15,0.3))</f>
        <v>0.1</v>
      </c>
      <c r="I4830" s="8">
        <f>financials[[#This Row],[Gross Sales]]-financials[[#This Row],[Gross Sales]]*financials[[#This Row],[Discounts]]</f>
        <v>47.79</v>
      </c>
      <c r="J4830" s="8">
        <f>VLOOKUP(financials[[#This Row],[productid]],Products!$B$2:$H$10,4)</f>
        <v>2.9</v>
      </c>
      <c r="K4830" s="8">
        <f>financials[[#This Row],[Net Sales]]-financials[[#This Row],[COGS]]</f>
        <v>44.89</v>
      </c>
      <c r="L4830" s="15">
        <v>44714</v>
      </c>
      <c r="M4830" t="s">
        <v>700</v>
      </c>
    </row>
    <row r="4831" spans="1:13" x14ac:dyDescent="0.25">
      <c r="A4831" t="s">
        <v>85</v>
      </c>
      <c r="B4831" s="6" t="s">
        <v>124</v>
      </c>
      <c r="C4831" s="13">
        <v>109</v>
      </c>
      <c r="D4831" s="14" t="s">
        <v>90</v>
      </c>
      <c r="E4831">
        <v>9</v>
      </c>
      <c r="F4831" s="8">
        <f>VLOOKUP(financials[[#This Row],[productid]],Products!$B$2:$H$10,3)</f>
        <v>36</v>
      </c>
      <c r="G4831" s="8">
        <f>financials[[#This Row],[Units Sold]]*financials[[#This Row],[Sale Price]]</f>
        <v>324</v>
      </c>
      <c r="H4831" s="8">
        <f>IF(financials[[#This Row],[Discount Band]]="low",0.1,IF(financials[[#This Row],[Discount Band]]="medium",0.15,0.3))</f>
        <v>0.15</v>
      </c>
      <c r="I4831" s="8">
        <f>financials[[#This Row],[Gross Sales]]-financials[[#This Row],[Gross Sales]]*financials[[#This Row],[Discounts]]</f>
        <v>275.39999999999998</v>
      </c>
      <c r="J4831" s="8">
        <f>VLOOKUP(financials[[#This Row],[productid]],Products!$B$2:$H$10,4)</f>
        <v>16.8</v>
      </c>
      <c r="K4831" s="8">
        <f>financials[[#This Row],[Net Sales]]-financials[[#This Row],[COGS]]</f>
        <v>258.59999999999997</v>
      </c>
      <c r="L4831" s="15">
        <v>45548</v>
      </c>
      <c r="M4831" t="s">
        <v>700</v>
      </c>
    </row>
    <row r="4832" spans="1:13" x14ac:dyDescent="0.25">
      <c r="A4832" t="s">
        <v>87</v>
      </c>
      <c r="B4832" s="6" t="s">
        <v>159</v>
      </c>
      <c r="C4832" s="13">
        <v>103</v>
      </c>
      <c r="D4832" s="14" t="s">
        <v>83</v>
      </c>
      <c r="E4832">
        <v>11</v>
      </c>
      <c r="F4832" s="8">
        <f>VLOOKUP(financials[[#This Row],[productid]],Products!$B$2:$H$10,3)</f>
        <v>28</v>
      </c>
      <c r="G4832" s="8">
        <f>financials[[#This Row],[Units Sold]]*financials[[#This Row],[Sale Price]]</f>
        <v>308</v>
      </c>
      <c r="H4832" s="8">
        <f>IF(financials[[#This Row],[Discount Band]]="low",0.1,IF(financials[[#This Row],[Discount Band]]="medium",0.15,0.3))</f>
        <v>0.3</v>
      </c>
      <c r="I4832" s="8">
        <f>financials[[#This Row],[Gross Sales]]-financials[[#This Row],[Gross Sales]]*financials[[#This Row],[Discounts]]</f>
        <v>215.60000000000002</v>
      </c>
      <c r="J4832" s="8">
        <f>VLOOKUP(financials[[#This Row],[productid]],Products!$B$2:$H$10,4)</f>
        <v>15</v>
      </c>
      <c r="K4832" s="8">
        <f>financials[[#This Row],[Net Sales]]-financials[[#This Row],[COGS]]</f>
        <v>200.60000000000002</v>
      </c>
      <c r="L4832" s="15">
        <v>45397</v>
      </c>
      <c r="M4832" t="s">
        <v>700</v>
      </c>
    </row>
    <row r="4833" spans="1:13" x14ac:dyDescent="0.25">
      <c r="A4833" t="s">
        <v>86</v>
      </c>
      <c r="B4833" s="6" t="s">
        <v>124</v>
      </c>
      <c r="C4833" s="13">
        <v>107</v>
      </c>
      <c r="D4833" s="14" t="s">
        <v>83</v>
      </c>
      <c r="E4833">
        <v>7</v>
      </c>
      <c r="F4833" s="8">
        <f>VLOOKUP(financials[[#This Row],[productid]],Products!$B$2:$H$10,3)</f>
        <v>15</v>
      </c>
      <c r="G4833" s="8">
        <f>financials[[#This Row],[Units Sold]]*financials[[#This Row],[Sale Price]]</f>
        <v>105</v>
      </c>
      <c r="H4833" s="8">
        <f>IF(financials[[#This Row],[Discount Band]]="low",0.1,IF(financials[[#This Row],[Discount Band]]="medium",0.15,0.3))</f>
        <v>0.3</v>
      </c>
      <c r="I4833" s="8">
        <f>financials[[#This Row],[Gross Sales]]-financials[[#This Row],[Gross Sales]]*financials[[#This Row],[Discounts]]</f>
        <v>73.5</v>
      </c>
      <c r="J4833" s="8">
        <f>VLOOKUP(financials[[#This Row],[productid]],Products!$B$2:$H$10,4)</f>
        <v>5.5</v>
      </c>
      <c r="K4833" s="8">
        <f>financials[[#This Row],[Net Sales]]-financials[[#This Row],[COGS]]</f>
        <v>68</v>
      </c>
      <c r="L4833" s="15">
        <v>44308</v>
      </c>
      <c r="M4833" t="s">
        <v>700</v>
      </c>
    </row>
    <row r="4834" spans="1:13" x14ac:dyDescent="0.25">
      <c r="A4834" t="s">
        <v>86</v>
      </c>
      <c r="B4834" s="6" t="s">
        <v>124</v>
      </c>
      <c r="C4834" s="13">
        <v>107</v>
      </c>
      <c r="D4834" s="14" t="s">
        <v>91</v>
      </c>
      <c r="E4834">
        <v>15</v>
      </c>
      <c r="F4834" s="8">
        <f>VLOOKUP(financials[[#This Row],[productid]],Products!$B$2:$H$10,3)</f>
        <v>15</v>
      </c>
      <c r="G4834" s="8">
        <f>financials[[#This Row],[Units Sold]]*financials[[#This Row],[Sale Price]]</f>
        <v>225</v>
      </c>
      <c r="H4834" s="8">
        <f>IF(financials[[#This Row],[Discount Band]]="low",0.1,IF(financials[[#This Row],[Discount Band]]="medium",0.15,0.3))</f>
        <v>0.1</v>
      </c>
      <c r="I4834" s="8">
        <f>financials[[#This Row],[Gross Sales]]-financials[[#This Row],[Gross Sales]]*financials[[#This Row],[Discounts]]</f>
        <v>202.5</v>
      </c>
      <c r="J4834" s="8">
        <f>VLOOKUP(financials[[#This Row],[productid]],Products!$B$2:$H$10,4)</f>
        <v>5.5</v>
      </c>
      <c r="K4834" s="8">
        <f>financials[[#This Row],[Net Sales]]-financials[[#This Row],[COGS]]</f>
        <v>197</v>
      </c>
      <c r="L4834" s="15">
        <v>43976</v>
      </c>
      <c r="M4834" t="s">
        <v>690</v>
      </c>
    </row>
    <row r="4835" spans="1:13" x14ac:dyDescent="0.25">
      <c r="A4835" t="s">
        <v>86</v>
      </c>
      <c r="B4835" s="6" t="s">
        <v>159</v>
      </c>
      <c r="C4835" s="13">
        <v>107</v>
      </c>
      <c r="D4835" s="14" t="s">
        <v>91</v>
      </c>
      <c r="E4835">
        <v>5</v>
      </c>
      <c r="F4835" s="8">
        <f>VLOOKUP(financials[[#This Row],[productid]],Products!$B$2:$H$10,3)</f>
        <v>15</v>
      </c>
      <c r="G4835" s="8">
        <f>financials[[#This Row],[Units Sold]]*financials[[#This Row],[Sale Price]]</f>
        <v>75</v>
      </c>
      <c r="H4835" s="8">
        <f>IF(financials[[#This Row],[Discount Band]]="low",0.1,IF(financials[[#This Row],[Discount Band]]="medium",0.15,0.3))</f>
        <v>0.1</v>
      </c>
      <c r="I4835" s="8">
        <f>financials[[#This Row],[Gross Sales]]-financials[[#This Row],[Gross Sales]]*financials[[#This Row],[Discounts]]</f>
        <v>67.5</v>
      </c>
      <c r="J4835" s="8">
        <f>VLOOKUP(financials[[#This Row],[productid]],Products!$B$2:$H$10,4)</f>
        <v>5.5</v>
      </c>
      <c r="K4835" s="8">
        <f>financials[[#This Row],[Net Sales]]-financials[[#This Row],[COGS]]</f>
        <v>62</v>
      </c>
      <c r="L4835" s="15">
        <v>44177</v>
      </c>
      <c r="M4835" t="s">
        <v>700</v>
      </c>
    </row>
    <row r="4836" spans="1:13" x14ac:dyDescent="0.25">
      <c r="A4836" t="s">
        <v>86</v>
      </c>
      <c r="B4836" s="6" t="s">
        <v>124</v>
      </c>
      <c r="C4836" s="13">
        <v>101</v>
      </c>
      <c r="D4836" s="14" t="s">
        <v>90</v>
      </c>
      <c r="E4836">
        <v>20</v>
      </c>
      <c r="F4836" s="8">
        <f>VLOOKUP(financials[[#This Row],[productid]],Products!$B$2:$H$10,3)</f>
        <v>23</v>
      </c>
      <c r="G4836" s="8">
        <f>financials[[#This Row],[Units Sold]]*financials[[#This Row],[Sale Price]]</f>
        <v>460</v>
      </c>
      <c r="H4836" s="8">
        <f>IF(financials[[#This Row],[Discount Band]]="low",0.1,IF(financials[[#This Row],[Discount Band]]="medium",0.15,0.3))</f>
        <v>0.15</v>
      </c>
      <c r="I4836" s="8">
        <f>financials[[#This Row],[Gross Sales]]-financials[[#This Row],[Gross Sales]]*financials[[#This Row],[Discounts]]</f>
        <v>391</v>
      </c>
      <c r="J4836" s="8">
        <f>VLOOKUP(financials[[#This Row],[productid]],Products!$B$2:$H$10,4)</f>
        <v>9.9499999999999993</v>
      </c>
      <c r="K4836" s="8">
        <f>financials[[#This Row],[Net Sales]]-financials[[#This Row],[COGS]]</f>
        <v>381.05</v>
      </c>
      <c r="L4836" s="15">
        <v>44184</v>
      </c>
      <c r="M4836" t="s">
        <v>697</v>
      </c>
    </row>
    <row r="4837" spans="1:13" x14ac:dyDescent="0.25">
      <c r="A4837" t="s">
        <v>86</v>
      </c>
      <c r="B4837" s="6" t="s">
        <v>159</v>
      </c>
      <c r="C4837" s="13">
        <v>109</v>
      </c>
      <c r="D4837" s="14" t="s">
        <v>90</v>
      </c>
      <c r="E4837">
        <v>10</v>
      </c>
      <c r="F4837" s="8">
        <f>VLOOKUP(financials[[#This Row],[productid]],Products!$B$2:$H$10,3)</f>
        <v>36</v>
      </c>
      <c r="G4837" s="8">
        <f>financials[[#This Row],[Units Sold]]*financials[[#This Row],[Sale Price]]</f>
        <v>360</v>
      </c>
      <c r="H4837" s="8">
        <f>IF(financials[[#This Row],[Discount Band]]="low",0.1,IF(financials[[#This Row],[Discount Band]]="medium",0.15,0.3))</f>
        <v>0.15</v>
      </c>
      <c r="I4837" s="8">
        <f>financials[[#This Row],[Gross Sales]]-financials[[#This Row],[Gross Sales]]*financials[[#This Row],[Discounts]]</f>
        <v>306</v>
      </c>
      <c r="J4837" s="8">
        <f>VLOOKUP(financials[[#This Row],[productid]],Products!$B$2:$H$10,4)</f>
        <v>16.8</v>
      </c>
      <c r="K4837" s="8">
        <f>financials[[#This Row],[Net Sales]]-financials[[#This Row],[COGS]]</f>
        <v>289.2</v>
      </c>
      <c r="L4837" s="15">
        <v>44778</v>
      </c>
      <c r="M4837" t="s">
        <v>696</v>
      </c>
    </row>
    <row r="4838" spans="1:13" x14ac:dyDescent="0.25">
      <c r="A4838" t="s">
        <v>85</v>
      </c>
      <c r="B4838" s="6" t="s">
        <v>124</v>
      </c>
      <c r="C4838" s="13">
        <v>102</v>
      </c>
      <c r="D4838" s="14" t="s">
        <v>83</v>
      </c>
      <c r="E4838">
        <v>15</v>
      </c>
      <c r="F4838" s="8">
        <f>VLOOKUP(financials[[#This Row],[productid]],Products!$B$2:$H$10,3)</f>
        <v>15</v>
      </c>
      <c r="G4838" s="8">
        <f>financials[[#This Row],[Units Sold]]*financials[[#This Row],[Sale Price]]</f>
        <v>225</v>
      </c>
      <c r="H4838" s="8">
        <f>IF(financials[[#This Row],[Discount Band]]="low",0.1,IF(financials[[#This Row],[Discount Band]]="medium",0.15,0.3))</f>
        <v>0.3</v>
      </c>
      <c r="I4838" s="8">
        <f>financials[[#This Row],[Gross Sales]]-financials[[#This Row],[Gross Sales]]*financials[[#This Row],[Discounts]]</f>
        <v>157.5</v>
      </c>
      <c r="J4838" s="8">
        <f>VLOOKUP(financials[[#This Row],[productid]],Products!$B$2:$H$10,4)</f>
        <v>13.95</v>
      </c>
      <c r="K4838" s="8">
        <f>financials[[#This Row],[Net Sales]]-financials[[#This Row],[COGS]]</f>
        <v>143.55000000000001</v>
      </c>
      <c r="L4838" s="15">
        <v>45254</v>
      </c>
      <c r="M4838" t="s">
        <v>691</v>
      </c>
    </row>
    <row r="4839" spans="1:13" x14ac:dyDescent="0.25">
      <c r="A4839" t="s">
        <v>86</v>
      </c>
      <c r="B4839" s="6" t="s">
        <v>159</v>
      </c>
      <c r="C4839" s="13">
        <v>105</v>
      </c>
      <c r="D4839" s="14" t="s">
        <v>83</v>
      </c>
      <c r="E4839">
        <v>18</v>
      </c>
      <c r="F4839" s="8">
        <f>VLOOKUP(financials[[#This Row],[productid]],Products!$B$2:$H$10,3)</f>
        <v>15</v>
      </c>
      <c r="G4839" s="8">
        <f>financials[[#This Row],[Units Sold]]*financials[[#This Row],[Sale Price]]</f>
        <v>270</v>
      </c>
      <c r="H4839" s="8">
        <f>IF(financials[[#This Row],[Discount Band]]="low",0.1,IF(financials[[#This Row],[Discount Band]]="medium",0.15,0.3))</f>
        <v>0.3</v>
      </c>
      <c r="I4839" s="8">
        <f>financials[[#This Row],[Gross Sales]]-financials[[#This Row],[Gross Sales]]*financials[[#This Row],[Discounts]]</f>
        <v>189</v>
      </c>
      <c r="J4839" s="8">
        <f>VLOOKUP(financials[[#This Row],[productid]],Products!$B$2:$H$10,4)</f>
        <v>10</v>
      </c>
      <c r="K4839" s="8">
        <f>financials[[#This Row],[Net Sales]]-financials[[#This Row],[COGS]]</f>
        <v>179</v>
      </c>
      <c r="L4839" s="15">
        <v>45226</v>
      </c>
      <c r="M4839" t="s">
        <v>691</v>
      </c>
    </row>
    <row r="4840" spans="1:13" x14ac:dyDescent="0.25">
      <c r="A4840" t="s">
        <v>85</v>
      </c>
      <c r="B4840" s="6" t="s">
        <v>124</v>
      </c>
      <c r="C4840" s="13">
        <v>107</v>
      </c>
      <c r="D4840" s="14" t="s">
        <v>90</v>
      </c>
      <c r="E4840">
        <v>13</v>
      </c>
      <c r="F4840" s="8">
        <f>VLOOKUP(financials[[#This Row],[productid]],Products!$B$2:$H$10,3)</f>
        <v>15</v>
      </c>
      <c r="G4840" s="8">
        <f>financials[[#This Row],[Units Sold]]*financials[[#This Row],[Sale Price]]</f>
        <v>195</v>
      </c>
      <c r="H4840" s="8">
        <f>IF(financials[[#This Row],[Discount Band]]="low",0.1,IF(financials[[#This Row],[Discount Band]]="medium",0.15,0.3))</f>
        <v>0.15</v>
      </c>
      <c r="I4840" s="8">
        <f>financials[[#This Row],[Gross Sales]]-financials[[#This Row],[Gross Sales]]*financials[[#This Row],[Discounts]]</f>
        <v>165.75</v>
      </c>
      <c r="J4840" s="8">
        <f>VLOOKUP(financials[[#This Row],[productid]],Products!$B$2:$H$10,4)</f>
        <v>5.5</v>
      </c>
      <c r="K4840" s="8">
        <f>financials[[#This Row],[Net Sales]]-financials[[#This Row],[COGS]]</f>
        <v>160.25</v>
      </c>
      <c r="L4840" s="15">
        <v>44506</v>
      </c>
      <c r="M4840" t="s">
        <v>696</v>
      </c>
    </row>
    <row r="4841" spans="1:13" x14ac:dyDescent="0.25">
      <c r="A4841" t="s">
        <v>86</v>
      </c>
      <c r="B4841" s="6" t="s">
        <v>159</v>
      </c>
      <c r="C4841" s="13">
        <v>107</v>
      </c>
      <c r="D4841" s="14" t="s">
        <v>91</v>
      </c>
      <c r="E4841">
        <v>12</v>
      </c>
      <c r="F4841" s="8">
        <f>VLOOKUP(financials[[#This Row],[productid]],Products!$B$2:$H$10,3)</f>
        <v>15</v>
      </c>
      <c r="G4841" s="8">
        <f>financials[[#This Row],[Units Sold]]*financials[[#This Row],[Sale Price]]</f>
        <v>180</v>
      </c>
      <c r="H4841" s="8">
        <f>IF(financials[[#This Row],[Discount Band]]="low",0.1,IF(financials[[#This Row],[Discount Band]]="medium",0.15,0.3))</f>
        <v>0.1</v>
      </c>
      <c r="I4841" s="8">
        <f>financials[[#This Row],[Gross Sales]]-financials[[#This Row],[Gross Sales]]*financials[[#This Row],[Discounts]]</f>
        <v>162</v>
      </c>
      <c r="J4841" s="8">
        <f>VLOOKUP(financials[[#This Row],[productid]],Products!$B$2:$H$10,4)</f>
        <v>5.5</v>
      </c>
      <c r="K4841" s="8">
        <f>financials[[#This Row],[Net Sales]]-financials[[#This Row],[COGS]]</f>
        <v>156.5</v>
      </c>
      <c r="L4841" s="15">
        <v>44297</v>
      </c>
      <c r="M4841" t="s">
        <v>697</v>
      </c>
    </row>
    <row r="4842" spans="1:13" x14ac:dyDescent="0.25">
      <c r="A4842" t="s">
        <v>85</v>
      </c>
      <c r="B4842" s="6" t="s">
        <v>159</v>
      </c>
      <c r="C4842" s="13">
        <v>105</v>
      </c>
      <c r="D4842" s="14" t="s">
        <v>83</v>
      </c>
      <c r="E4842">
        <v>20</v>
      </c>
      <c r="F4842" s="8">
        <f>VLOOKUP(financials[[#This Row],[productid]],Products!$B$2:$H$10,3)</f>
        <v>15</v>
      </c>
      <c r="G4842" s="8">
        <f>financials[[#This Row],[Units Sold]]*financials[[#This Row],[Sale Price]]</f>
        <v>300</v>
      </c>
      <c r="H4842" s="8">
        <f>IF(financials[[#This Row],[Discount Band]]="low",0.1,IF(financials[[#This Row],[Discount Band]]="medium",0.15,0.3))</f>
        <v>0.3</v>
      </c>
      <c r="I4842" s="8">
        <f>financials[[#This Row],[Gross Sales]]-financials[[#This Row],[Gross Sales]]*financials[[#This Row],[Discounts]]</f>
        <v>210</v>
      </c>
      <c r="J4842" s="8">
        <f>VLOOKUP(financials[[#This Row],[productid]],Products!$B$2:$H$10,4)</f>
        <v>10</v>
      </c>
      <c r="K4842" s="8">
        <f>financials[[#This Row],[Net Sales]]-financials[[#This Row],[COGS]]</f>
        <v>200</v>
      </c>
      <c r="L4842" s="15">
        <v>45211</v>
      </c>
      <c r="M4842" t="s">
        <v>700</v>
      </c>
    </row>
    <row r="4843" spans="1:13" x14ac:dyDescent="0.25">
      <c r="A4843" t="s">
        <v>87</v>
      </c>
      <c r="B4843" s="6" t="s">
        <v>159</v>
      </c>
      <c r="C4843" s="13">
        <v>109</v>
      </c>
      <c r="D4843" s="14" t="s">
        <v>91</v>
      </c>
      <c r="E4843">
        <v>7</v>
      </c>
      <c r="F4843" s="8">
        <f>VLOOKUP(financials[[#This Row],[productid]],Products!$B$2:$H$10,3)</f>
        <v>36</v>
      </c>
      <c r="G4843" s="8">
        <f>financials[[#This Row],[Units Sold]]*financials[[#This Row],[Sale Price]]</f>
        <v>252</v>
      </c>
      <c r="H4843" s="8">
        <f>IF(financials[[#This Row],[Discount Band]]="low",0.1,IF(financials[[#This Row],[Discount Band]]="medium",0.15,0.3))</f>
        <v>0.1</v>
      </c>
      <c r="I4843" s="8">
        <f>financials[[#This Row],[Gross Sales]]-financials[[#This Row],[Gross Sales]]*financials[[#This Row],[Discounts]]</f>
        <v>226.8</v>
      </c>
      <c r="J4843" s="8">
        <f>VLOOKUP(financials[[#This Row],[productid]],Products!$B$2:$H$10,4)</f>
        <v>16.8</v>
      </c>
      <c r="K4843" s="8">
        <f>financials[[#This Row],[Net Sales]]-financials[[#This Row],[COGS]]</f>
        <v>210</v>
      </c>
      <c r="L4843" s="15">
        <v>45118</v>
      </c>
      <c r="M4843" t="s">
        <v>690</v>
      </c>
    </row>
    <row r="4844" spans="1:13" x14ac:dyDescent="0.25">
      <c r="A4844" t="s">
        <v>86</v>
      </c>
      <c r="B4844" s="6" t="s">
        <v>124</v>
      </c>
      <c r="C4844" s="11">
        <v>102</v>
      </c>
      <c r="D4844" s="9" t="s">
        <v>91</v>
      </c>
      <c r="E4844">
        <v>13</v>
      </c>
      <c r="F4844" s="8">
        <f>VLOOKUP(financials[[#This Row],[productid]],Products!$B$2:$H$10,3)</f>
        <v>15</v>
      </c>
      <c r="G4844" s="8">
        <f>financials[[#This Row],[Units Sold]]*financials[[#This Row],[Sale Price]]</f>
        <v>195</v>
      </c>
      <c r="H4844" s="8">
        <f>IF(financials[[#This Row],[Discount Band]]="low",0.1,IF(financials[[#This Row],[Discount Band]]="medium",0.15,0.3))</f>
        <v>0.1</v>
      </c>
      <c r="I4844" s="8">
        <f>financials[[#This Row],[Gross Sales]]-financials[[#This Row],[Gross Sales]]*financials[[#This Row],[Discounts]]</f>
        <v>175.5</v>
      </c>
      <c r="J4844" s="8">
        <f>VLOOKUP(financials[[#This Row],[productid]],Products!$B$2:$H$10,4)</f>
        <v>13.95</v>
      </c>
      <c r="K4844" s="8">
        <f>financials[[#This Row],[Net Sales]]-financials[[#This Row],[COGS]]</f>
        <v>161.55000000000001</v>
      </c>
      <c r="L4844" s="15">
        <v>44168</v>
      </c>
      <c r="M4844" t="s">
        <v>700</v>
      </c>
    </row>
    <row r="4845" spans="1:13" x14ac:dyDescent="0.25">
      <c r="A4845" t="s">
        <v>87</v>
      </c>
      <c r="B4845" s="6" t="s">
        <v>124</v>
      </c>
      <c r="C4845" s="13">
        <v>106</v>
      </c>
      <c r="D4845" s="14" t="s">
        <v>90</v>
      </c>
      <c r="E4845">
        <v>19</v>
      </c>
      <c r="F4845" s="8">
        <f>VLOOKUP(financials[[#This Row],[productid]],Products!$B$2:$H$10,3)</f>
        <v>25</v>
      </c>
      <c r="G4845" s="8">
        <f>financials[[#This Row],[Units Sold]]*financials[[#This Row],[Sale Price]]</f>
        <v>475</v>
      </c>
      <c r="H4845" s="8">
        <f>IF(financials[[#This Row],[Discount Band]]="low",0.1,IF(financials[[#This Row],[Discount Band]]="medium",0.15,0.3))</f>
        <v>0.15</v>
      </c>
      <c r="I4845" s="8">
        <f>financials[[#This Row],[Gross Sales]]-financials[[#This Row],[Gross Sales]]*financials[[#This Row],[Discounts]]</f>
        <v>403.75</v>
      </c>
      <c r="J4845" s="8">
        <f>VLOOKUP(financials[[#This Row],[productid]],Products!$B$2:$H$10,4)</f>
        <v>9.1</v>
      </c>
      <c r="K4845" s="8">
        <f>financials[[#This Row],[Net Sales]]-financials[[#This Row],[COGS]]</f>
        <v>394.65</v>
      </c>
      <c r="L4845" s="15">
        <v>45501</v>
      </c>
      <c r="M4845" t="s">
        <v>697</v>
      </c>
    </row>
    <row r="4846" spans="1:13" x14ac:dyDescent="0.25">
      <c r="A4846" t="s">
        <v>85</v>
      </c>
      <c r="B4846" s="6" t="s">
        <v>124</v>
      </c>
      <c r="C4846" s="13">
        <v>101</v>
      </c>
      <c r="D4846" s="14" t="s">
        <v>90</v>
      </c>
      <c r="E4846">
        <v>11</v>
      </c>
      <c r="F4846" s="8">
        <f>VLOOKUP(financials[[#This Row],[productid]],Products!$B$2:$H$10,3)</f>
        <v>23</v>
      </c>
      <c r="G4846" s="8">
        <f>financials[[#This Row],[Units Sold]]*financials[[#This Row],[Sale Price]]</f>
        <v>253</v>
      </c>
      <c r="H4846" s="8">
        <f>IF(financials[[#This Row],[Discount Band]]="low",0.1,IF(financials[[#This Row],[Discount Band]]="medium",0.15,0.3))</f>
        <v>0.15</v>
      </c>
      <c r="I4846" s="8">
        <f>financials[[#This Row],[Gross Sales]]-financials[[#This Row],[Gross Sales]]*financials[[#This Row],[Discounts]]</f>
        <v>215.05</v>
      </c>
      <c r="J4846" s="8">
        <f>VLOOKUP(financials[[#This Row],[productid]],Products!$B$2:$H$10,4)</f>
        <v>9.9499999999999993</v>
      </c>
      <c r="K4846" s="8">
        <f>financials[[#This Row],[Net Sales]]-financials[[#This Row],[COGS]]</f>
        <v>205.10000000000002</v>
      </c>
      <c r="L4846" s="15">
        <v>45361</v>
      </c>
      <c r="M4846" t="s">
        <v>700</v>
      </c>
    </row>
    <row r="4847" spans="1:13" x14ac:dyDescent="0.25">
      <c r="A4847" t="s">
        <v>85</v>
      </c>
      <c r="B4847" s="6" t="s">
        <v>124</v>
      </c>
      <c r="C4847" s="13">
        <v>103</v>
      </c>
      <c r="D4847" s="14" t="s">
        <v>90</v>
      </c>
      <c r="E4847">
        <v>19</v>
      </c>
      <c r="F4847" s="8">
        <f>VLOOKUP(financials[[#This Row],[productid]],Products!$B$2:$H$10,3)</f>
        <v>28</v>
      </c>
      <c r="G4847" s="8">
        <f>financials[[#This Row],[Units Sold]]*financials[[#This Row],[Sale Price]]</f>
        <v>532</v>
      </c>
      <c r="H4847" s="8">
        <f>IF(financials[[#This Row],[Discount Band]]="low",0.1,IF(financials[[#This Row],[Discount Band]]="medium",0.15,0.3))</f>
        <v>0.15</v>
      </c>
      <c r="I4847" s="8">
        <f>financials[[#This Row],[Gross Sales]]-financials[[#This Row],[Gross Sales]]*financials[[#This Row],[Discounts]]</f>
        <v>452.2</v>
      </c>
      <c r="J4847" s="8">
        <f>VLOOKUP(financials[[#This Row],[productid]],Products!$B$2:$H$10,4)</f>
        <v>15</v>
      </c>
      <c r="K4847" s="8">
        <f>financials[[#This Row],[Net Sales]]-financials[[#This Row],[COGS]]</f>
        <v>437.2</v>
      </c>
      <c r="L4847" s="15">
        <v>45528</v>
      </c>
      <c r="M4847" t="s">
        <v>696</v>
      </c>
    </row>
    <row r="4848" spans="1:13" x14ac:dyDescent="0.25">
      <c r="A4848" t="s">
        <v>86</v>
      </c>
      <c r="B4848" s="6" t="s">
        <v>124</v>
      </c>
      <c r="C4848" s="13">
        <v>104</v>
      </c>
      <c r="D4848" s="14" t="s">
        <v>83</v>
      </c>
      <c r="E4848">
        <v>11</v>
      </c>
      <c r="F4848" s="8">
        <f>VLOOKUP(financials[[#This Row],[productid]],Products!$B$2:$H$10,3)</f>
        <v>5.9</v>
      </c>
      <c r="G4848" s="8">
        <f>financials[[#This Row],[Units Sold]]*financials[[#This Row],[Sale Price]]</f>
        <v>64.900000000000006</v>
      </c>
      <c r="H4848" s="8">
        <f>IF(financials[[#This Row],[Discount Band]]="low",0.1,IF(financials[[#This Row],[Discount Band]]="medium",0.15,0.3))</f>
        <v>0.3</v>
      </c>
      <c r="I4848" s="8">
        <f>financials[[#This Row],[Gross Sales]]-financials[[#This Row],[Gross Sales]]*financials[[#This Row],[Discounts]]</f>
        <v>45.430000000000007</v>
      </c>
      <c r="J4848" s="8">
        <f>VLOOKUP(financials[[#This Row],[productid]],Products!$B$2:$H$10,4)</f>
        <v>2.9</v>
      </c>
      <c r="K4848" s="8">
        <f>financials[[#This Row],[Net Sales]]-financials[[#This Row],[COGS]]</f>
        <v>42.530000000000008</v>
      </c>
      <c r="L4848" s="15">
        <v>44918</v>
      </c>
      <c r="M4848" t="s">
        <v>696</v>
      </c>
    </row>
    <row r="4849" spans="1:13" x14ac:dyDescent="0.25">
      <c r="A4849" t="s">
        <v>86</v>
      </c>
      <c r="B4849" s="6" t="s">
        <v>124</v>
      </c>
      <c r="C4849" s="13">
        <v>106</v>
      </c>
      <c r="D4849" s="14" t="s">
        <v>83</v>
      </c>
      <c r="E4849">
        <v>18</v>
      </c>
      <c r="F4849" s="8">
        <f>VLOOKUP(financials[[#This Row],[productid]],Products!$B$2:$H$10,3)</f>
        <v>25</v>
      </c>
      <c r="G4849" s="8">
        <f>financials[[#This Row],[Units Sold]]*financials[[#This Row],[Sale Price]]</f>
        <v>450</v>
      </c>
      <c r="H4849" s="8">
        <f>IF(financials[[#This Row],[Discount Band]]="low",0.1,IF(financials[[#This Row],[Discount Band]]="medium",0.15,0.3))</f>
        <v>0.3</v>
      </c>
      <c r="I4849" s="8">
        <f>financials[[#This Row],[Gross Sales]]-financials[[#This Row],[Gross Sales]]*financials[[#This Row],[Discounts]]</f>
        <v>315</v>
      </c>
      <c r="J4849" s="8">
        <f>VLOOKUP(financials[[#This Row],[productid]],Products!$B$2:$H$10,4)</f>
        <v>9.1</v>
      </c>
      <c r="K4849" s="8">
        <f>financials[[#This Row],[Net Sales]]-financials[[#This Row],[COGS]]</f>
        <v>305.89999999999998</v>
      </c>
      <c r="L4849" s="15">
        <v>45180</v>
      </c>
      <c r="M4849" t="s">
        <v>696</v>
      </c>
    </row>
    <row r="4850" spans="1:13" x14ac:dyDescent="0.25">
      <c r="A4850" t="s">
        <v>87</v>
      </c>
      <c r="B4850" s="6" t="s">
        <v>124</v>
      </c>
      <c r="C4850" s="13">
        <v>105</v>
      </c>
      <c r="D4850" s="14" t="s">
        <v>90</v>
      </c>
      <c r="E4850">
        <v>10</v>
      </c>
      <c r="F4850" s="8">
        <f>VLOOKUP(financials[[#This Row],[productid]],Products!$B$2:$H$10,3)</f>
        <v>15</v>
      </c>
      <c r="G4850" s="8">
        <f>financials[[#This Row],[Units Sold]]*financials[[#This Row],[Sale Price]]</f>
        <v>150</v>
      </c>
      <c r="H4850" s="8">
        <f>IF(financials[[#This Row],[Discount Band]]="low",0.1,IF(financials[[#This Row],[Discount Band]]="medium",0.15,0.3))</f>
        <v>0.15</v>
      </c>
      <c r="I4850" s="8">
        <f>financials[[#This Row],[Gross Sales]]-financials[[#This Row],[Gross Sales]]*financials[[#This Row],[Discounts]]</f>
        <v>127.5</v>
      </c>
      <c r="J4850" s="8">
        <f>VLOOKUP(financials[[#This Row],[productid]],Products!$B$2:$H$10,4)</f>
        <v>10</v>
      </c>
      <c r="K4850" s="8">
        <f>financials[[#This Row],[Net Sales]]-financials[[#This Row],[COGS]]</f>
        <v>117.5</v>
      </c>
      <c r="L4850" s="15">
        <v>45181</v>
      </c>
      <c r="M4850" t="s">
        <v>697</v>
      </c>
    </row>
    <row r="4851" spans="1:13" x14ac:dyDescent="0.25">
      <c r="A4851" t="s">
        <v>86</v>
      </c>
      <c r="B4851" s="6" t="s">
        <v>159</v>
      </c>
      <c r="C4851" s="13">
        <v>107</v>
      </c>
      <c r="D4851" s="14" t="s">
        <v>83</v>
      </c>
      <c r="E4851">
        <v>14</v>
      </c>
      <c r="F4851" s="8">
        <f>VLOOKUP(financials[[#This Row],[productid]],Products!$B$2:$H$10,3)</f>
        <v>15</v>
      </c>
      <c r="G4851" s="8">
        <f>financials[[#This Row],[Units Sold]]*financials[[#This Row],[Sale Price]]</f>
        <v>210</v>
      </c>
      <c r="H4851" s="8">
        <f>IF(financials[[#This Row],[Discount Band]]="low",0.1,IF(financials[[#This Row],[Discount Band]]="medium",0.15,0.3))</f>
        <v>0.3</v>
      </c>
      <c r="I4851" s="8">
        <f>financials[[#This Row],[Gross Sales]]-financials[[#This Row],[Gross Sales]]*financials[[#This Row],[Discounts]]</f>
        <v>147</v>
      </c>
      <c r="J4851" s="8">
        <f>VLOOKUP(financials[[#This Row],[productid]],Products!$B$2:$H$10,4)</f>
        <v>5.5</v>
      </c>
      <c r="K4851" s="8">
        <f>financials[[#This Row],[Net Sales]]-financials[[#This Row],[COGS]]</f>
        <v>141.5</v>
      </c>
      <c r="L4851" s="15">
        <v>44085</v>
      </c>
      <c r="M4851" t="s">
        <v>700</v>
      </c>
    </row>
    <row r="4852" spans="1:13" x14ac:dyDescent="0.25">
      <c r="A4852" t="s">
        <v>85</v>
      </c>
      <c r="B4852" s="6" t="s">
        <v>124</v>
      </c>
      <c r="C4852" s="13">
        <v>109</v>
      </c>
      <c r="D4852" s="14" t="s">
        <v>90</v>
      </c>
      <c r="E4852">
        <v>12</v>
      </c>
      <c r="F4852" s="8">
        <f>VLOOKUP(financials[[#This Row],[productid]],Products!$B$2:$H$10,3)</f>
        <v>36</v>
      </c>
      <c r="G4852" s="8">
        <f>financials[[#This Row],[Units Sold]]*financials[[#This Row],[Sale Price]]</f>
        <v>432</v>
      </c>
      <c r="H4852" s="8">
        <f>IF(financials[[#This Row],[Discount Band]]="low",0.1,IF(financials[[#This Row],[Discount Band]]="medium",0.15,0.3))</f>
        <v>0.15</v>
      </c>
      <c r="I4852" s="8">
        <f>financials[[#This Row],[Gross Sales]]-financials[[#This Row],[Gross Sales]]*financials[[#This Row],[Discounts]]</f>
        <v>367.2</v>
      </c>
      <c r="J4852" s="8">
        <f>VLOOKUP(financials[[#This Row],[productid]],Products!$B$2:$H$10,4)</f>
        <v>16.8</v>
      </c>
      <c r="K4852" s="8">
        <f>financials[[#This Row],[Net Sales]]-financials[[#This Row],[COGS]]</f>
        <v>350.4</v>
      </c>
      <c r="L4852" s="15">
        <v>44299</v>
      </c>
      <c r="M4852" t="s">
        <v>696</v>
      </c>
    </row>
    <row r="4853" spans="1:13" x14ac:dyDescent="0.25">
      <c r="A4853" t="s">
        <v>85</v>
      </c>
      <c r="B4853" s="6" t="s">
        <v>124</v>
      </c>
      <c r="C4853" s="11">
        <v>109</v>
      </c>
      <c r="D4853" s="9" t="s">
        <v>90</v>
      </c>
      <c r="E4853">
        <v>13</v>
      </c>
      <c r="F4853" s="8">
        <f>VLOOKUP(financials[[#This Row],[productid]],Products!$B$2:$H$10,3)</f>
        <v>36</v>
      </c>
      <c r="G4853" s="8">
        <f>financials[[#This Row],[Units Sold]]*financials[[#This Row],[Sale Price]]</f>
        <v>468</v>
      </c>
      <c r="H4853" s="8">
        <f>IF(financials[[#This Row],[Discount Band]]="low",0.1,IF(financials[[#This Row],[Discount Band]]="medium",0.15,0.3))</f>
        <v>0.15</v>
      </c>
      <c r="I4853" s="8">
        <f>financials[[#This Row],[Gross Sales]]-financials[[#This Row],[Gross Sales]]*financials[[#This Row],[Discounts]]</f>
        <v>397.8</v>
      </c>
      <c r="J4853" s="8">
        <f>VLOOKUP(financials[[#This Row],[productid]],Products!$B$2:$H$10,4)</f>
        <v>16.8</v>
      </c>
      <c r="K4853" s="8">
        <f>financials[[#This Row],[Net Sales]]-financials[[#This Row],[COGS]]</f>
        <v>381</v>
      </c>
      <c r="L4853" s="15">
        <v>44377</v>
      </c>
      <c r="M4853" t="s">
        <v>697</v>
      </c>
    </row>
    <row r="4854" spans="1:13" x14ac:dyDescent="0.25">
      <c r="A4854" t="s">
        <v>87</v>
      </c>
      <c r="B4854" s="6" t="s">
        <v>124</v>
      </c>
      <c r="C4854" s="13">
        <v>108</v>
      </c>
      <c r="D4854" s="14" t="s">
        <v>83</v>
      </c>
      <c r="E4854">
        <v>13</v>
      </c>
      <c r="F4854" s="8">
        <f>VLOOKUP(financials[[#This Row],[productid]],Products!$B$2:$H$10,3)</f>
        <v>5.5</v>
      </c>
      <c r="G4854" s="8">
        <f>financials[[#This Row],[Units Sold]]*financials[[#This Row],[Sale Price]]</f>
        <v>71.5</v>
      </c>
      <c r="H4854" s="8">
        <f>IF(financials[[#This Row],[Discount Band]]="low",0.1,IF(financials[[#This Row],[Discount Band]]="medium",0.15,0.3))</f>
        <v>0.3</v>
      </c>
      <c r="I4854" s="8">
        <f>financials[[#This Row],[Gross Sales]]-financials[[#This Row],[Gross Sales]]*financials[[#This Row],[Discounts]]</f>
        <v>50.05</v>
      </c>
      <c r="J4854" s="8">
        <f>VLOOKUP(financials[[#This Row],[productid]],Products!$B$2:$H$10,4)</f>
        <v>3.99</v>
      </c>
      <c r="K4854" s="8">
        <f>financials[[#This Row],[Net Sales]]-financials[[#This Row],[COGS]]</f>
        <v>46.059999999999995</v>
      </c>
      <c r="L4854" s="15">
        <v>44652</v>
      </c>
      <c r="M4854" t="s">
        <v>690</v>
      </c>
    </row>
    <row r="4855" spans="1:13" x14ac:dyDescent="0.25">
      <c r="A4855" t="s">
        <v>85</v>
      </c>
      <c r="B4855" s="6" t="s">
        <v>124</v>
      </c>
      <c r="C4855" s="13">
        <v>102</v>
      </c>
      <c r="D4855" s="14" t="s">
        <v>91</v>
      </c>
      <c r="E4855">
        <v>12</v>
      </c>
      <c r="F4855" s="8">
        <f>VLOOKUP(financials[[#This Row],[productid]],Products!$B$2:$H$10,3)</f>
        <v>15</v>
      </c>
      <c r="G4855" s="8">
        <f>financials[[#This Row],[Units Sold]]*financials[[#This Row],[Sale Price]]</f>
        <v>180</v>
      </c>
      <c r="H4855" s="8">
        <f>IF(financials[[#This Row],[Discount Band]]="low",0.1,IF(financials[[#This Row],[Discount Band]]="medium",0.15,0.3))</f>
        <v>0.1</v>
      </c>
      <c r="I4855" s="8">
        <f>financials[[#This Row],[Gross Sales]]-financials[[#This Row],[Gross Sales]]*financials[[#This Row],[Discounts]]</f>
        <v>162</v>
      </c>
      <c r="J4855" s="8">
        <f>VLOOKUP(financials[[#This Row],[productid]],Products!$B$2:$H$10,4)</f>
        <v>13.95</v>
      </c>
      <c r="K4855" s="8">
        <f>financials[[#This Row],[Net Sales]]-financials[[#This Row],[COGS]]</f>
        <v>148.05000000000001</v>
      </c>
      <c r="L4855" s="15">
        <v>44018</v>
      </c>
      <c r="M4855" t="s">
        <v>691</v>
      </c>
    </row>
    <row r="4856" spans="1:13" x14ac:dyDescent="0.25">
      <c r="A4856" t="s">
        <v>85</v>
      </c>
      <c r="B4856" s="6" t="s">
        <v>159</v>
      </c>
      <c r="C4856" s="13">
        <v>105</v>
      </c>
      <c r="D4856" s="14" t="s">
        <v>83</v>
      </c>
      <c r="E4856">
        <v>18</v>
      </c>
      <c r="F4856" s="8">
        <f>VLOOKUP(financials[[#This Row],[productid]],Products!$B$2:$H$10,3)</f>
        <v>15</v>
      </c>
      <c r="G4856" s="8">
        <f>financials[[#This Row],[Units Sold]]*financials[[#This Row],[Sale Price]]</f>
        <v>270</v>
      </c>
      <c r="H4856" s="8">
        <f>IF(financials[[#This Row],[Discount Band]]="low",0.1,IF(financials[[#This Row],[Discount Band]]="medium",0.15,0.3))</f>
        <v>0.3</v>
      </c>
      <c r="I4856" s="8">
        <f>financials[[#This Row],[Gross Sales]]-financials[[#This Row],[Gross Sales]]*financials[[#This Row],[Discounts]]</f>
        <v>189</v>
      </c>
      <c r="J4856" s="8">
        <f>VLOOKUP(financials[[#This Row],[productid]],Products!$B$2:$H$10,4)</f>
        <v>10</v>
      </c>
      <c r="K4856" s="8">
        <f>financials[[#This Row],[Net Sales]]-financials[[#This Row],[COGS]]</f>
        <v>179</v>
      </c>
      <c r="L4856" s="15">
        <v>45585</v>
      </c>
      <c r="M4856" t="s">
        <v>696</v>
      </c>
    </row>
    <row r="4857" spans="1:13" x14ac:dyDescent="0.25">
      <c r="A4857" t="s">
        <v>86</v>
      </c>
      <c r="B4857" s="6" t="s">
        <v>124</v>
      </c>
      <c r="C4857" s="13">
        <v>107</v>
      </c>
      <c r="D4857" s="14" t="s">
        <v>83</v>
      </c>
      <c r="E4857">
        <v>8</v>
      </c>
      <c r="F4857" s="8">
        <f>VLOOKUP(financials[[#This Row],[productid]],Products!$B$2:$H$10,3)</f>
        <v>15</v>
      </c>
      <c r="G4857" s="8">
        <f>financials[[#This Row],[Units Sold]]*financials[[#This Row],[Sale Price]]</f>
        <v>120</v>
      </c>
      <c r="H4857" s="8">
        <f>IF(financials[[#This Row],[Discount Band]]="low",0.1,IF(financials[[#This Row],[Discount Band]]="medium",0.15,0.3))</f>
        <v>0.3</v>
      </c>
      <c r="I4857" s="8">
        <f>financials[[#This Row],[Gross Sales]]-financials[[#This Row],[Gross Sales]]*financials[[#This Row],[Discounts]]</f>
        <v>84</v>
      </c>
      <c r="J4857" s="8">
        <f>VLOOKUP(financials[[#This Row],[productid]],Products!$B$2:$H$10,4)</f>
        <v>5.5</v>
      </c>
      <c r="K4857" s="8">
        <f>financials[[#This Row],[Net Sales]]-financials[[#This Row],[COGS]]</f>
        <v>78.5</v>
      </c>
      <c r="L4857" s="15">
        <v>44034</v>
      </c>
      <c r="M4857" t="s">
        <v>691</v>
      </c>
    </row>
    <row r="4858" spans="1:13" x14ac:dyDescent="0.25">
      <c r="A4858" t="s">
        <v>85</v>
      </c>
      <c r="B4858" s="6" t="s">
        <v>159</v>
      </c>
      <c r="C4858" s="13">
        <v>102</v>
      </c>
      <c r="D4858" s="14" t="s">
        <v>83</v>
      </c>
      <c r="E4858">
        <v>13</v>
      </c>
      <c r="F4858" s="8">
        <f>VLOOKUP(financials[[#This Row],[productid]],Products!$B$2:$H$10,3)</f>
        <v>15</v>
      </c>
      <c r="G4858" s="8">
        <f>financials[[#This Row],[Units Sold]]*financials[[#This Row],[Sale Price]]</f>
        <v>195</v>
      </c>
      <c r="H4858" s="8">
        <f>IF(financials[[#This Row],[Discount Band]]="low",0.1,IF(financials[[#This Row],[Discount Band]]="medium",0.15,0.3))</f>
        <v>0.3</v>
      </c>
      <c r="I4858" s="8">
        <f>financials[[#This Row],[Gross Sales]]-financials[[#This Row],[Gross Sales]]*financials[[#This Row],[Discounts]]</f>
        <v>136.5</v>
      </c>
      <c r="J4858" s="8">
        <f>VLOOKUP(financials[[#This Row],[productid]],Products!$B$2:$H$10,4)</f>
        <v>13.95</v>
      </c>
      <c r="K4858" s="8">
        <f>financials[[#This Row],[Net Sales]]-financials[[#This Row],[COGS]]</f>
        <v>122.55</v>
      </c>
      <c r="L4858" s="15">
        <v>44861</v>
      </c>
      <c r="M4858" t="s">
        <v>700</v>
      </c>
    </row>
    <row r="4859" spans="1:13" x14ac:dyDescent="0.25">
      <c r="A4859" t="s">
        <v>86</v>
      </c>
      <c r="B4859" s="6" t="s">
        <v>124</v>
      </c>
      <c r="C4859" s="13">
        <v>101</v>
      </c>
      <c r="D4859" s="14" t="s">
        <v>83</v>
      </c>
      <c r="E4859">
        <v>5</v>
      </c>
      <c r="F4859" s="8">
        <f>VLOOKUP(financials[[#This Row],[productid]],Products!$B$2:$H$10,3)</f>
        <v>23</v>
      </c>
      <c r="G4859" s="8">
        <f>financials[[#This Row],[Units Sold]]*financials[[#This Row],[Sale Price]]</f>
        <v>115</v>
      </c>
      <c r="H4859" s="8">
        <f>IF(financials[[#This Row],[Discount Band]]="low",0.1,IF(financials[[#This Row],[Discount Band]]="medium",0.15,0.3))</f>
        <v>0.3</v>
      </c>
      <c r="I4859" s="8">
        <f>financials[[#This Row],[Gross Sales]]-financials[[#This Row],[Gross Sales]]*financials[[#This Row],[Discounts]]</f>
        <v>80.5</v>
      </c>
      <c r="J4859" s="8">
        <f>VLOOKUP(financials[[#This Row],[productid]],Products!$B$2:$H$10,4)</f>
        <v>9.9499999999999993</v>
      </c>
      <c r="K4859" s="8">
        <f>financials[[#This Row],[Net Sales]]-financials[[#This Row],[COGS]]</f>
        <v>70.55</v>
      </c>
      <c r="L4859" s="15">
        <v>44073</v>
      </c>
      <c r="M4859" t="s">
        <v>696</v>
      </c>
    </row>
    <row r="4860" spans="1:13" x14ac:dyDescent="0.25">
      <c r="A4860" t="s">
        <v>86</v>
      </c>
      <c r="B4860" s="6" t="s">
        <v>124</v>
      </c>
      <c r="C4860" s="13">
        <v>109</v>
      </c>
      <c r="D4860" s="14" t="s">
        <v>90</v>
      </c>
      <c r="E4860">
        <v>8</v>
      </c>
      <c r="F4860" s="8">
        <f>VLOOKUP(financials[[#This Row],[productid]],Products!$B$2:$H$10,3)</f>
        <v>36</v>
      </c>
      <c r="G4860" s="8">
        <f>financials[[#This Row],[Units Sold]]*financials[[#This Row],[Sale Price]]</f>
        <v>288</v>
      </c>
      <c r="H4860" s="8">
        <f>IF(financials[[#This Row],[Discount Band]]="low",0.1,IF(financials[[#This Row],[Discount Band]]="medium",0.15,0.3))</f>
        <v>0.15</v>
      </c>
      <c r="I4860" s="8">
        <f>financials[[#This Row],[Gross Sales]]-financials[[#This Row],[Gross Sales]]*financials[[#This Row],[Discounts]]</f>
        <v>244.8</v>
      </c>
      <c r="J4860" s="8">
        <f>VLOOKUP(financials[[#This Row],[productid]],Products!$B$2:$H$10,4)</f>
        <v>16.8</v>
      </c>
      <c r="K4860" s="8">
        <f>financials[[#This Row],[Net Sales]]-financials[[#This Row],[COGS]]</f>
        <v>228</v>
      </c>
      <c r="L4860" s="15">
        <v>45004</v>
      </c>
      <c r="M4860" t="s">
        <v>696</v>
      </c>
    </row>
    <row r="4861" spans="1:13" x14ac:dyDescent="0.25">
      <c r="A4861" t="s">
        <v>86</v>
      </c>
      <c r="B4861" s="6" t="s">
        <v>159</v>
      </c>
      <c r="C4861" s="13">
        <v>109</v>
      </c>
      <c r="D4861" s="14" t="s">
        <v>90</v>
      </c>
      <c r="E4861">
        <v>9</v>
      </c>
      <c r="F4861" s="8">
        <f>VLOOKUP(financials[[#This Row],[productid]],Products!$B$2:$H$10,3)</f>
        <v>36</v>
      </c>
      <c r="G4861" s="8">
        <f>financials[[#This Row],[Units Sold]]*financials[[#This Row],[Sale Price]]</f>
        <v>324</v>
      </c>
      <c r="H4861" s="8">
        <f>IF(financials[[#This Row],[Discount Band]]="low",0.1,IF(financials[[#This Row],[Discount Band]]="medium",0.15,0.3))</f>
        <v>0.15</v>
      </c>
      <c r="I4861" s="8">
        <f>financials[[#This Row],[Gross Sales]]-financials[[#This Row],[Gross Sales]]*financials[[#This Row],[Discounts]]</f>
        <v>275.39999999999998</v>
      </c>
      <c r="J4861" s="8">
        <f>VLOOKUP(financials[[#This Row],[productid]],Products!$B$2:$H$10,4)</f>
        <v>16.8</v>
      </c>
      <c r="K4861" s="8">
        <f>financials[[#This Row],[Net Sales]]-financials[[#This Row],[COGS]]</f>
        <v>258.59999999999997</v>
      </c>
      <c r="L4861" s="15">
        <v>44853</v>
      </c>
      <c r="M4861" t="s">
        <v>690</v>
      </c>
    </row>
    <row r="4862" spans="1:13" x14ac:dyDescent="0.25">
      <c r="A4862" t="s">
        <v>85</v>
      </c>
      <c r="B4862" s="6" t="s">
        <v>159</v>
      </c>
      <c r="C4862" s="13">
        <v>108</v>
      </c>
      <c r="D4862" s="14" t="s">
        <v>90</v>
      </c>
      <c r="E4862">
        <v>15</v>
      </c>
      <c r="F4862" s="8">
        <f>VLOOKUP(financials[[#This Row],[productid]],Products!$B$2:$H$10,3)</f>
        <v>5.5</v>
      </c>
      <c r="G4862" s="8">
        <f>financials[[#This Row],[Units Sold]]*financials[[#This Row],[Sale Price]]</f>
        <v>82.5</v>
      </c>
      <c r="H4862" s="8">
        <f>IF(financials[[#This Row],[Discount Band]]="low",0.1,IF(financials[[#This Row],[Discount Band]]="medium",0.15,0.3))</f>
        <v>0.15</v>
      </c>
      <c r="I4862" s="8">
        <f>financials[[#This Row],[Gross Sales]]-financials[[#This Row],[Gross Sales]]*financials[[#This Row],[Discounts]]</f>
        <v>70.125</v>
      </c>
      <c r="J4862" s="8">
        <f>VLOOKUP(financials[[#This Row],[productid]],Products!$B$2:$H$10,4)</f>
        <v>3.99</v>
      </c>
      <c r="K4862" s="8">
        <f>financials[[#This Row],[Net Sales]]-financials[[#This Row],[COGS]]</f>
        <v>66.135000000000005</v>
      </c>
      <c r="L4862" s="15">
        <v>43896</v>
      </c>
      <c r="M4862" t="s">
        <v>697</v>
      </c>
    </row>
    <row r="4863" spans="1:13" x14ac:dyDescent="0.25">
      <c r="A4863" t="s">
        <v>87</v>
      </c>
      <c r="B4863" s="6" t="s">
        <v>124</v>
      </c>
      <c r="C4863" s="13">
        <v>104</v>
      </c>
      <c r="D4863" s="14" t="s">
        <v>90</v>
      </c>
      <c r="E4863">
        <v>13</v>
      </c>
      <c r="F4863" s="8">
        <f>VLOOKUP(financials[[#This Row],[productid]],Products!$B$2:$H$10,3)</f>
        <v>5.9</v>
      </c>
      <c r="G4863" s="8">
        <f>financials[[#This Row],[Units Sold]]*financials[[#This Row],[Sale Price]]</f>
        <v>76.7</v>
      </c>
      <c r="H4863" s="8">
        <f>IF(financials[[#This Row],[Discount Band]]="low",0.1,IF(financials[[#This Row],[Discount Band]]="medium",0.15,0.3))</f>
        <v>0.15</v>
      </c>
      <c r="I4863" s="8">
        <f>financials[[#This Row],[Gross Sales]]-financials[[#This Row],[Gross Sales]]*financials[[#This Row],[Discounts]]</f>
        <v>65.195000000000007</v>
      </c>
      <c r="J4863" s="8">
        <f>VLOOKUP(financials[[#This Row],[productid]],Products!$B$2:$H$10,4)</f>
        <v>2.9</v>
      </c>
      <c r="K4863" s="8">
        <f>financials[[#This Row],[Net Sales]]-financials[[#This Row],[COGS]]</f>
        <v>62.295000000000009</v>
      </c>
      <c r="L4863" s="15">
        <v>44906</v>
      </c>
      <c r="M4863" t="s">
        <v>690</v>
      </c>
    </row>
    <row r="4864" spans="1:13" x14ac:dyDescent="0.25">
      <c r="A4864" t="s">
        <v>87</v>
      </c>
      <c r="B4864" s="6" t="s">
        <v>124</v>
      </c>
      <c r="C4864" s="13">
        <v>103</v>
      </c>
      <c r="D4864" s="14" t="s">
        <v>90</v>
      </c>
      <c r="E4864">
        <v>14</v>
      </c>
      <c r="F4864" s="8">
        <f>VLOOKUP(financials[[#This Row],[productid]],Products!$B$2:$H$10,3)</f>
        <v>28</v>
      </c>
      <c r="G4864" s="8">
        <f>financials[[#This Row],[Units Sold]]*financials[[#This Row],[Sale Price]]</f>
        <v>392</v>
      </c>
      <c r="H4864" s="8">
        <f>IF(financials[[#This Row],[Discount Band]]="low",0.1,IF(financials[[#This Row],[Discount Band]]="medium",0.15,0.3))</f>
        <v>0.15</v>
      </c>
      <c r="I4864" s="8">
        <f>financials[[#This Row],[Gross Sales]]-financials[[#This Row],[Gross Sales]]*financials[[#This Row],[Discounts]]</f>
        <v>333.2</v>
      </c>
      <c r="J4864" s="8">
        <f>VLOOKUP(financials[[#This Row],[productid]],Products!$B$2:$H$10,4)</f>
        <v>15</v>
      </c>
      <c r="K4864" s="8">
        <f>financials[[#This Row],[Net Sales]]-financials[[#This Row],[COGS]]</f>
        <v>318.2</v>
      </c>
      <c r="L4864" s="15">
        <v>45598</v>
      </c>
      <c r="M4864" t="s">
        <v>696</v>
      </c>
    </row>
    <row r="4865" spans="1:13" x14ac:dyDescent="0.25">
      <c r="A4865" t="s">
        <v>86</v>
      </c>
      <c r="B4865" s="6" t="s">
        <v>159</v>
      </c>
      <c r="C4865" s="13">
        <v>109</v>
      </c>
      <c r="D4865" s="14" t="s">
        <v>91</v>
      </c>
      <c r="E4865">
        <v>11</v>
      </c>
      <c r="F4865" s="8">
        <f>VLOOKUP(financials[[#This Row],[productid]],Products!$B$2:$H$10,3)</f>
        <v>36</v>
      </c>
      <c r="G4865" s="8">
        <f>financials[[#This Row],[Units Sold]]*financials[[#This Row],[Sale Price]]</f>
        <v>396</v>
      </c>
      <c r="H4865" s="8">
        <f>IF(financials[[#This Row],[Discount Band]]="low",0.1,IF(financials[[#This Row],[Discount Band]]="medium",0.15,0.3))</f>
        <v>0.1</v>
      </c>
      <c r="I4865" s="8">
        <f>financials[[#This Row],[Gross Sales]]-financials[[#This Row],[Gross Sales]]*financials[[#This Row],[Discounts]]</f>
        <v>356.4</v>
      </c>
      <c r="J4865" s="8">
        <f>VLOOKUP(financials[[#This Row],[productid]],Products!$B$2:$H$10,4)</f>
        <v>16.8</v>
      </c>
      <c r="K4865" s="8">
        <f>financials[[#This Row],[Net Sales]]-financials[[#This Row],[COGS]]</f>
        <v>339.59999999999997</v>
      </c>
      <c r="L4865" s="15">
        <v>44359</v>
      </c>
      <c r="M4865" t="s">
        <v>691</v>
      </c>
    </row>
    <row r="4866" spans="1:13" x14ac:dyDescent="0.25">
      <c r="A4866" t="s">
        <v>87</v>
      </c>
      <c r="B4866" s="6" t="s">
        <v>159</v>
      </c>
      <c r="C4866" s="13">
        <v>107</v>
      </c>
      <c r="D4866" s="14" t="s">
        <v>91</v>
      </c>
      <c r="E4866">
        <v>12</v>
      </c>
      <c r="F4866" s="8">
        <f>VLOOKUP(financials[[#This Row],[productid]],Products!$B$2:$H$10,3)</f>
        <v>15</v>
      </c>
      <c r="G4866" s="8">
        <f>financials[[#This Row],[Units Sold]]*financials[[#This Row],[Sale Price]]</f>
        <v>180</v>
      </c>
      <c r="H4866" s="8">
        <f>IF(financials[[#This Row],[Discount Band]]="low",0.1,IF(financials[[#This Row],[Discount Band]]="medium",0.15,0.3))</f>
        <v>0.1</v>
      </c>
      <c r="I4866" s="8">
        <f>financials[[#This Row],[Gross Sales]]-financials[[#This Row],[Gross Sales]]*financials[[#This Row],[Discounts]]</f>
        <v>162</v>
      </c>
      <c r="J4866" s="8">
        <f>VLOOKUP(financials[[#This Row],[productid]],Products!$B$2:$H$10,4)</f>
        <v>5.5</v>
      </c>
      <c r="K4866" s="8">
        <f>financials[[#This Row],[Net Sales]]-financials[[#This Row],[COGS]]</f>
        <v>156.5</v>
      </c>
      <c r="L4866" s="15">
        <v>45263</v>
      </c>
      <c r="M4866" t="s">
        <v>696</v>
      </c>
    </row>
    <row r="4867" spans="1:13" x14ac:dyDescent="0.25">
      <c r="A4867" t="s">
        <v>85</v>
      </c>
      <c r="B4867" s="6" t="s">
        <v>124</v>
      </c>
      <c r="C4867" s="11">
        <v>109</v>
      </c>
      <c r="D4867" s="9" t="s">
        <v>83</v>
      </c>
      <c r="E4867">
        <v>14</v>
      </c>
      <c r="F4867" s="8">
        <f>VLOOKUP(financials[[#This Row],[productid]],Products!$B$2:$H$10,3)</f>
        <v>36</v>
      </c>
      <c r="G4867" s="8">
        <f>financials[[#This Row],[Units Sold]]*financials[[#This Row],[Sale Price]]</f>
        <v>504</v>
      </c>
      <c r="H4867" s="8">
        <f>IF(financials[[#This Row],[Discount Band]]="low",0.1,IF(financials[[#This Row],[Discount Band]]="medium",0.15,0.3))</f>
        <v>0.3</v>
      </c>
      <c r="I4867" s="8">
        <f>financials[[#This Row],[Gross Sales]]-financials[[#This Row],[Gross Sales]]*financials[[#This Row],[Discounts]]</f>
        <v>352.8</v>
      </c>
      <c r="J4867" s="8">
        <f>VLOOKUP(financials[[#This Row],[productid]],Products!$B$2:$H$10,4)</f>
        <v>16.8</v>
      </c>
      <c r="K4867" s="8">
        <f>financials[[#This Row],[Net Sales]]-financials[[#This Row],[COGS]]</f>
        <v>336</v>
      </c>
      <c r="L4867" s="15">
        <v>44684</v>
      </c>
      <c r="M4867" t="s">
        <v>690</v>
      </c>
    </row>
    <row r="4868" spans="1:13" x14ac:dyDescent="0.25">
      <c r="A4868" t="s">
        <v>87</v>
      </c>
      <c r="B4868" s="6" t="s">
        <v>124</v>
      </c>
      <c r="C4868" s="13">
        <v>107</v>
      </c>
      <c r="D4868" s="14" t="s">
        <v>90</v>
      </c>
      <c r="E4868">
        <v>5</v>
      </c>
      <c r="F4868" s="8">
        <f>VLOOKUP(financials[[#This Row],[productid]],Products!$B$2:$H$10,3)</f>
        <v>15</v>
      </c>
      <c r="G4868" s="8">
        <f>financials[[#This Row],[Units Sold]]*financials[[#This Row],[Sale Price]]</f>
        <v>75</v>
      </c>
      <c r="H4868" s="8">
        <f>IF(financials[[#This Row],[Discount Band]]="low",0.1,IF(financials[[#This Row],[Discount Band]]="medium",0.15,0.3))</f>
        <v>0.15</v>
      </c>
      <c r="I4868" s="8">
        <f>financials[[#This Row],[Gross Sales]]-financials[[#This Row],[Gross Sales]]*financials[[#This Row],[Discounts]]</f>
        <v>63.75</v>
      </c>
      <c r="J4868" s="8">
        <f>VLOOKUP(financials[[#This Row],[productid]],Products!$B$2:$H$10,4)</f>
        <v>5.5</v>
      </c>
      <c r="K4868" s="8">
        <f>financials[[#This Row],[Net Sales]]-financials[[#This Row],[COGS]]</f>
        <v>58.25</v>
      </c>
      <c r="L4868" s="15">
        <v>44937</v>
      </c>
      <c r="M4868" t="s">
        <v>690</v>
      </c>
    </row>
    <row r="4869" spans="1:13" x14ac:dyDescent="0.25">
      <c r="A4869" t="s">
        <v>87</v>
      </c>
      <c r="B4869" s="6" t="s">
        <v>124</v>
      </c>
      <c r="C4869" s="11">
        <v>103</v>
      </c>
      <c r="D4869" s="9" t="s">
        <v>90</v>
      </c>
      <c r="E4869">
        <v>18</v>
      </c>
      <c r="F4869" s="8">
        <f>VLOOKUP(financials[[#This Row],[productid]],Products!$B$2:$H$10,3)</f>
        <v>28</v>
      </c>
      <c r="G4869" s="8">
        <f>financials[[#This Row],[Units Sold]]*financials[[#This Row],[Sale Price]]</f>
        <v>504</v>
      </c>
      <c r="H4869" s="8">
        <f>IF(financials[[#This Row],[Discount Band]]="low",0.1,IF(financials[[#This Row],[Discount Band]]="medium",0.15,0.3))</f>
        <v>0.15</v>
      </c>
      <c r="I4869" s="8">
        <f>financials[[#This Row],[Gross Sales]]-financials[[#This Row],[Gross Sales]]*financials[[#This Row],[Discounts]]</f>
        <v>428.4</v>
      </c>
      <c r="J4869" s="8">
        <f>VLOOKUP(financials[[#This Row],[productid]],Products!$B$2:$H$10,4)</f>
        <v>15</v>
      </c>
      <c r="K4869" s="8">
        <f>financials[[#This Row],[Net Sales]]-financials[[#This Row],[COGS]]</f>
        <v>413.4</v>
      </c>
      <c r="L4869" s="15">
        <v>43932</v>
      </c>
      <c r="M4869" t="s">
        <v>696</v>
      </c>
    </row>
    <row r="4870" spans="1:13" x14ac:dyDescent="0.25">
      <c r="A4870" t="s">
        <v>85</v>
      </c>
      <c r="B4870" s="6" t="s">
        <v>124</v>
      </c>
      <c r="C4870" s="13">
        <v>104</v>
      </c>
      <c r="D4870" s="14" t="s">
        <v>90</v>
      </c>
      <c r="E4870">
        <v>19</v>
      </c>
      <c r="F4870" s="8">
        <f>VLOOKUP(financials[[#This Row],[productid]],Products!$B$2:$H$10,3)</f>
        <v>5.9</v>
      </c>
      <c r="G4870" s="8">
        <f>financials[[#This Row],[Units Sold]]*financials[[#This Row],[Sale Price]]</f>
        <v>112.10000000000001</v>
      </c>
      <c r="H4870" s="8">
        <f>IF(financials[[#This Row],[Discount Band]]="low",0.1,IF(financials[[#This Row],[Discount Band]]="medium",0.15,0.3))</f>
        <v>0.15</v>
      </c>
      <c r="I4870" s="8">
        <f>financials[[#This Row],[Gross Sales]]-financials[[#This Row],[Gross Sales]]*financials[[#This Row],[Discounts]]</f>
        <v>95.285000000000011</v>
      </c>
      <c r="J4870" s="8">
        <f>VLOOKUP(financials[[#This Row],[productid]],Products!$B$2:$H$10,4)</f>
        <v>2.9</v>
      </c>
      <c r="K4870" s="8">
        <f>financials[[#This Row],[Net Sales]]-financials[[#This Row],[COGS]]</f>
        <v>92.385000000000005</v>
      </c>
      <c r="L4870" s="15">
        <v>44035</v>
      </c>
      <c r="M4870" t="s">
        <v>697</v>
      </c>
    </row>
    <row r="4871" spans="1:13" x14ac:dyDescent="0.25">
      <c r="A4871" t="s">
        <v>87</v>
      </c>
      <c r="B4871" s="6" t="s">
        <v>124</v>
      </c>
      <c r="C4871" s="13">
        <v>109</v>
      </c>
      <c r="D4871" s="14" t="s">
        <v>90</v>
      </c>
      <c r="E4871">
        <v>13</v>
      </c>
      <c r="F4871" s="8">
        <f>VLOOKUP(financials[[#This Row],[productid]],Products!$B$2:$H$10,3)</f>
        <v>36</v>
      </c>
      <c r="G4871" s="8">
        <f>financials[[#This Row],[Units Sold]]*financials[[#This Row],[Sale Price]]</f>
        <v>468</v>
      </c>
      <c r="H4871" s="8">
        <f>IF(financials[[#This Row],[Discount Band]]="low",0.1,IF(financials[[#This Row],[Discount Band]]="medium",0.15,0.3))</f>
        <v>0.15</v>
      </c>
      <c r="I4871" s="8">
        <f>financials[[#This Row],[Gross Sales]]-financials[[#This Row],[Gross Sales]]*financials[[#This Row],[Discounts]]</f>
        <v>397.8</v>
      </c>
      <c r="J4871" s="8">
        <f>VLOOKUP(financials[[#This Row],[productid]],Products!$B$2:$H$10,4)</f>
        <v>16.8</v>
      </c>
      <c r="K4871" s="8">
        <f>financials[[#This Row],[Net Sales]]-financials[[#This Row],[COGS]]</f>
        <v>381</v>
      </c>
      <c r="L4871" s="15">
        <v>45592</v>
      </c>
      <c r="M4871" t="s">
        <v>697</v>
      </c>
    </row>
    <row r="4872" spans="1:13" x14ac:dyDescent="0.25">
      <c r="A4872" t="s">
        <v>85</v>
      </c>
      <c r="B4872" s="6" t="s">
        <v>124</v>
      </c>
      <c r="C4872" s="13">
        <v>105</v>
      </c>
      <c r="D4872" s="14" t="s">
        <v>91</v>
      </c>
      <c r="E4872">
        <v>6</v>
      </c>
      <c r="F4872" s="8">
        <f>VLOOKUP(financials[[#This Row],[productid]],Products!$B$2:$H$10,3)</f>
        <v>15</v>
      </c>
      <c r="G4872" s="8">
        <f>financials[[#This Row],[Units Sold]]*financials[[#This Row],[Sale Price]]</f>
        <v>90</v>
      </c>
      <c r="H4872" s="8">
        <f>IF(financials[[#This Row],[Discount Band]]="low",0.1,IF(financials[[#This Row],[Discount Band]]="medium",0.15,0.3))</f>
        <v>0.1</v>
      </c>
      <c r="I4872" s="8">
        <f>financials[[#This Row],[Gross Sales]]-financials[[#This Row],[Gross Sales]]*financials[[#This Row],[Discounts]]</f>
        <v>81</v>
      </c>
      <c r="J4872" s="8">
        <f>VLOOKUP(financials[[#This Row],[productid]],Products!$B$2:$H$10,4)</f>
        <v>10</v>
      </c>
      <c r="K4872" s="8">
        <f>financials[[#This Row],[Net Sales]]-financials[[#This Row],[COGS]]</f>
        <v>71</v>
      </c>
      <c r="L4872" s="15">
        <v>45488</v>
      </c>
      <c r="M4872" t="s">
        <v>700</v>
      </c>
    </row>
    <row r="4873" spans="1:13" x14ac:dyDescent="0.25">
      <c r="A4873" t="s">
        <v>86</v>
      </c>
      <c r="B4873" s="6" t="s">
        <v>124</v>
      </c>
      <c r="C4873" s="13">
        <v>105</v>
      </c>
      <c r="D4873" s="14" t="s">
        <v>83</v>
      </c>
      <c r="E4873">
        <v>16</v>
      </c>
      <c r="F4873" s="8">
        <f>VLOOKUP(financials[[#This Row],[productid]],Products!$B$2:$H$10,3)</f>
        <v>15</v>
      </c>
      <c r="G4873" s="8">
        <f>financials[[#This Row],[Units Sold]]*financials[[#This Row],[Sale Price]]</f>
        <v>240</v>
      </c>
      <c r="H4873" s="8">
        <f>IF(financials[[#This Row],[Discount Band]]="low",0.1,IF(financials[[#This Row],[Discount Band]]="medium",0.15,0.3))</f>
        <v>0.3</v>
      </c>
      <c r="I4873" s="8">
        <f>financials[[#This Row],[Gross Sales]]-financials[[#This Row],[Gross Sales]]*financials[[#This Row],[Discounts]]</f>
        <v>168</v>
      </c>
      <c r="J4873" s="8">
        <f>VLOOKUP(financials[[#This Row],[productid]],Products!$B$2:$H$10,4)</f>
        <v>10</v>
      </c>
      <c r="K4873" s="8">
        <f>financials[[#This Row],[Net Sales]]-financials[[#This Row],[COGS]]</f>
        <v>158</v>
      </c>
      <c r="L4873" s="15">
        <v>44607</v>
      </c>
      <c r="M4873" t="s">
        <v>690</v>
      </c>
    </row>
    <row r="4874" spans="1:13" x14ac:dyDescent="0.25">
      <c r="A4874" t="s">
        <v>85</v>
      </c>
      <c r="B4874" s="6" t="s">
        <v>124</v>
      </c>
      <c r="C4874" s="13">
        <v>107</v>
      </c>
      <c r="D4874" s="14" t="s">
        <v>91</v>
      </c>
      <c r="E4874">
        <v>6</v>
      </c>
      <c r="F4874" s="8">
        <f>VLOOKUP(financials[[#This Row],[productid]],Products!$B$2:$H$10,3)</f>
        <v>15</v>
      </c>
      <c r="G4874" s="8">
        <f>financials[[#This Row],[Units Sold]]*financials[[#This Row],[Sale Price]]</f>
        <v>90</v>
      </c>
      <c r="H4874" s="8">
        <f>IF(financials[[#This Row],[Discount Band]]="low",0.1,IF(financials[[#This Row],[Discount Band]]="medium",0.15,0.3))</f>
        <v>0.1</v>
      </c>
      <c r="I4874" s="8">
        <f>financials[[#This Row],[Gross Sales]]-financials[[#This Row],[Gross Sales]]*financials[[#This Row],[Discounts]]</f>
        <v>81</v>
      </c>
      <c r="J4874" s="8">
        <f>VLOOKUP(financials[[#This Row],[productid]],Products!$B$2:$H$10,4)</f>
        <v>5.5</v>
      </c>
      <c r="K4874" s="8">
        <f>financials[[#This Row],[Net Sales]]-financials[[#This Row],[COGS]]</f>
        <v>75.5</v>
      </c>
      <c r="L4874" s="15">
        <v>45523</v>
      </c>
      <c r="M4874" t="s">
        <v>696</v>
      </c>
    </row>
    <row r="4875" spans="1:13" x14ac:dyDescent="0.25">
      <c r="A4875" t="s">
        <v>85</v>
      </c>
      <c r="B4875" s="6" t="s">
        <v>124</v>
      </c>
      <c r="C4875" s="13">
        <v>106</v>
      </c>
      <c r="D4875" s="14" t="s">
        <v>90</v>
      </c>
      <c r="E4875">
        <v>9</v>
      </c>
      <c r="F4875" s="8">
        <f>VLOOKUP(financials[[#This Row],[productid]],Products!$B$2:$H$10,3)</f>
        <v>25</v>
      </c>
      <c r="G4875" s="8">
        <f>financials[[#This Row],[Units Sold]]*financials[[#This Row],[Sale Price]]</f>
        <v>225</v>
      </c>
      <c r="H4875" s="8">
        <f>IF(financials[[#This Row],[Discount Band]]="low",0.1,IF(financials[[#This Row],[Discount Band]]="medium",0.15,0.3))</f>
        <v>0.15</v>
      </c>
      <c r="I4875" s="8">
        <f>financials[[#This Row],[Gross Sales]]-financials[[#This Row],[Gross Sales]]*financials[[#This Row],[Discounts]]</f>
        <v>191.25</v>
      </c>
      <c r="J4875" s="8">
        <f>VLOOKUP(financials[[#This Row],[productid]],Products!$B$2:$H$10,4)</f>
        <v>9.1</v>
      </c>
      <c r="K4875" s="8">
        <f>financials[[#This Row],[Net Sales]]-financials[[#This Row],[COGS]]</f>
        <v>182.15</v>
      </c>
      <c r="L4875" s="15">
        <v>44049</v>
      </c>
      <c r="M4875" t="s">
        <v>697</v>
      </c>
    </row>
    <row r="4876" spans="1:13" x14ac:dyDescent="0.25">
      <c r="A4876" t="s">
        <v>85</v>
      </c>
      <c r="B4876" s="6" t="s">
        <v>124</v>
      </c>
      <c r="C4876" s="13">
        <v>101</v>
      </c>
      <c r="D4876" s="14" t="s">
        <v>90</v>
      </c>
      <c r="E4876">
        <v>16</v>
      </c>
      <c r="F4876" s="8">
        <f>VLOOKUP(financials[[#This Row],[productid]],Products!$B$2:$H$10,3)</f>
        <v>23</v>
      </c>
      <c r="G4876" s="8">
        <f>financials[[#This Row],[Units Sold]]*financials[[#This Row],[Sale Price]]</f>
        <v>368</v>
      </c>
      <c r="H4876" s="8">
        <f>IF(financials[[#This Row],[Discount Band]]="low",0.1,IF(financials[[#This Row],[Discount Band]]="medium",0.15,0.3))</f>
        <v>0.15</v>
      </c>
      <c r="I4876" s="8">
        <f>financials[[#This Row],[Gross Sales]]-financials[[#This Row],[Gross Sales]]*financials[[#This Row],[Discounts]]</f>
        <v>312.8</v>
      </c>
      <c r="J4876" s="8">
        <f>VLOOKUP(financials[[#This Row],[productid]],Products!$B$2:$H$10,4)</f>
        <v>9.9499999999999993</v>
      </c>
      <c r="K4876" s="8">
        <f>financials[[#This Row],[Net Sales]]-financials[[#This Row],[COGS]]</f>
        <v>302.85000000000002</v>
      </c>
      <c r="L4876" s="15">
        <v>45492</v>
      </c>
      <c r="M4876" t="s">
        <v>696</v>
      </c>
    </row>
    <row r="4877" spans="1:13" x14ac:dyDescent="0.25">
      <c r="A4877" t="s">
        <v>86</v>
      </c>
      <c r="B4877" s="6" t="s">
        <v>124</v>
      </c>
      <c r="C4877" s="13">
        <v>105</v>
      </c>
      <c r="D4877" s="14" t="s">
        <v>83</v>
      </c>
      <c r="E4877">
        <v>8</v>
      </c>
      <c r="F4877" s="8">
        <f>VLOOKUP(financials[[#This Row],[productid]],Products!$B$2:$H$10,3)</f>
        <v>15</v>
      </c>
      <c r="G4877" s="8">
        <f>financials[[#This Row],[Units Sold]]*financials[[#This Row],[Sale Price]]</f>
        <v>120</v>
      </c>
      <c r="H4877" s="8">
        <f>IF(financials[[#This Row],[Discount Band]]="low",0.1,IF(financials[[#This Row],[Discount Band]]="medium",0.15,0.3))</f>
        <v>0.3</v>
      </c>
      <c r="I4877" s="8">
        <f>financials[[#This Row],[Gross Sales]]-financials[[#This Row],[Gross Sales]]*financials[[#This Row],[Discounts]]</f>
        <v>84</v>
      </c>
      <c r="J4877" s="8">
        <f>VLOOKUP(financials[[#This Row],[productid]],Products!$B$2:$H$10,4)</f>
        <v>10</v>
      </c>
      <c r="K4877" s="8">
        <f>financials[[#This Row],[Net Sales]]-financials[[#This Row],[COGS]]</f>
        <v>74</v>
      </c>
      <c r="L4877" s="15">
        <v>45188</v>
      </c>
      <c r="M4877" t="s">
        <v>690</v>
      </c>
    </row>
    <row r="4878" spans="1:13" x14ac:dyDescent="0.25">
      <c r="A4878" t="s">
        <v>86</v>
      </c>
      <c r="B4878" s="6" t="s">
        <v>124</v>
      </c>
      <c r="C4878" s="13">
        <v>105</v>
      </c>
      <c r="D4878" s="14" t="s">
        <v>83</v>
      </c>
      <c r="E4878">
        <v>7</v>
      </c>
      <c r="F4878" s="8">
        <f>VLOOKUP(financials[[#This Row],[productid]],Products!$B$2:$H$10,3)</f>
        <v>15</v>
      </c>
      <c r="G4878" s="8">
        <f>financials[[#This Row],[Units Sold]]*financials[[#This Row],[Sale Price]]</f>
        <v>105</v>
      </c>
      <c r="H4878" s="8">
        <f>IF(financials[[#This Row],[Discount Band]]="low",0.1,IF(financials[[#This Row],[Discount Band]]="medium",0.15,0.3))</f>
        <v>0.3</v>
      </c>
      <c r="I4878" s="8">
        <f>financials[[#This Row],[Gross Sales]]-financials[[#This Row],[Gross Sales]]*financials[[#This Row],[Discounts]]</f>
        <v>73.5</v>
      </c>
      <c r="J4878" s="8">
        <f>VLOOKUP(financials[[#This Row],[productid]],Products!$B$2:$H$10,4)</f>
        <v>10</v>
      </c>
      <c r="K4878" s="8">
        <f>financials[[#This Row],[Net Sales]]-financials[[#This Row],[COGS]]</f>
        <v>63.5</v>
      </c>
      <c r="L4878" s="15">
        <v>45656</v>
      </c>
      <c r="M4878" t="s">
        <v>691</v>
      </c>
    </row>
    <row r="4879" spans="1:13" x14ac:dyDescent="0.25">
      <c r="A4879" t="s">
        <v>86</v>
      </c>
      <c r="B4879" s="6" t="s">
        <v>124</v>
      </c>
      <c r="C4879" s="13">
        <v>104</v>
      </c>
      <c r="D4879" s="14" t="s">
        <v>83</v>
      </c>
      <c r="E4879">
        <v>11</v>
      </c>
      <c r="F4879" s="8">
        <f>VLOOKUP(financials[[#This Row],[productid]],Products!$B$2:$H$10,3)</f>
        <v>5.9</v>
      </c>
      <c r="G4879" s="8">
        <f>financials[[#This Row],[Units Sold]]*financials[[#This Row],[Sale Price]]</f>
        <v>64.900000000000006</v>
      </c>
      <c r="H4879" s="8">
        <f>IF(financials[[#This Row],[Discount Band]]="low",0.1,IF(financials[[#This Row],[Discount Band]]="medium",0.15,0.3))</f>
        <v>0.3</v>
      </c>
      <c r="I4879" s="8">
        <f>financials[[#This Row],[Gross Sales]]-financials[[#This Row],[Gross Sales]]*financials[[#This Row],[Discounts]]</f>
        <v>45.430000000000007</v>
      </c>
      <c r="J4879" s="8">
        <f>VLOOKUP(financials[[#This Row],[productid]],Products!$B$2:$H$10,4)</f>
        <v>2.9</v>
      </c>
      <c r="K4879" s="8">
        <f>financials[[#This Row],[Net Sales]]-financials[[#This Row],[COGS]]</f>
        <v>42.530000000000008</v>
      </c>
      <c r="L4879" s="15">
        <v>44410</v>
      </c>
      <c r="M4879" t="s">
        <v>690</v>
      </c>
    </row>
    <row r="4880" spans="1:13" x14ac:dyDescent="0.25">
      <c r="A4880" t="s">
        <v>86</v>
      </c>
      <c r="B4880" s="6" t="s">
        <v>124</v>
      </c>
      <c r="C4880" s="13">
        <v>107</v>
      </c>
      <c r="D4880" s="14" t="s">
        <v>92</v>
      </c>
      <c r="E4880">
        <v>6</v>
      </c>
      <c r="F4880" s="8">
        <f>VLOOKUP(financials[[#This Row],[productid]],Products!$B$2:$H$10,3)</f>
        <v>15</v>
      </c>
      <c r="G4880" s="8">
        <f>financials[[#This Row],[Units Sold]]*financials[[#This Row],[Sale Price]]</f>
        <v>90</v>
      </c>
      <c r="H4880" s="8">
        <f>IF(financials[[#This Row],[Discount Band]]="low",0.1,IF(financials[[#This Row],[Discount Band]]="medium",0.15,0.3))</f>
        <v>0.3</v>
      </c>
      <c r="I4880" s="8">
        <f>financials[[#This Row],[Gross Sales]]-financials[[#This Row],[Gross Sales]]*financials[[#This Row],[Discounts]]</f>
        <v>63</v>
      </c>
      <c r="J4880" s="8">
        <f>VLOOKUP(financials[[#This Row],[productid]],Products!$B$2:$H$10,4)</f>
        <v>5.5</v>
      </c>
      <c r="K4880" s="8">
        <f>financials[[#This Row],[Net Sales]]-financials[[#This Row],[COGS]]</f>
        <v>57.5</v>
      </c>
      <c r="L4880" s="15">
        <v>45084</v>
      </c>
      <c r="M4880" t="s">
        <v>691</v>
      </c>
    </row>
    <row r="4881" spans="1:13" x14ac:dyDescent="0.25">
      <c r="A4881" t="s">
        <v>86</v>
      </c>
      <c r="B4881" s="6" t="s">
        <v>124</v>
      </c>
      <c r="C4881" s="13">
        <v>109</v>
      </c>
      <c r="D4881" s="14" t="s">
        <v>91</v>
      </c>
      <c r="E4881">
        <v>14</v>
      </c>
      <c r="F4881" s="8">
        <f>VLOOKUP(financials[[#This Row],[productid]],Products!$B$2:$H$10,3)</f>
        <v>36</v>
      </c>
      <c r="G4881" s="8">
        <f>financials[[#This Row],[Units Sold]]*financials[[#This Row],[Sale Price]]</f>
        <v>504</v>
      </c>
      <c r="H4881" s="8">
        <f>IF(financials[[#This Row],[Discount Band]]="low",0.1,IF(financials[[#This Row],[Discount Band]]="medium",0.15,0.3))</f>
        <v>0.1</v>
      </c>
      <c r="I4881" s="8">
        <f>financials[[#This Row],[Gross Sales]]-financials[[#This Row],[Gross Sales]]*financials[[#This Row],[Discounts]]</f>
        <v>453.6</v>
      </c>
      <c r="J4881" s="8">
        <f>VLOOKUP(financials[[#This Row],[productid]],Products!$B$2:$H$10,4)</f>
        <v>16.8</v>
      </c>
      <c r="K4881" s="8">
        <f>financials[[#This Row],[Net Sales]]-financials[[#This Row],[COGS]]</f>
        <v>436.8</v>
      </c>
      <c r="L4881" s="15">
        <v>44099</v>
      </c>
      <c r="M4881" t="s">
        <v>700</v>
      </c>
    </row>
    <row r="4882" spans="1:13" x14ac:dyDescent="0.25">
      <c r="A4882" t="s">
        <v>85</v>
      </c>
      <c r="B4882" s="6" t="s">
        <v>124</v>
      </c>
      <c r="C4882" s="13">
        <v>102</v>
      </c>
      <c r="D4882" s="14" t="s">
        <v>90</v>
      </c>
      <c r="E4882">
        <v>8</v>
      </c>
      <c r="F4882" s="8">
        <f>VLOOKUP(financials[[#This Row],[productid]],Products!$B$2:$H$10,3)</f>
        <v>15</v>
      </c>
      <c r="G4882" s="8">
        <f>financials[[#This Row],[Units Sold]]*financials[[#This Row],[Sale Price]]</f>
        <v>120</v>
      </c>
      <c r="H4882" s="8">
        <f>IF(financials[[#This Row],[Discount Band]]="low",0.1,IF(financials[[#This Row],[Discount Band]]="medium",0.15,0.3))</f>
        <v>0.15</v>
      </c>
      <c r="I4882" s="8">
        <f>financials[[#This Row],[Gross Sales]]-financials[[#This Row],[Gross Sales]]*financials[[#This Row],[Discounts]]</f>
        <v>102</v>
      </c>
      <c r="J4882" s="8">
        <f>VLOOKUP(financials[[#This Row],[productid]],Products!$B$2:$H$10,4)</f>
        <v>13.95</v>
      </c>
      <c r="K4882" s="8">
        <f>financials[[#This Row],[Net Sales]]-financials[[#This Row],[COGS]]</f>
        <v>88.05</v>
      </c>
      <c r="L4882" s="15">
        <v>44647</v>
      </c>
      <c r="M4882" t="s">
        <v>696</v>
      </c>
    </row>
    <row r="4883" spans="1:13" x14ac:dyDescent="0.25">
      <c r="A4883" t="s">
        <v>86</v>
      </c>
      <c r="B4883" s="6" t="s">
        <v>124</v>
      </c>
      <c r="C4883" s="13">
        <v>108</v>
      </c>
      <c r="D4883" s="14" t="s">
        <v>90</v>
      </c>
      <c r="E4883">
        <v>20</v>
      </c>
      <c r="F4883" s="8">
        <f>VLOOKUP(financials[[#This Row],[productid]],Products!$B$2:$H$10,3)</f>
        <v>5.5</v>
      </c>
      <c r="G4883" s="8">
        <f>financials[[#This Row],[Units Sold]]*financials[[#This Row],[Sale Price]]</f>
        <v>110</v>
      </c>
      <c r="H4883" s="8">
        <f>IF(financials[[#This Row],[Discount Band]]="low",0.1,IF(financials[[#This Row],[Discount Band]]="medium",0.15,0.3))</f>
        <v>0.15</v>
      </c>
      <c r="I4883" s="8">
        <f>financials[[#This Row],[Gross Sales]]-financials[[#This Row],[Gross Sales]]*financials[[#This Row],[Discounts]]</f>
        <v>93.5</v>
      </c>
      <c r="J4883" s="8">
        <f>VLOOKUP(financials[[#This Row],[productid]],Products!$B$2:$H$10,4)</f>
        <v>3.99</v>
      </c>
      <c r="K4883" s="8">
        <f>financials[[#This Row],[Net Sales]]-financials[[#This Row],[COGS]]</f>
        <v>89.51</v>
      </c>
      <c r="L4883" s="15">
        <v>45259</v>
      </c>
      <c r="M4883" t="s">
        <v>690</v>
      </c>
    </row>
    <row r="4884" spans="1:13" x14ac:dyDescent="0.25">
      <c r="A4884" t="s">
        <v>85</v>
      </c>
      <c r="B4884" s="6" t="s">
        <v>124</v>
      </c>
      <c r="C4884" s="13">
        <v>104</v>
      </c>
      <c r="D4884" s="14" t="s">
        <v>91</v>
      </c>
      <c r="E4884">
        <v>15</v>
      </c>
      <c r="F4884" s="8">
        <f>VLOOKUP(financials[[#This Row],[productid]],Products!$B$2:$H$10,3)</f>
        <v>5.9</v>
      </c>
      <c r="G4884" s="8">
        <f>financials[[#This Row],[Units Sold]]*financials[[#This Row],[Sale Price]]</f>
        <v>88.5</v>
      </c>
      <c r="H4884" s="8">
        <f>IF(financials[[#This Row],[Discount Band]]="low",0.1,IF(financials[[#This Row],[Discount Band]]="medium",0.15,0.3))</f>
        <v>0.1</v>
      </c>
      <c r="I4884" s="8">
        <f>financials[[#This Row],[Gross Sales]]-financials[[#This Row],[Gross Sales]]*financials[[#This Row],[Discounts]]</f>
        <v>79.650000000000006</v>
      </c>
      <c r="J4884" s="8">
        <f>VLOOKUP(financials[[#This Row],[productid]],Products!$B$2:$H$10,4)</f>
        <v>2.9</v>
      </c>
      <c r="K4884" s="8">
        <f>financials[[#This Row],[Net Sales]]-financials[[#This Row],[COGS]]</f>
        <v>76.75</v>
      </c>
      <c r="L4884" s="15">
        <v>44849</v>
      </c>
      <c r="M4884" t="s">
        <v>700</v>
      </c>
    </row>
    <row r="4885" spans="1:13" x14ac:dyDescent="0.25">
      <c r="A4885" t="s">
        <v>87</v>
      </c>
      <c r="B4885" s="6" t="s">
        <v>124</v>
      </c>
      <c r="C4885" s="13">
        <v>106</v>
      </c>
      <c r="D4885" s="14" t="s">
        <v>90</v>
      </c>
      <c r="E4885">
        <v>12</v>
      </c>
      <c r="F4885" s="8">
        <f>VLOOKUP(financials[[#This Row],[productid]],Products!$B$2:$H$10,3)</f>
        <v>25</v>
      </c>
      <c r="G4885" s="8">
        <f>financials[[#This Row],[Units Sold]]*financials[[#This Row],[Sale Price]]</f>
        <v>300</v>
      </c>
      <c r="H4885" s="8">
        <f>IF(financials[[#This Row],[Discount Band]]="low",0.1,IF(financials[[#This Row],[Discount Band]]="medium",0.15,0.3))</f>
        <v>0.15</v>
      </c>
      <c r="I4885" s="8">
        <f>financials[[#This Row],[Gross Sales]]-financials[[#This Row],[Gross Sales]]*financials[[#This Row],[Discounts]]</f>
        <v>255</v>
      </c>
      <c r="J4885" s="8">
        <f>VLOOKUP(financials[[#This Row],[productid]],Products!$B$2:$H$10,4)</f>
        <v>9.1</v>
      </c>
      <c r="K4885" s="8">
        <f>financials[[#This Row],[Net Sales]]-financials[[#This Row],[COGS]]</f>
        <v>245.9</v>
      </c>
      <c r="L4885" s="15">
        <v>45485</v>
      </c>
      <c r="M4885" t="s">
        <v>691</v>
      </c>
    </row>
    <row r="4886" spans="1:13" x14ac:dyDescent="0.25">
      <c r="A4886" t="s">
        <v>85</v>
      </c>
      <c r="B4886" s="6" t="s">
        <v>124</v>
      </c>
      <c r="C4886" s="13">
        <v>104</v>
      </c>
      <c r="D4886" s="14" t="s">
        <v>90</v>
      </c>
      <c r="E4886">
        <v>5</v>
      </c>
      <c r="F4886" s="8">
        <f>VLOOKUP(financials[[#This Row],[productid]],Products!$B$2:$H$10,3)</f>
        <v>5.9</v>
      </c>
      <c r="G4886" s="8">
        <f>financials[[#This Row],[Units Sold]]*financials[[#This Row],[Sale Price]]</f>
        <v>29.5</v>
      </c>
      <c r="H4886" s="8">
        <f>IF(financials[[#This Row],[Discount Band]]="low",0.1,IF(financials[[#This Row],[Discount Band]]="medium",0.15,0.3))</f>
        <v>0.15</v>
      </c>
      <c r="I4886" s="8">
        <f>financials[[#This Row],[Gross Sales]]-financials[[#This Row],[Gross Sales]]*financials[[#This Row],[Discounts]]</f>
        <v>25.074999999999999</v>
      </c>
      <c r="J4886" s="8">
        <f>VLOOKUP(financials[[#This Row],[productid]],Products!$B$2:$H$10,4)</f>
        <v>2.9</v>
      </c>
      <c r="K4886" s="8">
        <f>financials[[#This Row],[Net Sales]]-financials[[#This Row],[COGS]]</f>
        <v>22.175000000000001</v>
      </c>
      <c r="L4886" s="15">
        <v>44730</v>
      </c>
      <c r="M4886" t="s">
        <v>696</v>
      </c>
    </row>
    <row r="4887" spans="1:13" x14ac:dyDescent="0.25">
      <c r="A4887" t="s">
        <v>87</v>
      </c>
      <c r="B4887" s="6" t="s">
        <v>124</v>
      </c>
      <c r="C4887" s="13">
        <v>109</v>
      </c>
      <c r="D4887" s="14" t="s">
        <v>90</v>
      </c>
      <c r="E4887">
        <v>10</v>
      </c>
      <c r="F4887" s="8">
        <f>VLOOKUP(financials[[#This Row],[productid]],Products!$B$2:$H$10,3)</f>
        <v>36</v>
      </c>
      <c r="G4887" s="8">
        <f>financials[[#This Row],[Units Sold]]*financials[[#This Row],[Sale Price]]</f>
        <v>360</v>
      </c>
      <c r="H4887" s="8">
        <f>IF(financials[[#This Row],[Discount Band]]="low",0.1,IF(financials[[#This Row],[Discount Band]]="medium",0.15,0.3))</f>
        <v>0.15</v>
      </c>
      <c r="I4887" s="8">
        <f>financials[[#This Row],[Gross Sales]]-financials[[#This Row],[Gross Sales]]*financials[[#This Row],[Discounts]]</f>
        <v>306</v>
      </c>
      <c r="J4887" s="8">
        <f>VLOOKUP(financials[[#This Row],[productid]],Products!$B$2:$H$10,4)</f>
        <v>16.8</v>
      </c>
      <c r="K4887" s="8">
        <f>financials[[#This Row],[Net Sales]]-financials[[#This Row],[COGS]]</f>
        <v>289.2</v>
      </c>
      <c r="L4887" s="15">
        <v>44770</v>
      </c>
      <c r="M4887" t="s">
        <v>691</v>
      </c>
    </row>
    <row r="4888" spans="1:13" x14ac:dyDescent="0.25">
      <c r="A4888" t="s">
        <v>85</v>
      </c>
      <c r="B4888" s="6" t="s">
        <v>124</v>
      </c>
      <c r="C4888" s="13">
        <v>103</v>
      </c>
      <c r="D4888" s="14" t="s">
        <v>83</v>
      </c>
      <c r="E4888">
        <v>17</v>
      </c>
      <c r="F4888" s="8">
        <f>VLOOKUP(financials[[#This Row],[productid]],Products!$B$2:$H$10,3)</f>
        <v>28</v>
      </c>
      <c r="G4888" s="8">
        <f>financials[[#This Row],[Units Sold]]*financials[[#This Row],[Sale Price]]</f>
        <v>476</v>
      </c>
      <c r="H4888" s="8">
        <f>IF(financials[[#This Row],[Discount Band]]="low",0.1,IF(financials[[#This Row],[Discount Band]]="medium",0.15,0.3))</f>
        <v>0.3</v>
      </c>
      <c r="I4888" s="8">
        <f>financials[[#This Row],[Gross Sales]]-financials[[#This Row],[Gross Sales]]*financials[[#This Row],[Discounts]]</f>
        <v>333.20000000000005</v>
      </c>
      <c r="J4888" s="8">
        <f>VLOOKUP(financials[[#This Row],[productid]],Products!$B$2:$H$10,4)</f>
        <v>15</v>
      </c>
      <c r="K4888" s="8">
        <f>financials[[#This Row],[Net Sales]]-financials[[#This Row],[COGS]]</f>
        <v>318.20000000000005</v>
      </c>
      <c r="L4888" s="15">
        <v>44066</v>
      </c>
      <c r="M4888" t="s">
        <v>697</v>
      </c>
    </row>
    <row r="4889" spans="1:13" x14ac:dyDescent="0.25">
      <c r="A4889" t="s">
        <v>87</v>
      </c>
      <c r="B4889" s="6" t="s">
        <v>124</v>
      </c>
      <c r="C4889" s="13">
        <v>104</v>
      </c>
      <c r="D4889" s="14" t="s">
        <v>83</v>
      </c>
      <c r="E4889">
        <v>11</v>
      </c>
      <c r="F4889" s="8">
        <f>VLOOKUP(financials[[#This Row],[productid]],Products!$B$2:$H$10,3)</f>
        <v>5.9</v>
      </c>
      <c r="G4889" s="8">
        <f>financials[[#This Row],[Units Sold]]*financials[[#This Row],[Sale Price]]</f>
        <v>64.900000000000006</v>
      </c>
      <c r="H4889" s="8">
        <f>IF(financials[[#This Row],[Discount Band]]="low",0.1,IF(financials[[#This Row],[Discount Band]]="medium",0.15,0.3))</f>
        <v>0.3</v>
      </c>
      <c r="I4889" s="8">
        <f>financials[[#This Row],[Gross Sales]]-financials[[#This Row],[Gross Sales]]*financials[[#This Row],[Discounts]]</f>
        <v>45.430000000000007</v>
      </c>
      <c r="J4889" s="8">
        <f>VLOOKUP(financials[[#This Row],[productid]],Products!$B$2:$H$10,4)</f>
        <v>2.9</v>
      </c>
      <c r="K4889" s="8">
        <f>financials[[#This Row],[Net Sales]]-financials[[#This Row],[COGS]]</f>
        <v>42.530000000000008</v>
      </c>
      <c r="L4889" s="15">
        <v>44502</v>
      </c>
      <c r="M4889" t="s">
        <v>690</v>
      </c>
    </row>
    <row r="4890" spans="1:13" x14ac:dyDescent="0.25">
      <c r="A4890" t="s">
        <v>86</v>
      </c>
      <c r="B4890" s="6" t="s">
        <v>124</v>
      </c>
      <c r="C4890" s="13">
        <v>102</v>
      </c>
      <c r="D4890" s="14" t="s">
        <v>90</v>
      </c>
      <c r="E4890">
        <v>19</v>
      </c>
      <c r="F4890" s="8">
        <f>VLOOKUP(financials[[#This Row],[productid]],Products!$B$2:$H$10,3)</f>
        <v>15</v>
      </c>
      <c r="G4890" s="8">
        <f>financials[[#This Row],[Units Sold]]*financials[[#This Row],[Sale Price]]</f>
        <v>285</v>
      </c>
      <c r="H4890" s="8">
        <f>IF(financials[[#This Row],[Discount Band]]="low",0.1,IF(financials[[#This Row],[Discount Band]]="medium",0.15,0.3))</f>
        <v>0.15</v>
      </c>
      <c r="I4890" s="8">
        <f>financials[[#This Row],[Gross Sales]]-financials[[#This Row],[Gross Sales]]*financials[[#This Row],[Discounts]]</f>
        <v>242.25</v>
      </c>
      <c r="J4890" s="8">
        <f>VLOOKUP(financials[[#This Row],[productid]],Products!$B$2:$H$10,4)</f>
        <v>13.95</v>
      </c>
      <c r="K4890" s="8">
        <f>financials[[#This Row],[Net Sales]]-financials[[#This Row],[COGS]]</f>
        <v>228.3</v>
      </c>
      <c r="L4890" s="15">
        <v>44153</v>
      </c>
      <c r="M4890" t="s">
        <v>696</v>
      </c>
    </row>
    <row r="4891" spans="1:13" x14ac:dyDescent="0.25">
      <c r="A4891" t="s">
        <v>85</v>
      </c>
      <c r="B4891" s="6" t="s">
        <v>124</v>
      </c>
      <c r="C4891" s="13">
        <v>105</v>
      </c>
      <c r="D4891" s="14" t="s">
        <v>83</v>
      </c>
      <c r="E4891">
        <v>12</v>
      </c>
      <c r="F4891" s="8">
        <f>VLOOKUP(financials[[#This Row],[productid]],Products!$B$2:$H$10,3)</f>
        <v>15</v>
      </c>
      <c r="G4891" s="8">
        <f>financials[[#This Row],[Units Sold]]*financials[[#This Row],[Sale Price]]</f>
        <v>180</v>
      </c>
      <c r="H4891" s="8">
        <f>IF(financials[[#This Row],[Discount Band]]="low",0.1,IF(financials[[#This Row],[Discount Band]]="medium",0.15,0.3))</f>
        <v>0.3</v>
      </c>
      <c r="I4891" s="8">
        <f>financials[[#This Row],[Gross Sales]]-financials[[#This Row],[Gross Sales]]*financials[[#This Row],[Discounts]]</f>
        <v>126</v>
      </c>
      <c r="J4891" s="8">
        <f>VLOOKUP(financials[[#This Row],[productid]],Products!$B$2:$H$10,4)</f>
        <v>10</v>
      </c>
      <c r="K4891" s="8">
        <f>financials[[#This Row],[Net Sales]]-financials[[#This Row],[COGS]]</f>
        <v>116</v>
      </c>
      <c r="L4891" s="15">
        <v>44263</v>
      </c>
      <c r="M4891" t="s">
        <v>697</v>
      </c>
    </row>
    <row r="4892" spans="1:13" x14ac:dyDescent="0.25">
      <c r="A4892" t="s">
        <v>85</v>
      </c>
      <c r="B4892" s="6" t="s">
        <v>124</v>
      </c>
      <c r="C4892" s="13">
        <v>106</v>
      </c>
      <c r="D4892" s="14" t="s">
        <v>83</v>
      </c>
      <c r="E4892">
        <v>5</v>
      </c>
      <c r="F4892" s="8">
        <f>VLOOKUP(financials[[#This Row],[productid]],Products!$B$2:$H$10,3)</f>
        <v>25</v>
      </c>
      <c r="G4892" s="8">
        <f>financials[[#This Row],[Units Sold]]*financials[[#This Row],[Sale Price]]</f>
        <v>125</v>
      </c>
      <c r="H4892" s="8">
        <f>IF(financials[[#This Row],[Discount Band]]="low",0.1,IF(financials[[#This Row],[Discount Band]]="medium",0.15,0.3))</f>
        <v>0.3</v>
      </c>
      <c r="I4892" s="8">
        <f>financials[[#This Row],[Gross Sales]]-financials[[#This Row],[Gross Sales]]*financials[[#This Row],[Discounts]]</f>
        <v>87.5</v>
      </c>
      <c r="J4892" s="8">
        <f>VLOOKUP(financials[[#This Row],[productid]],Products!$B$2:$H$10,4)</f>
        <v>9.1</v>
      </c>
      <c r="K4892" s="8">
        <f>financials[[#This Row],[Net Sales]]-financials[[#This Row],[COGS]]</f>
        <v>78.400000000000006</v>
      </c>
      <c r="L4892" s="15">
        <v>45431</v>
      </c>
      <c r="M4892" t="s">
        <v>690</v>
      </c>
    </row>
    <row r="4893" spans="1:13" x14ac:dyDescent="0.25">
      <c r="A4893" t="s">
        <v>85</v>
      </c>
      <c r="B4893" s="6" t="s">
        <v>124</v>
      </c>
      <c r="C4893" s="13">
        <v>101</v>
      </c>
      <c r="D4893" s="14" t="s">
        <v>83</v>
      </c>
      <c r="E4893">
        <v>8</v>
      </c>
      <c r="F4893" s="8">
        <f>VLOOKUP(financials[[#This Row],[productid]],Products!$B$2:$H$10,3)</f>
        <v>23</v>
      </c>
      <c r="G4893" s="8">
        <f>financials[[#This Row],[Units Sold]]*financials[[#This Row],[Sale Price]]</f>
        <v>184</v>
      </c>
      <c r="H4893" s="8">
        <f>IF(financials[[#This Row],[Discount Band]]="low",0.1,IF(financials[[#This Row],[Discount Band]]="medium",0.15,0.3))</f>
        <v>0.3</v>
      </c>
      <c r="I4893" s="8">
        <f>financials[[#This Row],[Gross Sales]]-financials[[#This Row],[Gross Sales]]*financials[[#This Row],[Discounts]]</f>
        <v>128.80000000000001</v>
      </c>
      <c r="J4893" s="8">
        <f>VLOOKUP(financials[[#This Row],[productid]],Products!$B$2:$H$10,4)</f>
        <v>9.9499999999999993</v>
      </c>
      <c r="K4893" s="8">
        <f>financials[[#This Row],[Net Sales]]-financials[[#This Row],[COGS]]</f>
        <v>118.85000000000001</v>
      </c>
      <c r="L4893" s="15">
        <v>44890</v>
      </c>
      <c r="M4893" t="s">
        <v>690</v>
      </c>
    </row>
    <row r="4894" spans="1:13" x14ac:dyDescent="0.25">
      <c r="A4894" t="s">
        <v>87</v>
      </c>
      <c r="B4894" s="6" t="s">
        <v>124</v>
      </c>
      <c r="C4894" s="11">
        <v>105</v>
      </c>
      <c r="D4894" s="9" t="s">
        <v>92</v>
      </c>
      <c r="E4894">
        <v>20</v>
      </c>
      <c r="F4894" s="8">
        <f>VLOOKUP(financials[[#This Row],[productid]],Products!$B$2:$H$10,3)</f>
        <v>15</v>
      </c>
      <c r="G4894" s="8">
        <f>financials[[#This Row],[Units Sold]]*financials[[#This Row],[Sale Price]]</f>
        <v>300</v>
      </c>
      <c r="H4894" s="8">
        <f>IF(financials[[#This Row],[Discount Band]]="low",0.1,IF(financials[[#This Row],[Discount Band]]="medium",0.15,0.3))</f>
        <v>0.3</v>
      </c>
      <c r="I4894" s="8">
        <f>financials[[#This Row],[Gross Sales]]-financials[[#This Row],[Gross Sales]]*financials[[#This Row],[Discounts]]</f>
        <v>210</v>
      </c>
      <c r="J4894" s="8">
        <f>VLOOKUP(financials[[#This Row],[productid]],Products!$B$2:$H$10,4)</f>
        <v>10</v>
      </c>
      <c r="K4894" s="8">
        <f>financials[[#This Row],[Net Sales]]-financials[[#This Row],[COGS]]</f>
        <v>200</v>
      </c>
      <c r="L4894" s="15">
        <v>43835</v>
      </c>
      <c r="M4894" t="s">
        <v>696</v>
      </c>
    </row>
    <row r="4895" spans="1:13" x14ac:dyDescent="0.25">
      <c r="A4895" t="s">
        <v>86</v>
      </c>
      <c r="B4895" s="6" t="s">
        <v>124</v>
      </c>
      <c r="C4895" s="13">
        <v>105</v>
      </c>
      <c r="D4895" s="14" t="s">
        <v>90</v>
      </c>
      <c r="E4895">
        <v>12</v>
      </c>
      <c r="F4895" s="8">
        <f>VLOOKUP(financials[[#This Row],[productid]],Products!$B$2:$H$10,3)</f>
        <v>15</v>
      </c>
      <c r="G4895" s="8">
        <f>financials[[#This Row],[Units Sold]]*financials[[#This Row],[Sale Price]]</f>
        <v>180</v>
      </c>
      <c r="H4895" s="8">
        <f>IF(financials[[#This Row],[Discount Band]]="low",0.1,IF(financials[[#This Row],[Discount Band]]="medium",0.15,0.3))</f>
        <v>0.15</v>
      </c>
      <c r="I4895" s="8">
        <f>financials[[#This Row],[Gross Sales]]-financials[[#This Row],[Gross Sales]]*financials[[#This Row],[Discounts]]</f>
        <v>153</v>
      </c>
      <c r="J4895" s="8">
        <f>VLOOKUP(financials[[#This Row],[productid]],Products!$B$2:$H$10,4)</f>
        <v>10</v>
      </c>
      <c r="K4895" s="8">
        <f>financials[[#This Row],[Net Sales]]-financials[[#This Row],[COGS]]</f>
        <v>143</v>
      </c>
      <c r="L4895" s="15">
        <v>44356</v>
      </c>
      <c r="M4895" t="s">
        <v>696</v>
      </c>
    </row>
    <row r="4896" spans="1:13" x14ac:dyDescent="0.25">
      <c r="A4896" t="s">
        <v>86</v>
      </c>
      <c r="B4896" s="6" t="s">
        <v>124</v>
      </c>
      <c r="C4896" s="13">
        <v>103</v>
      </c>
      <c r="D4896" s="14" t="s">
        <v>92</v>
      </c>
      <c r="E4896">
        <v>19</v>
      </c>
      <c r="F4896" s="8">
        <f>VLOOKUP(financials[[#This Row],[productid]],Products!$B$2:$H$10,3)</f>
        <v>28</v>
      </c>
      <c r="G4896" s="8">
        <f>financials[[#This Row],[Units Sold]]*financials[[#This Row],[Sale Price]]</f>
        <v>532</v>
      </c>
      <c r="H4896" s="8">
        <f>IF(financials[[#This Row],[Discount Band]]="low",0.1,IF(financials[[#This Row],[Discount Band]]="medium",0.15,0.3))</f>
        <v>0.3</v>
      </c>
      <c r="I4896" s="8">
        <f>financials[[#This Row],[Gross Sales]]-financials[[#This Row],[Gross Sales]]*financials[[#This Row],[Discounts]]</f>
        <v>372.4</v>
      </c>
      <c r="J4896" s="8">
        <f>VLOOKUP(financials[[#This Row],[productid]],Products!$B$2:$H$10,4)</f>
        <v>15</v>
      </c>
      <c r="K4896" s="8">
        <f>financials[[#This Row],[Net Sales]]-financials[[#This Row],[COGS]]</f>
        <v>357.4</v>
      </c>
      <c r="L4896" s="15">
        <v>45221</v>
      </c>
      <c r="M4896" t="s">
        <v>691</v>
      </c>
    </row>
    <row r="4897" spans="1:13" x14ac:dyDescent="0.25">
      <c r="A4897" t="s">
        <v>87</v>
      </c>
      <c r="B4897" s="6" t="s">
        <v>124</v>
      </c>
      <c r="C4897" s="13">
        <v>107</v>
      </c>
      <c r="D4897" s="14" t="s">
        <v>83</v>
      </c>
      <c r="E4897">
        <v>11</v>
      </c>
      <c r="F4897" s="8">
        <f>VLOOKUP(financials[[#This Row],[productid]],Products!$B$2:$H$10,3)</f>
        <v>15</v>
      </c>
      <c r="G4897" s="8">
        <f>financials[[#This Row],[Units Sold]]*financials[[#This Row],[Sale Price]]</f>
        <v>165</v>
      </c>
      <c r="H4897" s="8">
        <f>IF(financials[[#This Row],[Discount Band]]="low",0.1,IF(financials[[#This Row],[Discount Band]]="medium",0.15,0.3))</f>
        <v>0.3</v>
      </c>
      <c r="I4897" s="8">
        <f>financials[[#This Row],[Gross Sales]]-financials[[#This Row],[Gross Sales]]*financials[[#This Row],[Discounts]]</f>
        <v>115.5</v>
      </c>
      <c r="J4897" s="8">
        <f>VLOOKUP(financials[[#This Row],[productid]],Products!$B$2:$H$10,4)</f>
        <v>5.5</v>
      </c>
      <c r="K4897" s="8">
        <f>financials[[#This Row],[Net Sales]]-financials[[#This Row],[COGS]]</f>
        <v>110</v>
      </c>
      <c r="L4897" s="15">
        <v>44133</v>
      </c>
      <c r="M4897" t="s">
        <v>696</v>
      </c>
    </row>
    <row r="4898" spans="1:13" x14ac:dyDescent="0.25">
      <c r="A4898" t="s">
        <v>85</v>
      </c>
      <c r="B4898" s="6" t="s">
        <v>124</v>
      </c>
      <c r="C4898" s="13">
        <v>103</v>
      </c>
      <c r="D4898" s="14" t="s">
        <v>90</v>
      </c>
      <c r="E4898">
        <v>20</v>
      </c>
      <c r="F4898" s="8">
        <f>VLOOKUP(financials[[#This Row],[productid]],Products!$B$2:$H$10,3)</f>
        <v>28</v>
      </c>
      <c r="G4898" s="8">
        <f>financials[[#This Row],[Units Sold]]*financials[[#This Row],[Sale Price]]</f>
        <v>560</v>
      </c>
      <c r="H4898" s="8">
        <f>IF(financials[[#This Row],[Discount Band]]="low",0.1,IF(financials[[#This Row],[Discount Band]]="medium",0.15,0.3))</f>
        <v>0.15</v>
      </c>
      <c r="I4898" s="8">
        <f>financials[[#This Row],[Gross Sales]]-financials[[#This Row],[Gross Sales]]*financials[[#This Row],[Discounts]]</f>
        <v>476</v>
      </c>
      <c r="J4898" s="8">
        <f>VLOOKUP(financials[[#This Row],[productid]],Products!$B$2:$H$10,4)</f>
        <v>15</v>
      </c>
      <c r="K4898" s="8">
        <f>financials[[#This Row],[Net Sales]]-financials[[#This Row],[COGS]]</f>
        <v>461</v>
      </c>
      <c r="L4898" s="15">
        <v>44225</v>
      </c>
      <c r="M4898" t="s">
        <v>691</v>
      </c>
    </row>
    <row r="4899" spans="1:13" x14ac:dyDescent="0.25">
      <c r="A4899" t="s">
        <v>87</v>
      </c>
      <c r="B4899" s="6" t="s">
        <v>124</v>
      </c>
      <c r="C4899" s="13">
        <v>106</v>
      </c>
      <c r="D4899" s="14" t="s">
        <v>83</v>
      </c>
      <c r="E4899">
        <v>7</v>
      </c>
      <c r="F4899" s="8">
        <f>VLOOKUP(financials[[#This Row],[productid]],Products!$B$2:$H$10,3)</f>
        <v>25</v>
      </c>
      <c r="G4899" s="8">
        <f>financials[[#This Row],[Units Sold]]*financials[[#This Row],[Sale Price]]</f>
        <v>175</v>
      </c>
      <c r="H4899" s="8">
        <f>IF(financials[[#This Row],[Discount Band]]="low",0.1,IF(financials[[#This Row],[Discount Band]]="medium",0.15,0.3))</f>
        <v>0.3</v>
      </c>
      <c r="I4899" s="8">
        <f>financials[[#This Row],[Gross Sales]]-financials[[#This Row],[Gross Sales]]*financials[[#This Row],[Discounts]]</f>
        <v>122.5</v>
      </c>
      <c r="J4899" s="8">
        <f>VLOOKUP(financials[[#This Row],[productid]],Products!$B$2:$H$10,4)</f>
        <v>9.1</v>
      </c>
      <c r="K4899" s="8">
        <f>financials[[#This Row],[Net Sales]]-financials[[#This Row],[COGS]]</f>
        <v>113.4</v>
      </c>
      <c r="L4899" s="15">
        <v>45437</v>
      </c>
      <c r="M4899" t="s">
        <v>697</v>
      </c>
    </row>
    <row r="4900" spans="1:13" x14ac:dyDescent="0.25">
      <c r="A4900" t="s">
        <v>85</v>
      </c>
      <c r="B4900" s="6" t="s">
        <v>124</v>
      </c>
      <c r="C4900" s="11">
        <v>107</v>
      </c>
      <c r="D4900" s="9" t="s">
        <v>91</v>
      </c>
      <c r="E4900">
        <v>17</v>
      </c>
      <c r="F4900" s="8">
        <f>VLOOKUP(financials[[#This Row],[productid]],Products!$B$2:$H$10,3)</f>
        <v>15</v>
      </c>
      <c r="G4900" s="8">
        <f>financials[[#This Row],[Units Sold]]*financials[[#This Row],[Sale Price]]</f>
        <v>255</v>
      </c>
      <c r="H4900" s="8">
        <f>IF(financials[[#This Row],[Discount Band]]="low",0.1,IF(financials[[#This Row],[Discount Band]]="medium",0.15,0.3))</f>
        <v>0.1</v>
      </c>
      <c r="I4900" s="8">
        <f>financials[[#This Row],[Gross Sales]]-financials[[#This Row],[Gross Sales]]*financials[[#This Row],[Discounts]]</f>
        <v>229.5</v>
      </c>
      <c r="J4900" s="8">
        <f>VLOOKUP(financials[[#This Row],[productid]],Products!$B$2:$H$10,4)</f>
        <v>5.5</v>
      </c>
      <c r="K4900" s="8">
        <f>financials[[#This Row],[Net Sales]]-financials[[#This Row],[COGS]]</f>
        <v>224</v>
      </c>
      <c r="L4900" s="15">
        <v>43917</v>
      </c>
      <c r="M4900" t="s">
        <v>691</v>
      </c>
    </row>
    <row r="4901" spans="1:13" x14ac:dyDescent="0.25">
      <c r="A4901" t="s">
        <v>87</v>
      </c>
      <c r="B4901" s="6" t="s">
        <v>124</v>
      </c>
      <c r="C4901" s="13">
        <v>106</v>
      </c>
      <c r="D4901" s="14" t="s">
        <v>83</v>
      </c>
      <c r="E4901">
        <v>20</v>
      </c>
      <c r="F4901" s="8">
        <f>VLOOKUP(financials[[#This Row],[productid]],Products!$B$2:$H$10,3)</f>
        <v>25</v>
      </c>
      <c r="G4901" s="8">
        <f>financials[[#This Row],[Units Sold]]*financials[[#This Row],[Sale Price]]</f>
        <v>500</v>
      </c>
      <c r="H4901" s="8">
        <f>IF(financials[[#This Row],[Discount Band]]="low",0.1,IF(financials[[#This Row],[Discount Band]]="medium",0.15,0.3))</f>
        <v>0.3</v>
      </c>
      <c r="I4901" s="8">
        <f>financials[[#This Row],[Gross Sales]]-financials[[#This Row],[Gross Sales]]*financials[[#This Row],[Discounts]]</f>
        <v>350</v>
      </c>
      <c r="J4901" s="8">
        <f>VLOOKUP(financials[[#This Row],[productid]],Products!$B$2:$H$10,4)</f>
        <v>9.1</v>
      </c>
      <c r="K4901" s="8">
        <f>financials[[#This Row],[Net Sales]]-financials[[#This Row],[COGS]]</f>
        <v>340.9</v>
      </c>
      <c r="L4901" s="15">
        <v>44535</v>
      </c>
      <c r="M4901" t="s">
        <v>691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551A-A9B5-4127-811C-908733F01DC1}">
  <dimension ref="A1:H2199"/>
  <sheetViews>
    <sheetView topLeftCell="A2167" zoomScale="115" zoomScaleNormal="115" workbookViewId="0">
      <selection activeCell="G2195" sqref="G2195"/>
    </sheetView>
  </sheetViews>
  <sheetFormatPr defaultRowHeight="15" x14ac:dyDescent="0.25"/>
  <cols>
    <col min="2" max="2" width="11.85546875" bestFit="1" customWidth="1"/>
    <col min="3" max="3" width="9.7109375" bestFit="1" customWidth="1"/>
    <col min="6" max="6" width="15.140625" bestFit="1" customWidth="1"/>
  </cols>
  <sheetData>
    <row r="1" spans="1:8" x14ac:dyDescent="0.25">
      <c r="A1" s="18" t="s">
        <v>16</v>
      </c>
      <c r="B1" s="18" t="s">
        <v>744</v>
      </c>
      <c r="C1" s="18" t="s">
        <v>32</v>
      </c>
      <c r="D1" s="18" t="s">
        <v>21</v>
      </c>
      <c r="E1" s="18" t="s">
        <v>31</v>
      </c>
      <c r="F1" s="18" t="s">
        <v>684</v>
      </c>
      <c r="G1" s="22" t="s">
        <v>681</v>
      </c>
      <c r="H1" s="22" t="s">
        <v>758</v>
      </c>
    </row>
    <row r="2" spans="1:8" x14ac:dyDescent="0.25">
      <c r="A2">
        <v>1</v>
      </c>
      <c r="B2" s="19">
        <v>44047</v>
      </c>
      <c r="C2" s="1" t="s">
        <v>34</v>
      </c>
      <c r="D2" t="s">
        <v>690</v>
      </c>
      <c r="E2">
        <v>103</v>
      </c>
      <c r="F2">
        <v>11</v>
      </c>
      <c r="G2">
        <v>25</v>
      </c>
      <c r="H2">
        <v>17300</v>
      </c>
    </row>
    <row r="3" spans="1:8" x14ac:dyDescent="0.25">
      <c r="A3">
        <v>1</v>
      </c>
      <c r="B3" s="19">
        <v>45655</v>
      </c>
      <c r="C3" s="1" t="s">
        <v>35</v>
      </c>
      <c r="D3" t="s">
        <v>690</v>
      </c>
      <c r="E3">
        <v>106</v>
      </c>
      <c r="F3">
        <v>14</v>
      </c>
      <c r="G3">
        <v>42</v>
      </c>
      <c r="H3">
        <v>14143</v>
      </c>
    </row>
    <row r="4" spans="1:8" x14ac:dyDescent="0.25">
      <c r="A4">
        <v>1</v>
      </c>
      <c r="B4" s="19">
        <v>44015</v>
      </c>
      <c r="C4" s="1" t="s">
        <v>34</v>
      </c>
      <c r="D4" t="s">
        <v>691</v>
      </c>
      <c r="E4">
        <v>103</v>
      </c>
      <c r="F4">
        <v>11</v>
      </c>
      <c r="G4">
        <v>45</v>
      </c>
      <c r="H4">
        <v>31343</v>
      </c>
    </row>
    <row r="5" spans="1:8" x14ac:dyDescent="0.25">
      <c r="A5">
        <v>1</v>
      </c>
      <c r="B5" s="19">
        <v>45302</v>
      </c>
      <c r="C5" s="1" t="s">
        <v>35</v>
      </c>
      <c r="D5" t="s">
        <v>691</v>
      </c>
      <c r="E5">
        <v>105</v>
      </c>
      <c r="F5">
        <v>11</v>
      </c>
      <c r="G5">
        <v>45</v>
      </c>
      <c r="H5">
        <v>31626</v>
      </c>
    </row>
    <row r="6" spans="1:8" x14ac:dyDescent="0.25">
      <c r="A6">
        <v>1</v>
      </c>
      <c r="B6" s="19">
        <v>44472</v>
      </c>
      <c r="C6" s="1" t="s">
        <v>33</v>
      </c>
      <c r="D6" t="s">
        <v>691</v>
      </c>
      <c r="E6">
        <v>105</v>
      </c>
      <c r="F6">
        <v>15</v>
      </c>
      <c r="G6">
        <v>78</v>
      </c>
      <c r="H6">
        <v>42477</v>
      </c>
    </row>
    <row r="7" spans="1:8" x14ac:dyDescent="0.25">
      <c r="A7">
        <v>1</v>
      </c>
      <c r="B7" s="19">
        <v>44329</v>
      </c>
      <c r="C7" s="1" t="s">
        <v>36</v>
      </c>
      <c r="D7" t="s">
        <v>691</v>
      </c>
      <c r="E7">
        <v>103</v>
      </c>
      <c r="F7">
        <v>13</v>
      </c>
      <c r="G7">
        <v>43</v>
      </c>
      <c r="H7">
        <v>32407</v>
      </c>
    </row>
    <row r="8" spans="1:8" x14ac:dyDescent="0.25">
      <c r="A8">
        <v>1</v>
      </c>
      <c r="B8" s="19">
        <v>45559</v>
      </c>
      <c r="C8" s="1" t="s">
        <v>34</v>
      </c>
      <c r="D8" t="s">
        <v>691</v>
      </c>
      <c r="E8">
        <v>104</v>
      </c>
      <c r="F8">
        <v>12</v>
      </c>
      <c r="G8">
        <v>50</v>
      </c>
      <c r="H8">
        <v>45079</v>
      </c>
    </row>
    <row r="9" spans="1:8" x14ac:dyDescent="0.25">
      <c r="A9">
        <v>1</v>
      </c>
      <c r="B9" s="19">
        <v>44791</v>
      </c>
      <c r="C9" s="1" t="s">
        <v>35</v>
      </c>
      <c r="D9" t="s">
        <v>700</v>
      </c>
      <c r="E9">
        <v>104</v>
      </c>
      <c r="F9">
        <v>15</v>
      </c>
      <c r="G9">
        <v>86</v>
      </c>
      <c r="H9">
        <v>44515</v>
      </c>
    </row>
    <row r="10" spans="1:8" x14ac:dyDescent="0.25">
      <c r="A10">
        <v>1</v>
      </c>
      <c r="B10" s="19">
        <v>45525</v>
      </c>
      <c r="C10" s="1" t="s">
        <v>33</v>
      </c>
      <c r="D10" t="s">
        <v>700</v>
      </c>
      <c r="E10">
        <v>102</v>
      </c>
      <c r="F10">
        <v>14</v>
      </c>
      <c r="G10">
        <v>88</v>
      </c>
      <c r="H10">
        <v>48090</v>
      </c>
    </row>
    <row r="11" spans="1:8" x14ac:dyDescent="0.25">
      <c r="A11">
        <v>1</v>
      </c>
      <c r="B11" s="19">
        <v>45456</v>
      </c>
      <c r="C11" s="1" t="s">
        <v>34</v>
      </c>
      <c r="D11" t="s">
        <v>700</v>
      </c>
      <c r="E11">
        <v>109</v>
      </c>
      <c r="F11">
        <v>15</v>
      </c>
      <c r="G11">
        <v>92</v>
      </c>
      <c r="H11">
        <v>30206</v>
      </c>
    </row>
    <row r="12" spans="1:8" x14ac:dyDescent="0.25">
      <c r="A12">
        <v>1</v>
      </c>
      <c r="B12" s="19">
        <v>43922</v>
      </c>
      <c r="C12" s="1" t="s">
        <v>35</v>
      </c>
      <c r="D12" t="s">
        <v>696</v>
      </c>
      <c r="E12">
        <v>105</v>
      </c>
      <c r="F12">
        <v>15</v>
      </c>
      <c r="G12">
        <v>91</v>
      </c>
      <c r="H12">
        <v>33245</v>
      </c>
    </row>
    <row r="13" spans="1:8" x14ac:dyDescent="0.25">
      <c r="A13">
        <v>1</v>
      </c>
      <c r="B13" s="19">
        <v>45396</v>
      </c>
      <c r="C13" s="1" t="s">
        <v>36</v>
      </c>
      <c r="D13" t="s">
        <v>697</v>
      </c>
      <c r="E13">
        <v>104</v>
      </c>
      <c r="F13">
        <v>14</v>
      </c>
      <c r="G13">
        <v>85</v>
      </c>
      <c r="H13">
        <v>39026</v>
      </c>
    </row>
    <row r="14" spans="1:8" x14ac:dyDescent="0.25">
      <c r="A14">
        <v>1</v>
      </c>
      <c r="B14" s="19">
        <v>45193</v>
      </c>
      <c r="C14" s="1" t="s">
        <v>36</v>
      </c>
      <c r="D14" t="s">
        <v>697</v>
      </c>
      <c r="E14">
        <v>105</v>
      </c>
      <c r="F14">
        <v>12</v>
      </c>
      <c r="G14">
        <v>18</v>
      </c>
      <c r="H14">
        <v>48202</v>
      </c>
    </row>
    <row r="15" spans="1:8" x14ac:dyDescent="0.25">
      <c r="A15">
        <v>1</v>
      </c>
      <c r="B15" s="19">
        <v>45568</v>
      </c>
      <c r="C15" s="1" t="s">
        <v>36</v>
      </c>
      <c r="D15" t="s">
        <v>697</v>
      </c>
      <c r="E15">
        <v>104</v>
      </c>
      <c r="F15">
        <v>13</v>
      </c>
      <c r="G15">
        <v>87</v>
      </c>
      <c r="H15">
        <v>32271</v>
      </c>
    </row>
    <row r="16" spans="1:8" x14ac:dyDescent="0.25">
      <c r="A16">
        <v>1</v>
      </c>
      <c r="B16" s="19">
        <v>44305</v>
      </c>
      <c r="C16" s="1" t="s">
        <v>34</v>
      </c>
      <c r="D16" t="s">
        <v>698</v>
      </c>
      <c r="E16">
        <v>106</v>
      </c>
      <c r="F16">
        <v>13</v>
      </c>
      <c r="G16">
        <v>71</v>
      </c>
      <c r="H16">
        <v>22856</v>
      </c>
    </row>
    <row r="17" spans="1:8" x14ac:dyDescent="0.25">
      <c r="A17">
        <v>1</v>
      </c>
      <c r="B17" s="19">
        <v>44618</v>
      </c>
      <c r="C17" s="1" t="s">
        <v>36</v>
      </c>
      <c r="D17" t="s">
        <v>698</v>
      </c>
      <c r="E17">
        <v>101</v>
      </c>
      <c r="F17">
        <v>14</v>
      </c>
      <c r="G17">
        <v>18</v>
      </c>
      <c r="H17">
        <v>41325</v>
      </c>
    </row>
    <row r="18" spans="1:8" x14ac:dyDescent="0.25">
      <c r="A18">
        <v>1</v>
      </c>
      <c r="B18" s="19">
        <v>44570</v>
      </c>
      <c r="C18" s="1" t="s">
        <v>35</v>
      </c>
      <c r="D18" t="s">
        <v>698</v>
      </c>
      <c r="E18">
        <v>104</v>
      </c>
      <c r="F18">
        <v>14</v>
      </c>
      <c r="G18">
        <v>94</v>
      </c>
      <c r="H18">
        <v>35099</v>
      </c>
    </row>
    <row r="19" spans="1:8" x14ac:dyDescent="0.25">
      <c r="A19">
        <v>1</v>
      </c>
      <c r="B19" s="19">
        <v>44614</v>
      </c>
      <c r="C19" s="1" t="s">
        <v>36</v>
      </c>
      <c r="D19" t="s">
        <v>698</v>
      </c>
      <c r="E19">
        <v>104</v>
      </c>
      <c r="F19">
        <v>15</v>
      </c>
      <c r="G19">
        <v>74</v>
      </c>
      <c r="H19">
        <v>26623</v>
      </c>
    </row>
    <row r="20" spans="1:8" x14ac:dyDescent="0.25">
      <c r="A20">
        <v>1</v>
      </c>
      <c r="B20" s="19">
        <v>45239</v>
      </c>
      <c r="C20" s="1" t="s">
        <v>34</v>
      </c>
      <c r="D20" t="s">
        <v>699</v>
      </c>
      <c r="E20">
        <v>103</v>
      </c>
      <c r="F20">
        <v>14</v>
      </c>
      <c r="G20">
        <v>39</v>
      </c>
      <c r="H20">
        <v>39663</v>
      </c>
    </row>
    <row r="21" spans="1:8" x14ac:dyDescent="0.25">
      <c r="A21">
        <v>1</v>
      </c>
      <c r="B21" s="19">
        <v>44201</v>
      </c>
      <c r="C21" s="1" t="s">
        <v>33</v>
      </c>
      <c r="D21" t="s">
        <v>699</v>
      </c>
      <c r="E21">
        <v>102</v>
      </c>
      <c r="F21">
        <v>15</v>
      </c>
      <c r="G21">
        <v>14</v>
      </c>
      <c r="H21">
        <v>34377</v>
      </c>
    </row>
    <row r="22" spans="1:8" x14ac:dyDescent="0.25">
      <c r="A22">
        <v>1</v>
      </c>
      <c r="B22" s="19">
        <v>44214</v>
      </c>
      <c r="C22" s="1" t="s">
        <v>33</v>
      </c>
      <c r="D22" t="s">
        <v>699</v>
      </c>
      <c r="E22">
        <v>104</v>
      </c>
      <c r="F22">
        <v>15</v>
      </c>
      <c r="G22">
        <v>89</v>
      </c>
      <c r="H22">
        <v>35481</v>
      </c>
    </row>
    <row r="23" spans="1:8" x14ac:dyDescent="0.25">
      <c r="A23">
        <v>1</v>
      </c>
      <c r="B23" s="19">
        <v>44611</v>
      </c>
      <c r="C23" s="1" t="s">
        <v>34</v>
      </c>
      <c r="D23" t="s">
        <v>695</v>
      </c>
      <c r="E23">
        <v>105</v>
      </c>
      <c r="F23">
        <v>11</v>
      </c>
      <c r="G23">
        <v>72</v>
      </c>
      <c r="H23">
        <v>29567</v>
      </c>
    </row>
    <row r="24" spans="1:8" x14ac:dyDescent="0.25">
      <c r="A24">
        <v>1</v>
      </c>
      <c r="B24" s="19">
        <v>44196</v>
      </c>
      <c r="C24" s="1" t="s">
        <v>34</v>
      </c>
      <c r="D24" t="s">
        <v>695</v>
      </c>
      <c r="E24">
        <v>105</v>
      </c>
      <c r="F24">
        <v>11</v>
      </c>
      <c r="G24">
        <v>56</v>
      </c>
      <c r="H24">
        <v>18311</v>
      </c>
    </row>
    <row r="25" spans="1:8" x14ac:dyDescent="0.25">
      <c r="A25">
        <v>1</v>
      </c>
      <c r="B25" s="19">
        <v>45329</v>
      </c>
      <c r="C25" s="1" t="s">
        <v>36</v>
      </c>
      <c r="D25" t="s">
        <v>695</v>
      </c>
      <c r="E25">
        <v>105</v>
      </c>
      <c r="F25">
        <v>12</v>
      </c>
      <c r="G25">
        <v>91</v>
      </c>
      <c r="H25">
        <v>16014</v>
      </c>
    </row>
    <row r="26" spans="1:8" x14ac:dyDescent="0.25">
      <c r="A26">
        <v>1</v>
      </c>
      <c r="B26" s="19">
        <v>44780</v>
      </c>
      <c r="C26" s="1" t="s">
        <v>35</v>
      </c>
      <c r="D26" t="s">
        <v>695</v>
      </c>
      <c r="E26">
        <v>103</v>
      </c>
      <c r="F26">
        <v>12</v>
      </c>
      <c r="G26">
        <v>15</v>
      </c>
      <c r="H26">
        <v>45855</v>
      </c>
    </row>
    <row r="27" spans="1:8" x14ac:dyDescent="0.25">
      <c r="A27">
        <v>1</v>
      </c>
      <c r="B27" s="19">
        <v>45398</v>
      </c>
      <c r="C27" s="1" t="s">
        <v>34</v>
      </c>
      <c r="D27" t="s">
        <v>695</v>
      </c>
      <c r="E27">
        <v>104</v>
      </c>
      <c r="F27">
        <v>11</v>
      </c>
      <c r="G27">
        <v>16</v>
      </c>
      <c r="H27">
        <v>27469</v>
      </c>
    </row>
    <row r="28" spans="1:8" x14ac:dyDescent="0.25">
      <c r="A28">
        <v>1</v>
      </c>
      <c r="B28" s="19">
        <v>45600</v>
      </c>
      <c r="C28" s="1" t="s">
        <v>34</v>
      </c>
      <c r="D28" t="s">
        <v>695</v>
      </c>
      <c r="E28">
        <v>104</v>
      </c>
      <c r="F28">
        <v>11</v>
      </c>
      <c r="G28">
        <v>66</v>
      </c>
      <c r="H28">
        <v>49149</v>
      </c>
    </row>
    <row r="29" spans="1:8" x14ac:dyDescent="0.25">
      <c r="A29">
        <v>1</v>
      </c>
      <c r="B29" s="19">
        <v>45478</v>
      </c>
      <c r="C29" s="1" t="s">
        <v>33</v>
      </c>
      <c r="D29" t="s">
        <v>692</v>
      </c>
      <c r="E29">
        <v>104</v>
      </c>
      <c r="F29">
        <v>12</v>
      </c>
      <c r="G29">
        <v>65</v>
      </c>
      <c r="H29">
        <v>29841</v>
      </c>
    </row>
    <row r="30" spans="1:8" x14ac:dyDescent="0.25">
      <c r="A30">
        <v>1</v>
      </c>
      <c r="B30" s="19">
        <v>43875</v>
      </c>
      <c r="C30" s="1" t="s">
        <v>35</v>
      </c>
      <c r="D30" t="s">
        <v>692</v>
      </c>
      <c r="E30">
        <v>101</v>
      </c>
      <c r="F30">
        <v>11</v>
      </c>
      <c r="G30">
        <v>7</v>
      </c>
      <c r="H30">
        <v>15924</v>
      </c>
    </row>
    <row r="31" spans="1:8" x14ac:dyDescent="0.25">
      <c r="A31">
        <v>1</v>
      </c>
      <c r="B31" s="19">
        <v>44192</v>
      </c>
      <c r="C31" s="1" t="s">
        <v>35</v>
      </c>
      <c r="D31" t="s">
        <v>693</v>
      </c>
      <c r="E31">
        <v>107</v>
      </c>
      <c r="F31">
        <v>11</v>
      </c>
      <c r="G31">
        <v>44</v>
      </c>
      <c r="H31">
        <v>39763</v>
      </c>
    </row>
    <row r="32" spans="1:8" x14ac:dyDescent="0.25">
      <c r="A32">
        <v>1</v>
      </c>
      <c r="B32" s="19">
        <v>45631</v>
      </c>
      <c r="C32" s="1" t="s">
        <v>35</v>
      </c>
      <c r="D32" t="s">
        <v>693</v>
      </c>
      <c r="E32">
        <v>107</v>
      </c>
      <c r="F32">
        <v>13</v>
      </c>
      <c r="G32">
        <v>73</v>
      </c>
      <c r="H32">
        <v>34372</v>
      </c>
    </row>
    <row r="33" spans="1:8" x14ac:dyDescent="0.25">
      <c r="A33">
        <v>1</v>
      </c>
      <c r="B33" s="19">
        <v>45275</v>
      </c>
      <c r="C33" s="1" t="s">
        <v>34</v>
      </c>
      <c r="D33" t="s">
        <v>693</v>
      </c>
      <c r="E33">
        <v>104</v>
      </c>
      <c r="F33">
        <v>15</v>
      </c>
      <c r="G33">
        <v>25</v>
      </c>
      <c r="H33">
        <v>14767</v>
      </c>
    </row>
    <row r="34" spans="1:8" x14ac:dyDescent="0.25">
      <c r="A34">
        <v>1</v>
      </c>
      <c r="B34" s="19">
        <v>44494</v>
      </c>
      <c r="C34" s="1" t="s">
        <v>33</v>
      </c>
      <c r="D34" t="s">
        <v>694</v>
      </c>
      <c r="E34">
        <v>104</v>
      </c>
      <c r="F34">
        <v>14</v>
      </c>
      <c r="G34">
        <v>84</v>
      </c>
      <c r="H34">
        <v>47490</v>
      </c>
    </row>
    <row r="35" spans="1:8" x14ac:dyDescent="0.25">
      <c r="A35">
        <v>1</v>
      </c>
      <c r="B35" s="19">
        <v>45135</v>
      </c>
      <c r="C35" s="1" t="s">
        <v>35</v>
      </c>
      <c r="D35" t="s">
        <v>694</v>
      </c>
      <c r="E35">
        <v>105</v>
      </c>
      <c r="F35">
        <v>11</v>
      </c>
      <c r="G35">
        <v>9</v>
      </c>
      <c r="H35">
        <v>15571</v>
      </c>
    </row>
    <row r="36" spans="1:8" x14ac:dyDescent="0.25">
      <c r="A36">
        <v>2</v>
      </c>
      <c r="B36" s="19">
        <v>45341</v>
      </c>
      <c r="C36" s="1" t="s">
        <v>36</v>
      </c>
      <c r="D36" t="s">
        <v>690</v>
      </c>
      <c r="E36">
        <v>102</v>
      </c>
      <c r="F36">
        <v>11</v>
      </c>
      <c r="G36">
        <v>63</v>
      </c>
      <c r="H36">
        <v>37230</v>
      </c>
    </row>
    <row r="37" spans="1:8" x14ac:dyDescent="0.25">
      <c r="A37">
        <v>2</v>
      </c>
      <c r="B37" s="19">
        <v>45480</v>
      </c>
      <c r="C37" s="1" t="s">
        <v>33</v>
      </c>
      <c r="D37" t="s">
        <v>691</v>
      </c>
      <c r="E37">
        <v>102</v>
      </c>
      <c r="F37">
        <v>14</v>
      </c>
      <c r="G37">
        <v>22</v>
      </c>
      <c r="H37">
        <v>31281</v>
      </c>
    </row>
    <row r="38" spans="1:8" x14ac:dyDescent="0.25">
      <c r="A38">
        <v>2</v>
      </c>
      <c r="B38" s="19">
        <v>45419</v>
      </c>
      <c r="C38" s="1" t="s">
        <v>33</v>
      </c>
      <c r="D38" t="s">
        <v>691</v>
      </c>
      <c r="E38">
        <v>102</v>
      </c>
      <c r="F38">
        <v>13</v>
      </c>
      <c r="G38">
        <v>13</v>
      </c>
      <c r="H38">
        <v>12963</v>
      </c>
    </row>
    <row r="39" spans="1:8" x14ac:dyDescent="0.25">
      <c r="A39">
        <v>2</v>
      </c>
      <c r="B39" s="19">
        <v>43958</v>
      </c>
      <c r="C39" s="1" t="s">
        <v>33</v>
      </c>
      <c r="D39" t="s">
        <v>700</v>
      </c>
      <c r="E39">
        <v>104</v>
      </c>
      <c r="F39">
        <v>13</v>
      </c>
      <c r="G39">
        <v>44</v>
      </c>
      <c r="H39">
        <v>15586</v>
      </c>
    </row>
    <row r="40" spans="1:8" x14ac:dyDescent="0.25">
      <c r="A40">
        <v>2</v>
      </c>
      <c r="B40" s="19">
        <v>45368</v>
      </c>
      <c r="C40" s="1" t="s">
        <v>34</v>
      </c>
      <c r="D40" t="s">
        <v>696</v>
      </c>
      <c r="E40">
        <v>103</v>
      </c>
      <c r="F40">
        <v>13</v>
      </c>
      <c r="G40">
        <v>73</v>
      </c>
      <c r="H40">
        <v>34336</v>
      </c>
    </row>
    <row r="41" spans="1:8" x14ac:dyDescent="0.25">
      <c r="A41">
        <v>2</v>
      </c>
      <c r="B41" s="19">
        <v>45129</v>
      </c>
      <c r="C41" s="1" t="s">
        <v>33</v>
      </c>
      <c r="D41" t="s">
        <v>696</v>
      </c>
      <c r="E41">
        <v>103</v>
      </c>
      <c r="F41">
        <v>11</v>
      </c>
      <c r="G41">
        <v>68</v>
      </c>
      <c r="H41">
        <v>14032</v>
      </c>
    </row>
    <row r="42" spans="1:8" x14ac:dyDescent="0.25">
      <c r="A42">
        <v>2</v>
      </c>
      <c r="B42" s="19">
        <v>45277</v>
      </c>
      <c r="C42" s="1" t="s">
        <v>33</v>
      </c>
      <c r="D42" t="s">
        <v>698</v>
      </c>
      <c r="E42">
        <v>103</v>
      </c>
      <c r="F42">
        <v>13</v>
      </c>
      <c r="G42">
        <v>100</v>
      </c>
      <c r="H42">
        <v>44772</v>
      </c>
    </row>
    <row r="43" spans="1:8" x14ac:dyDescent="0.25">
      <c r="A43">
        <v>2</v>
      </c>
      <c r="B43" s="19">
        <v>44115</v>
      </c>
      <c r="C43" s="1" t="s">
        <v>36</v>
      </c>
      <c r="D43" t="s">
        <v>698</v>
      </c>
      <c r="E43">
        <v>107</v>
      </c>
      <c r="F43">
        <v>11</v>
      </c>
      <c r="G43">
        <v>32</v>
      </c>
      <c r="H43">
        <v>36217</v>
      </c>
    </row>
    <row r="44" spans="1:8" x14ac:dyDescent="0.25">
      <c r="A44">
        <v>2</v>
      </c>
      <c r="B44" s="19">
        <v>44535</v>
      </c>
      <c r="C44" s="1" t="s">
        <v>33</v>
      </c>
      <c r="D44" t="s">
        <v>698</v>
      </c>
      <c r="E44">
        <v>103</v>
      </c>
      <c r="F44">
        <v>12</v>
      </c>
      <c r="G44">
        <v>97</v>
      </c>
      <c r="H44">
        <v>13316</v>
      </c>
    </row>
    <row r="45" spans="1:8" x14ac:dyDescent="0.25">
      <c r="A45">
        <v>2</v>
      </c>
      <c r="B45" s="19">
        <v>44822</v>
      </c>
      <c r="C45" s="1" t="s">
        <v>33</v>
      </c>
      <c r="D45" t="s">
        <v>698</v>
      </c>
      <c r="E45">
        <v>107</v>
      </c>
      <c r="F45">
        <v>12</v>
      </c>
      <c r="G45">
        <v>22</v>
      </c>
      <c r="H45">
        <v>34153</v>
      </c>
    </row>
    <row r="46" spans="1:8" x14ac:dyDescent="0.25">
      <c r="A46">
        <v>2</v>
      </c>
      <c r="B46" s="19">
        <v>44750</v>
      </c>
      <c r="C46" s="1" t="s">
        <v>34</v>
      </c>
      <c r="D46" t="s">
        <v>698</v>
      </c>
      <c r="E46">
        <v>103</v>
      </c>
      <c r="F46">
        <v>14</v>
      </c>
      <c r="G46">
        <v>57</v>
      </c>
      <c r="H46">
        <v>11429</v>
      </c>
    </row>
    <row r="47" spans="1:8" x14ac:dyDescent="0.25">
      <c r="A47">
        <v>2</v>
      </c>
      <c r="B47" s="19">
        <v>44620</v>
      </c>
      <c r="C47" s="1" t="s">
        <v>33</v>
      </c>
      <c r="D47" t="s">
        <v>698</v>
      </c>
      <c r="E47">
        <v>102</v>
      </c>
      <c r="F47">
        <v>12</v>
      </c>
      <c r="G47">
        <v>52</v>
      </c>
      <c r="H47">
        <v>17763</v>
      </c>
    </row>
    <row r="48" spans="1:8" x14ac:dyDescent="0.25">
      <c r="A48">
        <v>2</v>
      </c>
      <c r="B48" s="19">
        <v>43837</v>
      </c>
      <c r="C48" s="1" t="s">
        <v>35</v>
      </c>
      <c r="D48" t="s">
        <v>699</v>
      </c>
      <c r="E48">
        <v>103</v>
      </c>
      <c r="F48">
        <v>15</v>
      </c>
      <c r="G48">
        <v>77</v>
      </c>
      <c r="H48">
        <v>43130</v>
      </c>
    </row>
    <row r="49" spans="1:8" x14ac:dyDescent="0.25">
      <c r="A49">
        <v>2</v>
      </c>
      <c r="B49" s="19">
        <v>45596</v>
      </c>
      <c r="C49" s="1" t="s">
        <v>33</v>
      </c>
      <c r="D49" t="s">
        <v>699</v>
      </c>
      <c r="E49">
        <v>104</v>
      </c>
      <c r="F49">
        <v>13</v>
      </c>
      <c r="G49">
        <v>82</v>
      </c>
      <c r="H49">
        <v>33205</v>
      </c>
    </row>
    <row r="50" spans="1:8" x14ac:dyDescent="0.25">
      <c r="A50">
        <v>2</v>
      </c>
      <c r="B50" s="19">
        <v>44572</v>
      </c>
      <c r="C50" s="1" t="s">
        <v>34</v>
      </c>
      <c r="D50" t="s">
        <v>699</v>
      </c>
      <c r="E50">
        <v>104</v>
      </c>
      <c r="F50">
        <v>14</v>
      </c>
      <c r="G50">
        <v>34</v>
      </c>
      <c r="H50">
        <v>25544</v>
      </c>
    </row>
    <row r="51" spans="1:8" x14ac:dyDescent="0.25">
      <c r="A51">
        <v>2</v>
      </c>
      <c r="B51" s="19">
        <v>45125</v>
      </c>
      <c r="C51" s="1" t="s">
        <v>33</v>
      </c>
      <c r="D51" t="s">
        <v>699</v>
      </c>
      <c r="E51">
        <v>102</v>
      </c>
      <c r="F51">
        <v>14</v>
      </c>
      <c r="G51">
        <v>26</v>
      </c>
      <c r="H51">
        <v>28357</v>
      </c>
    </row>
    <row r="52" spans="1:8" x14ac:dyDescent="0.25">
      <c r="A52">
        <v>2</v>
      </c>
      <c r="B52" s="19">
        <v>44638</v>
      </c>
      <c r="C52" s="1" t="s">
        <v>35</v>
      </c>
      <c r="D52" t="s">
        <v>699</v>
      </c>
      <c r="E52">
        <v>104</v>
      </c>
      <c r="F52">
        <v>11</v>
      </c>
      <c r="G52">
        <v>79</v>
      </c>
      <c r="H52">
        <v>25161</v>
      </c>
    </row>
    <row r="53" spans="1:8" x14ac:dyDescent="0.25">
      <c r="A53">
        <v>2</v>
      </c>
      <c r="B53" s="19">
        <v>44388</v>
      </c>
      <c r="C53" s="1" t="s">
        <v>36</v>
      </c>
      <c r="D53" t="s">
        <v>695</v>
      </c>
      <c r="E53">
        <v>102</v>
      </c>
      <c r="F53">
        <v>11</v>
      </c>
      <c r="G53">
        <v>75</v>
      </c>
      <c r="H53">
        <v>19870</v>
      </c>
    </row>
    <row r="54" spans="1:8" x14ac:dyDescent="0.25">
      <c r="A54">
        <v>2</v>
      </c>
      <c r="B54" s="19">
        <v>44298</v>
      </c>
      <c r="C54" s="1" t="s">
        <v>34</v>
      </c>
      <c r="D54" t="s">
        <v>695</v>
      </c>
      <c r="E54">
        <v>105</v>
      </c>
      <c r="F54">
        <v>13</v>
      </c>
      <c r="G54">
        <v>11</v>
      </c>
      <c r="H54">
        <v>16322</v>
      </c>
    </row>
    <row r="55" spans="1:8" x14ac:dyDescent="0.25">
      <c r="A55">
        <v>2</v>
      </c>
      <c r="B55" s="19">
        <v>43906</v>
      </c>
      <c r="C55" s="1" t="s">
        <v>34</v>
      </c>
      <c r="D55" t="s">
        <v>695</v>
      </c>
      <c r="E55">
        <v>104</v>
      </c>
      <c r="F55">
        <v>15</v>
      </c>
      <c r="G55">
        <v>55</v>
      </c>
      <c r="H55">
        <v>42314</v>
      </c>
    </row>
    <row r="56" spans="1:8" x14ac:dyDescent="0.25">
      <c r="A56">
        <v>2</v>
      </c>
      <c r="B56" s="19">
        <v>45446</v>
      </c>
      <c r="C56" s="1" t="s">
        <v>33</v>
      </c>
      <c r="D56" t="s">
        <v>695</v>
      </c>
      <c r="E56">
        <v>102</v>
      </c>
      <c r="F56">
        <v>14</v>
      </c>
      <c r="G56">
        <v>22</v>
      </c>
      <c r="H56">
        <v>37004</v>
      </c>
    </row>
    <row r="57" spans="1:8" x14ac:dyDescent="0.25">
      <c r="A57">
        <v>2</v>
      </c>
      <c r="B57" s="19">
        <v>44182</v>
      </c>
      <c r="C57" s="1" t="s">
        <v>34</v>
      </c>
      <c r="D57" t="s">
        <v>695</v>
      </c>
      <c r="E57">
        <v>104</v>
      </c>
      <c r="F57">
        <v>15</v>
      </c>
      <c r="G57">
        <v>95</v>
      </c>
      <c r="H57">
        <v>43361</v>
      </c>
    </row>
    <row r="58" spans="1:8" x14ac:dyDescent="0.25">
      <c r="A58">
        <v>2</v>
      </c>
      <c r="B58" s="19">
        <v>45015</v>
      </c>
      <c r="C58" s="1" t="s">
        <v>35</v>
      </c>
      <c r="D58" t="s">
        <v>692</v>
      </c>
      <c r="E58">
        <v>105</v>
      </c>
      <c r="F58">
        <v>15</v>
      </c>
      <c r="G58">
        <v>5</v>
      </c>
      <c r="H58">
        <v>13429</v>
      </c>
    </row>
    <row r="59" spans="1:8" x14ac:dyDescent="0.25">
      <c r="A59">
        <v>2</v>
      </c>
      <c r="B59" s="19">
        <v>44512</v>
      </c>
      <c r="C59" s="1" t="s">
        <v>36</v>
      </c>
      <c r="D59" t="s">
        <v>692</v>
      </c>
      <c r="E59">
        <v>109</v>
      </c>
      <c r="F59">
        <v>12</v>
      </c>
      <c r="G59">
        <v>90</v>
      </c>
      <c r="H59">
        <v>21433</v>
      </c>
    </row>
    <row r="60" spans="1:8" x14ac:dyDescent="0.25">
      <c r="A60">
        <v>2</v>
      </c>
      <c r="B60" s="19">
        <v>45603</v>
      </c>
      <c r="C60" s="1" t="s">
        <v>33</v>
      </c>
      <c r="D60" t="s">
        <v>692</v>
      </c>
      <c r="E60">
        <v>102</v>
      </c>
      <c r="F60">
        <v>14</v>
      </c>
      <c r="G60">
        <v>32</v>
      </c>
      <c r="H60">
        <v>27951</v>
      </c>
    </row>
    <row r="61" spans="1:8" x14ac:dyDescent="0.25">
      <c r="A61">
        <v>2</v>
      </c>
      <c r="B61" s="19">
        <v>45108</v>
      </c>
      <c r="C61" s="1" t="s">
        <v>35</v>
      </c>
      <c r="D61" t="s">
        <v>693</v>
      </c>
      <c r="E61">
        <v>105</v>
      </c>
      <c r="F61">
        <v>13</v>
      </c>
      <c r="G61">
        <v>63</v>
      </c>
      <c r="H61">
        <v>39909</v>
      </c>
    </row>
    <row r="62" spans="1:8" x14ac:dyDescent="0.25">
      <c r="A62">
        <v>2</v>
      </c>
      <c r="B62" s="19">
        <v>45089</v>
      </c>
      <c r="C62" s="1" t="s">
        <v>36</v>
      </c>
      <c r="D62" t="s">
        <v>693</v>
      </c>
      <c r="E62">
        <v>104</v>
      </c>
      <c r="F62">
        <v>11</v>
      </c>
      <c r="G62">
        <v>56</v>
      </c>
      <c r="H62">
        <v>48635</v>
      </c>
    </row>
    <row r="63" spans="1:8" x14ac:dyDescent="0.25">
      <c r="A63">
        <v>2</v>
      </c>
      <c r="B63" s="19">
        <v>44436</v>
      </c>
      <c r="C63" s="1" t="s">
        <v>35</v>
      </c>
      <c r="D63" t="s">
        <v>694</v>
      </c>
      <c r="E63">
        <v>104</v>
      </c>
      <c r="F63">
        <v>15</v>
      </c>
      <c r="G63">
        <v>29</v>
      </c>
      <c r="H63">
        <v>11937</v>
      </c>
    </row>
    <row r="64" spans="1:8" x14ac:dyDescent="0.25">
      <c r="A64">
        <v>3</v>
      </c>
      <c r="B64" s="19">
        <v>44669</v>
      </c>
      <c r="C64" s="1" t="s">
        <v>34</v>
      </c>
      <c r="D64" t="s">
        <v>690</v>
      </c>
      <c r="E64">
        <v>108</v>
      </c>
      <c r="F64">
        <v>12</v>
      </c>
      <c r="G64">
        <v>40</v>
      </c>
      <c r="H64">
        <v>45200</v>
      </c>
    </row>
    <row r="65" spans="1:8" x14ac:dyDescent="0.25">
      <c r="A65">
        <v>3</v>
      </c>
      <c r="B65" s="19">
        <v>45636</v>
      </c>
      <c r="C65" s="1" t="s">
        <v>36</v>
      </c>
      <c r="D65" t="s">
        <v>690</v>
      </c>
      <c r="E65">
        <v>104</v>
      </c>
      <c r="F65">
        <v>11</v>
      </c>
      <c r="G65">
        <v>34</v>
      </c>
      <c r="H65">
        <v>28200</v>
      </c>
    </row>
    <row r="66" spans="1:8" x14ac:dyDescent="0.25">
      <c r="A66">
        <v>3</v>
      </c>
      <c r="B66" s="19">
        <v>45487</v>
      </c>
      <c r="C66" s="1" t="s">
        <v>35</v>
      </c>
      <c r="D66" t="s">
        <v>691</v>
      </c>
      <c r="E66">
        <v>109</v>
      </c>
      <c r="F66">
        <v>11</v>
      </c>
      <c r="G66">
        <v>13</v>
      </c>
      <c r="H66">
        <v>36868</v>
      </c>
    </row>
    <row r="67" spans="1:8" x14ac:dyDescent="0.25">
      <c r="A67">
        <v>3</v>
      </c>
      <c r="B67" s="19">
        <v>44332</v>
      </c>
      <c r="C67" s="1" t="s">
        <v>35</v>
      </c>
      <c r="D67" t="s">
        <v>691</v>
      </c>
      <c r="E67">
        <v>104</v>
      </c>
      <c r="F67">
        <v>14</v>
      </c>
      <c r="G67">
        <v>46</v>
      </c>
      <c r="H67">
        <v>37652</v>
      </c>
    </row>
    <row r="68" spans="1:8" x14ac:dyDescent="0.25">
      <c r="A68">
        <v>3</v>
      </c>
      <c r="B68" s="19">
        <v>45175</v>
      </c>
      <c r="C68" s="1" t="s">
        <v>34</v>
      </c>
      <c r="D68" t="s">
        <v>700</v>
      </c>
      <c r="E68">
        <v>102</v>
      </c>
      <c r="F68">
        <v>11</v>
      </c>
      <c r="G68">
        <v>78</v>
      </c>
      <c r="H68">
        <v>16683</v>
      </c>
    </row>
    <row r="69" spans="1:8" x14ac:dyDescent="0.25">
      <c r="A69">
        <v>3</v>
      </c>
      <c r="B69" s="19">
        <v>45489</v>
      </c>
      <c r="C69" s="1" t="s">
        <v>36</v>
      </c>
      <c r="D69" t="s">
        <v>700</v>
      </c>
      <c r="E69">
        <v>104</v>
      </c>
      <c r="F69">
        <v>11</v>
      </c>
      <c r="G69">
        <v>92</v>
      </c>
      <c r="H69">
        <v>28371</v>
      </c>
    </row>
    <row r="70" spans="1:8" x14ac:dyDescent="0.25">
      <c r="A70">
        <v>3</v>
      </c>
      <c r="B70" s="19">
        <v>45027</v>
      </c>
      <c r="C70" s="1" t="s">
        <v>34</v>
      </c>
      <c r="D70" t="s">
        <v>700</v>
      </c>
      <c r="E70">
        <v>108</v>
      </c>
      <c r="F70">
        <v>12</v>
      </c>
      <c r="G70">
        <v>74</v>
      </c>
      <c r="H70">
        <v>48184</v>
      </c>
    </row>
    <row r="71" spans="1:8" x14ac:dyDescent="0.25">
      <c r="A71">
        <v>3</v>
      </c>
      <c r="B71" s="19">
        <v>44116</v>
      </c>
      <c r="C71" s="1" t="s">
        <v>35</v>
      </c>
      <c r="D71" t="s">
        <v>700</v>
      </c>
      <c r="E71">
        <v>103</v>
      </c>
      <c r="F71">
        <v>14</v>
      </c>
      <c r="G71">
        <v>15</v>
      </c>
      <c r="H71">
        <v>26719</v>
      </c>
    </row>
    <row r="72" spans="1:8" x14ac:dyDescent="0.25">
      <c r="A72">
        <v>3</v>
      </c>
      <c r="B72" s="19">
        <v>44700</v>
      </c>
      <c r="C72" s="1" t="s">
        <v>36</v>
      </c>
      <c r="D72" t="s">
        <v>700</v>
      </c>
      <c r="E72">
        <v>104</v>
      </c>
      <c r="F72">
        <v>14</v>
      </c>
      <c r="G72">
        <v>10</v>
      </c>
      <c r="H72">
        <v>38300</v>
      </c>
    </row>
    <row r="73" spans="1:8" x14ac:dyDescent="0.25">
      <c r="A73">
        <v>3</v>
      </c>
      <c r="B73" s="19">
        <v>44123</v>
      </c>
      <c r="C73" s="1" t="s">
        <v>34</v>
      </c>
      <c r="D73" t="s">
        <v>700</v>
      </c>
      <c r="E73">
        <v>104</v>
      </c>
      <c r="F73">
        <v>13</v>
      </c>
      <c r="G73">
        <v>46</v>
      </c>
      <c r="H73">
        <v>16384</v>
      </c>
    </row>
    <row r="74" spans="1:8" x14ac:dyDescent="0.25">
      <c r="A74">
        <v>3</v>
      </c>
      <c r="B74" s="19">
        <v>44455</v>
      </c>
      <c r="C74" s="1" t="s">
        <v>35</v>
      </c>
      <c r="D74" t="s">
        <v>696</v>
      </c>
      <c r="E74">
        <v>106</v>
      </c>
      <c r="F74">
        <v>15</v>
      </c>
      <c r="G74">
        <v>53</v>
      </c>
      <c r="H74">
        <v>47503</v>
      </c>
    </row>
    <row r="75" spans="1:8" x14ac:dyDescent="0.25">
      <c r="A75">
        <v>3</v>
      </c>
      <c r="B75" s="19">
        <v>44000</v>
      </c>
      <c r="C75" s="1" t="s">
        <v>36</v>
      </c>
      <c r="D75" t="s">
        <v>696</v>
      </c>
      <c r="E75">
        <v>101</v>
      </c>
      <c r="F75">
        <v>13</v>
      </c>
      <c r="G75">
        <v>91</v>
      </c>
      <c r="H75">
        <v>28522</v>
      </c>
    </row>
    <row r="76" spans="1:8" x14ac:dyDescent="0.25">
      <c r="A76">
        <v>3</v>
      </c>
      <c r="B76" s="19">
        <v>44252</v>
      </c>
      <c r="C76" s="1" t="s">
        <v>33</v>
      </c>
      <c r="D76" t="s">
        <v>696</v>
      </c>
      <c r="E76">
        <v>103</v>
      </c>
      <c r="F76">
        <v>12</v>
      </c>
      <c r="G76">
        <v>99</v>
      </c>
      <c r="H76">
        <v>49418</v>
      </c>
    </row>
    <row r="77" spans="1:8" x14ac:dyDescent="0.25">
      <c r="A77">
        <v>3</v>
      </c>
      <c r="B77" s="19">
        <v>44126</v>
      </c>
      <c r="C77" s="1" t="s">
        <v>34</v>
      </c>
      <c r="D77" t="s">
        <v>696</v>
      </c>
      <c r="E77">
        <v>104</v>
      </c>
      <c r="F77">
        <v>13</v>
      </c>
      <c r="G77">
        <v>19</v>
      </c>
      <c r="H77">
        <v>18510</v>
      </c>
    </row>
    <row r="78" spans="1:8" x14ac:dyDescent="0.25">
      <c r="A78">
        <v>3</v>
      </c>
      <c r="B78" s="19">
        <v>45254</v>
      </c>
      <c r="C78" s="1" t="s">
        <v>36</v>
      </c>
      <c r="D78" t="s">
        <v>697</v>
      </c>
      <c r="E78">
        <v>108</v>
      </c>
      <c r="F78">
        <v>12</v>
      </c>
      <c r="G78">
        <v>20</v>
      </c>
      <c r="H78">
        <v>35590</v>
      </c>
    </row>
    <row r="79" spans="1:8" x14ac:dyDescent="0.25">
      <c r="A79">
        <v>3</v>
      </c>
      <c r="B79" s="19">
        <v>44823</v>
      </c>
      <c r="C79" s="1" t="s">
        <v>36</v>
      </c>
      <c r="D79" t="s">
        <v>697</v>
      </c>
      <c r="E79">
        <v>109</v>
      </c>
      <c r="F79">
        <v>12</v>
      </c>
      <c r="G79">
        <v>16</v>
      </c>
      <c r="H79">
        <v>13866</v>
      </c>
    </row>
    <row r="80" spans="1:8" x14ac:dyDescent="0.25">
      <c r="A80">
        <v>3</v>
      </c>
      <c r="B80" s="19">
        <v>43888</v>
      </c>
      <c r="C80" s="1" t="s">
        <v>36</v>
      </c>
      <c r="D80" t="s">
        <v>698</v>
      </c>
      <c r="E80">
        <v>107</v>
      </c>
      <c r="F80">
        <v>15</v>
      </c>
      <c r="G80">
        <v>33</v>
      </c>
      <c r="H80">
        <v>29246</v>
      </c>
    </row>
    <row r="81" spans="1:8" x14ac:dyDescent="0.25">
      <c r="A81">
        <v>3</v>
      </c>
      <c r="B81" s="19">
        <v>45597</v>
      </c>
      <c r="C81" s="1" t="s">
        <v>36</v>
      </c>
      <c r="D81" t="s">
        <v>698</v>
      </c>
      <c r="E81">
        <v>104</v>
      </c>
      <c r="F81">
        <v>13</v>
      </c>
      <c r="G81">
        <v>44</v>
      </c>
      <c r="H81">
        <v>29074</v>
      </c>
    </row>
    <row r="82" spans="1:8" x14ac:dyDescent="0.25">
      <c r="A82">
        <v>3</v>
      </c>
      <c r="B82" s="19">
        <v>44041</v>
      </c>
      <c r="C82" s="1" t="s">
        <v>35</v>
      </c>
      <c r="D82" t="s">
        <v>699</v>
      </c>
      <c r="E82">
        <v>103</v>
      </c>
      <c r="F82">
        <v>13</v>
      </c>
      <c r="G82">
        <v>52</v>
      </c>
      <c r="H82">
        <v>36143</v>
      </c>
    </row>
    <row r="83" spans="1:8" x14ac:dyDescent="0.25">
      <c r="A83">
        <v>3</v>
      </c>
      <c r="B83" s="19">
        <v>44926</v>
      </c>
      <c r="C83" s="1" t="s">
        <v>33</v>
      </c>
      <c r="D83" t="s">
        <v>699</v>
      </c>
      <c r="E83">
        <v>105</v>
      </c>
      <c r="F83">
        <v>11</v>
      </c>
      <c r="G83">
        <v>48</v>
      </c>
      <c r="H83">
        <v>26489</v>
      </c>
    </row>
    <row r="84" spans="1:8" x14ac:dyDescent="0.25">
      <c r="A84">
        <v>3</v>
      </c>
      <c r="B84" s="19">
        <v>44223</v>
      </c>
      <c r="C84" s="1" t="s">
        <v>34</v>
      </c>
      <c r="D84" t="s">
        <v>699</v>
      </c>
      <c r="E84">
        <v>108</v>
      </c>
      <c r="F84">
        <v>11</v>
      </c>
      <c r="G84">
        <v>29</v>
      </c>
      <c r="H84">
        <v>36389</v>
      </c>
    </row>
    <row r="85" spans="1:8" x14ac:dyDescent="0.25">
      <c r="A85">
        <v>3</v>
      </c>
      <c r="B85" s="19">
        <v>44898</v>
      </c>
      <c r="C85" s="1" t="s">
        <v>34</v>
      </c>
      <c r="D85" t="s">
        <v>699</v>
      </c>
      <c r="E85">
        <v>109</v>
      </c>
      <c r="F85">
        <v>15</v>
      </c>
      <c r="G85">
        <v>52</v>
      </c>
      <c r="H85">
        <v>11699</v>
      </c>
    </row>
    <row r="86" spans="1:8" x14ac:dyDescent="0.25">
      <c r="A86">
        <v>3</v>
      </c>
      <c r="B86" s="19">
        <v>44956</v>
      </c>
      <c r="C86" s="1" t="s">
        <v>35</v>
      </c>
      <c r="D86" t="s">
        <v>699</v>
      </c>
      <c r="E86">
        <v>108</v>
      </c>
      <c r="F86">
        <v>11</v>
      </c>
      <c r="G86">
        <v>53</v>
      </c>
      <c r="H86">
        <v>18606</v>
      </c>
    </row>
    <row r="87" spans="1:8" x14ac:dyDescent="0.25">
      <c r="A87">
        <v>3</v>
      </c>
      <c r="B87" s="19">
        <v>44228</v>
      </c>
      <c r="C87" s="1" t="s">
        <v>33</v>
      </c>
      <c r="D87" t="s">
        <v>699</v>
      </c>
      <c r="E87">
        <v>104</v>
      </c>
      <c r="F87">
        <v>14</v>
      </c>
      <c r="G87">
        <v>67</v>
      </c>
      <c r="H87">
        <v>48285</v>
      </c>
    </row>
    <row r="88" spans="1:8" x14ac:dyDescent="0.25">
      <c r="A88">
        <v>3</v>
      </c>
      <c r="B88" s="19">
        <v>44553</v>
      </c>
      <c r="C88" s="1" t="s">
        <v>34</v>
      </c>
      <c r="D88" t="s">
        <v>695</v>
      </c>
      <c r="E88">
        <v>108</v>
      </c>
      <c r="F88">
        <v>15</v>
      </c>
      <c r="G88">
        <v>87</v>
      </c>
      <c r="H88">
        <v>11292</v>
      </c>
    </row>
    <row r="89" spans="1:8" x14ac:dyDescent="0.25">
      <c r="A89">
        <v>3</v>
      </c>
      <c r="B89" s="19">
        <v>45392</v>
      </c>
      <c r="C89" s="1" t="s">
        <v>35</v>
      </c>
      <c r="D89" t="s">
        <v>695</v>
      </c>
      <c r="E89">
        <v>105</v>
      </c>
      <c r="F89">
        <v>11</v>
      </c>
      <c r="G89">
        <v>42</v>
      </c>
      <c r="H89">
        <v>39469</v>
      </c>
    </row>
    <row r="90" spans="1:8" x14ac:dyDescent="0.25">
      <c r="A90">
        <v>3</v>
      </c>
      <c r="B90" s="19">
        <v>44380</v>
      </c>
      <c r="C90" s="1" t="s">
        <v>33</v>
      </c>
      <c r="D90" t="s">
        <v>692</v>
      </c>
      <c r="E90">
        <v>105</v>
      </c>
      <c r="F90">
        <v>14</v>
      </c>
      <c r="G90">
        <v>65</v>
      </c>
      <c r="H90">
        <v>41780</v>
      </c>
    </row>
    <row r="91" spans="1:8" x14ac:dyDescent="0.25">
      <c r="A91">
        <v>3</v>
      </c>
      <c r="B91" s="19">
        <v>44201</v>
      </c>
      <c r="C91" s="1" t="s">
        <v>36</v>
      </c>
      <c r="D91" t="s">
        <v>692</v>
      </c>
      <c r="E91">
        <v>104</v>
      </c>
      <c r="F91">
        <v>12</v>
      </c>
      <c r="G91">
        <v>81</v>
      </c>
      <c r="H91">
        <v>19378</v>
      </c>
    </row>
    <row r="92" spans="1:8" x14ac:dyDescent="0.25">
      <c r="A92">
        <v>3</v>
      </c>
      <c r="B92" s="19">
        <v>44417</v>
      </c>
      <c r="C92" s="1" t="s">
        <v>35</v>
      </c>
      <c r="D92" t="s">
        <v>692</v>
      </c>
      <c r="E92">
        <v>103</v>
      </c>
      <c r="F92">
        <v>15</v>
      </c>
      <c r="G92">
        <v>30</v>
      </c>
      <c r="H92">
        <v>49000</v>
      </c>
    </row>
    <row r="93" spans="1:8" x14ac:dyDescent="0.25">
      <c r="A93">
        <v>3</v>
      </c>
      <c r="B93" s="19">
        <v>43893</v>
      </c>
      <c r="C93" s="1" t="s">
        <v>34</v>
      </c>
      <c r="D93" t="s">
        <v>692</v>
      </c>
      <c r="E93">
        <v>105</v>
      </c>
      <c r="F93">
        <v>11</v>
      </c>
      <c r="G93">
        <v>5</v>
      </c>
      <c r="H93">
        <v>11526</v>
      </c>
    </row>
    <row r="94" spans="1:8" x14ac:dyDescent="0.25">
      <c r="A94">
        <v>3</v>
      </c>
      <c r="B94" s="19">
        <v>44460</v>
      </c>
      <c r="C94" s="1" t="s">
        <v>33</v>
      </c>
      <c r="D94" t="s">
        <v>692</v>
      </c>
      <c r="E94">
        <v>108</v>
      </c>
      <c r="F94">
        <v>14</v>
      </c>
      <c r="G94">
        <v>61</v>
      </c>
      <c r="H94">
        <v>46607</v>
      </c>
    </row>
    <row r="95" spans="1:8" x14ac:dyDescent="0.25">
      <c r="A95">
        <v>3</v>
      </c>
      <c r="B95" s="19">
        <v>45624</v>
      </c>
      <c r="C95" s="1" t="s">
        <v>35</v>
      </c>
      <c r="D95" t="s">
        <v>693</v>
      </c>
      <c r="E95">
        <v>103</v>
      </c>
      <c r="F95">
        <v>15</v>
      </c>
      <c r="G95">
        <v>84</v>
      </c>
      <c r="H95">
        <v>30784</v>
      </c>
    </row>
    <row r="96" spans="1:8" x14ac:dyDescent="0.25">
      <c r="A96">
        <v>3</v>
      </c>
      <c r="B96" s="19">
        <v>45225</v>
      </c>
      <c r="C96" s="1" t="s">
        <v>36</v>
      </c>
      <c r="D96" t="s">
        <v>693</v>
      </c>
      <c r="E96">
        <v>104</v>
      </c>
      <c r="F96">
        <v>14</v>
      </c>
      <c r="G96">
        <v>30</v>
      </c>
      <c r="H96">
        <v>38766</v>
      </c>
    </row>
    <row r="97" spans="1:8" x14ac:dyDescent="0.25">
      <c r="A97">
        <v>3</v>
      </c>
      <c r="B97" s="19">
        <v>44290</v>
      </c>
      <c r="C97" s="1" t="s">
        <v>36</v>
      </c>
      <c r="D97" t="s">
        <v>693</v>
      </c>
      <c r="E97">
        <v>107</v>
      </c>
      <c r="F97">
        <v>11</v>
      </c>
      <c r="G97">
        <v>50</v>
      </c>
      <c r="H97">
        <v>17110</v>
      </c>
    </row>
    <row r="98" spans="1:8" x14ac:dyDescent="0.25">
      <c r="A98">
        <v>3</v>
      </c>
      <c r="B98" s="19">
        <v>44487</v>
      </c>
      <c r="C98" s="1" t="s">
        <v>34</v>
      </c>
      <c r="D98" t="s">
        <v>694</v>
      </c>
      <c r="E98">
        <v>104</v>
      </c>
      <c r="F98">
        <v>13</v>
      </c>
      <c r="G98">
        <v>83</v>
      </c>
      <c r="H98">
        <v>11425</v>
      </c>
    </row>
    <row r="99" spans="1:8" x14ac:dyDescent="0.25">
      <c r="A99">
        <v>4</v>
      </c>
      <c r="B99" s="19">
        <v>44915</v>
      </c>
      <c r="C99" s="1" t="s">
        <v>35</v>
      </c>
      <c r="D99" t="s">
        <v>690</v>
      </c>
      <c r="E99">
        <v>103</v>
      </c>
      <c r="F99">
        <v>11</v>
      </c>
      <c r="G99">
        <v>86</v>
      </c>
      <c r="H99">
        <v>24801</v>
      </c>
    </row>
    <row r="100" spans="1:8" x14ac:dyDescent="0.25">
      <c r="A100">
        <v>4</v>
      </c>
      <c r="B100" s="19">
        <v>44385</v>
      </c>
      <c r="C100" s="1" t="s">
        <v>35</v>
      </c>
      <c r="D100" t="s">
        <v>690</v>
      </c>
      <c r="E100">
        <v>104</v>
      </c>
      <c r="F100">
        <v>12</v>
      </c>
      <c r="G100">
        <v>12</v>
      </c>
      <c r="H100">
        <v>29803</v>
      </c>
    </row>
    <row r="101" spans="1:8" x14ac:dyDescent="0.25">
      <c r="A101">
        <v>4</v>
      </c>
      <c r="B101" s="19">
        <v>44923</v>
      </c>
      <c r="C101" s="1" t="s">
        <v>33</v>
      </c>
      <c r="D101" t="s">
        <v>691</v>
      </c>
      <c r="E101">
        <v>108</v>
      </c>
      <c r="F101">
        <v>15</v>
      </c>
      <c r="G101">
        <v>32</v>
      </c>
      <c r="H101">
        <v>40225</v>
      </c>
    </row>
    <row r="102" spans="1:8" x14ac:dyDescent="0.25">
      <c r="A102">
        <v>4</v>
      </c>
      <c r="B102" s="19">
        <v>44162</v>
      </c>
      <c r="C102" s="1" t="s">
        <v>35</v>
      </c>
      <c r="D102" t="s">
        <v>691</v>
      </c>
      <c r="E102">
        <v>103</v>
      </c>
      <c r="F102">
        <v>11</v>
      </c>
      <c r="G102">
        <v>70</v>
      </c>
      <c r="H102">
        <v>37638</v>
      </c>
    </row>
    <row r="103" spans="1:8" x14ac:dyDescent="0.25">
      <c r="A103">
        <v>4</v>
      </c>
      <c r="B103" s="19">
        <v>44359</v>
      </c>
      <c r="C103" s="1" t="s">
        <v>34</v>
      </c>
      <c r="D103" t="s">
        <v>691</v>
      </c>
      <c r="E103">
        <v>101</v>
      </c>
      <c r="F103">
        <v>14</v>
      </c>
      <c r="G103">
        <v>69</v>
      </c>
      <c r="H103">
        <v>17475</v>
      </c>
    </row>
    <row r="104" spans="1:8" x14ac:dyDescent="0.25">
      <c r="A104">
        <v>4</v>
      </c>
      <c r="B104" s="19">
        <v>44275</v>
      </c>
      <c r="C104" s="1" t="s">
        <v>35</v>
      </c>
      <c r="D104" t="s">
        <v>691</v>
      </c>
      <c r="E104">
        <v>104</v>
      </c>
      <c r="F104">
        <v>14</v>
      </c>
      <c r="G104">
        <v>74</v>
      </c>
      <c r="H104">
        <v>30042</v>
      </c>
    </row>
    <row r="105" spans="1:8" x14ac:dyDescent="0.25">
      <c r="A105">
        <v>4</v>
      </c>
      <c r="B105" s="19">
        <v>44742</v>
      </c>
      <c r="C105" s="1" t="s">
        <v>34</v>
      </c>
      <c r="D105" t="s">
        <v>691</v>
      </c>
      <c r="E105">
        <v>104</v>
      </c>
      <c r="F105">
        <v>12</v>
      </c>
      <c r="G105">
        <v>67</v>
      </c>
      <c r="H105">
        <v>13944</v>
      </c>
    </row>
    <row r="106" spans="1:8" x14ac:dyDescent="0.25">
      <c r="A106">
        <v>4</v>
      </c>
      <c r="B106" s="19">
        <v>43892</v>
      </c>
      <c r="C106" s="1" t="s">
        <v>35</v>
      </c>
      <c r="D106" t="s">
        <v>691</v>
      </c>
      <c r="E106">
        <v>104</v>
      </c>
      <c r="F106">
        <v>11</v>
      </c>
      <c r="G106">
        <v>89</v>
      </c>
      <c r="H106">
        <v>35031</v>
      </c>
    </row>
    <row r="107" spans="1:8" x14ac:dyDescent="0.25">
      <c r="A107">
        <v>4</v>
      </c>
      <c r="B107" s="19">
        <v>44248</v>
      </c>
      <c r="C107" s="1" t="s">
        <v>33</v>
      </c>
      <c r="D107" t="s">
        <v>691</v>
      </c>
      <c r="E107">
        <v>105</v>
      </c>
      <c r="F107">
        <v>12</v>
      </c>
      <c r="G107">
        <v>19</v>
      </c>
      <c r="H107">
        <v>35309</v>
      </c>
    </row>
    <row r="108" spans="1:8" x14ac:dyDescent="0.25">
      <c r="A108">
        <v>4</v>
      </c>
      <c r="B108" s="19">
        <v>44184</v>
      </c>
      <c r="C108" s="1" t="s">
        <v>35</v>
      </c>
      <c r="D108" t="s">
        <v>691</v>
      </c>
      <c r="E108">
        <v>105</v>
      </c>
      <c r="F108">
        <v>14</v>
      </c>
      <c r="G108">
        <v>46</v>
      </c>
      <c r="H108">
        <v>18653</v>
      </c>
    </row>
    <row r="109" spans="1:8" x14ac:dyDescent="0.25">
      <c r="A109">
        <v>4</v>
      </c>
      <c r="B109" s="19">
        <v>45541</v>
      </c>
      <c r="C109" s="1" t="s">
        <v>35</v>
      </c>
      <c r="D109" t="s">
        <v>700</v>
      </c>
      <c r="E109">
        <v>104</v>
      </c>
      <c r="F109">
        <v>12</v>
      </c>
      <c r="G109">
        <v>15</v>
      </c>
      <c r="H109">
        <v>14983</v>
      </c>
    </row>
    <row r="110" spans="1:8" x14ac:dyDescent="0.25">
      <c r="A110">
        <v>4</v>
      </c>
      <c r="B110" s="19">
        <v>44237</v>
      </c>
      <c r="C110" s="1" t="s">
        <v>33</v>
      </c>
      <c r="D110" t="s">
        <v>700</v>
      </c>
      <c r="E110">
        <v>103</v>
      </c>
      <c r="F110">
        <v>11</v>
      </c>
      <c r="G110">
        <v>9</v>
      </c>
      <c r="H110">
        <v>26159</v>
      </c>
    </row>
    <row r="111" spans="1:8" x14ac:dyDescent="0.25">
      <c r="A111">
        <v>4</v>
      </c>
      <c r="B111" s="19">
        <v>45123</v>
      </c>
      <c r="C111" s="1" t="s">
        <v>34</v>
      </c>
      <c r="D111" t="s">
        <v>700</v>
      </c>
      <c r="E111">
        <v>105</v>
      </c>
      <c r="F111">
        <v>12</v>
      </c>
      <c r="G111">
        <v>25</v>
      </c>
      <c r="H111">
        <v>17352</v>
      </c>
    </row>
    <row r="112" spans="1:8" x14ac:dyDescent="0.25">
      <c r="A112">
        <v>4</v>
      </c>
      <c r="B112" s="19">
        <v>44746</v>
      </c>
      <c r="C112" s="1" t="s">
        <v>35</v>
      </c>
      <c r="D112" t="s">
        <v>696</v>
      </c>
      <c r="E112">
        <v>103</v>
      </c>
      <c r="F112">
        <v>11</v>
      </c>
      <c r="G112">
        <v>85</v>
      </c>
      <c r="H112">
        <v>24690</v>
      </c>
    </row>
    <row r="113" spans="1:8" x14ac:dyDescent="0.25">
      <c r="A113">
        <v>4</v>
      </c>
      <c r="B113" s="19">
        <v>45179</v>
      </c>
      <c r="C113" s="1" t="s">
        <v>35</v>
      </c>
      <c r="D113" t="s">
        <v>696</v>
      </c>
      <c r="E113">
        <v>104</v>
      </c>
      <c r="F113">
        <v>14</v>
      </c>
      <c r="G113">
        <v>40</v>
      </c>
      <c r="H113">
        <v>12301</v>
      </c>
    </row>
    <row r="114" spans="1:8" x14ac:dyDescent="0.25">
      <c r="A114">
        <v>4</v>
      </c>
      <c r="B114" s="19">
        <v>45252</v>
      </c>
      <c r="C114" s="1" t="s">
        <v>34</v>
      </c>
      <c r="D114" t="s">
        <v>696</v>
      </c>
      <c r="E114">
        <v>107</v>
      </c>
      <c r="F114">
        <v>15</v>
      </c>
      <c r="G114">
        <v>81</v>
      </c>
      <c r="H114">
        <v>32889</v>
      </c>
    </row>
    <row r="115" spans="1:8" x14ac:dyDescent="0.25">
      <c r="A115">
        <v>4</v>
      </c>
      <c r="B115" s="19">
        <v>43888</v>
      </c>
      <c r="C115" s="1" t="s">
        <v>36</v>
      </c>
      <c r="D115" t="s">
        <v>697</v>
      </c>
      <c r="E115">
        <v>107</v>
      </c>
      <c r="F115">
        <v>13</v>
      </c>
      <c r="G115">
        <v>47</v>
      </c>
      <c r="H115">
        <v>39452</v>
      </c>
    </row>
    <row r="116" spans="1:8" x14ac:dyDescent="0.25">
      <c r="A116">
        <v>4</v>
      </c>
      <c r="B116" s="19">
        <v>45609</v>
      </c>
      <c r="C116" s="1" t="s">
        <v>36</v>
      </c>
      <c r="D116" t="s">
        <v>697</v>
      </c>
      <c r="E116">
        <v>104</v>
      </c>
      <c r="F116">
        <v>11</v>
      </c>
      <c r="G116">
        <v>47</v>
      </c>
      <c r="H116">
        <v>13093</v>
      </c>
    </row>
    <row r="117" spans="1:8" x14ac:dyDescent="0.25">
      <c r="A117">
        <v>4</v>
      </c>
      <c r="B117" s="19">
        <v>44311</v>
      </c>
      <c r="C117" s="1" t="s">
        <v>35</v>
      </c>
      <c r="D117" t="s">
        <v>697</v>
      </c>
      <c r="E117">
        <v>104</v>
      </c>
      <c r="F117">
        <v>13</v>
      </c>
      <c r="G117">
        <v>26</v>
      </c>
      <c r="H117">
        <v>10898</v>
      </c>
    </row>
    <row r="118" spans="1:8" x14ac:dyDescent="0.25">
      <c r="A118">
        <v>4</v>
      </c>
      <c r="B118" s="19">
        <v>44328</v>
      </c>
      <c r="C118" s="1" t="s">
        <v>36</v>
      </c>
      <c r="D118" t="s">
        <v>697</v>
      </c>
      <c r="E118">
        <v>103</v>
      </c>
      <c r="F118">
        <v>11</v>
      </c>
      <c r="G118">
        <v>62</v>
      </c>
      <c r="H118">
        <v>18044</v>
      </c>
    </row>
    <row r="119" spans="1:8" x14ac:dyDescent="0.25">
      <c r="A119">
        <v>4</v>
      </c>
      <c r="B119" s="19">
        <v>44128</v>
      </c>
      <c r="C119" s="1" t="s">
        <v>34</v>
      </c>
      <c r="D119" t="s">
        <v>698</v>
      </c>
      <c r="E119">
        <v>104</v>
      </c>
      <c r="F119">
        <v>11</v>
      </c>
      <c r="G119">
        <v>70</v>
      </c>
      <c r="H119">
        <v>49431</v>
      </c>
    </row>
    <row r="120" spans="1:8" x14ac:dyDescent="0.25">
      <c r="A120">
        <v>4</v>
      </c>
      <c r="B120" s="19">
        <v>45152</v>
      </c>
      <c r="C120" s="1" t="s">
        <v>34</v>
      </c>
      <c r="D120" t="s">
        <v>698</v>
      </c>
      <c r="E120">
        <v>104</v>
      </c>
      <c r="F120">
        <v>13</v>
      </c>
      <c r="G120">
        <v>87</v>
      </c>
      <c r="H120">
        <v>15658</v>
      </c>
    </row>
    <row r="121" spans="1:8" x14ac:dyDescent="0.25">
      <c r="A121">
        <v>4</v>
      </c>
      <c r="B121" s="19">
        <v>45334</v>
      </c>
      <c r="C121" s="1" t="s">
        <v>33</v>
      </c>
      <c r="D121" t="s">
        <v>698</v>
      </c>
      <c r="E121">
        <v>102</v>
      </c>
      <c r="F121">
        <v>11</v>
      </c>
      <c r="G121">
        <v>62</v>
      </c>
      <c r="H121">
        <v>29587</v>
      </c>
    </row>
    <row r="122" spans="1:8" x14ac:dyDescent="0.25">
      <c r="A122">
        <v>4</v>
      </c>
      <c r="B122" s="19">
        <v>44838</v>
      </c>
      <c r="C122" s="1" t="s">
        <v>34</v>
      </c>
      <c r="D122" t="s">
        <v>699</v>
      </c>
      <c r="E122">
        <v>105</v>
      </c>
      <c r="F122">
        <v>12</v>
      </c>
      <c r="G122">
        <v>46</v>
      </c>
      <c r="H122">
        <v>32189</v>
      </c>
    </row>
    <row r="123" spans="1:8" x14ac:dyDescent="0.25">
      <c r="A123">
        <v>4</v>
      </c>
      <c r="B123" s="19">
        <v>44964</v>
      </c>
      <c r="C123" s="1" t="s">
        <v>36</v>
      </c>
      <c r="D123" t="s">
        <v>699</v>
      </c>
      <c r="E123">
        <v>105</v>
      </c>
      <c r="F123">
        <v>12</v>
      </c>
      <c r="G123">
        <v>31</v>
      </c>
      <c r="H123">
        <v>49098</v>
      </c>
    </row>
    <row r="124" spans="1:8" x14ac:dyDescent="0.25">
      <c r="A124">
        <v>4</v>
      </c>
      <c r="B124" s="19">
        <v>45335</v>
      </c>
      <c r="C124" s="1" t="s">
        <v>34</v>
      </c>
      <c r="D124" t="s">
        <v>699</v>
      </c>
      <c r="E124">
        <v>103</v>
      </c>
      <c r="F124">
        <v>12</v>
      </c>
      <c r="G124">
        <v>75</v>
      </c>
      <c r="H124">
        <v>44413</v>
      </c>
    </row>
    <row r="125" spans="1:8" x14ac:dyDescent="0.25">
      <c r="A125">
        <v>4</v>
      </c>
      <c r="B125" s="19">
        <v>43890</v>
      </c>
      <c r="C125" s="1" t="s">
        <v>33</v>
      </c>
      <c r="D125" t="s">
        <v>695</v>
      </c>
      <c r="E125">
        <v>104</v>
      </c>
      <c r="F125">
        <v>15</v>
      </c>
      <c r="G125">
        <v>35</v>
      </c>
      <c r="H125">
        <v>35553</v>
      </c>
    </row>
    <row r="126" spans="1:8" x14ac:dyDescent="0.25">
      <c r="A126">
        <v>4</v>
      </c>
      <c r="B126" s="19">
        <v>45312</v>
      </c>
      <c r="C126" s="1" t="s">
        <v>36</v>
      </c>
      <c r="D126" t="s">
        <v>695</v>
      </c>
      <c r="E126">
        <v>105</v>
      </c>
      <c r="F126">
        <v>12</v>
      </c>
      <c r="G126">
        <v>36</v>
      </c>
      <c r="H126">
        <v>23294</v>
      </c>
    </row>
    <row r="127" spans="1:8" x14ac:dyDescent="0.25">
      <c r="A127">
        <v>4</v>
      </c>
      <c r="B127" s="19">
        <v>45559</v>
      </c>
      <c r="C127" s="1" t="s">
        <v>33</v>
      </c>
      <c r="D127" t="s">
        <v>695</v>
      </c>
      <c r="E127">
        <v>102</v>
      </c>
      <c r="F127">
        <v>13</v>
      </c>
      <c r="G127">
        <v>97</v>
      </c>
      <c r="H127">
        <v>43963</v>
      </c>
    </row>
    <row r="128" spans="1:8" x14ac:dyDescent="0.25">
      <c r="A128">
        <v>4</v>
      </c>
      <c r="B128" s="19">
        <v>45530</v>
      </c>
      <c r="C128" s="1" t="s">
        <v>34</v>
      </c>
      <c r="D128" t="s">
        <v>695</v>
      </c>
      <c r="E128">
        <v>105</v>
      </c>
      <c r="F128">
        <v>15</v>
      </c>
      <c r="G128">
        <v>81</v>
      </c>
      <c r="H128">
        <v>28650</v>
      </c>
    </row>
    <row r="129" spans="1:8" x14ac:dyDescent="0.25">
      <c r="A129">
        <v>4</v>
      </c>
      <c r="B129" s="19">
        <v>44048</v>
      </c>
      <c r="C129" s="1" t="s">
        <v>35</v>
      </c>
      <c r="D129" t="s">
        <v>695</v>
      </c>
      <c r="E129">
        <v>102</v>
      </c>
      <c r="F129">
        <v>12</v>
      </c>
      <c r="G129">
        <v>85</v>
      </c>
      <c r="H129">
        <v>11096</v>
      </c>
    </row>
    <row r="130" spans="1:8" x14ac:dyDescent="0.25">
      <c r="A130">
        <v>4</v>
      </c>
      <c r="B130" s="19">
        <v>44804</v>
      </c>
      <c r="C130" s="1" t="s">
        <v>34</v>
      </c>
      <c r="D130" t="s">
        <v>695</v>
      </c>
      <c r="E130">
        <v>108</v>
      </c>
      <c r="F130">
        <v>12</v>
      </c>
      <c r="G130">
        <v>73</v>
      </c>
      <c r="H130">
        <v>46702</v>
      </c>
    </row>
    <row r="131" spans="1:8" x14ac:dyDescent="0.25">
      <c r="A131">
        <v>4</v>
      </c>
      <c r="B131" s="19">
        <v>45026</v>
      </c>
      <c r="C131" s="1" t="s">
        <v>36</v>
      </c>
      <c r="D131" t="s">
        <v>695</v>
      </c>
      <c r="E131">
        <v>103</v>
      </c>
      <c r="F131">
        <v>13</v>
      </c>
      <c r="G131">
        <v>13</v>
      </c>
      <c r="H131">
        <v>11255</v>
      </c>
    </row>
    <row r="132" spans="1:8" x14ac:dyDescent="0.25">
      <c r="A132">
        <v>4</v>
      </c>
      <c r="B132" s="19">
        <v>45402</v>
      </c>
      <c r="C132" s="1" t="s">
        <v>35</v>
      </c>
      <c r="D132" t="s">
        <v>692</v>
      </c>
      <c r="E132">
        <v>103</v>
      </c>
      <c r="F132">
        <v>11</v>
      </c>
      <c r="G132">
        <v>30</v>
      </c>
      <c r="H132">
        <v>40708</v>
      </c>
    </row>
    <row r="133" spans="1:8" x14ac:dyDescent="0.25">
      <c r="A133">
        <v>4</v>
      </c>
      <c r="B133" s="19">
        <v>44444</v>
      </c>
      <c r="C133" s="1" t="s">
        <v>33</v>
      </c>
      <c r="D133" t="s">
        <v>692</v>
      </c>
      <c r="E133">
        <v>102</v>
      </c>
      <c r="F133">
        <v>13</v>
      </c>
      <c r="G133">
        <v>65</v>
      </c>
      <c r="H133">
        <v>27103</v>
      </c>
    </row>
    <row r="134" spans="1:8" x14ac:dyDescent="0.25">
      <c r="A134">
        <v>4</v>
      </c>
      <c r="B134" s="19">
        <v>43860</v>
      </c>
      <c r="C134" s="1" t="s">
        <v>34</v>
      </c>
      <c r="D134" t="s">
        <v>692</v>
      </c>
      <c r="E134">
        <v>106</v>
      </c>
      <c r="F134">
        <v>14</v>
      </c>
      <c r="G134">
        <v>37</v>
      </c>
      <c r="H134">
        <v>42535</v>
      </c>
    </row>
    <row r="135" spans="1:8" x14ac:dyDescent="0.25">
      <c r="A135">
        <v>4</v>
      </c>
      <c r="B135" s="19">
        <v>44250</v>
      </c>
      <c r="C135" s="1" t="s">
        <v>34</v>
      </c>
      <c r="D135" t="s">
        <v>692</v>
      </c>
      <c r="E135">
        <v>105</v>
      </c>
      <c r="F135">
        <v>15</v>
      </c>
      <c r="G135">
        <v>88</v>
      </c>
      <c r="H135">
        <v>12321</v>
      </c>
    </row>
    <row r="136" spans="1:8" x14ac:dyDescent="0.25">
      <c r="A136">
        <v>4</v>
      </c>
      <c r="B136" s="19">
        <v>43981</v>
      </c>
      <c r="C136" s="1" t="s">
        <v>34</v>
      </c>
      <c r="D136" t="s">
        <v>692</v>
      </c>
      <c r="E136">
        <v>104</v>
      </c>
      <c r="F136">
        <v>15</v>
      </c>
      <c r="G136">
        <v>98</v>
      </c>
      <c r="H136">
        <v>37462</v>
      </c>
    </row>
    <row r="137" spans="1:8" x14ac:dyDescent="0.25">
      <c r="A137">
        <v>4</v>
      </c>
      <c r="B137" s="19">
        <v>44114</v>
      </c>
      <c r="C137" s="1" t="s">
        <v>34</v>
      </c>
      <c r="D137" t="s">
        <v>692</v>
      </c>
      <c r="E137">
        <v>104</v>
      </c>
      <c r="F137">
        <v>12</v>
      </c>
      <c r="G137">
        <v>74</v>
      </c>
      <c r="H137">
        <v>47517</v>
      </c>
    </row>
    <row r="138" spans="1:8" x14ac:dyDescent="0.25">
      <c r="A138">
        <v>4</v>
      </c>
      <c r="B138" s="19">
        <v>45027</v>
      </c>
      <c r="C138" s="1" t="s">
        <v>36</v>
      </c>
      <c r="D138" t="s">
        <v>693</v>
      </c>
      <c r="E138">
        <v>105</v>
      </c>
      <c r="F138">
        <v>14</v>
      </c>
      <c r="G138">
        <v>100</v>
      </c>
      <c r="H138">
        <v>10084</v>
      </c>
    </row>
    <row r="139" spans="1:8" x14ac:dyDescent="0.25">
      <c r="A139">
        <v>4</v>
      </c>
      <c r="B139" s="19">
        <v>44702</v>
      </c>
      <c r="C139" s="1" t="s">
        <v>35</v>
      </c>
      <c r="D139" t="s">
        <v>694</v>
      </c>
      <c r="E139">
        <v>101</v>
      </c>
      <c r="F139">
        <v>14</v>
      </c>
      <c r="G139">
        <v>23</v>
      </c>
      <c r="H139">
        <v>14732</v>
      </c>
    </row>
    <row r="140" spans="1:8" x14ac:dyDescent="0.25">
      <c r="A140">
        <v>4</v>
      </c>
      <c r="B140" s="19">
        <v>43946</v>
      </c>
      <c r="C140" s="1" t="s">
        <v>34</v>
      </c>
      <c r="D140" t="s">
        <v>694</v>
      </c>
      <c r="E140">
        <v>108</v>
      </c>
      <c r="F140">
        <v>15</v>
      </c>
      <c r="G140">
        <v>17</v>
      </c>
      <c r="H140">
        <v>27033</v>
      </c>
    </row>
    <row r="141" spans="1:8" x14ac:dyDescent="0.25">
      <c r="A141">
        <v>4</v>
      </c>
      <c r="B141" s="19">
        <v>45103</v>
      </c>
      <c r="C141" s="1" t="s">
        <v>35</v>
      </c>
      <c r="D141" t="s">
        <v>694</v>
      </c>
      <c r="E141">
        <v>106</v>
      </c>
      <c r="F141">
        <v>13</v>
      </c>
      <c r="G141">
        <v>17</v>
      </c>
      <c r="H141">
        <v>13121</v>
      </c>
    </row>
    <row r="142" spans="1:8" x14ac:dyDescent="0.25">
      <c r="A142">
        <v>4</v>
      </c>
      <c r="B142" s="19">
        <v>44850</v>
      </c>
      <c r="C142" s="1" t="s">
        <v>34</v>
      </c>
      <c r="D142" t="s">
        <v>694</v>
      </c>
      <c r="E142">
        <v>101</v>
      </c>
      <c r="F142">
        <v>11</v>
      </c>
      <c r="G142">
        <v>16</v>
      </c>
      <c r="H142">
        <v>14493</v>
      </c>
    </row>
    <row r="143" spans="1:8" x14ac:dyDescent="0.25">
      <c r="A143">
        <v>5</v>
      </c>
      <c r="B143" s="19">
        <v>44420</v>
      </c>
      <c r="C143" s="1" t="s">
        <v>33</v>
      </c>
      <c r="D143" t="s">
        <v>690</v>
      </c>
      <c r="E143">
        <v>103</v>
      </c>
      <c r="F143">
        <v>14</v>
      </c>
      <c r="G143">
        <v>64</v>
      </c>
      <c r="H143">
        <v>36236</v>
      </c>
    </row>
    <row r="144" spans="1:8" x14ac:dyDescent="0.25">
      <c r="A144">
        <v>5</v>
      </c>
      <c r="B144" s="19">
        <v>45417</v>
      </c>
      <c r="C144" s="1" t="s">
        <v>36</v>
      </c>
      <c r="D144" t="s">
        <v>690</v>
      </c>
      <c r="E144">
        <v>102</v>
      </c>
      <c r="F144">
        <v>11</v>
      </c>
      <c r="G144">
        <v>100</v>
      </c>
      <c r="H144">
        <v>40468</v>
      </c>
    </row>
    <row r="145" spans="1:8" x14ac:dyDescent="0.25">
      <c r="A145">
        <v>5</v>
      </c>
      <c r="B145" s="19">
        <v>43993</v>
      </c>
      <c r="C145" s="1" t="s">
        <v>35</v>
      </c>
      <c r="D145" t="s">
        <v>690</v>
      </c>
      <c r="E145">
        <v>104</v>
      </c>
      <c r="F145">
        <v>11</v>
      </c>
      <c r="G145">
        <v>5</v>
      </c>
      <c r="H145">
        <v>12355</v>
      </c>
    </row>
    <row r="146" spans="1:8" x14ac:dyDescent="0.25">
      <c r="A146">
        <v>5</v>
      </c>
      <c r="B146" s="19">
        <v>45224</v>
      </c>
      <c r="C146" s="1" t="s">
        <v>35</v>
      </c>
      <c r="D146" t="s">
        <v>690</v>
      </c>
      <c r="E146">
        <v>103</v>
      </c>
      <c r="F146">
        <v>12</v>
      </c>
      <c r="G146">
        <v>64</v>
      </c>
      <c r="H146">
        <v>16157</v>
      </c>
    </row>
    <row r="147" spans="1:8" x14ac:dyDescent="0.25">
      <c r="A147">
        <v>5</v>
      </c>
      <c r="B147" s="19">
        <v>44663</v>
      </c>
      <c r="C147" s="1" t="s">
        <v>34</v>
      </c>
      <c r="D147" t="s">
        <v>691</v>
      </c>
      <c r="E147">
        <v>104</v>
      </c>
      <c r="F147">
        <v>11</v>
      </c>
      <c r="G147">
        <v>32</v>
      </c>
      <c r="H147">
        <v>20534</v>
      </c>
    </row>
    <row r="148" spans="1:8" x14ac:dyDescent="0.25">
      <c r="A148">
        <v>5</v>
      </c>
      <c r="B148" s="19">
        <v>45311</v>
      </c>
      <c r="C148" s="1" t="s">
        <v>34</v>
      </c>
      <c r="D148" t="s">
        <v>691</v>
      </c>
      <c r="E148">
        <v>103</v>
      </c>
      <c r="F148">
        <v>14</v>
      </c>
      <c r="G148">
        <v>31</v>
      </c>
      <c r="H148">
        <v>35694</v>
      </c>
    </row>
    <row r="149" spans="1:8" x14ac:dyDescent="0.25">
      <c r="A149">
        <v>5</v>
      </c>
      <c r="B149" s="19">
        <v>43869</v>
      </c>
      <c r="C149" s="1" t="s">
        <v>36</v>
      </c>
      <c r="D149" t="s">
        <v>691</v>
      </c>
      <c r="E149">
        <v>104</v>
      </c>
      <c r="F149">
        <v>13</v>
      </c>
      <c r="G149">
        <v>25</v>
      </c>
      <c r="H149">
        <v>18464</v>
      </c>
    </row>
    <row r="150" spans="1:8" x14ac:dyDescent="0.25">
      <c r="A150">
        <v>5</v>
      </c>
      <c r="B150" s="19">
        <v>45174</v>
      </c>
      <c r="C150" s="1" t="s">
        <v>35</v>
      </c>
      <c r="D150" t="s">
        <v>700</v>
      </c>
      <c r="E150">
        <v>103</v>
      </c>
      <c r="F150">
        <v>15</v>
      </c>
      <c r="G150">
        <v>69</v>
      </c>
      <c r="H150">
        <v>42592</v>
      </c>
    </row>
    <row r="151" spans="1:8" x14ac:dyDescent="0.25">
      <c r="A151">
        <v>5</v>
      </c>
      <c r="B151" s="19">
        <v>45524</v>
      </c>
      <c r="C151" s="1" t="s">
        <v>34</v>
      </c>
      <c r="D151" t="s">
        <v>696</v>
      </c>
      <c r="E151">
        <v>104</v>
      </c>
      <c r="F151">
        <v>14</v>
      </c>
      <c r="G151">
        <v>7</v>
      </c>
      <c r="H151">
        <v>34319</v>
      </c>
    </row>
    <row r="152" spans="1:8" x14ac:dyDescent="0.25">
      <c r="A152">
        <v>5</v>
      </c>
      <c r="B152" s="19">
        <v>44532</v>
      </c>
      <c r="C152" s="1" t="s">
        <v>35</v>
      </c>
      <c r="D152" t="s">
        <v>697</v>
      </c>
      <c r="E152">
        <v>109</v>
      </c>
      <c r="F152">
        <v>11</v>
      </c>
      <c r="G152">
        <v>55</v>
      </c>
      <c r="H152">
        <v>49457</v>
      </c>
    </row>
    <row r="153" spans="1:8" x14ac:dyDescent="0.25">
      <c r="A153">
        <v>5</v>
      </c>
      <c r="B153" s="19">
        <v>45051</v>
      </c>
      <c r="C153" s="1" t="s">
        <v>36</v>
      </c>
      <c r="D153" t="s">
        <v>697</v>
      </c>
      <c r="E153">
        <v>107</v>
      </c>
      <c r="F153">
        <v>15</v>
      </c>
      <c r="G153">
        <v>74</v>
      </c>
      <c r="H153">
        <v>37576</v>
      </c>
    </row>
    <row r="154" spans="1:8" x14ac:dyDescent="0.25">
      <c r="A154">
        <v>5</v>
      </c>
      <c r="B154" s="19">
        <v>45013</v>
      </c>
      <c r="C154" s="1" t="s">
        <v>33</v>
      </c>
      <c r="D154" t="s">
        <v>697</v>
      </c>
      <c r="E154">
        <v>107</v>
      </c>
      <c r="F154">
        <v>13</v>
      </c>
      <c r="G154">
        <v>5</v>
      </c>
      <c r="H154">
        <v>27281</v>
      </c>
    </row>
    <row r="155" spans="1:8" x14ac:dyDescent="0.25">
      <c r="A155">
        <v>5</v>
      </c>
      <c r="B155" s="19">
        <v>45193</v>
      </c>
      <c r="C155" s="1" t="s">
        <v>33</v>
      </c>
      <c r="D155" t="s">
        <v>698</v>
      </c>
      <c r="E155">
        <v>105</v>
      </c>
      <c r="F155">
        <v>12</v>
      </c>
      <c r="G155">
        <v>87</v>
      </c>
      <c r="H155">
        <v>35506</v>
      </c>
    </row>
    <row r="156" spans="1:8" x14ac:dyDescent="0.25">
      <c r="A156">
        <v>5</v>
      </c>
      <c r="B156" s="19">
        <v>45183</v>
      </c>
      <c r="C156" s="1" t="s">
        <v>35</v>
      </c>
      <c r="D156" t="s">
        <v>698</v>
      </c>
      <c r="E156">
        <v>109</v>
      </c>
      <c r="F156">
        <v>14</v>
      </c>
      <c r="G156">
        <v>91</v>
      </c>
      <c r="H156">
        <v>11469</v>
      </c>
    </row>
    <row r="157" spans="1:8" x14ac:dyDescent="0.25">
      <c r="A157">
        <v>5</v>
      </c>
      <c r="B157" s="19">
        <v>45278</v>
      </c>
      <c r="C157" s="1" t="s">
        <v>33</v>
      </c>
      <c r="D157" t="s">
        <v>698</v>
      </c>
      <c r="E157">
        <v>107</v>
      </c>
      <c r="F157">
        <v>11</v>
      </c>
      <c r="G157">
        <v>65</v>
      </c>
      <c r="H157">
        <v>38629</v>
      </c>
    </row>
    <row r="158" spans="1:8" x14ac:dyDescent="0.25">
      <c r="A158">
        <v>5</v>
      </c>
      <c r="B158" s="19">
        <v>45165</v>
      </c>
      <c r="C158" s="1" t="s">
        <v>35</v>
      </c>
      <c r="D158" t="s">
        <v>698</v>
      </c>
      <c r="E158">
        <v>104</v>
      </c>
      <c r="F158">
        <v>13</v>
      </c>
      <c r="G158">
        <v>53</v>
      </c>
      <c r="H158">
        <v>40344</v>
      </c>
    </row>
    <row r="159" spans="1:8" x14ac:dyDescent="0.25">
      <c r="A159">
        <v>5</v>
      </c>
      <c r="B159" s="19">
        <v>44657</v>
      </c>
      <c r="C159" s="1" t="s">
        <v>36</v>
      </c>
      <c r="D159" t="s">
        <v>699</v>
      </c>
      <c r="E159">
        <v>104</v>
      </c>
      <c r="F159">
        <v>15</v>
      </c>
      <c r="G159">
        <v>92</v>
      </c>
      <c r="H159">
        <v>10021</v>
      </c>
    </row>
    <row r="160" spans="1:8" x14ac:dyDescent="0.25">
      <c r="A160">
        <v>5</v>
      </c>
      <c r="B160" s="19">
        <v>45349</v>
      </c>
      <c r="C160" s="1" t="s">
        <v>36</v>
      </c>
      <c r="D160" t="s">
        <v>699</v>
      </c>
      <c r="E160">
        <v>103</v>
      </c>
      <c r="F160">
        <v>11</v>
      </c>
      <c r="G160">
        <v>96</v>
      </c>
      <c r="H160">
        <v>20384</v>
      </c>
    </row>
    <row r="161" spans="1:8" x14ac:dyDescent="0.25">
      <c r="A161">
        <v>5</v>
      </c>
      <c r="B161" s="19">
        <v>44104</v>
      </c>
      <c r="C161" s="1" t="s">
        <v>35</v>
      </c>
      <c r="D161" t="s">
        <v>695</v>
      </c>
      <c r="E161">
        <v>103</v>
      </c>
      <c r="F161">
        <v>14</v>
      </c>
      <c r="G161">
        <v>97</v>
      </c>
      <c r="H161">
        <v>45802</v>
      </c>
    </row>
    <row r="162" spans="1:8" x14ac:dyDescent="0.25">
      <c r="A162">
        <v>5</v>
      </c>
      <c r="B162" s="19">
        <v>44620</v>
      </c>
      <c r="C162" s="1" t="s">
        <v>33</v>
      </c>
      <c r="D162" t="s">
        <v>695</v>
      </c>
      <c r="E162">
        <v>104</v>
      </c>
      <c r="F162">
        <v>13</v>
      </c>
      <c r="G162">
        <v>87</v>
      </c>
      <c r="H162">
        <v>42138</v>
      </c>
    </row>
    <row r="163" spans="1:8" x14ac:dyDescent="0.25">
      <c r="A163">
        <v>5</v>
      </c>
      <c r="B163" s="19">
        <v>45289</v>
      </c>
      <c r="C163" s="1" t="s">
        <v>34</v>
      </c>
      <c r="D163" t="s">
        <v>695</v>
      </c>
      <c r="E163">
        <v>105</v>
      </c>
      <c r="F163">
        <v>14</v>
      </c>
      <c r="G163">
        <v>43</v>
      </c>
      <c r="H163">
        <v>29291</v>
      </c>
    </row>
    <row r="164" spans="1:8" x14ac:dyDescent="0.25">
      <c r="A164">
        <v>5</v>
      </c>
      <c r="B164" s="19">
        <v>44639</v>
      </c>
      <c r="C164" s="1" t="s">
        <v>34</v>
      </c>
      <c r="D164" t="s">
        <v>695</v>
      </c>
      <c r="E164">
        <v>105</v>
      </c>
      <c r="F164">
        <v>14</v>
      </c>
      <c r="G164">
        <v>13</v>
      </c>
      <c r="H164">
        <v>49406</v>
      </c>
    </row>
    <row r="165" spans="1:8" x14ac:dyDescent="0.25">
      <c r="A165">
        <v>5</v>
      </c>
      <c r="B165" s="19">
        <v>44977</v>
      </c>
      <c r="C165" s="1" t="s">
        <v>35</v>
      </c>
      <c r="D165" t="s">
        <v>695</v>
      </c>
      <c r="E165">
        <v>107</v>
      </c>
      <c r="F165">
        <v>15</v>
      </c>
      <c r="G165">
        <v>39</v>
      </c>
      <c r="H165">
        <v>26871</v>
      </c>
    </row>
    <row r="166" spans="1:8" x14ac:dyDescent="0.25">
      <c r="A166">
        <v>5</v>
      </c>
      <c r="B166" s="19">
        <v>45125</v>
      </c>
      <c r="C166" s="1" t="s">
        <v>34</v>
      </c>
      <c r="D166" t="s">
        <v>692</v>
      </c>
      <c r="E166">
        <v>103</v>
      </c>
      <c r="F166">
        <v>12</v>
      </c>
      <c r="G166">
        <v>61</v>
      </c>
      <c r="H166">
        <v>37977</v>
      </c>
    </row>
    <row r="167" spans="1:8" x14ac:dyDescent="0.25">
      <c r="A167">
        <v>5</v>
      </c>
      <c r="B167" s="19">
        <v>45176</v>
      </c>
      <c r="C167" s="1" t="s">
        <v>36</v>
      </c>
      <c r="D167" t="s">
        <v>692</v>
      </c>
      <c r="E167">
        <v>105</v>
      </c>
      <c r="F167">
        <v>15</v>
      </c>
      <c r="G167">
        <v>70</v>
      </c>
      <c r="H167">
        <v>13539</v>
      </c>
    </row>
    <row r="168" spans="1:8" x14ac:dyDescent="0.25">
      <c r="A168">
        <v>5</v>
      </c>
      <c r="B168" s="19">
        <v>44578</v>
      </c>
      <c r="C168" s="1" t="s">
        <v>35</v>
      </c>
      <c r="D168" t="s">
        <v>693</v>
      </c>
      <c r="E168">
        <v>103</v>
      </c>
      <c r="F168">
        <v>11</v>
      </c>
      <c r="G168">
        <v>96</v>
      </c>
      <c r="H168">
        <v>28818</v>
      </c>
    </row>
    <row r="169" spans="1:8" x14ac:dyDescent="0.25">
      <c r="A169">
        <v>5</v>
      </c>
      <c r="B169" s="19">
        <v>44311</v>
      </c>
      <c r="C169" s="1" t="s">
        <v>33</v>
      </c>
      <c r="D169" t="s">
        <v>693</v>
      </c>
      <c r="E169">
        <v>103</v>
      </c>
      <c r="F169">
        <v>13</v>
      </c>
      <c r="G169">
        <v>11</v>
      </c>
      <c r="H169">
        <v>13708</v>
      </c>
    </row>
    <row r="170" spans="1:8" x14ac:dyDescent="0.25">
      <c r="A170">
        <v>5</v>
      </c>
      <c r="B170" s="19">
        <v>43871</v>
      </c>
      <c r="C170" s="1" t="s">
        <v>34</v>
      </c>
      <c r="D170" t="s">
        <v>693</v>
      </c>
      <c r="E170">
        <v>103</v>
      </c>
      <c r="F170">
        <v>15</v>
      </c>
      <c r="G170">
        <v>31</v>
      </c>
      <c r="H170">
        <v>20436</v>
      </c>
    </row>
    <row r="171" spans="1:8" x14ac:dyDescent="0.25">
      <c r="A171">
        <v>5</v>
      </c>
      <c r="B171" s="19">
        <v>44397</v>
      </c>
      <c r="C171" s="1" t="s">
        <v>35</v>
      </c>
      <c r="D171" t="s">
        <v>694</v>
      </c>
      <c r="E171">
        <v>104</v>
      </c>
      <c r="F171">
        <v>15</v>
      </c>
      <c r="G171">
        <v>48</v>
      </c>
      <c r="H171">
        <v>40429</v>
      </c>
    </row>
    <row r="172" spans="1:8" x14ac:dyDescent="0.25">
      <c r="A172">
        <v>6</v>
      </c>
      <c r="B172" s="19">
        <v>44822</v>
      </c>
      <c r="C172" s="1" t="s">
        <v>36</v>
      </c>
      <c r="D172" t="s">
        <v>690</v>
      </c>
      <c r="E172">
        <v>105</v>
      </c>
      <c r="F172">
        <v>13</v>
      </c>
      <c r="G172">
        <v>8</v>
      </c>
      <c r="H172">
        <v>42911</v>
      </c>
    </row>
    <row r="173" spans="1:8" x14ac:dyDescent="0.25">
      <c r="A173">
        <v>6</v>
      </c>
      <c r="B173" s="19">
        <v>44944</v>
      </c>
      <c r="C173" s="1" t="s">
        <v>33</v>
      </c>
      <c r="D173" t="s">
        <v>690</v>
      </c>
      <c r="E173">
        <v>105</v>
      </c>
      <c r="F173">
        <v>12</v>
      </c>
      <c r="G173">
        <v>68</v>
      </c>
      <c r="H173">
        <v>44312</v>
      </c>
    </row>
    <row r="174" spans="1:8" x14ac:dyDescent="0.25">
      <c r="A174">
        <v>6</v>
      </c>
      <c r="B174" s="19">
        <v>45586</v>
      </c>
      <c r="C174" s="1" t="s">
        <v>33</v>
      </c>
      <c r="D174" t="s">
        <v>690</v>
      </c>
      <c r="E174">
        <v>105</v>
      </c>
      <c r="F174">
        <v>14</v>
      </c>
      <c r="G174">
        <v>76</v>
      </c>
      <c r="H174">
        <v>26401</v>
      </c>
    </row>
    <row r="175" spans="1:8" x14ac:dyDescent="0.25">
      <c r="A175">
        <v>6</v>
      </c>
      <c r="B175" s="19">
        <v>44437</v>
      </c>
      <c r="C175" s="1" t="s">
        <v>36</v>
      </c>
      <c r="D175" t="s">
        <v>690</v>
      </c>
      <c r="E175">
        <v>103</v>
      </c>
      <c r="F175">
        <v>11</v>
      </c>
      <c r="G175">
        <v>81</v>
      </c>
      <c r="H175">
        <v>13985</v>
      </c>
    </row>
    <row r="176" spans="1:8" x14ac:dyDescent="0.25">
      <c r="A176">
        <v>6</v>
      </c>
      <c r="B176" s="19">
        <v>45566</v>
      </c>
      <c r="C176" s="1" t="s">
        <v>33</v>
      </c>
      <c r="D176" t="s">
        <v>690</v>
      </c>
      <c r="E176">
        <v>103</v>
      </c>
      <c r="F176">
        <v>15</v>
      </c>
      <c r="G176">
        <v>88</v>
      </c>
      <c r="H176">
        <v>36580</v>
      </c>
    </row>
    <row r="177" spans="1:8" x14ac:dyDescent="0.25">
      <c r="A177">
        <v>6</v>
      </c>
      <c r="B177" s="19">
        <v>44982</v>
      </c>
      <c r="C177" s="1" t="s">
        <v>36</v>
      </c>
      <c r="D177" t="s">
        <v>691</v>
      </c>
      <c r="E177">
        <v>105</v>
      </c>
      <c r="F177">
        <v>14</v>
      </c>
      <c r="G177">
        <v>9</v>
      </c>
      <c r="H177">
        <v>35019</v>
      </c>
    </row>
    <row r="178" spans="1:8" x14ac:dyDescent="0.25">
      <c r="A178">
        <v>6</v>
      </c>
      <c r="B178" s="19">
        <v>44343</v>
      </c>
      <c r="C178" s="1" t="s">
        <v>34</v>
      </c>
      <c r="D178" t="s">
        <v>700</v>
      </c>
      <c r="E178">
        <v>105</v>
      </c>
      <c r="F178">
        <v>11</v>
      </c>
      <c r="G178">
        <v>13</v>
      </c>
      <c r="H178">
        <v>37335</v>
      </c>
    </row>
    <row r="179" spans="1:8" x14ac:dyDescent="0.25">
      <c r="A179">
        <v>6</v>
      </c>
      <c r="B179" s="19">
        <v>43855</v>
      </c>
      <c r="C179" s="1" t="s">
        <v>36</v>
      </c>
      <c r="D179" t="s">
        <v>700</v>
      </c>
      <c r="E179">
        <v>107</v>
      </c>
      <c r="F179">
        <v>15</v>
      </c>
      <c r="G179">
        <v>89</v>
      </c>
      <c r="H179">
        <v>36387</v>
      </c>
    </row>
    <row r="180" spans="1:8" x14ac:dyDescent="0.25">
      <c r="A180">
        <v>6</v>
      </c>
      <c r="B180" s="19">
        <v>45467</v>
      </c>
      <c r="C180" s="1" t="s">
        <v>33</v>
      </c>
      <c r="D180" t="s">
        <v>700</v>
      </c>
      <c r="E180">
        <v>105</v>
      </c>
      <c r="F180">
        <v>14</v>
      </c>
      <c r="G180">
        <v>86</v>
      </c>
      <c r="H180">
        <v>39634</v>
      </c>
    </row>
    <row r="181" spans="1:8" x14ac:dyDescent="0.25">
      <c r="A181">
        <v>6</v>
      </c>
      <c r="B181" s="19">
        <v>44785</v>
      </c>
      <c r="C181" s="1" t="s">
        <v>33</v>
      </c>
      <c r="D181" t="s">
        <v>696</v>
      </c>
      <c r="E181">
        <v>103</v>
      </c>
      <c r="F181">
        <v>12</v>
      </c>
      <c r="G181">
        <v>47</v>
      </c>
      <c r="H181">
        <v>43379</v>
      </c>
    </row>
    <row r="182" spans="1:8" x14ac:dyDescent="0.25">
      <c r="A182">
        <v>6</v>
      </c>
      <c r="B182" s="19">
        <v>44487</v>
      </c>
      <c r="C182" s="1" t="s">
        <v>35</v>
      </c>
      <c r="D182" t="s">
        <v>696</v>
      </c>
      <c r="E182">
        <v>105</v>
      </c>
      <c r="F182">
        <v>11</v>
      </c>
      <c r="G182">
        <v>90</v>
      </c>
      <c r="H182">
        <v>10928</v>
      </c>
    </row>
    <row r="183" spans="1:8" x14ac:dyDescent="0.25">
      <c r="A183">
        <v>6</v>
      </c>
      <c r="B183" s="19">
        <v>44647</v>
      </c>
      <c r="C183" s="1" t="s">
        <v>33</v>
      </c>
      <c r="D183" t="s">
        <v>696</v>
      </c>
      <c r="E183">
        <v>105</v>
      </c>
      <c r="F183">
        <v>12</v>
      </c>
      <c r="G183">
        <v>59</v>
      </c>
      <c r="H183">
        <v>12871</v>
      </c>
    </row>
    <row r="184" spans="1:8" x14ac:dyDescent="0.25">
      <c r="A184">
        <v>6</v>
      </c>
      <c r="B184" s="19">
        <v>44560</v>
      </c>
      <c r="C184" s="1" t="s">
        <v>33</v>
      </c>
      <c r="D184" t="s">
        <v>696</v>
      </c>
      <c r="E184">
        <v>107</v>
      </c>
      <c r="F184">
        <v>15</v>
      </c>
      <c r="G184">
        <v>21</v>
      </c>
      <c r="H184">
        <v>35485</v>
      </c>
    </row>
    <row r="185" spans="1:8" x14ac:dyDescent="0.25">
      <c r="A185">
        <v>6</v>
      </c>
      <c r="B185" s="19">
        <v>45250</v>
      </c>
      <c r="C185" s="1" t="s">
        <v>36</v>
      </c>
      <c r="D185" t="s">
        <v>696</v>
      </c>
      <c r="E185">
        <v>105</v>
      </c>
      <c r="F185">
        <v>12</v>
      </c>
      <c r="G185">
        <v>10</v>
      </c>
      <c r="H185">
        <v>20013</v>
      </c>
    </row>
    <row r="186" spans="1:8" x14ac:dyDescent="0.25">
      <c r="A186">
        <v>6</v>
      </c>
      <c r="B186" s="19">
        <v>44486</v>
      </c>
      <c r="C186" s="1" t="s">
        <v>33</v>
      </c>
      <c r="D186" t="s">
        <v>697</v>
      </c>
      <c r="E186">
        <v>105</v>
      </c>
      <c r="F186">
        <v>11</v>
      </c>
      <c r="G186">
        <v>40</v>
      </c>
      <c r="H186">
        <v>43991</v>
      </c>
    </row>
    <row r="187" spans="1:8" x14ac:dyDescent="0.25">
      <c r="A187">
        <v>6</v>
      </c>
      <c r="B187" s="19">
        <v>44709</v>
      </c>
      <c r="C187" s="1" t="s">
        <v>35</v>
      </c>
      <c r="D187" t="s">
        <v>697</v>
      </c>
      <c r="E187">
        <v>103</v>
      </c>
      <c r="F187">
        <v>12</v>
      </c>
      <c r="G187">
        <v>44</v>
      </c>
      <c r="H187">
        <v>27881</v>
      </c>
    </row>
    <row r="188" spans="1:8" x14ac:dyDescent="0.25">
      <c r="A188">
        <v>6</v>
      </c>
      <c r="B188" s="19">
        <v>44077</v>
      </c>
      <c r="C188" s="1" t="s">
        <v>35</v>
      </c>
      <c r="D188" t="s">
        <v>697</v>
      </c>
      <c r="E188">
        <v>105</v>
      </c>
      <c r="F188">
        <v>15</v>
      </c>
      <c r="G188">
        <v>16</v>
      </c>
      <c r="H188">
        <v>20764</v>
      </c>
    </row>
    <row r="189" spans="1:8" x14ac:dyDescent="0.25">
      <c r="A189">
        <v>6</v>
      </c>
      <c r="B189" s="19">
        <v>45312</v>
      </c>
      <c r="C189" s="1" t="s">
        <v>35</v>
      </c>
      <c r="D189" t="s">
        <v>698</v>
      </c>
      <c r="E189">
        <v>105</v>
      </c>
      <c r="F189">
        <v>15</v>
      </c>
      <c r="G189">
        <v>59</v>
      </c>
      <c r="H189">
        <v>38113</v>
      </c>
    </row>
    <row r="190" spans="1:8" x14ac:dyDescent="0.25">
      <c r="A190">
        <v>6</v>
      </c>
      <c r="B190" s="19">
        <v>45012</v>
      </c>
      <c r="C190" s="1" t="s">
        <v>34</v>
      </c>
      <c r="D190" t="s">
        <v>698</v>
      </c>
      <c r="E190">
        <v>104</v>
      </c>
      <c r="F190">
        <v>11</v>
      </c>
      <c r="G190">
        <v>100</v>
      </c>
      <c r="H190">
        <v>46785</v>
      </c>
    </row>
    <row r="191" spans="1:8" x14ac:dyDescent="0.25">
      <c r="A191">
        <v>6</v>
      </c>
      <c r="B191" s="19">
        <v>44084</v>
      </c>
      <c r="C191" s="1" t="s">
        <v>33</v>
      </c>
      <c r="D191" t="s">
        <v>698</v>
      </c>
      <c r="E191">
        <v>105</v>
      </c>
      <c r="F191">
        <v>14</v>
      </c>
      <c r="G191">
        <v>40</v>
      </c>
      <c r="H191">
        <v>25135</v>
      </c>
    </row>
    <row r="192" spans="1:8" x14ac:dyDescent="0.25">
      <c r="A192">
        <v>6</v>
      </c>
      <c r="B192" s="19">
        <v>44793</v>
      </c>
      <c r="C192" s="1" t="s">
        <v>33</v>
      </c>
      <c r="D192" t="s">
        <v>698</v>
      </c>
      <c r="E192">
        <v>103</v>
      </c>
      <c r="F192">
        <v>12</v>
      </c>
      <c r="G192">
        <v>68</v>
      </c>
      <c r="H192">
        <v>15435</v>
      </c>
    </row>
    <row r="193" spans="1:8" x14ac:dyDescent="0.25">
      <c r="A193">
        <v>6</v>
      </c>
      <c r="B193" s="19">
        <v>45501</v>
      </c>
      <c r="C193" s="1" t="s">
        <v>35</v>
      </c>
      <c r="D193" t="s">
        <v>698</v>
      </c>
      <c r="E193">
        <v>107</v>
      </c>
      <c r="F193">
        <v>13</v>
      </c>
      <c r="G193">
        <v>9</v>
      </c>
      <c r="H193">
        <v>21264</v>
      </c>
    </row>
    <row r="194" spans="1:8" x14ac:dyDescent="0.25">
      <c r="A194">
        <v>6</v>
      </c>
      <c r="B194" s="19">
        <v>45307</v>
      </c>
      <c r="C194" s="1" t="s">
        <v>36</v>
      </c>
      <c r="D194" t="s">
        <v>699</v>
      </c>
      <c r="E194">
        <v>102</v>
      </c>
      <c r="F194">
        <v>12</v>
      </c>
      <c r="G194">
        <v>69</v>
      </c>
      <c r="H194">
        <v>25560</v>
      </c>
    </row>
    <row r="195" spans="1:8" x14ac:dyDescent="0.25">
      <c r="A195">
        <v>6</v>
      </c>
      <c r="B195" s="19">
        <v>44737</v>
      </c>
      <c r="C195" s="1" t="s">
        <v>34</v>
      </c>
      <c r="D195" t="s">
        <v>695</v>
      </c>
      <c r="E195">
        <v>104</v>
      </c>
      <c r="F195">
        <v>12</v>
      </c>
      <c r="G195">
        <v>67</v>
      </c>
      <c r="H195">
        <v>48109</v>
      </c>
    </row>
    <row r="196" spans="1:8" x14ac:dyDescent="0.25">
      <c r="A196">
        <v>6</v>
      </c>
      <c r="B196" s="19">
        <v>44130</v>
      </c>
      <c r="C196" s="1" t="s">
        <v>36</v>
      </c>
      <c r="D196" t="s">
        <v>695</v>
      </c>
      <c r="E196">
        <v>108</v>
      </c>
      <c r="F196">
        <v>11</v>
      </c>
      <c r="G196">
        <v>27</v>
      </c>
      <c r="H196">
        <v>35738</v>
      </c>
    </row>
    <row r="197" spans="1:8" x14ac:dyDescent="0.25">
      <c r="A197">
        <v>6</v>
      </c>
      <c r="B197" s="19">
        <v>44095</v>
      </c>
      <c r="C197" s="1" t="s">
        <v>33</v>
      </c>
      <c r="D197" t="s">
        <v>692</v>
      </c>
      <c r="E197">
        <v>104</v>
      </c>
      <c r="F197">
        <v>13</v>
      </c>
      <c r="G197">
        <v>14</v>
      </c>
      <c r="H197">
        <v>43647</v>
      </c>
    </row>
    <row r="198" spans="1:8" x14ac:dyDescent="0.25">
      <c r="A198">
        <v>6</v>
      </c>
      <c r="B198" s="19">
        <v>45450</v>
      </c>
      <c r="C198" s="1" t="s">
        <v>36</v>
      </c>
      <c r="D198" t="s">
        <v>693</v>
      </c>
      <c r="E198">
        <v>108</v>
      </c>
      <c r="F198">
        <v>14</v>
      </c>
      <c r="G198">
        <v>62</v>
      </c>
      <c r="H198">
        <v>33077</v>
      </c>
    </row>
    <row r="199" spans="1:8" x14ac:dyDescent="0.25">
      <c r="A199">
        <v>6</v>
      </c>
      <c r="B199" s="19">
        <v>45201</v>
      </c>
      <c r="C199" s="1" t="s">
        <v>33</v>
      </c>
      <c r="D199" t="s">
        <v>693</v>
      </c>
      <c r="E199">
        <v>105</v>
      </c>
      <c r="F199">
        <v>11</v>
      </c>
      <c r="G199">
        <v>41</v>
      </c>
      <c r="H199">
        <v>16372</v>
      </c>
    </row>
    <row r="200" spans="1:8" x14ac:dyDescent="0.25">
      <c r="A200">
        <v>6</v>
      </c>
      <c r="B200" s="19">
        <v>44787</v>
      </c>
      <c r="C200" s="1" t="s">
        <v>34</v>
      </c>
      <c r="D200" t="s">
        <v>693</v>
      </c>
      <c r="E200">
        <v>105</v>
      </c>
      <c r="F200">
        <v>11</v>
      </c>
      <c r="G200">
        <v>36</v>
      </c>
      <c r="H200">
        <v>28607</v>
      </c>
    </row>
    <row r="201" spans="1:8" x14ac:dyDescent="0.25">
      <c r="A201">
        <v>6</v>
      </c>
      <c r="B201" s="19">
        <v>45407</v>
      </c>
      <c r="C201" s="1" t="s">
        <v>34</v>
      </c>
      <c r="D201" t="s">
        <v>693</v>
      </c>
      <c r="E201">
        <v>102</v>
      </c>
      <c r="F201">
        <v>14</v>
      </c>
      <c r="G201">
        <v>50</v>
      </c>
      <c r="H201">
        <v>34225</v>
      </c>
    </row>
    <row r="202" spans="1:8" x14ac:dyDescent="0.25">
      <c r="A202">
        <v>6</v>
      </c>
      <c r="B202" s="19">
        <v>45273</v>
      </c>
      <c r="C202" s="1" t="s">
        <v>35</v>
      </c>
      <c r="D202" t="s">
        <v>694</v>
      </c>
      <c r="E202">
        <v>103</v>
      </c>
      <c r="F202">
        <v>15</v>
      </c>
      <c r="G202">
        <v>30</v>
      </c>
      <c r="H202">
        <v>49755</v>
      </c>
    </row>
    <row r="203" spans="1:8" x14ac:dyDescent="0.25">
      <c r="A203">
        <v>7</v>
      </c>
      <c r="B203" s="19">
        <v>44398</v>
      </c>
      <c r="C203" s="1" t="s">
        <v>35</v>
      </c>
      <c r="D203" t="s">
        <v>690</v>
      </c>
      <c r="E203">
        <v>104</v>
      </c>
      <c r="F203">
        <v>11</v>
      </c>
      <c r="G203">
        <v>76</v>
      </c>
      <c r="H203">
        <v>46303</v>
      </c>
    </row>
    <row r="204" spans="1:8" x14ac:dyDescent="0.25">
      <c r="A204">
        <v>7</v>
      </c>
      <c r="B204" s="19">
        <v>45270</v>
      </c>
      <c r="C204" s="1" t="s">
        <v>36</v>
      </c>
      <c r="D204" t="s">
        <v>690</v>
      </c>
      <c r="E204">
        <v>103</v>
      </c>
      <c r="F204">
        <v>12</v>
      </c>
      <c r="G204">
        <v>81</v>
      </c>
      <c r="H204">
        <v>43951</v>
      </c>
    </row>
    <row r="205" spans="1:8" x14ac:dyDescent="0.25">
      <c r="A205">
        <v>7</v>
      </c>
      <c r="B205" s="19">
        <v>45466</v>
      </c>
      <c r="C205" s="1" t="s">
        <v>36</v>
      </c>
      <c r="D205" t="s">
        <v>690</v>
      </c>
      <c r="E205">
        <v>102</v>
      </c>
      <c r="F205">
        <v>12</v>
      </c>
      <c r="G205">
        <v>24</v>
      </c>
      <c r="H205">
        <v>30355</v>
      </c>
    </row>
    <row r="206" spans="1:8" x14ac:dyDescent="0.25">
      <c r="A206">
        <v>7</v>
      </c>
      <c r="B206" s="19">
        <v>45121</v>
      </c>
      <c r="C206" s="1" t="s">
        <v>34</v>
      </c>
      <c r="D206" t="s">
        <v>691</v>
      </c>
      <c r="E206">
        <v>105</v>
      </c>
      <c r="F206">
        <v>11</v>
      </c>
      <c r="G206">
        <v>64</v>
      </c>
      <c r="H206">
        <v>34925</v>
      </c>
    </row>
    <row r="207" spans="1:8" x14ac:dyDescent="0.25">
      <c r="A207">
        <v>7</v>
      </c>
      <c r="B207" s="19">
        <v>43952</v>
      </c>
      <c r="C207" s="1" t="s">
        <v>34</v>
      </c>
      <c r="D207" t="s">
        <v>691</v>
      </c>
      <c r="E207">
        <v>105</v>
      </c>
      <c r="F207">
        <v>14</v>
      </c>
      <c r="G207">
        <v>36</v>
      </c>
      <c r="H207">
        <v>13408</v>
      </c>
    </row>
    <row r="208" spans="1:8" x14ac:dyDescent="0.25">
      <c r="A208">
        <v>7</v>
      </c>
      <c r="B208" s="19">
        <v>45048</v>
      </c>
      <c r="C208" s="1" t="s">
        <v>34</v>
      </c>
      <c r="D208" t="s">
        <v>700</v>
      </c>
      <c r="E208">
        <v>108</v>
      </c>
      <c r="F208">
        <v>15</v>
      </c>
      <c r="G208">
        <v>56</v>
      </c>
      <c r="H208">
        <v>48311</v>
      </c>
    </row>
    <row r="209" spans="1:8" x14ac:dyDescent="0.25">
      <c r="A209">
        <v>7</v>
      </c>
      <c r="B209" s="19">
        <v>44857</v>
      </c>
      <c r="C209" s="1" t="s">
        <v>36</v>
      </c>
      <c r="D209" t="s">
        <v>697</v>
      </c>
      <c r="E209">
        <v>105</v>
      </c>
      <c r="F209">
        <v>14</v>
      </c>
      <c r="G209">
        <v>7</v>
      </c>
      <c r="H209">
        <v>44770</v>
      </c>
    </row>
    <row r="210" spans="1:8" x14ac:dyDescent="0.25">
      <c r="A210">
        <v>7</v>
      </c>
      <c r="B210" s="19">
        <v>45244</v>
      </c>
      <c r="C210" s="1" t="s">
        <v>34</v>
      </c>
      <c r="D210" t="s">
        <v>698</v>
      </c>
      <c r="E210">
        <v>104</v>
      </c>
      <c r="F210">
        <v>13</v>
      </c>
      <c r="G210">
        <v>39</v>
      </c>
      <c r="H210">
        <v>32513</v>
      </c>
    </row>
    <row r="211" spans="1:8" x14ac:dyDescent="0.25">
      <c r="A211">
        <v>7</v>
      </c>
      <c r="B211" s="19">
        <v>44660</v>
      </c>
      <c r="C211" s="1" t="s">
        <v>36</v>
      </c>
      <c r="D211" t="s">
        <v>698</v>
      </c>
      <c r="E211">
        <v>105</v>
      </c>
      <c r="F211">
        <v>13</v>
      </c>
      <c r="G211">
        <v>64</v>
      </c>
      <c r="H211">
        <v>39444</v>
      </c>
    </row>
    <row r="212" spans="1:8" x14ac:dyDescent="0.25">
      <c r="A212">
        <v>7</v>
      </c>
      <c r="B212" s="19">
        <v>44131</v>
      </c>
      <c r="C212" s="1" t="s">
        <v>34</v>
      </c>
      <c r="D212" t="s">
        <v>698</v>
      </c>
      <c r="E212">
        <v>103</v>
      </c>
      <c r="F212">
        <v>12</v>
      </c>
      <c r="G212">
        <v>97</v>
      </c>
      <c r="H212">
        <v>37646</v>
      </c>
    </row>
    <row r="213" spans="1:8" x14ac:dyDescent="0.25">
      <c r="A213">
        <v>7</v>
      </c>
      <c r="B213" s="19">
        <v>45091</v>
      </c>
      <c r="C213" s="1" t="s">
        <v>35</v>
      </c>
      <c r="D213" t="s">
        <v>698</v>
      </c>
      <c r="E213">
        <v>104</v>
      </c>
      <c r="F213">
        <v>15</v>
      </c>
      <c r="G213">
        <v>88</v>
      </c>
      <c r="H213">
        <v>15791</v>
      </c>
    </row>
    <row r="214" spans="1:8" x14ac:dyDescent="0.25">
      <c r="A214">
        <v>7</v>
      </c>
      <c r="B214" s="19">
        <v>45072</v>
      </c>
      <c r="C214" s="1" t="s">
        <v>36</v>
      </c>
      <c r="D214" t="s">
        <v>698</v>
      </c>
      <c r="E214">
        <v>105</v>
      </c>
      <c r="F214">
        <v>14</v>
      </c>
      <c r="G214">
        <v>88</v>
      </c>
      <c r="H214">
        <v>44595</v>
      </c>
    </row>
    <row r="215" spans="1:8" x14ac:dyDescent="0.25">
      <c r="A215">
        <v>7</v>
      </c>
      <c r="B215" s="19">
        <v>44426</v>
      </c>
      <c r="C215" s="1" t="s">
        <v>34</v>
      </c>
      <c r="D215" t="s">
        <v>698</v>
      </c>
      <c r="E215">
        <v>105</v>
      </c>
      <c r="F215">
        <v>11</v>
      </c>
      <c r="G215">
        <v>31</v>
      </c>
      <c r="H215">
        <v>18090</v>
      </c>
    </row>
    <row r="216" spans="1:8" x14ac:dyDescent="0.25">
      <c r="A216">
        <v>7</v>
      </c>
      <c r="B216" s="19">
        <v>45277</v>
      </c>
      <c r="C216" s="1" t="s">
        <v>36</v>
      </c>
      <c r="D216" t="s">
        <v>698</v>
      </c>
      <c r="E216">
        <v>108</v>
      </c>
      <c r="F216">
        <v>13</v>
      </c>
      <c r="G216">
        <v>79</v>
      </c>
      <c r="H216">
        <v>44030</v>
      </c>
    </row>
    <row r="217" spans="1:8" x14ac:dyDescent="0.25">
      <c r="A217">
        <v>7</v>
      </c>
      <c r="B217" s="19">
        <v>44826</v>
      </c>
      <c r="C217" s="1" t="s">
        <v>34</v>
      </c>
      <c r="D217" t="s">
        <v>698</v>
      </c>
      <c r="E217">
        <v>103</v>
      </c>
      <c r="F217">
        <v>13</v>
      </c>
      <c r="G217">
        <v>15</v>
      </c>
      <c r="H217">
        <v>30968</v>
      </c>
    </row>
    <row r="218" spans="1:8" x14ac:dyDescent="0.25">
      <c r="A218">
        <v>7</v>
      </c>
      <c r="B218" s="19">
        <v>45221</v>
      </c>
      <c r="C218" s="1" t="s">
        <v>35</v>
      </c>
      <c r="D218" t="s">
        <v>699</v>
      </c>
      <c r="E218">
        <v>104</v>
      </c>
      <c r="F218">
        <v>15</v>
      </c>
      <c r="G218">
        <v>46</v>
      </c>
      <c r="H218">
        <v>10249</v>
      </c>
    </row>
    <row r="219" spans="1:8" x14ac:dyDescent="0.25">
      <c r="A219">
        <v>7</v>
      </c>
      <c r="B219" s="19">
        <v>45543</v>
      </c>
      <c r="C219" s="1" t="s">
        <v>35</v>
      </c>
      <c r="D219" t="s">
        <v>699</v>
      </c>
      <c r="E219">
        <v>104</v>
      </c>
      <c r="F219">
        <v>13</v>
      </c>
      <c r="G219">
        <v>19</v>
      </c>
      <c r="H219">
        <v>41659</v>
      </c>
    </row>
    <row r="220" spans="1:8" x14ac:dyDescent="0.25">
      <c r="A220">
        <v>7</v>
      </c>
      <c r="B220" s="19">
        <v>44632</v>
      </c>
      <c r="C220" s="1" t="s">
        <v>34</v>
      </c>
      <c r="D220" t="s">
        <v>699</v>
      </c>
      <c r="E220">
        <v>103</v>
      </c>
      <c r="F220">
        <v>11</v>
      </c>
      <c r="G220">
        <v>25</v>
      </c>
      <c r="H220">
        <v>34881</v>
      </c>
    </row>
    <row r="221" spans="1:8" x14ac:dyDescent="0.25">
      <c r="A221">
        <v>7</v>
      </c>
      <c r="B221" s="19">
        <v>43933</v>
      </c>
      <c r="C221" s="1" t="s">
        <v>35</v>
      </c>
      <c r="D221" t="s">
        <v>695</v>
      </c>
      <c r="E221">
        <v>103</v>
      </c>
      <c r="F221">
        <v>14</v>
      </c>
      <c r="G221">
        <v>16</v>
      </c>
      <c r="H221">
        <v>37786</v>
      </c>
    </row>
    <row r="222" spans="1:8" x14ac:dyDescent="0.25">
      <c r="A222">
        <v>7</v>
      </c>
      <c r="B222" s="19">
        <v>44043</v>
      </c>
      <c r="C222" s="1" t="s">
        <v>33</v>
      </c>
      <c r="D222" t="s">
        <v>695</v>
      </c>
      <c r="E222">
        <v>108</v>
      </c>
      <c r="F222">
        <v>15</v>
      </c>
      <c r="G222">
        <v>19</v>
      </c>
      <c r="H222">
        <v>47853</v>
      </c>
    </row>
    <row r="223" spans="1:8" x14ac:dyDescent="0.25">
      <c r="A223">
        <v>7</v>
      </c>
      <c r="B223" s="19">
        <v>44324</v>
      </c>
      <c r="C223" s="1" t="s">
        <v>35</v>
      </c>
      <c r="D223" t="s">
        <v>695</v>
      </c>
      <c r="E223">
        <v>107</v>
      </c>
      <c r="F223">
        <v>12</v>
      </c>
      <c r="G223">
        <v>78</v>
      </c>
      <c r="H223">
        <v>41878</v>
      </c>
    </row>
    <row r="224" spans="1:8" x14ac:dyDescent="0.25">
      <c r="A224">
        <v>7</v>
      </c>
      <c r="B224" s="19">
        <v>44599</v>
      </c>
      <c r="C224" s="1" t="s">
        <v>35</v>
      </c>
      <c r="D224" t="s">
        <v>692</v>
      </c>
      <c r="E224">
        <v>103</v>
      </c>
      <c r="F224">
        <v>13</v>
      </c>
      <c r="G224">
        <v>81</v>
      </c>
      <c r="H224">
        <v>19519</v>
      </c>
    </row>
    <row r="225" spans="1:8" x14ac:dyDescent="0.25">
      <c r="A225">
        <v>7</v>
      </c>
      <c r="B225" s="19">
        <v>44397</v>
      </c>
      <c r="C225" s="1" t="s">
        <v>35</v>
      </c>
      <c r="D225" t="s">
        <v>692</v>
      </c>
      <c r="E225">
        <v>103</v>
      </c>
      <c r="F225">
        <v>15</v>
      </c>
      <c r="G225">
        <v>39</v>
      </c>
      <c r="H225">
        <v>30413</v>
      </c>
    </row>
    <row r="226" spans="1:8" x14ac:dyDescent="0.25">
      <c r="A226">
        <v>7</v>
      </c>
      <c r="B226" s="19">
        <v>44636</v>
      </c>
      <c r="C226" s="1" t="s">
        <v>34</v>
      </c>
      <c r="D226" t="s">
        <v>692</v>
      </c>
      <c r="E226">
        <v>103</v>
      </c>
      <c r="F226">
        <v>14</v>
      </c>
      <c r="G226">
        <v>8</v>
      </c>
      <c r="H226">
        <v>11840</v>
      </c>
    </row>
    <row r="227" spans="1:8" x14ac:dyDescent="0.25">
      <c r="A227">
        <v>7</v>
      </c>
      <c r="B227" s="19">
        <v>44970</v>
      </c>
      <c r="C227" s="1" t="s">
        <v>33</v>
      </c>
      <c r="D227" t="s">
        <v>692</v>
      </c>
      <c r="E227">
        <v>104</v>
      </c>
      <c r="F227">
        <v>11</v>
      </c>
      <c r="G227">
        <v>87</v>
      </c>
      <c r="H227">
        <v>33267</v>
      </c>
    </row>
    <row r="228" spans="1:8" x14ac:dyDescent="0.25">
      <c r="A228">
        <v>7</v>
      </c>
      <c r="B228" s="19">
        <v>45091</v>
      </c>
      <c r="C228" s="1" t="s">
        <v>36</v>
      </c>
      <c r="D228" t="s">
        <v>692</v>
      </c>
      <c r="E228">
        <v>104</v>
      </c>
      <c r="F228">
        <v>14</v>
      </c>
      <c r="G228">
        <v>89</v>
      </c>
      <c r="H228">
        <v>28407</v>
      </c>
    </row>
    <row r="229" spans="1:8" x14ac:dyDescent="0.25">
      <c r="A229">
        <v>7</v>
      </c>
      <c r="B229" s="19">
        <v>43864</v>
      </c>
      <c r="C229" s="1" t="s">
        <v>33</v>
      </c>
      <c r="D229" t="s">
        <v>693</v>
      </c>
      <c r="E229">
        <v>103</v>
      </c>
      <c r="F229">
        <v>11</v>
      </c>
      <c r="G229">
        <v>77</v>
      </c>
      <c r="H229">
        <v>41681</v>
      </c>
    </row>
    <row r="230" spans="1:8" x14ac:dyDescent="0.25">
      <c r="A230">
        <v>7</v>
      </c>
      <c r="B230" s="19">
        <v>45183</v>
      </c>
      <c r="C230" s="1" t="s">
        <v>35</v>
      </c>
      <c r="D230" t="s">
        <v>694</v>
      </c>
      <c r="E230">
        <v>104</v>
      </c>
      <c r="F230">
        <v>14</v>
      </c>
      <c r="G230">
        <v>30</v>
      </c>
      <c r="H230">
        <v>35364</v>
      </c>
    </row>
    <row r="231" spans="1:8" x14ac:dyDescent="0.25">
      <c r="A231">
        <v>7</v>
      </c>
      <c r="B231" s="19">
        <v>44514</v>
      </c>
      <c r="C231" s="1" t="s">
        <v>34</v>
      </c>
      <c r="D231" t="s">
        <v>694</v>
      </c>
      <c r="E231">
        <v>103</v>
      </c>
      <c r="F231">
        <v>14</v>
      </c>
      <c r="G231">
        <v>91</v>
      </c>
      <c r="H231">
        <v>42209</v>
      </c>
    </row>
    <row r="232" spans="1:8" x14ac:dyDescent="0.25">
      <c r="A232">
        <v>8</v>
      </c>
      <c r="B232" s="19">
        <v>44272</v>
      </c>
      <c r="C232" s="1" t="s">
        <v>34</v>
      </c>
      <c r="D232" t="s">
        <v>690</v>
      </c>
      <c r="E232">
        <v>105</v>
      </c>
      <c r="F232">
        <v>14</v>
      </c>
      <c r="G232">
        <v>12</v>
      </c>
      <c r="H232">
        <v>10647</v>
      </c>
    </row>
    <row r="233" spans="1:8" x14ac:dyDescent="0.25">
      <c r="A233">
        <v>8</v>
      </c>
      <c r="B233" s="19">
        <v>45362</v>
      </c>
      <c r="C233" s="1" t="s">
        <v>33</v>
      </c>
      <c r="D233" t="s">
        <v>691</v>
      </c>
      <c r="E233">
        <v>105</v>
      </c>
      <c r="F233">
        <v>15</v>
      </c>
      <c r="G233">
        <v>65</v>
      </c>
      <c r="H233">
        <v>36310</v>
      </c>
    </row>
    <row r="234" spans="1:8" x14ac:dyDescent="0.25">
      <c r="A234">
        <v>8</v>
      </c>
      <c r="B234" s="19">
        <v>44624</v>
      </c>
      <c r="C234" s="1" t="s">
        <v>35</v>
      </c>
      <c r="D234" t="s">
        <v>691</v>
      </c>
      <c r="E234">
        <v>103</v>
      </c>
      <c r="F234">
        <v>13</v>
      </c>
      <c r="G234">
        <v>84</v>
      </c>
      <c r="H234">
        <v>44152</v>
      </c>
    </row>
    <row r="235" spans="1:8" x14ac:dyDescent="0.25">
      <c r="A235">
        <v>8</v>
      </c>
      <c r="B235" s="19">
        <v>44010</v>
      </c>
      <c r="C235" s="1" t="s">
        <v>36</v>
      </c>
      <c r="D235" t="s">
        <v>691</v>
      </c>
      <c r="E235">
        <v>105</v>
      </c>
      <c r="F235">
        <v>13</v>
      </c>
      <c r="G235">
        <v>49</v>
      </c>
      <c r="H235">
        <v>38211</v>
      </c>
    </row>
    <row r="236" spans="1:8" x14ac:dyDescent="0.25">
      <c r="A236">
        <v>8</v>
      </c>
      <c r="B236" s="19">
        <v>45022</v>
      </c>
      <c r="C236" s="1" t="s">
        <v>34</v>
      </c>
      <c r="D236" t="s">
        <v>691</v>
      </c>
      <c r="E236">
        <v>104</v>
      </c>
      <c r="F236">
        <v>12</v>
      </c>
      <c r="G236">
        <v>81</v>
      </c>
      <c r="H236">
        <v>38214</v>
      </c>
    </row>
    <row r="237" spans="1:8" x14ac:dyDescent="0.25">
      <c r="A237">
        <v>8</v>
      </c>
      <c r="B237" s="19">
        <v>45298</v>
      </c>
      <c r="C237" s="1" t="s">
        <v>33</v>
      </c>
      <c r="D237" t="s">
        <v>691</v>
      </c>
      <c r="E237">
        <v>102</v>
      </c>
      <c r="F237">
        <v>11</v>
      </c>
      <c r="G237">
        <v>30</v>
      </c>
      <c r="H237">
        <v>18756</v>
      </c>
    </row>
    <row r="238" spans="1:8" x14ac:dyDescent="0.25">
      <c r="A238">
        <v>8</v>
      </c>
      <c r="B238" s="19">
        <v>45169</v>
      </c>
      <c r="C238" s="1" t="s">
        <v>33</v>
      </c>
      <c r="D238" t="s">
        <v>700</v>
      </c>
      <c r="E238">
        <v>104</v>
      </c>
      <c r="F238">
        <v>12</v>
      </c>
      <c r="G238">
        <v>86</v>
      </c>
      <c r="H238">
        <v>43145</v>
      </c>
    </row>
    <row r="239" spans="1:8" x14ac:dyDescent="0.25">
      <c r="A239">
        <v>8</v>
      </c>
      <c r="B239" s="19">
        <v>44537</v>
      </c>
      <c r="C239" s="1" t="s">
        <v>34</v>
      </c>
      <c r="D239" t="s">
        <v>700</v>
      </c>
      <c r="E239">
        <v>104</v>
      </c>
      <c r="F239">
        <v>11</v>
      </c>
      <c r="G239">
        <v>44</v>
      </c>
      <c r="H239">
        <v>32396</v>
      </c>
    </row>
    <row r="240" spans="1:8" x14ac:dyDescent="0.25">
      <c r="A240">
        <v>8</v>
      </c>
      <c r="B240" s="19">
        <v>44907</v>
      </c>
      <c r="C240" s="1" t="s">
        <v>35</v>
      </c>
      <c r="D240" t="s">
        <v>700</v>
      </c>
      <c r="E240">
        <v>107</v>
      </c>
      <c r="F240">
        <v>12</v>
      </c>
      <c r="G240">
        <v>31</v>
      </c>
      <c r="H240">
        <v>11261</v>
      </c>
    </row>
    <row r="241" spans="1:8" x14ac:dyDescent="0.25">
      <c r="A241">
        <v>8</v>
      </c>
      <c r="B241" s="19">
        <v>44785</v>
      </c>
      <c r="C241" s="1" t="s">
        <v>36</v>
      </c>
      <c r="D241" t="s">
        <v>696</v>
      </c>
      <c r="E241">
        <v>103</v>
      </c>
      <c r="F241">
        <v>14</v>
      </c>
      <c r="G241">
        <v>6</v>
      </c>
      <c r="H241">
        <v>38861</v>
      </c>
    </row>
    <row r="242" spans="1:8" x14ac:dyDescent="0.25">
      <c r="A242">
        <v>8</v>
      </c>
      <c r="B242" s="19">
        <v>44063</v>
      </c>
      <c r="C242" s="1" t="s">
        <v>35</v>
      </c>
      <c r="D242" t="s">
        <v>696</v>
      </c>
      <c r="E242">
        <v>107</v>
      </c>
      <c r="F242">
        <v>14</v>
      </c>
      <c r="G242">
        <v>60</v>
      </c>
      <c r="H242">
        <v>29430</v>
      </c>
    </row>
    <row r="243" spans="1:8" x14ac:dyDescent="0.25">
      <c r="A243">
        <v>8</v>
      </c>
      <c r="B243" s="19">
        <v>45351</v>
      </c>
      <c r="C243" s="1" t="s">
        <v>35</v>
      </c>
      <c r="D243" t="s">
        <v>697</v>
      </c>
      <c r="E243">
        <v>103</v>
      </c>
      <c r="F243">
        <v>11</v>
      </c>
      <c r="G243">
        <v>82</v>
      </c>
      <c r="H243">
        <v>42661</v>
      </c>
    </row>
    <row r="244" spans="1:8" x14ac:dyDescent="0.25">
      <c r="A244">
        <v>8</v>
      </c>
      <c r="B244" s="19">
        <v>44947</v>
      </c>
      <c r="C244" s="1" t="s">
        <v>36</v>
      </c>
      <c r="D244" t="s">
        <v>698</v>
      </c>
      <c r="E244">
        <v>109</v>
      </c>
      <c r="F244">
        <v>12</v>
      </c>
      <c r="G244">
        <v>90</v>
      </c>
      <c r="H244">
        <v>37798</v>
      </c>
    </row>
    <row r="245" spans="1:8" x14ac:dyDescent="0.25">
      <c r="A245">
        <v>8</v>
      </c>
      <c r="B245" s="19">
        <v>44630</v>
      </c>
      <c r="C245" s="1" t="s">
        <v>35</v>
      </c>
      <c r="D245" t="s">
        <v>699</v>
      </c>
      <c r="E245">
        <v>105</v>
      </c>
      <c r="F245">
        <v>11</v>
      </c>
      <c r="G245">
        <v>80</v>
      </c>
      <c r="H245">
        <v>11727</v>
      </c>
    </row>
    <row r="246" spans="1:8" x14ac:dyDescent="0.25">
      <c r="A246">
        <v>8</v>
      </c>
      <c r="B246" s="19">
        <v>44124</v>
      </c>
      <c r="C246" s="1" t="s">
        <v>33</v>
      </c>
      <c r="D246" t="s">
        <v>695</v>
      </c>
      <c r="E246">
        <v>103</v>
      </c>
      <c r="F246">
        <v>15</v>
      </c>
      <c r="G246">
        <v>64</v>
      </c>
      <c r="H246">
        <v>21912</v>
      </c>
    </row>
    <row r="247" spans="1:8" x14ac:dyDescent="0.25">
      <c r="A247">
        <v>8</v>
      </c>
      <c r="B247" s="19">
        <v>45615</v>
      </c>
      <c r="C247" s="1" t="s">
        <v>34</v>
      </c>
      <c r="D247" t="s">
        <v>695</v>
      </c>
      <c r="E247">
        <v>103</v>
      </c>
      <c r="F247">
        <v>11</v>
      </c>
      <c r="G247">
        <v>84</v>
      </c>
      <c r="H247">
        <v>29432</v>
      </c>
    </row>
    <row r="248" spans="1:8" x14ac:dyDescent="0.25">
      <c r="A248">
        <v>8</v>
      </c>
      <c r="B248" s="19">
        <v>44919</v>
      </c>
      <c r="C248" s="1" t="s">
        <v>36</v>
      </c>
      <c r="D248" t="s">
        <v>695</v>
      </c>
      <c r="E248">
        <v>102</v>
      </c>
      <c r="F248">
        <v>11</v>
      </c>
      <c r="G248">
        <v>14</v>
      </c>
      <c r="H248">
        <v>32037</v>
      </c>
    </row>
    <row r="249" spans="1:8" x14ac:dyDescent="0.25">
      <c r="A249">
        <v>8</v>
      </c>
      <c r="B249" s="19">
        <v>44580</v>
      </c>
      <c r="C249" s="1" t="s">
        <v>36</v>
      </c>
      <c r="D249" t="s">
        <v>695</v>
      </c>
      <c r="E249">
        <v>106</v>
      </c>
      <c r="F249">
        <v>12</v>
      </c>
      <c r="G249">
        <v>62</v>
      </c>
      <c r="H249">
        <v>30516</v>
      </c>
    </row>
    <row r="250" spans="1:8" x14ac:dyDescent="0.25">
      <c r="A250">
        <v>8</v>
      </c>
      <c r="B250" s="19">
        <v>45420</v>
      </c>
      <c r="C250" s="1" t="s">
        <v>35</v>
      </c>
      <c r="D250" t="s">
        <v>695</v>
      </c>
      <c r="E250">
        <v>103</v>
      </c>
      <c r="F250">
        <v>11</v>
      </c>
      <c r="G250">
        <v>59</v>
      </c>
      <c r="H250">
        <v>11714</v>
      </c>
    </row>
    <row r="251" spans="1:8" x14ac:dyDescent="0.25">
      <c r="A251">
        <v>8</v>
      </c>
      <c r="B251" s="19">
        <v>44253</v>
      </c>
      <c r="C251" s="1" t="s">
        <v>33</v>
      </c>
      <c r="D251" t="s">
        <v>693</v>
      </c>
      <c r="E251">
        <v>104</v>
      </c>
      <c r="F251">
        <v>13</v>
      </c>
      <c r="G251">
        <v>94</v>
      </c>
      <c r="H251">
        <v>25019</v>
      </c>
    </row>
    <row r="252" spans="1:8" x14ac:dyDescent="0.25">
      <c r="A252">
        <v>8</v>
      </c>
      <c r="B252" s="19">
        <v>44688</v>
      </c>
      <c r="C252" s="1" t="s">
        <v>34</v>
      </c>
      <c r="D252" t="s">
        <v>694</v>
      </c>
      <c r="E252">
        <v>103</v>
      </c>
      <c r="F252">
        <v>12</v>
      </c>
      <c r="G252">
        <v>82</v>
      </c>
      <c r="H252">
        <v>27880</v>
      </c>
    </row>
    <row r="253" spans="1:8" x14ac:dyDescent="0.25">
      <c r="A253">
        <v>8</v>
      </c>
      <c r="B253" s="19">
        <v>44019</v>
      </c>
      <c r="C253" s="1" t="s">
        <v>33</v>
      </c>
      <c r="D253" t="s">
        <v>694</v>
      </c>
      <c r="E253">
        <v>108</v>
      </c>
      <c r="F253">
        <v>14</v>
      </c>
      <c r="G253">
        <v>15</v>
      </c>
      <c r="H253">
        <v>48141</v>
      </c>
    </row>
    <row r="254" spans="1:8" x14ac:dyDescent="0.25">
      <c r="A254">
        <v>8</v>
      </c>
      <c r="B254" s="19">
        <v>44950</v>
      </c>
      <c r="C254" s="1" t="s">
        <v>35</v>
      </c>
      <c r="D254" t="s">
        <v>694</v>
      </c>
      <c r="E254">
        <v>104</v>
      </c>
      <c r="F254">
        <v>12</v>
      </c>
      <c r="G254">
        <v>56</v>
      </c>
      <c r="H254">
        <v>38597</v>
      </c>
    </row>
    <row r="255" spans="1:8" x14ac:dyDescent="0.25">
      <c r="A255">
        <v>8</v>
      </c>
      <c r="B255" s="19">
        <v>44129</v>
      </c>
      <c r="C255" s="1" t="s">
        <v>35</v>
      </c>
      <c r="D255" t="s">
        <v>694</v>
      </c>
      <c r="E255">
        <v>104</v>
      </c>
      <c r="F255">
        <v>15</v>
      </c>
      <c r="G255">
        <v>45</v>
      </c>
      <c r="H255">
        <v>29461</v>
      </c>
    </row>
    <row r="256" spans="1:8" x14ac:dyDescent="0.25">
      <c r="A256">
        <v>8</v>
      </c>
      <c r="B256" s="19">
        <v>45057</v>
      </c>
      <c r="C256" s="1" t="s">
        <v>33</v>
      </c>
      <c r="D256" t="s">
        <v>694</v>
      </c>
      <c r="E256">
        <v>105</v>
      </c>
      <c r="F256">
        <v>13</v>
      </c>
      <c r="G256">
        <v>100</v>
      </c>
      <c r="H256">
        <v>40506</v>
      </c>
    </row>
    <row r="257" spans="1:8" x14ac:dyDescent="0.25">
      <c r="A257">
        <v>9</v>
      </c>
      <c r="B257" s="19">
        <v>44799</v>
      </c>
      <c r="C257" s="1" t="s">
        <v>36</v>
      </c>
      <c r="D257" t="s">
        <v>690</v>
      </c>
      <c r="E257">
        <v>104</v>
      </c>
      <c r="F257">
        <v>13</v>
      </c>
      <c r="G257">
        <v>85</v>
      </c>
      <c r="H257">
        <v>16883</v>
      </c>
    </row>
    <row r="258" spans="1:8" x14ac:dyDescent="0.25">
      <c r="A258">
        <v>9</v>
      </c>
      <c r="B258" s="19">
        <v>45094</v>
      </c>
      <c r="C258" s="1" t="s">
        <v>36</v>
      </c>
      <c r="D258" t="s">
        <v>690</v>
      </c>
      <c r="E258">
        <v>107</v>
      </c>
      <c r="F258">
        <v>11</v>
      </c>
      <c r="G258">
        <v>31</v>
      </c>
      <c r="H258">
        <v>34867</v>
      </c>
    </row>
    <row r="259" spans="1:8" x14ac:dyDescent="0.25">
      <c r="A259">
        <v>9</v>
      </c>
      <c r="B259" s="19">
        <v>43856</v>
      </c>
      <c r="C259" s="1" t="s">
        <v>34</v>
      </c>
      <c r="D259" t="s">
        <v>691</v>
      </c>
      <c r="E259">
        <v>105</v>
      </c>
      <c r="F259">
        <v>12</v>
      </c>
      <c r="G259">
        <v>7</v>
      </c>
      <c r="H259">
        <v>49129</v>
      </c>
    </row>
    <row r="260" spans="1:8" x14ac:dyDescent="0.25">
      <c r="A260">
        <v>9</v>
      </c>
      <c r="B260" s="19">
        <v>44682</v>
      </c>
      <c r="C260" s="1" t="s">
        <v>35</v>
      </c>
      <c r="D260" t="s">
        <v>691</v>
      </c>
      <c r="E260">
        <v>102</v>
      </c>
      <c r="F260">
        <v>14</v>
      </c>
      <c r="G260">
        <v>31</v>
      </c>
      <c r="H260">
        <v>49448</v>
      </c>
    </row>
    <row r="261" spans="1:8" x14ac:dyDescent="0.25">
      <c r="A261">
        <v>9</v>
      </c>
      <c r="B261" s="19">
        <v>44519</v>
      </c>
      <c r="C261" s="1" t="s">
        <v>34</v>
      </c>
      <c r="D261" t="s">
        <v>691</v>
      </c>
      <c r="E261">
        <v>103</v>
      </c>
      <c r="F261">
        <v>12</v>
      </c>
      <c r="G261">
        <v>55</v>
      </c>
      <c r="H261">
        <v>35554</v>
      </c>
    </row>
    <row r="262" spans="1:8" x14ac:dyDescent="0.25">
      <c r="A262">
        <v>9</v>
      </c>
      <c r="B262" s="19">
        <v>44394</v>
      </c>
      <c r="C262" s="1" t="s">
        <v>35</v>
      </c>
      <c r="D262" t="s">
        <v>691</v>
      </c>
      <c r="E262">
        <v>105</v>
      </c>
      <c r="F262">
        <v>12</v>
      </c>
      <c r="G262">
        <v>38</v>
      </c>
      <c r="H262">
        <v>18797</v>
      </c>
    </row>
    <row r="263" spans="1:8" x14ac:dyDescent="0.25">
      <c r="A263">
        <v>9</v>
      </c>
      <c r="B263" s="19">
        <v>43913</v>
      </c>
      <c r="C263" s="1" t="s">
        <v>34</v>
      </c>
      <c r="D263" t="s">
        <v>700</v>
      </c>
      <c r="E263">
        <v>104</v>
      </c>
      <c r="F263">
        <v>11</v>
      </c>
      <c r="G263">
        <v>71</v>
      </c>
      <c r="H263">
        <v>22061</v>
      </c>
    </row>
    <row r="264" spans="1:8" x14ac:dyDescent="0.25">
      <c r="A264">
        <v>9</v>
      </c>
      <c r="B264" s="19">
        <v>44624</v>
      </c>
      <c r="C264" s="1" t="s">
        <v>35</v>
      </c>
      <c r="D264" t="s">
        <v>700</v>
      </c>
      <c r="E264">
        <v>107</v>
      </c>
      <c r="F264">
        <v>15</v>
      </c>
      <c r="G264">
        <v>86</v>
      </c>
      <c r="H264">
        <v>44928</v>
      </c>
    </row>
    <row r="265" spans="1:8" x14ac:dyDescent="0.25">
      <c r="A265">
        <v>9</v>
      </c>
      <c r="B265" s="19">
        <v>44675</v>
      </c>
      <c r="C265" s="1" t="s">
        <v>35</v>
      </c>
      <c r="D265" t="s">
        <v>700</v>
      </c>
      <c r="E265">
        <v>101</v>
      </c>
      <c r="F265">
        <v>13</v>
      </c>
      <c r="G265">
        <v>75</v>
      </c>
      <c r="H265">
        <v>44105</v>
      </c>
    </row>
    <row r="266" spans="1:8" x14ac:dyDescent="0.25">
      <c r="A266">
        <v>9</v>
      </c>
      <c r="B266" s="19">
        <v>44834</v>
      </c>
      <c r="C266" s="1" t="s">
        <v>35</v>
      </c>
      <c r="D266" t="s">
        <v>700</v>
      </c>
      <c r="E266">
        <v>105</v>
      </c>
      <c r="F266">
        <v>13</v>
      </c>
      <c r="G266">
        <v>60</v>
      </c>
      <c r="H266">
        <v>25757</v>
      </c>
    </row>
    <row r="267" spans="1:8" x14ac:dyDescent="0.25">
      <c r="A267">
        <v>9</v>
      </c>
      <c r="B267" s="19">
        <v>44256</v>
      </c>
      <c r="C267" s="1" t="s">
        <v>33</v>
      </c>
      <c r="D267" t="s">
        <v>696</v>
      </c>
      <c r="E267">
        <v>105</v>
      </c>
      <c r="F267">
        <v>14</v>
      </c>
      <c r="G267">
        <v>35</v>
      </c>
      <c r="H267">
        <v>14631</v>
      </c>
    </row>
    <row r="268" spans="1:8" x14ac:dyDescent="0.25">
      <c r="A268">
        <v>9</v>
      </c>
      <c r="B268" s="19">
        <v>45582</v>
      </c>
      <c r="C268" s="1" t="s">
        <v>35</v>
      </c>
      <c r="D268" t="s">
        <v>697</v>
      </c>
      <c r="E268">
        <v>106</v>
      </c>
      <c r="F268">
        <v>15</v>
      </c>
      <c r="G268">
        <v>58</v>
      </c>
      <c r="H268">
        <v>26057</v>
      </c>
    </row>
    <row r="269" spans="1:8" x14ac:dyDescent="0.25">
      <c r="A269">
        <v>9</v>
      </c>
      <c r="B269" s="19">
        <v>44531</v>
      </c>
      <c r="C269" s="1" t="s">
        <v>33</v>
      </c>
      <c r="D269" t="s">
        <v>697</v>
      </c>
      <c r="E269">
        <v>103</v>
      </c>
      <c r="F269">
        <v>11</v>
      </c>
      <c r="G269">
        <v>82</v>
      </c>
      <c r="H269">
        <v>27881</v>
      </c>
    </row>
    <row r="270" spans="1:8" x14ac:dyDescent="0.25">
      <c r="A270">
        <v>9</v>
      </c>
      <c r="B270" s="19">
        <v>44688</v>
      </c>
      <c r="C270" s="1" t="s">
        <v>33</v>
      </c>
      <c r="D270" t="s">
        <v>697</v>
      </c>
      <c r="E270">
        <v>107</v>
      </c>
      <c r="F270">
        <v>12</v>
      </c>
      <c r="G270">
        <v>32</v>
      </c>
      <c r="H270">
        <v>41856</v>
      </c>
    </row>
    <row r="271" spans="1:8" x14ac:dyDescent="0.25">
      <c r="A271">
        <v>9</v>
      </c>
      <c r="B271" s="19">
        <v>45092</v>
      </c>
      <c r="C271" s="1" t="s">
        <v>33</v>
      </c>
      <c r="D271" t="s">
        <v>697</v>
      </c>
      <c r="E271">
        <v>107</v>
      </c>
      <c r="F271">
        <v>13</v>
      </c>
      <c r="G271">
        <v>20</v>
      </c>
      <c r="H271">
        <v>35732</v>
      </c>
    </row>
    <row r="272" spans="1:8" x14ac:dyDescent="0.25">
      <c r="A272">
        <v>9</v>
      </c>
      <c r="B272" s="19">
        <v>44723</v>
      </c>
      <c r="C272" s="1" t="s">
        <v>35</v>
      </c>
      <c r="D272" t="s">
        <v>697</v>
      </c>
      <c r="E272">
        <v>101</v>
      </c>
      <c r="F272">
        <v>13</v>
      </c>
      <c r="G272">
        <v>89</v>
      </c>
      <c r="H272">
        <v>42803</v>
      </c>
    </row>
    <row r="273" spans="1:8" x14ac:dyDescent="0.25">
      <c r="A273">
        <v>9</v>
      </c>
      <c r="B273" s="19">
        <v>44419</v>
      </c>
      <c r="C273" s="1" t="s">
        <v>36</v>
      </c>
      <c r="D273" t="s">
        <v>698</v>
      </c>
      <c r="E273">
        <v>103</v>
      </c>
      <c r="F273">
        <v>11</v>
      </c>
      <c r="G273">
        <v>43</v>
      </c>
      <c r="H273">
        <v>49152</v>
      </c>
    </row>
    <row r="274" spans="1:8" x14ac:dyDescent="0.25">
      <c r="A274">
        <v>9</v>
      </c>
      <c r="B274" s="19">
        <v>44333</v>
      </c>
      <c r="C274" s="1" t="s">
        <v>35</v>
      </c>
      <c r="D274" t="s">
        <v>698</v>
      </c>
      <c r="E274">
        <v>109</v>
      </c>
      <c r="F274">
        <v>12</v>
      </c>
      <c r="G274">
        <v>79</v>
      </c>
      <c r="H274">
        <v>45583</v>
      </c>
    </row>
    <row r="275" spans="1:8" x14ac:dyDescent="0.25">
      <c r="A275">
        <v>9</v>
      </c>
      <c r="B275" s="19">
        <v>45342</v>
      </c>
      <c r="C275" s="1" t="s">
        <v>33</v>
      </c>
      <c r="D275" t="s">
        <v>699</v>
      </c>
      <c r="E275">
        <v>103</v>
      </c>
      <c r="F275">
        <v>12</v>
      </c>
      <c r="G275">
        <v>90</v>
      </c>
      <c r="H275">
        <v>46412</v>
      </c>
    </row>
    <row r="276" spans="1:8" x14ac:dyDescent="0.25">
      <c r="A276">
        <v>9</v>
      </c>
      <c r="B276" s="19">
        <v>44552</v>
      </c>
      <c r="C276" s="1" t="s">
        <v>36</v>
      </c>
      <c r="D276" t="s">
        <v>699</v>
      </c>
      <c r="E276">
        <v>105</v>
      </c>
      <c r="F276">
        <v>15</v>
      </c>
      <c r="G276">
        <v>81</v>
      </c>
      <c r="H276">
        <v>39087</v>
      </c>
    </row>
    <row r="277" spans="1:8" x14ac:dyDescent="0.25">
      <c r="A277">
        <v>9</v>
      </c>
      <c r="B277" s="19">
        <v>44367</v>
      </c>
      <c r="C277" s="1" t="s">
        <v>36</v>
      </c>
      <c r="D277" t="s">
        <v>699</v>
      </c>
      <c r="E277">
        <v>104</v>
      </c>
      <c r="F277">
        <v>12</v>
      </c>
      <c r="G277">
        <v>75</v>
      </c>
      <c r="H277">
        <v>49522</v>
      </c>
    </row>
    <row r="278" spans="1:8" x14ac:dyDescent="0.25">
      <c r="A278">
        <v>9</v>
      </c>
      <c r="B278" s="19">
        <v>44730</v>
      </c>
      <c r="C278" s="1" t="s">
        <v>34</v>
      </c>
      <c r="D278" t="s">
        <v>695</v>
      </c>
      <c r="E278">
        <v>105</v>
      </c>
      <c r="F278">
        <v>11</v>
      </c>
      <c r="G278">
        <v>84</v>
      </c>
      <c r="H278">
        <v>33165</v>
      </c>
    </row>
    <row r="279" spans="1:8" x14ac:dyDescent="0.25">
      <c r="A279">
        <v>9</v>
      </c>
      <c r="B279" s="19">
        <v>44221</v>
      </c>
      <c r="C279" s="1" t="s">
        <v>34</v>
      </c>
      <c r="D279" t="s">
        <v>695</v>
      </c>
      <c r="E279">
        <v>104</v>
      </c>
      <c r="F279">
        <v>13</v>
      </c>
      <c r="G279">
        <v>28</v>
      </c>
      <c r="H279">
        <v>16348</v>
      </c>
    </row>
    <row r="280" spans="1:8" x14ac:dyDescent="0.25">
      <c r="A280">
        <v>9</v>
      </c>
      <c r="B280" s="19">
        <v>45160</v>
      </c>
      <c r="C280" s="1" t="s">
        <v>34</v>
      </c>
      <c r="D280" t="s">
        <v>695</v>
      </c>
      <c r="E280">
        <v>103</v>
      </c>
      <c r="F280">
        <v>12</v>
      </c>
      <c r="G280">
        <v>5</v>
      </c>
      <c r="H280">
        <v>38803</v>
      </c>
    </row>
    <row r="281" spans="1:8" x14ac:dyDescent="0.25">
      <c r="A281">
        <v>9</v>
      </c>
      <c r="B281" s="19">
        <v>44111</v>
      </c>
      <c r="C281" s="1" t="s">
        <v>33</v>
      </c>
      <c r="D281" t="s">
        <v>692</v>
      </c>
      <c r="E281">
        <v>103</v>
      </c>
      <c r="F281">
        <v>11</v>
      </c>
      <c r="G281">
        <v>55</v>
      </c>
      <c r="H281">
        <v>26821</v>
      </c>
    </row>
    <row r="282" spans="1:8" x14ac:dyDescent="0.25">
      <c r="A282">
        <v>9</v>
      </c>
      <c r="B282" s="19">
        <v>44984</v>
      </c>
      <c r="C282" s="1" t="s">
        <v>35</v>
      </c>
      <c r="D282" t="s">
        <v>692</v>
      </c>
      <c r="E282">
        <v>105</v>
      </c>
      <c r="F282">
        <v>12</v>
      </c>
      <c r="G282">
        <v>60</v>
      </c>
      <c r="H282">
        <v>27877</v>
      </c>
    </row>
    <row r="283" spans="1:8" x14ac:dyDescent="0.25">
      <c r="A283">
        <v>9</v>
      </c>
      <c r="B283" s="19">
        <v>45581</v>
      </c>
      <c r="C283" s="1" t="s">
        <v>35</v>
      </c>
      <c r="D283" t="s">
        <v>693</v>
      </c>
      <c r="E283">
        <v>109</v>
      </c>
      <c r="F283">
        <v>12</v>
      </c>
      <c r="G283">
        <v>76</v>
      </c>
      <c r="H283">
        <v>18624</v>
      </c>
    </row>
    <row r="284" spans="1:8" x14ac:dyDescent="0.25">
      <c r="A284">
        <v>9</v>
      </c>
      <c r="B284" s="19">
        <v>44269</v>
      </c>
      <c r="C284" s="1" t="s">
        <v>34</v>
      </c>
      <c r="D284" t="s">
        <v>693</v>
      </c>
      <c r="E284">
        <v>103</v>
      </c>
      <c r="F284">
        <v>15</v>
      </c>
      <c r="G284">
        <v>33</v>
      </c>
      <c r="H284">
        <v>19337</v>
      </c>
    </row>
    <row r="285" spans="1:8" x14ac:dyDescent="0.25">
      <c r="A285">
        <v>9</v>
      </c>
      <c r="B285" s="19">
        <v>45596</v>
      </c>
      <c r="C285" s="1" t="s">
        <v>36</v>
      </c>
      <c r="D285" t="s">
        <v>694</v>
      </c>
      <c r="E285">
        <v>101</v>
      </c>
      <c r="F285">
        <v>15</v>
      </c>
      <c r="G285">
        <v>39</v>
      </c>
      <c r="H285">
        <v>15671</v>
      </c>
    </row>
    <row r="286" spans="1:8" x14ac:dyDescent="0.25">
      <c r="A286">
        <v>9</v>
      </c>
      <c r="B286" s="19">
        <v>43971</v>
      </c>
      <c r="C286" s="1" t="s">
        <v>33</v>
      </c>
      <c r="D286" t="s">
        <v>694</v>
      </c>
      <c r="E286">
        <v>104</v>
      </c>
      <c r="F286">
        <v>13</v>
      </c>
      <c r="G286">
        <v>52</v>
      </c>
      <c r="H286">
        <v>33885</v>
      </c>
    </row>
    <row r="287" spans="1:8" x14ac:dyDescent="0.25">
      <c r="A287">
        <v>9</v>
      </c>
      <c r="B287" s="19">
        <v>44328</v>
      </c>
      <c r="C287" s="1" t="s">
        <v>34</v>
      </c>
      <c r="D287" t="s">
        <v>694</v>
      </c>
      <c r="E287">
        <v>105</v>
      </c>
      <c r="F287">
        <v>11</v>
      </c>
      <c r="G287">
        <v>76</v>
      </c>
      <c r="H287">
        <v>36317</v>
      </c>
    </row>
    <row r="288" spans="1:8" x14ac:dyDescent="0.25">
      <c r="A288">
        <v>9</v>
      </c>
      <c r="B288" s="19">
        <v>44773</v>
      </c>
      <c r="C288" s="1" t="s">
        <v>34</v>
      </c>
      <c r="D288" t="s">
        <v>694</v>
      </c>
      <c r="E288">
        <v>104</v>
      </c>
      <c r="F288">
        <v>12</v>
      </c>
      <c r="G288">
        <v>38</v>
      </c>
      <c r="H288">
        <v>26018</v>
      </c>
    </row>
    <row r="289" spans="1:8" x14ac:dyDescent="0.25">
      <c r="A289">
        <v>10</v>
      </c>
      <c r="B289" s="19">
        <v>45313</v>
      </c>
      <c r="C289" s="1" t="s">
        <v>34</v>
      </c>
      <c r="D289" t="s">
        <v>700</v>
      </c>
      <c r="E289">
        <v>103</v>
      </c>
      <c r="F289">
        <v>13</v>
      </c>
      <c r="G289">
        <v>74</v>
      </c>
      <c r="H289">
        <v>12574</v>
      </c>
    </row>
    <row r="290" spans="1:8" x14ac:dyDescent="0.25">
      <c r="A290">
        <v>10</v>
      </c>
      <c r="B290" s="19">
        <v>45455</v>
      </c>
      <c r="C290" s="1" t="s">
        <v>34</v>
      </c>
      <c r="D290" t="s">
        <v>700</v>
      </c>
      <c r="E290">
        <v>104</v>
      </c>
      <c r="F290">
        <v>15</v>
      </c>
      <c r="G290">
        <v>6</v>
      </c>
      <c r="H290">
        <v>26840</v>
      </c>
    </row>
    <row r="291" spans="1:8" x14ac:dyDescent="0.25">
      <c r="A291">
        <v>10</v>
      </c>
      <c r="B291" s="19">
        <v>44361</v>
      </c>
      <c r="C291" s="1" t="s">
        <v>34</v>
      </c>
      <c r="D291" t="s">
        <v>696</v>
      </c>
      <c r="E291">
        <v>105</v>
      </c>
      <c r="F291">
        <v>15</v>
      </c>
      <c r="G291">
        <v>42</v>
      </c>
      <c r="H291">
        <v>45849</v>
      </c>
    </row>
    <row r="292" spans="1:8" x14ac:dyDescent="0.25">
      <c r="A292">
        <v>10</v>
      </c>
      <c r="B292" s="19">
        <v>44908</v>
      </c>
      <c r="C292" s="1" t="s">
        <v>36</v>
      </c>
      <c r="D292" t="s">
        <v>696</v>
      </c>
      <c r="E292">
        <v>103</v>
      </c>
      <c r="F292">
        <v>13</v>
      </c>
      <c r="G292">
        <v>77</v>
      </c>
      <c r="H292">
        <v>28653</v>
      </c>
    </row>
    <row r="293" spans="1:8" x14ac:dyDescent="0.25">
      <c r="A293">
        <v>10</v>
      </c>
      <c r="B293" s="19">
        <v>44670</v>
      </c>
      <c r="C293" s="1" t="s">
        <v>36</v>
      </c>
      <c r="D293" t="s">
        <v>696</v>
      </c>
      <c r="E293">
        <v>105</v>
      </c>
      <c r="F293">
        <v>13</v>
      </c>
      <c r="G293">
        <v>15</v>
      </c>
      <c r="H293">
        <v>39685</v>
      </c>
    </row>
    <row r="294" spans="1:8" x14ac:dyDescent="0.25">
      <c r="A294">
        <v>10</v>
      </c>
      <c r="B294" s="19">
        <v>45126</v>
      </c>
      <c r="C294" s="1" t="s">
        <v>35</v>
      </c>
      <c r="D294" t="s">
        <v>696</v>
      </c>
      <c r="E294">
        <v>103</v>
      </c>
      <c r="F294">
        <v>12</v>
      </c>
      <c r="G294">
        <v>13</v>
      </c>
      <c r="H294">
        <v>30388</v>
      </c>
    </row>
    <row r="295" spans="1:8" x14ac:dyDescent="0.25">
      <c r="A295">
        <v>10</v>
      </c>
      <c r="B295" s="19">
        <v>44953</v>
      </c>
      <c r="C295" s="1" t="s">
        <v>35</v>
      </c>
      <c r="D295" t="s">
        <v>696</v>
      </c>
      <c r="E295">
        <v>105</v>
      </c>
      <c r="F295">
        <v>12</v>
      </c>
      <c r="G295">
        <v>66</v>
      </c>
      <c r="H295">
        <v>35290</v>
      </c>
    </row>
    <row r="296" spans="1:8" x14ac:dyDescent="0.25">
      <c r="A296">
        <v>10</v>
      </c>
      <c r="B296" s="19">
        <v>45536</v>
      </c>
      <c r="C296" s="1" t="s">
        <v>34</v>
      </c>
      <c r="D296" t="s">
        <v>697</v>
      </c>
      <c r="E296">
        <v>102</v>
      </c>
      <c r="F296">
        <v>11</v>
      </c>
      <c r="G296">
        <v>22</v>
      </c>
      <c r="H296">
        <v>45787</v>
      </c>
    </row>
    <row r="297" spans="1:8" x14ac:dyDescent="0.25">
      <c r="A297">
        <v>10</v>
      </c>
      <c r="B297" s="19">
        <v>44194</v>
      </c>
      <c r="C297" s="1" t="s">
        <v>33</v>
      </c>
      <c r="D297" t="s">
        <v>697</v>
      </c>
      <c r="E297">
        <v>105</v>
      </c>
      <c r="F297">
        <v>15</v>
      </c>
      <c r="G297">
        <v>41</v>
      </c>
      <c r="H297">
        <v>46623</v>
      </c>
    </row>
    <row r="298" spans="1:8" x14ac:dyDescent="0.25">
      <c r="A298">
        <v>10</v>
      </c>
      <c r="B298" s="19">
        <v>44886</v>
      </c>
      <c r="C298" s="1" t="s">
        <v>35</v>
      </c>
      <c r="D298" t="s">
        <v>697</v>
      </c>
      <c r="E298">
        <v>103</v>
      </c>
      <c r="F298">
        <v>14</v>
      </c>
      <c r="G298">
        <v>79</v>
      </c>
      <c r="H298">
        <v>21660</v>
      </c>
    </row>
    <row r="299" spans="1:8" x14ac:dyDescent="0.25">
      <c r="A299">
        <v>10</v>
      </c>
      <c r="B299" s="19">
        <v>43935</v>
      </c>
      <c r="C299" s="1" t="s">
        <v>36</v>
      </c>
      <c r="D299" t="s">
        <v>699</v>
      </c>
      <c r="E299">
        <v>104</v>
      </c>
      <c r="F299">
        <v>12</v>
      </c>
      <c r="G299">
        <v>74</v>
      </c>
      <c r="H299">
        <v>34788</v>
      </c>
    </row>
    <row r="300" spans="1:8" x14ac:dyDescent="0.25">
      <c r="A300">
        <v>10</v>
      </c>
      <c r="B300" s="19">
        <v>45650</v>
      </c>
      <c r="C300" s="1" t="s">
        <v>35</v>
      </c>
      <c r="D300" t="s">
        <v>699</v>
      </c>
      <c r="E300">
        <v>103</v>
      </c>
      <c r="F300">
        <v>11</v>
      </c>
      <c r="G300">
        <v>34</v>
      </c>
      <c r="H300">
        <v>24530</v>
      </c>
    </row>
    <row r="301" spans="1:8" x14ac:dyDescent="0.25">
      <c r="A301">
        <v>10</v>
      </c>
      <c r="B301" s="19">
        <v>44782</v>
      </c>
      <c r="C301" s="1" t="s">
        <v>34</v>
      </c>
      <c r="D301" t="s">
        <v>695</v>
      </c>
      <c r="E301">
        <v>108</v>
      </c>
      <c r="F301">
        <v>13</v>
      </c>
      <c r="G301">
        <v>82</v>
      </c>
      <c r="H301">
        <v>15635</v>
      </c>
    </row>
    <row r="302" spans="1:8" x14ac:dyDescent="0.25">
      <c r="A302">
        <v>10</v>
      </c>
      <c r="B302" s="19">
        <v>44826</v>
      </c>
      <c r="C302" s="1" t="s">
        <v>34</v>
      </c>
      <c r="D302" t="s">
        <v>695</v>
      </c>
      <c r="E302">
        <v>108</v>
      </c>
      <c r="F302">
        <v>13</v>
      </c>
      <c r="G302">
        <v>80</v>
      </c>
      <c r="H302">
        <v>11849</v>
      </c>
    </row>
    <row r="303" spans="1:8" x14ac:dyDescent="0.25">
      <c r="A303">
        <v>10</v>
      </c>
      <c r="B303" s="19">
        <v>45032</v>
      </c>
      <c r="C303" s="1" t="s">
        <v>35</v>
      </c>
      <c r="D303" t="s">
        <v>695</v>
      </c>
      <c r="E303">
        <v>102</v>
      </c>
      <c r="F303">
        <v>14</v>
      </c>
      <c r="G303">
        <v>9</v>
      </c>
      <c r="H303">
        <v>45514</v>
      </c>
    </row>
    <row r="304" spans="1:8" x14ac:dyDescent="0.25">
      <c r="A304">
        <v>10</v>
      </c>
      <c r="B304" s="19">
        <v>45475</v>
      </c>
      <c r="C304" s="1" t="s">
        <v>33</v>
      </c>
      <c r="D304" t="s">
        <v>695</v>
      </c>
      <c r="E304">
        <v>104</v>
      </c>
      <c r="F304">
        <v>11</v>
      </c>
      <c r="G304">
        <v>66</v>
      </c>
      <c r="H304">
        <v>39908</v>
      </c>
    </row>
    <row r="305" spans="1:8" x14ac:dyDescent="0.25">
      <c r="A305">
        <v>10</v>
      </c>
      <c r="B305" s="19">
        <v>44333</v>
      </c>
      <c r="C305" s="1" t="s">
        <v>34</v>
      </c>
      <c r="D305" t="s">
        <v>695</v>
      </c>
      <c r="E305">
        <v>104</v>
      </c>
      <c r="F305">
        <v>15</v>
      </c>
      <c r="G305">
        <v>81</v>
      </c>
      <c r="H305">
        <v>12861</v>
      </c>
    </row>
    <row r="306" spans="1:8" x14ac:dyDescent="0.25">
      <c r="A306">
        <v>10</v>
      </c>
      <c r="B306" s="19">
        <v>44861</v>
      </c>
      <c r="C306" s="1" t="s">
        <v>34</v>
      </c>
      <c r="D306" t="s">
        <v>695</v>
      </c>
      <c r="E306">
        <v>104</v>
      </c>
      <c r="F306">
        <v>14</v>
      </c>
      <c r="G306">
        <v>66</v>
      </c>
      <c r="H306">
        <v>17039</v>
      </c>
    </row>
    <row r="307" spans="1:8" x14ac:dyDescent="0.25">
      <c r="A307">
        <v>10</v>
      </c>
      <c r="B307" s="19">
        <v>44944</v>
      </c>
      <c r="C307" s="1" t="s">
        <v>33</v>
      </c>
      <c r="D307" t="s">
        <v>695</v>
      </c>
      <c r="E307">
        <v>101</v>
      </c>
      <c r="F307">
        <v>14</v>
      </c>
      <c r="G307">
        <v>68</v>
      </c>
      <c r="H307">
        <v>47613</v>
      </c>
    </row>
    <row r="308" spans="1:8" x14ac:dyDescent="0.25">
      <c r="A308">
        <v>10</v>
      </c>
      <c r="B308" s="19">
        <v>44883</v>
      </c>
      <c r="C308" s="1" t="s">
        <v>35</v>
      </c>
      <c r="D308" t="s">
        <v>692</v>
      </c>
      <c r="E308">
        <v>104</v>
      </c>
      <c r="F308">
        <v>14</v>
      </c>
      <c r="G308">
        <v>45</v>
      </c>
      <c r="H308">
        <v>39998</v>
      </c>
    </row>
    <row r="309" spans="1:8" x14ac:dyDescent="0.25">
      <c r="A309">
        <v>10</v>
      </c>
      <c r="B309" s="19">
        <v>44359</v>
      </c>
      <c r="C309" s="1" t="s">
        <v>35</v>
      </c>
      <c r="D309" t="s">
        <v>692</v>
      </c>
      <c r="E309">
        <v>109</v>
      </c>
      <c r="F309">
        <v>11</v>
      </c>
      <c r="G309">
        <v>75</v>
      </c>
      <c r="H309">
        <v>22541</v>
      </c>
    </row>
    <row r="310" spans="1:8" x14ac:dyDescent="0.25">
      <c r="A310">
        <v>10</v>
      </c>
      <c r="B310" s="19">
        <v>44890</v>
      </c>
      <c r="C310" s="1" t="s">
        <v>33</v>
      </c>
      <c r="D310" t="s">
        <v>692</v>
      </c>
      <c r="E310">
        <v>105</v>
      </c>
      <c r="F310">
        <v>14</v>
      </c>
      <c r="G310">
        <v>89</v>
      </c>
      <c r="H310">
        <v>26916</v>
      </c>
    </row>
    <row r="311" spans="1:8" x14ac:dyDescent="0.25">
      <c r="A311">
        <v>10</v>
      </c>
      <c r="B311" s="19">
        <v>45316</v>
      </c>
      <c r="C311" s="1" t="s">
        <v>34</v>
      </c>
      <c r="D311" t="s">
        <v>693</v>
      </c>
      <c r="E311">
        <v>105</v>
      </c>
      <c r="F311">
        <v>11</v>
      </c>
      <c r="G311">
        <v>60</v>
      </c>
      <c r="H311">
        <v>34508</v>
      </c>
    </row>
    <row r="312" spans="1:8" x14ac:dyDescent="0.25">
      <c r="A312">
        <v>10</v>
      </c>
      <c r="B312" s="19">
        <v>45123</v>
      </c>
      <c r="C312" s="1" t="s">
        <v>33</v>
      </c>
      <c r="D312" t="s">
        <v>693</v>
      </c>
      <c r="E312">
        <v>105</v>
      </c>
      <c r="F312">
        <v>12</v>
      </c>
      <c r="G312">
        <v>34</v>
      </c>
      <c r="H312">
        <v>26452</v>
      </c>
    </row>
    <row r="313" spans="1:8" x14ac:dyDescent="0.25">
      <c r="A313">
        <v>10</v>
      </c>
      <c r="B313" s="19">
        <v>45019</v>
      </c>
      <c r="C313" s="1" t="s">
        <v>34</v>
      </c>
      <c r="D313" t="s">
        <v>693</v>
      </c>
      <c r="E313">
        <v>105</v>
      </c>
      <c r="F313">
        <v>12</v>
      </c>
      <c r="G313">
        <v>32</v>
      </c>
      <c r="H313">
        <v>45673</v>
      </c>
    </row>
    <row r="314" spans="1:8" x14ac:dyDescent="0.25">
      <c r="A314">
        <v>10</v>
      </c>
      <c r="B314" s="19">
        <v>45371</v>
      </c>
      <c r="C314" s="1" t="s">
        <v>33</v>
      </c>
      <c r="D314" t="s">
        <v>693</v>
      </c>
      <c r="E314">
        <v>105</v>
      </c>
      <c r="F314">
        <v>13</v>
      </c>
      <c r="G314">
        <v>60</v>
      </c>
      <c r="H314">
        <v>31581</v>
      </c>
    </row>
    <row r="315" spans="1:8" x14ac:dyDescent="0.25">
      <c r="A315">
        <v>10</v>
      </c>
      <c r="B315" s="19">
        <v>45294</v>
      </c>
      <c r="C315" s="1" t="s">
        <v>35</v>
      </c>
      <c r="D315" t="s">
        <v>694</v>
      </c>
      <c r="E315">
        <v>107</v>
      </c>
      <c r="F315">
        <v>14</v>
      </c>
      <c r="G315">
        <v>23</v>
      </c>
      <c r="H315">
        <v>43981</v>
      </c>
    </row>
    <row r="316" spans="1:8" x14ac:dyDescent="0.25">
      <c r="A316">
        <v>10</v>
      </c>
      <c r="B316" s="19">
        <v>44899</v>
      </c>
      <c r="C316" s="1" t="s">
        <v>34</v>
      </c>
      <c r="D316" t="s">
        <v>694</v>
      </c>
      <c r="E316">
        <v>103</v>
      </c>
      <c r="F316">
        <v>14</v>
      </c>
      <c r="G316">
        <v>98</v>
      </c>
      <c r="H316">
        <v>25080</v>
      </c>
    </row>
    <row r="317" spans="1:8" x14ac:dyDescent="0.25">
      <c r="A317">
        <v>11</v>
      </c>
      <c r="B317" s="19">
        <v>44218</v>
      </c>
      <c r="C317" s="1" t="s">
        <v>34</v>
      </c>
      <c r="D317" t="s">
        <v>690</v>
      </c>
      <c r="E317">
        <v>102</v>
      </c>
      <c r="F317">
        <v>14</v>
      </c>
      <c r="G317">
        <v>90</v>
      </c>
      <c r="H317">
        <v>29292</v>
      </c>
    </row>
    <row r="318" spans="1:8" x14ac:dyDescent="0.25">
      <c r="A318">
        <v>11</v>
      </c>
      <c r="B318" s="19">
        <v>44245</v>
      </c>
      <c r="C318" s="1" t="s">
        <v>36</v>
      </c>
      <c r="D318" t="s">
        <v>691</v>
      </c>
      <c r="E318">
        <v>103</v>
      </c>
      <c r="F318">
        <v>11</v>
      </c>
      <c r="G318">
        <v>70</v>
      </c>
      <c r="H318">
        <v>14194</v>
      </c>
    </row>
    <row r="319" spans="1:8" x14ac:dyDescent="0.25">
      <c r="A319">
        <v>11</v>
      </c>
      <c r="B319" s="19">
        <v>45342</v>
      </c>
      <c r="C319" s="1" t="s">
        <v>34</v>
      </c>
      <c r="D319" t="s">
        <v>691</v>
      </c>
      <c r="E319">
        <v>103</v>
      </c>
      <c r="F319">
        <v>13</v>
      </c>
      <c r="G319">
        <v>50</v>
      </c>
      <c r="H319">
        <v>37205</v>
      </c>
    </row>
    <row r="320" spans="1:8" x14ac:dyDescent="0.25">
      <c r="A320">
        <v>11</v>
      </c>
      <c r="B320" s="19">
        <v>45368</v>
      </c>
      <c r="C320" s="1" t="s">
        <v>36</v>
      </c>
      <c r="D320" t="s">
        <v>691</v>
      </c>
      <c r="E320">
        <v>104</v>
      </c>
      <c r="F320">
        <v>14</v>
      </c>
      <c r="G320">
        <v>46</v>
      </c>
      <c r="H320">
        <v>41506</v>
      </c>
    </row>
    <row r="321" spans="1:8" x14ac:dyDescent="0.25">
      <c r="A321">
        <v>11</v>
      </c>
      <c r="B321" s="19">
        <v>44895</v>
      </c>
      <c r="C321" s="1" t="s">
        <v>33</v>
      </c>
      <c r="D321" t="s">
        <v>700</v>
      </c>
      <c r="E321">
        <v>107</v>
      </c>
      <c r="F321">
        <v>12</v>
      </c>
      <c r="G321">
        <v>37</v>
      </c>
      <c r="H321">
        <v>19514</v>
      </c>
    </row>
    <row r="322" spans="1:8" x14ac:dyDescent="0.25">
      <c r="A322">
        <v>11</v>
      </c>
      <c r="B322" s="19">
        <v>44540</v>
      </c>
      <c r="C322" s="1" t="s">
        <v>34</v>
      </c>
      <c r="D322" t="s">
        <v>700</v>
      </c>
      <c r="E322">
        <v>104</v>
      </c>
      <c r="F322">
        <v>15</v>
      </c>
      <c r="G322">
        <v>16</v>
      </c>
      <c r="H322">
        <v>13842</v>
      </c>
    </row>
    <row r="323" spans="1:8" x14ac:dyDescent="0.25">
      <c r="A323">
        <v>11</v>
      </c>
      <c r="B323" s="19">
        <v>44598</v>
      </c>
      <c r="C323" s="1" t="s">
        <v>36</v>
      </c>
      <c r="D323" t="s">
        <v>700</v>
      </c>
      <c r="E323">
        <v>103</v>
      </c>
      <c r="F323">
        <v>14</v>
      </c>
      <c r="G323">
        <v>86</v>
      </c>
      <c r="H323">
        <v>40058</v>
      </c>
    </row>
    <row r="324" spans="1:8" x14ac:dyDescent="0.25">
      <c r="A324">
        <v>11</v>
      </c>
      <c r="B324" s="19">
        <v>43979</v>
      </c>
      <c r="C324" s="1" t="s">
        <v>35</v>
      </c>
      <c r="D324" t="s">
        <v>700</v>
      </c>
      <c r="E324">
        <v>104</v>
      </c>
      <c r="F324">
        <v>14</v>
      </c>
      <c r="G324">
        <v>29</v>
      </c>
      <c r="H324">
        <v>34150</v>
      </c>
    </row>
    <row r="325" spans="1:8" x14ac:dyDescent="0.25">
      <c r="A325">
        <v>11</v>
      </c>
      <c r="B325" s="19">
        <v>44943</v>
      </c>
      <c r="C325" s="1" t="s">
        <v>33</v>
      </c>
      <c r="D325" t="s">
        <v>700</v>
      </c>
      <c r="E325">
        <v>105</v>
      </c>
      <c r="F325">
        <v>13</v>
      </c>
      <c r="G325">
        <v>48</v>
      </c>
      <c r="H325">
        <v>32695</v>
      </c>
    </row>
    <row r="326" spans="1:8" x14ac:dyDescent="0.25">
      <c r="A326">
        <v>11</v>
      </c>
      <c r="B326" s="19">
        <v>44963</v>
      </c>
      <c r="C326" s="1" t="s">
        <v>34</v>
      </c>
      <c r="D326" t="s">
        <v>700</v>
      </c>
      <c r="E326">
        <v>103</v>
      </c>
      <c r="F326">
        <v>11</v>
      </c>
      <c r="G326">
        <v>27</v>
      </c>
      <c r="H326">
        <v>36675</v>
      </c>
    </row>
    <row r="327" spans="1:8" x14ac:dyDescent="0.25">
      <c r="A327">
        <v>11</v>
      </c>
      <c r="B327" s="19">
        <v>45449</v>
      </c>
      <c r="C327" s="1" t="s">
        <v>35</v>
      </c>
      <c r="D327" t="s">
        <v>696</v>
      </c>
      <c r="E327">
        <v>103</v>
      </c>
      <c r="F327">
        <v>15</v>
      </c>
      <c r="G327">
        <v>97</v>
      </c>
      <c r="H327">
        <v>26215</v>
      </c>
    </row>
    <row r="328" spans="1:8" x14ac:dyDescent="0.25">
      <c r="A328">
        <v>11</v>
      </c>
      <c r="B328" s="19">
        <v>44322</v>
      </c>
      <c r="C328" s="1" t="s">
        <v>36</v>
      </c>
      <c r="D328" t="s">
        <v>696</v>
      </c>
      <c r="E328">
        <v>107</v>
      </c>
      <c r="F328">
        <v>12</v>
      </c>
      <c r="G328">
        <v>89</v>
      </c>
      <c r="H328">
        <v>25477</v>
      </c>
    </row>
    <row r="329" spans="1:8" x14ac:dyDescent="0.25">
      <c r="A329">
        <v>11</v>
      </c>
      <c r="B329" s="19">
        <v>44522</v>
      </c>
      <c r="C329" s="1" t="s">
        <v>34</v>
      </c>
      <c r="D329" t="s">
        <v>696</v>
      </c>
      <c r="E329">
        <v>103</v>
      </c>
      <c r="F329">
        <v>11</v>
      </c>
      <c r="G329">
        <v>31</v>
      </c>
      <c r="H329">
        <v>40835</v>
      </c>
    </row>
    <row r="330" spans="1:8" x14ac:dyDescent="0.25">
      <c r="A330">
        <v>11</v>
      </c>
      <c r="B330" s="19">
        <v>44109</v>
      </c>
      <c r="C330" s="1" t="s">
        <v>34</v>
      </c>
      <c r="D330" t="s">
        <v>697</v>
      </c>
      <c r="E330">
        <v>105</v>
      </c>
      <c r="F330">
        <v>12</v>
      </c>
      <c r="G330">
        <v>17</v>
      </c>
      <c r="H330">
        <v>29694</v>
      </c>
    </row>
    <row r="331" spans="1:8" x14ac:dyDescent="0.25">
      <c r="A331">
        <v>11</v>
      </c>
      <c r="B331" s="19">
        <v>44620</v>
      </c>
      <c r="C331" s="1" t="s">
        <v>36</v>
      </c>
      <c r="D331" t="s">
        <v>697</v>
      </c>
      <c r="E331">
        <v>104</v>
      </c>
      <c r="F331">
        <v>15</v>
      </c>
      <c r="G331">
        <v>26</v>
      </c>
      <c r="H331">
        <v>31004</v>
      </c>
    </row>
    <row r="332" spans="1:8" x14ac:dyDescent="0.25">
      <c r="A332">
        <v>11</v>
      </c>
      <c r="B332" s="19">
        <v>43895</v>
      </c>
      <c r="C332" s="1" t="s">
        <v>36</v>
      </c>
      <c r="D332" t="s">
        <v>697</v>
      </c>
      <c r="E332">
        <v>107</v>
      </c>
      <c r="F332">
        <v>14</v>
      </c>
      <c r="G332">
        <v>34</v>
      </c>
      <c r="H332">
        <v>26264</v>
      </c>
    </row>
    <row r="333" spans="1:8" x14ac:dyDescent="0.25">
      <c r="A333">
        <v>11</v>
      </c>
      <c r="B333" s="19">
        <v>45627</v>
      </c>
      <c r="C333" s="1" t="s">
        <v>36</v>
      </c>
      <c r="D333" t="s">
        <v>697</v>
      </c>
      <c r="E333">
        <v>107</v>
      </c>
      <c r="F333">
        <v>12</v>
      </c>
      <c r="G333">
        <v>11</v>
      </c>
      <c r="H333">
        <v>42704</v>
      </c>
    </row>
    <row r="334" spans="1:8" x14ac:dyDescent="0.25">
      <c r="A334">
        <v>11</v>
      </c>
      <c r="B334" s="19">
        <v>45124</v>
      </c>
      <c r="C334" s="1" t="s">
        <v>34</v>
      </c>
      <c r="D334" t="s">
        <v>699</v>
      </c>
      <c r="E334">
        <v>105</v>
      </c>
      <c r="F334">
        <v>15</v>
      </c>
      <c r="G334">
        <v>62</v>
      </c>
      <c r="H334">
        <v>12824</v>
      </c>
    </row>
    <row r="335" spans="1:8" x14ac:dyDescent="0.25">
      <c r="A335">
        <v>11</v>
      </c>
      <c r="B335" s="19">
        <v>45298</v>
      </c>
      <c r="C335" s="1" t="s">
        <v>36</v>
      </c>
      <c r="D335" t="s">
        <v>699</v>
      </c>
      <c r="E335">
        <v>104</v>
      </c>
      <c r="F335">
        <v>12</v>
      </c>
      <c r="G335">
        <v>11</v>
      </c>
      <c r="H335">
        <v>15842</v>
      </c>
    </row>
    <row r="336" spans="1:8" x14ac:dyDescent="0.25">
      <c r="A336">
        <v>11</v>
      </c>
      <c r="B336" s="19">
        <v>45086</v>
      </c>
      <c r="C336" s="1" t="s">
        <v>33</v>
      </c>
      <c r="D336" t="s">
        <v>699</v>
      </c>
      <c r="E336">
        <v>101</v>
      </c>
      <c r="F336">
        <v>14</v>
      </c>
      <c r="G336">
        <v>73</v>
      </c>
      <c r="H336">
        <v>45349</v>
      </c>
    </row>
    <row r="337" spans="1:8" x14ac:dyDescent="0.25">
      <c r="A337">
        <v>11</v>
      </c>
      <c r="B337" s="19">
        <v>43951</v>
      </c>
      <c r="C337" s="1" t="s">
        <v>36</v>
      </c>
      <c r="D337" t="s">
        <v>699</v>
      </c>
      <c r="E337">
        <v>104</v>
      </c>
      <c r="F337">
        <v>13</v>
      </c>
      <c r="G337">
        <v>7</v>
      </c>
      <c r="H337">
        <v>46591</v>
      </c>
    </row>
    <row r="338" spans="1:8" x14ac:dyDescent="0.25">
      <c r="A338">
        <v>11</v>
      </c>
      <c r="B338" s="19">
        <v>44391</v>
      </c>
      <c r="C338" s="1" t="s">
        <v>33</v>
      </c>
      <c r="D338" t="s">
        <v>699</v>
      </c>
      <c r="E338">
        <v>103</v>
      </c>
      <c r="F338">
        <v>12</v>
      </c>
      <c r="G338">
        <v>72</v>
      </c>
      <c r="H338">
        <v>15968</v>
      </c>
    </row>
    <row r="339" spans="1:8" x14ac:dyDescent="0.25">
      <c r="A339">
        <v>11</v>
      </c>
      <c r="B339" s="19">
        <v>44612</v>
      </c>
      <c r="C339" s="1" t="s">
        <v>36</v>
      </c>
      <c r="D339" t="s">
        <v>695</v>
      </c>
      <c r="E339">
        <v>102</v>
      </c>
      <c r="F339">
        <v>12</v>
      </c>
      <c r="G339">
        <v>9</v>
      </c>
      <c r="H339">
        <v>32485</v>
      </c>
    </row>
    <row r="340" spans="1:8" x14ac:dyDescent="0.25">
      <c r="A340">
        <v>11</v>
      </c>
      <c r="B340" s="19">
        <v>45323</v>
      </c>
      <c r="C340" s="1" t="s">
        <v>36</v>
      </c>
      <c r="D340" t="s">
        <v>692</v>
      </c>
      <c r="E340">
        <v>104</v>
      </c>
      <c r="F340">
        <v>13</v>
      </c>
      <c r="G340">
        <v>50</v>
      </c>
      <c r="H340">
        <v>48736</v>
      </c>
    </row>
    <row r="341" spans="1:8" x14ac:dyDescent="0.25">
      <c r="A341">
        <v>11</v>
      </c>
      <c r="B341" s="19">
        <v>44508</v>
      </c>
      <c r="C341" s="1" t="s">
        <v>36</v>
      </c>
      <c r="D341" t="s">
        <v>692</v>
      </c>
      <c r="E341">
        <v>107</v>
      </c>
      <c r="F341">
        <v>13</v>
      </c>
      <c r="G341">
        <v>32</v>
      </c>
      <c r="H341">
        <v>40880</v>
      </c>
    </row>
    <row r="342" spans="1:8" x14ac:dyDescent="0.25">
      <c r="A342">
        <v>11</v>
      </c>
      <c r="B342" s="19">
        <v>45082</v>
      </c>
      <c r="C342" s="1" t="s">
        <v>34</v>
      </c>
      <c r="D342" t="s">
        <v>693</v>
      </c>
      <c r="E342">
        <v>104</v>
      </c>
      <c r="F342">
        <v>15</v>
      </c>
      <c r="G342">
        <v>55</v>
      </c>
      <c r="H342">
        <v>31291</v>
      </c>
    </row>
    <row r="343" spans="1:8" x14ac:dyDescent="0.25">
      <c r="A343">
        <v>11</v>
      </c>
      <c r="B343" s="19">
        <v>43834</v>
      </c>
      <c r="C343" s="1" t="s">
        <v>34</v>
      </c>
      <c r="D343" t="s">
        <v>693</v>
      </c>
      <c r="E343">
        <v>103</v>
      </c>
      <c r="F343">
        <v>14</v>
      </c>
      <c r="G343">
        <v>94</v>
      </c>
      <c r="H343">
        <v>44817</v>
      </c>
    </row>
    <row r="344" spans="1:8" x14ac:dyDescent="0.25">
      <c r="A344">
        <v>11</v>
      </c>
      <c r="B344" s="19">
        <v>44318</v>
      </c>
      <c r="C344" s="1" t="s">
        <v>33</v>
      </c>
      <c r="D344" t="s">
        <v>693</v>
      </c>
      <c r="E344">
        <v>105</v>
      </c>
      <c r="F344">
        <v>15</v>
      </c>
      <c r="G344">
        <v>45</v>
      </c>
      <c r="H344">
        <v>20881</v>
      </c>
    </row>
    <row r="345" spans="1:8" x14ac:dyDescent="0.25">
      <c r="A345">
        <v>11</v>
      </c>
      <c r="B345" s="19">
        <v>44133</v>
      </c>
      <c r="C345" s="1" t="s">
        <v>34</v>
      </c>
      <c r="D345" t="s">
        <v>693</v>
      </c>
      <c r="E345">
        <v>109</v>
      </c>
      <c r="F345">
        <v>14</v>
      </c>
      <c r="G345">
        <v>91</v>
      </c>
      <c r="H345">
        <v>44140</v>
      </c>
    </row>
    <row r="346" spans="1:8" x14ac:dyDescent="0.25">
      <c r="A346">
        <v>11</v>
      </c>
      <c r="B346" s="19">
        <v>44209</v>
      </c>
      <c r="C346" s="1" t="s">
        <v>35</v>
      </c>
      <c r="D346" t="s">
        <v>694</v>
      </c>
      <c r="E346">
        <v>107</v>
      </c>
      <c r="F346">
        <v>14</v>
      </c>
      <c r="G346">
        <v>39</v>
      </c>
      <c r="H346">
        <v>32689</v>
      </c>
    </row>
    <row r="347" spans="1:8" x14ac:dyDescent="0.25">
      <c r="A347">
        <v>11</v>
      </c>
      <c r="B347" s="19">
        <v>45383</v>
      </c>
      <c r="C347" s="1" t="s">
        <v>33</v>
      </c>
      <c r="D347" t="s">
        <v>694</v>
      </c>
      <c r="E347">
        <v>105</v>
      </c>
      <c r="F347">
        <v>14</v>
      </c>
      <c r="G347">
        <v>19</v>
      </c>
      <c r="H347">
        <v>35263</v>
      </c>
    </row>
    <row r="348" spans="1:8" x14ac:dyDescent="0.25">
      <c r="A348">
        <v>11</v>
      </c>
      <c r="B348" s="19">
        <v>44517</v>
      </c>
      <c r="C348" s="1" t="s">
        <v>35</v>
      </c>
      <c r="D348" t="s">
        <v>694</v>
      </c>
      <c r="E348">
        <v>104</v>
      </c>
      <c r="F348">
        <v>14</v>
      </c>
      <c r="G348">
        <v>5</v>
      </c>
      <c r="H348">
        <v>23346</v>
      </c>
    </row>
    <row r="349" spans="1:8" x14ac:dyDescent="0.25">
      <c r="A349">
        <v>11</v>
      </c>
      <c r="B349" s="19">
        <v>44646</v>
      </c>
      <c r="C349" s="1" t="s">
        <v>35</v>
      </c>
      <c r="D349" t="s">
        <v>694</v>
      </c>
      <c r="E349">
        <v>108</v>
      </c>
      <c r="F349">
        <v>11</v>
      </c>
      <c r="G349">
        <v>7</v>
      </c>
      <c r="H349">
        <v>38603</v>
      </c>
    </row>
    <row r="350" spans="1:8" x14ac:dyDescent="0.25">
      <c r="A350">
        <v>11</v>
      </c>
      <c r="B350" s="19">
        <v>44159</v>
      </c>
      <c r="C350" s="1" t="s">
        <v>33</v>
      </c>
      <c r="D350" t="s">
        <v>694</v>
      </c>
      <c r="E350">
        <v>104</v>
      </c>
      <c r="F350">
        <v>11</v>
      </c>
      <c r="G350">
        <v>43</v>
      </c>
      <c r="H350">
        <v>41924</v>
      </c>
    </row>
    <row r="351" spans="1:8" x14ac:dyDescent="0.25">
      <c r="A351">
        <v>11</v>
      </c>
      <c r="B351" s="19">
        <v>44930</v>
      </c>
      <c r="C351" s="1" t="s">
        <v>36</v>
      </c>
      <c r="D351" t="s">
        <v>694</v>
      </c>
      <c r="E351">
        <v>104</v>
      </c>
      <c r="F351">
        <v>12</v>
      </c>
      <c r="G351">
        <v>78</v>
      </c>
      <c r="H351">
        <v>26633</v>
      </c>
    </row>
    <row r="352" spans="1:8" x14ac:dyDescent="0.25">
      <c r="A352">
        <v>12</v>
      </c>
      <c r="B352" s="19">
        <v>45235</v>
      </c>
      <c r="C352" s="1" t="s">
        <v>36</v>
      </c>
      <c r="D352" t="s">
        <v>690</v>
      </c>
      <c r="E352">
        <v>107</v>
      </c>
      <c r="F352">
        <v>12</v>
      </c>
      <c r="G352">
        <v>47</v>
      </c>
      <c r="H352">
        <v>14019</v>
      </c>
    </row>
    <row r="353" spans="1:8" x14ac:dyDescent="0.25">
      <c r="A353">
        <v>12</v>
      </c>
      <c r="B353" s="19">
        <v>45524</v>
      </c>
      <c r="C353" s="1" t="s">
        <v>35</v>
      </c>
      <c r="D353" t="s">
        <v>690</v>
      </c>
      <c r="E353">
        <v>104</v>
      </c>
      <c r="F353">
        <v>11</v>
      </c>
      <c r="G353">
        <v>43</v>
      </c>
      <c r="H353">
        <v>24511</v>
      </c>
    </row>
    <row r="354" spans="1:8" x14ac:dyDescent="0.25">
      <c r="A354">
        <v>12</v>
      </c>
      <c r="B354" s="19">
        <v>44376</v>
      </c>
      <c r="C354" s="1" t="s">
        <v>33</v>
      </c>
      <c r="D354" t="s">
        <v>690</v>
      </c>
      <c r="E354">
        <v>105</v>
      </c>
      <c r="F354">
        <v>11</v>
      </c>
      <c r="G354">
        <v>58</v>
      </c>
      <c r="H354">
        <v>36592</v>
      </c>
    </row>
    <row r="355" spans="1:8" x14ac:dyDescent="0.25">
      <c r="A355">
        <v>12</v>
      </c>
      <c r="B355" s="19">
        <v>44752</v>
      </c>
      <c r="C355" s="1" t="s">
        <v>36</v>
      </c>
      <c r="D355" t="s">
        <v>690</v>
      </c>
      <c r="E355">
        <v>103</v>
      </c>
      <c r="F355">
        <v>11</v>
      </c>
      <c r="G355">
        <v>89</v>
      </c>
      <c r="H355">
        <v>32582</v>
      </c>
    </row>
    <row r="356" spans="1:8" x14ac:dyDescent="0.25">
      <c r="A356">
        <v>12</v>
      </c>
      <c r="B356" s="19">
        <v>45087</v>
      </c>
      <c r="C356" s="1" t="s">
        <v>36</v>
      </c>
      <c r="D356" t="s">
        <v>690</v>
      </c>
      <c r="E356">
        <v>102</v>
      </c>
      <c r="F356">
        <v>14</v>
      </c>
      <c r="G356">
        <v>39</v>
      </c>
      <c r="H356">
        <v>37754</v>
      </c>
    </row>
    <row r="357" spans="1:8" x14ac:dyDescent="0.25">
      <c r="A357">
        <v>12</v>
      </c>
      <c r="B357" s="19">
        <v>44266</v>
      </c>
      <c r="C357" s="1" t="s">
        <v>35</v>
      </c>
      <c r="D357" t="s">
        <v>691</v>
      </c>
      <c r="E357">
        <v>105</v>
      </c>
      <c r="F357">
        <v>14</v>
      </c>
      <c r="G357">
        <v>36</v>
      </c>
      <c r="H357">
        <v>15311</v>
      </c>
    </row>
    <row r="358" spans="1:8" x14ac:dyDescent="0.25">
      <c r="A358">
        <v>12</v>
      </c>
      <c r="B358" s="19">
        <v>45495</v>
      </c>
      <c r="C358" s="1" t="s">
        <v>35</v>
      </c>
      <c r="D358" t="s">
        <v>691</v>
      </c>
      <c r="E358">
        <v>103</v>
      </c>
      <c r="F358">
        <v>15</v>
      </c>
      <c r="G358">
        <v>21</v>
      </c>
      <c r="H358">
        <v>28766</v>
      </c>
    </row>
    <row r="359" spans="1:8" x14ac:dyDescent="0.25">
      <c r="A359">
        <v>12</v>
      </c>
      <c r="B359" s="19">
        <v>45608</v>
      </c>
      <c r="C359" s="1" t="s">
        <v>33</v>
      </c>
      <c r="D359" t="s">
        <v>691</v>
      </c>
      <c r="E359">
        <v>104</v>
      </c>
      <c r="F359">
        <v>12</v>
      </c>
      <c r="G359">
        <v>62</v>
      </c>
      <c r="H359">
        <v>36583</v>
      </c>
    </row>
    <row r="360" spans="1:8" x14ac:dyDescent="0.25">
      <c r="A360">
        <v>12</v>
      </c>
      <c r="B360" s="19">
        <v>43958</v>
      </c>
      <c r="C360" s="1" t="s">
        <v>35</v>
      </c>
      <c r="D360" t="s">
        <v>691</v>
      </c>
      <c r="E360">
        <v>103</v>
      </c>
      <c r="F360">
        <v>15</v>
      </c>
      <c r="G360">
        <v>52</v>
      </c>
      <c r="H360">
        <v>14031</v>
      </c>
    </row>
    <row r="361" spans="1:8" x14ac:dyDescent="0.25">
      <c r="A361">
        <v>12</v>
      </c>
      <c r="B361" s="19">
        <v>44014</v>
      </c>
      <c r="C361" s="1" t="s">
        <v>33</v>
      </c>
      <c r="D361" t="s">
        <v>700</v>
      </c>
      <c r="E361">
        <v>107</v>
      </c>
      <c r="F361">
        <v>11</v>
      </c>
      <c r="G361">
        <v>15</v>
      </c>
      <c r="H361">
        <v>35299</v>
      </c>
    </row>
    <row r="362" spans="1:8" x14ac:dyDescent="0.25">
      <c r="A362">
        <v>12</v>
      </c>
      <c r="B362" s="19">
        <v>45111</v>
      </c>
      <c r="C362" s="1" t="s">
        <v>35</v>
      </c>
      <c r="D362" t="s">
        <v>696</v>
      </c>
      <c r="E362">
        <v>103</v>
      </c>
      <c r="F362">
        <v>11</v>
      </c>
      <c r="G362">
        <v>25</v>
      </c>
      <c r="H362">
        <v>10206</v>
      </c>
    </row>
    <row r="363" spans="1:8" x14ac:dyDescent="0.25">
      <c r="A363">
        <v>12</v>
      </c>
      <c r="B363" s="19">
        <v>45634</v>
      </c>
      <c r="C363" s="1" t="s">
        <v>34</v>
      </c>
      <c r="D363" t="s">
        <v>696</v>
      </c>
      <c r="E363">
        <v>109</v>
      </c>
      <c r="F363">
        <v>12</v>
      </c>
      <c r="G363">
        <v>38</v>
      </c>
      <c r="H363">
        <v>14043</v>
      </c>
    </row>
    <row r="364" spans="1:8" x14ac:dyDescent="0.25">
      <c r="A364">
        <v>12</v>
      </c>
      <c r="B364" s="19">
        <v>44497</v>
      </c>
      <c r="C364" s="1" t="s">
        <v>34</v>
      </c>
      <c r="D364" t="s">
        <v>697</v>
      </c>
      <c r="E364">
        <v>103</v>
      </c>
      <c r="F364">
        <v>15</v>
      </c>
      <c r="G364">
        <v>35</v>
      </c>
      <c r="H364">
        <v>21771</v>
      </c>
    </row>
    <row r="365" spans="1:8" x14ac:dyDescent="0.25">
      <c r="A365">
        <v>12</v>
      </c>
      <c r="B365" s="19">
        <v>45647</v>
      </c>
      <c r="C365" s="1" t="s">
        <v>34</v>
      </c>
      <c r="D365" t="s">
        <v>697</v>
      </c>
      <c r="E365">
        <v>102</v>
      </c>
      <c r="F365">
        <v>11</v>
      </c>
      <c r="G365">
        <v>80</v>
      </c>
      <c r="H365">
        <v>22281</v>
      </c>
    </row>
    <row r="366" spans="1:8" x14ac:dyDescent="0.25">
      <c r="A366">
        <v>12</v>
      </c>
      <c r="B366" s="19">
        <v>44651</v>
      </c>
      <c r="C366" s="1" t="s">
        <v>33</v>
      </c>
      <c r="D366" t="s">
        <v>697</v>
      </c>
      <c r="E366">
        <v>102</v>
      </c>
      <c r="F366">
        <v>13</v>
      </c>
      <c r="G366">
        <v>46</v>
      </c>
      <c r="H366">
        <v>16716</v>
      </c>
    </row>
    <row r="367" spans="1:8" x14ac:dyDescent="0.25">
      <c r="A367">
        <v>12</v>
      </c>
      <c r="B367" s="19">
        <v>45144</v>
      </c>
      <c r="C367" s="1" t="s">
        <v>35</v>
      </c>
      <c r="D367" t="s">
        <v>698</v>
      </c>
      <c r="E367">
        <v>103</v>
      </c>
      <c r="F367">
        <v>13</v>
      </c>
      <c r="G367">
        <v>53</v>
      </c>
      <c r="H367">
        <v>33233</v>
      </c>
    </row>
    <row r="368" spans="1:8" x14ac:dyDescent="0.25">
      <c r="A368">
        <v>12</v>
      </c>
      <c r="B368" s="19">
        <v>45651</v>
      </c>
      <c r="C368" s="1" t="s">
        <v>36</v>
      </c>
      <c r="D368" t="s">
        <v>698</v>
      </c>
      <c r="E368">
        <v>103</v>
      </c>
      <c r="F368">
        <v>14</v>
      </c>
      <c r="G368">
        <v>32</v>
      </c>
      <c r="H368">
        <v>11968</v>
      </c>
    </row>
    <row r="369" spans="1:8" x14ac:dyDescent="0.25">
      <c r="A369">
        <v>12</v>
      </c>
      <c r="B369" s="19">
        <v>44138</v>
      </c>
      <c r="C369" s="1" t="s">
        <v>33</v>
      </c>
      <c r="D369" t="s">
        <v>698</v>
      </c>
      <c r="E369">
        <v>107</v>
      </c>
      <c r="F369">
        <v>14</v>
      </c>
      <c r="G369">
        <v>68</v>
      </c>
      <c r="H369">
        <v>16040</v>
      </c>
    </row>
    <row r="370" spans="1:8" x14ac:dyDescent="0.25">
      <c r="A370">
        <v>12</v>
      </c>
      <c r="B370" s="19">
        <v>45171</v>
      </c>
      <c r="C370" s="1" t="s">
        <v>34</v>
      </c>
      <c r="D370" t="s">
        <v>698</v>
      </c>
      <c r="E370">
        <v>108</v>
      </c>
      <c r="F370">
        <v>13</v>
      </c>
      <c r="G370">
        <v>45</v>
      </c>
      <c r="H370">
        <v>42095</v>
      </c>
    </row>
    <row r="371" spans="1:8" x14ac:dyDescent="0.25">
      <c r="A371">
        <v>12</v>
      </c>
      <c r="B371" s="19">
        <v>44821</v>
      </c>
      <c r="C371" s="1" t="s">
        <v>34</v>
      </c>
      <c r="D371" t="s">
        <v>699</v>
      </c>
      <c r="E371">
        <v>105</v>
      </c>
      <c r="F371">
        <v>11</v>
      </c>
      <c r="G371">
        <v>43</v>
      </c>
      <c r="H371">
        <v>48176</v>
      </c>
    </row>
    <row r="372" spans="1:8" x14ac:dyDescent="0.25">
      <c r="A372">
        <v>12</v>
      </c>
      <c r="B372" s="19">
        <v>45027</v>
      </c>
      <c r="C372" s="1" t="s">
        <v>33</v>
      </c>
      <c r="D372" t="s">
        <v>695</v>
      </c>
      <c r="E372">
        <v>103</v>
      </c>
      <c r="F372">
        <v>14</v>
      </c>
      <c r="G372">
        <v>91</v>
      </c>
      <c r="H372">
        <v>33347</v>
      </c>
    </row>
    <row r="373" spans="1:8" x14ac:dyDescent="0.25">
      <c r="A373">
        <v>12</v>
      </c>
      <c r="B373" s="19">
        <v>45285</v>
      </c>
      <c r="C373" s="1" t="s">
        <v>36</v>
      </c>
      <c r="D373" t="s">
        <v>695</v>
      </c>
      <c r="E373">
        <v>109</v>
      </c>
      <c r="F373">
        <v>14</v>
      </c>
      <c r="G373">
        <v>48</v>
      </c>
      <c r="H373">
        <v>11849</v>
      </c>
    </row>
    <row r="374" spans="1:8" x14ac:dyDescent="0.25">
      <c r="A374">
        <v>12</v>
      </c>
      <c r="B374" s="19">
        <v>44139</v>
      </c>
      <c r="C374" s="1" t="s">
        <v>34</v>
      </c>
      <c r="D374" t="s">
        <v>692</v>
      </c>
      <c r="E374">
        <v>103</v>
      </c>
      <c r="F374">
        <v>15</v>
      </c>
      <c r="G374">
        <v>14</v>
      </c>
      <c r="H374">
        <v>21355</v>
      </c>
    </row>
    <row r="375" spans="1:8" x14ac:dyDescent="0.25">
      <c r="A375">
        <v>12</v>
      </c>
      <c r="B375" s="19">
        <v>45195</v>
      </c>
      <c r="C375" s="1" t="s">
        <v>34</v>
      </c>
      <c r="D375" t="s">
        <v>692</v>
      </c>
      <c r="E375">
        <v>105</v>
      </c>
      <c r="F375">
        <v>15</v>
      </c>
      <c r="G375">
        <v>69</v>
      </c>
      <c r="H375">
        <v>33719</v>
      </c>
    </row>
    <row r="376" spans="1:8" x14ac:dyDescent="0.25">
      <c r="A376">
        <v>12</v>
      </c>
      <c r="B376" s="19">
        <v>45080</v>
      </c>
      <c r="C376" s="1" t="s">
        <v>36</v>
      </c>
      <c r="D376" t="s">
        <v>692</v>
      </c>
      <c r="E376">
        <v>105</v>
      </c>
      <c r="F376">
        <v>14</v>
      </c>
      <c r="G376">
        <v>48</v>
      </c>
      <c r="H376">
        <v>47099</v>
      </c>
    </row>
    <row r="377" spans="1:8" x14ac:dyDescent="0.25">
      <c r="A377">
        <v>12</v>
      </c>
      <c r="B377" s="19">
        <v>44991</v>
      </c>
      <c r="C377" s="1" t="s">
        <v>33</v>
      </c>
      <c r="D377" t="s">
        <v>693</v>
      </c>
      <c r="E377">
        <v>103</v>
      </c>
      <c r="F377">
        <v>13</v>
      </c>
      <c r="G377">
        <v>57</v>
      </c>
      <c r="H377">
        <v>32508</v>
      </c>
    </row>
    <row r="378" spans="1:8" x14ac:dyDescent="0.25">
      <c r="A378">
        <v>12</v>
      </c>
      <c r="B378" s="19">
        <v>45075</v>
      </c>
      <c r="C378" s="1" t="s">
        <v>34</v>
      </c>
      <c r="D378" t="s">
        <v>693</v>
      </c>
      <c r="E378">
        <v>103</v>
      </c>
      <c r="F378">
        <v>11</v>
      </c>
      <c r="G378">
        <v>98</v>
      </c>
      <c r="H378">
        <v>31437</v>
      </c>
    </row>
    <row r="379" spans="1:8" x14ac:dyDescent="0.25">
      <c r="A379">
        <v>12</v>
      </c>
      <c r="B379" s="19">
        <v>45104</v>
      </c>
      <c r="C379" s="1" t="s">
        <v>35</v>
      </c>
      <c r="D379" t="s">
        <v>693</v>
      </c>
      <c r="E379">
        <v>104</v>
      </c>
      <c r="F379">
        <v>15</v>
      </c>
      <c r="G379">
        <v>45</v>
      </c>
      <c r="H379">
        <v>31907</v>
      </c>
    </row>
    <row r="380" spans="1:8" x14ac:dyDescent="0.25">
      <c r="A380">
        <v>12</v>
      </c>
      <c r="B380" s="19">
        <v>44204</v>
      </c>
      <c r="C380" s="1" t="s">
        <v>35</v>
      </c>
      <c r="D380" t="s">
        <v>694</v>
      </c>
      <c r="E380">
        <v>102</v>
      </c>
      <c r="F380">
        <v>11</v>
      </c>
      <c r="G380">
        <v>29</v>
      </c>
      <c r="H380">
        <v>44016</v>
      </c>
    </row>
    <row r="381" spans="1:8" x14ac:dyDescent="0.25">
      <c r="A381">
        <v>12</v>
      </c>
      <c r="B381" s="19">
        <v>45195</v>
      </c>
      <c r="C381" s="1" t="s">
        <v>33</v>
      </c>
      <c r="D381" t="s">
        <v>694</v>
      </c>
      <c r="E381">
        <v>103</v>
      </c>
      <c r="F381">
        <v>15</v>
      </c>
      <c r="G381">
        <v>44</v>
      </c>
      <c r="H381">
        <v>19069</v>
      </c>
    </row>
    <row r="382" spans="1:8" x14ac:dyDescent="0.25">
      <c r="A382">
        <v>13</v>
      </c>
      <c r="B382" s="19">
        <v>45409</v>
      </c>
      <c r="C382" s="1" t="s">
        <v>35</v>
      </c>
      <c r="D382" t="s">
        <v>690</v>
      </c>
      <c r="E382">
        <v>101</v>
      </c>
      <c r="F382">
        <v>15</v>
      </c>
      <c r="G382">
        <v>89</v>
      </c>
      <c r="H382">
        <v>12331</v>
      </c>
    </row>
    <row r="383" spans="1:8" x14ac:dyDescent="0.25">
      <c r="A383">
        <v>13</v>
      </c>
      <c r="B383" s="19">
        <v>44741</v>
      </c>
      <c r="C383" s="1" t="s">
        <v>35</v>
      </c>
      <c r="D383" t="s">
        <v>690</v>
      </c>
      <c r="E383">
        <v>105</v>
      </c>
      <c r="F383">
        <v>14</v>
      </c>
      <c r="G383">
        <v>47</v>
      </c>
      <c r="H383">
        <v>43102</v>
      </c>
    </row>
    <row r="384" spans="1:8" x14ac:dyDescent="0.25">
      <c r="A384">
        <v>13</v>
      </c>
      <c r="B384" s="19">
        <v>44319</v>
      </c>
      <c r="C384" s="1" t="s">
        <v>33</v>
      </c>
      <c r="D384" t="s">
        <v>690</v>
      </c>
      <c r="E384">
        <v>101</v>
      </c>
      <c r="F384">
        <v>15</v>
      </c>
      <c r="G384">
        <v>94</v>
      </c>
      <c r="H384">
        <v>27517</v>
      </c>
    </row>
    <row r="385" spans="1:8" x14ac:dyDescent="0.25">
      <c r="A385">
        <v>13</v>
      </c>
      <c r="B385" s="19">
        <v>44563</v>
      </c>
      <c r="C385" s="1" t="s">
        <v>35</v>
      </c>
      <c r="D385" t="s">
        <v>690</v>
      </c>
      <c r="E385">
        <v>101</v>
      </c>
      <c r="F385">
        <v>13</v>
      </c>
      <c r="G385">
        <v>16</v>
      </c>
      <c r="H385">
        <v>42144</v>
      </c>
    </row>
    <row r="386" spans="1:8" x14ac:dyDescent="0.25">
      <c r="A386">
        <v>13</v>
      </c>
      <c r="B386" s="19">
        <v>45091</v>
      </c>
      <c r="C386" s="1" t="s">
        <v>34</v>
      </c>
      <c r="D386" t="s">
        <v>690</v>
      </c>
      <c r="E386">
        <v>105</v>
      </c>
      <c r="F386">
        <v>12</v>
      </c>
      <c r="G386">
        <v>68</v>
      </c>
      <c r="H386">
        <v>27439</v>
      </c>
    </row>
    <row r="387" spans="1:8" x14ac:dyDescent="0.25">
      <c r="A387">
        <v>13</v>
      </c>
      <c r="B387" s="19">
        <v>44764</v>
      </c>
      <c r="C387" s="1" t="s">
        <v>33</v>
      </c>
      <c r="D387" t="s">
        <v>690</v>
      </c>
      <c r="E387">
        <v>108</v>
      </c>
      <c r="F387">
        <v>15</v>
      </c>
      <c r="G387">
        <v>74</v>
      </c>
      <c r="H387">
        <v>42926</v>
      </c>
    </row>
    <row r="388" spans="1:8" x14ac:dyDescent="0.25">
      <c r="A388">
        <v>13</v>
      </c>
      <c r="B388" s="19">
        <v>44082</v>
      </c>
      <c r="C388" s="1" t="s">
        <v>33</v>
      </c>
      <c r="D388" t="s">
        <v>691</v>
      </c>
      <c r="E388">
        <v>105</v>
      </c>
      <c r="F388">
        <v>11</v>
      </c>
      <c r="G388">
        <v>23</v>
      </c>
      <c r="H388">
        <v>26412</v>
      </c>
    </row>
    <row r="389" spans="1:8" x14ac:dyDescent="0.25">
      <c r="A389">
        <v>13</v>
      </c>
      <c r="B389" s="19">
        <v>45566</v>
      </c>
      <c r="C389" s="1" t="s">
        <v>34</v>
      </c>
      <c r="D389" t="s">
        <v>691</v>
      </c>
      <c r="E389">
        <v>105</v>
      </c>
      <c r="F389">
        <v>13</v>
      </c>
      <c r="G389">
        <v>78</v>
      </c>
      <c r="H389">
        <v>32284</v>
      </c>
    </row>
    <row r="390" spans="1:8" x14ac:dyDescent="0.25">
      <c r="A390">
        <v>13</v>
      </c>
      <c r="B390" s="19">
        <v>45633</v>
      </c>
      <c r="C390" s="1" t="s">
        <v>34</v>
      </c>
      <c r="D390" t="s">
        <v>691</v>
      </c>
      <c r="E390">
        <v>108</v>
      </c>
      <c r="F390">
        <v>12</v>
      </c>
      <c r="G390">
        <v>19</v>
      </c>
      <c r="H390">
        <v>43296</v>
      </c>
    </row>
    <row r="391" spans="1:8" x14ac:dyDescent="0.25">
      <c r="A391">
        <v>13</v>
      </c>
      <c r="B391" s="19">
        <v>44458</v>
      </c>
      <c r="C391" s="1" t="s">
        <v>35</v>
      </c>
      <c r="D391" t="s">
        <v>691</v>
      </c>
      <c r="E391">
        <v>102</v>
      </c>
      <c r="F391">
        <v>12</v>
      </c>
      <c r="G391">
        <v>79</v>
      </c>
      <c r="H391">
        <v>44171</v>
      </c>
    </row>
    <row r="392" spans="1:8" x14ac:dyDescent="0.25">
      <c r="A392">
        <v>13</v>
      </c>
      <c r="B392" s="19">
        <v>45636</v>
      </c>
      <c r="C392" s="1" t="s">
        <v>34</v>
      </c>
      <c r="D392" t="s">
        <v>691</v>
      </c>
      <c r="E392">
        <v>104</v>
      </c>
      <c r="F392">
        <v>12</v>
      </c>
      <c r="G392">
        <v>71</v>
      </c>
      <c r="H392">
        <v>19399</v>
      </c>
    </row>
    <row r="393" spans="1:8" x14ac:dyDescent="0.25">
      <c r="A393">
        <v>13</v>
      </c>
      <c r="B393" s="19">
        <v>44037</v>
      </c>
      <c r="C393" s="1" t="s">
        <v>34</v>
      </c>
      <c r="D393" t="s">
        <v>691</v>
      </c>
      <c r="E393">
        <v>102</v>
      </c>
      <c r="F393">
        <v>14</v>
      </c>
      <c r="G393">
        <v>60</v>
      </c>
      <c r="H393">
        <v>27279</v>
      </c>
    </row>
    <row r="394" spans="1:8" x14ac:dyDescent="0.25">
      <c r="A394">
        <v>13</v>
      </c>
      <c r="B394" s="19">
        <v>45119</v>
      </c>
      <c r="C394" s="1" t="s">
        <v>35</v>
      </c>
      <c r="D394" t="s">
        <v>700</v>
      </c>
      <c r="E394">
        <v>107</v>
      </c>
      <c r="F394">
        <v>14</v>
      </c>
      <c r="G394">
        <v>61</v>
      </c>
      <c r="H394">
        <v>33107</v>
      </c>
    </row>
    <row r="395" spans="1:8" x14ac:dyDescent="0.25">
      <c r="A395">
        <v>13</v>
      </c>
      <c r="B395" s="19">
        <v>44788</v>
      </c>
      <c r="C395" s="1" t="s">
        <v>34</v>
      </c>
      <c r="D395" t="s">
        <v>696</v>
      </c>
      <c r="E395">
        <v>105</v>
      </c>
      <c r="F395">
        <v>12</v>
      </c>
      <c r="G395">
        <v>93</v>
      </c>
      <c r="H395">
        <v>37630</v>
      </c>
    </row>
    <row r="396" spans="1:8" x14ac:dyDescent="0.25">
      <c r="A396">
        <v>13</v>
      </c>
      <c r="B396" s="19">
        <v>44346</v>
      </c>
      <c r="C396" s="1" t="s">
        <v>34</v>
      </c>
      <c r="D396" t="s">
        <v>696</v>
      </c>
      <c r="E396">
        <v>101</v>
      </c>
      <c r="F396">
        <v>13</v>
      </c>
      <c r="G396">
        <v>62</v>
      </c>
      <c r="H396">
        <v>46726</v>
      </c>
    </row>
    <row r="397" spans="1:8" x14ac:dyDescent="0.25">
      <c r="A397">
        <v>13</v>
      </c>
      <c r="B397" s="19">
        <v>44688</v>
      </c>
      <c r="C397" s="1" t="s">
        <v>34</v>
      </c>
      <c r="D397" t="s">
        <v>696</v>
      </c>
      <c r="E397">
        <v>103</v>
      </c>
      <c r="F397">
        <v>13</v>
      </c>
      <c r="G397">
        <v>23</v>
      </c>
      <c r="H397">
        <v>34044</v>
      </c>
    </row>
    <row r="398" spans="1:8" x14ac:dyDescent="0.25">
      <c r="A398">
        <v>13</v>
      </c>
      <c r="B398" s="19">
        <v>44131</v>
      </c>
      <c r="C398" s="1" t="s">
        <v>36</v>
      </c>
      <c r="D398" t="s">
        <v>696</v>
      </c>
      <c r="E398">
        <v>103</v>
      </c>
      <c r="F398">
        <v>13</v>
      </c>
      <c r="G398">
        <v>63</v>
      </c>
      <c r="H398">
        <v>34768</v>
      </c>
    </row>
    <row r="399" spans="1:8" x14ac:dyDescent="0.25">
      <c r="A399">
        <v>13</v>
      </c>
      <c r="B399" s="19">
        <v>44718</v>
      </c>
      <c r="C399" s="1" t="s">
        <v>35</v>
      </c>
      <c r="D399" t="s">
        <v>698</v>
      </c>
      <c r="E399">
        <v>103</v>
      </c>
      <c r="F399">
        <v>12</v>
      </c>
      <c r="G399">
        <v>80</v>
      </c>
      <c r="H399">
        <v>27495</v>
      </c>
    </row>
    <row r="400" spans="1:8" x14ac:dyDescent="0.25">
      <c r="A400">
        <v>13</v>
      </c>
      <c r="B400" s="19">
        <v>45129</v>
      </c>
      <c r="C400" s="1" t="s">
        <v>36</v>
      </c>
      <c r="D400" t="s">
        <v>698</v>
      </c>
      <c r="E400">
        <v>107</v>
      </c>
      <c r="F400">
        <v>13</v>
      </c>
      <c r="G400">
        <v>77</v>
      </c>
      <c r="H400">
        <v>43980</v>
      </c>
    </row>
    <row r="401" spans="1:8" x14ac:dyDescent="0.25">
      <c r="A401">
        <v>13</v>
      </c>
      <c r="B401" s="19">
        <v>44340</v>
      </c>
      <c r="C401" s="1" t="s">
        <v>33</v>
      </c>
      <c r="D401" t="s">
        <v>698</v>
      </c>
      <c r="E401">
        <v>103</v>
      </c>
      <c r="F401">
        <v>12</v>
      </c>
      <c r="G401">
        <v>84</v>
      </c>
      <c r="H401">
        <v>20758</v>
      </c>
    </row>
    <row r="402" spans="1:8" x14ac:dyDescent="0.25">
      <c r="A402">
        <v>13</v>
      </c>
      <c r="B402" s="19">
        <v>44379</v>
      </c>
      <c r="C402" s="1" t="s">
        <v>36</v>
      </c>
      <c r="D402" t="s">
        <v>698</v>
      </c>
      <c r="E402">
        <v>104</v>
      </c>
      <c r="F402">
        <v>14</v>
      </c>
      <c r="G402">
        <v>38</v>
      </c>
      <c r="H402">
        <v>17202</v>
      </c>
    </row>
    <row r="403" spans="1:8" x14ac:dyDescent="0.25">
      <c r="A403">
        <v>13</v>
      </c>
      <c r="B403" s="19">
        <v>44690</v>
      </c>
      <c r="C403" s="1" t="s">
        <v>33</v>
      </c>
      <c r="D403" t="s">
        <v>698</v>
      </c>
      <c r="E403">
        <v>103</v>
      </c>
      <c r="F403">
        <v>13</v>
      </c>
      <c r="G403">
        <v>74</v>
      </c>
      <c r="H403">
        <v>41313</v>
      </c>
    </row>
    <row r="404" spans="1:8" x14ac:dyDescent="0.25">
      <c r="A404">
        <v>13</v>
      </c>
      <c r="B404" s="19">
        <v>44309</v>
      </c>
      <c r="C404" s="1" t="s">
        <v>35</v>
      </c>
      <c r="D404" t="s">
        <v>698</v>
      </c>
      <c r="E404">
        <v>105</v>
      </c>
      <c r="F404">
        <v>13</v>
      </c>
      <c r="G404">
        <v>11</v>
      </c>
      <c r="H404">
        <v>46624</v>
      </c>
    </row>
    <row r="405" spans="1:8" x14ac:dyDescent="0.25">
      <c r="A405">
        <v>13</v>
      </c>
      <c r="B405" s="19">
        <v>44888</v>
      </c>
      <c r="C405" s="1" t="s">
        <v>33</v>
      </c>
      <c r="D405" t="s">
        <v>699</v>
      </c>
      <c r="E405">
        <v>103</v>
      </c>
      <c r="F405">
        <v>15</v>
      </c>
      <c r="G405">
        <v>46</v>
      </c>
      <c r="H405">
        <v>31431</v>
      </c>
    </row>
    <row r="406" spans="1:8" x14ac:dyDescent="0.25">
      <c r="A406">
        <v>13</v>
      </c>
      <c r="B406" s="19">
        <v>45171</v>
      </c>
      <c r="C406" s="1" t="s">
        <v>36</v>
      </c>
      <c r="D406" t="s">
        <v>699</v>
      </c>
      <c r="E406">
        <v>102</v>
      </c>
      <c r="F406">
        <v>13</v>
      </c>
      <c r="G406">
        <v>15</v>
      </c>
      <c r="H406">
        <v>25335</v>
      </c>
    </row>
    <row r="407" spans="1:8" x14ac:dyDescent="0.25">
      <c r="A407">
        <v>13</v>
      </c>
      <c r="B407" s="19">
        <v>44712</v>
      </c>
      <c r="C407" s="1" t="s">
        <v>35</v>
      </c>
      <c r="D407" t="s">
        <v>692</v>
      </c>
      <c r="E407">
        <v>104</v>
      </c>
      <c r="F407">
        <v>11</v>
      </c>
      <c r="G407">
        <v>57</v>
      </c>
      <c r="H407">
        <v>14891</v>
      </c>
    </row>
    <row r="408" spans="1:8" x14ac:dyDescent="0.25">
      <c r="A408">
        <v>13</v>
      </c>
      <c r="B408" s="19">
        <v>45086</v>
      </c>
      <c r="C408" s="1" t="s">
        <v>35</v>
      </c>
      <c r="D408" t="s">
        <v>692</v>
      </c>
      <c r="E408">
        <v>103</v>
      </c>
      <c r="F408">
        <v>15</v>
      </c>
      <c r="G408">
        <v>17</v>
      </c>
      <c r="H408">
        <v>44933</v>
      </c>
    </row>
    <row r="409" spans="1:8" x14ac:dyDescent="0.25">
      <c r="A409">
        <v>13</v>
      </c>
      <c r="B409" s="19">
        <v>44942</v>
      </c>
      <c r="C409" s="1" t="s">
        <v>36</v>
      </c>
      <c r="D409" t="s">
        <v>692</v>
      </c>
      <c r="E409">
        <v>105</v>
      </c>
      <c r="F409">
        <v>14</v>
      </c>
      <c r="G409">
        <v>78</v>
      </c>
      <c r="H409">
        <v>11419</v>
      </c>
    </row>
    <row r="410" spans="1:8" x14ac:dyDescent="0.25">
      <c r="A410">
        <v>13</v>
      </c>
      <c r="B410" s="19">
        <v>43982</v>
      </c>
      <c r="C410" s="1" t="s">
        <v>33</v>
      </c>
      <c r="D410" t="s">
        <v>692</v>
      </c>
      <c r="E410">
        <v>102</v>
      </c>
      <c r="F410">
        <v>11</v>
      </c>
      <c r="G410">
        <v>64</v>
      </c>
      <c r="H410">
        <v>30267</v>
      </c>
    </row>
    <row r="411" spans="1:8" x14ac:dyDescent="0.25">
      <c r="A411">
        <v>13</v>
      </c>
      <c r="B411" s="19">
        <v>45138</v>
      </c>
      <c r="C411" s="1" t="s">
        <v>34</v>
      </c>
      <c r="D411" t="s">
        <v>693</v>
      </c>
      <c r="E411">
        <v>105</v>
      </c>
      <c r="F411">
        <v>15</v>
      </c>
      <c r="G411">
        <v>31</v>
      </c>
      <c r="H411">
        <v>36966</v>
      </c>
    </row>
    <row r="412" spans="1:8" x14ac:dyDescent="0.25">
      <c r="A412">
        <v>13</v>
      </c>
      <c r="B412" s="19">
        <v>44883</v>
      </c>
      <c r="C412" s="1" t="s">
        <v>35</v>
      </c>
      <c r="D412" t="s">
        <v>693</v>
      </c>
      <c r="E412">
        <v>103</v>
      </c>
      <c r="F412">
        <v>12</v>
      </c>
      <c r="G412">
        <v>28</v>
      </c>
      <c r="H412">
        <v>17846</v>
      </c>
    </row>
    <row r="413" spans="1:8" x14ac:dyDescent="0.25">
      <c r="A413">
        <v>13</v>
      </c>
      <c r="B413" s="19">
        <v>44194</v>
      </c>
      <c r="C413" s="1" t="s">
        <v>35</v>
      </c>
      <c r="D413" t="s">
        <v>693</v>
      </c>
      <c r="E413">
        <v>101</v>
      </c>
      <c r="F413">
        <v>15</v>
      </c>
      <c r="G413">
        <v>62</v>
      </c>
      <c r="H413">
        <v>40044</v>
      </c>
    </row>
    <row r="414" spans="1:8" x14ac:dyDescent="0.25">
      <c r="A414">
        <v>13</v>
      </c>
      <c r="B414" s="19">
        <v>45338</v>
      </c>
      <c r="C414" s="1" t="s">
        <v>33</v>
      </c>
      <c r="D414" t="s">
        <v>693</v>
      </c>
      <c r="E414">
        <v>105</v>
      </c>
      <c r="F414">
        <v>14</v>
      </c>
      <c r="G414">
        <v>29</v>
      </c>
      <c r="H414">
        <v>45728</v>
      </c>
    </row>
    <row r="415" spans="1:8" x14ac:dyDescent="0.25">
      <c r="A415">
        <v>13</v>
      </c>
      <c r="B415" s="19">
        <v>45228</v>
      </c>
      <c r="C415" s="1" t="s">
        <v>35</v>
      </c>
      <c r="D415" t="s">
        <v>693</v>
      </c>
      <c r="E415">
        <v>105</v>
      </c>
      <c r="F415">
        <v>13</v>
      </c>
      <c r="G415">
        <v>20</v>
      </c>
      <c r="H415">
        <v>42452</v>
      </c>
    </row>
    <row r="416" spans="1:8" x14ac:dyDescent="0.25">
      <c r="A416">
        <v>13</v>
      </c>
      <c r="B416" s="19">
        <v>44770</v>
      </c>
      <c r="C416" s="1" t="s">
        <v>34</v>
      </c>
      <c r="D416" t="s">
        <v>693</v>
      </c>
      <c r="E416">
        <v>108</v>
      </c>
      <c r="F416">
        <v>14</v>
      </c>
      <c r="G416">
        <v>84</v>
      </c>
      <c r="H416">
        <v>43447</v>
      </c>
    </row>
    <row r="417" spans="1:8" x14ac:dyDescent="0.25">
      <c r="A417">
        <v>13</v>
      </c>
      <c r="B417" s="19">
        <v>44933</v>
      </c>
      <c r="C417" s="1" t="s">
        <v>35</v>
      </c>
      <c r="D417" t="s">
        <v>693</v>
      </c>
      <c r="E417">
        <v>103</v>
      </c>
      <c r="F417">
        <v>12</v>
      </c>
      <c r="G417">
        <v>94</v>
      </c>
      <c r="H417">
        <v>45178</v>
      </c>
    </row>
    <row r="418" spans="1:8" x14ac:dyDescent="0.25">
      <c r="A418">
        <v>13</v>
      </c>
      <c r="B418" s="19">
        <v>44105</v>
      </c>
      <c r="C418" s="1" t="s">
        <v>34</v>
      </c>
      <c r="D418" t="s">
        <v>693</v>
      </c>
      <c r="E418">
        <v>105</v>
      </c>
      <c r="F418">
        <v>13</v>
      </c>
      <c r="G418">
        <v>41</v>
      </c>
      <c r="H418">
        <v>26714</v>
      </c>
    </row>
    <row r="419" spans="1:8" x14ac:dyDescent="0.25">
      <c r="A419">
        <v>13</v>
      </c>
      <c r="B419" s="19">
        <v>44237</v>
      </c>
      <c r="C419" s="1" t="s">
        <v>35</v>
      </c>
      <c r="D419" t="s">
        <v>694</v>
      </c>
      <c r="E419">
        <v>105</v>
      </c>
      <c r="F419">
        <v>15</v>
      </c>
      <c r="G419">
        <v>63</v>
      </c>
      <c r="H419">
        <v>14619</v>
      </c>
    </row>
    <row r="420" spans="1:8" x14ac:dyDescent="0.25">
      <c r="A420">
        <v>14</v>
      </c>
      <c r="B420" s="19">
        <v>45514</v>
      </c>
      <c r="C420" s="1" t="s">
        <v>35</v>
      </c>
      <c r="D420" t="s">
        <v>690</v>
      </c>
      <c r="E420">
        <v>109</v>
      </c>
      <c r="F420">
        <v>14</v>
      </c>
      <c r="G420">
        <v>15</v>
      </c>
      <c r="H420">
        <v>19431</v>
      </c>
    </row>
    <row r="421" spans="1:8" x14ac:dyDescent="0.25">
      <c r="A421">
        <v>14</v>
      </c>
      <c r="B421" s="19">
        <v>45055</v>
      </c>
      <c r="C421" s="1" t="s">
        <v>34</v>
      </c>
      <c r="D421" t="s">
        <v>690</v>
      </c>
      <c r="E421">
        <v>108</v>
      </c>
      <c r="F421">
        <v>11</v>
      </c>
      <c r="G421">
        <v>51</v>
      </c>
      <c r="H421">
        <v>24384</v>
      </c>
    </row>
    <row r="422" spans="1:8" x14ac:dyDescent="0.25">
      <c r="A422">
        <v>14</v>
      </c>
      <c r="B422" s="19">
        <v>43986</v>
      </c>
      <c r="C422" s="1" t="s">
        <v>36</v>
      </c>
      <c r="D422" t="s">
        <v>690</v>
      </c>
      <c r="E422">
        <v>104</v>
      </c>
      <c r="F422">
        <v>15</v>
      </c>
      <c r="G422">
        <v>94</v>
      </c>
      <c r="H422">
        <v>35864</v>
      </c>
    </row>
    <row r="423" spans="1:8" x14ac:dyDescent="0.25">
      <c r="A423">
        <v>14</v>
      </c>
      <c r="B423" s="19">
        <v>44811</v>
      </c>
      <c r="C423" s="1" t="s">
        <v>36</v>
      </c>
      <c r="D423" t="s">
        <v>690</v>
      </c>
      <c r="E423">
        <v>104</v>
      </c>
      <c r="F423">
        <v>14</v>
      </c>
      <c r="G423">
        <v>13</v>
      </c>
      <c r="H423">
        <v>47215</v>
      </c>
    </row>
    <row r="424" spans="1:8" x14ac:dyDescent="0.25">
      <c r="A424">
        <v>14</v>
      </c>
      <c r="B424" s="19">
        <v>43841</v>
      </c>
      <c r="C424" s="1" t="s">
        <v>36</v>
      </c>
      <c r="D424" t="s">
        <v>691</v>
      </c>
      <c r="E424">
        <v>105</v>
      </c>
      <c r="F424">
        <v>12</v>
      </c>
      <c r="G424">
        <v>45</v>
      </c>
      <c r="H424">
        <v>30979</v>
      </c>
    </row>
    <row r="425" spans="1:8" x14ac:dyDescent="0.25">
      <c r="A425">
        <v>14</v>
      </c>
      <c r="B425" s="19">
        <v>44512</v>
      </c>
      <c r="C425" s="1" t="s">
        <v>33</v>
      </c>
      <c r="D425" t="s">
        <v>691</v>
      </c>
      <c r="E425">
        <v>103</v>
      </c>
      <c r="F425">
        <v>15</v>
      </c>
      <c r="G425">
        <v>87</v>
      </c>
      <c r="H425">
        <v>24674</v>
      </c>
    </row>
    <row r="426" spans="1:8" x14ac:dyDescent="0.25">
      <c r="A426">
        <v>14</v>
      </c>
      <c r="B426" s="19">
        <v>44449</v>
      </c>
      <c r="C426" s="1" t="s">
        <v>33</v>
      </c>
      <c r="D426" t="s">
        <v>700</v>
      </c>
      <c r="E426">
        <v>105</v>
      </c>
      <c r="F426">
        <v>14</v>
      </c>
      <c r="G426">
        <v>89</v>
      </c>
      <c r="H426">
        <v>27480</v>
      </c>
    </row>
    <row r="427" spans="1:8" x14ac:dyDescent="0.25">
      <c r="A427">
        <v>14</v>
      </c>
      <c r="B427" s="19">
        <v>43955</v>
      </c>
      <c r="C427" s="1" t="s">
        <v>33</v>
      </c>
      <c r="D427" t="s">
        <v>700</v>
      </c>
      <c r="E427">
        <v>108</v>
      </c>
      <c r="F427">
        <v>15</v>
      </c>
      <c r="G427">
        <v>78</v>
      </c>
      <c r="H427">
        <v>36290</v>
      </c>
    </row>
    <row r="428" spans="1:8" x14ac:dyDescent="0.25">
      <c r="A428">
        <v>14</v>
      </c>
      <c r="B428" s="19">
        <v>44945</v>
      </c>
      <c r="C428" s="1" t="s">
        <v>34</v>
      </c>
      <c r="D428" t="s">
        <v>700</v>
      </c>
      <c r="E428">
        <v>101</v>
      </c>
      <c r="F428">
        <v>12</v>
      </c>
      <c r="G428">
        <v>37</v>
      </c>
      <c r="H428">
        <v>29457</v>
      </c>
    </row>
    <row r="429" spans="1:8" x14ac:dyDescent="0.25">
      <c r="A429">
        <v>14</v>
      </c>
      <c r="B429" s="19">
        <v>45281</v>
      </c>
      <c r="C429" s="1" t="s">
        <v>35</v>
      </c>
      <c r="D429" t="s">
        <v>696</v>
      </c>
      <c r="E429">
        <v>104</v>
      </c>
      <c r="F429">
        <v>14</v>
      </c>
      <c r="G429">
        <v>34</v>
      </c>
      <c r="H429">
        <v>24983</v>
      </c>
    </row>
    <row r="430" spans="1:8" x14ac:dyDescent="0.25">
      <c r="A430">
        <v>14</v>
      </c>
      <c r="B430" s="19">
        <v>44119</v>
      </c>
      <c r="C430" s="1" t="s">
        <v>34</v>
      </c>
      <c r="D430" t="s">
        <v>696</v>
      </c>
      <c r="E430">
        <v>105</v>
      </c>
      <c r="F430">
        <v>12</v>
      </c>
      <c r="G430">
        <v>73</v>
      </c>
      <c r="H430">
        <v>23520</v>
      </c>
    </row>
    <row r="431" spans="1:8" x14ac:dyDescent="0.25">
      <c r="A431">
        <v>14</v>
      </c>
      <c r="B431" s="19">
        <v>44876</v>
      </c>
      <c r="C431" s="1" t="s">
        <v>36</v>
      </c>
      <c r="D431" t="s">
        <v>696</v>
      </c>
      <c r="E431">
        <v>102</v>
      </c>
      <c r="F431">
        <v>14</v>
      </c>
      <c r="G431">
        <v>41</v>
      </c>
      <c r="H431">
        <v>32974</v>
      </c>
    </row>
    <row r="432" spans="1:8" x14ac:dyDescent="0.25">
      <c r="A432">
        <v>14</v>
      </c>
      <c r="B432" s="19">
        <v>43900</v>
      </c>
      <c r="C432" s="1" t="s">
        <v>33</v>
      </c>
      <c r="D432" t="s">
        <v>696</v>
      </c>
      <c r="E432">
        <v>102</v>
      </c>
      <c r="F432">
        <v>14</v>
      </c>
      <c r="G432">
        <v>84</v>
      </c>
      <c r="H432">
        <v>45815</v>
      </c>
    </row>
    <row r="433" spans="1:8" x14ac:dyDescent="0.25">
      <c r="A433">
        <v>14</v>
      </c>
      <c r="B433" s="19">
        <v>43864</v>
      </c>
      <c r="C433" s="1" t="s">
        <v>35</v>
      </c>
      <c r="D433" t="s">
        <v>697</v>
      </c>
      <c r="E433">
        <v>104</v>
      </c>
      <c r="F433">
        <v>14</v>
      </c>
      <c r="G433">
        <v>48</v>
      </c>
      <c r="H433">
        <v>31934</v>
      </c>
    </row>
    <row r="434" spans="1:8" x14ac:dyDescent="0.25">
      <c r="A434">
        <v>14</v>
      </c>
      <c r="B434" s="19">
        <v>45570</v>
      </c>
      <c r="C434" s="1" t="s">
        <v>33</v>
      </c>
      <c r="D434" t="s">
        <v>697</v>
      </c>
      <c r="E434">
        <v>104</v>
      </c>
      <c r="F434">
        <v>15</v>
      </c>
      <c r="G434">
        <v>41</v>
      </c>
      <c r="H434">
        <v>12153</v>
      </c>
    </row>
    <row r="435" spans="1:8" x14ac:dyDescent="0.25">
      <c r="A435">
        <v>14</v>
      </c>
      <c r="B435" s="19">
        <v>45281</v>
      </c>
      <c r="C435" s="1" t="s">
        <v>33</v>
      </c>
      <c r="D435" t="s">
        <v>698</v>
      </c>
      <c r="E435">
        <v>103</v>
      </c>
      <c r="F435">
        <v>11</v>
      </c>
      <c r="G435">
        <v>11</v>
      </c>
      <c r="H435">
        <v>42239</v>
      </c>
    </row>
    <row r="436" spans="1:8" x14ac:dyDescent="0.25">
      <c r="A436">
        <v>14</v>
      </c>
      <c r="B436" s="19">
        <v>44966</v>
      </c>
      <c r="C436" s="1" t="s">
        <v>35</v>
      </c>
      <c r="D436" t="s">
        <v>698</v>
      </c>
      <c r="E436">
        <v>104</v>
      </c>
      <c r="F436">
        <v>15</v>
      </c>
      <c r="G436">
        <v>70</v>
      </c>
      <c r="H436">
        <v>17460</v>
      </c>
    </row>
    <row r="437" spans="1:8" x14ac:dyDescent="0.25">
      <c r="A437">
        <v>14</v>
      </c>
      <c r="B437" s="19">
        <v>45053</v>
      </c>
      <c r="C437" s="1" t="s">
        <v>34</v>
      </c>
      <c r="D437" t="s">
        <v>698</v>
      </c>
      <c r="E437">
        <v>103</v>
      </c>
      <c r="F437">
        <v>12</v>
      </c>
      <c r="G437">
        <v>69</v>
      </c>
      <c r="H437">
        <v>27655</v>
      </c>
    </row>
    <row r="438" spans="1:8" x14ac:dyDescent="0.25">
      <c r="A438">
        <v>14</v>
      </c>
      <c r="B438" s="19">
        <v>44217</v>
      </c>
      <c r="C438" s="1" t="s">
        <v>35</v>
      </c>
      <c r="D438" t="s">
        <v>698</v>
      </c>
      <c r="E438">
        <v>105</v>
      </c>
      <c r="F438">
        <v>14</v>
      </c>
      <c r="G438">
        <v>89</v>
      </c>
      <c r="H438">
        <v>43378</v>
      </c>
    </row>
    <row r="439" spans="1:8" x14ac:dyDescent="0.25">
      <c r="A439">
        <v>14</v>
      </c>
      <c r="B439" s="19">
        <v>44653</v>
      </c>
      <c r="C439" s="1" t="s">
        <v>33</v>
      </c>
      <c r="D439" t="s">
        <v>698</v>
      </c>
      <c r="E439">
        <v>105</v>
      </c>
      <c r="F439">
        <v>15</v>
      </c>
      <c r="G439">
        <v>83</v>
      </c>
      <c r="H439">
        <v>13038</v>
      </c>
    </row>
    <row r="440" spans="1:8" x14ac:dyDescent="0.25">
      <c r="A440">
        <v>14</v>
      </c>
      <c r="B440" s="19">
        <v>45055</v>
      </c>
      <c r="C440" s="1" t="s">
        <v>35</v>
      </c>
      <c r="D440" t="s">
        <v>698</v>
      </c>
      <c r="E440">
        <v>109</v>
      </c>
      <c r="F440">
        <v>11</v>
      </c>
      <c r="G440">
        <v>13</v>
      </c>
      <c r="H440">
        <v>16285</v>
      </c>
    </row>
    <row r="441" spans="1:8" x14ac:dyDescent="0.25">
      <c r="A441">
        <v>14</v>
      </c>
      <c r="B441" s="19">
        <v>44787</v>
      </c>
      <c r="C441" s="1" t="s">
        <v>33</v>
      </c>
      <c r="D441" t="s">
        <v>698</v>
      </c>
      <c r="E441">
        <v>102</v>
      </c>
      <c r="F441">
        <v>12</v>
      </c>
      <c r="G441">
        <v>15</v>
      </c>
      <c r="H441">
        <v>18100</v>
      </c>
    </row>
    <row r="442" spans="1:8" x14ac:dyDescent="0.25">
      <c r="A442">
        <v>14</v>
      </c>
      <c r="B442" s="19">
        <v>44904</v>
      </c>
      <c r="C442" s="1" t="s">
        <v>33</v>
      </c>
      <c r="D442" t="s">
        <v>698</v>
      </c>
      <c r="E442">
        <v>102</v>
      </c>
      <c r="F442">
        <v>14</v>
      </c>
      <c r="G442">
        <v>7</v>
      </c>
      <c r="H442">
        <v>41490</v>
      </c>
    </row>
    <row r="443" spans="1:8" x14ac:dyDescent="0.25">
      <c r="A443">
        <v>14</v>
      </c>
      <c r="B443" s="19">
        <v>45061</v>
      </c>
      <c r="C443" s="1" t="s">
        <v>35</v>
      </c>
      <c r="D443" t="s">
        <v>699</v>
      </c>
      <c r="E443">
        <v>105</v>
      </c>
      <c r="F443">
        <v>11</v>
      </c>
      <c r="G443">
        <v>100</v>
      </c>
      <c r="H443">
        <v>30411</v>
      </c>
    </row>
    <row r="444" spans="1:8" x14ac:dyDescent="0.25">
      <c r="A444">
        <v>14</v>
      </c>
      <c r="B444" s="19">
        <v>44264</v>
      </c>
      <c r="C444" s="1" t="s">
        <v>35</v>
      </c>
      <c r="D444" t="s">
        <v>699</v>
      </c>
      <c r="E444">
        <v>103</v>
      </c>
      <c r="F444">
        <v>15</v>
      </c>
      <c r="G444">
        <v>59</v>
      </c>
      <c r="H444">
        <v>49264</v>
      </c>
    </row>
    <row r="445" spans="1:8" x14ac:dyDescent="0.25">
      <c r="A445">
        <v>14</v>
      </c>
      <c r="B445" s="19">
        <v>45582</v>
      </c>
      <c r="C445" s="1" t="s">
        <v>34</v>
      </c>
      <c r="D445" t="s">
        <v>699</v>
      </c>
      <c r="E445">
        <v>103</v>
      </c>
      <c r="F445">
        <v>15</v>
      </c>
      <c r="G445">
        <v>50</v>
      </c>
      <c r="H445">
        <v>37853</v>
      </c>
    </row>
    <row r="446" spans="1:8" x14ac:dyDescent="0.25">
      <c r="A446">
        <v>14</v>
      </c>
      <c r="B446" s="19">
        <v>44214</v>
      </c>
      <c r="C446" s="1" t="s">
        <v>35</v>
      </c>
      <c r="D446" t="s">
        <v>695</v>
      </c>
      <c r="E446">
        <v>104</v>
      </c>
      <c r="F446">
        <v>14</v>
      </c>
      <c r="G446">
        <v>76</v>
      </c>
      <c r="H446">
        <v>37247</v>
      </c>
    </row>
    <row r="447" spans="1:8" x14ac:dyDescent="0.25">
      <c r="A447">
        <v>14</v>
      </c>
      <c r="B447" s="19">
        <v>45381</v>
      </c>
      <c r="C447" s="1" t="s">
        <v>33</v>
      </c>
      <c r="D447" t="s">
        <v>695</v>
      </c>
      <c r="E447">
        <v>102</v>
      </c>
      <c r="F447">
        <v>14</v>
      </c>
      <c r="G447">
        <v>19</v>
      </c>
      <c r="H447">
        <v>45433</v>
      </c>
    </row>
    <row r="448" spans="1:8" x14ac:dyDescent="0.25">
      <c r="A448">
        <v>14</v>
      </c>
      <c r="B448" s="19">
        <v>44273</v>
      </c>
      <c r="C448" s="1" t="s">
        <v>34</v>
      </c>
      <c r="D448" t="s">
        <v>692</v>
      </c>
      <c r="E448">
        <v>105</v>
      </c>
      <c r="F448">
        <v>12</v>
      </c>
      <c r="G448">
        <v>76</v>
      </c>
      <c r="H448">
        <v>37520</v>
      </c>
    </row>
    <row r="449" spans="1:8" x14ac:dyDescent="0.25">
      <c r="A449">
        <v>14</v>
      </c>
      <c r="B449" s="19">
        <v>45436</v>
      </c>
      <c r="C449" s="1" t="s">
        <v>33</v>
      </c>
      <c r="D449" t="s">
        <v>692</v>
      </c>
      <c r="E449">
        <v>104</v>
      </c>
      <c r="F449">
        <v>15</v>
      </c>
      <c r="G449">
        <v>57</v>
      </c>
      <c r="H449">
        <v>28174</v>
      </c>
    </row>
    <row r="450" spans="1:8" x14ac:dyDescent="0.25">
      <c r="A450">
        <v>14</v>
      </c>
      <c r="B450" s="19">
        <v>44175</v>
      </c>
      <c r="C450" s="1" t="s">
        <v>36</v>
      </c>
      <c r="D450" t="s">
        <v>692</v>
      </c>
      <c r="E450">
        <v>105</v>
      </c>
      <c r="F450">
        <v>12</v>
      </c>
      <c r="G450">
        <v>52</v>
      </c>
      <c r="H450">
        <v>49977</v>
      </c>
    </row>
    <row r="451" spans="1:8" x14ac:dyDescent="0.25">
      <c r="A451">
        <v>14</v>
      </c>
      <c r="B451" s="19">
        <v>44287</v>
      </c>
      <c r="C451" s="1" t="s">
        <v>35</v>
      </c>
      <c r="D451" t="s">
        <v>692</v>
      </c>
      <c r="E451">
        <v>103</v>
      </c>
      <c r="F451">
        <v>11</v>
      </c>
      <c r="G451">
        <v>57</v>
      </c>
      <c r="H451">
        <v>43410</v>
      </c>
    </row>
    <row r="452" spans="1:8" x14ac:dyDescent="0.25">
      <c r="A452">
        <v>14</v>
      </c>
      <c r="B452" s="19">
        <v>45022</v>
      </c>
      <c r="C452" s="1" t="s">
        <v>33</v>
      </c>
      <c r="D452" t="s">
        <v>693</v>
      </c>
      <c r="E452">
        <v>107</v>
      </c>
      <c r="F452">
        <v>12</v>
      </c>
      <c r="G452">
        <v>89</v>
      </c>
      <c r="H452">
        <v>25127</v>
      </c>
    </row>
    <row r="453" spans="1:8" x14ac:dyDescent="0.25">
      <c r="A453">
        <v>14</v>
      </c>
      <c r="B453" s="19">
        <v>44002</v>
      </c>
      <c r="C453" s="1" t="s">
        <v>36</v>
      </c>
      <c r="D453" t="s">
        <v>693</v>
      </c>
      <c r="E453">
        <v>105</v>
      </c>
      <c r="F453">
        <v>15</v>
      </c>
      <c r="G453">
        <v>67</v>
      </c>
      <c r="H453">
        <v>33106</v>
      </c>
    </row>
    <row r="454" spans="1:8" x14ac:dyDescent="0.25">
      <c r="A454">
        <v>14</v>
      </c>
      <c r="B454" s="19">
        <v>45584</v>
      </c>
      <c r="C454" s="1" t="s">
        <v>35</v>
      </c>
      <c r="D454" t="s">
        <v>693</v>
      </c>
      <c r="E454">
        <v>107</v>
      </c>
      <c r="F454">
        <v>15</v>
      </c>
      <c r="G454">
        <v>18</v>
      </c>
      <c r="H454">
        <v>30966</v>
      </c>
    </row>
    <row r="455" spans="1:8" x14ac:dyDescent="0.25">
      <c r="A455">
        <v>14</v>
      </c>
      <c r="B455" s="19">
        <v>44222</v>
      </c>
      <c r="C455" s="1" t="s">
        <v>36</v>
      </c>
      <c r="D455" t="s">
        <v>694</v>
      </c>
      <c r="E455">
        <v>103</v>
      </c>
      <c r="F455">
        <v>12</v>
      </c>
      <c r="G455">
        <v>20</v>
      </c>
      <c r="H455">
        <v>20236</v>
      </c>
    </row>
    <row r="456" spans="1:8" x14ac:dyDescent="0.25">
      <c r="A456">
        <v>14</v>
      </c>
      <c r="B456" s="19">
        <v>45491</v>
      </c>
      <c r="C456" s="1" t="s">
        <v>33</v>
      </c>
      <c r="D456" t="s">
        <v>694</v>
      </c>
      <c r="E456">
        <v>103</v>
      </c>
      <c r="F456">
        <v>14</v>
      </c>
      <c r="G456">
        <v>6</v>
      </c>
      <c r="H456">
        <v>17556</v>
      </c>
    </row>
    <row r="457" spans="1:8" x14ac:dyDescent="0.25">
      <c r="A457">
        <v>15</v>
      </c>
      <c r="B457" s="19">
        <v>44236</v>
      </c>
      <c r="C457" s="1" t="s">
        <v>36</v>
      </c>
      <c r="D457" t="s">
        <v>690</v>
      </c>
      <c r="E457">
        <v>104</v>
      </c>
      <c r="F457">
        <v>12</v>
      </c>
      <c r="G457">
        <v>47</v>
      </c>
      <c r="H457">
        <v>49892</v>
      </c>
    </row>
    <row r="458" spans="1:8" x14ac:dyDescent="0.25">
      <c r="A458">
        <v>15</v>
      </c>
      <c r="B458" s="19">
        <v>44354</v>
      </c>
      <c r="C458" s="1" t="s">
        <v>34</v>
      </c>
      <c r="D458" t="s">
        <v>690</v>
      </c>
      <c r="E458">
        <v>103</v>
      </c>
      <c r="F458">
        <v>11</v>
      </c>
      <c r="G458">
        <v>23</v>
      </c>
      <c r="H458">
        <v>15406</v>
      </c>
    </row>
    <row r="459" spans="1:8" x14ac:dyDescent="0.25">
      <c r="A459">
        <v>15</v>
      </c>
      <c r="B459" s="19">
        <v>44301</v>
      </c>
      <c r="C459" s="1" t="s">
        <v>34</v>
      </c>
      <c r="D459" t="s">
        <v>690</v>
      </c>
      <c r="E459">
        <v>102</v>
      </c>
      <c r="F459">
        <v>15</v>
      </c>
      <c r="G459">
        <v>53</v>
      </c>
      <c r="H459">
        <v>37311</v>
      </c>
    </row>
    <row r="460" spans="1:8" x14ac:dyDescent="0.25">
      <c r="A460">
        <v>15</v>
      </c>
      <c r="B460" s="19">
        <v>45083</v>
      </c>
      <c r="C460" s="1" t="s">
        <v>33</v>
      </c>
      <c r="D460" t="s">
        <v>690</v>
      </c>
      <c r="E460">
        <v>101</v>
      </c>
      <c r="F460">
        <v>14</v>
      </c>
      <c r="G460">
        <v>9</v>
      </c>
      <c r="H460">
        <v>26419</v>
      </c>
    </row>
    <row r="461" spans="1:8" x14ac:dyDescent="0.25">
      <c r="A461">
        <v>15</v>
      </c>
      <c r="B461" s="19">
        <v>44657</v>
      </c>
      <c r="C461" s="1" t="s">
        <v>34</v>
      </c>
      <c r="D461" t="s">
        <v>690</v>
      </c>
      <c r="E461">
        <v>102</v>
      </c>
      <c r="F461">
        <v>12</v>
      </c>
      <c r="G461">
        <v>62</v>
      </c>
      <c r="H461">
        <v>12979</v>
      </c>
    </row>
    <row r="462" spans="1:8" x14ac:dyDescent="0.25">
      <c r="A462">
        <v>15</v>
      </c>
      <c r="B462" s="19">
        <v>44127</v>
      </c>
      <c r="C462" s="1" t="s">
        <v>36</v>
      </c>
      <c r="D462" t="s">
        <v>691</v>
      </c>
      <c r="E462">
        <v>104</v>
      </c>
      <c r="F462">
        <v>12</v>
      </c>
      <c r="G462">
        <v>34</v>
      </c>
      <c r="H462">
        <v>13193</v>
      </c>
    </row>
    <row r="463" spans="1:8" x14ac:dyDescent="0.25">
      <c r="A463">
        <v>15</v>
      </c>
      <c r="B463" s="19">
        <v>44513</v>
      </c>
      <c r="C463" s="1" t="s">
        <v>34</v>
      </c>
      <c r="D463" t="s">
        <v>691</v>
      </c>
      <c r="E463">
        <v>108</v>
      </c>
      <c r="F463">
        <v>11</v>
      </c>
      <c r="G463">
        <v>18</v>
      </c>
      <c r="H463">
        <v>34673</v>
      </c>
    </row>
    <row r="464" spans="1:8" x14ac:dyDescent="0.25">
      <c r="A464">
        <v>15</v>
      </c>
      <c r="B464" s="19">
        <v>43899</v>
      </c>
      <c r="C464" s="1" t="s">
        <v>36</v>
      </c>
      <c r="D464" t="s">
        <v>700</v>
      </c>
      <c r="E464">
        <v>104</v>
      </c>
      <c r="F464">
        <v>12</v>
      </c>
      <c r="G464">
        <v>24</v>
      </c>
      <c r="H464">
        <v>29915</v>
      </c>
    </row>
    <row r="465" spans="1:8" x14ac:dyDescent="0.25">
      <c r="A465">
        <v>15</v>
      </c>
      <c r="B465" s="19">
        <v>44231</v>
      </c>
      <c r="C465" s="1" t="s">
        <v>36</v>
      </c>
      <c r="D465" t="s">
        <v>700</v>
      </c>
      <c r="E465">
        <v>103</v>
      </c>
      <c r="F465">
        <v>11</v>
      </c>
      <c r="G465">
        <v>40</v>
      </c>
      <c r="H465">
        <v>36814</v>
      </c>
    </row>
    <row r="466" spans="1:8" x14ac:dyDescent="0.25">
      <c r="A466">
        <v>15</v>
      </c>
      <c r="B466" s="19">
        <v>44924</v>
      </c>
      <c r="C466" s="1" t="s">
        <v>34</v>
      </c>
      <c r="D466" t="s">
        <v>700</v>
      </c>
      <c r="E466">
        <v>105</v>
      </c>
      <c r="F466">
        <v>15</v>
      </c>
      <c r="G466">
        <v>53</v>
      </c>
      <c r="H466">
        <v>33105</v>
      </c>
    </row>
    <row r="467" spans="1:8" x14ac:dyDescent="0.25">
      <c r="A467">
        <v>15</v>
      </c>
      <c r="B467" s="19">
        <v>45190</v>
      </c>
      <c r="C467" s="1" t="s">
        <v>35</v>
      </c>
      <c r="D467" t="s">
        <v>700</v>
      </c>
      <c r="E467">
        <v>105</v>
      </c>
      <c r="F467">
        <v>11</v>
      </c>
      <c r="G467">
        <v>100</v>
      </c>
      <c r="H467">
        <v>46771</v>
      </c>
    </row>
    <row r="468" spans="1:8" x14ac:dyDescent="0.25">
      <c r="A468">
        <v>15</v>
      </c>
      <c r="B468" s="19">
        <v>45118</v>
      </c>
      <c r="C468" s="1" t="s">
        <v>34</v>
      </c>
      <c r="D468" t="s">
        <v>696</v>
      </c>
      <c r="E468">
        <v>105</v>
      </c>
      <c r="F468">
        <v>14</v>
      </c>
      <c r="G468">
        <v>91</v>
      </c>
      <c r="H468">
        <v>46235</v>
      </c>
    </row>
    <row r="469" spans="1:8" x14ac:dyDescent="0.25">
      <c r="A469">
        <v>15</v>
      </c>
      <c r="B469" s="19">
        <v>45457</v>
      </c>
      <c r="C469" s="1" t="s">
        <v>35</v>
      </c>
      <c r="D469" t="s">
        <v>697</v>
      </c>
      <c r="E469">
        <v>105</v>
      </c>
      <c r="F469">
        <v>15</v>
      </c>
      <c r="G469">
        <v>49</v>
      </c>
      <c r="H469">
        <v>11451</v>
      </c>
    </row>
    <row r="470" spans="1:8" x14ac:dyDescent="0.25">
      <c r="A470">
        <v>15</v>
      </c>
      <c r="B470" s="19">
        <v>44014</v>
      </c>
      <c r="C470" s="1" t="s">
        <v>34</v>
      </c>
      <c r="D470" t="s">
        <v>697</v>
      </c>
      <c r="E470">
        <v>101</v>
      </c>
      <c r="F470">
        <v>15</v>
      </c>
      <c r="G470">
        <v>76</v>
      </c>
      <c r="H470">
        <v>20758</v>
      </c>
    </row>
    <row r="471" spans="1:8" x14ac:dyDescent="0.25">
      <c r="A471">
        <v>15</v>
      </c>
      <c r="B471" s="19">
        <v>44831</v>
      </c>
      <c r="C471" s="1" t="s">
        <v>35</v>
      </c>
      <c r="D471" t="s">
        <v>697</v>
      </c>
      <c r="E471">
        <v>105</v>
      </c>
      <c r="F471">
        <v>15</v>
      </c>
      <c r="G471">
        <v>7</v>
      </c>
      <c r="H471">
        <v>43083</v>
      </c>
    </row>
    <row r="472" spans="1:8" x14ac:dyDescent="0.25">
      <c r="A472">
        <v>15</v>
      </c>
      <c r="B472" s="19">
        <v>43913</v>
      </c>
      <c r="C472" s="1" t="s">
        <v>33</v>
      </c>
      <c r="D472" t="s">
        <v>697</v>
      </c>
      <c r="E472">
        <v>102</v>
      </c>
      <c r="F472">
        <v>15</v>
      </c>
      <c r="G472">
        <v>18</v>
      </c>
      <c r="H472">
        <v>32118</v>
      </c>
    </row>
    <row r="473" spans="1:8" x14ac:dyDescent="0.25">
      <c r="A473">
        <v>15</v>
      </c>
      <c r="B473" s="19">
        <v>45491</v>
      </c>
      <c r="C473" s="1" t="s">
        <v>34</v>
      </c>
      <c r="D473" t="s">
        <v>697</v>
      </c>
      <c r="E473">
        <v>105</v>
      </c>
      <c r="F473">
        <v>14</v>
      </c>
      <c r="G473">
        <v>24</v>
      </c>
      <c r="H473">
        <v>47642</v>
      </c>
    </row>
    <row r="474" spans="1:8" x14ac:dyDescent="0.25">
      <c r="A474">
        <v>15</v>
      </c>
      <c r="B474" s="19">
        <v>44779</v>
      </c>
      <c r="C474" s="1" t="s">
        <v>34</v>
      </c>
      <c r="D474" t="s">
        <v>697</v>
      </c>
      <c r="E474">
        <v>108</v>
      </c>
      <c r="F474">
        <v>12</v>
      </c>
      <c r="G474">
        <v>92</v>
      </c>
      <c r="H474">
        <v>43245</v>
      </c>
    </row>
    <row r="475" spans="1:8" x14ac:dyDescent="0.25">
      <c r="A475">
        <v>15</v>
      </c>
      <c r="B475" s="19">
        <v>44257</v>
      </c>
      <c r="C475" s="1" t="s">
        <v>34</v>
      </c>
      <c r="D475" t="s">
        <v>698</v>
      </c>
      <c r="E475">
        <v>102</v>
      </c>
      <c r="F475">
        <v>15</v>
      </c>
      <c r="G475">
        <v>68</v>
      </c>
      <c r="H475">
        <v>13540</v>
      </c>
    </row>
    <row r="476" spans="1:8" x14ac:dyDescent="0.25">
      <c r="A476">
        <v>15</v>
      </c>
      <c r="B476" s="19">
        <v>43953</v>
      </c>
      <c r="C476" s="1" t="s">
        <v>35</v>
      </c>
      <c r="D476" t="s">
        <v>698</v>
      </c>
      <c r="E476">
        <v>109</v>
      </c>
      <c r="F476">
        <v>14</v>
      </c>
      <c r="G476">
        <v>29</v>
      </c>
      <c r="H476">
        <v>14761</v>
      </c>
    </row>
    <row r="477" spans="1:8" x14ac:dyDescent="0.25">
      <c r="A477">
        <v>15</v>
      </c>
      <c r="B477" s="19">
        <v>44975</v>
      </c>
      <c r="C477" s="1" t="s">
        <v>35</v>
      </c>
      <c r="D477" t="s">
        <v>698</v>
      </c>
      <c r="E477">
        <v>103</v>
      </c>
      <c r="F477">
        <v>14</v>
      </c>
      <c r="G477">
        <v>65</v>
      </c>
      <c r="H477">
        <v>42796</v>
      </c>
    </row>
    <row r="478" spans="1:8" x14ac:dyDescent="0.25">
      <c r="A478">
        <v>15</v>
      </c>
      <c r="B478" s="19">
        <v>44065</v>
      </c>
      <c r="C478" s="1" t="s">
        <v>34</v>
      </c>
      <c r="D478" t="s">
        <v>699</v>
      </c>
      <c r="E478">
        <v>103</v>
      </c>
      <c r="F478">
        <v>14</v>
      </c>
      <c r="G478">
        <v>72</v>
      </c>
      <c r="H478">
        <v>47773</v>
      </c>
    </row>
    <row r="479" spans="1:8" x14ac:dyDescent="0.25">
      <c r="A479">
        <v>15</v>
      </c>
      <c r="B479" s="19">
        <v>43950</v>
      </c>
      <c r="C479" s="1" t="s">
        <v>34</v>
      </c>
      <c r="D479" t="s">
        <v>699</v>
      </c>
      <c r="E479">
        <v>105</v>
      </c>
      <c r="F479">
        <v>15</v>
      </c>
      <c r="G479">
        <v>13</v>
      </c>
      <c r="H479">
        <v>33148</v>
      </c>
    </row>
    <row r="480" spans="1:8" x14ac:dyDescent="0.25">
      <c r="A480">
        <v>15</v>
      </c>
      <c r="B480" s="19">
        <v>45269</v>
      </c>
      <c r="C480" s="1" t="s">
        <v>36</v>
      </c>
      <c r="D480" t="s">
        <v>695</v>
      </c>
      <c r="E480">
        <v>106</v>
      </c>
      <c r="F480">
        <v>11</v>
      </c>
      <c r="G480">
        <v>49</v>
      </c>
      <c r="H480">
        <v>26811</v>
      </c>
    </row>
    <row r="481" spans="1:8" x14ac:dyDescent="0.25">
      <c r="A481">
        <v>15</v>
      </c>
      <c r="B481" s="19">
        <v>45510</v>
      </c>
      <c r="C481" s="1" t="s">
        <v>36</v>
      </c>
      <c r="D481" t="s">
        <v>695</v>
      </c>
      <c r="E481">
        <v>104</v>
      </c>
      <c r="F481">
        <v>14</v>
      </c>
      <c r="G481">
        <v>92</v>
      </c>
      <c r="H481">
        <v>22255</v>
      </c>
    </row>
    <row r="482" spans="1:8" x14ac:dyDescent="0.25">
      <c r="A482">
        <v>15</v>
      </c>
      <c r="B482" s="19">
        <v>44561</v>
      </c>
      <c r="C482" s="1" t="s">
        <v>33</v>
      </c>
      <c r="D482" t="s">
        <v>695</v>
      </c>
      <c r="E482">
        <v>104</v>
      </c>
      <c r="F482">
        <v>12</v>
      </c>
      <c r="G482">
        <v>86</v>
      </c>
      <c r="H482">
        <v>29053</v>
      </c>
    </row>
    <row r="483" spans="1:8" x14ac:dyDescent="0.25">
      <c r="A483">
        <v>15</v>
      </c>
      <c r="B483" s="19">
        <v>44226</v>
      </c>
      <c r="C483" s="1" t="s">
        <v>33</v>
      </c>
      <c r="D483" t="s">
        <v>692</v>
      </c>
      <c r="E483">
        <v>101</v>
      </c>
      <c r="F483">
        <v>13</v>
      </c>
      <c r="G483">
        <v>94</v>
      </c>
      <c r="H483">
        <v>29471</v>
      </c>
    </row>
    <row r="484" spans="1:8" x14ac:dyDescent="0.25">
      <c r="A484">
        <v>15</v>
      </c>
      <c r="B484" s="19">
        <v>43880</v>
      </c>
      <c r="C484" s="1" t="s">
        <v>36</v>
      </c>
      <c r="D484" t="s">
        <v>692</v>
      </c>
      <c r="E484">
        <v>104</v>
      </c>
      <c r="F484">
        <v>11</v>
      </c>
      <c r="G484">
        <v>98</v>
      </c>
      <c r="H484">
        <v>43111</v>
      </c>
    </row>
    <row r="485" spans="1:8" x14ac:dyDescent="0.25">
      <c r="A485">
        <v>15</v>
      </c>
      <c r="B485" s="19">
        <v>44317</v>
      </c>
      <c r="C485" s="1" t="s">
        <v>33</v>
      </c>
      <c r="D485" t="s">
        <v>693</v>
      </c>
      <c r="E485">
        <v>107</v>
      </c>
      <c r="F485">
        <v>14</v>
      </c>
      <c r="G485">
        <v>27</v>
      </c>
      <c r="H485">
        <v>14770</v>
      </c>
    </row>
    <row r="486" spans="1:8" x14ac:dyDescent="0.25">
      <c r="A486">
        <v>15</v>
      </c>
      <c r="B486" s="19">
        <v>44924</v>
      </c>
      <c r="C486" s="1" t="s">
        <v>35</v>
      </c>
      <c r="D486" t="s">
        <v>693</v>
      </c>
      <c r="E486">
        <v>101</v>
      </c>
      <c r="F486">
        <v>12</v>
      </c>
      <c r="G486">
        <v>79</v>
      </c>
      <c r="H486">
        <v>42349</v>
      </c>
    </row>
    <row r="487" spans="1:8" x14ac:dyDescent="0.25">
      <c r="A487">
        <v>15</v>
      </c>
      <c r="B487" s="19">
        <v>44459</v>
      </c>
      <c r="C487" s="1" t="s">
        <v>35</v>
      </c>
      <c r="D487" t="s">
        <v>694</v>
      </c>
      <c r="E487">
        <v>103</v>
      </c>
      <c r="F487">
        <v>11</v>
      </c>
      <c r="G487">
        <v>18</v>
      </c>
      <c r="H487">
        <v>16552</v>
      </c>
    </row>
    <row r="488" spans="1:8" x14ac:dyDescent="0.25">
      <c r="A488">
        <v>15</v>
      </c>
      <c r="B488" s="19">
        <v>45608</v>
      </c>
      <c r="C488" s="1" t="s">
        <v>34</v>
      </c>
      <c r="D488" t="s">
        <v>694</v>
      </c>
      <c r="E488">
        <v>103</v>
      </c>
      <c r="F488">
        <v>13</v>
      </c>
      <c r="G488">
        <v>44</v>
      </c>
      <c r="H488">
        <v>35320</v>
      </c>
    </row>
    <row r="489" spans="1:8" x14ac:dyDescent="0.25">
      <c r="A489">
        <v>15</v>
      </c>
      <c r="B489" s="19">
        <v>45082</v>
      </c>
      <c r="C489" s="1" t="s">
        <v>35</v>
      </c>
      <c r="D489" t="s">
        <v>694</v>
      </c>
      <c r="E489">
        <v>101</v>
      </c>
      <c r="F489">
        <v>13</v>
      </c>
      <c r="G489">
        <v>30</v>
      </c>
      <c r="H489">
        <v>14993</v>
      </c>
    </row>
    <row r="490" spans="1:8" x14ac:dyDescent="0.25">
      <c r="A490">
        <v>16</v>
      </c>
      <c r="B490" s="19">
        <v>44060</v>
      </c>
      <c r="C490" s="1" t="s">
        <v>33</v>
      </c>
      <c r="D490" t="s">
        <v>690</v>
      </c>
      <c r="E490">
        <v>102</v>
      </c>
      <c r="F490">
        <v>15</v>
      </c>
      <c r="G490">
        <v>36</v>
      </c>
      <c r="H490">
        <v>16244</v>
      </c>
    </row>
    <row r="491" spans="1:8" x14ac:dyDescent="0.25">
      <c r="A491">
        <v>16</v>
      </c>
      <c r="B491" s="19">
        <v>44497</v>
      </c>
      <c r="C491" s="1" t="s">
        <v>36</v>
      </c>
      <c r="D491" t="s">
        <v>690</v>
      </c>
      <c r="E491">
        <v>105</v>
      </c>
      <c r="F491">
        <v>14</v>
      </c>
      <c r="G491">
        <v>56</v>
      </c>
      <c r="H491">
        <v>12842</v>
      </c>
    </row>
    <row r="492" spans="1:8" x14ac:dyDescent="0.25">
      <c r="A492">
        <v>16</v>
      </c>
      <c r="B492" s="19">
        <v>45532</v>
      </c>
      <c r="C492" s="1" t="s">
        <v>33</v>
      </c>
      <c r="D492" t="s">
        <v>690</v>
      </c>
      <c r="E492">
        <v>104</v>
      </c>
      <c r="F492">
        <v>11</v>
      </c>
      <c r="G492">
        <v>23</v>
      </c>
      <c r="H492">
        <v>22165</v>
      </c>
    </row>
    <row r="493" spans="1:8" x14ac:dyDescent="0.25">
      <c r="A493">
        <v>16</v>
      </c>
      <c r="B493" s="19">
        <v>43878</v>
      </c>
      <c r="C493" s="1" t="s">
        <v>34</v>
      </c>
      <c r="D493" t="s">
        <v>691</v>
      </c>
      <c r="E493">
        <v>103</v>
      </c>
      <c r="F493">
        <v>13</v>
      </c>
      <c r="G493">
        <v>36</v>
      </c>
      <c r="H493">
        <v>10647</v>
      </c>
    </row>
    <row r="494" spans="1:8" x14ac:dyDescent="0.25">
      <c r="A494">
        <v>16</v>
      </c>
      <c r="B494" s="19">
        <v>44725</v>
      </c>
      <c r="C494" s="1" t="s">
        <v>33</v>
      </c>
      <c r="D494" t="s">
        <v>691</v>
      </c>
      <c r="E494">
        <v>105</v>
      </c>
      <c r="F494">
        <v>13</v>
      </c>
      <c r="G494">
        <v>26</v>
      </c>
      <c r="H494">
        <v>15794</v>
      </c>
    </row>
    <row r="495" spans="1:8" x14ac:dyDescent="0.25">
      <c r="A495">
        <v>16</v>
      </c>
      <c r="B495" s="19">
        <v>44451</v>
      </c>
      <c r="C495" s="1" t="s">
        <v>36</v>
      </c>
      <c r="D495" t="s">
        <v>700</v>
      </c>
      <c r="E495">
        <v>105</v>
      </c>
      <c r="F495">
        <v>13</v>
      </c>
      <c r="G495">
        <v>86</v>
      </c>
      <c r="H495">
        <v>42059</v>
      </c>
    </row>
    <row r="496" spans="1:8" x14ac:dyDescent="0.25">
      <c r="A496">
        <v>16</v>
      </c>
      <c r="B496" s="19">
        <v>45549</v>
      </c>
      <c r="C496" s="1" t="s">
        <v>36</v>
      </c>
      <c r="D496" t="s">
        <v>700</v>
      </c>
      <c r="E496">
        <v>102</v>
      </c>
      <c r="F496">
        <v>13</v>
      </c>
      <c r="G496">
        <v>36</v>
      </c>
      <c r="H496">
        <v>11852</v>
      </c>
    </row>
    <row r="497" spans="1:8" x14ac:dyDescent="0.25">
      <c r="A497">
        <v>16</v>
      </c>
      <c r="B497" s="19">
        <v>45128</v>
      </c>
      <c r="C497" s="1" t="s">
        <v>35</v>
      </c>
      <c r="D497" t="s">
        <v>700</v>
      </c>
      <c r="E497">
        <v>106</v>
      </c>
      <c r="F497">
        <v>13</v>
      </c>
      <c r="G497">
        <v>50</v>
      </c>
      <c r="H497">
        <v>40356</v>
      </c>
    </row>
    <row r="498" spans="1:8" x14ac:dyDescent="0.25">
      <c r="A498">
        <v>16</v>
      </c>
      <c r="B498" s="19">
        <v>44203</v>
      </c>
      <c r="C498" s="1" t="s">
        <v>35</v>
      </c>
      <c r="D498" t="s">
        <v>700</v>
      </c>
      <c r="E498">
        <v>104</v>
      </c>
      <c r="F498">
        <v>14</v>
      </c>
      <c r="G498">
        <v>14</v>
      </c>
      <c r="H498">
        <v>10738</v>
      </c>
    </row>
    <row r="499" spans="1:8" x14ac:dyDescent="0.25">
      <c r="A499">
        <v>16</v>
      </c>
      <c r="B499" s="19">
        <v>45624</v>
      </c>
      <c r="C499" s="1" t="s">
        <v>33</v>
      </c>
      <c r="D499" t="s">
        <v>700</v>
      </c>
      <c r="E499">
        <v>103</v>
      </c>
      <c r="F499">
        <v>14</v>
      </c>
      <c r="G499">
        <v>97</v>
      </c>
      <c r="H499">
        <v>37650</v>
      </c>
    </row>
    <row r="500" spans="1:8" x14ac:dyDescent="0.25">
      <c r="A500">
        <v>16</v>
      </c>
      <c r="B500" s="19">
        <v>44894</v>
      </c>
      <c r="C500" s="1" t="s">
        <v>34</v>
      </c>
      <c r="D500" t="s">
        <v>696</v>
      </c>
      <c r="E500">
        <v>104</v>
      </c>
      <c r="F500">
        <v>11</v>
      </c>
      <c r="G500">
        <v>61</v>
      </c>
      <c r="H500">
        <v>30942</v>
      </c>
    </row>
    <row r="501" spans="1:8" x14ac:dyDescent="0.25">
      <c r="A501">
        <v>16</v>
      </c>
      <c r="B501" s="19">
        <v>45045</v>
      </c>
      <c r="C501" s="1" t="s">
        <v>34</v>
      </c>
      <c r="D501" t="s">
        <v>696</v>
      </c>
      <c r="E501">
        <v>109</v>
      </c>
      <c r="F501">
        <v>15</v>
      </c>
      <c r="G501">
        <v>27</v>
      </c>
      <c r="H501">
        <v>10495</v>
      </c>
    </row>
    <row r="502" spans="1:8" x14ac:dyDescent="0.25">
      <c r="A502">
        <v>16</v>
      </c>
      <c r="B502" s="19">
        <v>43981</v>
      </c>
      <c r="C502" s="1" t="s">
        <v>35</v>
      </c>
      <c r="D502" t="s">
        <v>696</v>
      </c>
      <c r="E502">
        <v>104</v>
      </c>
      <c r="F502">
        <v>11</v>
      </c>
      <c r="G502">
        <v>50</v>
      </c>
      <c r="H502">
        <v>12025</v>
      </c>
    </row>
    <row r="503" spans="1:8" x14ac:dyDescent="0.25">
      <c r="A503">
        <v>16</v>
      </c>
      <c r="B503" s="19">
        <v>44093</v>
      </c>
      <c r="C503" s="1" t="s">
        <v>34</v>
      </c>
      <c r="D503" t="s">
        <v>696</v>
      </c>
      <c r="E503">
        <v>105</v>
      </c>
      <c r="F503">
        <v>13</v>
      </c>
      <c r="G503">
        <v>69</v>
      </c>
      <c r="H503">
        <v>43753</v>
      </c>
    </row>
    <row r="504" spans="1:8" x14ac:dyDescent="0.25">
      <c r="A504">
        <v>16</v>
      </c>
      <c r="B504" s="19">
        <v>44788</v>
      </c>
      <c r="C504" s="1" t="s">
        <v>36</v>
      </c>
      <c r="D504" t="s">
        <v>696</v>
      </c>
      <c r="E504">
        <v>109</v>
      </c>
      <c r="F504">
        <v>12</v>
      </c>
      <c r="G504">
        <v>14</v>
      </c>
      <c r="H504">
        <v>39176</v>
      </c>
    </row>
    <row r="505" spans="1:8" x14ac:dyDescent="0.25">
      <c r="A505">
        <v>16</v>
      </c>
      <c r="B505" s="19">
        <v>45114</v>
      </c>
      <c r="C505" s="1" t="s">
        <v>35</v>
      </c>
      <c r="D505" t="s">
        <v>697</v>
      </c>
      <c r="E505">
        <v>103</v>
      </c>
      <c r="F505">
        <v>11</v>
      </c>
      <c r="G505">
        <v>76</v>
      </c>
      <c r="H505">
        <v>10886</v>
      </c>
    </row>
    <row r="506" spans="1:8" x14ac:dyDescent="0.25">
      <c r="A506">
        <v>16</v>
      </c>
      <c r="B506" s="19">
        <v>44404</v>
      </c>
      <c r="C506" s="1" t="s">
        <v>34</v>
      </c>
      <c r="D506" t="s">
        <v>697</v>
      </c>
      <c r="E506">
        <v>108</v>
      </c>
      <c r="F506">
        <v>14</v>
      </c>
      <c r="G506">
        <v>19</v>
      </c>
      <c r="H506">
        <v>24175</v>
      </c>
    </row>
    <row r="507" spans="1:8" x14ac:dyDescent="0.25">
      <c r="A507">
        <v>16</v>
      </c>
      <c r="B507" s="19">
        <v>45573</v>
      </c>
      <c r="C507" s="1" t="s">
        <v>34</v>
      </c>
      <c r="D507" t="s">
        <v>697</v>
      </c>
      <c r="E507">
        <v>101</v>
      </c>
      <c r="F507">
        <v>13</v>
      </c>
      <c r="G507">
        <v>29</v>
      </c>
      <c r="H507">
        <v>43632</v>
      </c>
    </row>
    <row r="508" spans="1:8" x14ac:dyDescent="0.25">
      <c r="A508">
        <v>16</v>
      </c>
      <c r="B508" s="19">
        <v>45564</v>
      </c>
      <c r="C508" s="1" t="s">
        <v>34</v>
      </c>
      <c r="D508" t="s">
        <v>697</v>
      </c>
      <c r="E508">
        <v>105</v>
      </c>
      <c r="F508">
        <v>13</v>
      </c>
      <c r="G508">
        <v>8</v>
      </c>
      <c r="H508">
        <v>27448</v>
      </c>
    </row>
    <row r="509" spans="1:8" x14ac:dyDescent="0.25">
      <c r="A509">
        <v>16</v>
      </c>
      <c r="B509" s="19">
        <v>44269</v>
      </c>
      <c r="C509" s="1" t="s">
        <v>33</v>
      </c>
      <c r="D509" t="s">
        <v>698</v>
      </c>
      <c r="E509">
        <v>104</v>
      </c>
      <c r="F509">
        <v>13</v>
      </c>
      <c r="G509">
        <v>9</v>
      </c>
      <c r="H509">
        <v>44267</v>
      </c>
    </row>
    <row r="510" spans="1:8" x14ac:dyDescent="0.25">
      <c r="A510">
        <v>16</v>
      </c>
      <c r="B510" s="19">
        <v>44654</v>
      </c>
      <c r="C510" s="1" t="s">
        <v>33</v>
      </c>
      <c r="D510" t="s">
        <v>698</v>
      </c>
      <c r="E510">
        <v>104</v>
      </c>
      <c r="F510">
        <v>14</v>
      </c>
      <c r="G510">
        <v>37</v>
      </c>
      <c r="H510">
        <v>49409</v>
      </c>
    </row>
    <row r="511" spans="1:8" x14ac:dyDescent="0.25">
      <c r="A511">
        <v>16</v>
      </c>
      <c r="B511" s="19">
        <v>44479</v>
      </c>
      <c r="C511" s="1" t="s">
        <v>36</v>
      </c>
      <c r="D511" t="s">
        <v>699</v>
      </c>
      <c r="E511">
        <v>105</v>
      </c>
      <c r="F511">
        <v>13</v>
      </c>
      <c r="G511">
        <v>23</v>
      </c>
      <c r="H511">
        <v>49385</v>
      </c>
    </row>
    <row r="512" spans="1:8" x14ac:dyDescent="0.25">
      <c r="A512">
        <v>16</v>
      </c>
      <c r="B512" s="19">
        <v>45289</v>
      </c>
      <c r="C512" s="1" t="s">
        <v>33</v>
      </c>
      <c r="D512" t="s">
        <v>699</v>
      </c>
      <c r="E512">
        <v>105</v>
      </c>
      <c r="F512">
        <v>14</v>
      </c>
      <c r="G512">
        <v>15</v>
      </c>
      <c r="H512">
        <v>35278</v>
      </c>
    </row>
    <row r="513" spans="1:8" x14ac:dyDescent="0.25">
      <c r="A513">
        <v>16</v>
      </c>
      <c r="B513" s="19">
        <v>44447</v>
      </c>
      <c r="C513" s="1" t="s">
        <v>33</v>
      </c>
      <c r="D513" t="s">
        <v>699</v>
      </c>
      <c r="E513">
        <v>103</v>
      </c>
      <c r="F513">
        <v>14</v>
      </c>
      <c r="G513">
        <v>54</v>
      </c>
      <c r="H513">
        <v>38348</v>
      </c>
    </row>
    <row r="514" spans="1:8" x14ac:dyDescent="0.25">
      <c r="A514">
        <v>16</v>
      </c>
      <c r="B514" s="19">
        <v>44683</v>
      </c>
      <c r="C514" s="1" t="s">
        <v>34</v>
      </c>
      <c r="D514" t="s">
        <v>699</v>
      </c>
      <c r="E514">
        <v>103</v>
      </c>
      <c r="F514">
        <v>12</v>
      </c>
      <c r="G514">
        <v>19</v>
      </c>
      <c r="H514">
        <v>27432</v>
      </c>
    </row>
    <row r="515" spans="1:8" x14ac:dyDescent="0.25">
      <c r="A515">
        <v>16</v>
      </c>
      <c r="B515" s="19">
        <v>45151</v>
      </c>
      <c r="C515" s="1" t="s">
        <v>33</v>
      </c>
      <c r="D515" t="s">
        <v>699</v>
      </c>
      <c r="E515">
        <v>108</v>
      </c>
      <c r="F515">
        <v>14</v>
      </c>
      <c r="G515">
        <v>30</v>
      </c>
      <c r="H515">
        <v>42112</v>
      </c>
    </row>
    <row r="516" spans="1:8" x14ac:dyDescent="0.25">
      <c r="A516">
        <v>16</v>
      </c>
      <c r="B516" s="19">
        <v>43931</v>
      </c>
      <c r="C516" s="1" t="s">
        <v>33</v>
      </c>
      <c r="D516" t="s">
        <v>699</v>
      </c>
      <c r="E516">
        <v>103</v>
      </c>
      <c r="F516">
        <v>15</v>
      </c>
      <c r="G516">
        <v>57</v>
      </c>
      <c r="H516">
        <v>10030</v>
      </c>
    </row>
    <row r="517" spans="1:8" x14ac:dyDescent="0.25">
      <c r="A517">
        <v>16</v>
      </c>
      <c r="B517" s="19">
        <v>45134</v>
      </c>
      <c r="C517" s="1" t="s">
        <v>36</v>
      </c>
      <c r="D517" t="s">
        <v>695</v>
      </c>
      <c r="E517">
        <v>104</v>
      </c>
      <c r="F517">
        <v>14</v>
      </c>
      <c r="G517">
        <v>92</v>
      </c>
      <c r="H517">
        <v>32229</v>
      </c>
    </row>
    <row r="518" spans="1:8" x14ac:dyDescent="0.25">
      <c r="A518">
        <v>16</v>
      </c>
      <c r="B518" s="19">
        <v>45247</v>
      </c>
      <c r="C518" s="1" t="s">
        <v>35</v>
      </c>
      <c r="D518" t="s">
        <v>695</v>
      </c>
      <c r="E518">
        <v>105</v>
      </c>
      <c r="F518">
        <v>14</v>
      </c>
      <c r="G518">
        <v>30</v>
      </c>
      <c r="H518">
        <v>39402</v>
      </c>
    </row>
    <row r="519" spans="1:8" x14ac:dyDescent="0.25">
      <c r="A519">
        <v>16</v>
      </c>
      <c r="B519" s="19">
        <v>44615</v>
      </c>
      <c r="C519" s="1" t="s">
        <v>33</v>
      </c>
      <c r="D519" t="s">
        <v>692</v>
      </c>
      <c r="E519">
        <v>105</v>
      </c>
      <c r="F519">
        <v>15</v>
      </c>
      <c r="G519">
        <v>84</v>
      </c>
      <c r="H519">
        <v>43502</v>
      </c>
    </row>
    <row r="520" spans="1:8" x14ac:dyDescent="0.25">
      <c r="A520">
        <v>16</v>
      </c>
      <c r="B520" s="19">
        <v>44360</v>
      </c>
      <c r="C520" s="1" t="s">
        <v>36</v>
      </c>
      <c r="D520" t="s">
        <v>692</v>
      </c>
      <c r="E520">
        <v>103</v>
      </c>
      <c r="F520">
        <v>11</v>
      </c>
      <c r="G520">
        <v>64</v>
      </c>
      <c r="H520">
        <v>13118</v>
      </c>
    </row>
    <row r="521" spans="1:8" x14ac:dyDescent="0.25">
      <c r="A521">
        <v>16</v>
      </c>
      <c r="B521" s="19">
        <v>45633</v>
      </c>
      <c r="C521" s="1" t="s">
        <v>33</v>
      </c>
      <c r="D521" t="s">
        <v>693</v>
      </c>
      <c r="E521">
        <v>105</v>
      </c>
      <c r="F521">
        <v>14</v>
      </c>
      <c r="G521">
        <v>50</v>
      </c>
      <c r="H521">
        <v>29334</v>
      </c>
    </row>
    <row r="522" spans="1:8" x14ac:dyDescent="0.25">
      <c r="A522">
        <v>16</v>
      </c>
      <c r="B522" s="19">
        <v>45497</v>
      </c>
      <c r="C522" s="1" t="s">
        <v>34</v>
      </c>
      <c r="D522" t="s">
        <v>693</v>
      </c>
      <c r="E522">
        <v>103</v>
      </c>
      <c r="F522">
        <v>12</v>
      </c>
      <c r="G522">
        <v>66</v>
      </c>
      <c r="H522">
        <v>30565</v>
      </c>
    </row>
    <row r="523" spans="1:8" x14ac:dyDescent="0.25">
      <c r="A523">
        <v>16</v>
      </c>
      <c r="B523" s="19">
        <v>43864</v>
      </c>
      <c r="C523" s="1" t="s">
        <v>34</v>
      </c>
      <c r="D523" t="s">
        <v>693</v>
      </c>
      <c r="E523">
        <v>109</v>
      </c>
      <c r="F523">
        <v>14</v>
      </c>
      <c r="G523">
        <v>38</v>
      </c>
      <c r="H523">
        <v>16941</v>
      </c>
    </row>
    <row r="524" spans="1:8" x14ac:dyDescent="0.25">
      <c r="A524">
        <v>16</v>
      </c>
      <c r="B524" s="19">
        <v>45399</v>
      </c>
      <c r="C524" s="1" t="s">
        <v>36</v>
      </c>
      <c r="D524" t="s">
        <v>694</v>
      </c>
      <c r="E524">
        <v>104</v>
      </c>
      <c r="F524">
        <v>13</v>
      </c>
      <c r="G524">
        <v>12</v>
      </c>
      <c r="H524">
        <v>14284</v>
      </c>
    </row>
    <row r="525" spans="1:8" x14ac:dyDescent="0.25">
      <c r="A525">
        <v>16</v>
      </c>
      <c r="B525" s="19">
        <v>44646</v>
      </c>
      <c r="C525" s="1" t="s">
        <v>35</v>
      </c>
      <c r="D525" t="s">
        <v>694</v>
      </c>
      <c r="E525">
        <v>103</v>
      </c>
      <c r="F525">
        <v>15</v>
      </c>
      <c r="G525">
        <v>84</v>
      </c>
      <c r="H525">
        <v>10323</v>
      </c>
    </row>
    <row r="526" spans="1:8" x14ac:dyDescent="0.25">
      <c r="A526">
        <v>17</v>
      </c>
      <c r="B526" s="19">
        <v>44284</v>
      </c>
      <c r="C526" s="1" t="s">
        <v>36</v>
      </c>
      <c r="D526" t="s">
        <v>690</v>
      </c>
      <c r="E526">
        <v>103</v>
      </c>
      <c r="F526">
        <v>11</v>
      </c>
      <c r="G526">
        <v>92</v>
      </c>
      <c r="H526">
        <v>12124</v>
      </c>
    </row>
    <row r="527" spans="1:8" x14ac:dyDescent="0.25">
      <c r="A527">
        <v>17</v>
      </c>
      <c r="B527" s="19">
        <v>44406</v>
      </c>
      <c r="C527" s="1" t="s">
        <v>35</v>
      </c>
      <c r="D527" t="s">
        <v>690</v>
      </c>
      <c r="E527">
        <v>106</v>
      </c>
      <c r="F527">
        <v>13</v>
      </c>
      <c r="G527">
        <v>68</v>
      </c>
      <c r="H527">
        <v>20424</v>
      </c>
    </row>
    <row r="528" spans="1:8" x14ac:dyDescent="0.25">
      <c r="A528">
        <v>17</v>
      </c>
      <c r="B528" s="19">
        <v>44391</v>
      </c>
      <c r="C528" s="1" t="s">
        <v>33</v>
      </c>
      <c r="D528" t="s">
        <v>691</v>
      </c>
      <c r="E528">
        <v>102</v>
      </c>
      <c r="F528">
        <v>14</v>
      </c>
      <c r="G528">
        <v>52</v>
      </c>
      <c r="H528">
        <v>30300</v>
      </c>
    </row>
    <row r="529" spans="1:8" x14ac:dyDescent="0.25">
      <c r="A529">
        <v>17</v>
      </c>
      <c r="B529" s="19">
        <v>44671</v>
      </c>
      <c r="C529" s="1" t="s">
        <v>34</v>
      </c>
      <c r="D529" t="s">
        <v>691</v>
      </c>
      <c r="E529">
        <v>103</v>
      </c>
      <c r="F529">
        <v>15</v>
      </c>
      <c r="G529">
        <v>21</v>
      </c>
      <c r="H529">
        <v>43840</v>
      </c>
    </row>
    <row r="530" spans="1:8" x14ac:dyDescent="0.25">
      <c r="A530">
        <v>17</v>
      </c>
      <c r="B530" s="19">
        <v>43965</v>
      </c>
      <c r="C530" s="1" t="s">
        <v>33</v>
      </c>
      <c r="D530" t="s">
        <v>700</v>
      </c>
      <c r="E530">
        <v>105</v>
      </c>
      <c r="F530">
        <v>15</v>
      </c>
      <c r="G530">
        <v>67</v>
      </c>
      <c r="H530">
        <v>48320</v>
      </c>
    </row>
    <row r="531" spans="1:8" x14ac:dyDescent="0.25">
      <c r="A531">
        <v>17</v>
      </c>
      <c r="B531" s="19">
        <v>45360</v>
      </c>
      <c r="C531" s="1" t="s">
        <v>34</v>
      </c>
      <c r="D531" t="s">
        <v>700</v>
      </c>
      <c r="E531">
        <v>105</v>
      </c>
      <c r="F531">
        <v>11</v>
      </c>
      <c r="G531">
        <v>31</v>
      </c>
      <c r="H531">
        <v>45711</v>
      </c>
    </row>
    <row r="532" spans="1:8" x14ac:dyDescent="0.25">
      <c r="A532">
        <v>17</v>
      </c>
      <c r="B532" s="19">
        <v>45086</v>
      </c>
      <c r="C532" s="1" t="s">
        <v>36</v>
      </c>
      <c r="D532" t="s">
        <v>700</v>
      </c>
      <c r="E532">
        <v>104</v>
      </c>
      <c r="F532">
        <v>14</v>
      </c>
      <c r="G532">
        <v>17</v>
      </c>
      <c r="H532">
        <v>16556</v>
      </c>
    </row>
    <row r="533" spans="1:8" x14ac:dyDescent="0.25">
      <c r="A533">
        <v>17</v>
      </c>
      <c r="B533" s="19">
        <v>43913</v>
      </c>
      <c r="C533" s="1" t="s">
        <v>36</v>
      </c>
      <c r="D533" t="s">
        <v>700</v>
      </c>
      <c r="E533">
        <v>104</v>
      </c>
      <c r="F533">
        <v>12</v>
      </c>
      <c r="G533">
        <v>25</v>
      </c>
      <c r="H533">
        <v>36010</v>
      </c>
    </row>
    <row r="534" spans="1:8" x14ac:dyDescent="0.25">
      <c r="A534">
        <v>17</v>
      </c>
      <c r="B534" s="19">
        <v>45447</v>
      </c>
      <c r="C534" s="1" t="s">
        <v>34</v>
      </c>
      <c r="D534" t="s">
        <v>696</v>
      </c>
      <c r="E534">
        <v>105</v>
      </c>
      <c r="F534">
        <v>14</v>
      </c>
      <c r="G534">
        <v>57</v>
      </c>
      <c r="H534">
        <v>31778</v>
      </c>
    </row>
    <row r="535" spans="1:8" x14ac:dyDescent="0.25">
      <c r="A535">
        <v>17</v>
      </c>
      <c r="B535" s="19">
        <v>44174</v>
      </c>
      <c r="C535" s="1" t="s">
        <v>35</v>
      </c>
      <c r="D535" t="s">
        <v>696</v>
      </c>
      <c r="E535">
        <v>102</v>
      </c>
      <c r="F535">
        <v>14</v>
      </c>
      <c r="G535">
        <v>64</v>
      </c>
      <c r="H535">
        <v>21959</v>
      </c>
    </row>
    <row r="536" spans="1:8" x14ac:dyDescent="0.25">
      <c r="A536">
        <v>17</v>
      </c>
      <c r="B536" s="19">
        <v>44619</v>
      </c>
      <c r="C536" s="1" t="s">
        <v>35</v>
      </c>
      <c r="D536" t="s">
        <v>696</v>
      </c>
      <c r="E536">
        <v>104</v>
      </c>
      <c r="F536">
        <v>15</v>
      </c>
      <c r="G536">
        <v>71</v>
      </c>
      <c r="H536">
        <v>42657</v>
      </c>
    </row>
    <row r="537" spans="1:8" x14ac:dyDescent="0.25">
      <c r="A537">
        <v>17</v>
      </c>
      <c r="B537" s="19">
        <v>45557</v>
      </c>
      <c r="C537" s="1" t="s">
        <v>36</v>
      </c>
      <c r="D537" t="s">
        <v>696</v>
      </c>
      <c r="E537">
        <v>103</v>
      </c>
      <c r="F537">
        <v>12</v>
      </c>
      <c r="G537">
        <v>14</v>
      </c>
      <c r="H537">
        <v>46387</v>
      </c>
    </row>
    <row r="538" spans="1:8" x14ac:dyDescent="0.25">
      <c r="A538">
        <v>17</v>
      </c>
      <c r="B538" s="19">
        <v>45521</v>
      </c>
      <c r="C538" s="1" t="s">
        <v>34</v>
      </c>
      <c r="D538" t="s">
        <v>697</v>
      </c>
      <c r="E538">
        <v>102</v>
      </c>
      <c r="F538">
        <v>11</v>
      </c>
      <c r="G538">
        <v>34</v>
      </c>
      <c r="H538">
        <v>19492</v>
      </c>
    </row>
    <row r="539" spans="1:8" x14ac:dyDescent="0.25">
      <c r="A539">
        <v>17</v>
      </c>
      <c r="B539" s="19">
        <v>45058</v>
      </c>
      <c r="C539" s="1" t="s">
        <v>33</v>
      </c>
      <c r="D539" t="s">
        <v>697</v>
      </c>
      <c r="E539">
        <v>108</v>
      </c>
      <c r="F539">
        <v>14</v>
      </c>
      <c r="G539">
        <v>46</v>
      </c>
      <c r="H539">
        <v>22967</v>
      </c>
    </row>
    <row r="540" spans="1:8" x14ac:dyDescent="0.25">
      <c r="A540">
        <v>17</v>
      </c>
      <c r="B540" s="19">
        <v>44024</v>
      </c>
      <c r="C540" s="1" t="s">
        <v>35</v>
      </c>
      <c r="D540" t="s">
        <v>698</v>
      </c>
      <c r="E540">
        <v>105</v>
      </c>
      <c r="F540">
        <v>14</v>
      </c>
      <c r="G540">
        <v>84</v>
      </c>
      <c r="H540">
        <v>24417</v>
      </c>
    </row>
    <row r="541" spans="1:8" x14ac:dyDescent="0.25">
      <c r="A541">
        <v>17</v>
      </c>
      <c r="B541" s="19">
        <v>44700</v>
      </c>
      <c r="C541" s="1" t="s">
        <v>34</v>
      </c>
      <c r="D541" t="s">
        <v>698</v>
      </c>
      <c r="E541">
        <v>103</v>
      </c>
      <c r="F541">
        <v>11</v>
      </c>
      <c r="G541">
        <v>76</v>
      </c>
      <c r="H541">
        <v>36561</v>
      </c>
    </row>
    <row r="542" spans="1:8" x14ac:dyDescent="0.25">
      <c r="A542">
        <v>17</v>
      </c>
      <c r="B542" s="19">
        <v>44546</v>
      </c>
      <c r="C542" s="1" t="s">
        <v>33</v>
      </c>
      <c r="D542" t="s">
        <v>698</v>
      </c>
      <c r="E542">
        <v>104</v>
      </c>
      <c r="F542">
        <v>13</v>
      </c>
      <c r="G542">
        <v>53</v>
      </c>
      <c r="H542">
        <v>43145</v>
      </c>
    </row>
    <row r="543" spans="1:8" x14ac:dyDescent="0.25">
      <c r="A543">
        <v>17</v>
      </c>
      <c r="B543" s="19">
        <v>45574</v>
      </c>
      <c r="C543" s="1" t="s">
        <v>36</v>
      </c>
      <c r="D543" t="s">
        <v>699</v>
      </c>
      <c r="E543">
        <v>103</v>
      </c>
      <c r="F543">
        <v>13</v>
      </c>
      <c r="G543">
        <v>21</v>
      </c>
      <c r="H543">
        <v>38370</v>
      </c>
    </row>
    <row r="544" spans="1:8" x14ac:dyDescent="0.25">
      <c r="A544">
        <v>17</v>
      </c>
      <c r="B544" s="19">
        <v>44516</v>
      </c>
      <c r="C544" s="1" t="s">
        <v>35</v>
      </c>
      <c r="D544" t="s">
        <v>699</v>
      </c>
      <c r="E544">
        <v>105</v>
      </c>
      <c r="F544">
        <v>11</v>
      </c>
      <c r="G544">
        <v>88</v>
      </c>
      <c r="H544">
        <v>19171</v>
      </c>
    </row>
    <row r="545" spans="1:8" x14ac:dyDescent="0.25">
      <c r="A545">
        <v>17</v>
      </c>
      <c r="B545" s="19">
        <v>43844</v>
      </c>
      <c r="C545" s="1" t="s">
        <v>36</v>
      </c>
      <c r="D545" t="s">
        <v>695</v>
      </c>
      <c r="E545">
        <v>108</v>
      </c>
      <c r="F545">
        <v>15</v>
      </c>
      <c r="G545">
        <v>22</v>
      </c>
      <c r="H545">
        <v>39317</v>
      </c>
    </row>
    <row r="546" spans="1:8" x14ac:dyDescent="0.25">
      <c r="A546">
        <v>17</v>
      </c>
      <c r="B546" s="19">
        <v>44272</v>
      </c>
      <c r="C546" s="1" t="s">
        <v>36</v>
      </c>
      <c r="D546" t="s">
        <v>695</v>
      </c>
      <c r="E546">
        <v>104</v>
      </c>
      <c r="F546">
        <v>12</v>
      </c>
      <c r="G546">
        <v>92</v>
      </c>
      <c r="H546">
        <v>49231</v>
      </c>
    </row>
    <row r="547" spans="1:8" x14ac:dyDescent="0.25">
      <c r="A547">
        <v>17</v>
      </c>
      <c r="B547" s="19">
        <v>45390</v>
      </c>
      <c r="C547" s="1" t="s">
        <v>35</v>
      </c>
      <c r="D547" t="s">
        <v>695</v>
      </c>
      <c r="E547">
        <v>103</v>
      </c>
      <c r="F547">
        <v>12</v>
      </c>
      <c r="G547">
        <v>40</v>
      </c>
      <c r="H547">
        <v>41958</v>
      </c>
    </row>
    <row r="548" spans="1:8" x14ac:dyDescent="0.25">
      <c r="A548">
        <v>17</v>
      </c>
      <c r="B548" s="19">
        <v>45231</v>
      </c>
      <c r="C548" s="1" t="s">
        <v>35</v>
      </c>
      <c r="D548" t="s">
        <v>695</v>
      </c>
      <c r="E548">
        <v>105</v>
      </c>
      <c r="F548">
        <v>12</v>
      </c>
      <c r="G548">
        <v>17</v>
      </c>
      <c r="H548">
        <v>25617</v>
      </c>
    </row>
    <row r="549" spans="1:8" x14ac:dyDescent="0.25">
      <c r="A549">
        <v>17</v>
      </c>
      <c r="B549" s="19">
        <v>44996</v>
      </c>
      <c r="C549" s="1" t="s">
        <v>35</v>
      </c>
      <c r="D549" t="s">
        <v>695</v>
      </c>
      <c r="E549">
        <v>103</v>
      </c>
      <c r="F549">
        <v>15</v>
      </c>
      <c r="G549">
        <v>22</v>
      </c>
      <c r="H549">
        <v>32059</v>
      </c>
    </row>
    <row r="550" spans="1:8" x14ac:dyDescent="0.25">
      <c r="A550">
        <v>17</v>
      </c>
      <c r="B550" s="19">
        <v>45296</v>
      </c>
      <c r="C550" s="1" t="s">
        <v>34</v>
      </c>
      <c r="D550" t="s">
        <v>695</v>
      </c>
      <c r="E550">
        <v>108</v>
      </c>
      <c r="F550">
        <v>12</v>
      </c>
      <c r="G550">
        <v>39</v>
      </c>
      <c r="H550">
        <v>17927</v>
      </c>
    </row>
    <row r="551" spans="1:8" x14ac:dyDescent="0.25">
      <c r="A551">
        <v>17</v>
      </c>
      <c r="B551" s="19">
        <v>45386</v>
      </c>
      <c r="C551" s="1" t="s">
        <v>35</v>
      </c>
      <c r="D551" t="s">
        <v>692</v>
      </c>
      <c r="E551">
        <v>103</v>
      </c>
      <c r="F551">
        <v>15</v>
      </c>
      <c r="G551">
        <v>71</v>
      </c>
      <c r="H551">
        <v>38691</v>
      </c>
    </row>
    <row r="552" spans="1:8" x14ac:dyDescent="0.25">
      <c r="A552">
        <v>17</v>
      </c>
      <c r="B552" s="19">
        <v>45018</v>
      </c>
      <c r="C552" s="1" t="s">
        <v>33</v>
      </c>
      <c r="D552" t="s">
        <v>692</v>
      </c>
      <c r="E552">
        <v>104</v>
      </c>
      <c r="F552">
        <v>14</v>
      </c>
      <c r="G552">
        <v>57</v>
      </c>
      <c r="H552">
        <v>18973</v>
      </c>
    </row>
    <row r="553" spans="1:8" x14ac:dyDescent="0.25">
      <c r="A553">
        <v>17</v>
      </c>
      <c r="B553" s="19">
        <v>44244</v>
      </c>
      <c r="C553" s="1" t="s">
        <v>35</v>
      </c>
      <c r="D553" t="s">
        <v>692</v>
      </c>
      <c r="E553">
        <v>103</v>
      </c>
      <c r="F553">
        <v>15</v>
      </c>
      <c r="G553">
        <v>56</v>
      </c>
      <c r="H553">
        <v>14162</v>
      </c>
    </row>
    <row r="554" spans="1:8" x14ac:dyDescent="0.25">
      <c r="A554">
        <v>17</v>
      </c>
      <c r="B554" s="19">
        <v>44320</v>
      </c>
      <c r="C554" s="1" t="s">
        <v>34</v>
      </c>
      <c r="D554" t="s">
        <v>693</v>
      </c>
      <c r="E554">
        <v>103</v>
      </c>
      <c r="F554">
        <v>15</v>
      </c>
      <c r="G554">
        <v>13</v>
      </c>
      <c r="H554">
        <v>47133</v>
      </c>
    </row>
    <row r="555" spans="1:8" x14ac:dyDescent="0.25">
      <c r="A555">
        <v>17</v>
      </c>
      <c r="B555" s="19">
        <v>44236</v>
      </c>
      <c r="C555" s="1" t="s">
        <v>33</v>
      </c>
      <c r="D555" t="s">
        <v>693</v>
      </c>
      <c r="E555">
        <v>107</v>
      </c>
      <c r="F555">
        <v>14</v>
      </c>
      <c r="G555">
        <v>98</v>
      </c>
      <c r="H555">
        <v>37793</v>
      </c>
    </row>
    <row r="556" spans="1:8" x14ac:dyDescent="0.25">
      <c r="A556">
        <v>17</v>
      </c>
      <c r="B556" s="19">
        <v>43853</v>
      </c>
      <c r="C556" s="1" t="s">
        <v>35</v>
      </c>
      <c r="D556" t="s">
        <v>693</v>
      </c>
      <c r="E556">
        <v>107</v>
      </c>
      <c r="F556">
        <v>11</v>
      </c>
      <c r="G556">
        <v>47</v>
      </c>
      <c r="H556">
        <v>27816</v>
      </c>
    </row>
    <row r="557" spans="1:8" x14ac:dyDescent="0.25">
      <c r="A557">
        <v>17</v>
      </c>
      <c r="B557" s="19">
        <v>44869</v>
      </c>
      <c r="C557" s="1" t="s">
        <v>34</v>
      </c>
      <c r="D557" t="s">
        <v>693</v>
      </c>
      <c r="E557">
        <v>106</v>
      </c>
      <c r="F557">
        <v>12</v>
      </c>
      <c r="G557">
        <v>59</v>
      </c>
      <c r="H557">
        <v>36978</v>
      </c>
    </row>
    <row r="558" spans="1:8" x14ac:dyDescent="0.25">
      <c r="A558">
        <v>17</v>
      </c>
      <c r="B558" s="19">
        <v>44291</v>
      </c>
      <c r="C558" s="1" t="s">
        <v>36</v>
      </c>
      <c r="D558" t="s">
        <v>694</v>
      </c>
      <c r="E558">
        <v>105</v>
      </c>
      <c r="F558">
        <v>15</v>
      </c>
      <c r="G558">
        <v>85</v>
      </c>
      <c r="H558">
        <v>18642</v>
      </c>
    </row>
    <row r="559" spans="1:8" x14ac:dyDescent="0.25">
      <c r="A559">
        <v>18</v>
      </c>
      <c r="B559" s="19">
        <v>44017</v>
      </c>
      <c r="C559" s="1" t="s">
        <v>35</v>
      </c>
      <c r="D559" t="s">
        <v>690</v>
      </c>
      <c r="E559">
        <v>104</v>
      </c>
      <c r="F559">
        <v>13</v>
      </c>
      <c r="G559">
        <v>50</v>
      </c>
      <c r="H559">
        <v>19667</v>
      </c>
    </row>
    <row r="560" spans="1:8" x14ac:dyDescent="0.25">
      <c r="A560">
        <v>18</v>
      </c>
      <c r="B560" s="19">
        <v>45538</v>
      </c>
      <c r="C560" s="1" t="s">
        <v>35</v>
      </c>
      <c r="D560" t="s">
        <v>700</v>
      </c>
      <c r="E560">
        <v>106</v>
      </c>
      <c r="F560">
        <v>11</v>
      </c>
      <c r="G560">
        <v>73</v>
      </c>
      <c r="H560">
        <v>32033</v>
      </c>
    </row>
    <row r="561" spans="1:8" x14ac:dyDescent="0.25">
      <c r="A561">
        <v>18</v>
      </c>
      <c r="B561" s="19">
        <v>44261</v>
      </c>
      <c r="C561" s="1" t="s">
        <v>36</v>
      </c>
      <c r="D561" t="s">
        <v>700</v>
      </c>
      <c r="E561">
        <v>104</v>
      </c>
      <c r="F561">
        <v>12</v>
      </c>
      <c r="G561">
        <v>88</v>
      </c>
      <c r="H561">
        <v>37068</v>
      </c>
    </row>
    <row r="562" spans="1:8" x14ac:dyDescent="0.25">
      <c r="A562">
        <v>18</v>
      </c>
      <c r="B562" s="19">
        <v>44770</v>
      </c>
      <c r="C562" s="1" t="s">
        <v>34</v>
      </c>
      <c r="D562" t="s">
        <v>700</v>
      </c>
      <c r="E562">
        <v>104</v>
      </c>
      <c r="F562">
        <v>14</v>
      </c>
      <c r="G562">
        <v>5</v>
      </c>
      <c r="H562">
        <v>11079</v>
      </c>
    </row>
    <row r="563" spans="1:8" x14ac:dyDescent="0.25">
      <c r="A563">
        <v>18</v>
      </c>
      <c r="B563" s="19">
        <v>45187</v>
      </c>
      <c r="C563" s="1" t="s">
        <v>34</v>
      </c>
      <c r="D563" t="s">
        <v>700</v>
      </c>
      <c r="E563">
        <v>104</v>
      </c>
      <c r="F563">
        <v>13</v>
      </c>
      <c r="G563">
        <v>37</v>
      </c>
      <c r="H563">
        <v>32408</v>
      </c>
    </row>
    <row r="564" spans="1:8" x14ac:dyDescent="0.25">
      <c r="A564">
        <v>18</v>
      </c>
      <c r="B564" s="19">
        <v>43969</v>
      </c>
      <c r="C564" s="1" t="s">
        <v>35</v>
      </c>
      <c r="D564" t="s">
        <v>696</v>
      </c>
      <c r="E564">
        <v>105</v>
      </c>
      <c r="F564">
        <v>13</v>
      </c>
      <c r="G564">
        <v>32</v>
      </c>
      <c r="H564">
        <v>18819</v>
      </c>
    </row>
    <row r="565" spans="1:8" x14ac:dyDescent="0.25">
      <c r="A565">
        <v>18</v>
      </c>
      <c r="B565" s="19">
        <v>45123</v>
      </c>
      <c r="C565" s="1" t="s">
        <v>36</v>
      </c>
      <c r="D565" t="s">
        <v>697</v>
      </c>
      <c r="E565">
        <v>107</v>
      </c>
      <c r="F565">
        <v>12</v>
      </c>
      <c r="G565">
        <v>18</v>
      </c>
      <c r="H565">
        <v>44643</v>
      </c>
    </row>
    <row r="566" spans="1:8" x14ac:dyDescent="0.25">
      <c r="A566">
        <v>18</v>
      </c>
      <c r="B566" s="19">
        <v>44216</v>
      </c>
      <c r="C566" s="1" t="s">
        <v>35</v>
      </c>
      <c r="D566" t="s">
        <v>697</v>
      </c>
      <c r="E566">
        <v>104</v>
      </c>
      <c r="F566">
        <v>13</v>
      </c>
      <c r="G566">
        <v>24</v>
      </c>
      <c r="H566">
        <v>35809</v>
      </c>
    </row>
    <row r="567" spans="1:8" x14ac:dyDescent="0.25">
      <c r="A567">
        <v>18</v>
      </c>
      <c r="B567" s="19">
        <v>45351</v>
      </c>
      <c r="C567" s="1" t="s">
        <v>36</v>
      </c>
      <c r="D567" t="s">
        <v>697</v>
      </c>
      <c r="E567">
        <v>102</v>
      </c>
      <c r="F567">
        <v>11</v>
      </c>
      <c r="G567">
        <v>58</v>
      </c>
      <c r="H567">
        <v>24770</v>
      </c>
    </row>
    <row r="568" spans="1:8" x14ac:dyDescent="0.25">
      <c r="A568">
        <v>18</v>
      </c>
      <c r="B568" s="19">
        <v>44837</v>
      </c>
      <c r="C568" s="1" t="s">
        <v>34</v>
      </c>
      <c r="D568" t="s">
        <v>697</v>
      </c>
      <c r="E568">
        <v>104</v>
      </c>
      <c r="F568">
        <v>15</v>
      </c>
      <c r="G568">
        <v>19</v>
      </c>
      <c r="H568">
        <v>26895</v>
      </c>
    </row>
    <row r="569" spans="1:8" x14ac:dyDescent="0.25">
      <c r="A569">
        <v>18</v>
      </c>
      <c r="B569" s="19">
        <v>44585</v>
      </c>
      <c r="C569" s="1" t="s">
        <v>36</v>
      </c>
      <c r="D569" t="s">
        <v>697</v>
      </c>
      <c r="E569">
        <v>104</v>
      </c>
      <c r="F569">
        <v>13</v>
      </c>
      <c r="G569">
        <v>84</v>
      </c>
      <c r="H569">
        <v>18775</v>
      </c>
    </row>
    <row r="570" spans="1:8" x14ac:dyDescent="0.25">
      <c r="A570">
        <v>18</v>
      </c>
      <c r="B570" s="19">
        <v>45030</v>
      </c>
      <c r="C570" s="1" t="s">
        <v>34</v>
      </c>
      <c r="D570" t="s">
        <v>697</v>
      </c>
      <c r="E570">
        <v>103</v>
      </c>
      <c r="F570">
        <v>12</v>
      </c>
      <c r="G570">
        <v>74</v>
      </c>
      <c r="H570">
        <v>28148</v>
      </c>
    </row>
    <row r="571" spans="1:8" x14ac:dyDescent="0.25">
      <c r="A571">
        <v>18</v>
      </c>
      <c r="B571" s="19">
        <v>45300</v>
      </c>
      <c r="C571" s="1" t="s">
        <v>35</v>
      </c>
      <c r="D571" t="s">
        <v>699</v>
      </c>
      <c r="E571">
        <v>109</v>
      </c>
      <c r="F571">
        <v>13</v>
      </c>
      <c r="G571">
        <v>54</v>
      </c>
      <c r="H571">
        <v>32588</v>
      </c>
    </row>
    <row r="572" spans="1:8" x14ac:dyDescent="0.25">
      <c r="A572">
        <v>18</v>
      </c>
      <c r="B572" s="19">
        <v>45052</v>
      </c>
      <c r="C572" s="1" t="s">
        <v>34</v>
      </c>
      <c r="D572" t="s">
        <v>695</v>
      </c>
      <c r="E572">
        <v>103</v>
      </c>
      <c r="F572">
        <v>14</v>
      </c>
      <c r="G572">
        <v>47</v>
      </c>
      <c r="H572">
        <v>25641</v>
      </c>
    </row>
    <row r="573" spans="1:8" x14ac:dyDescent="0.25">
      <c r="A573">
        <v>18</v>
      </c>
      <c r="B573" s="19">
        <v>45364</v>
      </c>
      <c r="C573" s="1" t="s">
        <v>34</v>
      </c>
      <c r="D573" t="s">
        <v>695</v>
      </c>
      <c r="E573">
        <v>107</v>
      </c>
      <c r="F573">
        <v>14</v>
      </c>
      <c r="G573">
        <v>27</v>
      </c>
      <c r="H573">
        <v>28776</v>
      </c>
    </row>
    <row r="574" spans="1:8" x14ac:dyDescent="0.25">
      <c r="A574">
        <v>18</v>
      </c>
      <c r="B574" s="19">
        <v>44342</v>
      </c>
      <c r="C574" s="1" t="s">
        <v>33</v>
      </c>
      <c r="D574" t="s">
        <v>695</v>
      </c>
      <c r="E574">
        <v>108</v>
      </c>
      <c r="F574">
        <v>14</v>
      </c>
      <c r="G574">
        <v>64</v>
      </c>
      <c r="H574">
        <v>21668</v>
      </c>
    </row>
    <row r="575" spans="1:8" x14ac:dyDescent="0.25">
      <c r="A575">
        <v>18</v>
      </c>
      <c r="B575" s="19">
        <v>43869</v>
      </c>
      <c r="C575" s="1" t="s">
        <v>33</v>
      </c>
      <c r="D575" t="s">
        <v>695</v>
      </c>
      <c r="E575">
        <v>102</v>
      </c>
      <c r="F575">
        <v>12</v>
      </c>
      <c r="G575">
        <v>87</v>
      </c>
      <c r="H575">
        <v>18492</v>
      </c>
    </row>
    <row r="576" spans="1:8" x14ac:dyDescent="0.25">
      <c r="A576">
        <v>18</v>
      </c>
      <c r="B576" s="19">
        <v>45559</v>
      </c>
      <c r="C576" s="1" t="s">
        <v>34</v>
      </c>
      <c r="D576" t="s">
        <v>695</v>
      </c>
      <c r="E576">
        <v>104</v>
      </c>
      <c r="F576">
        <v>11</v>
      </c>
      <c r="G576">
        <v>57</v>
      </c>
      <c r="H576">
        <v>27823</v>
      </c>
    </row>
    <row r="577" spans="1:8" x14ac:dyDescent="0.25">
      <c r="A577">
        <v>18</v>
      </c>
      <c r="B577" s="19">
        <v>44544</v>
      </c>
      <c r="C577" s="1" t="s">
        <v>34</v>
      </c>
      <c r="D577" t="s">
        <v>695</v>
      </c>
      <c r="E577">
        <v>104</v>
      </c>
      <c r="F577">
        <v>14</v>
      </c>
      <c r="G577">
        <v>74</v>
      </c>
      <c r="H577">
        <v>27764</v>
      </c>
    </row>
    <row r="578" spans="1:8" x14ac:dyDescent="0.25">
      <c r="A578">
        <v>18</v>
      </c>
      <c r="B578" s="19">
        <v>44819</v>
      </c>
      <c r="C578" s="1" t="s">
        <v>36</v>
      </c>
      <c r="D578" t="s">
        <v>695</v>
      </c>
      <c r="E578">
        <v>103</v>
      </c>
      <c r="F578">
        <v>14</v>
      </c>
      <c r="G578">
        <v>89</v>
      </c>
      <c r="H578">
        <v>18891</v>
      </c>
    </row>
    <row r="579" spans="1:8" x14ac:dyDescent="0.25">
      <c r="A579">
        <v>18</v>
      </c>
      <c r="B579" s="19">
        <v>45632</v>
      </c>
      <c r="C579" s="1" t="s">
        <v>34</v>
      </c>
      <c r="D579" t="s">
        <v>692</v>
      </c>
      <c r="E579">
        <v>103</v>
      </c>
      <c r="F579">
        <v>15</v>
      </c>
      <c r="G579">
        <v>96</v>
      </c>
      <c r="H579">
        <v>45476</v>
      </c>
    </row>
    <row r="580" spans="1:8" x14ac:dyDescent="0.25">
      <c r="A580">
        <v>18</v>
      </c>
      <c r="B580" s="19">
        <v>44803</v>
      </c>
      <c r="C580" s="1" t="s">
        <v>34</v>
      </c>
      <c r="D580" t="s">
        <v>692</v>
      </c>
      <c r="E580">
        <v>105</v>
      </c>
      <c r="F580">
        <v>11</v>
      </c>
      <c r="G580">
        <v>13</v>
      </c>
      <c r="H580">
        <v>46150</v>
      </c>
    </row>
    <row r="581" spans="1:8" x14ac:dyDescent="0.25">
      <c r="A581">
        <v>18</v>
      </c>
      <c r="B581" s="19">
        <v>43865</v>
      </c>
      <c r="C581" s="1" t="s">
        <v>34</v>
      </c>
      <c r="D581" t="s">
        <v>692</v>
      </c>
      <c r="E581">
        <v>106</v>
      </c>
      <c r="F581">
        <v>15</v>
      </c>
      <c r="G581">
        <v>31</v>
      </c>
      <c r="H581">
        <v>18480</v>
      </c>
    </row>
    <row r="582" spans="1:8" x14ac:dyDescent="0.25">
      <c r="A582">
        <v>18</v>
      </c>
      <c r="B582" s="19">
        <v>45135</v>
      </c>
      <c r="C582" s="1" t="s">
        <v>35</v>
      </c>
      <c r="D582" t="s">
        <v>692</v>
      </c>
      <c r="E582">
        <v>105</v>
      </c>
      <c r="F582">
        <v>12</v>
      </c>
      <c r="G582">
        <v>33</v>
      </c>
      <c r="H582">
        <v>11833</v>
      </c>
    </row>
    <row r="583" spans="1:8" x14ac:dyDescent="0.25">
      <c r="A583">
        <v>18</v>
      </c>
      <c r="B583" s="19">
        <v>45124</v>
      </c>
      <c r="C583" s="1" t="s">
        <v>36</v>
      </c>
      <c r="D583" t="s">
        <v>693</v>
      </c>
      <c r="E583">
        <v>106</v>
      </c>
      <c r="F583">
        <v>15</v>
      </c>
      <c r="G583">
        <v>30</v>
      </c>
      <c r="H583">
        <v>10219</v>
      </c>
    </row>
    <row r="584" spans="1:8" x14ac:dyDescent="0.25">
      <c r="A584">
        <v>18</v>
      </c>
      <c r="B584" s="19">
        <v>45459</v>
      </c>
      <c r="C584" s="1" t="s">
        <v>35</v>
      </c>
      <c r="D584" t="s">
        <v>694</v>
      </c>
      <c r="E584">
        <v>102</v>
      </c>
      <c r="F584">
        <v>11</v>
      </c>
      <c r="G584">
        <v>80</v>
      </c>
      <c r="H584">
        <v>10865</v>
      </c>
    </row>
    <row r="585" spans="1:8" x14ac:dyDescent="0.25">
      <c r="A585">
        <v>18</v>
      </c>
      <c r="B585" s="19">
        <v>44761</v>
      </c>
      <c r="C585" s="1" t="s">
        <v>36</v>
      </c>
      <c r="D585" t="s">
        <v>694</v>
      </c>
      <c r="E585">
        <v>108</v>
      </c>
      <c r="F585">
        <v>15</v>
      </c>
      <c r="G585">
        <v>65</v>
      </c>
      <c r="H585">
        <v>42085</v>
      </c>
    </row>
    <row r="586" spans="1:8" x14ac:dyDescent="0.25">
      <c r="A586">
        <v>18</v>
      </c>
      <c r="B586" s="19">
        <v>44234</v>
      </c>
      <c r="C586" s="1" t="s">
        <v>33</v>
      </c>
      <c r="D586" t="s">
        <v>694</v>
      </c>
      <c r="E586">
        <v>103</v>
      </c>
      <c r="F586">
        <v>11</v>
      </c>
      <c r="G586">
        <v>91</v>
      </c>
      <c r="H586">
        <v>29743</v>
      </c>
    </row>
    <row r="587" spans="1:8" x14ac:dyDescent="0.25">
      <c r="A587">
        <v>18</v>
      </c>
      <c r="B587" s="19">
        <v>45089</v>
      </c>
      <c r="C587" s="1" t="s">
        <v>33</v>
      </c>
      <c r="D587" t="s">
        <v>694</v>
      </c>
      <c r="E587">
        <v>107</v>
      </c>
      <c r="F587">
        <v>15</v>
      </c>
      <c r="G587">
        <v>72</v>
      </c>
      <c r="H587">
        <v>20028</v>
      </c>
    </row>
    <row r="588" spans="1:8" x14ac:dyDescent="0.25">
      <c r="A588">
        <v>19</v>
      </c>
      <c r="B588" s="19">
        <v>45016</v>
      </c>
      <c r="C588" s="1" t="s">
        <v>35</v>
      </c>
      <c r="D588" t="s">
        <v>691</v>
      </c>
      <c r="E588">
        <v>103</v>
      </c>
      <c r="F588">
        <v>12</v>
      </c>
      <c r="G588">
        <v>17</v>
      </c>
      <c r="H588">
        <v>32479</v>
      </c>
    </row>
    <row r="589" spans="1:8" x14ac:dyDescent="0.25">
      <c r="A589">
        <v>19</v>
      </c>
      <c r="B589" s="19">
        <v>45451</v>
      </c>
      <c r="C589" s="1" t="s">
        <v>34</v>
      </c>
      <c r="D589" t="s">
        <v>691</v>
      </c>
      <c r="E589">
        <v>102</v>
      </c>
      <c r="F589">
        <v>12</v>
      </c>
      <c r="G589">
        <v>56</v>
      </c>
      <c r="H589">
        <v>43502</v>
      </c>
    </row>
    <row r="590" spans="1:8" x14ac:dyDescent="0.25">
      <c r="A590">
        <v>19</v>
      </c>
      <c r="B590" s="19">
        <v>44688</v>
      </c>
      <c r="C590" s="1" t="s">
        <v>33</v>
      </c>
      <c r="D590" t="s">
        <v>700</v>
      </c>
      <c r="E590">
        <v>104</v>
      </c>
      <c r="F590">
        <v>12</v>
      </c>
      <c r="G590">
        <v>71</v>
      </c>
      <c r="H590">
        <v>26095</v>
      </c>
    </row>
    <row r="591" spans="1:8" x14ac:dyDescent="0.25">
      <c r="A591">
        <v>19</v>
      </c>
      <c r="B591" s="19">
        <v>44876</v>
      </c>
      <c r="C591" s="1" t="s">
        <v>35</v>
      </c>
      <c r="D591" t="s">
        <v>700</v>
      </c>
      <c r="E591">
        <v>103</v>
      </c>
      <c r="F591">
        <v>15</v>
      </c>
      <c r="G591">
        <v>82</v>
      </c>
      <c r="H591">
        <v>47441</v>
      </c>
    </row>
    <row r="592" spans="1:8" x14ac:dyDescent="0.25">
      <c r="A592">
        <v>19</v>
      </c>
      <c r="B592" s="19">
        <v>43995</v>
      </c>
      <c r="C592" s="1" t="s">
        <v>34</v>
      </c>
      <c r="D592" t="s">
        <v>700</v>
      </c>
      <c r="E592">
        <v>104</v>
      </c>
      <c r="F592">
        <v>13</v>
      </c>
      <c r="G592">
        <v>38</v>
      </c>
      <c r="H592">
        <v>33661</v>
      </c>
    </row>
    <row r="593" spans="1:8" x14ac:dyDescent="0.25">
      <c r="A593">
        <v>19</v>
      </c>
      <c r="B593" s="19">
        <v>44461</v>
      </c>
      <c r="C593" s="1" t="s">
        <v>34</v>
      </c>
      <c r="D593" t="s">
        <v>700</v>
      </c>
      <c r="E593">
        <v>105</v>
      </c>
      <c r="F593">
        <v>14</v>
      </c>
      <c r="G593">
        <v>73</v>
      </c>
      <c r="H593">
        <v>42538</v>
      </c>
    </row>
    <row r="594" spans="1:8" x14ac:dyDescent="0.25">
      <c r="A594">
        <v>19</v>
      </c>
      <c r="B594" s="19">
        <v>45655</v>
      </c>
      <c r="C594" s="1" t="s">
        <v>34</v>
      </c>
      <c r="D594" t="s">
        <v>700</v>
      </c>
      <c r="E594">
        <v>101</v>
      </c>
      <c r="F594">
        <v>13</v>
      </c>
      <c r="G594">
        <v>100</v>
      </c>
      <c r="H594">
        <v>38553</v>
      </c>
    </row>
    <row r="595" spans="1:8" x14ac:dyDescent="0.25">
      <c r="A595">
        <v>19</v>
      </c>
      <c r="B595" s="19">
        <v>44736</v>
      </c>
      <c r="C595" s="1" t="s">
        <v>34</v>
      </c>
      <c r="D595" t="s">
        <v>700</v>
      </c>
      <c r="E595">
        <v>103</v>
      </c>
      <c r="F595">
        <v>13</v>
      </c>
      <c r="G595">
        <v>93</v>
      </c>
      <c r="H595">
        <v>39937</v>
      </c>
    </row>
    <row r="596" spans="1:8" x14ac:dyDescent="0.25">
      <c r="A596">
        <v>19</v>
      </c>
      <c r="B596" s="19">
        <v>45058</v>
      </c>
      <c r="C596" s="1" t="s">
        <v>36</v>
      </c>
      <c r="D596" t="s">
        <v>696</v>
      </c>
      <c r="E596">
        <v>106</v>
      </c>
      <c r="F596">
        <v>11</v>
      </c>
      <c r="G596">
        <v>5</v>
      </c>
      <c r="H596">
        <v>45529</v>
      </c>
    </row>
    <row r="597" spans="1:8" x14ac:dyDescent="0.25">
      <c r="A597">
        <v>19</v>
      </c>
      <c r="B597" s="19">
        <v>45270</v>
      </c>
      <c r="C597" s="1" t="s">
        <v>33</v>
      </c>
      <c r="D597" t="s">
        <v>697</v>
      </c>
      <c r="E597">
        <v>103</v>
      </c>
      <c r="F597">
        <v>14</v>
      </c>
      <c r="G597">
        <v>18</v>
      </c>
      <c r="H597">
        <v>38377</v>
      </c>
    </row>
    <row r="598" spans="1:8" x14ac:dyDescent="0.25">
      <c r="A598">
        <v>19</v>
      </c>
      <c r="B598" s="19">
        <v>44196</v>
      </c>
      <c r="C598" s="1" t="s">
        <v>33</v>
      </c>
      <c r="D598" t="s">
        <v>698</v>
      </c>
      <c r="E598">
        <v>105</v>
      </c>
      <c r="F598">
        <v>13</v>
      </c>
      <c r="G598">
        <v>88</v>
      </c>
      <c r="H598">
        <v>47001</v>
      </c>
    </row>
    <row r="599" spans="1:8" x14ac:dyDescent="0.25">
      <c r="A599">
        <v>19</v>
      </c>
      <c r="B599" s="19">
        <v>45444</v>
      </c>
      <c r="C599" s="1" t="s">
        <v>35</v>
      </c>
      <c r="D599" t="s">
        <v>698</v>
      </c>
      <c r="E599">
        <v>104</v>
      </c>
      <c r="F599">
        <v>11</v>
      </c>
      <c r="G599">
        <v>84</v>
      </c>
      <c r="H599">
        <v>16951</v>
      </c>
    </row>
    <row r="600" spans="1:8" x14ac:dyDescent="0.25">
      <c r="A600">
        <v>19</v>
      </c>
      <c r="B600" s="19">
        <v>43957</v>
      </c>
      <c r="C600" s="1" t="s">
        <v>35</v>
      </c>
      <c r="D600" t="s">
        <v>698</v>
      </c>
      <c r="E600">
        <v>106</v>
      </c>
      <c r="F600">
        <v>15</v>
      </c>
      <c r="G600">
        <v>25</v>
      </c>
      <c r="H600">
        <v>25739</v>
      </c>
    </row>
    <row r="601" spans="1:8" x14ac:dyDescent="0.25">
      <c r="A601">
        <v>19</v>
      </c>
      <c r="B601" s="19">
        <v>44295</v>
      </c>
      <c r="C601" s="1" t="s">
        <v>36</v>
      </c>
      <c r="D601" t="s">
        <v>699</v>
      </c>
      <c r="E601">
        <v>103</v>
      </c>
      <c r="F601">
        <v>14</v>
      </c>
      <c r="G601">
        <v>92</v>
      </c>
      <c r="H601">
        <v>46644</v>
      </c>
    </row>
    <row r="602" spans="1:8" x14ac:dyDescent="0.25">
      <c r="A602">
        <v>19</v>
      </c>
      <c r="B602" s="19">
        <v>44558</v>
      </c>
      <c r="C602" s="1" t="s">
        <v>34</v>
      </c>
      <c r="D602" t="s">
        <v>699</v>
      </c>
      <c r="E602">
        <v>105</v>
      </c>
      <c r="F602">
        <v>14</v>
      </c>
      <c r="G602">
        <v>76</v>
      </c>
      <c r="H602">
        <v>14791</v>
      </c>
    </row>
    <row r="603" spans="1:8" x14ac:dyDescent="0.25">
      <c r="A603">
        <v>19</v>
      </c>
      <c r="B603" s="19">
        <v>44058</v>
      </c>
      <c r="C603" s="1" t="s">
        <v>34</v>
      </c>
      <c r="D603" t="s">
        <v>699</v>
      </c>
      <c r="E603">
        <v>103</v>
      </c>
      <c r="F603">
        <v>14</v>
      </c>
      <c r="G603">
        <v>64</v>
      </c>
      <c r="H603">
        <v>23452</v>
      </c>
    </row>
    <row r="604" spans="1:8" x14ac:dyDescent="0.25">
      <c r="A604">
        <v>19</v>
      </c>
      <c r="B604" s="19">
        <v>43857</v>
      </c>
      <c r="C604" s="1" t="s">
        <v>34</v>
      </c>
      <c r="D604" t="s">
        <v>699</v>
      </c>
      <c r="E604">
        <v>105</v>
      </c>
      <c r="F604">
        <v>11</v>
      </c>
      <c r="G604">
        <v>43</v>
      </c>
      <c r="H604">
        <v>18006</v>
      </c>
    </row>
    <row r="605" spans="1:8" x14ac:dyDescent="0.25">
      <c r="A605">
        <v>19</v>
      </c>
      <c r="B605" s="19">
        <v>45054</v>
      </c>
      <c r="C605" s="1" t="s">
        <v>33</v>
      </c>
      <c r="D605" t="s">
        <v>699</v>
      </c>
      <c r="E605">
        <v>104</v>
      </c>
      <c r="F605">
        <v>12</v>
      </c>
      <c r="G605">
        <v>29</v>
      </c>
      <c r="H605">
        <v>13125</v>
      </c>
    </row>
    <row r="606" spans="1:8" x14ac:dyDescent="0.25">
      <c r="A606">
        <v>19</v>
      </c>
      <c r="B606" s="19">
        <v>45377</v>
      </c>
      <c r="C606" s="1" t="s">
        <v>35</v>
      </c>
      <c r="D606" t="s">
        <v>695</v>
      </c>
      <c r="E606">
        <v>103</v>
      </c>
      <c r="F606">
        <v>13</v>
      </c>
      <c r="G606">
        <v>74</v>
      </c>
      <c r="H606">
        <v>40584</v>
      </c>
    </row>
    <row r="607" spans="1:8" x14ac:dyDescent="0.25">
      <c r="A607">
        <v>19</v>
      </c>
      <c r="B607" s="19">
        <v>45040</v>
      </c>
      <c r="C607" s="1" t="s">
        <v>36</v>
      </c>
      <c r="D607" t="s">
        <v>693</v>
      </c>
      <c r="E607">
        <v>101</v>
      </c>
      <c r="F607">
        <v>11</v>
      </c>
      <c r="G607">
        <v>90</v>
      </c>
      <c r="H607">
        <v>30081</v>
      </c>
    </row>
    <row r="608" spans="1:8" x14ac:dyDescent="0.25">
      <c r="A608">
        <v>19</v>
      </c>
      <c r="B608" s="19">
        <v>44102</v>
      </c>
      <c r="C608" s="1" t="s">
        <v>34</v>
      </c>
      <c r="D608" t="s">
        <v>693</v>
      </c>
      <c r="E608">
        <v>104</v>
      </c>
      <c r="F608">
        <v>13</v>
      </c>
      <c r="G608">
        <v>24</v>
      </c>
      <c r="H608">
        <v>26089</v>
      </c>
    </row>
    <row r="609" spans="1:8" x14ac:dyDescent="0.25">
      <c r="A609">
        <v>19</v>
      </c>
      <c r="B609" s="19">
        <v>45281</v>
      </c>
      <c r="C609" s="1" t="s">
        <v>33</v>
      </c>
      <c r="D609" t="s">
        <v>694</v>
      </c>
      <c r="E609">
        <v>104</v>
      </c>
      <c r="F609">
        <v>14</v>
      </c>
      <c r="G609">
        <v>31</v>
      </c>
      <c r="H609">
        <v>48845</v>
      </c>
    </row>
    <row r="610" spans="1:8" x14ac:dyDescent="0.25">
      <c r="A610">
        <v>19</v>
      </c>
      <c r="B610" s="19">
        <v>44127</v>
      </c>
      <c r="C610" s="1" t="s">
        <v>33</v>
      </c>
      <c r="D610" t="s">
        <v>694</v>
      </c>
      <c r="E610">
        <v>108</v>
      </c>
      <c r="F610">
        <v>14</v>
      </c>
      <c r="G610">
        <v>5</v>
      </c>
      <c r="H610">
        <v>43051</v>
      </c>
    </row>
    <row r="611" spans="1:8" x14ac:dyDescent="0.25">
      <c r="A611">
        <v>19</v>
      </c>
      <c r="B611" s="19">
        <v>45046</v>
      </c>
      <c r="C611" s="1" t="s">
        <v>36</v>
      </c>
      <c r="D611" t="s">
        <v>694</v>
      </c>
      <c r="E611">
        <v>102</v>
      </c>
      <c r="F611">
        <v>15</v>
      </c>
      <c r="G611">
        <v>18</v>
      </c>
      <c r="H611">
        <v>36736</v>
      </c>
    </row>
    <row r="612" spans="1:8" x14ac:dyDescent="0.25">
      <c r="A612">
        <v>20</v>
      </c>
      <c r="B612" s="19">
        <v>45217</v>
      </c>
      <c r="C612" s="1" t="s">
        <v>36</v>
      </c>
      <c r="D612" t="s">
        <v>690</v>
      </c>
      <c r="E612">
        <v>103</v>
      </c>
      <c r="F612">
        <v>15</v>
      </c>
      <c r="G612">
        <v>61</v>
      </c>
      <c r="H612">
        <v>16011</v>
      </c>
    </row>
    <row r="613" spans="1:8" x14ac:dyDescent="0.25">
      <c r="A613">
        <v>20</v>
      </c>
      <c r="B613" s="19">
        <v>45293</v>
      </c>
      <c r="C613" s="1" t="s">
        <v>35</v>
      </c>
      <c r="D613" t="s">
        <v>690</v>
      </c>
      <c r="E613">
        <v>105</v>
      </c>
      <c r="F613">
        <v>11</v>
      </c>
      <c r="G613">
        <v>48</v>
      </c>
      <c r="H613">
        <v>11431</v>
      </c>
    </row>
    <row r="614" spans="1:8" x14ac:dyDescent="0.25">
      <c r="A614">
        <v>20</v>
      </c>
      <c r="B614" s="19">
        <v>45504</v>
      </c>
      <c r="C614" s="1" t="s">
        <v>33</v>
      </c>
      <c r="D614" t="s">
        <v>690</v>
      </c>
      <c r="E614">
        <v>103</v>
      </c>
      <c r="F614">
        <v>11</v>
      </c>
      <c r="G614">
        <v>35</v>
      </c>
      <c r="H614">
        <v>27510</v>
      </c>
    </row>
    <row r="615" spans="1:8" x14ac:dyDescent="0.25">
      <c r="A615">
        <v>20</v>
      </c>
      <c r="B615" s="19">
        <v>45559</v>
      </c>
      <c r="C615" s="1" t="s">
        <v>36</v>
      </c>
      <c r="D615" t="s">
        <v>690</v>
      </c>
      <c r="E615">
        <v>103</v>
      </c>
      <c r="F615">
        <v>12</v>
      </c>
      <c r="G615">
        <v>70</v>
      </c>
      <c r="H615">
        <v>34673</v>
      </c>
    </row>
    <row r="616" spans="1:8" x14ac:dyDescent="0.25">
      <c r="A616">
        <v>20</v>
      </c>
      <c r="B616" s="19">
        <v>44289</v>
      </c>
      <c r="C616" s="1" t="s">
        <v>35</v>
      </c>
      <c r="D616" t="s">
        <v>691</v>
      </c>
      <c r="E616">
        <v>103</v>
      </c>
      <c r="F616">
        <v>13</v>
      </c>
      <c r="G616">
        <v>18</v>
      </c>
      <c r="H616">
        <v>16897</v>
      </c>
    </row>
    <row r="617" spans="1:8" x14ac:dyDescent="0.25">
      <c r="A617">
        <v>20</v>
      </c>
      <c r="B617" s="19">
        <v>45332</v>
      </c>
      <c r="C617" s="1" t="s">
        <v>35</v>
      </c>
      <c r="D617" t="s">
        <v>691</v>
      </c>
      <c r="E617">
        <v>101</v>
      </c>
      <c r="F617">
        <v>15</v>
      </c>
      <c r="G617">
        <v>25</v>
      </c>
      <c r="H617">
        <v>13376</v>
      </c>
    </row>
    <row r="618" spans="1:8" x14ac:dyDescent="0.25">
      <c r="A618">
        <v>20</v>
      </c>
      <c r="B618" s="19">
        <v>45337</v>
      </c>
      <c r="C618" s="1" t="s">
        <v>34</v>
      </c>
      <c r="D618" t="s">
        <v>691</v>
      </c>
      <c r="E618">
        <v>102</v>
      </c>
      <c r="F618">
        <v>15</v>
      </c>
      <c r="G618">
        <v>35</v>
      </c>
      <c r="H618">
        <v>49321</v>
      </c>
    </row>
    <row r="619" spans="1:8" x14ac:dyDescent="0.25">
      <c r="A619">
        <v>20</v>
      </c>
      <c r="B619" s="19">
        <v>45243</v>
      </c>
      <c r="C619" s="1" t="s">
        <v>34</v>
      </c>
      <c r="D619" t="s">
        <v>691</v>
      </c>
      <c r="E619">
        <v>103</v>
      </c>
      <c r="F619">
        <v>11</v>
      </c>
      <c r="G619">
        <v>98</v>
      </c>
      <c r="H619">
        <v>20338</v>
      </c>
    </row>
    <row r="620" spans="1:8" x14ac:dyDescent="0.25">
      <c r="A620">
        <v>20</v>
      </c>
      <c r="B620" s="19">
        <v>45243</v>
      </c>
      <c r="C620" s="1" t="s">
        <v>35</v>
      </c>
      <c r="D620" t="s">
        <v>691</v>
      </c>
      <c r="E620">
        <v>104</v>
      </c>
      <c r="F620">
        <v>11</v>
      </c>
      <c r="G620">
        <v>29</v>
      </c>
      <c r="H620">
        <v>31645</v>
      </c>
    </row>
    <row r="621" spans="1:8" x14ac:dyDescent="0.25">
      <c r="A621">
        <v>20</v>
      </c>
      <c r="B621" s="19">
        <v>44342</v>
      </c>
      <c r="C621" s="1" t="s">
        <v>35</v>
      </c>
      <c r="D621" t="s">
        <v>691</v>
      </c>
      <c r="E621">
        <v>104</v>
      </c>
      <c r="F621">
        <v>15</v>
      </c>
      <c r="G621">
        <v>76</v>
      </c>
      <c r="H621">
        <v>38266</v>
      </c>
    </row>
    <row r="622" spans="1:8" x14ac:dyDescent="0.25">
      <c r="A622">
        <v>20</v>
      </c>
      <c r="B622" s="19">
        <v>43935</v>
      </c>
      <c r="C622" s="1" t="s">
        <v>34</v>
      </c>
      <c r="D622" t="s">
        <v>691</v>
      </c>
      <c r="E622">
        <v>104</v>
      </c>
      <c r="F622">
        <v>13</v>
      </c>
      <c r="G622">
        <v>10</v>
      </c>
      <c r="H622">
        <v>45182</v>
      </c>
    </row>
    <row r="623" spans="1:8" x14ac:dyDescent="0.25">
      <c r="A623">
        <v>20</v>
      </c>
      <c r="B623" s="19">
        <v>45399</v>
      </c>
      <c r="C623" s="1" t="s">
        <v>34</v>
      </c>
      <c r="D623" t="s">
        <v>700</v>
      </c>
      <c r="E623">
        <v>103</v>
      </c>
      <c r="F623">
        <v>12</v>
      </c>
      <c r="G623">
        <v>35</v>
      </c>
      <c r="H623">
        <v>36786</v>
      </c>
    </row>
    <row r="624" spans="1:8" x14ac:dyDescent="0.25">
      <c r="A624">
        <v>20</v>
      </c>
      <c r="B624" s="19">
        <v>44914</v>
      </c>
      <c r="C624" s="1" t="s">
        <v>36</v>
      </c>
      <c r="D624" t="s">
        <v>700</v>
      </c>
      <c r="E624">
        <v>105</v>
      </c>
      <c r="F624">
        <v>12</v>
      </c>
      <c r="G624">
        <v>37</v>
      </c>
      <c r="H624">
        <v>33923</v>
      </c>
    </row>
    <row r="625" spans="1:8" x14ac:dyDescent="0.25">
      <c r="A625">
        <v>20</v>
      </c>
      <c r="B625" s="19">
        <v>44838</v>
      </c>
      <c r="C625" s="1" t="s">
        <v>34</v>
      </c>
      <c r="D625" t="s">
        <v>696</v>
      </c>
      <c r="E625">
        <v>104</v>
      </c>
      <c r="F625">
        <v>13</v>
      </c>
      <c r="G625">
        <v>25</v>
      </c>
      <c r="H625">
        <v>15574</v>
      </c>
    </row>
    <row r="626" spans="1:8" x14ac:dyDescent="0.25">
      <c r="A626">
        <v>20</v>
      </c>
      <c r="B626" s="19">
        <v>44827</v>
      </c>
      <c r="C626" s="1" t="s">
        <v>34</v>
      </c>
      <c r="D626" t="s">
        <v>696</v>
      </c>
      <c r="E626">
        <v>108</v>
      </c>
      <c r="F626">
        <v>15</v>
      </c>
      <c r="G626">
        <v>56</v>
      </c>
      <c r="H626">
        <v>29198</v>
      </c>
    </row>
    <row r="627" spans="1:8" x14ac:dyDescent="0.25">
      <c r="A627">
        <v>20</v>
      </c>
      <c r="B627" s="19">
        <v>44563</v>
      </c>
      <c r="C627" s="1" t="s">
        <v>36</v>
      </c>
      <c r="D627" t="s">
        <v>697</v>
      </c>
      <c r="E627">
        <v>103</v>
      </c>
      <c r="F627">
        <v>12</v>
      </c>
      <c r="G627">
        <v>65</v>
      </c>
      <c r="H627">
        <v>36836</v>
      </c>
    </row>
    <row r="628" spans="1:8" x14ac:dyDescent="0.25">
      <c r="A628">
        <v>20</v>
      </c>
      <c r="B628" s="19">
        <v>44731</v>
      </c>
      <c r="C628" s="1" t="s">
        <v>36</v>
      </c>
      <c r="D628" t="s">
        <v>697</v>
      </c>
      <c r="E628">
        <v>103</v>
      </c>
      <c r="F628">
        <v>13</v>
      </c>
      <c r="G628">
        <v>35</v>
      </c>
      <c r="H628">
        <v>49591</v>
      </c>
    </row>
    <row r="629" spans="1:8" x14ac:dyDescent="0.25">
      <c r="A629">
        <v>20</v>
      </c>
      <c r="B629" s="19">
        <v>43971</v>
      </c>
      <c r="C629" s="1" t="s">
        <v>33</v>
      </c>
      <c r="D629" t="s">
        <v>697</v>
      </c>
      <c r="E629">
        <v>103</v>
      </c>
      <c r="F629">
        <v>14</v>
      </c>
      <c r="G629">
        <v>96</v>
      </c>
      <c r="H629">
        <v>41440</v>
      </c>
    </row>
    <row r="630" spans="1:8" x14ac:dyDescent="0.25">
      <c r="A630">
        <v>20</v>
      </c>
      <c r="B630" s="19">
        <v>45456</v>
      </c>
      <c r="C630" s="1" t="s">
        <v>36</v>
      </c>
      <c r="D630" t="s">
        <v>698</v>
      </c>
      <c r="E630">
        <v>104</v>
      </c>
      <c r="F630">
        <v>15</v>
      </c>
      <c r="G630">
        <v>35</v>
      </c>
      <c r="H630">
        <v>22451</v>
      </c>
    </row>
    <row r="631" spans="1:8" x14ac:dyDescent="0.25">
      <c r="A631">
        <v>20</v>
      </c>
      <c r="B631" s="19">
        <v>45594</v>
      </c>
      <c r="C631" s="1" t="s">
        <v>33</v>
      </c>
      <c r="D631" t="s">
        <v>698</v>
      </c>
      <c r="E631">
        <v>103</v>
      </c>
      <c r="F631">
        <v>11</v>
      </c>
      <c r="G631">
        <v>61</v>
      </c>
      <c r="H631">
        <v>26838</v>
      </c>
    </row>
    <row r="632" spans="1:8" x14ac:dyDescent="0.25">
      <c r="A632">
        <v>20</v>
      </c>
      <c r="B632" s="19">
        <v>45000</v>
      </c>
      <c r="C632" s="1" t="s">
        <v>35</v>
      </c>
      <c r="D632" t="s">
        <v>698</v>
      </c>
      <c r="E632">
        <v>104</v>
      </c>
      <c r="F632">
        <v>14</v>
      </c>
      <c r="G632">
        <v>92</v>
      </c>
      <c r="H632">
        <v>34736</v>
      </c>
    </row>
    <row r="633" spans="1:8" x14ac:dyDescent="0.25">
      <c r="A633">
        <v>20</v>
      </c>
      <c r="B633" s="19">
        <v>44644</v>
      </c>
      <c r="C633" s="1" t="s">
        <v>36</v>
      </c>
      <c r="D633" t="s">
        <v>698</v>
      </c>
      <c r="E633">
        <v>104</v>
      </c>
      <c r="F633">
        <v>14</v>
      </c>
      <c r="G633">
        <v>78</v>
      </c>
      <c r="H633">
        <v>11869</v>
      </c>
    </row>
    <row r="634" spans="1:8" x14ac:dyDescent="0.25">
      <c r="A634">
        <v>20</v>
      </c>
      <c r="B634" s="19">
        <v>44139</v>
      </c>
      <c r="C634" s="1" t="s">
        <v>34</v>
      </c>
      <c r="D634" t="s">
        <v>695</v>
      </c>
      <c r="E634">
        <v>105</v>
      </c>
      <c r="F634">
        <v>12</v>
      </c>
      <c r="G634">
        <v>47</v>
      </c>
      <c r="H634">
        <v>37280</v>
      </c>
    </row>
    <row r="635" spans="1:8" x14ac:dyDescent="0.25">
      <c r="A635">
        <v>20</v>
      </c>
      <c r="B635" s="19">
        <v>45490</v>
      </c>
      <c r="C635" s="1" t="s">
        <v>36</v>
      </c>
      <c r="D635" t="s">
        <v>695</v>
      </c>
      <c r="E635">
        <v>105</v>
      </c>
      <c r="F635">
        <v>14</v>
      </c>
      <c r="G635">
        <v>45</v>
      </c>
      <c r="H635">
        <v>49172</v>
      </c>
    </row>
    <row r="636" spans="1:8" x14ac:dyDescent="0.25">
      <c r="A636">
        <v>20</v>
      </c>
      <c r="B636" s="19">
        <v>45364</v>
      </c>
      <c r="C636" s="1" t="s">
        <v>35</v>
      </c>
      <c r="D636" t="s">
        <v>693</v>
      </c>
      <c r="E636">
        <v>107</v>
      </c>
      <c r="F636">
        <v>15</v>
      </c>
      <c r="G636">
        <v>56</v>
      </c>
      <c r="H636">
        <v>41618</v>
      </c>
    </row>
    <row r="637" spans="1:8" x14ac:dyDescent="0.25">
      <c r="A637">
        <v>20</v>
      </c>
      <c r="B637" s="19">
        <v>44186</v>
      </c>
      <c r="C637" s="1" t="s">
        <v>34</v>
      </c>
      <c r="D637" t="s">
        <v>693</v>
      </c>
      <c r="E637">
        <v>104</v>
      </c>
      <c r="F637">
        <v>11</v>
      </c>
      <c r="G637">
        <v>64</v>
      </c>
      <c r="H637">
        <v>39890</v>
      </c>
    </row>
    <row r="638" spans="1:8" x14ac:dyDescent="0.25">
      <c r="A638">
        <v>20</v>
      </c>
      <c r="B638" s="19">
        <v>44740</v>
      </c>
      <c r="C638" s="1" t="s">
        <v>33</v>
      </c>
      <c r="D638" t="s">
        <v>694</v>
      </c>
      <c r="E638">
        <v>108</v>
      </c>
      <c r="F638">
        <v>15</v>
      </c>
      <c r="G638">
        <v>24</v>
      </c>
      <c r="H638">
        <v>29059</v>
      </c>
    </row>
    <row r="639" spans="1:8" x14ac:dyDescent="0.25">
      <c r="A639">
        <v>20</v>
      </c>
      <c r="B639" s="19">
        <v>44435</v>
      </c>
      <c r="C639" s="1" t="s">
        <v>33</v>
      </c>
      <c r="D639" t="s">
        <v>694</v>
      </c>
      <c r="E639">
        <v>108</v>
      </c>
      <c r="F639">
        <v>14</v>
      </c>
      <c r="G639">
        <v>86</v>
      </c>
      <c r="H639">
        <v>28112</v>
      </c>
    </row>
    <row r="640" spans="1:8" x14ac:dyDescent="0.25">
      <c r="A640">
        <v>20</v>
      </c>
      <c r="B640" s="19">
        <v>45404</v>
      </c>
      <c r="C640" s="1" t="s">
        <v>34</v>
      </c>
      <c r="D640" t="s">
        <v>694</v>
      </c>
      <c r="E640">
        <v>108</v>
      </c>
      <c r="F640">
        <v>15</v>
      </c>
      <c r="G640">
        <v>71</v>
      </c>
      <c r="H640">
        <v>10512</v>
      </c>
    </row>
    <row r="641" spans="1:8" x14ac:dyDescent="0.25">
      <c r="A641">
        <v>21</v>
      </c>
      <c r="B641" s="19">
        <v>43917</v>
      </c>
      <c r="C641" s="1" t="s">
        <v>36</v>
      </c>
      <c r="D641" t="s">
        <v>690</v>
      </c>
      <c r="E641">
        <v>102</v>
      </c>
      <c r="F641">
        <v>13</v>
      </c>
      <c r="G641">
        <v>23</v>
      </c>
      <c r="H641">
        <v>26400</v>
      </c>
    </row>
    <row r="642" spans="1:8" x14ac:dyDescent="0.25">
      <c r="A642">
        <v>21</v>
      </c>
      <c r="B642" s="19">
        <v>45539</v>
      </c>
      <c r="C642" s="1" t="s">
        <v>36</v>
      </c>
      <c r="D642" t="s">
        <v>690</v>
      </c>
      <c r="E642">
        <v>107</v>
      </c>
      <c r="F642">
        <v>14</v>
      </c>
      <c r="G642">
        <v>10</v>
      </c>
      <c r="H642">
        <v>25022</v>
      </c>
    </row>
    <row r="643" spans="1:8" x14ac:dyDescent="0.25">
      <c r="A643">
        <v>21</v>
      </c>
      <c r="B643" s="19">
        <v>44888</v>
      </c>
      <c r="C643" s="1" t="s">
        <v>36</v>
      </c>
      <c r="D643" t="s">
        <v>690</v>
      </c>
      <c r="E643">
        <v>104</v>
      </c>
      <c r="F643">
        <v>13</v>
      </c>
      <c r="G643">
        <v>100</v>
      </c>
      <c r="H643">
        <v>19537</v>
      </c>
    </row>
    <row r="644" spans="1:8" x14ac:dyDescent="0.25">
      <c r="A644">
        <v>21</v>
      </c>
      <c r="B644" s="19">
        <v>44680</v>
      </c>
      <c r="C644" s="1" t="s">
        <v>34</v>
      </c>
      <c r="D644" t="s">
        <v>690</v>
      </c>
      <c r="E644">
        <v>109</v>
      </c>
      <c r="F644">
        <v>15</v>
      </c>
      <c r="G644">
        <v>38</v>
      </c>
      <c r="H644">
        <v>14437</v>
      </c>
    </row>
    <row r="645" spans="1:8" x14ac:dyDescent="0.25">
      <c r="A645">
        <v>21</v>
      </c>
      <c r="B645" s="19">
        <v>44720</v>
      </c>
      <c r="C645" s="1" t="s">
        <v>33</v>
      </c>
      <c r="D645" t="s">
        <v>691</v>
      </c>
      <c r="E645">
        <v>102</v>
      </c>
      <c r="F645">
        <v>14</v>
      </c>
      <c r="G645">
        <v>88</v>
      </c>
      <c r="H645">
        <v>32527</v>
      </c>
    </row>
    <row r="646" spans="1:8" x14ac:dyDescent="0.25">
      <c r="A646">
        <v>21</v>
      </c>
      <c r="B646" s="19">
        <v>44411</v>
      </c>
      <c r="C646" s="1" t="s">
        <v>34</v>
      </c>
      <c r="D646" t="s">
        <v>691</v>
      </c>
      <c r="E646">
        <v>102</v>
      </c>
      <c r="F646">
        <v>12</v>
      </c>
      <c r="G646">
        <v>97</v>
      </c>
      <c r="H646">
        <v>43127</v>
      </c>
    </row>
    <row r="647" spans="1:8" x14ac:dyDescent="0.25">
      <c r="A647">
        <v>21</v>
      </c>
      <c r="B647" s="19">
        <v>45101</v>
      </c>
      <c r="C647" s="1" t="s">
        <v>33</v>
      </c>
      <c r="D647" t="s">
        <v>691</v>
      </c>
      <c r="E647">
        <v>104</v>
      </c>
      <c r="F647">
        <v>15</v>
      </c>
      <c r="G647">
        <v>26</v>
      </c>
      <c r="H647">
        <v>26637</v>
      </c>
    </row>
    <row r="648" spans="1:8" x14ac:dyDescent="0.25">
      <c r="A648">
        <v>21</v>
      </c>
      <c r="B648" s="19">
        <v>44232</v>
      </c>
      <c r="C648" s="1" t="s">
        <v>34</v>
      </c>
      <c r="D648" t="s">
        <v>691</v>
      </c>
      <c r="E648">
        <v>103</v>
      </c>
      <c r="F648">
        <v>11</v>
      </c>
      <c r="G648">
        <v>93</v>
      </c>
      <c r="H648">
        <v>19685</v>
      </c>
    </row>
    <row r="649" spans="1:8" x14ac:dyDescent="0.25">
      <c r="A649">
        <v>21</v>
      </c>
      <c r="B649" s="19">
        <v>45575</v>
      </c>
      <c r="C649" s="1" t="s">
        <v>35</v>
      </c>
      <c r="D649" t="s">
        <v>696</v>
      </c>
      <c r="E649">
        <v>109</v>
      </c>
      <c r="F649">
        <v>13</v>
      </c>
      <c r="G649">
        <v>65</v>
      </c>
      <c r="H649">
        <v>10947</v>
      </c>
    </row>
    <row r="650" spans="1:8" x14ac:dyDescent="0.25">
      <c r="A650">
        <v>21</v>
      </c>
      <c r="B650" s="19">
        <v>44825</v>
      </c>
      <c r="C650" s="1" t="s">
        <v>36</v>
      </c>
      <c r="D650" t="s">
        <v>696</v>
      </c>
      <c r="E650">
        <v>105</v>
      </c>
      <c r="F650">
        <v>11</v>
      </c>
      <c r="G650">
        <v>46</v>
      </c>
      <c r="H650">
        <v>40305</v>
      </c>
    </row>
    <row r="651" spans="1:8" x14ac:dyDescent="0.25">
      <c r="A651">
        <v>21</v>
      </c>
      <c r="B651" s="19">
        <v>45322</v>
      </c>
      <c r="C651" s="1" t="s">
        <v>35</v>
      </c>
      <c r="D651" t="s">
        <v>696</v>
      </c>
      <c r="E651">
        <v>104</v>
      </c>
      <c r="F651">
        <v>14</v>
      </c>
      <c r="G651">
        <v>75</v>
      </c>
      <c r="H651">
        <v>18252</v>
      </c>
    </row>
    <row r="652" spans="1:8" x14ac:dyDescent="0.25">
      <c r="A652">
        <v>21</v>
      </c>
      <c r="B652" s="19">
        <v>44009</v>
      </c>
      <c r="C652" s="1" t="s">
        <v>35</v>
      </c>
      <c r="D652" t="s">
        <v>696</v>
      </c>
      <c r="E652">
        <v>107</v>
      </c>
      <c r="F652">
        <v>12</v>
      </c>
      <c r="G652">
        <v>65</v>
      </c>
      <c r="H652">
        <v>36758</v>
      </c>
    </row>
    <row r="653" spans="1:8" x14ac:dyDescent="0.25">
      <c r="A653">
        <v>21</v>
      </c>
      <c r="B653" s="19">
        <v>43995</v>
      </c>
      <c r="C653" s="1" t="s">
        <v>33</v>
      </c>
      <c r="D653" t="s">
        <v>697</v>
      </c>
      <c r="E653">
        <v>107</v>
      </c>
      <c r="F653">
        <v>13</v>
      </c>
      <c r="G653">
        <v>8</v>
      </c>
      <c r="H653">
        <v>25044</v>
      </c>
    </row>
    <row r="654" spans="1:8" x14ac:dyDescent="0.25">
      <c r="A654">
        <v>21</v>
      </c>
      <c r="B654" s="19">
        <v>44063</v>
      </c>
      <c r="C654" s="1" t="s">
        <v>36</v>
      </c>
      <c r="D654" t="s">
        <v>697</v>
      </c>
      <c r="E654">
        <v>103</v>
      </c>
      <c r="F654">
        <v>12</v>
      </c>
      <c r="G654">
        <v>91</v>
      </c>
      <c r="H654">
        <v>22323</v>
      </c>
    </row>
    <row r="655" spans="1:8" x14ac:dyDescent="0.25">
      <c r="A655">
        <v>21</v>
      </c>
      <c r="B655" s="19">
        <v>45152</v>
      </c>
      <c r="C655" s="1" t="s">
        <v>33</v>
      </c>
      <c r="D655" t="s">
        <v>697</v>
      </c>
      <c r="E655">
        <v>105</v>
      </c>
      <c r="F655">
        <v>14</v>
      </c>
      <c r="G655">
        <v>65</v>
      </c>
      <c r="H655">
        <v>15133</v>
      </c>
    </row>
    <row r="656" spans="1:8" x14ac:dyDescent="0.25">
      <c r="A656">
        <v>21</v>
      </c>
      <c r="B656" s="19">
        <v>45425</v>
      </c>
      <c r="C656" s="1" t="s">
        <v>36</v>
      </c>
      <c r="D656" t="s">
        <v>697</v>
      </c>
      <c r="E656">
        <v>109</v>
      </c>
      <c r="F656">
        <v>13</v>
      </c>
      <c r="G656">
        <v>21</v>
      </c>
      <c r="H656">
        <v>15486</v>
      </c>
    </row>
    <row r="657" spans="1:8" x14ac:dyDescent="0.25">
      <c r="A657">
        <v>21</v>
      </c>
      <c r="B657" s="19">
        <v>45404</v>
      </c>
      <c r="C657" s="1" t="s">
        <v>35</v>
      </c>
      <c r="D657" t="s">
        <v>697</v>
      </c>
      <c r="E657">
        <v>104</v>
      </c>
      <c r="F657">
        <v>13</v>
      </c>
      <c r="G657">
        <v>34</v>
      </c>
      <c r="H657">
        <v>28801</v>
      </c>
    </row>
    <row r="658" spans="1:8" x14ac:dyDescent="0.25">
      <c r="A658">
        <v>21</v>
      </c>
      <c r="B658" s="19">
        <v>44387</v>
      </c>
      <c r="C658" s="1" t="s">
        <v>35</v>
      </c>
      <c r="D658" t="s">
        <v>698</v>
      </c>
      <c r="E658">
        <v>103</v>
      </c>
      <c r="F658">
        <v>12</v>
      </c>
      <c r="G658">
        <v>74</v>
      </c>
      <c r="H658">
        <v>39633</v>
      </c>
    </row>
    <row r="659" spans="1:8" x14ac:dyDescent="0.25">
      <c r="A659">
        <v>21</v>
      </c>
      <c r="B659" s="19">
        <v>44755</v>
      </c>
      <c r="C659" s="1" t="s">
        <v>33</v>
      </c>
      <c r="D659" t="s">
        <v>698</v>
      </c>
      <c r="E659">
        <v>105</v>
      </c>
      <c r="F659">
        <v>11</v>
      </c>
      <c r="G659">
        <v>26</v>
      </c>
      <c r="H659">
        <v>37630</v>
      </c>
    </row>
    <row r="660" spans="1:8" x14ac:dyDescent="0.25">
      <c r="A660">
        <v>21</v>
      </c>
      <c r="B660" s="19">
        <v>45334</v>
      </c>
      <c r="C660" s="1" t="s">
        <v>35</v>
      </c>
      <c r="D660" t="s">
        <v>698</v>
      </c>
      <c r="E660">
        <v>103</v>
      </c>
      <c r="F660">
        <v>15</v>
      </c>
      <c r="G660">
        <v>32</v>
      </c>
      <c r="H660">
        <v>25170</v>
      </c>
    </row>
    <row r="661" spans="1:8" x14ac:dyDescent="0.25">
      <c r="A661">
        <v>21</v>
      </c>
      <c r="B661" s="19">
        <v>45250</v>
      </c>
      <c r="C661" s="1" t="s">
        <v>36</v>
      </c>
      <c r="D661" t="s">
        <v>699</v>
      </c>
      <c r="E661">
        <v>105</v>
      </c>
      <c r="F661">
        <v>13</v>
      </c>
      <c r="G661">
        <v>80</v>
      </c>
      <c r="H661">
        <v>40239</v>
      </c>
    </row>
    <row r="662" spans="1:8" x14ac:dyDescent="0.25">
      <c r="A662">
        <v>21</v>
      </c>
      <c r="B662" s="19">
        <v>45267</v>
      </c>
      <c r="C662" s="1" t="s">
        <v>35</v>
      </c>
      <c r="D662" t="s">
        <v>699</v>
      </c>
      <c r="E662">
        <v>105</v>
      </c>
      <c r="F662">
        <v>11</v>
      </c>
      <c r="G662">
        <v>8</v>
      </c>
      <c r="H662">
        <v>10311</v>
      </c>
    </row>
    <row r="663" spans="1:8" x14ac:dyDescent="0.25">
      <c r="A663">
        <v>21</v>
      </c>
      <c r="B663" s="19">
        <v>44436</v>
      </c>
      <c r="C663" s="1" t="s">
        <v>35</v>
      </c>
      <c r="D663" t="s">
        <v>695</v>
      </c>
      <c r="E663">
        <v>105</v>
      </c>
      <c r="F663">
        <v>12</v>
      </c>
      <c r="G663">
        <v>30</v>
      </c>
      <c r="H663">
        <v>19175</v>
      </c>
    </row>
    <row r="664" spans="1:8" x14ac:dyDescent="0.25">
      <c r="A664">
        <v>21</v>
      </c>
      <c r="B664" s="19">
        <v>45121</v>
      </c>
      <c r="C664" s="1" t="s">
        <v>33</v>
      </c>
      <c r="D664" t="s">
        <v>695</v>
      </c>
      <c r="E664">
        <v>103</v>
      </c>
      <c r="F664">
        <v>14</v>
      </c>
      <c r="G664">
        <v>67</v>
      </c>
      <c r="H664">
        <v>49163</v>
      </c>
    </row>
    <row r="665" spans="1:8" x14ac:dyDescent="0.25">
      <c r="A665">
        <v>21</v>
      </c>
      <c r="B665" s="19">
        <v>45126</v>
      </c>
      <c r="C665" s="1" t="s">
        <v>36</v>
      </c>
      <c r="D665" t="s">
        <v>695</v>
      </c>
      <c r="E665">
        <v>104</v>
      </c>
      <c r="F665">
        <v>12</v>
      </c>
      <c r="G665">
        <v>35</v>
      </c>
      <c r="H665">
        <v>26738</v>
      </c>
    </row>
    <row r="666" spans="1:8" x14ac:dyDescent="0.25">
      <c r="A666">
        <v>21</v>
      </c>
      <c r="B666" s="19">
        <v>44713</v>
      </c>
      <c r="C666" s="1" t="s">
        <v>35</v>
      </c>
      <c r="D666" t="s">
        <v>692</v>
      </c>
      <c r="E666">
        <v>103</v>
      </c>
      <c r="F666">
        <v>12</v>
      </c>
      <c r="G666">
        <v>66</v>
      </c>
      <c r="H666">
        <v>25641</v>
      </c>
    </row>
    <row r="667" spans="1:8" x14ac:dyDescent="0.25">
      <c r="A667">
        <v>21</v>
      </c>
      <c r="B667" s="19">
        <v>44209</v>
      </c>
      <c r="C667" s="1" t="s">
        <v>34</v>
      </c>
      <c r="D667" t="s">
        <v>692</v>
      </c>
      <c r="E667">
        <v>105</v>
      </c>
      <c r="F667">
        <v>13</v>
      </c>
      <c r="G667">
        <v>20</v>
      </c>
      <c r="H667">
        <v>22252</v>
      </c>
    </row>
    <row r="668" spans="1:8" x14ac:dyDescent="0.25">
      <c r="A668">
        <v>21</v>
      </c>
      <c r="B668" s="19">
        <v>44953</v>
      </c>
      <c r="C668" s="1" t="s">
        <v>33</v>
      </c>
      <c r="D668" t="s">
        <v>692</v>
      </c>
      <c r="E668">
        <v>104</v>
      </c>
      <c r="F668">
        <v>12</v>
      </c>
      <c r="G668">
        <v>73</v>
      </c>
      <c r="H668">
        <v>21528</v>
      </c>
    </row>
    <row r="669" spans="1:8" x14ac:dyDescent="0.25">
      <c r="A669">
        <v>21</v>
      </c>
      <c r="B669" s="19">
        <v>45354</v>
      </c>
      <c r="C669" s="1" t="s">
        <v>34</v>
      </c>
      <c r="D669" t="s">
        <v>692</v>
      </c>
      <c r="E669">
        <v>108</v>
      </c>
      <c r="F669">
        <v>14</v>
      </c>
      <c r="G669">
        <v>8</v>
      </c>
      <c r="H669">
        <v>13489</v>
      </c>
    </row>
    <row r="670" spans="1:8" x14ac:dyDescent="0.25">
      <c r="A670">
        <v>21</v>
      </c>
      <c r="B670" s="19">
        <v>44915</v>
      </c>
      <c r="C670" s="1" t="s">
        <v>34</v>
      </c>
      <c r="D670" t="s">
        <v>693</v>
      </c>
      <c r="E670">
        <v>103</v>
      </c>
      <c r="F670">
        <v>11</v>
      </c>
      <c r="G670">
        <v>6</v>
      </c>
      <c r="H670">
        <v>29349</v>
      </c>
    </row>
    <row r="671" spans="1:8" x14ac:dyDescent="0.25">
      <c r="A671">
        <v>21</v>
      </c>
      <c r="B671" s="19">
        <v>45551</v>
      </c>
      <c r="C671" s="1" t="s">
        <v>33</v>
      </c>
      <c r="D671" t="s">
        <v>693</v>
      </c>
      <c r="E671">
        <v>102</v>
      </c>
      <c r="F671">
        <v>13</v>
      </c>
      <c r="G671">
        <v>54</v>
      </c>
      <c r="H671">
        <v>47107</v>
      </c>
    </row>
    <row r="672" spans="1:8" x14ac:dyDescent="0.25">
      <c r="A672">
        <v>21</v>
      </c>
      <c r="B672" s="19">
        <v>45550</v>
      </c>
      <c r="C672" s="1" t="s">
        <v>33</v>
      </c>
      <c r="D672" t="s">
        <v>694</v>
      </c>
      <c r="E672">
        <v>103</v>
      </c>
      <c r="F672">
        <v>13</v>
      </c>
      <c r="G672">
        <v>40</v>
      </c>
      <c r="H672">
        <v>14326</v>
      </c>
    </row>
    <row r="673" spans="1:8" x14ac:dyDescent="0.25">
      <c r="A673">
        <v>22</v>
      </c>
      <c r="B673" s="19">
        <v>44793</v>
      </c>
      <c r="C673" s="1" t="s">
        <v>33</v>
      </c>
      <c r="D673" t="s">
        <v>690</v>
      </c>
      <c r="E673">
        <v>103</v>
      </c>
      <c r="F673">
        <v>12</v>
      </c>
      <c r="G673">
        <v>56</v>
      </c>
      <c r="H673">
        <v>43208</v>
      </c>
    </row>
    <row r="674" spans="1:8" x14ac:dyDescent="0.25">
      <c r="A674">
        <v>22</v>
      </c>
      <c r="B674" s="19">
        <v>45505</v>
      </c>
      <c r="C674" s="1" t="s">
        <v>36</v>
      </c>
      <c r="D674" t="s">
        <v>690</v>
      </c>
      <c r="E674">
        <v>103</v>
      </c>
      <c r="F674">
        <v>15</v>
      </c>
      <c r="G674">
        <v>78</v>
      </c>
      <c r="H674">
        <v>30862</v>
      </c>
    </row>
    <row r="675" spans="1:8" x14ac:dyDescent="0.25">
      <c r="A675">
        <v>22</v>
      </c>
      <c r="B675" s="19">
        <v>44832</v>
      </c>
      <c r="C675" s="1" t="s">
        <v>33</v>
      </c>
      <c r="D675" t="s">
        <v>690</v>
      </c>
      <c r="E675">
        <v>104</v>
      </c>
      <c r="F675">
        <v>11</v>
      </c>
      <c r="G675">
        <v>89</v>
      </c>
      <c r="H675">
        <v>36777</v>
      </c>
    </row>
    <row r="676" spans="1:8" x14ac:dyDescent="0.25">
      <c r="A676">
        <v>22</v>
      </c>
      <c r="B676" s="19">
        <v>45534</v>
      </c>
      <c r="C676" s="1" t="s">
        <v>35</v>
      </c>
      <c r="D676" t="s">
        <v>690</v>
      </c>
      <c r="E676">
        <v>103</v>
      </c>
      <c r="F676">
        <v>15</v>
      </c>
      <c r="G676">
        <v>38</v>
      </c>
      <c r="H676">
        <v>31341</v>
      </c>
    </row>
    <row r="677" spans="1:8" x14ac:dyDescent="0.25">
      <c r="A677">
        <v>22</v>
      </c>
      <c r="B677" s="19">
        <v>44472</v>
      </c>
      <c r="C677" s="1" t="s">
        <v>34</v>
      </c>
      <c r="D677" t="s">
        <v>690</v>
      </c>
      <c r="E677">
        <v>109</v>
      </c>
      <c r="F677">
        <v>13</v>
      </c>
      <c r="G677">
        <v>71</v>
      </c>
      <c r="H677">
        <v>41110</v>
      </c>
    </row>
    <row r="678" spans="1:8" x14ac:dyDescent="0.25">
      <c r="A678">
        <v>22</v>
      </c>
      <c r="B678" s="19">
        <v>43917</v>
      </c>
      <c r="C678" s="1" t="s">
        <v>35</v>
      </c>
      <c r="D678" t="s">
        <v>691</v>
      </c>
      <c r="E678">
        <v>105</v>
      </c>
      <c r="F678">
        <v>11</v>
      </c>
      <c r="G678">
        <v>6</v>
      </c>
      <c r="H678">
        <v>13448</v>
      </c>
    </row>
    <row r="679" spans="1:8" x14ac:dyDescent="0.25">
      <c r="A679">
        <v>22</v>
      </c>
      <c r="B679" s="19">
        <v>45095</v>
      </c>
      <c r="C679" s="1" t="s">
        <v>34</v>
      </c>
      <c r="D679" t="s">
        <v>691</v>
      </c>
      <c r="E679">
        <v>101</v>
      </c>
      <c r="F679">
        <v>14</v>
      </c>
      <c r="G679">
        <v>81</v>
      </c>
      <c r="H679">
        <v>15337</v>
      </c>
    </row>
    <row r="680" spans="1:8" x14ac:dyDescent="0.25">
      <c r="A680">
        <v>22</v>
      </c>
      <c r="B680" s="19">
        <v>44597</v>
      </c>
      <c r="C680" s="1" t="s">
        <v>34</v>
      </c>
      <c r="D680" t="s">
        <v>691</v>
      </c>
      <c r="E680">
        <v>104</v>
      </c>
      <c r="F680">
        <v>13</v>
      </c>
      <c r="G680">
        <v>81</v>
      </c>
      <c r="H680">
        <v>21591</v>
      </c>
    </row>
    <row r="681" spans="1:8" x14ac:dyDescent="0.25">
      <c r="A681">
        <v>22</v>
      </c>
      <c r="B681" s="19">
        <v>43856</v>
      </c>
      <c r="C681" s="1" t="s">
        <v>33</v>
      </c>
      <c r="D681" t="s">
        <v>700</v>
      </c>
      <c r="E681">
        <v>108</v>
      </c>
      <c r="F681">
        <v>13</v>
      </c>
      <c r="G681">
        <v>41</v>
      </c>
      <c r="H681">
        <v>26935</v>
      </c>
    </row>
    <row r="682" spans="1:8" x14ac:dyDescent="0.25">
      <c r="A682">
        <v>22</v>
      </c>
      <c r="B682" s="19">
        <v>43986</v>
      </c>
      <c r="C682" s="1" t="s">
        <v>34</v>
      </c>
      <c r="D682" t="s">
        <v>700</v>
      </c>
      <c r="E682">
        <v>106</v>
      </c>
      <c r="F682">
        <v>15</v>
      </c>
      <c r="G682">
        <v>62</v>
      </c>
      <c r="H682">
        <v>25930</v>
      </c>
    </row>
    <row r="683" spans="1:8" x14ac:dyDescent="0.25">
      <c r="A683">
        <v>22</v>
      </c>
      <c r="B683" s="19">
        <v>45087</v>
      </c>
      <c r="C683" s="1" t="s">
        <v>35</v>
      </c>
      <c r="D683" t="s">
        <v>700</v>
      </c>
      <c r="E683">
        <v>103</v>
      </c>
      <c r="F683">
        <v>13</v>
      </c>
      <c r="G683">
        <v>9</v>
      </c>
      <c r="H683">
        <v>35638</v>
      </c>
    </row>
    <row r="684" spans="1:8" x14ac:dyDescent="0.25">
      <c r="A684">
        <v>22</v>
      </c>
      <c r="B684" s="19">
        <v>45330</v>
      </c>
      <c r="C684" s="1" t="s">
        <v>36</v>
      </c>
      <c r="D684" t="s">
        <v>700</v>
      </c>
      <c r="E684">
        <v>101</v>
      </c>
      <c r="F684">
        <v>13</v>
      </c>
      <c r="G684">
        <v>21</v>
      </c>
      <c r="H684">
        <v>12759</v>
      </c>
    </row>
    <row r="685" spans="1:8" x14ac:dyDescent="0.25">
      <c r="A685">
        <v>22</v>
      </c>
      <c r="B685" s="19">
        <v>45197</v>
      </c>
      <c r="C685" s="1" t="s">
        <v>33</v>
      </c>
      <c r="D685" t="s">
        <v>700</v>
      </c>
      <c r="E685">
        <v>103</v>
      </c>
      <c r="F685">
        <v>12</v>
      </c>
      <c r="G685">
        <v>19</v>
      </c>
      <c r="H685">
        <v>37630</v>
      </c>
    </row>
    <row r="686" spans="1:8" x14ac:dyDescent="0.25">
      <c r="A686">
        <v>22</v>
      </c>
      <c r="B686" s="19">
        <v>45401</v>
      </c>
      <c r="C686" s="1" t="s">
        <v>34</v>
      </c>
      <c r="D686" t="s">
        <v>700</v>
      </c>
      <c r="E686">
        <v>104</v>
      </c>
      <c r="F686">
        <v>11</v>
      </c>
      <c r="G686">
        <v>13</v>
      </c>
      <c r="H686">
        <v>21231</v>
      </c>
    </row>
    <row r="687" spans="1:8" x14ac:dyDescent="0.25">
      <c r="A687">
        <v>22</v>
      </c>
      <c r="B687" s="19">
        <v>45378</v>
      </c>
      <c r="C687" s="1" t="s">
        <v>34</v>
      </c>
      <c r="D687" t="s">
        <v>700</v>
      </c>
      <c r="E687">
        <v>109</v>
      </c>
      <c r="F687">
        <v>14</v>
      </c>
      <c r="G687">
        <v>36</v>
      </c>
      <c r="H687">
        <v>19389</v>
      </c>
    </row>
    <row r="688" spans="1:8" x14ac:dyDescent="0.25">
      <c r="A688">
        <v>22</v>
      </c>
      <c r="B688" s="19">
        <v>44337</v>
      </c>
      <c r="C688" s="1" t="s">
        <v>34</v>
      </c>
      <c r="D688" t="s">
        <v>696</v>
      </c>
      <c r="E688">
        <v>105</v>
      </c>
      <c r="F688">
        <v>12</v>
      </c>
      <c r="G688">
        <v>33</v>
      </c>
      <c r="H688">
        <v>22231</v>
      </c>
    </row>
    <row r="689" spans="1:8" x14ac:dyDescent="0.25">
      <c r="A689">
        <v>22</v>
      </c>
      <c r="B689" s="19">
        <v>44575</v>
      </c>
      <c r="C689" s="1" t="s">
        <v>35</v>
      </c>
      <c r="D689" t="s">
        <v>696</v>
      </c>
      <c r="E689">
        <v>103</v>
      </c>
      <c r="F689">
        <v>15</v>
      </c>
      <c r="G689">
        <v>98</v>
      </c>
      <c r="H689">
        <v>18291</v>
      </c>
    </row>
    <row r="690" spans="1:8" x14ac:dyDescent="0.25">
      <c r="A690">
        <v>22</v>
      </c>
      <c r="B690" s="19">
        <v>45309</v>
      </c>
      <c r="C690" s="1" t="s">
        <v>36</v>
      </c>
      <c r="D690" t="s">
        <v>696</v>
      </c>
      <c r="E690">
        <v>103</v>
      </c>
      <c r="F690">
        <v>11</v>
      </c>
      <c r="G690">
        <v>6</v>
      </c>
      <c r="H690">
        <v>18847</v>
      </c>
    </row>
    <row r="691" spans="1:8" x14ac:dyDescent="0.25">
      <c r="A691">
        <v>22</v>
      </c>
      <c r="B691" s="19">
        <v>44503</v>
      </c>
      <c r="C691" s="1" t="s">
        <v>34</v>
      </c>
      <c r="D691" t="s">
        <v>697</v>
      </c>
      <c r="E691">
        <v>103</v>
      </c>
      <c r="F691">
        <v>14</v>
      </c>
      <c r="G691">
        <v>12</v>
      </c>
      <c r="H691">
        <v>23208</v>
      </c>
    </row>
    <row r="692" spans="1:8" x14ac:dyDescent="0.25">
      <c r="A692">
        <v>22</v>
      </c>
      <c r="B692" s="19">
        <v>45424</v>
      </c>
      <c r="C692" s="1" t="s">
        <v>35</v>
      </c>
      <c r="D692" t="s">
        <v>697</v>
      </c>
      <c r="E692">
        <v>105</v>
      </c>
      <c r="F692">
        <v>11</v>
      </c>
      <c r="G692">
        <v>12</v>
      </c>
      <c r="H692">
        <v>24386</v>
      </c>
    </row>
    <row r="693" spans="1:8" x14ac:dyDescent="0.25">
      <c r="A693">
        <v>22</v>
      </c>
      <c r="B693" s="19">
        <v>44342</v>
      </c>
      <c r="C693" s="1" t="s">
        <v>35</v>
      </c>
      <c r="D693" t="s">
        <v>697</v>
      </c>
      <c r="E693">
        <v>107</v>
      </c>
      <c r="F693">
        <v>14</v>
      </c>
      <c r="G693">
        <v>89</v>
      </c>
      <c r="H693">
        <v>23766</v>
      </c>
    </row>
    <row r="694" spans="1:8" x14ac:dyDescent="0.25">
      <c r="A694">
        <v>22</v>
      </c>
      <c r="B694" s="19">
        <v>44985</v>
      </c>
      <c r="C694" s="1" t="s">
        <v>36</v>
      </c>
      <c r="D694" t="s">
        <v>698</v>
      </c>
      <c r="E694">
        <v>104</v>
      </c>
      <c r="F694">
        <v>11</v>
      </c>
      <c r="G694">
        <v>33</v>
      </c>
      <c r="H694">
        <v>43209</v>
      </c>
    </row>
    <row r="695" spans="1:8" x14ac:dyDescent="0.25">
      <c r="A695">
        <v>22</v>
      </c>
      <c r="B695" s="19">
        <v>43873</v>
      </c>
      <c r="C695" s="1" t="s">
        <v>34</v>
      </c>
      <c r="D695" t="s">
        <v>698</v>
      </c>
      <c r="E695">
        <v>104</v>
      </c>
      <c r="F695">
        <v>11</v>
      </c>
      <c r="G695">
        <v>20</v>
      </c>
      <c r="H695">
        <v>46213</v>
      </c>
    </row>
    <row r="696" spans="1:8" x14ac:dyDescent="0.25">
      <c r="A696">
        <v>22</v>
      </c>
      <c r="B696" s="19">
        <v>44001</v>
      </c>
      <c r="C696" s="1" t="s">
        <v>36</v>
      </c>
      <c r="D696" t="s">
        <v>698</v>
      </c>
      <c r="E696">
        <v>104</v>
      </c>
      <c r="F696">
        <v>14</v>
      </c>
      <c r="G696">
        <v>42</v>
      </c>
      <c r="H696">
        <v>23394</v>
      </c>
    </row>
    <row r="697" spans="1:8" x14ac:dyDescent="0.25">
      <c r="A697">
        <v>22</v>
      </c>
      <c r="B697" s="19">
        <v>45274</v>
      </c>
      <c r="C697" s="1" t="s">
        <v>35</v>
      </c>
      <c r="D697" t="s">
        <v>699</v>
      </c>
      <c r="E697">
        <v>103</v>
      </c>
      <c r="F697">
        <v>12</v>
      </c>
      <c r="G697">
        <v>71</v>
      </c>
      <c r="H697">
        <v>46060</v>
      </c>
    </row>
    <row r="698" spans="1:8" x14ac:dyDescent="0.25">
      <c r="A698">
        <v>22</v>
      </c>
      <c r="B698" s="19">
        <v>44939</v>
      </c>
      <c r="C698" s="1" t="s">
        <v>36</v>
      </c>
      <c r="D698" t="s">
        <v>699</v>
      </c>
      <c r="E698">
        <v>103</v>
      </c>
      <c r="F698">
        <v>12</v>
      </c>
      <c r="G698">
        <v>5</v>
      </c>
      <c r="H698">
        <v>38773</v>
      </c>
    </row>
    <row r="699" spans="1:8" x14ac:dyDescent="0.25">
      <c r="A699">
        <v>22</v>
      </c>
      <c r="B699" s="19">
        <v>45210</v>
      </c>
      <c r="C699" s="1" t="s">
        <v>33</v>
      </c>
      <c r="D699" t="s">
        <v>699</v>
      </c>
      <c r="E699">
        <v>102</v>
      </c>
      <c r="F699">
        <v>13</v>
      </c>
      <c r="G699">
        <v>77</v>
      </c>
      <c r="H699">
        <v>33713</v>
      </c>
    </row>
    <row r="700" spans="1:8" x14ac:dyDescent="0.25">
      <c r="A700">
        <v>22</v>
      </c>
      <c r="B700" s="19">
        <v>45652</v>
      </c>
      <c r="C700" s="1" t="s">
        <v>35</v>
      </c>
      <c r="D700" t="s">
        <v>699</v>
      </c>
      <c r="E700">
        <v>104</v>
      </c>
      <c r="F700">
        <v>13</v>
      </c>
      <c r="G700">
        <v>86</v>
      </c>
      <c r="H700">
        <v>11077</v>
      </c>
    </row>
    <row r="701" spans="1:8" x14ac:dyDescent="0.25">
      <c r="A701">
        <v>22</v>
      </c>
      <c r="B701" s="19">
        <v>45190</v>
      </c>
      <c r="C701" s="1" t="s">
        <v>36</v>
      </c>
      <c r="D701" t="s">
        <v>695</v>
      </c>
      <c r="E701">
        <v>108</v>
      </c>
      <c r="F701">
        <v>13</v>
      </c>
      <c r="G701">
        <v>51</v>
      </c>
      <c r="H701">
        <v>12992</v>
      </c>
    </row>
    <row r="702" spans="1:8" x14ac:dyDescent="0.25">
      <c r="A702">
        <v>22</v>
      </c>
      <c r="B702" s="19">
        <v>44731</v>
      </c>
      <c r="C702" s="1" t="s">
        <v>34</v>
      </c>
      <c r="D702" t="s">
        <v>695</v>
      </c>
      <c r="E702">
        <v>106</v>
      </c>
      <c r="F702">
        <v>12</v>
      </c>
      <c r="G702">
        <v>59</v>
      </c>
      <c r="H702">
        <v>30172</v>
      </c>
    </row>
    <row r="703" spans="1:8" x14ac:dyDescent="0.25">
      <c r="A703">
        <v>22</v>
      </c>
      <c r="B703" s="19">
        <v>44555</v>
      </c>
      <c r="C703" s="1" t="s">
        <v>34</v>
      </c>
      <c r="D703" t="s">
        <v>692</v>
      </c>
      <c r="E703">
        <v>103</v>
      </c>
      <c r="F703">
        <v>15</v>
      </c>
      <c r="G703">
        <v>40</v>
      </c>
      <c r="H703">
        <v>10299</v>
      </c>
    </row>
    <row r="704" spans="1:8" x14ac:dyDescent="0.25">
      <c r="A704">
        <v>22</v>
      </c>
      <c r="B704" s="19">
        <v>44728</v>
      </c>
      <c r="C704" s="1" t="s">
        <v>35</v>
      </c>
      <c r="D704" t="s">
        <v>692</v>
      </c>
      <c r="E704">
        <v>104</v>
      </c>
      <c r="F704">
        <v>15</v>
      </c>
      <c r="G704">
        <v>23</v>
      </c>
      <c r="H704">
        <v>15723</v>
      </c>
    </row>
    <row r="705" spans="1:8" x14ac:dyDescent="0.25">
      <c r="A705">
        <v>22</v>
      </c>
      <c r="B705" s="19">
        <v>44361</v>
      </c>
      <c r="C705" s="1" t="s">
        <v>35</v>
      </c>
      <c r="D705" t="s">
        <v>692</v>
      </c>
      <c r="E705">
        <v>104</v>
      </c>
      <c r="F705">
        <v>15</v>
      </c>
      <c r="G705">
        <v>90</v>
      </c>
      <c r="H705">
        <v>17610</v>
      </c>
    </row>
    <row r="706" spans="1:8" x14ac:dyDescent="0.25">
      <c r="A706">
        <v>22</v>
      </c>
      <c r="B706" s="19">
        <v>43969</v>
      </c>
      <c r="C706" s="1" t="s">
        <v>36</v>
      </c>
      <c r="D706" t="s">
        <v>692</v>
      </c>
      <c r="E706">
        <v>109</v>
      </c>
      <c r="F706">
        <v>15</v>
      </c>
      <c r="G706">
        <v>15</v>
      </c>
      <c r="H706">
        <v>24694</v>
      </c>
    </row>
    <row r="707" spans="1:8" x14ac:dyDescent="0.25">
      <c r="A707">
        <v>22</v>
      </c>
      <c r="B707" s="19">
        <v>44502</v>
      </c>
      <c r="C707" s="1" t="s">
        <v>34</v>
      </c>
      <c r="D707" t="s">
        <v>693</v>
      </c>
      <c r="E707">
        <v>103</v>
      </c>
      <c r="F707">
        <v>12</v>
      </c>
      <c r="G707">
        <v>97</v>
      </c>
      <c r="H707">
        <v>40906</v>
      </c>
    </row>
    <row r="708" spans="1:8" x14ac:dyDescent="0.25">
      <c r="A708">
        <v>22</v>
      </c>
      <c r="B708" s="19">
        <v>44143</v>
      </c>
      <c r="C708" s="1" t="s">
        <v>35</v>
      </c>
      <c r="D708" t="s">
        <v>693</v>
      </c>
      <c r="E708">
        <v>103</v>
      </c>
      <c r="F708">
        <v>11</v>
      </c>
      <c r="G708">
        <v>10</v>
      </c>
      <c r="H708">
        <v>15176</v>
      </c>
    </row>
    <row r="709" spans="1:8" x14ac:dyDescent="0.25">
      <c r="A709">
        <v>22</v>
      </c>
      <c r="B709" s="19">
        <v>45112</v>
      </c>
      <c r="C709" s="1" t="s">
        <v>34</v>
      </c>
      <c r="D709" t="s">
        <v>693</v>
      </c>
      <c r="E709">
        <v>108</v>
      </c>
      <c r="F709">
        <v>11</v>
      </c>
      <c r="G709">
        <v>85</v>
      </c>
      <c r="H709">
        <v>36739</v>
      </c>
    </row>
    <row r="710" spans="1:8" x14ac:dyDescent="0.25">
      <c r="A710">
        <v>22</v>
      </c>
      <c r="B710" s="19">
        <v>44762</v>
      </c>
      <c r="C710" s="1" t="s">
        <v>34</v>
      </c>
      <c r="D710" t="s">
        <v>693</v>
      </c>
      <c r="E710">
        <v>103</v>
      </c>
      <c r="F710">
        <v>13</v>
      </c>
      <c r="G710">
        <v>37</v>
      </c>
      <c r="H710">
        <v>34469</v>
      </c>
    </row>
    <row r="711" spans="1:8" x14ac:dyDescent="0.25">
      <c r="A711">
        <v>22</v>
      </c>
      <c r="B711" s="19">
        <v>45271</v>
      </c>
      <c r="C711" s="1" t="s">
        <v>35</v>
      </c>
      <c r="D711" t="s">
        <v>694</v>
      </c>
      <c r="E711">
        <v>101</v>
      </c>
      <c r="F711">
        <v>14</v>
      </c>
      <c r="G711">
        <v>93</v>
      </c>
      <c r="H711">
        <v>37196</v>
      </c>
    </row>
    <row r="712" spans="1:8" x14ac:dyDescent="0.25">
      <c r="A712">
        <v>22</v>
      </c>
      <c r="B712" s="19">
        <v>44146</v>
      </c>
      <c r="C712" s="1" t="s">
        <v>36</v>
      </c>
      <c r="D712" t="s">
        <v>694</v>
      </c>
      <c r="E712">
        <v>105</v>
      </c>
      <c r="F712">
        <v>11</v>
      </c>
      <c r="G712">
        <v>67</v>
      </c>
      <c r="H712">
        <v>26565</v>
      </c>
    </row>
    <row r="713" spans="1:8" x14ac:dyDescent="0.25">
      <c r="A713">
        <v>22</v>
      </c>
      <c r="B713" s="19">
        <v>44015</v>
      </c>
      <c r="C713" s="1" t="s">
        <v>36</v>
      </c>
      <c r="D713" t="s">
        <v>694</v>
      </c>
      <c r="E713">
        <v>107</v>
      </c>
      <c r="F713">
        <v>11</v>
      </c>
      <c r="G713">
        <v>24</v>
      </c>
      <c r="H713">
        <v>22065</v>
      </c>
    </row>
    <row r="714" spans="1:8" x14ac:dyDescent="0.25">
      <c r="A714">
        <v>22</v>
      </c>
      <c r="B714" s="19">
        <v>44877</v>
      </c>
      <c r="C714" s="1" t="s">
        <v>33</v>
      </c>
      <c r="D714" t="s">
        <v>694</v>
      </c>
      <c r="E714">
        <v>101</v>
      </c>
      <c r="F714">
        <v>14</v>
      </c>
      <c r="G714">
        <v>89</v>
      </c>
      <c r="H714">
        <v>15815</v>
      </c>
    </row>
    <row r="715" spans="1:8" x14ac:dyDescent="0.25">
      <c r="A715">
        <v>23</v>
      </c>
      <c r="B715" s="19">
        <v>45508</v>
      </c>
      <c r="C715" s="1" t="s">
        <v>34</v>
      </c>
      <c r="D715" t="s">
        <v>690</v>
      </c>
      <c r="E715">
        <v>103</v>
      </c>
      <c r="F715">
        <v>12</v>
      </c>
      <c r="G715">
        <v>90</v>
      </c>
      <c r="H715">
        <v>26718</v>
      </c>
    </row>
    <row r="716" spans="1:8" x14ac:dyDescent="0.25">
      <c r="A716">
        <v>23</v>
      </c>
      <c r="B716" s="19">
        <v>44847</v>
      </c>
      <c r="C716" s="1" t="s">
        <v>33</v>
      </c>
      <c r="D716" t="s">
        <v>690</v>
      </c>
      <c r="E716">
        <v>103</v>
      </c>
      <c r="F716">
        <v>15</v>
      </c>
      <c r="G716">
        <v>88</v>
      </c>
      <c r="H716">
        <v>14244</v>
      </c>
    </row>
    <row r="717" spans="1:8" x14ac:dyDescent="0.25">
      <c r="A717">
        <v>23</v>
      </c>
      <c r="B717" s="19">
        <v>45533</v>
      </c>
      <c r="C717" s="1" t="s">
        <v>35</v>
      </c>
      <c r="D717" t="s">
        <v>690</v>
      </c>
      <c r="E717">
        <v>105</v>
      </c>
      <c r="F717">
        <v>12</v>
      </c>
      <c r="G717">
        <v>68</v>
      </c>
      <c r="H717">
        <v>40862</v>
      </c>
    </row>
    <row r="718" spans="1:8" x14ac:dyDescent="0.25">
      <c r="A718">
        <v>23</v>
      </c>
      <c r="B718" s="19">
        <v>45636</v>
      </c>
      <c r="C718" s="1" t="s">
        <v>36</v>
      </c>
      <c r="D718" t="s">
        <v>691</v>
      </c>
      <c r="E718">
        <v>105</v>
      </c>
      <c r="F718">
        <v>13</v>
      </c>
      <c r="G718">
        <v>17</v>
      </c>
      <c r="H718">
        <v>29058</v>
      </c>
    </row>
    <row r="719" spans="1:8" x14ac:dyDescent="0.25">
      <c r="A719">
        <v>23</v>
      </c>
      <c r="B719" s="19">
        <v>43944</v>
      </c>
      <c r="C719" s="1" t="s">
        <v>35</v>
      </c>
      <c r="D719" t="s">
        <v>691</v>
      </c>
      <c r="E719">
        <v>105</v>
      </c>
      <c r="F719">
        <v>15</v>
      </c>
      <c r="G719">
        <v>13</v>
      </c>
      <c r="H719">
        <v>19488</v>
      </c>
    </row>
    <row r="720" spans="1:8" x14ac:dyDescent="0.25">
      <c r="A720">
        <v>23</v>
      </c>
      <c r="B720" s="19">
        <v>45380</v>
      </c>
      <c r="C720" s="1" t="s">
        <v>35</v>
      </c>
      <c r="D720" t="s">
        <v>700</v>
      </c>
      <c r="E720">
        <v>104</v>
      </c>
      <c r="F720">
        <v>12</v>
      </c>
      <c r="G720">
        <v>19</v>
      </c>
      <c r="H720">
        <v>31224</v>
      </c>
    </row>
    <row r="721" spans="1:8" x14ac:dyDescent="0.25">
      <c r="A721">
        <v>23</v>
      </c>
      <c r="B721" s="19">
        <v>45107</v>
      </c>
      <c r="C721" s="1" t="s">
        <v>35</v>
      </c>
      <c r="D721" t="s">
        <v>696</v>
      </c>
      <c r="E721">
        <v>103</v>
      </c>
      <c r="F721">
        <v>14</v>
      </c>
      <c r="G721">
        <v>51</v>
      </c>
      <c r="H721">
        <v>23500</v>
      </c>
    </row>
    <row r="722" spans="1:8" x14ac:dyDescent="0.25">
      <c r="A722">
        <v>23</v>
      </c>
      <c r="B722" s="19">
        <v>44033</v>
      </c>
      <c r="C722" s="1" t="s">
        <v>34</v>
      </c>
      <c r="D722" t="s">
        <v>696</v>
      </c>
      <c r="E722">
        <v>105</v>
      </c>
      <c r="F722">
        <v>13</v>
      </c>
      <c r="G722">
        <v>52</v>
      </c>
      <c r="H722">
        <v>37590</v>
      </c>
    </row>
    <row r="723" spans="1:8" x14ac:dyDescent="0.25">
      <c r="A723">
        <v>23</v>
      </c>
      <c r="B723" s="19">
        <v>45006</v>
      </c>
      <c r="C723" s="1" t="s">
        <v>35</v>
      </c>
      <c r="D723" t="s">
        <v>697</v>
      </c>
      <c r="E723">
        <v>107</v>
      </c>
      <c r="F723">
        <v>14</v>
      </c>
      <c r="G723">
        <v>70</v>
      </c>
      <c r="H723">
        <v>26387</v>
      </c>
    </row>
    <row r="724" spans="1:8" x14ac:dyDescent="0.25">
      <c r="A724">
        <v>23</v>
      </c>
      <c r="B724" s="19">
        <v>43949</v>
      </c>
      <c r="C724" s="1" t="s">
        <v>33</v>
      </c>
      <c r="D724" t="s">
        <v>697</v>
      </c>
      <c r="E724">
        <v>103</v>
      </c>
      <c r="F724">
        <v>11</v>
      </c>
      <c r="G724">
        <v>18</v>
      </c>
      <c r="H724">
        <v>38551</v>
      </c>
    </row>
    <row r="725" spans="1:8" x14ac:dyDescent="0.25">
      <c r="A725">
        <v>23</v>
      </c>
      <c r="B725" s="19">
        <v>45575</v>
      </c>
      <c r="C725" s="1" t="s">
        <v>34</v>
      </c>
      <c r="D725" t="s">
        <v>698</v>
      </c>
      <c r="E725">
        <v>103</v>
      </c>
      <c r="F725">
        <v>12</v>
      </c>
      <c r="G725">
        <v>29</v>
      </c>
      <c r="H725">
        <v>26909</v>
      </c>
    </row>
    <row r="726" spans="1:8" x14ac:dyDescent="0.25">
      <c r="A726">
        <v>23</v>
      </c>
      <c r="B726" s="19">
        <v>44024</v>
      </c>
      <c r="C726" s="1" t="s">
        <v>33</v>
      </c>
      <c r="D726" t="s">
        <v>698</v>
      </c>
      <c r="E726">
        <v>102</v>
      </c>
      <c r="F726">
        <v>11</v>
      </c>
      <c r="G726">
        <v>95</v>
      </c>
      <c r="H726">
        <v>15749</v>
      </c>
    </row>
    <row r="727" spans="1:8" x14ac:dyDescent="0.25">
      <c r="A727">
        <v>23</v>
      </c>
      <c r="B727" s="19">
        <v>44035</v>
      </c>
      <c r="C727" s="1" t="s">
        <v>36</v>
      </c>
      <c r="D727" t="s">
        <v>698</v>
      </c>
      <c r="E727">
        <v>102</v>
      </c>
      <c r="F727">
        <v>14</v>
      </c>
      <c r="G727">
        <v>95</v>
      </c>
      <c r="H727">
        <v>21524</v>
      </c>
    </row>
    <row r="728" spans="1:8" x14ac:dyDescent="0.25">
      <c r="A728">
        <v>23</v>
      </c>
      <c r="B728" s="19">
        <v>45473</v>
      </c>
      <c r="C728" s="1" t="s">
        <v>34</v>
      </c>
      <c r="D728" t="s">
        <v>698</v>
      </c>
      <c r="E728">
        <v>105</v>
      </c>
      <c r="F728">
        <v>13</v>
      </c>
      <c r="G728">
        <v>33</v>
      </c>
      <c r="H728">
        <v>38048</v>
      </c>
    </row>
    <row r="729" spans="1:8" x14ac:dyDescent="0.25">
      <c r="A729">
        <v>23</v>
      </c>
      <c r="B729" s="19">
        <v>44336</v>
      </c>
      <c r="C729" s="1" t="s">
        <v>34</v>
      </c>
      <c r="D729" t="s">
        <v>698</v>
      </c>
      <c r="E729">
        <v>109</v>
      </c>
      <c r="F729">
        <v>15</v>
      </c>
      <c r="G729">
        <v>61</v>
      </c>
      <c r="H729">
        <v>21508</v>
      </c>
    </row>
    <row r="730" spans="1:8" x14ac:dyDescent="0.25">
      <c r="A730">
        <v>23</v>
      </c>
      <c r="B730" s="19">
        <v>45033</v>
      </c>
      <c r="C730" s="1" t="s">
        <v>36</v>
      </c>
      <c r="D730" t="s">
        <v>699</v>
      </c>
      <c r="E730">
        <v>105</v>
      </c>
      <c r="F730">
        <v>11</v>
      </c>
      <c r="G730">
        <v>22</v>
      </c>
      <c r="H730">
        <v>43075</v>
      </c>
    </row>
    <row r="731" spans="1:8" x14ac:dyDescent="0.25">
      <c r="A731">
        <v>23</v>
      </c>
      <c r="B731" s="19">
        <v>44638</v>
      </c>
      <c r="C731" s="1" t="s">
        <v>36</v>
      </c>
      <c r="D731" t="s">
        <v>699</v>
      </c>
      <c r="E731">
        <v>104</v>
      </c>
      <c r="F731">
        <v>13</v>
      </c>
      <c r="G731">
        <v>59</v>
      </c>
      <c r="H731">
        <v>20020</v>
      </c>
    </row>
    <row r="732" spans="1:8" x14ac:dyDescent="0.25">
      <c r="A732">
        <v>23</v>
      </c>
      <c r="B732" s="19">
        <v>44387</v>
      </c>
      <c r="C732" s="1" t="s">
        <v>36</v>
      </c>
      <c r="D732" t="s">
        <v>699</v>
      </c>
      <c r="E732">
        <v>103</v>
      </c>
      <c r="F732">
        <v>11</v>
      </c>
      <c r="G732">
        <v>21</v>
      </c>
      <c r="H732">
        <v>30937</v>
      </c>
    </row>
    <row r="733" spans="1:8" x14ac:dyDescent="0.25">
      <c r="A733">
        <v>23</v>
      </c>
      <c r="B733" s="19">
        <v>44560</v>
      </c>
      <c r="C733" s="1" t="s">
        <v>34</v>
      </c>
      <c r="D733" t="s">
        <v>699</v>
      </c>
      <c r="E733">
        <v>108</v>
      </c>
      <c r="F733">
        <v>15</v>
      </c>
      <c r="G733">
        <v>85</v>
      </c>
      <c r="H733">
        <v>16056</v>
      </c>
    </row>
    <row r="734" spans="1:8" x14ac:dyDescent="0.25">
      <c r="A734">
        <v>23</v>
      </c>
      <c r="B734" s="19">
        <v>45250</v>
      </c>
      <c r="C734" s="1" t="s">
        <v>35</v>
      </c>
      <c r="D734" t="s">
        <v>695</v>
      </c>
      <c r="E734">
        <v>103</v>
      </c>
      <c r="F734">
        <v>11</v>
      </c>
      <c r="G734">
        <v>98</v>
      </c>
      <c r="H734">
        <v>25902</v>
      </c>
    </row>
    <row r="735" spans="1:8" x14ac:dyDescent="0.25">
      <c r="A735">
        <v>23</v>
      </c>
      <c r="B735" s="19">
        <v>45597</v>
      </c>
      <c r="C735" s="1" t="s">
        <v>35</v>
      </c>
      <c r="D735" t="s">
        <v>695</v>
      </c>
      <c r="E735">
        <v>109</v>
      </c>
      <c r="F735">
        <v>14</v>
      </c>
      <c r="G735">
        <v>43</v>
      </c>
      <c r="H735">
        <v>19941</v>
      </c>
    </row>
    <row r="736" spans="1:8" x14ac:dyDescent="0.25">
      <c r="A736">
        <v>23</v>
      </c>
      <c r="B736" s="19">
        <v>43875</v>
      </c>
      <c r="C736" s="1" t="s">
        <v>36</v>
      </c>
      <c r="D736" t="s">
        <v>695</v>
      </c>
      <c r="E736">
        <v>106</v>
      </c>
      <c r="F736">
        <v>13</v>
      </c>
      <c r="G736">
        <v>67</v>
      </c>
      <c r="H736">
        <v>14368</v>
      </c>
    </row>
    <row r="737" spans="1:8" x14ac:dyDescent="0.25">
      <c r="A737">
        <v>23</v>
      </c>
      <c r="B737" s="19">
        <v>44275</v>
      </c>
      <c r="C737" s="1" t="s">
        <v>35</v>
      </c>
      <c r="D737" t="s">
        <v>695</v>
      </c>
      <c r="E737">
        <v>104</v>
      </c>
      <c r="F737">
        <v>14</v>
      </c>
      <c r="G737">
        <v>16</v>
      </c>
      <c r="H737">
        <v>29669</v>
      </c>
    </row>
    <row r="738" spans="1:8" x14ac:dyDescent="0.25">
      <c r="A738">
        <v>23</v>
      </c>
      <c r="B738" s="19">
        <v>44554</v>
      </c>
      <c r="C738" s="1" t="s">
        <v>33</v>
      </c>
      <c r="D738" t="s">
        <v>692</v>
      </c>
      <c r="E738">
        <v>104</v>
      </c>
      <c r="F738">
        <v>11</v>
      </c>
      <c r="G738">
        <v>40</v>
      </c>
      <c r="H738">
        <v>28572</v>
      </c>
    </row>
    <row r="739" spans="1:8" x14ac:dyDescent="0.25">
      <c r="A739">
        <v>23</v>
      </c>
      <c r="B739" s="19">
        <v>45152</v>
      </c>
      <c r="C739" s="1" t="s">
        <v>33</v>
      </c>
      <c r="D739" t="s">
        <v>692</v>
      </c>
      <c r="E739">
        <v>105</v>
      </c>
      <c r="F739">
        <v>12</v>
      </c>
      <c r="G739">
        <v>85</v>
      </c>
      <c r="H739">
        <v>27749</v>
      </c>
    </row>
    <row r="740" spans="1:8" x14ac:dyDescent="0.25">
      <c r="A740">
        <v>23</v>
      </c>
      <c r="B740" s="19">
        <v>45505</v>
      </c>
      <c r="C740" s="1" t="s">
        <v>36</v>
      </c>
      <c r="D740" t="s">
        <v>693</v>
      </c>
      <c r="E740">
        <v>105</v>
      </c>
      <c r="F740">
        <v>12</v>
      </c>
      <c r="G740">
        <v>73</v>
      </c>
      <c r="H740">
        <v>20278</v>
      </c>
    </row>
    <row r="741" spans="1:8" x14ac:dyDescent="0.25">
      <c r="A741">
        <v>23</v>
      </c>
      <c r="B741" s="19">
        <v>44321</v>
      </c>
      <c r="C741" s="1" t="s">
        <v>34</v>
      </c>
      <c r="D741" t="s">
        <v>693</v>
      </c>
      <c r="E741">
        <v>104</v>
      </c>
      <c r="F741">
        <v>13</v>
      </c>
      <c r="G741">
        <v>44</v>
      </c>
      <c r="H741">
        <v>35059</v>
      </c>
    </row>
    <row r="742" spans="1:8" x14ac:dyDescent="0.25">
      <c r="A742">
        <v>23</v>
      </c>
      <c r="B742" s="19">
        <v>44513</v>
      </c>
      <c r="C742" s="1" t="s">
        <v>34</v>
      </c>
      <c r="D742" t="s">
        <v>693</v>
      </c>
      <c r="E742">
        <v>102</v>
      </c>
      <c r="F742">
        <v>15</v>
      </c>
      <c r="G742">
        <v>84</v>
      </c>
      <c r="H742">
        <v>23476</v>
      </c>
    </row>
    <row r="743" spans="1:8" x14ac:dyDescent="0.25">
      <c r="A743">
        <v>23</v>
      </c>
      <c r="B743" s="19">
        <v>44925</v>
      </c>
      <c r="C743" s="1" t="s">
        <v>34</v>
      </c>
      <c r="D743" t="s">
        <v>693</v>
      </c>
      <c r="E743">
        <v>103</v>
      </c>
      <c r="F743">
        <v>13</v>
      </c>
      <c r="G743">
        <v>25</v>
      </c>
      <c r="H743">
        <v>42521</v>
      </c>
    </row>
    <row r="744" spans="1:8" x14ac:dyDescent="0.25">
      <c r="A744">
        <v>23</v>
      </c>
      <c r="B744" s="19">
        <v>44495</v>
      </c>
      <c r="C744" s="1" t="s">
        <v>35</v>
      </c>
      <c r="D744" t="s">
        <v>693</v>
      </c>
      <c r="E744">
        <v>104</v>
      </c>
      <c r="F744">
        <v>11</v>
      </c>
      <c r="G744">
        <v>83</v>
      </c>
      <c r="H744">
        <v>36953</v>
      </c>
    </row>
    <row r="745" spans="1:8" x14ac:dyDescent="0.25">
      <c r="A745">
        <v>23</v>
      </c>
      <c r="B745" s="19">
        <v>43835</v>
      </c>
      <c r="C745" s="1" t="s">
        <v>33</v>
      </c>
      <c r="D745" t="s">
        <v>693</v>
      </c>
      <c r="E745">
        <v>105</v>
      </c>
      <c r="F745">
        <v>12</v>
      </c>
      <c r="G745">
        <v>62</v>
      </c>
      <c r="H745">
        <v>35854</v>
      </c>
    </row>
    <row r="746" spans="1:8" x14ac:dyDescent="0.25">
      <c r="A746">
        <v>23</v>
      </c>
      <c r="B746" s="19">
        <v>45610</v>
      </c>
      <c r="C746" s="1" t="s">
        <v>34</v>
      </c>
      <c r="D746" t="s">
        <v>694</v>
      </c>
      <c r="E746">
        <v>101</v>
      </c>
      <c r="F746">
        <v>14</v>
      </c>
      <c r="G746">
        <v>11</v>
      </c>
      <c r="H746">
        <v>14075</v>
      </c>
    </row>
    <row r="747" spans="1:8" x14ac:dyDescent="0.25">
      <c r="A747">
        <v>23</v>
      </c>
      <c r="B747" s="19">
        <v>44194</v>
      </c>
      <c r="C747" s="1" t="s">
        <v>35</v>
      </c>
      <c r="D747" t="s">
        <v>694</v>
      </c>
      <c r="E747">
        <v>103</v>
      </c>
      <c r="F747">
        <v>11</v>
      </c>
      <c r="G747">
        <v>44</v>
      </c>
      <c r="H747">
        <v>25048</v>
      </c>
    </row>
    <row r="748" spans="1:8" x14ac:dyDescent="0.25">
      <c r="A748">
        <v>23</v>
      </c>
      <c r="B748" s="19">
        <v>44339</v>
      </c>
      <c r="C748" s="1" t="s">
        <v>34</v>
      </c>
      <c r="D748" t="s">
        <v>694</v>
      </c>
      <c r="E748">
        <v>104</v>
      </c>
      <c r="F748">
        <v>14</v>
      </c>
      <c r="G748">
        <v>33</v>
      </c>
      <c r="H748">
        <v>45114</v>
      </c>
    </row>
    <row r="749" spans="1:8" x14ac:dyDescent="0.25">
      <c r="A749">
        <v>24</v>
      </c>
      <c r="B749" s="19">
        <v>45343</v>
      </c>
      <c r="C749" s="1" t="s">
        <v>33</v>
      </c>
      <c r="D749" t="s">
        <v>690</v>
      </c>
      <c r="E749">
        <v>108</v>
      </c>
      <c r="F749">
        <v>15</v>
      </c>
      <c r="G749">
        <v>75</v>
      </c>
      <c r="H749">
        <v>48993</v>
      </c>
    </row>
    <row r="750" spans="1:8" x14ac:dyDescent="0.25">
      <c r="A750">
        <v>24</v>
      </c>
      <c r="B750" s="19">
        <v>44040</v>
      </c>
      <c r="C750" s="1" t="s">
        <v>33</v>
      </c>
      <c r="D750" t="s">
        <v>691</v>
      </c>
      <c r="E750">
        <v>102</v>
      </c>
      <c r="F750">
        <v>11</v>
      </c>
      <c r="G750">
        <v>25</v>
      </c>
      <c r="H750">
        <v>39797</v>
      </c>
    </row>
    <row r="751" spans="1:8" x14ac:dyDescent="0.25">
      <c r="A751">
        <v>24</v>
      </c>
      <c r="B751" s="19">
        <v>44660</v>
      </c>
      <c r="C751" s="1" t="s">
        <v>34</v>
      </c>
      <c r="D751" t="s">
        <v>700</v>
      </c>
      <c r="E751">
        <v>105</v>
      </c>
      <c r="F751">
        <v>15</v>
      </c>
      <c r="G751">
        <v>47</v>
      </c>
      <c r="H751">
        <v>49117</v>
      </c>
    </row>
    <row r="752" spans="1:8" x14ac:dyDescent="0.25">
      <c r="A752">
        <v>24</v>
      </c>
      <c r="B752" s="19">
        <v>45377</v>
      </c>
      <c r="C752" s="1" t="s">
        <v>33</v>
      </c>
      <c r="D752" t="s">
        <v>700</v>
      </c>
      <c r="E752">
        <v>104</v>
      </c>
      <c r="F752">
        <v>14</v>
      </c>
      <c r="G752">
        <v>79</v>
      </c>
      <c r="H752">
        <v>47503</v>
      </c>
    </row>
    <row r="753" spans="1:8" x14ac:dyDescent="0.25">
      <c r="A753">
        <v>24</v>
      </c>
      <c r="B753" s="19">
        <v>44953</v>
      </c>
      <c r="C753" s="1" t="s">
        <v>35</v>
      </c>
      <c r="D753" t="s">
        <v>696</v>
      </c>
      <c r="E753">
        <v>104</v>
      </c>
      <c r="F753">
        <v>15</v>
      </c>
      <c r="G753">
        <v>99</v>
      </c>
      <c r="H753">
        <v>28553</v>
      </c>
    </row>
    <row r="754" spans="1:8" x14ac:dyDescent="0.25">
      <c r="A754">
        <v>24</v>
      </c>
      <c r="B754" s="19">
        <v>44836</v>
      </c>
      <c r="C754" s="1" t="s">
        <v>34</v>
      </c>
      <c r="D754" t="s">
        <v>696</v>
      </c>
      <c r="E754">
        <v>105</v>
      </c>
      <c r="F754">
        <v>11</v>
      </c>
      <c r="G754">
        <v>73</v>
      </c>
      <c r="H754">
        <v>40914</v>
      </c>
    </row>
    <row r="755" spans="1:8" x14ac:dyDescent="0.25">
      <c r="A755">
        <v>24</v>
      </c>
      <c r="B755" s="19">
        <v>44368</v>
      </c>
      <c r="C755" s="1" t="s">
        <v>33</v>
      </c>
      <c r="D755" t="s">
        <v>696</v>
      </c>
      <c r="E755">
        <v>104</v>
      </c>
      <c r="F755">
        <v>14</v>
      </c>
      <c r="G755">
        <v>19</v>
      </c>
      <c r="H755">
        <v>49160</v>
      </c>
    </row>
    <row r="756" spans="1:8" x14ac:dyDescent="0.25">
      <c r="A756">
        <v>24</v>
      </c>
      <c r="B756" s="19">
        <v>44339</v>
      </c>
      <c r="C756" s="1" t="s">
        <v>34</v>
      </c>
      <c r="D756" t="s">
        <v>696</v>
      </c>
      <c r="E756">
        <v>103</v>
      </c>
      <c r="F756">
        <v>13</v>
      </c>
      <c r="G756">
        <v>99</v>
      </c>
      <c r="H756">
        <v>38443</v>
      </c>
    </row>
    <row r="757" spans="1:8" x14ac:dyDescent="0.25">
      <c r="A757">
        <v>24</v>
      </c>
      <c r="B757" s="19">
        <v>44850</v>
      </c>
      <c r="C757" s="1" t="s">
        <v>34</v>
      </c>
      <c r="D757" t="s">
        <v>697</v>
      </c>
      <c r="E757">
        <v>104</v>
      </c>
      <c r="F757">
        <v>13</v>
      </c>
      <c r="G757">
        <v>97</v>
      </c>
      <c r="H757">
        <v>17193</v>
      </c>
    </row>
    <row r="758" spans="1:8" x14ac:dyDescent="0.25">
      <c r="A758">
        <v>24</v>
      </c>
      <c r="B758" s="19">
        <v>45146</v>
      </c>
      <c r="C758" s="1" t="s">
        <v>34</v>
      </c>
      <c r="D758" t="s">
        <v>697</v>
      </c>
      <c r="E758">
        <v>105</v>
      </c>
      <c r="F758">
        <v>11</v>
      </c>
      <c r="G758">
        <v>98</v>
      </c>
      <c r="H758">
        <v>32985</v>
      </c>
    </row>
    <row r="759" spans="1:8" x14ac:dyDescent="0.25">
      <c r="A759">
        <v>24</v>
      </c>
      <c r="B759" s="19">
        <v>44329</v>
      </c>
      <c r="C759" s="1" t="s">
        <v>34</v>
      </c>
      <c r="D759" t="s">
        <v>699</v>
      </c>
      <c r="E759">
        <v>103</v>
      </c>
      <c r="F759">
        <v>15</v>
      </c>
      <c r="G759">
        <v>68</v>
      </c>
      <c r="H759">
        <v>42060</v>
      </c>
    </row>
    <row r="760" spans="1:8" x14ac:dyDescent="0.25">
      <c r="A760">
        <v>24</v>
      </c>
      <c r="B760" s="19">
        <v>44262</v>
      </c>
      <c r="C760" s="1" t="s">
        <v>33</v>
      </c>
      <c r="D760" t="s">
        <v>699</v>
      </c>
      <c r="E760">
        <v>103</v>
      </c>
      <c r="F760">
        <v>12</v>
      </c>
      <c r="G760">
        <v>29</v>
      </c>
      <c r="H760">
        <v>27237</v>
      </c>
    </row>
    <row r="761" spans="1:8" x14ac:dyDescent="0.25">
      <c r="A761">
        <v>24</v>
      </c>
      <c r="B761" s="19">
        <v>44710</v>
      </c>
      <c r="C761" s="1" t="s">
        <v>34</v>
      </c>
      <c r="D761" t="s">
        <v>699</v>
      </c>
      <c r="E761">
        <v>105</v>
      </c>
      <c r="F761">
        <v>15</v>
      </c>
      <c r="G761">
        <v>79</v>
      </c>
      <c r="H761">
        <v>19952</v>
      </c>
    </row>
    <row r="762" spans="1:8" x14ac:dyDescent="0.25">
      <c r="A762">
        <v>24</v>
      </c>
      <c r="B762" s="19">
        <v>45206</v>
      </c>
      <c r="C762" s="1" t="s">
        <v>34</v>
      </c>
      <c r="D762" t="s">
        <v>695</v>
      </c>
      <c r="E762">
        <v>108</v>
      </c>
      <c r="F762">
        <v>15</v>
      </c>
      <c r="G762">
        <v>58</v>
      </c>
      <c r="H762">
        <v>30736</v>
      </c>
    </row>
    <row r="763" spans="1:8" x14ac:dyDescent="0.25">
      <c r="A763">
        <v>24</v>
      </c>
      <c r="B763" s="19">
        <v>44612</v>
      </c>
      <c r="C763" s="1" t="s">
        <v>34</v>
      </c>
      <c r="D763" t="s">
        <v>695</v>
      </c>
      <c r="E763">
        <v>104</v>
      </c>
      <c r="F763">
        <v>15</v>
      </c>
      <c r="G763">
        <v>55</v>
      </c>
      <c r="H763">
        <v>45017</v>
      </c>
    </row>
    <row r="764" spans="1:8" x14ac:dyDescent="0.25">
      <c r="A764">
        <v>24</v>
      </c>
      <c r="B764" s="19">
        <v>44795</v>
      </c>
      <c r="C764" s="1" t="s">
        <v>35</v>
      </c>
      <c r="D764" t="s">
        <v>695</v>
      </c>
      <c r="E764">
        <v>103</v>
      </c>
      <c r="F764">
        <v>14</v>
      </c>
      <c r="G764">
        <v>35</v>
      </c>
      <c r="H764">
        <v>27917</v>
      </c>
    </row>
    <row r="765" spans="1:8" x14ac:dyDescent="0.25">
      <c r="A765">
        <v>24</v>
      </c>
      <c r="B765" s="19">
        <v>44909</v>
      </c>
      <c r="C765" s="1" t="s">
        <v>34</v>
      </c>
      <c r="D765" t="s">
        <v>695</v>
      </c>
      <c r="E765">
        <v>105</v>
      </c>
      <c r="F765">
        <v>13</v>
      </c>
      <c r="G765">
        <v>86</v>
      </c>
      <c r="H765">
        <v>17873</v>
      </c>
    </row>
    <row r="766" spans="1:8" x14ac:dyDescent="0.25">
      <c r="A766">
        <v>24</v>
      </c>
      <c r="B766" s="19">
        <v>45625</v>
      </c>
      <c r="C766" s="1" t="s">
        <v>33</v>
      </c>
      <c r="D766" t="s">
        <v>695</v>
      </c>
      <c r="E766">
        <v>102</v>
      </c>
      <c r="F766">
        <v>14</v>
      </c>
      <c r="G766">
        <v>98</v>
      </c>
      <c r="H766">
        <v>46297</v>
      </c>
    </row>
    <row r="767" spans="1:8" x14ac:dyDescent="0.25">
      <c r="A767">
        <v>24</v>
      </c>
      <c r="B767" s="19">
        <v>44787</v>
      </c>
      <c r="C767" s="1" t="s">
        <v>34</v>
      </c>
      <c r="D767" t="s">
        <v>692</v>
      </c>
      <c r="E767">
        <v>105</v>
      </c>
      <c r="F767">
        <v>15</v>
      </c>
      <c r="G767">
        <v>64</v>
      </c>
      <c r="H767">
        <v>18381</v>
      </c>
    </row>
    <row r="768" spans="1:8" x14ac:dyDescent="0.25">
      <c r="A768">
        <v>24</v>
      </c>
      <c r="B768" s="19">
        <v>44206</v>
      </c>
      <c r="C768" s="1" t="s">
        <v>36</v>
      </c>
      <c r="D768" t="s">
        <v>692</v>
      </c>
      <c r="E768">
        <v>101</v>
      </c>
      <c r="F768">
        <v>14</v>
      </c>
      <c r="G768">
        <v>18</v>
      </c>
      <c r="H768">
        <v>20309</v>
      </c>
    </row>
    <row r="769" spans="1:8" x14ac:dyDescent="0.25">
      <c r="A769">
        <v>24</v>
      </c>
      <c r="B769" s="19">
        <v>45648</v>
      </c>
      <c r="C769" s="1" t="s">
        <v>33</v>
      </c>
      <c r="D769" t="s">
        <v>693</v>
      </c>
      <c r="E769">
        <v>103</v>
      </c>
      <c r="F769">
        <v>15</v>
      </c>
      <c r="G769">
        <v>52</v>
      </c>
      <c r="H769">
        <v>19919</v>
      </c>
    </row>
    <row r="770" spans="1:8" x14ac:dyDescent="0.25">
      <c r="A770">
        <v>24</v>
      </c>
      <c r="B770" s="19">
        <v>44542</v>
      </c>
      <c r="C770" s="1" t="s">
        <v>36</v>
      </c>
      <c r="D770" t="s">
        <v>693</v>
      </c>
      <c r="E770">
        <v>107</v>
      </c>
      <c r="F770">
        <v>11</v>
      </c>
      <c r="G770">
        <v>13</v>
      </c>
      <c r="H770">
        <v>45254</v>
      </c>
    </row>
    <row r="771" spans="1:8" x14ac:dyDescent="0.25">
      <c r="A771">
        <v>24</v>
      </c>
      <c r="B771" s="19">
        <v>45465</v>
      </c>
      <c r="C771" s="1" t="s">
        <v>36</v>
      </c>
      <c r="D771" t="s">
        <v>694</v>
      </c>
      <c r="E771">
        <v>103</v>
      </c>
      <c r="F771">
        <v>13</v>
      </c>
      <c r="G771">
        <v>46</v>
      </c>
      <c r="H771">
        <v>44172</v>
      </c>
    </row>
    <row r="772" spans="1:8" x14ac:dyDescent="0.25">
      <c r="A772">
        <v>24</v>
      </c>
      <c r="B772" s="19">
        <v>44682</v>
      </c>
      <c r="C772" s="1" t="s">
        <v>33</v>
      </c>
      <c r="D772" t="s">
        <v>694</v>
      </c>
      <c r="E772">
        <v>103</v>
      </c>
      <c r="F772">
        <v>13</v>
      </c>
      <c r="G772">
        <v>46</v>
      </c>
      <c r="H772">
        <v>37789</v>
      </c>
    </row>
    <row r="773" spans="1:8" x14ac:dyDescent="0.25">
      <c r="A773">
        <v>24</v>
      </c>
      <c r="B773" s="19">
        <v>44775</v>
      </c>
      <c r="C773" s="1" t="s">
        <v>34</v>
      </c>
      <c r="D773" t="s">
        <v>694</v>
      </c>
      <c r="E773">
        <v>103</v>
      </c>
      <c r="F773">
        <v>11</v>
      </c>
      <c r="G773">
        <v>53</v>
      </c>
      <c r="H773">
        <v>48902</v>
      </c>
    </row>
    <row r="774" spans="1:8" x14ac:dyDescent="0.25">
      <c r="A774">
        <v>25</v>
      </c>
      <c r="B774" s="19">
        <v>45178</v>
      </c>
      <c r="C774" s="1" t="s">
        <v>36</v>
      </c>
      <c r="D774" t="s">
        <v>690</v>
      </c>
      <c r="E774">
        <v>104</v>
      </c>
      <c r="F774">
        <v>11</v>
      </c>
      <c r="G774">
        <v>85</v>
      </c>
      <c r="H774">
        <v>47343</v>
      </c>
    </row>
    <row r="775" spans="1:8" x14ac:dyDescent="0.25">
      <c r="A775">
        <v>25</v>
      </c>
      <c r="B775" s="19">
        <v>44216</v>
      </c>
      <c r="C775" s="1" t="s">
        <v>33</v>
      </c>
      <c r="D775" t="s">
        <v>690</v>
      </c>
      <c r="E775">
        <v>102</v>
      </c>
      <c r="F775">
        <v>12</v>
      </c>
      <c r="G775">
        <v>29</v>
      </c>
      <c r="H775">
        <v>35506</v>
      </c>
    </row>
    <row r="776" spans="1:8" x14ac:dyDescent="0.25">
      <c r="A776">
        <v>25</v>
      </c>
      <c r="B776" s="19">
        <v>44085</v>
      </c>
      <c r="C776" s="1" t="s">
        <v>33</v>
      </c>
      <c r="D776" t="s">
        <v>691</v>
      </c>
      <c r="E776">
        <v>108</v>
      </c>
      <c r="F776">
        <v>11</v>
      </c>
      <c r="G776">
        <v>55</v>
      </c>
      <c r="H776">
        <v>14915</v>
      </c>
    </row>
    <row r="777" spans="1:8" x14ac:dyDescent="0.25">
      <c r="A777">
        <v>25</v>
      </c>
      <c r="B777" s="19">
        <v>45023</v>
      </c>
      <c r="C777" s="1" t="s">
        <v>33</v>
      </c>
      <c r="D777" t="s">
        <v>691</v>
      </c>
      <c r="E777">
        <v>105</v>
      </c>
      <c r="F777">
        <v>13</v>
      </c>
      <c r="G777">
        <v>9</v>
      </c>
      <c r="H777">
        <v>28285</v>
      </c>
    </row>
    <row r="778" spans="1:8" x14ac:dyDescent="0.25">
      <c r="A778">
        <v>25</v>
      </c>
      <c r="B778" s="19">
        <v>45309</v>
      </c>
      <c r="C778" s="1" t="s">
        <v>33</v>
      </c>
      <c r="D778" t="s">
        <v>691</v>
      </c>
      <c r="E778">
        <v>104</v>
      </c>
      <c r="F778">
        <v>11</v>
      </c>
      <c r="G778">
        <v>44</v>
      </c>
      <c r="H778">
        <v>17406</v>
      </c>
    </row>
    <row r="779" spans="1:8" x14ac:dyDescent="0.25">
      <c r="A779">
        <v>25</v>
      </c>
      <c r="B779" s="19">
        <v>44216</v>
      </c>
      <c r="C779" s="1" t="s">
        <v>34</v>
      </c>
      <c r="D779" t="s">
        <v>700</v>
      </c>
      <c r="E779">
        <v>104</v>
      </c>
      <c r="F779">
        <v>15</v>
      </c>
      <c r="G779">
        <v>66</v>
      </c>
      <c r="H779">
        <v>11320</v>
      </c>
    </row>
    <row r="780" spans="1:8" x14ac:dyDescent="0.25">
      <c r="A780">
        <v>25</v>
      </c>
      <c r="B780" s="19">
        <v>44990</v>
      </c>
      <c r="C780" s="1" t="s">
        <v>34</v>
      </c>
      <c r="D780" t="s">
        <v>700</v>
      </c>
      <c r="E780">
        <v>108</v>
      </c>
      <c r="F780">
        <v>11</v>
      </c>
      <c r="G780">
        <v>74</v>
      </c>
      <c r="H780">
        <v>15562</v>
      </c>
    </row>
    <row r="781" spans="1:8" x14ac:dyDescent="0.25">
      <c r="A781">
        <v>25</v>
      </c>
      <c r="B781" s="19">
        <v>44271</v>
      </c>
      <c r="C781" s="1" t="s">
        <v>36</v>
      </c>
      <c r="D781" t="s">
        <v>696</v>
      </c>
      <c r="E781">
        <v>103</v>
      </c>
      <c r="F781">
        <v>11</v>
      </c>
      <c r="G781">
        <v>7</v>
      </c>
      <c r="H781">
        <v>20206</v>
      </c>
    </row>
    <row r="782" spans="1:8" x14ac:dyDescent="0.25">
      <c r="A782">
        <v>25</v>
      </c>
      <c r="B782" s="19">
        <v>45401</v>
      </c>
      <c r="C782" s="1" t="s">
        <v>33</v>
      </c>
      <c r="D782" t="s">
        <v>696</v>
      </c>
      <c r="E782">
        <v>104</v>
      </c>
      <c r="F782">
        <v>11</v>
      </c>
      <c r="G782">
        <v>14</v>
      </c>
      <c r="H782">
        <v>24953</v>
      </c>
    </row>
    <row r="783" spans="1:8" x14ac:dyDescent="0.25">
      <c r="A783">
        <v>25</v>
      </c>
      <c r="B783" s="19">
        <v>44715</v>
      </c>
      <c r="C783" s="1" t="s">
        <v>35</v>
      </c>
      <c r="D783" t="s">
        <v>696</v>
      </c>
      <c r="E783">
        <v>105</v>
      </c>
      <c r="F783">
        <v>11</v>
      </c>
      <c r="G783">
        <v>9</v>
      </c>
      <c r="H783">
        <v>25406</v>
      </c>
    </row>
    <row r="784" spans="1:8" x14ac:dyDescent="0.25">
      <c r="A784">
        <v>25</v>
      </c>
      <c r="B784" s="19">
        <v>45389</v>
      </c>
      <c r="C784" s="1" t="s">
        <v>35</v>
      </c>
      <c r="D784" t="s">
        <v>696</v>
      </c>
      <c r="E784">
        <v>103</v>
      </c>
      <c r="F784">
        <v>14</v>
      </c>
      <c r="G784">
        <v>8</v>
      </c>
      <c r="H784">
        <v>38445</v>
      </c>
    </row>
    <row r="785" spans="1:8" x14ac:dyDescent="0.25">
      <c r="A785">
        <v>25</v>
      </c>
      <c r="B785" s="19">
        <v>44209</v>
      </c>
      <c r="C785" s="1" t="s">
        <v>33</v>
      </c>
      <c r="D785" t="s">
        <v>697</v>
      </c>
      <c r="E785">
        <v>108</v>
      </c>
      <c r="F785">
        <v>15</v>
      </c>
      <c r="G785">
        <v>71</v>
      </c>
      <c r="H785">
        <v>42524</v>
      </c>
    </row>
    <row r="786" spans="1:8" x14ac:dyDescent="0.25">
      <c r="A786">
        <v>25</v>
      </c>
      <c r="B786" s="19">
        <v>45598</v>
      </c>
      <c r="C786" s="1" t="s">
        <v>35</v>
      </c>
      <c r="D786" t="s">
        <v>697</v>
      </c>
      <c r="E786">
        <v>104</v>
      </c>
      <c r="F786">
        <v>15</v>
      </c>
      <c r="G786">
        <v>98</v>
      </c>
      <c r="H786">
        <v>26969</v>
      </c>
    </row>
    <row r="787" spans="1:8" x14ac:dyDescent="0.25">
      <c r="A787">
        <v>25</v>
      </c>
      <c r="B787" s="19">
        <v>44789</v>
      </c>
      <c r="C787" s="1" t="s">
        <v>33</v>
      </c>
      <c r="D787" t="s">
        <v>698</v>
      </c>
      <c r="E787">
        <v>105</v>
      </c>
      <c r="F787">
        <v>12</v>
      </c>
      <c r="G787">
        <v>19</v>
      </c>
      <c r="H787">
        <v>46654</v>
      </c>
    </row>
    <row r="788" spans="1:8" x14ac:dyDescent="0.25">
      <c r="A788">
        <v>25</v>
      </c>
      <c r="B788" s="19">
        <v>44580</v>
      </c>
      <c r="C788" s="1" t="s">
        <v>36</v>
      </c>
      <c r="D788" t="s">
        <v>698</v>
      </c>
      <c r="E788">
        <v>109</v>
      </c>
      <c r="F788">
        <v>14</v>
      </c>
      <c r="G788">
        <v>63</v>
      </c>
      <c r="H788">
        <v>20271</v>
      </c>
    </row>
    <row r="789" spans="1:8" x14ac:dyDescent="0.25">
      <c r="A789">
        <v>25</v>
      </c>
      <c r="B789" s="19">
        <v>44156</v>
      </c>
      <c r="C789" s="1" t="s">
        <v>33</v>
      </c>
      <c r="D789" t="s">
        <v>698</v>
      </c>
      <c r="E789">
        <v>104</v>
      </c>
      <c r="F789">
        <v>12</v>
      </c>
      <c r="G789">
        <v>97</v>
      </c>
      <c r="H789">
        <v>49880</v>
      </c>
    </row>
    <row r="790" spans="1:8" x14ac:dyDescent="0.25">
      <c r="A790">
        <v>25</v>
      </c>
      <c r="B790" s="19">
        <v>44801</v>
      </c>
      <c r="C790" s="1" t="s">
        <v>35</v>
      </c>
      <c r="D790" t="s">
        <v>699</v>
      </c>
      <c r="E790">
        <v>103</v>
      </c>
      <c r="F790">
        <v>14</v>
      </c>
      <c r="G790">
        <v>15</v>
      </c>
      <c r="H790">
        <v>40127</v>
      </c>
    </row>
    <row r="791" spans="1:8" x14ac:dyDescent="0.25">
      <c r="A791">
        <v>25</v>
      </c>
      <c r="B791" s="19">
        <v>44928</v>
      </c>
      <c r="C791" s="1" t="s">
        <v>34</v>
      </c>
      <c r="D791" t="s">
        <v>699</v>
      </c>
      <c r="E791">
        <v>101</v>
      </c>
      <c r="F791">
        <v>12</v>
      </c>
      <c r="G791">
        <v>32</v>
      </c>
      <c r="H791">
        <v>33976</v>
      </c>
    </row>
    <row r="792" spans="1:8" x14ac:dyDescent="0.25">
      <c r="A792">
        <v>25</v>
      </c>
      <c r="B792" s="19">
        <v>45158</v>
      </c>
      <c r="C792" s="1" t="s">
        <v>35</v>
      </c>
      <c r="D792" t="s">
        <v>699</v>
      </c>
      <c r="E792">
        <v>109</v>
      </c>
      <c r="F792">
        <v>13</v>
      </c>
      <c r="G792">
        <v>56</v>
      </c>
      <c r="H792">
        <v>18653</v>
      </c>
    </row>
    <row r="793" spans="1:8" x14ac:dyDescent="0.25">
      <c r="A793">
        <v>25</v>
      </c>
      <c r="B793" s="19">
        <v>44157</v>
      </c>
      <c r="C793" s="1" t="s">
        <v>36</v>
      </c>
      <c r="D793" t="s">
        <v>695</v>
      </c>
      <c r="E793">
        <v>105</v>
      </c>
      <c r="F793">
        <v>13</v>
      </c>
      <c r="G793">
        <v>51</v>
      </c>
      <c r="H793">
        <v>29823</v>
      </c>
    </row>
    <row r="794" spans="1:8" x14ac:dyDescent="0.25">
      <c r="A794">
        <v>25</v>
      </c>
      <c r="B794" s="19">
        <v>44925</v>
      </c>
      <c r="C794" s="1" t="s">
        <v>34</v>
      </c>
      <c r="D794" t="s">
        <v>695</v>
      </c>
      <c r="E794">
        <v>101</v>
      </c>
      <c r="F794">
        <v>12</v>
      </c>
      <c r="G794">
        <v>31</v>
      </c>
      <c r="H794">
        <v>26278</v>
      </c>
    </row>
    <row r="795" spans="1:8" x14ac:dyDescent="0.25">
      <c r="A795">
        <v>25</v>
      </c>
      <c r="B795" s="19">
        <v>45202</v>
      </c>
      <c r="C795" s="1" t="s">
        <v>36</v>
      </c>
      <c r="D795" t="s">
        <v>695</v>
      </c>
      <c r="E795">
        <v>103</v>
      </c>
      <c r="F795">
        <v>12</v>
      </c>
      <c r="G795">
        <v>73</v>
      </c>
      <c r="H795">
        <v>23647</v>
      </c>
    </row>
    <row r="796" spans="1:8" x14ac:dyDescent="0.25">
      <c r="A796">
        <v>25</v>
      </c>
      <c r="B796" s="19">
        <v>44231</v>
      </c>
      <c r="C796" s="1" t="s">
        <v>34</v>
      </c>
      <c r="D796" t="s">
        <v>695</v>
      </c>
      <c r="E796">
        <v>108</v>
      </c>
      <c r="F796">
        <v>13</v>
      </c>
      <c r="G796">
        <v>9</v>
      </c>
      <c r="H796">
        <v>30218</v>
      </c>
    </row>
    <row r="797" spans="1:8" x14ac:dyDescent="0.25">
      <c r="A797">
        <v>25</v>
      </c>
      <c r="B797" s="19">
        <v>44170</v>
      </c>
      <c r="C797" s="1" t="s">
        <v>35</v>
      </c>
      <c r="D797" t="s">
        <v>692</v>
      </c>
      <c r="E797">
        <v>109</v>
      </c>
      <c r="F797">
        <v>12</v>
      </c>
      <c r="G797">
        <v>45</v>
      </c>
      <c r="H797">
        <v>45427</v>
      </c>
    </row>
    <row r="798" spans="1:8" x14ac:dyDescent="0.25">
      <c r="A798">
        <v>25</v>
      </c>
      <c r="B798" s="19">
        <v>44806</v>
      </c>
      <c r="C798" s="1" t="s">
        <v>35</v>
      </c>
      <c r="D798" t="s">
        <v>692</v>
      </c>
      <c r="E798">
        <v>104</v>
      </c>
      <c r="F798">
        <v>14</v>
      </c>
      <c r="G798">
        <v>78</v>
      </c>
      <c r="H798">
        <v>18390</v>
      </c>
    </row>
    <row r="799" spans="1:8" x14ac:dyDescent="0.25">
      <c r="A799">
        <v>25</v>
      </c>
      <c r="B799" s="19">
        <v>44127</v>
      </c>
      <c r="C799" s="1" t="s">
        <v>33</v>
      </c>
      <c r="D799" t="s">
        <v>692</v>
      </c>
      <c r="E799">
        <v>103</v>
      </c>
      <c r="F799">
        <v>15</v>
      </c>
      <c r="G799">
        <v>100</v>
      </c>
      <c r="H799">
        <v>13115</v>
      </c>
    </row>
    <row r="800" spans="1:8" x14ac:dyDescent="0.25">
      <c r="A800">
        <v>25</v>
      </c>
      <c r="B800" s="19">
        <v>45363</v>
      </c>
      <c r="C800" s="1" t="s">
        <v>36</v>
      </c>
      <c r="D800" t="s">
        <v>693</v>
      </c>
      <c r="E800">
        <v>105</v>
      </c>
      <c r="F800">
        <v>13</v>
      </c>
      <c r="G800">
        <v>35</v>
      </c>
      <c r="H800">
        <v>25768</v>
      </c>
    </row>
    <row r="801" spans="1:8" x14ac:dyDescent="0.25">
      <c r="A801">
        <v>25</v>
      </c>
      <c r="B801" s="19">
        <v>45427</v>
      </c>
      <c r="C801" s="1" t="s">
        <v>34</v>
      </c>
      <c r="D801" t="s">
        <v>693</v>
      </c>
      <c r="E801">
        <v>108</v>
      </c>
      <c r="F801">
        <v>12</v>
      </c>
      <c r="G801">
        <v>92</v>
      </c>
      <c r="H801">
        <v>17497</v>
      </c>
    </row>
    <row r="802" spans="1:8" x14ac:dyDescent="0.25">
      <c r="A802">
        <v>25</v>
      </c>
      <c r="B802" s="19">
        <v>43993</v>
      </c>
      <c r="C802" s="1" t="s">
        <v>33</v>
      </c>
      <c r="D802" t="s">
        <v>693</v>
      </c>
      <c r="E802">
        <v>102</v>
      </c>
      <c r="F802">
        <v>15</v>
      </c>
      <c r="G802">
        <v>55</v>
      </c>
      <c r="H802">
        <v>31771</v>
      </c>
    </row>
    <row r="803" spans="1:8" x14ac:dyDescent="0.25">
      <c r="A803">
        <v>25</v>
      </c>
      <c r="B803" s="19">
        <v>43916</v>
      </c>
      <c r="C803" s="1" t="s">
        <v>34</v>
      </c>
      <c r="D803" t="s">
        <v>694</v>
      </c>
      <c r="E803">
        <v>102</v>
      </c>
      <c r="F803">
        <v>12</v>
      </c>
      <c r="G803">
        <v>87</v>
      </c>
      <c r="H803">
        <v>21278</v>
      </c>
    </row>
    <row r="804" spans="1:8" x14ac:dyDescent="0.25">
      <c r="A804">
        <v>25</v>
      </c>
      <c r="B804" s="19">
        <v>44605</v>
      </c>
      <c r="C804" s="1" t="s">
        <v>34</v>
      </c>
      <c r="D804" t="s">
        <v>694</v>
      </c>
      <c r="E804">
        <v>105</v>
      </c>
      <c r="F804">
        <v>12</v>
      </c>
      <c r="G804">
        <v>59</v>
      </c>
      <c r="H804">
        <v>37722</v>
      </c>
    </row>
    <row r="805" spans="1:8" x14ac:dyDescent="0.25">
      <c r="A805">
        <v>25</v>
      </c>
      <c r="B805" s="19">
        <v>44864</v>
      </c>
      <c r="C805" s="1" t="s">
        <v>34</v>
      </c>
      <c r="D805" t="s">
        <v>694</v>
      </c>
      <c r="E805">
        <v>101</v>
      </c>
      <c r="F805">
        <v>14</v>
      </c>
      <c r="G805">
        <v>89</v>
      </c>
      <c r="H805">
        <v>15115</v>
      </c>
    </row>
    <row r="806" spans="1:8" x14ac:dyDescent="0.25">
      <c r="A806">
        <v>26</v>
      </c>
      <c r="B806" s="19">
        <v>44246</v>
      </c>
      <c r="C806" s="1" t="s">
        <v>36</v>
      </c>
      <c r="D806" t="s">
        <v>690</v>
      </c>
      <c r="E806">
        <v>104</v>
      </c>
      <c r="F806">
        <v>13</v>
      </c>
      <c r="G806">
        <v>81</v>
      </c>
      <c r="H806">
        <v>48961</v>
      </c>
    </row>
    <row r="807" spans="1:8" x14ac:dyDescent="0.25">
      <c r="A807">
        <v>26</v>
      </c>
      <c r="B807" s="19">
        <v>45403</v>
      </c>
      <c r="C807" s="1" t="s">
        <v>35</v>
      </c>
      <c r="D807" t="s">
        <v>690</v>
      </c>
      <c r="E807">
        <v>103</v>
      </c>
      <c r="F807">
        <v>12</v>
      </c>
      <c r="G807">
        <v>92</v>
      </c>
      <c r="H807">
        <v>24400</v>
      </c>
    </row>
    <row r="808" spans="1:8" x14ac:dyDescent="0.25">
      <c r="A808">
        <v>26</v>
      </c>
      <c r="B808" s="19">
        <v>44641</v>
      </c>
      <c r="C808" s="1" t="s">
        <v>36</v>
      </c>
      <c r="D808" t="s">
        <v>690</v>
      </c>
      <c r="E808">
        <v>107</v>
      </c>
      <c r="F808">
        <v>13</v>
      </c>
      <c r="G808">
        <v>61</v>
      </c>
      <c r="H808">
        <v>17953</v>
      </c>
    </row>
    <row r="809" spans="1:8" x14ac:dyDescent="0.25">
      <c r="A809">
        <v>26</v>
      </c>
      <c r="B809" s="19">
        <v>45515</v>
      </c>
      <c r="C809" s="1" t="s">
        <v>34</v>
      </c>
      <c r="D809" t="s">
        <v>691</v>
      </c>
      <c r="E809">
        <v>105</v>
      </c>
      <c r="F809">
        <v>11</v>
      </c>
      <c r="G809">
        <v>55</v>
      </c>
      <c r="H809">
        <v>45453</v>
      </c>
    </row>
    <row r="810" spans="1:8" x14ac:dyDescent="0.25">
      <c r="A810">
        <v>26</v>
      </c>
      <c r="B810" s="19">
        <v>44936</v>
      </c>
      <c r="C810" s="1" t="s">
        <v>35</v>
      </c>
      <c r="D810" t="s">
        <v>700</v>
      </c>
      <c r="E810">
        <v>104</v>
      </c>
      <c r="F810">
        <v>13</v>
      </c>
      <c r="G810">
        <v>44</v>
      </c>
      <c r="H810">
        <v>14565</v>
      </c>
    </row>
    <row r="811" spans="1:8" x14ac:dyDescent="0.25">
      <c r="A811">
        <v>26</v>
      </c>
      <c r="B811" s="19">
        <v>45583</v>
      </c>
      <c r="C811" s="1" t="s">
        <v>33</v>
      </c>
      <c r="D811" t="s">
        <v>700</v>
      </c>
      <c r="E811">
        <v>103</v>
      </c>
      <c r="F811">
        <v>14</v>
      </c>
      <c r="G811">
        <v>24</v>
      </c>
      <c r="H811">
        <v>48772</v>
      </c>
    </row>
    <row r="812" spans="1:8" x14ac:dyDescent="0.25">
      <c r="A812">
        <v>26</v>
      </c>
      <c r="B812" s="19">
        <v>44508</v>
      </c>
      <c r="C812" s="1" t="s">
        <v>34</v>
      </c>
      <c r="D812" t="s">
        <v>700</v>
      </c>
      <c r="E812">
        <v>103</v>
      </c>
      <c r="F812">
        <v>11</v>
      </c>
      <c r="G812">
        <v>31</v>
      </c>
      <c r="H812">
        <v>32504</v>
      </c>
    </row>
    <row r="813" spans="1:8" x14ac:dyDescent="0.25">
      <c r="A813">
        <v>26</v>
      </c>
      <c r="B813" s="19">
        <v>44536</v>
      </c>
      <c r="C813" s="1" t="s">
        <v>35</v>
      </c>
      <c r="D813" t="s">
        <v>696</v>
      </c>
      <c r="E813">
        <v>104</v>
      </c>
      <c r="F813">
        <v>14</v>
      </c>
      <c r="G813">
        <v>15</v>
      </c>
      <c r="H813">
        <v>46390</v>
      </c>
    </row>
    <row r="814" spans="1:8" x14ac:dyDescent="0.25">
      <c r="A814">
        <v>26</v>
      </c>
      <c r="B814" s="19">
        <v>44847</v>
      </c>
      <c r="C814" s="1" t="s">
        <v>33</v>
      </c>
      <c r="D814" t="s">
        <v>696</v>
      </c>
      <c r="E814">
        <v>101</v>
      </c>
      <c r="F814">
        <v>13</v>
      </c>
      <c r="G814">
        <v>48</v>
      </c>
      <c r="H814">
        <v>20673</v>
      </c>
    </row>
    <row r="815" spans="1:8" x14ac:dyDescent="0.25">
      <c r="A815">
        <v>26</v>
      </c>
      <c r="B815" s="19">
        <v>44950</v>
      </c>
      <c r="C815" s="1" t="s">
        <v>36</v>
      </c>
      <c r="D815" t="s">
        <v>696</v>
      </c>
      <c r="E815">
        <v>109</v>
      </c>
      <c r="F815">
        <v>15</v>
      </c>
      <c r="G815">
        <v>59</v>
      </c>
      <c r="H815">
        <v>44924</v>
      </c>
    </row>
    <row r="816" spans="1:8" x14ac:dyDescent="0.25">
      <c r="A816">
        <v>26</v>
      </c>
      <c r="B816" s="19">
        <v>43881</v>
      </c>
      <c r="C816" s="1" t="s">
        <v>36</v>
      </c>
      <c r="D816" t="s">
        <v>696</v>
      </c>
      <c r="E816">
        <v>109</v>
      </c>
      <c r="F816">
        <v>12</v>
      </c>
      <c r="G816">
        <v>26</v>
      </c>
      <c r="H816">
        <v>44016</v>
      </c>
    </row>
    <row r="817" spans="1:8" x14ac:dyDescent="0.25">
      <c r="A817">
        <v>26</v>
      </c>
      <c r="B817" s="19">
        <v>44814</v>
      </c>
      <c r="C817" s="1" t="s">
        <v>34</v>
      </c>
      <c r="D817" t="s">
        <v>697</v>
      </c>
      <c r="E817">
        <v>109</v>
      </c>
      <c r="F817">
        <v>11</v>
      </c>
      <c r="G817">
        <v>23</v>
      </c>
      <c r="H817">
        <v>49621</v>
      </c>
    </row>
    <row r="818" spans="1:8" x14ac:dyDescent="0.25">
      <c r="A818">
        <v>26</v>
      </c>
      <c r="B818" s="19">
        <v>45563</v>
      </c>
      <c r="C818" s="1" t="s">
        <v>34</v>
      </c>
      <c r="D818" t="s">
        <v>698</v>
      </c>
      <c r="E818">
        <v>105</v>
      </c>
      <c r="F818">
        <v>12</v>
      </c>
      <c r="G818">
        <v>73</v>
      </c>
      <c r="H818">
        <v>18388</v>
      </c>
    </row>
    <row r="819" spans="1:8" x14ac:dyDescent="0.25">
      <c r="A819">
        <v>26</v>
      </c>
      <c r="B819" s="19">
        <v>44697</v>
      </c>
      <c r="C819" s="1" t="s">
        <v>35</v>
      </c>
      <c r="D819" t="s">
        <v>698</v>
      </c>
      <c r="E819">
        <v>103</v>
      </c>
      <c r="F819">
        <v>14</v>
      </c>
      <c r="G819">
        <v>72</v>
      </c>
      <c r="H819">
        <v>25990</v>
      </c>
    </row>
    <row r="820" spans="1:8" x14ac:dyDescent="0.25">
      <c r="A820">
        <v>26</v>
      </c>
      <c r="B820" s="19">
        <v>45108</v>
      </c>
      <c r="C820" s="1" t="s">
        <v>33</v>
      </c>
      <c r="D820" t="s">
        <v>698</v>
      </c>
      <c r="E820">
        <v>103</v>
      </c>
      <c r="F820">
        <v>15</v>
      </c>
      <c r="G820">
        <v>94</v>
      </c>
      <c r="H820">
        <v>40853</v>
      </c>
    </row>
    <row r="821" spans="1:8" x14ac:dyDescent="0.25">
      <c r="A821">
        <v>26</v>
      </c>
      <c r="B821" s="19">
        <v>44376</v>
      </c>
      <c r="C821" s="1" t="s">
        <v>36</v>
      </c>
      <c r="D821" t="s">
        <v>698</v>
      </c>
      <c r="E821">
        <v>102</v>
      </c>
      <c r="F821">
        <v>11</v>
      </c>
      <c r="G821">
        <v>8</v>
      </c>
      <c r="H821">
        <v>26331</v>
      </c>
    </row>
    <row r="822" spans="1:8" x14ac:dyDescent="0.25">
      <c r="A822">
        <v>26</v>
      </c>
      <c r="B822" s="19">
        <v>44347</v>
      </c>
      <c r="C822" s="1" t="s">
        <v>35</v>
      </c>
      <c r="D822" t="s">
        <v>699</v>
      </c>
      <c r="E822">
        <v>103</v>
      </c>
      <c r="F822">
        <v>12</v>
      </c>
      <c r="G822">
        <v>31</v>
      </c>
      <c r="H822">
        <v>18033</v>
      </c>
    </row>
    <row r="823" spans="1:8" x14ac:dyDescent="0.25">
      <c r="A823">
        <v>26</v>
      </c>
      <c r="B823" s="19">
        <v>44221</v>
      </c>
      <c r="C823" s="1" t="s">
        <v>35</v>
      </c>
      <c r="D823" t="s">
        <v>699</v>
      </c>
      <c r="E823">
        <v>104</v>
      </c>
      <c r="F823">
        <v>15</v>
      </c>
      <c r="G823">
        <v>53</v>
      </c>
      <c r="H823">
        <v>24956</v>
      </c>
    </row>
    <row r="824" spans="1:8" x14ac:dyDescent="0.25">
      <c r="A824">
        <v>26</v>
      </c>
      <c r="B824" s="19">
        <v>43937</v>
      </c>
      <c r="C824" s="1" t="s">
        <v>34</v>
      </c>
      <c r="D824" t="s">
        <v>699</v>
      </c>
      <c r="E824">
        <v>103</v>
      </c>
      <c r="F824">
        <v>12</v>
      </c>
      <c r="G824">
        <v>48</v>
      </c>
      <c r="H824">
        <v>31756</v>
      </c>
    </row>
    <row r="825" spans="1:8" x14ac:dyDescent="0.25">
      <c r="A825">
        <v>26</v>
      </c>
      <c r="B825" s="19">
        <v>43891</v>
      </c>
      <c r="C825" s="1" t="s">
        <v>36</v>
      </c>
      <c r="D825" t="s">
        <v>695</v>
      </c>
      <c r="E825">
        <v>103</v>
      </c>
      <c r="F825">
        <v>11</v>
      </c>
      <c r="G825">
        <v>14</v>
      </c>
      <c r="H825">
        <v>47607</v>
      </c>
    </row>
    <row r="826" spans="1:8" x14ac:dyDescent="0.25">
      <c r="A826">
        <v>26</v>
      </c>
      <c r="B826" s="19">
        <v>44973</v>
      </c>
      <c r="C826" s="1" t="s">
        <v>34</v>
      </c>
      <c r="D826" t="s">
        <v>695</v>
      </c>
      <c r="E826">
        <v>102</v>
      </c>
      <c r="F826">
        <v>12</v>
      </c>
      <c r="G826">
        <v>38</v>
      </c>
      <c r="H826">
        <v>21003</v>
      </c>
    </row>
    <row r="827" spans="1:8" x14ac:dyDescent="0.25">
      <c r="A827">
        <v>26</v>
      </c>
      <c r="B827" s="19">
        <v>45098</v>
      </c>
      <c r="C827" s="1" t="s">
        <v>33</v>
      </c>
      <c r="D827" t="s">
        <v>695</v>
      </c>
      <c r="E827">
        <v>103</v>
      </c>
      <c r="F827">
        <v>12</v>
      </c>
      <c r="G827">
        <v>78</v>
      </c>
      <c r="H827">
        <v>30678</v>
      </c>
    </row>
    <row r="828" spans="1:8" x14ac:dyDescent="0.25">
      <c r="A828">
        <v>26</v>
      </c>
      <c r="B828" s="19">
        <v>44378</v>
      </c>
      <c r="C828" s="1" t="s">
        <v>35</v>
      </c>
      <c r="D828" t="s">
        <v>695</v>
      </c>
      <c r="E828">
        <v>104</v>
      </c>
      <c r="F828">
        <v>14</v>
      </c>
      <c r="G828">
        <v>43</v>
      </c>
      <c r="H828">
        <v>46291</v>
      </c>
    </row>
    <row r="829" spans="1:8" x14ac:dyDescent="0.25">
      <c r="A829">
        <v>26</v>
      </c>
      <c r="B829" s="19">
        <v>45203</v>
      </c>
      <c r="C829" s="1" t="s">
        <v>34</v>
      </c>
      <c r="D829" t="s">
        <v>695</v>
      </c>
      <c r="E829">
        <v>103</v>
      </c>
      <c r="F829">
        <v>11</v>
      </c>
      <c r="G829">
        <v>50</v>
      </c>
      <c r="H829">
        <v>13631</v>
      </c>
    </row>
    <row r="830" spans="1:8" x14ac:dyDescent="0.25">
      <c r="A830">
        <v>26</v>
      </c>
      <c r="B830" s="19">
        <v>44247</v>
      </c>
      <c r="C830" s="1" t="s">
        <v>33</v>
      </c>
      <c r="D830" t="s">
        <v>692</v>
      </c>
      <c r="E830">
        <v>107</v>
      </c>
      <c r="F830">
        <v>13</v>
      </c>
      <c r="G830">
        <v>46</v>
      </c>
      <c r="H830">
        <v>25012</v>
      </c>
    </row>
    <row r="831" spans="1:8" x14ac:dyDescent="0.25">
      <c r="A831">
        <v>26</v>
      </c>
      <c r="B831" s="19">
        <v>44989</v>
      </c>
      <c r="C831" s="1" t="s">
        <v>36</v>
      </c>
      <c r="D831" t="s">
        <v>692</v>
      </c>
      <c r="E831">
        <v>103</v>
      </c>
      <c r="F831">
        <v>14</v>
      </c>
      <c r="G831">
        <v>39</v>
      </c>
      <c r="H831">
        <v>18514</v>
      </c>
    </row>
    <row r="832" spans="1:8" x14ac:dyDescent="0.25">
      <c r="A832">
        <v>26</v>
      </c>
      <c r="B832" s="19">
        <v>44049</v>
      </c>
      <c r="C832" s="1" t="s">
        <v>35</v>
      </c>
      <c r="D832" t="s">
        <v>692</v>
      </c>
      <c r="E832">
        <v>105</v>
      </c>
      <c r="F832">
        <v>14</v>
      </c>
      <c r="G832">
        <v>20</v>
      </c>
      <c r="H832">
        <v>45771</v>
      </c>
    </row>
    <row r="833" spans="1:8" x14ac:dyDescent="0.25">
      <c r="A833">
        <v>26</v>
      </c>
      <c r="B833" s="19">
        <v>45526</v>
      </c>
      <c r="C833" s="1" t="s">
        <v>33</v>
      </c>
      <c r="D833" t="s">
        <v>693</v>
      </c>
      <c r="E833">
        <v>105</v>
      </c>
      <c r="F833">
        <v>11</v>
      </c>
      <c r="G833">
        <v>42</v>
      </c>
      <c r="H833">
        <v>45363</v>
      </c>
    </row>
    <row r="834" spans="1:8" x14ac:dyDescent="0.25">
      <c r="A834">
        <v>26</v>
      </c>
      <c r="B834" s="19">
        <v>45084</v>
      </c>
      <c r="C834" s="1" t="s">
        <v>35</v>
      </c>
      <c r="D834" t="s">
        <v>693</v>
      </c>
      <c r="E834">
        <v>104</v>
      </c>
      <c r="F834">
        <v>13</v>
      </c>
      <c r="G834">
        <v>17</v>
      </c>
      <c r="H834">
        <v>12976</v>
      </c>
    </row>
    <row r="835" spans="1:8" x14ac:dyDescent="0.25">
      <c r="A835">
        <v>26</v>
      </c>
      <c r="B835" s="19">
        <v>44786</v>
      </c>
      <c r="C835" s="1" t="s">
        <v>34</v>
      </c>
      <c r="D835" t="s">
        <v>693</v>
      </c>
      <c r="E835">
        <v>104</v>
      </c>
      <c r="F835">
        <v>14</v>
      </c>
      <c r="G835">
        <v>10</v>
      </c>
      <c r="H835">
        <v>11993</v>
      </c>
    </row>
    <row r="836" spans="1:8" x14ac:dyDescent="0.25">
      <c r="A836">
        <v>26</v>
      </c>
      <c r="B836" s="19">
        <v>44899</v>
      </c>
      <c r="C836" s="1" t="s">
        <v>35</v>
      </c>
      <c r="D836" t="s">
        <v>693</v>
      </c>
      <c r="E836">
        <v>103</v>
      </c>
      <c r="F836">
        <v>14</v>
      </c>
      <c r="G836">
        <v>87</v>
      </c>
      <c r="H836">
        <v>47453</v>
      </c>
    </row>
    <row r="837" spans="1:8" x14ac:dyDescent="0.25">
      <c r="A837">
        <v>26</v>
      </c>
      <c r="B837" s="19">
        <v>44864</v>
      </c>
      <c r="C837" s="1" t="s">
        <v>35</v>
      </c>
      <c r="D837" t="s">
        <v>693</v>
      </c>
      <c r="E837">
        <v>104</v>
      </c>
      <c r="F837">
        <v>11</v>
      </c>
      <c r="G837">
        <v>55</v>
      </c>
      <c r="H837">
        <v>21295</v>
      </c>
    </row>
    <row r="838" spans="1:8" x14ac:dyDescent="0.25">
      <c r="A838">
        <v>26</v>
      </c>
      <c r="B838" s="19">
        <v>44951</v>
      </c>
      <c r="C838" s="1" t="s">
        <v>34</v>
      </c>
      <c r="D838" t="s">
        <v>693</v>
      </c>
      <c r="E838">
        <v>104</v>
      </c>
      <c r="F838">
        <v>12</v>
      </c>
      <c r="G838">
        <v>56</v>
      </c>
      <c r="H838">
        <v>15416</v>
      </c>
    </row>
    <row r="839" spans="1:8" x14ac:dyDescent="0.25">
      <c r="A839">
        <v>26</v>
      </c>
      <c r="B839" s="19">
        <v>45255</v>
      </c>
      <c r="C839" s="1" t="s">
        <v>35</v>
      </c>
      <c r="D839" t="s">
        <v>694</v>
      </c>
      <c r="E839">
        <v>103</v>
      </c>
      <c r="F839">
        <v>12</v>
      </c>
      <c r="G839">
        <v>27</v>
      </c>
      <c r="H839">
        <v>20305</v>
      </c>
    </row>
    <row r="840" spans="1:8" x14ac:dyDescent="0.25">
      <c r="A840">
        <v>27</v>
      </c>
      <c r="B840" s="19">
        <v>44196</v>
      </c>
      <c r="C840" s="1" t="s">
        <v>33</v>
      </c>
      <c r="D840" t="s">
        <v>690</v>
      </c>
      <c r="E840">
        <v>108</v>
      </c>
      <c r="F840">
        <v>13</v>
      </c>
      <c r="G840">
        <v>16</v>
      </c>
      <c r="H840">
        <v>35949</v>
      </c>
    </row>
    <row r="841" spans="1:8" x14ac:dyDescent="0.25">
      <c r="A841">
        <v>27</v>
      </c>
      <c r="B841" s="19">
        <v>44518</v>
      </c>
      <c r="C841" s="1" t="s">
        <v>34</v>
      </c>
      <c r="D841" t="s">
        <v>690</v>
      </c>
      <c r="E841">
        <v>105</v>
      </c>
      <c r="F841">
        <v>14</v>
      </c>
      <c r="G841">
        <v>96</v>
      </c>
      <c r="H841">
        <v>43926</v>
      </c>
    </row>
    <row r="842" spans="1:8" x14ac:dyDescent="0.25">
      <c r="A842">
        <v>27</v>
      </c>
      <c r="B842" s="19">
        <v>45201</v>
      </c>
      <c r="C842" s="1" t="s">
        <v>35</v>
      </c>
      <c r="D842" t="s">
        <v>690</v>
      </c>
      <c r="E842">
        <v>105</v>
      </c>
      <c r="F842">
        <v>12</v>
      </c>
      <c r="G842">
        <v>95</v>
      </c>
      <c r="H842">
        <v>14124</v>
      </c>
    </row>
    <row r="843" spans="1:8" x14ac:dyDescent="0.25">
      <c r="A843">
        <v>27</v>
      </c>
      <c r="B843" s="19">
        <v>44665</v>
      </c>
      <c r="C843" s="1" t="s">
        <v>34</v>
      </c>
      <c r="D843" t="s">
        <v>700</v>
      </c>
      <c r="E843">
        <v>103</v>
      </c>
      <c r="F843">
        <v>14</v>
      </c>
      <c r="G843">
        <v>17</v>
      </c>
      <c r="H843">
        <v>49014</v>
      </c>
    </row>
    <row r="844" spans="1:8" x14ac:dyDescent="0.25">
      <c r="A844">
        <v>27</v>
      </c>
      <c r="B844" s="19">
        <v>45006</v>
      </c>
      <c r="C844" s="1" t="s">
        <v>33</v>
      </c>
      <c r="D844" t="s">
        <v>700</v>
      </c>
      <c r="E844">
        <v>104</v>
      </c>
      <c r="F844">
        <v>15</v>
      </c>
      <c r="G844">
        <v>25</v>
      </c>
      <c r="H844">
        <v>31685</v>
      </c>
    </row>
    <row r="845" spans="1:8" x14ac:dyDescent="0.25">
      <c r="A845">
        <v>27</v>
      </c>
      <c r="B845" s="19">
        <v>44817</v>
      </c>
      <c r="C845" s="1" t="s">
        <v>34</v>
      </c>
      <c r="D845" t="s">
        <v>696</v>
      </c>
      <c r="E845">
        <v>103</v>
      </c>
      <c r="F845">
        <v>13</v>
      </c>
      <c r="G845">
        <v>56</v>
      </c>
      <c r="H845">
        <v>45876</v>
      </c>
    </row>
    <row r="846" spans="1:8" x14ac:dyDescent="0.25">
      <c r="A846">
        <v>27</v>
      </c>
      <c r="B846" s="19">
        <v>44705</v>
      </c>
      <c r="C846" s="1" t="s">
        <v>36</v>
      </c>
      <c r="D846" t="s">
        <v>696</v>
      </c>
      <c r="E846">
        <v>103</v>
      </c>
      <c r="F846">
        <v>12</v>
      </c>
      <c r="G846">
        <v>25</v>
      </c>
      <c r="H846">
        <v>21245</v>
      </c>
    </row>
    <row r="847" spans="1:8" x14ac:dyDescent="0.25">
      <c r="A847">
        <v>27</v>
      </c>
      <c r="B847" s="19">
        <v>44822</v>
      </c>
      <c r="C847" s="1" t="s">
        <v>33</v>
      </c>
      <c r="D847" t="s">
        <v>698</v>
      </c>
      <c r="E847">
        <v>102</v>
      </c>
      <c r="F847">
        <v>14</v>
      </c>
      <c r="G847">
        <v>6</v>
      </c>
      <c r="H847">
        <v>21136</v>
      </c>
    </row>
    <row r="848" spans="1:8" x14ac:dyDescent="0.25">
      <c r="A848">
        <v>27</v>
      </c>
      <c r="B848" s="19">
        <v>44713</v>
      </c>
      <c r="C848" s="1" t="s">
        <v>35</v>
      </c>
      <c r="D848" t="s">
        <v>698</v>
      </c>
      <c r="E848">
        <v>102</v>
      </c>
      <c r="F848">
        <v>14</v>
      </c>
      <c r="G848">
        <v>48</v>
      </c>
      <c r="H848">
        <v>15710</v>
      </c>
    </row>
    <row r="849" spans="1:8" x14ac:dyDescent="0.25">
      <c r="A849">
        <v>27</v>
      </c>
      <c r="B849" s="19">
        <v>45473</v>
      </c>
      <c r="C849" s="1" t="s">
        <v>35</v>
      </c>
      <c r="D849" t="s">
        <v>698</v>
      </c>
      <c r="E849">
        <v>101</v>
      </c>
      <c r="F849">
        <v>14</v>
      </c>
      <c r="G849">
        <v>70</v>
      </c>
      <c r="H849">
        <v>26737</v>
      </c>
    </row>
    <row r="850" spans="1:8" x14ac:dyDescent="0.25">
      <c r="A850">
        <v>27</v>
      </c>
      <c r="B850" s="19">
        <v>45536</v>
      </c>
      <c r="C850" s="1" t="s">
        <v>34</v>
      </c>
      <c r="D850" t="s">
        <v>698</v>
      </c>
      <c r="E850">
        <v>105</v>
      </c>
      <c r="F850">
        <v>15</v>
      </c>
      <c r="G850">
        <v>16</v>
      </c>
      <c r="H850">
        <v>30433</v>
      </c>
    </row>
    <row r="851" spans="1:8" x14ac:dyDescent="0.25">
      <c r="A851">
        <v>27</v>
      </c>
      <c r="B851" s="19">
        <v>44911</v>
      </c>
      <c r="C851" s="1" t="s">
        <v>36</v>
      </c>
      <c r="D851" t="s">
        <v>698</v>
      </c>
      <c r="E851">
        <v>103</v>
      </c>
      <c r="F851">
        <v>11</v>
      </c>
      <c r="G851">
        <v>59</v>
      </c>
      <c r="H851">
        <v>23130</v>
      </c>
    </row>
    <row r="852" spans="1:8" x14ac:dyDescent="0.25">
      <c r="A852">
        <v>27</v>
      </c>
      <c r="B852" s="19">
        <v>44936</v>
      </c>
      <c r="C852" s="1" t="s">
        <v>36</v>
      </c>
      <c r="D852" t="s">
        <v>699</v>
      </c>
      <c r="E852">
        <v>105</v>
      </c>
      <c r="F852">
        <v>14</v>
      </c>
      <c r="G852">
        <v>42</v>
      </c>
      <c r="H852">
        <v>39296</v>
      </c>
    </row>
    <row r="853" spans="1:8" x14ac:dyDescent="0.25">
      <c r="A853">
        <v>27</v>
      </c>
      <c r="B853" s="19">
        <v>45549</v>
      </c>
      <c r="C853" s="1" t="s">
        <v>33</v>
      </c>
      <c r="D853" t="s">
        <v>699</v>
      </c>
      <c r="E853">
        <v>103</v>
      </c>
      <c r="F853">
        <v>12</v>
      </c>
      <c r="G853">
        <v>26</v>
      </c>
      <c r="H853">
        <v>32148</v>
      </c>
    </row>
    <row r="854" spans="1:8" x14ac:dyDescent="0.25">
      <c r="A854">
        <v>27</v>
      </c>
      <c r="B854" s="19">
        <v>44364</v>
      </c>
      <c r="C854" s="1" t="s">
        <v>36</v>
      </c>
      <c r="D854" t="s">
        <v>699</v>
      </c>
      <c r="E854">
        <v>109</v>
      </c>
      <c r="F854">
        <v>15</v>
      </c>
      <c r="G854">
        <v>74</v>
      </c>
      <c r="H854">
        <v>20734</v>
      </c>
    </row>
    <row r="855" spans="1:8" x14ac:dyDescent="0.25">
      <c r="A855">
        <v>27</v>
      </c>
      <c r="B855" s="19">
        <v>44408</v>
      </c>
      <c r="C855" s="1" t="s">
        <v>33</v>
      </c>
      <c r="D855" t="s">
        <v>699</v>
      </c>
      <c r="E855">
        <v>105</v>
      </c>
      <c r="F855">
        <v>11</v>
      </c>
      <c r="G855">
        <v>100</v>
      </c>
      <c r="H855">
        <v>17744</v>
      </c>
    </row>
    <row r="856" spans="1:8" x14ac:dyDescent="0.25">
      <c r="A856">
        <v>27</v>
      </c>
      <c r="B856" s="19">
        <v>43986</v>
      </c>
      <c r="C856" s="1" t="s">
        <v>35</v>
      </c>
      <c r="D856" t="s">
        <v>695</v>
      </c>
      <c r="E856">
        <v>104</v>
      </c>
      <c r="F856">
        <v>11</v>
      </c>
      <c r="G856">
        <v>40</v>
      </c>
      <c r="H856">
        <v>48721</v>
      </c>
    </row>
    <row r="857" spans="1:8" x14ac:dyDescent="0.25">
      <c r="A857">
        <v>27</v>
      </c>
      <c r="B857" s="19">
        <v>44241</v>
      </c>
      <c r="C857" s="1" t="s">
        <v>36</v>
      </c>
      <c r="D857" t="s">
        <v>692</v>
      </c>
      <c r="E857">
        <v>103</v>
      </c>
      <c r="F857">
        <v>14</v>
      </c>
      <c r="G857">
        <v>19</v>
      </c>
      <c r="H857">
        <v>32467</v>
      </c>
    </row>
    <row r="858" spans="1:8" x14ac:dyDescent="0.25">
      <c r="A858">
        <v>27</v>
      </c>
      <c r="B858" s="19">
        <v>45601</v>
      </c>
      <c r="C858" s="1" t="s">
        <v>33</v>
      </c>
      <c r="D858" t="s">
        <v>693</v>
      </c>
      <c r="E858">
        <v>108</v>
      </c>
      <c r="F858">
        <v>15</v>
      </c>
      <c r="G858">
        <v>27</v>
      </c>
      <c r="H858">
        <v>17257</v>
      </c>
    </row>
    <row r="859" spans="1:8" x14ac:dyDescent="0.25">
      <c r="A859">
        <v>27</v>
      </c>
      <c r="B859" s="19">
        <v>43879</v>
      </c>
      <c r="C859" s="1" t="s">
        <v>36</v>
      </c>
      <c r="D859" t="s">
        <v>693</v>
      </c>
      <c r="E859">
        <v>105</v>
      </c>
      <c r="F859">
        <v>12</v>
      </c>
      <c r="G859">
        <v>31</v>
      </c>
      <c r="H859">
        <v>49245</v>
      </c>
    </row>
    <row r="860" spans="1:8" x14ac:dyDescent="0.25">
      <c r="A860">
        <v>27</v>
      </c>
      <c r="B860" s="19">
        <v>44373</v>
      </c>
      <c r="C860" s="1" t="s">
        <v>36</v>
      </c>
      <c r="D860" t="s">
        <v>693</v>
      </c>
      <c r="E860">
        <v>107</v>
      </c>
      <c r="F860">
        <v>12</v>
      </c>
      <c r="G860">
        <v>48</v>
      </c>
      <c r="H860">
        <v>29992</v>
      </c>
    </row>
    <row r="861" spans="1:8" x14ac:dyDescent="0.25">
      <c r="A861">
        <v>27</v>
      </c>
      <c r="B861" s="19">
        <v>44204</v>
      </c>
      <c r="C861" s="1" t="s">
        <v>33</v>
      </c>
      <c r="D861" t="s">
        <v>693</v>
      </c>
      <c r="E861">
        <v>104</v>
      </c>
      <c r="F861">
        <v>11</v>
      </c>
      <c r="G861">
        <v>41</v>
      </c>
      <c r="H861">
        <v>48088</v>
      </c>
    </row>
    <row r="862" spans="1:8" x14ac:dyDescent="0.25">
      <c r="A862">
        <v>27</v>
      </c>
      <c r="B862" s="19">
        <v>44412</v>
      </c>
      <c r="C862" s="1" t="s">
        <v>36</v>
      </c>
      <c r="D862" t="s">
        <v>693</v>
      </c>
      <c r="E862">
        <v>104</v>
      </c>
      <c r="F862">
        <v>11</v>
      </c>
      <c r="G862">
        <v>13</v>
      </c>
      <c r="H862">
        <v>42113</v>
      </c>
    </row>
    <row r="863" spans="1:8" x14ac:dyDescent="0.25">
      <c r="A863">
        <v>27</v>
      </c>
      <c r="B863" s="19">
        <v>44927</v>
      </c>
      <c r="C863" s="1" t="s">
        <v>33</v>
      </c>
      <c r="D863" t="s">
        <v>694</v>
      </c>
      <c r="E863">
        <v>104</v>
      </c>
      <c r="F863">
        <v>12</v>
      </c>
      <c r="G863">
        <v>36</v>
      </c>
      <c r="H863">
        <v>46347</v>
      </c>
    </row>
    <row r="864" spans="1:8" x14ac:dyDescent="0.25">
      <c r="A864">
        <v>27</v>
      </c>
      <c r="B864" s="19">
        <v>44900</v>
      </c>
      <c r="C864" s="1" t="s">
        <v>34</v>
      </c>
      <c r="D864" t="s">
        <v>694</v>
      </c>
      <c r="E864">
        <v>104</v>
      </c>
      <c r="F864">
        <v>12</v>
      </c>
      <c r="G864">
        <v>28</v>
      </c>
      <c r="H864">
        <v>10594</v>
      </c>
    </row>
    <row r="865" spans="1:8" x14ac:dyDescent="0.25">
      <c r="A865">
        <v>27</v>
      </c>
      <c r="B865" s="19">
        <v>45128</v>
      </c>
      <c r="C865" s="1" t="s">
        <v>35</v>
      </c>
      <c r="D865" t="s">
        <v>694</v>
      </c>
      <c r="E865">
        <v>107</v>
      </c>
      <c r="F865">
        <v>11</v>
      </c>
      <c r="G865">
        <v>39</v>
      </c>
      <c r="H865">
        <v>41899</v>
      </c>
    </row>
    <row r="866" spans="1:8" x14ac:dyDescent="0.25">
      <c r="A866">
        <v>27</v>
      </c>
      <c r="B866" s="19">
        <v>45031</v>
      </c>
      <c r="C866" s="1" t="s">
        <v>34</v>
      </c>
      <c r="D866" t="s">
        <v>694</v>
      </c>
      <c r="E866">
        <v>104</v>
      </c>
      <c r="F866">
        <v>15</v>
      </c>
      <c r="G866">
        <v>100</v>
      </c>
      <c r="H866">
        <v>12183</v>
      </c>
    </row>
    <row r="867" spans="1:8" x14ac:dyDescent="0.25">
      <c r="A867">
        <v>27</v>
      </c>
      <c r="B867" s="19">
        <v>45083</v>
      </c>
      <c r="C867" s="1" t="s">
        <v>34</v>
      </c>
      <c r="D867" t="s">
        <v>694</v>
      </c>
      <c r="E867">
        <v>101</v>
      </c>
      <c r="F867">
        <v>15</v>
      </c>
      <c r="G867">
        <v>37</v>
      </c>
      <c r="H867">
        <v>26308</v>
      </c>
    </row>
    <row r="868" spans="1:8" x14ac:dyDescent="0.25">
      <c r="A868">
        <v>28</v>
      </c>
      <c r="B868" s="19">
        <v>44684</v>
      </c>
      <c r="C868" s="1" t="s">
        <v>35</v>
      </c>
      <c r="D868" t="s">
        <v>690</v>
      </c>
      <c r="E868">
        <v>104</v>
      </c>
      <c r="F868">
        <v>11</v>
      </c>
      <c r="G868">
        <v>96</v>
      </c>
      <c r="H868">
        <v>17128</v>
      </c>
    </row>
    <row r="869" spans="1:8" x14ac:dyDescent="0.25">
      <c r="A869">
        <v>28</v>
      </c>
      <c r="B869" s="19">
        <v>44201</v>
      </c>
      <c r="C869" s="1" t="s">
        <v>34</v>
      </c>
      <c r="D869" t="s">
        <v>690</v>
      </c>
      <c r="E869">
        <v>104</v>
      </c>
      <c r="F869">
        <v>13</v>
      </c>
      <c r="G869">
        <v>83</v>
      </c>
      <c r="H869">
        <v>25189</v>
      </c>
    </row>
    <row r="870" spans="1:8" x14ac:dyDescent="0.25">
      <c r="A870">
        <v>28</v>
      </c>
      <c r="B870" s="19">
        <v>43855</v>
      </c>
      <c r="C870" s="1" t="s">
        <v>36</v>
      </c>
      <c r="D870" t="s">
        <v>690</v>
      </c>
      <c r="E870">
        <v>106</v>
      </c>
      <c r="F870">
        <v>13</v>
      </c>
      <c r="G870">
        <v>34</v>
      </c>
      <c r="H870">
        <v>31845</v>
      </c>
    </row>
    <row r="871" spans="1:8" x14ac:dyDescent="0.25">
      <c r="A871">
        <v>28</v>
      </c>
      <c r="B871" s="19">
        <v>45336</v>
      </c>
      <c r="C871" s="1" t="s">
        <v>33</v>
      </c>
      <c r="D871" t="s">
        <v>690</v>
      </c>
      <c r="E871">
        <v>105</v>
      </c>
      <c r="F871">
        <v>12</v>
      </c>
      <c r="G871">
        <v>88</v>
      </c>
      <c r="H871">
        <v>41727</v>
      </c>
    </row>
    <row r="872" spans="1:8" x14ac:dyDescent="0.25">
      <c r="A872">
        <v>28</v>
      </c>
      <c r="B872" s="19">
        <v>44191</v>
      </c>
      <c r="C872" s="1" t="s">
        <v>35</v>
      </c>
      <c r="D872" t="s">
        <v>690</v>
      </c>
      <c r="E872">
        <v>105</v>
      </c>
      <c r="F872">
        <v>13</v>
      </c>
      <c r="G872">
        <v>35</v>
      </c>
      <c r="H872">
        <v>44221</v>
      </c>
    </row>
    <row r="873" spans="1:8" x14ac:dyDescent="0.25">
      <c r="A873">
        <v>28</v>
      </c>
      <c r="B873" s="19">
        <v>45552</v>
      </c>
      <c r="C873" s="1" t="s">
        <v>33</v>
      </c>
      <c r="D873" t="s">
        <v>691</v>
      </c>
      <c r="E873">
        <v>105</v>
      </c>
      <c r="F873">
        <v>12</v>
      </c>
      <c r="G873">
        <v>68</v>
      </c>
      <c r="H873">
        <v>22524</v>
      </c>
    </row>
    <row r="874" spans="1:8" x14ac:dyDescent="0.25">
      <c r="A874">
        <v>28</v>
      </c>
      <c r="B874" s="19">
        <v>45396</v>
      </c>
      <c r="C874" s="1" t="s">
        <v>33</v>
      </c>
      <c r="D874" t="s">
        <v>691</v>
      </c>
      <c r="E874">
        <v>105</v>
      </c>
      <c r="F874">
        <v>13</v>
      </c>
      <c r="G874">
        <v>67</v>
      </c>
      <c r="H874">
        <v>41162</v>
      </c>
    </row>
    <row r="875" spans="1:8" x14ac:dyDescent="0.25">
      <c r="A875">
        <v>28</v>
      </c>
      <c r="B875" s="19">
        <v>43957</v>
      </c>
      <c r="C875" s="1" t="s">
        <v>35</v>
      </c>
      <c r="D875" t="s">
        <v>700</v>
      </c>
      <c r="E875">
        <v>104</v>
      </c>
      <c r="F875">
        <v>14</v>
      </c>
      <c r="G875">
        <v>96</v>
      </c>
      <c r="H875">
        <v>39148</v>
      </c>
    </row>
    <row r="876" spans="1:8" x14ac:dyDescent="0.25">
      <c r="A876">
        <v>28</v>
      </c>
      <c r="B876" s="19">
        <v>44229</v>
      </c>
      <c r="C876" s="1" t="s">
        <v>33</v>
      </c>
      <c r="D876" t="s">
        <v>700</v>
      </c>
      <c r="E876">
        <v>104</v>
      </c>
      <c r="F876">
        <v>12</v>
      </c>
      <c r="G876">
        <v>7</v>
      </c>
      <c r="H876">
        <v>10472</v>
      </c>
    </row>
    <row r="877" spans="1:8" x14ac:dyDescent="0.25">
      <c r="A877">
        <v>28</v>
      </c>
      <c r="B877" s="19">
        <v>44833</v>
      </c>
      <c r="C877" s="1" t="s">
        <v>35</v>
      </c>
      <c r="D877" t="s">
        <v>696</v>
      </c>
      <c r="E877">
        <v>103</v>
      </c>
      <c r="F877">
        <v>11</v>
      </c>
      <c r="G877">
        <v>25</v>
      </c>
      <c r="H877">
        <v>48248</v>
      </c>
    </row>
    <row r="878" spans="1:8" x14ac:dyDescent="0.25">
      <c r="A878">
        <v>28</v>
      </c>
      <c r="B878" s="19">
        <v>44834</v>
      </c>
      <c r="C878" s="1" t="s">
        <v>35</v>
      </c>
      <c r="D878" t="s">
        <v>696</v>
      </c>
      <c r="E878">
        <v>103</v>
      </c>
      <c r="F878">
        <v>13</v>
      </c>
      <c r="G878">
        <v>72</v>
      </c>
      <c r="H878">
        <v>26189</v>
      </c>
    </row>
    <row r="879" spans="1:8" x14ac:dyDescent="0.25">
      <c r="A879">
        <v>28</v>
      </c>
      <c r="B879" s="19">
        <v>44852</v>
      </c>
      <c r="C879" s="1" t="s">
        <v>36</v>
      </c>
      <c r="D879" t="s">
        <v>696</v>
      </c>
      <c r="E879">
        <v>101</v>
      </c>
      <c r="F879">
        <v>11</v>
      </c>
      <c r="G879">
        <v>100</v>
      </c>
      <c r="H879">
        <v>17885</v>
      </c>
    </row>
    <row r="880" spans="1:8" x14ac:dyDescent="0.25">
      <c r="A880">
        <v>28</v>
      </c>
      <c r="B880" s="19">
        <v>45371</v>
      </c>
      <c r="C880" s="1" t="s">
        <v>34</v>
      </c>
      <c r="D880" t="s">
        <v>696</v>
      </c>
      <c r="E880">
        <v>105</v>
      </c>
      <c r="F880">
        <v>15</v>
      </c>
      <c r="G880">
        <v>70</v>
      </c>
      <c r="H880">
        <v>37780</v>
      </c>
    </row>
    <row r="881" spans="1:8" x14ac:dyDescent="0.25">
      <c r="A881">
        <v>28</v>
      </c>
      <c r="B881" s="19">
        <v>44654</v>
      </c>
      <c r="C881" s="1" t="s">
        <v>34</v>
      </c>
      <c r="D881" t="s">
        <v>697</v>
      </c>
      <c r="E881">
        <v>108</v>
      </c>
      <c r="F881">
        <v>11</v>
      </c>
      <c r="G881">
        <v>48</v>
      </c>
      <c r="H881">
        <v>24468</v>
      </c>
    </row>
    <row r="882" spans="1:8" x14ac:dyDescent="0.25">
      <c r="A882">
        <v>28</v>
      </c>
      <c r="B882" s="19">
        <v>45504</v>
      </c>
      <c r="C882" s="1" t="s">
        <v>35</v>
      </c>
      <c r="D882" t="s">
        <v>698</v>
      </c>
      <c r="E882">
        <v>104</v>
      </c>
      <c r="F882">
        <v>15</v>
      </c>
      <c r="G882">
        <v>84</v>
      </c>
      <c r="H882">
        <v>29505</v>
      </c>
    </row>
    <row r="883" spans="1:8" x14ac:dyDescent="0.25">
      <c r="A883">
        <v>28</v>
      </c>
      <c r="B883" s="19">
        <v>45578</v>
      </c>
      <c r="C883" s="1" t="s">
        <v>36</v>
      </c>
      <c r="D883" t="s">
        <v>698</v>
      </c>
      <c r="E883">
        <v>103</v>
      </c>
      <c r="F883">
        <v>12</v>
      </c>
      <c r="G883">
        <v>76</v>
      </c>
      <c r="H883">
        <v>11411</v>
      </c>
    </row>
    <row r="884" spans="1:8" x14ac:dyDescent="0.25">
      <c r="A884">
        <v>28</v>
      </c>
      <c r="B884" s="19">
        <v>44950</v>
      </c>
      <c r="C884" s="1" t="s">
        <v>36</v>
      </c>
      <c r="D884" t="s">
        <v>698</v>
      </c>
      <c r="E884">
        <v>104</v>
      </c>
      <c r="F884">
        <v>11</v>
      </c>
      <c r="G884">
        <v>51</v>
      </c>
      <c r="H884">
        <v>23970</v>
      </c>
    </row>
    <row r="885" spans="1:8" x14ac:dyDescent="0.25">
      <c r="A885">
        <v>28</v>
      </c>
      <c r="B885" s="19">
        <v>44006</v>
      </c>
      <c r="C885" s="1" t="s">
        <v>35</v>
      </c>
      <c r="D885" t="s">
        <v>699</v>
      </c>
      <c r="E885">
        <v>105</v>
      </c>
      <c r="F885">
        <v>12</v>
      </c>
      <c r="G885">
        <v>24</v>
      </c>
      <c r="H885">
        <v>44297</v>
      </c>
    </row>
    <row r="886" spans="1:8" x14ac:dyDescent="0.25">
      <c r="A886">
        <v>28</v>
      </c>
      <c r="B886" s="19">
        <v>45608</v>
      </c>
      <c r="C886" s="1" t="s">
        <v>34</v>
      </c>
      <c r="D886" t="s">
        <v>699</v>
      </c>
      <c r="E886">
        <v>104</v>
      </c>
      <c r="F886">
        <v>14</v>
      </c>
      <c r="G886">
        <v>37</v>
      </c>
      <c r="H886">
        <v>49195</v>
      </c>
    </row>
    <row r="887" spans="1:8" x14ac:dyDescent="0.25">
      <c r="A887">
        <v>28</v>
      </c>
      <c r="B887" s="19">
        <v>44212</v>
      </c>
      <c r="C887" s="1" t="s">
        <v>35</v>
      </c>
      <c r="D887" t="s">
        <v>692</v>
      </c>
      <c r="E887">
        <v>109</v>
      </c>
      <c r="F887">
        <v>15</v>
      </c>
      <c r="G887">
        <v>38</v>
      </c>
      <c r="H887">
        <v>38618</v>
      </c>
    </row>
    <row r="888" spans="1:8" x14ac:dyDescent="0.25">
      <c r="A888">
        <v>28</v>
      </c>
      <c r="B888" s="19">
        <v>43859</v>
      </c>
      <c r="C888" s="1" t="s">
        <v>34</v>
      </c>
      <c r="D888" t="s">
        <v>692</v>
      </c>
      <c r="E888">
        <v>108</v>
      </c>
      <c r="F888">
        <v>12</v>
      </c>
      <c r="G888">
        <v>51</v>
      </c>
      <c r="H888">
        <v>22604</v>
      </c>
    </row>
    <row r="889" spans="1:8" x14ac:dyDescent="0.25">
      <c r="A889">
        <v>28</v>
      </c>
      <c r="B889" s="19">
        <v>44228</v>
      </c>
      <c r="C889" s="1" t="s">
        <v>34</v>
      </c>
      <c r="D889" t="s">
        <v>692</v>
      </c>
      <c r="E889">
        <v>102</v>
      </c>
      <c r="F889">
        <v>12</v>
      </c>
      <c r="G889">
        <v>35</v>
      </c>
      <c r="H889">
        <v>44397</v>
      </c>
    </row>
    <row r="890" spans="1:8" x14ac:dyDescent="0.25">
      <c r="A890">
        <v>28</v>
      </c>
      <c r="B890" s="19">
        <v>45414</v>
      </c>
      <c r="C890" s="1" t="s">
        <v>33</v>
      </c>
      <c r="D890" t="s">
        <v>693</v>
      </c>
      <c r="E890">
        <v>103</v>
      </c>
      <c r="F890">
        <v>11</v>
      </c>
      <c r="G890">
        <v>58</v>
      </c>
      <c r="H890">
        <v>12765</v>
      </c>
    </row>
    <row r="891" spans="1:8" x14ac:dyDescent="0.25">
      <c r="A891">
        <v>28</v>
      </c>
      <c r="B891" s="19">
        <v>45260</v>
      </c>
      <c r="C891" s="1" t="s">
        <v>35</v>
      </c>
      <c r="D891" t="s">
        <v>693</v>
      </c>
      <c r="E891">
        <v>103</v>
      </c>
      <c r="F891">
        <v>13</v>
      </c>
      <c r="G891">
        <v>8</v>
      </c>
      <c r="H891">
        <v>23943</v>
      </c>
    </row>
    <row r="892" spans="1:8" x14ac:dyDescent="0.25">
      <c r="A892">
        <v>28</v>
      </c>
      <c r="B892" s="19">
        <v>45587</v>
      </c>
      <c r="C892" s="1" t="s">
        <v>35</v>
      </c>
      <c r="D892" t="s">
        <v>693</v>
      </c>
      <c r="E892">
        <v>102</v>
      </c>
      <c r="F892">
        <v>15</v>
      </c>
      <c r="G892">
        <v>39</v>
      </c>
      <c r="H892">
        <v>18070</v>
      </c>
    </row>
    <row r="893" spans="1:8" x14ac:dyDescent="0.25">
      <c r="A893">
        <v>28</v>
      </c>
      <c r="B893" s="19">
        <v>44078</v>
      </c>
      <c r="C893" s="1" t="s">
        <v>34</v>
      </c>
      <c r="D893" t="s">
        <v>694</v>
      </c>
      <c r="E893">
        <v>103</v>
      </c>
      <c r="F893">
        <v>12</v>
      </c>
      <c r="G893">
        <v>5</v>
      </c>
      <c r="H893">
        <v>17769</v>
      </c>
    </row>
    <row r="894" spans="1:8" x14ac:dyDescent="0.25">
      <c r="A894">
        <v>28</v>
      </c>
      <c r="B894" s="19">
        <v>44480</v>
      </c>
      <c r="C894" s="1" t="s">
        <v>33</v>
      </c>
      <c r="D894" t="s">
        <v>694</v>
      </c>
      <c r="E894">
        <v>105</v>
      </c>
      <c r="F894">
        <v>14</v>
      </c>
      <c r="G894">
        <v>35</v>
      </c>
      <c r="H894">
        <v>11184</v>
      </c>
    </row>
    <row r="895" spans="1:8" x14ac:dyDescent="0.25">
      <c r="A895">
        <v>28</v>
      </c>
      <c r="B895" s="19">
        <v>45630</v>
      </c>
      <c r="C895" s="1" t="s">
        <v>35</v>
      </c>
      <c r="D895" t="s">
        <v>694</v>
      </c>
      <c r="E895">
        <v>104</v>
      </c>
      <c r="F895">
        <v>11</v>
      </c>
      <c r="G895">
        <v>95</v>
      </c>
      <c r="H895">
        <v>31813</v>
      </c>
    </row>
    <row r="896" spans="1:8" x14ac:dyDescent="0.25">
      <c r="A896">
        <v>29</v>
      </c>
      <c r="B896" s="19">
        <v>44911</v>
      </c>
      <c r="C896" s="1" t="s">
        <v>34</v>
      </c>
      <c r="D896" t="s">
        <v>690</v>
      </c>
      <c r="E896">
        <v>103</v>
      </c>
      <c r="F896">
        <v>12</v>
      </c>
      <c r="G896">
        <v>45</v>
      </c>
      <c r="H896">
        <v>47169</v>
      </c>
    </row>
    <row r="897" spans="1:8" x14ac:dyDescent="0.25">
      <c r="A897">
        <v>29</v>
      </c>
      <c r="B897" s="19">
        <v>44385</v>
      </c>
      <c r="C897" s="1" t="s">
        <v>35</v>
      </c>
      <c r="D897" t="s">
        <v>691</v>
      </c>
      <c r="E897">
        <v>109</v>
      </c>
      <c r="F897">
        <v>12</v>
      </c>
      <c r="G897">
        <v>100</v>
      </c>
      <c r="H897">
        <v>10177</v>
      </c>
    </row>
    <row r="898" spans="1:8" x14ac:dyDescent="0.25">
      <c r="A898">
        <v>29</v>
      </c>
      <c r="B898" s="19">
        <v>44041</v>
      </c>
      <c r="C898" s="1" t="s">
        <v>34</v>
      </c>
      <c r="D898" t="s">
        <v>691</v>
      </c>
      <c r="E898">
        <v>104</v>
      </c>
      <c r="F898">
        <v>14</v>
      </c>
      <c r="G898">
        <v>80</v>
      </c>
      <c r="H898">
        <v>19466</v>
      </c>
    </row>
    <row r="899" spans="1:8" x14ac:dyDescent="0.25">
      <c r="A899">
        <v>29</v>
      </c>
      <c r="B899" s="19">
        <v>44036</v>
      </c>
      <c r="C899" s="1" t="s">
        <v>36</v>
      </c>
      <c r="D899" t="s">
        <v>691</v>
      </c>
      <c r="E899">
        <v>102</v>
      </c>
      <c r="F899">
        <v>12</v>
      </c>
      <c r="G899">
        <v>33</v>
      </c>
      <c r="H899">
        <v>20738</v>
      </c>
    </row>
    <row r="900" spans="1:8" x14ac:dyDescent="0.25">
      <c r="A900">
        <v>29</v>
      </c>
      <c r="B900" s="19">
        <v>44343</v>
      </c>
      <c r="C900" s="1" t="s">
        <v>36</v>
      </c>
      <c r="D900" t="s">
        <v>700</v>
      </c>
      <c r="E900">
        <v>101</v>
      </c>
      <c r="F900">
        <v>11</v>
      </c>
      <c r="G900">
        <v>7</v>
      </c>
      <c r="H900">
        <v>16730</v>
      </c>
    </row>
    <row r="901" spans="1:8" x14ac:dyDescent="0.25">
      <c r="A901">
        <v>29</v>
      </c>
      <c r="B901" s="19">
        <v>45313</v>
      </c>
      <c r="C901" s="1" t="s">
        <v>33</v>
      </c>
      <c r="D901" t="s">
        <v>700</v>
      </c>
      <c r="E901">
        <v>108</v>
      </c>
      <c r="F901">
        <v>11</v>
      </c>
      <c r="G901">
        <v>43</v>
      </c>
      <c r="H901">
        <v>36387</v>
      </c>
    </row>
    <row r="902" spans="1:8" x14ac:dyDescent="0.25">
      <c r="A902">
        <v>29</v>
      </c>
      <c r="B902" s="19">
        <v>45524</v>
      </c>
      <c r="C902" s="1" t="s">
        <v>36</v>
      </c>
      <c r="D902" t="s">
        <v>700</v>
      </c>
      <c r="E902">
        <v>101</v>
      </c>
      <c r="F902">
        <v>12</v>
      </c>
      <c r="G902">
        <v>42</v>
      </c>
      <c r="H902">
        <v>27451</v>
      </c>
    </row>
    <row r="903" spans="1:8" x14ac:dyDescent="0.25">
      <c r="A903">
        <v>29</v>
      </c>
      <c r="B903" s="19">
        <v>44916</v>
      </c>
      <c r="C903" s="1" t="s">
        <v>34</v>
      </c>
      <c r="D903" t="s">
        <v>696</v>
      </c>
      <c r="E903">
        <v>104</v>
      </c>
      <c r="F903">
        <v>12</v>
      </c>
      <c r="G903">
        <v>100</v>
      </c>
      <c r="H903">
        <v>37338</v>
      </c>
    </row>
    <row r="904" spans="1:8" x14ac:dyDescent="0.25">
      <c r="A904">
        <v>29</v>
      </c>
      <c r="B904" s="19">
        <v>45377</v>
      </c>
      <c r="C904" s="1" t="s">
        <v>35</v>
      </c>
      <c r="D904" t="s">
        <v>697</v>
      </c>
      <c r="E904">
        <v>103</v>
      </c>
      <c r="F904">
        <v>15</v>
      </c>
      <c r="G904">
        <v>63</v>
      </c>
      <c r="H904">
        <v>22935</v>
      </c>
    </row>
    <row r="905" spans="1:8" x14ac:dyDescent="0.25">
      <c r="A905">
        <v>29</v>
      </c>
      <c r="B905" s="19">
        <v>45621</v>
      </c>
      <c r="C905" s="1" t="s">
        <v>36</v>
      </c>
      <c r="D905" t="s">
        <v>698</v>
      </c>
      <c r="E905">
        <v>108</v>
      </c>
      <c r="F905">
        <v>14</v>
      </c>
      <c r="G905">
        <v>45</v>
      </c>
      <c r="H905">
        <v>17382</v>
      </c>
    </row>
    <row r="906" spans="1:8" x14ac:dyDescent="0.25">
      <c r="A906">
        <v>29</v>
      </c>
      <c r="B906" s="19">
        <v>45125</v>
      </c>
      <c r="C906" s="1" t="s">
        <v>34</v>
      </c>
      <c r="D906" t="s">
        <v>698</v>
      </c>
      <c r="E906">
        <v>103</v>
      </c>
      <c r="F906">
        <v>14</v>
      </c>
      <c r="G906">
        <v>84</v>
      </c>
      <c r="H906">
        <v>23598</v>
      </c>
    </row>
    <row r="907" spans="1:8" x14ac:dyDescent="0.25">
      <c r="A907">
        <v>29</v>
      </c>
      <c r="B907" s="19">
        <v>45520</v>
      </c>
      <c r="C907" s="1" t="s">
        <v>35</v>
      </c>
      <c r="D907" t="s">
        <v>698</v>
      </c>
      <c r="E907">
        <v>101</v>
      </c>
      <c r="F907">
        <v>14</v>
      </c>
      <c r="G907">
        <v>47</v>
      </c>
      <c r="H907">
        <v>13380</v>
      </c>
    </row>
    <row r="908" spans="1:8" x14ac:dyDescent="0.25">
      <c r="A908">
        <v>29</v>
      </c>
      <c r="B908" s="19">
        <v>45202</v>
      </c>
      <c r="C908" s="1" t="s">
        <v>35</v>
      </c>
      <c r="D908" t="s">
        <v>698</v>
      </c>
      <c r="E908">
        <v>105</v>
      </c>
      <c r="F908">
        <v>13</v>
      </c>
      <c r="G908">
        <v>12</v>
      </c>
      <c r="H908">
        <v>20350</v>
      </c>
    </row>
    <row r="909" spans="1:8" x14ac:dyDescent="0.25">
      <c r="A909">
        <v>29</v>
      </c>
      <c r="B909" s="19">
        <v>44041</v>
      </c>
      <c r="C909" s="1" t="s">
        <v>36</v>
      </c>
      <c r="D909" t="s">
        <v>699</v>
      </c>
      <c r="E909">
        <v>104</v>
      </c>
      <c r="F909">
        <v>11</v>
      </c>
      <c r="G909">
        <v>76</v>
      </c>
      <c r="H909">
        <v>37389</v>
      </c>
    </row>
    <row r="910" spans="1:8" x14ac:dyDescent="0.25">
      <c r="A910">
        <v>29</v>
      </c>
      <c r="B910" s="19">
        <v>45410</v>
      </c>
      <c r="C910" s="1" t="s">
        <v>36</v>
      </c>
      <c r="D910" t="s">
        <v>699</v>
      </c>
      <c r="E910">
        <v>108</v>
      </c>
      <c r="F910">
        <v>13</v>
      </c>
      <c r="G910">
        <v>53</v>
      </c>
      <c r="H910">
        <v>14563</v>
      </c>
    </row>
    <row r="911" spans="1:8" x14ac:dyDescent="0.25">
      <c r="A911">
        <v>29</v>
      </c>
      <c r="B911" s="19">
        <v>43949</v>
      </c>
      <c r="C911" s="1" t="s">
        <v>34</v>
      </c>
      <c r="D911" t="s">
        <v>695</v>
      </c>
      <c r="E911">
        <v>105</v>
      </c>
      <c r="F911">
        <v>11</v>
      </c>
      <c r="G911">
        <v>90</v>
      </c>
      <c r="H911">
        <v>39835</v>
      </c>
    </row>
    <row r="912" spans="1:8" x14ac:dyDescent="0.25">
      <c r="A912">
        <v>29</v>
      </c>
      <c r="B912" s="19">
        <v>43915</v>
      </c>
      <c r="C912" s="1" t="s">
        <v>34</v>
      </c>
      <c r="D912" t="s">
        <v>695</v>
      </c>
      <c r="E912">
        <v>108</v>
      </c>
      <c r="F912">
        <v>11</v>
      </c>
      <c r="G912">
        <v>31</v>
      </c>
      <c r="H912">
        <v>30754</v>
      </c>
    </row>
    <row r="913" spans="1:8" x14ac:dyDescent="0.25">
      <c r="A913">
        <v>29</v>
      </c>
      <c r="B913" s="19">
        <v>44384</v>
      </c>
      <c r="C913" s="1" t="s">
        <v>36</v>
      </c>
      <c r="D913" t="s">
        <v>695</v>
      </c>
      <c r="E913">
        <v>106</v>
      </c>
      <c r="F913">
        <v>11</v>
      </c>
      <c r="G913">
        <v>50</v>
      </c>
      <c r="H913">
        <v>39586</v>
      </c>
    </row>
    <row r="914" spans="1:8" x14ac:dyDescent="0.25">
      <c r="A914">
        <v>29</v>
      </c>
      <c r="B914" s="19">
        <v>43966</v>
      </c>
      <c r="C914" s="1" t="s">
        <v>35</v>
      </c>
      <c r="D914" t="s">
        <v>695</v>
      </c>
      <c r="E914">
        <v>109</v>
      </c>
      <c r="F914">
        <v>11</v>
      </c>
      <c r="G914">
        <v>29</v>
      </c>
      <c r="H914">
        <v>37701</v>
      </c>
    </row>
    <row r="915" spans="1:8" x14ac:dyDescent="0.25">
      <c r="A915">
        <v>29</v>
      </c>
      <c r="B915" s="19">
        <v>44741</v>
      </c>
      <c r="C915" s="1" t="s">
        <v>33</v>
      </c>
      <c r="D915" t="s">
        <v>695</v>
      </c>
      <c r="E915">
        <v>105</v>
      </c>
      <c r="F915">
        <v>13</v>
      </c>
      <c r="G915">
        <v>97</v>
      </c>
      <c r="H915">
        <v>43513</v>
      </c>
    </row>
    <row r="916" spans="1:8" x14ac:dyDescent="0.25">
      <c r="A916">
        <v>29</v>
      </c>
      <c r="B916" s="19">
        <v>44757</v>
      </c>
      <c r="C916" s="1" t="s">
        <v>34</v>
      </c>
      <c r="D916" t="s">
        <v>695</v>
      </c>
      <c r="E916">
        <v>103</v>
      </c>
      <c r="F916">
        <v>14</v>
      </c>
      <c r="G916">
        <v>29</v>
      </c>
      <c r="H916">
        <v>30218</v>
      </c>
    </row>
    <row r="917" spans="1:8" x14ac:dyDescent="0.25">
      <c r="A917">
        <v>29</v>
      </c>
      <c r="B917" s="19">
        <v>44498</v>
      </c>
      <c r="C917" s="1" t="s">
        <v>36</v>
      </c>
      <c r="D917" t="s">
        <v>692</v>
      </c>
      <c r="E917">
        <v>103</v>
      </c>
      <c r="F917">
        <v>15</v>
      </c>
      <c r="G917">
        <v>96</v>
      </c>
      <c r="H917">
        <v>11698</v>
      </c>
    </row>
    <row r="918" spans="1:8" x14ac:dyDescent="0.25">
      <c r="A918">
        <v>29</v>
      </c>
      <c r="B918" s="19">
        <v>44889</v>
      </c>
      <c r="C918" s="1" t="s">
        <v>33</v>
      </c>
      <c r="D918" t="s">
        <v>692</v>
      </c>
      <c r="E918">
        <v>105</v>
      </c>
      <c r="F918">
        <v>12</v>
      </c>
      <c r="G918">
        <v>100</v>
      </c>
      <c r="H918">
        <v>19919</v>
      </c>
    </row>
    <row r="919" spans="1:8" x14ac:dyDescent="0.25">
      <c r="A919">
        <v>29</v>
      </c>
      <c r="B919" s="19">
        <v>45048</v>
      </c>
      <c r="C919" s="1" t="s">
        <v>33</v>
      </c>
      <c r="D919" t="s">
        <v>692</v>
      </c>
      <c r="E919">
        <v>107</v>
      </c>
      <c r="F919">
        <v>12</v>
      </c>
      <c r="G919">
        <v>36</v>
      </c>
      <c r="H919">
        <v>20943</v>
      </c>
    </row>
    <row r="920" spans="1:8" x14ac:dyDescent="0.25">
      <c r="A920">
        <v>29</v>
      </c>
      <c r="B920" s="19">
        <v>44744</v>
      </c>
      <c r="C920" s="1" t="s">
        <v>35</v>
      </c>
      <c r="D920" t="s">
        <v>692</v>
      </c>
      <c r="E920">
        <v>103</v>
      </c>
      <c r="F920">
        <v>15</v>
      </c>
      <c r="G920">
        <v>48</v>
      </c>
      <c r="H920">
        <v>43399</v>
      </c>
    </row>
    <row r="921" spans="1:8" x14ac:dyDescent="0.25">
      <c r="A921">
        <v>29</v>
      </c>
      <c r="B921" s="19">
        <v>45595</v>
      </c>
      <c r="C921" s="1" t="s">
        <v>35</v>
      </c>
      <c r="D921" t="s">
        <v>693</v>
      </c>
      <c r="E921">
        <v>104</v>
      </c>
      <c r="F921">
        <v>13</v>
      </c>
      <c r="G921">
        <v>17</v>
      </c>
      <c r="H921">
        <v>19297</v>
      </c>
    </row>
    <row r="922" spans="1:8" x14ac:dyDescent="0.25">
      <c r="A922">
        <v>29</v>
      </c>
      <c r="B922" s="19">
        <v>45112</v>
      </c>
      <c r="C922" s="1" t="s">
        <v>35</v>
      </c>
      <c r="D922" t="s">
        <v>693</v>
      </c>
      <c r="E922">
        <v>103</v>
      </c>
      <c r="F922">
        <v>15</v>
      </c>
      <c r="G922">
        <v>25</v>
      </c>
      <c r="H922">
        <v>29694</v>
      </c>
    </row>
    <row r="923" spans="1:8" x14ac:dyDescent="0.25">
      <c r="A923">
        <v>29</v>
      </c>
      <c r="B923" s="19">
        <v>45279</v>
      </c>
      <c r="C923" s="1" t="s">
        <v>36</v>
      </c>
      <c r="D923" t="s">
        <v>693</v>
      </c>
      <c r="E923">
        <v>104</v>
      </c>
      <c r="F923">
        <v>13</v>
      </c>
      <c r="G923">
        <v>24</v>
      </c>
      <c r="H923">
        <v>17278</v>
      </c>
    </row>
    <row r="924" spans="1:8" x14ac:dyDescent="0.25">
      <c r="A924">
        <v>29</v>
      </c>
      <c r="B924" s="19">
        <v>44297</v>
      </c>
      <c r="C924" s="1" t="s">
        <v>34</v>
      </c>
      <c r="D924" t="s">
        <v>693</v>
      </c>
      <c r="E924">
        <v>105</v>
      </c>
      <c r="F924">
        <v>11</v>
      </c>
      <c r="G924">
        <v>32</v>
      </c>
      <c r="H924">
        <v>16665</v>
      </c>
    </row>
    <row r="925" spans="1:8" x14ac:dyDescent="0.25">
      <c r="A925">
        <v>29</v>
      </c>
      <c r="B925" s="19">
        <v>44440</v>
      </c>
      <c r="C925" s="1" t="s">
        <v>34</v>
      </c>
      <c r="D925" t="s">
        <v>694</v>
      </c>
      <c r="E925">
        <v>108</v>
      </c>
      <c r="F925">
        <v>15</v>
      </c>
      <c r="G925">
        <v>86</v>
      </c>
      <c r="H925">
        <v>12471</v>
      </c>
    </row>
    <row r="926" spans="1:8" x14ac:dyDescent="0.25">
      <c r="A926">
        <v>29</v>
      </c>
      <c r="B926" s="19">
        <v>44035</v>
      </c>
      <c r="C926" s="1" t="s">
        <v>35</v>
      </c>
      <c r="D926" t="s">
        <v>694</v>
      </c>
      <c r="E926">
        <v>101</v>
      </c>
      <c r="F926">
        <v>14</v>
      </c>
      <c r="G926">
        <v>65</v>
      </c>
      <c r="H926">
        <v>41252</v>
      </c>
    </row>
    <row r="927" spans="1:8" x14ac:dyDescent="0.25">
      <c r="A927">
        <v>29</v>
      </c>
      <c r="B927" s="19">
        <v>45622</v>
      </c>
      <c r="C927" s="1" t="s">
        <v>36</v>
      </c>
      <c r="D927" t="s">
        <v>694</v>
      </c>
      <c r="E927">
        <v>105</v>
      </c>
      <c r="F927">
        <v>11</v>
      </c>
      <c r="G927">
        <v>44</v>
      </c>
      <c r="H927">
        <v>10867</v>
      </c>
    </row>
    <row r="928" spans="1:8" x14ac:dyDescent="0.25">
      <c r="A928">
        <v>30</v>
      </c>
      <c r="B928" s="19">
        <v>45385</v>
      </c>
      <c r="C928" s="1" t="s">
        <v>36</v>
      </c>
      <c r="D928" t="s">
        <v>690</v>
      </c>
      <c r="E928">
        <v>106</v>
      </c>
      <c r="F928">
        <v>14</v>
      </c>
      <c r="G928">
        <v>13</v>
      </c>
      <c r="H928">
        <v>29197</v>
      </c>
    </row>
    <row r="929" spans="1:8" x14ac:dyDescent="0.25">
      <c r="A929">
        <v>30</v>
      </c>
      <c r="B929" s="19">
        <v>45094</v>
      </c>
      <c r="C929" s="1" t="s">
        <v>36</v>
      </c>
      <c r="D929" t="s">
        <v>690</v>
      </c>
      <c r="E929">
        <v>104</v>
      </c>
      <c r="F929">
        <v>14</v>
      </c>
      <c r="G929">
        <v>90</v>
      </c>
      <c r="H929">
        <v>23798</v>
      </c>
    </row>
    <row r="930" spans="1:8" x14ac:dyDescent="0.25">
      <c r="A930">
        <v>30</v>
      </c>
      <c r="B930" s="19">
        <v>44860</v>
      </c>
      <c r="C930" s="1" t="s">
        <v>36</v>
      </c>
      <c r="D930" t="s">
        <v>690</v>
      </c>
      <c r="E930">
        <v>109</v>
      </c>
      <c r="F930">
        <v>12</v>
      </c>
      <c r="G930">
        <v>64</v>
      </c>
      <c r="H930">
        <v>12856</v>
      </c>
    </row>
    <row r="931" spans="1:8" x14ac:dyDescent="0.25">
      <c r="A931">
        <v>30</v>
      </c>
      <c r="B931" s="19">
        <v>44136</v>
      </c>
      <c r="C931" s="1" t="s">
        <v>34</v>
      </c>
      <c r="D931" t="s">
        <v>691</v>
      </c>
      <c r="E931">
        <v>105</v>
      </c>
      <c r="F931">
        <v>12</v>
      </c>
      <c r="G931">
        <v>89</v>
      </c>
      <c r="H931">
        <v>17566</v>
      </c>
    </row>
    <row r="932" spans="1:8" x14ac:dyDescent="0.25">
      <c r="A932">
        <v>30</v>
      </c>
      <c r="B932" s="19">
        <v>44843</v>
      </c>
      <c r="C932" s="1" t="s">
        <v>34</v>
      </c>
      <c r="D932" t="s">
        <v>700</v>
      </c>
      <c r="E932">
        <v>106</v>
      </c>
      <c r="F932">
        <v>15</v>
      </c>
      <c r="G932">
        <v>25</v>
      </c>
      <c r="H932">
        <v>15379</v>
      </c>
    </row>
    <row r="933" spans="1:8" x14ac:dyDescent="0.25">
      <c r="A933">
        <v>30</v>
      </c>
      <c r="B933" s="19">
        <v>44759</v>
      </c>
      <c r="C933" s="1" t="s">
        <v>34</v>
      </c>
      <c r="D933" t="s">
        <v>700</v>
      </c>
      <c r="E933">
        <v>103</v>
      </c>
      <c r="F933">
        <v>11</v>
      </c>
      <c r="G933">
        <v>40</v>
      </c>
      <c r="H933">
        <v>39264</v>
      </c>
    </row>
    <row r="934" spans="1:8" x14ac:dyDescent="0.25">
      <c r="A934">
        <v>30</v>
      </c>
      <c r="B934" s="19">
        <v>44843</v>
      </c>
      <c r="C934" s="1" t="s">
        <v>35</v>
      </c>
      <c r="D934" t="s">
        <v>700</v>
      </c>
      <c r="E934">
        <v>103</v>
      </c>
      <c r="F934">
        <v>14</v>
      </c>
      <c r="G934">
        <v>58</v>
      </c>
      <c r="H934">
        <v>24594</v>
      </c>
    </row>
    <row r="935" spans="1:8" x14ac:dyDescent="0.25">
      <c r="A935">
        <v>30</v>
      </c>
      <c r="B935" s="19">
        <v>45406</v>
      </c>
      <c r="C935" s="1" t="s">
        <v>35</v>
      </c>
      <c r="D935" t="s">
        <v>700</v>
      </c>
      <c r="E935">
        <v>103</v>
      </c>
      <c r="F935">
        <v>13</v>
      </c>
      <c r="G935">
        <v>79</v>
      </c>
      <c r="H935">
        <v>46861</v>
      </c>
    </row>
    <row r="936" spans="1:8" x14ac:dyDescent="0.25">
      <c r="A936">
        <v>30</v>
      </c>
      <c r="B936" s="19">
        <v>44686</v>
      </c>
      <c r="C936" s="1" t="s">
        <v>34</v>
      </c>
      <c r="D936" t="s">
        <v>700</v>
      </c>
      <c r="E936">
        <v>104</v>
      </c>
      <c r="F936">
        <v>11</v>
      </c>
      <c r="G936">
        <v>66</v>
      </c>
      <c r="H936">
        <v>13725</v>
      </c>
    </row>
    <row r="937" spans="1:8" x14ac:dyDescent="0.25">
      <c r="A937">
        <v>30</v>
      </c>
      <c r="B937" s="19">
        <v>44246</v>
      </c>
      <c r="C937" s="1" t="s">
        <v>33</v>
      </c>
      <c r="D937" t="s">
        <v>696</v>
      </c>
      <c r="E937">
        <v>102</v>
      </c>
      <c r="F937">
        <v>11</v>
      </c>
      <c r="G937">
        <v>10</v>
      </c>
      <c r="H937">
        <v>36601</v>
      </c>
    </row>
    <row r="938" spans="1:8" x14ac:dyDescent="0.25">
      <c r="A938">
        <v>30</v>
      </c>
      <c r="B938" s="19">
        <v>44354</v>
      </c>
      <c r="C938" s="1" t="s">
        <v>35</v>
      </c>
      <c r="D938" t="s">
        <v>696</v>
      </c>
      <c r="E938">
        <v>104</v>
      </c>
      <c r="F938">
        <v>13</v>
      </c>
      <c r="G938">
        <v>98</v>
      </c>
      <c r="H938">
        <v>46364</v>
      </c>
    </row>
    <row r="939" spans="1:8" x14ac:dyDescent="0.25">
      <c r="A939">
        <v>30</v>
      </c>
      <c r="B939" s="19">
        <v>44063</v>
      </c>
      <c r="C939" s="1" t="s">
        <v>36</v>
      </c>
      <c r="D939" t="s">
        <v>696</v>
      </c>
      <c r="E939">
        <v>103</v>
      </c>
      <c r="F939">
        <v>11</v>
      </c>
      <c r="G939">
        <v>81</v>
      </c>
      <c r="H939">
        <v>42056</v>
      </c>
    </row>
    <row r="940" spans="1:8" x14ac:dyDescent="0.25">
      <c r="A940">
        <v>30</v>
      </c>
      <c r="B940" s="19">
        <v>45037</v>
      </c>
      <c r="C940" s="1" t="s">
        <v>34</v>
      </c>
      <c r="D940" t="s">
        <v>697</v>
      </c>
      <c r="E940">
        <v>104</v>
      </c>
      <c r="F940">
        <v>11</v>
      </c>
      <c r="G940">
        <v>31</v>
      </c>
      <c r="H940">
        <v>45042</v>
      </c>
    </row>
    <row r="941" spans="1:8" x14ac:dyDescent="0.25">
      <c r="A941">
        <v>30</v>
      </c>
      <c r="B941" s="19">
        <v>45252</v>
      </c>
      <c r="C941" s="1" t="s">
        <v>36</v>
      </c>
      <c r="D941" t="s">
        <v>697</v>
      </c>
      <c r="E941">
        <v>108</v>
      </c>
      <c r="F941">
        <v>11</v>
      </c>
      <c r="G941">
        <v>16</v>
      </c>
      <c r="H941">
        <v>25618</v>
      </c>
    </row>
    <row r="942" spans="1:8" x14ac:dyDescent="0.25">
      <c r="A942">
        <v>30</v>
      </c>
      <c r="B942" s="19">
        <v>44766</v>
      </c>
      <c r="C942" s="1" t="s">
        <v>35</v>
      </c>
      <c r="D942" t="s">
        <v>697</v>
      </c>
      <c r="E942">
        <v>104</v>
      </c>
      <c r="F942">
        <v>12</v>
      </c>
      <c r="G942">
        <v>97</v>
      </c>
      <c r="H942">
        <v>18920</v>
      </c>
    </row>
    <row r="943" spans="1:8" x14ac:dyDescent="0.25">
      <c r="A943">
        <v>30</v>
      </c>
      <c r="B943" s="19">
        <v>45527</v>
      </c>
      <c r="C943" s="1" t="s">
        <v>36</v>
      </c>
      <c r="D943" t="s">
        <v>697</v>
      </c>
      <c r="E943">
        <v>103</v>
      </c>
      <c r="F943">
        <v>15</v>
      </c>
      <c r="G943">
        <v>92</v>
      </c>
      <c r="H943">
        <v>26025</v>
      </c>
    </row>
    <row r="944" spans="1:8" x14ac:dyDescent="0.25">
      <c r="A944">
        <v>30</v>
      </c>
      <c r="B944" s="19">
        <v>43898</v>
      </c>
      <c r="C944" s="1" t="s">
        <v>34</v>
      </c>
      <c r="D944" t="s">
        <v>698</v>
      </c>
      <c r="E944">
        <v>103</v>
      </c>
      <c r="F944">
        <v>12</v>
      </c>
      <c r="G944">
        <v>26</v>
      </c>
      <c r="H944">
        <v>25197</v>
      </c>
    </row>
    <row r="945" spans="1:8" x14ac:dyDescent="0.25">
      <c r="A945">
        <v>30</v>
      </c>
      <c r="B945" s="19">
        <v>44138</v>
      </c>
      <c r="C945" s="1" t="s">
        <v>33</v>
      </c>
      <c r="D945" t="s">
        <v>699</v>
      </c>
      <c r="E945">
        <v>105</v>
      </c>
      <c r="F945">
        <v>13</v>
      </c>
      <c r="G945">
        <v>54</v>
      </c>
      <c r="H945">
        <v>39874</v>
      </c>
    </row>
    <row r="946" spans="1:8" x14ac:dyDescent="0.25">
      <c r="A946">
        <v>30</v>
      </c>
      <c r="B946" s="19">
        <v>44014</v>
      </c>
      <c r="C946" s="1" t="s">
        <v>33</v>
      </c>
      <c r="D946" t="s">
        <v>695</v>
      </c>
      <c r="E946">
        <v>104</v>
      </c>
      <c r="F946">
        <v>13</v>
      </c>
      <c r="G946">
        <v>41</v>
      </c>
      <c r="H946">
        <v>14401</v>
      </c>
    </row>
    <row r="947" spans="1:8" x14ac:dyDescent="0.25">
      <c r="A947">
        <v>30</v>
      </c>
      <c r="B947" s="19">
        <v>43870</v>
      </c>
      <c r="C947" s="1" t="s">
        <v>34</v>
      </c>
      <c r="D947" t="s">
        <v>692</v>
      </c>
      <c r="E947">
        <v>109</v>
      </c>
      <c r="F947">
        <v>11</v>
      </c>
      <c r="G947">
        <v>88</v>
      </c>
      <c r="H947">
        <v>41397</v>
      </c>
    </row>
    <row r="948" spans="1:8" x14ac:dyDescent="0.25">
      <c r="A948">
        <v>30</v>
      </c>
      <c r="B948" s="19">
        <v>45291</v>
      </c>
      <c r="C948" s="1" t="s">
        <v>36</v>
      </c>
      <c r="D948" t="s">
        <v>692</v>
      </c>
      <c r="E948">
        <v>106</v>
      </c>
      <c r="F948">
        <v>15</v>
      </c>
      <c r="G948">
        <v>66</v>
      </c>
      <c r="H948">
        <v>39358</v>
      </c>
    </row>
    <row r="949" spans="1:8" x14ac:dyDescent="0.25">
      <c r="A949">
        <v>30</v>
      </c>
      <c r="B949" s="19">
        <v>43963</v>
      </c>
      <c r="C949" s="1" t="s">
        <v>33</v>
      </c>
      <c r="D949" t="s">
        <v>692</v>
      </c>
      <c r="E949">
        <v>107</v>
      </c>
      <c r="F949">
        <v>13</v>
      </c>
      <c r="G949">
        <v>73</v>
      </c>
      <c r="H949">
        <v>13164</v>
      </c>
    </row>
    <row r="950" spans="1:8" x14ac:dyDescent="0.25">
      <c r="A950">
        <v>30</v>
      </c>
      <c r="B950" s="19">
        <v>44978</v>
      </c>
      <c r="C950" s="1" t="s">
        <v>36</v>
      </c>
      <c r="D950" t="s">
        <v>692</v>
      </c>
      <c r="E950">
        <v>103</v>
      </c>
      <c r="F950">
        <v>12</v>
      </c>
      <c r="G950">
        <v>5</v>
      </c>
      <c r="H950">
        <v>47369</v>
      </c>
    </row>
    <row r="951" spans="1:8" x14ac:dyDescent="0.25">
      <c r="A951">
        <v>30</v>
      </c>
      <c r="B951" s="19">
        <v>44439</v>
      </c>
      <c r="C951" s="1" t="s">
        <v>34</v>
      </c>
      <c r="D951" t="s">
        <v>692</v>
      </c>
      <c r="E951">
        <v>102</v>
      </c>
      <c r="F951">
        <v>12</v>
      </c>
      <c r="G951">
        <v>21</v>
      </c>
      <c r="H951">
        <v>27061</v>
      </c>
    </row>
    <row r="952" spans="1:8" x14ac:dyDescent="0.25">
      <c r="A952">
        <v>30</v>
      </c>
      <c r="B952" s="19">
        <v>45205</v>
      </c>
      <c r="C952" s="1" t="s">
        <v>35</v>
      </c>
      <c r="D952" t="s">
        <v>693</v>
      </c>
      <c r="E952">
        <v>104</v>
      </c>
      <c r="F952">
        <v>14</v>
      </c>
      <c r="G952">
        <v>47</v>
      </c>
      <c r="H952">
        <v>43240</v>
      </c>
    </row>
    <row r="953" spans="1:8" x14ac:dyDescent="0.25">
      <c r="A953">
        <v>30</v>
      </c>
      <c r="B953" s="19">
        <v>44640</v>
      </c>
      <c r="C953" s="1" t="s">
        <v>35</v>
      </c>
      <c r="D953" t="s">
        <v>693</v>
      </c>
      <c r="E953">
        <v>103</v>
      </c>
      <c r="F953">
        <v>12</v>
      </c>
      <c r="G953">
        <v>55</v>
      </c>
      <c r="H953">
        <v>12938</v>
      </c>
    </row>
    <row r="954" spans="1:8" x14ac:dyDescent="0.25">
      <c r="A954">
        <v>30</v>
      </c>
      <c r="B954" s="19">
        <v>44069</v>
      </c>
      <c r="C954" s="1" t="s">
        <v>34</v>
      </c>
      <c r="D954" t="s">
        <v>694</v>
      </c>
      <c r="E954">
        <v>102</v>
      </c>
      <c r="F954">
        <v>13</v>
      </c>
      <c r="G954">
        <v>47</v>
      </c>
      <c r="H954">
        <v>48916</v>
      </c>
    </row>
    <row r="955" spans="1:8" x14ac:dyDescent="0.25">
      <c r="A955">
        <v>30</v>
      </c>
      <c r="B955" s="19">
        <v>45521</v>
      </c>
      <c r="C955" s="1" t="s">
        <v>35</v>
      </c>
      <c r="D955" t="s">
        <v>694</v>
      </c>
      <c r="E955">
        <v>108</v>
      </c>
      <c r="F955">
        <v>14</v>
      </c>
      <c r="G955">
        <v>31</v>
      </c>
      <c r="H955">
        <v>48495</v>
      </c>
    </row>
    <row r="956" spans="1:8" x14ac:dyDescent="0.25">
      <c r="A956">
        <v>30</v>
      </c>
      <c r="B956" s="19">
        <v>44546</v>
      </c>
      <c r="C956" s="1" t="s">
        <v>34</v>
      </c>
      <c r="D956" t="s">
        <v>694</v>
      </c>
      <c r="E956">
        <v>101</v>
      </c>
      <c r="F956">
        <v>11</v>
      </c>
      <c r="G956">
        <v>79</v>
      </c>
      <c r="H956">
        <v>32127</v>
      </c>
    </row>
    <row r="957" spans="1:8" x14ac:dyDescent="0.25">
      <c r="A957">
        <v>31</v>
      </c>
      <c r="B957" s="19">
        <v>44338</v>
      </c>
      <c r="C957" s="1" t="s">
        <v>34</v>
      </c>
      <c r="D957" t="s">
        <v>690</v>
      </c>
      <c r="E957">
        <v>105</v>
      </c>
      <c r="F957">
        <v>12</v>
      </c>
      <c r="G957">
        <v>6</v>
      </c>
      <c r="H957">
        <v>40921</v>
      </c>
    </row>
    <row r="958" spans="1:8" x14ac:dyDescent="0.25">
      <c r="A958">
        <v>31</v>
      </c>
      <c r="B958" s="19">
        <v>45249</v>
      </c>
      <c r="C958" s="1" t="s">
        <v>33</v>
      </c>
      <c r="D958" t="s">
        <v>690</v>
      </c>
      <c r="E958">
        <v>105</v>
      </c>
      <c r="F958">
        <v>12</v>
      </c>
      <c r="G958">
        <v>94</v>
      </c>
      <c r="H958">
        <v>15158</v>
      </c>
    </row>
    <row r="959" spans="1:8" x14ac:dyDescent="0.25">
      <c r="A959">
        <v>31</v>
      </c>
      <c r="B959" s="19">
        <v>44283</v>
      </c>
      <c r="C959" s="1" t="s">
        <v>35</v>
      </c>
      <c r="D959" t="s">
        <v>690</v>
      </c>
      <c r="E959">
        <v>102</v>
      </c>
      <c r="F959">
        <v>14</v>
      </c>
      <c r="G959">
        <v>72</v>
      </c>
      <c r="H959">
        <v>22865</v>
      </c>
    </row>
    <row r="960" spans="1:8" x14ac:dyDescent="0.25">
      <c r="A960">
        <v>31</v>
      </c>
      <c r="B960" s="19">
        <v>44072</v>
      </c>
      <c r="C960" s="1" t="s">
        <v>33</v>
      </c>
      <c r="D960" t="s">
        <v>690</v>
      </c>
      <c r="E960">
        <v>105</v>
      </c>
      <c r="F960">
        <v>15</v>
      </c>
      <c r="G960">
        <v>62</v>
      </c>
      <c r="H960">
        <v>17654</v>
      </c>
    </row>
    <row r="961" spans="1:8" x14ac:dyDescent="0.25">
      <c r="A961">
        <v>31</v>
      </c>
      <c r="B961" s="19">
        <v>45524</v>
      </c>
      <c r="C961" s="1" t="s">
        <v>36</v>
      </c>
      <c r="D961" t="s">
        <v>690</v>
      </c>
      <c r="E961">
        <v>109</v>
      </c>
      <c r="F961">
        <v>15</v>
      </c>
      <c r="G961">
        <v>89</v>
      </c>
      <c r="H961">
        <v>30946</v>
      </c>
    </row>
    <row r="962" spans="1:8" x14ac:dyDescent="0.25">
      <c r="A962">
        <v>31</v>
      </c>
      <c r="B962" s="19">
        <v>44971</v>
      </c>
      <c r="C962" s="1" t="s">
        <v>34</v>
      </c>
      <c r="D962" t="s">
        <v>690</v>
      </c>
      <c r="E962">
        <v>101</v>
      </c>
      <c r="F962">
        <v>12</v>
      </c>
      <c r="G962">
        <v>79</v>
      </c>
      <c r="H962">
        <v>27378</v>
      </c>
    </row>
    <row r="963" spans="1:8" x14ac:dyDescent="0.25">
      <c r="A963">
        <v>31</v>
      </c>
      <c r="B963" s="19">
        <v>44403</v>
      </c>
      <c r="C963" s="1" t="s">
        <v>34</v>
      </c>
      <c r="D963" t="s">
        <v>691</v>
      </c>
      <c r="E963">
        <v>105</v>
      </c>
      <c r="F963">
        <v>12</v>
      </c>
      <c r="G963">
        <v>93</v>
      </c>
      <c r="H963">
        <v>19720</v>
      </c>
    </row>
    <row r="964" spans="1:8" x14ac:dyDescent="0.25">
      <c r="A964">
        <v>31</v>
      </c>
      <c r="B964" s="19">
        <v>45330</v>
      </c>
      <c r="C964" s="1" t="s">
        <v>36</v>
      </c>
      <c r="D964" t="s">
        <v>700</v>
      </c>
      <c r="E964">
        <v>103</v>
      </c>
      <c r="F964">
        <v>12</v>
      </c>
      <c r="G964">
        <v>40</v>
      </c>
      <c r="H964">
        <v>28882</v>
      </c>
    </row>
    <row r="965" spans="1:8" x14ac:dyDescent="0.25">
      <c r="A965">
        <v>31</v>
      </c>
      <c r="B965" s="19">
        <v>44187</v>
      </c>
      <c r="C965" s="1" t="s">
        <v>33</v>
      </c>
      <c r="D965" t="s">
        <v>700</v>
      </c>
      <c r="E965">
        <v>104</v>
      </c>
      <c r="F965">
        <v>11</v>
      </c>
      <c r="G965">
        <v>98</v>
      </c>
      <c r="H965">
        <v>13369</v>
      </c>
    </row>
    <row r="966" spans="1:8" x14ac:dyDescent="0.25">
      <c r="A966">
        <v>31</v>
      </c>
      <c r="B966" s="19">
        <v>44983</v>
      </c>
      <c r="C966" s="1" t="s">
        <v>33</v>
      </c>
      <c r="D966" t="s">
        <v>700</v>
      </c>
      <c r="E966">
        <v>108</v>
      </c>
      <c r="F966">
        <v>13</v>
      </c>
      <c r="G966">
        <v>10</v>
      </c>
      <c r="H966">
        <v>32377</v>
      </c>
    </row>
    <row r="967" spans="1:8" x14ac:dyDescent="0.25">
      <c r="A967">
        <v>31</v>
      </c>
      <c r="B967" s="19">
        <v>44812</v>
      </c>
      <c r="C967" s="1" t="s">
        <v>36</v>
      </c>
      <c r="D967" t="s">
        <v>700</v>
      </c>
      <c r="E967">
        <v>103</v>
      </c>
      <c r="F967">
        <v>11</v>
      </c>
      <c r="G967">
        <v>73</v>
      </c>
      <c r="H967">
        <v>22666</v>
      </c>
    </row>
    <row r="968" spans="1:8" x14ac:dyDescent="0.25">
      <c r="A968">
        <v>31</v>
      </c>
      <c r="B968" s="19">
        <v>45107</v>
      </c>
      <c r="C968" s="1" t="s">
        <v>36</v>
      </c>
      <c r="D968" t="s">
        <v>696</v>
      </c>
      <c r="E968">
        <v>101</v>
      </c>
      <c r="F968">
        <v>12</v>
      </c>
      <c r="G968">
        <v>45</v>
      </c>
      <c r="H968">
        <v>20800</v>
      </c>
    </row>
    <row r="969" spans="1:8" x14ac:dyDescent="0.25">
      <c r="A969">
        <v>31</v>
      </c>
      <c r="B969" s="19">
        <v>44783</v>
      </c>
      <c r="C969" s="1" t="s">
        <v>36</v>
      </c>
      <c r="D969" t="s">
        <v>696</v>
      </c>
      <c r="E969">
        <v>104</v>
      </c>
      <c r="F969">
        <v>11</v>
      </c>
      <c r="G969">
        <v>38</v>
      </c>
      <c r="H969">
        <v>34098</v>
      </c>
    </row>
    <row r="970" spans="1:8" x14ac:dyDescent="0.25">
      <c r="A970">
        <v>31</v>
      </c>
      <c r="B970" s="19">
        <v>45346</v>
      </c>
      <c r="C970" s="1" t="s">
        <v>33</v>
      </c>
      <c r="D970" t="s">
        <v>697</v>
      </c>
      <c r="E970">
        <v>104</v>
      </c>
      <c r="F970">
        <v>14</v>
      </c>
      <c r="G970">
        <v>15</v>
      </c>
      <c r="H970">
        <v>19919</v>
      </c>
    </row>
    <row r="971" spans="1:8" x14ac:dyDescent="0.25">
      <c r="A971">
        <v>31</v>
      </c>
      <c r="B971" s="19">
        <v>45256</v>
      </c>
      <c r="C971" s="1" t="s">
        <v>33</v>
      </c>
      <c r="D971" t="s">
        <v>699</v>
      </c>
      <c r="E971">
        <v>104</v>
      </c>
      <c r="F971">
        <v>11</v>
      </c>
      <c r="G971">
        <v>84</v>
      </c>
      <c r="H971">
        <v>36991</v>
      </c>
    </row>
    <row r="972" spans="1:8" x14ac:dyDescent="0.25">
      <c r="A972">
        <v>31</v>
      </c>
      <c r="B972" s="19">
        <v>44539</v>
      </c>
      <c r="C972" s="1" t="s">
        <v>36</v>
      </c>
      <c r="D972" t="s">
        <v>699</v>
      </c>
      <c r="E972">
        <v>103</v>
      </c>
      <c r="F972">
        <v>14</v>
      </c>
      <c r="G972">
        <v>25</v>
      </c>
      <c r="H972">
        <v>45492</v>
      </c>
    </row>
    <row r="973" spans="1:8" x14ac:dyDescent="0.25">
      <c r="A973">
        <v>31</v>
      </c>
      <c r="B973" s="19">
        <v>45218</v>
      </c>
      <c r="C973" s="1" t="s">
        <v>35</v>
      </c>
      <c r="D973" t="s">
        <v>699</v>
      </c>
      <c r="E973">
        <v>105</v>
      </c>
      <c r="F973">
        <v>14</v>
      </c>
      <c r="G973">
        <v>82</v>
      </c>
      <c r="H973">
        <v>21177</v>
      </c>
    </row>
    <row r="974" spans="1:8" x14ac:dyDescent="0.25">
      <c r="A974">
        <v>31</v>
      </c>
      <c r="B974" s="19">
        <v>45547</v>
      </c>
      <c r="C974" s="1" t="s">
        <v>36</v>
      </c>
      <c r="D974" t="s">
        <v>695</v>
      </c>
      <c r="E974">
        <v>103</v>
      </c>
      <c r="F974">
        <v>12</v>
      </c>
      <c r="G974">
        <v>65</v>
      </c>
      <c r="H974">
        <v>16850</v>
      </c>
    </row>
    <row r="975" spans="1:8" x14ac:dyDescent="0.25">
      <c r="A975">
        <v>31</v>
      </c>
      <c r="B975" s="19">
        <v>45374</v>
      </c>
      <c r="C975" s="1" t="s">
        <v>35</v>
      </c>
      <c r="D975" t="s">
        <v>695</v>
      </c>
      <c r="E975">
        <v>107</v>
      </c>
      <c r="F975">
        <v>13</v>
      </c>
      <c r="G975">
        <v>77</v>
      </c>
      <c r="H975">
        <v>36247</v>
      </c>
    </row>
    <row r="976" spans="1:8" x14ac:dyDescent="0.25">
      <c r="A976">
        <v>31</v>
      </c>
      <c r="B976" s="19">
        <v>44165</v>
      </c>
      <c r="C976" s="1" t="s">
        <v>35</v>
      </c>
      <c r="D976" t="s">
        <v>695</v>
      </c>
      <c r="E976">
        <v>104</v>
      </c>
      <c r="F976">
        <v>11</v>
      </c>
      <c r="G976">
        <v>52</v>
      </c>
      <c r="H976">
        <v>46741</v>
      </c>
    </row>
    <row r="977" spans="1:8" x14ac:dyDescent="0.25">
      <c r="A977">
        <v>31</v>
      </c>
      <c r="B977" s="19">
        <v>44063</v>
      </c>
      <c r="C977" s="1" t="s">
        <v>36</v>
      </c>
      <c r="D977" t="s">
        <v>695</v>
      </c>
      <c r="E977">
        <v>103</v>
      </c>
      <c r="F977">
        <v>14</v>
      </c>
      <c r="G977">
        <v>13</v>
      </c>
      <c r="H977">
        <v>25424</v>
      </c>
    </row>
    <row r="978" spans="1:8" x14ac:dyDescent="0.25">
      <c r="A978">
        <v>31</v>
      </c>
      <c r="B978" s="19">
        <v>44496</v>
      </c>
      <c r="C978" s="1" t="s">
        <v>34</v>
      </c>
      <c r="D978" t="s">
        <v>692</v>
      </c>
      <c r="E978">
        <v>104</v>
      </c>
      <c r="F978">
        <v>11</v>
      </c>
      <c r="G978">
        <v>95</v>
      </c>
      <c r="H978">
        <v>34688</v>
      </c>
    </row>
    <row r="979" spans="1:8" x14ac:dyDescent="0.25">
      <c r="A979">
        <v>31</v>
      </c>
      <c r="B979" s="19">
        <v>43851</v>
      </c>
      <c r="C979" s="1" t="s">
        <v>36</v>
      </c>
      <c r="D979" t="s">
        <v>692</v>
      </c>
      <c r="E979">
        <v>103</v>
      </c>
      <c r="F979">
        <v>14</v>
      </c>
      <c r="G979">
        <v>74</v>
      </c>
      <c r="H979">
        <v>25134</v>
      </c>
    </row>
    <row r="980" spans="1:8" x14ac:dyDescent="0.25">
      <c r="A980">
        <v>31</v>
      </c>
      <c r="B980" s="19">
        <v>44065</v>
      </c>
      <c r="C980" s="1" t="s">
        <v>35</v>
      </c>
      <c r="D980" t="s">
        <v>693</v>
      </c>
      <c r="E980">
        <v>103</v>
      </c>
      <c r="F980">
        <v>14</v>
      </c>
      <c r="G980">
        <v>40</v>
      </c>
      <c r="H980">
        <v>38293</v>
      </c>
    </row>
    <row r="981" spans="1:8" x14ac:dyDescent="0.25">
      <c r="A981">
        <v>31</v>
      </c>
      <c r="B981" s="19">
        <v>45004</v>
      </c>
      <c r="C981" s="1" t="s">
        <v>35</v>
      </c>
      <c r="D981" t="s">
        <v>693</v>
      </c>
      <c r="E981">
        <v>107</v>
      </c>
      <c r="F981">
        <v>11</v>
      </c>
      <c r="G981">
        <v>65</v>
      </c>
      <c r="H981">
        <v>28224</v>
      </c>
    </row>
    <row r="982" spans="1:8" x14ac:dyDescent="0.25">
      <c r="A982">
        <v>31</v>
      </c>
      <c r="B982" s="19">
        <v>45574</v>
      </c>
      <c r="C982" s="1" t="s">
        <v>36</v>
      </c>
      <c r="D982" t="s">
        <v>694</v>
      </c>
      <c r="E982">
        <v>104</v>
      </c>
      <c r="F982">
        <v>11</v>
      </c>
      <c r="G982">
        <v>6</v>
      </c>
      <c r="H982">
        <v>12505</v>
      </c>
    </row>
    <row r="983" spans="1:8" x14ac:dyDescent="0.25">
      <c r="A983">
        <v>31</v>
      </c>
      <c r="B983" s="19">
        <v>44699</v>
      </c>
      <c r="C983" s="1" t="s">
        <v>36</v>
      </c>
      <c r="D983" t="s">
        <v>694</v>
      </c>
      <c r="E983">
        <v>105</v>
      </c>
      <c r="F983">
        <v>13</v>
      </c>
      <c r="G983">
        <v>91</v>
      </c>
      <c r="H983">
        <v>17601</v>
      </c>
    </row>
    <row r="984" spans="1:8" x14ac:dyDescent="0.25">
      <c r="A984">
        <v>32</v>
      </c>
      <c r="B984" s="19">
        <v>44078</v>
      </c>
      <c r="C984" s="1" t="s">
        <v>35</v>
      </c>
      <c r="D984" t="s">
        <v>690</v>
      </c>
      <c r="E984">
        <v>106</v>
      </c>
      <c r="F984">
        <v>11</v>
      </c>
      <c r="G984">
        <v>30</v>
      </c>
      <c r="H984">
        <v>20456</v>
      </c>
    </row>
    <row r="985" spans="1:8" x14ac:dyDescent="0.25">
      <c r="A985">
        <v>32</v>
      </c>
      <c r="B985" s="19">
        <v>44285</v>
      </c>
      <c r="C985" s="1" t="s">
        <v>35</v>
      </c>
      <c r="D985" t="s">
        <v>690</v>
      </c>
      <c r="E985">
        <v>103</v>
      </c>
      <c r="F985">
        <v>11</v>
      </c>
      <c r="G985">
        <v>16</v>
      </c>
      <c r="H985">
        <v>32912</v>
      </c>
    </row>
    <row r="986" spans="1:8" x14ac:dyDescent="0.25">
      <c r="A986">
        <v>32</v>
      </c>
      <c r="B986" s="19">
        <v>43878</v>
      </c>
      <c r="C986" s="1" t="s">
        <v>35</v>
      </c>
      <c r="D986" t="s">
        <v>690</v>
      </c>
      <c r="E986">
        <v>104</v>
      </c>
      <c r="F986">
        <v>12</v>
      </c>
      <c r="G986">
        <v>87</v>
      </c>
      <c r="H986">
        <v>18892</v>
      </c>
    </row>
    <row r="987" spans="1:8" x14ac:dyDescent="0.25">
      <c r="A987">
        <v>32</v>
      </c>
      <c r="B987" s="19">
        <v>44008</v>
      </c>
      <c r="C987" s="1" t="s">
        <v>34</v>
      </c>
      <c r="D987" t="s">
        <v>690</v>
      </c>
      <c r="E987">
        <v>101</v>
      </c>
      <c r="F987">
        <v>13</v>
      </c>
      <c r="G987">
        <v>75</v>
      </c>
      <c r="H987">
        <v>22251</v>
      </c>
    </row>
    <row r="988" spans="1:8" x14ac:dyDescent="0.25">
      <c r="A988">
        <v>32</v>
      </c>
      <c r="B988" s="19">
        <v>44657</v>
      </c>
      <c r="C988" s="1" t="s">
        <v>33</v>
      </c>
      <c r="D988" t="s">
        <v>690</v>
      </c>
      <c r="E988">
        <v>103</v>
      </c>
      <c r="F988">
        <v>11</v>
      </c>
      <c r="G988">
        <v>61</v>
      </c>
      <c r="H988">
        <v>20189</v>
      </c>
    </row>
    <row r="989" spans="1:8" x14ac:dyDescent="0.25">
      <c r="A989">
        <v>32</v>
      </c>
      <c r="B989" s="19">
        <v>43901</v>
      </c>
      <c r="C989" s="1" t="s">
        <v>36</v>
      </c>
      <c r="D989" t="s">
        <v>690</v>
      </c>
      <c r="E989">
        <v>104</v>
      </c>
      <c r="F989">
        <v>11</v>
      </c>
      <c r="G989">
        <v>6</v>
      </c>
      <c r="H989">
        <v>23413</v>
      </c>
    </row>
    <row r="990" spans="1:8" x14ac:dyDescent="0.25">
      <c r="A990">
        <v>32</v>
      </c>
      <c r="B990" s="19">
        <v>45133</v>
      </c>
      <c r="C990" s="1" t="s">
        <v>36</v>
      </c>
      <c r="D990" t="s">
        <v>700</v>
      </c>
      <c r="E990">
        <v>104</v>
      </c>
      <c r="F990">
        <v>11</v>
      </c>
      <c r="G990">
        <v>17</v>
      </c>
      <c r="H990">
        <v>18971</v>
      </c>
    </row>
    <row r="991" spans="1:8" x14ac:dyDescent="0.25">
      <c r="A991">
        <v>32</v>
      </c>
      <c r="B991" s="19">
        <v>44713</v>
      </c>
      <c r="C991" s="1" t="s">
        <v>33</v>
      </c>
      <c r="D991" t="s">
        <v>700</v>
      </c>
      <c r="E991">
        <v>103</v>
      </c>
      <c r="F991">
        <v>11</v>
      </c>
      <c r="G991">
        <v>53</v>
      </c>
      <c r="H991">
        <v>13485</v>
      </c>
    </row>
    <row r="992" spans="1:8" x14ac:dyDescent="0.25">
      <c r="A992">
        <v>32</v>
      </c>
      <c r="B992" s="19">
        <v>44820</v>
      </c>
      <c r="C992" s="1" t="s">
        <v>33</v>
      </c>
      <c r="D992" t="s">
        <v>700</v>
      </c>
      <c r="E992">
        <v>103</v>
      </c>
      <c r="F992">
        <v>14</v>
      </c>
      <c r="G992">
        <v>42</v>
      </c>
      <c r="H992">
        <v>10228</v>
      </c>
    </row>
    <row r="993" spans="1:8" x14ac:dyDescent="0.25">
      <c r="A993">
        <v>32</v>
      </c>
      <c r="B993" s="19">
        <v>45249</v>
      </c>
      <c r="C993" s="1" t="s">
        <v>36</v>
      </c>
      <c r="D993" t="s">
        <v>700</v>
      </c>
      <c r="E993">
        <v>103</v>
      </c>
      <c r="F993">
        <v>13</v>
      </c>
      <c r="G993">
        <v>36</v>
      </c>
      <c r="H993">
        <v>49064</v>
      </c>
    </row>
    <row r="994" spans="1:8" x14ac:dyDescent="0.25">
      <c r="A994">
        <v>32</v>
      </c>
      <c r="B994" s="19">
        <v>45145</v>
      </c>
      <c r="C994" s="1" t="s">
        <v>35</v>
      </c>
      <c r="D994" t="s">
        <v>700</v>
      </c>
      <c r="E994">
        <v>103</v>
      </c>
      <c r="F994">
        <v>14</v>
      </c>
      <c r="G994">
        <v>49</v>
      </c>
      <c r="H994">
        <v>31638</v>
      </c>
    </row>
    <row r="995" spans="1:8" x14ac:dyDescent="0.25">
      <c r="A995">
        <v>32</v>
      </c>
      <c r="B995" s="19">
        <v>44593</v>
      </c>
      <c r="C995" s="1" t="s">
        <v>34</v>
      </c>
      <c r="D995" t="s">
        <v>696</v>
      </c>
      <c r="E995">
        <v>103</v>
      </c>
      <c r="F995">
        <v>14</v>
      </c>
      <c r="G995">
        <v>34</v>
      </c>
      <c r="H995">
        <v>22640</v>
      </c>
    </row>
    <row r="996" spans="1:8" x14ac:dyDescent="0.25">
      <c r="A996">
        <v>32</v>
      </c>
      <c r="B996" s="19">
        <v>44022</v>
      </c>
      <c r="C996" s="1" t="s">
        <v>35</v>
      </c>
      <c r="D996" t="s">
        <v>697</v>
      </c>
      <c r="E996">
        <v>105</v>
      </c>
      <c r="F996">
        <v>12</v>
      </c>
      <c r="G996">
        <v>38</v>
      </c>
      <c r="H996">
        <v>17923</v>
      </c>
    </row>
    <row r="997" spans="1:8" x14ac:dyDescent="0.25">
      <c r="A997">
        <v>32</v>
      </c>
      <c r="B997" s="19">
        <v>45223</v>
      </c>
      <c r="C997" s="1" t="s">
        <v>35</v>
      </c>
      <c r="D997" t="s">
        <v>697</v>
      </c>
      <c r="E997">
        <v>103</v>
      </c>
      <c r="F997">
        <v>12</v>
      </c>
      <c r="G997">
        <v>16</v>
      </c>
      <c r="H997">
        <v>24634</v>
      </c>
    </row>
    <row r="998" spans="1:8" x14ac:dyDescent="0.25">
      <c r="A998">
        <v>32</v>
      </c>
      <c r="B998" s="19">
        <v>45353</v>
      </c>
      <c r="C998" s="1" t="s">
        <v>34</v>
      </c>
      <c r="D998" t="s">
        <v>697</v>
      </c>
      <c r="E998">
        <v>104</v>
      </c>
      <c r="F998">
        <v>11</v>
      </c>
      <c r="G998">
        <v>5</v>
      </c>
      <c r="H998">
        <v>14225</v>
      </c>
    </row>
    <row r="999" spans="1:8" x14ac:dyDescent="0.25">
      <c r="A999">
        <v>32</v>
      </c>
      <c r="B999" s="19">
        <v>44588</v>
      </c>
      <c r="C999" s="1" t="s">
        <v>35</v>
      </c>
      <c r="D999" t="s">
        <v>697</v>
      </c>
      <c r="E999">
        <v>103</v>
      </c>
      <c r="F999">
        <v>14</v>
      </c>
      <c r="G999">
        <v>48</v>
      </c>
      <c r="H999">
        <v>43995</v>
      </c>
    </row>
    <row r="1000" spans="1:8" x14ac:dyDescent="0.25">
      <c r="A1000">
        <v>32</v>
      </c>
      <c r="B1000" s="19">
        <v>44651</v>
      </c>
      <c r="C1000" s="1" t="s">
        <v>34</v>
      </c>
      <c r="D1000" t="s">
        <v>698</v>
      </c>
      <c r="E1000">
        <v>103</v>
      </c>
      <c r="F1000">
        <v>15</v>
      </c>
      <c r="G1000">
        <v>21</v>
      </c>
      <c r="H1000">
        <v>26511</v>
      </c>
    </row>
    <row r="1001" spans="1:8" x14ac:dyDescent="0.25">
      <c r="A1001">
        <v>32</v>
      </c>
      <c r="B1001" s="19">
        <v>44256</v>
      </c>
      <c r="C1001" s="1" t="s">
        <v>34</v>
      </c>
      <c r="D1001" t="s">
        <v>698</v>
      </c>
      <c r="E1001">
        <v>105</v>
      </c>
      <c r="F1001">
        <v>14</v>
      </c>
      <c r="G1001">
        <v>62</v>
      </c>
      <c r="H1001">
        <v>21569</v>
      </c>
    </row>
    <row r="1002" spans="1:8" x14ac:dyDescent="0.25">
      <c r="A1002">
        <v>32</v>
      </c>
      <c r="B1002" s="19">
        <v>44957</v>
      </c>
      <c r="C1002" s="1" t="s">
        <v>35</v>
      </c>
      <c r="D1002" t="s">
        <v>699</v>
      </c>
      <c r="E1002">
        <v>104</v>
      </c>
      <c r="F1002">
        <v>14</v>
      </c>
      <c r="G1002">
        <v>7</v>
      </c>
      <c r="H1002">
        <v>49476</v>
      </c>
    </row>
    <row r="1003" spans="1:8" x14ac:dyDescent="0.25">
      <c r="A1003">
        <v>32</v>
      </c>
      <c r="B1003" s="19">
        <v>45215</v>
      </c>
      <c r="C1003" s="1" t="s">
        <v>33</v>
      </c>
      <c r="D1003" t="s">
        <v>699</v>
      </c>
      <c r="E1003">
        <v>103</v>
      </c>
      <c r="F1003">
        <v>15</v>
      </c>
      <c r="G1003">
        <v>64</v>
      </c>
      <c r="H1003">
        <v>15953</v>
      </c>
    </row>
    <row r="1004" spans="1:8" x14ac:dyDescent="0.25">
      <c r="A1004">
        <v>32</v>
      </c>
      <c r="B1004" s="19">
        <v>44207</v>
      </c>
      <c r="C1004" s="1" t="s">
        <v>35</v>
      </c>
      <c r="D1004" t="s">
        <v>699</v>
      </c>
      <c r="E1004">
        <v>104</v>
      </c>
      <c r="F1004">
        <v>11</v>
      </c>
      <c r="G1004">
        <v>31</v>
      </c>
      <c r="H1004">
        <v>18864</v>
      </c>
    </row>
    <row r="1005" spans="1:8" x14ac:dyDescent="0.25">
      <c r="A1005">
        <v>32</v>
      </c>
      <c r="B1005" s="19">
        <v>45399</v>
      </c>
      <c r="C1005" s="1" t="s">
        <v>34</v>
      </c>
      <c r="D1005" t="s">
        <v>699</v>
      </c>
      <c r="E1005">
        <v>104</v>
      </c>
      <c r="F1005">
        <v>13</v>
      </c>
      <c r="G1005">
        <v>58</v>
      </c>
      <c r="H1005">
        <v>27030</v>
      </c>
    </row>
    <row r="1006" spans="1:8" x14ac:dyDescent="0.25">
      <c r="A1006">
        <v>32</v>
      </c>
      <c r="B1006" s="19">
        <v>44562</v>
      </c>
      <c r="C1006" s="1" t="s">
        <v>35</v>
      </c>
      <c r="D1006" t="s">
        <v>699</v>
      </c>
      <c r="E1006">
        <v>105</v>
      </c>
      <c r="F1006">
        <v>14</v>
      </c>
      <c r="G1006">
        <v>23</v>
      </c>
      <c r="H1006">
        <v>20539</v>
      </c>
    </row>
    <row r="1007" spans="1:8" x14ac:dyDescent="0.25">
      <c r="A1007">
        <v>32</v>
      </c>
      <c r="B1007" s="19">
        <v>44989</v>
      </c>
      <c r="C1007" s="1" t="s">
        <v>35</v>
      </c>
      <c r="D1007" t="s">
        <v>695</v>
      </c>
      <c r="E1007">
        <v>105</v>
      </c>
      <c r="F1007">
        <v>15</v>
      </c>
      <c r="G1007">
        <v>45</v>
      </c>
      <c r="H1007">
        <v>26208</v>
      </c>
    </row>
    <row r="1008" spans="1:8" x14ac:dyDescent="0.25">
      <c r="A1008">
        <v>32</v>
      </c>
      <c r="B1008" s="19">
        <v>44015</v>
      </c>
      <c r="C1008" s="1" t="s">
        <v>34</v>
      </c>
      <c r="D1008" t="s">
        <v>695</v>
      </c>
      <c r="E1008">
        <v>108</v>
      </c>
      <c r="F1008">
        <v>12</v>
      </c>
      <c r="G1008">
        <v>13</v>
      </c>
      <c r="H1008">
        <v>12470</v>
      </c>
    </row>
    <row r="1009" spans="1:8" x14ac:dyDescent="0.25">
      <c r="A1009">
        <v>32</v>
      </c>
      <c r="B1009" s="19">
        <v>45594</v>
      </c>
      <c r="C1009" s="1" t="s">
        <v>33</v>
      </c>
      <c r="D1009" t="s">
        <v>695</v>
      </c>
      <c r="E1009">
        <v>103</v>
      </c>
      <c r="F1009">
        <v>11</v>
      </c>
      <c r="G1009">
        <v>61</v>
      </c>
      <c r="H1009">
        <v>47225</v>
      </c>
    </row>
    <row r="1010" spans="1:8" x14ac:dyDescent="0.25">
      <c r="A1010">
        <v>32</v>
      </c>
      <c r="B1010" s="19">
        <v>44502</v>
      </c>
      <c r="C1010" s="1" t="s">
        <v>35</v>
      </c>
      <c r="D1010" t="s">
        <v>695</v>
      </c>
      <c r="E1010">
        <v>103</v>
      </c>
      <c r="F1010">
        <v>15</v>
      </c>
      <c r="G1010">
        <v>92</v>
      </c>
      <c r="H1010">
        <v>40228</v>
      </c>
    </row>
    <row r="1011" spans="1:8" x14ac:dyDescent="0.25">
      <c r="A1011">
        <v>32</v>
      </c>
      <c r="B1011" s="19">
        <v>44028</v>
      </c>
      <c r="C1011" s="1" t="s">
        <v>34</v>
      </c>
      <c r="D1011" t="s">
        <v>695</v>
      </c>
      <c r="E1011">
        <v>103</v>
      </c>
      <c r="F1011">
        <v>13</v>
      </c>
      <c r="G1011">
        <v>72</v>
      </c>
      <c r="H1011">
        <v>17299</v>
      </c>
    </row>
    <row r="1012" spans="1:8" x14ac:dyDescent="0.25">
      <c r="A1012">
        <v>32</v>
      </c>
      <c r="B1012" s="19">
        <v>44339</v>
      </c>
      <c r="C1012" s="1" t="s">
        <v>34</v>
      </c>
      <c r="D1012" t="s">
        <v>695</v>
      </c>
      <c r="E1012">
        <v>104</v>
      </c>
      <c r="F1012">
        <v>13</v>
      </c>
      <c r="G1012">
        <v>8</v>
      </c>
      <c r="H1012">
        <v>36338</v>
      </c>
    </row>
    <row r="1013" spans="1:8" x14ac:dyDescent="0.25">
      <c r="A1013">
        <v>32</v>
      </c>
      <c r="B1013" s="19">
        <v>44653</v>
      </c>
      <c r="C1013" s="1" t="s">
        <v>34</v>
      </c>
      <c r="D1013" t="s">
        <v>695</v>
      </c>
      <c r="E1013">
        <v>103</v>
      </c>
      <c r="F1013">
        <v>12</v>
      </c>
      <c r="G1013">
        <v>73</v>
      </c>
      <c r="H1013">
        <v>10604</v>
      </c>
    </row>
    <row r="1014" spans="1:8" x14ac:dyDescent="0.25">
      <c r="A1014">
        <v>32</v>
      </c>
      <c r="B1014" s="19">
        <v>45242</v>
      </c>
      <c r="C1014" s="1" t="s">
        <v>34</v>
      </c>
      <c r="D1014" t="s">
        <v>692</v>
      </c>
      <c r="E1014">
        <v>105</v>
      </c>
      <c r="F1014">
        <v>13</v>
      </c>
      <c r="G1014">
        <v>24</v>
      </c>
      <c r="H1014">
        <v>10218</v>
      </c>
    </row>
    <row r="1015" spans="1:8" x14ac:dyDescent="0.25">
      <c r="A1015">
        <v>32</v>
      </c>
      <c r="B1015" s="19">
        <v>45332</v>
      </c>
      <c r="C1015" s="1" t="s">
        <v>34</v>
      </c>
      <c r="D1015" t="s">
        <v>692</v>
      </c>
      <c r="E1015">
        <v>103</v>
      </c>
      <c r="F1015">
        <v>13</v>
      </c>
      <c r="G1015">
        <v>55</v>
      </c>
      <c r="H1015">
        <v>49712</v>
      </c>
    </row>
    <row r="1016" spans="1:8" x14ac:dyDescent="0.25">
      <c r="A1016">
        <v>32</v>
      </c>
      <c r="B1016" s="19">
        <v>44683</v>
      </c>
      <c r="C1016" s="1" t="s">
        <v>35</v>
      </c>
      <c r="D1016" t="s">
        <v>692</v>
      </c>
      <c r="E1016">
        <v>104</v>
      </c>
      <c r="F1016">
        <v>12</v>
      </c>
      <c r="G1016">
        <v>20</v>
      </c>
      <c r="H1016">
        <v>39092</v>
      </c>
    </row>
    <row r="1017" spans="1:8" x14ac:dyDescent="0.25">
      <c r="A1017">
        <v>32</v>
      </c>
      <c r="B1017" s="19">
        <v>44650</v>
      </c>
      <c r="C1017" s="1" t="s">
        <v>34</v>
      </c>
      <c r="D1017" t="s">
        <v>693</v>
      </c>
      <c r="E1017">
        <v>102</v>
      </c>
      <c r="F1017">
        <v>15</v>
      </c>
      <c r="G1017">
        <v>18</v>
      </c>
      <c r="H1017">
        <v>23688</v>
      </c>
    </row>
    <row r="1018" spans="1:8" x14ac:dyDescent="0.25">
      <c r="A1018">
        <v>32</v>
      </c>
      <c r="B1018" s="19">
        <v>44389</v>
      </c>
      <c r="C1018" s="1" t="s">
        <v>34</v>
      </c>
      <c r="D1018" t="s">
        <v>693</v>
      </c>
      <c r="E1018">
        <v>103</v>
      </c>
      <c r="F1018">
        <v>13</v>
      </c>
      <c r="G1018">
        <v>34</v>
      </c>
      <c r="H1018">
        <v>43136</v>
      </c>
    </row>
    <row r="1019" spans="1:8" x14ac:dyDescent="0.25">
      <c r="A1019">
        <v>32</v>
      </c>
      <c r="B1019" s="19">
        <v>44798</v>
      </c>
      <c r="C1019" s="1" t="s">
        <v>35</v>
      </c>
      <c r="D1019" t="s">
        <v>693</v>
      </c>
      <c r="E1019">
        <v>104</v>
      </c>
      <c r="F1019">
        <v>11</v>
      </c>
      <c r="G1019">
        <v>12</v>
      </c>
      <c r="H1019">
        <v>42253</v>
      </c>
    </row>
    <row r="1020" spans="1:8" x14ac:dyDescent="0.25">
      <c r="A1020">
        <v>32</v>
      </c>
      <c r="B1020" s="19">
        <v>45413</v>
      </c>
      <c r="C1020" s="1" t="s">
        <v>34</v>
      </c>
      <c r="D1020" t="s">
        <v>693</v>
      </c>
      <c r="E1020">
        <v>105</v>
      </c>
      <c r="F1020">
        <v>15</v>
      </c>
      <c r="G1020">
        <v>8</v>
      </c>
      <c r="H1020">
        <v>34408</v>
      </c>
    </row>
    <row r="1021" spans="1:8" x14ac:dyDescent="0.25">
      <c r="A1021">
        <v>32</v>
      </c>
      <c r="B1021" s="19">
        <v>44527</v>
      </c>
      <c r="C1021" s="1" t="s">
        <v>33</v>
      </c>
      <c r="D1021" t="s">
        <v>694</v>
      </c>
      <c r="E1021">
        <v>105</v>
      </c>
      <c r="F1021">
        <v>13</v>
      </c>
      <c r="G1021">
        <v>38</v>
      </c>
      <c r="H1021">
        <v>22137</v>
      </c>
    </row>
    <row r="1022" spans="1:8" x14ac:dyDescent="0.25">
      <c r="A1022">
        <v>32</v>
      </c>
      <c r="B1022" s="19">
        <v>45563</v>
      </c>
      <c r="C1022" s="1" t="s">
        <v>33</v>
      </c>
      <c r="D1022" t="s">
        <v>694</v>
      </c>
      <c r="E1022">
        <v>103</v>
      </c>
      <c r="F1022">
        <v>12</v>
      </c>
      <c r="G1022">
        <v>79</v>
      </c>
      <c r="H1022">
        <v>33022</v>
      </c>
    </row>
    <row r="1023" spans="1:8" x14ac:dyDescent="0.25">
      <c r="A1023">
        <v>33</v>
      </c>
      <c r="B1023" s="19">
        <v>44881</v>
      </c>
      <c r="C1023" s="1" t="s">
        <v>35</v>
      </c>
      <c r="D1023" t="s">
        <v>690</v>
      </c>
      <c r="E1023">
        <v>104</v>
      </c>
      <c r="F1023">
        <v>14</v>
      </c>
      <c r="G1023">
        <v>91</v>
      </c>
      <c r="H1023">
        <v>21280</v>
      </c>
    </row>
    <row r="1024" spans="1:8" x14ac:dyDescent="0.25">
      <c r="A1024">
        <v>33</v>
      </c>
      <c r="B1024" s="19">
        <v>45573</v>
      </c>
      <c r="C1024" s="1" t="s">
        <v>34</v>
      </c>
      <c r="D1024" t="s">
        <v>690</v>
      </c>
      <c r="E1024">
        <v>104</v>
      </c>
      <c r="F1024">
        <v>15</v>
      </c>
      <c r="G1024">
        <v>25</v>
      </c>
      <c r="H1024">
        <v>15068</v>
      </c>
    </row>
    <row r="1025" spans="1:8" x14ac:dyDescent="0.25">
      <c r="A1025">
        <v>33</v>
      </c>
      <c r="B1025" s="19">
        <v>45282</v>
      </c>
      <c r="C1025" s="1" t="s">
        <v>34</v>
      </c>
      <c r="D1025" t="s">
        <v>690</v>
      </c>
      <c r="E1025">
        <v>105</v>
      </c>
      <c r="F1025">
        <v>12</v>
      </c>
      <c r="G1025">
        <v>55</v>
      </c>
      <c r="H1025">
        <v>46315</v>
      </c>
    </row>
    <row r="1026" spans="1:8" x14ac:dyDescent="0.25">
      <c r="A1026">
        <v>33</v>
      </c>
      <c r="B1026" s="19">
        <v>45155</v>
      </c>
      <c r="C1026" s="1" t="s">
        <v>36</v>
      </c>
      <c r="D1026" t="s">
        <v>691</v>
      </c>
      <c r="E1026">
        <v>109</v>
      </c>
      <c r="F1026">
        <v>14</v>
      </c>
      <c r="G1026">
        <v>92</v>
      </c>
      <c r="H1026">
        <v>20989</v>
      </c>
    </row>
    <row r="1027" spans="1:8" x14ac:dyDescent="0.25">
      <c r="A1027">
        <v>33</v>
      </c>
      <c r="B1027" s="19">
        <v>44722</v>
      </c>
      <c r="C1027" s="1" t="s">
        <v>33</v>
      </c>
      <c r="D1027" t="s">
        <v>691</v>
      </c>
      <c r="E1027">
        <v>104</v>
      </c>
      <c r="F1027">
        <v>15</v>
      </c>
      <c r="G1027">
        <v>12</v>
      </c>
      <c r="H1027">
        <v>31055</v>
      </c>
    </row>
    <row r="1028" spans="1:8" x14ac:dyDescent="0.25">
      <c r="A1028">
        <v>33</v>
      </c>
      <c r="B1028" s="19">
        <v>44833</v>
      </c>
      <c r="C1028" s="1" t="s">
        <v>35</v>
      </c>
      <c r="D1028" t="s">
        <v>700</v>
      </c>
      <c r="E1028">
        <v>104</v>
      </c>
      <c r="F1028">
        <v>13</v>
      </c>
      <c r="G1028">
        <v>75</v>
      </c>
      <c r="H1028">
        <v>48139</v>
      </c>
    </row>
    <row r="1029" spans="1:8" x14ac:dyDescent="0.25">
      <c r="A1029">
        <v>33</v>
      </c>
      <c r="B1029" s="19">
        <v>45075</v>
      </c>
      <c r="C1029" s="1" t="s">
        <v>36</v>
      </c>
      <c r="D1029" t="s">
        <v>700</v>
      </c>
      <c r="E1029">
        <v>102</v>
      </c>
      <c r="F1029">
        <v>15</v>
      </c>
      <c r="G1029">
        <v>94</v>
      </c>
      <c r="H1029">
        <v>30271</v>
      </c>
    </row>
    <row r="1030" spans="1:8" x14ac:dyDescent="0.25">
      <c r="A1030">
        <v>33</v>
      </c>
      <c r="B1030" s="19">
        <v>44984</v>
      </c>
      <c r="C1030" s="1" t="s">
        <v>33</v>
      </c>
      <c r="D1030" t="s">
        <v>700</v>
      </c>
      <c r="E1030">
        <v>105</v>
      </c>
      <c r="F1030">
        <v>12</v>
      </c>
      <c r="G1030">
        <v>33</v>
      </c>
      <c r="H1030">
        <v>43965</v>
      </c>
    </row>
    <row r="1031" spans="1:8" x14ac:dyDescent="0.25">
      <c r="A1031">
        <v>33</v>
      </c>
      <c r="B1031" s="19">
        <v>45431</v>
      </c>
      <c r="C1031" s="1" t="s">
        <v>33</v>
      </c>
      <c r="D1031" t="s">
        <v>696</v>
      </c>
      <c r="E1031">
        <v>104</v>
      </c>
      <c r="F1031">
        <v>14</v>
      </c>
      <c r="G1031">
        <v>66</v>
      </c>
      <c r="H1031">
        <v>19883</v>
      </c>
    </row>
    <row r="1032" spans="1:8" x14ac:dyDescent="0.25">
      <c r="A1032">
        <v>33</v>
      </c>
      <c r="B1032" s="19">
        <v>44385</v>
      </c>
      <c r="C1032" s="1" t="s">
        <v>34</v>
      </c>
      <c r="D1032" t="s">
        <v>696</v>
      </c>
      <c r="E1032">
        <v>108</v>
      </c>
      <c r="F1032">
        <v>14</v>
      </c>
      <c r="G1032">
        <v>26</v>
      </c>
      <c r="H1032">
        <v>40378</v>
      </c>
    </row>
    <row r="1033" spans="1:8" x14ac:dyDescent="0.25">
      <c r="A1033">
        <v>33</v>
      </c>
      <c r="B1033" s="19">
        <v>43933</v>
      </c>
      <c r="C1033" s="1" t="s">
        <v>35</v>
      </c>
      <c r="D1033" t="s">
        <v>696</v>
      </c>
      <c r="E1033">
        <v>103</v>
      </c>
      <c r="F1033">
        <v>11</v>
      </c>
      <c r="G1033">
        <v>29</v>
      </c>
      <c r="H1033">
        <v>44863</v>
      </c>
    </row>
    <row r="1034" spans="1:8" x14ac:dyDescent="0.25">
      <c r="A1034">
        <v>33</v>
      </c>
      <c r="B1034" s="19">
        <v>44008</v>
      </c>
      <c r="C1034" s="1" t="s">
        <v>36</v>
      </c>
      <c r="D1034" t="s">
        <v>697</v>
      </c>
      <c r="E1034">
        <v>103</v>
      </c>
      <c r="F1034">
        <v>15</v>
      </c>
      <c r="G1034">
        <v>93</v>
      </c>
      <c r="H1034">
        <v>34338</v>
      </c>
    </row>
    <row r="1035" spans="1:8" x14ac:dyDescent="0.25">
      <c r="A1035">
        <v>33</v>
      </c>
      <c r="B1035" s="19">
        <v>44674</v>
      </c>
      <c r="C1035" s="1" t="s">
        <v>33</v>
      </c>
      <c r="D1035" t="s">
        <v>697</v>
      </c>
      <c r="E1035">
        <v>103</v>
      </c>
      <c r="F1035">
        <v>12</v>
      </c>
      <c r="G1035">
        <v>94</v>
      </c>
      <c r="H1035">
        <v>44947</v>
      </c>
    </row>
    <row r="1036" spans="1:8" x14ac:dyDescent="0.25">
      <c r="A1036">
        <v>33</v>
      </c>
      <c r="B1036" s="19">
        <v>44467</v>
      </c>
      <c r="C1036" s="1" t="s">
        <v>34</v>
      </c>
      <c r="D1036" t="s">
        <v>697</v>
      </c>
      <c r="E1036">
        <v>105</v>
      </c>
      <c r="F1036">
        <v>13</v>
      </c>
      <c r="G1036">
        <v>80</v>
      </c>
      <c r="H1036">
        <v>44709</v>
      </c>
    </row>
    <row r="1037" spans="1:8" x14ac:dyDescent="0.25">
      <c r="A1037">
        <v>33</v>
      </c>
      <c r="B1037" s="19">
        <v>44268</v>
      </c>
      <c r="C1037" s="1" t="s">
        <v>36</v>
      </c>
      <c r="D1037" t="s">
        <v>697</v>
      </c>
      <c r="E1037">
        <v>103</v>
      </c>
      <c r="F1037">
        <v>12</v>
      </c>
      <c r="G1037">
        <v>74</v>
      </c>
      <c r="H1037">
        <v>30548</v>
      </c>
    </row>
    <row r="1038" spans="1:8" x14ac:dyDescent="0.25">
      <c r="A1038">
        <v>33</v>
      </c>
      <c r="B1038" s="19">
        <v>43962</v>
      </c>
      <c r="C1038" s="1" t="s">
        <v>33</v>
      </c>
      <c r="D1038" t="s">
        <v>698</v>
      </c>
      <c r="E1038">
        <v>102</v>
      </c>
      <c r="F1038">
        <v>12</v>
      </c>
      <c r="G1038">
        <v>39</v>
      </c>
      <c r="H1038">
        <v>25488</v>
      </c>
    </row>
    <row r="1039" spans="1:8" x14ac:dyDescent="0.25">
      <c r="A1039">
        <v>33</v>
      </c>
      <c r="B1039" s="19">
        <v>44795</v>
      </c>
      <c r="C1039" s="1" t="s">
        <v>34</v>
      </c>
      <c r="D1039" t="s">
        <v>698</v>
      </c>
      <c r="E1039">
        <v>103</v>
      </c>
      <c r="F1039">
        <v>12</v>
      </c>
      <c r="G1039">
        <v>29</v>
      </c>
      <c r="H1039">
        <v>37720</v>
      </c>
    </row>
    <row r="1040" spans="1:8" x14ac:dyDescent="0.25">
      <c r="A1040">
        <v>33</v>
      </c>
      <c r="B1040" s="19">
        <v>45640</v>
      </c>
      <c r="C1040" s="1" t="s">
        <v>35</v>
      </c>
      <c r="D1040" t="s">
        <v>698</v>
      </c>
      <c r="E1040">
        <v>107</v>
      </c>
      <c r="F1040">
        <v>12</v>
      </c>
      <c r="G1040">
        <v>23</v>
      </c>
      <c r="H1040">
        <v>17265</v>
      </c>
    </row>
    <row r="1041" spans="1:8" x14ac:dyDescent="0.25">
      <c r="A1041">
        <v>33</v>
      </c>
      <c r="B1041" s="19">
        <v>44799</v>
      </c>
      <c r="C1041" s="1" t="s">
        <v>36</v>
      </c>
      <c r="D1041" t="s">
        <v>698</v>
      </c>
      <c r="E1041">
        <v>105</v>
      </c>
      <c r="F1041">
        <v>12</v>
      </c>
      <c r="G1041">
        <v>59</v>
      </c>
      <c r="H1041">
        <v>11644</v>
      </c>
    </row>
    <row r="1042" spans="1:8" x14ac:dyDescent="0.25">
      <c r="A1042">
        <v>33</v>
      </c>
      <c r="B1042" s="19">
        <v>44925</v>
      </c>
      <c r="C1042" s="1" t="s">
        <v>34</v>
      </c>
      <c r="D1042" t="s">
        <v>698</v>
      </c>
      <c r="E1042">
        <v>104</v>
      </c>
      <c r="F1042">
        <v>12</v>
      </c>
      <c r="G1042">
        <v>88</v>
      </c>
      <c r="H1042">
        <v>21686</v>
      </c>
    </row>
    <row r="1043" spans="1:8" x14ac:dyDescent="0.25">
      <c r="A1043">
        <v>33</v>
      </c>
      <c r="B1043" s="19">
        <v>45429</v>
      </c>
      <c r="C1043" s="1" t="s">
        <v>34</v>
      </c>
      <c r="D1043" t="s">
        <v>699</v>
      </c>
      <c r="E1043">
        <v>104</v>
      </c>
      <c r="F1043">
        <v>11</v>
      </c>
      <c r="G1043">
        <v>15</v>
      </c>
      <c r="H1043">
        <v>47016</v>
      </c>
    </row>
    <row r="1044" spans="1:8" x14ac:dyDescent="0.25">
      <c r="A1044">
        <v>33</v>
      </c>
      <c r="B1044" s="19">
        <v>44466</v>
      </c>
      <c r="C1044" s="1" t="s">
        <v>33</v>
      </c>
      <c r="D1044" t="s">
        <v>699</v>
      </c>
      <c r="E1044">
        <v>105</v>
      </c>
      <c r="F1044">
        <v>14</v>
      </c>
      <c r="G1044">
        <v>57</v>
      </c>
      <c r="H1044">
        <v>23889</v>
      </c>
    </row>
    <row r="1045" spans="1:8" x14ac:dyDescent="0.25">
      <c r="A1045">
        <v>33</v>
      </c>
      <c r="B1045" s="19">
        <v>44385</v>
      </c>
      <c r="C1045" s="1" t="s">
        <v>36</v>
      </c>
      <c r="D1045" t="s">
        <v>699</v>
      </c>
      <c r="E1045">
        <v>105</v>
      </c>
      <c r="F1045">
        <v>13</v>
      </c>
      <c r="G1045">
        <v>75</v>
      </c>
      <c r="H1045">
        <v>44735</v>
      </c>
    </row>
    <row r="1046" spans="1:8" x14ac:dyDescent="0.25">
      <c r="A1046">
        <v>33</v>
      </c>
      <c r="B1046" s="19">
        <v>45652</v>
      </c>
      <c r="C1046" s="1" t="s">
        <v>34</v>
      </c>
      <c r="D1046" t="s">
        <v>695</v>
      </c>
      <c r="E1046">
        <v>104</v>
      </c>
      <c r="F1046">
        <v>11</v>
      </c>
      <c r="G1046">
        <v>47</v>
      </c>
      <c r="H1046">
        <v>29907</v>
      </c>
    </row>
    <row r="1047" spans="1:8" x14ac:dyDescent="0.25">
      <c r="A1047">
        <v>33</v>
      </c>
      <c r="B1047" s="19">
        <v>44642</v>
      </c>
      <c r="C1047" s="1" t="s">
        <v>35</v>
      </c>
      <c r="D1047" t="s">
        <v>695</v>
      </c>
      <c r="E1047">
        <v>103</v>
      </c>
      <c r="F1047">
        <v>11</v>
      </c>
      <c r="G1047">
        <v>13</v>
      </c>
      <c r="H1047">
        <v>45923</v>
      </c>
    </row>
    <row r="1048" spans="1:8" x14ac:dyDescent="0.25">
      <c r="A1048">
        <v>33</v>
      </c>
      <c r="B1048" s="19">
        <v>44023</v>
      </c>
      <c r="C1048" s="1" t="s">
        <v>33</v>
      </c>
      <c r="D1048" t="s">
        <v>695</v>
      </c>
      <c r="E1048">
        <v>105</v>
      </c>
      <c r="F1048">
        <v>13</v>
      </c>
      <c r="G1048">
        <v>36</v>
      </c>
      <c r="H1048">
        <v>14383</v>
      </c>
    </row>
    <row r="1049" spans="1:8" x14ac:dyDescent="0.25">
      <c r="A1049">
        <v>33</v>
      </c>
      <c r="B1049" s="19">
        <v>45479</v>
      </c>
      <c r="C1049" s="1" t="s">
        <v>34</v>
      </c>
      <c r="D1049" t="s">
        <v>695</v>
      </c>
      <c r="E1049">
        <v>103</v>
      </c>
      <c r="F1049">
        <v>11</v>
      </c>
      <c r="G1049">
        <v>96</v>
      </c>
      <c r="H1049">
        <v>31494</v>
      </c>
    </row>
    <row r="1050" spans="1:8" x14ac:dyDescent="0.25">
      <c r="A1050">
        <v>33</v>
      </c>
      <c r="B1050" s="19">
        <v>44824</v>
      </c>
      <c r="C1050" s="1" t="s">
        <v>34</v>
      </c>
      <c r="D1050" t="s">
        <v>692</v>
      </c>
      <c r="E1050">
        <v>101</v>
      </c>
      <c r="F1050">
        <v>11</v>
      </c>
      <c r="G1050">
        <v>97</v>
      </c>
      <c r="H1050">
        <v>21929</v>
      </c>
    </row>
    <row r="1051" spans="1:8" x14ac:dyDescent="0.25">
      <c r="A1051">
        <v>33</v>
      </c>
      <c r="B1051" s="19">
        <v>45107</v>
      </c>
      <c r="C1051" s="1" t="s">
        <v>36</v>
      </c>
      <c r="D1051" t="s">
        <v>692</v>
      </c>
      <c r="E1051">
        <v>102</v>
      </c>
      <c r="F1051">
        <v>12</v>
      </c>
      <c r="G1051">
        <v>75</v>
      </c>
      <c r="H1051">
        <v>45543</v>
      </c>
    </row>
    <row r="1052" spans="1:8" x14ac:dyDescent="0.25">
      <c r="A1052">
        <v>33</v>
      </c>
      <c r="B1052" s="19">
        <v>45638</v>
      </c>
      <c r="C1052" s="1" t="s">
        <v>34</v>
      </c>
      <c r="D1052" t="s">
        <v>693</v>
      </c>
      <c r="E1052">
        <v>103</v>
      </c>
      <c r="F1052">
        <v>14</v>
      </c>
      <c r="G1052">
        <v>25</v>
      </c>
      <c r="H1052">
        <v>19180</v>
      </c>
    </row>
    <row r="1053" spans="1:8" x14ac:dyDescent="0.25">
      <c r="A1053">
        <v>33</v>
      </c>
      <c r="B1053" s="19">
        <v>45493</v>
      </c>
      <c r="C1053" s="1" t="s">
        <v>33</v>
      </c>
      <c r="D1053" t="s">
        <v>694</v>
      </c>
      <c r="E1053">
        <v>104</v>
      </c>
      <c r="F1053">
        <v>11</v>
      </c>
      <c r="G1053">
        <v>40</v>
      </c>
      <c r="H1053">
        <v>46203</v>
      </c>
    </row>
    <row r="1054" spans="1:8" x14ac:dyDescent="0.25">
      <c r="A1054">
        <v>33</v>
      </c>
      <c r="B1054" s="19">
        <v>44410</v>
      </c>
      <c r="C1054" s="1" t="s">
        <v>36</v>
      </c>
      <c r="D1054" t="s">
        <v>694</v>
      </c>
      <c r="E1054">
        <v>104</v>
      </c>
      <c r="F1054">
        <v>14</v>
      </c>
      <c r="G1054">
        <v>99</v>
      </c>
      <c r="H1054">
        <v>19299</v>
      </c>
    </row>
    <row r="1055" spans="1:8" x14ac:dyDescent="0.25">
      <c r="A1055">
        <v>33</v>
      </c>
      <c r="B1055" s="19">
        <v>44831</v>
      </c>
      <c r="C1055" s="1" t="s">
        <v>34</v>
      </c>
      <c r="D1055" t="s">
        <v>694</v>
      </c>
      <c r="E1055">
        <v>103</v>
      </c>
      <c r="F1055">
        <v>13</v>
      </c>
      <c r="G1055">
        <v>70</v>
      </c>
      <c r="H1055">
        <v>49039</v>
      </c>
    </row>
    <row r="1056" spans="1:8" x14ac:dyDescent="0.25">
      <c r="A1056">
        <v>33</v>
      </c>
      <c r="B1056" s="19">
        <v>45351</v>
      </c>
      <c r="C1056" s="1" t="s">
        <v>35</v>
      </c>
      <c r="D1056" t="s">
        <v>694</v>
      </c>
      <c r="E1056">
        <v>105</v>
      </c>
      <c r="F1056">
        <v>13</v>
      </c>
      <c r="G1056">
        <v>98</v>
      </c>
      <c r="H1056">
        <v>45436</v>
      </c>
    </row>
    <row r="1057" spans="1:8" x14ac:dyDescent="0.25">
      <c r="A1057">
        <v>34</v>
      </c>
      <c r="B1057" s="19">
        <v>45237</v>
      </c>
      <c r="C1057" s="1" t="s">
        <v>34</v>
      </c>
      <c r="D1057" t="s">
        <v>690</v>
      </c>
      <c r="E1057">
        <v>102</v>
      </c>
      <c r="F1057">
        <v>14</v>
      </c>
      <c r="G1057">
        <v>70</v>
      </c>
      <c r="H1057">
        <v>42272</v>
      </c>
    </row>
    <row r="1058" spans="1:8" x14ac:dyDescent="0.25">
      <c r="A1058">
        <v>34</v>
      </c>
      <c r="B1058" s="19">
        <v>45310</v>
      </c>
      <c r="C1058" s="1" t="s">
        <v>35</v>
      </c>
      <c r="D1058" t="s">
        <v>690</v>
      </c>
      <c r="E1058">
        <v>106</v>
      </c>
      <c r="F1058">
        <v>11</v>
      </c>
      <c r="G1058">
        <v>24</v>
      </c>
      <c r="H1058">
        <v>25533</v>
      </c>
    </row>
    <row r="1059" spans="1:8" x14ac:dyDescent="0.25">
      <c r="A1059">
        <v>34</v>
      </c>
      <c r="B1059" s="19">
        <v>44861</v>
      </c>
      <c r="C1059" s="1" t="s">
        <v>33</v>
      </c>
      <c r="D1059" t="s">
        <v>690</v>
      </c>
      <c r="E1059">
        <v>105</v>
      </c>
      <c r="F1059">
        <v>12</v>
      </c>
      <c r="G1059">
        <v>8</v>
      </c>
      <c r="H1059">
        <v>34990</v>
      </c>
    </row>
    <row r="1060" spans="1:8" x14ac:dyDescent="0.25">
      <c r="A1060">
        <v>34</v>
      </c>
      <c r="B1060" s="19">
        <v>44342</v>
      </c>
      <c r="C1060" s="1" t="s">
        <v>34</v>
      </c>
      <c r="D1060" t="s">
        <v>690</v>
      </c>
      <c r="E1060">
        <v>105</v>
      </c>
      <c r="F1060">
        <v>14</v>
      </c>
      <c r="G1060">
        <v>76</v>
      </c>
      <c r="H1060">
        <v>22839</v>
      </c>
    </row>
    <row r="1061" spans="1:8" x14ac:dyDescent="0.25">
      <c r="A1061">
        <v>34</v>
      </c>
      <c r="B1061" s="19">
        <v>43887</v>
      </c>
      <c r="C1061" s="1" t="s">
        <v>36</v>
      </c>
      <c r="D1061" t="s">
        <v>690</v>
      </c>
      <c r="E1061">
        <v>103</v>
      </c>
      <c r="F1061">
        <v>13</v>
      </c>
      <c r="G1061">
        <v>48</v>
      </c>
      <c r="H1061">
        <v>37842</v>
      </c>
    </row>
    <row r="1062" spans="1:8" x14ac:dyDescent="0.25">
      <c r="A1062">
        <v>34</v>
      </c>
      <c r="B1062" s="19">
        <v>44273</v>
      </c>
      <c r="C1062" s="1" t="s">
        <v>35</v>
      </c>
      <c r="D1062" t="s">
        <v>690</v>
      </c>
      <c r="E1062">
        <v>105</v>
      </c>
      <c r="F1062">
        <v>13</v>
      </c>
      <c r="G1062">
        <v>56</v>
      </c>
      <c r="H1062">
        <v>36034</v>
      </c>
    </row>
    <row r="1063" spans="1:8" x14ac:dyDescent="0.25">
      <c r="A1063">
        <v>34</v>
      </c>
      <c r="B1063" s="19">
        <v>44725</v>
      </c>
      <c r="C1063" s="1" t="s">
        <v>36</v>
      </c>
      <c r="D1063" t="s">
        <v>691</v>
      </c>
      <c r="E1063">
        <v>102</v>
      </c>
      <c r="F1063">
        <v>11</v>
      </c>
      <c r="G1063">
        <v>13</v>
      </c>
      <c r="H1063">
        <v>37873</v>
      </c>
    </row>
    <row r="1064" spans="1:8" x14ac:dyDescent="0.25">
      <c r="A1064">
        <v>34</v>
      </c>
      <c r="B1064" s="19">
        <v>44512</v>
      </c>
      <c r="C1064" s="1" t="s">
        <v>35</v>
      </c>
      <c r="D1064" t="s">
        <v>691</v>
      </c>
      <c r="E1064">
        <v>104</v>
      </c>
      <c r="F1064">
        <v>12</v>
      </c>
      <c r="G1064">
        <v>42</v>
      </c>
      <c r="H1064">
        <v>42642</v>
      </c>
    </row>
    <row r="1065" spans="1:8" x14ac:dyDescent="0.25">
      <c r="A1065">
        <v>34</v>
      </c>
      <c r="B1065" s="19">
        <v>45657</v>
      </c>
      <c r="C1065" s="1" t="s">
        <v>36</v>
      </c>
      <c r="D1065" t="s">
        <v>691</v>
      </c>
      <c r="E1065">
        <v>105</v>
      </c>
      <c r="F1065">
        <v>12</v>
      </c>
      <c r="G1065">
        <v>67</v>
      </c>
      <c r="H1065">
        <v>36270</v>
      </c>
    </row>
    <row r="1066" spans="1:8" x14ac:dyDescent="0.25">
      <c r="A1066">
        <v>34</v>
      </c>
      <c r="B1066" s="19">
        <v>43941</v>
      </c>
      <c r="C1066" s="1" t="s">
        <v>34</v>
      </c>
      <c r="D1066" t="s">
        <v>700</v>
      </c>
      <c r="E1066">
        <v>105</v>
      </c>
      <c r="F1066">
        <v>12</v>
      </c>
      <c r="G1066">
        <v>87</v>
      </c>
      <c r="H1066">
        <v>49593</v>
      </c>
    </row>
    <row r="1067" spans="1:8" x14ac:dyDescent="0.25">
      <c r="A1067">
        <v>34</v>
      </c>
      <c r="B1067" s="19">
        <v>44875</v>
      </c>
      <c r="C1067" s="1" t="s">
        <v>33</v>
      </c>
      <c r="D1067" t="s">
        <v>700</v>
      </c>
      <c r="E1067">
        <v>102</v>
      </c>
      <c r="F1067">
        <v>13</v>
      </c>
      <c r="G1067">
        <v>9</v>
      </c>
      <c r="H1067">
        <v>42377</v>
      </c>
    </row>
    <row r="1068" spans="1:8" x14ac:dyDescent="0.25">
      <c r="A1068">
        <v>34</v>
      </c>
      <c r="B1068" s="19">
        <v>44931</v>
      </c>
      <c r="C1068" s="1" t="s">
        <v>35</v>
      </c>
      <c r="D1068" t="s">
        <v>696</v>
      </c>
      <c r="E1068">
        <v>107</v>
      </c>
      <c r="F1068">
        <v>12</v>
      </c>
      <c r="G1068">
        <v>64</v>
      </c>
      <c r="H1068">
        <v>10165</v>
      </c>
    </row>
    <row r="1069" spans="1:8" x14ac:dyDescent="0.25">
      <c r="A1069">
        <v>34</v>
      </c>
      <c r="B1069" s="19">
        <v>45562</v>
      </c>
      <c r="C1069" s="1" t="s">
        <v>35</v>
      </c>
      <c r="D1069" t="s">
        <v>696</v>
      </c>
      <c r="E1069">
        <v>103</v>
      </c>
      <c r="F1069">
        <v>13</v>
      </c>
      <c r="G1069">
        <v>78</v>
      </c>
      <c r="H1069">
        <v>18520</v>
      </c>
    </row>
    <row r="1070" spans="1:8" x14ac:dyDescent="0.25">
      <c r="A1070">
        <v>34</v>
      </c>
      <c r="B1070" s="19">
        <v>45184</v>
      </c>
      <c r="C1070" s="1" t="s">
        <v>36</v>
      </c>
      <c r="D1070" t="s">
        <v>696</v>
      </c>
      <c r="E1070">
        <v>101</v>
      </c>
      <c r="F1070">
        <v>11</v>
      </c>
      <c r="G1070">
        <v>50</v>
      </c>
      <c r="H1070">
        <v>27764</v>
      </c>
    </row>
    <row r="1071" spans="1:8" x14ac:dyDescent="0.25">
      <c r="A1071">
        <v>34</v>
      </c>
      <c r="B1071" s="19">
        <v>44660</v>
      </c>
      <c r="C1071" s="1" t="s">
        <v>33</v>
      </c>
      <c r="D1071" t="s">
        <v>696</v>
      </c>
      <c r="E1071">
        <v>105</v>
      </c>
      <c r="F1071">
        <v>12</v>
      </c>
      <c r="G1071">
        <v>59</v>
      </c>
      <c r="H1071">
        <v>20765</v>
      </c>
    </row>
    <row r="1072" spans="1:8" x14ac:dyDescent="0.25">
      <c r="A1072">
        <v>34</v>
      </c>
      <c r="B1072" s="19">
        <v>43888</v>
      </c>
      <c r="C1072" s="1" t="s">
        <v>36</v>
      </c>
      <c r="D1072" t="s">
        <v>696</v>
      </c>
      <c r="E1072">
        <v>104</v>
      </c>
      <c r="F1072">
        <v>13</v>
      </c>
      <c r="G1072">
        <v>52</v>
      </c>
      <c r="H1072">
        <v>41498</v>
      </c>
    </row>
    <row r="1073" spans="1:8" x14ac:dyDescent="0.25">
      <c r="A1073">
        <v>34</v>
      </c>
      <c r="B1073" s="19">
        <v>44553</v>
      </c>
      <c r="C1073" s="1" t="s">
        <v>36</v>
      </c>
      <c r="D1073" t="s">
        <v>697</v>
      </c>
      <c r="E1073">
        <v>107</v>
      </c>
      <c r="F1073">
        <v>11</v>
      </c>
      <c r="G1073">
        <v>93</v>
      </c>
      <c r="H1073">
        <v>24977</v>
      </c>
    </row>
    <row r="1074" spans="1:8" x14ac:dyDescent="0.25">
      <c r="A1074">
        <v>34</v>
      </c>
      <c r="B1074" s="19">
        <v>44445</v>
      </c>
      <c r="C1074" s="1" t="s">
        <v>36</v>
      </c>
      <c r="D1074" t="s">
        <v>697</v>
      </c>
      <c r="E1074">
        <v>105</v>
      </c>
      <c r="F1074">
        <v>13</v>
      </c>
      <c r="G1074">
        <v>87</v>
      </c>
      <c r="H1074">
        <v>10951</v>
      </c>
    </row>
    <row r="1075" spans="1:8" x14ac:dyDescent="0.25">
      <c r="A1075">
        <v>34</v>
      </c>
      <c r="B1075" s="19">
        <v>43950</v>
      </c>
      <c r="C1075" s="1" t="s">
        <v>35</v>
      </c>
      <c r="D1075" t="s">
        <v>697</v>
      </c>
      <c r="E1075">
        <v>104</v>
      </c>
      <c r="F1075">
        <v>13</v>
      </c>
      <c r="G1075">
        <v>58</v>
      </c>
      <c r="H1075">
        <v>38623</v>
      </c>
    </row>
    <row r="1076" spans="1:8" x14ac:dyDescent="0.25">
      <c r="A1076">
        <v>34</v>
      </c>
      <c r="B1076" s="19">
        <v>45256</v>
      </c>
      <c r="C1076" s="1" t="s">
        <v>35</v>
      </c>
      <c r="D1076" t="s">
        <v>698</v>
      </c>
      <c r="E1076">
        <v>105</v>
      </c>
      <c r="F1076">
        <v>15</v>
      </c>
      <c r="G1076">
        <v>66</v>
      </c>
      <c r="H1076">
        <v>38568</v>
      </c>
    </row>
    <row r="1077" spans="1:8" x14ac:dyDescent="0.25">
      <c r="A1077">
        <v>34</v>
      </c>
      <c r="B1077" s="19">
        <v>43976</v>
      </c>
      <c r="C1077" s="1" t="s">
        <v>33</v>
      </c>
      <c r="D1077" t="s">
        <v>698</v>
      </c>
      <c r="E1077">
        <v>104</v>
      </c>
      <c r="F1077">
        <v>15</v>
      </c>
      <c r="G1077">
        <v>33</v>
      </c>
      <c r="H1077">
        <v>30848</v>
      </c>
    </row>
    <row r="1078" spans="1:8" x14ac:dyDescent="0.25">
      <c r="A1078">
        <v>34</v>
      </c>
      <c r="B1078" s="19">
        <v>43845</v>
      </c>
      <c r="C1078" s="1" t="s">
        <v>34</v>
      </c>
      <c r="D1078" t="s">
        <v>698</v>
      </c>
      <c r="E1078">
        <v>104</v>
      </c>
      <c r="F1078">
        <v>14</v>
      </c>
      <c r="G1078">
        <v>92</v>
      </c>
      <c r="H1078">
        <v>27125</v>
      </c>
    </row>
    <row r="1079" spans="1:8" x14ac:dyDescent="0.25">
      <c r="A1079">
        <v>34</v>
      </c>
      <c r="B1079" s="19">
        <v>45163</v>
      </c>
      <c r="C1079" s="1" t="s">
        <v>34</v>
      </c>
      <c r="D1079" t="s">
        <v>699</v>
      </c>
      <c r="E1079">
        <v>104</v>
      </c>
      <c r="F1079">
        <v>15</v>
      </c>
      <c r="G1079">
        <v>64</v>
      </c>
      <c r="H1079">
        <v>35685</v>
      </c>
    </row>
    <row r="1080" spans="1:8" x14ac:dyDescent="0.25">
      <c r="A1080">
        <v>34</v>
      </c>
      <c r="B1080" s="19">
        <v>44031</v>
      </c>
      <c r="C1080" s="1" t="s">
        <v>35</v>
      </c>
      <c r="D1080" t="s">
        <v>699</v>
      </c>
      <c r="E1080">
        <v>103</v>
      </c>
      <c r="F1080">
        <v>14</v>
      </c>
      <c r="G1080">
        <v>24</v>
      </c>
      <c r="H1080">
        <v>36375</v>
      </c>
    </row>
    <row r="1081" spans="1:8" x14ac:dyDescent="0.25">
      <c r="A1081">
        <v>34</v>
      </c>
      <c r="B1081" s="19">
        <v>44473</v>
      </c>
      <c r="C1081" s="1" t="s">
        <v>36</v>
      </c>
      <c r="D1081" t="s">
        <v>695</v>
      </c>
      <c r="E1081">
        <v>102</v>
      </c>
      <c r="F1081">
        <v>13</v>
      </c>
      <c r="G1081">
        <v>11</v>
      </c>
      <c r="H1081">
        <v>12491</v>
      </c>
    </row>
    <row r="1082" spans="1:8" x14ac:dyDescent="0.25">
      <c r="A1082">
        <v>34</v>
      </c>
      <c r="B1082" s="19">
        <v>45533</v>
      </c>
      <c r="C1082" s="1" t="s">
        <v>33</v>
      </c>
      <c r="D1082" t="s">
        <v>695</v>
      </c>
      <c r="E1082">
        <v>105</v>
      </c>
      <c r="F1082">
        <v>14</v>
      </c>
      <c r="G1082">
        <v>37</v>
      </c>
      <c r="H1082">
        <v>10308</v>
      </c>
    </row>
    <row r="1083" spans="1:8" x14ac:dyDescent="0.25">
      <c r="A1083">
        <v>34</v>
      </c>
      <c r="B1083" s="19">
        <v>45328</v>
      </c>
      <c r="C1083" s="1" t="s">
        <v>35</v>
      </c>
      <c r="D1083" t="s">
        <v>695</v>
      </c>
      <c r="E1083">
        <v>103</v>
      </c>
      <c r="F1083">
        <v>12</v>
      </c>
      <c r="G1083">
        <v>67</v>
      </c>
      <c r="H1083">
        <v>48689</v>
      </c>
    </row>
    <row r="1084" spans="1:8" x14ac:dyDescent="0.25">
      <c r="A1084">
        <v>34</v>
      </c>
      <c r="B1084" s="19">
        <v>44897</v>
      </c>
      <c r="C1084" s="1" t="s">
        <v>36</v>
      </c>
      <c r="D1084" t="s">
        <v>692</v>
      </c>
      <c r="E1084">
        <v>103</v>
      </c>
      <c r="F1084">
        <v>15</v>
      </c>
      <c r="G1084">
        <v>93</v>
      </c>
      <c r="H1084">
        <v>40538</v>
      </c>
    </row>
    <row r="1085" spans="1:8" x14ac:dyDescent="0.25">
      <c r="A1085">
        <v>34</v>
      </c>
      <c r="B1085" s="19">
        <v>45578</v>
      </c>
      <c r="C1085" s="1" t="s">
        <v>36</v>
      </c>
      <c r="D1085" t="s">
        <v>692</v>
      </c>
      <c r="E1085">
        <v>108</v>
      </c>
      <c r="F1085">
        <v>15</v>
      </c>
      <c r="G1085">
        <v>8</v>
      </c>
      <c r="H1085">
        <v>28230</v>
      </c>
    </row>
    <row r="1086" spans="1:8" x14ac:dyDescent="0.25">
      <c r="A1086">
        <v>34</v>
      </c>
      <c r="B1086" s="19">
        <v>44917</v>
      </c>
      <c r="C1086" s="1" t="s">
        <v>33</v>
      </c>
      <c r="D1086" t="s">
        <v>692</v>
      </c>
      <c r="E1086">
        <v>103</v>
      </c>
      <c r="F1086">
        <v>12</v>
      </c>
      <c r="G1086">
        <v>12</v>
      </c>
      <c r="H1086">
        <v>35358</v>
      </c>
    </row>
    <row r="1087" spans="1:8" x14ac:dyDescent="0.25">
      <c r="A1087">
        <v>34</v>
      </c>
      <c r="B1087" s="19">
        <v>44194</v>
      </c>
      <c r="C1087" s="1" t="s">
        <v>35</v>
      </c>
      <c r="D1087" t="s">
        <v>692</v>
      </c>
      <c r="E1087">
        <v>105</v>
      </c>
      <c r="F1087">
        <v>11</v>
      </c>
      <c r="G1087">
        <v>66</v>
      </c>
      <c r="H1087">
        <v>17036</v>
      </c>
    </row>
    <row r="1088" spans="1:8" x14ac:dyDescent="0.25">
      <c r="A1088">
        <v>34</v>
      </c>
      <c r="B1088" s="19">
        <v>45564</v>
      </c>
      <c r="C1088" s="1" t="s">
        <v>35</v>
      </c>
      <c r="D1088" t="s">
        <v>693</v>
      </c>
      <c r="E1088">
        <v>101</v>
      </c>
      <c r="F1088">
        <v>15</v>
      </c>
      <c r="G1088">
        <v>15</v>
      </c>
      <c r="H1088">
        <v>11706</v>
      </c>
    </row>
    <row r="1089" spans="1:8" x14ac:dyDescent="0.25">
      <c r="A1089">
        <v>34</v>
      </c>
      <c r="B1089" s="19">
        <v>45346</v>
      </c>
      <c r="C1089" s="1" t="s">
        <v>34</v>
      </c>
      <c r="D1089" t="s">
        <v>693</v>
      </c>
      <c r="E1089">
        <v>103</v>
      </c>
      <c r="F1089">
        <v>15</v>
      </c>
      <c r="G1089">
        <v>57</v>
      </c>
      <c r="H1089">
        <v>10648</v>
      </c>
    </row>
    <row r="1090" spans="1:8" x14ac:dyDescent="0.25">
      <c r="A1090">
        <v>34</v>
      </c>
      <c r="B1090" s="19">
        <v>44528</v>
      </c>
      <c r="C1090" s="1" t="s">
        <v>33</v>
      </c>
      <c r="D1090" t="s">
        <v>693</v>
      </c>
      <c r="E1090">
        <v>108</v>
      </c>
      <c r="F1090">
        <v>13</v>
      </c>
      <c r="G1090">
        <v>19</v>
      </c>
      <c r="H1090">
        <v>37997</v>
      </c>
    </row>
    <row r="1091" spans="1:8" x14ac:dyDescent="0.25">
      <c r="A1091">
        <v>34</v>
      </c>
      <c r="B1091" s="19">
        <v>44331</v>
      </c>
      <c r="C1091" s="1" t="s">
        <v>34</v>
      </c>
      <c r="D1091" t="s">
        <v>693</v>
      </c>
      <c r="E1091">
        <v>105</v>
      </c>
      <c r="F1091">
        <v>15</v>
      </c>
      <c r="G1091">
        <v>58</v>
      </c>
      <c r="H1091">
        <v>17059</v>
      </c>
    </row>
    <row r="1092" spans="1:8" x14ac:dyDescent="0.25">
      <c r="A1092">
        <v>34</v>
      </c>
      <c r="B1092" s="19">
        <v>43912</v>
      </c>
      <c r="C1092" s="1" t="s">
        <v>34</v>
      </c>
      <c r="D1092" t="s">
        <v>694</v>
      </c>
      <c r="E1092">
        <v>105</v>
      </c>
      <c r="F1092">
        <v>11</v>
      </c>
      <c r="G1092">
        <v>32</v>
      </c>
      <c r="H1092">
        <v>17714</v>
      </c>
    </row>
    <row r="1093" spans="1:8" x14ac:dyDescent="0.25">
      <c r="A1093">
        <v>34</v>
      </c>
      <c r="B1093" s="19">
        <v>44920</v>
      </c>
      <c r="C1093" s="1" t="s">
        <v>34</v>
      </c>
      <c r="D1093" t="s">
        <v>694</v>
      </c>
      <c r="E1093">
        <v>109</v>
      </c>
      <c r="F1093">
        <v>12</v>
      </c>
      <c r="G1093">
        <v>56</v>
      </c>
      <c r="H1093">
        <v>39701</v>
      </c>
    </row>
    <row r="1094" spans="1:8" x14ac:dyDescent="0.25">
      <c r="A1094">
        <v>34</v>
      </c>
      <c r="B1094" s="19">
        <v>44105</v>
      </c>
      <c r="C1094" s="1" t="s">
        <v>34</v>
      </c>
      <c r="D1094" t="s">
        <v>694</v>
      </c>
      <c r="E1094">
        <v>103</v>
      </c>
      <c r="F1094">
        <v>13</v>
      </c>
      <c r="G1094">
        <v>18</v>
      </c>
      <c r="H1094">
        <v>29480</v>
      </c>
    </row>
    <row r="1095" spans="1:8" x14ac:dyDescent="0.25">
      <c r="A1095">
        <v>34</v>
      </c>
      <c r="B1095" s="19">
        <v>45529</v>
      </c>
      <c r="C1095" s="1" t="s">
        <v>36</v>
      </c>
      <c r="D1095" t="s">
        <v>694</v>
      </c>
      <c r="E1095">
        <v>102</v>
      </c>
      <c r="F1095">
        <v>12</v>
      </c>
      <c r="G1095">
        <v>86</v>
      </c>
      <c r="H1095">
        <v>41655</v>
      </c>
    </row>
    <row r="1096" spans="1:8" x14ac:dyDescent="0.25">
      <c r="A1096">
        <v>35</v>
      </c>
      <c r="B1096" s="19">
        <v>43924</v>
      </c>
      <c r="C1096" s="1" t="s">
        <v>35</v>
      </c>
      <c r="D1096" t="s">
        <v>690</v>
      </c>
      <c r="E1096">
        <v>104</v>
      </c>
      <c r="F1096">
        <v>11</v>
      </c>
      <c r="G1096">
        <v>86</v>
      </c>
      <c r="H1096">
        <v>28177</v>
      </c>
    </row>
    <row r="1097" spans="1:8" x14ac:dyDescent="0.25">
      <c r="A1097">
        <v>35</v>
      </c>
      <c r="B1097" s="19">
        <v>44746</v>
      </c>
      <c r="C1097" s="1" t="s">
        <v>33</v>
      </c>
      <c r="D1097" t="s">
        <v>690</v>
      </c>
      <c r="E1097">
        <v>105</v>
      </c>
      <c r="F1097">
        <v>13</v>
      </c>
      <c r="G1097">
        <v>80</v>
      </c>
      <c r="H1097">
        <v>29597</v>
      </c>
    </row>
    <row r="1098" spans="1:8" x14ac:dyDescent="0.25">
      <c r="A1098">
        <v>35</v>
      </c>
      <c r="B1098" s="19">
        <v>43919</v>
      </c>
      <c r="C1098" s="1" t="s">
        <v>34</v>
      </c>
      <c r="D1098" t="s">
        <v>691</v>
      </c>
      <c r="E1098">
        <v>103</v>
      </c>
      <c r="F1098">
        <v>11</v>
      </c>
      <c r="G1098">
        <v>79</v>
      </c>
      <c r="H1098">
        <v>22509</v>
      </c>
    </row>
    <row r="1099" spans="1:8" x14ac:dyDescent="0.25">
      <c r="A1099">
        <v>35</v>
      </c>
      <c r="B1099" s="19">
        <v>44389</v>
      </c>
      <c r="C1099" s="1" t="s">
        <v>35</v>
      </c>
      <c r="D1099" t="s">
        <v>691</v>
      </c>
      <c r="E1099">
        <v>104</v>
      </c>
      <c r="F1099">
        <v>11</v>
      </c>
      <c r="G1099">
        <v>56</v>
      </c>
      <c r="H1099">
        <v>12434</v>
      </c>
    </row>
    <row r="1100" spans="1:8" x14ac:dyDescent="0.25">
      <c r="A1100">
        <v>35</v>
      </c>
      <c r="B1100" s="19">
        <v>44037</v>
      </c>
      <c r="C1100" s="1" t="s">
        <v>35</v>
      </c>
      <c r="D1100" t="s">
        <v>691</v>
      </c>
      <c r="E1100">
        <v>103</v>
      </c>
      <c r="F1100">
        <v>14</v>
      </c>
      <c r="G1100">
        <v>100</v>
      </c>
      <c r="H1100">
        <v>46248</v>
      </c>
    </row>
    <row r="1101" spans="1:8" x14ac:dyDescent="0.25">
      <c r="A1101">
        <v>35</v>
      </c>
      <c r="B1101" s="19">
        <v>43890</v>
      </c>
      <c r="C1101" s="1" t="s">
        <v>36</v>
      </c>
      <c r="D1101" t="s">
        <v>691</v>
      </c>
      <c r="E1101">
        <v>104</v>
      </c>
      <c r="F1101">
        <v>11</v>
      </c>
      <c r="G1101">
        <v>53</v>
      </c>
      <c r="H1101">
        <v>43174</v>
      </c>
    </row>
    <row r="1102" spans="1:8" x14ac:dyDescent="0.25">
      <c r="A1102">
        <v>35</v>
      </c>
      <c r="B1102" s="19">
        <v>45384</v>
      </c>
      <c r="C1102" s="1" t="s">
        <v>33</v>
      </c>
      <c r="D1102" t="s">
        <v>691</v>
      </c>
      <c r="E1102">
        <v>102</v>
      </c>
      <c r="F1102">
        <v>14</v>
      </c>
      <c r="G1102">
        <v>65</v>
      </c>
      <c r="H1102">
        <v>21654</v>
      </c>
    </row>
    <row r="1103" spans="1:8" x14ac:dyDescent="0.25">
      <c r="A1103">
        <v>35</v>
      </c>
      <c r="B1103" s="19">
        <v>43982</v>
      </c>
      <c r="C1103" s="1" t="s">
        <v>35</v>
      </c>
      <c r="D1103" t="s">
        <v>691</v>
      </c>
      <c r="E1103">
        <v>105</v>
      </c>
      <c r="F1103">
        <v>14</v>
      </c>
      <c r="G1103">
        <v>86</v>
      </c>
      <c r="H1103">
        <v>43889</v>
      </c>
    </row>
    <row r="1104" spans="1:8" x14ac:dyDescent="0.25">
      <c r="A1104">
        <v>35</v>
      </c>
      <c r="B1104" s="19">
        <v>45324</v>
      </c>
      <c r="C1104" s="1" t="s">
        <v>35</v>
      </c>
      <c r="D1104" t="s">
        <v>700</v>
      </c>
      <c r="E1104">
        <v>103</v>
      </c>
      <c r="F1104">
        <v>12</v>
      </c>
      <c r="G1104">
        <v>39</v>
      </c>
      <c r="H1104">
        <v>39710</v>
      </c>
    </row>
    <row r="1105" spans="1:8" x14ac:dyDescent="0.25">
      <c r="A1105">
        <v>35</v>
      </c>
      <c r="B1105" s="19">
        <v>44942</v>
      </c>
      <c r="C1105" s="1" t="s">
        <v>33</v>
      </c>
      <c r="D1105" t="s">
        <v>700</v>
      </c>
      <c r="E1105">
        <v>104</v>
      </c>
      <c r="F1105">
        <v>15</v>
      </c>
      <c r="G1105">
        <v>37</v>
      </c>
      <c r="H1105">
        <v>34065</v>
      </c>
    </row>
    <row r="1106" spans="1:8" x14ac:dyDescent="0.25">
      <c r="A1106">
        <v>35</v>
      </c>
      <c r="B1106" s="19">
        <v>44130</v>
      </c>
      <c r="C1106" s="1" t="s">
        <v>33</v>
      </c>
      <c r="D1106" t="s">
        <v>700</v>
      </c>
      <c r="E1106">
        <v>104</v>
      </c>
      <c r="F1106">
        <v>15</v>
      </c>
      <c r="G1106">
        <v>58</v>
      </c>
      <c r="H1106">
        <v>26670</v>
      </c>
    </row>
    <row r="1107" spans="1:8" x14ac:dyDescent="0.25">
      <c r="A1107">
        <v>35</v>
      </c>
      <c r="B1107" s="19">
        <v>44634</v>
      </c>
      <c r="C1107" s="1" t="s">
        <v>36</v>
      </c>
      <c r="D1107" t="s">
        <v>700</v>
      </c>
      <c r="E1107">
        <v>102</v>
      </c>
      <c r="F1107">
        <v>12</v>
      </c>
      <c r="G1107">
        <v>31</v>
      </c>
      <c r="H1107">
        <v>43208</v>
      </c>
    </row>
    <row r="1108" spans="1:8" x14ac:dyDescent="0.25">
      <c r="A1108">
        <v>35</v>
      </c>
      <c r="B1108" s="19">
        <v>45607</v>
      </c>
      <c r="C1108" s="1" t="s">
        <v>34</v>
      </c>
      <c r="D1108" t="s">
        <v>700</v>
      </c>
      <c r="E1108">
        <v>105</v>
      </c>
      <c r="F1108">
        <v>15</v>
      </c>
      <c r="G1108">
        <v>36</v>
      </c>
      <c r="H1108">
        <v>23999</v>
      </c>
    </row>
    <row r="1109" spans="1:8" x14ac:dyDescent="0.25">
      <c r="A1109">
        <v>35</v>
      </c>
      <c r="B1109" s="19">
        <v>45584</v>
      </c>
      <c r="C1109" s="1" t="s">
        <v>34</v>
      </c>
      <c r="D1109" t="s">
        <v>700</v>
      </c>
      <c r="E1109">
        <v>107</v>
      </c>
      <c r="F1109">
        <v>13</v>
      </c>
      <c r="G1109">
        <v>73</v>
      </c>
      <c r="H1109">
        <v>27749</v>
      </c>
    </row>
    <row r="1110" spans="1:8" x14ac:dyDescent="0.25">
      <c r="A1110">
        <v>35</v>
      </c>
      <c r="B1110" s="19">
        <v>45343</v>
      </c>
      <c r="C1110" s="1" t="s">
        <v>36</v>
      </c>
      <c r="D1110" t="s">
        <v>696</v>
      </c>
      <c r="E1110">
        <v>104</v>
      </c>
      <c r="F1110">
        <v>11</v>
      </c>
      <c r="G1110">
        <v>37</v>
      </c>
      <c r="H1110">
        <v>33671</v>
      </c>
    </row>
    <row r="1111" spans="1:8" x14ac:dyDescent="0.25">
      <c r="A1111">
        <v>35</v>
      </c>
      <c r="B1111" s="19">
        <v>43959</v>
      </c>
      <c r="C1111" s="1" t="s">
        <v>35</v>
      </c>
      <c r="D1111" t="s">
        <v>697</v>
      </c>
      <c r="E1111">
        <v>103</v>
      </c>
      <c r="F1111">
        <v>11</v>
      </c>
      <c r="G1111">
        <v>75</v>
      </c>
      <c r="H1111">
        <v>46769</v>
      </c>
    </row>
    <row r="1112" spans="1:8" x14ac:dyDescent="0.25">
      <c r="A1112">
        <v>35</v>
      </c>
      <c r="B1112" s="19">
        <v>43920</v>
      </c>
      <c r="C1112" s="1" t="s">
        <v>33</v>
      </c>
      <c r="D1112" t="s">
        <v>697</v>
      </c>
      <c r="E1112">
        <v>104</v>
      </c>
      <c r="F1112">
        <v>14</v>
      </c>
      <c r="G1112">
        <v>56</v>
      </c>
      <c r="H1112">
        <v>36009</v>
      </c>
    </row>
    <row r="1113" spans="1:8" x14ac:dyDescent="0.25">
      <c r="A1113">
        <v>35</v>
      </c>
      <c r="B1113" s="19">
        <v>44109</v>
      </c>
      <c r="C1113" s="1" t="s">
        <v>36</v>
      </c>
      <c r="D1113" t="s">
        <v>698</v>
      </c>
      <c r="E1113">
        <v>104</v>
      </c>
      <c r="F1113">
        <v>15</v>
      </c>
      <c r="G1113">
        <v>33</v>
      </c>
      <c r="H1113">
        <v>33811</v>
      </c>
    </row>
    <row r="1114" spans="1:8" x14ac:dyDescent="0.25">
      <c r="A1114">
        <v>35</v>
      </c>
      <c r="B1114" s="19">
        <v>44849</v>
      </c>
      <c r="C1114" s="1" t="s">
        <v>35</v>
      </c>
      <c r="D1114" t="s">
        <v>699</v>
      </c>
      <c r="E1114">
        <v>103</v>
      </c>
      <c r="F1114">
        <v>14</v>
      </c>
      <c r="G1114">
        <v>50</v>
      </c>
      <c r="H1114">
        <v>45140</v>
      </c>
    </row>
    <row r="1115" spans="1:8" x14ac:dyDescent="0.25">
      <c r="A1115">
        <v>35</v>
      </c>
      <c r="B1115" s="19">
        <v>44446</v>
      </c>
      <c r="C1115" s="1" t="s">
        <v>34</v>
      </c>
      <c r="D1115" t="s">
        <v>699</v>
      </c>
      <c r="E1115">
        <v>105</v>
      </c>
      <c r="F1115">
        <v>15</v>
      </c>
      <c r="G1115">
        <v>30</v>
      </c>
      <c r="H1115">
        <v>15798</v>
      </c>
    </row>
    <row r="1116" spans="1:8" x14ac:dyDescent="0.25">
      <c r="A1116">
        <v>35</v>
      </c>
      <c r="B1116" s="19">
        <v>44483</v>
      </c>
      <c r="C1116" s="1" t="s">
        <v>33</v>
      </c>
      <c r="D1116" t="s">
        <v>695</v>
      </c>
      <c r="E1116">
        <v>101</v>
      </c>
      <c r="F1116">
        <v>13</v>
      </c>
      <c r="G1116">
        <v>25</v>
      </c>
      <c r="H1116">
        <v>12291</v>
      </c>
    </row>
    <row r="1117" spans="1:8" x14ac:dyDescent="0.25">
      <c r="A1117">
        <v>35</v>
      </c>
      <c r="B1117" s="19">
        <v>45058</v>
      </c>
      <c r="C1117" s="1" t="s">
        <v>34</v>
      </c>
      <c r="D1117" t="s">
        <v>695</v>
      </c>
      <c r="E1117">
        <v>103</v>
      </c>
      <c r="F1117">
        <v>15</v>
      </c>
      <c r="G1117">
        <v>76</v>
      </c>
      <c r="H1117">
        <v>36039</v>
      </c>
    </row>
    <row r="1118" spans="1:8" x14ac:dyDescent="0.25">
      <c r="A1118">
        <v>35</v>
      </c>
      <c r="B1118" s="19">
        <v>44467</v>
      </c>
      <c r="C1118" s="1" t="s">
        <v>34</v>
      </c>
      <c r="D1118" t="s">
        <v>692</v>
      </c>
      <c r="E1118">
        <v>101</v>
      </c>
      <c r="F1118">
        <v>15</v>
      </c>
      <c r="G1118">
        <v>57</v>
      </c>
      <c r="H1118">
        <v>43453</v>
      </c>
    </row>
    <row r="1119" spans="1:8" x14ac:dyDescent="0.25">
      <c r="A1119">
        <v>35</v>
      </c>
      <c r="B1119" s="19">
        <v>45348</v>
      </c>
      <c r="C1119" s="1" t="s">
        <v>33</v>
      </c>
      <c r="D1119" t="s">
        <v>692</v>
      </c>
      <c r="E1119">
        <v>105</v>
      </c>
      <c r="F1119">
        <v>14</v>
      </c>
      <c r="G1119">
        <v>80</v>
      </c>
      <c r="H1119">
        <v>23622</v>
      </c>
    </row>
    <row r="1120" spans="1:8" x14ac:dyDescent="0.25">
      <c r="A1120">
        <v>35</v>
      </c>
      <c r="B1120" s="19">
        <v>45414</v>
      </c>
      <c r="C1120" s="1" t="s">
        <v>34</v>
      </c>
      <c r="D1120" t="s">
        <v>692</v>
      </c>
      <c r="E1120">
        <v>108</v>
      </c>
      <c r="F1120">
        <v>15</v>
      </c>
      <c r="G1120">
        <v>72</v>
      </c>
      <c r="H1120">
        <v>28041</v>
      </c>
    </row>
    <row r="1121" spans="1:8" x14ac:dyDescent="0.25">
      <c r="A1121">
        <v>35</v>
      </c>
      <c r="B1121" s="19">
        <v>45530</v>
      </c>
      <c r="C1121" s="1" t="s">
        <v>34</v>
      </c>
      <c r="D1121" t="s">
        <v>692</v>
      </c>
      <c r="E1121">
        <v>107</v>
      </c>
      <c r="F1121">
        <v>11</v>
      </c>
      <c r="G1121">
        <v>18</v>
      </c>
      <c r="H1121">
        <v>14447</v>
      </c>
    </row>
    <row r="1122" spans="1:8" x14ac:dyDescent="0.25">
      <c r="A1122">
        <v>35</v>
      </c>
      <c r="B1122" s="19">
        <v>44372</v>
      </c>
      <c r="C1122" s="1" t="s">
        <v>35</v>
      </c>
      <c r="D1122" t="s">
        <v>693</v>
      </c>
      <c r="E1122">
        <v>105</v>
      </c>
      <c r="F1122">
        <v>12</v>
      </c>
      <c r="G1122">
        <v>47</v>
      </c>
      <c r="H1122">
        <v>39696</v>
      </c>
    </row>
    <row r="1123" spans="1:8" x14ac:dyDescent="0.25">
      <c r="A1123">
        <v>35</v>
      </c>
      <c r="B1123" s="19">
        <v>44249</v>
      </c>
      <c r="C1123" s="1" t="s">
        <v>35</v>
      </c>
      <c r="D1123" t="s">
        <v>693</v>
      </c>
      <c r="E1123">
        <v>104</v>
      </c>
      <c r="F1123">
        <v>12</v>
      </c>
      <c r="G1123">
        <v>42</v>
      </c>
      <c r="H1123">
        <v>30067</v>
      </c>
    </row>
    <row r="1124" spans="1:8" x14ac:dyDescent="0.25">
      <c r="A1124">
        <v>35</v>
      </c>
      <c r="B1124" s="19">
        <v>44207</v>
      </c>
      <c r="C1124" s="1" t="s">
        <v>35</v>
      </c>
      <c r="D1124" t="s">
        <v>693</v>
      </c>
      <c r="E1124">
        <v>104</v>
      </c>
      <c r="F1124">
        <v>15</v>
      </c>
      <c r="G1124">
        <v>84</v>
      </c>
      <c r="H1124">
        <v>40147</v>
      </c>
    </row>
    <row r="1125" spans="1:8" x14ac:dyDescent="0.25">
      <c r="A1125">
        <v>35</v>
      </c>
      <c r="B1125" s="19">
        <v>45118</v>
      </c>
      <c r="C1125" s="1" t="s">
        <v>35</v>
      </c>
      <c r="D1125" t="s">
        <v>694</v>
      </c>
      <c r="E1125">
        <v>109</v>
      </c>
      <c r="F1125">
        <v>12</v>
      </c>
      <c r="G1125">
        <v>17</v>
      </c>
      <c r="H1125">
        <v>15739</v>
      </c>
    </row>
    <row r="1126" spans="1:8" x14ac:dyDescent="0.25">
      <c r="A1126">
        <v>36</v>
      </c>
      <c r="B1126" s="19">
        <v>44915</v>
      </c>
      <c r="C1126" s="1" t="s">
        <v>35</v>
      </c>
      <c r="D1126" t="s">
        <v>691</v>
      </c>
      <c r="E1126">
        <v>105</v>
      </c>
      <c r="F1126">
        <v>15</v>
      </c>
      <c r="G1126">
        <v>75</v>
      </c>
      <c r="H1126">
        <v>14443</v>
      </c>
    </row>
    <row r="1127" spans="1:8" x14ac:dyDescent="0.25">
      <c r="A1127">
        <v>36</v>
      </c>
      <c r="B1127" s="19">
        <v>45591</v>
      </c>
      <c r="C1127" s="1" t="s">
        <v>34</v>
      </c>
      <c r="D1127" t="s">
        <v>691</v>
      </c>
      <c r="E1127">
        <v>103</v>
      </c>
      <c r="F1127">
        <v>15</v>
      </c>
      <c r="G1127">
        <v>96</v>
      </c>
      <c r="H1127">
        <v>32181</v>
      </c>
    </row>
    <row r="1128" spans="1:8" x14ac:dyDescent="0.25">
      <c r="A1128">
        <v>36</v>
      </c>
      <c r="B1128" s="19">
        <v>44990</v>
      </c>
      <c r="C1128" s="1" t="s">
        <v>36</v>
      </c>
      <c r="D1128" t="s">
        <v>691</v>
      </c>
      <c r="E1128">
        <v>109</v>
      </c>
      <c r="F1128">
        <v>15</v>
      </c>
      <c r="G1128">
        <v>17</v>
      </c>
      <c r="H1128">
        <v>24042</v>
      </c>
    </row>
    <row r="1129" spans="1:8" x14ac:dyDescent="0.25">
      <c r="A1129">
        <v>36</v>
      </c>
      <c r="B1129" s="19">
        <v>45630</v>
      </c>
      <c r="C1129" s="1" t="s">
        <v>33</v>
      </c>
      <c r="D1129" t="s">
        <v>691</v>
      </c>
      <c r="E1129">
        <v>107</v>
      </c>
      <c r="F1129">
        <v>12</v>
      </c>
      <c r="G1129">
        <v>99</v>
      </c>
      <c r="H1129">
        <v>13453</v>
      </c>
    </row>
    <row r="1130" spans="1:8" x14ac:dyDescent="0.25">
      <c r="A1130">
        <v>36</v>
      </c>
      <c r="B1130" s="19">
        <v>45407</v>
      </c>
      <c r="C1130" s="1" t="s">
        <v>36</v>
      </c>
      <c r="D1130" t="s">
        <v>700</v>
      </c>
      <c r="E1130">
        <v>104</v>
      </c>
      <c r="F1130">
        <v>11</v>
      </c>
      <c r="G1130">
        <v>11</v>
      </c>
      <c r="H1130">
        <v>40437</v>
      </c>
    </row>
    <row r="1131" spans="1:8" x14ac:dyDescent="0.25">
      <c r="A1131">
        <v>36</v>
      </c>
      <c r="B1131" s="19">
        <v>44046</v>
      </c>
      <c r="C1131" s="1" t="s">
        <v>35</v>
      </c>
      <c r="D1131" t="s">
        <v>696</v>
      </c>
      <c r="E1131">
        <v>104</v>
      </c>
      <c r="F1131">
        <v>13</v>
      </c>
      <c r="G1131">
        <v>12</v>
      </c>
      <c r="H1131">
        <v>47173</v>
      </c>
    </row>
    <row r="1132" spans="1:8" x14ac:dyDescent="0.25">
      <c r="A1132">
        <v>36</v>
      </c>
      <c r="B1132" s="19">
        <v>45402</v>
      </c>
      <c r="C1132" s="1" t="s">
        <v>34</v>
      </c>
      <c r="D1132" t="s">
        <v>696</v>
      </c>
      <c r="E1132">
        <v>104</v>
      </c>
      <c r="F1132">
        <v>12</v>
      </c>
      <c r="G1132">
        <v>95</v>
      </c>
      <c r="H1132">
        <v>15191</v>
      </c>
    </row>
    <row r="1133" spans="1:8" x14ac:dyDescent="0.25">
      <c r="A1133">
        <v>36</v>
      </c>
      <c r="B1133" s="19">
        <v>45028</v>
      </c>
      <c r="C1133" s="1" t="s">
        <v>35</v>
      </c>
      <c r="D1133" t="s">
        <v>696</v>
      </c>
      <c r="E1133">
        <v>105</v>
      </c>
      <c r="F1133">
        <v>11</v>
      </c>
      <c r="G1133">
        <v>99</v>
      </c>
      <c r="H1133">
        <v>46459</v>
      </c>
    </row>
    <row r="1134" spans="1:8" x14ac:dyDescent="0.25">
      <c r="A1134">
        <v>36</v>
      </c>
      <c r="B1134" s="19">
        <v>45129</v>
      </c>
      <c r="C1134" s="1" t="s">
        <v>33</v>
      </c>
      <c r="D1134" t="s">
        <v>696</v>
      </c>
      <c r="E1134">
        <v>102</v>
      </c>
      <c r="F1134">
        <v>15</v>
      </c>
      <c r="G1134">
        <v>27</v>
      </c>
      <c r="H1134">
        <v>19387</v>
      </c>
    </row>
    <row r="1135" spans="1:8" x14ac:dyDescent="0.25">
      <c r="A1135">
        <v>36</v>
      </c>
      <c r="B1135" s="19">
        <v>44648</v>
      </c>
      <c r="C1135" s="1" t="s">
        <v>33</v>
      </c>
      <c r="D1135" t="s">
        <v>696</v>
      </c>
      <c r="E1135">
        <v>103</v>
      </c>
      <c r="F1135">
        <v>13</v>
      </c>
      <c r="G1135">
        <v>40</v>
      </c>
      <c r="H1135">
        <v>29624</v>
      </c>
    </row>
    <row r="1136" spans="1:8" x14ac:dyDescent="0.25">
      <c r="A1136">
        <v>36</v>
      </c>
      <c r="B1136" s="19">
        <v>44454</v>
      </c>
      <c r="C1136" s="1" t="s">
        <v>36</v>
      </c>
      <c r="D1136" t="s">
        <v>697</v>
      </c>
      <c r="E1136">
        <v>105</v>
      </c>
      <c r="F1136">
        <v>11</v>
      </c>
      <c r="G1136">
        <v>8</v>
      </c>
      <c r="H1136">
        <v>10051</v>
      </c>
    </row>
    <row r="1137" spans="1:8" x14ac:dyDescent="0.25">
      <c r="A1137">
        <v>36</v>
      </c>
      <c r="B1137" s="19">
        <v>44585</v>
      </c>
      <c r="C1137" s="1" t="s">
        <v>35</v>
      </c>
      <c r="D1137" t="s">
        <v>697</v>
      </c>
      <c r="E1137">
        <v>106</v>
      </c>
      <c r="F1137">
        <v>13</v>
      </c>
      <c r="G1137">
        <v>55</v>
      </c>
      <c r="H1137">
        <v>24946</v>
      </c>
    </row>
    <row r="1138" spans="1:8" x14ac:dyDescent="0.25">
      <c r="A1138">
        <v>36</v>
      </c>
      <c r="B1138" s="19">
        <v>44398</v>
      </c>
      <c r="C1138" s="1" t="s">
        <v>34</v>
      </c>
      <c r="D1138" t="s">
        <v>697</v>
      </c>
      <c r="E1138">
        <v>103</v>
      </c>
      <c r="F1138">
        <v>11</v>
      </c>
      <c r="G1138">
        <v>85</v>
      </c>
      <c r="H1138">
        <v>15220</v>
      </c>
    </row>
    <row r="1139" spans="1:8" x14ac:dyDescent="0.25">
      <c r="A1139">
        <v>36</v>
      </c>
      <c r="B1139" s="19">
        <v>43991</v>
      </c>
      <c r="C1139" s="1" t="s">
        <v>34</v>
      </c>
      <c r="D1139" t="s">
        <v>697</v>
      </c>
      <c r="E1139">
        <v>101</v>
      </c>
      <c r="F1139">
        <v>12</v>
      </c>
      <c r="G1139">
        <v>97</v>
      </c>
      <c r="H1139">
        <v>31849</v>
      </c>
    </row>
    <row r="1140" spans="1:8" x14ac:dyDescent="0.25">
      <c r="A1140">
        <v>36</v>
      </c>
      <c r="B1140" s="19">
        <v>44646</v>
      </c>
      <c r="C1140" s="1" t="s">
        <v>35</v>
      </c>
      <c r="D1140" t="s">
        <v>697</v>
      </c>
      <c r="E1140">
        <v>105</v>
      </c>
      <c r="F1140">
        <v>13</v>
      </c>
      <c r="G1140">
        <v>89</v>
      </c>
      <c r="H1140">
        <v>36475</v>
      </c>
    </row>
    <row r="1141" spans="1:8" x14ac:dyDescent="0.25">
      <c r="A1141">
        <v>36</v>
      </c>
      <c r="B1141" s="19">
        <v>44094</v>
      </c>
      <c r="C1141" s="1" t="s">
        <v>34</v>
      </c>
      <c r="D1141" t="s">
        <v>698</v>
      </c>
      <c r="E1141">
        <v>106</v>
      </c>
      <c r="F1141">
        <v>15</v>
      </c>
      <c r="G1141">
        <v>40</v>
      </c>
      <c r="H1141">
        <v>45943</v>
      </c>
    </row>
    <row r="1142" spans="1:8" x14ac:dyDescent="0.25">
      <c r="A1142">
        <v>36</v>
      </c>
      <c r="B1142" s="19">
        <v>45587</v>
      </c>
      <c r="C1142" s="1" t="s">
        <v>34</v>
      </c>
      <c r="D1142" t="s">
        <v>698</v>
      </c>
      <c r="E1142">
        <v>103</v>
      </c>
      <c r="F1142">
        <v>12</v>
      </c>
      <c r="G1142">
        <v>18</v>
      </c>
      <c r="H1142">
        <v>46179</v>
      </c>
    </row>
    <row r="1143" spans="1:8" x14ac:dyDescent="0.25">
      <c r="A1143">
        <v>36</v>
      </c>
      <c r="B1143" s="19">
        <v>45321</v>
      </c>
      <c r="C1143" s="1" t="s">
        <v>36</v>
      </c>
      <c r="D1143" t="s">
        <v>698</v>
      </c>
      <c r="E1143">
        <v>103</v>
      </c>
      <c r="F1143">
        <v>15</v>
      </c>
      <c r="G1143">
        <v>63</v>
      </c>
      <c r="H1143">
        <v>36677</v>
      </c>
    </row>
    <row r="1144" spans="1:8" x14ac:dyDescent="0.25">
      <c r="A1144">
        <v>36</v>
      </c>
      <c r="B1144" s="19">
        <v>44135</v>
      </c>
      <c r="C1144" s="1" t="s">
        <v>36</v>
      </c>
      <c r="D1144" t="s">
        <v>698</v>
      </c>
      <c r="E1144">
        <v>103</v>
      </c>
      <c r="F1144">
        <v>15</v>
      </c>
      <c r="G1144">
        <v>57</v>
      </c>
      <c r="H1144">
        <v>38543</v>
      </c>
    </row>
    <row r="1145" spans="1:8" x14ac:dyDescent="0.25">
      <c r="A1145">
        <v>36</v>
      </c>
      <c r="B1145" s="19">
        <v>45318</v>
      </c>
      <c r="C1145" s="1" t="s">
        <v>34</v>
      </c>
      <c r="D1145" t="s">
        <v>698</v>
      </c>
      <c r="E1145">
        <v>103</v>
      </c>
      <c r="F1145">
        <v>12</v>
      </c>
      <c r="G1145">
        <v>80</v>
      </c>
      <c r="H1145">
        <v>28381</v>
      </c>
    </row>
    <row r="1146" spans="1:8" x14ac:dyDescent="0.25">
      <c r="A1146">
        <v>36</v>
      </c>
      <c r="B1146" s="19">
        <v>44163</v>
      </c>
      <c r="C1146" s="1" t="s">
        <v>33</v>
      </c>
      <c r="D1146" t="s">
        <v>698</v>
      </c>
      <c r="E1146">
        <v>105</v>
      </c>
      <c r="F1146">
        <v>12</v>
      </c>
      <c r="G1146">
        <v>86</v>
      </c>
      <c r="H1146">
        <v>13609</v>
      </c>
    </row>
    <row r="1147" spans="1:8" x14ac:dyDescent="0.25">
      <c r="A1147">
        <v>36</v>
      </c>
      <c r="B1147" s="19">
        <v>45561</v>
      </c>
      <c r="C1147" s="1" t="s">
        <v>34</v>
      </c>
      <c r="D1147" t="s">
        <v>699</v>
      </c>
      <c r="E1147">
        <v>104</v>
      </c>
      <c r="F1147">
        <v>11</v>
      </c>
      <c r="G1147">
        <v>98</v>
      </c>
      <c r="H1147">
        <v>47305</v>
      </c>
    </row>
    <row r="1148" spans="1:8" x14ac:dyDescent="0.25">
      <c r="A1148">
        <v>36</v>
      </c>
      <c r="B1148" s="19">
        <v>44895</v>
      </c>
      <c r="C1148" s="1" t="s">
        <v>34</v>
      </c>
      <c r="D1148" t="s">
        <v>695</v>
      </c>
      <c r="E1148">
        <v>108</v>
      </c>
      <c r="F1148">
        <v>11</v>
      </c>
      <c r="G1148">
        <v>51</v>
      </c>
      <c r="H1148">
        <v>29099</v>
      </c>
    </row>
    <row r="1149" spans="1:8" x14ac:dyDescent="0.25">
      <c r="A1149">
        <v>36</v>
      </c>
      <c r="B1149" s="19">
        <v>45235</v>
      </c>
      <c r="C1149" s="1" t="s">
        <v>34</v>
      </c>
      <c r="D1149" t="s">
        <v>695</v>
      </c>
      <c r="E1149">
        <v>108</v>
      </c>
      <c r="F1149">
        <v>14</v>
      </c>
      <c r="G1149">
        <v>14</v>
      </c>
      <c r="H1149">
        <v>15628</v>
      </c>
    </row>
    <row r="1150" spans="1:8" x14ac:dyDescent="0.25">
      <c r="A1150">
        <v>36</v>
      </c>
      <c r="B1150" s="19">
        <v>43888</v>
      </c>
      <c r="C1150" s="1" t="s">
        <v>34</v>
      </c>
      <c r="D1150" t="s">
        <v>692</v>
      </c>
      <c r="E1150">
        <v>104</v>
      </c>
      <c r="F1150">
        <v>11</v>
      </c>
      <c r="G1150">
        <v>52</v>
      </c>
      <c r="H1150">
        <v>10971</v>
      </c>
    </row>
    <row r="1151" spans="1:8" x14ac:dyDescent="0.25">
      <c r="A1151">
        <v>36</v>
      </c>
      <c r="B1151" s="19">
        <v>44160</v>
      </c>
      <c r="C1151" s="1" t="s">
        <v>34</v>
      </c>
      <c r="D1151" t="s">
        <v>693</v>
      </c>
      <c r="E1151">
        <v>104</v>
      </c>
      <c r="F1151">
        <v>14</v>
      </c>
      <c r="G1151">
        <v>38</v>
      </c>
      <c r="H1151">
        <v>20593</v>
      </c>
    </row>
    <row r="1152" spans="1:8" x14ac:dyDescent="0.25">
      <c r="A1152">
        <v>36</v>
      </c>
      <c r="B1152" s="19">
        <v>45331</v>
      </c>
      <c r="C1152" s="1" t="s">
        <v>35</v>
      </c>
      <c r="D1152" t="s">
        <v>693</v>
      </c>
      <c r="E1152">
        <v>103</v>
      </c>
      <c r="F1152">
        <v>13</v>
      </c>
      <c r="G1152">
        <v>76</v>
      </c>
      <c r="H1152">
        <v>37286</v>
      </c>
    </row>
    <row r="1153" spans="1:8" x14ac:dyDescent="0.25">
      <c r="A1153">
        <v>36</v>
      </c>
      <c r="B1153" s="19">
        <v>44062</v>
      </c>
      <c r="C1153" s="1" t="s">
        <v>35</v>
      </c>
      <c r="D1153" t="s">
        <v>694</v>
      </c>
      <c r="E1153">
        <v>105</v>
      </c>
      <c r="F1153">
        <v>12</v>
      </c>
      <c r="G1153">
        <v>51</v>
      </c>
      <c r="H1153">
        <v>21303</v>
      </c>
    </row>
    <row r="1154" spans="1:8" x14ac:dyDescent="0.25">
      <c r="A1154">
        <v>36</v>
      </c>
      <c r="B1154" s="19">
        <v>45026</v>
      </c>
      <c r="C1154" s="1" t="s">
        <v>35</v>
      </c>
      <c r="D1154" t="s">
        <v>694</v>
      </c>
      <c r="E1154">
        <v>104</v>
      </c>
      <c r="F1154">
        <v>11</v>
      </c>
      <c r="G1154">
        <v>50</v>
      </c>
      <c r="H1154">
        <v>48133</v>
      </c>
    </row>
    <row r="1155" spans="1:8" x14ac:dyDescent="0.25">
      <c r="A1155">
        <v>36</v>
      </c>
      <c r="B1155" s="19">
        <v>43922</v>
      </c>
      <c r="C1155" s="1" t="s">
        <v>34</v>
      </c>
      <c r="D1155" t="s">
        <v>694</v>
      </c>
      <c r="E1155">
        <v>103</v>
      </c>
      <c r="F1155">
        <v>11</v>
      </c>
      <c r="G1155">
        <v>8</v>
      </c>
      <c r="H1155">
        <v>38122</v>
      </c>
    </row>
    <row r="1156" spans="1:8" x14ac:dyDescent="0.25">
      <c r="A1156">
        <v>37</v>
      </c>
      <c r="B1156" s="19">
        <v>45616</v>
      </c>
      <c r="C1156" s="1" t="s">
        <v>33</v>
      </c>
      <c r="D1156" t="s">
        <v>690</v>
      </c>
      <c r="E1156">
        <v>105</v>
      </c>
      <c r="F1156">
        <v>15</v>
      </c>
      <c r="G1156">
        <v>49</v>
      </c>
      <c r="H1156">
        <v>27200</v>
      </c>
    </row>
    <row r="1157" spans="1:8" x14ac:dyDescent="0.25">
      <c r="A1157">
        <v>37</v>
      </c>
      <c r="B1157" s="19">
        <v>45161</v>
      </c>
      <c r="C1157" s="1" t="s">
        <v>36</v>
      </c>
      <c r="D1157" t="s">
        <v>690</v>
      </c>
      <c r="E1157">
        <v>107</v>
      </c>
      <c r="F1157">
        <v>11</v>
      </c>
      <c r="G1157">
        <v>22</v>
      </c>
      <c r="H1157">
        <v>38906</v>
      </c>
    </row>
    <row r="1158" spans="1:8" x14ac:dyDescent="0.25">
      <c r="A1158">
        <v>37</v>
      </c>
      <c r="B1158" s="19">
        <v>45461</v>
      </c>
      <c r="C1158" s="1" t="s">
        <v>35</v>
      </c>
      <c r="D1158" t="s">
        <v>690</v>
      </c>
      <c r="E1158">
        <v>103</v>
      </c>
      <c r="F1158">
        <v>12</v>
      </c>
      <c r="G1158">
        <v>30</v>
      </c>
      <c r="H1158">
        <v>14452</v>
      </c>
    </row>
    <row r="1159" spans="1:8" x14ac:dyDescent="0.25">
      <c r="A1159">
        <v>37</v>
      </c>
      <c r="B1159" s="19">
        <v>44383</v>
      </c>
      <c r="C1159" s="1" t="s">
        <v>34</v>
      </c>
      <c r="D1159" t="s">
        <v>690</v>
      </c>
      <c r="E1159">
        <v>104</v>
      </c>
      <c r="F1159">
        <v>11</v>
      </c>
      <c r="G1159">
        <v>32</v>
      </c>
      <c r="H1159">
        <v>16152</v>
      </c>
    </row>
    <row r="1160" spans="1:8" x14ac:dyDescent="0.25">
      <c r="A1160">
        <v>37</v>
      </c>
      <c r="B1160" s="19">
        <v>45260</v>
      </c>
      <c r="C1160" s="1" t="s">
        <v>33</v>
      </c>
      <c r="D1160" t="s">
        <v>690</v>
      </c>
      <c r="E1160">
        <v>107</v>
      </c>
      <c r="F1160">
        <v>12</v>
      </c>
      <c r="G1160">
        <v>33</v>
      </c>
      <c r="H1160">
        <v>23293</v>
      </c>
    </row>
    <row r="1161" spans="1:8" x14ac:dyDescent="0.25">
      <c r="A1161">
        <v>37</v>
      </c>
      <c r="B1161" s="19">
        <v>44827</v>
      </c>
      <c r="C1161" s="1" t="s">
        <v>34</v>
      </c>
      <c r="D1161" t="s">
        <v>690</v>
      </c>
      <c r="E1161">
        <v>109</v>
      </c>
      <c r="F1161">
        <v>12</v>
      </c>
      <c r="G1161">
        <v>17</v>
      </c>
      <c r="H1161">
        <v>11695</v>
      </c>
    </row>
    <row r="1162" spans="1:8" x14ac:dyDescent="0.25">
      <c r="A1162">
        <v>37</v>
      </c>
      <c r="B1162" s="19">
        <v>45529</v>
      </c>
      <c r="C1162" s="1" t="s">
        <v>35</v>
      </c>
      <c r="D1162" t="s">
        <v>691</v>
      </c>
      <c r="E1162">
        <v>107</v>
      </c>
      <c r="F1162">
        <v>14</v>
      </c>
      <c r="G1162">
        <v>99</v>
      </c>
      <c r="H1162">
        <v>49208</v>
      </c>
    </row>
    <row r="1163" spans="1:8" x14ac:dyDescent="0.25">
      <c r="A1163">
        <v>37</v>
      </c>
      <c r="B1163" s="19">
        <v>43912</v>
      </c>
      <c r="C1163" s="1" t="s">
        <v>33</v>
      </c>
      <c r="D1163" t="s">
        <v>700</v>
      </c>
      <c r="E1163">
        <v>102</v>
      </c>
      <c r="F1163">
        <v>14</v>
      </c>
      <c r="G1163">
        <v>85</v>
      </c>
      <c r="H1163">
        <v>39563</v>
      </c>
    </row>
    <row r="1164" spans="1:8" x14ac:dyDescent="0.25">
      <c r="A1164">
        <v>37</v>
      </c>
      <c r="B1164" s="19">
        <v>45374</v>
      </c>
      <c r="C1164" s="1" t="s">
        <v>36</v>
      </c>
      <c r="D1164" t="s">
        <v>700</v>
      </c>
      <c r="E1164">
        <v>104</v>
      </c>
      <c r="F1164">
        <v>12</v>
      </c>
      <c r="G1164">
        <v>38</v>
      </c>
      <c r="H1164">
        <v>14168</v>
      </c>
    </row>
    <row r="1165" spans="1:8" x14ac:dyDescent="0.25">
      <c r="A1165">
        <v>37</v>
      </c>
      <c r="B1165" s="19">
        <v>44437</v>
      </c>
      <c r="C1165" s="1" t="s">
        <v>35</v>
      </c>
      <c r="D1165" t="s">
        <v>700</v>
      </c>
      <c r="E1165">
        <v>105</v>
      </c>
      <c r="F1165">
        <v>15</v>
      </c>
      <c r="G1165">
        <v>98</v>
      </c>
      <c r="H1165">
        <v>44697</v>
      </c>
    </row>
    <row r="1166" spans="1:8" x14ac:dyDescent="0.25">
      <c r="A1166">
        <v>37</v>
      </c>
      <c r="B1166" s="19">
        <v>45533</v>
      </c>
      <c r="C1166" s="1" t="s">
        <v>36</v>
      </c>
      <c r="D1166" t="s">
        <v>696</v>
      </c>
      <c r="E1166">
        <v>102</v>
      </c>
      <c r="F1166">
        <v>12</v>
      </c>
      <c r="G1166">
        <v>52</v>
      </c>
      <c r="H1166">
        <v>29259</v>
      </c>
    </row>
    <row r="1167" spans="1:8" x14ac:dyDescent="0.25">
      <c r="A1167">
        <v>37</v>
      </c>
      <c r="B1167" s="19">
        <v>44734</v>
      </c>
      <c r="C1167" s="1" t="s">
        <v>34</v>
      </c>
      <c r="D1167" t="s">
        <v>696</v>
      </c>
      <c r="E1167">
        <v>105</v>
      </c>
      <c r="F1167">
        <v>11</v>
      </c>
      <c r="G1167">
        <v>37</v>
      </c>
      <c r="H1167">
        <v>24128</v>
      </c>
    </row>
    <row r="1168" spans="1:8" x14ac:dyDescent="0.25">
      <c r="A1168">
        <v>37</v>
      </c>
      <c r="B1168" s="19">
        <v>44822</v>
      </c>
      <c r="C1168" s="1" t="s">
        <v>34</v>
      </c>
      <c r="D1168" t="s">
        <v>697</v>
      </c>
      <c r="E1168">
        <v>104</v>
      </c>
      <c r="F1168">
        <v>11</v>
      </c>
      <c r="G1168">
        <v>58</v>
      </c>
      <c r="H1168">
        <v>39442</v>
      </c>
    </row>
    <row r="1169" spans="1:8" x14ac:dyDescent="0.25">
      <c r="A1169">
        <v>37</v>
      </c>
      <c r="B1169" s="19">
        <v>45375</v>
      </c>
      <c r="C1169" s="1" t="s">
        <v>33</v>
      </c>
      <c r="D1169" t="s">
        <v>697</v>
      </c>
      <c r="E1169">
        <v>108</v>
      </c>
      <c r="F1169">
        <v>11</v>
      </c>
      <c r="G1169">
        <v>91</v>
      </c>
      <c r="H1169">
        <v>35614</v>
      </c>
    </row>
    <row r="1170" spans="1:8" x14ac:dyDescent="0.25">
      <c r="A1170">
        <v>37</v>
      </c>
      <c r="B1170" s="19">
        <v>44140</v>
      </c>
      <c r="C1170" s="1" t="s">
        <v>35</v>
      </c>
      <c r="D1170" t="s">
        <v>698</v>
      </c>
      <c r="E1170">
        <v>109</v>
      </c>
      <c r="F1170">
        <v>11</v>
      </c>
      <c r="G1170">
        <v>23</v>
      </c>
      <c r="H1170">
        <v>36072</v>
      </c>
    </row>
    <row r="1171" spans="1:8" x14ac:dyDescent="0.25">
      <c r="A1171">
        <v>37</v>
      </c>
      <c r="B1171" s="19">
        <v>44305</v>
      </c>
      <c r="C1171" s="1" t="s">
        <v>36</v>
      </c>
      <c r="D1171" t="s">
        <v>698</v>
      </c>
      <c r="E1171">
        <v>104</v>
      </c>
      <c r="F1171">
        <v>15</v>
      </c>
      <c r="G1171">
        <v>47</v>
      </c>
      <c r="H1171">
        <v>38831</v>
      </c>
    </row>
    <row r="1172" spans="1:8" x14ac:dyDescent="0.25">
      <c r="A1172">
        <v>37</v>
      </c>
      <c r="B1172" s="19">
        <v>44003</v>
      </c>
      <c r="C1172" s="1" t="s">
        <v>34</v>
      </c>
      <c r="D1172" t="s">
        <v>698</v>
      </c>
      <c r="E1172">
        <v>107</v>
      </c>
      <c r="F1172">
        <v>13</v>
      </c>
      <c r="G1172">
        <v>100</v>
      </c>
      <c r="H1172">
        <v>45499</v>
      </c>
    </row>
    <row r="1173" spans="1:8" x14ac:dyDescent="0.25">
      <c r="A1173">
        <v>37</v>
      </c>
      <c r="B1173" s="19">
        <v>43898</v>
      </c>
      <c r="C1173" s="1" t="s">
        <v>36</v>
      </c>
      <c r="D1173" t="s">
        <v>699</v>
      </c>
      <c r="E1173">
        <v>103</v>
      </c>
      <c r="F1173">
        <v>11</v>
      </c>
      <c r="G1173">
        <v>49</v>
      </c>
      <c r="H1173">
        <v>47010</v>
      </c>
    </row>
    <row r="1174" spans="1:8" x14ac:dyDescent="0.25">
      <c r="A1174">
        <v>37</v>
      </c>
      <c r="B1174" s="19">
        <v>45292</v>
      </c>
      <c r="C1174" s="1" t="s">
        <v>34</v>
      </c>
      <c r="D1174" t="s">
        <v>699</v>
      </c>
      <c r="E1174">
        <v>103</v>
      </c>
      <c r="F1174">
        <v>14</v>
      </c>
      <c r="G1174">
        <v>26</v>
      </c>
      <c r="H1174">
        <v>15057</v>
      </c>
    </row>
    <row r="1175" spans="1:8" x14ac:dyDescent="0.25">
      <c r="A1175">
        <v>37</v>
      </c>
      <c r="B1175" s="19">
        <v>44025</v>
      </c>
      <c r="C1175" s="1" t="s">
        <v>33</v>
      </c>
      <c r="D1175" t="s">
        <v>699</v>
      </c>
      <c r="E1175">
        <v>102</v>
      </c>
      <c r="F1175">
        <v>13</v>
      </c>
      <c r="G1175">
        <v>33</v>
      </c>
      <c r="H1175">
        <v>41197</v>
      </c>
    </row>
    <row r="1176" spans="1:8" x14ac:dyDescent="0.25">
      <c r="A1176">
        <v>37</v>
      </c>
      <c r="B1176" s="19">
        <v>45191</v>
      </c>
      <c r="C1176" s="1" t="s">
        <v>36</v>
      </c>
      <c r="D1176" t="s">
        <v>699</v>
      </c>
      <c r="E1176">
        <v>103</v>
      </c>
      <c r="F1176">
        <v>13</v>
      </c>
      <c r="G1176">
        <v>35</v>
      </c>
      <c r="H1176">
        <v>33689</v>
      </c>
    </row>
    <row r="1177" spans="1:8" x14ac:dyDescent="0.25">
      <c r="A1177">
        <v>37</v>
      </c>
      <c r="B1177" s="19">
        <v>45503</v>
      </c>
      <c r="C1177" s="1" t="s">
        <v>33</v>
      </c>
      <c r="D1177" t="s">
        <v>695</v>
      </c>
      <c r="E1177">
        <v>104</v>
      </c>
      <c r="F1177">
        <v>13</v>
      </c>
      <c r="G1177">
        <v>52</v>
      </c>
      <c r="H1177">
        <v>19045</v>
      </c>
    </row>
    <row r="1178" spans="1:8" x14ac:dyDescent="0.25">
      <c r="A1178">
        <v>37</v>
      </c>
      <c r="B1178" s="19">
        <v>43906</v>
      </c>
      <c r="C1178" s="1" t="s">
        <v>33</v>
      </c>
      <c r="D1178" t="s">
        <v>692</v>
      </c>
      <c r="E1178">
        <v>105</v>
      </c>
      <c r="F1178">
        <v>12</v>
      </c>
      <c r="G1178">
        <v>16</v>
      </c>
      <c r="H1178">
        <v>33178</v>
      </c>
    </row>
    <row r="1179" spans="1:8" x14ac:dyDescent="0.25">
      <c r="A1179">
        <v>37</v>
      </c>
      <c r="B1179" s="19">
        <v>43846</v>
      </c>
      <c r="C1179" s="1" t="s">
        <v>36</v>
      </c>
      <c r="D1179" t="s">
        <v>693</v>
      </c>
      <c r="E1179">
        <v>104</v>
      </c>
      <c r="F1179">
        <v>14</v>
      </c>
      <c r="G1179">
        <v>17</v>
      </c>
      <c r="H1179">
        <v>15549</v>
      </c>
    </row>
    <row r="1180" spans="1:8" x14ac:dyDescent="0.25">
      <c r="A1180">
        <v>37</v>
      </c>
      <c r="B1180" s="19">
        <v>44662</v>
      </c>
      <c r="C1180" s="1" t="s">
        <v>33</v>
      </c>
      <c r="D1180" t="s">
        <v>694</v>
      </c>
      <c r="E1180">
        <v>104</v>
      </c>
      <c r="F1180">
        <v>15</v>
      </c>
      <c r="G1180">
        <v>30</v>
      </c>
      <c r="H1180">
        <v>21762</v>
      </c>
    </row>
    <row r="1181" spans="1:8" x14ac:dyDescent="0.25">
      <c r="A1181">
        <v>37</v>
      </c>
      <c r="B1181" s="19">
        <v>43920</v>
      </c>
      <c r="C1181" s="1" t="s">
        <v>33</v>
      </c>
      <c r="D1181" t="s">
        <v>694</v>
      </c>
      <c r="E1181">
        <v>108</v>
      </c>
      <c r="F1181">
        <v>12</v>
      </c>
      <c r="G1181">
        <v>71</v>
      </c>
      <c r="H1181">
        <v>29907</v>
      </c>
    </row>
    <row r="1182" spans="1:8" x14ac:dyDescent="0.25">
      <c r="A1182">
        <v>37</v>
      </c>
      <c r="B1182" s="19">
        <v>45401</v>
      </c>
      <c r="C1182" s="1" t="s">
        <v>34</v>
      </c>
      <c r="D1182" t="s">
        <v>694</v>
      </c>
      <c r="E1182">
        <v>104</v>
      </c>
      <c r="F1182">
        <v>15</v>
      </c>
      <c r="G1182">
        <v>52</v>
      </c>
      <c r="H1182">
        <v>21399</v>
      </c>
    </row>
    <row r="1183" spans="1:8" x14ac:dyDescent="0.25">
      <c r="A1183">
        <v>37</v>
      </c>
      <c r="B1183" s="19">
        <v>44899</v>
      </c>
      <c r="C1183" s="1" t="s">
        <v>35</v>
      </c>
      <c r="D1183" t="s">
        <v>694</v>
      </c>
      <c r="E1183">
        <v>104</v>
      </c>
      <c r="F1183">
        <v>13</v>
      </c>
      <c r="G1183">
        <v>54</v>
      </c>
      <c r="H1183">
        <v>40892</v>
      </c>
    </row>
    <row r="1184" spans="1:8" x14ac:dyDescent="0.25">
      <c r="A1184">
        <v>37</v>
      </c>
      <c r="B1184" s="19">
        <v>45227</v>
      </c>
      <c r="C1184" s="1" t="s">
        <v>34</v>
      </c>
      <c r="D1184" t="s">
        <v>694</v>
      </c>
      <c r="E1184">
        <v>105</v>
      </c>
      <c r="F1184">
        <v>12</v>
      </c>
      <c r="G1184">
        <v>70</v>
      </c>
      <c r="H1184">
        <v>17476</v>
      </c>
    </row>
    <row r="1185" spans="1:8" x14ac:dyDescent="0.25">
      <c r="A1185">
        <v>38</v>
      </c>
      <c r="B1185" s="19">
        <v>44923</v>
      </c>
      <c r="C1185" s="1" t="s">
        <v>35</v>
      </c>
      <c r="D1185" t="s">
        <v>690</v>
      </c>
      <c r="E1185">
        <v>105</v>
      </c>
      <c r="F1185">
        <v>15</v>
      </c>
      <c r="G1185">
        <v>24</v>
      </c>
      <c r="H1185">
        <v>10924</v>
      </c>
    </row>
    <row r="1186" spans="1:8" x14ac:dyDescent="0.25">
      <c r="A1186">
        <v>38</v>
      </c>
      <c r="B1186" s="19">
        <v>44773</v>
      </c>
      <c r="C1186" s="1" t="s">
        <v>35</v>
      </c>
      <c r="D1186" t="s">
        <v>690</v>
      </c>
      <c r="E1186">
        <v>105</v>
      </c>
      <c r="F1186">
        <v>13</v>
      </c>
      <c r="G1186">
        <v>98</v>
      </c>
      <c r="H1186">
        <v>19556</v>
      </c>
    </row>
    <row r="1187" spans="1:8" x14ac:dyDescent="0.25">
      <c r="A1187">
        <v>38</v>
      </c>
      <c r="B1187" s="19">
        <v>45606</v>
      </c>
      <c r="C1187" s="1" t="s">
        <v>34</v>
      </c>
      <c r="D1187" t="s">
        <v>690</v>
      </c>
      <c r="E1187">
        <v>104</v>
      </c>
      <c r="F1187">
        <v>11</v>
      </c>
      <c r="G1187">
        <v>44</v>
      </c>
      <c r="H1187">
        <v>24445</v>
      </c>
    </row>
    <row r="1188" spans="1:8" x14ac:dyDescent="0.25">
      <c r="A1188">
        <v>38</v>
      </c>
      <c r="B1188" s="19">
        <v>45016</v>
      </c>
      <c r="C1188" s="1" t="s">
        <v>36</v>
      </c>
      <c r="D1188" t="s">
        <v>690</v>
      </c>
      <c r="E1188">
        <v>104</v>
      </c>
      <c r="F1188">
        <v>14</v>
      </c>
      <c r="G1188">
        <v>21</v>
      </c>
      <c r="H1188">
        <v>16494</v>
      </c>
    </row>
    <row r="1189" spans="1:8" x14ac:dyDescent="0.25">
      <c r="A1189">
        <v>38</v>
      </c>
      <c r="B1189" s="19">
        <v>44135</v>
      </c>
      <c r="C1189" s="1" t="s">
        <v>33</v>
      </c>
      <c r="D1189" t="s">
        <v>690</v>
      </c>
      <c r="E1189">
        <v>102</v>
      </c>
      <c r="F1189">
        <v>15</v>
      </c>
      <c r="G1189">
        <v>9</v>
      </c>
      <c r="H1189">
        <v>31840</v>
      </c>
    </row>
    <row r="1190" spans="1:8" x14ac:dyDescent="0.25">
      <c r="A1190">
        <v>38</v>
      </c>
      <c r="B1190" s="19">
        <v>45344</v>
      </c>
      <c r="C1190" s="1" t="s">
        <v>33</v>
      </c>
      <c r="D1190" t="s">
        <v>691</v>
      </c>
      <c r="E1190">
        <v>104</v>
      </c>
      <c r="F1190">
        <v>14</v>
      </c>
      <c r="G1190">
        <v>100</v>
      </c>
      <c r="H1190">
        <v>13600</v>
      </c>
    </row>
    <row r="1191" spans="1:8" x14ac:dyDescent="0.25">
      <c r="A1191">
        <v>38</v>
      </c>
      <c r="B1191" s="19">
        <v>45150</v>
      </c>
      <c r="C1191" s="1" t="s">
        <v>34</v>
      </c>
      <c r="D1191" t="s">
        <v>691</v>
      </c>
      <c r="E1191">
        <v>103</v>
      </c>
      <c r="F1191">
        <v>13</v>
      </c>
      <c r="G1191">
        <v>20</v>
      </c>
      <c r="H1191">
        <v>43850</v>
      </c>
    </row>
    <row r="1192" spans="1:8" x14ac:dyDescent="0.25">
      <c r="A1192">
        <v>38</v>
      </c>
      <c r="B1192" s="19">
        <v>45623</v>
      </c>
      <c r="C1192" s="1" t="s">
        <v>34</v>
      </c>
      <c r="D1192" t="s">
        <v>700</v>
      </c>
      <c r="E1192">
        <v>108</v>
      </c>
      <c r="F1192">
        <v>15</v>
      </c>
      <c r="G1192">
        <v>65</v>
      </c>
      <c r="H1192">
        <v>14008</v>
      </c>
    </row>
    <row r="1193" spans="1:8" x14ac:dyDescent="0.25">
      <c r="A1193">
        <v>38</v>
      </c>
      <c r="B1193" s="19">
        <v>44229</v>
      </c>
      <c r="C1193" s="1" t="s">
        <v>36</v>
      </c>
      <c r="D1193" t="s">
        <v>700</v>
      </c>
      <c r="E1193">
        <v>103</v>
      </c>
      <c r="F1193">
        <v>12</v>
      </c>
      <c r="G1193">
        <v>86</v>
      </c>
      <c r="H1193">
        <v>13191</v>
      </c>
    </row>
    <row r="1194" spans="1:8" x14ac:dyDescent="0.25">
      <c r="A1194">
        <v>38</v>
      </c>
      <c r="B1194" s="19">
        <v>43840</v>
      </c>
      <c r="C1194" s="1" t="s">
        <v>36</v>
      </c>
      <c r="D1194" t="s">
        <v>700</v>
      </c>
      <c r="E1194">
        <v>105</v>
      </c>
      <c r="F1194">
        <v>14</v>
      </c>
      <c r="G1194">
        <v>7</v>
      </c>
      <c r="H1194">
        <v>48798</v>
      </c>
    </row>
    <row r="1195" spans="1:8" x14ac:dyDescent="0.25">
      <c r="A1195">
        <v>38</v>
      </c>
      <c r="B1195" s="19">
        <v>45544</v>
      </c>
      <c r="C1195" s="1" t="s">
        <v>36</v>
      </c>
      <c r="D1195" t="s">
        <v>700</v>
      </c>
      <c r="E1195">
        <v>103</v>
      </c>
      <c r="F1195">
        <v>14</v>
      </c>
      <c r="G1195">
        <v>79</v>
      </c>
      <c r="H1195">
        <v>38495</v>
      </c>
    </row>
    <row r="1196" spans="1:8" x14ac:dyDescent="0.25">
      <c r="A1196">
        <v>38</v>
      </c>
      <c r="B1196" s="19">
        <v>44299</v>
      </c>
      <c r="C1196" s="1" t="s">
        <v>34</v>
      </c>
      <c r="D1196" t="s">
        <v>696</v>
      </c>
      <c r="E1196">
        <v>109</v>
      </c>
      <c r="F1196">
        <v>12</v>
      </c>
      <c r="G1196">
        <v>71</v>
      </c>
      <c r="H1196">
        <v>29658</v>
      </c>
    </row>
    <row r="1197" spans="1:8" x14ac:dyDescent="0.25">
      <c r="A1197">
        <v>38</v>
      </c>
      <c r="B1197" s="19">
        <v>44276</v>
      </c>
      <c r="C1197" s="1" t="s">
        <v>34</v>
      </c>
      <c r="D1197" t="s">
        <v>696</v>
      </c>
      <c r="E1197">
        <v>103</v>
      </c>
      <c r="F1197">
        <v>12</v>
      </c>
      <c r="G1197">
        <v>13</v>
      </c>
      <c r="H1197">
        <v>13226</v>
      </c>
    </row>
    <row r="1198" spans="1:8" x14ac:dyDescent="0.25">
      <c r="A1198">
        <v>38</v>
      </c>
      <c r="B1198" s="19">
        <v>45653</v>
      </c>
      <c r="C1198" s="1" t="s">
        <v>33</v>
      </c>
      <c r="D1198" t="s">
        <v>696</v>
      </c>
      <c r="E1198">
        <v>103</v>
      </c>
      <c r="F1198">
        <v>13</v>
      </c>
      <c r="G1198">
        <v>21</v>
      </c>
      <c r="H1198">
        <v>33410</v>
      </c>
    </row>
    <row r="1199" spans="1:8" x14ac:dyDescent="0.25">
      <c r="A1199">
        <v>38</v>
      </c>
      <c r="B1199" s="19">
        <v>44360</v>
      </c>
      <c r="C1199" s="1" t="s">
        <v>33</v>
      </c>
      <c r="D1199" t="s">
        <v>698</v>
      </c>
      <c r="E1199">
        <v>105</v>
      </c>
      <c r="F1199">
        <v>12</v>
      </c>
      <c r="G1199">
        <v>13</v>
      </c>
      <c r="H1199">
        <v>15057</v>
      </c>
    </row>
    <row r="1200" spans="1:8" x14ac:dyDescent="0.25">
      <c r="A1200">
        <v>38</v>
      </c>
      <c r="B1200" s="19">
        <v>44721</v>
      </c>
      <c r="C1200" s="1" t="s">
        <v>36</v>
      </c>
      <c r="D1200" t="s">
        <v>698</v>
      </c>
      <c r="E1200">
        <v>109</v>
      </c>
      <c r="F1200">
        <v>13</v>
      </c>
      <c r="G1200">
        <v>36</v>
      </c>
      <c r="H1200">
        <v>46937</v>
      </c>
    </row>
    <row r="1201" spans="1:8" x14ac:dyDescent="0.25">
      <c r="A1201">
        <v>38</v>
      </c>
      <c r="B1201" s="19">
        <v>44052</v>
      </c>
      <c r="C1201" s="1" t="s">
        <v>35</v>
      </c>
      <c r="D1201" t="s">
        <v>698</v>
      </c>
      <c r="E1201">
        <v>105</v>
      </c>
      <c r="F1201">
        <v>11</v>
      </c>
      <c r="G1201">
        <v>94</v>
      </c>
      <c r="H1201">
        <v>26465</v>
      </c>
    </row>
    <row r="1202" spans="1:8" x14ac:dyDescent="0.25">
      <c r="A1202">
        <v>38</v>
      </c>
      <c r="B1202" s="19">
        <v>44801</v>
      </c>
      <c r="C1202" s="1" t="s">
        <v>35</v>
      </c>
      <c r="D1202" t="s">
        <v>699</v>
      </c>
      <c r="E1202">
        <v>101</v>
      </c>
      <c r="F1202">
        <v>12</v>
      </c>
      <c r="G1202">
        <v>66</v>
      </c>
      <c r="H1202">
        <v>38452</v>
      </c>
    </row>
    <row r="1203" spans="1:8" x14ac:dyDescent="0.25">
      <c r="A1203">
        <v>38</v>
      </c>
      <c r="B1203" s="19">
        <v>43899</v>
      </c>
      <c r="C1203" s="1" t="s">
        <v>36</v>
      </c>
      <c r="D1203" t="s">
        <v>699</v>
      </c>
      <c r="E1203">
        <v>104</v>
      </c>
      <c r="F1203">
        <v>14</v>
      </c>
      <c r="G1203">
        <v>20</v>
      </c>
      <c r="H1203">
        <v>42780</v>
      </c>
    </row>
    <row r="1204" spans="1:8" x14ac:dyDescent="0.25">
      <c r="A1204">
        <v>38</v>
      </c>
      <c r="B1204" s="19">
        <v>45159</v>
      </c>
      <c r="C1204" s="1" t="s">
        <v>36</v>
      </c>
      <c r="D1204" t="s">
        <v>695</v>
      </c>
      <c r="E1204">
        <v>104</v>
      </c>
      <c r="F1204">
        <v>11</v>
      </c>
      <c r="G1204">
        <v>15</v>
      </c>
      <c r="H1204">
        <v>13336</v>
      </c>
    </row>
    <row r="1205" spans="1:8" x14ac:dyDescent="0.25">
      <c r="A1205">
        <v>38</v>
      </c>
      <c r="B1205" s="19">
        <v>44029</v>
      </c>
      <c r="C1205" s="1" t="s">
        <v>34</v>
      </c>
      <c r="D1205" t="s">
        <v>695</v>
      </c>
      <c r="E1205">
        <v>102</v>
      </c>
      <c r="F1205">
        <v>11</v>
      </c>
      <c r="G1205">
        <v>18</v>
      </c>
      <c r="H1205">
        <v>39624</v>
      </c>
    </row>
    <row r="1206" spans="1:8" x14ac:dyDescent="0.25">
      <c r="A1206">
        <v>38</v>
      </c>
      <c r="B1206" s="19">
        <v>45419</v>
      </c>
      <c r="C1206" s="1" t="s">
        <v>36</v>
      </c>
      <c r="D1206" t="s">
        <v>692</v>
      </c>
      <c r="E1206">
        <v>105</v>
      </c>
      <c r="F1206">
        <v>12</v>
      </c>
      <c r="G1206">
        <v>61</v>
      </c>
      <c r="H1206">
        <v>48366</v>
      </c>
    </row>
    <row r="1207" spans="1:8" x14ac:dyDescent="0.25">
      <c r="A1207">
        <v>38</v>
      </c>
      <c r="B1207" s="19">
        <v>44863</v>
      </c>
      <c r="C1207" s="1" t="s">
        <v>35</v>
      </c>
      <c r="D1207" t="s">
        <v>692</v>
      </c>
      <c r="E1207">
        <v>103</v>
      </c>
      <c r="F1207">
        <v>12</v>
      </c>
      <c r="G1207">
        <v>8</v>
      </c>
      <c r="H1207">
        <v>46777</v>
      </c>
    </row>
    <row r="1208" spans="1:8" x14ac:dyDescent="0.25">
      <c r="A1208">
        <v>38</v>
      </c>
      <c r="B1208" s="19">
        <v>44890</v>
      </c>
      <c r="C1208" s="1" t="s">
        <v>33</v>
      </c>
      <c r="D1208" t="s">
        <v>692</v>
      </c>
      <c r="E1208">
        <v>102</v>
      </c>
      <c r="F1208">
        <v>11</v>
      </c>
      <c r="G1208">
        <v>97</v>
      </c>
      <c r="H1208">
        <v>20885</v>
      </c>
    </row>
    <row r="1209" spans="1:8" x14ac:dyDescent="0.25">
      <c r="A1209">
        <v>38</v>
      </c>
      <c r="B1209" s="19">
        <v>45080</v>
      </c>
      <c r="C1209" s="1" t="s">
        <v>33</v>
      </c>
      <c r="D1209" t="s">
        <v>693</v>
      </c>
      <c r="E1209">
        <v>103</v>
      </c>
      <c r="F1209">
        <v>14</v>
      </c>
      <c r="G1209">
        <v>21</v>
      </c>
      <c r="H1209">
        <v>28548</v>
      </c>
    </row>
    <row r="1210" spans="1:8" x14ac:dyDescent="0.25">
      <c r="A1210">
        <v>38</v>
      </c>
      <c r="B1210" s="19">
        <v>45224</v>
      </c>
      <c r="C1210" s="1" t="s">
        <v>35</v>
      </c>
      <c r="D1210" t="s">
        <v>693</v>
      </c>
      <c r="E1210">
        <v>103</v>
      </c>
      <c r="F1210">
        <v>12</v>
      </c>
      <c r="G1210">
        <v>71</v>
      </c>
      <c r="H1210">
        <v>31841</v>
      </c>
    </row>
    <row r="1211" spans="1:8" x14ac:dyDescent="0.25">
      <c r="A1211">
        <v>38</v>
      </c>
      <c r="B1211" s="19">
        <v>45519</v>
      </c>
      <c r="C1211" s="1" t="s">
        <v>35</v>
      </c>
      <c r="D1211" t="s">
        <v>693</v>
      </c>
      <c r="E1211">
        <v>103</v>
      </c>
      <c r="F1211">
        <v>12</v>
      </c>
      <c r="G1211">
        <v>39</v>
      </c>
      <c r="H1211">
        <v>19547</v>
      </c>
    </row>
    <row r="1212" spans="1:8" x14ac:dyDescent="0.25">
      <c r="A1212">
        <v>38</v>
      </c>
      <c r="B1212" s="19">
        <v>44955</v>
      </c>
      <c r="C1212" s="1" t="s">
        <v>35</v>
      </c>
      <c r="D1212" t="s">
        <v>693</v>
      </c>
      <c r="E1212">
        <v>107</v>
      </c>
      <c r="F1212">
        <v>12</v>
      </c>
      <c r="G1212">
        <v>40</v>
      </c>
      <c r="H1212">
        <v>20782</v>
      </c>
    </row>
    <row r="1213" spans="1:8" x14ac:dyDescent="0.25">
      <c r="A1213">
        <v>38</v>
      </c>
      <c r="B1213" s="19">
        <v>44893</v>
      </c>
      <c r="C1213" s="1" t="s">
        <v>33</v>
      </c>
      <c r="D1213" t="s">
        <v>694</v>
      </c>
      <c r="E1213">
        <v>101</v>
      </c>
      <c r="F1213">
        <v>11</v>
      </c>
      <c r="G1213">
        <v>26</v>
      </c>
      <c r="H1213">
        <v>22977</v>
      </c>
    </row>
    <row r="1214" spans="1:8" x14ac:dyDescent="0.25">
      <c r="A1214">
        <v>38</v>
      </c>
      <c r="B1214" s="19">
        <v>44742</v>
      </c>
      <c r="C1214" s="1" t="s">
        <v>35</v>
      </c>
      <c r="D1214" t="s">
        <v>694</v>
      </c>
      <c r="E1214">
        <v>104</v>
      </c>
      <c r="F1214">
        <v>11</v>
      </c>
      <c r="G1214">
        <v>91</v>
      </c>
      <c r="H1214">
        <v>43097</v>
      </c>
    </row>
    <row r="1215" spans="1:8" x14ac:dyDescent="0.25">
      <c r="A1215">
        <v>38</v>
      </c>
      <c r="B1215" s="19">
        <v>44764</v>
      </c>
      <c r="C1215" s="1" t="s">
        <v>34</v>
      </c>
      <c r="D1215" t="s">
        <v>694</v>
      </c>
      <c r="E1215">
        <v>105</v>
      </c>
      <c r="F1215">
        <v>15</v>
      </c>
      <c r="G1215">
        <v>81</v>
      </c>
      <c r="H1215">
        <v>38383</v>
      </c>
    </row>
    <row r="1216" spans="1:8" x14ac:dyDescent="0.25">
      <c r="A1216">
        <v>38</v>
      </c>
      <c r="B1216" s="19">
        <v>44841</v>
      </c>
      <c r="C1216" s="1" t="s">
        <v>35</v>
      </c>
      <c r="D1216" t="s">
        <v>694</v>
      </c>
      <c r="E1216">
        <v>104</v>
      </c>
      <c r="F1216">
        <v>13</v>
      </c>
      <c r="G1216">
        <v>8</v>
      </c>
      <c r="H1216">
        <v>13585</v>
      </c>
    </row>
    <row r="1217" spans="1:8" x14ac:dyDescent="0.25">
      <c r="A1217">
        <v>38</v>
      </c>
      <c r="B1217" s="19">
        <v>45336</v>
      </c>
      <c r="C1217" s="1" t="s">
        <v>34</v>
      </c>
      <c r="D1217" t="s">
        <v>694</v>
      </c>
      <c r="E1217">
        <v>103</v>
      </c>
      <c r="F1217">
        <v>15</v>
      </c>
      <c r="G1217">
        <v>73</v>
      </c>
      <c r="H1217">
        <v>18009</v>
      </c>
    </row>
    <row r="1218" spans="1:8" x14ac:dyDescent="0.25">
      <c r="A1218">
        <v>38</v>
      </c>
      <c r="B1218" s="19">
        <v>44435</v>
      </c>
      <c r="C1218" s="1" t="s">
        <v>35</v>
      </c>
      <c r="D1218" t="s">
        <v>694</v>
      </c>
      <c r="E1218">
        <v>103</v>
      </c>
      <c r="F1218">
        <v>13</v>
      </c>
      <c r="G1218">
        <v>28</v>
      </c>
      <c r="H1218">
        <v>45211</v>
      </c>
    </row>
    <row r="1219" spans="1:8" x14ac:dyDescent="0.25">
      <c r="A1219">
        <v>38</v>
      </c>
      <c r="B1219" s="19">
        <v>44971</v>
      </c>
      <c r="C1219" s="1" t="s">
        <v>35</v>
      </c>
      <c r="D1219" t="s">
        <v>694</v>
      </c>
      <c r="E1219">
        <v>104</v>
      </c>
      <c r="F1219">
        <v>13</v>
      </c>
      <c r="G1219">
        <v>77</v>
      </c>
      <c r="H1219">
        <v>49182</v>
      </c>
    </row>
    <row r="1220" spans="1:8" x14ac:dyDescent="0.25">
      <c r="A1220">
        <v>39</v>
      </c>
      <c r="B1220" s="19">
        <v>44163</v>
      </c>
      <c r="C1220" s="1" t="s">
        <v>34</v>
      </c>
      <c r="D1220" t="s">
        <v>690</v>
      </c>
      <c r="E1220">
        <v>101</v>
      </c>
      <c r="F1220">
        <v>12</v>
      </c>
      <c r="G1220">
        <v>36</v>
      </c>
      <c r="H1220">
        <v>27548</v>
      </c>
    </row>
    <row r="1221" spans="1:8" x14ac:dyDescent="0.25">
      <c r="A1221">
        <v>39</v>
      </c>
      <c r="B1221" s="19">
        <v>44893</v>
      </c>
      <c r="C1221" s="1" t="s">
        <v>34</v>
      </c>
      <c r="D1221" t="s">
        <v>690</v>
      </c>
      <c r="E1221">
        <v>105</v>
      </c>
      <c r="F1221">
        <v>12</v>
      </c>
      <c r="G1221">
        <v>92</v>
      </c>
      <c r="H1221">
        <v>28201</v>
      </c>
    </row>
    <row r="1222" spans="1:8" x14ac:dyDescent="0.25">
      <c r="A1222">
        <v>39</v>
      </c>
      <c r="B1222" s="19">
        <v>44648</v>
      </c>
      <c r="C1222" s="1" t="s">
        <v>35</v>
      </c>
      <c r="D1222" t="s">
        <v>690</v>
      </c>
      <c r="E1222">
        <v>105</v>
      </c>
      <c r="F1222">
        <v>15</v>
      </c>
      <c r="G1222">
        <v>26</v>
      </c>
      <c r="H1222">
        <v>36278</v>
      </c>
    </row>
    <row r="1223" spans="1:8" x14ac:dyDescent="0.25">
      <c r="A1223">
        <v>39</v>
      </c>
      <c r="B1223" s="19">
        <v>45645</v>
      </c>
      <c r="C1223" s="1" t="s">
        <v>33</v>
      </c>
      <c r="D1223" t="s">
        <v>691</v>
      </c>
      <c r="E1223">
        <v>102</v>
      </c>
      <c r="F1223">
        <v>13</v>
      </c>
      <c r="G1223">
        <v>6</v>
      </c>
      <c r="H1223">
        <v>45263</v>
      </c>
    </row>
    <row r="1224" spans="1:8" x14ac:dyDescent="0.25">
      <c r="A1224">
        <v>39</v>
      </c>
      <c r="B1224" s="19">
        <v>45641</v>
      </c>
      <c r="C1224" s="1" t="s">
        <v>34</v>
      </c>
      <c r="D1224" t="s">
        <v>691</v>
      </c>
      <c r="E1224">
        <v>103</v>
      </c>
      <c r="F1224">
        <v>12</v>
      </c>
      <c r="G1224">
        <v>28</v>
      </c>
      <c r="H1224">
        <v>31677</v>
      </c>
    </row>
    <row r="1225" spans="1:8" x14ac:dyDescent="0.25">
      <c r="A1225">
        <v>39</v>
      </c>
      <c r="B1225" s="19">
        <v>44034</v>
      </c>
      <c r="C1225" s="1" t="s">
        <v>35</v>
      </c>
      <c r="D1225" t="s">
        <v>691</v>
      </c>
      <c r="E1225">
        <v>103</v>
      </c>
      <c r="F1225">
        <v>11</v>
      </c>
      <c r="G1225">
        <v>96</v>
      </c>
      <c r="H1225">
        <v>18084</v>
      </c>
    </row>
    <row r="1226" spans="1:8" x14ac:dyDescent="0.25">
      <c r="A1226">
        <v>39</v>
      </c>
      <c r="B1226" s="19">
        <v>44277</v>
      </c>
      <c r="C1226" s="1" t="s">
        <v>34</v>
      </c>
      <c r="D1226" t="s">
        <v>691</v>
      </c>
      <c r="E1226">
        <v>105</v>
      </c>
      <c r="F1226">
        <v>15</v>
      </c>
      <c r="G1226">
        <v>42</v>
      </c>
      <c r="H1226">
        <v>10433</v>
      </c>
    </row>
    <row r="1227" spans="1:8" x14ac:dyDescent="0.25">
      <c r="A1227">
        <v>39</v>
      </c>
      <c r="B1227" s="19">
        <v>44682</v>
      </c>
      <c r="C1227" s="1" t="s">
        <v>34</v>
      </c>
      <c r="D1227" t="s">
        <v>691</v>
      </c>
      <c r="E1227">
        <v>108</v>
      </c>
      <c r="F1227">
        <v>15</v>
      </c>
      <c r="G1227">
        <v>25</v>
      </c>
      <c r="H1227">
        <v>34502</v>
      </c>
    </row>
    <row r="1228" spans="1:8" x14ac:dyDescent="0.25">
      <c r="A1228">
        <v>39</v>
      </c>
      <c r="B1228" s="19">
        <v>44701</v>
      </c>
      <c r="C1228" s="1" t="s">
        <v>36</v>
      </c>
      <c r="D1228" t="s">
        <v>691</v>
      </c>
      <c r="E1228">
        <v>109</v>
      </c>
      <c r="F1228">
        <v>11</v>
      </c>
      <c r="G1228">
        <v>23</v>
      </c>
      <c r="H1228">
        <v>31937</v>
      </c>
    </row>
    <row r="1229" spans="1:8" x14ac:dyDescent="0.25">
      <c r="A1229">
        <v>39</v>
      </c>
      <c r="B1229" s="19">
        <v>44093</v>
      </c>
      <c r="C1229" s="1" t="s">
        <v>34</v>
      </c>
      <c r="D1229" t="s">
        <v>691</v>
      </c>
      <c r="E1229">
        <v>103</v>
      </c>
      <c r="F1229">
        <v>11</v>
      </c>
      <c r="G1229">
        <v>51</v>
      </c>
      <c r="H1229">
        <v>13731</v>
      </c>
    </row>
    <row r="1230" spans="1:8" x14ac:dyDescent="0.25">
      <c r="A1230">
        <v>39</v>
      </c>
      <c r="B1230" s="19">
        <v>45221</v>
      </c>
      <c r="C1230" s="1" t="s">
        <v>35</v>
      </c>
      <c r="D1230" t="s">
        <v>700</v>
      </c>
      <c r="E1230">
        <v>102</v>
      </c>
      <c r="F1230">
        <v>11</v>
      </c>
      <c r="G1230">
        <v>100</v>
      </c>
      <c r="H1230">
        <v>10134</v>
      </c>
    </row>
    <row r="1231" spans="1:8" x14ac:dyDescent="0.25">
      <c r="A1231">
        <v>39</v>
      </c>
      <c r="B1231" s="19">
        <v>43987</v>
      </c>
      <c r="C1231" s="1" t="s">
        <v>35</v>
      </c>
      <c r="D1231" t="s">
        <v>700</v>
      </c>
      <c r="E1231">
        <v>105</v>
      </c>
      <c r="F1231">
        <v>14</v>
      </c>
      <c r="G1231">
        <v>14</v>
      </c>
      <c r="H1231">
        <v>16353</v>
      </c>
    </row>
    <row r="1232" spans="1:8" x14ac:dyDescent="0.25">
      <c r="A1232">
        <v>39</v>
      </c>
      <c r="B1232" s="19">
        <v>44850</v>
      </c>
      <c r="C1232" s="1" t="s">
        <v>35</v>
      </c>
      <c r="D1232" t="s">
        <v>700</v>
      </c>
      <c r="E1232">
        <v>103</v>
      </c>
      <c r="F1232">
        <v>14</v>
      </c>
      <c r="G1232">
        <v>21</v>
      </c>
      <c r="H1232">
        <v>10858</v>
      </c>
    </row>
    <row r="1233" spans="1:8" x14ac:dyDescent="0.25">
      <c r="A1233">
        <v>39</v>
      </c>
      <c r="B1233" s="19">
        <v>45494</v>
      </c>
      <c r="C1233" s="1" t="s">
        <v>34</v>
      </c>
      <c r="D1233" t="s">
        <v>700</v>
      </c>
      <c r="E1233">
        <v>108</v>
      </c>
      <c r="F1233">
        <v>13</v>
      </c>
      <c r="G1233">
        <v>85</v>
      </c>
      <c r="H1233">
        <v>21833</v>
      </c>
    </row>
    <row r="1234" spans="1:8" x14ac:dyDescent="0.25">
      <c r="A1234">
        <v>39</v>
      </c>
      <c r="B1234" s="19">
        <v>44248</v>
      </c>
      <c r="C1234" s="1" t="s">
        <v>36</v>
      </c>
      <c r="D1234" t="s">
        <v>700</v>
      </c>
      <c r="E1234">
        <v>103</v>
      </c>
      <c r="F1234">
        <v>13</v>
      </c>
      <c r="G1234">
        <v>30</v>
      </c>
      <c r="H1234">
        <v>46179</v>
      </c>
    </row>
    <row r="1235" spans="1:8" x14ac:dyDescent="0.25">
      <c r="A1235">
        <v>39</v>
      </c>
      <c r="B1235" s="19">
        <v>43853</v>
      </c>
      <c r="C1235" s="1" t="s">
        <v>33</v>
      </c>
      <c r="D1235" t="s">
        <v>696</v>
      </c>
      <c r="E1235">
        <v>106</v>
      </c>
      <c r="F1235">
        <v>15</v>
      </c>
      <c r="G1235">
        <v>81</v>
      </c>
      <c r="H1235">
        <v>48171</v>
      </c>
    </row>
    <row r="1236" spans="1:8" x14ac:dyDescent="0.25">
      <c r="A1236">
        <v>39</v>
      </c>
      <c r="B1236" s="19">
        <v>44520</v>
      </c>
      <c r="C1236" s="1" t="s">
        <v>33</v>
      </c>
      <c r="D1236" t="s">
        <v>696</v>
      </c>
      <c r="E1236">
        <v>104</v>
      </c>
      <c r="F1236">
        <v>15</v>
      </c>
      <c r="G1236">
        <v>79</v>
      </c>
      <c r="H1236">
        <v>35227</v>
      </c>
    </row>
    <row r="1237" spans="1:8" x14ac:dyDescent="0.25">
      <c r="A1237">
        <v>39</v>
      </c>
      <c r="B1237" s="19">
        <v>45374</v>
      </c>
      <c r="C1237" s="1" t="s">
        <v>36</v>
      </c>
      <c r="D1237" t="s">
        <v>696</v>
      </c>
      <c r="E1237">
        <v>104</v>
      </c>
      <c r="F1237">
        <v>12</v>
      </c>
      <c r="G1237">
        <v>18</v>
      </c>
      <c r="H1237">
        <v>33771</v>
      </c>
    </row>
    <row r="1238" spans="1:8" x14ac:dyDescent="0.25">
      <c r="A1238">
        <v>39</v>
      </c>
      <c r="B1238" s="19">
        <v>44548</v>
      </c>
      <c r="C1238" s="1" t="s">
        <v>34</v>
      </c>
      <c r="D1238" t="s">
        <v>697</v>
      </c>
      <c r="E1238">
        <v>104</v>
      </c>
      <c r="F1238">
        <v>12</v>
      </c>
      <c r="G1238">
        <v>19</v>
      </c>
      <c r="H1238">
        <v>27019</v>
      </c>
    </row>
    <row r="1239" spans="1:8" x14ac:dyDescent="0.25">
      <c r="A1239">
        <v>39</v>
      </c>
      <c r="B1239" s="19">
        <v>44205</v>
      </c>
      <c r="C1239" s="1" t="s">
        <v>34</v>
      </c>
      <c r="D1239" t="s">
        <v>697</v>
      </c>
      <c r="E1239">
        <v>103</v>
      </c>
      <c r="F1239">
        <v>13</v>
      </c>
      <c r="G1239">
        <v>96</v>
      </c>
      <c r="H1239">
        <v>37797</v>
      </c>
    </row>
    <row r="1240" spans="1:8" x14ac:dyDescent="0.25">
      <c r="A1240">
        <v>39</v>
      </c>
      <c r="B1240" s="19">
        <v>44549</v>
      </c>
      <c r="C1240" s="1" t="s">
        <v>36</v>
      </c>
      <c r="D1240" t="s">
        <v>697</v>
      </c>
      <c r="E1240">
        <v>108</v>
      </c>
      <c r="F1240">
        <v>15</v>
      </c>
      <c r="G1240">
        <v>56</v>
      </c>
      <c r="H1240">
        <v>14084</v>
      </c>
    </row>
    <row r="1241" spans="1:8" x14ac:dyDescent="0.25">
      <c r="A1241">
        <v>39</v>
      </c>
      <c r="B1241" s="19">
        <v>44628</v>
      </c>
      <c r="C1241" s="1" t="s">
        <v>36</v>
      </c>
      <c r="D1241" t="s">
        <v>697</v>
      </c>
      <c r="E1241">
        <v>105</v>
      </c>
      <c r="F1241">
        <v>11</v>
      </c>
      <c r="G1241">
        <v>42</v>
      </c>
      <c r="H1241">
        <v>13891</v>
      </c>
    </row>
    <row r="1242" spans="1:8" x14ac:dyDescent="0.25">
      <c r="A1242">
        <v>39</v>
      </c>
      <c r="B1242" s="19">
        <v>44748</v>
      </c>
      <c r="C1242" s="1" t="s">
        <v>36</v>
      </c>
      <c r="D1242" t="s">
        <v>697</v>
      </c>
      <c r="E1242">
        <v>103</v>
      </c>
      <c r="F1242">
        <v>13</v>
      </c>
      <c r="G1242">
        <v>67</v>
      </c>
      <c r="H1242">
        <v>47325</v>
      </c>
    </row>
    <row r="1243" spans="1:8" x14ac:dyDescent="0.25">
      <c r="A1243">
        <v>39</v>
      </c>
      <c r="B1243" s="19">
        <v>44448</v>
      </c>
      <c r="C1243" s="1" t="s">
        <v>33</v>
      </c>
      <c r="D1243" t="s">
        <v>697</v>
      </c>
      <c r="E1243">
        <v>108</v>
      </c>
      <c r="F1243">
        <v>12</v>
      </c>
      <c r="G1243">
        <v>74</v>
      </c>
      <c r="H1243">
        <v>49706</v>
      </c>
    </row>
    <row r="1244" spans="1:8" x14ac:dyDescent="0.25">
      <c r="A1244">
        <v>39</v>
      </c>
      <c r="B1244" s="19">
        <v>43879</v>
      </c>
      <c r="C1244" s="1" t="s">
        <v>35</v>
      </c>
      <c r="D1244" t="s">
        <v>698</v>
      </c>
      <c r="E1244">
        <v>109</v>
      </c>
      <c r="F1244">
        <v>12</v>
      </c>
      <c r="G1244">
        <v>36</v>
      </c>
      <c r="H1244">
        <v>36773</v>
      </c>
    </row>
    <row r="1245" spans="1:8" x14ac:dyDescent="0.25">
      <c r="A1245">
        <v>39</v>
      </c>
      <c r="B1245" s="19">
        <v>45228</v>
      </c>
      <c r="C1245" s="1" t="s">
        <v>36</v>
      </c>
      <c r="D1245" t="s">
        <v>698</v>
      </c>
      <c r="E1245">
        <v>103</v>
      </c>
      <c r="F1245">
        <v>13</v>
      </c>
      <c r="G1245">
        <v>93</v>
      </c>
      <c r="H1245">
        <v>31052</v>
      </c>
    </row>
    <row r="1246" spans="1:8" x14ac:dyDescent="0.25">
      <c r="A1246">
        <v>39</v>
      </c>
      <c r="B1246" s="19">
        <v>44658</v>
      </c>
      <c r="C1246" s="1" t="s">
        <v>36</v>
      </c>
      <c r="D1246" t="s">
        <v>699</v>
      </c>
      <c r="E1246">
        <v>106</v>
      </c>
      <c r="F1246">
        <v>12</v>
      </c>
      <c r="G1246">
        <v>82</v>
      </c>
      <c r="H1246">
        <v>15839</v>
      </c>
    </row>
    <row r="1247" spans="1:8" x14ac:dyDescent="0.25">
      <c r="A1247">
        <v>39</v>
      </c>
      <c r="B1247" s="19">
        <v>43943</v>
      </c>
      <c r="C1247" s="1" t="s">
        <v>36</v>
      </c>
      <c r="D1247" t="s">
        <v>699</v>
      </c>
      <c r="E1247">
        <v>104</v>
      </c>
      <c r="F1247">
        <v>12</v>
      </c>
      <c r="G1247">
        <v>70</v>
      </c>
      <c r="H1247">
        <v>14728</v>
      </c>
    </row>
    <row r="1248" spans="1:8" x14ac:dyDescent="0.25">
      <c r="A1248">
        <v>39</v>
      </c>
      <c r="B1248" s="19">
        <v>44006</v>
      </c>
      <c r="C1248" s="1" t="s">
        <v>35</v>
      </c>
      <c r="D1248" t="s">
        <v>695</v>
      </c>
      <c r="E1248">
        <v>105</v>
      </c>
      <c r="F1248">
        <v>14</v>
      </c>
      <c r="G1248">
        <v>10</v>
      </c>
      <c r="H1248">
        <v>27606</v>
      </c>
    </row>
    <row r="1249" spans="1:8" x14ac:dyDescent="0.25">
      <c r="A1249">
        <v>39</v>
      </c>
      <c r="B1249" s="19">
        <v>43907</v>
      </c>
      <c r="C1249" s="1" t="s">
        <v>36</v>
      </c>
      <c r="D1249" t="s">
        <v>695</v>
      </c>
      <c r="E1249">
        <v>108</v>
      </c>
      <c r="F1249">
        <v>14</v>
      </c>
      <c r="G1249">
        <v>15</v>
      </c>
      <c r="H1249">
        <v>32532</v>
      </c>
    </row>
    <row r="1250" spans="1:8" x14ac:dyDescent="0.25">
      <c r="A1250">
        <v>39</v>
      </c>
      <c r="B1250" s="19">
        <v>43863</v>
      </c>
      <c r="C1250" s="1" t="s">
        <v>36</v>
      </c>
      <c r="D1250" t="s">
        <v>692</v>
      </c>
      <c r="E1250">
        <v>103</v>
      </c>
      <c r="F1250">
        <v>11</v>
      </c>
      <c r="G1250">
        <v>71</v>
      </c>
      <c r="H1250">
        <v>23512</v>
      </c>
    </row>
    <row r="1251" spans="1:8" x14ac:dyDescent="0.25">
      <c r="A1251">
        <v>39</v>
      </c>
      <c r="B1251" s="19">
        <v>44640</v>
      </c>
      <c r="C1251" s="1" t="s">
        <v>35</v>
      </c>
      <c r="D1251" t="s">
        <v>692</v>
      </c>
      <c r="E1251">
        <v>103</v>
      </c>
      <c r="F1251">
        <v>11</v>
      </c>
      <c r="G1251">
        <v>54</v>
      </c>
      <c r="H1251">
        <v>21483</v>
      </c>
    </row>
    <row r="1252" spans="1:8" x14ac:dyDescent="0.25">
      <c r="A1252">
        <v>39</v>
      </c>
      <c r="B1252" s="19">
        <v>45234</v>
      </c>
      <c r="C1252" s="1" t="s">
        <v>34</v>
      </c>
      <c r="D1252" t="s">
        <v>692</v>
      </c>
      <c r="E1252">
        <v>101</v>
      </c>
      <c r="F1252">
        <v>13</v>
      </c>
      <c r="G1252">
        <v>28</v>
      </c>
      <c r="H1252">
        <v>43659</v>
      </c>
    </row>
    <row r="1253" spans="1:8" x14ac:dyDescent="0.25">
      <c r="A1253">
        <v>39</v>
      </c>
      <c r="B1253" s="19">
        <v>43849</v>
      </c>
      <c r="C1253" s="1" t="s">
        <v>34</v>
      </c>
      <c r="D1253" t="s">
        <v>692</v>
      </c>
      <c r="E1253">
        <v>105</v>
      </c>
      <c r="F1253">
        <v>13</v>
      </c>
      <c r="G1253">
        <v>73</v>
      </c>
      <c r="H1253">
        <v>43635</v>
      </c>
    </row>
    <row r="1254" spans="1:8" x14ac:dyDescent="0.25">
      <c r="A1254">
        <v>39</v>
      </c>
      <c r="B1254" s="19">
        <v>44358</v>
      </c>
      <c r="C1254" s="1" t="s">
        <v>35</v>
      </c>
      <c r="D1254" t="s">
        <v>692</v>
      </c>
      <c r="E1254">
        <v>103</v>
      </c>
      <c r="F1254">
        <v>15</v>
      </c>
      <c r="G1254">
        <v>70</v>
      </c>
      <c r="H1254">
        <v>28133</v>
      </c>
    </row>
    <row r="1255" spans="1:8" x14ac:dyDescent="0.25">
      <c r="A1255">
        <v>39</v>
      </c>
      <c r="B1255" s="19">
        <v>44328</v>
      </c>
      <c r="C1255" s="1" t="s">
        <v>36</v>
      </c>
      <c r="D1255" t="s">
        <v>693</v>
      </c>
      <c r="E1255">
        <v>103</v>
      </c>
      <c r="F1255">
        <v>15</v>
      </c>
      <c r="G1255">
        <v>29</v>
      </c>
      <c r="H1255">
        <v>46985</v>
      </c>
    </row>
    <row r="1256" spans="1:8" x14ac:dyDescent="0.25">
      <c r="A1256">
        <v>39</v>
      </c>
      <c r="B1256" s="19">
        <v>44993</v>
      </c>
      <c r="C1256" s="1" t="s">
        <v>36</v>
      </c>
      <c r="D1256" t="s">
        <v>693</v>
      </c>
      <c r="E1256">
        <v>104</v>
      </c>
      <c r="F1256">
        <v>11</v>
      </c>
      <c r="G1256">
        <v>67</v>
      </c>
      <c r="H1256">
        <v>30031</v>
      </c>
    </row>
    <row r="1257" spans="1:8" x14ac:dyDescent="0.25">
      <c r="A1257">
        <v>39</v>
      </c>
      <c r="B1257" s="19">
        <v>44036</v>
      </c>
      <c r="C1257" s="1" t="s">
        <v>35</v>
      </c>
      <c r="D1257" t="s">
        <v>693</v>
      </c>
      <c r="E1257">
        <v>104</v>
      </c>
      <c r="F1257">
        <v>15</v>
      </c>
      <c r="G1257">
        <v>86</v>
      </c>
      <c r="H1257">
        <v>39248</v>
      </c>
    </row>
    <row r="1258" spans="1:8" x14ac:dyDescent="0.25">
      <c r="A1258">
        <v>39</v>
      </c>
      <c r="B1258" s="19">
        <v>45341</v>
      </c>
      <c r="C1258" s="1" t="s">
        <v>34</v>
      </c>
      <c r="D1258" t="s">
        <v>693</v>
      </c>
      <c r="E1258">
        <v>101</v>
      </c>
      <c r="F1258">
        <v>11</v>
      </c>
      <c r="G1258">
        <v>27</v>
      </c>
      <c r="H1258">
        <v>42903</v>
      </c>
    </row>
    <row r="1259" spans="1:8" x14ac:dyDescent="0.25">
      <c r="A1259">
        <v>39</v>
      </c>
      <c r="B1259" s="19">
        <v>44780</v>
      </c>
      <c r="C1259" s="1" t="s">
        <v>35</v>
      </c>
      <c r="D1259" t="s">
        <v>694</v>
      </c>
      <c r="E1259">
        <v>103</v>
      </c>
      <c r="F1259">
        <v>15</v>
      </c>
      <c r="G1259">
        <v>36</v>
      </c>
      <c r="H1259">
        <v>24648</v>
      </c>
    </row>
    <row r="1260" spans="1:8" x14ac:dyDescent="0.25">
      <c r="A1260">
        <v>39</v>
      </c>
      <c r="B1260" s="19">
        <v>44570</v>
      </c>
      <c r="C1260" s="1" t="s">
        <v>33</v>
      </c>
      <c r="D1260" t="s">
        <v>694</v>
      </c>
      <c r="E1260">
        <v>101</v>
      </c>
      <c r="F1260">
        <v>13</v>
      </c>
      <c r="G1260">
        <v>31</v>
      </c>
      <c r="H1260">
        <v>37696</v>
      </c>
    </row>
    <row r="1261" spans="1:8" x14ac:dyDescent="0.25">
      <c r="A1261">
        <v>39</v>
      </c>
      <c r="B1261" s="19">
        <v>44734</v>
      </c>
      <c r="C1261" s="1" t="s">
        <v>36</v>
      </c>
      <c r="D1261" t="s">
        <v>694</v>
      </c>
      <c r="E1261">
        <v>104</v>
      </c>
      <c r="F1261">
        <v>15</v>
      </c>
      <c r="G1261">
        <v>32</v>
      </c>
      <c r="H1261">
        <v>14886</v>
      </c>
    </row>
    <row r="1262" spans="1:8" x14ac:dyDescent="0.25">
      <c r="A1262">
        <v>39</v>
      </c>
      <c r="B1262" s="19">
        <v>44092</v>
      </c>
      <c r="C1262" s="1" t="s">
        <v>36</v>
      </c>
      <c r="D1262" t="s">
        <v>694</v>
      </c>
      <c r="E1262">
        <v>108</v>
      </c>
      <c r="F1262">
        <v>14</v>
      </c>
      <c r="G1262">
        <v>12</v>
      </c>
      <c r="H1262">
        <v>45366</v>
      </c>
    </row>
    <row r="1263" spans="1:8" x14ac:dyDescent="0.25">
      <c r="A1263">
        <v>39</v>
      </c>
      <c r="B1263" s="19">
        <v>44296</v>
      </c>
      <c r="C1263" s="1" t="s">
        <v>35</v>
      </c>
      <c r="D1263" t="s">
        <v>694</v>
      </c>
      <c r="E1263">
        <v>103</v>
      </c>
      <c r="F1263">
        <v>13</v>
      </c>
      <c r="G1263">
        <v>8</v>
      </c>
      <c r="H1263">
        <v>30056</v>
      </c>
    </row>
    <row r="1264" spans="1:8" x14ac:dyDescent="0.25">
      <c r="A1264">
        <v>40</v>
      </c>
      <c r="B1264" s="19">
        <v>45161</v>
      </c>
      <c r="C1264" s="1" t="s">
        <v>34</v>
      </c>
      <c r="D1264" t="s">
        <v>690</v>
      </c>
      <c r="E1264">
        <v>105</v>
      </c>
      <c r="F1264">
        <v>12</v>
      </c>
      <c r="G1264">
        <v>43</v>
      </c>
      <c r="H1264">
        <v>26855</v>
      </c>
    </row>
    <row r="1265" spans="1:8" x14ac:dyDescent="0.25">
      <c r="A1265">
        <v>40</v>
      </c>
      <c r="B1265" s="19">
        <v>44458</v>
      </c>
      <c r="C1265" s="1" t="s">
        <v>34</v>
      </c>
      <c r="D1265" t="s">
        <v>690</v>
      </c>
      <c r="E1265">
        <v>105</v>
      </c>
      <c r="F1265">
        <v>14</v>
      </c>
      <c r="G1265">
        <v>34</v>
      </c>
      <c r="H1265">
        <v>45590</v>
      </c>
    </row>
    <row r="1266" spans="1:8" x14ac:dyDescent="0.25">
      <c r="A1266">
        <v>40</v>
      </c>
      <c r="B1266" s="19">
        <v>44521</v>
      </c>
      <c r="C1266" s="1" t="s">
        <v>35</v>
      </c>
      <c r="D1266" t="s">
        <v>691</v>
      </c>
      <c r="E1266">
        <v>103</v>
      </c>
      <c r="F1266">
        <v>15</v>
      </c>
      <c r="G1266">
        <v>95</v>
      </c>
      <c r="H1266">
        <v>42503</v>
      </c>
    </row>
    <row r="1267" spans="1:8" x14ac:dyDescent="0.25">
      <c r="A1267">
        <v>40</v>
      </c>
      <c r="B1267" s="19">
        <v>44165</v>
      </c>
      <c r="C1267" s="1" t="s">
        <v>36</v>
      </c>
      <c r="D1267" t="s">
        <v>691</v>
      </c>
      <c r="E1267">
        <v>105</v>
      </c>
      <c r="F1267">
        <v>14</v>
      </c>
      <c r="G1267">
        <v>40</v>
      </c>
      <c r="H1267">
        <v>47048</v>
      </c>
    </row>
    <row r="1268" spans="1:8" x14ac:dyDescent="0.25">
      <c r="A1268">
        <v>40</v>
      </c>
      <c r="B1268" s="19">
        <v>44204</v>
      </c>
      <c r="C1268" s="1" t="s">
        <v>35</v>
      </c>
      <c r="D1268" t="s">
        <v>700</v>
      </c>
      <c r="E1268">
        <v>104</v>
      </c>
      <c r="F1268">
        <v>13</v>
      </c>
      <c r="G1268">
        <v>37</v>
      </c>
      <c r="H1268">
        <v>27718</v>
      </c>
    </row>
    <row r="1269" spans="1:8" x14ac:dyDescent="0.25">
      <c r="A1269">
        <v>40</v>
      </c>
      <c r="B1269" s="19">
        <v>43993</v>
      </c>
      <c r="C1269" s="1" t="s">
        <v>34</v>
      </c>
      <c r="D1269" t="s">
        <v>700</v>
      </c>
      <c r="E1269">
        <v>103</v>
      </c>
      <c r="F1269">
        <v>11</v>
      </c>
      <c r="G1269">
        <v>100</v>
      </c>
      <c r="H1269">
        <v>32265</v>
      </c>
    </row>
    <row r="1270" spans="1:8" x14ac:dyDescent="0.25">
      <c r="A1270">
        <v>40</v>
      </c>
      <c r="B1270" s="19">
        <v>44039</v>
      </c>
      <c r="C1270" s="1" t="s">
        <v>36</v>
      </c>
      <c r="D1270" t="s">
        <v>696</v>
      </c>
      <c r="E1270">
        <v>105</v>
      </c>
      <c r="F1270">
        <v>13</v>
      </c>
      <c r="G1270">
        <v>28</v>
      </c>
      <c r="H1270">
        <v>10922</v>
      </c>
    </row>
    <row r="1271" spans="1:8" x14ac:dyDescent="0.25">
      <c r="A1271">
        <v>40</v>
      </c>
      <c r="B1271" s="19">
        <v>45503</v>
      </c>
      <c r="C1271" s="1" t="s">
        <v>33</v>
      </c>
      <c r="D1271" t="s">
        <v>696</v>
      </c>
      <c r="E1271">
        <v>103</v>
      </c>
      <c r="F1271">
        <v>11</v>
      </c>
      <c r="G1271">
        <v>25</v>
      </c>
      <c r="H1271">
        <v>32885</v>
      </c>
    </row>
    <row r="1272" spans="1:8" x14ac:dyDescent="0.25">
      <c r="A1272">
        <v>40</v>
      </c>
      <c r="B1272" s="19">
        <v>45415</v>
      </c>
      <c r="C1272" s="1" t="s">
        <v>36</v>
      </c>
      <c r="D1272" t="s">
        <v>697</v>
      </c>
      <c r="E1272">
        <v>109</v>
      </c>
      <c r="F1272">
        <v>15</v>
      </c>
      <c r="G1272">
        <v>60</v>
      </c>
      <c r="H1272">
        <v>49079</v>
      </c>
    </row>
    <row r="1273" spans="1:8" x14ac:dyDescent="0.25">
      <c r="A1273">
        <v>40</v>
      </c>
      <c r="B1273" s="19">
        <v>44097</v>
      </c>
      <c r="C1273" s="1" t="s">
        <v>33</v>
      </c>
      <c r="D1273" t="s">
        <v>697</v>
      </c>
      <c r="E1273">
        <v>108</v>
      </c>
      <c r="F1273">
        <v>11</v>
      </c>
      <c r="G1273">
        <v>90</v>
      </c>
      <c r="H1273">
        <v>42774</v>
      </c>
    </row>
    <row r="1274" spans="1:8" x14ac:dyDescent="0.25">
      <c r="A1274">
        <v>40</v>
      </c>
      <c r="B1274" s="19">
        <v>44517</v>
      </c>
      <c r="C1274" s="1" t="s">
        <v>35</v>
      </c>
      <c r="D1274" t="s">
        <v>697</v>
      </c>
      <c r="E1274">
        <v>104</v>
      </c>
      <c r="F1274">
        <v>12</v>
      </c>
      <c r="G1274">
        <v>66</v>
      </c>
      <c r="H1274">
        <v>30146</v>
      </c>
    </row>
    <row r="1275" spans="1:8" x14ac:dyDescent="0.25">
      <c r="A1275">
        <v>40</v>
      </c>
      <c r="B1275" s="19">
        <v>44632</v>
      </c>
      <c r="C1275" s="1" t="s">
        <v>33</v>
      </c>
      <c r="D1275" t="s">
        <v>698</v>
      </c>
      <c r="E1275">
        <v>105</v>
      </c>
      <c r="F1275">
        <v>11</v>
      </c>
      <c r="G1275">
        <v>80</v>
      </c>
      <c r="H1275">
        <v>41488</v>
      </c>
    </row>
    <row r="1276" spans="1:8" x14ac:dyDescent="0.25">
      <c r="A1276">
        <v>40</v>
      </c>
      <c r="B1276" s="19">
        <v>45154</v>
      </c>
      <c r="C1276" s="1" t="s">
        <v>34</v>
      </c>
      <c r="D1276" t="s">
        <v>699</v>
      </c>
      <c r="E1276">
        <v>103</v>
      </c>
      <c r="F1276">
        <v>11</v>
      </c>
      <c r="G1276">
        <v>64</v>
      </c>
      <c r="H1276">
        <v>25103</v>
      </c>
    </row>
    <row r="1277" spans="1:8" x14ac:dyDescent="0.25">
      <c r="A1277">
        <v>40</v>
      </c>
      <c r="B1277" s="19">
        <v>45600</v>
      </c>
      <c r="C1277" s="1" t="s">
        <v>36</v>
      </c>
      <c r="D1277" t="s">
        <v>699</v>
      </c>
      <c r="E1277">
        <v>105</v>
      </c>
      <c r="F1277">
        <v>13</v>
      </c>
      <c r="G1277">
        <v>12</v>
      </c>
      <c r="H1277">
        <v>31814</v>
      </c>
    </row>
    <row r="1278" spans="1:8" x14ac:dyDescent="0.25">
      <c r="A1278">
        <v>40</v>
      </c>
      <c r="B1278" s="19">
        <v>45552</v>
      </c>
      <c r="C1278" s="1" t="s">
        <v>33</v>
      </c>
      <c r="D1278" t="s">
        <v>695</v>
      </c>
      <c r="E1278">
        <v>105</v>
      </c>
      <c r="F1278">
        <v>13</v>
      </c>
      <c r="G1278">
        <v>81</v>
      </c>
      <c r="H1278">
        <v>21043</v>
      </c>
    </row>
    <row r="1279" spans="1:8" x14ac:dyDescent="0.25">
      <c r="A1279">
        <v>40</v>
      </c>
      <c r="B1279" s="19">
        <v>45285</v>
      </c>
      <c r="C1279" s="1" t="s">
        <v>35</v>
      </c>
      <c r="D1279" t="s">
        <v>692</v>
      </c>
      <c r="E1279">
        <v>104</v>
      </c>
      <c r="F1279">
        <v>15</v>
      </c>
      <c r="G1279">
        <v>75</v>
      </c>
      <c r="H1279">
        <v>35937</v>
      </c>
    </row>
    <row r="1280" spans="1:8" x14ac:dyDescent="0.25">
      <c r="A1280">
        <v>40</v>
      </c>
      <c r="B1280" s="19">
        <v>44484</v>
      </c>
      <c r="C1280" s="1" t="s">
        <v>35</v>
      </c>
      <c r="D1280" t="s">
        <v>692</v>
      </c>
      <c r="E1280">
        <v>106</v>
      </c>
      <c r="F1280">
        <v>13</v>
      </c>
      <c r="G1280">
        <v>24</v>
      </c>
      <c r="H1280">
        <v>11672</v>
      </c>
    </row>
    <row r="1281" spans="1:8" x14ac:dyDescent="0.25">
      <c r="A1281">
        <v>40</v>
      </c>
      <c r="B1281" s="19">
        <v>45028</v>
      </c>
      <c r="C1281" s="1" t="s">
        <v>36</v>
      </c>
      <c r="D1281" t="s">
        <v>693</v>
      </c>
      <c r="E1281">
        <v>103</v>
      </c>
      <c r="F1281">
        <v>15</v>
      </c>
      <c r="G1281">
        <v>86</v>
      </c>
      <c r="H1281">
        <v>27749</v>
      </c>
    </row>
    <row r="1282" spans="1:8" x14ac:dyDescent="0.25">
      <c r="A1282">
        <v>40</v>
      </c>
      <c r="B1282" s="19">
        <v>45341</v>
      </c>
      <c r="C1282" s="1" t="s">
        <v>33</v>
      </c>
      <c r="D1282" t="s">
        <v>694</v>
      </c>
      <c r="E1282">
        <v>105</v>
      </c>
      <c r="F1282">
        <v>12</v>
      </c>
      <c r="G1282">
        <v>76</v>
      </c>
      <c r="H1282">
        <v>24443</v>
      </c>
    </row>
    <row r="1283" spans="1:8" x14ac:dyDescent="0.25">
      <c r="A1283">
        <v>40</v>
      </c>
      <c r="B1283" s="19">
        <v>44925</v>
      </c>
      <c r="C1283" s="1" t="s">
        <v>34</v>
      </c>
      <c r="D1283" t="s">
        <v>694</v>
      </c>
      <c r="E1283">
        <v>103</v>
      </c>
      <c r="F1283">
        <v>12</v>
      </c>
      <c r="G1283">
        <v>64</v>
      </c>
      <c r="H1283">
        <v>40987</v>
      </c>
    </row>
    <row r="1284" spans="1:8" x14ac:dyDescent="0.25">
      <c r="A1284">
        <v>40</v>
      </c>
      <c r="B1284" s="19">
        <v>43937</v>
      </c>
      <c r="C1284" s="1" t="s">
        <v>35</v>
      </c>
      <c r="D1284" t="s">
        <v>694</v>
      </c>
      <c r="E1284">
        <v>109</v>
      </c>
      <c r="F1284">
        <v>14</v>
      </c>
      <c r="G1284">
        <v>70</v>
      </c>
      <c r="H1284">
        <v>27226</v>
      </c>
    </row>
    <row r="1285" spans="1:8" x14ac:dyDescent="0.25">
      <c r="A1285">
        <v>40</v>
      </c>
      <c r="B1285" s="19">
        <v>45338</v>
      </c>
      <c r="C1285" s="1" t="s">
        <v>36</v>
      </c>
      <c r="D1285" t="s">
        <v>694</v>
      </c>
      <c r="E1285">
        <v>105</v>
      </c>
      <c r="F1285">
        <v>11</v>
      </c>
      <c r="G1285">
        <v>14</v>
      </c>
      <c r="H1285">
        <v>31869</v>
      </c>
    </row>
    <row r="1286" spans="1:8" x14ac:dyDescent="0.25">
      <c r="A1286">
        <v>40</v>
      </c>
      <c r="B1286" s="19">
        <v>44384</v>
      </c>
      <c r="C1286" s="1" t="s">
        <v>33</v>
      </c>
      <c r="D1286" t="s">
        <v>694</v>
      </c>
      <c r="E1286">
        <v>103</v>
      </c>
      <c r="F1286">
        <v>11</v>
      </c>
      <c r="G1286">
        <v>87</v>
      </c>
      <c r="H1286">
        <v>10739</v>
      </c>
    </row>
    <row r="1287" spans="1:8" x14ac:dyDescent="0.25">
      <c r="A1287">
        <v>41</v>
      </c>
      <c r="B1287" s="19">
        <v>44421</v>
      </c>
      <c r="C1287" s="1" t="s">
        <v>35</v>
      </c>
      <c r="D1287" t="s">
        <v>690</v>
      </c>
      <c r="E1287">
        <v>104</v>
      </c>
      <c r="F1287">
        <v>15</v>
      </c>
      <c r="G1287">
        <v>9</v>
      </c>
      <c r="H1287">
        <v>15220</v>
      </c>
    </row>
    <row r="1288" spans="1:8" x14ac:dyDescent="0.25">
      <c r="A1288">
        <v>41</v>
      </c>
      <c r="B1288" s="19">
        <v>45408</v>
      </c>
      <c r="C1288" s="1" t="s">
        <v>33</v>
      </c>
      <c r="D1288" t="s">
        <v>690</v>
      </c>
      <c r="E1288">
        <v>102</v>
      </c>
      <c r="F1288">
        <v>11</v>
      </c>
      <c r="G1288">
        <v>19</v>
      </c>
      <c r="H1288">
        <v>14167</v>
      </c>
    </row>
    <row r="1289" spans="1:8" x14ac:dyDescent="0.25">
      <c r="A1289">
        <v>41</v>
      </c>
      <c r="B1289" s="19">
        <v>44473</v>
      </c>
      <c r="C1289" s="1" t="s">
        <v>33</v>
      </c>
      <c r="D1289" t="s">
        <v>690</v>
      </c>
      <c r="E1289">
        <v>103</v>
      </c>
      <c r="F1289">
        <v>13</v>
      </c>
      <c r="G1289">
        <v>63</v>
      </c>
      <c r="H1289">
        <v>11050</v>
      </c>
    </row>
    <row r="1290" spans="1:8" x14ac:dyDescent="0.25">
      <c r="A1290">
        <v>41</v>
      </c>
      <c r="B1290" s="19">
        <v>44167</v>
      </c>
      <c r="C1290" s="1" t="s">
        <v>33</v>
      </c>
      <c r="D1290" t="s">
        <v>690</v>
      </c>
      <c r="E1290">
        <v>102</v>
      </c>
      <c r="F1290">
        <v>14</v>
      </c>
      <c r="G1290">
        <v>88</v>
      </c>
      <c r="H1290">
        <v>24659</v>
      </c>
    </row>
    <row r="1291" spans="1:8" x14ac:dyDescent="0.25">
      <c r="A1291">
        <v>41</v>
      </c>
      <c r="B1291" s="19">
        <v>44410</v>
      </c>
      <c r="C1291" s="1" t="s">
        <v>34</v>
      </c>
      <c r="D1291" t="s">
        <v>690</v>
      </c>
      <c r="E1291">
        <v>104</v>
      </c>
      <c r="F1291">
        <v>12</v>
      </c>
      <c r="G1291">
        <v>66</v>
      </c>
      <c r="H1291">
        <v>41110</v>
      </c>
    </row>
    <row r="1292" spans="1:8" x14ac:dyDescent="0.25">
      <c r="A1292">
        <v>41</v>
      </c>
      <c r="B1292" s="19">
        <v>45654</v>
      </c>
      <c r="C1292" s="1" t="s">
        <v>33</v>
      </c>
      <c r="D1292" t="s">
        <v>700</v>
      </c>
      <c r="E1292">
        <v>104</v>
      </c>
      <c r="F1292">
        <v>14</v>
      </c>
      <c r="G1292">
        <v>91</v>
      </c>
      <c r="H1292">
        <v>14938</v>
      </c>
    </row>
    <row r="1293" spans="1:8" x14ac:dyDescent="0.25">
      <c r="A1293">
        <v>41</v>
      </c>
      <c r="B1293" s="19">
        <v>44056</v>
      </c>
      <c r="C1293" s="1" t="s">
        <v>33</v>
      </c>
      <c r="D1293" t="s">
        <v>700</v>
      </c>
      <c r="E1293">
        <v>102</v>
      </c>
      <c r="F1293">
        <v>13</v>
      </c>
      <c r="G1293">
        <v>13</v>
      </c>
      <c r="H1293">
        <v>27332</v>
      </c>
    </row>
    <row r="1294" spans="1:8" x14ac:dyDescent="0.25">
      <c r="A1294">
        <v>41</v>
      </c>
      <c r="B1294" s="19">
        <v>44482</v>
      </c>
      <c r="C1294" s="1" t="s">
        <v>35</v>
      </c>
      <c r="D1294" t="s">
        <v>700</v>
      </c>
      <c r="E1294">
        <v>109</v>
      </c>
      <c r="F1294">
        <v>15</v>
      </c>
      <c r="G1294">
        <v>21</v>
      </c>
      <c r="H1294">
        <v>41261</v>
      </c>
    </row>
    <row r="1295" spans="1:8" x14ac:dyDescent="0.25">
      <c r="A1295">
        <v>41</v>
      </c>
      <c r="B1295" s="19">
        <v>44805</v>
      </c>
      <c r="C1295" s="1" t="s">
        <v>34</v>
      </c>
      <c r="D1295" t="s">
        <v>700</v>
      </c>
      <c r="E1295">
        <v>108</v>
      </c>
      <c r="F1295">
        <v>11</v>
      </c>
      <c r="G1295">
        <v>39</v>
      </c>
      <c r="H1295">
        <v>29190</v>
      </c>
    </row>
    <row r="1296" spans="1:8" x14ac:dyDescent="0.25">
      <c r="A1296">
        <v>41</v>
      </c>
      <c r="B1296" s="19">
        <v>45431</v>
      </c>
      <c r="C1296" s="1" t="s">
        <v>33</v>
      </c>
      <c r="D1296" t="s">
        <v>696</v>
      </c>
      <c r="E1296">
        <v>104</v>
      </c>
      <c r="F1296">
        <v>12</v>
      </c>
      <c r="G1296">
        <v>25</v>
      </c>
      <c r="H1296">
        <v>47321</v>
      </c>
    </row>
    <row r="1297" spans="1:8" x14ac:dyDescent="0.25">
      <c r="A1297">
        <v>41</v>
      </c>
      <c r="B1297" s="19">
        <v>44876</v>
      </c>
      <c r="C1297" s="1" t="s">
        <v>34</v>
      </c>
      <c r="D1297" t="s">
        <v>696</v>
      </c>
      <c r="E1297">
        <v>105</v>
      </c>
      <c r="F1297">
        <v>11</v>
      </c>
      <c r="G1297">
        <v>62</v>
      </c>
      <c r="H1297">
        <v>22594</v>
      </c>
    </row>
    <row r="1298" spans="1:8" x14ac:dyDescent="0.25">
      <c r="A1298">
        <v>41</v>
      </c>
      <c r="B1298" s="19">
        <v>44859</v>
      </c>
      <c r="C1298" s="1" t="s">
        <v>35</v>
      </c>
      <c r="D1298" t="s">
        <v>696</v>
      </c>
      <c r="E1298">
        <v>103</v>
      </c>
      <c r="F1298">
        <v>11</v>
      </c>
      <c r="G1298">
        <v>100</v>
      </c>
      <c r="H1298">
        <v>38153</v>
      </c>
    </row>
    <row r="1299" spans="1:8" x14ac:dyDescent="0.25">
      <c r="A1299">
        <v>41</v>
      </c>
      <c r="B1299" s="19">
        <v>43992</v>
      </c>
      <c r="C1299" s="1" t="s">
        <v>36</v>
      </c>
      <c r="D1299" t="s">
        <v>696</v>
      </c>
      <c r="E1299">
        <v>106</v>
      </c>
      <c r="F1299">
        <v>14</v>
      </c>
      <c r="G1299">
        <v>75</v>
      </c>
      <c r="H1299">
        <v>16842</v>
      </c>
    </row>
    <row r="1300" spans="1:8" x14ac:dyDescent="0.25">
      <c r="A1300">
        <v>41</v>
      </c>
      <c r="B1300" s="19">
        <v>43989</v>
      </c>
      <c r="C1300" s="1" t="s">
        <v>34</v>
      </c>
      <c r="D1300" t="s">
        <v>696</v>
      </c>
      <c r="E1300">
        <v>104</v>
      </c>
      <c r="F1300">
        <v>14</v>
      </c>
      <c r="G1300">
        <v>46</v>
      </c>
      <c r="H1300">
        <v>18378</v>
      </c>
    </row>
    <row r="1301" spans="1:8" x14ac:dyDescent="0.25">
      <c r="A1301">
        <v>41</v>
      </c>
      <c r="B1301" s="19">
        <v>44402</v>
      </c>
      <c r="C1301" s="1" t="s">
        <v>33</v>
      </c>
      <c r="D1301" t="s">
        <v>697</v>
      </c>
      <c r="E1301">
        <v>105</v>
      </c>
      <c r="F1301">
        <v>12</v>
      </c>
      <c r="G1301">
        <v>25</v>
      </c>
      <c r="H1301">
        <v>42651</v>
      </c>
    </row>
    <row r="1302" spans="1:8" x14ac:dyDescent="0.25">
      <c r="A1302">
        <v>41</v>
      </c>
      <c r="B1302" s="19">
        <v>45371</v>
      </c>
      <c r="C1302" s="1" t="s">
        <v>36</v>
      </c>
      <c r="D1302" t="s">
        <v>697</v>
      </c>
      <c r="E1302">
        <v>104</v>
      </c>
      <c r="F1302">
        <v>11</v>
      </c>
      <c r="G1302">
        <v>70</v>
      </c>
      <c r="H1302">
        <v>15092</v>
      </c>
    </row>
    <row r="1303" spans="1:8" x14ac:dyDescent="0.25">
      <c r="A1303">
        <v>41</v>
      </c>
      <c r="B1303" s="19">
        <v>44154</v>
      </c>
      <c r="C1303" s="1" t="s">
        <v>33</v>
      </c>
      <c r="D1303" t="s">
        <v>697</v>
      </c>
      <c r="E1303">
        <v>102</v>
      </c>
      <c r="F1303">
        <v>13</v>
      </c>
      <c r="G1303">
        <v>72</v>
      </c>
      <c r="H1303">
        <v>24173</v>
      </c>
    </row>
    <row r="1304" spans="1:8" x14ac:dyDescent="0.25">
      <c r="A1304">
        <v>41</v>
      </c>
      <c r="B1304" s="19">
        <v>44497</v>
      </c>
      <c r="C1304" s="1" t="s">
        <v>36</v>
      </c>
      <c r="D1304" t="s">
        <v>698</v>
      </c>
      <c r="E1304">
        <v>104</v>
      </c>
      <c r="F1304">
        <v>14</v>
      </c>
      <c r="G1304">
        <v>19</v>
      </c>
      <c r="H1304">
        <v>30154</v>
      </c>
    </row>
    <row r="1305" spans="1:8" x14ac:dyDescent="0.25">
      <c r="A1305">
        <v>41</v>
      </c>
      <c r="B1305" s="19">
        <v>43982</v>
      </c>
      <c r="C1305" s="1" t="s">
        <v>33</v>
      </c>
      <c r="D1305" t="s">
        <v>698</v>
      </c>
      <c r="E1305">
        <v>105</v>
      </c>
      <c r="F1305">
        <v>15</v>
      </c>
      <c r="G1305">
        <v>10</v>
      </c>
      <c r="H1305">
        <v>26166</v>
      </c>
    </row>
    <row r="1306" spans="1:8" x14ac:dyDescent="0.25">
      <c r="A1306">
        <v>41</v>
      </c>
      <c r="B1306" s="19">
        <v>45036</v>
      </c>
      <c r="C1306" s="1" t="s">
        <v>35</v>
      </c>
      <c r="D1306" t="s">
        <v>698</v>
      </c>
      <c r="E1306">
        <v>101</v>
      </c>
      <c r="F1306">
        <v>15</v>
      </c>
      <c r="G1306">
        <v>56</v>
      </c>
      <c r="H1306">
        <v>11269</v>
      </c>
    </row>
    <row r="1307" spans="1:8" x14ac:dyDescent="0.25">
      <c r="A1307">
        <v>41</v>
      </c>
      <c r="B1307" s="19">
        <v>45415</v>
      </c>
      <c r="C1307" s="1" t="s">
        <v>36</v>
      </c>
      <c r="D1307" t="s">
        <v>699</v>
      </c>
      <c r="E1307">
        <v>103</v>
      </c>
      <c r="F1307">
        <v>13</v>
      </c>
      <c r="G1307">
        <v>36</v>
      </c>
      <c r="H1307">
        <v>32430</v>
      </c>
    </row>
    <row r="1308" spans="1:8" x14ac:dyDescent="0.25">
      <c r="A1308">
        <v>41</v>
      </c>
      <c r="B1308" s="19">
        <v>44122</v>
      </c>
      <c r="C1308" s="1" t="s">
        <v>36</v>
      </c>
      <c r="D1308" t="s">
        <v>699</v>
      </c>
      <c r="E1308">
        <v>105</v>
      </c>
      <c r="F1308">
        <v>14</v>
      </c>
      <c r="G1308">
        <v>83</v>
      </c>
      <c r="H1308">
        <v>13940</v>
      </c>
    </row>
    <row r="1309" spans="1:8" x14ac:dyDescent="0.25">
      <c r="A1309">
        <v>41</v>
      </c>
      <c r="B1309" s="19">
        <v>44499</v>
      </c>
      <c r="C1309" s="1" t="s">
        <v>34</v>
      </c>
      <c r="D1309" t="s">
        <v>699</v>
      </c>
      <c r="E1309">
        <v>104</v>
      </c>
      <c r="F1309">
        <v>15</v>
      </c>
      <c r="G1309">
        <v>7</v>
      </c>
      <c r="H1309">
        <v>40507</v>
      </c>
    </row>
    <row r="1310" spans="1:8" x14ac:dyDescent="0.25">
      <c r="A1310">
        <v>41</v>
      </c>
      <c r="B1310" s="19">
        <v>44195</v>
      </c>
      <c r="C1310" s="1" t="s">
        <v>33</v>
      </c>
      <c r="D1310" t="s">
        <v>699</v>
      </c>
      <c r="E1310">
        <v>105</v>
      </c>
      <c r="F1310">
        <v>13</v>
      </c>
      <c r="G1310">
        <v>83</v>
      </c>
      <c r="H1310">
        <v>14824</v>
      </c>
    </row>
    <row r="1311" spans="1:8" x14ac:dyDescent="0.25">
      <c r="A1311">
        <v>41</v>
      </c>
      <c r="B1311" s="19">
        <v>43831</v>
      </c>
      <c r="C1311" s="1" t="s">
        <v>36</v>
      </c>
      <c r="D1311" t="s">
        <v>699</v>
      </c>
      <c r="E1311">
        <v>103</v>
      </c>
      <c r="F1311">
        <v>13</v>
      </c>
      <c r="G1311">
        <v>92</v>
      </c>
      <c r="H1311">
        <v>36407</v>
      </c>
    </row>
    <row r="1312" spans="1:8" x14ac:dyDescent="0.25">
      <c r="A1312">
        <v>41</v>
      </c>
      <c r="B1312" s="19">
        <v>45358</v>
      </c>
      <c r="C1312" s="1" t="s">
        <v>33</v>
      </c>
      <c r="D1312" t="s">
        <v>699</v>
      </c>
      <c r="E1312">
        <v>104</v>
      </c>
      <c r="F1312">
        <v>15</v>
      </c>
      <c r="G1312">
        <v>55</v>
      </c>
      <c r="H1312">
        <v>46147</v>
      </c>
    </row>
    <row r="1313" spans="1:8" x14ac:dyDescent="0.25">
      <c r="A1313">
        <v>41</v>
      </c>
      <c r="B1313" s="19">
        <v>44937</v>
      </c>
      <c r="C1313" s="1" t="s">
        <v>34</v>
      </c>
      <c r="D1313" t="s">
        <v>692</v>
      </c>
      <c r="E1313">
        <v>108</v>
      </c>
      <c r="F1313">
        <v>11</v>
      </c>
      <c r="G1313">
        <v>63</v>
      </c>
      <c r="H1313">
        <v>26453</v>
      </c>
    </row>
    <row r="1314" spans="1:8" x14ac:dyDescent="0.25">
      <c r="A1314">
        <v>41</v>
      </c>
      <c r="B1314" s="19">
        <v>44479</v>
      </c>
      <c r="C1314" s="1" t="s">
        <v>35</v>
      </c>
      <c r="D1314" t="s">
        <v>692</v>
      </c>
      <c r="E1314">
        <v>101</v>
      </c>
      <c r="F1314">
        <v>15</v>
      </c>
      <c r="G1314">
        <v>13</v>
      </c>
      <c r="H1314">
        <v>32708</v>
      </c>
    </row>
    <row r="1315" spans="1:8" x14ac:dyDescent="0.25">
      <c r="A1315">
        <v>41</v>
      </c>
      <c r="B1315" s="19">
        <v>45273</v>
      </c>
      <c r="C1315" s="1" t="s">
        <v>35</v>
      </c>
      <c r="D1315" t="s">
        <v>692</v>
      </c>
      <c r="E1315">
        <v>105</v>
      </c>
      <c r="F1315">
        <v>15</v>
      </c>
      <c r="G1315">
        <v>86</v>
      </c>
      <c r="H1315">
        <v>24216</v>
      </c>
    </row>
    <row r="1316" spans="1:8" x14ac:dyDescent="0.25">
      <c r="A1316">
        <v>41</v>
      </c>
      <c r="B1316" s="19">
        <v>43857</v>
      </c>
      <c r="C1316" s="1" t="s">
        <v>36</v>
      </c>
      <c r="D1316" t="s">
        <v>693</v>
      </c>
      <c r="E1316">
        <v>101</v>
      </c>
      <c r="F1316">
        <v>12</v>
      </c>
      <c r="G1316">
        <v>49</v>
      </c>
      <c r="H1316">
        <v>36850</v>
      </c>
    </row>
    <row r="1317" spans="1:8" x14ac:dyDescent="0.25">
      <c r="A1317">
        <v>41</v>
      </c>
      <c r="B1317" s="19">
        <v>44537</v>
      </c>
      <c r="C1317" s="1" t="s">
        <v>35</v>
      </c>
      <c r="D1317" t="s">
        <v>693</v>
      </c>
      <c r="E1317">
        <v>103</v>
      </c>
      <c r="F1317">
        <v>11</v>
      </c>
      <c r="G1317">
        <v>92</v>
      </c>
      <c r="H1317">
        <v>34756</v>
      </c>
    </row>
    <row r="1318" spans="1:8" x14ac:dyDescent="0.25">
      <c r="A1318">
        <v>41</v>
      </c>
      <c r="B1318" s="19">
        <v>44567</v>
      </c>
      <c r="C1318" s="1" t="s">
        <v>35</v>
      </c>
      <c r="D1318" t="s">
        <v>693</v>
      </c>
      <c r="E1318">
        <v>104</v>
      </c>
      <c r="F1318">
        <v>11</v>
      </c>
      <c r="G1318">
        <v>92</v>
      </c>
      <c r="H1318">
        <v>41644</v>
      </c>
    </row>
    <row r="1319" spans="1:8" x14ac:dyDescent="0.25">
      <c r="A1319">
        <v>41</v>
      </c>
      <c r="B1319" s="19">
        <v>45630</v>
      </c>
      <c r="C1319" s="1" t="s">
        <v>34</v>
      </c>
      <c r="D1319" t="s">
        <v>693</v>
      </c>
      <c r="E1319">
        <v>103</v>
      </c>
      <c r="F1319">
        <v>14</v>
      </c>
      <c r="G1319">
        <v>89</v>
      </c>
      <c r="H1319">
        <v>38062</v>
      </c>
    </row>
    <row r="1320" spans="1:8" x14ac:dyDescent="0.25">
      <c r="A1320">
        <v>41</v>
      </c>
      <c r="B1320" s="19">
        <v>45629</v>
      </c>
      <c r="C1320" s="1" t="s">
        <v>35</v>
      </c>
      <c r="D1320" t="s">
        <v>694</v>
      </c>
      <c r="E1320">
        <v>103</v>
      </c>
      <c r="F1320">
        <v>15</v>
      </c>
      <c r="G1320">
        <v>49</v>
      </c>
      <c r="H1320">
        <v>19668</v>
      </c>
    </row>
    <row r="1321" spans="1:8" x14ac:dyDescent="0.25">
      <c r="A1321">
        <v>41</v>
      </c>
      <c r="B1321" s="19">
        <v>44491</v>
      </c>
      <c r="C1321" s="1" t="s">
        <v>34</v>
      </c>
      <c r="D1321" t="s">
        <v>694</v>
      </c>
      <c r="E1321">
        <v>105</v>
      </c>
      <c r="F1321">
        <v>14</v>
      </c>
      <c r="G1321">
        <v>65</v>
      </c>
      <c r="H1321">
        <v>14858</v>
      </c>
    </row>
    <row r="1322" spans="1:8" x14ac:dyDescent="0.25">
      <c r="A1322">
        <v>41</v>
      </c>
      <c r="B1322" s="19">
        <v>44516</v>
      </c>
      <c r="C1322" s="1" t="s">
        <v>33</v>
      </c>
      <c r="D1322" t="s">
        <v>694</v>
      </c>
      <c r="E1322">
        <v>103</v>
      </c>
      <c r="F1322">
        <v>15</v>
      </c>
      <c r="G1322">
        <v>86</v>
      </c>
      <c r="H1322">
        <v>14917</v>
      </c>
    </row>
    <row r="1323" spans="1:8" x14ac:dyDescent="0.25">
      <c r="A1323">
        <v>42</v>
      </c>
      <c r="B1323" s="19">
        <v>44395</v>
      </c>
      <c r="C1323" s="1" t="s">
        <v>34</v>
      </c>
      <c r="D1323" t="s">
        <v>690</v>
      </c>
      <c r="E1323">
        <v>101</v>
      </c>
      <c r="F1323">
        <v>12</v>
      </c>
      <c r="G1323">
        <v>28</v>
      </c>
      <c r="H1323">
        <v>43745</v>
      </c>
    </row>
    <row r="1324" spans="1:8" x14ac:dyDescent="0.25">
      <c r="A1324">
        <v>42</v>
      </c>
      <c r="B1324" s="19">
        <v>43898</v>
      </c>
      <c r="C1324" s="1" t="s">
        <v>34</v>
      </c>
      <c r="D1324" t="s">
        <v>690</v>
      </c>
      <c r="E1324">
        <v>103</v>
      </c>
      <c r="F1324">
        <v>13</v>
      </c>
      <c r="G1324">
        <v>5</v>
      </c>
      <c r="H1324">
        <v>42407</v>
      </c>
    </row>
    <row r="1325" spans="1:8" x14ac:dyDescent="0.25">
      <c r="A1325">
        <v>42</v>
      </c>
      <c r="B1325" s="19">
        <v>44746</v>
      </c>
      <c r="C1325" s="1" t="s">
        <v>33</v>
      </c>
      <c r="D1325" t="s">
        <v>690</v>
      </c>
      <c r="E1325">
        <v>105</v>
      </c>
      <c r="F1325">
        <v>11</v>
      </c>
      <c r="G1325">
        <v>29</v>
      </c>
      <c r="H1325">
        <v>37564</v>
      </c>
    </row>
    <row r="1326" spans="1:8" x14ac:dyDescent="0.25">
      <c r="A1326">
        <v>42</v>
      </c>
      <c r="B1326" s="19">
        <v>44080</v>
      </c>
      <c r="C1326" s="1" t="s">
        <v>35</v>
      </c>
      <c r="D1326" t="s">
        <v>691</v>
      </c>
      <c r="E1326">
        <v>103</v>
      </c>
      <c r="F1326">
        <v>13</v>
      </c>
      <c r="G1326">
        <v>27</v>
      </c>
      <c r="H1326">
        <v>49106</v>
      </c>
    </row>
    <row r="1327" spans="1:8" x14ac:dyDescent="0.25">
      <c r="A1327">
        <v>42</v>
      </c>
      <c r="B1327" s="19">
        <v>45188</v>
      </c>
      <c r="C1327" s="1" t="s">
        <v>34</v>
      </c>
      <c r="D1327" t="s">
        <v>691</v>
      </c>
      <c r="E1327">
        <v>104</v>
      </c>
      <c r="F1327">
        <v>12</v>
      </c>
      <c r="G1327">
        <v>47</v>
      </c>
      <c r="H1327">
        <v>36565</v>
      </c>
    </row>
    <row r="1328" spans="1:8" x14ac:dyDescent="0.25">
      <c r="A1328">
        <v>42</v>
      </c>
      <c r="B1328" s="19">
        <v>45615</v>
      </c>
      <c r="C1328" s="1" t="s">
        <v>36</v>
      </c>
      <c r="D1328" t="s">
        <v>700</v>
      </c>
      <c r="E1328">
        <v>105</v>
      </c>
      <c r="F1328">
        <v>14</v>
      </c>
      <c r="G1328">
        <v>54</v>
      </c>
      <c r="H1328">
        <v>37833</v>
      </c>
    </row>
    <row r="1329" spans="1:8" x14ac:dyDescent="0.25">
      <c r="A1329">
        <v>42</v>
      </c>
      <c r="B1329" s="19">
        <v>44785</v>
      </c>
      <c r="C1329" s="1" t="s">
        <v>34</v>
      </c>
      <c r="D1329" t="s">
        <v>700</v>
      </c>
      <c r="E1329">
        <v>103</v>
      </c>
      <c r="F1329">
        <v>11</v>
      </c>
      <c r="G1329">
        <v>73</v>
      </c>
      <c r="H1329">
        <v>26272</v>
      </c>
    </row>
    <row r="1330" spans="1:8" x14ac:dyDescent="0.25">
      <c r="A1330">
        <v>42</v>
      </c>
      <c r="B1330" s="19">
        <v>45559</v>
      </c>
      <c r="C1330" s="1" t="s">
        <v>36</v>
      </c>
      <c r="D1330" t="s">
        <v>700</v>
      </c>
      <c r="E1330">
        <v>102</v>
      </c>
      <c r="F1330">
        <v>15</v>
      </c>
      <c r="G1330">
        <v>38</v>
      </c>
      <c r="H1330">
        <v>32226</v>
      </c>
    </row>
    <row r="1331" spans="1:8" x14ac:dyDescent="0.25">
      <c r="A1331">
        <v>42</v>
      </c>
      <c r="B1331" s="19">
        <v>45113</v>
      </c>
      <c r="C1331" s="1" t="s">
        <v>34</v>
      </c>
      <c r="D1331" t="s">
        <v>700</v>
      </c>
      <c r="E1331">
        <v>103</v>
      </c>
      <c r="F1331">
        <v>13</v>
      </c>
      <c r="G1331">
        <v>32</v>
      </c>
      <c r="H1331">
        <v>39534</v>
      </c>
    </row>
    <row r="1332" spans="1:8" x14ac:dyDescent="0.25">
      <c r="A1332">
        <v>42</v>
      </c>
      <c r="B1332" s="19">
        <v>45629</v>
      </c>
      <c r="C1332" s="1" t="s">
        <v>35</v>
      </c>
      <c r="D1332" t="s">
        <v>696</v>
      </c>
      <c r="E1332">
        <v>103</v>
      </c>
      <c r="F1332">
        <v>15</v>
      </c>
      <c r="G1332">
        <v>64</v>
      </c>
      <c r="H1332">
        <v>23928</v>
      </c>
    </row>
    <row r="1333" spans="1:8" x14ac:dyDescent="0.25">
      <c r="A1333">
        <v>42</v>
      </c>
      <c r="B1333" s="19">
        <v>44739</v>
      </c>
      <c r="C1333" s="1" t="s">
        <v>35</v>
      </c>
      <c r="D1333" t="s">
        <v>697</v>
      </c>
      <c r="E1333">
        <v>104</v>
      </c>
      <c r="F1333">
        <v>12</v>
      </c>
      <c r="G1333">
        <v>98</v>
      </c>
      <c r="H1333">
        <v>16109</v>
      </c>
    </row>
    <row r="1334" spans="1:8" x14ac:dyDescent="0.25">
      <c r="A1334">
        <v>42</v>
      </c>
      <c r="B1334" s="19">
        <v>44725</v>
      </c>
      <c r="C1334" s="1" t="s">
        <v>35</v>
      </c>
      <c r="D1334" t="s">
        <v>697</v>
      </c>
      <c r="E1334">
        <v>104</v>
      </c>
      <c r="F1334">
        <v>12</v>
      </c>
      <c r="G1334">
        <v>35</v>
      </c>
      <c r="H1334">
        <v>28363</v>
      </c>
    </row>
    <row r="1335" spans="1:8" x14ac:dyDescent="0.25">
      <c r="A1335">
        <v>42</v>
      </c>
      <c r="B1335" s="19">
        <v>44019</v>
      </c>
      <c r="C1335" s="1" t="s">
        <v>35</v>
      </c>
      <c r="D1335" t="s">
        <v>697</v>
      </c>
      <c r="E1335">
        <v>105</v>
      </c>
      <c r="F1335">
        <v>13</v>
      </c>
      <c r="G1335">
        <v>25</v>
      </c>
      <c r="H1335">
        <v>35160</v>
      </c>
    </row>
    <row r="1336" spans="1:8" x14ac:dyDescent="0.25">
      <c r="A1336">
        <v>42</v>
      </c>
      <c r="B1336" s="19">
        <v>45245</v>
      </c>
      <c r="C1336" s="1" t="s">
        <v>35</v>
      </c>
      <c r="D1336" t="s">
        <v>697</v>
      </c>
      <c r="E1336">
        <v>105</v>
      </c>
      <c r="F1336">
        <v>12</v>
      </c>
      <c r="G1336">
        <v>52</v>
      </c>
      <c r="H1336">
        <v>19495</v>
      </c>
    </row>
    <row r="1337" spans="1:8" x14ac:dyDescent="0.25">
      <c r="A1337">
        <v>42</v>
      </c>
      <c r="B1337" s="19">
        <v>44912</v>
      </c>
      <c r="C1337" s="1" t="s">
        <v>34</v>
      </c>
      <c r="D1337" t="s">
        <v>698</v>
      </c>
      <c r="E1337">
        <v>104</v>
      </c>
      <c r="F1337">
        <v>14</v>
      </c>
      <c r="G1337">
        <v>32</v>
      </c>
      <c r="H1337">
        <v>23155</v>
      </c>
    </row>
    <row r="1338" spans="1:8" x14ac:dyDescent="0.25">
      <c r="A1338">
        <v>42</v>
      </c>
      <c r="B1338" s="19">
        <v>45644</v>
      </c>
      <c r="C1338" s="1" t="s">
        <v>34</v>
      </c>
      <c r="D1338" t="s">
        <v>698</v>
      </c>
      <c r="E1338">
        <v>109</v>
      </c>
      <c r="F1338">
        <v>13</v>
      </c>
      <c r="G1338">
        <v>15</v>
      </c>
      <c r="H1338">
        <v>23615</v>
      </c>
    </row>
    <row r="1339" spans="1:8" x14ac:dyDescent="0.25">
      <c r="A1339">
        <v>42</v>
      </c>
      <c r="B1339" s="19">
        <v>44901</v>
      </c>
      <c r="C1339" s="1" t="s">
        <v>33</v>
      </c>
      <c r="D1339" t="s">
        <v>699</v>
      </c>
      <c r="E1339">
        <v>103</v>
      </c>
      <c r="F1339">
        <v>14</v>
      </c>
      <c r="G1339">
        <v>53</v>
      </c>
      <c r="H1339">
        <v>35113</v>
      </c>
    </row>
    <row r="1340" spans="1:8" x14ac:dyDescent="0.25">
      <c r="A1340">
        <v>42</v>
      </c>
      <c r="B1340" s="19">
        <v>44621</v>
      </c>
      <c r="C1340" s="1" t="s">
        <v>34</v>
      </c>
      <c r="D1340" t="s">
        <v>699</v>
      </c>
      <c r="E1340">
        <v>102</v>
      </c>
      <c r="F1340">
        <v>14</v>
      </c>
      <c r="G1340">
        <v>66</v>
      </c>
      <c r="H1340">
        <v>31331</v>
      </c>
    </row>
    <row r="1341" spans="1:8" x14ac:dyDescent="0.25">
      <c r="A1341">
        <v>42</v>
      </c>
      <c r="B1341" s="19">
        <v>44542</v>
      </c>
      <c r="C1341" s="1" t="s">
        <v>33</v>
      </c>
      <c r="D1341" t="s">
        <v>699</v>
      </c>
      <c r="E1341">
        <v>108</v>
      </c>
      <c r="F1341">
        <v>14</v>
      </c>
      <c r="G1341">
        <v>90</v>
      </c>
      <c r="H1341">
        <v>21613</v>
      </c>
    </row>
    <row r="1342" spans="1:8" x14ac:dyDescent="0.25">
      <c r="A1342">
        <v>42</v>
      </c>
      <c r="B1342" s="19">
        <v>44329</v>
      </c>
      <c r="C1342" s="1" t="s">
        <v>36</v>
      </c>
      <c r="D1342" t="s">
        <v>699</v>
      </c>
      <c r="E1342">
        <v>106</v>
      </c>
      <c r="F1342">
        <v>11</v>
      </c>
      <c r="G1342">
        <v>18</v>
      </c>
      <c r="H1342">
        <v>42332</v>
      </c>
    </row>
    <row r="1343" spans="1:8" x14ac:dyDescent="0.25">
      <c r="A1343">
        <v>42</v>
      </c>
      <c r="B1343" s="19">
        <v>44438</v>
      </c>
      <c r="C1343" s="1" t="s">
        <v>34</v>
      </c>
      <c r="D1343" t="s">
        <v>695</v>
      </c>
      <c r="E1343">
        <v>103</v>
      </c>
      <c r="F1343">
        <v>14</v>
      </c>
      <c r="G1343">
        <v>48</v>
      </c>
      <c r="H1343">
        <v>13571</v>
      </c>
    </row>
    <row r="1344" spans="1:8" x14ac:dyDescent="0.25">
      <c r="A1344">
        <v>42</v>
      </c>
      <c r="B1344" s="19">
        <v>45580</v>
      </c>
      <c r="C1344" s="1" t="s">
        <v>35</v>
      </c>
      <c r="D1344" t="s">
        <v>695</v>
      </c>
      <c r="E1344">
        <v>103</v>
      </c>
      <c r="F1344">
        <v>12</v>
      </c>
      <c r="G1344">
        <v>31</v>
      </c>
      <c r="H1344">
        <v>48111</v>
      </c>
    </row>
    <row r="1345" spans="1:8" x14ac:dyDescent="0.25">
      <c r="A1345">
        <v>42</v>
      </c>
      <c r="B1345" s="19">
        <v>44336</v>
      </c>
      <c r="C1345" s="1" t="s">
        <v>34</v>
      </c>
      <c r="D1345" t="s">
        <v>695</v>
      </c>
      <c r="E1345">
        <v>102</v>
      </c>
      <c r="F1345">
        <v>15</v>
      </c>
      <c r="G1345">
        <v>62</v>
      </c>
      <c r="H1345">
        <v>43513</v>
      </c>
    </row>
    <row r="1346" spans="1:8" x14ac:dyDescent="0.25">
      <c r="A1346">
        <v>42</v>
      </c>
      <c r="B1346" s="19">
        <v>44880</v>
      </c>
      <c r="C1346" s="1" t="s">
        <v>36</v>
      </c>
      <c r="D1346" t="s">
        <v>695</v>
      </c>
      <c r="E1346">
        <v>105</v>
      </c>
      <c r="F1346">
        <v>13</v>
      </c>
      <c r="G1346">
        <v>11</v>
      </c>
      <c r="H1346">
        <v>12664</v>
      </c>
    </row>
    <row r="1347" spans="1:8" x14ac:dyDescent="0.25">
      <c r="A1347">
        <v>42</v>
      </c>
      <c r="B1347" s="19">
        <v>44443</v>
      </c>
      <c r="C1347" s="1" t="s">
        <v>36</v>
      </c>
      <c r="D1347" t="s">
        <v>695</v>
      </c>
      <c r="E1347">
        <v>105</v>
      </c>
      <c r="F1347">
        <v>14</v>
      </c>
      <c r="G1347">
        <v>33</v>
      </c>
      <c r="H1347">
        <v>17820</v>
      </c>
    </row>
    <row r="1348" spans="1:8" x14ac:dyDescent="0.25">
      <c r="A1348">
        <v>42</v>
      </c>
      <c r="B1348" s="19">
        <v>44116</v>
      </c>
      <c r="C1348" s="1" t="s">
        <v>33</v>
      </c>
      <c r="D1348" t="s">
        <v>692</v>
      </c>
      <c r="E1348">
        <v>104</v>
      </c>
      <c r="F1348">
        <v>15</v>
      </c>
      <c r="G1348">
        <v>6</v>
      </c>
      <c r="H1348">
        <v>17589</v>
      </c>
    </row>
    <row r="1349" spans="1:8" x14ac:dyDescent="0.25">
      <c r="A1349">
        <v>42</v>
      </c>
      <c r="B1349" s="19">
        <v>44086</v>
      </c>
      <c r="C1349" s="1" t="s">
        <v>36</v>
      </c>
      <c r="D1349" t="s">
        <v>692</v>
      </c>
      <c r="E1349">
        <v>103</v>
      </c>
      <c r="F1349">
        <v>11</v>
      </c>
      <c r="G1349">
        <v>67</v>
      </c>
      <c r="H1349">
        <v>46085</v>
      </c>
    </row>
    <row r="1350" spans="1:8" x14ac:dyDescent="0.25">
      <c r="A1350">
        <v>42</v>
      </c>
      <c r="B1350" s="19">
        <v>44196</v>
      </c>
      <c r="C1350" s="1" t="s">
        <v>36</v>
      </c>
      <c r="D1350" t="s">
        <v>692</v>
      </c>
      <c r="E1350">
        <v>104</v>
      </c>
      <c r="F1350">
        <v>11</v>
      </c>
      <c r="G1350">
        <v>51</v>
      </c>
      <c r="H1350">
        <v>26595</v>
      </c>
    </row>
    <row r="1351" spans="1:8" x14ac:dyDescent="0.25">
      <c r="A1351">
        <v>42</v>
      </c>
      <c r="B1351" s="19">
        <v>43907</v>
      </c>
      <c r="C1351" s="1" t="s">
        <v>34</v>
      </c>
      <c r="D1351" t="s">
        <v>692</v>
      </c>
      <c r="E1351">
        <v>104</v>
      </c>
      <c r="F1351">
        <v>15</v>
      </c>
      <c r="G1351">
        <v>53</v>
      </c>
      <c r="H1351">
        <v>19557</v>
      </c>
    </row>
    <row r="1352" spans="1:8" x14ac:dyDescent="0.25">
      <c r="A1352">
        <v>42</v>
      </c>
      <c r="B1352" s="19">
        <v>44684</v>
      </c>
      <c r="C1352" s="1" t="s">
        <v>33</v>
      </c>
      <c r="D1352" t="s">
        <v>692</v>
      </c>
      <c r="E1352">
        <v>105</v>
      </c>
      <c r="F1352">
        <v>13</v>
      </c>
      <c r="G1352">
        <v>46</v>
      </c>
      <c r="H1352">
        <v>28573</v>
      </c>
    </row>
    <row r="1353" spans="1:8" x14ac:dyDescent="0.25">
      <c r="A1353">
        <v>42</v>
      </c>
      <c r="B1353" s="19">
        <v>44755</v>
      </c>
      <c r="C1353" s="1" t="s">
        <v>34</v>
      </c>
      <c r="D1353" t="s">
        <v>693</v>
      </c>
      <c r="E1353">
        <v>104</v>
      </c>
      <c r="F1353">
        <v>11</v>
      </c>
      <c r="G1353">
        <v>26</v>
      </c>
      <c r="H1353">
        <v>45834</v>
      </c>
    </row>
    <row r="1354" spans="1:8" x14ac:dyDescent="0.25">
      <c r="A1354">
        <v>42</v>
      </c>
      <c r="B1354" s="19">
        <v>44050</v>
      </c>
      <c r="C1354" s="1" t="s">
        <v>36</v>
      </c>
      <c r="D1354" t="s">
        <v>694</v>
      </c>
      <c r="E1354">
        <v>109</v>
      </c>
      <c r="F1354">
        <v>11</v>
      </c>
      <c r="G1354">
        <v>94</v>
      </c>
      <c r="H1354">
        <v>18186</v>
      </c>
    </row>
    <row r="1355" spans="1:8" x14ac:dyDescent="0.25">
      <c r="A1355">
        <v>42</v>
      </c>
      <c r="B1355" s="19">
        <v>45483</v>
      </c>
      <c r="C1355" s="1" t="s">
        <v>35</v>
      </c>
      <c r="D1355" t="s">
        <v>694</v>
      </c>
      <c r="E1355">
        <v>108</v>
      </c>
      <c r="F1355">
        <v>11</v>
      </c>
      <c r="G1355">
        <v>84</v>
      </c>
      <c r="H1355">
        <v>25192</v>
      </c>
    </row>
    <row r="1356" spans="1:8" x14ac:dyDescent="0.25">
      <c r="A1356">
        <v>42</v>
      </c>
      <c r="B1356" s="19">
        <v>45176</v>
      </c>
      <c r="C1356" s="1" t="s">
        <v>35</v>
      </c>
      <c r="D1356" t="s">
        <v>694</v>
      </c>
      <c r="E1356">
        <v>103</v>
      </c>
      <c r="F1356">
        <v>11</v>
      </c>
      <c r="G1356">
        <v>93</v>
      </c>
      <c r="H1356">
        <v>27897</v>
      </c>
    </row>
    <row r="1357" spans="1:8" x14ac:dyDescent="0.25">
      <c r="A1357">
        <v>42</v>
      </c>
      <c r="B1357" s="19">
        <v>45314</v>
      </c>
      <c r="C1357" s="1" t="s">
        <v>35</v>
      </c>
      <c r="D1357" t="s">
        <v>694</v>
      </c>
      <c r="E1357">
        <v>104</v>
      </c>
      <c r="F1357">
        <v>13</v>
      </c>
      <c r="G1357">
        <v>37</v>
      </c>
      <c r="H1357">
        <v>47577</v>
      </c>
    </row>
    <row r="1358" spans="1:8" x14ac:dyDescent="0.25">
      <c r="A1358">
        <v>43</v>
      </c>
      <c r="B1358" s="19">
        <v>44534</v>
      </c>
      <c r="C1358" s="1" t="s">
        <v>33</v>
      </c>
      <c r="D1358" t="s">
        <v>690</v>
      </c>
      <c r="E1358">
        <v>105</v>
      </c>
      <c r="F1358">
        <v>13</v>
      </c>
      <c r="G1358">
        <v>43</v>
      </c>
      <c r="H1358">
        <v>45220</v>
      </c>
    </row>
    <row r="1359" spans="1:8" x14ac:dyDescent="0.25">
      <c r="A1359">
        <v>43</v>
      </c>
      <c r="B1359" s="19">
        <v>44735</v>
      </c>
      <c r="C1359" s="1" t="s">
        <v>36</v>
      </c>
      <c r="D1359" t="s">
        <v>690</v>
      </c>
      <c r="E1359">
        <v>104</v>
      </c>
      <c r="F1359">
        <v>12</v>
      </c>
      <c r="G1359">
        <v>85</v>
      </c>
      <c r="H1359">
        <v>19697</v>
      </c>
    </row>
    <row r="1360" spans="1:8" x14ac:dyDescent="0.25">
      <c r="A1360">
        <v>43</v>
      </c>
      <c r="B1360" s="19">
        <v>44153</v>
      </c>
      <c r="C1360" s="1" t="s">
        <v>36</v>
      </c>
      <c r="D1360" t="s">
        <v>690</v>
      </c>
      <c r="E1360">
        <v>104</v>
      </c>
      <c r="F1360">
        <v>13</v>
      </c>
      <c r="G1360">
        <v>91</v>
      </c>
      <c r="H1360">
        <v>44898</v>
      </c>
    </row>
    <row r="1361" spans="1:8" x14ac:dyDescent="0.25">
      <c r="A1361">
        <v>43</v>
      </c>
      <c r="B1361" s="19">
        <v>44413</v>
      </c>
      <c r="C1361" s="1" t="s">
        <v>34</v>
      </c>
      <c r="D1361" t="s">
        <v>690</v>
      </c>
      <c r="E1361">
        <v>105</v>
      </c>
      <c r="F1361">
        <v>11</v>
      </c>
      <c r="G1361">
        <v>26</v>
      </c>
      <c r="H1361">
        <v>10170</v>
      </c>
    </row>
    <row r="1362" spans="1:8" x14ac:dyDescent="0.25">
      <c r="A1362">
        <v>43</v>
      </c>
      <c r="B1362" s="19">
        <v>43996</v>
      </c>
      <c r="C1362" s="1" t="s">
        <v>33</v>
      </c>
      <c r="D1362" t="s">
        <v>691</v>
      </c>
      <c r="E1362">
        <v>104</v>
      </c>
      <c r="F1362">
        <v>11</v>
      </c>
      <c r="G1362">
        <v>21</v>
      </c>
      <c r="H1362">
        <v>27639</v>
      </c>
    </row>
    <row r="1363" spans="1:8" x14ac:dyDescent="0.25">
      <c r="A1363">
        <v>43</v>
      </c>
      <c r="B1363" s="19">
        <v>45568</v>
      </c>
      <c r="C1363" s="1" t="s">
        <v>33</v>
      </c>
      <c r="D1363" t="s">
        <v>691</v>
      </c>
      <c r="E1363">
        <v>104</v>
      </c>
      <c r="F1363">
        <v>15</v>
      </c>
      <c r="G1363">
        <v>23</v>
      </c>
      <c r="H1363">
        <v>22058</v>
      </c>
    </row>
    <row r="1364" spans="1:8" x14ac:dyDescent="0.25">
      <c r="A1364">
        <v>43</v>
      </c>
      <c r="B1364" s="19">
        <v>44258</v>
      </c>
      <c r="C1364" s="1" t="s">
        <v>35</v>
      </c>
      <c r="D1364" t="s">
        <v>700</v>
      </c>
      <c r="E1364">
        <v>103</v>
      </c>
      <c r="F1364">
        <v>14</v>
      </c>
      <c r="G1364">
        <v>92</v>
      </c>
      <c r="H1364">
        <v>41183</v>
      </c>
    </row>
    <row r="1365" spans="1:8" x14ac:dyDescent="0.25">
      <c r="A1365">
        <v>43</v>
      </c>
      <c r="B1365" s="19">
        <v>45212</v>
      </c>
      <c r="C1365" s="1" t="s">
        <v>34</v>
      </c>
      <c r="D1365" t="s">
        <v>700</v>
      </c>
      <c r="E1365">
        <v>103</v>
      </c>
      <c r="F1365">
        <v>12</v>
      </c>
      <c r="G1365">
        <v>58</v>
      </c>
      <c r="H1365">
        <v>34329</v>
      </c>
    </row>
    <row r="1366" spans="1:8" x14ac:dyDescent="0.25">
      <c r="A1366">
        <v>43</v>
      </c>
      <c r="B1366" s="19">
        <v>44295</v>
      </c>
      <c r="C1366" s="1" t="s">
        <v>34</v>
      </c>
      <c r="D1366" t="s">
        <v>700</v>
      </c>
      <c r="E1366">
        <v>104</v>
      </c>
      <c r="F1366">
        <v>13</v>
      </c>
      <c r="G1366">
        <v>18</v>
      </c>
      <c r="H1366">
        <v>30809</v>
      </c>
    </row>
    <row r="1367" spans="1:8" x14ac:dyDescent="0.25">
      <c r="A1367">
        <v>43</v>
      </c>
      <c r="B1367" s="19">
        <v>44900</v>
      </c>
      <c r="C1367" s="1" t="s">
        <v>35</v>
      </c>
      <c r="D1367" t="s">
        <v>696</v>
      </c>
      <c r="E1367">
        <v>104</v>
      </c>
      <c r="F1367">
        <v>13</v>
      </c>
      <c r="G1367">
        <v>22</v>
      </c>
      <c r="H1367">
        <v>41441</v>
      </c>
    </row>
    <row r="1368" spans="1:8" x14ac:dyDescent="0.25">
      <c r="A1368">
        <v>43</v>
      </c>
      <c r="B1368" s="19">
        <v>44524</v>
      </c>
      <c r="C1368" s="1" t="s">
        <v>34</v>
      </c>
      <c r="D1368" t="s">
        <v>696</v>
      </c>
      <c r="E1368">
        <v>105</v>
      </c>
      <c r="F1368">
        <v>13</v>
      </c>
      <c r="G1368">
        <v>43</v>
      </c>
      <c r="H1368">
        <v>21048</v>
      </c>
    </row>
    <row r="1369" spans="1:8" x14ac:dyDescent="0.25">
      <c r="A1369">
        <v>43</v>
      </c>
      <c r="B1369" s="19">
        <v>44596</v>
      </c>
      <c r="C1369" s="1" t="s">
        <v>34</v>
      </c>
      <c r="D1369" t="s">
        <v>696</v>
      </c>
      <c r="E1369">
        <v>102</v>
      </c>
      <c r="F1369">
        <v>11</v>
      </c>
      <c r="G1369">
        <v>53</v>
      </c>
      <c r="H1369">
        <v>45400</v>
      </c>
    </row>
    <row r="1370" spans="1:8" x14ac:dyDescent="0.25">
      <c r="A1370">
        <v>43</v>
      </c>
      <c r="B1370" s="19">
        <v>45140</v>
      </c>
      <c r="C1370" s="1" t="s">
        <v>35</v>
      </c>
      <c r="D1370" t="s">
        <v>696</v>
      </c>
      <c r="E1370">
        <v>105</v>
      </c>
      <c r="F1370">
        <v>14</v>
      </c>
      <c r="G1370">
        <v>92</v>
      </c>
      <c r="H1370">
        <v>17978</v>
      </c>
    </row>
    <row r="1371" spans="1:8" x14ac:dyDescent="0.25">
      <c r="A1371">
        <v>43</v>
      </c>
      <c r="B1371" s="19">
        <v>44665</v>
      </c>
      <c r="C1371" s="1" t="s">
        <v>35</v>
      </c>
      <c r="D1371" t="s">
        <v>697</v>
      </c>
      <c r="E1371">
        <v>106</v>
      </c>
      <c r="F1371">
        <v>15</v>
      </c>
      <c r="G1371">
        <v>60</v>
      </c>
      <c r="H1371">
        <v>17037</v>
      </c>
    </row>
    <row r="1372" spans="1:8" x14ac:dyDescent="0.25">
      <c r="A1372">
        <v>43</v>
      </c>
      <c r="B1372" s="19">
        <v>43902</v>
      </c>
      <c r="C1372" s="1" t="s">
        <v>33</v>
      </c>
      <c r="D1372" t="s">
        <v>697</v>
      </c>
      <c r="E1372">
        <v>104</v>
      </c>
      <c r="F1372">
        <v>12</v>
      </c>
      <c r="G1372">
        <v>12</v>
      </c>
      <c r="H1372">
        <v>18310</v>
      </c>
    </row>
    <row r="1373" spans="1:8" x14ac:dyDescent="0.25">
      <c r="A1373">
        <v>43</v>
      </c>
      <c r="B1373" s="19">
        <v>44580</v>
      </c>
      <c r="C1373" s="1" t="s">
        <v>35</v>
      </c>
      <c r="D1373" t="s">
        <v>697</v>
      </c>
      <c r="E1373">
        <v>106</v>
      </c>
      <c r="F1373">
        <v>15</v>
      </c>
      <c r="G1373">
        <v>99</v>
      </c>
      <c r="H1373">
        <v>48132</v>
      </c>
    </row>
    <row r="1374" spans="1:8" x14ac:dyDescent="0.25">
      <c r="A1374">
        <v>43</v>
      </c>
      <c r="B1374" s="19">
        <v>44909</v>
      </c>
      <c r="C1374" s="1" t="s">
        <v>34</v>
      </c>
      <c r="D1374" t="s">
        <v>697</v>
      </c>
      <c r="E1374">
        <v>109</v>
      </c>
      <c r="F1374">
        <v>15</v>
      </c>
      <c r="G1374">
        <v>19</v>
      </c>
      <c r="H1374">
        <v>16164</v>
      </c>
    </row>
    <row r="1375" spans="1:8" x14ac:dyDescent="0.25">
      <c r="A1375">
        <v>43</v>
      </c>
      <c r="B1375" s="19">
        <v>44478</v>
      </c>
      <c r="C1375" s="1" t="s">
        <v>34</v>
      </c>
      <c r="D1375" t="s">
        <v>698</v>
      </c>
      <c r="E1375">
        <v>104</v>
      </c>
      <c r="F1375">
        <v>13</v>
      </c>
      <c r="G1375">
        <v>57</v>
      </c>
      <c r="H1375">
        <v>22129</v>
      </c>
    </row>
    <row r="1376" spans="1:8" x14ac:dyDescent="0.25">
      <c r="A1376">
        <v>43</v>
      </c>
      <c r="B1376" s="19">
        <v>45268</v>
      </c>
      <c r="C1376" s="1" t="s">
        <v>34</v>
      </c>
      <c r="D1376" t="s">
        <v>699</v>
      </c>
      <c r="E1376">
        <v>104</v>
      </c>
      <c r="F1376">
        <v>12</v>
      </c>
      <c r="G1376">
        <v>52</v>
      </c>
      <c r="H1376">
        <v>14936</v>
      </c>
    </row>
    <row r="1377" spans="1:8" x14ac:dyDescent="0.25">
      <c r="A1377">
        <v>43</v>
      </c>
      <c r="B1377" s="19">
        <v>44840</v>
      </c>
      <c r="C1377" s="1" t="s">
        <v>33</v>
      </c>
      <c r="D1377" t="s">
        <v>695</v>
      </c>
      <c r="E1377">
        <v>105</v>
      </c>
      <c r="F1377">
        <v>11</v>
      </c>
      <c r="G1377">
        <v>5</v>
      </c>
      <c r="H1377">
        <v>31181</v>
      </c>
    </row>
    <row r="1378" spans="1:8" x14ac:dyDescent="0.25">
      <c r="A1378">
        <v>43</v>
      </c>
      <c r="B1378" s="19">
        <v>45596</v>
      </c>
      <c r="C1378" s="1" t="s">
        <v>35</v>
      </c>
      <c r="D1378" t="s">
        <v>695</v>
      </c>
      <c r="E1378">
        <v>109</v>
      </c>
      <c r="F1378">
        <v>13</v>
      </c>
      <c r="G1378">
        <v>50</v>
      </c>
      <c r="H1378">
        <v>36265</v>
      </c>
    </row>
    <row r="1379" spans="1:8" x14ac:dyDescent="0.25">
      <c r="A1379">
        <v>43</v>
      </c>
      <c r="B1379" s="19">
        <v>44855</v>
      </c>
      <c r="C1379" s="1" t="s">
        <v>36</v>
      </c>
      <c r="D1379" t="s">
        <v>692</v>
      </c>
      <c r="E1379">
        <v>107</v>
      </c>
      <c r="F1379">
        <v>14</v>
      </c>
      <c r="G1379">
        <v>12</v>
      </c>
      <c r="H1379">
        <v>18667</v>
      </c>
    </row>
    <row r="1380" spans="1:8" x14ac:dyDescent="0.25">
      <c r="A1380">
        <v>43</v>
      </c>
      <c r="B1380" s="19">
        <v>44429</v>
      </c>
      <c r="C1380" s="1" t="s">
        <v>33</v>
      </c>
      <c r="D1380" t="s">
        <v>692</v>
      </c>
      <c r="E1380">
        <v>104</v>
      </c>
      <c r="F1380">
        <v>11</v>
      </c>
      <c r="G1380">
        <v>38</v>
      </c>
      <c r="H1380">
        <v>19991</v>
      </c>
    </row>
    <row r="1381" spans="1:8" x14ac:dyDescent="0.25">
      <c r="A1381">
        <v>43</v>
      </c>
      <c r="B1381" s="19">
        <v>44625</v>
      </c>
      <c r="C1381" s="1" t="s">
        <v>36</v>
      </c>
      <c r="D1381" t="s">
        <v>692</v>
      </c>
      <c r="E1381">
        <v>108</v>
      </c>
      <c r="F1381">
        <v>12</v>
      </c>
      <c r="G1381">
        <v>39</v>
      </c>
      <c r="H1381">
        <v>12174</v>
      </c>
    </row>
    <row r="1382" spans="1:8" x14ac:dyDescent="0.25">
      <c r="A1382">
        <v>43</v>
      </c>
      <c r="B1382" s="19">
        <v>44223</v>
      </c>
      <c r="C1382" s="1" t="s">
        <v>34</v>
      </c>
      <c r="D1382" t="s">
        <v>693</v>
      </c>
      <c r="E1382">
        <v>103</v>
      </c>
      <c r="F1382">
        <v>12</v>
      </c>
      <c r="G1382">
        <v>97</v>
      </c>
      <c r="H1382">
        <v>25782</v>
      </c>
    </row>
    <row r="1383" spans="1:8" x14ac:dyDescent="0.25">
      <c r="A1383">
        <v>43</v>
      </c>
      <c r="B1383" s="19">
        <v>44572</v>
      </c>
      <c r="C1383" s="1" t="s">
        <v>34</v>
      </c>
      <c r="D1383" t="s">
        <v>693</v>
      </c>
      <c r="E1383">
        <v>105</v>
      </c>
      <c r="F1383">
        <v>13</v>
      </c>
      <c r="G1383">
        <v>77</v>
      </c>
      <c r="H1383">
        <v>29003</v>
      </c>
    </row>
    <row r="1384" spans="1:8" x14ac:dyDescent="0.25">
      <c r="A1384">
        <v>43</v>
      </c>
      <c r="B1384" s="19">
        <v>45286</v>
      </c>
      <c r="C1384" s="1" t="s">
        <v>34</v>
      </c>
      <c r="D1384" t="s">
        <v>693</v>
      </c>
      <c r="E1384">
        <v>105</v>
      </c>
      <c r="F1384">
        <v>15</v>
      </c>
      <c r="G1384">
        <v>100</v>
      </c>
      <c r="H1384">
        <v>26587</v>
      </c>
    </row>
    <row r="1385" spans="1:8" x14ac:dyDescent="0.25">
      <c r="A1385">
        <v>44</v>
      </c>
      <c r="B1385" s="19">
        <v>43966</v>
      </c>
      <c r="C1385" s="1" t="s">
        <v>36</v>
      </c>
      <c r="D1385" t="s">
        <v>690</v>
      </c>
      <c r="E1385">
        <v>105</v>
      </c>
      <c r="F1385">
        <v>13</v>
      </c>
      <c r="G1385">
        <v>81</v>
      </c>
      <c r="H1385">
        <v>46573</v>
      </c>
    </row>
    <row r="1386" spans="1:8" x14ac:dyDescent="0.25">
      <c r="A1386">
        <v>44</v>
      </c>
      <c r="B1386" s="19">
        <v>44231</v>
      </c>
      <c r="C1386" s="1" t="s">
        <v>35</v>
      </c>
      <c r="D1386" t="s">
        <v>690</v>
      </c>
      <c r="E1386">
        <v>104</v>
      </c>
      <c r="F1386">
        <v>12</v>
      </c>
      <c r="G1386">
        <v>41</v>
      </c>
      <c r="H1386">
        <v>25380</v>
      </c>
    </row>
    <row r="1387" spans="1:8" x14ac:dyDescent="0.25">
      <c r="A1387">
        <v>44</v>
      </c>
      <c r="B1387" s="19">
        <v>44642</v>
      </c>
      <c r="C1387" s="1" t="s">
        <v>35</v>
      </c>
      <c r="D1387" t="s">
        <v>690</v>
      </c>
      <c r="E1387">
        <v>103</v>
      </c>
      <c r="F1387">
        <v>15</v>
      </c>
      <c r="G1387">
        <v>43</v>
      </c>
      <c r="H1387">
        <v>40799</v>
      </c>
    </row>
    <row r="1388" spans="1:8" x14ac:dyDescent="0.25">
      <c r="A1388">
        <v>44</v>
      </c>
      <c r="B1388" s="19">
        <v>44845</v>
      </c>
      <c r="C1388" s="1" t="s">
        <v>34</v>
      </c>
      <c r="D1388" t="s">
        <v>691</v>
      </c>
      <c r="E1388">
        <v>108</v>
      </c>
      <c r="F1388">
        <v>13</v>
      </c>
      <c r="G1388">
        <v>54</v>
      </c>
      <c r="H1388">
        <v>29329</v>
      </c>
    </row>
    <row r="1389" spans="1:8" x14ac:dyDescent="0.25">
      <c r="A1389">
        <v>44</v>
      </c>
      <c r="B1389" s="19">
        <v>45025</v>
      </c>
      <c r="C1389" s="1" t="s">
        <v>35</v>
      </c>
      <c r="D1389" t="s">
        <v>691</v>
      </c>
      <c r="E1389">
        <v>105</v>
      </c>
      <c r="F1389">
        <v>11</v>
      </c>
      <c r="G1389">
        <v>93</v>
      </c>
      <c r="H1389">
        <v>45753</v>
      </c>
    </row>
    <row r="1390" spans="1:8" x14ac:dyDescent="0.25">
      <c r="A1390">
        <v>44</v>
      </c>
      <c r="B1390" s="19">
        <v>44597</v>
      </c>
      <c r="C1390" s="1" t="s">
        <v>34</v>
      </c>
      <c r="D1390" t="s">
        <v>691</v>
      </c>
      <c r="E1390">
        <v>106</v>
      </c>
      <c r="F1390">
        <v>12</v>
      </c>
      <c r="G1390">
        <v>84</v>
      </c>
      <c r="H1390">
        <v>28103</v>
      </c>
    </row>
    <row r="1391" spans="1:8" x14ac:dyDescent="0.25">
      <c r="A1391">
        <v>44</v>
      </c>
      <c r="B1391" s="19">
        <v>44110</v>
      </c>
      <c r="C1391" s="1" t="s">
        <v>36</v>
      </c>
      <c r="D1391" t="s">
        <v>700</v>
      </c>
      <c r="E1391">
        <v>105</v>
      </c>
      <c r="F1391">
        <v>13</v>
      </c>
      <c r="G1391">
        <v>59</v>
      </c>
      <c r="H1391">
        <v>44901</v>
      </c>
    </row>
    <row r="1392" spans="1:8" x14ac:dyDescent="0.25">
      <c r="A1392">
        <v>44</v>
      </c>
      <c r="B1392" s="19">
        <v>44387</v>
      </c>
      <c r="C1392" s="1" t="s">
        <v>34</v>
      </c>
      <c r="D1392" t="s">
        <v>700</v>
      </c>
      <c r="E1392">
        <v>104</v>
      </c>
      <c r="F1392">
        <v>12</v>
      </c>
      <c r="G1392">
        <v>10</v>
      </c>
      <c r="H1392">
        <v>15664</v>
      </c>
    </row>
    <row r="1393" spans="1:8" x14ac:dyDescent="0.25">
      <c r="A1393">
        <v>44</v>
      </c>
      <c r="B1393" s="19">
        <v>44350</v>
      </c>
      <c r="C1393" s="1" t="s">
        <v>36</v>
      </c>
      <c r="D1393" t="s">
        <v>700</v>
      </c>
      <c r="E1393">
        <v>105</v>
      </c>
      <c r="F1393">
        <v>13</v>
      </c>
      <c r="G1393">
        <v>26</v>
      </c>
      <c r="H1393">
        <v>37102</v>
      </c>
    </row>
    <row r="1394" spans="1:8" x14ac:dyDescent="0.25">
      <c r="A1394">
        <v>44</v>
      </c>
      <c r="B1394" s="19">
        <v>43971</v>
      </c>
      <c r="C1394" s="1" t="s">
        <v>34</v>
      </c>
      <c r="D1394" t="s">
        <v>700</v>
      </c>
      <c r="E1394">
        <v>104</v>
      </c>
      <c r="F1394">
        <v>11</v>
      </c>
      <c r="G1394">
        <v>48</v>
      </c>
      <c r="H1394">
        <v>43914</v>
      </c>
    </row>
    <row r="1395" spans="1:8" x14ac:dyDescent="0.25">
      <c r="A1395">
        <v>44</v>
      </c>
      <c r="B1395" s="19">
        <v>44419</v>
      </c>
      <c r="C1395" s="1" t="s">
        <v>33</v>
      </c>
      <c r="D1395" t="s">
        <v>700</v>
      </c>
      <c r="E1395">
        <v>105</v>
      </c>
      <c r="F1395">
        <v>15</v>
      </c>
      <c r="G1395">
        <v>96</v>
      </c>
      <c r="H1395">
        <v>17357</v>
      </c>
    </row>
    <row r="1396" spans="1:8" x14ac:dyDescent="0.25">
      <c r="A1396">
        <v>44</v>
      </c>
      <c r="B1396" s="19">
        <v>45518</v>
      </c>
      <c r="C1396" s="1" t="s">
        <v>35</v>
      </c>
      <c r="D1396" t="s">
        <v>700</v>
      </c>
      <c r="E1396">
        <v>104</v>
      </c>
      <c r="F1396">
        <v>11</v>
      </c>
      <c r="G1396">
        <v>78</v>
      </c>
      <c r="H1396">
        <v>21651</v>
      </c>
    </row>
    <row r="1397" spans="1:8" x14ac:dyDescent="0.25">
      <c r="A1397">
        <v>44</v>
      </c>
      <c r="B1397" s="19">
        <v>45376</v>
      </c>
      <c r="C1397" s="1" t="s">
        <v>34</v>
      </c>
      <c r="D1397" t="s">
        <v>700</v>
      </c>
      <c r="E1397">
        <v>104</v>
      </c>
      <c r="F1397">
        <v>15</v>
      </c>
      <c r="G1397">
        <v>17</v>
      </c>
      <c r="H1397">
        <v>34029</v>
      </c>
    </row>
    <row r="1398" spans="1:8" x14ac:dyDescent="0.25">
      <c r="A1398">
        <v>44</v>
      </c>
      <c r="B1398" s="19">
        <v>44576</v>
      </c>
      <c r="C1398" s="1" t="s">
        <v>33</v>
      </c>
      <c r="D1398" t="s">
        <v>696</v>
      </c>
      <c r="E1398">
        <v>103</v>
      </c>
      <c r="F1398">
        <v>11</v>
      </c>
      <c r="G1398">
        <v>82</v>
      </c>
      <c r="H1398">
        <v>45739</v>
      </c>
    </row>
    <row r="1399" spans="1:8" x14ac:dyDescent="0.25">
      <c r="A1399">
        <v>44</v>
      </c>
      <c r="B1399" s="19">
        <v>44344</v>
      </c>
      <c r="C1399" s="1" t="s">
        <v>34</v>
      </c>
      <c r="D1399" t="s">
        <v>696</v>
      </c>
      <c r="E1399">
        <v>105</v>
      </c>
      <c r="F1399">
        <v>13</v>
      </c>
      <c r="G1399">
        <v>56</v>
      </c>
      <c r="H1399">
        <v>36658</v>
      </c>
    </row>
    <row r="1400" spans="1:8" x14ac:dyDescent="0.25">
      <c r="A1400">
        <v>44</v>
      </c>
      <c r="B1400" s="19">
        <v>45109</v>
      </c>
      <c r="C1400" s="1" t="s">
        <v>34</v>
      </c>
      <c r="D1400" t="s">
        <v>697</v>
      </c>
      <c r="E1400">
        <v>103</v>
      </c>
      <c r="F1400">
        <v>12</v>
      </c>
      <c r="G1400">
        <v>50</v>
      </c>
      <c r="H1400">
        <v>14268</v>
      </c>
    </row>
    <row r="1401" spans="1:8" x14ac:dyDescent="0.25">
      <c r="A1401">
        <v>44</v>
      </c>
      <c r="B1401" s="19">
        <v>45331</v>
      </c>
      <c r="C1401" s="1" t="s">
        <v>35</v>
      </c>
      <c r="D1401" t="s">
        <v>697</v>
      </c>
      <c r="E1401">
        <v>109</v>
      </c>
      <c r="F1401">
        <v>12</v>
      </c>
      <c r="G1401">
        <v>47</v>
      </c>
      <c r="H1401">
        <v>34264</v>
      </c>
    </row>
    <row r="1402" spans="1:8" x14ac:dyDescent="0.25">
      <c r="A1402">
        <v>44</v>
      </c>
      <c r="B1402" s="19">
        <v>45195</v>
      </c>
      <c r="C1402" s="1" t="s">
        <v>34</v>
      </c>
      <c r="D1402" t="s">
        <v>698</v>
      </c>
      <c r="E1402">
        <v>104</v>
      </c>
      <c r="F1402">
        <v>15</v>
      </c>
      <c r="G1402">
        <v>28</v>
      </c>
      <c r="H1402">
        <v>31862</v>
      </c>
    </row>
    <row r="1403" spans="1:8" x14ac:dyDescent="0.25">
      <c r="A1403">
        <v>44</v>
      </c>
      <c r="B1403" s="19">
        <v>43912</v>
      </c>
      <c r="C1403" s="1" t="s">
        <v>35</v>
      </c>
      <c r="D1403" t="s">
        <v>698</v>
      </c>
      <c r="E1403">
        <v>104</v>
      </c>
      <c r="F1403">
        <v>12</v>
      </c>
      <c r="G1403">
        <v>36</v>
      </c>
      <c r="H1403">
        <v>27846</v>
      </c>
    </row>
    <row r="1404" spans="1:8" x14ac:dyDescent="0.25">
      <c r="A1404">
        <v>44</v>
      </c>
      <c r="B1404" s="19">
        <v>44587</v>
      </c>
      <c r="C1404" s="1" t="s">
        <v>35</v>
      </c>
      <c r="D1404" t="s">
        <v>698</v>
      </c>
      <c r="E1404">
        <v>104</v>
      </c>
      <c r="F1404">
        <v>13</v>
      </c>
      <c r="G1404">
        <v>65</v>
      </c>
      <c r="H1404">
        <v>44909</v>
      </c>
    </row>
    <row r="1405" spans="1:8" x14ac:dyDescent="0.25">
      <c r="A1405">
        <v>44</v>
      </c>
      <c r="B1405" s="19">
        <v>45445</v>
      </c>
      <c r="C1405" s="1" t="s">
        <v>34</v>
      </c>
      <c r="D1405" t="s">
        <v>699</v>
      </c>
      <c r="E1405">
        <v>103</v>
      </c>
      <c r="F1405">
        <v>14</v>
      </c>
      <c r="G1405">
        <v>67</v>
      </c>
      <c r="H1405">
        <v>15647</v>
      </c>
    </row>
    <row r="1406" spans="1:8" x14ac:dyDescent="0.25">
      <c r="A1406">
        <v>44</v>
      </c>
      <c r="B1406" s="19">
        <v>44149</v>
      </c>
      <c r="C1406" s="1" t="s">
        <v>34</v>
      </c>
      <c r="D1406" t="s">
        <v>699</v>
      </c>
      <c r="E1406">
        <v>108</v>
      </c>
      <c r="F1406">
        <v>11</v>
      </c>
      <c r="G1406">
        <v>83</v>
      </c>
      <c r="H1406">
        <v>20270</v>
      </c>
    </row>
    <row r="1407" spans="1:8" x14ac:dyDescent="0.25">
      <c r="A1407">
        <v>44</v>
      </c>
      <c r="B1407" s="19">
        <v>44638</v>
      </c>
      <c r="C1407" s="1" t="s">
        <v>34</v>
      </c>
      <c r="D1407" t="s">
        <v>695</v>
      </c>
      <c r="E1407">
        <v>105</v>
      </c>
      <c r="F1407">
        <v>15</v>
      </c>
      <c r="G1407">
        <v>69</v>
      </c>
      <c r="H1407">
        <v>26395</v>
      </c>
    </row>
    <row r="1408" spans="1:8" x14ac:dyDescent="0.25">
      <c r="A1408">
        <v>44</v>
      </c>
      <c r="B1408" s="19">
        <v>44303</v>
      </c>
      <c r="C1408" s="1" t="s">
        <v>35</v>
      </c>
      <c r="D1408" t="s">
        <v>692</v>
      </c>
      <c r="E1408">
        <v>109</v>
      </c>
      <c r="F1408">
        <v>13</v>
      </c>
      <c r="G1408">
        <v>62</v>
      </c>
      <c r="H1408">
        <v>40108</v>
      </c>
    </row>
    <row r="1409" spans="1:8" x14ac:dyDescent="0.25">
      <c r="A1409">
        <v>44</v>
      </c>
      <c r="B1409" s="19">
        <v>45639</v>
      </c>
      <c r="C1409" s="1" t="s">
        <v>33</v>
      </c>
      <c r="D1409" t="s">
        <v>693</v>
      </c>
      <c r="E1409">
        <v>102</v>
      </c>
      <c r="F1409">
        <v>14</v>
      </c>
      <c r="G1409">
        <v>38</v>
      </c>
      <c r="H1409">
        <v>48955</v>
      </c>
    </row>
    <row r="1410" spans="1:8" x14ac:dyDescent="0.25">
      <c r="A1410">
        <v>44</v>
      </c>
      <c r="B1410" s="19">
        <v>45065</v>
      </c>
      <c r="C1410" s="1" t="s">
        <v>34</v>
      </c>
      <c r="D1410" t="s">
        <v>693</v>
      </c>
      <c r="E1410">
        <v>103</v>
      </c>
      <c r="F1410">
        <v>13</v>
      </c>
      <c r="G1410">
        <v>20</v>
      </c>
      <c r="H1410">
        <v>27652</v>
      </c>
    </row>
    <row r="1411" spans="1:8" x14ac:dyDescent="0.25">
      <c r="A1411">
        <v>44</v>
      </c>
      <c r="B1411" s="19">
        <v>44188</v>
      </c>
      <c r="C1411" s="1" t="s">
        <v>36</v>
      </c>
      <c r="D1411" t="s">
        <v>694</v>
      </c>
      <c r="E1411">
        <v>109</v>
      </c>
      <c r="F1411">
        <v>15</v>
      </c>
      <c r="G1411">
        <v>93</v>
      </c>
      <c r="H1411">
        <v>39487</v>
      </c>
    </row>
    <row r="1412" spans="1:8" x14ac:dyDescent="0.25">
      <c r="A1412">
        <v>44</v>
      </c>
      <c r="B1412" s="19">
        <v>44354</v>
      </c>
      <c r="C1412" s="1" t="s">
        <v>36</v>
      </c>
      <c r="D1412" t="s">
        <v>694</v>
      </c>
      <c r="E1412">
        <v>104</v>
      </c>
      <c r="F1412">
        <v>15</v>
      </c>
      <c r="G1412">
        <v>5</v>
      </c>
      <c r="H1412">
        <v>32962</v>
      </c>
    </row>
    <row r="1413" spans="1:8" x14ac:dyDescent="0.25">
      <c r="A1413">
        <v>44</v>
      </c>
      <c r="B1413" s="19">
        <v>44946</v>
      </c>
      <c r="C1413" s="1" t="s">
        <v>34</v>
      </c>
      <c r="D1413" t="s">
        <v>694</v>
      </c>
      <c r="E1413">
        <v>102</v>
      </c>
      <c r="F1413">
        <v>13</v>
      </c>
      <c r="G1413">
        <v>39</v>
      </c>
      <c r="H1413">
        <v>44750</v>
      </c>
    </row>
    <row r="1414" spans="1:8" x14ac:dyDescent="0.25">
      <c r="A1414">
        <v>45</v>
      </c>
      <c r="B1414" s="19">
        <v>45505</v>
      </c>
      <c r="C1414" s="1" t="s">
        <v>36</v>
      </c>
      <c r="D1414" t="s">
        <v>690</v>
      </c>
      <c r="E1414">
        <v>102</v>
      </c>
      <c r="F1414">
        <v>12</v>
      </c>
      <c r="G1414">
        <v>38</v>
      </c>
      <c r="H1414">
        <v>12970</v>
      </c>
    </row>
    <row r="1415" spans="1:8" x14ac:dyDescent="0.25">
      <c r="A1415">
        <v>45</v>
      </c>
      <c r="B1415" s="19">
        <v>45021</v>
      </c>
      <c r="C1415" s="1" t="s">
        <v>34</v>
      </c>
      <c r="D1415" t="s">
        <v>690</v>
      </c>
      <c r="E1415">
        <v>106</v>
      </c>
      <c r="F1415">
        <v>11</v>
      </c>
      <c r="G1415">
        <v>37</v>
      </c>
      <c r="H1415">
        <v>46668</v>
      </c>
    </row>
    <row r="1416" spans="1:8" x14ac:dyDescent="0.25">
      <c r="A1416">
        <v>45</v>
      </c>
      <c r="B1416" s="19">
        <v>45230</v>
      </c>
      <c r="C1416" s="1" t="s">
        <v>34</v>
      </c>
      <c r="D1416" t="s">
        <v>691</v>
      </c>
      <c r="E1416">
        <v>106</v>
      </c>
      <c r="F1416">
        <v>15</v>
      </c>
      <c r="G1416">
        <v>19</v>
      </c>
      <c r="H1416">
        <v>35676</v>
      </c>
    </row>
    <row r="1417" spans="1:8" x14ac:dyDescent="0.25">
      <c r="A1417">
        <v>45</v>
      </c>
      <c r="B1417" s="19">
        <v>45305</v>
      </c>
      <c r="C1417" s="1" t="s">
        <v>35</v>
      </c>
      <c r="D1417" t="s">
        <v>691</v>
      </c>
      <c r="E1417">
        <v>101</v>
      </c>
      <c r="F1417">
        <v>14</v>
      </c>
      <c r="G1417">
        <v>16</v>
      </c>
      <c r="H1417">
        <v>41878</v>
      </c>
    </row>
    <row r="1418" spans="1:8" x14ac:dyDescent="0.25">
      <c r="A1418">
        <v>45</v>
      </c>
      <c r="B1418" s="19">
        <v>44114</v>
      </c>
      <c r="C1418" s="1" t="s">
        <v>35</v>
      </c>
      <c r="D1418" t="s">
        <v>691</v>
      </c>
      <c r="E1418">
        <v>105</v>
      </c>
      <c r="F1418">
        <v>11</v>
      </c>
      <c r="G1418">
        <v>40</v>
      </c>
      <c r="H1418">
        <v>16915</v>
      </c>
    </row>
    <row r="1419" spans="1:8" x14ac:dyDescent="0.25">
      <c r="A1419">
        <v>45</v>
      </c>
      <c r="B1419" s="19">
        <v>45219</v>
      </c>
      <c r="C1419" s="1" t="s">
        <v>34</v>
      </c>
      <c r="D1419" t="s">
        <v>700</v>
      </c>
      <c r="E1419">
        <v>103</v>
      </c>
      <c r="F1419">
        <v>15</v>
      </c>
      <c r="G1419">
        <v>91</v>
      </c>
      <c r="H1419">
        <v>49595</v>
      </c>
    </row>
    <row r="1420" spans="1:8" x14ac:dyDescent="0.25">
      <c r="A1420">
        <v>45</v>
      </c>
      <c r="B1420" s="19">
        <v>45055</v>
      </c>
      <c r="C1420" s="1" t="s">
        <v>33</v>
      </c>
      <c r="D1420" t="s">
        <v>700</v>
      </c>
      <c r="E1420">
        <v>102</v>
      </c>
      <c r="F1420">
        <v>15</v>
      </c>
      <c r="G1420">
        <v>7</v>
      </c>
      <c r="H1420">
        <v>44196</v>
      </c>
    </row>
    <row r="1421" spans="1:8" x14ac:dyDescent="0.25">
      <c r="A1421">
        <v>45</v>
      </c>
      <c r="B1421" s="19">
        <v>45388</v>
      </c>
      <c r="C1421" s="1" t="s">
        <v>36</v>
      </c>
      <c r="D1421" t="s">
        <v>696</v>
      </c>
      <c r="E1421">
        <v>106</v>
      </c>
      <c r="F1421">
        <v>13</v>
      </c>
      <c r="G1421">
        <v>59</v>
      </c>
      <c r="H1421">
        <v>24915</v>
      </c>
    </row>
    <row r="1422" spans="1:8" x14ac:dyDescent="0.25">
      <c r="A1422">
        <v>45</v>
      </c>
      <c r="B1422" s="19">
        <v>44955</v>
      </c>
      <c r="C1422" s="1" t="s">
        <v>33</v>
      </c>
      <c r="D1422" t="s">
        <v>696</v>
      </c>
      <c r="E1422">
        <v>104</v>
      </c>
      <c r="F1422">
        <v>15</v>
      </c>
      <c r="G1422">
        <v>79</v>
      </c>
      <c r="H1422">
        <v>37071</v>
      </c>
    </row>
    <row r="1423" spans="1:8" x14ac:dyDescent="0.25">
      <c r="A1423">
        <v>45</v>
      </c>
      <c r="B1423" s="19">
        <v>44220</v>
      </c>
      <c r="C1423" s="1" t="s">
        <v>33</v>
      </c>
      <c r="D1423" t="s">
        <v>696</v>
      </c>
      <c r="E1423">
        <v>102</v>
      </c>
      <c r="F1423">
        <v>15</v>
      </c>
      <c r="G1423">
        <v>82</v>
      </c>
      <c r="H1423">
        <v>39616</v>
      </c>
    </row>
    <row r="1424" spans="1:8" x14ac:dyDescent="0.25">
      <c r="A1424">
        <v>45</v>
      </c>
      <c r="B1424" s="19">
        <v>44721</v>
      </c>
      <c r="C1424" s="1" t="s">
        <v>33</v>
      </c>
      <c r="D1424" t="s">
        <v>696</v>
      </c>
      <c r="E1424">
        <v>104</v>
      </c>
      <c r="F1424">
        <v>14</v>
      </c>
      <c r="G1424">
        <v>11</v>
      </c>
      <c r="H1424">
        <v>10518</v>
      </c>
    </row>
    <row r="1425" spans="1:8" x14ac:dyDescent="0.25">
      <c r="A1425">
        <v>45</v>
      </c>
      <c r="B1425" s="19">
        <v>44257</v>
      </c>
      <c r="C1425" s="1" t="s">
        <v>34</v>
      </c>
      <c r="D1425" t="s">
        <v>697</v>
      </c>
      <c r="E1425">
        <v>103</v>
      </c>
      <c r="F1425">
        <v>13</v>
      </c>
      <c r="G1425">
        <v>47</v>
      </c>
      <c r="H1425">
        <v>28292</v>
      </c>
    </row>
    <row r="1426" spans="1:8" x14ac:dyDescent="0.25">
      <c r="A1426">
        <v>45</v>
      </c>
      <c r="B1426" s="19">
        <v>44227</v>
      </c>
      <c r="C1426" s="1" t="s">
        <v>33</v>
      </c>
      <c r="D1426" t="s">
        <v>699</v>
      </c>
      <c r="E1426">
        <v>103</v>
      </c>
      <c r="F1426">
        <v>12</v>
      </c>
      <c r="G1426">
        <v>20</v>
      </c>
      <c r="H1426">
        <v>14967</v>
      </c>
    </row>
    <row r="1427" spans="1:8" x14ac:dyDescent="0.25">
      <c r="A1427">
        <v>45</v>
      </c>
      <c r="B1427" s="19">
        <v>44206</v>
      </c>
      <c r="C1427" s="1" t="s">
        <v>36</v>
      </c>
      <c r="D1427" t="s">
        <v>699</v>
      </c>
      <c r="E1427">
        <v>103</v>
      </c>
      <c r="F1427">
        <v>14</v>
      </c>
      <c r="G1427">
        <v>87</v>
      </c>
      <c r="H1427">
        <v>47700</v>
      </c>
    </row>
    <row r="1428" spans="1:8" x14ac:dyDescent="0.25">
      <c r="A1428">
        <v>45</v>
      </c>
      <c r="B1428" s="19">
        <v>45321</v>
      </c>
      <c r="C1428" s="1" t="s">
        <v>33</v>
      </c>
      <c r="D1428" t="s">
        <v>695</v>
      </c>
      <c r="E1428">
        <v>107</v>
      </c>
      <c r="F1428">
        <v>15</v>
      </c>
      <c r="G1428">
        <v>48</v>
      </c>
      <c r="H1428">
        <v>15413</v>
      </c>
    </row>
    <row r="1429" spans="1:8" x14ac:dyDescent="0.25">
      <c r="A1429">
        <v>45</v>
      </c>
      <c r="B1429" s="19">
        <v>45224</v>
      </c>
      <c r="C1429" s="1" t="s">
        <v>34</v>
      </c>
      <c r="D1429" t="s">
        <v>695</v>
      </c>
      <c r="E1429">
        <v>105</v>
      </c>
      <c r="F1429">
        <v>14</v>
      </c>
      <c r="G1429">
        <v>90</v>
      </c>
      <c r="H1429">
        <v>41640</v>
      </c>
    </row>
    <row r="1430" spans="1:8" x14ac:dyDescent="0.25">
      <c r="A1430">
        <v>45</v>
      </c>
      <c r="B1430" s="19">
        <v>44701</v>
      </c>
      <c r="C1430" s="1" t="s">
        <v>34</v>
      </c>
      <c r="D1430" t="s">
        <v>695</v>
      </c>
      <c r="E1430">
        <v>101</v>
      </c>
      <c r="F1430">
        <v>14</v>
      </c>
      <c r="G1430">
        <v>44</v>
      </c>
      <c r="H1430">
        <v>40497</v>
      </c>
    </row>
    <row r="1431" spans="1:8" x14ac:dyDescent="0.25">
      <c r="A1431">
        <v>45</v>
      </c>
      <c r="B1431" s="19">
        <v>45397</v>
      </c>
      <c r="C1431" s="1" t="s">
        <v>33</v>
      </c>
      <c r="D1431" t="s">
        <v>695</v>
      </c>
      <c r="E1431">
        <v>107</v>
      </c>
      <c r="F1431">
        <v>13</v>
      </c>
      <c r="G1431">
        <v>62</v>
      </c>
      <c r="H1431">
        <v>27194</v>
      </c>
    </row>
    <row r="1432" spans="1:8" x14ac:dyDescent="0.25">
      <c r="A1432">
        <v>45</v>
      </c>
      <c r="B1432" s="19">
        <v>45605</v>
      </c>
      <c r="C1432" s="1" t="s">
        <v>35</v>
      </c>
      <c r="D1432" t="s">
        <v>695</v>
      </c>
      <c r="E1432">
        <v>103</v>
      </c>
      <c r="F1432">
        <v>14</v>
      </c>
      <c r="G1432">
        <v>7</v>
      </c>
      <c r="H1432">
        <v>29817</v>
      </c>
    </row>
    <row r="1433" spans="1:8" x14ac:dyDescent="0.25">
      <c r="A1433">
        <v>45</v>
      </c>
      <c r="B1433" s="19">
        <v>45315</v>
      </c>
      <c r="C1433" s="1" t="s">
        <v>35</v>
      </c>
      <c r="D1433" t="s">
        <v>695</v>
      </c>
      <c r="E1433">
        <v>104</v>
      </c>
      <c r="F1433">
        <v>15</v>
      </c>
      <c r="G1433">
        <v>96</v>
      </c>
      <c r="H1433">
        <v>45878</v>
      </c>
    </row>
    <row r="1434" spans="1:8" x14ac:dyDescent="0.25">
      <c r="A1434">
        <v>45</v>
      </c>
      <c r="B1434" s="19">
        <v>44405</v>
      </c>
      <c r="C1434" s="1" t="s">
        <v>34</v>
      </c>
      <c r="D1434" t="s">
        <v>692</v>
      </c>
      <c r="E1434">
        <v>105</v>
      </c>
      <c r="F1434">
        <v>11</v>
      </c>
      <c r="G1434">
        <v>92</v>
      </c>
      <c r="H1434">
        <v>37720</v>
      </c>
    </row>
    <row r="1435" spans="1:8" x14ac:dyDescent="0.25">
      <c r="A1435">
        <v>45</v>
      </c>
      <c r="B1435" s="19">
        <v>44495</v>
      </c>
      <c r="C1435" s="1" t="s">
        <v>34</v>
      </c>
      <c r="D1435" t="s">
        <v>693</v>
      </c>
      <c r="E1435">
        <v>105</v>
      </c>
      <c r="F1435">
        <v>13</v>
      </c>
      <c r="G1435">
        <v>24</v>
      </c>
      <c r="H1435">
        <v>38550</v>
      </c>
    </row>
    <row r="1436" spans="1:8" x14ac:dyDescent="0.25">
      <c r="A1436">
        <v>45</v>
      </c>
      <c r="B1436" s="19">
        <v>44126</v>
      </c>
      <c r="C1436" s="1" t="s">
        <v>34</v>
      </c>
      <c r="D1436" t="s">
        <v>693</v>
      </c>
      <c r="E1436">
        <v>104</v>
      </c>
      <c r="F1436">
        <v>13</v>
      </c>
      <c r="G1436">
        <v>71</v>
      </c>
      <c r="H1436">
        <v>49125</v>
      </c>
    </row>
    <row r="1437" spans="1:8" x14ac:dyDescent="0.25">
      <c r="A1437">
        <v>45</v>
      </c>
      <c r="B1437" s="19">
        <v>44273</v>
      </c>
      <c r="C1437" s="1" t="s">
        <v>36</v>
      </c>
      <c r="D1437" t="s">
        <v>694</v>
      </c>
      <c r="E1437">
        <v>104</v>
      </c>
      <c r="F1437">
        <v>11</v>
      </c>
      <c r="G1437">
        <v>6</v>
      </c>
      <c r="H1437">
        <v>13059</v>
      </c>
    </row>
    <row r="1438" spans="1:8" x14ac:dyDescent="0.25">
      <c r="A1438">
        <v>45</v>
      </c>
      <c r="B1438" s="19">
        <v>44602</v>
      </c>
      <c r="C1438" s="1" t="s">
        <v>33</v>
      </c>
      <c r="D1438" t="s">
        <v>694</v>
      </c>
      <c r="E1438">
        <v>104</v>
      </c>
      <c r="F1438">
        <v>15</v>
      </c>
      <c r="G1438">
        <v>84</v>
      </c>
      <c r="H1438">
        <v>26358</v>
      </c>
    </row>
    <row r="1439" spans="1:8" x14ac:dyDescent="0.25">
      <c r="A1439">
        <v>46</v>
      </c>
      <c r="B1439" s="19">
        <v>44187</v>
      </c>
      <c r="C1439" s="1" t="s">
        <v>36</v>
      </c>
      <c r="D1439" t="s">
        <v>690</v>
      </c>
      <c r="E1439">
        <v>108</v>
      </c>
      <c r="F1439">
        <v>15</v>
      </c>
      <c r="G1439">
        <v>6</v>
      </c>
      <c r="H1439">
        <v>47558</v>
      </c>
    </row>
    <row r="1440" spans="1:8" x14ac:dyDescent="0.25">
      <c r="A1440">
        <v>46</v>
      </c>
      <c r="B1440" s="19">
        <v>44265</v>
      </c>
      <c r="C1440" s="1" t="s">
        <v>36</v>
      </c>
      <c r="D1440" t="s">
        <v>690</v>
      </c>
      <c r="E1440">
        <v>109</v>
      </c>
      <c r="F1440">
        <v>12</v>
      </c>
      <c r="G1440">
        <v>88</v>
      </c>
      <c r="H1440">
        <v>27764</v>
      </c>
    </row>
    <row r="1441" spans="1:8" x14ac:dyDescent="0.25">
      <c r="A1441">
        <v>46</v>
      </c>
      <c r="B1441" s="19">
        <v>44256</v>
      </c>
      <c r="C1441" s="1" t="s">
        <v>35</v>
      </c>
      <c r="D1441" t="s">
        <v>690</v>
      </c>
      <c r="E1441">
        <v>108</v>
      </c>
      <c r="F1441">
        <v>15</v>
      </c>
      <c r="G1441">
        <v>16</v>
      </c>
      <c r="H1441">
        <v>13782</v>
      </c>
    </row>
    <row r="1442" spans="1:8" x14ac:dyDescent="0.25">
      <c r="A1442">
        <v>46</v>
      </c>
      <c r="B1442" s="19">
        <v>44042</v>
      </c>
      <c r="C1442" s="1" t="s">
        <v>35</v>
      </c>
      <c r="D1442" t="s">
        <v>690</v>
      </c>
      <c r="E1442">
        <v>101</v>
      </c>
      <c r="F1442">
        <v>13</v>
      </c>
      <c r="G1442">
        <v>36</v>
      </c>
      <c r="H1442">
        <v>15488</v>
      </c>
    </row>
    <row r="1443" spans="1:8" x14ac:dyDescent="0.25">
      <c r="A1443">
        <v>46</v>
      </c>
      <c r="B1443" s="19">
        <v>44177</v>
      </c>
      <c r="C1443" s="1" t="s">
        <v>36</v>
      </c>
      <c r="D1443" t="s">
        <v>691</v>
      </c>
      <c r="E1443">
        <v>108</v>
      </c>
      <c r="F1443">
        <v>14</v>
      </c>
      <c r="G1443">
        <v>28</v>
      </c>
      <c r="H1443">
        <v>23437</v>
      </c>
    </row>
    <row r="1444" spans="1:8" x14ac:dyDescent="0.25">
      <c r="A1444">
        <v>46</v>
      </c>
      <c r="B1444" s="19">
        <v>44015</v>
      </c>
      <c r="C1444" s="1" t="s">
        <v>34</v>
      </c>
      <c r="D1444" t="s">
        <v>691</v>
      </c>
      <c r="E1444">
        <v>103</v>
      </c>
      <c r="F1444">
        <v>12</v>
      </c>
      <c r="G1444">
        <v>87</v>
      </c>
      <c r="H1444">
        <v>49951</v>
      </c>
    </row>
    <row r="1445" spans="1:8" x14ac:dyDescent="0.25">
      <c r="A1445">
        <v>46</v>
      </c>
      <c r="B1445" s="19">
        <v>44499</v>
      </c>
      <c r="C1445" s="1" t="s">
        <v>36</v>
      </c>
      <c r="D1445" t="s">
        <v>691</v>
      </c>
      <c r="E1445">
        <v>101</v>
      </c>
      <c r="F1445">
        <v>14</v>
      </c>
      <c r="G1445">
        <v>56</v>
      </c>
      <c r="H1445">
        <v>12696</v>
      </c>
    </row>
    <row r="1446" spans="1:8" x14ac:dyDescent="0.25">
      <c r="A1446">
        <v>46</v>
      </c>
      <c r="B1446" s="19">
        <v>45627</v>
      </c>
      <c r="C1446" s="1" t="s">
        <v>33</v>
      </c>
      <c r="D1446" t="s">
        <v>700</v>
      </c>
      <c r="E1446">
        <v>106</v>
      </c>
      <c r="F1446">
        <v>12</v>
      </c>
      <c r="G1446">
        <v>72</v>
      </c>
      <c r="H1446">
        <v>36958</v>
      </c>
    </row>
    <row r="1447" spans="1:8" x14ac:dyDescent="0.25">
      <c r="A1447">
        <v>46</v>
      </c>
      <c r="B1447" s="19">
        <v>45423</v>
      </c>
      <c r="C1447" s="1" t="s">
        <v>35</v>
      </c>
      <c r="D1447" t="s">
        <v>700</v>
      </c>
      <c r="E1447">
        <v>105</v>
      </c>
      <c r="F1447">
        <v>12</v>
      </c>
      <c r="G1447">
        <v>8</v>
      </c>
      <c r="H1447">
        <v>18782</v>
      </c>
    </row>
    <row r="1448" spans="1:8" x14ac:dyDescent="0.25">
      <c r="A1448">
        <v>46</v>
      </c>
      <c r="B1448" s="19">
        <v>44324</v>
      </c>
      <c r="C1448" s="1" t="s">
        <v>36</v>
      </c>
      <c r="D1448" t="s">
        <v>700</v>
      </c>
      <c r="E1448">
        <v>103</v>
      </c>
      <c r="F1448">
        <v>13</v>
      </c>
      <c r="G1448">
        <v>61</v>
      </c>
      <c r="H1448">
        <v>41265</v>
      </c>
    </row>
    <row r="1449" spans="1:8" x14ac:dyDescent="0.25">
      <c r="A1449">
        <v>46</v>
      </c>
      <c r="B1449" s="19">
        <v>44069</v>
      </c>
      <c r="C1449" s="1" t="s">
        <v>35</v>
      </c>
      <c r="D1449" t="s">
        <v>697</v>
      </c>
      <c r="E1449">
        <v>104</v>
      </c>
      <c r="F1449">
        <v>11</v>
      </c>
      <c r="G1449">
        <v>97</v>
      </c>
      <c r="H1449">
        <v>11608</v>
      </c>
    </row>
    <row r="1450" spans="1:8" x14ac:dyDescent="0.25">
      <c r="A1450">
        <v>46</v>
      </c>
      <c r="B1450" s="19">
        <v>44616</v>
      </c>
      <c r="C1450" s="1" t="s">
        <v>36</v>
      </c>
      <c r="D1450" t="s">
        <v>697</v>
      </c>
      <c r="E1450">
        <v>109</v>
      </c>
      <c r="F1450">
        <v>11</v>
      </c>
      <c r="G1450">
        <v>31</v>
      </c>
      <c r="H1450">
        <v>23500</v>
      </c>
    </row>
    <row r="1451" spans="1:8" x14ac:dyDescent="0.25">
      <c r="A1451">
        <v>46</v>
      </c>
      <c r="B1451" s="19">
        <v>44088</v>
      </c>
      <c r="C1451" s="1" t="s">
        <v>33</v>
      </c>
      <c r="D1451" t="s">
        <v>697</v>
      </c>
      <c r="E1451">
        <v>105</v>
      </c>
      <c r="F1451">
        <v>12</v>
      </c>
      <c r="G1451">
        <v>49</v>
      </c>
      <c r="H1451">
        <v>49552</v>
      </c>
    </row>
    <row r="1452" spans="1:8" x14ac:dyDescent="0.25">
      <c r="A1452">
        <v>46</v>
      </c>
      <c r="B1452" s="19">
        <v>44580</v>
      </c>
      <c r="C1452" s="1" t="s">
        <v>34</v>
      </c>
      <c r="D1452" t="s">
        <v>697</v>
      </c>
      <c r="E1452">
        <v>104</v>
      </c>
      <c r="F1452">
        <v>12</v>
      </c>
      <c r="G1452">
        <v>43</v>
      </c>
      <c r="H1452">
        <v>20634</v>
      </c>
    </row>
    <row r="1453" spans="1:8" x14ac:dyDescent="0.25">
      <c r="A1453">
        <v>46</v>
      </c>
      <c r="B1453" s="19">
        <v>44058</v>
      </c>
      <c r="C1453" s="1" t="s">
        <v>33</v>
      </c>
      <c r="D1453" t="s">
        <v>697</v>
      </c>
      <c r="E1453">
        <v>103</v>
      </c>
      <c r="F1453">
        <v>15</v>
      </c>
      <c r="G1453">
        <v>58</v>
      </c>
      <c r="H1453">
        <v>28308</v>
      </c>
    </row>
    <row r="1454" spans="1:8" x14ac:dyDescent="0.25">
      <c r="A1454">
        <v>46</v>
      </c>
      <c r="B1454" s="19">
        <v>44235</v>
      </c>
      <c r="C1454" s="1" t="s">
        <v>34</v>
      </c>
      <c r="D1454" t="s">
        <v>698</v>
      </c>
      <c r="E1454">
        <v>105</v>
      </c>
      <c r="F1454">
        <v>15</v>
      </c>
      <c r="G1454">
        <v>51</v>
      </c>
      <c r="H1454">
        <v>37686</v>
      </c>
    </row>
    <row r="1455" spans="1:8" x14ac:dyDescent="0.25">
      <c r="A1455">
        <v>46</v>
      </c>
      <c r="B1455" s="19">
        <v>45042</v>
      </c>
      <c r="C1455" s="1" t="s">
        <v>35</v>
      </c>
      <c r="D1455" t="s">
        <v>698</v>
      </c>
      <c r="E1455">
        <v>104</v>
      </c>
      <c r="F1455">
        <v>12</v>
      </c>
      <c r="G1455">
        <v>93</v>
      </c>
      <c r="H1455">
        <v>17536</v>
      </c>
    </row>
    <row r="1456" spans="1:8" x14ac:dyDescent="0.25">
      <c r="A1456">
        <v>46</v>
      </c>
      <c r="B1456" s="19">
        <v>44341</v>
      </c>
      <c r="C1456" s="1" t="s">
        <v>35</v>
      </c>
      <c r="D1456" t="s">
        <v>699</v>
      </c>
      <c r="E1456">
        <v>105</v>
      </c>
      <c r="F1456">
        <v>13</v>
      </c>
      <c r="G1456">
        <v>26</v>
      </c>
      <c r="H1456">
        <v>44415</v>
      </c>
    </row>
    <row r="1457" spans="1:8" x14ac:dyDescent="0.25">
      <c r="A1457">
        <v>46</v>
      </c>
      <c r="B1457" s="19">
        <v>43864</v>
      </c>
      <c r="C1457" s="1" t="s">
        <v>36</v>
      </c>
      <c r="D1457" t="s">
        <v>699</v>
      </c>
      <c r="E1457">
        <v>103</v>
      </c>
      <c r="F1457">
        <v>15</v>
      </c>
      <c r="G1457">
        <v>6</v>
      </c>
      <c r="H1457">
        <v>15403</v>
      </c>
    </row>
    <row r="1458" spans="1:8" x14ac:dyDescent="0.25">
      <c r="A1458">
        <v>46</v>
      </c>
      <c r="B1458" s="19">
        <v>44466</v>
      </c>
      <c r="C1458" s="1" t="s">
        <v>35</v>
      </c>
      <c r="D1458" t="s">
        <v>695</v>
      </c>
      <c r="E1458">
        <v>105</v>
      </c>
      <c r="F1458">
        <v>14</v>
      </c>
      <c r="G1458">
        <v>59</v>
      </c>
      <c r="H1458">
        <v>24146</v>
      </c>
    </row>
    <row r="1459" spans="1:8" x14ac:dyDescent="0.25">
      <c r="A1459">
        <v>46</v>
      </c>
      <c r="B1459" s="19">
        <v>44320</v>
      </c>
      <c r="C1459" s="1" t="s">
        <v>34</v>
      </c>
      <c r="D1459" t="s">
        <v>695</v>
      </c>
      <c r="E1459">
        <v>109</v>
      </c>
      <c r="F1459">
        <v>13</v>
      </c>
      <c r="G1459">
        <v>100</v>
      </c>
      <c r="H1459">
        <v>12419</v>
      </c>
    </row>
    <row r="1460" spans="1:8" x14ac:dyDescent="0.25">
      <c r="A1460">
        <v>46</v>
      </c>
      <c r="B1460" s="19">
        <v>45143</v>
      </c>
      <c r="C1460" s="1" t="s">
        <v>35</v>
      </c>
      <c r="D1460" t="s">
        <v>695</v>
      </c>
      <c r="E1460">
        <v>101</v>
      </c>
      <c r="F1460">
        <v>13</v>
      </c>
      <c r="G1460">
        <v>97</v>
      </c>
      <c r="H1460">
        <v>45015</v>
      </c>
    </row>
    <row r="1461" spans="1:8" x14ac:dyDescent="0.25">
      <c r="A1461">
        <v>46</v>
      </c>
      <c r="B1461" s="19">
        <v>45254</v>
      </c>
      <c r="C1461" s="1" t="s">
        <v>34</v>
      </c>
      <c r="D1461" t="s">
        <v>695</v>
      </c>
      <c r="E1461">
        <v>103</v>
      </c>
      <c r="F1461">
        <v>13</v>
      </c>
      <c r="G1461">
        <v>19</v>
      </c>
      <c r="H1461">
        <v>24221</v>
      </c>
    </row>
    <row r="1462" spans="1:8" x14ac:dyDescent="0.25">
      <c r="A1462">
        <v>46</v>
      </c>
      <c r="B1462" s="19">
        <v>45503</v>
      </c>
      <c r="C1462" s="1" t="s">
        <v>33</v>
      </c>
      <c r="D1462" t="s">
        <v>692</v>
      </c>
      <c r="E1462">
        <v>104</v>
      </c>
      <c r="F1462">
        <v>14</v>
      </c>
      <c r="G1462">
        <v>78</v>
      </c>
      <c r="H1462">
        <v>45263</v>
      </c>
    </row>
    <row r="1463" spans="1:8" x14ac:dyDescent="0.25">
      <c r="A1463">
        <v>46</v>
      </c>
      <c r="B1463" s="19">
        <v>45113</v>
      </c>
      <c r="C1463" s="1" t="s">
        <v>35</v>
      </c>
      <c r="D1463" t="s">
        <v>692</v>
      </c>
      <c r="E1463">
        <v>103</v>
      </c>
      <c r="F1463">
        <v>15</v>
      </c>
      <c r="G1463">
        <v>57</v>
      </c>
      <c r="H1463">
        <v>38363</v>
      </c>
    </row>
    <row r="1464" spans="1:8" x14ac:dyDescent="0.25">
      <c r="A1464">
        <v>46</v>
      </c>
      <c r="B1464" s="19">
        <v>44782</v>
      </c>
      <c r="C1464" s="1" t="s">
        <v>33</v>
      </c>
      <c r="D1464" t="s">
        <v>692</v>
      </c>
      <c r="E1464">
        <v>102</v>
      </c>
      <c r="F1464">
        <v>15</v>
      </c>
      <c r="G1464">
        <v>47</v>
      </c>
      <c r="H1464">
        <v>39897</v>
      </c>
    </row>
    <row r="1465" spans="1:8" x14ac:dyDescent="0.25">
      <c r="A1465">
        <v>46</v>
      </c>
      <c r="B1465" s="19">
        <v>44497</v>
      </c>
      <c r="C1465" s="1" t="s">
        <v>35</v>
      </c>
      <c r="D1465" t="s">
        <v>693</v>
      </c>
      <c r="E1465">
        <v>103</v>
      </c>
      <c r="F1465">
        <v>13</v>
      </c>
      <c r="G1465">
        <v>61</v>
      </c>
      <c r="H1465">
        <v>16448</v>
      </c>
    </row>
    <row r="1466" spans="1:8" x14ac:dyDescent="0.25">
      <c r="A1466">
        <v>46</v>
      </c>
      <c r="B1466" s="19">
        <v>45269</v>
      </c>
      <c r="C1466" s="1" t="s">
        <v>36</v>
      </c>
      <c r="D1466" t="s">
        <v>693</v>
      </c>
      <c r="E1466">
        <v>105</v>
      </c>
      <c r="F1466">
        <v>12</v>
      </c>
      <c r="G1466">
        <v>19</v>
      </c>
      <c r="H1466">
        <v>32467</v>
      </c>
    </row>
    <row r="1467" spans="1:8" x14ac:dyDescent="0.25">
      <c r="A1467">
        <v>47</v>
      </c>
      <c r="B1467" s="19">
        <v>45423</v>
      </c>
      <c r="C1467" s="1" t="s">
        <v>35</v>
      </c>
      <c r="D1467" t="s">
        <v>690</v>
      </c>
      <c r="E1467">
        <v>105</v>
      </c>
      <c r="F1467">
        <v>12</v>
      </c>
      <c r="G1467">
        <v>35</v>
      </c>
      <c r="H1467">
        <v>28716</v>
      </c>
    </row>
    <row r="1468" spans="1:8" x14ac:dyDescent="0.25">
      <c r="A1468">
        <v>47</v>
      </c>
      <c r="B1468" s="19">
        <v>45599</v>
      </c>
      <c r="C1468" s="1" t="s">
        <v>35</v>
      </c>
      <c r="D1468" t="s">
        <v>691</v>
      </c>
      <c r="E1468">
        <v>104</v>
      </c>
      <c r="F1468">
        <v>13</v>
      </c>
      <c r="G1468">
        <v>80</v>
      </c>
      <c r="H1468">
        <v>25287</v>
      </c>
    </row>
    <row r="1469" spans="1:8" x14ac:dyDescent="0.25">
      <c r="A1469">
        <v>47</v>
      </c>
      <c r="B1469" s="19">
        <v>45556</v>
      </c>
      <c r="C1469" s="1" t="s">
        <v>33</v>
      </c>
      <c r="D1469" t="s">
        <v>691</v>
      </c>
      <c r="E1469">
        <v>105</v>
      </c>
      <c r="F1469">
        <v>11</v>
      </c>
      <c r="G1469">
        <v>19</v>
      </c>
      <c r="H1469">
        <v>40457</v>
      </c>
    </row>
    <row r="1470" spans="1:8" x14ac:dyDescent="0.25">
      <c r="A1470">
        <v>47</v>
      </c>
      <c r="B1470" s="19">
        <v>44792</v>
      </c>
      <c r="C1470" s="1" t="s">
        <v>34</v>
      </c>
      <c r="D1470" t="s">
        <v>691</v>
      </c>
      <c r="E1470">
        <v>107</v>
      </c>
      <c r="F1470">
        <v>11</v>
      </c>
      <c r="G1470">
        <v>53</v>
      </c>
      <c r="H1470">
        <v>33169</v>
      </c>
    </row>
    <row r="1471" spans="1:8" x14ac:dyDescent="0.25">
      <c r="A1471">
        <v>47</v>
      </c>
      <c r="B1471" s="19">
        <v>45591</v>
      </c>
      <c r="C1471" s="1" t="s">
        <v>35</v>
      </c>
      <c r="D1471" t="s">
        <v>691</v>
      </c>
      <c r="E1471">
        <v>103</v>
      </c>
      <c r="F1471">
        <v>12</v>
      </c>
      <c r="G1471">
        <v>95</v>
      </c>
      <c r="H1471">
        <v>30418</v>
      </c>
    </row>
    <row r="1472" spans="1:8" x14ac:dyDescent="0.25">
      <c r="A1472">
        <v>47</v>
      </c>
      <c r="B1472" s="19">
        <v>44540</v>
      </c>
      <c r="C1472" s="1" t="s">
        <v>34</v>
      </c>
      <c r="D1472" t="s">
        <v>691</v>
      </c>
      <c r="E1472">
        <v>103</v>
      </c>
      <c r="F1472">
        <v>13</v>
      </c>
      <c r="G1472">
        <v>31</v>
      </c>
      <c r="H1472">
        <v>44278</v>
      </c>
    </row>
    <row r="1473" spans="1:8" x14ac:dyDescent="0.25">
      <c r="A1473">
        <v>47</v>
      </c>
      <c r="B1473" s="19">
        <v>44162</v>
      </c>
      <c r="C1473" s="1" t="s">
        <v>36</v>
      </c>
      <c r="D1473" t="s">
        <v>696</v>
      </c>
      <c r="E1473">
        <v>101</v>
      </c>
      <c r="F1473">
        <v>13</v>
      </c>
      <c r="G1473">
        <v>6</v>
      </c>
      <c r="H1473">
        <v>48784</v>
      </c>
    </row>
    <row r="1474" spans="1:8" x14ac:dyDescent="0.25">
      <c r="A1474">
        <v>47</v>
      </c>
      <c r="B1474" s="19">
        <v>45414</v>
      </c>
      <c r="C1474" s="1" t="s">
        <v>35</v>
      </c>
      <c r="D1474" t="s">
        <v>696</v>
      </c>
      <c r="E1474">
        <v>103</v>
      </c>
      <c r="F1474">
        <v>13</v>
      </c>
      <c r="G1474">
        <v>10</v>
      </c>
      <c r="H1474">
        <v>34790</v>
      </c>
    </row>
    <row r="1475" spans="1:8" x14ac:dyDescent="0.25">
      <c r="A1475">
        <v>47</v>
      </c>
      <c r="B1475" s="19">
        <v>43917</v>
      </c>
      <c r="C1475" s="1" t="s">
        <v>34</v>
      </c>
      <c r="D1475" t="s">
        <v>697</v>
      </c>
      <c r="E1475">
        <v>104</v>
      </c>
      <c r="F1475">
        <v>14</v>
      </c>
      <c r="G1475">
        <v>7</v>
      </c>
      <c r="H1475">
        <v>34578</v>
      </c>
    </row>
    <row r="1476" spans="1:8" x14ac:dyDescent="0.25">
      <c r="A1476">
        <v>47</v>
      </c>
      <c r="B1476" s="19">
        <v>45047</v>
      </c>
      <c r="C1476" s="1" t="s">
        <v>36</v>
      </c>
      <c r="D1476" t="s">
        <v>697</v>
      </c>
      <c r="E1476">
        <v>103</v>
      </c>
      <c r="F1476">
        <v>11</v>
      </c>
      <c r="G1476">
        <v>24</v>
      </c>
      <c r="H1476">
        <v>38127</v>
      </c>
    </row>
    <row r="1477" spans="1:8" x14ac:dyDescent="0.25">
      <c r="A1477">
        <v>47</v>
      </c>
      <c r="B1477" s="19">
        <v>44544</v>
      </c>
      <c r="C1477" s="1" t="s">
        <v>33</v>
      </c>
      <c r="D1477" t="s">
        <v>697</v>
      </c>
      <c r="E1477">
        <v>104</v>
      </c>
      <c r="F1477">
        <v>13</v>
      </c>
      <c r="G1477">
        <v>24</v>
      </c>
      <c r="H1477">
        <v>39070</v>
      </c>
    </row>
    <row r="1478" spans="1:8" x14ac:dyDescent="0.25">
      <c r="A1478">
        <v>47</v>
      </c>
      <c r="B1478" s="19">
        <v>44341</v>
      </c>
      <c r="C1478" s="1" t="s">
        <v>35</v>
      </c>
      <c r="D1478" t="s">
        <v>697</v>
      </c>
      <c r="E1478">
        <v>105</v>
      </c>
      <c r="F1478">
        <v>15</v>
      </c>
      <c r="G1478">
        <v>100</v>
      </c>
      <c r="H1478">
        <v>33913</v>
      </c>
    </row>
    <row r="1479" spans="1:8" x14ac:dyDescent="0.25">
      <c r="A1479">
        <v>47</v>
      </c>
      <c r="B1479" s="19">
        <v>45613</v>
      </c>
      <c r="C1479" s="1" t="s">
        <v>36</v>
      </c>
      <c r="D1479" t="s">
        <v>697</v>
      </c>
      <c r="E1479">
        <v>108</v>
      </c>
      <c r="F1479">
        <v>13</v>
      </c>
      <c r="G1479">
        <v>68</v>
      </c>
      <c r="H1479">
        <v>48608</v>
      </c>
    </row>
    <row r="1480" spans="1:8" x14ac:dyDescent="0.25">
      <c r="A1480">
        <v>47</v>
      </c>
      <c r="B1480" s="19">
        <v>45172</v>
      </c>
      <c r="C1480" s="1" t="s">
        <v>36</v>
      </c>
      <c r="D1480" t="s">
        <v>697</v>
      </c>
      <c r="E1480">
        <v>104</v>
      </c>
      <c r="F1480">
        <v>12</v>
      </c>
      <c r="G1480">
        <v>22</v>
      </c>
      <c r="H1480">
        <v>22095</v>
      </c>
    </row>
    <row r="1481" spans="1:8" x14ac:dyDescent="0.25">
      <c r="A1481">
        <v>47</v>
      </c>
      <c r="B1481" s="19">
        <v>44334</v>
      </c>
      <c r="C1481" s="1" t="s">
        <v>35</v>
      </c>
      <c r="D1481" t="s">
        <v>698</v>
      </c>
      <c r="E1481">
        <v>105</v>
      </c>
      <c r="F1481">
        <v>11</v>
      </c>
      <c r="G1481">
        <v>31</v>
      </c>
      <c r="H1481">
        <v>14044</v>
      </c>
    </row>
    <row r="1482" spans="1:8" x14ac:dyDescent="0.25">
      <c r="A1482">
        <v>47</v>
      </c>
      <c r="B1482" s="19">
        <v>45611</v>
      </c>
      <c r="C1482" s="1" t="s">
        <v>33</v>
      </c>
      <c r="D1482" t="s">
        <v>698</v>
      </c>
      <c r="E1482">
        <v>105</v>
      </c>
      <c r="F1482">
        <v>12</v>
      </c>
      <c r="G1482">
        <v>48</v>
      </c>
      <c r="H1482">
        <v>19877</v>
      </c>
    </row>
    <row r="1483" spans="1:8" x14ac:dyDescent="0.25">
      <c r="A1483">
        <v>47</v>
      </c>
      <c r="B1483" s="19">
        <v>45011</v>
      </c>
      <c r="C1483" s="1" t="s">
        <v>34</v>
      </c>
      <c r="D1483" t="s">
        <v>699</v>
      </c>
      <c r="E1483">
        <v>108</v>
      </c>
      <c r="F1483">
        <v>13</v>
      </c>
      <c r="G1483">
        <v>81</v>
      </c>
      <c r="H1483">
        <v>47000</v>
      </c>
    </row>
    <row r="1484" spans="1:8" x14ac:dyDescent="0.25">
      <c r="A1484">
        <v>47</v>
      </c>
      <c r="B1484" s="19">
        <v>43863</v>
      </c>
      <c r="C1484" s="1" t="s">
        <v>34</v>
      </c>
      <c r="D1484" t="s">
        <v>699</v>
      </c>
      <c r="E1484">
        <v>101</v>
      </c>
      <c r="F1484">
        <v>11</v>
      </c>
      <c r="G1484">
        <v>90</v>
      </c>
      <c r="H1484">
        <v>19138</v>
      </c>
    </row>
    <row r="1485" spans="1:8" x14ac:dyDescent="0.25">
      <c r="A1485">
        <v>47</v>
      </c>
      <c r="B1485" s="19">
        <v>45019</v>
      </c>
      <c r="C1485" s="1" t="s">
        <v>36</v>
      </c>
      <c r="D1485" t="s">
        <v>695</v>
      </c>
      <c r="E1485">
        <v>104</v>
      </c>
      <c r="F1485">
        <v>11</v>
      </c>
      <c r="G1485">
        <v>99</v>
      </c>
      <c r="H1485">
        <v>23743</v>
      </c>
    </row>
    <row r="1486" spans="1:8" x14ac:dyDescent="0.25">
      <c r="A1486">
        <v>47</v>
      </c>
      <c r="B1486" s="19">
        <v>44743</v>
      </c>
      <c r="C1486" s="1" t="s">
        <v>35</v>
      </c>
      <c r="D1486" t="s">
        <v>695</v>
      </c>
      <c r="E1486">
        <v>103</v>
      </c>
      <c r="F1486">
        <v>14</v>
      </c>
      <c r="G1486">
        <v>37</v>
      </c>
      <c r="H1486">
        <v>47688</v>
      </c>
    </row>
    <row r="1487" spans="1:8" x14ac:dyDescent="0.25">
      <c r="A1487">
        <v>47</v>
      </c>
      <c r="B1487" s="19">
        <v>44666</v>
      </c>
      <c r="C1487" s="1" t="s">
        <v>36</v>
      </c>
      <c r="D1487" t="s">
        <v>695</v>
      </c>
      <c r="E1487">
        <v>105</v>
      </c>
      <c r="F1487">
        <v>14</v>
      </c>
      <c r="G1487">
        <v>45</v>
      </c>
      <c r="H1487">
        <v>38691</v>
      </c>
    </row>
    <row r="1488" spans="1:8" x14ac:dyDescent="0.25">
      <c r="A1488">
        <v>47</v>
      </c>
      <c r="B1488" s="19">
        <v>44725</v>
      </c>
      <c r="C1488" s="1" t="s">
        <v>35</v>
      </c>
      <c r="D1488" t="s">
        <v>695</v>
      </c>
      <c r="E1488">
        <v>109</v>
      </c>
      <c r="F1488">
        <v>14</v>
      </c>
      <c r="G1488">
        <v>39</v>
      </c>
      <c r="H1488">
        <v>40893</v>
      </c>
    </row>
    <row r="1489" spans="1:8" x14ac:dyDescent="0.25">
      <c r="A1489">
        <v>47</v>
      </c>
      <c r="B1489" s="19">
        <v>44535</v>
      </c>
      <c r="C1489" s="1" t="s">
        <v>35</v>
      </c>
      <c r="D1489" t="s">
        <v>692</v>
      </c>
      <c r="E1489">
        <v>103</v>
      </c>
      <c r="F1489">
        <v>11</v>
      </c>
      <c r="G1489">
        <v>67</v>
      </c>
      <c r="H1489">
        <v>13818</v>
      </c>
    </row>
    <row r="1490" spans="1:8" x14ac:dyDescent="0.25">
      <c r="A1490">
        <v>47</v>
      </c>
      <c r="B1490" s="19">
        <v>44636</v>
      </c>
      <c r="C1490" s="1" t="s">
        <v>34</v>
      </c>
      <c r="D1490" t="s">
        <v>692</v>
      </c>
      <c r="E1490">
        <v>103</v>
      </c>
      <c r="F1490">
        <v>11</v>
      </c>
      <c r="G1490">
        <v>56</v>
      </c>
      <c r="H1490">
        <v>13604</v>
      </c>
    </row>
    <row r="1491" spans="1:8" x14ac:dyDescent="0.25">
      <c r="A1491">
        <v>47</v>
      </c>
      <c r="B1491" s="19">
        <v>44038</v>
      </c>
      <c r="C1491" s="1" t="s">
        <v>36</v>
      </c>
      <c r="D1491" t="s">
        <v>693</v>
      </c>
      <c r="E1491">
        <v>103</v>
      </c>
      <c r="F1491">
        <v>15</v>
      </c>
      <c r="G1491">
        <v>7</v>
      </c>
      <c r="H1491">
        <v>16192</v>
      </c>
    </row>
    <row r="1492" spans="1:8" x14ac:dyDescent="0.25">
      <c r="A1492">
        <v>47</v>
      </c>
      <c r="B1492" s="19">
        <v>44095</v>
      </c>
      <c r="C1492" s="1" t="s">
        <v>35</v>
      </c>
      <c r="D1492" t="s">
        <v>694</v>
      </c>
      <c r="E1492">
        <v>109</v>
      </c>
      <c r="F1492">
        <v>13</v>
      </c>
      <c r="G1492">
        <v>75</v>
      </c>
      <c r="H1492">
        <v>34098</v>
      </c>
    </row>
    <row r="1493" spans="1:8" x14ac:dyDescent="0.25">
      <c r="A1493">
        <v>47</v>
      </c>
      <c r="B1493" s="19">
        <v>45074</v>
      </c>
      <c r="C1493" s="1" t="s">
        <v>34</v>
      </c>
      <c r="D1493" t="s">
        <v>694</v>
      </c>
      <c r="E1493">
        <v>103</v>
      </c>
      <c r="F1493">
        <v>11</v>
      </c>
      <c r="G1493">
        <v>91</v>
      </c>
      <c r="H1493">
        <v>31409</v>
      </c>
    </row>
    <row r="1494" spans="1:8" x14ac:dyDescent="0.25">
      <c r="A1494">
        <v>47</v>
      </c>
      <c r="B1494" s="19">
        <v>44019</v>
      </c>
      <c r="C1494" s="1" t="s">
        <v>33</v>
      </c>
      <c r="D1494" t="s">
        <v>694</v>
      </c>
      <c r="E1494">
        <v>105</v>
      </c>
      <c r="F1494">
        <v>12</v>
      </c>
      <c r="G1494">
        <v>42</v>
      </c>
      <c r="H1494">
        <v>42540</v>
      </c>
    </row>
    <row r="1495" spans="1:8" x14ac:dyDescent="0.25">
      <c r="A1495">
        <v>47</v>
      </c>
      <c r="B1495" s="19">
        <v>45098</v>
      </c>
      <c r="C1495" s="1" t="s">
        <v>35</v>
      </c>
      <c r="D1495" t="s">
        <v>694</v>
      </c>
      <c r="E1495">
        <v>105</v>
      </c>
      <c r="F1495">
        <v>14</v>
      </c>
      <c r="G1495">
        <v>17</v>
      </c>
      <c r="H1495">
        <v>18784</v>
      </c>
    </row>
    <row r="1496" spans="1:8" x14ac:dyDescent="0.25">
      <c r="A1496">
        <v>47</v>
      </c>
      <c r="B1496" s="19">
        <v>44914</v>
      </c>
      <c r="C1496" s="1" t="s">
        <v>35</v>
      </c>
      <c r="D1496" t="s">
        <v>694</v>
      </c>
      <c r="E1496">
        <v>104</v>
      </c>
      <c r="F1496">
        <v>13</v>
      </c>
      <c r="G1496">
        <v>48</v>
      </c>
      <c r="H1496">
        <v>39805</v>
      </c>
    </row>
    <row r="1497" spans="1:8" x14ac:dyDescent="0.25">
      <c r="A1497">
        <v>48</v>
      </c>
      <c r="B1497" s="19">
        <v>44487</v>
      </c>
      <c r="C1497" s="1" t="s">
        <v>34</v>
      </c>
      <c r="D1497" t="s">
        <v>690</v>
      </c>
      <c r="E1497">
        <v>102</v>
      </c>
      <c r="F1497">
        <v>13</v>
      </c>
      <c r="G1497">
        <v>30</v>
      </c>
      <c r="H1497">
        <v>42778</v>
      </c>
    </row>
    <row r="1498" spans="1:8" x14ac:dyDescent="0.25">
      <c r="A1498">
        <v>48</v>
      </c>
      <c r="B1498" s="19">
        <v>45657</v>
      </c>
      <c r="C1498" s="1" t="s">
        <v>33</v>
      </c>
      <c r="D1498" t="s">
        <v>691</v>
      </c>
      <c r="E1498">
        <v>105</v>
      </c>
      <c r="F1498">
        <v>12</v>
      </c>
      <c r="G1498">
        <v>13</v>
      </c>
      <c r="H1498">
        <v>19188</v>
      </c>
    </row>
    <row r="1499" spans="1:8" x14ac:dyDescent="0.25">
      <c r="A1499">
        <v>48</v>
      </c>
      <c r="B1499" s="19">
        <v>45655</v>
      </c>
      <c r="C1499" s="1" t="s">
        <v>35</v>
      </c>
      <c r="D1499" t="s">
        <v>691</v>
      </c>
      <c r="E1499">
        <v>102</v>
      </c>
      <c r="F1499">
        <v>13</v>
      </c>
      <c r="G1499">
        <v>23</v>
      </c>
      <c r="H1499">
        <v>19549</v>
      </c>
    </row>
    <row r="1500" spans="1:8" x14ac:dyDescent="0.25">
      <c r="A1500">
        <v>48</v>
      </c>
      <c r="B1500" s="19">
        <v>45303</v>
      </c>
      <c r="C1500" s="1" t="s">
        <v>36</v>
      </c>
      <c r="D1500" t="s">
        <v>700</v>
      </c>
      <c r="E1500">
        <v>108</v>
      </c>
      <c r="F1500">
        <v>11</v>
      </c>
      <c r="G1500">
        <v>15</v>
      </c>
      <c r="H1500">
        <v>48765</v>
      </c>
    </row>
    <row r="1501" spans="1:8" x14ac:dyDescent="0.25">
      <c r="A1501">
        <v>48</v>
      </c>
      <c r="B1501" s="19">
        <v>43985</v>
      </c>
      <c r="C1501" s="1" t="s">
        <v>36</v>
      </c>
      <c r="D1501" t="s">
        <v>696</v>
      </c>
      <c r="E1501">
        <v>105</v>
      </c>
      <c r="F1501">
        <v>15</v>
      </c>
      <c r="G1501">
        <v>12</v>
      </c>
      <c r="H1501">
        <v>42070</v>
      </c>
    </row>
    <row r="1502" spans="1:8" x14ac:dyDescent="0.25">
      <c r="A1502">
        <v>48</v>
      </c>
      <c r="B1502" s="19">
        <v>45335</v>
      </c>
      <c r="C1502" s="1" t="s">
        <v>34</v>
      </c>
      <c r="D1502" t="s">
        <v>696</v>
      </c>
      <c r="E1502">
        <v>102</v>
      </c>
      <c r="F1502">
        <v>14</v>
      </c>
      <c r="G1502">
        <v>93</v>
      </c>
      <c r="H1502">
        <v>40473</v>
      </c>
    </row>
    <row r="1503" spans="1:8" x14ac:dyDescent="0.25">
      <c r="A1503">
        <v>48</v>
      </c>
      <c r="B1503" s="19">
        <v>45655</v>
      </c>
      <c r="C1503" s="1" t="s">
        <v>34</v>
      </c>
      <c r="D1503" t="s">
        <v>697</v>
      </c>
      <c r="E1503">
        <v>105</v>
      </c>
      <c r="F1503">
        <v>12</v>
      </c>
      <c r="G1503">
        <v>36</v>
      </c>
      <c r="H1503">
        <v>36244</v>
      </c>
    </row>
    <row r="1504" spans="1:8" x14ac:dyDescent="0.25">
      <c r="A1504">
        <v>48</v>
      </c>
      <c r="B1504" s="19">
        <v>44228</v>
      </c>
      <c r="C1504" s="1" t="s">
        <v>35</v>
      </c>
      <c r="D1504" t="s">
        <v>697</v>
      </c>
      <c r="E1504">
        <v>105</v>
      </c>
      <c r="F1504">
        <v>13</v>
      </c>
      <c r="G1504">
        <v>12</v>
      </c>
      <c r="H1504">
        <v>36440</v>
      </c>
    </row>
    <row r="1505" spans="1:8" x14ac:dyDescent="0.25">
      <c r="A1505">
        <v>48</v>
      </c>
      <c r="B1505" s="19">
        <v>44479</v>
      </c>
      <c r="C1505" s="1" t="s">
        <v>35</v>
      </c>
      <c r="D1505" t="s">
        <v>697</v>
      </c>
      <c r="E1505">
        <v>105</v>
      </c>
      <c r="F1505">
        <v>13</v>
      </c>
      <c r="G1505">
        <v>65</v>
      </c>
      <c r="H1505">
        <v>29058</v>
      </c>
    </row>
    <row r="1506" spans="1:8" x14ac:dyDescent="0.25">
      <c r="A1506">
        <v>48</v>
      </c>
      <c r="B1506" s="19">
        <v>45448</v>
      </c>
      <c r="C1506" s="1" t="s">
        <v>33</v>
      </c>
      <c r="D1506" t="s">
        <v>697</v>
      </c>
      <c r="E1506">
        <v>104</v>
      </c>
      <c r="F1506">
        <v>15</v>
      </c>
      <c r="G1506">
        <v>57</v>
      </c>
      <c r="H1506">
        <v>38679</v>
      </c>
    </row>
    <row r="1507" spans="1:8" x14ac:dyDescent="0.25">
      <c r="A1507">
        <v>48</v>
      </c>
      <c r="B1507" s="19">
        <v>44865</v>
      </c>
      <c r="C1507" s="1" t="s">
        <v>34</v>
      </c>
      <c r="D1507" t="s">
        <v>698</v>
      </c>
      <c r="E1507">
        <v>102</v>
      </c>
      <c r="F1507">
        <v>13</v>
      </c>
      <c r="G1507">
        <v>88</v>
      </c>
      <c r="H1507">
        <v>14181</v>
      </c>
    </row>
    <row r="1508" spans="1:8" x14ac:dyDescent="0.25">
      <c r="A1508">
        <v>48</v>
      </c>
      <c r="B1508" s="19">
        <v>44266</v>
      </c>
      <c r="C1508" s="1" t="s">
        <v>34</v>
      </c>
      <c r="D1508" t="s">
        <v>698</v>
      </c>
      <c r="E1508">
        <v>103</v>
      </c>
      <c r="F1508">
        <v>15</v>
      </c>
      <c r="G1508">
        <v>66</v>
      </c>
      <c r="H1508">
        <v>42402</v>
      </c>
    </row>
    <row r="1509" spans="1:8" x14ac:dyDescent="0.25">
      <c r="A1509">
        <v>48</v>
      </c>
      <c r="B1509" s="19">
        <v>44463</v>
      </c>
      <c r="C1509" s="1" t="s">
        <v>33</v>
      </c>
      <c r="D1509" t="s">
        <v>698</v>
      </c>
      <c r="E1509">
        <v>103</v>
      </c>
      <c r="F1509">
        <v>12</v>
      </c>
      <c r="G1509">
        <v>53</v>
      </c>
      <c r="H1509">
        <v>10599</v>
      </c>
    </row>
    <row r="1510" spans="1:8" x14ac:dyDescent="0.25">
      <c r="A1510">
        <v>48</v>
      </c>
      <c r="B1510" s="19">
        <v>44767</v>
      </c>
      <c r="C1510" s="1" t="s">
        <v>35</v>
      </c>
      <c r="D1510" t="s">
        <v>698</v>
      </c>
      <c r="E1510">
        <v>105</v>
      </c>
      <c r="F1510">
        <v>14</v>
      </c>
      <c r="G1510">
        <v>64</v>
      </c>
      <c r="H1510">
        <v>28494</v>
      </c>
    </row>
    <row r="1511" spans="1:8" x14ac:dyDescent="0.25">
      <c r="A1511">
        <v>48</v>
      </c>
      <c r="B1511" s="19">
        <v>45280</v>
      </c>
      <c r="C1511" s="1" t="s">
        <v>36</v>
      </c>
      <c r="D1511" t="s">
        <v>698</v>
      </c>
      <c r="E1511">
        <v>103</v>
      </c>
      <c r="F1511">
        <v>11</v>
      </c>
      <c r="G1511">
        <v>87</v>
      </c>
      <c r="H1511">
        <v>22937</v>
      </c>
    </row>
    <row r="1512" spans="1:8" x14ac:dyDescent="0.25">
      <c r="A1512">
        <v>48</v>
      </c>
      <c r="B1512" s="19">
        <v>44131</v>
      </c>
      <c r="C1512" s="1" t="s">
        <v>35</v>
      </c>
      <c r="D1512" t="s">
        <v>698</v>
      </c>
      <c r="E1512">
        <v>103</v>
      </c>
      <c r="F1512">
        <v>14</v>
      </c>
      <c r="G1512">
        <v>81</v>
      </c>
      <c r="H1512">
        <v>20948</v>
      </c>
    </row>
    <row r="1513" spans="1:8" x14ac:dyDescent="0.25">
      <c r="A1513">
        <v>48</v>
      </c>
      <c r="B1513" s="19">
        <v>43936</v>
      </c>
      <c r="C1513" s="1" t="s">
        <v>35</v>
      </c>
      <c r="D1513" t="s">
        <v>699</v>
      </c>
      <c r="E1513">
        <v>104</v>
      </c>
      <c r="F1513">
        <v>13</v>
      </c>
      <c r="G1513">
        <v>26</v>
      </c>
      <c r="H1513">
        <v>41325</v>
      </c>
    </row>
    <row r="1514" spans="1:8" x14ac:dyDescent="0.25">
      <c r="A1514">
        <v>48</v>
      </c>
      <c r="B1514" s="19">
        <v>45167</v>
      </c>
      <c r="C1514" s="1" t="s">
        <v>35</v>
      </c>
      <c r="D1514" t="s">
        <v>699</v>
      </c>
      <c r="E1514">
        <v>104</v>
      </c>
      <c r="F1514">
        <v>14</v>
      </c>
      <c r="G1514">
        <v>81</v>
      </c>
      <c r="H1514">
        <v>31766</v>
      </c>
    </row>
    <row r="1515" spans="1:8" x14ac:dyDescent="0.25">
      <c r="A1515">
        <v>48</v>
      </c>
      <c r="B1515" s="19">
        <v>45542</v>
      </c>
      <c r="C1515" s="1" t="s">
        <v>34</v>
      </c>
      <c r="D1515" t="s">
        <v>699</v>
      </c>
      <c r="E1515">
        <v>104</v>
      </c>
      <c r="F1515">
        <v>12</v>
      </c>
      <c r="G1515">
        <v>8</v>
      </c>
      <c r="H1515">
        <v>44065</v>
      </c>
    </row>
    <row r="1516" spans="1:8" x14ac:dyDescent="0.25">
      <c r="A1516">
        <v>48</v>
      </c>
      <c r="B1516" s="19">
        <v>45394</v>
      </c>
      <c r="C1516" s="1" t="s">
        <v>34</v>
      </c>
      <c r="D1516" t="s">
        <v>699</v>
      </c>
      <c r="E1516">
        <v>105</v>
      </c>
      <c r="F1516">
        <v>12</v>
      </c>
      <c r="G1516">
        <v>13</v>
      </c>
      <c r="H1516">
        <v>22432</v>
      </c>
    </row>
    <row r="1517" spans="1:8" x14ac:dyDescent="0.25">
      <c r="A1517">
        <v>48</v>
      </c>
      <c r="B1517" s="19">
        <v>43983</v>
      </c>
      <c r="C1517" s="1" t="s">
        <v>36</v>
      </c>
      <c r="D1517" t="s">
        <v>695</v>
      </c>
      <c r="E1517">
        <v>103</v>
      </c>
      <c r="F1517">
        <v>14</v>
      </c>
      <c r="G1517">
        <v>89</v>
      </c>
      <c r="H1517">
        <v>22825</v>
      </c>
    </row>
    <row r="1518" spans="1:8" x14ac:dyDescent="0.25">
      <c r="A1518">
        <v>48</v>
      </c>
      <c r="B1518" s="19">
        <v>45144</v>
      </c>
      <c r="C1518" s="1" t="s">
        <v>34</v>
      </c>
      <c r="D1518" t="s">
        <v>695</v>
      </c>
      <c r="E1518">
        <v>108</v>
      </c>
      <c r="F1518">
        <v>12</v>
      </c>
      <c r="G1518">
        <v>10</v>
      </c>
      <c r="H1518">
        <v>18864</v>
      </c>
    </row>
    <row r="1519" spans="1:8" x14ac:dyDescent="0.25">
      <c r="A1519">
        <v>48</v>
      </c>
      <c r="B1519" s="19">
        <v>44649</v>
      </c>
      <c r="C1519" s="1" t="s">
        <v>33</v>
      </c>
      <c r="D1519" t="s">
        <v>692</v>
      </c>
      <c r="E1519">
        <v>105</v>
      </c>
      <c r="F1519">
        <v>11</v>
      </c>
      <c r="G1519">
        <v>98</v>
      </c>
      <c r="H1519">
        <v>31554</v>
      </c>
    </row>
    <row r="1520" spans="1:8" x14ac:dyDescent="0.25">
      <c r="A1520">
        <v>48</v>
      </c>
      <c r="B1520" s="19">
        <v>44526</v>
      </c>
      <c r="C1520" s="1" t="s">
        <v>34</v>
      </c>
      <c r="D1520" t="s">
        <v>692</v>
      </c>
      <c r="E1520">
        <v>104</v>
      </c>
      <c r="F1520">
        <v>11</v>
      </c>
      <c r="G1520">
        <v>70</v>
      </c>
      <c r="H1520">
        <v>28577</v>
      </c>
    </row>
    <row r="1521" spans="1:8" x14ac:dyDescent="0.25">
      <c r="A1521">
        <v>48</v>
      </c>
      <c r="B1521" s="19">
        <v>43843</v>
      </c>
      <c r="C1521" s="1" t="s">
        <v>33</v>
      </c>
      <c r="D1521" t="s">
        <v>692</v>
      </c>
      <c r="E1521">
        <v>108</v>
      </c>
      <c r="F1521">
        <v>12</v>
      </c>
      <c r="G1521">
        <v>49</v>
      </c>
      <c r="H1521">
        <v>32525</v>
      </c>
    </row>
    <row r="1522" spans="1:8" x14ac:dyDescent="0.25">
      <c r="A1522">
        <v>48</v>
      </c>
      <c r="B1522" s="19">
        <v>45470</v>
      </c>
      <c r="C1522" s="1" t="s">
        <v>33</v>
      </c>
      <c r="D1522" t="s">
        <v>692</v>
      </c>
      <c r="E1522">
        <v>103</v>
      </c>
      <c r="F1522">
        <v>11</v>
      </c>
      <c r="G1522">
        <v>95</v>
      </c>
      <c r="H1522">
        <v>24034</v>
      </c>
    </row>
    <row r="1523" spans="1:8" x14ac:dyDescent="0.25">
      <c r="A1523">
        <v>48</v>
      </c>
      <c r="B1523" s="19">
        <v>44389</v>
      </c>
      <c r="C1523" s="1" t="s">
        <v>33</v>
      </c>
      <c r="D1523" t="s">
        <v>693</v>
      </c>
      <c r="E1523">
        <v>104</v>
      </c>
      <c r="F1523">
        <v>12</v>
      </c>
      <c r="G1523">
        <v>97</v>
      </c>
      <c r="H1523">
        <v>17188</v>
      </c>
    </row>
    <row r="1524" spans="1:8" x14ac:dyDescent="0.25">
      <c r="A1524">
        <v>48</v>
      </c>
      <c r="B1524" s="19">
        <v>44281</v>
      </c>
      <c r="C1524" s="1" t="s">
        <v>34</v>
      </c>
      <c r="D1524" t="s">
        <v>693</v>
      </c>
      <c r="E1524">
        <v>103</v>
      </c>
      <c r="F1524">
        <v>12</v>
      </c>
      <c r="G1524">
        <v>61</v>
      </c>
      <c r="H1524">
        <v>17754</v>
      </c>
    </row>
    <row r="1525" spans="1:8" x14ac:dyDescent="0.25">
      <c r="A1525">
        <v>48</v>
      </c>
      <c r="B1525" s="19">
        <v>44164</v>
      </c>
      <c r="C1525" s="1" t="s">
        <v>34</v>
      </c>
      <c r="D1525" t="s">
        <v>693</v>
      </c>
      <c r="E1525">
        <v>108</v>
      </c>
      <c r="F1525">
        <v>12</v>
      </c>
      <c r="G1525">
        <v>45</v>
      </c>
      <c r="H1525">
        <v>49974</v>
      </c>
    </row>
    <row r="1526" spans="1:8" x14ac:dyDescent="0.25">
      <c r="A1526">
        <v>48</v>
      </c>
      <c r="B1526" s="19">
        <v>44830</v>
      </c>
      <c r="C1526" s="1" t="s">
        <v>33</v>
      </c>
      <c r="D1526" t="s">
        <v>693</v>
      </c>
      <c r="E1526">
        <v>108</v>
      </c>
      <c r="F1526">
        <v>13</v>
      </c>
      <c r="G1526">
        <v>46</v>
      </c>
      <c r="H1526">
        <v>35903</v>
      </c>
    </row>
    <row r="1527" spans="1:8" x14ac:dyDescent="0.25">
      <c r="A1527">
        <v>48</v>
      </c>
      <c r="B1527" s="19">
        <v>44540</v>
      </c>
      <c r="C1527" s="1" t="s">
        <v>35</v>
      </c>
      <c r="D1527" t="s">
        <v>693</v>
      </c>
      <c r="E1527">
        <v>103</v>
      </c>
      <c r="F1527">
        <v>15</v>
      </c>
      <c r="G1527">
        <v>84</v>
      </c>
      <c r="H1527">
        <v>33139</v>
      </c>
    </row>
    <row r="1528" spans="1:8" x14ac:dyDescent="0.25">
      <c r="A1528">
        <v>48</v>
      </c>
      <c r="B1528" s="19">
        <v>44353</v>
      </c>
      <c r="C1528" s="1" t="s">
        <v>36</v>
      </c>
      <c r="D1528" t="s">
        <v>693</v>
      </c>
      <c r="E1528">
        <v>103</v>
      </c>
      <c r="F1528">
        <v>13</v>
      </c>
      <c r="G1528">
        <v>38</v>
      </c>
      <c r="H1528">
        <v>39791</v>
      </c>
    </row>
    <row r="1529" spans="1:8" x14ac:dyDescent="0.25">
      <c r="A1529">
        <v>48</v>
      </c>
      <c r="B1529" s="19">
        <v>44043</v>
      </c>
      <c r="C1529" s="1" t="s">
        <v>33</v>
      </c>
      <c r="D1529" t="s">
        <v>694</v>
      </c>
      <c r="E1529">
        <v>103</v>
      </c>
      <c r="F1529">
        <v>12</v>
      </c>
      <c r="G1529">
        <v>41</v>
      </c>
      <c r="H1529">
        <v>41827</v>
      </c>
    </row>
    <row r="1530" spans="1:8" x14ac:dyDescent="0.25">
      <c r="A1530">
        <v>48</v>
      </c>
      <c r="B1530" s="19">
        <v>44408</v>
      </c>
      <c r="C1530" s="1" t="s">
        <v>35</v>
      </c>
      <c r="D1530" t="s">
        <v>694</v>
      </c>
      <c r="E1530">
        <v>105</v>
      </c>
      <c r="F1530">
        <v>15</v>
      </c>
      <c r="G1530">
        <v>62</v>
      </c>
      <c r="H1530">
        <v>19450</v>
      </c>
    </row>
    <row r="1531" spans="1:8" x14ac:dyDescent="0.25">
      <c r="A1531">
        <v>48</v>
      </c>
      <c r="B1531" s="19">
        <v>45234</v>
      </c>
      <c r="C1531" s="1" t="s">
        <v>34</v>
      </c>
      <c r="D1531" t="s">
        <v>694</v>
      </c>
      <c r="E1531">
        <v>104</v>
      </c>
      <c r="F1531">
        <v>11</v>
      </c>
      <c r="G1531">
        <v>97</v>
      </c>
      <c r="H1531">
        <v>29618</v>
      </c>
    </row>
    <row r="1532" spans="1:8" x14ac:dyDescent="0.25">
      <c r="A1532">
        <v>48</v>
      </c>
      <c r="B1532" s="19">
        <v>44669</v>
      </c>
      <c r="C1532" s="1" t="s">
        <v>35</v>
      </c>
      <c r="D1532" t="s">
        <v>694</v>
      </c>
      <c r="E1532">
        <v>109</v>
      </c>
      <c r="F1532">
        <v>11</v>
      </c>
      <c r="G1532">
        <v>21</v>
      </c>
      <c r="H1532">
        <v>14911</v>
      </c>
    </row>
    <row r="1533" spans="1:8" x14ac:dyDescent="0.25">
      <c r="A1533">
        <v>49</v>
      </c>
      <c r="B1533" s="19">
        <v>44885</v>
      </c>
      <c r="C1533" s="1" t="s">
        <v>33</v>
      </c>
      <c r="D1533" t="s">
        <v>690</v>
      </c>
      <c r="E1533">
        <v>104</v>
      </c>
      <c r="F1533">
        <v>12</v>
      </c>
      <c r="G1533">
        <v>18</v>
      </c>
      <c r="H1533">
        <v>47875</v>
      </c>
    </row>
    <row r="1534" spans="1:8" x14ac:dyDescent="0.25">
      <c r="A1534">
        <v>49</v>
      </c>
      <c r="B1534" s="19">
        <v>45283</v>
      </c>
      <c r="C1534" s="1" t="s">
        <v>35</v>
      </c>
      <c r="D1534" t="s">
        <v>690</v>
      </c>
      <c r="E1534">
        <v>104</v>
      </c>
      <c r="F1534">
        <v>14</v>
      </c>
      <c r="G1534">
        <v>87</v>
      </c>
      <c r="H1534">
        <v>49309</v>
      </c>
    </row>
    <row r="1535" spans="1:8" x14ac:dyDescent="0.25">
      <c r="A1535">
        <v>49</v>
      </c>
      <c r="B1535" s="19">
        <v>44487</v>
      </c>
      <c r="C1535" s="1" t="s">
        <v>36</v>
      </c>
      <c r="D1535" t="s">
        <v>690</v>
      </c>
      <c r="E1535">
        <v>104</v>
      </c>
      <c r="F1535">
        <v>15</v>
      </c>
      <c r="G1535">
        <v>25</v>
      </c>
      <c r="H1535">
        <v>17562</v>
      </c>
    </row>
    <row r="1536" spans="1:8" x14ac:dyDescent="0.25">
      <c r="A1536">
        <v>49</v>
      </c>
      <c r="B1536" s="19">
        <v>44515</v>
      </c>
      <c r="C1536" s="1" t="s">
        <v>36</v>
      </c>
      <c r="D1536" t="s">
        <v>690</v>
      </c>
      <c r="E1536">
        <v>106</v>
      </c>
      <c r="F1536">
        <v>12</v>
      </c>
      <c r="G1536">
        <v>97</v>
      </c>
      <c r="H1536">
        <v>19740</v>
      </c>
    </row>
    <row r="1537" spans="1:8" x14ac:dyDescent="0.25">
      <c r="A1537">
        <v>49</v>
      </c>
      <c r="B1537" s="19">
        <v>45112</v>
      </c>
      <c r="C1537" s="1" t="s">
        <v>34</v>
      </c>
      <c r="D1537" t="s">
        <v>691</v>
      </c>
      <c r="E1537">
        <v>104</v>
      </c>
      <c r="F1537">
        <v>13</v>
      </c>
      <c r="G1537">
        <v>56</v>
      </c>
      <c r="H1537">
        <v>38762</v>
      </c>
    </row>
    <row r="1538" spans="1:8" x14ac:dyDescent="0.25">
      <c r="A1538">
        <v>49</v>
      </c>
      <c r="B1538" s="19">
        <v>44060</v>
      </c>
      <c r="C1538" s="1" t="s">
        <v>35</v>
      </c>
      <c r="D1538" t="s">
        <v>700</v>
      </c>
      <c r="E1538">
        <v>103</v>
      </c>
      <c r="F1538">
        <v>14</v>
      </c>
      <c r="G1538">
        <v>45</v>
      </c>
      <c r="H1538">
        <v>12646</v>
      </c>
    </row>
    <row r="1539" spans="1:8" x14ac:dyDescent="0.25">
      <c r="A1539">
        <v>49</v>
      </c>
      <c r="B1539" s="19">
        <v>44117</v>
      </c>
      <c r="C1539" s="1" t="s">
        <v>35</v>
      </c>
      <c r="D1539" t="s">
        <v>700</v>
      </c>
      <c r="E1539">
        <v>104</v>
      </c>
      <c r="F1539">
        <v>14</v>
      </c>
      <c r="G1539">
        <v>25</v>
      </c>
      <c r="H1539">
        <v>19726</v>
      </c>
    </row>
    <row r="1540" spans="1:8" x14ac:dyDescent="0.25">
      <c r="A1540">
        <v>49</v>
      </c>
      <c r="B1540" s="19">
        <v>44022</v>
      </c>
      <c r="C1540" s="1" t="s">
        <v>33</v>
      </c>
      <c r="D1540" t="s">
        <v>700</v>
      </c>
      <c r="E1540">
        <v>102</v>
      </c>
      <c r="F1540">
        <v>15</v>
      </c>
      <c r="G1540">
        <v>72</v>
      </c>
      <c r="H1540">
        <v>29241</v>
      </c>
    </row>
    <row r="1541" spans="1:8" x14ac:dyDescent="0.25">
      <c r="A1541">
        <v>49</v>
      </c>
      <c r="B1541" s="19">
        <v>44485</v>
      </c>
      <c r="C1541" s="1" t="s">
        <v>35</v>
      </c>
      <c r="D1541" t="s">
        <v>696</v>
      </c>
      <c r="E1541">
        <v>105</v>
      </c>
      <c r="F1541">
        <v>12</v>
      </c>
      <c r="G1541">
        <v>49</v>
      </c>
      <c r="H1541">
        <v>44402</v>
      </c>
    </row>
    <row r="1542" spans="1:8" x14ac:dyDescent="0.25">
      <c r="A1542">
        <v>49</v>
      </c>
      <c r="B1542" s="19">
        <v>44744</v>
      </c>
      <c r="C1542" s="1" t="s">
        <v>36</v>
      </c>
      <c r="D1542" t="s">
        <v>696</v>
      </c>
      <c r="E1542">
        <v>106</v>
      </c>
      <c r="F1542">
        <v>15</v>
      </c>
      <c r="G1542">
        <v>40</v>
      </c>
      <c r="H1542">
        <v>17047</v>
      </c>
    </row>
    <row r="1543" spans="1:8" x14ac:dyDescent="0.25">
      <c r="A1543">
        <v>49</v>
      </c>
      <c r="B1543" s="19">
        <v>44871</v>
      </c>
      <c r="C1543" s="1" t="s">
        <v>35</v>
      </c>
      <c r="D1543" t="s">
        <v>697</v>
      </c>
      <c r="E1543">
        <v>107</v>
      </c>
      <c r="F1543">
        <v>14</v>
      </c>
      <c r="G1543">
        <v>20</v>
      </c>
      <c r="H1543">
        <v>38960</v>
      </c>
    </row>
    <row r="1544" spans="1:8" x14ac:dyDescent="0.25">
      <c r="A1544">
        <v>49</v>
      </c>
      <c r="B1544" s="19">
        <v>44733</v>
      </c>
      <c r="C1544" s="1" t="s">
        <v>35</v>
      </c>
      <c r="D1544" t="s">
        <v>697</v>
      </c>
      <c r="E1544">
        <v>105</v>
      </c>
      <c r="F1544">
        <v>14</v>
      </c>
      <c r="G1544">
        <v>85</v>
      </c>
      <c r="H1544">
        <v>44095</v>
      </c>
    </row>
    <row r="1545" spans="1:8" x14ac:dyDescent="0.25">
      <c r="A1545">
        <v>49</v>
      </c>
      <c r="B1545" s="19">
        <v>44625</v>
      </c>
      <c r="C1545" s="1" t="s">
        <v>34</v>
      </c>
      <c r="D1545" t="s">
        <v>697</v>
      </c>
      <c r="E1545">
        <v>105</v>
      </c>
      <c r="F1545">
        <v>15</v>
      </c>
      <c r="G1545">
        <v>84</v>
      </c>
      <c r="H1545">
        <v>24654</v>
      </c>
    </row>
    <row r="1546" spans="1:8" x14ac:dyDescent="0.25">
      <c r="A1546">
        <v>49</v>
      </c>
      <c r="B1546" s="19">
        <v>45625</v>
      </c>
      <c r="C1546" s="1" t="s">
        <v>34</v>
      </c>
      <c r="D1546" t="s">
        <v>697</v>
      </c>
      <c r="E1546">
        <v>103</v>
      </c>
      <c r="F1546">
        <v>15</v>
      </c>
      <c r="G1546">
        <v>18</v>
      </c>
      <c r="H1546">
        <v>40973</v>
      </c>
    </row>
    <row r="1547" spans="1:8" x14ac:dyDescent="0.25">
      <c r="A1547">
        <v>49</v>
      </c>
      <c r="B1547" s="19">
        <v>44451</v>
      </c>
      <c r="C1547" s="1" t="s">
        <v>34</v>
      </c>
      <c r="D1547" t="s">
        <v>697</v>
      </c>
      <c r="E1547">
        <v>104</v>
      </c>
      <c r="F1547">
        <v>13</v>
      </c>
      <c r="G1547">
        <v>83</v>
      </c>
      <c r="H1547">
        <v>47726</v>
      </c>
    </row>
    <row r="1548" spans="1:8" x14ac:dyDescent="0.25">
      <c r="A1548">
        <v>49</v>
      </c>
      <c r="B1548" s="19">
        <v>44095</v>
      </c>
      <c r="C1548" s="1" t="s">
        <v>36</v>
      </c>
      <c r="D1548" t="s">
        <v>698</v>
      </c>
      <c r="E1548">
        <v>109</v>
      </c>
      <c r="F1548">
        <v>15</v>
      </c>
      <c r="G1548">
        <v>30</v>
      </c>
      <c r="H1548">
        <v>16033</v>
      </c>
    </row>
    <row r="1549" spans="1:8" x14ac:dyDescent="0.25">
      <c r="A1549">
        <v>49</v>
      </c>
      <c r="B1549" s="19">
        <v>44866</v>
      </c>
      <c r="C1549" s="1" t="s">
        <v>34</v>
      </c>
      <c r="D1549" t="s">
        <v>698</v>
      </c>
      <c r="E1549">
        <v>103</v>
      </c>
      <c r="F1549">
        <v>14</v>
      </c>
      <c r="G1549">
        <v>76</v>
      </c>
      <c r="H1549">
        <v>27007</v>
      </c>
    </row>
    <row r="1550" spans="1:8" x14ac:dyDescent="0.25">
      <c r="A1550">
        <v>49</v>
      </c>
      <c r="B1550" s="19">
        <v>45603</v>
      </c>
      <c r="C1550" s="1" t="s">
        <v>35</v>
      </c>
      <c r="D1550" t="s">
        <v>698</v>
      </c>
      <c r="E1550">
        <v>103</v>
      </c>
      <c r="F1550">
        <v>15</v>
      </c>
      <c r="G1550">
        <v>69</v>
      </c>
      <c r="H1550">
        <v>26826</v>
      </c>
    </row>
    <row r="1551" spans="1:8" x14ac:dyDescent="0.25">
      <c r="A1551">
        <v>49</v>
      </c>
      <c r="B1551" s="19">
        <v>45431</v>
      </c>
      <c r="C1551" s="1" t="s">
        <v>33</v>
      </c>
      <c r="D1551" t="s">
        <v>698</v>
      </c>
      <c r="E1551">
        <v>105</v>
      </c>
      <c r="F1551">
        <v>12</v>
      </c>
      <c r="G1551">
        <v>74</v>
      </c>
      <c r="H1551">
        <v>36090</v>
      </c>
    </row>
    <row r="1552" spans="1:8" x14ac:dyDescent="0.25">
      <c r="A1552">
        <v>49</v>
      </c>
      <c r="B1552" s="19">
        <v>44482</v>
      </c>
      <c r="C1552" s="1" t="s">
        <v>35</v>
      </c>
      <c r="D1552" t="s">
        <v>698</v>
      </c>
      <c r="E1552">
        <v>101</v>
      </c>
      <c r="F1552">
        <v>14</v>
      </c>
      <c r="G1552">
        <v>18</v>
      </c>
      <c r="H1552">
        <v>10001</v>
      </c>
    </row>
    <row r="1553" spans="1:8" x14ac:dyDescent="0.25">
      <c r="A1553">
        <v>49</v>
      </c>
      <c r="B1553" s="19">
        <v>44604</v>
      </c>
      <c r="C1553" s="1" t="s">
        <v>36</v>
      </c>
      <c r="D1553" t="s">
        <v>699</v>
      </c>
      <c r="E1553">
        <v>105</v>
      </c>
      <c r="F1553">
        <v>13</v>
      </c>
      <c r="G1553">
        <v>20</v>
      </c>
      <c r="H1553">
        <v>38552</v>
      </c>
    </row>
    <row r="1554" spans="1:8" x14ac:dyDescent="0.25">
      <c r="A1554">
        <v>49</v>
      </c>
      <c r="B1554" s="19">
        <v>45006</v>
      </c>
      <c r="C1554" s="1" t="s">
        <v>34</v>
      </c>
      <c r="D1554" t="s">
        <v>695</v>
      </c>
      <c r="E1554">
        <v>104</v>
      </c>
      <c r="F1554">
        <v>14</v>
      </c>
      <c r="G1554">
        <v>31</v>
      </c>
      <c r="H1554">
        <v>18276</v>
      </c>
    </row>
    <row r="1555" spans="1:8" x14ac:dyDescent="0.25">
      <c r="A1555">
        <v>49</v>
      </c>
      <c r="B1555" s="19">
        <v>43904</v>
      </c>
      <c r="C1555" s="1" t="s">
        <v>33</v>
      </c>
      <c r="D1555" t="s">
        <v>695</v>
      </c>
      <c r="E1555">
        <v>107</v>
      </c>
      <c r="F1555">
        <v>11</v>
      </c>
      <c r="G1555">
        <v>58</v>
      </c>
      <c r="H1555">
        <v>17593</v>
      </c>
    </row>
    <row r="1556" spans="1:8" x14ac:dyDescent="0.25">
      <c r="A1556">
        <v>49</v>
      </c>
      <c r="B1556" s="19">
        <v>45651</v>
      </c>
      <c r="C1556" s="1" t="s">
        <v>36</v>
      </c>
      <c r="D1556" t="s">
        <v>692</v>
      </c>
      <c r="E1556">
        <v>104</v>
      </c>
      <c r="F1556">
        <v>13</v>
      </c>
      <c r="G1556">
        <v>48</v>
      </c>
      <c r="H1556">
        <v>24778</v>
      </c>
    </row>
    <row r="1557" spans="1:8" x14ac:dyDescent="0.25">
      <c r="A1557">
        <v>49</v>
      </c>
      <c r="B1557" s="19">
        <v>43852</v>
      </c>
      <c r="C1557" s="1" t="s">
        <v>36</v>
      </c>
      <c r="D1557" t="s">
        <v>692</v>
      </c>
      <c r="E1557">
        <v>105</v>
      </c>
      <c r="F1557">
        <v>12</v>
      </c>
      <c r="G1557">
        <v>65</v>
      </c>
      <c r="H1557">
        <v>33656</v>
      </c>
    </row>
    <row r="1558" spans="1:8" x14ac:dyDescent="0.25">
      <c r="A1558">
        <v>49</v>
      </c>
      <c r="B1558" s="19">
        <v>43856</v>
      </c>
      <c r="C1558" s="1" t="s">
        <v>35</v>
      </c>
      <c r="D1558" t="s">
        <v>692</v>
      </c>
      <c r="E1558">
        <v>103</v>
      </c>
      <c r="F1558">
        <v>12</v>
      </c>
      <c r="G1558">
        <v>30</v>
      </c>
      <c r="H1558">
        <v>49343</v>
      </c>
    </row>
    <row r="1559" spans="1:8" x14ac:dyDescent="0.25">
      <c r="A1559">
        <v>49</v>
      </c>
      <c r="B1559" s="19">
        <v>45208</v>
      </c>
      <c r="C1559" s="1" t="s">
        <v>33</v>
      </c>
      <c r="D1559" t="s">
        <v>693</v>
      </c>
      <c r="E1559">
        <v>105</v>
      </c>
      <c r="F1559">
        <v>11</v>
      </c>
      <c r="G1559">
        <v>35</v>
      </c>
      <c r="H1559">
        <v>29391</v>
      </c>
    </row>
    <row r="1560" spans="1:8" x14ac:dyDescent="0.25">
      <c r="A1560">
        <v>49</v>
      </c>
      <c r="B1560" s="19">
        <v>44901</v>
      </c>
      <c r="C1560" s="1" t="s">
        <v>33</v>
      </c>
      <c r="D1560" t="s">
        <v>693</v>
      </c>
      <c r="E1560">
        <v>103</v>
      </c>
      <c r="F1560">
        <v>11</v>
      </c>
      <c r="G1560">
        <v>30</v>
      </c>
      <c r="H1560">
        <v>34825</v>
      </c>
    </row>
    <row r="1561" spans="1:8" x14ac:dyDescent="0.25">
      <c r="A1561">
        <v>49</v>
      </c>
      <c r="B1561" s="19">
        <v>43849</v>
      </c>
      <c r="C1561" s="1" t="s">
        <v>35</v>
      </c>
      <c r="D1561" t="s">
        <v>693</v>
      </c>
      <c r="E1561">
        <v>103</v>
      </c>
      <c r="F1561">
        <v>14</v>
      </c>
      <c r="G1561">
        <v>33</v>
      </c>
      <c r="H1561">
        <v>40445</v>
      </c>
    </row>
    <row r="1562" spans="1:8" x14ac:dyDescent="0.25">
      <c r="A1562">
        <v>49</v>
      </c>
      <c r="B1562" s="19">
        <v>44762</v>
      </c>
      <c r="C1562" s="1" t="s">
        <v>35</v>
      </c>
      <c r="D1562" t="s">
        <v>693</v>
      </c>
      <c r="E1562">
        <v>104</v>
      </c>
      <c r="F1562">
        <v>14</v>
      </c>
      <c r="G1562">
        <v>41</v>
      </c>
      <c r="H1562">
        <v>44903</v>
      </c>
    </row>
    <row r="1563" spans="1:8" x14ac:dyDescent="0.25">
      <c r="A1563">
        <v>49</v>
      </c>
      <c r="B1563" s="19">
        <v>44987</v>
      </c>
      <c r="C1563" s="1" t="s">
        <v>33</v>
      </c>
      <c r="D1563" t="s">
        <v>694</v>
      </c>
      <c r="E1563">
        <v>104</v>
      </c>
      <c r="F1563">
        <v>12</v>
      </c>
      <c r="G1563">
        <v>51</v>
      </c>
      <c r="H1563">
        <v>32306</v>
      </c>
    </row>
    <row r="1564" spans="1:8" x14ac:dyDescent="0.25">
      <c r="A1564">
        <v>49</v>
      </c>
      <c r="B1564" s="19">
        <v>45519</v>
      </c>
      <c r="C1564" s="1" t="s">
        <v>35</v>
      </c>
      <c r="D1564" t="s">
        <v>694</v>
      </c>
      <c r="E1564">
        <v>105</v>
      </c>
      <c r="F1564">
        <v>13</v>
      </c>
      <c r="G1564">
        <v>10</v>
      </c>
      <c r="H1564">
        <v>19821</v>
      </c>
    </row>
    <row r="1565" spans="1:8" x14ac:dyDescent="0.25">
      <c r="A1565">
        <v>50</v>
      </c>
      <c r="B1565" s="19">
        <v>43861</v>
      </c>
      <c r="C1565" s="1" t="s">
        <v>34</v>
      </c>
      <c r="D1565" t="s">
        <v>690</v>
      </c>
      <c r="E1565">
        <v>103</v>
      </c>
      <c r="F1565">
        <v>13</v>
      </c>
      <c r="G1565">
        <v>56</v>
      </c>
      <c r="H1565">
        <v>31716</v>
      </c>
    </row>
    <row r="1566" spans="1:8" x14ac:dyDescent="0.25">
      <c r="A1566">
        <v>50</v>
      </c>
      <c r="B1566" s="19">
        <v>45217</v>
      </c>
      <c r="C1566" s="1" t="s">
        <v>33</v>
      </c>
      <c r="D1566" t="s">
        <v>691</v>
      </c>
      <c r="E1566">
        <v>105</v>
      </c>
      <c r="F1566">
        <v>14</v>
      </c>
      <c r="G1566">
        <v>7</v>
      </c>
      <c r="H1566">
        <v>29873</v>
      </c>
    </row>
    <row r="1567" spans="1:8" x14ac:dyDescent="0.25">
      <c r="A1567">
        <v>50</v>
      </c>
      <c r="B1567" s="19">
        <v>44998</v>
      </c>
      <c r="C1567" s="1" t="s">
        <v>35</v>
      </c>
      <c r="D1567" t="s">
        <v>691</v>
      </c>
      <c r="E1567">
        <v>103</v>
      </c>
      <c r="F1567">
        <v>14</v>
      </c>
      <c r="G1567">
        <v>55</v>
      </c>
      <c r="H1567">
        <v>25545</v>
      </c>
    </row>
    <row r="1568" spans="1:8" x14ac:dyDescent="0.25">
      <c r="A1568">
        <v>50</v>
      </c>
      <c r="B1568" s="19">
        <v>44193</v>
      </c>
      <c r="C1568" s="1" t="s">
        <v>35</v>
      </c>
      <c r="D1568" t="s">
        <v>691</v>
      </c>
      <c r="E1568">
        <v>105</v>
      </c>
      <c r="F1568">
        <v>12</v>
      </c>
      <c r="G1568">
        <v>6</v>
      </c>
      <c r="H1568">
        <v>21721</v>
      </c>
    </row>
    <row r="1569" spans="1:8" x14ac:dyDescent="0.25">
      <c r="A1569">
        <v>50</v>
      </c>
      <c r="B1569" s="19">
        <v>44449</v>
      </c>
      <c r="C1569" s="1" t="s">
        <v>35</v>
      </c>
      <c r="D1569" t="s">
        <v>691</v>
      </c>
      <c r="E1569">
        <v>106</v>
      </c>
      <c r="F1569">
        <v>13</v>
      </c>
      <c r="G1569">
        <v>14</v>
      </c>
      <c r="H1569">
        <v>15191</v>
      </c>
    </row>
    <row r="1570" spans="1:8" x14ac:dyDescent="0.25">
      <c r="A1570">
        <v>50</v>
      </c>
      <c r="B1570" s="19">
        <v>44754</v>
      </c>
      <c r="C1570" s="1" t="s">
        <v>36</v>
      </c>
      <c r="D1570" t="s">
        <v>691</v>
      </c>
      <c r="E1570">
        <v>103</v>
      </c>
      <c r="F1570">
        <v>15</v>
      </c>
      <c r="G1570">
        <v>31</v>
      </c>
      <c r="H1570">
        <v>19858</v>
      </c>
    </row>
    <row r="1571" spans="1:8" x14ac:dyDescent="0.25">
      <c r="A1571">
        <v>50</v>
      </c>
      <c r="B1571" s="19">
        <v>44993</v>
      </c>
      <c r="C1571" s="1" t="s">
        <v>33</v>
      </c>
      <c r="D1571" t="s">
        <v>691</v>
      </c>
      <c r="E1571">
        <v>103</v>
      </c>
      <c r="F1571">
        <v>14</v>
      </c>
      <c r="G1571">
        <v>45</v>
      </c>
      <c r="H1571">
        <v>46299</v>
      </c>
    </row>
    <row r="1572" spans="1:8" x14ac:dyDescent="0.25">
      <c r="A1572">
        <v>50</v>
      </c>
      <c r="B1572" s="19">
        <v>44614</v>
      </c>
      <c r="C1572" s="1" t="s">
        <v>33</v>
      </c>
      <c r="D1572" t="s">
        <v>700</v>
      </c>
      <c r="E1572">
        <v>104</v>
      </c>
      <c r="F1572">
        <v>15</v>
      </c>
      <c r="G1572">
        <v>41</v>
      </c>
      <c r="H1572">
        <v>28680</v>
      </c>
    </row>
    <row r="1573" spans="1:8" x14ac:dyDescent="0.25">
      <c r="A1573">
        <v>50</v>
      </c>
      <c r="B1573" s="19">
        <v>44421</v>
      </c>
      <c r="C1573" s="1" t="s">
        <v>35</v>
      </c>
      <c r="D1573" t="s">
        <v>700</v>
      </c>
      <c r="E1573">
        <v>103</v>
      </c>
      <c r="F1573">
        <v>13</v>
      </c>
      <c r="G1573">
        <v>29</v>
      </c>
      <c r="H1573">
        <v>23161</v>
      </c>
    </row>
    <row r="1574" spans="1:8" x14ac:dyDescent="0.25">
      <c r="A1574">
        <v>50</v>
      </c>
      <c r="B1574" s="19">
        <v>44535</v>
      </c>
      <c r="C1574" s="1" t="s">
        <v>34</v>
      </c>
      <c r="D1574" t="s">
        <v>696</v>
      </c>
      <c r="E1574">
        <v>102</v>
      </c>
      <c r="F1574">
        <v>12</v>
      </c>
      <c r="G1574">
        <v>37</v>
      </c>
      <c r="H1574">
        <v>34554</v>
      </c>
    </row>
    <row r="1575" spans="1:8" x14ac:dyDescent="0.25">
      <c r="A1575">
        <v>50</v>
      </c>
      <c r="B1575" s="19">
        <v>44249</v>
      </c>
      <c r="C1575" s="1" t="s">
        <v>35</v>
      </c>
      <c r="D1575" t="s">
        <v>696</v>
      </c>
      <c r="E1575">
        <v>105</v>
      </c>
      <c r="F1575">
        <v>12</v>
      </c>
      <c r="G1575">
        <v>12</v>
      </c>
      <c r="H1575">
        <v>35943</v>
      </c>
    </row>
    <row r="1576" spans="1:8" x14ac:dyDescent="0.25">
      <c r="A1576">
        <v>50</v>
      </c>
      <c r="B1576" s="19">
        <v>44665</v>
      </c>
      <c r="C1576" s="1" t="s">
        <v>34</v>
      </c>
      <c r="D1576" t="s">
        <v>697</v>
      </c>
      <c r="E1576">
        <v>104</v>
      </c>
      <c r="F1576">
        <v>12</v>
      </c>
      <c r="G1576">
        <v>13</v>
      </c>
      <c r="H1576">
        <v>41336</v>
      </c>
    </row>
    <row r="1577" spans="1:8" x14ac:dyDescent="0.25">
      <c r="A1577">
        <v>50</v>
      </c>
      <c r="B1577" s="19">
        <v>45035</v>
      </c>
      <c r="C1577" s="1" t="s">
        <v>33</v>
      </c>
      <c r="D1577" t="s">
        <v>697</v>
      </c>
      <c r="E1577">
        <v>103</v>
      </c>
      <c r="F1577">
        <v>12</v>
      </c>
      <c r="G1577">
        <v>87</v>
      </c>
      <c r="H1577">
        <v>46887</v>
      </c>
    </row>
    <row r="1578" spans="1:8" x14ac:dyDescent="0.25">
      <c r="A1578">
        <v>50</v>
      </c>
      <c r="B1578" s="19">
        <v>45217</v>
      </c>
      <c r="C1578" s="1" t="s">
        <v>35</v>
      </c>
      <c r="D1578" t="s">
        <v>698</v>
      </c>
      <c r="E1578">
        <v>103</v>
      </c>
      <c r="F1578">
        <v>11</v>
      </c>
      <c r="G1578">
        <v>12</v>
      </c>
      <c r="H1578">
        <v>36002</v>
      </c>
    </row>
    <row r="1579" spans="1:8" x14ac:dyDescent="0.25">
      <c r="A1579">
        <v>50</v>
      </c>
      <c r="B1579" s="19">
        <v>45095</v>
      </c>
      <c r="C1579" s="1" t="s">
        <v>35</v>
      </c>
      <c r="D1579" t="s">
        <v>698</v>
      </c>
      <c r="E1579">
        <v>103</v>
      </c>
      <c r="F1579">
        <v>11</v>
      </c>
      <c r="G1579">
        <v>48</v>
      </c>
      <c r="H1579">
        <v>37593</v>
      </c>
    </row>
    <row r="1580" spans="1:8" x14ac:dyDescent="0.25">
      <c r="A1580">
        <v>50</v>
      </c>
      <c r="B1580" s="19">
        <v>45059</v>
      </c>
      <c r="C1580" s="1" t="s">
        <v>36</v>
      </c>
      <c r="D1580" t="s">
        <v>698</v>
      </c>
      <c r="E1580">
        <v>103</v>
      </c>
      <c r="F1580">
        <v>15</v>
      </c>
      <c r="G1580">
        <v>51</v>
      </c>
      <c r="H1580">
        <v>38126</v>
      </c>
    </row>
    <row r="1581" spans="1:8" x14ac:dyDescent="0.25">
      <c r="A1581">
        <v>50</v>
      </c>
      <c r="B1581" s="19">
        <v>44358</v>
      </c>
      <c r="C1581" s="1" t="s">
        <v>34</v>
      </c>
      <c r="D1581" t="s">
        <v>698</v>
      </c>
      <c r="E1581">
        <v>109</v>
      </c>
      <c r="F1581">
        <v>13</v>
      </c>
      <c r="G1581">
        <v>71</v>
      </c>
      <c r="H1581">
        <v>13357</v>
      </c>
    </row>
    <row r="1582" spans="1:8" x14ac:dyDescent="0.25">
      <c r="A1582">
        <v>50</v>
      </c>
      <c r="B1582" s="19">
        <v>44190</v>
      </c>
      <c r="C1582" s="1" t="s">
        <v>35</v>
      </c>
      <c r="D1582" t="s">
        <v>698</v>
      </c>
      <c r="E1582">
        <v>109</v>
      </c>
      <c r="F1582">
        <v>15</v>
      </c>
      <c r="G1582">
        <v>36</v>
      </c>
      <c r="H1582">
        <v>44971</v>
      </c>
    </row>
    <row r="1583" spans="1:8" x14ac:dyDescent="0.25">
      <c r="A1583">
        <v>50</v>
      </c>
      <c r="B1583" s="19">
        <v>44409</v>
      </c>
      <c r="C1583" s="1" t="s">
        <v>34</v>
      </c>
      <c r="D1583" t="s">
        <v>699</v>
      </c>
      <c r="E1583">
        <v>104</v>
      </c>
      <c r="F1583">
        <v>13</v>
      </c>
      <c r="G1583">
        <v>23</v>
      </c>
      <c r="H1583">
        <v>30700</v>
      </c>
    </row>
    <row r="1584" spans="1:8" x14ac:dyDescent="0.25">
      <c r="A1584">
        <v>50</v>
      </c>
      <c r="B1584" s="19">
        <v>44300</v>
      </c>
      <c r="C1584" s="1" t="s">
        <v>33</v>
      </c>
      <c r="D1584" t="s">
        <v>699</v>
      </c>
      <c r="E1584">
        <v>105</v>
      </c>
      <c r="F1584">
        <v>14</v>
      </c>
      <c r="G1584">
        <v>74</v>
      </c>
      <c r="H1584">
        <v>23730</v>
      </c>
    </row>
    <row r="1585" spans="1:8" x14ac:dyDescent="0.25">
      <c r="A1585">
        <v>50</v>
      </c>
      <c r="B1585" s="19">
        <v>45156</v>
      </c>
      <c r="C1585" s="1" t="s">
        <v>36</v>
      </c>
      <c r="D1585" t="s">
        <v>695</v>
      </c>
      <c r="E1585">
        <v>101</v>
      </c>
      <c r="F1585">
        <v>14</v>
      </c>
      <c r="G1585">
        <v>86</v>
      </c>
      <c r="H1585">
        <v>48471</v>
      </c>
    </row>
    <row r="1586" spans="1:8" x14ac:dyDescent="0.25">
      <c r="A1586">
        <v>50</v>
      </c>
      <c r="B1586" s="19">
        <v>45155</v>
      </c>
      <c r="C1586" s="1" t="s">
        <v>36</v>
      </c>
      <c r="D1586" t="s">
        <v>692</v>
      </c>
      <c r="E1586">
        <v>103</v>
      </c>
      <c r="F1586">
        <v>15</v>
      </c>
      <c r="G1586">
        <v>67</v>
      </c>
      <c r="H1586">
        <v>12659</v>
      </c>
    </row>
    <row r="1587" spans="1:8" x14ac:dyDescent="0.25">
      <c r="A1587">
        <v>50</v>
      </c>
      <c r="B1587" s="19">
        <v>44063</v>
      </c>
      <c r="C1587" s="1" t="s">
        <v>33</v>
      </c>
      <c r="D1587" t="s">
        <v>693</v>
      </c>
      <c r="E1587">
        <v>104</v>
      </c>
      <c r="F1587">
        <v>14</v>
      </c>
      <c r="G1587">
        <v>59</v>
      </c>
      <c r="H1587">
        <v>31995</v>
      </c>
    </row>
    <row r="1588" spans="1:8" x14ac:dyDescent="0.25">
      <c r="A1588">
        <v>50</v>
      </c>
      <c r="B1588" s="19">
        <v>44378</v>
      </c>
      <c r="C1588" s="1" t="s">
        <v>34</v>
      </c>
      <c r="D1588" t="s">
        <v>693</v>
      </c>
      <c r="E1588">
        <v>104</v>
      </c>
      <c r="F1588">
        <v>15</v>
      </c>
      <c r="G1588">
        <v>87</v>
      </c>
      <c r="H1588">
        <v>29870</v>
      </c>
    </row>
    <row r="1589" spans="1:8" x14ac:dyDescent="0.25">
      <c r="A1589">
        <v>50</v>
      </c>
      <c r="B1589" s="19">
        <v>44920</v>
      </c>
      <c r="C1589" s="1" t="s">
        <v>35</v>
      </c>
      <c r="D1589" t="s">
        <v>694</v>
      </c>
      <c r="E1589">
        <v>101</v>
      </c>
      <c r="F1589">
        <v>12</v>
      </c>
      <c r="G1589">
        <v>29</v>
      </c>
      <c r="H1589">
        <v>29373</v>
      </c>
    </row>
    <row r="1590" spans="1:8" x14ac:dyDescent="0.25">
      <c r="A1590">
        <v>50</v>
      </c>
      <c r="B1590" s="19">
        <v>44466</v>
      </c>
      <c r="C1590" s="1" t="s">
        <v>34</v>
      </c>
      <c r="D1590" t="s">
        <v>694</v>
      </c>
      <c r="E1590">
        <v>104</v>
      </c>
      <c r="F1590">
        <v>13</v>
      </c>
      <c r="G1590">
        <v>82</v>
      </c>
      <c r="H1590">
        <v>22031</v>
      </c>
    </row>
    <row r="1591" spans="1:8" x14ac:dyDescent="0.25">
      <c r="A1591">
        <v>51</v>
      </c>
      <c r="B1591" s="19">
        <v>44207</v>
      </c>
      <c r="C1591" s="1" t="s">
        <v>36</v>
      </c>
      <c r="D1591" t="s">
        <v>690</v>
      </c>
      <c r="E1591">
        <v>105</v>
      </c>
      <c r="F1591">
        <v>15</v>
      </c>
      <c r="G1591">
        <v>76</v>
      </c>
      <c r="H1591">
        <v>40466</v>
      </c>
    </row>
    <row r="1592" spans="1:8" x14ac:dyDescent="0.25">
      <c r="A1592">
        <v>51</v>
      </c>
      <c r="B1592" s="19">
        <v>44324</v>
      </c>
      <c r="C1592" s="1" t="s">
        <v>36</v>
      </c>
      <c r="D1592" t="s">
        <v>691</v>
      </c>
      <c r="E1592">
        <v>103</v>
      </c>
      <c r="F1592">
        <v>15</v>
      </c>
      <c r="G1592">
        <v>75</v>
      </c>
      <c r="H1592">
        <v>32959</v>
      </c>
    </row>
    <row r="1593" spans="1:8" x14ac:dyDescent="0.25">
      <c r="A1593">
        <v>51</v>
      </c>
      <c r="B1593" s="19">
        <v>45641</v>
      </c>
      <c r="C1593" s="1" t="s">
        <v>34</v>
      </c>
      <c r="D1593" t="s">
        <v>691</v>
      </c>
      <c r="E1593">
        <v>104</v>
      </c>
      <c r="F1593">
        <v>14</v>
      </c>
      <c r="G1593">
        <v>66</v>
      </c>
      <c r="H1593">
        <v>37238</v>
      </c>
    </row>
    <row r="1594" spans="1:8" x14ac:dyDescent="0.25">
      <c r="A1594">
        <v>51</v>
      </c>
      <c r="B1594" s="19">
        <v>45022</v>
      </c>
      <c r="C1594" s="1" t="s">
        <v>33</v>
      </c>
      <c r="D1594" t="s">
        <v>691</v>
      </c>
      <c r="E1594">
        <v>103</v>
      </c>
      <c r="F1594">
        <v>13</v>
      </c>
      <c r="G1594">
        <v>24</v>
      </c>
      <c r="H1594">
        <v>15780</v>
      </c>
    </row>
    <row r="1595" spans="1:8" x14ac:dyDescent="0.25">
      <c r="A1595">
        <v>51</v>
      </c>
      <c r="B1595" s="19">
        <v>44948</v>
      </c>
      <c r="C1595" s="1" t="s">
        <v>34</v>
      </c>
      <c r="D1595" t="s">
        <v>691</v>
      </c>
      <c r="E1595">
        <v>104</v>
      </c>
      <c r="F1595">
        <v>11</v>
      </c>
      <c r="G1595">
        <v>11</v>
      </c>
      <c r="H1595">
        <v>48446</v>
      </c>
    </row>
    <row r="1596" spans="1:8" x14ac:dyDescent="0.25">
      <c r="A1596">
        <v>51</v>
      </c>
      <c r="B1596" s="19">
        <v>45466</v>
      </c>
      <c r="C1596" s="1" t="s">
        <v>34</v>
      </c>
      <c r="D1596" t="s">
        <v>700</v>
      </c>
      <c r="E1596">
        <v>101</v>
      </c>
      <c r="F1596">
        <v>13</v>
      </c>
      <c r="G1596">
        <v>57</v>
      </c>
      <c r="H1596">
        <v>18526</v>
      </c>
    </row>
    <row r="1597" spans="1:8" x14ac:dyDescent="0.25">
      <c r="A1597">
        <v>51</v>
      </c>
      <c r="B1597" s="19">
        <v>44418</v>
      </c>
      <c r="C1597" s="1" t="s">
        <v>35</v>
      </c>
      <c r="D1597" t="s">
        <v>700</v>
      </c>
      <c r="E1597">
        <v>107</v>
      </c>
      <c r="F1597">
        <v>11</v>
      </c>
      <c r="G1597">
        <v>55</v>
      </c>
      <c r="H1597">
        <v>38572</v>
      </c>
    </row>
    <row r="1598" spans="1:8" x14ac:dyDescent="0.25">
      <c r="A1598">
        <v>51</v>
      </c>
      <c r="B1598" s="19">
        <v>44927</v>
      </c>
      <c r="C1598" s="1" t="s">
        <v>34</v>
      </c>
      <c r="D1598" t="s">
        <v>696</v>
      </c>
      <c r="E1598">
        <v>105</v>
      </c>
      <c r="F1598">
        <v>13</v>
      </c>
      <c r="G1598">
        <v>91</v>
      </c>
      <c r="H1598">
        <v>49673</v>
      </c>
    </row>
    <row r="1599" spans="1:8" x14ac:dyDescent="0.25">
      <c r="A1599">
        <v>51</v>
      </c>
      <c r="B1599" s="19">
        <v>44746</v>
      </c>
      <c r="C1599" s="1" t="s">
        <v>36</v>
      </c>
      <c r="D1599" t="s">
        <v>699</v>
      </c>
      <c r="E1599">
        <v>105</v>
      </c>
      <c r="F1599">
        <v>12</v>
      </c>
      <c r="G1599">
        <v>78</v>
      </c>
      <c r="H1599">
        <v>45656</v>
      </c>
    </row>
    <row r="1600" spans="1:8" x14ac:dyDescent="0.25">
      <c r="A1600">
        <v>51</v>
      </c>
      <c r="B1600" s="19">
        <v>45641</v>
      </c>
      <c r="C1600" s="1" t="s">
        <v>36</v>
      </c>
      <c r="D1600" t="s">
        <v>699</v>
      </c>
      <c r="E1600">
        <v>104</v>
      </c>
      <c r="F1600">
        <v>13</v>
      </c>
      <c r="G1600">
        <v>83</v>
      </c>
      <c r="H1600">
        <v>24042</v>
      </c>
    </row>
    <row r="1601" spans="1:8" x14ac:dyDescent="0.25">
      <c r="A1601">
        <v>51</v>
      </c>
      <c r="B1601" s="19">
        <v>44482</v>
      </c>
      <c r="C1601" s="1" t="s">
        <v>35</v>
      </c>
      <c r="D1601" t="s">
        <v>695</v>
      </c>
      <c r="E1601">
        <v>101</v>
      </c>
      <c r="F1601">
        <v>15</v>
      </c>
      <c r="G1601">
        <v>85</v>
      </c>
      <c r="H1601">
        <v>15993</v>
      </c>
    </row>
    <row r="1602" spans="1:8" x14ac:dyDescent="0.25">
      <c r="A1602">
        <v>51</v>
      </c>
      <c r="B1602" s="19">
        <v>44280</v>
      </c>
      <c r="C1602" s="1" t="s">
        <v>33</v>
      </c>
      <c r="D1602" t="s">
        <v>695</v>
      </c>
      <c r="E1602">
        <v>102</v>
      </c>
      <c r="F1602">
        <v>12</v>
      </c>
      <c r="G1602">
        <v>59</v>
      </c>
      <c r="H1602">
        <v>25414</v>
      </c>
    </row>
    <row r="1603" spans="1:8" x14ac:dyDescent="0.25">
      <c r="A1603">
        <v>51</v>
      </c>
      <c r="B1603" s="19">
        <v>44912</v>
      </c>
      <c r="C1603" s="1" t="s">
        <v>33</v>
      </c>
      <c r="D1603" t="s">
        <v>692</v>
      </c>
      <c r="E1603">
        <v>102</v>
      </c>
      <c r="F1603">
        <v>12</v>
      </c>
      <c r="G1603">
        <v>97</v>
      </c>
      <c r="H1603">
        <v>13165</v>
      </c>
    </row>
    <row r="1604" spans="1:8" x14ac:dyDescent="0.25">
      <c r="A1604">
        <v>51</v>
      </c>
      <c r="B1604" s="19">
        <v>44579</v>
      </c>
      <c r="C1604" s="1" t="s">
        <v>34</v>
      </c>
      <c r="D1604" t="s">
        <v>692</v>
      </c>
      <c r="E1604">
        <v>103</v>
      </c>
      <c r="F1604">
        <v>12</v>
      </c>
      <c r="G1604">
        <v>22</v>
      </c>
      <c r="H1604">
        <v>15925</v>
      </c>
    </row>
    <row r="1605" spans="1:8" x14ac:dyDescent="0.25">
      <c r="A1605">
        <v>51</v>
      </c>
      <c r="B1605" s="19">
        <v>45512</v>
      </c>
      <c r="C1605" s="1" t="s">
        <v>33</v>
      </c>
      <c r="D1605" t="s">
        <v>692</v>
      </c>
      <c r="E1605">
        <v>108</v>
      </c>
      <c r="F1605">
        <v>15</v>
      </c>
      <c r="G1605">
        <v>94</v>
      </c>
      <c r="H1605">
        <v>26586</v>
      </c>
    </row>
    <row r="1606" spans="1:8" x14ac:dyDescent="0.25">
      <c r="A1606">
        <v>51</v>
      </c>
      <c r="B1606" s="19">
        <v>44628</v>
      </c>
      <c r="C1606" s="1" t="s">
        <v>36</v>
      </c>
      <c r="D1606" t="s">
        <v>692</v>
      </c>
      <c r="E1606">
        <v>106</v>
      </c>
      <c r="F1606">
        <v>13</v>
      </c>
      <c r="G1606">
        <v>87</v>
      </c>
      <c r="H1606">
        <v>45670</v>
      </c>
    </row>
    <row r="1607" spans="1:8" x14ac:dyDescent="0.25">
      <c r="A1607">
        <v>51</v>
      </c>
      <c r="B1607" s="19">
        <v>45376</v>
      </c>
      <c r="C1607" s="1" t="s">
        <v>35</v>
      </c>
      <c r="D1607" t="s">
        <v>693</v>
      </c>
      <c r="E1607">
        <v>105</v>
      </c>
      <c r="F1607">
        <v>12</v>
      </c>
      <c r="G1607">
        <v>56</v>
      </c>
      <c r="H1607">
        <v>19979</v>
      </c>
    </row>
    <row r="1608" spans="1:8" x14ac:dyDescent="0.25">
      <c r="A1608">
        <v>51</v>
      </c>
      <c r="B1608" s="19">
        <v>44092</v>
      </c>
      <c r="C1608" s="1" t="s">
        <v>36</v>
      </c>
      <c r="D1608" t="s">
        <v>693</v>
      </c>
      <c r="E1608">
        <v>103</v>
      </c>
      <c r="F1608">
        <v>12</v>
      </c>
      <c r="G1608">
        <v>98</v>
      </c>
      <c r="H1608">
        <v>44663</v>
      </c>
    </row>
    <row r="1609" spans="1:8" x14ac:dyDescent="0.25">
      <c r="A1609">
        <v>51</v>
      </c>
      <c r="B1609" s="19">
        <v>43831</v>
      </c>
      <c r="C1609" s="1" t="s">
        <v>33</v>
      </c>
      <c r="D1609" t="s">
        <v>694</v>
      </c>
      <c r="E1609">
        <v>108</v>
      </c>
      <c r="F1609">
        <v>13</v>
      </c>
      <c r="G1609">
        <v>29</v>
      </c>
      <c r="H1609">
        <v>45668</v>
      </c>
    </row>
    <row r="1610" spans="1:8" x14ac:dyDescent="0.25">
      <c r="A1610">
        <v>52</v>
      </c>
      <c r="B1610" s="19">
        <v>45649</v>
      </c>
      <c r="C1610" s="1" t="s">
        <v>36</v>
      </c>
      <c r="D1610" t="s">
        <v>690</v>
      </c>
      <c r="E1610">
        <v>109</v>
      </c>
      <c r="F1610">
        <v>11</v>
      </c>
      <c r="G1610">
        <v>89</v>
      </c>
      <c r="H1610">
        <v>10027</v>
      </c>
    </row>
    <row r="1611" spans="1:8" x14ac:dyDescent="0.25">
      <c r="A1611">
        <v>52</v>
      </c>
      <c r="B1611" s="19">
        <v>44112</v>
      </c>
      <c r="C1611" s="1" t="s">
        <v>35</v>
      </c>
      <c r="D1611" t="s">
        <v>690</v>
      </c>
      <c r="E1611">
        <v>102</v>
      </c>
      <c r="F1611">
        <v>15</v>
      </c>
      <c r="G1611">
        <v>44</v>
      </c>
      <c r="H1611">
        <v>40602</v>
      </c>
    </row>
    <row r="1612" spans="1:8" x14ac:dyDescent="0.25">
      <c r="A1612">
        <v>52</v>
      </c>
      <c r="B1612" s="19">
        <v>44146</v>
      </c>
      <c r="C1612" s="1" t="s">
        <v>36</v>
      </c>
      <c r="D1612" t="s">
        <v>690</v>
      </c>
      <c r="E1612">
        <v>105</v>
      </c>
      <c r="F1612">
        <v>15</v>
      </c>
      <c r="G1612">
        <v>83</v>
      </c>
      <c r="H1612">
        <v>32002</v>
      </c>
    </row>
    <row r="1613" spans="1:8" x14ac:dyDescent="0.25">
      <c r="A1613">
        <v>52</v>
      </c>
      <c r="B1613" s="19">
        <v>44980</v>
      </c>
      <c r="C1613" s="1" t="s">
        <v>36</v>
      </c>
      <c r="D1613" t="s">
        <v>691</v>
      </c>
      <c r="E1613">
        <v>103</v>
      </c>
      <c r="F1613">
        <v>12</v>
      </c>
      <c r="G1613">
        <v>94</v>
      </c>
      <c r="H1613">
        <v>22647</v>
      </c>
    </row>
    <row r="1614" spans="1:8" x14ac:dyDescent="0.25">
      <c r="A1614">
        <v>52</v>
      </c>
      <c r="B1614" s="19">
        <v>45595</v>
      </c>
      <c r="C1614" s="1" t="s">
        <v>35</v>
      </c>
      <c r="D1614" t="s">
        <v>691</v>
      </c>
      <c r="E1614">
        <v>103</v>
      </c>
      <c r="F1614">
        <v>13</v>
      </c>
      <c r="G1614">
        <v>22</v>
      </c>
      <c r="H1614">
        <v>20020</v>
      </c>
    </row>
    <row r="1615" spans="1:8" x14ac:dyDescent="0.25">
      <c r="A1615">
        <v>52</v>
      </c>
      <c r="B1615" s="19">
        <v>44319</v>
      </c>
      <c r="C1615" s="1" t="s">
        <v>34</v>
      </c>
      <c r="D1615" t="s">
        <v>691</v>
      </c>
      <c r="E1615">
        <v>104</v>
      </c>
      <c r="F1615">
        <v>14</v>
      </c>
      <c r="G1615">
        <v>87</v>
      </c>
      <c r="H1615">
        <v>46166</v>
      </c>
    </row>
    <row r="1616" spans="1:8" x14ac:dyDescent="0.25">
      <c r="A1616">
        <v>52</v>
      </c>
      <c r="B1616" s="19">
        <v>45163</v>
      </c>
      <c r="C1616" s="1" t="s">
        <v>36</v>
      </c>
      <c r="D1616" t="s">
        <v>700</v>
      </c>
      <c r="E1616">
        <v>101</v>
      </c>
      <c r="F1616">
        <v>12</v>
      </c>
      <c r="G1616">
        <v>83</v>
      </c>
      <c r="H1616">
        <v>39794</v>
      </c>
    </row>
    <row r="1617" spans="1:8" x14ac:dyDescent="0.25">
      <c r="A1617">
        <v>52</v>
      </c>
      <c r="B1617" s="19">
        <v>45226</v>
      </c>
      <c r="C1617" s="1" t="s">
        <v>36</v>
      </c>
      <c r="D1617" t="s">
        <v>700</v>
      </c>
      <c r="E1617">
        <v>106</v>
      </c>
      <c r="F1617">
        <v>13</v>
      </c>
      <c r="G1617">
        <v>49</v>
      </c>
      <c r="H1617">
        <v>28063</v>
      </c>
    </row>
    <row r="1618" spans="1:8" x14ac:dyDescent="0.25">
      <c r="A1618">
        <v>52</v>
      </c>
      <c r="B1618" s="19">
        <v>44269</v>
      </c>
      <c r="C1618" s="1" t="s">
        <v>34</v>
      </c>
      <c r="D1618" t="s">
        <v>700</v>
      </c>
      <c r="E1618">
        <v>106</v>
      </c>
      <c r="F1618">
        <v>15</v>
      </c>
      <c r="G1618">
        <v>55</v>
      </c>
      <c r="H1618">
        <v>47516</v>
      </c>
    </row>
    <row r="1619" spans="1:8" x14ac:dyDescent="0.25">
      <c r="A1619">
        <v>52</v>
      </c>
      <c r="B1619" s="19">
        <v>44458</v>
      </c>
      <c r="C1619" s="1" t="s">
        <v>35</v>
      </c>
      <c r="D1619" t="s">
        <v>696</v>
      </c>
      <c r="E1619">
        <v>104</v>
      </c>
      <c r="F1619">
        <v>14</v>
      </c>
      <c r="G1619">
        <v>44</v>
      </c>
      <c r="H1619">
        <v>49559</v>
      </c>
    </row>
    <row r="1620" spans="1:8" x14ac:dyDescent="0.25">
      <c r="A1620">
        <v>52</v>
      </c>
      <c r="B1620" s="19">
        <v>44156</v>
      </c>
      <c r="C1620" s="1" t="s">
        <v>34</v>
      </c>
      <c r="D1620" t="s">
        <v>696</v>
      </c>
      <c r="E1620">
        <v>105</v>
      </c>
      <c r="F1620">
        <v>15</v>
      </c>
      <c r="G1620">
        <v>100</v>
      </c>
      <c r="H1620">
        <v>44474</v>
      </c>
    </row>
    <row r="1621" spans="1:8" x14ac:dyDescent="0.25">
      <c r="A1621">
        <v>52</v>
      </c>
      <c r="B1621" s="19">
        <v>45307</v>
      </c>
      <c r="C1621" s="1" t="s">
        <v>34</v>
      </c>
      <c r="D1621" t="s">
        <v>697</v>
      </c>
      <c r="E1621">
        <v>104</v>
      </c>
      <c r="F1621">
        <v>12</v>
      </c>
      <c r="G1621">
        <v>98</v>
      </c>
      <c r="H1621">
        <v>32222</v>
      </c>
    </row>
    <row r="1622" spans="1:8" x14ac:dyDescent="0.25">
      <c r="A1622">
        <v>52</v>
      </c>
      <c r="B1622" s="19">
        <v>45276</v>
      </c>
      <c r="C1622" s="1" t="s">
        <v>34</v>
      </c>
      <c r="D1622" t="s">
        <v>698</v>
      </c>
      <c r="E1622">
        <v>105</v>
      </c>
      <c r="F1622">
        <v>13</v>
      </c>
      <c r="G1622">
        <v>29</v>
      </c>
      <c r="H1622">
        <v>47087</v>
      </c>
    </row>
    <row r="1623" spans="1:8" x14ac:dyDescent="0.25">
      <c r="A1623">
        <v>52</v>
      </c>
      <c r="B1623" s="19">
        <v>44889</v>
      </c>
      <c r="C1623" s="1" t="s">
        <v>36</v>
      </c>
      <c r="D1623" t="s">
        <v>698</v>
      </c>
      <c r="E1623">
        <v>109</v>
      </c>
      <c r="F1623">
        <v>12</v>
      </c>
      <c r="G1623">
        <v>12</v>
      </c>
      <c r="H1623">
        <v>18681</v>
      </c>
    </row>
    <row r="1624" spans="1:8" x14ac:dyDescent="0.25">
      <c r="A1624">
        <v>52</v>
      </c>
      <c r="B1624" s="19">
        <v>44624</v>
      </c>
      <c r="C1624" s="1" t="s">
        <v>33</v>
      </c>
      <c r="D1624" t="s">
        <v>698</v>
      </c>
      <c r="E1624">
        <v>104</v>
      </c>
      <c r="F1624">
        <v>13</v>
      </c>
      <c r="G1624">
        <v>15</v>
      </c>
      <c r="H1624">
        <v>28762</v>
      </c>
    </row>
    <row r="1625" spans="1:8" x14ac:dyDescent="0.25">
      <c r="A1625">
        <v>52</v>
      </c>
      <c r="B1625" s="19">
        <v>44088</v>
      </c>
      <c r="C1625" s="1" t="s">
        <v>35</v>
      </c>
      <c r="D1625" t="s">
        <v>698</v>
      </c>
      <c r="E1625">
        <v>103</v>
      </c>
      <c r="F1625">
        <v>13</v>
      </c>
      <c r="G1625">
        <v>95</v>
      </c>
      <c r="H1625">
        <v>16068</v>
      </c>
    </row>
    <row r="1626" spans="1:8" x14ac:dyDescent="0.25">
      <c r="A1626">
        <v>52</v>
      </c>
      <c r="B1626" s="19">
        <v>44093</v>
      </c>
      <c r="C1626" s="1" t="s">
        <v>35</v>
      </c>
      <c r="D1626" t="s">
        <v>699</v>
      </c>
      <c r="E1626">
        <v>105</v>
      </c>
      <c r="F1626">
        <v>11</v>
      </c>
      <c r="G1626">
        <v>99</v>
      </c>
      <c r="H1626">
        <v>20754</v>
      </c>
    </row>
    <row r="1627" spans="1:8" x14ac:dyDescent="0.25">
      <c r="A1627">
        <v>52</v>
      </c>
      <c r="B1627" s="19">
        <v>44175</v>
      </c>
      <c r="C1627" s="1" t="s">
        <v>36</v>
      </c>
      <c r="D1627" t="s">
        <v>699</v>
      </c>
      <c r="E1627">
        <v>107</v>
      </c>
      <c r="F1627">
        <v>13</v>
      </c>
      <c r="G1627">
        <v>57</v>
      </c>
      <c r="H1627">
        <v>29620</v>
      </c>
    </row>
    <row r="1628" spans="1:8" x14ac:dyDescent="0.25">
      <c r="A1628">
        <v>52</v>
      </c>
      <c r="B1628" s="19">
        <v>44223</v>
      </c>
      <c r="C1628" s="1" t="s">
        <v>34</v>
      </c>
      <c r="D1628" t="s">
        <v>695</v>
      </c>
      <c r="E1628">
        <v>105</v>
      </c>
      <c r="F1628">
        <v>11</v>
      </c>
      <c r="G1628">
        <v>98</v>
      </c>
      <c r="H1628">
        <v>31921</v>
      </c>
    </row>
    <row r="1629" spans="1:8" x14ac:dyDescent="0.25">
      <c r="A1629">
        <v>52</v>
      </c>
      <c r="B1629" s="19">
        <v>44748</v>
      </c>
      <c r="C1629" s="1" t="s">
        <v>33</v>
      </c>
      <c r="D1629" t="s">
        <v>695</v>
      </c>
      <c r="E1629">
        <v>104</v>
      </c>
      <c r="F1629">
        <v>13</v>
      </c>
      <c r="G1629">
        <v>33</v>
      </c>
      <c r="H1629">
        <v>29111</v>
      </c>
    </row>
    <row r="1630" spans="1:8" x14ac:dyDescent="0.25">
      <c r="A1630">
        <v>52</v>
      </c>
      <c r="B1630" s="19">
        <v>45187</v>
      </c>
      <c r="C1630" s="1" t="s">
        <v>36</v>
      </c>
      <c r="D1630" t="s">
        <v>695</v>
      </c>
      <c r="E1630">
        <v>105</v>
      </c>
      <c r="F1630">
        <v>14</v>
      </c>
      <c r="G1630">
        <v>95</v>
      </c>
      <c r="H1630">
        <v>44171</v>
      </c>
    </row>
    <row r="1631" spans="1:8" x14ac:dyDescent="0.25">
      <c r="A1631">
        <v>52</v>
      </c>
      <c r="B1631" s="19">
        <v>44134</v>
      </c>
      <c r="C1631" s="1" t="s">
        <v>35</v>
      </c>
      <c r="D1631" t="s">
        <v>695</v>
      </c>
      <c r="E1631">
        <v>103</v>
      </c>
      <c r="F1631">
        <v>12</v>
      </c>
      <c r="G1631">
        <v>49</v>
      </c>
      <c r="H1631">
        <v>10305</v>
      </c>
    </row>
    <row r="1632" spans="1:8" x14ac:dyDescent="0.25">
      <c r="A1632">
        <v>52</v>
      </c>
      <c r="B1632" s="19">
        <v>45094</v>
      </c>
      <c r="C1632" s="1" t="s">
        <v>33</v>
      </c>
      <c r="D1632" t="s">
        <v>695</v>
      </c>
      <c r="E1632">
        <v>108</v>
      </c>
      <c r="F1632">
        <v>11</v>
      </c>
      <c r="G1632">
        <v>26</v>
      </c>
      <c r="H1632">
        <v>26723</v>
      </c>
    </row>
    <row r="1633" spans="1:8" x14ac:dyDescent="0.25">
      <c r="A1633">
        <v>52</v>
      </c>
      <c r="B1633" s="19">
        <v>44001</v>
      </c>
      <c r="C1633" s="1" t="s">
        <v>34</v>
      </c>
      <c r="D1633" t="s">
        <v>695</v>
      </c>
      <c r="E1633">
        <v>105</v>
      </c>
      <c r="F1633">
        <v>15</v>
      </c>
      <c r="G1633">
        <v>16</v>
      </c>
      <c r="H1633">
        <v>16056</v>
      </c>
    </row>
    <row r="1634" spans="1:8" x14ac:dyDescent="0.25">
      <c r="A1634">
        <v>52</v>
      </c>
      <c r="B1634" s="19">
        <v>45474</v>
      </c>
      <c r="C1634" s="1" t="s">
        <v>35</v>
      </c>
      <c r="D1634" t="s">
        <v>692</v>
      </c>
      <c r="E1634">
        <v>105</v>
      </c>
      <c r="F1634">
        <v>12</v>
      </c>
      <c r="G1634">
        <v>50</v>
      </c>
      <c r="H1634">
        <v>11587</v>
      </c>
    </row>
    <row r="1635" spans="1:8" x14ac:dyDescent="0.25">
      <c r="A1635">
        <v>52</v>
      </c>
      <c r="B1635" s="19">
        <v>45247</v>
      </c>
      <c r="C1635" s="1" t="s">
        <v>36</v>
      </c>
      <c r="D1635" t="s">
        <v>692</v>
      </c>
      <c r="E1635">
        <v>105</v>
      </c>
      <c r="F1635">
        <v>13</v>
      </c>
      <c r="G1635">
        <v>67</v>
      </c>
      <c r="H1635">
        <v>30537</v>
      </c>
    </row>
    <row r="1636" spans="1:8" x14ac:dyDescent="0.25">
      <c r="A1636">
        <v>52</v>
      </c>
      <c r="B1636" s="19">
        <v>44076</v>
      </c>
      <c r="C1636" s="1" t="s">
        <v>33</v>
      </c>
      <c r="D1636" t="s">
        <v>693</v>
      </c>
      <c r="E1636">
        <v>107</v>
      </c>
      <c r="F1636">
        <v>14</v>
      </c>
      <c r="G1636">
        <v>20</v>
      </c>
      <c r="H1636">
        <v>30173</v>
      </c>
    </row>
    <row r="1637" spans="1:8" x14ac:dyDescent="0.25">
      <c r="A1637">
        <v>52</v>
      </c>
      <c r="B1637" s="19">
        <v>44736</v>
      </c>
      <c r="C1637" s="1" t="s">
        <v>33</v>
      </c>
      <c r="D1637" t="s">
        <v>693</v>
      </c>
      <c r="E1637">
        <v>104</v>
      </c>
      <c r="F1637">
        <v>13</v>
      </c>
      <c r="G1637">
        <v>82</v>
      </c>
      <c r="H1637">
        <v>13072</v>
      </c>
    </row>
    <row r="1638" spans="1:8" x14ac:dyDescent="0.25">
      <c r="A1638">
        <v>52</v>
      </c>
      <c r="B1638" s="19">
        <v>44260</v>
      </c>
      <c r="C1638" s="1" t="s">
        <v>34</v>
      </c>
      <c r="D1638" t="s">
        <v>693</v>
      </c>
      <c r="E1638">
        <v>108</v>
      </c>
      <c r="F1638">
        <v>12</v>
      </c>
      <c r="G1638">
        <v>37</v>
      </c>
      <c r="H1638">
        <v>17106</v>
      </c>
    </row>
    <row r="1639" spans="1:8" x14ac:dyDescent="0.25">
      <c r="A1639">
        <v>52</v>
      </c>
      <c r="B1639" s="19">
        <v>43969</v>
      </c>
      <c r="C1639" s="1" t="s">
        <v>35</v>
      </c>
      <c r="D1639" t="s">
        <v>693</v>
      </c>
      <c r="E1639">
        <v>105</v>
      </c>
      <c r="F1639">
        <v>11</v>
      </c>
      <c r="G1639">
        <v>52</v>
      </c>
      <c r="H1639">
        <v>16345</v>
      </c>
    </row>
    <row r="1640" spans="1:8" x14ac:dyDescent="0.25">
      <c r="A1640">
        <v>52</v>
      </c>
      <c r="B1640" s="19">
        <v>45255</v>
      </c>
      <c r="C1640" s="1" t="s">
        <v>35</v>
      </c>
      <c r="D1640" t="s">
        <v>694</v>
      </c>
      <c r="E1640">
        <v>103</v>
      </c>
      <c r="F1640">
        <v>14</v>
      </c>
      <c r="G1640">
        <v>96</v>
      </c>
      <c r="H1640">
        <v>20321</v>
      </c>
    </row>
    <row r="1641" spans="1:8" x14ac:dyDescent="0.25">
      <c r="A1641">
        <v>52</v>
      </c>
      <c r="B1641" s="19">
        <v>43864</v>
      </c>
      <c r="C1641" s="1" t="s">
        <v>35</v>
      </c>
      <c r="D1641" t="s">
        <v>694</v>
      </c>
      <c r="E1641">
        <v>109</v>
      </c>
      <c r="F1641">
        <v>13</v>
      </c>
      <c r="G1641">
        <v>81</v>
      </c>
      <c r="H1641">
        <v>38043</v>
      </c>
    </row>
    <row r="1642" spans="1:8" x14ac:dyDescent="0.25">
      <c r="A1642">
        <v>52</v>
      </c>
      <c r="B1642" s="19">
        <v>44617</v>
      </c>
      <c r="C1642" s="1" t="s">
        <v>35</v>
      </c>
      <c r="D1642" t="s">
        <v>694</v>
      </c>
      <c r="E1642">
        <v>104</v>
      </c>
      <c r="F1642">
        <v>12</v>
      </c>
      <c r="G1642">
        <v>15</v>
      </c>
      <c r="H1642">
        <v>33213</v>
      </c>
    </row>
    <row r="1643" spans="1:8" x14ac:dyDescent="0.25">
      <c r="A1643">
        <v>52</v>
      </c>
      <c r="B1643" s="19">
        <v>44002</v>
      </c>
      <c r="C1643" s="1" t="s">
        <v>34</v>
      </c>
      <c r="D1643" t="s">
        <v>694</v>
      </c>
      <c r="E1643">
        <v>104</v>
      </c>
      <c r="F1643">
        <v>12</v>
      </c>
      <c r="G1643">
        <v>32</v>
      </c>
      <c r="H1643">
        <v>38951</v>
      </c>
    </row>
    <row r="1644" spans="1:8" x14ac:dyDescent="0.25">
      <c r="A1644">
        <v>53</v>
      </c>
      <c r="B1644" s="19">
        <v>44349</v>
      </c>
      <c r="C1644" s="1" t="s">
        <v>33</v>
      </c>
      <c r="D1644" t="s">
        <v>690</v>
      </c>
      <c r="E1644">
        <v>101</v>
      </c>
      <c r="F1644">
        <v>11</v>
      </c>
      <c r="G1644">
        <v>75</v>
      </c>
      <c r="H1644">
        <v>36124</v>
      </c>
    </row>
    <row r="1645" spans="1:8" x14ac:dyDescent="0.25">
      <c r="A1645">
        <v>53</v>
      </c>
      <c r="B1645" s="19">
        <v>44111</v>
      </c>
      <c r="C1645" s="1" t="s">
        <v>34</v>
      </c>
      <c r="D1645" t="s">
        <v>690</v>
      </c>
      <c r="E1645">
        <v>108</v>
      </c>
      <c r="F1645">
        <v>12</v>
      </c>
      <c r="G1645">
        <v>87</v>
      </c>
      <c r="H1645">
        <v>14001</v>
      </c>
    </row>
    <row r="1646" spans="1:8" x14ac:dyDescent="0.25">
      <c r="A1646">
        <v>53</v>
      </c>
      <c r="B1646" s="19">
        <v>44276</v>
      </c>
      <c r="C1646" s="1" t="s">
        <v>35</v>
      </c>
      <c r="D1646" t="s">
        <v>691</v>
      </c>
      <c r="E1646">
        <v>104</v>
      </c>
      <c r="F1646">
        <v>14</v>
      </c>
      <c r="G1646">
        <v>6</v>
      </c>
      <c r="H1646">
        <v>26240</v>
      </c>
    </row>
    <row r="1647" spans="1:8" x14ac:dyDescent="0.25">
      <c r="A1647">
        <v>53</v>
      </c>
      <c r="B1647" s="19">
        <v>45614</v>
      </c>
      <c r="C1647" s="1" t="s">
        <v>35</v>
      </c>
      <c r="D1647" t="s">
        <v>691</v>
      </c>
      <c r="E1647">
        <v>105</v>
      </c>
      <c r="F1647">
        <v>11</v>
      </c>
      <c r="G1647">
        <v>95</v>
      </c>
      <c r="H1647">
        <v>20104</v>
      </c>
    </row>
    <row r="1648" spans="1:8" x14ac:dyDescent="0.25">
      <c r="A1648">
        <v>53</v>
      </c>
      <c r="B1648" s="19">
        <v>43867</v>
      </c>
      <c r="C1648" s="1" t="s">
        <v>35</v>
      </c>
      <c r="D1648" t="s">
        <v>691</v>
      </c>
      <c r="E1648">
        <v>103</v>
      </c>
      <c r="F1648">
        <v>11</v>
      </c>
      <c r="G1648">
        <v>79</v>
      </c>
      <c r="H1648">
        <v>10478</v>
      </c>
    </row>
    <row r="1649" spans="1:8" x14ac:dyDescent="0.25">
      <c r="A1649">
        <v>53</v>
      </c>
      <c r="B1649" s="19">
        <v>45322</v>
      </c>
      <c r="C1649" s="1" t="s">
        <v>35</v>
      </c>
      <c r="D1649" t="s">
        <v>691</v>
      </c>
      <c r="E1649">
        <v>103</v>
      </c>
      <c r="F1649">
        <v>11</v>
      </c>
      <c r="G1649">
        <v>70</v>
      </c>
      <c r="H1649">
        <v>35771</v>
      </c>
    </row>
    <row r="1650" spans="1:8" x14ac:dyDescent="0.25">
      <c r="A1650">
        <v>53</v>
      </c>
      <c r="B1650" s="19">
        <v>45445</v>
      </c>
      <c r="C1650" s="1" t="s">
        <v>34</v>
      </c>
      <c r="D1650" t="s">
        <v>691</v>
      </c>
      <c r="E1650">
        <v>109</v>
      </c>
      <c r="F1650">
        <v>13</v>
      </c>
      <c r="G1650">
        <v>8</v>
      </c>
      <c r="H1650">
        <v>18574</v>
      </c>
    </row>
    <row r="1651" spans="1:8" x14ac:dyDescent="0.25">
      <c r="A1651">
        <v>53</v>
      </c>
      <c r="B1651" s="19">
        <v>44609</v>
      </c>
      <c r="C1651" s="1" t="s">
        <v>34</v>
      </c>
      <c r="D1651" t="s">
        <v>691</v>
      </c>
      <c r="E1651">
        <v>105</v>
      </c>
      <c r="F1651">
        <v>11</v>
      </c>
      <c r="G1651">
        <v>47</v>
      </c>
      <c r="H1651">
        <v>26843</v>
      </c>
    </row>
    <row r="1652" spans="1:8" x14ac:dyDescent="0.25">
      <c r="A1652">
        <v>53</v>
      </c>
      <c r="B1652" s="19">
        <v>44185</v>
      </c>
      <c r="C1652" s="1" t="s">
        <v>35</v>
      </c>
      <c r="D1652" t="s">
        <v>700</v>
      </c>
      <c r="E1652">
        <v>101</v>
      </c>
      <c r="F1652">
        <v>11</v>
      </c>
      <c r="G1652">
        <v>78</v>
      </c>
      <c r="H1652">
        <v>34337</v>
      </c>
    </row>
    <row r="1653" spans="1:8" x14ac:dyDescent="0.25">
      <c r="A1653">
        <v>53</v>
      </c>
      <c r="B1653" s="19">
        <v>44450</v>
      </c>
      <c r="C1653" s="1" t="s">
        <v>36</v>
      </c>
      <c r="D1653" t="s">
        <v>700</v>
      </c>
      <c r="E1653">
        <v>104</v>
      </c>
      <c r="F1653">
        <v>11</v>
      </c>
      <c r="G1653">
        <v>73</v>
      </c>
      <c r="H1653">
        <v>32245</v>
      </c>
    </row>
    <row r="1654" spans="1:8" x14ac:dyDescent="0.25">
      <c r="A1654">
        <v>53</v>
      </c>
      <c r="B1654" s="19">
        <v>45616</v>
      </c>
      <c r="C1654" s="1" t="s">
        <v>35</v>
      </c>
      <c r="D1654" t="s">
        <v>700</v>
      </c>
      <c r="E1654">
        <v>102</v>
      </c>
      <c r="F1654">
        <v>14</v>
      </c>
      <c r="G1654">
        <v>57</v>
      </c>
      <c r="H1654">
        <v>21303</v>
      </c>
    </row>
    <row r="1655" spans="1:8" x14ac:dyDescent="0.25">
      <c r="A1655">
        <v>53</v>
      </c>
      <c r="B1655" s="19">
        <v>44861</v>
      </c>
      <c r="C1655" s="1" t="s">
        <v>34</v>
      </c>
      <c r="D1655" t="s">
        <v>700</v>
      </c>
      <c r="E1655">
        <v>103</v>
      </c>
      <c r="F1655">
        <v>11</v>
      </c>
      <c r="G1655">
        <v>44</v>
      </c>
      <c r="H1655">
        <v>41165</v>
      </c>
    </row>
    <row r="1656" spans="1:8" x14ac:dyDescent="0.25">
      <c r="A1656">
        <v>53</v>
      </c>
      <c r="B1656" s="19">
        <v>44771</v>
      </c>
      <c r="C1656" s="1" t="s">
        <v>35</v>
      </c>
      <c r="D1656" t="s">
        <v>696</v>
      </c>
      <c r="E1656">
        <v>105</v>
      </c>
      <c r="F1656">
        <v>12</v>
      </c>
      <c r="G1656">
        <v>56</v>
      </c>
      <c r="H1656">
        <v>44112</v>
      </c>
    </row>
    <row r="1657" spans="1:8" x14ac:dyDescent="0.25">
      <c r="A1657">
        <v>53</v>
      </c>
      <c r="B1657" s="19">
        <v>45458</v>
      </c>
      <c r="C1657" s="1" t="s">
        <v>36</v>
      </c>
      <c r="D1657" t="s">
        <v>696</v>
      </c>
      <c r="E1657">
        <v>103</v>
      </c>
      <c r="F1657">
        <v>13</v>
      </c>
      <c r="G1657">
        <v>92</v>
      </c>
      <c r="H1657">
        <v>11595</v>
      </c>
    </row>
    <row r="1658" spans="1:8" x14ac:dyDescent="0.25">
      <c r="A1658">
        <v>53</v>
      </c>
      <c r="B1658" s="19">
        <v>44534</v>
      </c>
      <c r="C1658" s="1" t="s">
        <v>35</v>
      </c>
      <c r="D1658" t="s">
        <v>697</v>
      </c>
      <c r="E1658">
        <v>104</v>
      </c>
      <c r="F1658">
        <v>11</v>
      </c>
      <c r="G1658">
        <v>5</v>
      </c>
      <c r="H1658">
        <v>22521</v>
      </c>
    </row>
    <row r="1659" spans="1:8" x14ac:dyDescent="0.25">
      <c r="A1659">
        <v>53</v>
      </c>
      <c r="B1659" s="19">
        <v>44326</v>
      </c>
      <c r="C1659" s="1" t="s">
        <v>35</v>
      </c>
      <c r="D1659" t="s">
        <v>697</v>
      </c>
      <c r="E1659">
        <v>104</v>
      </c>
      <c r="F1659">
        <v>12</v>
      </c>
      <c r="G1659">
        <v>36</v>
      </c>
      <c r="H1659">
        <v>48354</v>
      </c>
    </row>
    <row r="1660" spans="1:8" x14ac:dyDescent="0.25">
      <c r="A1660">
        <v>53</v>
      </c>
      <c r="B1660" s="19">
        <v>44995</v>
      </c>
      <c r="C1660" s="1" t="s">
        <v>34</v>
      </c>
      <c r="D1660" t="s">
        <v>697</v>
      </c>
      <c r="E1660">
        <v>104</v>
      </c>
      <c r="F1660">
        <v>11</v>
      </c>
      <c r="G1660">
        <v>6</v>
      </c>
      <c r="H1660">
        <v>11699</v>
      </c>
    </row>
    <row r="1661" spans="1:8" x14ac:dyDescent="0.25">
      <c r="A1661">
        <v>53</v>
      </c>
      <c r="B1661" s="19">
        <v>45088</v>
      </c>
      <c r="C1661" s="1" t="s">
        <v>35</v>
      </c>
      <c r="D1661" t="s">
        <v>697</v>
      </c>
      <c r="E1661">
        <v>105</v>
      </c>
      <c r="F1661">
        <v>14</v>
      </c>
      <c r="G1661">
        <v>8</v>
      </c>
      <c r="H1661">
        <v>43064</v>
      </c>
    </row>
    <row r="1662" spans="1:8" x14ac:dyDescent="0.25">
      <c r="A1662">
        <v>53</v>
      </c>
      <c r="B1662" s="19">
        <v>45448</v>
      </c>
      <c r="C1662" s="1" t="s">
        <v>35</v>
      </c>
      <c r="D1662" t="s">
        <v>697</v>
      </c>
      <c r="E1662">
        <v>104</v>
      </c>
      <c r="F1662">
        <v>13</v>
      </c>
      <c r="G1662">
        <v>87</v>
      </c>
      <c r="H1662">
        <v>45277</v>
      </c>
    </row>
    <row r="1663" spans="1:8" x14ac:dyDescent="0.25">
      <c r="A1663">
        <v>53</v>
      </c>
      <c r="B1663" s="19">
        <v>44401</v>
      </c>
      <c r="C1663" s="1" t="s">
        <v>33</v>
      </c>
      <c r="D1663" t="s">
        <v>697</v>
      </c>
      <c r="E1663">
        <v>101</v>
      </c>
      <c r="F1663">
        <v>11</v>
      </c>
      <c r="G1663">
        <v>47</v>
      </c>
      <c r="H1663">
        <v>17508</v>
      </c>
    </row>
    <row r="1664" spans="1:8" x14ac:dyDescent="0.25">
      <c r="A1664">
        <v>53</v>
      </c>
      <c r="B1664" s="19">
        <v>44073</v>
      </c>
      <c r="C1664" s="1" t="s">
        <v>35</v>
      </c>
      <c r="D1664" t="s">
        <v>697</v>
      </c>
      <c r="E1664">
        <v>104</v>
      </c>
      <c r="F1664">
        <v>12</v>
      </c>
      <c r="G1664">
        <v>14</v>
      </c>
      <c r="H1664">
        <v>36738</v>
      </c>
    </row>
    <row r="1665" spans="1:8" x14ac:dyDescent="0.25">
      <c r="A1665">
        <v>53</v>
      </c>
      <c r="B1665" s="19">
        <v>44897</v>
      </c>
      <c r="C1665" s="1" t="s">
        <v>33</v>
      </c>
      <c r="D1665" t="s">
        <v>698</v>
      </c>
      <c r="E1665">
        <v>105</v>
      </c>
      <c r="F1665">
        <v>13</v>
      </c>
      <c r="G1665">
        <v>72</v>
      </c>
      <c r="H1665">
        <v>30330</v>
      </c>
    </row>
    <row r="1666" spans="1:8" x14ac:dyDescent="0.25">
      <c r="A1666">
        <v>53</v>
      </c>
      <c r="B1666" s="19">
        <v>44823</v>
      </c>
      <c r="C1666" s="1" t="s">
        <v>35</v>
      </c>
      <c r="D1666" t="s">
        <v>698</v>
      </c>
      <c r="E1666">
        <v>105</v>
      </c>
      <c r="F1666">
        <v>15</v>
      </c>
      <c r="G1666">
        <v>12</v>
      </c>
      <c r="H1666">
        <v>46437</v>
      </c>
    </row>
    <row r="1667" spans="1:8" x14ac:dyDescent="0.25">
      <c r="A1667">
        <v>53</v>
      </c>
      <c r="B1667" s="19">
        <v>45119</v>
      </c>
      <c r="C1667" s="1" t="s">
        <v>36</v>
      </c>
      <c r="D1667" t="s">
        <v>698</v>
      </c>
      <c r="E1667">
        <v>108</v>
      </c>
      <c r="F1667">
        <v>14</v>
      </c>
      <c r="G1667">
        <v>50</v>
      </c>
      <c r="H1667">
        <v>42805</v>
      </c>
    </row>
    <row r="1668" spans="1:8" x14ac:dyDescent="0.25">
      <c r="A1668">
        <v>53</v>
      </c>
      <c r="B1668" s="19">
        <v>45011</v>
      </c>
      <c r="C1668" s="1" t="s">
        <v>35</v>
      </c>
      <c r="D1668" t="s">
        <v>698</v>
      </c>
      <c r="E1668">
        <v>103</v>
      </c>
      <c r="F1668">
        <v>13</v>
      </c>
      <c r="G1668">
        <v>43</v>
      </c>
      <c r="H1668">
        <v>12272</v>
      </c>
    </row>
    <row r="1669" spans="1:8" x14ac:dyDescent="0.25">
      <c r="A1669">
        <v>53</v>
      </c>
      <c r="B1669" s="19">
        <v>44585</v>
      </c>
      <c r="C1669" s="1" t="s">
        <v>34</v>
      </c>
      <c r="D1669" t="s">
        <v>698</v>
      </c>
      <c r="E1669">
        <v>105</v>
      </c>
      <c r="F1669">
        <v>11</v>
      </c>
      <c r="G1669">
        <v>83</v>
      </c>
      <c r="H1669">
        <v>26301</v>
      </c>
    </row>
    <row r="1670" spans="1:8" x14ac:dyDescent="0.25">
      <c r="A1670">
        <v>53</v>
      </c>
      <c r="B1670" s="19">
        <v>44546</v>
      </c>
      <c r="C1670" s="1" t="s">
        <v>33</v>
      </c>
      <c r="D1670" t="s">
        <v>699</v>
      </c>
      <c r="E1670">
        <v>105</v>
      </c>
      <c r="F1670">
        <v>12</v>
      </c>
      <c r="G1670">
        <v>28</v>
      </c>
      <c r="H1670">
        <v>41144</v>
      </c>
    </row>
    <row r="1671" spans="1:8" x14ac:dyDescent="0.25">
      <c r="A1671">
        <v>53</v>
      </c>
      <c r="B1671" s="19">
        <v>44812</v>
      </c>
      <c r="C1671" s="1" t="s">
        <v>33</v>
      </c>
      <c r="D1671" t="s">
        <v>699</v>
      </c>
      <c r="E1671">
        <v>103</v>
      </c>
      <c r="F1671">
        <v>12</v>
      </c>
      <c r="G1671">
        <v>31</v>
      </c>
      <c r="H1671">
        <v>45686</v>
      </c>
    </row>
    <row r="1672" spans="1:8" x14ac:dyDescent="0.25">
      <c r="A1672">
        <v>53</v>
      </c>
      <c r="B1672" s="19">
        <v>45482</v>
      </c>
      <c r="C1672" s="1" t="s">
        <v>35</v>
      </c>
      <c r="D1672" t="s">
        <v>699</v>
      </c>
      <c r="E1672">
        <v>101</v>
      </c>
      <c r="F1672">
        <v>12</v>
      </c>
      <c r="G1672">
        <v>92</v>
      </c>
      <c r="H1672">
        <v>29145</v>
      </c>
    </row>
    <row r="1673" spans="1:8" x14ac:dyDescent="0.25">
      <c r="A1673">
        <v>53</v>
      </c>
      <c r="B1673" s="19">
        <v>45051</v>
      </c>
      <c r="C1673" s="1" t="s">
        <v>36</v>
      </c>
      <c r="D1673" t="s">
        <v>695</v>
      </c>
      <c r="E1673">
        <v>104</v>
      </c>
      <c r="F1673">
        <v>14</v>
      </c>
      <c r="G1673">
        <v>80</v>
      </c>
      <c r="H1673">
        <v>23579</v>
      </c>
    </row>
    <row r="1674" spans="1:8" x14ac:dyDescent="0.25">
      <c r="A1674">
        <v>53</v>
      </c>
      <c r="B1674" s="19">
        <v>44077</v>
      </c>
      <c r="C1674" s="1" t="s">
        <v>34</v>
      </c>
      <c r="D1674" t="s">
        <v>695</v>
      </c>
      <c r="E1674">
        <v>104</v>
      </c>
      <c r="F1674">
        <v>12</v>
      </c>
      <c r="G1674">
        <v>82</v>
      </c>
      <c r="H1674">
        <v>46458</v>
      </c>
    </row>
    <row r="1675" spans="1:8" x14ac:dyDescent="0.25">
      <c r="A1675">
        <v>53</v>
      </c>
      <c r="B1675" s="19">
        <v>44417</v>
      </c>
      <c r="C1675" s="1" t="s">
        <v>36</v>
      </c>
      <c r="D1675" t="s">
        <v>695</v>
      </c>
      <c r="E1675">
        <v>103</v>
      </c>
      <c r="F1675">
        <v>15</v>
      </c>
      <c r="G1675">
        <v>18</v>
      </c>
      <c r="H1675">
        <v>32415</v>
      </c>
    </row>
    <row r="1676" spans="1:8" x14ac:dyDescent="0.25">
      <c r="A1676">
        <v>53</v>
      </c>
      <c r="B1676" s="19">
        <v>44608</v>
      </c>
      <c r="C1676" s="1" t="s">
        <v>34</v>
      </c>
      <c r="D1676" t="s">
        <v>695</v>
      </c>
      <c r="E1676">
        <v>101</v>
      </c>
      <c r="F1676">
        <v>11</v>
      </c>
      <c r="G1676">
        <v>100</v>
      </c>
      <c r="H1676">
        <v>21440</v>
      </c>
    </row>
    <row r="1677" spans="1:8" x14ac:dyDescent="0.25">
      <c r="A1677">
        <v>53</v>
      </c>
      <c r="B1677" s="19">
        <v>43915</v>
      </c>
      <c r="C1677" s="1" t="s">
        <v>35</v>
      </c>
      <c r="D1677" t="s">
        <v>695</v>
      </c>
      <c r="E1677">
        <v>105</v>
      </c>
      <c r="F1677">
        <v>11</v>
      </c>
      <c r="G1677">
        <v>25</v>
      </c>
      <c r="H1677">
        <v>13261</v>
      </c>
    </row>
    <row r="1678" spans="1:8" x14ac:dyDescent="0.25">
      <c r="A1678">
        <v>53</v>
      </c>
      <c r="B1678" s="19">
        <v>45236</v>
      </c>
      <c r="C1678" s="1" t="s">
        <v>36</v>
      </c>
      <c r="D1678" t="s">
        <v>695</v>
      </c>
      <c r="E1678">
        <v>105</v>
      </c>
      <c r="F1678">
        <v>11</v>
      </c>
      <c r="G1678">
        <v>82</v>
      </c>
      <c r="H1678">
        <v>41515</v>
      </c>
    </row>
    <row r="1679" spans="1:8" x14ac:dyDescent="0.25">
      <c r="A1679">
        <v>53</v>
      </c>
      <c r="B1679" s="19">
        <v>45434</v>
      </c>
      <c r="C1679" s="1" t="s">
        <v>36</v>
      </c>
      <c r="D1679" t="s">
        <v>695</v>
      </c>
      <c r="E1679">
        <v>105</v>
      </c>
      <c r="F1679">
        <v>15</v>
      </c>
      <c r="G1679">
        <v>57</v>
      </c>
      <c r="H1679">
        <v>18657</v>
      </c>
    </row>
    <row r="1680" spans="1:8" x14ac:dyDescent="0.25">
      <c r="A1680">
        <v>53</v>
      </c>
      <c r="B1680" s="19">
        <v>44178</v>
      </c>
      <c r="C1680" s="1" t="s">
        <v>34</v>
      </c>
      <c r="D1680" t="s">
        <v>692</v>
      </c>
      <c r="E1680">
        <v>102</v>
      </c>
      <c r="F1680">
        <v>12</v>
      </c>
      <c r="G1680">
        <v>87</v>
      </c>
      <c r="H1680">
        <v>12440</v>
      </c>
    </row>
    <row r="1681" spans="1:8" x14ac:dyDescent="0.25">
      <c r="A1681">
        <v>53</v>
      </c>
      <c r="B1681" s="19">
        <v>45012</v>
      </c>
      <c r="C1681" s="1" t="s">
        <v>35</v>
      </c>
      <c r="D1681" t="s">
        <v>692</v>
      </c>
      <c r="E1681">
        <v>105</v>
      </c>
      <c r="F1681">
        <v>11</v>
      </c>
      <c r="G1681">
        <v>15</v>
      </c>
      <c r="H1681">
        <v>42652</v>
      </c>
    </row>
    <row r="1682" spans="1:8" x14ac:dyDescent="0.25">
      <c r="A1682">
        <v>53</v>
      </c>
      <c r="B1682" s="19">
        <v>45528</v>
      </c>
      <c r="C1682" s="1" t="s">
        <v>35</v>
      </c>
      <c r="D1682" t="s">
        <v>692</v>
      </c>
      <c r="E1682">
        <v>107</v>
      </c>
      <c r="F1682">
        <v>11</v>
      </c>
      <c r="G1682">
        <v>84</v>
      </c>
      <c r="H1682">
        <v>18718</v>
      </c>
    </row>
    <row r="1683" spans="1:8" x14ac:dyDescent="0.25">
      <c r="A1683">
        <v>53</v>
      </c>
      <c r="B1683" s="19">
        <v>44228</v>
      </c>
      <c r="C1683" s="1" t="s">
        <v>33</v>
      </c>
      <c r="D1683" t="s">
        <v>692</v>
      </c>
      <c r="E1683">
        <v>104</v>
      </c>
      <c r="F1683">
        <v>12</v>
      </c>
      <c r="G1683">
        <v>73</v>
      </c>
      <c r="H1683">
        <v>39492</v>
      </c>
    </row>
    <row r="1684" spans="1:8" x14ac:dyDescent="0.25">
      <c r="A1684">
        <v>53</v>
      </c>
      <c r="B1684" s="19">
        <v>43954</v>
      </c>
      <c r="C1684" s="1" t="s">
        <v>33</v>
      </c>
      <c r="D1684" t="s">
        <v>692</v>
      </c>
      <c r="E1684">
        <v>104</v>
      </c>
      <c r="F1684">
        <v>14</v>
      </c>
      <c r="G1684">
        <v>62</v>
      </c>
      <c r="H1684">
        <v>16903</v>
      </c>
    </row>
    <row r="1685" spans="1:8" x14ac:dyDescent="0.25">
      <c r="A1685">
        <v>53</v>
      </c>
      <c r="B1685" s="19">
        <v>45428</v>
      </c>
      <c r="C1685" s="1" t="s">
        <v>34</v>
      </c>
      <c r="D1685" t="s">
        <v>693</v>
      </c>
      <c r="E1685">
        <v>105</v>
      </c>
      <c r="F1685">
        <v>15</v>
      </c>
      <c r="G1685">
        <v>24</v>
      </c>
      <c r="H1685">
        <v>39447</v>
      </c>
    </row>
    <row r="1686" spans="1:8" x14ac:dyDescent="0.25">
      <c r="A1686">
        <v>53</v>
      </c>
      <c r="B1686" s="19">
        <v>45646</v>
      </c>
      <c r="C1686" s="1" t="s">
        <v>33</v>
      </c>
      <c r="D1686" t="s">
        <v>693</v>
      </c>
      <c r="E1686">
        <v>105</v>
      </c>
      <c r="F1686">
        <v>12</v>
      </c>
      <c r="G1686">
        <v>86</v>
      </c>
      <c r="H1686">
        <v>19550</v>
      </c>
    </row>
    <row r="1687" spans="1:8" x14ac:dyDescent="0.25">
      <c r="A1687">
        <v>53</v>
      </c>
      <c r="B1687" s="19">
        <v>45295</v>
      </c>
      <c r="C1687" s="1" t="s">
        <v>33</v>
      </c>
      <c r="D1687" t="s">
        <v>694</v>
      </c>
      <c r="E1687">
        <v>105</v>
      </c>
      <c r="F1687">
        <v>15</v>
      </c>
      <c r="G1687">
        <v>51</v>
      </c>
      <c r="H1687">
        <v>46641</v>
      </c>
    </row>
    <row r="1688" spans="1:8" x14ac:dyDescent="0.25">
      <c r="A1688">
        <v>53</v>
      </c>
      <c r="B1688" s="19">
        <v>44807</v>
      </c>
      <c r="C1688" s="1" t="s">
        <v>36</v>
      </c>
      <c r="D1688" t="s">
        <v>694</v>
      </c>
      <c r="E1688">
        <v>104</v>
      </c>
      <c r="F1688">
        <v>12</v>
      </c>
      <c r="G1688">
        <v>51</v>
      </c>
      <c r="H1688">
        <v>43707</v>
      </c>
    </row>
    <row r="1689" spans="1:8" x14ac:dyDescent="0.25">
      <c r="A1689">
        <v>53</v>
      </c>
      <c r="B1689" s="19">
        <v>45082</v>
      </c>
      <c r="C1689" s="1" t="s">
        <v>33</v>
      </c>
      <c r="D1689" t="s">
        <v>694</v>
      </c>
      <c r="E1689">
        <v>105</v>
      </c>
      <c r="F1689">
        <v>15</v>
      </c>
      <c r="G1689">
        <v>61</v>
      </c>
      <c r="H1689">
        <v>20398</v>
      </c>
    </row>
    <row r="1690" spans="1:8" x14ac:dyDescent="0.25">
      <c r="A1690">
        <v>54</v>
      </c>
      <c r="B1690" s="19">
        <v>44336</v>
      </c>
      <c r="C1690" s="1" t="s">
        <v>33</v>
      </c>
      <c r="D1690" t="s">
        <v>690</v>
      </c>
      <c r="E1690">
        <v>102</v>
      </c>
      <c r="F1690">
        <v>12</v>
      </c>
      <c r="G1690">
        <v>9</v>
      </c>
      <c r="H1690">
        <v>15596</v>
      </c>
    </row>
    <row r="1691" spans="1:8" x14ac:dyDescent="0.25">
      <c r="A1691">
        <v>54</v>
      </c>
      <c r="B1691" s="19">
        <v>44590</v>
      </c>
      <c r="C1691" s="1" t="s">
        <v>33</v>
      </c>
      <c r="D1691" t="s">
        <v>690</v>
      </c>
      <c r="E1691">
        <v>106</v>
      </c>
      <c r="F1691">
        <v>15</v>
      </c>
      <c r="G1691">
        <v>93</v>
      </c>
      <c r="H1691">
        <v>39518</v>
      </c>
    </row>
    <row r="1692" spans="1:8" x14ac:dyDescent="0.25">
      <c r="A1692">
        <v>54</v>
      </c>
      <c r="B1692" s="19">
        <v>44226</v>
      </c>
      <c r="C1692" s="1" t="s">
        <v>35</v>
      </c>
      <c r="D1692" t="s">
        <v>691</v>
      </c>
      <c r="E1692">
        <v>103</v>
      </c>
      <c r="F1692">
        <v>14</v>
      </c>
      <c r="G1692">
        <v>86</v>
      </c>
      <c r="H1692">
        <v>43670</v>
      </c>
    </row>
    <row r="1693" spans="1:8" x14ac:dyDescent="0.25">
      <c r="A1693">
        <v>54</v>
      </c>
      <c r="B1693" s="19">
        <v>44786</v>
      </c>
      <c r="C1693" s="1" t="s">
        <v>36</v>
      </c>
      <c r="D1693" t="s">
        <v>691</v>
      </c>
      <c r="E1693">
        <v>103</v>
      </c>
      <c r="F1693">
        <v>12</v>
      </c>
      <c r="G1693">
        <v>41</v>
      </c>
      <c r="H1693">
        <v>14237</v>
      </c>
    </row>
    <row r="1694" spans="1:8" x14ac:dyDescent="0.25">
      <c r="A1694">
        <v>54</v>
      </c>
      <c r="B1694" s="19">
        <v>44318</v>
      </c>
      <c r="C1694" s="1" t="s">
        <v>35</v>
      </c>
      <c r="D1694" t="s">
        <v>700</v>
      </c>
      <c r="E1694">
        <v>105</v>
      </c>
      <c r="F1694">
        <v>12</v>
      </c>
      <c r="G1694">
        <v>33</v>
      </c>
      <c r="H1694">
        <v>27783</v>
      </c>
    </row>
    <row r="1695" spans="1:8" x14ac:dyDescent="0.25">
      <c r="A1695">
        <v>54</v>
      </c>
      <c r="B1695" s="19">
        <v>45101</v>
      </c>
      <c r="C1695" s="1" t="s">
        <v>35</v>
      </c>
      <c r="D1695" t="s">
        <v>696</v>
      </c>
      <c r="E1695">
        <v>103</v>
      </c>
      <c r="F1695">
        <v>13</v>
      </c>
      <c r="G1695">
        <v>14</v>
      </c>
      <c r="H1695">
        <v>11358</v>
      </c>
    </row>
    <row r="1696" spans="1:8" x14ac:dyDescent="0.25">
      <c r="A1696">
        <v>54</v>
      </c>
      <c r="B1696" s="19">
        <v>45420</v>
      </c>
      <c r="C1696" s="1" t="s">
        <v>35</v>
      </c>
      <c r="D1696" t="s">
        <v>696</v>
      </c>
      <c r="E1696">
        <v>104</v>
      </c>
      <c r="F1696">
        <v>11</v>
      </c>
      <c r="G1696">
        <v>89</v>
      </c>
      <c r="H1696">
        <v>19898</v>
      </c>
    </row>
    <row r="1697" spans="1:8" x14ac:dyDescent="0.25">
      <c r="A1697">
        <v>54</v>
      </c>
      <c r="B1697" s="19">
        <v>45248</v>
      </c>
      <c r="C1697" s="1" t="s">
        <v>35</v>
      </c>
      <c r="D1697" t="s">
        <v>697</v>
      </c>
      <c r="E1697">
        <v>104</v>
      </c>
      <c r="F1697">
        <v>13</v>
      </c>
      <c r="G1697">
        <v>75</v>
      </c>
      <c r="H1697">
        <v>22764</v>
      </c>
    </row>
    <row r="1698" spans="1:8" x14ac:dyDescent="0.25">
      <c r="A1698">
        <v>54</v>
      </c>
      <c r="B1698" s="19">
        <v>44126</v>
      </c>
      <c r="C1698" s="1" t="s">
        <v>34</v>
      </c>
      <c r="D1698" t="s">
        <v>697</v>
      </c>
      <c r="E1698">
        <v>105</v>
      </c>
      <c r="F1698">
        <v>15</v>
      </c>
      <c r="G1698">
        <v>32</v>
      </c>
      <c r="H1698">
        <v>14258</v>
      </c>
    </row>
    <row r="1699" spans="1:8" x14ac:dyDescent="0.25">
      <c r="A1699">
        <v>54</v>
      </c>
      <c r="B1699" s="19">
        <v>44211</v>
      </c>
      <c r="C1699" s="1" t="s">
        <v>36</v>
      </c>
      <c r="D1699" t="s">
        <v>697</v>
      </c>
      <c r="E1699">
        <v>109</v>
      </c>
      <c r="F1699">
        <v>12</v>
      </c>
      <c r="G1699">
        <v>99</v>
      </c>
      <c r="H1699">
        <v>40845</v>
      </c>
    </row>
    <row r="1700" spans="1:8" x14ac:dyDescent="0.25">
      <c r="A1700">
        <v>54</v>
      </c>
      <c r="B1700" s="19">
        <v>44932</v>
      </c>
      <c r="C1700" s="1" t="s">
        <v>35</v>
      </c>
      <c r="D1700" t="s">
        <v>697</v>
      </c>
      <c r="E1700">
        <v>103</v>
      </c>
      <c r="F1700">
        <v>14</v>
      </c>
      <c r="G1700">
        <v>91</v>
      </c>
      <c r="H1700">
        <v>47285</v>
      </c>
    </row>
    <row r="1701" spans="1:8" x14ac:dyDescent="0.25">
      <c r="A1701">
        <v>54</v>
      </c>
      <c r="B1701" s="19">
        <v>44955</v>
      </c>
      <c r="C1701" s="1" t="s">
        <v>35</v>
      </c>
      <c r="D1701" t="s">
        <v>698</v>
      </c>
      <c r="E1701">
        <v>105</v>
      </c>
      <c r="F1701">
        <v>12</v>
      </c>
      <c r="G1701">
        <v>69</v>
      </c>
      <c r="H1701">
        <v>44616</v>
      </c>
    </row>
    <row r="1702" spans="1:8" x14ac:dyDescent="0.25">
      <c r="A1702">
        <v>54</v>
      </c>
      <c r="B1702" s="19">
        <v>44311</v>
      </c>
      <c r="C1702" s="1" t="s">
        <v>36</v>
      </c>
      <c r="D1702" t="s">
        <v>698</v>
      </c>
      <c r="E1702">
        <v>102</v>
      </c>
      <c r="F1702">
        <v>14</v>
      </c>
      <c r="G1702">
        <v>89</v>
      </c>
      <c r="H1702">
        <v>26503</v>
      </c>
    </row>
    <row r="1703" spans="1:8" x14ac:dyDescent="0.25">
      <c r="A1703">
        <v>54</v>
      </c>
      <c r="B1703" s="19">
        <v>44400</v>
      </c>
      <c r="C1703" s="1" t="s">
        <v>33</v>
      </c>
      <c r="D1703" t="s">
        <v>699</v>
      </c>
      <c r="E1703">
        <v>103</v>
      </c>
      <c r="F1703">
        <v>12</v>
      </c>
      <c r="G1703">
        <v>76</v>
      </c>
      <c r="H1703">
        <v>24824</v>
      </c>
    </row>
    <row r="1704" spans="1:8" x14ac:dyDescent="0.25">
      <c r="A1704">
        <v>54</v>
      </c>
      <c r="B1704" s="19">
        <v>44005</v>
      </c>
      <c r="C1704" s="1" t="s">
        <v>34</v>
      </c>
      <c r="D1704" t="s">
        <v>695</v>
      </c>
      <c r="E1704">
        <v>103</v>
      </c>
      <c r="F1704">
        <v>13</v>
      </c>
      <c r="G1704">
        <v>28</v>
      </c>
      <c r="H1704">
        <v>37729</v>
      </c>
    </row>
    <row r="1705" spans="1:8" x14ac:dyDescent="0.25">
      <c r="A1705">
        <v>54</v>
      </c>
      <c r="B1705" s="19">
        <v>45495</v>
      </c>
      <c r="C1705" s="1" t="s">
        <v>36</v>
      </c>
      <c r="D1705" t="s">
        <v>695</v>
      </c>
      <c r="E1705">
        <v>102</v>
      </c>
      <c r="F1705">
        <v>12</v>
      </c>
      <c r="G1705">
        <v>16</v>
      </c>
      <c r="H1705">
        <v>49610</v>
      </c>
    </row>
    <row r="1706" spans="1:8" x14ac:dyDescent="0.25">
      <c r="A1706">
        <v>54</v>
      </c>
      <c r="B1706" s="19">
        <v>43949</v>
      </c>
      <c r="C1706" s="1" t="s">
        <v>35</v>
      </c>
      <c r="D1706" t="s">
        <v>692</v>
      </c>
      <c r="E1706">
        <v>104</v>
      </c>
      <c r="F1706">
        <v>14</v>
      </c>
      <c r="G1706">
        <v>10</v>
      </c>
      <c r="H1706">
        <v>17210</v>
      </c>
    </row>
    <row r="1707" spans="1:8" x14ac:dyDescent="0.25">
      <c r="A1707">
        <v>54</v>
      </c>
      <c r="B1707" s="19">
        <v>44255</v>
      </c>
      <c r="C1707" s="1" t="s">
        <v>35</v>
      </c>
      <c r="D1707" t="s">
        <v>693</v>
      </c>
      <c r="E1707">
        <v>104</v>
      </c>
      <c r="F1707">
        <v>14</v>
      </c>
      <c r="G1707">
        <v>86</v>
      </c>
      <c r="H1707">
        <v>41192</v>
      </c>
    </row>
    <row r="1708" spans="1:8" x14ac:dyDescent="0.25">
      <c r="A1708">
        <v>54</v>
      </c>
      <c r="B1708" s="19">
        <v>44637</v>
      </c>
      <c r="C1708" s="1" t="s">
        <v>34</v>
      </c>
      <c r="D1708" t="s">
        <v>693</v>
      </c>
      <c r="E1708">
        <v>108</v>
      </c>
      <c r="F1708">
        <v>15</v>
      </c>
      <c r="G1708">
        <v>74</v>
      </c>
      <c r="H1708">
        <v>44840</v>
      </c>
    </row>
    <row r="1709" spans="1:8" x14ac:dyDescent="0.25">
      <c r="A1709">
        <v>54</v>
      </c>
      <c r="B1709" s="19">
        <v>44984</v>
      </c>
      <c r="C1709" s="1" t="s">
        <v>34</v>
      </c>
      <c r="D1709" t="s">
        <v>693</v>
      </c>
      <c r="E1709">
        <v>104</v>
      </c>
      <c r="F1709">
        <v>12</v>
      </c>
      <c r="G1709">
        <v>28</v>
      </c>
      <c r="H1709">
        <v>40366</v>
      </c>
    </row>
    <row r="1710" spans="1:8" x14ac:dyDescent="0.25">
      <c r="A1710">
        <v>54</v>
      </c>
      <c r="B1710" s="19">
        <v>45573</v>
      </c>
      <c r="C1710" s="1" t="s">
        <v>35</v>
      </c>
      <c r="D1710" t="s">
        <v>694</v>
      </c>
      <c r="E1710">
        <v>109</v>
      </c>
      <c r="F1710">
        <v>11</v>
      </c>
      <c r="G1710">
        <v>5</v>
      </c>
      <c r="H1710">
        <v>45181</v>
      </c>
    </row>
    <row r="1711" spans="1:8" x14ac:dyDescent="0.25">
      <c r="A1711">
        <v>54</v>
      </c>
      <c r="B1711" s="19">
        <v>44435</v>
      </c>
      <c r="C1711" s="1" t="s">
        <v>34</v>
      </c>
      <c r="D1711" t="s">
        <v>694</v>
      </c>
      <c r="E1711">
        <v>102</v>
      </c>
      <c r="F1711">
        <v>13</v>
      </c>
      <c r="G1711">
        <v>45</v>
      </c>
      <c r="H1711">
        <v>40006</v>
      </c>
    </row>
    <row r="1712" spans="1:8" x14ac:dyDescent="0.25">
      <c r="A1712">
        <v>55</v>
      </c>
      <c r="B1712" s="19">
        <v>45179</v>
      </c>
      <c r="C1712" s="1" t="s">
        <v>36</v>
      </c>
      <c r="D1712" t="s">
        <v>690</v>
      </c>
      <c r="E1712">
        <v>109</v>
      </c>
      <c r="F1712">
        <v>11</v>
      </c>
      <c r="G1712">
        <v>54</v>
      </c>
      <c r="H1712">
        <v>33294</v>
      </c>
    </row>
    <row r="1713" spans="1:8" x14ac:dyDescent="0.25">
      <c r="A1713">
        <v>55</v>
      </c>
      <c r="B1713" s="19">
        <v>43968</v>
      </c>
      <c r="C1713" s="1" t="s">
        <v>35</v>
      </c>
      <c r="D1713" t="s">
        <v>691</v>
      </c>
      <c r="E1713">
        <v>104</v>
      </c>
      <c r="F1713">
        <v>13</v>
      </c>
      <c r="G1713">
        <v>7</v>
      </c>
      <c r="H1713">
        <v>27126</v>
      </c>
    </row>
    <row r="1714" spans="1:8" x14ac:dyDescent="0.25">
      <c r="A1714">
        <v>55</v>
      </c>
      <c r="B1714" s="19">
        <v>45451</v>
      </c>
      <c r="C1714" s="1" t="s">
        <v>34</v>
      </c>
      <c r="D1714" t="s">
        <v>700</v>
      </c>
      <c r="E1714">
        <v>109</v>
      </c>
      <c r="F1714">
        <v>14</v>
      </c>
      <c r="G1714">
        <v>92</v>
      </c>
      <c r="H1714">
        <v>43266</v>
      </c>
    </row>
    <row r="1715" spans="1:8" x14ac:dyDescent="0.25">
      <c r="A1715">
        <v>55</v>
      </c>
      <c r="B1715" s="19">
        <v>45039</v>
      </c>
      <c r="C1715" s="1" t="s">
        <v>33</v>
      </c>
      <c r="D1715" t="s">
        <v>700</v>
      </c>
      <c r="E1715">
        <v>103</v>
      </c>
      <c r="F1715">
        <v>11</v>
      </c>
      <c r="G1715">
        <v>21</v>
      </c>
      <c r="H1715">
        <v>44680</v>
      </c>
    </row>
    <row r="1716" spans="1:8" x14ac:dyDescent="0.25">
      <c r="A1716">
        <v>55</v>
      </c>
      <c r="B1716" s="19">
        <v>44033</v>
      </c>
      <c r="C1716" s="1" t="s">
        <v>35</v>
      </c>
      <c r="D1716" t="s">
        <v>700</v>
      </c>
      <c r="E1716">
        <v>103</v>
      </c>
      <c r="F1716">
        <v>11</v>
      </c>
      <c r="G1716">
        <v>86</v>
      </c>
      <c r="H1716">
        <v>25543</v>
      </c>
    </row>
    <row r="1717" spans="1:8" x14ac:dyDescent="0.25">
      <c r="A1717">
        <v>55</v>
      </c>
      <c r="B1717" s="19">
        <v>44354</v>
      </c>
      <c r="C1717" s="1" t="s">
        <v>35</v>
      </c>
      <c r="D1717" t="s">
        <v>700</v>
      </c>
      <c r="E1717">
        <v>104</v>
      </c>
      <c r="F1717">
        <v>12</v>
      </c>
      <c r="G1717">
        <v>10</v>
      </c>
      <c r="H1717">
        <v>43282</v>
      </c>
    </row>
    <row r="1718" spans="1:8" x14ac:dyDescent="0.25">
      <c r="A1718">
        <v>55</v>
      </c>
      <c r="B1718" s="19">
        <v>44104</v>
      </c>
      <c r="C1718" s="1" t="s">
        <v>35</v>
      </c>
      <c r="D1718" t="s">
        <v>700</v>
      </c>
      <c r="E1718">
        <v>103</v>
      </c>
      <c r="F1718">
        <v>14</v>
      </c>
      <c r="G1718">
        <v>38</v>
      </c>
      <c r="H1718">
        <v>22334</v>
      </c>
    </row>
    <row r="1719" spans="1:8" x14ac:dyDescent="0.25">
      <c r="A1719">
        <v>55</v>
      </c>
      <c r="B1719" s="19">
        <v>45323</v>
      </c>
      <c r="C1719" s="1" t="s">
        <v>36</v>
      </c>
      <c r="D1719" t="s">
        <v>700</v>
      </c>
      <c r="E1719">
        <v>102</v>
      </c>
      <c r="F1719">
        <v>11</v>
      </c>
      <c r="G1719">
        <v>49</v>
      </c>
      <c r="H1719">
        <v>47771</v>
      </c>
    </row>
    <row r="1720" spans="1:8" x14ac:dyDescent="0.25">
      <c r="A1720">
        <v>55</v>
      </c>
      <c r="B1720" s="19">
        <v>45047</v>
      </c>
      <c r="C1720" s="1" t="s">
        <v>34</v>
      </c>
      <c r="D1720" t="s">
        <v>696</v>
      </c>
      <c r="E1720">
        <v>104</v>
      </c>
      <c r="F1720">
        <v>11</v>
      </c>
      <c r="G1720">
        <v>8</v>
      </c>
      <c r="H1720">
        <v>40041</v>
      </c>
    </row>
    <row r="1721" spans="1:8" x14ac:dyDescent="0.25">
      <c r="A1721">
        <v>55</v>
      </c>
      <c r="B1721" s="19">
        <v>45117</v>
      </c>
      <c r="C1721" s="1" t="s">
        <v>36</v>
      </c>
      <c r="D1721" t="s">
        <v>696</v>
      </c>
      <c r="E1721">
        <v>105</v>
      </c>
      <c r="F1721">
        <v>11</v>
      </c>
      <c r="G1721">
        <v>38</v>
      </c>
      <c r="H1721">
        <v>37853</v>
      </c>
    </row>
    <row r="1722" spans="1:8" x14ac:dyDescent="0.25">
      <c r="A1722">
        <v>55</v>
      </c>
      <c r="B1722" s="19">
        <v>44296</v>
      </c>
      <c r="C1722" s="1" t="s">
        <v>33</v>
      </c>
      <c r="D1722" t="s">
        <v>696</v>
      </c>
      <c r="E1722">
        <v>107</v>
      </c>
      <c r="F1722">
        <v>13</v>
      </c>
      <c r="G1722">
        <v>36</v>
      </c>
      <c r="H1722">
        <v>39814</v>
      </c>
    </row>
    <row r="1723" spans="1:8" x14ac:dyDescent="0.25">
      <c r="A1723">
        <v>55</v>
      </c>
      <c r="B1723" s="19">
        <v>45574</v>
      </c>
      <c r="C1723" s="1" t="s">
        <v>36</v>
      </c>
      <c r="D1723" t="s">
        <v>696</v>
      </c>
      <c r="E1723">
        <v>104</v>
      </c>
      <c r="F1723">
        <v>15</v>
      </c>
      <c r="G1723">
        <v>72</v>
      </c>
      <c r="H1723">
        <v>34180</v>
      </c>
    </row>
    <row r="1724" spans="1:8" x14ac:dyDescent="0.25">
      <c r="A1724">
        <v>55</v>
      </c>
      <c r="B1724" s="19">
        <v>44537</v>
      </c>
      <c r="C1724" s="1" t="s">
        <v>33</v>
      </c>
      <c r="D1724" t="s">
        <v>697</v>
      </c>
      <c r="E1724">
        <v>103</v>
      </c>
      <c r="F1724">
        <v>15</v>
      </c>
      <c r="G1724">
        <v>53</v>
      </c>
      <c r="H1724">
        <v>28286</v>
      </c>
    </row>
    <row r="1725" spans="1:8" x14ac:dyDescent="0.25">
      <c r="A1725">
        <v>55</v>
      </c>
      <c r="B1725" s="19">
        <v>44531</v>
      </c>
      <c r="C1725" s="1" t="s">
        <v>35</v>
      </c>
      <c r="D1725" t="s">
        <v>697</v>
      </c>
      <c r="E1725">
        <v>107</v>
      </c>
      <c r="F1725">
        <v>13</v>
      </c>
      <c r="G1725">
        <v>24</v>
      </c>
      <c r="H1725">
        <v>14602</v>
      </c>
    </row>
    <row r="1726" spans="1:8" x14ac:dyDescent="0.25">
      <c r="A1726">
        <v>55</v>
      </c>
      <c r="B1726" s="19">
        <v>45121</v>
      </c>
      <c r="C1726" s="1" t="s">
        <v>35</v>
      </c>
      <c r="D1726" t="s">
        <v>698</v>
      </c>
      <c r="E1726">
        <v>104</v>
      </c>
      <c r="F1726">
        <v>15</v>
      </c>
      <c r="G1726">
        <v>94</v>
      </c>
      <c r="H1726">
        <v>37427</v>
      </c>
    </row>
    <row r="1727" spans="1:8" x14ac:dyDescent="0.25">
      <c r="A1727">
        <v>55</v>
      </c>
      <c r="B1727" s="19">
        <v>45334</v>
      </c>
      <c r="C1727" s="1" t="s">
        <v>35</v>
      </c>
      <c r="D1727" t="s">
        <v>698</v>
      </c>
      <c r="E1727">
        <v>104</v>
      </c>
      <c r="F1727">
        <v>11</v>
      </c>
      <c r="G1727">
        <v>56</v>
      </c>
      <c r="H1727">
        <v>13483</v>
      </c>
    </row>
    <row r="1728" spans="1:8" x14ac:dyDescent="0.25">
      <c r="A1728">
        <v>55</v>
      </c>
      <c r="B1728" s="19">
        <v>45314</v>
      </c>
      <c r="C1728" s="1" t="s">
        <v>33</v>
      </c>
      <c r="D1728" t="s">
        <v>698</v>
      </c>
      <c r="E1728">
        <v>105</v>
      </c>
      <c r="F1728">
        <v>13</v>
      </c>
      <c r="G1728">
        <v>49</v>
      </c>
      <c r="H1728">
        <v>22756</v>
      </c>
    </row>
    <row r="1729" spans="1:8" x14ac:dyDescent="0.25">
      <c r="A1729">
        <v>55</v>
      </c>
      <c r="B1729" s="19">
        <v>45298</v>
      </c>
      <c r="C1729" s="1" t="s">
        <v>35</v>
      </c>
      <c r="D1729" t="s">
        <v>695</v>
      </c>
      <c r="E1729">
        <v>103</v>
      </c>
      <c r="F1729">
        <v>11</v>
      </c>
      <c r="G1729">
        <v>82</v>
      </c>
      <c r="H1729">
        <v>47260</v>
      </c>
    </row>
    <row r="1730" spans="1:8" x14ac:dyDescent="0.25">
      <c r="A1730">
        <v>55</v>
      </c>
      <c r="B1730" s="19">
        <v>45355</v>
      </c>
      <c r="C1730" s="1" t="s">
        <v>34</v>
      </c>
      <c r="D1730" t="s">
        <v>695</v>
      </c>
      <c r="E1730">
        <v>103</v>
      </c>
      <c r="F1730">
        <v>14</v>
      </c>
      <c r="G1730">
        <v>71</v>
      </c>
      <c r="H1730">
        <v>45817</v>
      </c>
    </row>
    <row r="1731" spans="1:8" x14ac:dyDescent="0.25">
      <c r="A1731">
        <v>55</v>
      </c>
      <c r="B1731" s="19">
        <v>45054</v>
      </c>
      <c r="C1731" s="1" t="s">
        <v>36</v>
      </c>
      <c r="D1731" t="s">
        <v>695</v>
      </c>
      <c r="E1731">
        <v>105</v>
      </c>
      <c r="F1731">
        <v>13</v>
      </c>
      <c r="G1731">
        <v>32</v>
      </c>
      <c r="H1731">
        <v>26528</v>
      </c>
    </row>
    <row r="1732" spans="1:8" x14ac:dyDescent="0.25">
      <c r="A1732">
        <v>55</v>
      </c>
      <c r="B1732" s="19">
        <v>45293</v>
      </c>
      <c r="C1732" s="1" t="s">
        <v>36</v>
      </c>
      <c r="D1732" t="s">
        <v>695</v>
      </c>
      <c r="E1732">
        <v>103</v>
      </c>
      <c r="F1732">
        <v>15</v>
      </c>
      <c r="G1732">
        <v>20</v>
      </c>
      <c r="H1732">
        <v>25720</v>
      </c>
    </row>
    <row r="1733" spans="1:8" x14ac:dyDescent="0.25">
      <c r="A1733">
        <v>55</v>
      </c>
      <c r="B1733" s="19">
        <v>45565</v>
      </c>
      <c r="C1733" s="1" t="s">
        <v>35</v>
      </c>
      <c r="D1733" t="s">
        <v>692</v>
      </c>
      <c r="E1733">
        <v>102</v>
      </c>
      <c r="F1733">
        <v>13</v>
      </c>
      <c r="G1733">
        <v>97</v>
      </c>
      <c r="H1733">
        <v>16531</v>
      </c>
    </row>
    <row r="1734" spans="1:8" x14ac:dyDescent="0.25">
      <c r="A1734">
        <v>55</v>
      </c>
      <c r="B1734" s="19">
        <v>44727</v>
      </c>
      <c r="C1734" s="1" t="s">
        <v>34</v>
      </c>
      <c r="D1734" t="s">
        <v>693</v>
      </c>
      <c r="E1734">
        <v>104</v>
      </c>
      <c r="F1734">
        <v>13</v>
      </c>
      <c r="G1734">
        <v>37</v>
      </c>
      <c r="H1734">
        <v>31317</v>
      </c>
    </row>
    <row r="1735" spans="1:8" x14ac:dyDescent="0.25">
      <c r="A1735">
        <v>55</v>
      </c>
      <c r="B1735" s="19">
        <v>44667</v>
      </c>
      <c r="C1735" s="1" t="s">
        <v>36</v>
      </c>
      <c r="D1735" t="s">
        <v>693</v>
      </c>
      <c r="E1735">
        <v>104</v>
      </c>
      <c r="F1735">
        <v>12</v>
      </c>
      <c r="G1735">
        <v>30</v>
      </c>
      <c r="H1735">
        <v>41359</v>
      </c>
    </row>
    <row r="1736" spans="1:8" x14ac:dyDescent="0.25">
      <c r="A1736">
        <v>55</v>
      </c>
      <c r="B1736" s="19">
        <v>45272</v>
      </c>
      <c r="C1736" s="1" t="s">
        <v>35</v>
      </c>
      <c r="D1736" t="s">
        <v>693</v>
      </c>
      <c r="E1736">
        <v>108</v>
      </c>
      <c r="F1736">
        <v>13</v>
      </c>
      <c r="G1736">
        <v>36</v>
      </c>
      <c r="H1736">
        <v>26993</v>
      </c>
    </row>
    <row r="1737" spans="1:8" x14ac:dyDescent="0.25">
      <c r="A1737">
        <v>55</v>
      </c>
      <c r="B1737" s="19">
        <v>45505</v>
      </c>
      <c r="C1737" s="1" t="s">
        <v>35</v>
      </c>
      <c r="D1737" t="s">
        <v>693</v>
      </c>
      <c r="E1737">
        <v>103</v>
      </c>
      <c r="F1737">
        <v>13</v>
      </c>
      <c r="G1737">
        <v>84</v>
      </c>
      <c r="H1737">
        <v>38471</v>
      </c>
    </row>
    <row r="1738" spans="1:8" x14ac:dyDescent="0.25">
      <c r="A1738">
        <v>55</v>
      </c>
      <c r="B1738" s="19">
        <v>45050</v>
      </c>
      <c r="C1738" s="1" t="s">
        <v>36</v>
      </c>
      <c r="D1738" t="s">
        <v>693</v>
      </c>
      <c r="E1738">
        <v>102</v>
      </c>
      <c r="F1738">
        <v>15</v>
      </c>
      <c r="G1738">
        <v>63</v>
      </c>
      <c r="H1738">
        <v>41927</v>
      </c>
    </row>
    <row r="1739" spans="1:8" x14ac:dyDescent="0.25">
      <c r="A1739">
        <v>55</v>
      </c>
      <c r="B1739" s="19">
        <v>44650</v>
      </c>
      <c r="C1739" s="1" t="s">
        <v>36</v>
      </c>
      <c r="D1739" t="s">
        <v>694</v>
      </c>
      <c r="E1739">
        <v>101</v>
      </c>
      <c r="F1739">
        <v>12</v>
      </c>
      <c r="G1739">
        <v>36</v>
      </c>
      <c r="H1739">
        <v>33573</v>
      </c>
    </row>
    <row r="1740" spans="1:8" x14ac:dyDescent="0.25">
      <c r="A1740">
        <v>55</v>
      </c>
      <c r="B1740" s="19">
        <v>44740</v>
      </c>
      <c r="C1740" s="1" t="s">
        <v>34</v>
      </c>
      <c r="D1740" t="s">
        <v>694</v>
      </c>
      <c r="E1740">
        <v>106</v>
      </c>
      <c r="F1740">
        <v>15</v>
      </c>
      <c r="G1740">
        <v>41</v>
      </c>
      <c r="H1740">
        <v>19296</v>
      </c>
    </row>
    <row r="1741" spans="1:8" x14ac:dyDescent="0.25">
      <c r="A1741">
        <v>55</v>
      </c>
      <c r="B1741" s="19">
        <v>44703</v>
      </c>
      <c r="C1741" s="1" t="s">
        <v>33</v>
      </c>
      <c r="D1741" t="s">
        <v>694</v>
      </c>
      <c r="E1741">
        <v>102</v>
      </c>
      <c r="F1741">
        <v>13</v>
      </c>
      <c r="G1741">
        <v>87</v>
      </c>
      <c r="H1741">
        <v>19164</v>
      </c>
    </row>
    <row r="1742" spans="1:8" x14ac:dyDescent="0.25">
      <c r="A1742">
        <v>55</v>
      </c>
      <c r="B1742" s="19">
        <v>45054</v>
      </c>
      <c r="C1742" s="1" t="s">
        <v>35</v>
      </c>
      <c r="D1742" t="s">
        <v>694</v>
      </c>
      <c r="E1742">
        <v>108</v>
      </c>
      <c r="F1742">
        <v>12</v>
      </c>
      <c r="G1742">
        <v>14</v>
      </c>
      <c r="H1742">
        <v>18852</v>
      </c>
    </row>
    <row r="1743" spans="1:8" x14ac:dyDescent="0.25">
      <c r="A1743">
        <v>56</v>
      </c>
      <c r="B1743" s="19">
        <v>45462</v>
      </c>
      <c r="C1743" s="1" t="s">
        <v>36</v>
      </c>
      <c r="D1743" t="s">
        <v>690</v>
      </c>
      <c r="E1743">
        <v>104</v>
      </c>
      <c r="F1743">
        <v>13</v>
      </c>
      <c r="G1743">
        <v>49</v>
      </c>
      <c r="H1743">
        <v>44450</v>
      </c>
    </row>
    <row r="1744" spans="1:8" x14ac:dyDescent="0.25">
      <c r="A1744">
        <v>56</v>
      </c>
      <c r="B1744" s="19">
        <v>44051</v>
      </c>
      <c r="C1744" s="1" t="s">
        <v>34</v>
      </c>
      <c r="D1744" t="s">
        <v>691</v>
      </c>
      <c r="E1744">
        <v>104</v>
      </c>
      <c r="F1744">
        <v>11</v>
      </c>
      <c r="G1744">
        <v>50</v>
      </c>
      <c r="H1744">
        <v>33951</v>
      </c>
    </row>
    <row r="1745" spans="1:8" x14ac:dyDescent="0.25">
      <c r="A1745">
        <v>56</v>
      </c>
      <c r="B1745" s="19">
        <v>44058</v>
      </c>
      <c r="C1745" s="1" t="s">
        <v>33</v>
      </c>
      <c r="D1745" t="s">
        <v>691</v>
      </c>
      <c r="E1745">
        <v>104</v>
      </c>
      <c r="F1745">
        <v>13</v>
      </c>
      <c r="G1745">
        <v>92</v>
      </c>
      <c r="H1745">
        <v>10208</v>
      </c>
    </row>
    <row r="1746" spans="1:8" x14ac:dyDescent="0.25">
      <c r="A1746">
        <v>56</v>
      </c>
      <c r="B1746" s="19">
        <v>44686</v>
      </c>
      <c r="C1746" s="1" t="s">
        <v>33</v>
      </c>
      <c r="D1746" t="s">
        <v>691</v>
      </c>
      <c r="E1746">
        <v>105</v>
      </c>
      <c r="F1746">
        <v>13</v>
      </c>
      <c r="G1746">
        <v>61</v>
      </c>
      <c r="H1746">
        <v>22038</v>
      </c>
    </row>
    <row r="1747" spans="1:8" x14ac:dyDescent="0.25">
      <c r="A1747">
        <v>56</v>
      </c>
      <c r="B1747" s="19">
        <v>44977</v>
      </c>
      <c r="C1747" s="1" t="s">
        <v>33</v>
      </c>
      <c r="D1747" t="s">
        <v>691</v>
      </c>
      <c r="E1747">
        <v>105</v>
      </c>
      <c r="F1747">
        <v>13</v>
      </c>
      <c r="G1747">
        <v>37</v>
      </c>
      <c r="H1747">
        <v>27217</v>
      </c>
    </row>
    <row r="1748" spans="1:8" x14ac:dyDescent="0.25">
      <c r="A1748">
        <v>56</v>
      </c>
      <c r="B1748" s="19">
        <v>44611</v>
      </c>
      <c r="C1748" s="1" t="s">
        <v>35</v>
      </c>
      <c r="D1748" t="s">
        <v>700</v>
      </c>
      <c r="E1748">
        <v>102</v>
      </c>
      <c r="F1748">
        <v>13</v>
      </c>
      <c r="G1748">
        <v>51</v>
      </c>
      <c r="H1748">
        <v>42003</v>
      </c>
    </row>
    <row r="1749" spans="1:8" x14ac:dyDescent="0.25">
      <c r="A1749">
        <v>56</v>
      </c>
      <c r="B1749" s="19">
        <v>45297</v>
      </c>
      <c r="C1749" s="1" t="s">
        <v>34</v>
      </c>
      <c r="D1749" t="s">
        <v>700</v>
      </c>
      <c r="E1749">
        <v>106</v>
      </c>
      <c r="F1749">
        <v>11</v>
      </c>
      <c r="G1749">
        <v>61</v>
      </c>
      <c r="H1749">
        <v>20500</v>
      </c>
    </row>
    <row r="1750" spans="1:8" x14ac:dyDescent="0.25">
      <c r="A1750">
        <v>56</v>
      </c>
      <c r="B1750" s="19">
        <v>43986</v>
      </c>
      <c r="C1750" s="1" t="s">
        <v>36</v>
      </c>
      <c r="D1750" t="s">
        <v>696</v>
      </c>
      <c r="E1750">
        <v>103</v>
      </c>
      <c r="F1750">
        <v>15</v>
      </c>
      <c r="G1750">
        <v>64</v>
      </c>
      <c r="H1750">
        <v>22075</v>
      </c>
    </row>
    <row r="1751" spans="1:8" x14ac:dyDescent="0.25">
      <c r="A1751">
        <v>56</v>
      </c>
      <c r="B1751" s="19">
        <v>44506</v>
      </c>
      <c r="C1751" s="1" t="s">
        <v>33</v>
      </c>
      <c r="D1751" t="s">
        <v>696</v>
      </c>
      <c r="E1751">
        <v>101</v>
      </c>
      <c r="F1751">
        <v>12</v>
      </c>
      <c r="G1751">
        <v>58</v>
      </c>
      <c r="H1751">
        <v>47561</v>
      </c>
    </row>
    <row r="1752" spans="1:8" x14ac:dyDescent="0.25">
      <c r="A1752">
        <v>56</v>
      </c>
      <c r="B1752" s="19">
        <v>44448</v>
      </c>
      <c r="C1752" s="1" t="s">
        <v>34</v>
      </c>
      <c r="D1752" t="s">
        <v>696</v>
      </c>
      <c r="E1752">
        <v>105</v>
      </c>
      <c r="F1752">
        <v>15</v>
      </c>
      <c r="G1752">
        <v>5</v>
      </c>
      <c r="H1752">
        <v>38138</v>
      </c>
    </row>
    <row r="1753" spans="1:8" x14ac:dyDescent="0.25">
      <c r="A1753">
        <v>56</v>
      </c>
      <c r="B1753" s="19">
        <v>44500</v>
      </c>
      <c r="C1753" s="1" t="s">
        <v>33</v>
      </c>
      <c r="D1753" t="s">
        <v>697</v>
      </c>
      <c r="E1753">
        <v>103</v>
      </c>
      <c r="F1753">
        <v>14</v>
      </c>
      <c r="G1753">
        <v>21</v>
      </c>
      <c r="H1753">
        <v>29778</v>
      </c>
    </row>
    <row r="1754" spans="1:8" x14ac:dyDescent="0.25">
      <c r="A1754">
        <v>56</v>
      </c>
      <c r="B1754" s="19">
        <v>44663</v>
      </c>
      <c r="C1754" s="1" t="s">
        <v>35</v>
      </c>
      <c r="D1754" t="s">
        <v>697</v>
      </c>
      <c r="E1754">
        <v>103</v>
      </c>
      <c r="F1754">
        <v>12</v>
      </c>
      <c r="G1754">
        <v>85</v>
      </c>
      <c r="H1754">
        <v>36857</v>
      </c>
    </row>
    <row r="1755" spans="1:8" x14ac:dyDescent="0.25">
      <c r="A1755">
        <v>56</v>
      </c>
      <c r="B1755" s="19">
        <v>44717</v>
      </c>
      <c r="C1755" s="1" t="s">
        <v>35</v>
      </c>
      <c r="D1755" t="s">
        <v>697</v>
      </c>
      <c r="E1755">
        <v>105</v>
      </c>
      <c r="F1755">
        <v>11</v>
      </c>
      <c r="G1755">
        <v>59</v>
      </c>
      <c r="H1755">
        <v>26924</v>
      </c>
    </row>
    <row r="1756" spans="1:8" x14ac:dyDescent="0.25">
      <c r="A1756">
        <v>56</v>
      </c>
      <c r="B1756" s="19">
        <v>43906</v>
      </c>
      <c r="C1756" s="1" t="s">
        <v>36</v>
      </c>
      <c r="D1756" t="s">
        <v>697</v>
      </c>
      <c r="E1756">
        <v>107</v>
      </c>
      <c r="F1756">
        <v>11</v>
      </c>
      <c r="G1756">
        <v>96</v>
      </c>
      <c r="H1756">
        <v>29059</v>
      </c>
    </row>
    <row r="1757" spans="1:8" x14ac:dyDescent="0.25">
      <c r="A1757">
        <v>56</v>
      </c>
      <c r="B1757" s="19">
        <v>44628</v>
      </c>
      <c r="C1757" s="1" t="s">
        <v>35</v>
      </c>
      <c r="D1757" t="s">
        <v>698</v>
      </c>
      <c r="E1757">
        <v>104</v>
      </c>
      <c r="F1757">
        <v>12</v>
      </c>
      <c r="G1757">
        <v>59</v>
      </c>
      <c r="H1757">
        <v>31407</v>
      </c>
    </row>
    <row r="1758" spans="1:8" x14ac:dyDescent="0.25">
      <c r="A1758">
        <v>56</v>
      </c>
      <c r="B1758" s="19">
        <v>44703</v>
      </c>
      <c r="C1758" s="1" t="s">
        <v>36</v>
      </c>
      <c r="D1758" t="s">
        <v>698</v>
      </c>
      <c r="E1758">
        <v>109</v>
      </c>
      <c r="F1758">
        <v>12</v>
      </c>
      <c r="G1758">
        <v>11</v>
      </c>
      <c r="H1758">
        <v>40099</v>
      </c>
    </row>
    <row r="1759" spans="1:8" x14ac:dyDescent="0.25">
      <c r="A1759">
        <v>56</v>
      </c>
      <c r="B1759" s="19">
        <v>43889</v>
      </c>
      <c r="C1759" s="1" t="s">
        <v>35</v>
      </c>
      <c r="D1759" t="s">
        <v>698</v>
      </c>
      <c r="E1759">
        <v>105</v>
      </c>
      <c r="F1759">
        <v>11</v>
      </c>
      <c r="G1759">
        <v>33</v>
      </c>
      <c r="H1759">
        <v>42002</v>
      </c>
    </row>
    <row r="1760" spans="1:8" x14ac:dyDescent="0.25">
      <c r="A1760">
        <v>56</v>
      </c>
      <c r="B1760" s="19">
        <v>44321</v>
      </c>
      <c r="C1760" s="1" t="s">
        <v>33</v>
      </c>
      <c r="D1760" t="s">
        <v>698</v>
      </c>
      <c r="E1760">
        <v>102</v>
      </c>
      <c r="F1760">
        <v>13</v>
      </c>
      <c r="G1760">
        <v>13</v>
      </c>
      <c r="H1760">
        <v>29815</v>
      </c>
    </row>
    <row r="1761" spans="1:8" x14ac:dyDescent="0.25">
      <c r="A1761">
        <v>56</v>
      </c>
      <c r="B1761" s="19">
        <v>45145</v>
      </c>
      <c r="C1761" s="1" t="s">
        <v>33</v>
      </c>
      <c r="D1761" t="s">
        <v>698</v>
      </c>
      <c r="E1761">
        <v>103</v>
      </c>
      <c r="F1761">
        <v>14</v>
      </c>
      <c r="G1761">
        <v>17</v>
      </c>
      <c r="H1761">
        <v>20461</v>
      </c>
    </row>
    <row r="1762" spans="1:8" x14ac:dyDescent="0.25">
      <c r="A1762">
        <v>56</v>
      </c>
      <c r="B1762" s="19">
        <v>44557</v>
      </c>
      <c r="C1762" s="1" t="s">
        <v>34</v>
      </c>
      <c r="D1762" t="s">
        <v>698</v>
      </c>
      <c r="E1762">
        <v>105</v>
      </c>
      <c r="F1762">
        <v>14</v>
      </c>
      <c r="G1762">
        <v>12</v>
      </c>
      <c r="H1762">
        <v>11136</v>
      </c>
    </row>
    <row r="1763" spans="1:8" x14ac:dyDescent="0.25">
      <c r="A1763">
        <v>56</v>
      </c>
      <c r="B1763" s="19">
        <v>44509</v>
      </c>
      <c r="C1763" s="1" t="s">
        <v>35</v>
      </c>
      <c r="D1763" t="s">
        <v>698</v>
      </c>
      <c r="E1763">
        <v>107</v>
      </c>
      <c r="F1763">
        <v>14</v>
      </c>
      <c r="G1763">
        <v>95</v>
      </c>
      <c r="H1763">
        <v>47315</v>
      </c>
    </row>
    <row r="1764" spans="1:8" x14ac:dyDescent="0.25">
      <c r="A1764">
        <v>56</v>
      </c>
      <c r="B1764" s="19">
        <v>44173</v>
      </c>
      <c r="C1764" s="1" t="s">
        <v>35</v>
      </c>
      <c r="D1764" t="s">
        <v>699</v>
      </c>
      <c r="E1764">
        <v>104</v>
      </c>
      <c r="F1764">
        <v>12</v>
      </c>
      <c r="G1764">
        <v>25</v>
      </c>
      <c r="H1764">
        <v>31864</v>
      </c>
    </row>
    <row r="1765" spans="1:8" x14ac:dyDescent="0.25">
      <c r="A1765">
        <v>56</v>
      </c>
      <c r="B1765" s="19">
        <v>45419</v>
      </c>
      <c r="C1765" s="1" t="s">
        <v>33</v>
      </c>
      <c r="D1765" t="s">
        <v>695</v>
      </c>
      <c r="E1765">
        <v>105</v>
      </c>
      <c r="F1765">
        <v>15</v>
      </c>
      <c r="G1765">
        <v>78</v>
      </c>
      <c r="H1765">
        <v>28584</v>
      </c>
    </row>
    <row r="1766" spans="1:8" x14ac:dyDescent="0.25">
      <c r="A1766">
        <v>56</v>
      </c>
      <c r="B1766" s="19">
        <v>43997</v>
      </c>
      <c r="C1766" s="1" t="s">
        <v>36</v>
      </c>
      <c r="D1766" t="s">
        <v>695</v>
      </c>
      <c r="E1766">
        <v>103</v>
      </c>
      <c r="F1766">
        <v>13</v>
      </c>
      <c r="G1766">
        <v>11</v>
      </c>
      <c r="H1766">
        <v>47842</v>
      </c>
    </row>
    <row r="1767" spans="1:8" x14ac:dyDescent="0.25">
      <c r="A1767">
        <v>56</v>
      </c>
      <c r="B1767" s="19">
        <v>44622</v>
      </c>
      <c r="C1767" s="1" t="s">
        <v>35</v>
      </c>
      <c r="D1767" t="s">
        <v>695</v>
      </c>
      <c r="E1767">
        <v>102</v>
      </c>
      <c r="F1767">
        <v>13</v>
      </c>
      <c r="G1767">
        <v>84</v>
      </c>
      <c r="H1767">
        <v>32163</v>
      </c>
    </row>
    <row r="1768" spans="1:8" x14ac:dyDescent="0.25">
      <c r="A1768">
        <v>56</v>
      </c>
      <c r="B1768" s="19">
        <v>44362</v>
      </c>
      <c r="C1768" s="1" t="s">
        <v>34</v>
      </c>
      <c r="D1768" t="s">
        <v>695</v>
      </c>
      <c r="E1768">
        <v>104</v>
      </c>
      <c r="F1768">
        <v>13</v>
      </c>
      <c r="G1768">
        <v>16</v>
      </c>
      <c r="H1768">
        <v>19775</v>
      </c>
    </row>
    <row r="1769" spans="1:8" x14ac:dyDescent="0.25">
      <c r="A1769">
        <v>56</v>
      </c>
      <c r="B1769" s="19">
        <v>44987</v>
      </c>
      <c r="C1769" s="1" t="s">
        <v>35</v>
      </c>
      <c r="D1769" t="s">
        <v>695</v>
      </c>
      <c r="E1769">
        <v>106</v>
      </c>
      <c r="F1769">
        <v>14</v>
      </c>
      <c r="G1769">
        <v>69</v>
      </c>
      <c r="H1769">
        <v>17325</v>
      </c>
    </row>
    <row r="1770" spans="1:8" x14ac:dyDescent="0.25">
      <c r="A1770">
        <v>56</v>
      </c>
      <c r="B1770" s="19">
        <v>44564</v>
      </c>
      <c r="C1770" s="1" t="s">
        <v>35</v>
      </c>
      <c r="D1770" t="s">
        <v>695</v>
      </c>
      <c r="E1770">
        <v>103</v>
      </c>
      <c r="F1770">
        <v>15</v>
      </c>
      <c r="G1770">
        <v>55</v>
      </c>
      <c r="H1770">
        <v>33162</v>
      </c>
    </row>
    <row r="1771" spans="1:8" x14ac:dyDescent="0.25">
      <c r="A1771">
        <v>56</v>
      </c>
      <c r="B1771" s="19">
        <v>45023</v>
      </c>
      <c r="C1771" s="1" t="s">
        <v>35</v>
      </c>
      <c r="D1771" t="s">
        <v>695</v>
      </c>
      <c r="E1771">
        <v>103</v>
      </c>
      <c r="F1771">
        <v>12</v>
      </c>
      <c r="G1771">
        <v>87</v>
      </c>
      <c r="H1771">
        <v>47892</v>
      </c>
    </row>
    <row r="1772" spans="1:8" x14ac:dyDescent="0.25">
      <c r="A1772">
        <v>56</v>
      </c>
      <c r="B1772" s="19">
        <v>45497</v>
      </c>
      <c r="C1772" s="1" t="s">
        <v>34</v>
      </c>
      <c r="D1772" t="s">
        <v>692</v>
      </c>
      <c r="E1772">
        <v>105</v>
      </c>
      <c r="F1772">
        <v>13</v>
      </c>
      <c r="G1772">
        <v>90</v>
      </c>
      <c r="H1772">
        <v>44092</v>
      </c>
    </row>
    <row r="1773" spans="1:8" x14ac:dyDescent="0.25">
      <c r="A1773">
        <v>56</v>
      </c>
      <c r="B1773" s="19">
        <v>44423</v>
      </c>
      <c r="C1773" s="1" t="s">
        <v>33</v>
      </c>
      <c r="D1773" t="s">
        <v>692</v>
      </c>
      <c r="E1773">
        <v>105</v>
      </c>
      <c r="F1773">
        <v>15</v>
      </c>
      <c r="G1773">
        <v>45</v>
      </c>
      <c r="H1773">
        <v>20419</v>
      </c>
    </row>
    <row r="1774" spans="1:8" x14ac:dyDescent="0.25">
      <c r="A1774">
        <v>56</v>
      </c>
      <c r="B1774" s="19">
        <v>45130</v>
      </c>
      <c r="C1774" s="1" t="s">
        <v>35</v>
      </c>
      <c r="D1774" t="s">
        <v>692</v>
      </c>
      <c r="E1774">
        <v>109</v>
      </c>
      <c r="F1774">
        <v>12</v>
      </c>
      <c r="G1774">
        <v>59</v>
      </c>
      <c r="H1774">
        <v>33726</v>
      </c>
    </row>
    <row r="1775" spans="1:8" x14ac:dyDescent="0.25">
      <c r="A1775">
        <v>56</v>
      </c>
      <c r="B1775" s="19">
        <v>45385</v>
      </c>
      <c r="C1775" s="1" t="s">
        <v>34</v>
      </c>
      <c r="D1775" t="s">
        <v>693</v>
      </c>
      <c r="E1775">
        <v>104</v>
      </c>
      <c r="F1775">
        <v>13</v>
      </c>
      <c r="G1775">
        <v>93</v>
      </c>
      <c r="H1775">
        <v>28341</v>
      </c>
    </row>
    <row r="1776" spans="1:8" x14ac:dyDescent="0.25">
      <c r="A1776">
        <v>56</v>
      </c>
      <c r="B1776" s="19">
        <v>45389</v>
      </c>
      <c r="C1776" s="1" t="s">
        <v>34</v>
      </c>
      <c r="D1776" t="s">
        <v>693</v>
      </c>
      <c r="E1776">
        <v>104</v>
      </c>
      <c r="F1776">
        <v>15</v>
      </c>
      <c r="G1776">
        <v>53</v>
      </c>
      <c r="H1776">
        <v>33548</v>
      </c>
    </row>
    <row r="1777" spans="1:8" x14ac:dyDescent="0.25">
      <c r="A1777">
        <v>56</v>
      </c>
      <c r="B1777" s="19">
        <v>43966</v>
      </c>
      <c r="C1777" s="1" t="s">
        <v>33</v>
      </c>
      <c r="D1777" t="s">
        <v>693</v>
      </c>
      <c r="E1777">
        <v>103</v>
      </c>
      <c r="F1777">
        <v>14</v>
      </c>
      <c r="G1777">
        <v>79</v>
      </c>
      <c r="H1777">
        <v>40921</v>
      </c>
    </row>
    <row r="1778" spans="1:8" x14ac:dyDescent="0.25">
      <c r="A1778">
        <v>56</v>
      </c>
      <c r="B1778" s="19">
        <v>44893</v>
      </c>
      <c r="C1778" s="1" t="s">
        <v>35</v>
      </c>
      <c r="D1778" t="s">
        <v>694</v>
      </c>
      <c r="E1778">
        <v>104</v>
      </c>
      <c r="F1778">
        <v>14</v>
      </c>
      <c r="G1778">
        <v>88</v>
      </c>
      <c r="H1778">
        <v>18091</v>
      </c>
    </row>
    <row r="1779" spans="1:8" x14ac:dyDescent="0.25">
      <c r="A1779">
        <v>56</v>
      </c>
      <c r="B1779" s="19">
        <v>45108</v>
      </c>
      <c r="C1779" s="1" t="s">
        <v>36</v>
      </c>
      <c r="D1779" t="s">
        <v>694</v>
      </c>
      <c r="E1779">
        <v>103</v>
      </c>
      <c r="F1779">
        <v>12</v>
      </c>
      <c r="G1779">
        <v>11</v>
      </c>
      <c r="H1779">
        <v>47279</v>
      </c>
    </row>
    <row r="1780" spans="1:8" x14ac:dyDescent="0.25">
      <c r="A1780">
        <v>56</v>
      </c>
      <c r="B1780" s="19">
        <v>44385</v>
      </c>
      <c r="C1780" s="1" t="s">
        <v>34</v>
      </c>
      <c r="D1780" t="s">
        <v>694</v>
      </c>
      <c r="E1780">
        <v>103</v>
      </c>
      <c r="F1780">
        <v>15</v>
      </c>
      <c r="G1780">
        <v>14</v>
      </c>
      <c r="H1780">
        <v>14079</v>
      </c>
    </row>
    <row r="1781" spans="1:8" x14ac:dyDescent="0.25">
      <c r="A1781">
        <v>56</v>
      </c>
      <c r="B1781" s="19">
        <v>44082</v>
      </c>
      <c r="C1781" s="1" t="s">
        <v>33</v>
      </c>
      <c r="D1781" t="s">
        <v>694</v>
      </c>
      <c r="E1781">
        <v>103</v>
      </c>
      <c r="F1781">
        <v>15</v>
      </c>
      <c r="G1781">
        <v>49</v>
      </c>
      <c r="H1781">
        <v>32693</v>
      </c>
    </row>
    <row r="1782" spans="1:8" x14ac:dyDescent="0.25">
      <c r="A1782">
        <v>57</v>
      </c>
      <c r="B1782" s="19">
        <v>44859</v>
      </c>
      <c r="C1782" s="1" t="s">
        <v>34</v>
      </c>
      <c r="D1782" t="s">
        <v>690</v>
      </c>
      <c r="E1782">
        <v>109</v>
      </c>
      <c r="F1782">
        <v>12</v>
      </c>
      <c r="G1782">
        <v>26</v>
      </c>
      <c r="H1782">
        <v>45693</v>
      </c>
    </row>
    <row r="1783" spans="1:8" x14ac:dyDescent="0.25">
      <c r="A1783">
        <v>57</v>
      </c>
      <c r="B1783" s="19">
        <v>44102</v>
      </c>
      <c r="C1783" s="1" t="s">
        <v>34</v>
      </c>
      <c r="D1783" t="s">
        <v>690</v>
      </c>
      <c r="E1783">
        <v>101</v>
      </c>
      <c r="F1783">
        <v>11</v>
      </c>
      <c r="G1783">
        <v>28</v>
      </c>
      <c r="H1783">
        <v>15151</v>
      </c>
    </row>
    <row r="1784" spans="1:8" x14ac:dyDescent="0.25">
      <c r="A1784">
        <v>57</v>
      </c>
      <c r="B1784" s="19">
        <v>45585</v>
      </c>
      <c r="C1784" s="1" t="s">
        <v>36</v>
      </c>
      <c r="D1784" t="s">
        <v>691</v>
      </c>
      <c r="E1784">
        <v>104</v>
      </c>
      <c r="F1784">
        <v>14</v>
      </c>
      <c r="G1784">
        <v>96</v>
      </c>
      <c r="H1784">
        <v>18197</v>
      </c>
    </row>
    <row r="1785" spans="1:8" x14ac:dyDescent="0.25">
      <c r="A1785">
        <v>57</v>
      </c>
      <c r="B1785" s="19">
        <v>44673</v>
      </c>
      <c r="C1785" s="1" t="s">
        <v>35</v>
      </c>
      <c r="D1785" t="s">
        <v>700</v>
      </c>
      <c r="E1785">
        <v>105</v>
      </c>
      <c r="F1785">
        <v>11</v>
      </c>
      <c r="G1785">
        <v>47</v>
      </c>
      <c r="H1785">
        <v>29015</v>
      </c>
    </row>
    <row r="1786" spans="1:8" x14ac:dyDescent="0.25">
      <c r="A1786">
        <v>57</v>
      </c>
      <c r="B1786" s="19">
        <v>44806</v>
      </c>
      <c r="C1786" s="1" t="s">
        <v>36</v>
      </c>
      <c r="D1786" t="s">
        <v>700</v>
      </c>
      <c r="E1786">
        <v>105</v>
      </c>
      <c r="F1786">
        <v>14</v>
      </c>
      <c r="G1786">
        <v>100</v>
      </c>
      <c r="H1786">
        <v>28476</v>
      </c>
    </row>
    <row r="1787" spans="1:8" x14ac:dyDescent="0.25">
      <c r="A1787">
        <v>57</v>
      </c>
      <c r="B1787" s="19">
        <v>44192</v>
      </c>
      <c r="C1787" s="1" t="s">
        <v>33</v>
      </c>
      <c r="D1787" t="s">
        <v>700</v>
      </c>
      <c r="E1787">
        <v>101</v>
      </c>
      <c r="F1787">
        <v>14</v>
      </c>
      <c r="G1787">
        <v>60</v>
      </c>
      <c r="H1787">
        <v>12252</v>
      </c>
    </row>
    <row r="1788" spans="1:8" x14ac:dyDescent="0.25">
      <c r="A1788">
        <v>57</v>
      </c>
      <c r="B1788" s="19">
        <v>44318</v>
      </c>
      <c r="C1788" s="1" t="s">
        <v>34</v>
      </c>
      <c r="D1788" t="s">
        <v>700</v>
      </c>
      <c r="E1788">
        <v>105</v>
      </c>
      <c r="F1788">
        <v>14</v>
      </c>
      <c r="G1788">
        <v>29</v>
      </c>
      <c r="H1788">
        <v>17583</v>
      </c>
    </row>
    <row r="1789" spans="1:8" x14ac:dyDescent="0.25">
      <c r="A1789">
        <v>57</v>
      </c>
      <c r="B1789" s="19">
        <v>45122</v>
      </c>
      <c r="C1789" s="1" t="s">
        <v>36</v>
      </c>
      <c r="D1789" t="s">
        <v>696</v>
      </c>
      <c r="E1789">
        <v>104</v>
      </c>
      <c r="F1789">
        <v>13</v>
      </c>
      <c r="G1789">
        <v>38</v>
      </c>
      <c r="H1789">
        <v>16873</v>
      </c>
    </row>
    <row r="1790" spans="1:8" x14ac:dyDescent="0.25">
      <c r="A1790">
        <v>57</v>
      </c>
      <c r="B1790" s="19">
        <v>44796</v>
      </c>
      <c r="C1790" s="1" t="s">
        <v>35</v>
      </c>
      <c r="D1790" t="s">
        <v>696</v>
      </c>
      <c r="E1790">
        <v>103</v>
      </c>
      <c r="F1790">
        <v>12</v>
      </c>
      <c r="G1790">
        <v>57</v>
      </c>
      <c r="H1790">
        <v>39411</v>
      </c>
    </row>
    <row r="1791" spans="1:8" x14ac:dyDescent="0.25">
      <c r="A1791">
        <v>57</v>
      </c>
      <c r="B1791" s="19">
        <v>45475</v>
      </c>
      <c r="C1791" s="1" t="s">
        <v>35</v>
      </c>
      <c r="D1791" t="s">
        <v>697</v>
      </c>
      <c r="E1791">
        <v>103</v>
      </c>
      <c r="F1791">
        <v>12</v>
      </c>
      <c r="G1791">
        <v>99</v>
      </c>
      <c r="H1791">
        <v>27125</v>
      </c>
    </row>
    <row r="1792" spans="1:8" x14ac:dyDescent="0.25">
      <c r="A1792">
        <v>57</v>
      </c>
      <c r="B1792" s="19">
        <v>45327</v>
      </c>
      <c r="C1792" s="1" t="s">
        <v>34</v>
      </c>
      <c r="D1792" t="s">
        <v>697</v>
      </c>
      <c r="E1792">
        <v>104</v>
      </c>
      <c r="F1792">
        <v>15</v>
      </c>
      <c r="G1792">
        <v>94</v>
      </c>
      <c r="H1792">
        <v>23825</v>
      </c>
    </row>
    <row r="1793" spans="1:8" x14ac:dyDescent="0.25">
      <c r="A1793">
        <v>57</v>
      </c>
      <c r="B1793" s="19">
        <v>44334</v>
      </c>
      <c r="C1793" s="1" t="s">
        <v>34</v>
      </c>
      <c r="D1793" t="s">
        <v>698</v>
      </c>
      <c r="E1793">
        <v>103</v>
      </c>
      <c r="F1793">
        <v>13</v>
      </c>
      <c r="G1793">
        <v>34</v>
      </c>
      <c r="H1793">
        <v>38315</v>
      </c>
    </row>
    <row r="1794" spans="1:8" x14ac:dyDescent="0.25">
      <c r="A1794">
        <v>57</v>
      </c>
      <c r="B1794" s="19">
        <v>45490</v>
      </c>
      <c r="C1794" s="1" t="s">
        <v>33</v>
      </c>
      <c r="D1794" t="s">
        <v>699</v>
      </c>
      <c r="E1794">
        <v>107</v>
      </c>
      <c r="F1794">
        <v>11</v>
      </c>
      <c r="G1794">
        <v>27</v>
      </c>
      <c r="H1794">
        <v>42312</v>
      </c>
    </row>
    <row r="1795" spans="1:8" x14ac:dyDescent="0.25">
      <c r="A1795">
        <v>57</v>
      </c>
      <c r="B1795" s="19">
        <v>45088</v>
      </c>
      <c r="C1795" s="1" t="s">
        <v>36</v>
      </c>
      <c r="D1795" t="s">
        <v>699</v>
      </c>
      <c r="E1795">
        <v>104</v>
      </c>
      <c r="F1795">
        <v>12</v>
      </c>
      <c r="G1795">
        <v>46</v>
      </c>
      <c r="H1795">
        <v>46939</v>
      </c>
    </row>
    <row r="1796" spans="1:8" x14ac:dyDescent="0.25">
      <c r="A1796">
        <v>57</v>
      </c>
      <c r="B1796" s="19">
        <v>44788</v>
      </c>
      <c r="C1796" s="1" t="s">
        <v>36</v>
      </c>
      <c r="D1796" t="s">
        <v>695</v>
      </c>
      <c r="E1796">
        <v>102</v>
      </c>
      <c r="F1796">
        <v>11</v>
      </c>
      <c r="G1796">
        <v>78</v>
      </c>
      <c r="H1796">
        <v>31476</v>
      </c>
    </row>
    <row r="1797" spans="1:8" x14ac:dyDescent="0.25">
      <c r="A1797">
        <v>57</v>
      </c>
      <c r="B1797" s="19">
        <v>44230</v>
      </c>
      <c r="C1797" s="1" t="s">
        <v>33</v>
      </c>
      <c r="D1797" t="s">
        <v>695</v>
      </c>
      <c r="E1797">
        <v>105</v>
      </c>
      <c r="F1797">
        <v>12</v>
      </c>
      <c r="G1797">
        <v>44</v>
      </c>
      <c r="H1797">
        <v>40151</v>
      </c>
    </row>
    <row r="1798" spans="1:8" x14ac:dyDescent="0.25">
      <c r="A1798">
        <v>57</v>
      </c>
      <c r="B1798" s="19">
        <v>45398</v>
      </c>
      <c r="C1798" s="1" t="s">
        <v>34</v>
      </c>
      <c r="D1798" t="s">
        <v>695</v>
      </c>
      <c r="E1798">
        <v>103</v>
      </c>
      <c r="F1798">
        <v>15</v>
      </c>
      <c r="G1798">
        <v>94</v>
      </c>
      <c r="H1798">
        <v>11388</v>
      </c>
    </row>
    <row r="1799" spans="1:8" x14ac:dyDescent="0.25">
      <c r="A1799">
        <v>57</v>
      </c>
      <c r="B1799" s="19">
        <v>45607</v>
      </c>
      <c r="C1799" s="1" t="s">
        <v>35</v>
      </c>
      <c r="D1799" t="s">
        <v>692</v>
      </c>
      <c r="E1799">
        <v>104</v>
      </c>
      <c r="F1799">
        <v>12</v>
      </c>
      <c r="G1799">
        <v>65</v>
      </c>
      <c r="H1799">
        <v>22217</v>
      </c>
    </row>
    <row r="1800" spans="1:8" x14ac:dyDescent="0.25">
      <c r="A1800">
        <v>57</v>
      </c>
      <c r="B1800" s="19">
        <v>45367</v>
      </c>
      <c r="C1800" s="1" t="s">
        <v>34</v>
      </c>
      <c r="D1800" t="s">
        <v>692</v>
      </c>
      <c r="E1800">
        <v>105</v>
      </c>
      <c r="F1800">
        <v>15</v>
      </c>
      <c r="G1800">
        <v>10</v>
      </c>
      <c r="H1800">
        <v>35804</v>
      </c>
    </row>
    <row r="1801" spans="1:8" x14ac:dyDescent="0.25">
      <c r="A1801">
        <v>57</v>
      </c>
      <c r="B1801" s="19">
        <v>44601</v>
      </c>
      <c r="C1801" s="1" t="s">
        <v>34</v>
      </c>
      <c r="D1801" t="s">
        <v>694</v>
      </c>
      <c r="E1801">
        <v>108</v>
      </c>
      <c r="F1801">
        <v>12</v>
      </c>
      <c r="G1801">
        <v>54</v>
      </c>
      <c r="H1801">
        <v>35622</v>
      </c>
    </row>
    <row r="1802" spans="1:8" x14ac:dyDescent="0.25">
      <c r="A1802">
        <v>57</v>
      </c>
      <c r="B1802" s="19">
        <v>45655</v>
      </c>
      <c r="C1802" s="1" t="s">
        <v>35</v>
      </c>
      <c r="D1802" t="s">
        <v>694</v>
      </c>
      <c r="E1802">
        <v>104</v>
      </c>
      <c r="F1802">
        <v>15</v>
      </c>
      <c r="G1802">
        <v>73</v>
      </c>
      <c r="H1802">
        <v>29656</v>
      </c>
    </row>
    <row r="1803" spans="1:8" x14ac:dyDescent="0.25">
      <c r="A1803">
        <v>57</v>
      </c>
      <c r="B1803" s="19">
        <v>45249</v>
      </c>
      <c r="C1803" s="1" t="s">
        <v>36</v>
      </c>
      <c r="D1803" t="s">
        <v>694</v>
      </c>
      <c r="E1803">
        <v>101</v>
      </c>
      <c r="F1803">
        <v>11</v>
      </c>
      <c r="G1803">
        <v>76</v>
      </c>
      <c r="H1803">
        <v>13171</v>
      </c>
    </row>
    <row r="1804" spans="1:8" x14ac:dyDescent="0.25">
      <c r="A1804">
        <v>58</v>
      </c>
      <c r="B1804" s="19">
        <v>44025</v>
      </c>
      <c r="C1804" s="1" t="s">
        <v>34</v>
      </c>
      <c r="D1804" t="s">
        <v>690</v>
      </c>
      <c r="E1804">
        <v>104</v>
      </c>
      <c r="F1804">
        <v>15</v>
      </c>
      <c r="G1804">
        <v>41</v>
      </c>
      <c r="H1804">
        <v>10345</v>
      </c>
    </row>
    <row r="1805" spans="1:8" x14ac:dyDescent="0.25">
      <c r="A1805">
        <v>58</v>
      </c>
      <c r="B1805" s="19">
        <v>45268</v>
      </c>
      <c r="C1805" s="1" t="s">
        <v>36</v>
      </c>
      <c r="D1805" t="s">
        <v>690</v>
      </c>
      <c r="E1805">
        <v>109</v>
      </c>
      <c r="F1805">
        <v>13</v>
      </c>
      <c r="G1805">
        <v>16</v>
      </c>
      <c r="H1805">
        <v>25278</v>
      </c>
    </row>
    <row r="1806" spans="1:8" x14ac:dyDescent="0.25">
      <c r="A1806">
        <v>58</v>
      </c>
      <c r="B1806" s="19">
        <v>45585</v>
      </c>
      <c r="C1806" s="1" t="s">
        <v>34</v>
      </c>
      <c r="D1806" t="s">
        <v>690</v>
      </c>
      <c r="E1806">
        <v>103</v>
      </c>
      <c r="F1806">
        <v>15</v>
      </c>
      <c r="G1806">
        <v>22</v>
      </c>
      <c r="H1806">
        <v>28254</v>
      </c>
    </row>
    <row r="1807" spans="1:8" x14ac:dyDescent="0.25">
      <c r="A1807">
        <v>58</v>
      </c>
      <c r="B1807" s="19">
        <v>44538</v>
      </c>
      <c r="C1807" s="1" t="s">
        <v>35</v>
      </c>
      <c r="D1807" t="s">
        <v>691</v>
      </c>
      <c r="E1807">
        <v>105</v>
      </c>
      <c r="F1807">
        <v>11</v>
      </c>
      <c r="G1807">
        <v>99</v>
      </c>
      <c r="H1807">
        <v>28009</v>
      </c>
    </row>
    <row r="1808" spans="1:8" x14ac:dyDescent="0.25">
      <c r="A1808">
        <v>58</v>
      </c>
      <c r="B1808" s="19">
        <v>44287</v>
      </c>
      <c r="C1808" s="1" t="s">
        <v>36</v>
      </c>
      <c r="D1808" t="s">
        <v>691</v>
      </c>
      <c r="E1808">
        <v>102</v>
      </c>
      <c r="F1808">
        <v>13</v>
      </c>
      <c r="G1808">
        <v>58</v>
      </c>
      <c r="H1808">
        <v>33676</v>
      </c>
    </row>
    <row r="1809" spans="1:8" x14ac:dyDescent="0.25">
      <c r="A1809">
        <v>58</v>
      </c>
      <c r="B1809" s="19">
        <v>43860</v>
      </c>
      <c r="C1809" s="1" t="s">
        <v>36</v>
      </c>
      <c r="D1809" t="s">
        <v>700</v>
      </c>
      <c r="E1809">
        <v>109</v>
      </c>
      <c r="F1809">
        <v>12</v>
      </c>
      <c r="G1809">
        <v>73</v>
      </c>
      <c r="H1809">
        <v>24590</v>
      </c>
    </row>
    <row r="1810" spans="1:8" x14ac:dyDescent="0.25">
      <c r="A1810">
        <v>58</v>
      </c>
      <c r="B1810" s="19">
        <v>43839</v>
      </c>
      <c r="C1810" s="1" t="s">
        <v>34</v>
      </c>
      <c r="D1810" t="s">
        <v>700</v>
      </c>
      <c r="E1810">
        <v>102</v>
      </c>
      <c r="F1810">
        <v>14</v>
      </c>
      <c r="G1810">
        <v>94</v>
      </c>
      <c r="H1810">
        <v>23618</v>
      </c>
    </row>
    <row r="1811" spans="1:8" x14ac:dyDescent="0.25">
      <c r="A1811">
        <v>58</v>
      </c>
      <c r="B1811" s="19">
        <v>44628</v>
      </c>
      <c r="C1811" s="1" t="s">
        <v>36</v>
      </c>
      <c r="D1811" t="s">
        <v>700</v>
      </c>
      <c r="E1811">
        <v>109</v>
      </c>
      <c r="F1811">
        <v>11</v>
      </c>
      <c r="G1811">
        <v>77</v>
      </c>
      <c r="H1811">
        <v>18500</v>
      </c>
    </row>
    <row r="1812" spans="1:8" x14ac:dyDescent="0.25">
      <c r="A1812">
        <v>58</v>
      </c>
      <c r="B1812" s="19">
        <v>44312</v>
      </c>
      <c r="C1812" s="1" t="s">
        <v>33</v>
      </c>
      <c r="D1812" t="s">
        <v>700</v>
      </c>
      <c r="E1812">
        <v>102</v>
      </c>
      <c r="F1812">
        <v>14</v>
      </c>
      <c r="G1812">
        <v>17</v>
      </c>
      <c r="H1812">
        <v>28952</v>
      </c>
    </row>
    <row r="1813" spans="1:8" x14ac:dyDescent="0.25">
      <c r="A1813">
        <v>58</v>
      </c>
      <c r="B1813" s="19">
        <v>44503</v>
      </c>
      <c r="C1813" s="1" t="s">
        <v>34</v>
      </c>
      <c r="D1813" t="s">
        <v>696</v>
      </c>
      <c r="E1813">
        <v>101</v>
      </c>
      <c r="F1813">
        <v>11</v>
      </c>
      <c r="G1813">
        <v>100</v>
      </c>
      <c r="H1813">
        <v>14471</v>
      </c>
    </row>
    <row r="1814" spans="1:8" x14ac:dyDescent="0.25">
      <c r="A1814">
        <v>58</v>
      </c>
      <c r="B1814" s="19">
        <v>45516</v>
      </c>
      <c r="C1814" s="1" t="s">
        <v>34</v>
      </c>
      <c r="D1814" t="s">
        <v>696</v>
      </c>
      <c r="E1814">
        <v>101</v>
      </c>
      <c r="F1814">
        <v>12</v>
      </c>
      <c r="G1814">
        <v>97</v>
      </c>
      <c r="H1814">
        <v>38222</v>
      </c>
    </row>
    <row r="1815" spans="1:8" x14ac:dyDescent="0.25">
      <c r="A1815">
        <v>58</v>
      </c>
      <c r="B1815" s="19">
        <v>44010</v>
      </c>
      <c r="C1815" s="1" t="s">
        <v>35</v>
      </c>
      <c r="D1815" t="s">
        <v>696</v>
      </c>
      <c r="E1815">
        <v>101</v>
      </c>
      <c r="F1815">
        <v>12</v>
      </c>
      <c r="G1815">
        <v>97</v>
      </c>
      <c r="H1815">
        <v>17956</v>
      </c>
    </row>
    <row r="1816" spans="1:8" x14ac:dyDescent="0.25">
      <c r="A1816">
        <v>58</v>
      </c>
      <c r="B1816" s="19">
        <v>45260</v>
      </c>
      <c r="C1816" s="1" t="s">
        <v>35</v>
      </c>
      <c r="D1816" t="s">
        <v>697</v>
      </c>
      <c r="E1816">
        <v>103</v>
      </c>
      <c r="F1816">
        <v>11</v>
      </c>
      <c r="G1816">
        <v>71</v>
      </c>
      <c r="H1816">
        <v>40564</v>
      </c>
    </row>
    <row r="1817" spans="1:8" x14ac:dyDescent="0.25">
      <c r="A1817">
        <v>58</v>
      </c>
      <c r="B1817" s="19">
        <v>44177</v>
      </c>
      <c r="C1817" s="1" t="s">
        <v>34</v>
      </c>
      <c r="D1817" t="s">
        <v>698</v>
      </c>
      <c r="E1817">
        <v>105</v>
      </c>
      <c r="F1817">
        <v>12</v>
      </c>
      <c r="G1817">
        <v>71</v>
      </c>
      <c r="H1817">
        <v>24730</v>
      </c>
    </row>
    <row r="1818" spans="1:8" x14ac:dyDescent="0.25">
      <c r="A1818">
        <v>58</v>
      </c>
      <c r="B1818" s="19">
        <v>44569</v>
      </c>
      <c r="C1818" s="1" t="s">
        <v>35</v>
      </c>
      <c r="D1818" t="s">
        <v>698</v>
      </c>
      <c r="E1818">
        <v>109</v>
      </c>
      <c r="F1818">
        <v>14</v>
      </c>
      <c r="G1818">
        <v>77</v>
      </c>
      <c r="H1818">
        <v>27983</v>
      </c>
    </row>
    <row r="1819" spans="1:8" x14ac:dyDescent="0.25">
      <c r="A1819">
        <v>58</v>
      </c>
      <c r="B1819" s="19">
        <v>44811</v>
      </c>
      <c r="C1819" s="1" t="s">
        <v>34</v>
      </c>
      <c r="D1819" t="s">
        <v>699</v>
      </c>
      <c r="E1819">
        <v>105</v>
      </c>
      <c r="F1819">
        <v>12</v>
      </c>
      <c r="G1819">
        <v>5</v>
      </c>
      <c r="H1819">
        <v>22309</v>
      </c>
    </row>
    <row r="1820" spans="1:8" x14ac:dyDescent="0.25">
      <c r="A1820">
        <v>58</v>
      </c>
      <c r="B1820" s="19">
        <v>45421</v>
      </c>
      <c r="C1820" s="1" t="s">
        <v>35</v>
      </c>
      <c r="D1820" t="s">
        <v>699</v>
      </c>
      <c r="E1820">
        <v>102</v>
      </c>
      <c r="F1820">
        <v>14</v>
      </c>
      <c r="G1820">
        <v>61</v>
      </c>
      <c r="H1820">
        <v>28489</v>
      </c>
    </row>
    <row r="1821" spans="1:8" x14ac:dyDescent="0.25">
      <c r="A1821">
        <v>58</v>
      </c>
      <c r="B1821" s="19">
        <v>44702</v>
      </c>
      <c r="C1821" s="1" t="s">
        <v>34</v>
      </c>
      <c r="D1821" t="s">
        <v>699</v>
      </c>
      <c r="E1821">
        <v>109</v>
      </c>
      <c r="F1821">
        <v>12</v>
      </c>
      <c r="G1821">
        <v>48</v>
      </c>
      <c r="H1821">
        <v>48503</v>
      </c>
    </row>
    <row r="1822" spans="1:8" x14ac:dyDescent="0.25">
      <c r="A1822">
        <v>58</v>
      </c>
      <c r="B1822" s="19">
        <v>44077</v>
      </c>
      <c r="C1822" s="1" t="s">
        <v>35</v>
      </c>
      <c r="D1822" t="s">
        <v>695</v>
      </c>
      <c r="E1822">
        <v>103</v>
      </c>
      <c r="F1822">
        <v>15</v>
      </c>
      <c r="G1822">
        <v>54</v>
      </c>
      <c r="H1822">
        <v>37979</v>
      </c>
    </row>
    <row r="1823" spans="1:8" x14ac:dyDescent="0.25">
      <c r="A1823">
        <v>58</v>
      </c>
      <c r="B1823" s="19">
        <v>44978</v>
      </c>
      <c r="C1823" s="1" t="s">
        <v>34</v>
      </c>
      <c r="D1823" t="s">
        <v>695</v>
      </c>
      <c r="E1823">
        <v>103</v>
      </c>
      <c r="F1823">
        <v>13</v>
      </c>
      <c r="G1823">
        <v>9</v>
      </c>
      <c r="H1823">
        <v>34278</v>
      </c>
    </row>
    <row r="1824" spans="1:8" x14ac:dyDescent="0.25">
      <c r="A1824">
        <v>58</v>
      </c>
      <c r="B1824" s="19">
        <v>45275</v>
      </c>
      <c r="C1824" s="1" t="s">
        <v>35</v>
      </c>
      <c r="D1824" t="s">
        <v>695</v>
      </c>
      <c r="E1824">
        <v>102</v>
      </c>
      <c r="F1824">
        <v>14</v>
      </c>
      <c r="G1824">
        <v>79</v>
      </c>
      <c r="H1824">
        <v>12323</v>
      </c>
    </row>
    <row r="1825" spans="1:8" x14ac:dyDescent="0.25">
      <c r="A1825">
        <v>58</v>
      </c>
      <c r="B1825" s="19">
        <v>45591</v>
      </c>
      <c r="C1825" s="1" t="s">
        <v>34</v>
      </c>
      <c r="D1825" t="s">
        <v>695</v>
      </c>
      <c r="E1825">
        <v>103</v>
      </c>
      <c r="F1825">
        <v>15</v>
      </c>
      <c r="G1825">
        <v>33</v>
      </c>
      <c r="H1825">
        <v>24656</v>
      </c>
    </row>
    <row r="1826" spans="1:8" x14ac:dyDescent="0.25">
      <c r="A1826">
        <v>58</v>
      </c>
      <c r="B1826" s="19">
        <v>44547</v>
      </c>
      <c r="C1826" s="1" t="s">
        <v>33</v>
      </c>
      <c r="D1826" t="s">
        <v>695</v>
      </c>
      <c r="E1826">
        <v>108</v>
      </c>
      <c r="F1826">
        <v>14</v>
      </c>
      <c r="G1826">
        <v>5</v>
      </c>
      <c r="H1826">
        <v>38799</v>
      </c>
    </row>
    <row r="1827" spans="1:8" x14ac:dyDescent="0.25">
      <c r="A1827">
        <v>58</v>
      </c>
      <c r="B1827" s="19">
        <v>44437</v>
      </c>
      <c r="C1827" s="1" t="s">
        <v>33</v>
      </c>
      <c r="D1827" t="s">
        <v>695</v>
      </c>
      <c r="E1827">
        <v>104</v>
      </c>
      <c r="F1827">
        <v>12</v>
      </c>
      <c r="G1827">
        <v>72</v>
      </c>
      <c r="H1827">
        <v>47043</v>
      </c>
    </row>
    <row r="1828" spans="1:8" x14ac:dyDescent="0.25">
      <c r="A1828">
        <v>58</v>
      </c>
      <c r="B1828" s="19">
        <v>44553</v>
      </c>
      <c r="C1828" s="1" t="s">
        <v>34</v>
      </c>
      <c r="D1828" t="s">
        <v>692</v>
      </c>
      <c r="E1828">
        <v>105</v>
      </c>
      <c r="F1828">
        <v>13</v>
      </c>
      <c r="G1828">
        <v>97</v>
      </c>
      <c r="H1828">
        <v>17352</v>
      </c>
    </row>
    <row r="1829" spans="1:8" x14ac:dyDescent="0.25">
      <c r="A1829">
        <v>58</v>
      </c>
      <c r="B1829" s="19">
        <v>44061</v>
      </c>
      <c r="C1829" s="1" t="s">
        <v>35</v>
      </c>
      <c r="D1829" t="s">
        <v>692</v>
      </c>
      <c r="E1829">
        <v>105</v>
      </c>
      <c r="F1829">
        <v>11</v>
      </c>
      <c r="G1829">
        <v>50</v>
      </c>
      <c r="H1829">
        <v>42791</v>
      </c>
    </row>
    <row r="1830" spans="1:8" x14ac:dyDescent="0.25">
      <c r="A1830">
        <v>58</v>
      </c>
      <c r="B1830" s="19">
        <v>44035</v>
      </c>
      <c r="C1830" s="1" t="s">
        <v>36</v>
      </c>
      <c r="D1830" t="s">
        <v>692</v>
      </c>
      <c r="E1830">
        <v>108</v>
      </c>
      <c r="F1830">
        <v>12</v>
      </c>
      <c r="G1830">
        <v>46</v>
      </c>
      <c r="H1830">
        <v>36902</v>
      </c>
    </row>
    <row r="1831" spans="1:8" x14ac:dyDescent="0.25">
      <c r="A1831">
        <v>58</v>
      </c>
      <c r="B1831" s="19">
        <v>45553</v>
      </c>
      <c r="C1831" s="1" t="s">
        <v>33</v>
      </c>
      <c r="D1831" t="s">
        <v>693</v>
      </c>
      <c r="E1831">
        <v>103</v>
      </c>
      <c r="F1831">
        <v>11</v>
      </c>
      <c r="G1831">
        <v>13</v>
      </c>
      <c r="H1831">
        <v>28942</v>
      </c>
    </row>
    <row r="1832" spans="1:8" x14ac:dyDescent="0.25">
      <c r="A1832">
        <v>58</v>
      </c>
      <c r="B1832" s="19">
        <v>45085</v>
      </c>
      <c r="C1832" s="1" t="s">
        <v>34</v>
      </c>
      <c r="D1832" t="s">
        <v>693</v>
      </c>
      <c r="E1832">
        <v>109</v>
      </c>
      <c r="F1832">
        <v>14</v>
      </c>
      <c r="G1832">
        <v>82</v>
      </c>
      <c r="H1832">
        <v>32519</v>
      </c>
    </row>
    <row r="1833" spans="1:8" x14ac:dyDescent="0.25">
      <c r="A1833">
        <v>58</v>
      </c>
      <c r="B1833" s="19">
        <v>44841</v>
      </c>
      <c r="C1833" s="1" t="s">
        <v>33</v>
      </c>
      <c r="D1833" t="s">
        <v>693</v>
      </c>
      <c r="E1833">
        <v>107</v>
      </c>
      <c r="F1833">
        <v>14</v>
      </c>
      <c r="G1833">
        <v>88</v>
      </c>
      <c r="H1833">
        <v>22754</v>
      </c>
    </row>
    <row r="1834" spans="1:8" x14ac:dyDescent="0.25">
      <c r="A1834">
        <v>58</v>
      </c>
      <c r="B1834" s="19">
        <v>45491</v>
      </c>
      <c r="C1834" s="1" t="s">
        <v>35</v>
      </c>
      <c r="D1834" t="s">
        <v>694</v>
      </c>
      <c r="E1834">
        <v>104</v>
      </c>
      <c r="F1834">
        <v>15</v>
      </c>
      <c r="G1834">
        <v>64</v>
      </c>
      <c r="H1834">
        <v>16078</v>
      </c>
    </row>
    <row r="1835" spans="1:8" x14ac:dyDescent="0.25">
      <c r="A1835">
        <v>58</v>
      </c>
      <c r="B1835" s="19">
        <v>45055</v>
      </c>
      <c r="C1835" s="1" t="s">
        <v>34</v>
      </c>
      <c r="D1835" t="s">
        <v>694</v>
      </c>
      <c r="E1835">
        <v>101</v>
      </c>
      <c r="F1835">
        <v>15</v>
      </c>
      <c r="G1835">
        <v>82</v>
      </c>
      <c r="H1835">
        <v>47326</v>
      </c>
    </row>
    <row r="1836" spans="1:8" x14ac:dyDescent="0.25">
      <c r="A1836">
        <v>58</v>
      </c>
      <c r="B1836" s="19">
        <v>44615</v>
      </c>
      <c r="C1836" s="1" t="s">
        <v>36</v>
      </c>
      <c r="D1836" t="s">
        <v>694</v>
      </c>
      <c r="E1836">
        <v>105</v>
      </c>
      <c r="F1836">
        <v>14</v>
      </c>
      <c r="G1836">
        <v>39</v>
      </c>
      <c r="H1836">
        <v>27573</v>
      </c>
    </row>
    <row r="1837" spans="1:8" x14ac:dyDescent="0.25">
      <c r="A1837">
        <v>58</v>
      </c>
      <c r="B1837" s="19">
        <v>44698</v>
      </c>
      <c r="C1837" s="1" t="s">
        <v>36</v>
      </c>
      <c r="D1837" t="s">
        <v>694</v>
      </c>
      <c r="E1837">
        <v>103</v>
      </c>
      <c r="F1837">
        <v>14</v>
      </c>
      <c r="G1837">
        <v>24</v>
      </c>
      <c r="H1837">
        <v>45041</v>
      </c>
    </row>
    <row r="1838" spans="1:8" x14ac:dyDescent="0.25">
      <c r="A1838">
        <v>58</v>
      </c>
      <c r="B1838" s="19">
        <v>44963</v>
      </c>
      <c r="C1838" s="1" t="s">
        <v>34</v>
      </c>
      <c r="D1838" t="s">
        <v>694</v>
      </c>
      <c r="E1838">
        <v>106</v>
      </c>
      <c r="F1838">
        <v>14</v>
      </c>
      <c r="G1838">
        <v>66</v>
      </c>
      <c r="H1838">
        <v>42837</v>
      </c>
    </row>
    <row r="1839" spans="1:8" x14ac:dyDescent="0.25">
      <c r="A1839">
        <v>59</v>
      </c>
      <c r="B1839" s="19">
        <v>45152</v>
      </c>
      <c r="C1839" s="1" t="s">
        <v>34</v>
      </c>
      <c r="D1839" t="s">
        <v>690</v>
      </c>
      <c r="E1839">
        <v>103</v>
      </c>
      <c r="F1839">
        <v>15</v>
      </c>
      <c r="G1839">
        <v>18</v>
      </c>
      <c r="H1839">
        <v>29829</v>
      </c>
    </row>
    <row r="1840" spans="1:8" x14ac:dyDescent="0.25">
      <c r="A1840">
        <v>59</v>
      </c>
      <c r="B1840" s="19">
        <v>44911</v>
      </c>
      <c r="C1840" s="1" t="s">
        <v>36</v>
      </c>
      <c r="D1840" t="s">
        <v>691</v>
      </c>
      <c r="E1840">
        <v>107</v>
      </c>
      <c r="F1840">
        <v>15</v>
      </c>
      <c r="G1840">
        <v>24</v>
      </c>
      <c r="H1840">
        <v>43819</v>
      </c>
    </row>
    <row r="1841" spans="1:8" x14ac:dyDescent="0.25">
      <c r="A1841">
        <v>59</v>
      </c>
      <c r="B1841" s="19">
        <v>43859</v>
      </c>
      <c r="C1841" s="1" t="s">
        <v>36</v>
      </c>
      <c r="D1841" t="s">
        <v>691</v>
      </c>
      <c r="E1841">
        <v>101</v>
      </c>
      <c r="F1841">
        <v>11</v>
      </c>
      <c r="G1841">
        <v>68</v>
      </c>
      <c r="H1841">
        <v>23520</v>
      </c>
    </row>
    <row r="1842" spans="1:8" x14ac:dyDescent="0.25">
      <c r="A1842">
        <v>59</v>
      </c>
      <c r="B1842" s="19">
        <v>44196</v>
      </c>
      <c r="C1842" s="1" t="s">
        <v>34</v>
      </c>
      <c r="D1842" t="s">
        <v>700</v>
      </c>
      <c r="E1842">
        <v>104</v>
      </c>
      <c r="F1842">
        <v>14</v>
      </c>
      <c r="G1842">
        <v>5</v>
      </c>
      <c r="H1842">
        <v>42610</v>
      </c>
    </row>
    <row r="1843" spans="1:8" x14ac:dyDescent="0.25">
      <c r="A1843">
        <v>59</v>
      </c>
      <c r="B1843" s="19">
        <v>45657</v>
      </c>
      <c r="C1843" s="1" t="s">
        <v>33</v>
      </c>
      <c r="D1843" t="s">
        <v>700</v>
      </c>
      <c r="E1843">
        <v>104</v>
      </c>
      <c r="F1843">
        <v>15</v>
      </c>
      <c r="G1843">
        <v>78</v>
      </c>
      <c r="H1843">
        <v>13991</v>
      </c>
    </row>
    <row r="1844" spans="1:8" x14ac:dyDescent="0.25">
      <c r="A1844">
        <v>59</v>
      </c>
      <c r="B1844" s="19">
        <v>44337</v>
      </c>
      <c r="C1844" s="1" t="s">
        <v>35</v>
      </c>
      <c r="D1844" t="s">
        <v>700</v>
      </c>
      <c r="E1844">
        <v>103</v>
      </c>
      <c r="F1844">
        <v>14</v>
      </c>
      <c r="G1844">
        <v>16</v>
      </c>
      <c r="H1844">
        <v>44617</v>
      </c>
    </row>
    <row r="1845" spans="1:8" x14ac:dyDescent="0.25">
      <c r="A1845">
        <v>59</v>
      </c>
      <c r="B1845" s="19">
        <v>45182</v>
      </c>
      <c r="C1845" s="1" t="s">
        <v>34</v>
      </c>
      <c r="D1845" t="s">
        <v>700</v>
      </c>
      <c r="E1845">
        <v>103</v>
      </c>
      <c r="F1845">
        <v>14</v>
      </c>
      <c r="G1845">
        <v>58</v>
      </c>
      <c r="H1845">
        <v>21630</v>
      </c>
    </row>
    <row r="1846" spans="1:8" x14ac:dyDescent="0.25">
      <c r="A1846">
        <v>59</v>
      </c>
      <c r="B1846" s="19">
        <v>45435</v>
      </c>
      <c r="C1846" s="1" t="s">
        <v>35</v>
      </c>
      <c r="D1846" t="s">
        <v>696</v>
      </c>
      <c r="E1846">
        <v>103</v>
      </c>
      <c r="F1846">
        <v>14</v>
      </c>
      <c r="G1846">
        <v>51</v>
      </c>
      <c r="H1846">
        <v>37889</v>
      </c>
    </row>
    <row r="1847" spans="1:8" x14ac:dyDescent="0.25">
      <c r="A1847">
        <v>59</v>
      </c>
      <c r="B1847" s="19">
        <v>45561</v>
      </c>
      <c r="C1847" s="1" t="s">
        <v>35</v>
      </c>
      <c r="D1847" t="s">
        <v>697</v>
      </c>
      <c r="E1847">
        <v>105</v>
      </c>
      <c r="F1847">
        <v>14</v>
      </c>
      <c r="G1847">
        <v>61</v>
      </c>
      <c r="H1847">
        <v>15493</v>
      </c>
    </row>
    <row r="1848" spans="1:8" x14ac:dyDescent="0.25">
      <c r="A1848">
        <v>59</v>
      </c>
      <c r="B1848" s="19">
        <v>45037</v>
      </c>
      <c r="C1848" s="1" t="s">
        <v>34</v>
      </c>
      <c r="D1848" t="s">
        <v>698</v>
      </c>
      <c r="E1848">
        <v>109</v>
      </c>
      <c r="F1848">
        <v>15</v>
      </c>
      <c r="G1848">
        <v>75</v>
      </c>
      <c r="H1848">
        <v>39192</v>
      </c>
    </row>
    <row r="1849" spans="1:8" x14ac:dyDescent="0.25">
      <c r="A1849">
        <v>59</v>
      </c>
      <c r="B1849" s="19">
        <v>45425</v>
      </c>
      <c r="C1849" s="1" t="s">
        <v>33</v>
      </c>
      <c r="D1849" t="s">
        <v>698</v>
      </c>
      <c r="E1849">
        <v>105</v>
      </c>
      <c r="F1849">
        <v>14</v>
      </c>
      <c r="G1849">
        <v>100</v>
      </c>
      <c r="H1849">
        <v>12172</v>
      </c>
    </row>
    <row r="1850" spans="1:8" x14ac:dyDescent="0.25">
      <c r="A1850">
        <v>59</v>
      </c>
      <c r="B1850" s="19">
        <v>45295</v>
      </c>
      <c r="C1850" s="1" t="s">
        <v>34</v>
      </c>
      <c r="D1850" t="s">
        <v>698</v>
      </c>
      <c r="E1850">
        <v>105</v>
      </c>
      <c r="F1850">
        <v>13</v>
      </c>
      <c r="G1850">
        <v>68</v>
      </c>
      <c r="H1850">
        <v>27739</v>
      </c>
    </row>
    <row r="1851" spans="1:8" x14ac:dyDescent="0.25">
      <c r="A1851">
        <v>59</v>
      </c>
      <c r="B1851" s="19">
        <v>45656</v>
      </c>
      <c r="C1851" s="1" t="s">
        <v>33</v>
      </c>
      <c r="D1851" t="s">
        <v>698</v>
      </c>
      <c r="E1851">
        <v>103</v>
      </c>
      <c r="F1851">
        <v>15</v>
      </c>
      <c r="G1851">
        <v>10</v>
      </c>
      <c r="H1851">
        <v>36031</v>
      </c>
    </row>
    <row r="1852" spans="1:8" x14ac:dyDescent="0.25">
      <c r="A1852">
        <v>59</v>
      </c>
      <c r="B1852" s="19">
        <v>44922</v>
      </c>
      <c r="C1852" s="1" t="s">
        <v>35</v>
      </c>
      <c r="D1852" t="s">
        <v>698</v>
      </c>
      <c r="E1852">
        <v>107</v>
      </c>
      <c r="F1852">
        <v>11</v>
      </c>
      <c r="G1852">
        <v>85</v>
      </c>
      <c r="H1852">
        <v>31032</v>
      </c>
    </row>
    <row r="1853" spans="1:8" x14ac:dyDescent="0.25">
      <c r="A1853">
        <v>59</v>
      </c>
      <c r="B1853" s="19">
        <v>44811</v>
      </c>
      <c r="C1853" s="1" t="s">
        <v>35</v>
      </c>
      <c r="D1853" t="s">
        <v>698</v>
      </c>
      <c r="E1853">
        <v>104</v>
      </c>
      <c r="F1853">
        <v>14</v>
      </c>
      <c r="G1853">
        <v>65</v>
      </c>
      <c r="H1853">
        <v>41684</v>
      </c>
    </row>
    <row r="1854" spans="1:8" x14ac:dyDescent="0.25">
      <c r="A1854">
        <v>59</v>
      </c>
      <c r="B1854" s="19">
        <v>45021</v>
      </c>
      <c r="C1854" s="1" t="s">
        <v>35</v>
      </c>
      <c r="D1854" t="s">
        <v>698</v>
      </c>
      <c r="E1854">
        <v>108</v>
      </c>
      <c r="F1854">
        <v>12</v>
      </c>
      <c r="G1854">
        <v>61</v>
      </c>
      <c r="H1854">
        <v>18108</v>
      </c>
    </row>
    <row r="1855" spans="1:8" x14ac:dyDescent="0.25">
      <c r="A1855">
        <v>59</v>
      </c>
      <c r="B1855" s="19">
        <v>45344</v>
      </c>
      <c r="C1855" s="1" t="s">
        <v>33</v>
      </c>
      <c r="D1855" t="s">
        <v>698</v>
      </c>
      <c r="E1855">
        <v>102</v>
      </c>
      <c r="F1855">
        <v>15</v>
      </c>
      <c r="G1855">
        <v>69</v>
      </c>
      <c r="H1855">
        <v>16137</v>
      </c>
    </row>
    <row r="1856" spans="1:8" x14ac:dyDescent="0.25">
      <c r="A1856">
        <v>59</v>
      </c>
      <c r="B1856" s="19">
        <v>45433</v>
      </c>
      <c r="C1856" s="1" t="s">
        <v>35</v>
      </c>
      <c r="D1856" t="s">
        <v>699</v>
      </c>
      <c r="E1856">
        <v>104</v>
      </c>
      <c r="F1856">
        <v>11</v>
      </c>
      <c r="G1856">
        <v>13</v>
      </c>
      <c r="H1856">
        <v>16446</v>
      </c>
    </row>
    <row r="1857" spans="1:8" x14ac:dyDescent="0.25">
      <c r="A1857">
        <v>59</v>
      </c>
      <c r="B1857" s="19">
        <v>44209</v>
      </c>
      <c r="C1857" s="1" t="s">
        <v>36</v>
      </c>
      <c r="D1857" t="s">
        <v>699</v>
      </c>
      <c r="E1857">
        <v>104</v>
      </c>
      <c r="F1857">
        <v>11</v>
      </c>
      <c r="G1857">
        <v>99</v>
      </c>
      <c r="H1857">
        <v>42184</v>
      </c>
    </row>
    <row r="1858" spans="1:8" x14ac:dyDescent="0.25">
      <c r="A1858">
        <v>59</v>
      </c>
      <c r="B1858" s="19">
        <v>45015</v>
      </c>
      <c r="C1858" s="1" t="s">
        <v>35</v>
      </c>
      <c r="D1858" t="s">
        <v>699</v>
      </c>
      <c r="E1858">
        <v>103</v>
      </c>
      <c r="F1858">
        <v>15</v>
      </c>
      <c r="G1858">
        <v>56</v>
      </c>
      <c r="H1858">
        <v>28095</v>
      </c>
    </row>
    <row r="1859" spans="1:8" x14ac:dyDescent="0.25">
      <c r="A1859">
        <v>59</v>
      </c>
      <c r="B1859" s="19">
        <v>45622</v>
      </c>
      <c r="C1859" s="1" t="s">
        <v>35</v>
      </c>
      <c r="D1859" t="s">
        <v>692</v>
      </c>
      <c r="E1859">
        <v>103</v>
      </c>
      <c r="F1859">
        <v>14</v>
      </c>
      <c r="G1859">
        <v>97</v>
      </c>
      <c r="H1859">
        <v>35334</v>
      </c>
    </row>
    <row r="1860" spans="1:8" x14ac:dyDescent="0.25">
      <c r="A1860">
        <v>59</v>
      </c>
      <c r="B1860" s="19">
        <v>45200</v>
      </c>
      <c r="C1860" s="1" t="s">
        <v>34</v>
      </c>
      <c r="D1860" t="s">
        <v>692</v>
      </c>
      <c r="E1860">
        <v>103</v>
      </c>
      <c r="F1860">
        <v>15</v>
      </c>
      <c r="G1860">
        <v>97</v>
      </c>
      <c r="H1860">
        <v>43277</v>
      </c>
    </row>
    <row r="1861" spans="1:8" x14ac:dyDescent="0.25">
      <c r="A1861">
        <v>59</v>
      </c>
      <c r="B1861" s="19">
        <v>45089</v>
      </c>
      <c r="C1861" s="1" t="s">
        <v>35</v>
      </c>
      <c r="D1861" t="s">
        <v>692</v>
      </c>
      <c r="E1861">
        <v>101</v>
      </c>
      <c r="F1861">
        <v>12</v>
      </c>
      <c r="G1861">
        <v>57</v>
      </c>
      <c r="H1861">
        <v>20139</v>
      </c>
    </row>
    <row r="1862" spans="1:8" x14ac:dyDescent="0.25">
      <c r="A1862">
        <v>59</v>
      </c>
      <c r="B1862" s="19">
        <v>44558</v>
      </c>
      <c r="C1862" s="1" t="s">
        <v>35</v>
      </c>
      <c r="D1862" t="s">
        <v>692</v>
      </c>
      <c r="E1862">
        <v>105</v>
      </c>
      <c r="F1862">
        <v>12</v>
      </c>
      <c r="G1862">
        <v>47</v>
      </c>
      <c r="H1862">
        <v>36445</v>
      </c>
    </row>
    <row r="1863" spans="1:8" x14ac:dyDescent="0.25">
      <c r="A1863">
        <v>59</v>
      </c>
      <c r="B1863" s="19">
        <v>45399</v>
      </c>
      <c r="C1863" s="1" t="s">
        <v>34</v>
      </c>
      <c r="D1863" t="s">
        <v>693</v>
      </c>
      <c r="E1863">
        <v>105</v>
      </c>
      <c r="F1863">
        <v>13</v>
      </c>
      <c r="G1863">
        <v>16</v>
      </c>
      <c r="H1863">
        <v>19747</v>
      </c>
    </row>
    <row r="1864" spans="1:8" x14ac:dyDescent="0.25">
      <c r="A1864">
        <v>59</v>
      </c>
      <c r="B1864" s="19">
        <v>44830</v>
      </c>
      <c r="C1864" s="1" t="s">
        <v>33</v>
      </c>
      <c r="D1864" t="s">
        <v>693</v>
      </c>
      <c r="E1864">
        <v>101</v>
      </c>
      <c r="F1864">
        <v>12</v>
      </c>
      <c r="G1864">
        <v>6</v>
      </c>
      <c r="H1864">
        <v>42334</v>
      </c>
    </row>
    <row r="1865" spans="1:8" x14ac:dyDescent="0.25">
      <c r="A1865">
        <v>59</v>
      </c>
      <c r="B1865" s="19">
        <v>44095</v>
      </c>
      <c r="C1865" s="1" t="s">
        <v>36</v>
      </c>
      <c r="D1865" t="s">
        <v>693</v>
      </c>
      <c r="E1865">
        <v>101</v>
      </c>
      <c r="F1865">
        <v>13</v>
      </c>
      <c r="G1865">
        <v>32</v>
      </c>
      <c r="H1865">
        <v>45310</v>
      </c>
    </row>
    <row r="1866" spans="1:8" x14ac:dyDescent="0.25">
      <c r="A1866">
        <v>59</v>
      </c>
      <c r="B1866" s="19">
        <v>45126</v>
      </c>
      <c r="C1866" s="1" t="s">
        <v>33</v>
      </c>
      <c r="D1866" t="s">
        <v>694</v>
      </c>
      <c r="E1866">
        <v>101</v>
      </c>
      <c r="F1866">
        <v>15</v>
      </c>
      <c r="G1866">
        <v>67</v>
      </c>
      <c r="H1866">
        <v>33863</v>
      </c>
    </row>
    <row r="1867" spans="1:8" x14ac:dyDescent="0.25">
      <c r="A1867">
        <v>59</v>
      </c>
      <c r="B1867" s="19">
        <v>44643</v>
      </c>
      <c r="C1867" s="1" t="s">
        <v>33</v>
      </c>
      <c r="D1867" t="s">
        <v>694</v>
      </c>
      <c r="E1867">
        <v>103</v>
      </c>
      <c r="F1867">
        <v>15</v>
      </c>
      <c r="G1867">
        <v>10</v>
      </c>
      <c r="H1867">
        <v>34899</v>
      </c>
    </row>
    <row r="1868" spans="1:8" x14ac:dyDescent="0.25">
      <c r="A1868">
        <v>59</v>
      </c>
      <c r="B1868" s="19">
        <v>45241</v>
      </c>
      <c r="C1868" s="1" t="s">
        <v>35</v>
      </c>
      <c r="D1868" t="s">
        <v>694</v>
      </c>
      <c r="E1868">
        <v>104</v>
      </c>
      <c r="F1868">
        <v>12</v>
      </c>
      <c r="G1868">
        <v>11</v>
      </c>
      <c r="H1868">
        <v>18124</v>
      </c>
    </row>
    <row r="1869" spans="1:8" x14ac:dyDescent="0.25">
      <c r="A1869">
        <v>60</v>
      </c>
      <c r="B1869" s="19">
        <v>45175</v>
      </c>
      <c r="C1869" s="1" t="s">
        <v>34</v>
      </c>
      <c r="D1869" t="s">
        <v>690</v>
      </c>
      <c r="E1869">
        <v>105</v>
      </c>
      <c r="F1869">
        <v>14</v>
      </c>
      <c r="G1869">
        <v>92</v>
      </c>
      <c r="H1869">
        <v>35546</v>
      </c>
    </row>
    <row r="1870" spans="1:8" x14ac:dyDescent="0.25">
      <c r="A1870">
        <v>60</v>
      </c>
      <c r="B1870" s="19">
        <v>44330</v>
      </c>
      <c r="C1870" s="1" t="s">
        <v>34</v>
      </c>
      <c r="D1870" t="s">
        <v>690</v>
      </c>
      <c r="E1870">
        <v>105</v>
      </c>
      <c r="F1870">
        <v>14</v>
      </c>
      <c r="G1870">
        <v>64</v>
      </c>
      <c r="H1870">
        <v>38969</v>
      </c>
    </row>
    <row r="1871" spans="1:8" x14ac:dyDescent="0.25">
      <c r="A1871">
        <v>60</v>
      </c>
      <c r="B1871" s="19">
        <v>44272</v>
      </c>
      <c r="C1871" s="1" t="s">
        <v>35</v>
      </c>
      <c r="D1871" t="s">
        <v>690</v>
      </c>
      <c r="E1871">
        <v>107</v>
      </c>
      <c r="F1871">
        <v>14</v>
      </c>
      <c r="G1871">
        <v>57</v>
      </c>
      <c r="H1871">
        <v>28282</v>
      </c>
    </row>
    <row r="1872" spans="1:8" x14ac:dyDescent="0.25">
      <c r="A1872">
        <v>60</v>
      </c>
      <c r="B1872" s="19">
        <v>44404</v>
      </c>
      <c r="C1872" s="1" t="s">
        <v>36</v>
      </c>
      <c r="D1872" t="s">
        <v>690</v>
      </c>
      <c r="E1872">
        <v>103</v>
      </c>
      <c r="F1872">
        <v>13</v>
      </c>
      <c r="G1872">
        <v>54</v>
      </c>
      <c r="H1872">
        <v>35036</v>
      </c>
    </row>
    <row r="1873" spans="1:8" x14ac:dyDescent="0.25">
      <c r="A1873">
        <v>60</v>
      </c>
      <c r="B1873" s="19">
        <v>44279</v>
      </c>
      <c r="C1873" s="1" t="s">
        <v>34</v>
      </c>
      <c r="D1873" t="s">
        <v>690</v>
      </c>
      <c r="E1873">
        <v>105</v>
      </c>
      <c r="F1873">
        <v>12</v>
      </c>
      <c r="G1873">
        <v>19</v>
      </c>
      <c r="H1873">
        <v>47497</v>
      </c>
    </row>
    <row r="1874" spans="1:8" x14ac:dyDescent="0.25">
      <c r="A1874">
        <v>60</v>
      </c>
      <c r="B1874" s="19">
        <v>44341</v>
      </c>
      <c r="C1874" s="1" t="s">
        <v>34</v>
      </c>
      <c r="D1874" t="s">
        <v>691</v>
      </c>
      <c r="E1874">
        <v>103</v>
      </c>
      <c r="F1874">
        <v>14</v>
      </c>
      <c r="G1874">
        <v>58</v>
      </c>
      <c r="H1874">
        <v>42835</v>
      </c>
    </row>
    <row r="1875" spans="1:8" x14ac:dyDescent="0.25">
      <c r="A1875">
        <v>60</v>
      </c>
      <c r="B1875" s="19">
        <v>45011</v>
      </c>
      <c r="C1875" s="1" t="s">
        <v>34</v>
      </c>
      <c r="D1875" t="s">
        <v>691</v>
      </c>
      <c r="E1875">
        <v>105</v>
      </c>
      <c r="F1875">
        <v>15</v>
      </c>
      <c r="G1875">
        <v>60</v>
      </c>
      <c r="H1875">
        <v>20908</v>
      </c>
    </row>
    <row r="1876" spans="1:8" x14ac:dyDescent="0.25">
      <c r="A1876">
        <v>60</v>
      </c>
      <c r="B1876" s="19">
        <v>44517</v>
      </c>
      <c r="C1876" s="1" t="s">
        <v>36</v>
      </c>
      <c r="D1876" t="s">
        <v>691</v>
      </c>
      <c r="E1876">
        <v>104</v>
      </c>
      <c r="F1876">
        <v>14</v>
      </c>
      <c r="G1876">
        <v>61</v>
      </c>
      <c r="H1876">
        <v>28896</v>
      </c>
    </row>
    <row r="1877" spans="1:8" x14ac:dyDescent="0.25">
      <c r="A1877">
        <v>60</v>
      </c>
      <c r="B1877" s="19">
        <v>45537</v>
      </c>
      <c r="C1877" s="1" t="s">
        <v>33</v>
      </c>
      <c r="D1877" t="s">
        <v>691</v>
      </c>
      <c r="E1877">
        <v>103</v>
      </c>
      <c r="F1877">
        <v>11</v>
      </c>
      <c r="G1877">
        <v>78</v>
      </c>
      <c r="H1877">
        <v>19268</v>
      </c>
    </row>
    <row r="1878" spans="1:8" x14ac:dyDescent="0.25">
      <c r="A1878">
        <v>60</v>
      </c>
      <c r="B1878" s="19">
        <v>43837</v>
      </c>
      <c r="C1878" s="1" t="s">
        <v>35</v>
      </c>
      <c r="D1878" t="s">
        <v>696</v>
      </c>
      <c r="E1878">
        <v>104</v>
      </c>
      <c r="F1878">
        <v>14</v>
      </c>
      <c r="G1878">
        <v>49</v>
      </c>
      <c r="H1878">
        <v>16861</v>
      </c>
    </row>
    <row r="1879" spans="1:8" x14ac:dyDescent="0.25">
      <c r="A1879">
        <v>60</v>
      </c>
      <c r="B1879" s="19">
        <v>44771</v>
      </c>
      <c r="C1879" s="1" t="s">
        <v>36</v>
      </c>
      <c r="D1879" t="s">
        <v>696</v>
      </c>
      <c r="E1879">
        <v>101</v>
      </c>
      <c r="F1879">
        <v>12</v>
      </c>
      <c r="G1879">
        <v>94</v>
      </c>
      <c r="H1879">
        <v>26540</v>
      </c>
    </row>
    <row r="1880" spans="1:8" x14ac:dyDescent="0.25">
      <c r="A1880">
        <v>60</v>
      </c>
      <c r="B1880" s="19">
        <v>45005</v>
      </c>
      <c r="C1880" s="1" t="s">
        <v>34</v>
      </c>
      <c r="D1880" t="s">
        <v>696</v>
      </c>
      <c r="E1880">
        <v>102</v>
      </c>
      <c r="F1880">
        <v>11</v>
      </c>
      <c r="G1880">
        <v>95</v>
      </c>
      <c r="H1880">
        <v>41167</v>
      </c>
    </row>
    <row r="1881" spans="1:8" x14ac:dyDescent="0.25">
      <c r="A1881">
        <v>60</v>
      </c>
      <c r="B1881" s="19">
        <v>43993</v>
      </c>
      <c r="C1881" s="1" t="s">
        <v>35</v>
      </c>
      <c r="D1881" t="s">
        <v>698</v>
      </c>
      <c r="E1881">
        <v>103</v>
      </c>
      <c r="F1881">
        <v>11</v>
      </c>
      <c r="G1881">
        <v>21</v>
      </c>
      <c r="H1881">
        <v>43733</v>
      </c>
    </row>
    <row r="1882" spans="1:8" x14ac:dyDescent="0.25">
      <c r="A1882">
        <v>60</v>
      </c>
      <c r="B1882" s="19">
        <v>44257</v>
      </c>
      <c r="C1882" s="1" t="s">
        <v>34</v>
      </c>
      <c r="D1882" t="s">
        <v>698</v>
      </c>
      <c r="E1882">
        <v>102</v>
      </c>
      <c r="F1882">
        <v>12</v>
      </c>
      <c r="G1882">
        <v>89</v>
      </c>
      <c r="H1882">
        <v>23705</v>
      </c>
    </row>
    <row r="1883" spans="1:8" x14ac:dyDescent="0.25">
      <c r="A1883">
        <v>60</v>
      </c>
      <c r="B1883" s="19">
        <v>45367</v>
      </c>
      <c r="C1883" s="1" t="s">
        <v>36</v>
      </c>
      <c r="D1883" t="s">
        <v>698</v>
      </c>
      <c r="E1883">
        <v>103</v>
      </c>
      <c r="F1883">
        <v>15</v>
      </c>
      <c r="G1883">
        <v>74</v>
      </c>
      <c r="H1883">
        <v>16203</v>
      </c>
    </row>
    <row r="1884" spans="1:8" x14ac:dyDescent="0.25">
      <c r="A1884">
        <v>60</v>
      </c>
      <c r="B1884" s="19">
        <v>44003</v>
      </c>
      <c r="C1884" s="1" t="s">
        <v>34</v>
      </c>
      <c r="D1884" t="s">
        <v>698</v>
      </c>
      <c r="E1884">
        <v>102</v>
      </c>
      <c r="F1884">
        <v>13</v>
      </c>
      <c r="G1884">
        <v>37</v>
      </c>
      <c r="H1884">
        <v>12531</v>
      </c>
    </row>
    <row r="1885" spans="1:8" x14ac:dyDescent="0.25">
      <c r="A1885">
        <v>60</v>
      </c>
      <c r="B1885" s="19">
        <v>45422</v>
      </c>
      <c r="C1885" s="1" t="s">
        <v>35</v>
      </c>
      <c r="D1885" t="s">
        <v>695</v>
      </c>
      <c r="E1885">
        <v>105</v>
      </c>
      <c r="F1885">
        <v>11</v>
      </c>
      <c r="G1885">
        <v>34</v>
      </c>
      <c r="H1885">
        <v>10469</v>
      </c>
    </row>
    <row r="1886" spans="1:8" x14ac:dyDescent="0.25">
      <c r="A1886">
        <v>60</v>
      </c>
      <c r="B1886" s="19">
        <v>44255</v>
      </c>
      <c r="C1886" s="1" t="s">
        <v>33</v>
      </c>
      <c r="D1886" t="s">
        <v>695</v>
      </c>
      <c r="E1886">
        <v>103</v>
      </c>
      <c r="F1886">
        <v>14</v>
      </c>
      <c r="G1886">
        <v>27</v>
      </c>
      <c r="H1886">
        <v>44249</v>
      </c>
    </row>
    <row r="1887" spans="1:8" x14ac:dyDescent="0.25">
      <c r="A1887">
        <v>60</v>
      </c>
      <c r="B1887" s="19">
        <v>45539</v>
      </c>
      <c r="C1887" s="1" t="s">
        <v>35</v>
      </c>
      <c r="D1887" t="s">
        <v>695</v>
      </c>
      <c r="E1887">
        <v>103</v>
      </c>
      <c r="F1887">
        <v>13</v>
      </c>
      <c r="G1887">
        <v>67</v>
      </c>
      <c r="H1887">
        <v>45065</v>
      </c>
    </row>
    <row r="1888" spans="1:8" x14ac:dyDescent="0.25">
      <c r="A1888">
        <v>60</v>
      </c>
      <c r="B1888" s="19">
        <v>45055</v>
      </c>
      <c r="C1888" s="1" t="s">
        <v>33</v>
      </c>
      <c r="D1888" t="s">
        <v>695</v>
      </c>
      <c r="E1888">
        <v>107</v>
      </c>
      <c r="F1888">
        <v>11</v>
      </c>
      <c r="G1888">
        <v>96</v>
      </c>
      <c r="H1888">
        <v>19848</v>
      </c>
    </row>
    <row r="1889" spans="1:8" x14ac:dyDescent="0.25">
      <c r="A1889">
        <v>60</v>
      </c>
      <c r="B1889" s="19">
        <v>44496</v>
      </c>
      <c r="C1889" s="1" t="s">
        <v>35</v>
      </c>
      <c r="D1889" t="s">
        <v>692</v>
      </c>
      <c r="E1889">
        <v>107</v>
      </c>
      <c r="F1889">
        <v>15</v>
      </c>
      <c r="G1889">
        <v>42</v>
      </c>
      <c r="H1889">
        <v>49139</v>
      </c>
    </row>
    <row r="1890" spans="1:8" x14ac:dyDescent="0.25">
      <c r="A1890">
        <v>60</v>
      </c>
      <c r="B1890" s="19">
        <v>44276</v>
      </c>
      <c r="C1890" s="1" t="s">
        <v>35</v>
      </c>
      <c r="D1890" t="s">
        <v>692</v>
      </c>
      <c r="E1890">
        <v>104</v>
      </c>
      <c r="F1890">
        <v>14</v>
      </c>
      <c r="G1890">
        <v>21</v>
      </c>
      <c r="H1890">
        <v>22822</v>
      </c>
    </row>
    <row r="1891" spans="1:8" x14ac:dyDescent="0.25">
      <c r="A1891">
        <v>60</v>
      </c>
      <c r="B1891" s="19">
        <v>45477</v>
      </c>
      <c r="C1891" s="1" t="s">
        <v>36</v>
      </c>
      <c r="D1891" t="s">
        <v>692</v>
      </c>
      <c r="E1891">
        <v>103</v>
      </c>
      <c r="F1891">
        <v>14</v>
      </c>
      <c r="G1891">
        <v>72</v>
      </c>
      <c r="H1891">
        <v>16356</v>
      </c>
    </row>
    <row r="1892" spans="1:8" x14ac:dyDescent="0.25">
      <c r="A1892">
        <v>60</v>
      </c>
      <c r="B1892" s="19">
        <v>44014</v>
      </c>
      <c r="C1892" s="1" t="s">
        <v>35</v>
      </c>
      <c r="D1892" t="s">
        <v>692</v>
      </c>
      <c r="E1892">
        <v>103</v>
      </c>
      <c r="F1892">
        <v>14</v>
      </c>
      <c r="G1892">
        <v>9</v>
      </c>
      <c r="H1892">
        <v>12179</v>
      </c>
    </row>
    <row r="1893" spans="1:8" x14ac:dyDescent="0.25">
      <c r="A1893">
        <v>60</v>
      </c>
      <c r="B1893" s="19">
        <v>44816</v>
      </c>
      <c r="C1893" s="1" t="s">
        <v>33</v>
      </c>
      <c r="D1893" t="s">
        <v>692</v>
      </c>
      <c r="E1893">
        <v>105</v>
      </c>
      <c r="F1893">
        <v>14</v>
      </c>
      <c r="G1893">
        <v>77</v>
      </c>
      <c r="H1893">
        <v>20498</v>
      </c>
    </row>
    <row r="1894" spans="1:8" x14ac:dyDescent="0.25">
      <c r="A1894">
        <v>60</v>
      </c>
      <c r="B1894" s="19">
        <v>44920</v>
      </c>
      <c r="C1894" s="1" t="s">
        <v>33</v>
      </c>
      <c r="D1894" t="s">
        <v>693</v>
      </c>
      <c r="E1894">
        <v>103</v>
      </c>
      <c r="F1894">
        <v>14</v>
      </c>
      <c r="G1894">
        <v>65</v>
      </c>
      <c r="H1894">
        <v>46442</v>
      </c>
    </row>
    <row r="1895" spans="1:8" x14ac:dyDescent="0.25">
      <c r="A1895">
        <v>60</v>
      </c>
      <c r="B1895" s="19">
        <v>45114</v>
      </c>
      <c r="C1895" s="1" t="s">
        <v>36</v>
      </c>
      <c r="D1895" t="s">
        <v>693</v>
      </c>
      <c r="E1895">
        <v>107</v>
      </c>
      <c r="F1895">
        <v>15</v>
      </c>
      <c r="G1895">
        <v>57</v>
      </c>
      <c r="H1895">
        <v>10616</v>
      </c>
    </row>
    <row r="1896" spans="1:8" x14ac:dyDescent="0.25">
      <c r="A1896">
        <v>60</v>
      </c>
      <c r="B1896" s="19">
        <v>45449</v>
      </c>
      <c r="C1896" s="1" t="s">
        <v>34</v>
      </c>
      <c r="D1896" t="s">
        <v>693</v>
      </c>
      <c r="E1896">
        <v>104</v>
      </c>
      <c r="F1896">
        <v>14</v>
      </c>
      <c r="G1896">
        <v>92</v>
      </c>
      <c r="H1896">
        <v>21726</v>
      </c>
    </row>
    <row r="1897" spans="1:8" x14ac:dyDescent="0.25">
      <c r="A1897">
        <v>60</v>
      </c>
      <c r="B1897" s="19">
        <v>44619</v>
      </c>
      <c r="C1897" s="1" t="s">
        <v>33</v>
      </c>
      <c r="D1897" t="s">
        <v>693</v>
      </c>
      <c r="E1897">
        <v>101</v>
      </c>
      <c r="F1897">
        <v>13</v>
      </c>
      <c r="G1897">
        <v>60</v>
      </c>
      <c r="H1897">
        <v>38944</v>
      </c>
    </row>
    <row r="1898" spans="1:8" x14ac:dyDescent="0.25">
      <c r="A1898">
        <v>60</v>
      </c>
      <c r="B1898" s="19">
        <v>44527</v>
      </c>
      <c r="C1898" s="1" t="s">
        <v>35</v>
      </c>
      <c r="D1898" t="s">
        <v>694</v>
      </c>
      <c r="E1898">
        <v>103</v>
      </c>
      <c r="F1898">
        <v>13</v>
      </c>
      <c r="G1898">
        <v>100</v>
      </c>
      <c r="H1898">
        <v>44150</v>
      </c>
    </row>
    <row r="1899" spans="1:8" x14ac:dyDescent="0.25">
      <c r="A1899">
        <v>60</v>
      </c>
      <c r="B1899" s="19">
        <v>44852</v>
      </c>
      <c r="C1899" s="1" t="s">
        <v>35</v>
      </c>
      <c r="D1899" t="s">
        <v>694</v>
      </c>
      <c r="E1899">
        <v>103</v>
      </c>
      <c r="F1899">
        <v>15</v>
      </c>
      <c r="G1899">
        <v>54</v>
      </c>
      <c r="H1899">
        <v>16648</v>
      </c>
    </row>
    <row r="1900" spans="1:8" x14ac:dyDescent="0.25">
      <c r="A1900">
        <v>60</v>
      </c>
      <c r="B1900" s="19">
        <v>44188</v>
      </c>
      <c r="C1900" s="1" t="s">
        <v>33</v>
      </c>
      <c r="D1900" t="s">
        <v>694</v>
      </c>
      <c r="E1900">
        <v>103</v>
      </c>
      <c r="F1900">
        <v>15</v>
      </c>
      <c r="G1900">
        <v>8</v>
      </c>
      <c r="H1900">
        <v>15387</v>
      </c>
    </row>
    <row r="1901" spans="1:8" x14ac:dyDescent="0.25">
      <c r="A1901">
        <v>60</v>
      </c>
      <c r="B1901" s="19">
        <v>45028</v>
      </c>
      <c r="C1901" s="1" t="s">
        <v>34</v>
      </c>
      <c r="D1901" t="s">
        <v>694</v>
      </c>
      <c r="E1901">
        <v>104</v>
      </c>
      <c r="F1901">
        <v>11</v>
      </c>
      <c r="G1901">
        <v>21</v>
      </c>
      <c r="H1901">
        <v>44506</v>
      </c>
    </row>
    <row r="1902" spans="1:8" x14ac:dyDescent="0.25">
      <c r="A1902">
        <v>61</v>
      </c>
      <c r="B1902" s="19">
        <v>44775</v>
      </c>
      <c r="C1902" s="1" t="s">
        <v>35</v>
      </c>
      <c r="D1902" t="s">
        <v>690</v>
      </c>
      <c r="E1902">
        <v>102</v>
      </c>
      <c r="F1902">
        <v>13</v>
      </c>
      <c r="G1902">
        <v>74</v>
      </c>
      <c r="H1902">
        <v>31079</v>
      </c>
    </row>
    <row r="1903" spans="1:8" x14ac:dyDescent="0.25">
      <c r="A1903">
        <v>61</v>
      </c>
      <c r="B1903" s="19">
        <v>45009</v>
      </c>
      <c r="C1903" s="1" t="s">
        <v>36</v>
      </c>
      <c r="D1903" t="s">
        <v>690</v>
      </c>
      <c r="E1903">
        <v>101</v>
      </c>
      <c r="F1903">
        <v>15</v>
      </c>
      <c r="G1903">
        <v>21</v>
      </c>
      <c r="H1903">
        <v>49323</v>
      </c>
    </row>
    <row r="1904" spans="1:8" x14ac:dyDescent="0.25">
      <c r="A1904">
        <v>61</v>
      </c>
      <c r="B1904" s="19">
        <v>44110</v>
      </c>
      <c r="C1904" s="1" t="s">
        <v>35</v>
      </c>
      <c r="D1904" t="s">
        <v>690</v>
      </c>
      <c r="E1904">
        <v>103</v>
      </c>
      <c r="F1904">
        <v>12</v>
      </c>
      <c r="G1904">
        <v>37</v>
      </c>
      <c r="H1904">
        <v>28800</v>
      </c>
    </row>
    <row r="1905" spans="1:8" x14ac:dyDescent="0.25">
      <c r="A1905">
        <v>61</v>
      </c>
      <c r="B1905" s="19">
        <v>45375</v>
      </c>
      <c r="C1905" s="1" t="s">
        <v>33</v>
      </c>
      <c r="D1905" t="s">
        <v>691</v>
      </c>
      <c r="E1905">
        <v>103</v>
      </c>
      <c r="F1905">
        <v>13</v>
      </c>
      <c r="G1905">
        <v>70</v>
      </c>
      <c r="H1905">
        <v>20054</v>
      </c>
    </row>
    <row r="1906" spans="1:8" x14ac:dyDescent="0.25">
      <c r="A1906">
        <v>61</v>
      </c>
      <c r="B1906" s="19">
        <v>45376</v>
      </c>
      <c r="C1906" s="1" t="s">
        <v>34</v>
      </c>
      <c r="D1906" t="s">
        <v>691</v>
      </c>
      <c r="E1906">
        <v>105</v>
      </c>
      <c r="F1906">
        <v>13</v>
      </c>
      <c r="G1906">
        <v>91</v>
      </c>
      <c r="H1906">
        <v>46559</v>
      </c>
    </row>
    <row r="1907" spans="1:8" x14ac:dyDescent="0.25">
      <c r="A1907">
        <v>61</v>
      </c>
      <c r="B1907" s="19">
        <v>45084</v>
      </c>
      <c r="C1907" s="1" t="s">
        <v>33</v>
      </c>
      <c r="D1907" t="s">
        <v>691</v>
      </c>
      <c r="E1907">
        <v>103</v>
      </c>
      <c r="F1907">
        <v>15</v>
      </c>
      <c r="G1907">
        <v>39</v>
      </c>
      <c r="H1907">
        <v>47453</v>
      </c>
    </row>
    <row r="1908" spans="1:8" x14ac:dyDescent="0.25">
      <c r="A1908">
        <v>61</v>
      </c>
      <c r="B1908" s="19">
        <v>45009</v>
      </c>
      <c r="C1908" s="1" t="s">
        <v>35</v>
      </c>
      <c r="D1908" t="s">
        <v>691</v>
      </c>
      <c r="E1908">
        <v>108</v>
      </c>
      <c r="F1908">
        <v>11</v>
      </c>
      <c r="G1908">
        <v>90</v>
      </c>
      <c r="H1908">
        <v>37404</v>
      </c>
    </row>
    <row r="1909" spans="1:8" x14ac:dyDescent="0.25">
      <c r="A1909">
        <v>61</v>
      </c>
      <c r="B1909" s="19">
        <v>44903</v>
      </c>
      <c r="C1909" s="1" t="s">
        <v>36</v>
      </c>
      <c r="D1909" t="s">
        <v>691</v>
      </c>
      <c r="E1909">
        <v>106</v>
      </c>
      <c r="F1909">
        <v>14</v>
      </c>
      <c r="G1909">
        <v>46</v>
      </c>
      <c r="H1909">
        <v>30647</v>
      </c>
    </row>
    <row r="1910" spans="1:8" x14ac:dyDescent="0.25">
      <c r="A1910">
        <v>61</v>
      </c>
      <c r="B1910" s="19">
        <v>44394</v>
      </c>
      <c r="C1910" s="1" t="s">
        <v>34</v>
      </c>
      <c r="D1910" t="s">
        <v>700</v>
      </c>
      <c r="E1910">
        <v>109</v>
      </c>
      <c r="F1910">
        <v>13</v>
      </c>
      <c r="G1910">
        <v>91</v>
      </c>
      <c r="H1910">
        <v>17575</v>
      </c>
    </row>
    <row r="1911" spans="1:8" x14ac:dyDescent="0.25">
      <c r="A1911">
        <v>61</v>
      </c>
      <c r="B1911" s="19">
        <v>44902</v>
      </c>
      <c r="C1911" s="1" t="s">
        <v>34</v>
      </c>
      <c r="D1911" t="s">
        <v>700</v>
      </c>
      <c r="E1911">
        <v>103</v>
      </c>
      <c r="F1911">
        <v>15</v>
      </c>
      <c r="G1911">
        <v>55</v>
      </c>
      <c r="H1911">
        <v>44516</v>
      </c>
    </row>
    <row r="1912" spans="1:8" x14ac:dyDescent="0.25">
      <c r="A1912">
        <v>61</v>
      </c>
      <c r="B1912" s="19">
        <v>44481</v>
      </c>
      <c r="C1912" s="1" t="s">
        <v>35</v>
      </c>
      <c r="D1912" t="s">
        <v>700</v>
      </c>
      <c r="E1912">
        <v>104</v>
      </c>
      <c r="F1912">
        <v>15</v>
      </c>
      <c r="G1912">
        <v>89</v>
      </c>
      <c r="H1912">
        <v>19246</v>
      </c>
    </row>
    <row r="1913" spans="1:8" x14ac:dyDescent="0.25">
      <c r="A1913">
        <v>61</v>
      </c>
      <c r="B1913" s="19">
        <v>44436</v>
      </c>
      <c r="C1913" s="1" t="s">
        <v>34</v>
      </c>
      <c r="D1913" t="s">
        <v>700</v>
      </c>
      <c r="E1913">
        <v>103</v>
      </c>
      <c r="F1913">
        <v>11</v>
      </c>
      <c r="G1913">
        <v>14</v>
      </c>
      <c r="H1913">
        <v>18070</v>
      </c>
    </row>
    <row r="1914" spans="1:8" x14ac:dyDescent="0.25">
      <c r="A1914">
        <v>61</v>
      </c>
      <c r="B1914" s="19">
        <v>44231</v>
      </c>
      <c r="C1914" s="1" t="s">
        <v>33</v>
      </c>
      <c r="D1914" t="s">
        <v>700</v>
      </c>
      <c r="E1914">
        <v>105</v>
      </c>
      <c r="F1914">
        <v>14</v>
      </c>
      <c r="G1914">
        <v>49</v>
      </c>
      <c r="H1914">
        <v>22326</v>
      </c>
    </row>
    <row r="1915" spans="1:8" x14ac:dyDescent="0.25">
      <c r="A1915">
        <v>61</v>
      </c>
      <c r="B1915" s="19">
        <v>44209</v>
      </c>
      <c r="C1915" s="1" t="s">
        <v>33</v>
      </c>
      <c r="D1915" t="s">
        <v>696</v>
      </c>
      <c r="E1915">
        <v>105</v>
      </c>
      <c r="F1915">
        <v>15</v>
      </c>
      <c r="G1915">
        <v>20</v>
      </c>
      <c r="H1915">
        <v>48465</v>
      </c>
    </row>
    <row r="1916" spans="1:8" x14ac:dyDescent="0.25">
      <c r="A1916">
        <v>61</v>
      </c>
      <c r="B1916" s="19">
        <v>44550</v>
      </c>
      <c r="C1916" s="1" t="s">
        <v>33</v>
      </c>
      <c r="D1916" t="s">
        <v>696</v>
      </c>
      <c r="E1916">
        <v>104</v>
      </c>
      <c r="F1916">
        <v>12</v>
      </c>
      <c r="G1916">
        <v>83</v>
      </c>
      <c r="H1916">
        <v>41241</v>
      </c>
    </row>
    <row r="1917" spans="1:8" x14ac:dyDescent="0.25">
      <c r="A1917">
        <v>61</v>
      </c>
      <c r="B1917" s="19">
        <v>44151</v>
      </c>
      <c r="C1917" s="1" t="s">
        <v>33</v>
      </c>
      <c r="D1917" t="s">
        <v>696</v>
      </c>
      <c r="E1917">
        <v>108</v>
      </c>
      <c r="F1917">
        <v>14</v>
      </c>
      <c r="G1917">
        <v>76</v>
      </c>
      <c r="H1917">
        <v>17379</v>
      </c>
    </row>
    <row r="1918" spans="1:8" x14ac:dyDescent="0.25">
      <c r="A1918">
        <v>61</v>
      </c>
      <c r="B1918" s="19">
        <v>44031</v>
      </c>
      <c r="C1918" s="1" t="s">
        <v>36</v>
      </c>
      <c r="D1918" t="s">
        <v>697</v>
      </c>
      <c r="E1918">
        <v>105</v>
      </c>
      <c r="F1918">
        <v>14</v>
      </c>
      <c r="G1918">
        <v>40</v>
      </c>
      <c r="H1918">
        <v>34905</v>
      </c>
    </row>
    <row r="1919" spans="1:8" x14ac:dyDescent="0.25">
      <c r="A1919">
        <v>61</v>
      </c>
      <c r="B1919" s="19">
        <v>43985</v>
      </c>
      <c r="C1919" s="1" t="s">
        <v>35</v>
      </c>
      <c r="D1919" t="s">
        <v>697</v>
      </c>
      <c r="E1919">
        <v>109</v>
      </c>
      <c r="F1919">
        <v>14</v>
      </c>
      <c r="G1919">
        <v>60</v>
      </c>
      <c r="H1919">
        <v>42329</v>
      </c>
    </row>
    <row r="1920" spans="1:8" x14ac:dyDescent="0.25">
      <c r="A1920">
        <v>61</v>
      </c>
      <c r="B1920" s="19">
        <v>44623</v>
      </c>
      <c r="C1920" s="1" t="s">
        <v>35</v>
      </c>
      <c r="D1920" t="s">
        <v>698</v>
      </c>
      <c r="E1920">
        <v>103</v>
      </c>
      <c r="F1920">
        <v>15</v>
      </c>
      <c r="G1920">
        <v>48</v>
      </c>
      <c r="H1920">
        <v>22946</v>
      </c>
    </row>
    <row r="1921" spans="1:8" x14ac:dyDescent="0.25">
      <c r="A1921">
        <v>61</v>
      </c>
      <c r="B1921" s="19">
        <v>44443</v>
      </c>
      <c r="C1921" s="1" t="s">
        <v>36</v>
      </c>
      <c r="D1921" t="s">
        <v>698</v>
      </c>
      <c r="E1921">
        <v>109</v>
      </c>
      <c r="F1921">
        <v>14</v>
      </c>
      <c r="G1921">
        <v>23</v>
      </c>
      <c r="H1921">
        <v>43054</v>
      </c>
    </row>
    <row r="1922" spans="1:8" x14ac:dyDescent="0.25">
      <c r="A1922">
        <v>61</v>
      </c>
      <c r="B1922" s="19">
        <v>44879</v>
      </c>
      <c r="C1922" s="1" t="s">
        <v>34</v>
      </c>
      <c r="D1922" t="s">
        <v>699</v>
      </c>
      <c r="E1922">
        <v>108</v>
      </c>
      <c r="F1922">
        <v>11</v>
      </c>
      <c r="G1922">
        <v>55</v>
      </c>
      <c r="H1922">
        <v>21127</v>
      </c>
    </row>
    <row r="1923" spans="1:8" x14ac:dyDescent="0.25">
      <c r="A1923">
        <v>61</v>
      </c>
      <c r="B1923" s="19">
        <v>44957</v>
      </c>
      <c r="C1923" s="1" t="s">
        <v>36</v>
      </c>
      <c r="D1923" t="s">
        <v>699</v>
      </c>
      <c r="E1923">
        <v>109</v>
      </c>
      <c r="F1923">
        <v>15</v>
      </c>
      <c r="G1923">
        <v>13</v>
      </c>
      <c r="H1923">
        <v>44328</v>
      </c>
    </row>
    <row r="1924" spans="1:8" x14ac:dyDescent="0.25">
      <c r="A1924">
        <v>61</v>
      </c>
      <c r="B1924" s="19">
        <v>45008</v>
      </c>
      <c r="C1924" s="1" t="s">
        <v>33</v>
      </c>
      <c r="D1924" t="s">
        <v>699</v>
      </c>
      <c r="E1924">
        <v>104</v>
      </c>
      <c r="F1924">
        <v>11</v>
      </c>
      <c r="G1924">
        <v>20</v>
      </c>
      <c r="H1924">
        <v>43762</v>
      </c>
    </row>
    <row r="1925" spans="1:8" x14ac:dyDescent="0.25">
      <c r="A1925">
        <v>61</v>
      </c>
      <c r="B1925" s="19">
        <v>44632</v>
      </c>
      <c r="C1925" s="1" t="s">
        <v>34</v>
      </c>
      <c r="D1925" t="s">
        <v>695</v>
      </c>
      <c r="E1925">
        <v>104</v>
      </c>
      <c r="F1925">
        <v>15</v>
      </c>
      <c r="G1925">
        <v>98</v>
      </c>
      <c r="H1925">
        <v>23877</v>
      </c>
    </row>
    <row r="1926" spans="1:8" x14ac:dyDescent="0.25">
      <c r="A1926">
        <v>61</v>
      </c>
      <c r="B1926" s="19">
        <v>45113</v>
      </c>
      <c r="C1926" s="1" t="s">
        <v>33</v>
      </c>
      <c r="D1926" t="s">
        <v>695</v>
      </c>
      <c r="E1926">
        <v>105</v>
      </c>
      <c r="F1926">
        <v>11</v>
      </c>
      <c r="G1926">
        <v>46</v>
      </c>
      <c r="H1926">
        <v>23518</v>
      </c>
    </row>
    <row r="1927" spans="1:8" x14ac:dyDescent="0.25">
      <c r="A1927">
        <v>61</v>
      </c>
      <c r="B1927" s="19">
        <v>44754</v>
      </c>
      <c r="C1927" s="1" t="s">
        <v>34</v>
      </c>
      <c r="D1927" t="s">
        <v>695</v>
      </c>
      <c r="E1927">
        <v>103</v>
      </c>
      <c r="F1927">
        <v>14</v>
      </c>
      <c r="G1927">
        <v>46</v>
      </c>
      <c r="H1927">
        <v>39516</v>
      </c>
    </row>
    <row r="1928" spans="1:8" x14ac:dyDescent="0.25">
      <c r="A1928">
        <v>61</v>
      </c>
      <c r="B1928" s="19">
        <v>45638</v>
      </c>
      <c r="C1928" s="1" t="s">
        <v>35</v>
      </c>
      <c r="D1928" t="s">
        <v>695</v>
      </c>
      <c r="E1928">
        <v>103</v>
      </c>
      <c r="F1928">
        <v>14</v>
      </c>
      <c r="G1928">
        <v>96</v>
      </c>
      <c r="H1928">
        <v>10636</v>
      </c>
    </row>
    <row r="1929" spans="1:8" x14ac:dyDescent="0.25">
      <c r="A1929">
        <v>61</v>
      </c>
      <c r="B1929" s="19">
        <v>43941</v>
      </c>
      <c r="C1929" s="1" t="s">
        <v>35</v>
      </c>
      <c r="D1929" t="s">
        <v>692</v>
      </c>
      <c r="E1929">
        <v>104</v>
      </c>
      <c r="F1929">
        <v>12</v>
      </c>
      <c r="G1929">
        <v>62</v>
      </c>
      <c r="H1929">
        <v>22286</v>
      </c>
    </row>
    <row r="1930" spans="1:8" x14ac:dyDescent="0.25">
      <c r="A1930">
        <v>61</v>
      </c>
      <c r="B1930" s="19">
        <v>45141</v>
      </c>
      <c r="C1930" s="1" t="s">
        <v>35</v>
      </c>
      <c r="D1930" t="s">
        <v>692</v>
      </c>
      <c r="E1930">
        <v>104</v>
      </c>
      <c r="F1930">
        <v>14</v>
      </c>
      <c r="G1930">
        <v>17</v>
      </c>
      <c r="H1930">
        <v>30281</v>
      </c>
    </row>
    <row r="1931" spans="1:8" x14ac:dyDescent="0.25">
      <c r="A1931">
        <v>61</v>
      </c>
      <c r="B1931" s="19">
        <v>44278</v>
      </c>
      <c r="C1931" s="1" t="s">
        <v>33</v>
      </c>
      <c r="D1931" t="s">
        <v>693</v>
      </c>
      <c r="E1931">
        <v>102</v>
      </c>
      <c r="F1931">
        <v>14</v>
      </c>
      <c r="G1931">
        <v>95</v>
      </c>
      <c r="H1931">
        <v>38519</v>
      </c>
    </row>
    <row r="1932" spans="1:8" x14ac:dyDescent="0.25">
      <c r="A1932">
        <v>61</v>
      </c>
      <c r="B1932" s="19">
        <v>45489</v>
      </c>
      <c r="C1932" s="1" t="s">
        <v>34</v>
      </c>
      <c r="D1932" t="s">
        <v>694</v>
      </c>
      <c r="E1932">
        <v>103</v>
      </c>
      <c r="F1932">
        <v>15</v>
      </c>
      <c r="G1932">
        <v>74</v>
      </c>
      <c r="H1932">
        <v>26732</v>
      </c>
    </row>
    <row r="1933" spans="1:8" x14ac:dyDescent="0.25">
      <c r="A1933">
        <v>61</v>
      </c>
      <c r="B1933" s="19">
        <v>44299</v>
      </c>
      <c r="C1933" s="1" t="s">
        <v>36</v>
      </c>
      <c r="D1933" t="s">
        <v>694</v>
      </c>
      <c r="E1933">
        <v>105</v>
      </c>
      <c r="F1933">
        <v>13</v>
      </c>
      <c r="G1933">
        <v>25</v>
      </c>
      <c r="H1933">
        <v>14063</v>
      </c>
    </row>
    <row r="1934" spans="1:8" x14ac:dyDescent="0.25">
      <c r="A1934">
        <v>61</v>
      </c>
      <c r="B1934" s="19">
        <v>45635</v>
      </c>
      <c r="C1934" s="1" t="s">
        <v>34</v>
      </c>
      <c r="D1934" t="s">
        <v>694</v>
      </c>
      <c r="E1934">
        <v>104</v>
      </c>
      <c r="F1934">
        <v>11</v>
      </c>
      <c r="G1934">
        <v>29</v>
      </c>
      <c r="H1934">
        <v>10065</v>
      </c>
    </row>
    <row r="1935" spans="1:8" x14ac:dyDescent="0.25">
      <c r="A1935">
        <v>61</v>
      </c>
      <c r="B1935" s="19">
        <v>45009</v>
      </c>
      <c r="C1935" s="1" t="s">
        <v>35</v>
      </c>
      <c r="D1935" t="s">
        <v>694</v>
      </c>
      <c r="E1935">
        <v>103</v>
      </c>
      <c r="F1935">
        <v>14</v>
      </c>
      <c r="G1935">
        <v>97</v>
      </c>
      <c r="H1935">
        <v>47925</v>
      </c>
    </row>
    <row r="1936" spans="1:8" x14ac:dyDescent="0.25">
      <c r="A1936">
        <v>62</v>
      </c>
      <c r="B1936" s="19">
        <v>44415</v>
      </c>
      <c r="C1936" s="1" t="s">
        <v>34</v>
      </c>
      <c r="D1936" t="s">
        <v>690</v>
      </c>
      <c r="E1936">
        <v>103</v>
      </c>
      <c r="F1936">
        <v>15</v>
      </c>
      <c r="G1936">
        <v>19</v>
      </c>
      <c r="H1936">
        <v>32365</v>
      </c>
    </row>
    <row r="1937" spans="1:8" x14ac:dyDescent="0.25">
      <c r="A1937">
        <v>62</v>
      </c>
      <c r="B1937" s="19">
        <v>45467</v>
      </c>
      <c r="C1937" s="1" t="s">
        <v>33</v>
      </c>
      <c r="D1937" t="s">
        <v>690</v>
      </c>
      <c r="E1937">
        <v>102</v>
      </c>
      <c r="F1937">
        <v>15</v>
      </c>
      <c r="G1937">
        <v>76</v>
      </c>
      <c r="H1937">
        <v>33549</v>
      </c>
    </row>
    <row r="1938" spans="1:8" x14ac:dyDescent="0.25">
      <c r="A1938">
        <v>62</v>
      </c>
      <c r="B1938" s="19">
        <v>44703</v>
      </c>
      <c r="C1938" s="1" t="s">
        <v>35</v>
      </c>
      <c r="D1938" t="s">
        <v>690</v>
      </c>
      <c r="E1938">
        <v>104</v>
      </c>
      <c r="F1938">
        <v>12</v>
      </c>
      <c r="G1938">
        <v>49</v>
      </c>
      <c r="H1938">
        <v>40362</v>
      </c>
    </row>
    <row r="1939" spans="1:8" x14ac:dyDescent="0.25">
      <c r="A1939">
        <v>62</v>
      </c>
      <c r="B1939" s="19">
        <v>45061</v>
      </c>
      <c r="C1939" s="1" t="s">
        <v>34</v>
      </c>
      <c r="D1939" t="s">
        <v>690</v>
      </c>
      <c r="E1939">
        <v>105</v>
      </c>
      <c r="F1939">
        <v>13</v>
      </c>
      <c r="G1939">
        <v>6</v>
      </c>
      <c r="H1939">
        <v>31823</v>
      </c>
    </row>
    <row r="1940" spans="1:8" x14ac:dyDescent="0.25">
      <c r="A1940">
        <v>62</v>
      </c>
      <c r="B1940" s="19">
        <v>44417</v>
      </c>
      <c r="C1940" s="1" t="s">
        <v>34</v>
      </c>
      <c r="D1940" t="s">
        <v>691</v>
      </c>
      <c r="E1940">
        <v>108</v>
      </c>
      <c r="F1940">
        <v>15</v>
      </c>
      <c r="G1940">
        <v>85</v>
      </c>
      <c r="H1940">
        <v>16887</v>
      </c>
    </row>
    <row r="1941" spans="1:8" x14ac:dyDescent="0.25">
      <c r="A1941">
        <v>62</v>
      </c>
      <c r="B1941" s="19">
        <v>45611</v>
      </c>
      <c r="C1941" s="1" t="s">
        <v>34</v>
      </c>
      <c r="D1941" t="s">
        <v>691</v>
      </c>
      <c r="E1941">
        <v>106</v>
      </c>
      <c r="F1941">
        <v>14</v>
      </c>
      <c r="G1941">
        <v>60</v>
      </c>
      <c r="H1941">
        <v>21897</v>
      </c>
    </row>
    <row r="1942" spans="1:8" x14ac:dyDescent="0.25">
      <c r="A1942">
        <v>62</v>
      </c>
      <c r="B1942" s="19">
        <v>44130</v>
      </c>
      <c r="C1942" s="1" t="s">
        <v>34</v>
      </c>
      <c r="D1942" t="s">
        <v>691</v>
      </c>
      <c r="E1942">
        <v>103</v>
      </c>
      <c r="F1942">
        <v>12</v>
      </c>
      <c r="G1942">
        <v>7</v>
      </c>
      <c r="H1942">
        <v>36311</v>
      </c>
    </row>
    <row r="1943" spans="1:8" x14ac:dyDescent="0.25">
      <c r="A1943">
        <v>62</v>
      </c>
      <c r="B1943" s="19">
        <v>45018</v>
      </c>
      <c r="C1943" s="1" t="s">
        <v>34</v>
      </c>
      <c r="D1943" t="s">
        <v>700</v>
      </c>
      <c r="E1943">
        <v>105</v>
      </c>
      <c r="F1943">
        <v>15</v>
      </c>
      <c r="G1943">
        <v>25</v>
      </c>
      <c r="H1943">
        <v>49177</v>
      </c>
    </row>
    <row r="1944" spans="1:8" x14ac:dyDescent="0.25">
      <c r="A1944">
        <v>62</v>
      </c>
      <c r="B1944" s="19">
        <v>44729</v>
      </c>
      <c r="C1944" s="1" t="s">
        <v>36</v>
      </c>
      <c r="D1944" t="s">
        <v>700</v>
      </c>
      <c r="E1944">
        <v>105</v>
      </c>
      <c r="F1944">
        <v>14</v>
      </c>
      <c r="G1944">
        <v>95</v>
      </c>
      <c r="H1944">
        <v>26364</v>
      </c>
    </row>
    <row r="1945" spans="1:8" x14ac:dyDescent="0.25">
      <c r="A1945">
        <v>62</v>
      </c>
      <c r="B1945" s="19">
        <v>45067</v>
      </c>
      <c r="C1945" s="1" t="s">
        <v>35</v>
      </c>
      <c r="D1945" t="s">
        <v>700</v>
      </c>
      <c r="E1945">
        <v>103</v>
      </c>
      <c r="F1945">
        <v>14</v>
      </c>
      <c r="G1945">
        <v>24</v>
      </c>
      <c r="H1945">
        <v>22907</v>
      </c>
    </row>
    <row r="1946" spans="1:8" x14ac:dyDescent="0.25">
      <c r="A1946">
        <v>62</v>
      </c>
      <c r="B1946" s="19">
        <v>44675</v>
      </c>
      <c r="C1946" s="1" t="s">
        <v>35</v>
      </c>
      <c r="D1946" t="s">
        <v>700</v>
      </c>
      <c r="E1946">
        <v>103</v>
      </c>
      <c r="F1946">
        <v>14</v>
      </c>
      <c r="G1946">
        <v>70</v>
      </c>
      <c r="H1946">
        <v>11773</v>
      </c>
    </row>
    <row r="1947" spans="1:8" x14ac:dyDescent="0.25">
      <c r="A1947">
        <v>62</v>
      </c>
      <c r="B1947" s="19">
        <v>44900</v>
      </c>
      <c r="C1947" s="1" t="s">
        <v>35</v>
      </c>
      <c r="D1947" t="s">
        <v>700</v>
      </c>
      <c r="E1947">
        <v>103</v>
      </c>
      <c r="F1947">
        <v>15</v>
      </c>
      <c r="G1947">
        <v>40</v>
      </c>
      <c r="H1947">
        <v>48110</v>
      </c>
    </row>
    <row r="1948" spans="1:8" x14ac:dyDescent="0.25">
      <c r="A1948">
        <v>62</v>
      </c>
      <c r="B1948" s="19">
        <v>45132</v>
      </c>
      <c r="C1948" s="1" t="s">
        <v>34</v>
      </c>
      <c r="D1948" t="s">
        <v>696</v>
      </c>
      <c r="E1948">
        <v>102</v>
      </c>
      <c r="F1948">
        <v>12</v>
      </c>
      <c r="G1948">
        <v>8</v>
      </c>
      <c r="H1948">
        <v>45972</v>
      </c>
    </row>
    <row r="1949" spans="1:8" x14ac:dyDescent="0.25">
      <c r="A1949">
        <v>62</v>
      </c>
      <c r="B1949" s="19">
        <v>45498</v>
      </c>
      <c r="C1949" s="1" t="s">
        <v>36</v>
      </c>
      <c r="D1949" t="s">
        <v>697</v>
      </c>
      <c r="E1949">
        <v>105</v>
      </c>
      <c r="F1949">
        <v>13</v>
      </c>
      <c r="G1949">
        <v>41</v>
      </c>
      <c r="H1949">
        <v>19602</v>
      </c>
    </row>
    <row r="1950" spans="1:8" x14ac:dyDescent="0.25">
      <c r="A1950">
        <v>62</v>
      </c>
      <c r="B1950" s="19">
        <v>44186</v>
      </c>
      <c r="C1950" s="1" t="s">
        <v>33</v>
      </c>
      <c r="D1950" t="s">
        <v>697</v>
      </c>
      <c r="E1950">
        <v>108</v>
      </c>
      <c r="F1950">
        <v>12</v>
      </c>
      <c r="G1950">
        <v>95</v>
      </c>
      <c r="H1950">
        <v>10916</v>
      </c>
    </row>
    <row r="1951" spans="1:8" x14ac:dyDescent="0.25">
      <c r="A1951">
        <v>62</v>
      </c>
      <c r="B1951" s="19">
        <v>43924</v>
      </c>
      <c r="C1951" s="1" t="s">
        <v>34</v>
      </c>
      <c r="D1951" t="s">
        <v>697</v>
      </c>
      <c r="E1951">
        <v>104</v>
      </c>
      <c r="F1951">
        <v>11</v>
      </c>
      <c r="G1951">
        <v>22</v>
      </c>
      <c r="H1951">
        <v>16088</v>
      </c>
    </row>
    <row r="1952" spans="1:8" x14ac:dyDescent="0.25">
      <c r="A1952">
        <v>62</v>
      </c>
      <c r="B1952" s="19">
        <v>44231</v>
      </c>
      <c r="C1952" s="1" t="s">
        <v>34</v>
      </c>
      <c r="D1952" t="s">
        <v>697</v>
      </c>
      <c r="E1952">
        <v>103</v>
      </c>
      <c r="F1952">
        <v>14</v>
      </c>
      <c r="G1952">
        <v>17</v>
      </c>
      <c r="H1952">
        <v>13969</v>
      </c>
    </row>
    <row r="1953" spans="1:8" x14ac:dyDescent="0.25">
      <c r="A1953">
        <v>62</v>
      </c>
      <c r="B1953" s="19">
        <v>44467</v>
      </c>
      <c r="C1953" s="1" t="s">
        <v>34</v>
      </c>
      <c r="D1953" t="s">
        <v>698</v>
      </c>
      <c r="E1953">
        <v>102</v>
      </c>
      <c r="F1953">
        <v>12</v>
      </c>
      <c r="G1953">
        <v>32</v>
      </c>
      <c r="H1953">
        <v>31531</v>
      </c>
    </row>
    <row r="1954" spans="1:8" x14ac:dyDescent="0.25">
      <c r="A1954">
        <v>62</v>
      </c>
      <c r="B1954" s="19">
        <v>45602</v>
      </c>
      <c r="C1954" s="1" t="s">
        <v>33</v>
      </c>
      <c r="D1954" t="s">
        <v>698</v>
      </c>
      <c r="E1954">
        <v>107</v>
      </c>
      <c r="F1954">
        <v>14</v>
      </c>
      <c r="G1954">
        <v>9</v>
      </c>
      <c r="H1954">
        <v>44133</v>
      </c>
    </row>
    <row r="1955" spans="1:8" x14ac:dyDescent="0.25">
      <c r="A1955">
        <v>62</v>
      </c>
      <c r="B1955" s="19">
        <v>45080</v>
      </c>
      <c r="C1955" s="1" t="s">
        <v>36</v>
      </c>
      <c r="D1955" t="s">
        <v>698</v>
      </c>
      <c r="E1955">
        <v>105</v>
      </c>
      <c r="F1955">
        <v>11</v>
      </c>
      <c r="G1955">
        <v>23</v>
      </c>
      <c r="H1955">
        <v>25227</v>
      </c>
    </row>
    <row r="1956" spans="1:8" x14ac:dyDescent="0.25">
      <c r="A1956">
        <v>62</v>
      </c>
      <c r="B1956" s="19">
        <v>44275</v>
      </c>
      <c r="C1956" s="1" t="s">
        <v>35</v>
      </c>
      <c r="D1956" t="s">
        <v>699</v>
      </c>
      <c r="E1956">
        <v>104</v>
      </c>
      <c r="F1956">
        <v>15</v>
      </c>
      <c r="G1956">
        <v>59</v>
      </c>
      <c r="H1956">
        <v>29906</v>
      </c>
    </row>
    <row r="1957" spans="1:8" x14ac:dyDescent="0.25">
      <c r="A1957">
        <v>62</v>
      </c>
      <c r="B1957" s="19">
        <v>44308</v>
      </c>
      <c r="C1957" s="1" t="s">
        <v>34</v>
      </c>
      <c r="D1957" t="s">
        <v>695</v>
      </c>
      <c r="E1957">
        <v>105</v>
      </c>
      <c r="F1957">
        <v>15</v>
      </c>
      <c r="G1957">
        <v>24</v>
      </c>
      <c r="H1957">
        <v>42237</v>
      </c>
    </row>
    <row r="1958" spans="1:8" x14ac:dyDescent="0.25">
      <c r="A1958">
        <v>62</v>
      </c>
      <c r="B1958" s="19">
        <v>44200</v>
      </c>
      <c r="C1958" s="1" t="s">
        <v>36</v>
      </c>
      <c r="D1958" t="s">
        <v>695</v>
      </c>
      <c r="E1958">
        <v>104</v>
      </c>
      <c r="F1958">
        <v>11</v>
      </c>
      <c r="G1958">
        <v>24</v>
      </c>
      <c r="H1958">
        <v>30194</v>
      </c>
    </row>
    <row r="1959" spans="1:8" x14ac:dyDescent="0.25">
      <c r="A1959">
        <v>62</v>
      </c>
      <c r="B1959" s="19">
        <v>44029</v>
      </c>
      <c r="C1959" s="1" t="s">
        <v>36</v>
      </c>
      <c r="D1959" t="s">
        <v>695</v>
      </c>
      <c r="E1959">
        <v>105</v>
      </c>
      <c r="F1959">
        <v>12</v>
      </c>
      <c r="G1959">
        <v>46</v>
      </c>
      <c r="H1959">
        <v>10853</v>
      </c>
    </row>
    <row r="1960" spans="1:8" x14ac:dyDescent="0.25">
      <c r="A1960">
        <v>62</v>
      </c>
      <c r="B1960" s="19">
        <v>44213</v>
      </c>
      <c r="C1960" s="1" t="s">
        <v>36</v>
      </c>
      <c r="D1960" t="s">
        <v>695</v>
      </c>
      <c r="E1960">
        <v>106</v>
      </c>
      <c r="F1960">
        <v>12</v>
      </c>
      <c r="G1960">
        <v>81</v>
      </c>
      <c r="H1960">
        <v>17009</v>
      </c>
    </row>
    <row r="1961" spans="1:8" x14ac:dyDescent="0.25">
      <c r="A1961">
        <v>62</v>
      </c>
      <c r="B1961" s="19">
        <v>45016</v>
      </c>
      <c r="C1961" s="1" t="s">
        <v>33</v>
      </c>
      <c r="D1961" t="s">
        <v>692</v>
      </c>
      <c r="E1961">
        <v>106</v>
      </c>
      <c r="F1961">
        <v>11</v>
      </c>
      <c r="G1961">
        <v>23</v>
      </c>
      <c r="H1961">
        <v>15653</v>
      </c>
    </row>
    <row r="1962" spans="1:8" x14ac:dyDescent="0.25">
      <c r="A1962">
        <v>62</v>
      </c>
      <c r="B1962" s="19">
        <v>44285</v>
      </c>
      <c r="C1962" s="1" t="s">
        <v>35</v>
      </c>
      <c r="D1962" t="s">
        <v>692</v>
      </c>
      <c r="E1962">
        <v>103</v>
      </c>
      <c r="F1962">
        <v>12</v>
      </c>
      <c r="G1962">
        <v>88</v>
      </c>
      <c r="H1962">
        <v>12328</v>
      </c>
    </row>
    <row r="1963" spans="1:8" x14ac:dyDescent="0.25">
      <c r="A1963">
        <v>62</v>
      </c>
      <c r="B1963" s="19">
        <v>44915</v>
      </c>
      <c r="C1963" s="1" t="s">
        <v>33</v>
      </c>
      <c r="D1963" t="s">
        <v>693</v>
      </c>
      <c r="E1963">
        <v>104</v>
      </c>
      <c r="F1963">
        <v>15</v>
      </c>
      <c r="G1963">
        <v>59</v>
      </c>
      <c r="H1963">
        <v>11917</v>
      </c>
    </row>
    <row r="1964" spans="1:8" x14ac:dyDescent="0.25">
      <c r="A1964">
        <v>62</v>
      </c>
      <c r="B1964" s="19">
        <v>45536</v>
      </c>
      <c r="C1964" s="1" t="s">
        <v>35</v>
      </c>
      <c r="D1964" t="s">
        <v>694</v>
      </c>
      <c r="E1964">
        <v>107</v>
      </c>
      <c r="F1964">
        <v>14</v>
      </c>
      <c r="G1964">
        <v>60</v>
      </c>
      <c r="H1964">
        <v>13620</v>
      </c>
    </row>
    <row r="1965" spans="1:8" x14ac:dyDescent="0.25">
      <c r="A1965">
        <v>62</v>
      </c>
      <c r="B1965" s="19">
        <v>44630</v>
      </c>
      <c r="C1965" s="1" t="s">
        <v>35</v>
      </c>
      <c r="D1965" t="s">
        <v>694</v>
      </c>
      <c r="E1965">
        <v>106</v>
      </c>
      <c r="F1965">
        <v>15</v>
      </c>
      <c r="G1965">
        <v>78</v>
      </c>
      <c r="H1965">
        <v>47345</v>
      </c>
    </row>
    <row r="1966" spans="1:8" x14ac:dyDescent="0.25">
      <c r="A1966">
        <v>63</v>
      </c>
      <c r="B1966" s="19">
        <v>45180</v>
      </c>
      <c r="C1966" s="1" t="s">
        <v>34</v>
      </c>
      <c r="D1966" t="s">
        <v>690</v>
      </c>
      <c r="E1966">
        <v>103</v>
      </c>
      <c r="F1966">
        <v>12</v>
      </c>
      <c r="G1966">
        <v>68</v>
      </c>
      <c r="H1966">
        <v>42447</v>
      </c>
    </row>
    <row r="1967" spans="1:8" x14ac:dyDescent="0.25">
      <c r="A1967">
        <v>63</v>
      </c>
      <c r="B1967" s="19">
        <v>43832</v>
      </c>
      <c r="C1967" s="1" t="s">
        <v>35</v>
      </c>
      <c r="D1967" t="s">
        <v>690</v>
      </c>
      <c r="E1967">
        <v>105</v>
      </c>
      <c r="F1967">
        <v>15</v>
      </c>
      <c r="G1967">
        <v>20</v>
      </c>
      <c r="H1967">
        <v>32766</v>
      </c>
    </row>
    <row r="1968" spans="1:8" x14ac:dyDescent="0.25">
      <c r="A1968">
        <v>63</v>
      </c>
      <c r="B1968" s="19">
        <v>43973</v>
      </c>
      <c r="C1968" s="1" t="s">
        <v>36</v>
      </c>
      <c r="D1968" t="s">
        <v>690</v>
      </c>
      <c r="E1968">
        <v>105</v>
      </c>
      <c r="F1968">
        <v>12</v>
      </c>
      <c r="G1968">
        <v>98</v>
      </c>
      <c r="H1968">
        <v>15949</v>
      </c>
    </row>
    <row r="1969" spans="1:8" x14ac:dyDescent="0.25">
      <c r="A1969">
        <v>63</v>
      </c>
      <c r="B1969" s="19">
        <v>45298</v>
      </c>
      <c r="C1969" s="1" t="s">
        <v>36</v>
      </c>
      <c r="D1969" t="s">
        <v>691</v>
      </c>
      <c r="E1969">
        <v>104</v>
      </c>
      <c r="F1969">
        <v>13</v>
      </c>
      <c r="G1969">
        <v>66</v>
      </c>
      <c r="H1969">
        <v>35959</v>
      </c>
    </row>
    <row r="1970" spans="1:8" x14ac:dyDescent="0.25">
      <c r="A1970">
        <v>63</v>
      </c>
      <c r="B1970" s="19">
        <v>43955</v>
      </c>
      <c r="C1970" s="1" t="s">
        <v>35</v>
      </c>
      <c r="D1970" t="s">
        <v>691</v>
      </c>
      <c r="E1970">
        <v>105</v>
      </c>
      <c r="F1970">
        <v>12</v>
      </c>
      <c r="G1970">
        <v>91</v>
      </c>
      <c r="H1970">
        <v>38267</v>
      </c>
    </row>
    <row r="1971" spans="1:8" x14ac:dyDescent="0.25">
      <c r="A1971">
        <v>63</v>
      </c>
      <c r="B1971" s="19">
        <v>45156</v>
      </c>
      <c r="C1971" s="1" t="s">
        <v>35</v>
      </c>
      <c r="D1971" t="s">
        <v>700</v>
      </c>
      <c r="E1971">
        <v>103</v>
      </c>
      <c r="F1971">
        <v>14</v>
      </c>
      <c r="G1971">
        <v>68</v>
      </c>
      <c r="H1971">
        <v>42768</v>
      </c>
    </row>
    <row r="1972" spans="1:8" x14ac:dyDescent="0.25">
      <c r="A1972">
        <v>63</v>
      </c>
      <c r="B1972" s="19">
        <v>45285</v>
      </c>
      <c r="C1972" s="1" t="s">
        <v>34</v>
      </c>
      <c r="D1972" t="s">
        <v>700</v>
      </c>
      <c r="E1972">
        <v>104</v>
      </c>
      <c r="F1972">
        <v>12</v>
      </c>
      <c r="G1972">
        <v>28</v>
      </c>
      <c r="H1972">
        <v>14875</v>
      </c>
    </row>
    <row r="1973" spans="1:8" x14ac:dyDescent="0.25">
      <c r="A1973">
        <v>63</v>
      </c>
      <c r="B1973" s="19">
        <v>44133</v>
      </c>
      <c r="C1973" s="1" t="s">
        <v>35</v>
      </c>
      <c r="D1973" t="s">
        <v>696</v>
      </c>
      <c r="E1973">
        <v>105</v>
      </c>
      <c r="F1973">
        <v>13</v>
      </c>
      <c r="G1973">
        <v>65</v>
      </c>
      <c r="H1973">
        <v>30730</v>
      </c>
    </row>
    <row r="1974" spans="1:8" x14ac:dyDescent="0.25">
      <c r="A1974">
        <v>63</v>
      </c>
      <c r="B1974" s="19">
        <v>45635</v>
      </c>
      <c r="C1974" s="1" t="s">
        <v>34</v>
      </c>
      <c r="D1974" t="s">
        <v>696</v>
      </c>
      <c r="E1974">
        <v>103</v>
      </c>
      <c r="F1974">
        <v>15</v>
      </c>
      <c r="G1974">
        <v>10</v>
      </c>
      <c r="H1974">
        <v>14366</v>
      </c>
    </row>
    <row r="1975" spans="1:8" x14ac:dyDescent="0.25">
      <c r="A1975">
        <v>63</v>
      </c>
      <c r="B1975" s="19">
        <v>44247</v>
      </c>
      <c r="C1975" s="1" t="s">
        <v>35</v>
      </c>
      <c r="D1975" t="s">
        <v>696</v>
      </c>
      <c r="E1975">
        <v>106</v>
      </c>
      <c r="F1975">
        <v>11</v>
      </c>
      <c r="G1975">
        <v>94</v>
      </c>
      <c r="H1975">
        <v>10486</v>
      </c>
    </row>
    <row r="1976" spans="1:8" x14ac:dyDescent="0.25">
      <c r="A1976">
        <v>63</v>
      </c>
      <c r="B1976" s="19">
        <v>44717</v>
      </c>
      <c r="C1976" s="1" t="s">
        <v>33</v>
      </c>
      <c r="D1976" t="s">
        <v>696</v>
      </c>
      <c r="E1976">
        <v>104</v>
      </c>
      <c r="F1976">
        <v>13</v>
      </c>
      <c r="G1976">
        <v>64</v>
      </c>
      <c r="H1976">
        <v>25179</v>
      </c>
    </row>
    <row r="1977" spans="1:8" x14ac:dyDescent="0.25">
      <c r="A1977">
        <v>63</v>
      </c>
      <c r="B1977" s="19">
        <v>45257</v>
      </c>
      <c r="C1977" s="1" t="s">
        <v>36</v>
      </c>
      <c r="D1977" t="s">
        <v>697</v>
      </c>
      <c r="E1977">
        <v>109</v>
      </c>
      <c r="F1977">
        <v>12</v>
      </c>
      <c r="G1977">
        <v>95</v>
      </c>
      <c r="H1977">
        <v>48889</v>
      </c>
    </row>
    <row r="1978" spans="1:8" x14ac:dyDescent="0.25">
      <c r="A1978">
        <v>63</v>
      </c>
      <c r="B1978" s="19">
        <v>44989</v>
      </c>
      <c r="C1978" s="1" t="s">
        <v>34</v>
      </c>
      <c r="D1978" t="s">
        <v>697</v>
      </c>
      <c r="E1978">
        <v>109</v>
      </c>
      <c r="F1978">
        <v>12</v>
      </c>
      <c r="G1978">
        <v>92</v>
      </c>
      <c r="H1978">
        <v>32949</v>
      </c>
    </row>
    <row r="1979" spans="1:8" x14ac:dyDescent="0.25">
      <c r="A1979">
        <v>63</v>
      </c>
      <c r="B1979" s="19">
        <v>44957</v>
      </c>
      <c r="C1979" s="1" t="s">
        <v>36</v>
      </c>
      <c r="D1979" t="s">
        <v>697</v>
      </c>
      <c r="E1979">
        <v>103</v>
      </c>
      <c r="F1979">
        <v>13</v>
      </c>
      <c r="G1979">
        <v>51</v>
      </c>
      <c r="H1979">
        <v>48062</v>
      </c>
    </row>
    <row r="1980" spans="1:8" x14ac:dyDescent="0.25">
      <c r="A1980">
        <v>63</v>
      </c>
      <c r="B1980" s="19">
        <v>45078</v>
      </c>
      <c r="C1980" s="1" t="s">
        <v>34</v>
      </c>
      <c r="D1980" t="s">
        <v>698</v>
      </c>
      <c r="E1980">
        <v>105</v>
      </c>
      <c r="F1980">
        <v>12</v>
      </c>
      <c r="G1980">
        <v>20</v>
      </c>
      <c r="H1980">
        <v>16897</v>
      </c>
    </row>
    <row r="1981" spans="1:8" x14ac:dyDescent="0.25">
      <c r="A1981">
        <v>63</v>
      </c>
      <c r="B1981" s="19">
        <v>45070</v>
      </c>
      <c r="C1981" s="1" t="s">
        <v>34</v>
      </c>
      <c r="D1981" t="s">
        <v>698</v>
      </c>
      <c r="E1981">
        <v>105</v>
      </c>
      <c r="F1981">
        <v>11</v>
      </c>
      <c r="G1981">
        <v>32</v>
      </c>
      <c r="H1981">
        <v>11471</v>
      </c>
    </row>
    <row r="1982" spans="1:8" x14ac:dyDescent="0.25">
      <c r="A1982">
        <v>63</v>
      </c>
      <c r="B1982" s="19">
        <v>45471</v>
      </c>
      <c r="C1982" s="1" t="s">
        <v>35</v>
      </c>
      <c r="D1982" t="s">
        <v>698</v>
      </c>
      <c r="E1982">
        <v>101</v>
      </c>
      <c r="F1982">
        <v>15</v>
      </c>
      <c r="G1982">
        <v>63</v>
      </c>
      <c r="H1982">
        <v>48321</v>
      </c>
    </row>
    <row r="1983" spans="1:8" x14ac:dyDescent="0.25">
      <c r="A1983">
        <v>63</v>
      </c>
      <c r="B1983" s="19">
        <v>44238</v>
      </c>
      <c r="C1983" s="1" t="s">
        <v>33</v>
      </c>
      <c r="D1983" t="s">
        <v>698</v>
      </c>
      <c r="E1983">
        <v>105</v>
      </c>
      <c r="F1983">
        <v>12</v>
      </c>
      <c r="G1983">
        <v>53</v>
      </c>
      <c r="H1983">
        <v>44416</v>
      </c>
    </row>
    <row r="1984" spans="1:8" x14ac:dyDescent="0.25">
      <c r="A1984">
        <v>63</v>
      </c>
      <c r="B1984" s="19">
        <v>45252</v>
      </c>
      <c r="C1984" s="1" t="s">
        <v>33</v>
      </c>
      <c r="D1984" t="s">
        <v>698</v>
      </c>
      <c r="E1984">
        <v>108</v>
      </c>
      <c r="F1984">
        <v>15</v>
      </c>
      <c r="G1984">
        <v>45</v>
      </c>
      <c r="H1984">
        <v>23525</v>
      </c>
    </row>
    <row r="1985" spans="1:8" x14ac:dyDescent="0.25">
      <c r="A1985">
        <v>63</v>
      </c>
      <c r="B1985" s="19">
        <v>45413</v>
      </c>
      <c r="C1985" s="1" t="s">
        <v>36</v>
      </c>
      <c r="D1985" t="s">
        <v>699</v>
      </c>
      <c r="E1985">
        <v>108</v>
      </c>
      <c r="F1985">
        <v>15</v>
      </c>
      <c r="G1985">
        <v>23</v>
      </c>
      <c r="H1985">
        <v>49149</v>
      </c>
    </row>
    <row r="1986" spans="1:8" x14ac:dyDescent="0.25">
      <c r="A1986">
        <v>63</v>
      </c>
      <c r="B1986" s="19">
        <v>44123</v>
      </c>
      <c r="C1986" s="1" t="s">
        <v>34</v>
      </c>
      <c r="D1986" t="s">
        <v>699</v>
      </c>
      <c r="E1986">
        <v>105</v>
      </c>
      <c r="F1986">
        <v>12</v>
      </c>
      <c r="G1986">
        <v>37</v>
      </c>
      <c r="H1986">
        <v>29183</v>
      </c>
    </row>
    <row r="1987" spans="1:8" x14ac:dyDescent="0.25">
      <c r="A1987">
        <v>63</v>
      </c>
      <c r="B1987" s="19">
        <v>45409</v>
      </c>
      <c r="C1987" s="1" t="s">
        <v>33</v>
      </c>
      <c r="D1987" t="s">
        <v>699</v>
      </c>
      <c r="E1987">
        <v>104</v>
      </c>
      <c r="F1987">
        <v>12</v>
      </c>
      <c r="G1987">
        <v>83</v>
      </c>
      <c r="H1987">
        <v>32430</v>
      </c>
    </row>
    <row r="1988" spans="1:8" x14ac:dyDescent="0.25">
      <c r="A1988">
        <v>63</v>
      </c>
      <c r="B1988" s="19">
        <v>44496</v>
      </c>
      <c r="C1988" s="1" t="s">
        <v>33</v>
      </c>
      <c r="D1988" t="s">
        <v>699</v>
      </c>
      <c r="E1988">
        <v>103</v>
      </c>
      <c r="F1988">
        <v>14</v>
      </c>
      <c r="G1988">
        <v>12</v>
      </c>
      <c r="H1988">
        <v>17896</v>
      </c>
    </row>
    <row r="1989" spans="1:8" x14ac:dyDescent="0.25">
      <c r="A1989">
        <v>63</v>
      </c>
      <c r="B1989" s="19">
        <v>44651</v>
      </c>
      <c r="C1989" s="1" t="s">
        <v>34</v>
      </c>
      <c r="D1989" t="s">
        <v>695</v>
      </c>
      <c r="E1989">
        <v>105</v>
      </c>
      <c r="F1989">
        <v>14</v>
      </c>
      <c r="G1989">
        <v>28</v>
      </c>
      <c r="H1989">
        <v>49119</v>
      </c>
    </row>
    <row r="1990" spans="1:8" x14ac:dyDescent="0.25">
      <c r="A1990">
        <v>63</v>
      </c>
      <c r="B1990" s="19">
        <v>44441</v>
      </c>
      <c r="C1990" s="1" t="s">
        <v>35</v>
      </c>
      <c r="D1990" t="s">
        <v>695</v>
      </c>
      <c r="E1990">
        <v>103</v>
      </c>
      <c r="F1990">
        <v>15</v>
      </c>
      <c r="G1990">
        <v>11</v>
      </c>
      <c r="H1990">
        <v>14133</v>
      </c>
    </row>
    <row r="1991" spans="1:8" x14ac:dyDescent="0.25">
      <c r="A1991">
        <v>63</v>
      </c>
      <c r="B1991" s="19">
        <v>45252</v>
      </c>
      <c r="C1991" s="1" t="s">
        <v>36</v>
      </c>
      <c r="D1991" t="s">
        <v>695</v>
      </c>
      <c r="E1991">
        <v>103</v>
      </c>
      <c r="F1991">
        <v>15</v>
      </c>
      <c r="G1991">
        <v>78</v>
      </c>
      <c r="H1991">
        <v>15324</v>
      </c>
    </row>
    <row r="1992" spans="1:8" x14ac:dyDescent="0.25">
      <c r="A1992">
        <v>63</v>
      </c>
      <c r="B1992" s="19">
        <v>44146</v>
      </c>
      <c r="C1992" s="1" t="s">
        <v>34</v>
      </c>
      <c r="D1992" t="s">
        <v>695</v>
      </c>
      <c r="E1992">
        <v>105</v>
      </c>
      <c r="F1992">
        <v>11</v>
      </c>
      <c r="G1992">
        <v>71</v>
      </c>
      <c r="H1992">
        <v>39203</v>
      </c>
    </row>
    <row r="1993" spans="1:8" x14ac:dyDescent="0.25">
      <c r="A1993">
        <v>63</v>
      </c>
      <c r="B1993" s="19">
        <v>44817</v>
      </c>
      <c r="C1993" s="1" t="s">
        <v>34</v>
      </c>
      <c r="D1993" t="s">
        <v>692</v>
      </c>
      <c r="E1993">
        <v>105</v>
      </c>
      <c r="F1993">
        <v>12</v>
      </c>
      <c r="G1993">
        <v>25</v>
      </c>
      <c r="H1993">
        <v>41214</v>
      </c>
    </row>
    <row r="1994" spans="1:8" x14ac:dyDescent="0.25">
      <c r="A1994">
        <v>63</v>
      </c>
      <c r="B1994" s="19">
        <v>44177</v>
      </c>
      <c r="C1994" s="1" t="s">
        <v>35</v>
      </c>
      <c r="D1994" t="s">
        <v>692</v>
      </c>
      <c r="E1994">
        <v>103</v>
      </c>
      <c r="F1994">
        <v>14</v>
      </c>
      <c r="G1994">
        <v>99</v>
      </c>
      <c r="H1994">
        <v>11379</v>
      </c>
    </row>
    <row r="1995" spans="1:8" x14ac:dyDescent="0.25">
      <c r="A1995">
        <v>63</v>
      </c>
      <c r="B1995" s="19">
        <v>45460</v>
      </c>
      <c r="C1995" s="1" t="s">
        <v>36</v>
      </c>
      <c r="D1995" t="s">
        <v>692</v>
      </c>
      <c r="E1995">
        <v>102</v>
      </c>
      <c r="F1995">
        <v>13</v>
      </c>
      <c r="G1995">
        <v>82</v>
      </c>
      <c r="H1995">
        <v>43182</v>
      </c>
    </row>
    <row r="1996" spans="1:8" x14ac:dyDescent="0.25">
      <c r="A1996">
        <v>63</v>
      </c>
      <c r="B1996" s="19">
        <v>44442</v>
      </c>
      <c r="C1996" s="1" t="s">
        <v>34</v>
      </c>
      <c r="D1996" t="s">
        <v>692</v>
      </c>
      <c r="E1996">
        <v>101</v>
      </c>
      <c r="F1996">
        <v>11</v>
      </c>
      <c r="G1996">
        <v>43</v>
      </c>
      <c r="H1996">
        <v>46171</v>
      </c>
    </row>
    <row r="1997" spans="1:8" x14ac:dyDescent="0.25">
      <c r="A1997">
        <v>63</v>
      </c>
      <c r="B1997" s="19">
        <v>45603</v>
      </c>
      <c r="C1997" s="1" t="s">
        <v>35</v>
      </c>
      <c r="D1997" t="s">
        <v>693</v>
      </c>
      <c r="E1997">
        <v>105</v>
      </c>
      <c r="F1997">
        <v>11</v>
      </c>
      <c r="G1997">
        <v>72</v>
      </c>
      <c r="H1997">
        <v>46273</v>
      </c>
    </row>
    <row r="1998" spans="1:8" x14ac:dyDescent="0.25">
      <c r="A1998">
        <v>63</v>
      </c>
      <c r="B1998" s="19">
        <v>45190</v>
      </c>
      <c r="C1998" s="1" t="s">
        <v>34</v>
      </c>
      <c r="D1998" t="s">
        <v>693</v>
      </c>
      <c r="E1998">
        <v>106</v>
      </c>
      <c r="F1998">
        <v>12</v>
      </c>
      <c r="G1998">
        <v>74</v>
      </c>
      <c r="H1998">
        <v>40450</v>
      </c>
    </row>
    <row r="1999" spans="1:8" x14ac:dyDescent="0.25">
      <c r="A1999">
        <v>63</v>
      </c>
      <c r="B1999" s="19">
        <v>44891</v>
      </c>
      <c r="C1999" s="1" t="s">
        <v>33</v>
      </c>
      <c r="D1999" t="s">
        <v>694</v>
      </c>
      <c r="E1999">
        <v>107</v>
      </c>
      <c r="F1999">
        <v>12</v>
      </c>
      <c r="G1999">
        <v>34</v>
      </c>
      <c r="H1999">
        <v>29626</v>
      </c>
    </row>
    <row r="2000" spans="1:8" x14ac:dyDescent="0.25">
      <c r="A2000">
        <v>63</v>
      </c>
      <c r="B2000" s="19">
        <v>44570</v>
      </c>
      <c r="C2000" s="1" t="s">
        <v>33</v>
      </c>
      <c r="D2000" t="s">
        <v>694</v>
      </c>
      <c r="E2000">
        <v>107</v>
      </c>
      <c r="F2000">
        <v>13</v>
      </c>
      <c r="G2000">
        <v>13</v>
      </c>
      <c r="H2000">
        <v>39270</v>
      </c>
    </row>
    <row r="2001" spans="1:8" x14ac:dyDescent="0.25">
      <c r="A2001">
        <v>64</v>
      </c>
      <c r="B2001" s="19">
        <v>43898</v>
      </c>
      <c r="C2001" s="1" t="s">
        <v>36</v>
      </c>
      <c r="D2001" t="s">
        <v>690</v>
      </c>
      <c r="E2001">
        <v>103</v>
      </c>
      <c r="F2001">
        <v>11</v>
      </c>
      <c r="G2001">
        <v>20</v>
      </c>
      <c r="H2001">
        <v>46202</v>
      </c>
    </row>
    <row r="2002" spans="1:8" x14ac:dyDescent="0.25">
      <c r="A2002">
        <v>64</v>
      </c>
      <c r="B2002" s="19">
        <v>45560</v>
      </c>
      <c r="C2002" s="1" t="s">
        <v>34</v>
      </c>
      <c r="D2002" t="s">
        <v>690</v>
      </c>
      <c r="E2002">
        <v>103</v>
      </c>
      <c r="F2002">
        <v>12</v>
      </c>
      <c r="G2002">
        <v>8</v>
      </c>
      <c r="H2002">
        <v>24077</v>
      </c>
    </row>
    <row r="2003" spans="1:8" x14ac:dyDescent="0.25">
      <c r="A2003">
        <v>64</v>
      </c>
      <c r="B2003" s="19">
        <v>44103</v>
      </c>
      <c r="C2003" s="1" t="s">
        <v>35</v>
      </c>
      <c r="D2003" t="s">
        <v>690</v>
      </c>
      <c r="E2003">
        <v>104</v>
      </c>
      <c r="F2003">
        <v>12</v>
      </c>
      <c r="G2003">
        <v>50</v>
      </c>
      <c r="H2003">
        <v>34068</v>
      </c>
    </row>
    <row r="2004" spans="1:8" x14ac:dyDescent="0.25">
      <c r="A2004">
        <v>64</v>
      </c>
      <c r="B2004" s="19">
        <v>44524</v>
      </c>
      <c r="C2004" s="1" t="s">
        <v>36</v>
      </c>
      <c r="D2004" t="s">
        <v>690</v>
      </c>
      <c r="E2004">
        <v>109</v>
      </c>
      <c r="F2004">
        <v>14</v>
      </c>
      <c r="G2004">
        <v>13</v>
      </c>
      <c r="H2004">
        <v>20229</v>
      </c>
    </row>
    <row r="2005" spans="1:8" x14ac:dyDescent="0.25">
      <c r="A2005">
        <v>64</v>
      </c>
      <c r="B2005" s="19">
        <v>45415</v>
      </c>
      <c r="C2005" s="1" t="s">
        <v>35</v>
      </c>
      <c r="D2005" t="s">
        <v>691</v>
      </c>
      <c r="E2005">
        <v>103</v>
      </c>
      <c r="F2005">
        <v>15</v>
      </c>
      <c r="G2005">
        <v>12</v>
      </c>
      <c r="H2005">
        <v>48435</v>
      </c>
    </row>
    <row r="2006" spans="1:8" x14ac:dyDescent="0.25">
      <c r="A2006">
        <v>64</v>
      </c>
      <c r="B2006" s="19">
        <v>44922</v>
      </c>
      <c r="C2006" s="1" t="s">
        <v>35</v>
      </c>
      <c r="D2006" t="s">
        <v>691</v>
      </c>
      <c r="E2006">
        <v>107</v>
      </c>
      <c r="F2006">
        <v>15</v>
      </c>
      <c r="G2006">
        <v>46</v>
      </c>
      <c r="H2006">
        <v>35067</v>
      </c>
    </row>
    <row r="2007" spans="1:8" x14ac:dyDescent="0.25">
      <c r="A2007">
        <v>64</v>
      </c>
      <c r="B2007" s="19">
        <v>44198</v>
      </c>
      <c r="C2007" s="1" t="s">
        <v>36</v>
      </c>
      <c r="D2007" t="s">
        <v>697</v>
      </c>
      <c r="E2007">
        <v>104</v>
      </c>
      <c r="F2007">
        <v>13</v>
      </c>
      <c r="G2007">
        <v>5</v>
      </c>
      <c r="H2007">
        <v>37259</v>
      </c>
    </row>
    <row r="2008" spans="1:8" x14ac:dyDescent="0.25">
      <c r="A2008">
        <v>64</v>
      </c>
      <c r="B2008" s="19">
        <v>44208</v>
      </c>
      <c r="C2008" s="1" t="s">
        <v>35</v>
      </c>
      <c r="D2008" t="s">
        <v>697</v>
      </c>
      <c r="E2008">
        <v>103</v>
      </c>
      <c r="F2008">
        <v>15</v>
      </c>
      <c r="G2008">
        <v>75</v>
      </c>
      <c r="H2008">
        <v>25004</v>
      </c>
    </row>
    <row r="2009" spans="1:8" x14ac:dyDescent="0.25">
      <c r="A2009">
        <v>64</v>
      </c>
      <c r="B2009" s="19">
        <v>44936</v>
      </c>
      <c r="C2009" s="1" t="s">
        <v>35</v>
      </c>
      <c r="D2009" t="s">
        <v>698</v>
      </c>
      <c r="E2009">
        <v>104</v>
      </c>
      <c r="F2009">
        <v>15</v>
      </c>
      <c r="G2009">
        <v>58</v>
      </c>
      <c r="H2009">
        <v>24547</v>
      </c>
    </row>
    <row r="2010" spans="1:8" x14ac:dyDescent="0.25">
      <c r="A2010">
        <v>64</v>
      </c>
      <c r="B2010" s="19">
        <v>44273</v>
      </c>
      <c r="C2010" s="1" t="s">
        <v>33</v>
      </c>
      <c r="D2010" t="s">
        <v>698</v>
      </c>
      <c r="E2010">
        <v>103</v>
      </c>
      <c r="F2010">
        <v>11</v>
      </c>
      <c r="G2010">
        <v>86</v>
      </c>
      <c r="H2010">
        <v>38549</v>
      </c>
    </row>
    <row r="2011" spans="1:8" x14ac:dyDescent="0.25">
      <c r="A2011">
        <v>64</v>
      </c>
      <c r="B2011" s="19">
        <v>44338</v>
      </c>
      <c r="C2011" s="1" t="s">
        <v>34</v>
      </c>
      <c r="D2011" t="s">
        <v>698</v>
      </c>
      <c r="E2011">
        <v>104</v>
      </c>
      <c r="F2011">
        <v>12</v>
      </c>
      <c r="G2011">
        <v>30</v>
      </c>
      <c r="H2011">
        <v>31405</v>
      </c>
    </row>
    <row r="2012" spans="1:8" x14ac:dyDescent="0.25">
      <c r="A2012">
        <v>64</v>
      </c>
      <c r="B2012" s="19">
        <v>44172</v>
      </c>
      <c r="C2012" s="1" t="s">
        <v>35</v>
      </c>
      <c r="D2012" t="s">
        <v>698</v>
      </c>
      <c r="E2012">
        <v>103</v>
      </c>
      <c r="F2012">
        <v>13</v>
      </c>
      <c r="G2012">
        <v>30</v>
      </c>
      <c r="H2012">
        <v>20767</v>
      </c>
    </row>
    <row r="2013" spans="1:8" x14ac:dyDescent="0.25">
      <c r="A2013">
        <v>64</v>
      </c>
      <c r="B2013" s="19">
        <v>44693</v>
      </c>
      <c r="C2013" s="1" t="s">
        <v>36</v>
      </c>
      <c r="D2013" t="s">
        <v>699</v>
      </c>
      <c r="E2013">
        <v>104</v>
      </c>
      <c r="F2013">
        <v>14</v>
      </c>
      <c r="G2013">
        <v>88</v>
      </c>
      <c r="H2013">
        <v>49921</v>
      </c>
    </row>
    <row r="2014" spans="1:8" x14ac:dyDescent="0.25">
      <c r="A2014">
        <v>64</v>
      </c>
      <c r="B2014" s="19">
        <v>45053</v>
      </c>
      <c r="C2014" s="1" t="s">
        <v>34</v>
      </c>
      <c r="D2014" t="s">
        <v>695</v>
      </c>
      <c r="E2014">
        <v>103</v>
      </c>
      <c r="F2014">
        <v>14</v>
      </c>
      <c r="G2014">
        <v>62</v>
      </c>
      <c r="H2014">
        <v>38735</v>
      </c>
    </row>
    <row r="2015" spans="1:8" x14ac:dyDescent="0.25">
      <c r="A2015">
        <v>64</v>
      </c>
      <c r="B2015" s="19">
        <v>44485</v>
      </c>
      <c r="C2015" s="1" t="s">
        <v>34</v>
      </c>
      <c r="D2015" t="s">
        <v>695</v>
      </c>
      <c r="E2015">
        <v>108</v>
      </c>
      <c r="F2015">
        <v>12</v>
      </c>
      <c r="G2015">
        <v>26</v>
      </c>
      <c r="H2015">
        <v>29180</v>
      </c>
    </row>
    <row r="2016" spans="1:8" x14ac:dyDescent="0.25">
      <c r="A2016">
        <v>64</v>
      </c>
      <c r="B2016" s="19">
        <v>44880</v>
      </c>
      <c r="C2016" s="1" t="s">
        <v>34</v>
      </c>
      <c r="D2016" t="s">
        <v>695</v>
      </c>
      <c r="E2016">
        <v>103</v>
      </c>
      <c r="F2016">
        <v>14</v>
      </c>
      <c r="G2016">
        <v>68</v>
      </c>
      <c r="H2016">
        <v>20805</v>
      </c>
    </row>
    <row r="2017" spans="1:8" x14ac:dyDescent="0.25">
      <c r="A2017">
        <v>64</v>
      </c>
      <c r="B2017" s="19">
        <v>44955</v>
      </c>
      <c r="C2017" s="1" t="s">
        <v>35</v>
      </c>
      <c r="D2017" t="s">
        <v>692</v>
      </c>
      <c r="E2017">
        <v>104</v>
      </c>
      <c r="F2017">
        <v>15</v>
      </c>
      <c r="G2017">
        <v>70</v>
      </c>
      <c r="H2017">
        <v>14541</v>
      </c>
    </row>
    <row r="2018" spans="1:8" x14ac:dyDescent="0.25">
      <c r="A2018">
        <v>64</v>
      </c>
      <c r="B2018" s="19">
        <v>45471</v>
      </c>
      <c r="C2018" s="1" t="s">
        <v>34</v>
      </c>
      <c r="D2018" t="s">
        <v>692</v>
      </c>
      <c r="E2018">
        <v>104</v>
      </c>
      <c r="F2018">
        <v>15</v>
      </c>
      <c r="G2018">
        <v>19</v>
      </c>
      <c r="H2018">
        <v>15094</v>
      </c>
    </row>
    <row r="2019" spans="1:8" x14ac:dyDescent="0.25">
      <c r="A2019">
        <v>64</v>
      </c>
      <c r="B2019" s="19">
        <v>45188</v>
      </c>
      <c r="C2019" s="1" t="s">
        <v>36</v>
      </c>
      <c r="D2019" t="s">
        <v>692</v>
      </c>
      <c r="E2019">
        <v>102</v>
      </c>
      <c r="F2019">
        <v>14</v>
      </c>
      <c r="G2019">
        <v>24</v>
      </c>
      <c r="H2019">
        <v>28880</v>
      </c>
    </row>
    <row r="2020" spans="1:8" x14ac:dyDescent="0.25">
      <c r="A2020">
        <v>64</v>
      </c>
      <c r="B2020" s="19">
        <v>45341</v>
      </c>
      <c r="C2020" s="1" t="s">
        <v>36</v>
      </c>
      <c r="D2020" t="s">
        <v>692</v>
      </c>
      <c r="E2020">
        <v>103</v>
      </c>
      <c r="F2020">
        <v>15</v>
      </c>
      <c r="G2020">
        <v>15</v>
      </c>
      <c r="H2020">
        <v>40908</v>
      </c>
    </row>
    <row r="2021" spans="1:8" x14ac:dyDescent="0.25">
      <c r="A2021">
        <v>64</v>
      </c>
      <c r="B2021" s="19">
        <v>43993</v>
      </c>
      <c r="C2021" s="1" t="s">
        <v>35</v>
      </c>
      <c r="D2021" t="s">
        <v>692</v>
      </c>
      <c r="E2021">
        <v>104</v>
      </c>
      <c r="F2021">
        <v>14</v>
      </c>
      <c r="G2021">
        <v>37</v>
      </c>
      <c r="H2021">
        <v>45091</v>
      </c>
    </row>
    <row r="2022" spans="1:8" x14ac:dyDescent="0.25">
      <c r="A2022">
        <v>64</v>
      </c>
      <c r="B2022" s="19">
        <v>44907</v>
      </c>
      <c r="C2022" s="1" t="s">
        <v>36</v>
      </c>
      <c r="D2022" t="s">
        <v>693</v>
      </c>
      <c r="E2022">
        <v>106</v>
      </c>
      <c r="F2022">
        <v>11</v>
      </c>
      <c r="G2022">
        <v>19</v>
      </c>
      <c r="H2022">
        <v>37531</v>
      </c>
    </row>
    <row r="2023" spans="1:8" x14ac:dyDescent="0.25">
      <c r="A2023">
        <v>64</v>
      </c>
      <c r="B2023" s="19">
        <v>45467</v>
      </c>
      <c r="C2023" s="1" t="s">
        <v>35</v>
      </c>
      <c r="D2023" t="s">
        <v>694</v>
      </c>
      <c r="E2023">
        <v>103</v>
      </c>
      <c r="F2023">
        <v>13</v>
      </c>
      <c r="G2023">
        <v>95</v>
      </c>
      <c r="H2023">
        <v>21206</v>
      </c>
    </row>
    <row r="2024" spans="1:8" x14ac:dyDescent="0.25">
      <c r="A2024">
        <v>64</v>
      </c>
      <c r="B2024" s="19">
        <v>43904</v>
      </c>
      <c r="C2024" s="1" t="s">
        <v>34</v>
      </c>
      <c r="D2024" t="s">
        <v>694</v>
      </c>
      <c r="E2024">
        <v>108</v>
      </c>
      <c r="F2024">
        <v>11</v>
      </c>
      <c r="G2024">
        <v>27</v>
      </c>
      <c r="H2024">
        <v>27784</v>
      </c>
    </row>
    <row r="2025" spans="1:8" x14ac:dyDescent="0.25">
      <c r="A2025">
        <v>64</v>
      </c>
      <c r="B2025" s="19">
        <v>44939</v>
      </c>
      <c r="C2025" s="1" t="s">
        <v>33</v>
      </c>
      <c r="D2025" t="s">
        <v>694</v>
      </c>
      <c r="E2025">
        <v>104</v>
      </c>
      <c r="F2025">
        <v>13</v>
      </c>
      <c r="G2025">
        <v>19</v>
      </c>
      <c r="H2025">
        <v>13923</v>
      </c>
    </row>
    <row r="2026" spans="1:8" x14ac:dyDescent="0.25">
      <c r="A2026">
        <v>65</v>
      </c>
      <c r="B2026" s="19">
        <v>45448</v>
      </c>
      <c r="C2026" s="1" t="s">
        <v>35</v>
      </c>
      <c r="D2026" t="s">
        <v>690</v>
      </c>
      <c r="E2026">
        <v>101</v>
      </c>
      <c r="F2026">
        <v>14</v>
      </c>
      <c r="G2026">
        <v>40</v>
      </c>
      <c r="H2026">
        <v>17070</v>
      </c>
    </row>
    <row r="2027" spans="1:8" x14ac:dyDescent="0.25">
      <c r="A2027">
        <v>65</v>
      </c>
      <c r="B2027" s="19">
        <v>44328</v>
      </c>
      <c r="C2027" s="1" t="s">
        <v>34</v>
      </c>
      <c r="D2027" t="s">
        <v>690</v>
      </c>
      <c r="E2027">
        <v>105</v>
      </c>
      <c r="F2027">
        <v>11</v>
      </c>
      <c r="G2027">
        <v>85</v>
      </c>
      <c r="H2027">
        <v>39500</v>
      </c>
    </row>
    <row r="2028" spans="1:8" x14ac:dyDescent="0.25">
      <c r="A2028">
        <v>65</v>
      </c>
      <c r="B2028" s="19">
        <v>45455</v>
      </c>
      <c r="C2028" s="1" t="s">
        <v>33</v>
      </c>
      <c r="D2028" t="s">
        <v>691</v>
      </c>
      <c r="E2028">
        <v>105</v>
      </c>
      <c r="F2028">
        <v>12</v>
      </c>
      <c r="G2028">
        <v>53</v>
      </c>
      <c r="H2028">
        <v>26423</v>
      </c>
    </row>
    <row r="2029" spans="1:8" x14ac:dyDescent="0.25">
      <c r="A2029">
        <v>65</v>
      </c>
      <c r="B2029" s="19">
        <v>45316</v>
      </c>
      <c r="C2029" s="1" t="s">
        <v>36</v>
      </c>
      <c r="D2029" t="s">
        <v>691</v>
      </c>
      <c r="E2029">
        <v>105</v>
      </c>
      <c r="F2029">
        <v>14</v>
      </c>
      <c r="G2029">
        <v>59</v>
      </c>
      <c r="H2029">
        <v>21556</v>
      </c>
    </row>
    <row r="2030" spans="1:8" x14ac:dyDescent="0.25">
      <c r="A2030">
        <v>65</v>
      </c>
      <c r="B2030" s="19">
        <v>44551</v>
      </c>
      <c r="C2030" s="1" t="s">
        <v>34</v>
      </c>
      <c r="D2030" t="s">
        <v>700</v>
      </c>
      <c r="E2030">
        <v>109</v>
      </c>
      <c r="F2030">
        <v>12</v>
      </c>
      <c r="G2030">
        <v>22</v>
      </c>
      <c r="H2030">
        <v>44930</v>
      </c>
    </row>
    <row r="2031" spans="1:8" x14ac:dyDescent="0.25">
      <c r="A2031">
        <v>65</v>
      </c>
      <c r="B2031" s="19">
        <v>45177</v>
      </c>
      <c r="C2031" s="1" t="s">
        <v>35</v>
      </c>
      <c r="D2031" t="s">
        <v>696</v>
      </c>
      <c r="E2031">
        <v>105</v>
      </c>
      <c r="F2031">
        <v>12</v>
      </c>
      <c r="G2031">
        <v>98</v>
      </c>
      <c r="H2031">
        <v>39294</v>
      </c>
    </row>
    <row r="2032" spans="1:8" x14ac:dyDescent="0.25">
      <c r="A2032">
        <v>65</v>
      </c>
      <c r="B2032" s="19">
        <v>44068</v>
      </c>
      <c r="C2032" s="1" t="s">
        <v>35</v>
      </c>
      <c r="D2032" t="s">
        <v>696</v>
      </c>
      <c r="E2032">
        <v>104</v>
      </c>
      <c r="F2032">
        <v>14</v>
      </c>
      <c r="G2032">
        <v>79</v>
      </c>
      <c r="H2032">
        <v>20906</v>
      </c>
    </row>
    <row r="2033" spans="1:8" x14ac:dyDescent="0.25">
      <c r="A2033">
        <v>65</v>
      </c>
      <c r="B2033" s="19">
        <v>44873</v>
      </c>
      <c r="C2033" s="1" t="s">
        <v>34</v>
      </c>
      <c r="D2033" t="s">
        <v>696</v>
      </c>
      <c r="E2033">
        <v>102</v>
      </c>
      <c r="F2033">
        <v>15</v>
      </c>
      <c r="G2033">
        <v>94</v>
      </c>
      <c r="H2033">
        <v>42478</v>
      </c>
    </row>
    <row r="2034" spans="1:8" x14ac:dyDescent="0.25">
      <c r="A2034">
        <v>65</v>
      </c>
      <c r="B2034" s="19">
        <v>44011</v>
      </c>
      <c r="C2034" s="1" t="s">
        <v>34</v>
      </c>
      <c r="D2034" t="s">
        <v>697</v>
      </c>
      <c r="E2034">
        <v>104</v>
      </c>
      <c r="F2034">
        <v>14</v>
      </c>
      <c r="G2034">
        <v>52</v>
      </c>
      <c r="H2034">
        <v>20139</v>
      </c>
    </row>
    <row r="2035" spans="1:8" x14ac:dyDescent="0.25">
      <c r="A2035">
        <v>65</v>
      </c>
      <c r="B2035" s="19">
        <v>45323</v>
      </c>
      <c r="C2035" s="1" t="s">
        <v>33</v>
      </c>
      <c r="D2035" t="s">
        <v>697</v>
      </c>
      <c r="E2035">
        <v>104</v>
      </c>
      <c r="F2035">
        <v>12</v>
      </c>
      <c r="G2035">
        <v>19</v>
      </c>
      <c r="H2035">
        <v>27271</v>
      </c>
    </row>
    <row r="2036" spans="1:8" x14ac:dyDescent="0.25">
      <c r="A2036">
        <v>65</v>
      </c>
      <c r="B2036" s="19">
        <v>44986</v>
      </c>
      <c r="C2036" s="1" t="s">
        <v>36</v>
      </c>
      <c r="D2036" t="s">
        <v>697</v>
      </c>
      <c r="E2036">
        <v>104</v>
      </c>
      <c r="F2036">
        <v>13</v>
      </c>
      <c r="G2036">
        <v>17</v>
      </c>
      <c r="H2036">
        <v>28998</v>
      </c>
    </row>
    <row r="2037" spans="1:8" x14ac:dyDescent="0.25">
      <c r="A2037">
        <v>65</v>
      </c>
      <c r="B2037" s="19">
        <v>44963</v>
      </c>
      <c r="C2037" s="1" t="s">
        <v>35</v>
      </c>
      <c r="D2037" t="s">
        <v>695</v>
      </c>
      <c r="E2037">
        <v>104</v>
      </c>
      <c r="F2037">
        <v>13</v>
      </c>
      <c r="G2037">
        <v>55</v>
      </c>
      <c r="H2037">
        <v>18325</v>
      </c>
    </row>
    <row r="2038" spans="1:8" x14ac:dyDescent="0.25">
      <c r="A2038">
        <v>65</v>
      </c>
      <c r="B2038" s="19">
        <v>44790</v>
      </c>
      <c r="C2038" s="1" t="s">
        <v>35</v>
      </c>
      <c r="D2038" t="s">
        <v>695</v>
      </c>
      <c r="E2038">
        <v>104</v>
      </c>
      <c r="F2038">
        <v>13</v>
      </c>
      <c r="G2038">
        <v>84</v>
      </c>
      <c r="H2038">
        <v>26918</v>
      </c>
    </row>
    <row r="2039" spans="1:8" x14ac:dyDescent="0.25">
      <c r="A2039">
        <v>65</v>
      </c>
      <c r="B2039" s="19">
        <v>45011</v>
      </c>
      <c r="C2039" s="1" t="s">
        <v>33</v>
      </c>
      <c r="D2039" t="s">
        <v>692</v>
      </c>
      <c r="E2039">
        <v>103</v>
      </c>
      <c r="F2039">
        <v>13</v>
      </c>
      <c r="G2039">
        <v>29</v>
      </c>
      <c r="H2039">
        <v>20382</v>
      </c>
    </row>
    <row r="2040" spans="1:8" x14ac:dyDescent="0.25">
      <c r="A2040">
        <v>65</v>
      </c>
      <c r="B2040" s="19">
        <v>44107</v>
      </c>
      <c r="C2040" s="1" t="s">
        <v>36</v>
      </c>
      <c r="D2040" t="s">
        <v>692</v>
      </c>
      <c r="E2040">
        <v>106</v>
      </c>
      <c r="F2040">
        <v>13</v>
      </c>
      <c r="G2040">
        <v>43</v>
      </c>
      <c r="H2040">
        <v>47220</v>
      </c>
    </row>
    <row r="2041" spans="1:8" x14ac:dyDescent="0.25">
      <c r="A2041">
        <v>65</v>
      </c>
      <c r="B2041" s="19">
        <v>43904</v>
      </c>
      <c r="C2041" s="1" t="s">
        <v>35</v>
      </c>
      <c r="D2041" t="s">
        <v>692</v>
      </c>
      <c r="E2041">
        <v>104</v>
      </c>
      <c r="F2041">
        <v>11</v>
      </c>
      <c r="G2041">
        <v>64</v>
      </c>
      <c r="H2041">
        <v>21139</v>
      </c>
    </row>
    <row r="2042" spans="1:8" x14ac:dyDescent="0.25">
      <c r="A2042">
        <v>65</v>
      </c>
      <c r="B2042" s="19">
        <v>44199</v>
      </c>
      <c r="C2042" s="1" t="s">
        <v>34</v>
      </c>
      <c r="D2042" t="s">
        <v>693</v>
      </c>
      <c r="E2042">
        <v>104</v>
      </c>
      <c r="F2042">
        <v>15</v>
      </c>
      <c r="G2042">
        <v>15</v>
      </c>
      <c r="H2042">
        <v>36346</v>
      </c>
    </row>
    <row r="2043" spans="1:8" x14ac:dyDescent="0.25">
      <c r="A2043">
        <v>65</v>
      </c>
      <c r="B2043" s="19">
        <v>44074</v>
      </c>
      <c r="C2043" s="1" t="s">
        <v>36</v>
      </c>
      <c r="D2043" t="s">
        <v>693</v>
      </c>
      <c r="E2043">
        <v>104</v>
      </c>
      <c r="F2043">
        <v>13</v>
      </c>
      <c r="G2043">
        <v>32</v>
      </c>
      <c r="H2043">
        <v>40502</v>
      </c>
    </row>
    <row r="2044" spans="1:8" x14ac:dyDescent="0.25">
      <c r="A2044">
        <v>65</v>
      </c>
      <c r="B2044" s="19">
        <v>44625</v>
      </c>
      <c r="C2044" s="1" t="s">
        <v>35</v>
      </c>
      <c r="D2044" t="s">
        <v>694</v>
      </c>
      <c r="E2044">
        <v>105</v>
      </c>
      <c r="F2044">
        <v>13</v>
      </c>
      <c r="G2044">
        <v>28</v>
      </c>
      <c r="H2044">
        <v>38074</v>
      </c>
    </row>
    <row r="2045" spans="1:8" x14ac:dyDescent="0.25">
      <c r="A2045">
        <v>65</v>
      </c>
      <c r="B2045" s="19">
        <v>44086</v>
      </c>
      <c r="C2045" s="1" t="s">
        <v>34</v>
      </c>
      <c r="D2045" t="s">
        <v>694</v>
      </c>
      <c r="E2045">
        <v>105</v>
      </c>
      <c r="F2045">
        <v>14</v>
      </c>
      <c r="G2045">
        <v>18</v>
      </c>
      <c r="H2045">
        <v>48048</v>
      </c>
    </row>
    <row r="2046" spans="1:8" x14ac:dyDescent="0.25">
      <c r="A2046">
        <v>66</v>
      </c>
      <c r="B2046" s="19">
        <v>45152</v>
      </c>
      <c r="C2046" s="1" t="s">
        <v>35</v>
      </c>
      <c r="D2046" t="s">
        <v>690</v>
      </c>
      <c r="E2046">
        <v>108</v>
      </c>
      <c r="F2046">
        <v>15</v>
      </c>
      <c r="G2046">
        <v>46</v>
      </c>
      <c r="H2046">
        <v>16574</v>
      </c>
    </row>
    <row r="2047" spans="1:8" x14ac:dyDescent="0.25">
      <c r="A2047">
        <v>66</v>
      </c>
      <c r="B2047" s="19">
        <v>45474</v>
      </c>
      <c r="C2047" s="1" t="s">
        <v>34</v>
      </c>
      <c r="D2047" t="s">
        <v>690</v>
      </c>
      <c r="E2047">
        <v>103</v>
      </c>
      <c r="F2047">
        <v>11</v>
      </c>
      <c r="G2047">
        <v>77</v>
      </c>
      <c r="H2047">
        <v>38929</v>
      </c>
    </row>
    <row r="2048" spans="1:8" x14ac:dyDescent="0.25">
      <c r="A2048">
        <v>66</v>
      </c>
      <c r="B2048" s="19">
        <v>44369</v>
      </c>
      <c r="C2048" s="1" t="s">
        <v>34</v>
      </c>
      <c r="D2048" t="s">
        <v>691</v>
      </c>
      <c r="E2048">
        <v>108</v>
      </c>
      <c r="F2048">
        <v>12</v>
      </c>
      <c r="G2048">
        <v>67</v>
      </c>
      <c r="H2048">
        <v>31654</v>
      </c>
    </row>
    <row r="2049" spans="1:8" x14ac:dyDescent="0.25">
      <c r="A2049">
        <v>66</v>
      </c>
      <c r="B2049" s="19">
        <v>44322</v>
      </c>
      <c r="C2049" s="1" t="s">
        <v>35</v>
      </c>
      <c r="D2049" t="s">
        <v>696</v>
      </c>
      <c r="E2049">
        <v>105</v>
      </c>
      <c r="F2049">
        <v>13</v>
      </c>
      <c r="G2049">
        <v>25</v>
      </c>
      <c r="H2049">
        <v>27975</v>
      </c>
    </row>
    <row r="2050" spans="1:8" x14ac:dyDescent="0.25">
      <c r="A2050">
        <v>66</v>
      </c>
      <c r="B2050" s="19">
        <v>45594</v>
      </c>
      <c r="C2050" s="1" t="s">
        <v>36</v>
      </c>
      <c r="D2050" t="s">
        <v>696</v>
      </c>
      <c r="E2050">
        <v>107</v>
      </c>
      <c r="F2050">
        <v>14</v>
      </c>
      <c r="G2050">
        <v>68</v>
      </c>
      <c r="H2050">
        <v>48794</v>
      </c>
    </row>
    <row r="2051" spans="1:8" x14ac:dyDescent="0.25">
      <c r="A2051">
        <v>66</v>
      </c>
      <c r="B2051" s="19">
        <v>44683</v>
      </c>
      <c r="C2051" s="1" t="s">
        <v>35</v>
      </c>
      <c r="D2051" t="s">
        <v>696</v>
      </c>
      <c r="E2051">
        <v>103</v>
      </c>
      <c r="F2051">
        <v>13</v>
      </c>
      <c r="G2051">
        <v>58</v>
      </c>
      <c r="H2051">
        <v>33882</v>
      </c>
    </row>
    <row r="2052" spans="1:8" x14ac:dyDescent="0.25">
      <c r="A2052">
        <v>66</v>
      </c>
      <c r="B2052" s="19">
        <v>44964</v>
      </c>
      <c r="C2052" s="1" t="s">
        <v>33</v>
      </c>
      <c r="D2052" t="s">
        <v>697</v>
      </c>
      <c r="E2052">
        <v>105</v>
      </c>
      <c r="F2052">
        <v>13</v>
      </c>
      <c r="G2052">
        <v>11</v>
      </c>
      <c r="H2052">
        <v>15766</v>
      </c>
    </row>
    <row r="2053" spans="1:8" x14ac:dyDescent="0.25">
      <c r="A2053">
        <v>66</v>
      </c>
      <c r="B2053" s="19">
        <v>44320</v>
      </c>
      <c r="C2053" s="1" t="s">
        <v>33</v>
      </c>
      <c r="D2053" t="s">
        <v>697</v>
      </c>
      <c r="E2053">
        <v>101</v>
      </c>
      <c r="F2053">
        <v>14</v>
      </c>
      <c r="G2053">
        <v>44</v>
      </c>
      <c r="H2053">
        <v>40594</v>
      </c>
    </row>
    <row r="2054" spans="1:8" x14ac:dyDescent="0.25">
      <c r="A2054">
        <v>66</v>
      </c>
      <c r="B2054" s="19">
        <v>44916</v>
      </c>
      <c r="C2054" s="1" t="s">
        <v>36</v>
      </c>
      <c r="D2054" t="s">
        <v>697</v>
      </c>
      <c r="E2054">
        <v>105</v>
      </c>
      <c r="F2054">
        <v>15</v>
      </c>
      <c r="G2054">
        <v>12</v>
      </c>
      <c r="H2054">
        <v>37949</v>
      </c>
    </row>
    <row r="2055" spans="1:8" x14ac:dyDescent="0.25">
      <c r="A2055">
        <v>66</v>
      </c>
      <c r="B2055" s="19">
        <v>44709</v>
      </c>
      <c r="C2055" s="1" t="s">
        <v>33</v>
      </c>
      <c r="D2055" t="s">
        <v>698</v>
      </c>
      <c r="E2055">
        <v>105</v>
      </c>
      <c r="F2055">
        <v>12</v>
      </c>
      <c r="G2055">
        <v>41</v>
      </c>
      <c r="H2055">
        <v>49833</v>
      </c>
    </row>
    <row r="2056" spans="1:8" x14ac:dyDescent="0.25">
      <c r="A2056">
        <v>66</v>
      </c>
      <c r="B2056" s="19">
        <v>44557</v>
      </c>
      <c r="C2056" s="1" t="s">
        <v>33</v>
      </c>
      <c r="D2056" t="s">
        <v>699</v>
      </c>
      <c r="E2056">
        <v>104</v>
      </c>
      <c r="F2056">
        <v>14</v>
      </c>
      <c r="G2056">
        <v>27</v>
      </c>
      <c r="H2056">
        <v>22440</v>
      </c>
    </row>
    <row r="2057" spans="1:8" x14ac:dyDescent="0.25">
      <c r="A2057">
        <v>66</v>
      </c>
      <c r="B2057" s="19">
        <v>45430</v>
      </c>
      <c r="C2057" s="1" t="s">
        <v>33</v>
      </c>
      <c r="D2057" t="s">
        <v>699</v>
      </c>
      <c r="E2057">
        <v>101</v>
      </c>
      <c r="F2057">
        <v>13</v>
      </c>
      <c r="G2057">
        <v>57</v>
      </c>
      <c r="H2057">
        <v>25999</v>
      </c>
    </row>
    <row r="2058" spans="1:8" x14ac:dyDescent="0.25">
      <c r="A2058">
        <v>66</v>
      </c>
      <c r="B2058" s="19">
        <v>45167</v>
      </c>
      <c r="C2058" s="1" t="s">
        <v>33</v>
      </c>
      <c r="D2058" t="s">
        <v>699</v>
      </c>
      <c r="E2058">
        <v>104</v>
      </c>
      <c r="F2058">
        <v>15</v>
      </c>
      <c r="G2058">
        <v>41</v>
      </c>
      <c r="H2058">
        <v>39877</v>
      </c>
    </row>
    <row r="2059" spans="1:8" x14ac:dyDescent="0.25">
      <c r="A2059">
        <v>66</v>
      </c>
      <c r="B2059" s="19">
        <v>44993</v>
      </c>
      <c r="C2059" s="1" t="s">
        <v>36</v>
      </c>
      <c r="D2059" t="s">
        <v>695</v>
      </c>
      <c r="E2059">
        <v>103</v>
      </c>
      <c r="F2059">
        <v>12</v>
      </c>
      <c r="G2059">
        <v>94</v>
      </c>
      <c r="H2059">
        <v>21258</v>
      </c>
    </row>
    <row r="2060" spans="1:8" x14ac:dyDescent="0.25">
      <c r="A2060">
        <v>66</v>
      </c>
      <c r="B2060" s="19">
        <v>44880</v>
      </c>
      <c r="C2060" s="1" t="s">
        <v>33</v>
      </c>
      <c r="D2060" t="s">
        <v>695</v>
      </c>
      <c r="E2060">
        <v>105</v>
      </c>
      <c r="F2060">
        <v>11</v>
      </c>
      <c r="G2060">
        <v>37</v>
      </c>
      <c r="H2060">
        <v>35885</v>
      </c>
    </row>
    <row r="2061" spans="1:8" x14ac:dyDescent="0.25">
      <c r="A2061">
        <v>66</v>
      </c>
      <c r="B2061" s="19">
        <v>44904</v>
      </c>
      <c r="C2061" s="1" t="s">
        <v>35</v>
      </c>
      <c r="D2061" t="s">
        <v>695</v>
      </c>
      <c r="E2061">
        <v>107</v>
      </c>
      <c r="F2061">
        <v>15</v>
      </c>
      <c r="G2061">
        <v>87</v>
      </c>
      <c r="H2061">
        <v>48582</v>
      </c>
    </row>
    <row r="2062" spans="1:8" x14ac:dyDescent="0.25">
      <c r="A2062">
        <v>66</v>
      </c>
      <c r="B2062" s="19">
        <v>45400</v>
      </c>
      <c r="C2062" s="1" t="s">
        <v>34</v>
      </c>
      <c r="D2062" t="s">
        <v>692</v>
      </c>
      <c r="E2062">
        <v>104</v>
      </c>
      <c r="F2062">
        <v>11</v>
      </c>
      <c r="G2062">
        <v>41</v>
      </c>
      <c r="H2062">
        <v>11358</v>
      </c>
    </row>
    <row r="2063" spans="1:8" x14ac:dyDescent="0.25">
      <c r="A2063">
        <v>66</v>
      </c>
      <c r="B2063" s="19">
        <v>45138</v>
      </c>
      <c r="C2063" s="1" t="s">
        <v>35</v>
      </c>
      <c r="D2063" t="s">
        <v>692</v>
      </c>
      <c r="E2063">
        <v>106</v>
      </c>
      <c r="F2063">
        <v>14</v>
      </c>
      <c r="G2063">
        <v>90</v>
      </c>
      <c r="H2063">
        <v>45870</v>
      </c>
    </row>
    <row r="2064" spans="1:8" x14ac:dyDescent="0.25">
      <c r="A2064">
        <v>66</v>
      </c>
      <c r="B2064" s="19">
        <v>45092</v>
      </c>
      <c r="C2064" s="1" t="s">
        <v>33</v>
      </c>
      <c r="D2064" t="s">
        <v>692</v>
      </c>
      <c r="E2064">
        <v>102</v>
      </c>
      <c r="F2064">
        <v>14</v>
      </c>
      <c r="G2064">
        <v>51</v>
      </c>
      <c r="H2064">
        <v>23369</v>
      </c>
    </row>
    <row r="2065" spans="1:8" x14ac:dyDescent="0.25">
      <c r="A2065">
        <v>66</v>
      </c>
      <c r="B2065" s="19">
        <v>45566</v>
      </c>
      <c r="C2065" s="1" t="s">
        <v>34</v>
      </c>
      <c r="D2065" t="s">
        <v>693</v>
      </c>
      <c r="E2065">
        <v>108</v>
      </c>
      <c r="F2065">
        <v>15</v>
      </c>
      <c r="G2065">
        <v>6</v>
      </c>
      <c r="H2065">
        <v>47867</v>
      </c>
    </row>
    <row r="2066" spans="1:8" x14ac:dyDescent="0.25">
      <c r="A2066">
        <v>66</v>
      </c>
      <c r="B2066" s="19">
        <v>44831</v>
      </c>
      <c r="C2066" s="1" t="s">
        <v>35</v>
      </c>
      <c r="D2066" t="s">
        <v>693</v>
      </c>
      <c r="E2066">
        <v>107</v>
      </c>
      <c r="F2066">
        <v>15</v>
      </c>
      <c r="G2066">
        <v>10</v>
      </c>
      <c r="H2066">
        <v>32249</v>
      </c>
    </row>
    <row r="2067" spans="1:8" x14ac:dyDescent="0.25">
      <c r="A2067">
        <v>67</v>
      </c>
      <c r="B2067" s="19">
        <v>44010</v>
      </c>
      <c r="C2067" s="1" t="s">
        <v>36</v>
      </c>
      <c r="D2067" t="s">
        <v>690</v>
      </c>
      <c r="E2067">
        <v>103</v>
      </c>
      <c r="F2067">
        <v>14</v>
      </c>
      <c r="G2067">
        <v>77</v>
      </c>
      <c r="H2067">
        <v>16150</v>
      </c>
    </row>
    <row r="2068" spans="1:8" x14ac:dyDescent="0.25">
      <c r="A2068">
        <v>67</v>
      </c>
      <c r="B2068" s="19">
        <v>44989</v>
      </c>
      <c r="C2068" s="1" t="s">
        <v>36</v>
      </c>
      <c r="D2068" t="s">
        <v>690</v>
      </c>
      <c r="E2068">
        <v>105</v>
      </c>
      <c r="F2068">
        <v>14</v>
      </c>
      <c r="G2068">
        <v>31</v>
      </c>
      <c r="H2068">
        <v>13919</v>
      </c>
    </row>
    <row r="2069" spans="1:8" x14ac:dyDescent="0.25">
      <c r="A2069">
        <v>67</v>
      </c>
      <c r="B2069" s="19">
        <v>44636</v>
      </c>
      <c r="C2069" s="1" t="s">
        <v>36</v>
      </c>
      <c r="D2069" t="s">
        <v>690</v>
      </c>
      <c r="E2069">
        <v>103</v>
      </c>
      <c r="F2069">
        <v>11</v>
      </c>
      <c r="G2069">
        <v>88</v>
      </c>
      <c r="H2069">
        <v>37397</v>
      </c>
    </row>
    <row r="2070" spans="1:8" x14ac:dyDescent="0.25">
      <c r="A2070">
        <v>67</v>
      </c>
      <c r="B2070" s="19">
        <v>44397</v>
      </c>
      <c r="C2070" s="1" t="s">
        <v>36</v>
      </c>
      <c r="D2070" t="s">
        <v>691</v>
      </c>
      <c r="E2070">
        <v>101</v>
      </c>
      <c r="F2070">
        <v>12</v>
      </c>
      <c r="G2070">
        <v>39</v>
      </c>
      <c r="H2070">
        <v>19011</v>
      </c>
    </row>
    <row r="2071" spans="1:8" x14ac:dyDescent="0.25">
      <c r="A2071">
        <v>67</v>
      </c>
      <c r="B2071" s="19">
        <v>45131</v>
      </c>
      <c r="C2071" s="1" t="s">
        <v>33</v>
      </c>
      <c r="D2071" t="s">
        <v>691</v>
      </c>
      <c r="E2071">
        <v>104</v>
      </c>
      <c r="F2071">
        <v>14</v>
      </c>
      <c r="G2071">
        <v>64</v>
      </c>
      <c r="H2071">
        <v>18447</v>
      </c>
    </row>
    <row r="2072" spans="1:8" x14ac:dyDescent="0.25">
      <c r="A2072">
        <v>67</v>
      </c>
      <c r="B2072" s="19">
        <v>45049</v>
      </c>
      <c r="C2072" s="1" t="s">
        <v>34</v>
      </c>
      <c r="D2072" t="s">
        <v>691</v>
      </c>
      <c r="E2072">
        <v>109</v>
      </c>
      <c r="F2072">
        <v>13</v>
      </c>
      <c r="G2072">
        <v>70</v>
      </c>
      <c r="H2072">
        <v>16638</v>
      </c>
    </row>
    <row r="2073" spans="1:8" x14ac:dyDescent="0.25">
      <c r="A2073">
        <v>67</v>
      </c>
      <c r="B2073" s="19">
        <v>44638</v>
      </c>
      <c r="C2073" s="1" t="s">
        <v>34</v>
      </c>
      <c r="D2073" t="s">
        <v>691</v>
      </c>
      <c r="E2073">
        <v>105</v>
      </c>
      <c r="F2073">
        <v>14</v>
      </c>
      <c r="G2073">
        <v>12</v>
      </c>
      <c r="H2073">
        <v>48901</v>
      </c>
    </row>
    <row r="2074" spans="1:8" x14ac:dyDescent="0.25">
      <c r="A2074">
        <v>67</v>
      </c>
      <c r="B2074" s="19">
        <v>45475</v>
      </c>
      <c r="C2074" s="1" t="s">
        <v>35</v>
      </c>
      <c r="D2074" t="s">
        <v>691</v>
      </c>
      <c r="E2074">
        <v>103</v>
      </c>
      <c r="F2074">
        <v>15</v>
      </c>
      <c r="G2074">
        <v>98</v>
      </c>
      <c r="H2074">
        <v>35976</v>
      </c>
    </row>
    <row r="2075" spans="1:8" x14ac:dyDescent="0.25">
      <c r="A2075">
        <v>67</v>
      </c>
      <c r="B2075" s="19">
        <v>45622</v>
      </c>
      <c r="C2075" s="1" t="s">
        <v>35</v>
      </c>
      <c r="D2075" t="s">
        <v>691</v>
      </c>
      <c r="E2075">
        <v>105</v>
      </c>
      <c r="F2075">
        <v>12</v>
      </c>
      <c r="G2075">
        <v>32</v>
      </c>
      <c r="H2075">
        <v>10759</v>
      </c>
    </row>
    <row r="2076" spans="1:8" x14ac:dyDescent="0.25">
      <c r="A2076">
        <v>67</v>
      </c>
      <c r="B2076" s="19">
        <v>44305</v>
      </c>
      <c r="C2076" s="1" t="s">
        <v>35</v>
      </c>
      <c r="D2076" t="s">
        <v>691</v>
      </c>
      <c r="E2076">
        <v>103</v>
      </c>
      <c r="F2076">
        <v>15</v>
      </c>
      <c r="G2076">
        <v>12</v>
      </c>
      <c r="H2076">
        <v>39617</v>
      </c>
    </row>
    <row r="2077" spans="1:8" x14ac:dyDescent="0.25">
      <c r="A2077">
        <v>67</v>
      </c>
      <c r="B2077" s="19">
        <v>45428</v>
      </c>
      <c r="C2077" s="1" t="s">
        <v>34</v>
      </c>
      <c r="D2077" t="s">
        <v>700</v>
      </c>
      <c r="E2077">
        <v>103</v>
      </c>
      <c r="F2077">
        <v>11</v>
      </c>
      <c r="G2077">
        <v>47</v>
      </c>
      <c r="H2077">
        <v>44554</v>
      </c>
    </row>
    <row r="2078" spans="1:8" x14ac:dyDescent="0.25">
      <c r="A2078">
        <v>67</v>
      </c>
      <c r="B2078" s="19">
        <v>45193</v>
      </c>
      <c r="C2078" s="1" t="s">
        <v>34</v>
      </c>
      <c r="D2078" t="s">
        <v>700</v>
      </c>
      <c r="E2078">
        <v>101</v>
      </c>
      <c r="F2078">
        <v>15</v>
      </c>
      <c r="G2078">
        <v>71</v>
      </c>
      <c r="H2078">
        <v>13463</v>
      </c>
    </row>
    <row r="2079" spans="1:8" x14ac:dyDescent="0.25">
      <c r="A2079">
        <v>67</v>
      </c>
      <c r="B2079" s="19">
        <v>44565</v>
      </c>
      <c r="C2079" s="1" t="s">
        <v>33</v>
      </c>
      <c r="D2079" t="s">
        <v>700</v>
      </c>
      <c r="E2079">
        <v>104</v>
      </c>
      <c r="F2079">
        <v>13</v>
      </c>
      <c r="G2079">
        <v>35</v>
      </c>
      <c r="H2079">
        <v>31546</v>
      </c>
    </row>
    <row r="2080" spans="1:8" x14ac:dyDescent="0.25">
      <c r="A2080">
        <v>67</v>
      </c>
      <c r="B2080" s="19">
        <v>45126</v>
      </c>
      <c r="C2080" s="1" t="s">
        <v>35</v>
      </c>
      <c r="D2080" t="s">
        <v>700</v>
      </c>
      <c r="E2080">
        <v>103</v>
      </c>
      <c r="F2080">
        <v>15</v>
      </c>
      <c r="G2080">
        <v>60</v>
      </c>
      <c r="H2080">
        <v>26520</v>
      </c>
    </row>
    <row r="2081" spans="1:8" x14ac:dyDescent="0.25">
      <c r="A2081">
        <v>67</v>
      </c>
      <c r="B2081" s="19">
        <v>45525</v>
      </c>
      <c r="C2081" s="1" t="s">
        <v>35</v>
      </c>
      <c r="D2081" t="s">
        <v>700</v>
      </c>
      <c r="E2081">
        <v>103</v>
      </c>
      <c r="F2081">
        <v>13</v>
      </c>
      <c r="G2081">
        <v>64</v>
      </c>
      <c r="H2081">
        <v>32544</v>
      </c>
    </row>
    <row r="2082" spans="1:8" x14ac:dyDescent="0.25">
      <c r="A2082">
        <v>67</v>
      </c>
      <c r="B2082" s="19">
        <v>45144</v>
      </c>
      <c r="C2082" s="1" t="s">
        <v>34</v>
      </c>
      <c r="D2082" t="s">
        <v>696</v>
      </c>
      <c r="E2082">
        <v>101</v>
      </c>
      <c r="F2082">
        <v>11</v>
      </c>
      <c r="G2082">
        <v>15</v>
      </c>
      <c r="H2082">
        <v>38696</v>
      </c>
    </row>
    <row r="2083" spans="1:8" x14ac:dyDescent="0.25">
      <c r="A2083">
        <v>67</v>
      </c>
      <c r="B2083" s="19">
        <v>44179</v>
      </c>
      <c r="C2083" s="1" t="s">
        <v>35</v>
      </c>
      <c r="D2083" t="s">
        <v>696</v>
      </c>
      <c r="E2083">
        <v>103</v>
      </c>
      <c r="F2083">
        <v>12</v>
      </c>
      <c r="G2083">
        <v>86</v>
      </c>
      <c r="H2083">
        <v>14904</v>
      </c>
    </row>
    <row r="2084" spans="1:8" x14ac:dyDescent="0.25">
      <c r="A2084">
        <v>67</v>
      </c>
      <c r="B2084" s="19">
        <v>45018</v>
      </c>
      <c r="C2084" s="1" t="s">
        <v>35</v>
      </c>
      <c r="D2084" t="s">
        <v>696</v>
      </c>
      <c r="E2084">
        <v>104</v>
      </c>
      <c r="F2084">
        <v>14</v>
      </c>
      <c r="G2084">
        <v>24</v>
      </c>
      <c r="H2084">
        <v>18729</v>
      </c>
    </row>
    <row r="2085" spans="1:8" x14ac:dyDescent="0.25">
      <c r="A2085">
        <v>67</v>
      </c>
      <c r="B2085" s="19">
        <v>43972</v>
      </c>
      <c r="C2085" s="1" t="s">
        <v>33</v>
      </c>
      <c r="D2085" t="s">
        <v>697</v>
      </c>
      <c r="E2085">
        <v>104</v>
      </c>
      <c r="F2085">
        <v>12</v>
      </c>
      <c r="G2085">
        <v>79</v>
      </c>
      <c r="H2085">
        <v>35474</v>
      </c>
    </row>
    <row r="2086" spans="1:8" x14ac:dyDescent="0.25">
      <c r="A2086">
        <v>67</v>
      </c>
      <c r="B2086" s="19">
        <v>43845</v>
      </c>
      <c r="C2086" s="1" t="s">
        <v>34</v>
      </c>
      <c r="D2086" t="s">
        <v>697</v>
      </c>
      <c r="E2086">
        <v>104</v>
      </c>
      <c r="F2086">
        <v>12</v>
      </c>
      <c r="G2086">
        <v>39</v>
      </c>
      <c r="H2086">
        <v>17106</v>
      </c>
    </row>
    <row r="2087" spans="1:8" x14ac:dyDescent="0.25">
      <c r="A2087">
        <v>67</v>
      </c>
      <c r="B2087" s="19">
        <v>44586</v>
      </c>
      <c r="C2087" s="1" t="s">
        <v>34</v>
      </c>
      <c r="D2087" t="s">
        <v>697</v>
      </c>
      <c r="E2087">
        <v>103</v>
      </c>
      <c r="F2087">
        <v>14</v>
      </c>
      <c r="G2087">
        <v>91</v>
      </c>
      <c r="H2087">
        <v>38482</v>
      </c>
    </row>
    <row r="2088" spans="1:8" x14ac:dyDescent="0.25">
      <c r="A2088">
        <v>67</v>
      </c>
      <c r="B2088" s="19">
        <v>44042</v>
      </c>
      <c r="C2088" s="1" t="s">
        <v>36</v>
      </c>
      <c r="D2088" t="s">
        <v>697</v>
      </c>
      <c r="E2088">
        <v>105</v>
      </c>
      <c r="F2088">
        <v>15</v>
      </c>
      <c r="G2088">
        <v>59</v>
      </c>
      <c r="H2088">
        <v>39311</v>
      </c>
    </row>
    <row r="2089" spans="1:8" x14ac:dyDescent="0.25">
      <c r="A2089">
        <v>67</v>
      </c>
      <c r="B2089" s="19">
        <v>44258</v>
      </c>
      <c r="C2089" s="1" t="s">
        <v>36</v>
      </c>
      <c r="D2089" t="s">
        <v>698</v>
      </c>
      <c r="E2089">
        <v>104</v>
      </c>
      <c r="F2089">
        <v>15</v>
      </c>
      <c r="G2089">
        <v>20</v>
      </c>
      <c r="H2089">
        <v>26495</v>
      </c>
    </row>
    <row r="2090" spans="1:8" x14ac:dyDescent="0.25">
      <c r="A2090">
        <v>67</v>
      </c>
      <c r="B2090" s="19">
        <v>45010</v>
      </c>
      <c r="C2090" s="1" t="s">
        <v>34</v>
      </c>
      <c r="D2090" t="s">
        <v>698</v>
      </c>
      <c r="E2090">
        <v>104</v>
      </c>
      <c r="F2090">
        <v>13</v>
      </c>
      <c r="G2090">
        <v>38</v>
      </c>
      <c r="H2090">
        <v>39375</v>
      </c>
    </row>
    <row r="2091" spans="1:8" x14ac:dyDescent="0.25">
      <c r="A2091">
        <v>67</v>
      </c>
      <c r="B2091" s="19">
        <v>44341</v>
      </c>
      <c r="C2091" s="1" t="s">
        <v>35</v>
      </c>
      <c r="D2091" t="s">
        <v>698</v>
      </c>
      <c r="E2091">
        <v>108</v>
      </c>
      <c r="F2091">
        <v>15</v>
      </c>
      <c r="G2091">
        <v>73</v>
      </c>
      <c r="H2091">
        <v>23542</v>
      </c>
    </row>
    <row r="2092" spans="1:8" x14ac:dyDescent="0.25">
      <c r="A2092">
        <v>67</v>
      </c>
      <c r="B2092" s="19">
        <v>45274</v>
      </c>
      <c r="C2092" s="1" t="s">
        <v>36</v>
      </c>
      <c r="D2092" t="s">
        <v>699</v>
      </c>
      <c r="E2092">
        <v>104</v>
      </c>
      <c r="F2092">
        <v>12</v>
      </c>
      <c r="G2092">
        <v>22</v>
      </c>
      <c r="H2092">
        <v>41959</v>
      </c>
    </row>
    <row r="2093" spans="1:8" x14ac:dyDescent="0.25">
      <c r="A2093">
        <v>67</v>
      </c>
      <c r="B2093" s="19">
        <v>44478</v>
      </c>
      <c r="C2093" s="1" t="s">
        <v>33</v>
      </c>
      <c r="D2093" t="s">
        <v>699</v>
      </c>
      <c r="E2093">
        <v>102</v>
      </c>
      <c r="F2093">
        <v>11</v>
      </c>
      <c r="G2093">
        <v>76</v>
      </c>
      <c r="H2093">
        <v>14224</v>
      </c>
    </row>
    <row r="2094" spans="1:8" x14ac:dyDescent="0.25">
      <c r="A2094">
        <v>67</v>
      </c>
      <c r="B2094" s="19">
        <v>44599</v>
      </c>
      <c r="C2094" s="1" t="s">
        <v>34</v>
      </c>
      <c r="D2094" t="s">
        <v>695</v>
      </c>
      <c r="E2094">
        <v>104</v>
      </c>
      <c r="F2094">
        <v>11</v>
      </c>
      <c r="G2094">
        <v>99</v>
      </c>
      <c r="H2094">
        <v>21403</v>
      </c>
    </row>
    <row r="2095" spans="1:8" x14ac:dyDescent="0.25">
      <c r="A2095">
        <v>67</v>
      </c>
      <c r="B2095" s="19">
        <v>44339</v>
      </c>
      <c r="C2095" s="1" t="s">
        <v>35</v>
      </c>
      <c r="D2095" t="s">
        <v>695</v>
      </c>
      <c r="E2095">
        <v>105</v>
      </c>
      <c r="F2095">
        <v>13</v>
      </c>
      <c r="G2095">
        <v>53</v>
      </c>
      <c r="H2095">
        <v>23289</v>
      </c>
    </row>
    <row r="2096" spans="1:8" x14ac:dyDescent="0.25">
      <c r="A2096">
        <v>67</v>
      </c>
      <c r="B2096" s="19">
        <v>44925</v>
      </c>
      <c r="C2096" s="1" t="s">
        <v>35</v>
      </c>
      <c r="D2096" t="s">
        <v>695</v>
      </c>
      <c r="E2096">
        <v>103</v>
      </c>
      <c r="F2096">
        <v>11</v>
      </c>
      <c r="G2096">
        <v>17</v>
      </c>
      <c r="H2096">
        <v>11795</v>
      </c>
    </row>
    <row r="2097" spans="1:8" x14ac:dyDescent="0.25">
      <c r="A2097">
        <v>67</v>
      </c>
      <c r="B2097" s="19">
        <v>44379</v>
      </c>
      <c r="C2097" s="1" t="s">
        <v>35</v>
      </c>
      <c r="D2097" t="s">
        <v>692</v>
      </c>
      <c r="E2097">
        <v>105</v>
      </c>
      <c r="F2097">
        <v>13</v>
      </c>
      <c r="G2097">
        <v>27</v>
      </c>
      <c r="H2097">
        <v>41139</v>
      </c>
    </row>
    <row r="2098" spans="1:8" x14ac:dyDescent="0.25">
      <c r="A2098">
        <v>67</v>
      </c>
      <c r="B2098" s="19">
        <v>45400</v>
      </c>
      <c r="C2098" s="1" t="s">
        <v>35</v>
      </c>
      <c r="D2098" t="s">
        <v>692</v>
      </c>
      <c r="E2098">
        <v>105</v>
      </c>
      <c r="F2098">
        <v>13</v>
      </c>
      <c r="G2098">
        <v>64</v>
      </c>
      <c r="H2098">
        <v>30118</v>
      </c>
    </row>
    <row r="2099" spans="1:8" x14ac:dyDescent="0.25">
      <c r="A2099">
        <v>67</v>
      </c>
      <c r="B2099" s="19">
        <v>44982</v>
      </c>
      <c r="C2099" s="1" t="s">
        <v>33</v>
      </c>
      <c r="D2099" t="s">
        <v>692</v>
      </c>
      <c r="E2099">
        <v>105</v>
      </c>
      <c r="F2099">
        <v>12</v>
      </c>
      <c r="G2099">
        <v>22</v>
      </c>
      <c r="H2099">
        <v>23788</v>
      </c>
    </row>
    <row r="2100" spans="1:8" x14ac:dyDescent="0.25">
      <c r="A2100">
        <v>67</v>
      </c>
      <c r="B2100" s="19">
        <v>45615</v>
      </c>
      <c r="C2100" s="1" t="s">
        <v>36</v>
      </c>
      <c r="D2100" t="s">
        <v>693</v>
      </c>
      <c r="E2100">
        <v>108</v>
      </c>
      <c r="F2100">
        <v>13</v>
      </c>
      <c r="G2100">
        <v>98</v>
      </c>
      <c r="H2100">
        <v>45054</v>
      </c>
    </row>
    <row r="2101" spans="1:8" x14ac:dyDescent="0.25">
      <c r="A2101">
        <v>67</v>
      </c>
      <c r="B2101" s="19">
        <v>44193</v>
      </c>
      <c r="C2101" s="1" t="s">
        <v>33</v>
      </c>
      <c r="D2101" t="s">
        <v>694</v>
      </c>
      <c r="E2101">
        <v>103</v>
      </c>
      <c r="F2101">
        <v>15</v>
      </c>
      <c r="G2101">
        <v>14</v>
      </c>
      <c r="H2101">
        <v>16597</v>
      </c>
    </row>
    <row r="2102" spans="1:8" x14ac:dyDescent="0.25">
      <c r="A2102">
        <v>67</v>
      </c>
      <c r="B2102" s="19">
        <v>44245</v>
      </c>
      <c r="C2102" s="1" t="s">
        <v>34</v>
      </c>
      <c r="D2102" t="s">
        <v>694</v>
      </c>
      <c r="E2102">
        <v>108</v>
      </c>
      <c r="F2102">
        <v>12</v>
      </c>
      <c r="G2102">
        <v>97</v>
      </c>
      <c r="H2102">
        <v>45284</v>
      </c>
    </row>
    <row r="2103" spans="1:8" x14ac:dyDescent="0.25">
      <c r="A2103">
        <v>67</v>
      </c>
      <c r="B2103" s="19">
        <v>45389</v>
      </c>
      <c r="C2103" s="1" t="s">
        <v>34</v>
      </c>
      <c r="D2103" t="s">
        <v>694</v>
      </c>
      <c r="E2103">
        <v>104</v>
      </c>
      <c r="F2103">
        <v>11</v>
      </c>
      <c r="G2103">
        <v>12</v>
      </c>
      <c r="H2103">
        <v>32791</v>
      </c>
    </row>
    <row r="2104" spans="1:8" x14ac:dyDescent="0.25">
      <c r="A2104">
        <v>68</v>
      </c>
      <c r="B2104" s="19">
        <v>44937</v>
      </c>
      <c r="C2104" s="1" t="s">
        <v>33</v>
      </c>
      <c r="D2104" t="s">
        <v>690</v>
      </c>
      <c r="E2104">
        <v>108</v>
      </c>
      <c r="F2104">
        <v>14</v>
      </c>
      <c r="G2104">
        <v>37</v>
      </c>
      <c r="H2104">
        <v>44019</v>
      </c>
    </row>
    <row r="2105" spans="1:8" x14ac:dyDescent="0.25">
      <c r="A2105">
        <v>68</v>
      </c>
      <c r="B2105" s="19">
        <v>44686</v>
      </c>
      <c r="C2105" s="1" t="s">
        <v>34</v>
      </c>
      <c r="D2105" t="s">
        <v>690</v>
      </c>
      <c r="E2105">
        <v>105</v>
      </c>
      <c r="F2105">
        <v>13</v>
      </c>
      <c r="G2105">
        <v>52</v>
      </c>
      <c r="H2105">
        <v>44330</v>
      </c>
    </row>
    <row r="2106" spans="1:8" x14ac:dyDescent="0.25">
      <c r="A2106">
        <v>68</v>
      </c>
      <c r="B2106" s="19">
        <v>45600</v>
      </c>
      <c r="C2106" s="1" t="s">
        <v>34</v>
      </c>
      <c r="D2106" t="s">
        <v>691</v>
      </c>
      <c r="E2106">
        <v>104</v>
      </c>
      <c r="F2106">
        <v>11</v>
      </c>
      <c r="G2106">
        <v>5</v>
      </c>
      <c r="H2106">
        <v>12061</v>
      </c>
    </row>
    <row r="2107" spans="1:8" x14ac:dyDescent="0.25">
      <c r="A2107">
        <v>68</v>
      </c>
      <c r="B2107" s="19">
        <v>44616</v>
      </c>
      <c r="C2107" s="1" t="s">
        <v>35</v>
      </c>
      <c r="D2107" t="s">
        <v>691</v>
      </c>
      <c r="E2107">
        <v>107</v>
      </c>
      <c r="F2107">
        <v>12</v>
      </c>
      <c r="G2107">
        <v>65</v>
      </c>
      <c r="H2107">
        <v>23235</v>
      </c>
    </row>
    <row r="2108" spans="1:8" x14ac:dyDescent="0.25">
      <c r="A2108">
        <v>68</v>
      </c>
      <c r="B2108" s="19">
        <v>45004</v>
      </c>
      <c r="C2108" s="1" t="s">
        <v>35</v>
      </c>
      <c r="D2108" t="s">
        <v>691</v>
      </c>
      <c r="E2108">
        <v>105</v>
      </c>
      <c r="F2108">
        <v>12</v>
      </c>
      <c r="G2108">
        <v>57</v>
      </c>
      <c r="H2108">
        <v>41127</v>
      </c>
    </row>
    <row r="2109" spans="1:8" x14ac:dyDescent="0.25">
      <c r="A2109">
        <v>68</v>
      </c>
      <c r="B2109" s="19">
        <v>45040</v>
      </c>
      <c r="C2109" s="1" t="s">
        <v>33</v>
      </c>
      <c r="D2109" t="s">
        <v>691</v>
      </c>
      <c r="E2109">
        <v>104</v>
      </c>
      <c r="F2109">
        <v>13</v>
      </c>
      <c r="G2109">
        <v>79</v>
      </c>
      <c r="H2109">
        <v>15747</v>
      </c>
    </row>
    <row r="2110" spans="1:8" x14ac:dyDescent="0.25">
      <c r="A2110">
        <v>68</v>
      </c>
      <c r="B2110" s="19">
        <v>45468</v>
      </c>
      <c r="C2110" s="1" t="s">
        <v>33</v>
      </c>
      <c r="D2110" t="s">
        <v>691</v>
      </c>
      <c r="E2110">
        <v>101</v>
      </c>
      <c r="F2110">
        <v>14</v>
      </c>
      <c r="G2110">
        <v>70</v>
      </c>
      <c r="H2110">
        <v>36409</v>
      </c>
    </row>
    <row r="2111" spans="1:8" x14ac:dyDescent="0.25">
      <c r="A2111">
        <v>68</v>
      </c>
      <c r="B2111" s="19">
        <v>44055</v>
      </c>
      <c r="C2111" s="1" t="s">
        <v>33</v>
      </c>
      <c r="D2111" t="s">
        <v>691</v>
      </c>
      <c r="E2111">
        <v>102</v>
      </c>
      <c r="F2111">
        <v>11</v>
      </c>
      <c r="G2111">
        <v>53</v>
      </c>
      <c r="H2111">
        <v>43166</v>
      </c>
    </row>
    <row r="2112" spans="1:8" x14ac:dyDescent="0.25">
      <c r="A2112">
        <v>68</v>
      </c>
      <c r="B2112" s="19">
        <v>44492</v>
      </c>
      <c r="C2112" s="1" t="s">
        <v>33</v>
      </c>
      <c r="D2112" t="s">
        <v>700</v>
      </c>
      <c r="E2112">
        <v>105</v>
      </c>
      <c r="F2112">
        <v>13</v>
      </c>
      <c r="G2112">
        <v>80</v>
      </c>
      <c r="H2112">
        <v>34165</v>
      </c>
    </row>
    <row r="2113" spans="1:8" x14ac:dyDescent="0.25">
      <c r="A2113">
        <v>68</v>
      </c>
      <c r="B2113" s="19">
        <v>45363</v>
      </c>
      <c r="C2113" s="1" t="s">
        <v>34</v>
      </c>
      <c r="D2113" t="s">
        <v>696</v>
      </c>
      <c r="E2113">
        <v>105</v>
      </c>
      <c r="F2113">
        <v>15</v>
      </c>
      <c r="G2113">
        <v>99</v>
      </c>
      <c r="H2113">
        <v>38951</v>
      </c>
    </row>
    <row r="2114" spans="1:8" x14ac:dyDescent="0.25">
      <c r="A2114">
        <v>68</v>
      </c>
      <c r="B2114" s="19">
        <v>44850</v>
      </c>
      <c r="C2114" s="1" t="s">
        <v>35</v>
      </c>
      <c r="D2114" t="s">
        <v>696</v>
      </c>
      <c r="E2114">
        <v>102</v>
      </c>
      <c r="F2114">
        <v>13</v>
      </c>
      <c r="G2114">
        <v>91</v>
      </c>
      <c r="H2114">
        <v>30983</v>
      </c>
    </row>
    <row r="2115" spans="1:8" x14ac:dyDescent="0.25">
      <c r="A2115">
        <v>68</v>
      </c>
      <c r="B2115" s="19">
        <v>44694</v>
      </c>
      <c r="C2115" s="1" t="s">
        <v>35</v>
      </c>
      <c r="D2115" t="s">
        <v>696</v>
      </c>
      <c r="E2115">
        <v>103</v>
      </c>
      <c r="F2115">
        <v>13</v>
      </c>
      <c r="G2115">
        <v>55</v>
      </c>
      <c r="H2115">
        <v>49194</v>
      </c>
    </row>
    <row r="2116" spans="1:8" x14ac:dyDescent="0.25">
      <c r="A2116">
        <v>68</v>
      </c>
      <c r="B2116" s="19">
        <v>44369</v>
      </c>
      <c r="C2116" s="1" t="s">
        <v>35</v>
      </c>
      <c r="D2116" t="s">
        <v>697</v>
      </c>
      <c r="E2116">
        <v>103</v>
      </c>
      <c r="F2116">
        <v>11</v>
      </c>
      <c r="G2116">
        <v>26</v>
      </c>
      <c r="H2116">
        <v>16355</v>
      </c>
    </row>
    <row r="2117" spans="1:8" x14ac:dyDescent="0.25">
      <c r="A2117">
        <v>68</v>
      </c>
      <c r="B2117" s="19">
        <v>44756</v>
      </c>
      <c r="C2117" s="1" t="s">
        <v>36</v>
      </c>
      <c r="D2117" t="s">
        <v>697</v>
      </c>
      <c r="E2117">
        <v>104</v>
      </c>
      <c r="F2117">
        <v>13</v>
      </c>
      <c r="G2117">
        <v>68</v>
      </c>
      <c r="H2117">
        <v>13291</v>
      </c>
    </row>
    <row r="2118" spans="1:8" x14ac:dyDescent="0.25">
      <c r="A2118">
        <v>68</v>
      </c>
      <c r="B2118" s="19">
        <v>45041</v>
      </c>
      <c r="C2118" s="1" t="s">
        <v>36</v>
      </c>
      <c r="D2118" t="s">
        <v>698</v>
      </c>
      <c r="E2118">
        <v>105</v>
      </c>
      <c r="F2118">
        <v>12</v>
      </c>
      <c r="G2118">
        <v>27</v>
      </c>
      <c r="H2118">
        <v>36420</v>
      </c>
    </row>
    <row r="2119" spans="1:8" x14ac:dyDescent="0.25">
      <c r="A2119">
        <v>68</v>
      </c>
      <c r="B2119" s="19">
        <v>45174</v>
      </c>
      <c r="C2119" s="1" t="s">
        <v>36</v>
      </c>
      <c r="D2119" t="s">
        <v>698</v>
      </c>
      <c r="E2119">
        <v>103</v>
      </c>
      <c r="F2119">
        <v>11</v>
      </c>
      <c r="G2119">
        <v>29</v>
      </c>
      <c r="H2119">
        <v>48637</v>
      </c>
    </row>
    <row r="2120" spans="1:8" x14ac:dyDescent="0.25">
      <c r="A2120">
        <v>68</v>
      </c>
      <c r="B2120" s="19">
        <v>45336</v>
      </c>
      <c r="C2120" s="1" t="s">
        <v>33</v>
      </c>
      <c r="D2120" t="s">
        <v>699</v>
      </c>
      <c r="E2120">
        <v>102</v>
      </c>
      <c r="F2120">
        <v>11</v>
      </c>
      <c r="G2120">
        <v>40</v>
      </c>
      <c r="H2120">
        <v>43691</v>
      </c>
    </row>
    <row r="2121" spans="1:8" x14ac:dyDescent="0.25">
      <c r="A2121">
        <v>68</v>
      </c>
      <c r="B2121" s="19">
        <v>45586</v>
      </c>
      <c r="C2121" s="1" t="s">
        <v>33</v>
      </c>
      <c r="D2121" t="s">
        <v>699</v>
      </c>
      <c r="E2121">
        <v>103</v>
      </c>
      <c r="F2121">
        <v>12</v>
      </c>
      <c r="G2121">
        <v>18</v>
      </c>
      <c r="H2121">
        <v>13014</v>
      </c>
    </row>
    <row r="2122" spans="1:8" x14ac:dyDescent="0.25">
      <c r="A2122">
        <v>68</v>
      </c>
      <c r="B2122" s="19">
        <v>44779</v>
      </c>
      <c r="C2122" s="1" t="s">
        <v>35</v>
      </c>
      <c r="D2122" t="s">
        <v>695</v>
      </c>
      <c r="E2122">
        <v>105</v>
      </c>
      <c r="F2122">
        <v>11</v>
      </c>
      <c r="G2122">
        <v>42</v>
      </c>
      <c r="H2122">
        <v>12695</v>
      </c>
    </row>
    <row r="2123" spans="1:8" x14ac:dyDescent="0.25">
      <c r="A2123">
        <v>68</v>
      </c>
      <c r="B2123" s="19">
        <v>44380</v>
      </c>
      <c r="C2123" s="1" t="s">
        <v>36</v>
      </c>
      <c r="D2123" t="s">
        <v>695</v>
      </c>
      <c r="E2123">
        <v>101</v>
      </c>
      <c r="F2123">
        <v>12</v>
      </c>
      <c r="G2123">
        <v>45</v>
      </c>
      <c r="H2123">
        <v>16875</v>
      </c>
    </row>
    <row r="2124" spans="1:8" x14ac:dyDescent="0.25">
      <c r="A2124">
        <v>68</v>
      </c>
      <c r="B2124" s="19">
        <v>44521</v>
      </c>
      <c r="C2124" s="1" t="s">
        <v>33</v>
      </c>
      <c r="D2124" t="s">
        <v>695</v>
      </c>
      <c r="E2124">
        <v>102</v>
      </c>
      <c r="F2124">
        <v>11</v>
      </c>
      <c r="G2124">
        <v>95</v>
      </c>
      <c r="H2124">
        <v>20231</v>
      </c>
    </row>
    <row r="2125" spans="1:8" x14ac:dyDescent="0.25">
      <c r="A2125">
        <v>68</v>
      </c>
      <c r="B2125" s="19">
        <v>45234</v>
      </c>
      <c r="C2125" s="1" t="s">
        <v>33</v>
      </c>
      <c r="D2125" t="s">
        <v>695</v>
      </c>
      <c r="E2125">
        <v>103</v>
      </c>
      <c r="F2125">
        <v>12</v>
      </c>
      <c r="G2125">
        <v>87</v>
      </c>
      <c r="H2125">
        <v>40930</v>
      </c>
    </row>
    <row r="2126" spans="1:8" x14ac:dyDescent="0.25">
      <c r="A2126">
        <v>68</v>
      </c>
      <c r="B2126" s="19">
        <v>45096</v>
      </c>
      <c r="C2126" s="1" t="s">
        <v>35</v>
      </c>
      <c r="D2126" t="s">
        <v>692</v>
      </c>
      <c r="E2126">
        <v>104</v>
      </c>
      <c r="F2126">
        <v>12</v>
      </c>
      <c r="G2126">
        <v>74</v>
      </c>
      <c r="H2126">
        <v>20786</v>
      </c>
    </row>
    <row r="2127" spans="1:8" x14ac:dyDescent="0.25">
      <c r="A2127">
        <v>68</v>
      </c>
      <c r="B2127" s="19">
        <v>44578</v>
      </c>
      <c r="C2127" s="1" t="s">
        <v>34</v>
      </c>
      <c r="D2127" t="s">
        <v>692</v>
      </c>
      <c r="E2127">
        <v>103</v>
      </c>
      <c r="F2127">
        <v>11</v>
      </c>
      <c r="G2127">
        <v>70</v>
      </c>
      <c r="H2127">
        <v>33709</v>
      </c>
    </row>
    <row r="2128" spans="1:8" x14ac:dyDescent="0.25">
      <c r="A2128">
        <v>68</v>
      </c>
      <c r="B2128" s="19">
        <v>45267</v>
      </c>
      <c r="C2128" s="1" t="s">
        <v>33</v>
      </c>
      <c r="D2128" t="s">
        <v>692</v>
      </c>
      <c r="E2128">
        <v>107</v>
      </c>
      <c r="F2128">
        <v>14</v>
      </c>
      <c r="G2128">
        <v>5</v>
      </c>
      <c r="H2128">
        <v>26326</v>
      </c>
    </row>
    <row r="2129" spans="1:8" x14ac:dyDescent="0.25">
      <c r="A2129">
        <v>68</v>
      </c>
      <c r="B2129" s="19">
        <v>44971</v>
      </c>
      <c r="C2129" s="1" t="s">
        <v>34</v>
      </c>
      <c r="D2129" t="s">
        <v>693</v>
      </c>
      <c r="E2129">
        <v>104</v>
      </c>
      <c r="F2129">
        <v>15</v>
      </c>
      <c r="G2129">
        <v>40</v>
      </c>
      <c r="H2129">
        <v>43197</v>
      </c>
    </row>
    <row r="2130" spans="1:8" x14ac:dyDescent="0.25">
      <c r="A2130">
        <v>68</v>
      </c>
      <c r="B2130" s="19">
        <v>44687</v>
      </c>
      <c r="C2130" s="1" t="s">
        <v>33</v>
      </c>
      <c r="D2130" t="s">
        <v>693</v>
      </c>
      <c r="E2130">
        <v>104</v>
      </c>
      <c r="F2130">
        <v>13</v>
      </c>
      <c r="G2130">
        <v>28</v>
      </c>
      <c r="H2130">
        <v>22986</v>
      </c>
    </row>
    <row r="2131" spans="1:8" x14ac:dyDescent="0.25">
      <c r="A2131">
        <v>68</v>
      </c>
      <c r="B2131" s="19">
        <v>45063</v>
      </c>
      <c r="C2131" s="1" t="s">
        <v>36</v>
      </c>
      <c r="D2131" t="s">
        <v>693</v>
      </c>
      <c r="E2131">
        <v>107</v>
      </c>
      <c r="F2131">
        <v>14</v>
      </c>
      <c r="G2131">
        <v>79</v>
      </c>
      <c r="H2131">
        <v>46810</v>
      </c>
    </row>
    <row r="2132" spans="1:8" x14ac:dyDescent="0.25">
      <c r="A2132">
        <v>68</v>
      </c>
      <c r="B2132" s="19">
        <v>44213</v>
      </c>
      <c r="C2132" s="1" t="s">
        <v>35</v>
      </c>
      <c r="D2132" t="s">
        <v>694</v>
      </c>
      <c r="E2132">
        <v>105</v>
      </c>
      <c r="F2132">
        <v>14</v>
      </c>
      <c r="G2132">
        <v>58</v>
      </c>
      <c r="H2132">
        <v>13062</v>
      </c>
    </row>
    <row r="2133" spans="1:8" x14ac:dyDescent="0.25">
      <c r="A2133">
        <v>68</v>
      </c>
      <c r="B2133" s="19">
        <v>44162</v>
      </c>
      <c r="C2133" s="1" t="s">
        <v>35</v>
      </c>
      <c r="D2133" t="s">
        <v>694</v>
      </c>
      <c r="E2133">
        <v>108</v>
      </c>
      <c r="F2133">
        <v>13</v>
      </c>
      <c r="G2133">
        <v>33</v>
      </c>
      <c r="H2133">
        <v>43076</v>
      </c>
    </row>
    <row r="2134" spans="1:8" x14ac:dyDescent="0.25">
      <c r="A2134">
        <v>68</v>
      </c>
      <c r="B2134" s="19">
        <v>44445</v>
      </c>
      <c r="C2134" s="1" t="s">
        <v>35</v>
      </c>
      <c r="D2134" t="s">
        <v>694</v>
      </c>
      <c r="E2134">
        <v>105</v>
      </c>
      <c r="F2134">
        <v>15</v>
      </c>
      <c r="G2134">
        <v>29</v>
      </c>
      <c r="H2134">
        <v>49411</v>
      </c>
    </row>
    <row r="2135" spans="1:8" x14ac:dyDescent="0.25">
      <c r="A2135">
        <v>68</v>
      </c>
      <c r="B2135" s="19">
        <v>44561</v>
      </c>
      <c r="C2135" s="1" t="s">
        <v>35</v>
      </c>
      <c r="D2135" t="s">
        <v>694</v>
      </c>
      <c r="E2135">
        <v>105</v>
      </c>
      <c r="F2135">
        <v>15</v>
      </c>
      <c r="G2135">
        <v>88</v>
      </c>
      <c r="H2135">
        <v>32823</v>
      </c>
    </row>
    <row r="2136" spans="1:8" x14ac:dyDescent="0.25">
      <c r="A2136">
        <v>69</v>
      </c>
      <c r="B2136" s="19">
        <v>44150</v>
      </c>
      <c r="C2136" s="1" t="s">
        <v>34</v>
      </c>
      <c r="D2136" t="s">
        <v>690</v>
      </c>
      <c r="E2136">
        <v>103</v>
      </c>
      <c r="F2136">
        <v>14</v>
      </c>
      <c r="G2136">
        <v>67</v>
      </c>
      <c r="H2136">
        <v>36293</v>
      </c>
    </row>
    <row r="2137" spans="1:8" x14ac:dyDescent="0.25">
      <c r="A2137">
        <v>69</v>
      </c>
      <c r="B2137" s="19">
        <v>44362</v>
      </c>
      <c r="C2137" s="1" t="s">
        <v>34</v>
      </c>
      <c r="D2137" t="s">
        <v>690</v>
      </c>
      <c r="E2137">
        <v>105</v>
      </c>
      <c r="F2137">
        <v>14</v>
      </c>
      <c r="G2137">
        <v>27</v>
      </c>
      <c r="H2137">
        <v>43016</v>
      </c>
    </row>
    <row r="2138" spans="1:8" x14ac:dyDescent="0.25">
      <c r="A2138">
        <v>69</v>
      </c>
      <c r="B2138" s="19">
        <v>45609</v>
      </c>
      <c r="C2138" s="1" t="s">
        <v>33</v>
      </c>
      <c r="D2138" t="s">
        <v>690</v>
      </c>
      <c r="E2138">
        <v>103</v>
      </c>
      <c r="F2138">
        <v>14</v>
      </c>
      <c r="G2138">
        <v>5</v>
      </c>
      <c r="H2138">
        <v>21229</v>
      </c>
    </row>
    <row r="2139" spans="1:8" x14ac:dyDescent="0.25">
      <c r="A2139">
        <v>69</v>
      </c>
      <c r="B2139" s="19">
        <v>45444</v>
      </c>
      <c r="C2139" s="1" t="s">
        <v>34</v>
      </c>
      <c r="D2139" t="s">
        <v>691</v>
      </c>
      <c r="E2139">
        <v>105</v>
      </c>
      <c r="F2139">
        <v>14</v>
      </c>
      <c r="G2139">
        <v>91</v>
      </c>
      <c r="H2139">
        <v>37027</v>
      </c>
    </row>
    <row r="2140" spans="1:8" x14ac:dyDescent="0.25">
      <c r="A2140">
        <v>69</v>
      </c>
      <c r="B2140" s="19">
        <v>44117</v>
      </c>
      <c r="C2140" s="1" t="s">
        <v>34</v>
      </c>
      <c r="D2140" t="s">
        <v>700</v>
      </c>
      <c r="E2140">
        <v>104</v>
      </c>
      <c r="F2140">
        <v>12</v>
      </c>
      <c r="G2140">
        <v>42</v>
      </c>
      <c r="H2140">
        <v>43902</v>
      </c>
    </row>
    <row r="2141" spans="1:8" x14ac:dyDescent="0.25">
      <c r="A2141">
        <v>69</v>
      </c>
      <c r="B2141" s="19">
        <v>44129</v>
      </c>
      <c r="C2141" s="1" t="s">
        <v>34</v>
      </c>
      <c r="D2141" t="s">
        <v>700</v>
      </c>
      <c r="E2141">
        <v>103</v>
      </c>
      <c r="F2141">
        <v>12</v>
      </c>
      <c r="G2141">
        <v>59</v>
      </c>
      <c r="H2141">
        <v>47673</v>
      </c>
    </row>
    <row r="2142" spans="1:8" x14ac:dyDescent="0.25">
      <c r="A2142">
        <v>69</v>
      </c>
      <c r="B2142" s="19">
        <v>44683</v>
      </c>
      <c r="C2142" s="1" t="s">
        <v>36</v>
      </c>
      <c r="D2142" t="s">
        <v>700</v>
      </c>
      <c r="E2142">
        <v>104</v>
      </c>
      <c r="F2142">
        <v>12</v>
      </c>
      <c r="G2142">
        <v>54</v>
      </c>
      <c r="H2142">
        <v>40779</v>
      </c>
    </row>
    <row r="2143" spans="1:8" x14ac:dyDescent="0.25">
      <c r="A2143">
        <v>69</v>
      </c>
      <c r="B2143" s="19">
        <v>45103</v>
      </c>
      <c r="C2143" s="1" t="s">
        <v>35</v>
      </c>
      <c r="D2143" t="s">
        <v>696</v>
      </c>
      <c r="E2143">
        <v>103</v>
      </c>
      <c r="F2143">
        <v>12</v>
      </c>
      <c r="G2143">
        <v>90</v>
      </c>
      <c r="H2143">
        <v>40295</v>
      </c>
    </row>
    <row r="2144" spans="1:8" x14ac:dyDescent="0.25">
      <c r="A2144">
        <v>69</v>
      </c>
      <c r="B2144" s="19">
        <v>44890</v>
      </c>
      <c r="C2144" s="1" t="s">
        <v>33</v>
      </c>
      <c r="D2144" t="s">
        <v>696</v>
      </c>
      <c r="E2144">
        <v>108</v>
      </c>
      <c r="F2144">
        <v>11</v>
      </c>
      <c r="G2144">
        <v>69</v>
      </c>
      <c r="H2144">
        <v>32373</v>
      </c>
    </row>
    <row r="2145" spans="1:8" x14ac:dyDescent="0.25">
      <c r="A2145">
        <v>69</v>
      </c>
      <c r="B2145" s="19">
        <v>45608</v>
      </c>
      <c r="C2145" s="1" t="s">
        <v>33</v>
      </c>
      <c r="D2145" t="s">
        <v>696</v>
      </c>
      <c r="E2145">
        <v>102</v>
      </c>
      <c r="F2145">
        <v>11</v>
      </c>
      <c r="G2145">
        <v>22</v>
      </c>
      <c r="H2145">
        <v>41376</v>
      </c>
    </row>
    <row r="2146" spans="1:8" x14ac:dyDescent="0.25">
      <c r="A2146">
        <v>69</v>
      </c>
      <c r="B2146" s="19">
        <v>43966</v>
      </c>
      <c r="C2146" s="1" t="s">
        <v>34</v>
      </c>
      <c r="D2146" t="s">
        <v>696</v>
      </c>
      <c r="E2146">
        <v>104</v>
      </c>
      <c r="F2146">
        <v>13</v>
      </c>
      <c r="G2146">
        <v>80</v>
      </c>
      <c r="H2146">
        <v>24261</v>
      </c>
    </row>
    <row r="2147" spans="1:8" x14ac:dyDescent="0.25">
      <c r="A2147">
        <v>69</v>
      </c>
      <c r="B2147" s="19">
        <v>45082</v>
      </c>
      <c r="C2147" s="1" t="s">
        <v>34</v>
      </c>
      <c r="D2147" t="s">
        <v>697</v>
      </c>
      <c r="E2147">
        <v>109</v>
      </c>
      <c r="F2147">
        <v>13</v>
      </c>
      <c r="G2147">
        <v>11</v>
      </c>
      <c r="H2147">
        <v>22574</v>
      </c>
    </row>
    <row r="2148" spans="1:8" x14ac:dyDescent="0.25">
      <c r="A2148">
        <v>69</v>
      </c>
      <c r="B2148" s="19">
        <v>45256</v>
      </c>
      <c r="C2148" s="1" t="s">
        <v>36</v>
      </c>
      <c r="D2148" t="s">
        <v>697</v>
      </c>
      <c r="E2148">
        <v>107</v>
      </c>
      <c r="F2148">
        <v>12</v>
      </c>
      <c r="G2148">
        <v>13</v>
      </c>
      <c r="H2148">
        <v>20885</v>
      </c>
    </row>
    <row r="2149" spans="1:8" x14ac:dyDescent="0.25">
      <c r="A2149">
        <v>69</v>
      </c>
      <c r="B2149" s="19">
        <v>44174</v>
      </c>
      <c r="C2149" s="1" t="s">
        <v>34</v>
      </c>
      <c r="D2149" t="s">
        <v>697</v>
      </c>
      <c r="E2149">
        <v>104</v>
      </c>
      <c r="F2149">
        <v>13</v>
      </c>
      <c r="G2149">
        <v>64</v>
      </c>
      <c r="H2149">
        <v>49514</v>
      </c>
    </row>
    <row r="2150" spans="1:8" x14ac:dyDescent="0.25">
      <c r="A2150">
        <v>69</v>
      </c>
      <c r="B2150" s="19">
        <v>45224</v>
      </c>
      <c r="C2150" s="1" t="s">
        <v>34</v>
      </c>
      <c r="D2150" t="s">
        <v>698</v>
      </c>
      <c r="E2150">
        <v>108</v>
      </c>
      <c r="F2150">
        <v>11</v>
      </c>
      <c r="G2150">
        <v>57</v>
      </c>
      <c r="H2150">
        <v>11207</v>
      </c>
    </row>
    <row r="2151" spans="1:8" x14ac:dyDescent="0.25">
      <c r="A2151">
        <v>69</v>
      </c>
      <c r="B2151" s="19">
        <v>44604</v>
      </c>
      <c r="C2151" s="1" t="s">
        <v>35</v>
      </c>
      <c r="D2151" t="s">
        <v>698</v>
      </c>
      <c r="E2151">
        <v>104</v>
      </c>
      <c r="F2151">
        <v>14</v>
      </c>
      <c r="G2151">
        <v>46</v>
      </c>
      <c r="H2151">
        <v>11737</v>
      </c>
    </row>
    <row r="2152" spans="1:8" x14ac:dyDescent="0.25">
      <c r="A2152">
        <v>69</v>
      </c>
      <c r="B2152" s="19">
        <v>44497</v>
      </c>
      <c r="C2152" s="1" t="s">
        <v>36</v>
      </c>
      <c r="D2152" t="s">
        <v>699</v>
      </c>
      <c r="E2152">
        <v>103</v>
      </c>
      <c r="F2152">
        <v>14</v>
      </c>
      <c r="G2152">
        <v>97</v>
      </c>
      <c r="H2152">
        <v>18521</v>
      </c>
    </row>
    <row r="2153" spans="1:8" x14ac:dyDescent="0.25">
      <c r="A2153">
        <v>69</v>
      </c>
      <c r="B2153" s="19">
        <v>44328</v>
      </c>
      <c r="C2153" s="1" t="s">
        <v>33</v>
      </c>
      <c r="D2153" t="s">
        <v>695</v>
      </c>
      <c r="E2153">
        <v>105</v>
      </c>
      <c r="F2153">
        <v>13</v>
      </c>
      <c r="G2153">
        <v>11</v>
      </c>
      <c r="H2153">
        <v>34401</v>
      </c>
    </row>
    <row r="2154" spans="1:8" x14ac:dyDescent="0.25">
      <c r="A2154">
        <v>69</v>
      </c>
      <c r="B2154" s="19">
        <v>44903</v>
      </c>
      <c r="C2154" s="1" t="s">
        <v>34</v>
      </c>
      <c r="D2154" t="s">
        <v>695</v>
      </c>
      <c r="E2154">
        <v>103</v>
      </c>
      <c r="F2154">
        <v>12</v>
      </c>
      <c r="G2154">
        <v>38</v>
      </c>
      <c r="H2154">
        <v>48130</v>
      </c>
    </row>
    <row r="2155" spans="1:8" x14ac:dyDescent="0.25">
      <c r="A2155">
        <v>69</v>
      </c>
      <c r="B2155" s="19">
        <v>44095</v>
      </c>
      <c r="C2155" s="1" t="s">
        <v>34</v>
      </c>
      <c r="D2155" t="s">
        <v>695</v>
      </c>
      <c r="E2155">
        <v>106</v>
      </c>
      <c r="F2155">
        <v>14</v>
      </c>
      <c r="G2155">
        <v>49</v>
      </c>
      <c r="H2155">
        <v>20269</v>
      </c>
    </row>
    <row r="2156" spans="1:8" x14ac:dyDescent="0.25">
      <c r="A2156">
        <v>69</v>
      </c>
      <c r="B2156" s="19">
        <v>45480</v>
      </c>
      <c r="C2156" s="1" t="s">
        <v>36</v>
      </c>
      <c r="D2156" t="s">
        <v>692</v>
      </c>
      <c r="E2156">
        <v>103</v>
      </c>
      <c r="F2156">
        <v>15</v>
      </c>
      <c r="G2156">
        <v>95</v>
      </c>
      <c r="H2156">
        <v>40493</v>
      </c>
    </row>
    <row r="2157" spans="1:8" x14ac:dyDescent="0.25">
      <c r="A2157">
        <v>69</v>
      </c>
      <c r="B2157" s="19">
        <v>43936</v>
      </c>
      <c r="C2157" s="1" t="s">
        <v>36</v>
      </c>
      <c r="D2157" t="s">
        <v>692</v>
      </c>
      <c r="E2157">
        <v>102</v>
      </c>
      <c r="F2157">
        <v>14</v>
      </c>
      <c r="G2157">
        <v>11</v>
      </c>
      <c r="H2157">
        <v>24805</v>
      </c>
    </row>
    <row r="2158" spans="1:8" x14ac:dyDescent="0.25">
      <c r="A2158">
        <v>69</v>
      </c>
      <c r="B2158" s="19">
        <v>45631</v>
      </c>
      <c r="C2158" s="1" t="s">
        <v>33</v>
      </c>
      <c r="D2158" t="s">
        <v>692</v>
      </c>
      <c r="E2158">
        <v>104</v>
      </c>
      <c r="F2158">
        <v>12</v>
      </c>
      <c r="G2158">
        <v>18</v>
      </c>
      <c r="H2158">
        <v>47614</v>
      </c>
    </row>
    <row r="2159" spans="1:8" x14ac:dyDescent="0.25">
      <c r="A2159">
        <v>69</v>
      </c>
      <c r="B2159" s="19">
        <v>45045</v>
      </c>
      <c r="C2159" s="1" t="s">
        <v>33</v>
      </c>
      <c r="D2159" t="s">
        <v>693</v>
      </c>
      <c r="E2159">
        <v>102</v>
      </c>
      <c r="F2159">
        <v>13</v>
      </c>
      <c r="G2159">
        <v>36</v>
      </c>
      <c r="H2159">
        <v>25535</v>
      </c>
    </row>
    <row r="2160" spans="1:8" x14ac:dyDescent="0.25">
      <c r="A2160">
        <v>69</v>
      </c>
      <c r="B2160" s="19">
        <v>44511</v>
      </c>
      <c r="C2160" s="1" t="s">
        <v>35</v>
      </c>
      <c r="D2160" t="s">
        <v>693</v>
      </c>
      <c r="E2160">
        <v>105</v>
      </c>
      <c r="F2160">
        <v>14</v>
      </c>
      <c r="G2160">
        <v>41</v>
      </c>
      <c r="H2160">
        <v>39860</v>
      </c>
    </row>
    <row r="2161" spans="1:8" x14ac:dyDescent="0.25">
      <c r="A2161">
        <v>69</v>
      </c>
      <c r="B2161" s="19">
        <v>44971</v>
      </c>
      <c r="C2161" s="1" t="s">
        <v>33</v>
      </c>
      <c r="D2161" t="s">
        <v>693</v>
      </c>
      <c r="E2161">
        <v>103</v>
      </c>
      <c r="F2161">
        <v>14</v>
      </c>
      <c r="G2161">
        <v>44</v>
      </c>
      <c r="H2161">
        <v>12106</v>
      </c>
    </row>
    <row r="2162" spans="1:8" x14ac:dyDescent="0.25">
      <c r="A2162">
        <v>69</v>
      </c>
      <c r="B2162" s="19">
        <v>45127</v>
      </c>
      <c r="C2162" s="1" t="s">
        <v>34</v>
      </c>
      <c r="D2162" t="s">
        <v>693</v>
      </c>
      <c r="E2162">
        <v>104</v>
      </c>
      <c r="F2162">
        <v>15</v>
      </c>
      <c r="G2162">
        <v>70</v>
      </c>
      <c r="H2162">
        <v>26291</v>
      </c>
    </row>
    <row r="2163" spans="1:8" x14ac:dyDescent="0.25">
      <c r="A2163">
        <v>69</v>
      </c>
      <c r="B2163" s="19">
        <v>45536</v>
      </c>
      <c r="C2163" s="1" t="s">
        <v>34</v>
      </c>
      <c r="D2163" t="s">
        <v>693</v>
      </c>
      <c r="E2163">
        <v>104</v>
      </c>
      <c r="F2163">
        <v>15</v>
      </c>
      <c r="G2163">
        <v>73</v>
      </c>
      <c r="H2163">
        <v>41328</v>
      </c>
    </row>
    <row r="2164" spans="1:8" x14ac:dyDescent="0.25">
      <c r="A2164">
        <v>69</v>
      </c>
      <c r="B2164" s="19">
        <v>43855</v>
      </c>
      <c r="C2164" s="1" t="s">
        <v>35</v>
      </c>
      <c r="D2164" t="s">
        <v>694</v>
      </c>
      <c r="E2164">
        <v>102</v>
      </c>
      <c r="F2164">
        <v>14</v>
      </c>
      <c r="G2164">
        <v>31</v>
      </c>
      <c r="H2164">
        <v>27520</v>
      </c>
    </row>
    <row r="2165" spans="1:8" x14ac:dyDescent="0.25">
      <c r="A2165">
        <v>69</v>
      </c>
      <c r="B2165" s="19">
        <v>44692</v>
      </c>
      <c r="C2165" s="1" t="s">
        <v>35</v>
      </c>
      <c r="D2165" t="s">
        <v>694</v>
      </c>
      <c r="E2165">
        <v>103</v>
      </c>
      <c r="F2165">
        <v>12</v>
      </c>
      <c r="G2165">
        <v>58</v>
      </c>
      <c r="H2165">
        <v>27842</v>
      </c>
    </row>
    <row r="2166" spans="1:8" x14ac:dyDescent="0.25">
      <c r="A2166">
        <v>69</v>
      </c>
      <c r="B2166" s="19">
        <v>45611</v>
      </c>
      <c r="C2166" s="1" t="s">
        <v>34</v>
      </c>
      <c r="D2166" t="s">
        <v>694</v>
      </c>
      <c r="E2166">
        <v>106</v>
      </c>
      <c r="F2166">
        <v>12</v>
      </c>
      <c r="G2166">
        <v>86</v>
      </c>
      <c r="H2166">
        <v>26833</v>
      </c>
    </row>
    <row r="2167" spans="1:8" x14ac:dyDescent="0.25">
      <c r="A2167">
        <v>69</v>
      </c>
      <c r="B2167" s="19">
        <v>44039</v>
      </c>
      <c r="C2167" s="1" t="s">
        <v>33</v>
      </c>
      <c r="D2167" t="s">
        <v>694</v>
      </c>
      <c r="E2167">
        <v>102</v>
      </c>
      <c r="F2167">
        <v>15</v>
      </c>
      <c r="G2167">
        <v>92</v>
      </c>
      <c r="H2167">
        <v>46207</v>
      </c>
    </row>
    <row r="2168" spans="1:8" x14ac:dyDescent="0.25">
      <c r="A2168">
        <v>69</v>
      </c>
      <c r="B2168" s="19">
        <v>44991</v>
      </c>
      <c r="C2168" s="1" t="s">
        <v>34</v>
      </c>
      <c r="D2168" t="s">
        <v>694</v>
      </c>
      <c r="E2168">
        <v>106</v>
      </c>
      <c r="F2168">
        <v>12</v>
      </c>
      <c r="G2168">
        <v>36</v>
      </c>
      <c r="H2168">
        <v>49392</v>
      </c>
    </row>
    <row r="2169" spans="1:8" x14ac:dyDescent="0.25">
      <c r="A2169">
        <v>69</v>
      </c>
      <c r="B2169" s="19">
        <v>45357</v>
      </c>
      <c r="C2169" s="1" t="s">
        <v>34</v>
      </c>
      <c r="D2169" t="s">
        <v>694</v>
      </c>
      <c r="E2169">
        <v>108</v>
      </c>
      <c r="F2169">
        <v>12</v>
      </c>
      <c r="G2169">
        <v>37</v>
      </c>
      <c r="H2169">
        <v>27456</v>
      </c>
    </row>
    <row r="2170" spans="1:8" x14ac:dyDescent="0.25">
      <c r="A2170">
        <v>70</v>
      </c>
      <c r="B2170" s="19">
        <v>44575</v>
      </c>
      <c r="C2170" s="1" t="s">
        <v>36</v>
      </c>
      <c r="D2170" t="s">
        <v>690</v>
      </c>
      <c r="E2170">
        <v>103</v>
      </c>
      <c r="F2170">
        <v>13</v>
      </c>
      <c r="G2170">
        <v>85</v>
      </c>
      <c r="H2170">
        <v>27833</v>
      </c>
    </row>
    <row r="2171" spans="1:8" x14ac:dyDescent="0.25">
      <c r="A2171">
        <v>70</v>
      </c>
      <c r="B2171" s="19">
        <v>45280</v>
      </c>
      <c r="C2171" s="1" t="s">
        <v>34</v>
      </c>
      <c r="D2171" t="s">
        <v>691</v>
      </c>
      <c r="E2171">
        <v>105</v>
      </c>
      <c r="F2171">
        <v>13</v>
      </c>
      <c r="G2171">
        <v>96</v>
      </c>
      <c r="H2171">
        <v>14766</v>
      </c>
    </row>
    <row r="2172" spans="1:8" x14ac:dyDescent="0.25">
      <c r="A2172">
        <v>70</v>
      </c>
      <c r="B2172" s="19">
        <v>45344</v>
      </c>
      <c r="C2172" s="1" t="s">
        <v>34</v>
      </c>
      <c r="D2172" t="s">
        <v>691</v>
      </c>
      <c r="E2172">
        <v>109</v>
      </c>
      <c r="F2172">
        <v>15</v>
      </c>
      <c r="G2172">
        <v>78</v>
      </c>
      <c r="H2172">
        <v>16154</v>
      </c>
    </row>
    <row r="2173" spans="1:8" x14ac:dyDescent="0.25">
      <c r="A2173">
        <v>70</v>
      </c>
      <c r="B2173" s="19">
        <v>45179</v>
      </c>
      <c r="C2173" s="1" t="s">
        <v>35</v>
      </c>
      <c r="D2173" t="s">
        <v>691</v>
      </c>
      <c r="E2173">
        <v>103</v>
      </c>
      <c r="F2173">
        <v>11</v>
      </c>
      <c r="G2173">
        <v>49</v>
      </c>
      <c r="H2173">
        <v>24190</v>
      </c>
    </row>
    <row r="2174" spans="1:8" x14ac:dyDescent="0.25">
      <c r="A2174">
        <v>70</v>
      </c>
      <c r="B2174" s="19">
        <v>44403</v>
      </c>
      <c r="C2174" s="1" t="s">
        <v>34</v>
      </c>
      <c r="D2174" t="s">
        <v>696</v>
      </c>
      <c r="E2174">
        <v>103</v>
      </c>
      <c r="F2174">
        <v>13</v>
      </c>
      <c r="G2174">
        <v>81</v>
      </c>
      <c r="H2174">
        <v>26741</v>
      </c>
    </row>
    <row r="2175" spans="1:8" x14ac:dyDescent="0.25">
      <c r="A2175">
        <v>70</v>
      </c>
      <c r="B2175" s="19">
        <v>45123</v>
      </c>
      <c r="C2175" s="1" t="s">
        <v>34</v>
      </c>
      <c r="D2175" t="s">
        <v>696</v>
      </c>
      <c r="E2175">
        <v>104</v>
      </c>
      <c r="F2175">
        <v>11</v>
      </c>
      <c r="G2175">
        <v>98</v>
      </c>
      <c r="H2175">
        <v>41120</v>
      </c>
    </row>
    <row r="2176" spans="1:8" x14ac:dyDescent="0.25">
      <c r="A2176">
        <v>70</v>
      </c>
      <c r="B2176" s="19">
        <v>44657</v>
      </c>
      <c r="C2176" s="1" t="s">
        <v>33</v>
      </c>
      <c r="D2176" t="s">
        <v>696</v>
      </c>
      <c r="E2176">
        <v>103</v>
      </c>
      <c r="F2176">
        <v>12</v>
      </c>
      <c r="G2176">
        <v>64</v>
      </c>
      <c r="H2176">
        <v>12610</v>
      </c>
    </row>
    <row r="2177" spans="1:8" x14ac:dyDescent="0.25">
      <c r="A2177">
        <v>70</v>
      </c>
      <c r="B2177" s="19">
        <v>44721</v>
      </c>
      <c r="C2177" s="1" t="s">
        <v>35</v>
      </c>
      <c r="D2177" t="s">
        <v>696</v>
      </c>
      <c r="E2177">
        <v>106</v>
      </c>
      <c r="F2177">
        <v>13</v>
      </c>
      <c r="G2177">
        <v>57</v>
      </c>
      <c r="H2177">
        <v>23121</v>
      </c>
    </row>
    <row r="2178" spans="1:8" x14ac:dyDescent="0.25">
      <c r="A2178">
        <v>70</v>
      </c>
      <c r="B2178" s="19">
        <v>44326</v>
      </c>
      <c r="C2178" s="1" t="s">
        <v>36</v>
      </c>
      <c r="D2178" t="s">
        <v>697</v>
      </c>
      <c r="E2178">
        <v>104</v>
      </c>
      <c r="F2178">
        <v>13</v>
      </c>
      <c r="G2178">
        <v>97</v>
      </c>
      <c r="H2178">
        <v>36685</v>
      </c>
    </row>
    <row r="2179" spans="1:8" x14ac:dyDescent="0.25">
      <c r="A2179">
        <v>70</v>
      </c>
      <c r="B2179" s="19">
        <v>44958</v>
      </c>
      <c r="C2179" s="1" t="s">
        <v>34</v>
      </c>
      <c r="D2179" t="s">
        <v>697</v>
      </c>
      <c r="E2179">
        <v>105</v>
      </c>
      <c r="F2179">
        <v>14</v>
      </c>
      <c r="G2179">
        <v>45</v>
      </c>
      <c r="H2179">
        <v>15702</v>
      </c>
    </row>
    <row r="2180" spans="1:8" x14ac:dyDescent="0.25">
      <c r="A2180">
        <v>70</v>
      </c>
      <c r="B2180" s="19">
        <v>44353</v>
      </c>
      <c r="C2180" s="1" t="s">
        <v>35</v>
      </c>
      <c r="D2180" t="s">
        <v>697</v>
      </c>
      <c r="E2180">
        <v>108</v>
      </c>
      <c r="F2180">
        <v>11</v>
      </c>
      <c r="G2180">
        <v>79</v>
      </c>
      <c r="H2180">
        <v>14909</v>
      </c>
    </row>
    <row r="2181" spans="1:8" x14ac:dyDescent="0.25">
      <c r="A2181">
        <v>70</v>
      </c>
      <c r="B2181" s="19">
        <v>44854</v>
      </c>
      <c r="C2181" s="1" t="s">
        <v>33</v>
      </c>
      <c r="D2181" t="s">
        <v>697</v>
      </c>
      <c r="E2181">
        <v>103</v>
      </c>
      <c r="F2181">
        <v>13</v>
      </c>
      <c r="G2181">
        <v>31</v>
      </c>
      <c r="H2181">
        <v>15221</v>
      </c>
    </row>
    <row r="2182" spans="1:8" x14ac:dyDescent="0.25">
      <c r="A2182">
        <v>70</v>
      </c>
      <c r="B2182" s="19">
        <v>44338</v>
      </c>
      <c r="C2182" s="1" t="s">
        <v>35</v>
      </c>
      <c r="D2182" t="s">
        <v>697</v>
      </c>
      <c r="E2182">
        <v>104</v>
      </c>
      <c r="F2182">
        <v>14</v>
      </c>
      <c r="G2182">
        <v>31</v>
      </c>
      <c r="H2182">
        <v>12819</v>
      </c>
    </row>
    <row r="2183" spans="1:8" x14ac:dyDescent="0.25">
      <c r="A2183">
        <v>70</v>
      </c>
      <c r="B2183" s="19">
        <v>45251</v>
      </c>
      <c r="C2183" s="1" t="s">
        <v>35</v>
      </c>
      <c r="D2183" t="s">
        <v>698</v>
      </c>
      <c r="E2183">
        <v>105</v>
      </c>
      <c r="F2183">
        <v>13</v>
      </c>
      <c r="G2183">
        <v>79</v>
      </c>
      <c r="H2183">
        <v>48666</v>
      </c>
    </row>
    <row r="2184" spans="1:8" x14ac:dyDescent="0.25">
      <c r="A2184">
        <v>70</v>
      </c>
      <c r="B2184" s="19">
        <v>45073</v>
      </c>
      <c r="C2184" s="1" t="s">
        <v>36</v>
      </c>
      <c r="D2184" t="s">
        <v>698</v>
      </c>
      <c r="E2184">
        <v>105</v>
      </c>
      <c r="F2184">
        <v>13</v>
      </c>
      <c r="G2184">
        <v>81</v>
      </c>
      <c r="H2184">
        <v>35222</v>
      </c>
    </row>
    <row r="2185" spans="1:8" x14ac:dyDescent="0.25">
      <c r="A2185">
        <v>70</v>
      </c>
      <c r="B2185" s="19">
        <v>44052</v>
      </c>
      <c r="C2185" s="1" t="s">
        <v>36</v>
      </c>
      <c r="D2185" t="s">
        <v>699</v>
      </c>
      <c r="E2185">
        <v>108</v>
      </c>
      <c r="F2185">
        <v>13</v>
      </c>
      <c r="G2185">
        <v>20</v>
      </c>
      <c r="H2185">
        <v>36935</v>
      </c>
    </row>
    <row r="2186" spans="1:8" x14ac:dyDescent="0.25">
      <c r="A2186">
        <v>70</v>
      </c>
      <c r="B2186" s="19">
        <v>44012</v>
      </c>
      <c r="C2186" s="1" t="s">
        <v>34</v>
      </c>
      <c r="D2186" t="s">
        <v>695</v>
      </c>
      <c r="E2186">
        <v>109</v>
      </c>
      <c r="F2186">
        <v>11</v>
      </c>
      <c r="G2186">
        <v>14</v>
      </c>
      <c r="H2186">
        <v>38203</v>
      </c>
    </row>
    <row r="2187" spans="1:8" x14ac:dyDescent="0.25">
      <c r="A2187">
        <v>70</v>
      </c>
      <c r="B2187" s="19">
        <v>44246</v>
      </c>
      <c r="C2187" s="1" t="s">
        <v>34</v>
      </c>
      <c r="D2187" t="s">
        <v>695</v>
      </c>
      <c r="E2187">
        <v>104</v>
      </c>
      <c r="F2187">
        <v>14</v>
      </c>
      <c r="G2187">
        <v>22</v>
      </c>
      <c r="H2187">
        <v>31493</v>
      </c>
    </row>
    <row r="2188" spans="1:8" x14ac:dyDescent="0.25">
      <c r="A2188">
        <v>70</v>
      </c>
      <c r="B2188" s="19">
        <v>43841</v>
      </c>
      <c r="C2188" s="1" t="s">
        <v>36</v>
      </c>
      <c r="D2188" t="s">
        <v>695</v>
      </c>
      <c r="E2188">
        <v>103</v>
      </c>
      <c r="F2188">
        <v>15</v>
      </c>
      <c r="G2188">
        <v>49</v>
      </c>
      <c r="H2188">
        <v>37398</v>
      </c>
    </row>
    <row r="2189" spans="1:8" x14ac:dyDescent="0.25">
      <c r="A2189">
        <v>70</v>
      </c>
      <c r="B2189" s="19">
        <v>44807</v>
      </c>
      <c r="C2189" s="1" t="s">
        <v>35</v>
      </c>
      <c r="D2189" t="s">
        <v>695</v>
      </c>
      <c r="E2189">
        <v>101</v>
      </c>
      <c r="F2189">
        <v>12</v>
      </c>
      <c r="G2189">
        <v>24</v>
      </c>
      <c r="H2189">
        <v>33854</v>
      </c>
    </row>
    <row r="2190" spans="1:8" x14ac:dyDescent="0.25">
      <c r="A2190">
        <v>70</v>
      </c>
      <c r="B2190" s="19">
        <v>45464</v>
      </c>
      <c r="C2190" s="1" t="s">
        <v>35</v>
      </c>
      <c r="D2190" t="s">
        <v>695</v>
      </c>
      <c r="E2190">
        <v>104</v>
      </c>
      <c r="F2190">
        <v>11</v>
      </c>
      <c r="G2190">
        <v>90</v>
      </c>
      <c r="H2190">
        <v>19643</v>
      </c>
    </row>
    <row r="2191" spans="1:8" x14ac:dyDescent="0.25">
      <c r="A2191">
        <v>70</v>
      </c>
      <c r="B2191" s="19">
        <v>45044</v>
      </c>
      <c r="C2191" s="1" t="s">
        <v>33</v>
      </c>
      <c r="D2191" t="s">
        <v>695</v>
      </c>
      <c r="E2191">
        <v>103</v>
      </c>
      <c r="F2191">
        <v>11</v>
      </c>
      <c r="G2191">
        <v>85</v>
      </c>
      <c r="H2191">
        <v>45007</v>
      </c>
    </row>
    <row r="2192" spans="1:8" x14ac:dyDescent="0.25">
      <c r="A2192">
        <v>70</v>
      </c>
      <c r="B2192" s="19">
        <v>45182</v>
      </c>
      <c r="C2192" s="1" t="s">
        <v>35</v>
      </c>
      <c r="D2192" t="s">
        <v>692</v>
      </c>
      <c r="E2192">
        <v>104</v>
      </c>
      <c r="F2192">
        <v>11</v>
      </c>
      <c r="G2192">
        <v>31</v>
      </c>
      <c r="H2192">
        <v>12280</v>
      </c>
    </row>
    <row r="2193" spans="1:8" x14ac:dyDescent="0.25">
      <c r="A2193">
        <v>70</v>
      </c>
      <c r="B2193" s="19">
        <v>45415</v>
      </c>
      <c r="C2193" s="1" t="s">
        <v>33</v>
      </c>
      <c r="D2193" t="s">
        <v>693</v>
      </c>
      <c r="E2193">
        <v>104</v>
      </c>
      <c r="F2193">
        <v>11</v>
      </c>
      <c r="G2193">
        <v>97</v>
      </c>
      <c r="H2193">
        <v>17934</v>
      </c>
    </row>
    <row r="2194" spans="1:8" x14ac:dyDescent="0.25">
      <c r="A2194">
        <v>70</v>
      </c>
      <c r="B2194" s="19">
        <v>44592</v>
      </c>
      <c r="C2194" s="1" t="s">
        <v>33</v>
      </c>
      <c r="D2194" t="s">
        <v>693</v>
      </c>
      <c r="E2194">
        <v>105</v>
      </c>
      <c r="F2194">
        <v>15</v>
      </c>
      <c r="G2194">
        <v>55</v>
      </c>
      <c r="H2194">
        <v>12864</v>
      </c>
    </row>
    <row r="2195" spans="1:8" x14ac:dyDescent="0.25">
      <c r="A2195">
        <v>70</v>
      </c>
      <c r="B2195" s="19">
        <v>44389</v>
      </c>
      <c r="C2195" s="1" t="s">
        <v>34</v>
      </c>
      <c r="D2195" t="s">
        <v>694</v>
      </c>
      <c r="E2195">
        <v>103</v>
      </c>
      <c r="F2195">
        <v>13</v>
      </c>
      <c r="G2195">
        <v>25</v>
      </c>
      <c r="H2195">
        <v>36073</v>
      </c>
    </row>
    <row r="2196" spans="1:8" x14ac:dyDescent="0.25">
      <c r="A2196">
        <v>70</v>
      </c>
      <c r="B2196" s="19">
        <v>45447</v>
      </c>
      <c r="C2196" s="1" t="s">
        <v>34</v>
      </c>
      <c r="D2196" t="s">
        <v>694</v>
      </c>
      <c r="E2196">
        <v>105</v>
      </c>
      <c r="F2196">
        <v>14</v>
      </c>
      <c r="G2196">
        <v>89</v>
      </c>
      <c r="H2196">
        <v>17038</v>
      </c>
    </row>
    <row r="2197" spans="1:8" x14ac:dyDescent="0.25">
      <c r="A2197">
        <v>70</v>
      </c>
      <c r="B2197" s="19">
        <v>44411</v>
      </c>
      <c r="C2197" s="1" t="s">
        <v>36</v>
      </c>
      <c r="D2197" t="s">
        <v>694</v>
      </c>
      <c r="E2197">
        <v>107</v>
      </c>
      <c r="F2197">
        <v>11</v>
      </c>
      <c r="G2197">
        <v>73</v>
      </c>
      <c r="H2197">
        <v>15068</v>
      </c>
    </row>
    <row r="2198" spans="1:8" x14ac:dyDescent="0.25">
      <c r="A2198">
        <v>69</v>
      </c>
      <c r="B2198" s="1">
        <v>45870</v>
      </c>
      <c r="C2198" s="1" t="s">
        <v>34</v>
      </c>
      <c r="D2198" t="s">
        <v>799</v>
      </c>
      <c r="E2198">
        <v>105</v>
      </c>
      <c r="F2198">
        <v>11</v>
      </c>
      <c r="G2198">
        <v>85</v>
      </c>
      <c r="H2198">
        <f>G2198*G2198</f>
        <v>7225</v>
      </c>
    </row>
    <row r="2199" spans="1:8" x14ac:dyDescent="0.25">
      <c r="A2199">
        <v>68</v>
      </c>
      <c r="B2199" s="1">
        <v>45870</v>
      </c>
      <c r="C2199" s="1" t="s">
        <v>36</v>
      </c>
      <c r="D2199" t="s">
        <v>799</v>
      </c>
      <c r="E2199">
        <v>102</v>
      </c>
      <c r="F2199">
        <v>11</v>
      </c>
      <c r="G2199">
        <v>78</v>
      </c>
      <c r="H2199">
        <v>4520</v>
      </c>
    </row>
  </sheetData>
  <autoFilter ref="A1:F2197" xr:uid="{5446551A-A9B5-4127-811C-908733F01DC1}">
    <sortState xmlns:xlrd2="http://schemas.microsoft.com/office/spreadsheetml/2017/richdata2" ref="A2:F2197">
      <sortCondition ref="A1:A2197"/>
    </sortState>
  </autoFilter>
  <sortState xmlns:xlrd2="http://schemas.microsoft.com/office/spreadsheetml/2017/richdata2" ref="A2:F2197">
    <sortCondition ref="B26:B2197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96F0-DC44-4178-BF95-B0FFD42876F1}">
  <dimension ref="A1:H6"/>
  <sheetViews>
    <sheetView zoomScale="115" zoomScaleNormal="115" workbookViewId="0">
      <selection activeCell="A2" sqref="A2:H6"/>
    </sheetView>
  </sheetViews>
  <sheetFormatPr defaultRowHeight="15" x14ac:dyDescent="0.25"/>
  <cols>
    <col min="2" max="3" width="15.42578125" bestFit="1" customWidth="1"/>
    <col min="4" max="4" width="13.42578125" bestFit="1" customWidth="1"/>
    <col min="5" max="5" width="13.42578125" customWidth="1"/>
    <col min="6" max="6" width="16.140625" bestFit="1" customWidth="1"/>
  </cols>
  <sheetData>
    <row r="1" spans="1:8" x14ac:dyDescent="0.25">
      <c r="A1" s="12" t="s">
        <v>59</v>
      </c>
      <c r="B1" s="12" t="s">
        <v>17</v>
      </c>
      <c r="C1" s="12" t="s">
        <v>24</v>
      </c>
      <c r="D1" s="12" t="s">
        <v>23</v>
      </c>
      <c r="E1" s="12" t="s">
        <v>45</v>
      </c>
      <c r="F1" s="12" t="s">
        <v>46</v>
      </c>
      <c r="G1" s="12" t="s">
        <v>44</v>
      </c>
      <c r="H1" s="12" t="s">
        <v>43</v>
      </c>
    </row>
    <row r="2" spans="1:8" x14ac:dyDescent="0.25">
      <c r="A2">
        <v>1</v>
      </c>
      <c r="B2">
        <v>11</v>
      </c>
      <c r="C2" t="s">
        <v>47</v>
      </c>
      <c r="D2" s="4">
        <v>32.380000000000003</v>
      </c>
      <c r="E2" s="3">
        <f>+G2*15</f>
        <v>15000</v>
      </c>
      <c r="F2" s="3">
        <f>H2*20</f>
        <v>200000</v>
      </c>
      <c r="G2">
        <v>1000</v>
      </c>
      <c r="H2">
        <v>10000</v>
      </c>
    </row>
    <row r="3" spans="1:8" x14ac:dyDescent="0.25">
      <c r="A3">
        <v>2</v>
      </c>
      <c r="B3">
        <v>12</v>
      </c>
      <c r="C3" t="s">
        <v>48</v>
      </c>
      <c r="D3" s="4">
        <v>11.61</v>
      </c>
      <c r="E3" s="3">
        <f t="shared" ref="E3:E6" si="0">+G3*15</f>
        <v>18000</v>
      </c>
      <c r="F3" s="3">
        <f t="shared" ref="F3:F6" si="1">H3*20</f>
        <v>70000</v>
      </c>
      <c r="G3">
        <v>1200</v>
      </c>
      <c r="H3">
        <v>3500</v>
      </c>
    </row>
    <row r="4" spans="1:8" x14ac:dyDescent="0.25">
      <c r="A4">
        <v>3</v>
      </c>
      <c r="B4">
        <v>13</v>
      </c>
      <c r="C4" t="s">
        <v>49</v>
      </c>
      <c r="D4" s="4">
        <v>65.83</v>
      </c>
      <c r="E4" s="3">
        <f t="shared" si="0"/>
        <v>82500</v>
      </c>
      <c r="F4" s="3">
        <f t="shared" si="1"/>
        <v>1200000</v>
      </c>
      <c r="G4">
        <v>5500</v>
      </c>
      <c r="H4">
        <v>60000</v>
      </c>
    </row>
    <row r="5" spans="1:8" x14ac:dyDescent="0.25">
      <c r="A5">
        <v>4</v>
      </c>
      <c r="B5">
        <v>14</v>
      </c>
      <c r="C5" t="s">
        <v>50</v>
      </c>
      <c r="D5" s="4">
        <v>41.34</v>
      </c>
      <c r="E5" s="3">
        <f t="shared" si="0"/>
        <v>52500</v>
      </c>
      <c r="F5" s="3">
        <f t="shared" si="1"/>
        <v>780000</v>
      </c>
      <c r="G5">
        <v>3500</v>
      </c>
      <c r="H5">
        <v>39000</v>
      </c>
    </row>
    <row r="6" spans="1:8" x14ac:dyDescent="0.25">
      <c r="A6">
        <v>5</v>
      </c>
      <c r="B6">
        <v>15</v>
      </c>
      <c r="C6" t="s">
        <v>51</v>
      </c>
      <c r="D6" s="4">
        <v>51.38</v>
      </c>
      <c r="E6" s="3">
        <f t="shared" si="0"/>
        <v>67500</v>
      </c>
      <c r="F6" s="3">
        <f t="shared" si="1"/>
        <v>1140000</v>
      </c>
      <c r="G6">
        <v>4500</v>
      </c>
      <c r="H6">
        <v>57000</v>
      </c>
    </row>
  </sheetData>
  <sortState xmlns:xlrd2="http://schemas.microsoft.com/office/spreadsheetml/2017/richdata2" ref="B2:C26">
    <sortCondition ref="C11:C2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9ACE-2370-46EE-B65D-7833CF8CC01A}">
  <dimension ref="A1:E4"/>
  <sheetViews>
    <sheetView zoomScale="175" zoomScaleNormal="175" workbookViewId="0">
      <selection activeCell="C4" sqref="C4"/>
    </sheetView>
  </sheetViews>
  <sheetFormatPr defaultRowHeight="15" x14ac:dyDescent="0.25"/>
  <cols>
    <col min="2" max="2" width="7" bestFit="1" customWidth="1"/>
    <col min="3" max="3" width="15.28515625" bestFit="1" customWidth="1"/>
    <col min="4" max="4" width="12.7109375" bestFit="1" customWidth="1"/>
    <col min="5" max="5" width="11.5703125" bestFit="1" customWidth="1"/>
  </cols>
  <sheetData>
    <row r="1" spans="1:5" x14ac:dyDescent="0.25">
      <c r="A1" s="12" t="s">
        <v>59</v>
      </c>
      <c r="B1" s="12" t="s">
        <v>30</v>
      </c>
      <c r="C1" s="12" t="s">
        <v>1</v>
      </c>
      <c r="D1" s="12" t="s">
        <v>2</v>
      </c>
      <c r="E1" s="12" t="s">
        <v>0</v>
      </c>
    </row>
    <row r="2" spans="1:5" x14ac:dyDescent="0.25">
      <c r="A2">
        <v>1</v>
      </c>
      <c r="B2">
        <v>86563</v>
      </c>
      <c r="C2" t="s">
        <v>37</v>
      </c>
      <c r="D2" t="s">
        <v>5</v>
      </c>
      <c r="E2">
        <v>7163615121</v>
      </c>
    </row>
    <row r="3" spans="1:5" x14ac:dyDescent="0.25">
      <c r="A3">
        <v>2</v>
      </c>
      <c r="B3">
        <v>96352</v>
      </c>
      <c r="C3" t="s">
        <v>38</v>
      </c>
      <c r="D3" t="s">
        <v>6</v>
      </c>
      <c r="E3">
        <v>1831635671</v>
      </c>
    </row>
    <row r="4" spans="1:5" x14ac:dyDescent="0.25">
      <c r="A4">
        <v>3</v>
      </c>
      <c r="B4">
        <v>48256</v>
      </c>
      <c r="C4" t="s">
        <v>39</v>
      </c>
      <c r="D4" t="s">
        <v>7</v>
      </c>
      <c r="E4">
        <v>2936827338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F21E-982A-4A83-8429-8BFF04822E2D}">
  <dimension ref="B2:AD39"/>
  <sheetViews>
    <sheetView topLeftCell="D1" workbookViewId="0">
      <selection activeCell="AC3" sqref="AC3:AD3"/>
    </sheetView>
  </sheetViews>
  <sheetFormatPr defaultRowHeight="15" x14ac:dyDescent="0.25"/>
  <cols>
    <col min="1" max="1" width="3" customWidth="1"/>
    <col min="2" max="2" width="18" customWidth="1"/>
    <col min="3" max="3" width="12.7109375" bestFit="1" customWidth="1"/>
    <col min="6" max="6" width="10.7109375" bestFit="1" customWidth="1"/>
    <col min="8" max="8" width="3.28515625" bestFit="1" customWidth="1"/>
    <col min="9" max="9" width="14" bestFit="1" customWidth="1"/>
    <col min="10" max="10" width="3.42578125" customWidth="1"/>
    <col min="11" max="11" width="3.28515625" bestFit="1" customWidth="1"/>
    <col min="12" max="12" width="25" bestFit="1" customWidth="1"/>
    <col min="13" max="13" width="4.28515625" customWidth="1"/>
    <col min="15" max="15" width="29.85546875" customWidth="1"/>
    <col min="18" max="18" width="3.28515625" customWidth="1"/>
    <col min="19" max="19" width="3.28515625" bestFit="1" customWidth="1"/>
    <col min="20" max="20" width="16.28515625" bestFit="1" customWidth="1"/>
    <col min="21" max="21" width="2.28515625" customWidth="1"/>
    <col min="24" max="24" width="14.85546875" bestFit="1" customWidth="1"/>
    <col min="29" max="29" width="10.5703125" bestFit="1" customWidth="1"/>
    <col min="30" max="30" width="10.85546875" bestFit="1" customWidth="1"/>
  </cols>
  <sheetData>
    <row r="2" spans="2:30" x14ac:dyDescent="0.25">
      <c r="B2" s="12" t="s">
        <v>677</v>
      </c>
      <c r="C2" s="12" t="s">
        <v>108</v>
      </c>
      <c r="D2" s="12" t="s">
        <v>40</v>
      </c>
      <c r="E2" s="12" t="s">
        <v>41</v>
      </c>
      <c r="F2" s="12" t="s">
        <v>111</v>
      </c>
      <c r="H2" s="12" t="s">
        <v>59</v>
      </c>
      <c r="I2" s="10" t="s">
        <v>642</v>
      </c>
      <c r="K2" s="12" t="s">
        <v>59</v>
      </c>
      <c r="L2" s="12" t="s">
        <v>116</v>
      </c>
      <c r="N2" s="12" t="s">
        <v>59</v>
      </c>
      <c r="O2" s="10" t="s">
        <v>643</v>
      </c>
      <c r="P2" s="12" t="s">
        <v>647</v>
      </c>
      <c r="Q2" s="12" t="s">
        <v>648</v>
      </c>
      <c r="S2" s="12" t="s">
        <v>59</v>
      </c>
      <c r="T2" s="12" t="s">
        <v>107</v>
      </c>
      <c r="V2" s="12" t="s">
        <v>59</v>
      </c>
      <c r="W2" s="12" t="s">
        <v>21</v>
      </c>
      <c r="X2" s="12" t="s">
        <v>2</v>
      </c>
      <c r="Z2" s="12" t="s">
        <v>59</v>
      </c>
      <c r="AA2" s="12" t="s">
        <v>100</v>
      </c>
      <c r="AC2" s="12" t="s">
        <v>749</v>
      </c>
      <c r="AD2" s="12" t="s">
        <v>748</v>
      </c>
    </row>
    <row r="3" spans="2:30" x14ac:dyDescent="0.25">
      <c r="B3" t="s">
        <v>109</v>
      </c>
      <c r="C3" t="s">
        <v>70</v>
      </c>
      <c r="D3">
        <v>2500</v>
      </c>
      <c r="E3">
        <v>25000</v>
      </c>
      <c r="F3" s="6">
        <f ca="1">RANDBETWEEN(D3,E3)</f>
        <v>5289</v>
      </c>
      <c r="H3">
        <v>1</v>
      </c>
      <c r="I3" t="s">
        <v>118</v>
      </c>
      <c r="K3">
        <v>1</v>
      </c>
      <c r="L3" t="s">
        <v>300</v>
      </c>
      <c r="N3">
        <v>1</v>
      </c>
      <c r="O3" t="s">
        <v>125</v>
      </c>
      <c r="P3">
        <v>140</v>
      </c>
      <c r="Q3">
        <v>300</v>
      </c>
      <c r="S3">
        <v>1</v>
      </c>
      <c r="T3" t="s">
        <v>86</v>
      </c>
      <c r="V3">
        <v>1</v>
      </c>
      <c r="W3" t="s">
        <v>690</v>
      </c>
      <c r="X3" t="s">
        <v>656</v>
      </c>
      <c r="Z3">
        <v>1</v>
      </c>
      <c r="AA3" s="2">
        <v>0</v>
      </c>
      <c r="AC3" s="20">
        <v>43831</v>
      </c>
      <c r="AD3" s="20">
        <v>45657</v>
      </c>
    </row>
    <row r="4" spans="2:30" x14ac:dyDescent="0.25">
      <c r="B4" t="s">
        <v>110</v>
      </c>
      <c r="C4" t="s">
        <v>42</v>
      </c>
      <c r="D4">
        <v>1</v>
      </c>
      <c r="E4">
        <v>100</v>
      </c>
      <c r="F4" s="6">
        <f ca="1">RANDBETWEEN(D4,E4)</f>
        <v>52</v>
      </c>
      <c r="H4">
        <v>2</v>
      </c>
      <c r="I4" t="s">
        <v>313</v>
      </c>
      <c r="K4">
        <v>2</v>
      </c>
      <c r="L4" t="s">
        <v>307</v>
      </c>
      <c r="N4">
        <v>2</v>
      </c>
      <c r="O4" t="s">
        <v>148</v>
      </c>
      <c r="P4">
        <v>140</v>
      </c>
      <c r="Q4">
        <v>300</v>
      </c>
      <c r="S4">
        <v>2</v>
      </c>
      <c r="T4" t="s">
        <v>85</v>
      </c>
      <c r="V4">
        <v>2</v>
      </c>
      <c r="W4" t="s">
        <v>691</v>
      </c>
      <c r="X4" t="s">
        <v>667</v>
      </c>
      <c r="Z4">
        <v>2</v>
      </c>
      <c r="AA4" s="2">
        <v>0.1</v>
      </c>
    </row>
    <row r="5" spans="2:30" x14ac:dyDescent="0.25">
      <c r="B5" t="s">
        <v>110</v>
      </c>
      <c r="C5" t="s">
        <v>71</v>
      </c>
      <c r="D5">
        <v>2020</v>
      </c>
      <c r="E5">
        <v>2022</v>
      </c>
      <c r="F5" s="6">
        <f ca="1">RANDBETWEEN(D5,E5)</f>
        <v>2020</v>
      </c>
      <c r="H5">
        <v>3</v>
      </c>
      <c r="I5" t="s">
        <v>117</v>
      </c>
      <c r="K5">
        <v>3</v>
      </c>
      <c r="L5" t="s">
        <v>337</v>
      </c>
      <c r="N5">
        <v>3</v>
      </c>
      <c r="O5" t="s">
        <v>96</v>
      </c>
      <c r="P5">
        <v>140</v>
      </c>
      <c r="Q5">
        <v>300</v>
      </c>
      <c r="S5">
        <v>3</v>
      </c>
      <c r="T5" t="s">
        <v>87</v>
      </c>
      <c r="V5">
        <v>3</v>
      </c>
      <c r="W5" t="s">
        <v>700</v>
      </c>
      <c r="X5" t="s">
        <v>63</v>
      </c>
      <c r="Z5">
        <v>3</v>
      </c>
      <c r="AA5" s="2">
        <v>0.25</v>
      </c>
    </row>
    <row r="6" spans="2:30" x14ac:dyDescent="0.25">
      <c r="B6" t="s">
        <v>112</v>
      </c>
      <c r="C6" t="s">
        <v>105</v>
      </c>
      <c r="F6" s="6">
        <f ca="1">RANDBETWEEN(MIN(Products!$B$2:$B$10),MAX(Products!$B$2:$B$10))</f>
        <v>102</v>
      </c>
      <c r="H6">
        <v>4</v>
      </c>
      <c r="I6" t="s">
        <v>121</v>
      </c>
      <c r="K6">
        <v>4</v>
      </c>
      <c r="L6" t="s">
        <v>348</v>
      </c>
      <c r="N6">
        <v>4</v>
      </c>
      <c r="O6" t="s">
        <v>158</v>
      </c>
      <c r="P6">
        <v>140</v>
      </c>
      <c r="Q6">
        <v>300</v>
      </c>
      <c r="S6">
        <v>4</v>
      </c>
      <c r="T6" t="s">
        <v>89</v>
      </c>
      <c r="V6">
        <v>4</v>
      </c>
      <c r="W6" t="s">
        <v>696</v>
      </c>
      <c r="X6" t="s">
        <v>652</v>
      </c>
    </row>
    <row r="7" spans="2:30" x14ac:dyDescent="0.25">
      <c r="B7" t="s">
        <v>112</v>
      </c>
      <c r="C7" t="s">
        <v>646</v>
      </c>
      <c r="F7" s="6" t="str">
        <f ca="1">VLOOKUP(RANDBETWEEN(1,37),rnlcountry,2)</f>
        <v>Philipines</v>
      </c>
      <c r="H7">
        <v>5</v>
      </c>
      <c r="I7" t="s">
        <v>119</v>
      </c>
      <c r="K7">
        <v>5</v>
      </c>
      <c r="L7" t="s">
        <v>354</v>
      </c>
      <c r="N7">
        <v>5</v>
      </c>
      <c r="O7" t="s">
        <v>159</v>
      </c>
      <c r="P7">
        <v>1000</v>
      </c>
      <c r="Q7">
        <v>4000</v>
      </c>
      <c r="S7">
        <v>5</v>
      </c>
      <c r="T7" t="s">
        <v>88</v>
      </c>
      <c r="V7">
        <v>5</v>
      </c>
      <c r="W7" t="s">
        <v>697</v>
      </c>
      <c r="X7" t="s">
        <v>61</v>
      </c>
    </row>
    <row r="8" spans="2:30" x14ac:dyDescent="0.25">
      <c r="B8" t="s">
        <v>112</v>
      </c>
      <c r="C8" t="s">
        <v>103</v>
      </c>
      <c r="F8" s="6">
        <f ca="1">RANDBETWEEN(VLOOKUP($C3,rnlunitsold,2),VLOOKUP($C3,rnlunitsold,3))</f>
        <v>226</v>
      </c>
      <c r="H8">
        <v>6</v>
      </c>
      <c r="I8" t="s">
        <v>304</v>
      </c>
      <c r="K8">
        <v>6</v>
      </c>
      <c r="L8" t="s">
        <v>313</v>
      </c>
      <c r="N8">
        <v>6</v>
      </c>
      <c r="O8" t="s">
        <v>167</v>
      </c>
      <c r="P8">
        <v>200</v>
      </c>
      <c r="Q8">
        <v>500</v>
      </c>
      <c r="V8">
        <v>6</v>
      </c>
      <c r="W8" t="s">
        <v>698</v>
      </c>
      <c r="X8" t="s">
        <v>78</v>
      </c>
    </row>
    <row r="9" spans="2:30" x14ac:dyDescent="0.25">
      <c r="B9" t="s">
        <v>112</v>
      </c>
      <c r="C9" t="s">
        <v>649</v>
      </c>
      <c r="D9">
        <v>1</v>
      </c>
      <c r="E9">
        <v>2</v>
      </c>
      <c r="H9">
        <v>7</v>
      </c>
      <c r="I9" t="s">
        <v>120</v>
      </c>
      <c r="K9">
        <v>7</v>
      </c>
      <c r="L9" t="s">
        <v>293</v>
      </c>
      <c r="N9">
        <v>7</v>
      </c>
      <c r="O9" t="s">
        <v>159</v>
      </c>
      <c r="P9">
        <v>1000</v>
      </c>
      <c r="Q9">
        <v>4000</v>
      </c>
      <c r="V9">
        <v>7</v>
      </c>
      <c r="W9" t="s">
        <v>699</v>
      </c>
      <c r="X9" t="s">
        <v>62</v>
      </c>
    </row>
    <row r="10" spans="2:30" x14ac:dyDescent="0.25">
      <c r="B10" t="s">
        <v>112</v>
      </c>
      <c r="C10" t="s">
        <v>669</v>
      </c>
      <c r="F10" t="str">
        <f ca="1">VLOOKUP(RANDBETWEEN(1,11),rnlsalesperson,3)</f>
        <v>Sofia Kowalskki</v>
      </c>
      <c r="K10">
        <v>8</v>
      </c>
      <c r="L10" t="s">
        <v>318</v>
      </c>
      <c r="N10">
        <v>8</v>
      </c>
      <c r="O10" t="s">
        <v>159</v>
      </c>
      <c r="P10">
        <v>1000</v>
      </c>
      <c r="Q10">
        <v>4000</v>
      </c>
      <c r="V10">
        <v>8</v>
      </c>
      <c r="W10" t="s">
        <v>695</v>
      </c>
      <c r="X10" t="s">
        <v>651</v>
      </c>
    </row>
    <row r="11" spans="2:30" x14ac:dyDescent="0.25">
      <c r="B11" t="s">
        <v>678</v>
      </c>
      <c r="C11" t="s">
        <v>25</v>
      </c>
      <c r="D11">
        <v>1</v>
      </c>
      <c r="E11">
        <v>3</v>
      </c>
      <c r="F11">
        <f ca="1">VLOOKUP(RANDBETWEEN(1,3),Suppliers!$A$2:$B$4,2)</f>
        <v>86563</v>
      </c>
      <c r="H11" s="10" t="s">
        <v>59</v>
      </c>
      <c r="I11" s="10" t="s">
        <v>25</v>
      </c>
      <c r="K11">
        <v>9</v>
      </c>
      <c r="L11" t="s">
        <v>359</v>
      </c>
      <c r="N11">
        <v>9</v>
      </c>
      <c r="O11" t="s">
        <v>95</v>
      </c>
      <c r="P11">
        <v>200</v>
      </c>
      <c r="Q11">
        <v>500</v>
      </c>
      <c r="V11">
        <v>9</v>
      </c>
      <c r="W11" t="s">
        <v>692</v>
      </c>
      <c r="X11" t="s">
        <v>659</v>
      </c>
    </row>
    <row r="12" spans="2:30" x14ac:dyDescent="0.25">
      <c r="B12" t="s">
        <v>678</v>
      </c>
      <c r="C12" t="s">
        <v>685</v>
      </c>
      <c r="F12">
        <f ca="1">RANDBETWEEN(30,79)</f>
        <v>77</v>
      </c>
      <c r="H12">
        <v>1</v>
      </c>
      <c r="I12">
        <v>48256</v>
      </c>
      <c r="K12">
        <v>10</v>
      </c>
      <c r="L12" t="s">
        <v>373</v>
      </c>
      <c r="N12">
        <v>10</v>
      </c>
      <c r="O12" t="s">
        <v>94</v>
      </c>
      <c r="P12">
        <v>200</v>
      </c>
      <c r="Q12">
        <v>500</v>
      </c>
      <c r="V12">
        <v>10</v>
      </c>
      <c r="W12" t="s">
        <v>693</v>
      </c>
      <c r="X12" t="s">
        <v>662</v>
      </c>
    </row>
    <row r="13" spans="2:30" x14ac:dyDescent="0.25">
      <c r="B13" t="s">
        <v>678</v>
      </c>
      <c r="C13" t="s">
        <v>684</v>
      </c>
      <c r="F13">
        <f ca="1">RANDBETWEEN(MIN(Shippers!$B$2:$B$9),MAX(Shippers!$B$2:$B$9))</f>
        <v>13</v>
      </c>
      <c r="H13">
        <v>2</v>
      </c>
      <c r="I13">
        <v>86563</v>
      </c>
      <c r="K13">
        <v>11</v>
      </c>
      <c r="L13" t="s">
        <v>469</v>
      </c>
      <c r="N13">
        <v>11</v>
      </c>
      <c r="O13" t="s">
        <v>197</v>
      </c>
      <c r="P13">
        <v>150</v>
      </c>
      <c r="Q13">
        <v>350</v>
      </c>
      <c r="V13">
        <v>11</v>
      </c>
      <c r="W13" t="s">
        <v>694</v>
      </c>
      <c r="X13" t="s">
        <v>650</v>
      </c>
    </row>
    <row r="14" spans="2:30" x14ac:dyDescent="0.25">
      <c r="B14" t="s">
        <v>678</v>
      </c>
      <c r="C14" t="s">
        <v>20</v>
      </c>
      <c r="D14">
        <f>MIN(Customers!A2:A9)</f>
        <v>1</v>
      </c>
      <c r="E14">
        <f>MAX(Customers!A2:A9)</f>
        <v>8</v>
      </c>
      <c r="F14">
        <f ca="1">RANDBETWEEN(MIN(Customers!$A$2:$A$9),MAX(Customers!$A$2:$A$9))</f>
        <v>5</v>
      </c>
      <c r="H14">
        <v>3</v>
      </c>
      <c r="I14">
        <v>96352</v>
      </c>
      <c r="K14">
        <v>12</v>
      </c>
      <c r="L14" t="s">
        <v>296</v>
      </c>
      <c r="N14">
        <v>12</v>
      </c>
      <c r="O14" t="s">
        <v>198</v>
      </c>
      <c r="P14">
        <v>300</v>
      </c>
      <c r="Q14">
        <v>600</v>
      </c>
    </row>
    <row r="15" spans="2:30" x14ac:dyDescent="0.25">
      <c r="B15" t="s">
        <v>678</v>
      </c>
      <c r="C15" t="s">
        <v>682</v>
      </c>
      <c r="F15" t="str">
        <f ca="1">VLOOKUP(RANDBETWEEN(1,11),rnlsalesperson,2)</f>
        <v>E0013</v>
      </c>
      <c r="K15">
        <v>13</v>
      </c>
      <c r="L15" t="s">
        <v>298</v>
      </c>
      <c r="N15">
        <v>13</v>
      </c>
      <c r="O15" t="s">
        <v>159</v>
      </c>
      <c r="P15">
        <v>1000</v>
      </c>
      <c r="Q15">
        <v>4000</v>
      </c>
    </row>
    <row r="16" spans="2:30" x14ac:dyDescent="0.25">
      <c r="B16" t="s">
        <v>678</v>
      </c>
      <c r="C16" t="s">
        <v>683</v>
      </c>
      <c r="D16">
        <f>MIN(Products!B2:B10)</f>
        <v>101</v>
      </c>
      <c r="E16">
        <f>MAX(Products!B2:B10)</f>
        <v>109</v>
      </c>
      <c r="F16">
        <f ca="1">RANDBETWEEN(MIN(Products!$B$2:$B$9),MAX(Products!$B$2:$B$9))</f>
        <v>102</v>
      </c>
      <c r="K16">
        <v>14</v>
      </c>
      <c r="L16" t="s">
        <v>324</v>
      </c>
      <c r="N16">
        <v>14</v>
      </c>
      <c r="O16" t="s">
        <v>205</v>
      </c>
      <c r="P16">
        <v>250</v>
      </c>
      <c r="Q16">
        <v>700</v>
      </c>
    </row>
    <row r="17" spans="2:17" x14ac:dyDescent="0.25">
      <c r="B17" t="s">
        <v>678</v>
      </c>
      <c r="C17" t="s">
        <v>681</v>
      </c>
      <c r="D17">
        <v>5</v>
      </c>
      <c r="E17">
        <v>250</v>
      </c>
      <c r="F17">
        <f ca="1">RANDBETWEEN(D17,E17)</f>
        <v>220</v>
      </c>
      <c r="K17">
        <v>15</v>
      </c>
      <c r="L17" t="s">
        <v>332</v>
      </c>
      <c r="N17">
        <v>15</v>
      </c>
      <c r="O17" t="s">
        <v>124</v>
      </c>
      <c r="P17">
        <v>500</v>
      </c>
      <c r="Q17">
        <v>700</v>
      </c>
    </row>
    <row r="18" spans="2:17" x14ac:dyDescent="0.25">
      <c r="B18" t="s">
        <v>678</v>
      </c>
      <c r="C18" t="s">
        <v>680</v>
      </c>
      <c r="F18">
        <f ca="1">VLOOKUP(RANDBETWEEN(1,3),RandomNList!$Z$3:$AA$5,2)</f>
        <v>0.25</v>
      </c>
      <c r="K18">
        <v>16</v>
      </c>
      <c r="L18" t="s">
        <v>311</v>
      </c>
      <c r="N18">
        <v>16</v>
      </c>
      <c r="O18" t="s">
        <v>93</v>
      </c>
      <c r="P18">
        <v>100</v>
      </c>
      <c r="Q18">
        <v>300</v>
      </c>
    </row>
    <row r="19" spans="2:17" x14ac:dyDescent="0.25">
      <c r="B19" t="s">
        <v>678</v>
      </c>
      <c r="C19" t="s">
        <v>679</v>
      </c>
      <c r="F19">
        <f ca="1">RANDBETWEEN(10,59)</f>
        <v>49</v>
      </c>
      <c r="K19">
        <v>17</v>
      </c>
      <c r="L19" t="s">
        <v>335</v>
      </c>
      <c r="N19">
        <v>17</v>
      </c>
      <c r="O19" t="s">
        <v>228</v>
      </c>
      <c r="P19">
        <v>200</v>
      </c>
      <c r="Q19">
        <v>300</v>
      </c>
    </row>
    <row r="20" spans="2:17" x14ac:dyDescent="0.25">
      <c r="K20">
        <v>18</v>
      </c>
      <c r="L20" t="s">
        <v>340</v>
      </c>
      <c r="N20">
        <v>18</v>
      </c>
      <c r="O20" t="s">
        <v>124</v>
      </c>
      <c r="P20">
        <v>500</v>
      </c>
      <c r="Q20">
        <v>1000</v>
      </c>
    </row>
    <row r="21" spans="2:17" x14ac:dyDescent="0.25">
      <c r="K21">
        <v>19</v>
      </c>
      <c r="L21" t="s">
        <v>303</v>
      </c>
      <c r="N21">
        <v>19</v>
      </c>
      <c r="O21" t="s">
        <v>124</v>
      </c>
      <c r="P21">
        <v>300</v>
      </c>
      <c r="Q21">
        <v>1500</v>
      </c>
    </row>
    <row r="22" spans="2:17" x14ac:dyDescent="0.25">
      <c r="K22">
        <v>20</v>
      </c>
      <c r="L22" t="s">
        <v>322</v>
      </c>
      <c r="N22">
        <v>20</v>
      </c>
      <c r="O22" t="s">
        <v>124</v>
      </c>
      <c r="P22">
        <v>1000</v>
      </c>
      <c r="Q22">
        <v>2000</v>
      </c>
    </row>
    <row r="23" spans="2:17" x14ac:dyDescent="0.25">
      <c r="K23">
        <v>21</v>
      </c>
      <c r="L23" t="s">
        <v>419</v>
      </c>
      <c r="N23">
        <v>21</v>
      </c>
      <c r="O23" t="s">
        <v>124</v>
      </c>
      <c r="P23">
        <v>1500</v>
      </c>
      <c r="Q23">
        <v>5000</v>
      </c>
    </row>
    <row r="24" spans="2:17" x14ac:dyDescent="0.25">
      <c r="K24">
        <v>22</v>
      </c>
      <c r="L24" t="s">
        <v>440</v>
      </c>
      <c r="N24">
        <v>22</v>
      </c>
      <c r="O24" t="s">
        <v>240</v>
      </c>
      <c r="P24">
        <v>150</v>
      </c>
      <c r="Q24">
        <v>250</v>
      </c>
    </row>
    <row r="25" spans="2:17" x14ac:dyDescent="0.25">
      <c r="K25">
        <v>23</v>
      </c>
      <c r="L25" t="s">
        <v>120</v>
      </c>
      <c r="N25">
        <v>23</v>
      </c>
      <c r="O25" t="s">
        <v>644</v>
      </c>
      <c r="P25">
        <v>10</v>
      </c>
      <c r="Q25">
        <v>110</v>
      </c>
    </row>
    <row r="26" spans="2:17" x14ac:dyDescent="0.25">
      <c r="N26">
        <v>24</v>
      </c>
      <c r="O26" t="s">
        <v>545</v>
      </c>
      <c r="P26">
        <v>25</v>
      </c>
      <c r="Q26">
        <v>440</v>
      </c>
    </row>
    <row r="27" spans="2:17" x14ac:dyDescent="0.25">
      <c r="N27">
        <v>25</v>
      </c>
      <c r="O27" t="s">
        <v>266</v>
      </c>
      <c r="P27">
        <v>50</v>
      </c>
      <c r="Q27">
        <v>200</v>
      </c>
    </row>
    <row r="28" spans="2:17" x14ac:dyDescent="0.25">
      <c r="N28">
        <v>26</v>
      </c>
      <c r="O28" t="s">
        <v>84</v>
      </c>
      <c r="P28">
        <v>1000</v>
      </c>
      <c r="Q28">
        <v>2000</v>
      </c>
    </row>
    <row r="29" spans="2:17" x14ac:dyDescent="0.25">
      <c r="N29">
        <v>27</v>
      </c>
      <c r="O29" t="s">
        <v>268</v>
      </c>
      <c r="P29">
        <v>200</v>
      </c>
      <c r="Q29">
        <v>500</v>
      </c>
    </row>
    <row r="30" spans="2:17" x14ac:dyDescent="0.25">
      <c r="N30">
        <v>28</v>
      </c>
      <c r="O30" t="s">
        <v>84</v>
      </c>
      <c r="P30">
        <v>1000</v>
      </c>
      <c r="Q30">
        <v>2000</v>
      </c>
    </row>
    <row r="31" spans="2:17" x14ac:dyDescent="0.25">
      <c r="N31">
        <v>29</v>
      </c>
      <c r="O31" t="s">
        <v>273</v>
      </c>
      <c r="P31">
        <v>250</v>
      </c>
      <c r="Q31">
        <v>550</v>
      </c>
    </row>
    <row r="32" spans="2:17" x14ac:dyDescent="0.25">
      <c r="N32">
        <v>30</v>
      </c>
      <c r="O32" t="s">
        <v>274</v>
      </c>
      <c r="P32">
        <v>140</v>
      </c>
      <c r="Q32">
        <v>300</v>
      </c>
    </row>
    <row r="33" spans="14:17" x14ac:dyDescent="0.25">
      <c r="N33">
        <v>31</v>
      </c>
      <c r="O33" t="s">
        <v>276</v>
      </c>
      <c r="P33">
        <v>300</v>
      </c>
      <c r="Q33">
        <v>600</v>
      </c>
    </row>
    <row r="34" spans="14:17" x14ac:dyDescent="0.25">
      <c r="N34">
        <v>32</v>
      </c>
      <c r="O34" t="s">
        <v>84</v>
      </c>
      <c r="P34">
        <v>1000</v>
      </c>
      <c r="Q34">
        <v>2000</v>
      </c>
    </row>
    <row r="35" spans="14:17" x14ac:dyDescent="0.25">
      <c r="N35">
        <v>33</v>
      </c>
      <c r="O35" t="s">
        <v>645</v>
      </c>
      <c r="P35">
        <v>140</v>
      </c>
      <c r="Q35">
        <v>300</v>
      </c>
    </row>
    <row r="36" spans="14:17" x14ac:dyDescent="0.25">
      <c r="N36">
        <v>34</v>
      </c>
      <c r="O36" t="s">
        <v>84</v>
      </c>
      <c r="P36">
        <v>1000</v>
      </c>
      <c r="Q36">
        <v>2000</v>
      </c>
    </row>
    <row r="37" spans="14:17" x14ac:dyDescent="0.25">
      <c r="N37">
        <v>35</v>
      </c>
      <c r="O37" t="s">
        <v>84</v>
      </c>
      <c r="P37">
        <v>1000</v>
      </c>
      <c r="Q37">
        <v>2000</v>
      </c>
    </row>
    <row r="38" spans="14:17" x14ac:dyDescent="0.25">
      <c r="N38">
        <v>36</v>
      </c>
      <c r="O38" t="s">
        <v>159</v>
      </c>
      <c r="P38">
        <v>1000</v>
      </c>
      <c r="Q38">
        <v>4000</v>
      </c>
    </row>
    <row r="39" spans="14:17" x14ac:dyDescent="0.25">
      <c r="N39">
        <v>37</v>
      </c>
      <c r="O39" t="s">
        <v>287</v>
      </c>
      <c r="P39">
        <v>140</v>
      </c>
      <c r="Q39">
        <v>300</v>
      </c>
    </row>
  </sheetData>
  <sortState xmlns:xlrd2="http://schemas.microsoft.com/office/spreadsheetml/2017/richdata2" ref="N3:Q39">
    <sortCondition ref="N7:N39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586B-BA4F-493C-BF10-C0C542C0A737}">
  <dimension ref="A1:C10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81</v>
      </c>
      <c r="B1" t="s">
        <v>79</v>
      </c>
      <c r="C1" t="s">
        <v>80</v>
      </c>
    </row>
    <row r="2" spans="1:3" x14ac:dyDescent="0.25">
      <c r="A2">
        <v>100</v>
      </c>
      <c r="B2">
        <v>5</v>
      </c>
      <c r="C2">
        <v>11</v>
      </c>
    </row>
    <row r="3" spans="1:3" x14ac:dyDescent="0.25">
      <c r="A3">
        <v>14</v>
      </c>
      <c r="B3">
        <v>20</v>
      </c>
      <c r="C3">
        <v>12</v>
      </c>
    </row>
    <row r="4" spans="1:3" x14ac:dyDescent="0.25">
      <c r="A4">
        <v>0</v>
      </c>
      <c r="B4">
        <v>7</v>
      </c>
      <c r="C4">
        <v>13</v>
      </c>
    </row>
    <row r="5" spans="1:3" x14ac:dyDescent="0.25">
      <c r="A5">
        <v>4</v>
      </c>
      <c r="B5">
        <v>0</v>
      </c>
      <c r="C5">
        <v>11</v>
      </c>
    </row>
    <row r="6" spans="1:3" x14ac:dyDescent="0.25">
      <c r="A6">
        <v>0</v>
      </c>
      <c r="B6">
        <v>2</v>
      </c>
      <c r="C6">
        <v>12</v>
      </c>
    </row>
    <row r="7" spans="1:3" x14ac:dyDescent="0.25">
      <c r="A7">
        <v>0</v>
      </c>
      <c r="B7">
        <v>0</v>
      </c>
      <c r="C7">
        <v>13</v>
      </c>
    </row>
    <row r="8" spans="1:3" x14ac:dyDescent="0.25">
      <c r="A8">
        <v>8</v>
      </c>
      <c r="B8">
        <v>3</v>
      </c>
      <c r="C8">
        <v>11</v>
      </c>
    </row>
    <row r="9" spans="1:3" x14ac:dyDescent="0.25">
      <c r="A9">
        <v>0</v>
      </c>
      <c r="B9">
        <v>2</v>
      </c>
      <c r="C9">
        <v>12</v>
      </c>
    </row>
    <row r="10" spans="1:3" x14ac:dyDescent="0.25">
      <c r="A10">
        <v>12</v>
      </c>
      <c r="B10">
        <v>0</v>
      </c>
      <c r="C1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AI-related</vt:lpstr>
      <vt:lpstr>Calendar</vt:lpstr>
      <vt:lpstr>Countries</vt:lpstr>
      <vt:lpstr>Customers</vt:lpstr>
      <vt:lpstr>Employees</vt:lpstr>
      <vt:lpstr>jsonxml</vt:lpstr>
      <vt:lpstr>Orders</vt:lpstr>
      <vt:lpstr>OrderDetails</vt:lpstr>
      <vt:lpstr>Products</vt:lpstr>
      <vt:lpstr>Cloud-AWS</vt:lpstr>
      <vt:lpstr>Cloud-Azure</vt:lpstr>
      <vt:lpstr>Cloud-Google</vt:lpstr>
      <vt:lpstr>K8s Resources</vt:lpstr>
      <vt:lpstr>SalesByCountry</vt:lpstr>
      <vt:lpstr>SalesByRegion</vt:lpstr>
      <vt:lpstr>Shippers</vt:lpstr>
      <vt:lpstr>Suppliers</vt:lpstr>
      <vt:lpstr>RandomNList</vt:lpstr>
      <vt:lpstr>For_Math_operation</vt:lpstr>
      <vt:lpstr>customers</vt:lpstr>
      <vt:lpstr>Products</vt:lpstr>
      <vt:lpstr>rnlcountry</vt:lpstr>
      <vt:lpstr>rnlsalesperson</vt:lpstr>
      <vt:lpstr>rnlsegment</vt:lpstr>
      <vt:lpstr>rnlunitsold</vt:lpstr>
      <vt:lpstr>Shippers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Wong</dc:creator>
  <cp:lastModifiedBy>Jason Wong</cp:lastModifiedBy>
  <dcterms:created xsi:type="dcterms:W3CDTF">2015-06-05T18:17:20Z</dcterms:created>
  <dcterms:modified xsi:type="dcterms:W3CDTF">2026-07-23T01:52:03Z</dcterms:modified>
</cp:coreProperties>
</file>